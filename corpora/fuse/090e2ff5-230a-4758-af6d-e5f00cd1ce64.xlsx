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17145" windowHeight="8985"/>
  </bookViews>
  <sheets>
    <sheet name="Summary" sheetId="11" r:id="rId1"/>
    <sheet name="Loan from State of MI" sheetId="7" r:id="rId2"/>
    <sheet name="Capital Leases" sheetId="10" r:id="rId3"/>
    <sheet name="Installment Contracts" sheetId="19" r:id="rId4"/>
    <sheet name="BuildingAuth general oblig bon " sheetId="12" r:id="rId5"/>
    <sheet name="Del Tax General Obligation Note" sheetId="8" r:id="rId6"/>
    <sheet name="DPW general obligation bonds" sheetId="14" r:id="rId7"/>
    <sheet name="Drains General Obligation bonds" sheetId="15" r:id="rId8"/>
    <sheet name="Drains Notes Payable" sheetId="16" r:id="rId9"/>
    <sheet name="Drains Instalment Loan" sheetId="9" r:id="rId10"/>
    <sheet name="Roads General Obligation Bonds" sheetId="17" r:id="rId11"/>
    <sheet name="Roads Special Assessment Notes" sheetId="18" r:id="rId12"/>
  </sheets>
  <definedNames>
    <definedName name="\A" localSheetId="4">'BuildingAuth general oblig bon '!$A$2038</definedName>
    <definedName name="\A" localSheetId="6">'DPW general obligation bonds'!$A$1816</definedName>
    <definedName name="\A" localSheetId="11">'Roads Special Assessment Notes'!$A$1821</definedName>
    <definedName name="ALL" localSheetId="6">'DPW general obligation bonds'!$F$1810:$HO$7995</definedName>
    <definedName name="ALL" localSheetId="11">'Roads Special Assessment Notes'!$D$1815:$HB$8000</definedName>
    <definedName name="_xlnm.Print_Area" localSheetId="8">'Drains Notes Payable'!$A$1:$V$19</definedName>
    <definedName name="Print_Area_MI" localSheetId="4">'BuildingAuth general oblig bon '!$A$8:$AJ$70</definedName>
    <definedName name="Print_Area_MI" localSheetId="6">'DPW general obligation bonds'!$B$7:$AS$65</definedName>
    <definedName name="Print_Area_MI" localSheetId="7">'Drains General Obligation bonds'!$B$7:$BD$123</definedName>
    <definedName name="Print_Area_MI" localSheetId="8">'Drains Notes Payable'!$B$7:$V$19</definedName>
    <definedName name="Print_Area_MI" localSheetId="10">'Roads General Obligation Bonds'!$B$1:$R$18</definedName>
    <definedName name="Print_Area_MI" localSheetId="11">'Roads Special Assessment Notes'!$A$1:$N$29</definedName>
    <definedName name="_xlnm.Print_Titles" localSheetId="6">'DPW general obligation bonds'!$A:$A,'DPW general obligation bonds'!$1:$6</definedName>
    <definedName name="_xlnm.Print_Titles" localSheetId="7">'Drains General Obligation bonds'!$3:$5</definedName>
    <definedName name="_xlnm.Print_Titles" localSheetId="8">'Drains Notes Payable'!$A:$A</definedName>
    <definedName name="_xlnm.Print_Titles" localSheetId="1">'Loan from State of MI'!$3:$4</definedName>
    <definedName name="Print_Titles_MI" localSheetId="7">'Drains General Obligation bonds'!$1:$5</definedName>
    <definedName name="SPECASSTOT" localSheetId="7">'Drains General Obligation bonds'!#REF!</definedName>
    <definedName name="SPECASSTOT" localSheetId="8">'Drains Notes Payable'!$GW$7959:$GY$7998</definedName>
    <definedName name="SPECASSTOT" localSheetId="10">'Roads General Obligation Bonds'!$GQ$7837:$GS$7876</definedName>
    <definedName name="Z_73F28E31_037E_11D5_BE76_0001025EAD4C_.wvu.Cols" localSheetId="6" hidden="1">'DPW general obligation bonds'!$AP:$AQ</definedName>
    <definedName name="Z_73F28E31_037E_11D5_BE76_0001025EAD4C_.wvu.PrintTitles" localSheetId="6" hidden="1">'DPW general obligation bonds'!$A:$A</definedName>
    <definedName name="Z_73F28E32_037E_11D5_BE76_0001025EAD4C_.wvu.Cols" localSheetId="6" hidden="1">'DPW general obligation bonds'!$AP:$AQ</definedName>
    <definedName name="Z_73F28E32_037E_11D5_BE76_0001025EAD4C_.wvu.PrintTitles" localSheetId="6" hidden="1">'DPW general obligation bonds'!$A:$A</definedName>
    <definedName name="Z_B1AB5843_1A42_11D6_BF96_0001025EAD4C_.wvu.Cols" localSheetId="6" hidden="1">'DPW general obligation bonds'!$AK:$AS</definedName>
    <definedName name="Z_B1AB5843_1A42_11D6_BF96_0001025EAD4C_.wvu.PrintTitles" localSheetId="6" hidden="1">'DPW general obligation bonds'!$A:$A</definedName>
    <definedName name="Z_B1AB5845_1A42_11D6_BF96_0001025EAD4C_.wvu.Cols" localSheetId="6" hidden="1">'DPW general obligation bonds'!$AK:$AS</definedName>
    <definedName name="Z_B1AB5845_1A42_11D6_BF96_0001025EAD4C_.wvu.PrintTitles" localSheetId="6" hidden="1">'DPW general obligation bonds'!$A:$A</definedName>
  </definedNames>
  <calcPr calcId="145621"/>
</workbook>
</file>

<file path=xl/calcChain.xml><?xml version="1.0" encoding="utf-8"?>
<calcChain xmlns="http://schemas.openxmlformats.org/spreadsheetml/2006/main">
  <c r="G8" i="10" l="1"/>
  <c r="G11" i="10"/>
  <c r="G10" i="10"/>
  <c r="G9" i="10"/>
  <c r="F10" i="10"/>
  <c r="F9" i="10"/>
  <c r="F8" i="10"/>
  <c r="E11" i="10"/>
  <c r="D11" i="10"/>
  <c r="G10" i="8"/>
  <c r="G9" i="8"/>
  <c r="G8" i="8"/>
  <c r="F9" i="8"/>
  <c r="F8" i="8"/>
  <c r="E10" i="8"/>
  <c r="D10" i="8"/>
  <c r="R19" i="16" l="1"/>
  <c r="C10" i="19" l="1"/>
  <c r="B10" i="19"/>
  <c r="D9" i="19"/>
  <c r="D8" i="19" l="1"/>
  <c r="D10" i="19" s="1"/>
  <c r="I29" i="18"/>
  <c r="H29" i="18"/>
  <c r="G29" i="18"/>
  <c r="F29" i="18"/>
  <c r="E29" i="18"/>
  <c r="D29" i="18"/>
  <c r="C29" i="18"/>
  <c r="B29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O18" i="17"/>
  <c r="N18" i="17"/>
  <c r="M18" i="17"/>
  <c r="L18" i="17"/>
  <c r="J18" i="17"/>
  <c r="I18" i="17"/>
  <c r="H18" i="17"/>
  <c r="G18" i="17"/>
  <c r="F18" i="17"/>
  <c r="E18" i="17"/>
  <c r="D18" i="17"/>
  <c r="C18" i="17"/>
  <c r="B18" i="17"/>
  <c r="Q15" i="17"/>
  <c r="P15" i="17"/>
  <c r="P14" i="17"/>
  <c r="K14" i="17"/>
  <c r="Q14" i="17" s="1"/>
  <c r="P13" i="17"/>
  <c r="K13" i="17"/>
  <c r="Q13" i="17" s="1"/>
  <c r="P12" i="17"/>
  <c r="K12" i="17"/>
  <c r="Q12" i="17" s="1"/>
  <c r="P11" i="17"/>
  <c r="K11" i="17"/>
  <c r="Q11" i="17" s="1"/>
  <c r="Q10" i="17"/>
  <c r="P10" i="17"/>
  <c r="K10" i="17"/>
  <c r="P9" i="17"/>
  <c r="K9" i="17"/>
  <c r="Q9" i="17" s="1"/>
  <c r="P8" i="17"/>
  <c r="K8" i="17"/>
  <c r="Q8" i="17" s="1"/>
  <c r="P7" i="17"/>
  <c r="K7" i="17"/>
  <c r="Q7" i="17" s="1"/>
  <c r="P6" i="17"/>
  <c r="K6" i="17"/>
  <c r="Q6" i="17" s="1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S17" i="16"/>
  <c r="U17" i="16" s="1"/>
  <c r="R17" i="16"/>
  <c r="T17" i="16" s="1"/>
  <c r="U16" i="16"/>
  <c r="S16" i="16"/>
  <c r="R16" i="16"/>
  <c r="T16" i="16" s="1"/>
  <c r="S15" i="16"/>
  <c r="U15" i="16" s="1"/>
  <c r="R15" i="16"/>
  <c r="T15" i="16" s="1"/>
  <c r="U14" i="16"/>
  <c r="S14" i="16"/>
  <c r="R14" i="16"/>
  <c r="T14" i="16" s="1"/>
  <c r="S13" i="16"/>
  <c r="U13" i="16" s="1"/>
  <c r="R13" i="16"/>
  <c r="T13" i="16" s="1"/>
  <c r="S12" i="16"/>
  <c r="R12" i="16"/>
  <c r="S11" i="16"/>
  <c r="R11" i="16"/>
  <c r="S10" i="16"/>
  <c r="R10" i="16"/>
  <c r="S9" i="16"/>
  <c r="R9" i="16"/>
  <c r="S8" i="16"/>
  <c r="R8" i="16"/>
  <c r="S7" i="16"/>
  <c r="R7" i="16"/>
  <c r="AY123" i="15"/>
  <c r="AX123" i="15"/>
  <c r="AW123" i="15"/>
  <c r="AV123" i="15"/>
  <c r="AU123" i="15"/>
  <c r="AT123" i="15"/>
  <c r="AS123" i="15"/>
  <c r="AR123" i="15"/>
  <c r="AQ123" i="15"/>
  <c r="AP123" i="15"/>
  <c r="AO123" i="15"/>
  <c r="AN123" i="15"/>
  <c r="AM123" i="15"/>
  <c r="AL123" i="15"/>
  <c r="AK123" i="15"/>
  <c r="AJ123" i="15"/>
  <c r="AI123" i="15"/>
  <c r="AH123" i="15"/>
  <c r="AG123" i="15"/>
  <c r="AE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I123" i="15"/>
  <c r="G123" i="15"/>
  <c r="F123" i="15"/>
  <c r="E123" i="15"/>
  <c r="D123" i="15"/>
  <c r="C123" i="15"/>
  <c r="B123" i="15"/>
  <c r="BA120" i="15"/>
  <c r="AZ120" i="15"/>
  <c r="BA119" i="15"/>
  <c r="AZ119" i="15"/>
  <c r="BA118" i="15"/>
  <c r="AZ118" i="15"/>
  <c r="BA117" i="15"/>
  <c r="AZ117" i="15"/>
  <c r="BA116" i="15"/>
  <c r="AZ116" i="15"/>
  <c r="BA115" i="15"/>
  <c r="AZ115" i="15"/>
  <c r="BA114" i="15"/>
  <c r="AZ114" i="15"/>
  <c r="BA113" i="15"/>
  <c r="AZ113" i="15"/>
  <c r="BA112" i="15"/>
  <c r="AZ112" i="15"/>
  <c r="BA111" i="15"/>
  <c r="AZ111" i="15"/>
  <c r="BA110" i="15"/>
  <c r="AZ110" i="15"/>
  <c r="BA109" i="15"/>
  <c r="AZ109" i="15"/>
  <c r="BA108" i="15"/>
  <c r="AZ108" i="15"/>
  <c r="BA107" i="15"/>
  <c r="AZ107" i="15"/>
  <c r="BA106" i="15"/>
  <c r="AZ106" i="15"/>
  <c r="BA105" i="15"/>
  <c r="AZ105" i="15"/>
  <c r="BA104" i="15"/>
  <c r="AZ104" i="15"/>
  <c r="BA103" i="15"/>
  <c r="AZ103" i="15"/>
  <c r="BA102" i="15"/>
  <c r="AZ102" i="15"/>
  <c r="BA101" i="15"/>
  <c r="AZ101" i="15"/>
  <c r="BA100" i="15"/>
  <c r="AZ100" i="15"/>
  <c r="BA99" i="15"/>
  <c r="AZ99" i="15"/>
  <c r="BA98" i="15"/>
  <c r="AZ98" i="15"/>
  <c r="BA97" i="15"/>
  <c r="AF97" i="15"/>
  <c r="BA96" i="15"/>
  <c r="BC100" i="15" s="1"/>
  <c r="AZ96" i="15"/>
  <c r="BA95" i="15"/>
  <c r="AZ95" i="15"/>
  <c r="BA94" i="15"/>
  <c r="AZ94" i="15"/>
  <c r="BA93" i="15"/>
  <c r="AZ93" i="15"/>
  <c r="BA92" i="15"/>
  <c r="AZ92" i="15"/>
  <c r="J92" i="15"/>
  <c r="J123" i="15" s="1"/>
  <c r="BA91" i="15"/>
  <c r="AZ91" i="15"/>
  <c r="BA90" i="15"/>
  <c r="AZ90" i="15"/>
  <c r="BA89" i="15"/>
  <c r="AZ89" i="15"/>
  <c r="BA88" i="15"/>
  <c r="AZ88" i="15"/>
  <c r="BA87" i="15"/>
  <c r="AD87" i="15"/>
  <c r="AD123" i="15" s="1"/>
  <c r="BA86" i="15"/>
  <c r="BC90" i="15" s="1"/>
  <c r="AZ86" i="15"/>
  <c r="BA85" i="15"/>
  <c r="AZ85" i="15"/>
  <c r="BA84" i="15"/>
  <c r="AZ84" i="15"/>
  <c r="BA83" i="15"/>
  <c r="AZ83" i="15"/>
  <c r="BA82" i="15"/>
  <c r="AZ82" i="15"/>
  <c r="BA81" i="15"/>
  <c r="AZ81" i="15"/>
  <c r="BA80" i="15"/>
  <c r="AZ80" i="15"/>
  <c r="BA79" i="15"/>
  <c r="AZ79" i="15"/>
  <c r="BA78" i="15"/>
  <c r="AZ78" i="15"/>
  <c r="BA77" i="15"/>
  <c r="AZ77" i="15"/>
  <c r="BA76" i="15"/>
  <c r="AZ76" i="15"/>
  <c r="BB80" i="15" s="1"/>
  <c r="BA75" i="15"/>
  <c r="AZ75" i="15"/>
  <c r="BA74" i="15"/>
  <c r="AZ74" i="15"/>
  <c r="BA73" i="15"/>
  <c r="AZ73" i="15"/>
  <c r="BA72" i="15"/>
  <c r="AZ72" i="15"/>
  <c r="BA71" i="15"/>
  <c r="AZ71" i="15"/>
  <c r="BA70" i="15"/>
  <c r="AZ70" i="15"/>
  <c r="BA69" i="15"/>
  <c r="AZ69" i="15"/>
  <c r="BA68" i="15"/>
  <c r="AZ68" i="15"/>
  <c r="BA67" i="15"/>
  <c r="AZ67" i="15"/>
  <c r="BA66" i="15"/>
  <c r="AZ66" i="15"/>
  <c r="BB70" i="15" s="1"/>
  <c r="BA65" i="15"/>
  <c r="AZ65" i="15"/>
  <c r="BA64" i="15"/>
  <c r="AZ64" i="15"/>
  <c r="BA63" i="15"/>
  <c r="AZ63" i="15"/>
  <c r="BA62" i="15"/>
  <c r="AZ62" i="15"/>
  <c r="BA61" i="15"/>
  <c r="AZ61" i="15"/>
  <c r="BA60" i="15"/>
  <c r="AZ60" i="15"/>
  <c r="BA59" i="15"/>
  <c r="AZ59" i="15"/>
  <c r="BA58" i="15"/>
  <c r="AZ58" i="15"/>
  <c r="BA57" i="15"/>
  <c r="AZ57" i="15"/>
  <c r="BA56" i="15"/>
  <c r="AZ56" i="15"/>
  <c r="BB60" i="15" s="1"/>
  <c r="BA55" i="15"/>
  <c r="AZ55" i="15"/>
  <c r="BA54" i="15"/>
  <c r="AZ54" i="15"/>
  <c r="BA53" i="15"/>
  <c r="AZ53" i="15"/>
  <c r="BA52" i="15"/>
  <c r="AZ52" i="15"/>
  <c r="BA51" i="15"/>
  <c r="AZ51" i="15"/>
  <c r="BA50" i="15"/>
  <c r="AZ50" i="15"/>
  <c r="BA49" i="15"/>
  <c r="AZ49" i="15"/>
  <c r="BA48" i="15"/>
  <c r="AZ48" i="15"/>
  <c r="BA47" i="15"/>
  <c r="AZ47" i="15"/>
  <c r="BA46" i="15"/>
  <c r="AZ46" i="15"/>
  <c r="BB50" i="15" s="1"/>
  <c r="BA45" i="15"/>
  <c r="AZ45" i="15"/>
  <c r="BA44" i="15"/>
  <c r="AZ44" i="15"/>
  <c r="BA43" i="15"/>
  <c r="AZ43" i="15"/>
  <c r="BA42" i="15"/>
  <c r="H42" i="15"/>
  <c r="BA41" i="15"/>
  <c r="AZ41" i="15"/>
  <c r="BA40" i="15"/>
  <c r="AZ40" i="15"/>
  <c r="BA39" i="15"/>
  <c r="AZ39" i="15"/>
  <c r="BA38" i="15"/>
  <c r="AZ38" i="15"/>
  <c r="BA37" i="15"/>
  <c r="AZ37" i="15"/>
  <c r="BA36" i="15"/>
  <c r="AZ36" i="15"/>
  <c r="BA35" i="15"/>
  <c r="AZ35" i="15"/>
  <c r="BA34" i="15"/>
  <c r="AZ34" i="15"/>
  <c r="BA33" i="15"/>
  <c r="AZ33" i="15"/>
  <c r="BA32" i="15"/>
  <c r="AZ32" i="15"/>
  <c r="BB35" i="15" s="1"/>
  <c r="BA31" i="15"/>
  <c r="AZ31" i="15"/>
  <c r="BA30" i="15"/>
  <c r="AZ30" i="15"/>
  <c r="BA29" i="15"/>
  <c r="AZ29" i="15"/>
  <c r="BA28" i="15"/>
  <c r="AZ28" i="15"/>
  <c r="BA27" i="15"/>
  <c r="AZ27" i="15"/>
  <c r="BA26" i="15"/>
  <c r="AZ26" i="15"/>
  <c r="BA25" i="15"/>
  <c r="AZ25" i="15"/>
  <c r="BA24" i="15"/>
  <c r="AZ24" i="15"/>
  <c r="BA23" i="15"/>
  <c r="AZ23" i="15"/>
  <c r="BA22" i="15"/>
  <c r="AZ22" i="15"/>
  <c r="BB25" i="15" s="1"/>
  <c r="BA21" i="15"/>
  <c r="AZ21" i="15"/>
  <c r="BA20" i="15"/>
  <c r="AZ20" i="15"/>
  <c r="BA19" i="15"/>
  <c r="AZ19" i="15"/>
  <c r="BA18" i="15"/>
  <c r="AZ18" i="15"/>
  <c r="BA17" i="15"/>
  <c r="AZ17" i="15"/>
  <c r="BA16" i="15"/>
  <c r="AZ16" i="15"/>
  <c r="BA15" i="15"/>
  <c r="AZ15" i="15"/>
  <c r="BA14" i="15"/>
  <c r="AZ14" i="15"/>
  <c r="BA13" i="15"/>
  <c r="AZ13" i="15"/>
  <c r="BA12" i="15"/>
  <c r="AZ12" i="15"/>
  <c r="BB15" i="15" s="1"/>
  <c r="BA11" i="15"/>
  <c r="AZ11" i="15"/>
  <c r="BA10" i="15"/>
  <c r="AZ10" i="15"/>
  <c r="BA9" i="15"/>
  <c r="AZ9" i="15"/>
  <c r="BA8" i="15"/>
  <c r="AZ8" i="15"/>
  <c r="BA7" i="15"/>
  <c r="AZ7" i="15"/>
  <c r="BA6" i="15"/>
  <c r="AZ6" i="15"/>
  <c r="BC15" i="15" l="1"/>
  <c r="BC25" i="15"/>
  <c r="BC35" i="15"/>
  <c r="BC45" i="15"/>
  <c r="BC55" i="15"/>
  <c r="BC65" i="15"/>
  <c r="BC75" i="15"/>
  <c r="BC85" i="15"/>
  <c r="AZ87" i="15"/>
  <c r="BB95" i="15"/>
  <c r="BB103" i="15"/>
  <c r="U11" i="16"/>
  <c r="Q18" i="17"/>
  <c r="M8" i="18"/>
  <c r="M10" i="18"/>
  <c r="M12" i="18"/>
  <c r="M14" i="18"/>
  <c r="M16" i="18"/>
  <c r="M18" i="18"/>
  <c r="M20" i="18"/>
  <c r="M22" i="18"/>
  <c r="M24" i="18"/>
  <c r="M26" i="18"/>
  <c r="BC95" i="15"/>
  <c r="J29" i="18"/>
  <c r="L8" i="18"/>
  <c r="L10" i="18"/>
  <c r="L12" i="18"/>
  <c r="L14" i="18"/>
  <c r="L16" i="18"/>
  <c r="L18" i="18"/>
  <c r="L20" i="18"/>
  <c r="L22" i="18"/>
  <c r="L24" i="18"/>
  <c r="L26" i="18"/>
  <c r="P18" i="17"/>
  <c r="K29" i="18"/>
  <c r="K18" i="17"/>
  <c r="S19" i="16"/>
  <c r="T11" i="16"/>
  <c r="T8" i="16"/>
  <c r="U8" i="16"/>
  <c r="BB106" i="15"/>
  <c r="BB90" i="15"/>
  <c r="BC30" i="15"/>
  <c r="BC40" i="15"/>
  <c r="BC50" i="15"/>
  <c r="BC60" i="15"/>
  <c r="BC70" i="15"/>
  <c r="BC80" i="15"/>
  <c r="BB111" i="15"/>
  <c r="BB116" i="15"/>
  <c r="BB20" i="15"/>
  <c r="BB30" i="15"/>
  <c r="BB40" i="15"/>
  <c r="BB55" i="15"/>
  <c r="BB65" i="15"/>
  <c r="BB75" i="15"/>
  <c r="BB85" i="15"/>
  <c r="BC103" i="15"/>
  <c r="BC111" i="15"/>
  <c r="BC20" i="15"/>
  <c r="BB10" i="15"/>
  <c r="BB123" i="15" s="1"/>
  <c r="AF123" i="15"/>
  <c r="AZ97" i="15"/>
  <c r="BB100" i="15" s="1"/>
  <c r="AZ42" i="15"/>
  <c r="AZ123" i="15" s="1"/>
  <c r="H123" i="15"/>
  <c r="BA123" i="15"/>
  <c r="BC10" i="15"/>
  <c r="BB45" i="15"/>
  <c r="BC106" i="15"/>
  <c r="BC116" i="15"/>
  <c r="U19" i="16" l="1"/>
  <c r="T19" i="16"/>
  <c r="M29" i="18"/>
  <c r="L29" i="18"/>
  <c r="BC123" i="15"/>
  <c r="AQ65" i="14" l="1"/>
  <c r="AP65" i="14"/>
  <c r="AO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G64" i="14"/>
  <c r="AI64" i="14" s="1"/>
  <c r="AF64" i="14"/>
  <c r="AH64" i="14" s="1"/>
  <c r="AG63" i="14"/>
  <c r="AF63" i="14"/>
  <c r="AG62" i="14"/>
  <c r="AF62" i="14"/>
  <c r="AH63" i="14" s="1"/>
  <c r="AG61" i="14"/>
  <c r="AF61" i="14"/>
  <c r="AG60" i="14"/>
  <c r="AF60" i="14"/>
  <c r="AG59" i="14"/>
  <c r="AF59" i="14"/>
  <c r="AG58" i="14"/>
  <c r="AF58" i="14"/>
  <c r="AG57" i="14"/>
  <c r="AF57" i="14"/>
  <c r="AG56" i="14"/>
  <c r="AF56" i="14"/>
  <c r="AG55" i="14"/>
  <c r="AI58" i="14" s="1"/>
  <c r="AF55" i="14"/>
  <c r="AG54" i="14"/>
  <c r="AF54" i="14"/>
  <c r="AG53" i="14"/>
  <c r="AF53" i="14"/>
  <c r="AG52" i="14"/>
  <c r="AF52" i="14"/>
  <c r="AG51" i="14"/>
  <c r="AI54" i="14" s="1"/>
  <c r="AF51" i="14"/>
  <c r="AG50" i="14"/>
  <c r="AF50" i="14"/>
  <c r="AG49" i="14"/>
  <c r="AF49" i="14"/>
  <c r="AG48" i="14"/>
  <c r="AF48" i="14"/>
  <c r="AG47" i="14"/>
  <c r="AI50" i="14" s="1"/>
  <c r="AF47" i="14"/>
  <c r="AG46" i="14"/>
  <c r="AF46" i="14"/>
  <c r="AG45" i="14"/>
  <c r="AF45" i="14"/>
  <c r="AO44" i="14"/>
  <c r="AN44" i="14"/>
  <c r="AM44" i="14"/>
  <c r="AS44" i="14" s="1"/>
  <c r="AL44" i="14"/>
  <c r="AG44" i="14"/>
  <c r="AF44" i="14"/>
  <c r="AH46" i="14" s="1"/>
  <c r="AG43" i="14"/>
  <c r="AI46" i="14" s="1"/>
  <c r="AF43" i="14"/>
  <c r="AO42" i="14"/>
  <c r="AN42" i="14"/>
  <c r="AM42" i="14"/>
  <c r="AS42" i="14" s="1"/>
  <c r="AL42" i="14"/>
  <c r="AG42" i="14"/>
  <c r="AF42" i="14"/>
  <c r="AG41" i="14"/>
  <c r="AF41" i="14"/>
  <c r="AO40" i="14"/>
  <c r="AN40" i="14"/>
  <c r="AM40" i="14"/>
  <c r="AS40" i="14" s="1"/>
  <c r="AL40" i="14"/>
  <c r="AG40" i="14"/>
  <c r="AF40" i="14"/>
  <c r="AG39" i="14"/>
  <c r="AF39" i="14"/>
  <c r="AO38" i="14"/>
  <c r="AN38" i="14"/>
  <c r="AM38" i="14"/>
  <c r="AS38" i="14" s="1"/>
  <c r="AL38" i="14"/>
  <c r="AG38" i="14"/>
  <c r="AF38" i="14"/>
  <c r="AG37" i="14"/>
  <c r="AF37" i="14"/>
  <c r="AO36" i="14"/>
  <c r="AN36" i="14"/>
  <c r="AM36" i="14"/>
  <c r="AS36" i="14" s="1"/>
  <c r="AL36" i="14"/>
  <c r="AG36" i="14"/>
  <c r="AF36" i="14"/>
  <c r="AH38" i="14" s="1"/>
  <c r="AG35" i="14"/>
  <c r="AI38" i="14" s="1"/>
  <c r="AF35" i="14"/>
  <c r="AO34" i="14"/>
  <c r="AN34" i="14"/>
  <c r="AM34" i="14"/>
  <c r="AS34" i="14" s="1"/>
  <c r="AL34" i="14"/>
  <c r="AG34" i="14"/>
  <c r="AF34" i="14"/>
  <c r="AG33" i="14"/>
  <c r="AF33" i="14"/>
  <c r="AO32" i="14"/>
  <c r="AN32" i="14"/>
  <c r="AM32" i="14"/>
  <c r="AS32" i="14" s="1"/>
  <c r="AL32" i="14"/>
  <c r="AG32" i="14"/>
  <c r="AF32" i="14"/>
  <c r="AG31" i="14"/>
  <c r="AF31" i="14"/>
  <c r="AO30" i="14"/>
  <c r="AN30" i="14"/>
  <c r="AM30" i="14"/>
  <c r="AS30" i="14" s="1"/>
  <c r="AL30" i="14"/>
  <c r="AG30" i="14"/>
  <c r="AF30" i="14"/>
  <c r="AO29" i="14"/>
  <c r="AN29" i="14"/>
  <c r="AM29" i="14"/>
  <c r="AL29" i="14"/>
  <c r="AR29" i="14" s="1"/>
  <c r="AG29" i="14"/>
  <c r="AF29" i="14"/>
  <c r="AO28" i="14"/>
  <c r="AN28" i="14"/>
  <c r="AM28" i="14"/>
  <c r="AL28" i="14"/>
  <c r="AG28" i="14"/>
  <c r="AF28" i="14"/>
  <c r="AO27" i="14"/>
  <c r="AN27" i="14"/>
  <c r="AM27" i="14"/>
  <c r="AL27" i="14"/>
  <c r="AR27" i="14" s="1"/>
  <c r="AG27" i="14"/>
  <c r="AF27" i="14"/>
  <c r="AO26" i="14"/>
  <c r="AN26" i="14"/>
  <c r="AM26" i="14"/>
  <c r="AL26" i="14"/>
  <c r="AG26" i="14"/>
  <c r="AF26" i="14"/>
  <c r="AO25" i="14"/>
  <c r="AN25" i="14"/>
  <c r="AM25" i="14"/>
  <c r="AL25" i="14"/>
  <c r="AG25" i="14"/>
  <c r="AF25" i="14"/>
  <c r="AO24" i="14"/>
  <c r="AN24" i="14"/>
  <c r="AM24" i="14"/>
  <c r="AL24" i="14"/>
  <c r="AG24" i="14"/>
  <c r="AF24" i="14"/>
  <c r="AO23" i="14"/>
  <c r="AN23" i="14"/>
  <c r="AM23" i="14"/>
  <c r="AL23" i="14"/>
  <c r="AG23" i="14"/>
  <c r="AF23" i="14"/>
  <c r="AO22" i="14"/>
  <c r="AN22" i="14"/>
  <c r="AM22" i="14"/>
  <c r="AL22" i="14"/>
  <c r="AG22" i="14"/>
  <c r="AF22" i="14"/>
  <c r="AO21" i="14"/>
  <c r="AN21" i="14"/>
  <c r="AM21" i="14"/>
  <c r="AL21" i="14"/>
  <c r="AG21" i="14"/>
  <c r="AF21" i="14"/>
  <c r="AO20" i="14"/>
  <c r="AN20" i="14"/>
  <c r="AM20" i="14"/>
  <c r="AS20" i="14" s="1"/>
  <c r="AL20" i="14"/>
  <c r="AG20" i="14"/>
  <c r="AF20" i="14"/>
  <c r="AO19" i="14"/>
  <c r="AN19" i="14"/>
  <c r="AM19" i="14"/>
  <c r="AL19" i="14"/>
  <c r="AG19" i="14"/>
  <c r="AI22" i="14" s="1"/>
  <c r="AF19" i="14"/>
  <c r="AO18" i="14"/>
  <c r="AN18" i="14"/>
  <c r="AM18" i="14"/>
  <c r="AS18" i="14" s="1"/>
  <c r="AL18" i="14"/>
  <c r="AG18" i="14"/>
  <c r="AF18" i="14"/>
  <c r="AO17" i="14"/>
  <c r="AN17" i="14"/>
  <c r="AM17" i="14"/>
  <c r="AL17" i="14"/>
  <c r="AR17" i="14" s="1"/>
  <c r="AG17" i="14"/>
  <c r="AF17" i="14"/>
  <c r="AO16" i="14"/>
  <c r="AN16" i="14"/>
  <c r="AM16" i="14"/>
  <c r="AS16" i="14" s="1"/>
  <c r="AL16" i="14"/>
  <c r="AG16" i="14"/>
  <c r="AF16" i="14"/>
  <c r="AO15" i="14"/>
  <c r="AN15" i="14"/>
  <c r="AM15" i="14"/>
  <c r="AL15" i="14"/>
  <c r="AR15" i="14" s="1"/>
  <c r="AG15" i="14"/>
  <c r="AI18" i="14" s="1"/>
  <c r="AF15" i="14"/>
  <c r="AO14" i="14"/>
  <c r="AN14" i="14"/>
  <c r="AM14" i="14"/>
  <c r="AS14" i="14" s="1"/>
  <c r="AL14" i="14"/>
  <c r="AG14" i="14"/>
  <c r="AF14" i="14"/>
  <c r="AO13" i="14"/>
  <c r="AN13" i="14"/>
  <c r="AM13" i="14"/>
  <c r="AL13" i="14"/>
  <c r="AR13" i="14" s="1"/>
  <c r="AG13" i="14"/>
  <c r="AF13" i="14"/>
  <c r="AO12" i="14"/>
  <c r="AN12" i="14"/>
  <c r="AM12" i="14"/>
  <c r="AL12" i="14"/>
  <c r="AG12" i="14"/>
  <c r="AF12" i="14"/>
  <c r="AO11" i="14"/>
  <c r="AN11" i="14"/>
  <c r="AM11" i="14"/>
  <c r="AL11" i="14"/>
  <c r="AR11" i="14" s="1"/>
  <c r="AG11" i="14"/>
  <c r="AF11" i="14"/>
  <c r="AO10" i="14"/>
  <c r="AN10" i="14"/>
  <c r="AM10" i="14"/>
  <c r="AL10" i="14"/>
  <c r="AG10" i="14"/>
  <c r="AF10" i="14"/>
  <c r="AO9" i="14"/>
  <c r="AN9" i="14"/>
  <c r="AM9" i="14"/>
  <c r="AL9" i="14"/>
  <c r="AG9" i="14"/>
  <c r="AF9" i="14"/>
  <c r="AO8" i="14"/>
  <c r="AN8" i="14"/>
  <c r="AM8" i="14"/>
  <c r="AL8" i="14"/>
  <c r="AG8" i="14"/>
  <c r="AF8" i="14"/>
  <c r="AO7" i="14"/>
  <c r="AN7" i="14"/>
  <c r="AN65" i="14" s="1"/>
  <c r="AM7" i="14"/>
  <c r="AM65" i="14" s="1"/>
  <c r="AL7" i="14"/>
  <c r="AG7" i="14"/>
  <c r="AF7" i="14"/>
  <c r="AF8" i="12"/>
  <c r="AG8" i="12"/>
  <c r="AF9" i="12"/>
  <c r="AH10" i="12" s="1"/>
  <c r="AG9" i="12"/>
  <c r="AI10" i="12" s="1"/>
  <c r="AF10" i="12"/>
  <c r="AG10" i="12"/>
  <c r="AF11" i="12"/>
  <c r="AG11" i="12"/>
  <c r="AF12" i="12"/>
  <c r="AG12" i="12"/>
  <c r="AF13" i="12"/>
  <c r="AG13" i="12"/>
  <c r="AF14" i="12"/>
  <c r="AG14" i="12"/>
  <c r="AF15" i="12"/>
  <c r="AG15" i="12"/>
  <c r="AF16" i="12"/>
  <c r="AG16" i="12"/>
  <c r="AF17" i="12"/>
  <c r="AG17" i="12"/>
  <c r="AF18" i="12"/>
  <c r="AG18" i="12"/>
  <c r="AH18" i="12"/>
  <c r="AF19" i="12"/>
  <c r="AG19" i="12"/>
  <c r="AF20" i="12"/>
  <c r="AG20" i="12"/>
  <c r="AF21" i="12"/>
  <c r="AG21" i="12"/>
  <c r="AF22" i="12"/>
  <c r="AG22" i="12"/>
  <c r="AF23" i="12"/>
  <c r="AG23" i="12"/>
  <c r="AF24" i="12"/>
  <c r="AG24" i="12"/>
  <c r="AF25" i="12"/>
  <c r="AG25" i="12"/>
  <c r="AF26" i="12"/>
  <c r="AG26" i="12"/>
  <c r="AF27" i="12"/>
  <c r="AG27" i="12"/>
  <c r="AF28" i="12"/>
  <c r="AG28" i="12"/>
  <c r="AF29" i="12"/>
  <c r="AG29" i="12"/>
  <c r="AF30" i="12"/>
  <c r="AG30" i="12"/>
  <c r="AF31" i="12"/>
  <c r="AG31" i="12"/>
  <c r="AF32" i="12"/>
  <c r="AG32" i="12"/>
  <c r="AF33" i="12"/>
  <c r="AG33" i="12"/>
  <c r="AF34" i="12"/>
  <c r="AG34" i="12"/>
  <c r="AF35" i="12"/>
  <c r="AG35" i="12"/>
  <c r="AF36" i="12"/>
  <c r="AG36" i="12"/>
  <c r="AF37" i="12"/>
  <c r="AG37" i="12"/>
  <c r="AF38" i="12"/>
  <c r="AG38" i="12"/>
  <c r="AF39" i="12"/>
  <c r="AG39" i="12"/>
  <c r="AF40" i="12"/>
  <c r="AH42" i="12" s="1"/>
  <c r="AG40" i="12"/>
  <c r="AI42" i="12" s="1"/>
  <c r="AF41" i="12"/>
  <c r="AG41" i="12"/>
  <c r="AF42" i="12"/>
  <c r="AG42" i="12"/>
  <c r="AF43" i="12"/>
  <c r="AG43" i="12"/>
  <c r="AF44" i="12"/>
  <c r="AG44" i="12"/>
  <c r="AF45" i="12"/>
  <c r="AG45" i="12"/>
  <c r="AF46" i="12"/>
  <c r="AG46" i="12"/>
  <c r="AF47" i="12"/>
  <c r="AG47" i="12"/>
  <c r="AF48" i="12"/>
  <c r="AG48" i="12"/>
  <c r="AF49" i="12"/>
  <c r="AG49" i="12"/>
  <c r="AF50" i="12"/>
  <c r="AG50" i="12"/>
  <c r="AF51" i="12"/>
  <c r="AG51" i="12"/>
  <c r="AF52" i="12"/>
  <c r="AG52" i="12"/>
  <c r="AF53" i="12"/>
  <c r="AG53" i="12"/>
  <c r="AF54" i="12"/>
  <c r="AG54" i="12"/>
  <c r="AF55" i="12"/>
  <c r="AG55" i="12"/>
  <c r="AF56" i="12"/>
  <c r="AG56" i="12"/>
  <c r="AF57" i="12"/>
  <c r="AG57" i="12"/>
  <c r="AF58" i="12"/>
  <c r="AG58" i="12"/>
  <c r="AF59" i="12"/>
  <c r="AG59" i="12"/>
  <c r="AF60" i="12"/>
  <c r="AG60" i="12"/>
  <c r="AF61" i="12"/>
  <c r="AG61" i="12"/>
  <c r="AF62" i="12"/>
  <c r="AG62" i="12"/>
  <c r="AF63" i="12"/>
  <c r="AG63" i="12"/>
  <c r="AF64" i="12"/>
  <c r="AG64" i="12"/>
  <c r="AF65" i="12"/>
  <c r="AG65" i="12"/>
  <c r="AI66" i="12" s="1"/>
  <c r="AF66" i="12"/>
  <c r="AG66" i="12"/>
  <c r="AF67" i="12"/>
  <c r="AH67" i="12" s="1"/>
  <c r="AG67" i="12"/>
  <c r="AI67" i="12" s="1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H58" i="12" l="1"/>
  <c r="AH50" i="12"/>
  <c r="AI34" i="12"/>
  <c r="AI10" i="14"/>
  <c r="AS9" i="14"/>
  <c r="AS11" i="14"/>
  <c r="AS13" i="14"/>
  <c r="AS23" i="14"/>
  <c r="AI26" i="14"/>
  <c r="AS25" i="14"/>
  <c r="AS27" i="14"/>
  <c r="AS29" i="14"/>
  <c r="AI58" i="12"/>
  <c r="AH10" i="14"/>
  <c r="AR8" i="14"/>
  <c r="AH14" i="14"/>
  <c r="AR18" i="14"/>
  <c r="AH22" i="14"/>
  <c r="AR20" i="14"/>
  <c r="AR22" i="14"/>
  <c r="AH26" i="14"/>
  <c r="AR24" i="14"/>
  <c r="AH30" i="14"/>
  <c r="AF69" i="12"/>
  <c r="AH66" i="12"/>
  <c r="AH62" i="12"/>
  <c r="AI26" i="12"/>
  <c r="AG65" i="14"/>
  <c r="AS8" i="14"/>
  <c r="AR10" i="14"/>
  <c r="AR12" i="14"/>
  <c r="AS15" i="14"/>
  <c r="AS17" i="14"/>
  <c r="AR19" i="14"/>
  <c r="AR21" i="14"/>
  <c r="AS22" i="14"/>
  <c r="AS24" i="14"/>
  <c r="AR26" i="14"/>
  <c r="AR28" i="14"/>
  <c r="AI34" i="14"/>
  <c r="AI42" i="14"/>
  <c r="AI61" i="14"/>
  <c r="AI63" i="14"/>
  <c r="AR7" i="14"/>
  <c r="AR65" i="14" s="1"/>
  <c r="AR9" i="14"/>
  <c r="AS10" i="14"/>
  <c r="AI14" i="14"/>
  <c r="AS12" i="14"/>
  <c r="AR14" i="14"/>
  <c r="AH18" i="14"/>
  <c r="AR16" i="14"/>
  <c r="AS19" i="14"/>
  <c r="AS21" i="14"/>
  <c r="AR23" i="14"/>
  <c r="AR25" i="14"/>
  <c r="AS26" i="14"/>
  <c r="AI30" i="14"/>
  <c r="AS28" i="14"/>
  <c r="AR30" i="14"/>
  <c r="AH34" i="14"/>
  <c r="AR32" i="14"/>
  <c r="AR34" i="14"/>
  <c r="AR36" i="14"/>
  <c r="AR38" i="14"/>
  <c r="AH42" i="14"/>
  <c r="AR40" i="14"/>
  <c r="AR42" i="14"/>
  <c r="AR44" i="14"/>
  <c r="AH50" i="14"/>
  <c r="AH54" i="14"/>
  <c r="AH58" i="14"/>
  <c r="AH61" i="14"/>
  <c r="AS7" i="14"/>
  <c r="AS65" i="14" s="1"/>
  <c r="AF65" i="14"/>
  <c r="AL65" i="14"/>
  <c r="AH38" i="12"/>
  <c r="AH30" i="12"/>
  <c r="AI22" i="12"/>
  <c r="AI54" i="12"/>
  <c r="AI46" i="12"/>
  <c r="AH22" i="12"/>
  <c r="AI14" i="12"/>
  <c r="AI69" i="12" s="1"/>
  <c r="AG69" i="12"/>
  <c r="AH54" i="12"/>
  <c r="AH46" i="12"/>
  <c r="AH34" i="12"/>
  <c r="AH14" i="12"/>
  <c r="AH69" i="12" s="1"/>
  <c r="AI62" i="12"/>
  <c r="AI50" i="12"/>
  <c r="AI38" i="12"/>
  <c r="AI30" i="12"/>
  <c r="AH26" i="12"/>
  <c r="AI18" i="12"/>
  <c r="AH65" i="14" l="1"/>
  <c r="AI65" i="14"/>
  <c r="C11" i="10"/>
  <c r="C9" i="9"/>
  <c r="B9" i="9"/>
  <c r="D8" i="9"/>
  <c r="D9" i="9" s="1"/>
  <c r="F10" i="8"/>
  <c r="C10" i="8"/>
  <c r="B10" i="8"/>
  <c r="C72" i="7"/>
  <c r="C73" i="7" s="1"/>
  <c r="G68" i="7"/>
  <c r="G64" i="7"/>
  <c r="G60" i="7"/>
  <c r="G56" i="7"/>
  <c r="G52" i="7"/>
  <c r="G48" i="7"/>
  <c r="G44" i="7"/>
  <c r="G40" i="7"/>
  <c r="G36" i="7"/>
  <c r="G32" i="7"/>
  <c r="G28" i="7"/>
  <c r="G24" i="7"/>
  <c r="G20" i="7"/>
  <c r="G16" i="7"/>
  <c r="E13" i="7"/>
  <c r="E14" i="7" s="1"/>
  <c r="E15" i="7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G72" i="7"/>
  <c r="G73" i="7" l="1"/>
  <c r="B11" i="10"/>
  <c r="F11" i="10"/>
</calcChain>
</file>

<file path=xl/comments1.xml><?xml version="1.0" encoding="utf-8"?>
<comments xmlns="http://schemas.openxmlformats.org/spreadsheetml/2006/main">
  <authors>
    <author>roberta allen</author>
  </authors>
  <commentList>
    <comment ref="H3" authorId="0">
      <text>
        <r>
          <rPr>
            <b/>
            <sz val="8"/>
            <color indexed="81"/>
            <rFont val="Tahoma"/>
            <family val="2"/>
          </rPr>
          <t>roberta allen:</t>
        </r>
        <r>
          <rPr>
            <sz val="8"/>
            <color indexed="81"/>
            <rFont val="Tahoma"/>
            <family val="2"/>
          </rPr>
          <t xml:space="preserve">
make sure amount on g/l equals year end balance column
</t>
        </r>
      </text>
    </comment>
  </commentList>
</comments>
</file>

<file path=xl/comments2.xml><?xml version="1.0" encoding="utf-8"?>
<comments xmlns="http://schemas.openxmlformats.org/spreadsheetml/2006/main">
  <authors>
    <author>allenr</author>
    <author>Authorized User</author>
  </authors>
  <commentList>
    <comment ref="T4" authorId="0">
      <text>
        <r>
          <rPr>
            <b/>
            <sz val="8"/>
            <color indexed="81"/>
            <rFont val="Tahoma"/>
            <family val="2"/>
          </rPr>
          <t>allenr:</t>
        </r>
        <r>
          <rPr>
            <sz val="8"/>
            <color indexed="81"/>
            <rFont val="Tahoma"/>
            <family val="2"/>
          </rPr>
          <t xml:space="preserve">
nov &amp; may  </t>
        </r>
      </text>
    </comment>
    <comment ref="AT7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178
</t>
        </r>
      </text>
    </comment>
    <comment ref="AV7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158
</t>
        </r>
      </text>
    </comment>
    <comment ref="AP22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72,848
</t>
        </r>
      </text>
    </comment>
    <comment ref="H42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18,408 added
</t>
        </r>
      </text>
    </comment>
    <comment ref="J42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6135 added
</t>
        </r>
      </text>
    </comment>
    <comment ref="AH77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7063
</t>
        </r>
      </text>
    </comment>
    <comment ref="AD87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45,850
</t>
        </r>
      </text>
    </comment>
    <comment ref="D92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deducted 73,074 in return disbursement
</t>
        </r>
      </text>
    </comment>
    <comment ref="AJ92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1,820
</t>
        </r>
      </text>
    </comment>
    <comment ref="H97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648,408 accrued
</t>
        </r>
      </text>
    </comment>
    <comment ref="AF97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540
</t>
        </r>
      </text>
    </comment>
    <comment ref="L102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accrued 6,003
deducted 4,124 for amount accrued 2011 never received
</t>
        </r>
      </text>
    </comment>
    <comment ref="Z103" authorId="1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deducted 27,494 for money sent back </t>
        </r>
      </text>
    </comment>
  </commentList>
</comments>
</file>

<file path=xl/comments3.xml><?xml version="1.0" encoding="utf-8"?>
<comments xmlns="http://schemas.openxmlformats.org/spreadsheetml/2006/main">
  <authors>
    <author>roberta allen</author>
  </authors>
  <commentList>
    <comment ref="D3" authorId="0">
      <text>
        <r>
          <rPr>
            <b/>
            <sz val="8"/>
            <color indexed="81"/>
            <rFont val="Tahoma"/>
            <family val="2"/>
          </rPr>
          <t>roberta allen:</t>
        </r>
        <r>
          <rPr>
            <sz val="8"/>
            <color indexed="81"/>
            <rFont val="Tahoma"/>
            <family val="2"/>
          </rPr>
          <t xml:space="preserve">
include as payable amount in note </t>
        </r>
      </text>
    </comment>
  </commentList>
</comments>
</file>

<file path=xl/sharedStrings.xml><?xml version="1.0" encoding="utf-8"?>
<sst xmlns="http://schemas.openxmlformats.org/spreadsheetml/2006/main" count="1225" uniqueCount="574">
  <si>
    <t xml:space="preserve"> WATER  RESOURCES</t>
  </si>
  <si>
    <t xml:space="preserve">SPECIAL    ASSESSMENT </t>
  </si>
  <si>
    <t>SCHEDULE</t>
  </si>
  <si>
    <t>DECEMBER 31,</t>
  </si>
  <si>
    <t>Bonds Payable</t>
  </si>
  <si>
    <t xml:space="preserve"> </t>
  </si>
  <si>
    <t>more '10</t>
  </si>
  <si>
    <t>more '11</t>
  </si>
  <si>
    <t>new '09</t>
  </si>
  <si>
    <t>new '11</t>
  </si>
  <si>
    <t>new '96</t>
  </si>
  <si>
    <t>new '06</t>
  </si>
  <si>
    <t>new '10</t>
  </si>
  <si>
    <t>8661/8734</t>
  </si>
  <si>
    <t>ISSUE:</t>
  </si>
  <si>
    <t>Allen Creek/stadium</t>
  </si>
  <si>
    <t>Allen Creek/pioneer</t>
  </si>
  <si>
    <t>Allen Creek/ SB Ph II</t>
  </si>
  <si>
    <t>Allen Creek/ West Park</t>
  </si>
  <si>
    <t>Allen Creek/ Sylvan</t>
  </si>
  <si>
    <t>Allen Creek Cistern</t>
  </si>
  <si>
    <t xml:space="preserve">Carpenter Road </t>
  </si>
  <si>
    <t>Mallets Creek E. S.</t>
  </si>
  <si>
    <t>Mallets Creek Wet</t>
  </si>
  <si>
    <t>Michigan Ave East</t>
  </si>
  <si>
    <t>Oak Park Washtenaw</t>
  </si>
  <si>
    <t>Traver</t>
  </si>
  <si>
    <t xml:space="preserve"> Creek</t>
  </si>
  <si>
    <t>Traver Cistern</t>
  </si>
  <si>
    <t xml:space="preserve">Lake Forrest </t>
  </si>
  <si>
    <t xml:space="preserve">               TOTAL</t>
  </si>
  <si>
    <t>Total by year</t>
  </si>
  <si>
    <t>YEAR</t>
  </si>
  <si>
    <t xml:space="preserve"> PRIN</t>
  </si>
  <si>
    <t>INT</t>
  </si>
  <si>
    <t>PRIN</t>
  </si>
  <si>
    <t xml:space="preserve"> INT</t>
  </si>
  <si>
    <t xml:space="preserve"> Apr 1, 2013</t>
  </si>
  <si>
    <t>Jun 1, 2013</t>
  </si>
  <si>
    <t xml:space="preserve"> Oct 1, 2013</t>
  </si>
  <si>
    <t>Dec 1, 2013</t>
  </si>
  <si>
    <t xml:space="preserve"> Apr 1, 2014</t>
  </si>
  <si>
    <t>Jun 1, 2014</t>
  </si>
  <si>
    <t xml:space="preserve"> Oct 1, 2014</t>
  </si>
  <si>
    <t>Dec 1, 2014</t>
  </si>
  <si>
    <t xml:space="preserve"> Apr 1, 2015</t>
  </si>
  <si>
    <t>Jun 1, 2015</t>
  </si>
  <si>
    <t xml:space="preserve"> Oct 1, 2015</t>
  </si>
  <si>
    <t xml:space="preserve"> Dec 1, 2015</t>
  </si>
  <si>
    <t xml:space="preserve"> Apr 1, 2016</t>
  </si>
  <si>
    <t xml:space="preserve"> Jun 1, 2016</t>
  </si>
  <si>
    <t xml:space="preserve"> Oct 1, 2016</t>
  </si>
  <si>
    <t xml:space="preserve"> Dec 1, 2016</t>
  </si>
  <si>
    <t xml:space="preserve"> Apr 1, 2017</t>
  </si>
  <si>
    <t xml:space="preserve"> Jun 1, 2017</t>
  </si>
  <si>
    <t xml:space="preserve"> Oct 1, 2017</t>
  </si>
  <si>
    <t xml:space="preserve"> Dec 1, 2017</t>
  </si>
  <si>
    <t xml:space="preserve"> Apr 1, 2018</t>
  </si>
  <si>
    <t xml:space="preserve"> Jun 1, 2018</t>
  </si>
  <si>
    <t xml:space="preserve"> Oct 1, 2018</t>
  </si>
  <si>
    <t xml:space="preserve"> Dec 1, 2018</t>
  </si>
  <si>
    <t xml:space="preserve"> Apr 1, 2019</t>
  </si>
  <si>
    <t xml:space="preserve"> Jun 1, 2019</t>
  </si>
  <si>
    <t xml:space="preserve"> Oct 1, 2019</t>
  </si>
  <si>
    <t xml:space="preserve"> Dec 1, 2019</t>
  </si>
  <si>
    <t xml:space="preserve"> Apr 1, 2020</t>
  </si>
  <si>
    <t xml:space="preserve"> Jun 1, 2020</t>
  </si>
  <si>
    <t xml:space="preserve"> Oct 1, 2020</t>
  </si>
  <si>
    <t xml:space="preserve"> Dec 1, 2020</t>
  </si>
  <si>
    <t xml:space="preserve"> Apr 1, 2021</t>
  </si>
  <si>
    <t xml:space="preserve"> Jun 1, 2021</t>
  </si>
  <si>
    <t xml:space="preserve"> Oct 1, 2021</t>
  </si>
  <si>
    <t xml:space="preserve"> Dec 1, 2021</t>
  </si>
  <si>
    <t xml:space="preserve"> Apr 1, 2022</t>
  </si>
  <si>
    <t xml:space="preserve"> Jun 1, 2022</t>
  </si>
  <si>
    <t xml:space="preserve"> Oct 1, 2022</t>
  </si>
  <si>
    <t xml:space="preserve"> Dec 1, 2022</t>
  </si>
  <si>
    <t xml:space="preserve"> Apr 1, 2023</t>
  </si>
  <si>
    <t xml:space="preserve"> Jun 1, 2023</t>
  </si>
  <si>
    <t xml:space="preserve"> Oct 1, 2023</t>
  </si>
  <si>
    <t xml:space="preserve"> Dec 1, 2023</t>
  </si>
  <si>
    <t xml:space="preserve"> Apr 1, 2024</t>
  </si>
  <si>
    <t xml:space="preserve"> Jun 1, 2024</t>
  </si>
  <si>
    <t xml:space="preserve"> Oct 1, 2024</t>
  </si>
  <si>
    <t xml:space="preserve"> Dec 1, 2024</t>
  </si>
  <si>
    <t xml:space="preserve"> Apr 1, 2025</t>
  </si>
  <si>
    <t xml:space="preserve"> Jun 1, 2025</t>
  </si>
  <si>
    <t xml:space="preserve"> Oct 1, 2025</t>
  </si>
  <si>
    <t xml:space="preserve"> Dec 1, 2025</t>
  </si>
  <si>
    <t xml:space="preserve"> Apr 1, 2026</t>
  </si>
  <si>
    <t xml:space="preserve"> Jun 1, 2026</t>
  </si>
  <si>
    <t xml:space="preserve"> Oct 1, 2026</t>
  </si>
  <si>
    <t xml:space="preserve"> Dec 1, 2026</t>
  </si>
  <si>
    <t xml:space="preserve"> Apr 1, 2027</t>
  </si>
  <si>
    <t xml:space="preserve"> Jun 1, 2027</t>
  </si>
  <si>
    <t xml:space="preserve"> Oct 1, 2027</t>
  </si>
  <si>
    <t xml:space="preserve"> Dec 1, 2027</t>
  </si>
  <si>
    <t xml:space="preserve"> Apr 1, 2028</t>
  </si>
  <si>
    <t xml:space="preserve"> Jun 1, 2028</t>
  </si>
  <si>
    <t xml:space="preserve"> Oct 1, 2028</t>
  </si>
  <si>
    <t xml:space="preserve"> Dec 1, 2028</t>
  </si>
  <si>
    <t xml:space="preserve"> Apr 1, 2029</t>
  </si>
  <si>
    <t xml:space="preserve"> Jun 1, 2029</t>
  </si>
  <si>
    <t xml:space="preserve"> Oct 1, 2029</t>
  </si>
  <si>
    <t xml:space="preserve"> Dec 1, 2029</t>
  </si>
  <si>
    <t xml:space="preserve"> Apr 1, 2030</t>
  </si>
  <si>
    <t xml:space="preserve"> Jun 1, 2030</t>
  </si>
  <si>
    <t xml:space="preserve"> Oct 1, 2030</t>
  </si>
  <si>
    <t xml:space="preserve"> Apr 1, 2031</t>
  </si>
  <si>
    <t>------------</t>
  </si>
  <si>
    <t>--------------</t>
  </si>
  <si>
    <t>-----------</t>
  </si>
  <si>
    <t>---------------</t>
  </si>
  <si>
    <t>Total</t>
  </si>
  <si>
    <t>WASHTENAW COUNTY BUILDING AUTHORITY DEBT</t>
  </si>
  <si>
    <t>SCHEDULE OF PRINCIPAL &amp; INTEREST REQUIREMENTS</t>
  </si>
  <si>
    <t xml:space="preserve">  new '07</t>
  </si>
  <si>
    <t xml:space="preserve">  new '08</t>
  </si>
  <si>
    <t xml:space="preserve"> new in 04</t>
  </si>
  <si>
    <t xml:space="preserve"> new in 06</t>
  </si>
  <si>
    <t xml:space="preserve"> 3904</t>
  </si>
  <si>
    <t xml:space="preserve"> 3903</t>
  </si>
  <si>
    <t>Headstart</t>
  </si>
  <si>
    <t>Capital - Jail</t>
  </si>
  <si>
    <t>Space Plan II</t>
  </si>
  <si>
    <t>Humane Society</t>
  </si>
  <si>
    <t>D.C.14A&amp;Fiber NW</t>
  </si>
  <si>
    <t>Environment Serv</t>
  </si>
  <si>
    <t xml:space="preserve"> Road Commission</t>
  </si>
  <si>
    <t xml:space="preserve">    County Bldg</t>
  </si>
  <si>
    <t xml:space="preserve"> Safehouse &amp; A2 d.c.</t>
  </si>
  <si>
    <t xml:space="preserve">     Golf course</t>
  </si>
  <si>
    <t>Capital Equipment</t>
  </si>
  <si>
    <t>Space Plan ph I</t>
  </si>
  <si>
    <t>Capital - Chevron</t>
  </si>
  <si>
    <t>Capital - EECS (800mhz)</t>
  </si>
  <si>
    <t>SERIES 2002</t>
  </si>
  <si>
    <t xml:space="preserve">   2006 A Series</t>
  </si>
  <si>
    <t xml:space="preserve"> 2005 refunding</t>
  </si>
  <si>
    <t>2007 Series</t>
  </si>
  <si>
    <t>Series  2008A</t>
  </si>
  <si>
    <t xml:space="preserve"> 2003 C refunding</t>
  </si>
  <si>
    <t xml:space="preserve"> 2003 A refunding</t>
  </si>
  <si>
    <t xml:space="preserve"> 1993-1 SERIES </t>
  </si>
  <si>
    <t xml:space="preserve"> 1993-2 SERIES </t>
  </si>
  <si>
    <t xml:space="preserve"> 1993-3 SERIES </t>
  </si>
  <si>
    <t xml:space="preserve"> 2003  refunding</t>
  </si>
  <si>
    <t xml:space="preserve">   2004 Series</t>
  </si>
  <si>
    <t xml:space="preserve">   2006 Series</t>
  </si>
  <si>
    <t xml:space="preserve">         SUBTOTAL</t>
  </si>
  <si>
    <t xml:space="preserve">       ANNUAL TOTAL </t>
  </si>
  <si>
    <t>DATE</t>
  </si>
  <si>
    <t>principal</t>
  </si>
  <si>
    <t>interest</t>
  </si>
  <si>
    <t xml:space="preserve">  ----------</t>
  </si>
  <si>
    <t>----------</t>
  </si>
  <si>
    <t>Mar 1 2013</t>
  </si>
  <si>
    <t>July 1 2013</t>
  </si>
  <si>
    <t>Sep 1 2013</t>
  </si>
  <si>
    <t>Jan 1 2014</t>
  </si>
  <si>
    <t>Mar 1 2014</t>
  </si>
  <si>
    <t>July 1 2014</t>
  </si>
  <si>
    <t>Sep 1 2014</t>
  </si>
  <si>
    <t>Jan 1 2015</t>
  </si>
  <si>
    <t>Mar 1 2015</t>
  </si>
  <si>
    <t>July 1 2015</t>
  </si>
  <si>
    <t>Sep 1 2015</t>
  </si>
  <si>
    <t>Jan 1 2016</t>
  </si>
  <si>
    <t>Mar 1 2016</t>
  </si>
  <si>
    <t>July 1 2016</t>
  </si>
  <si>
    <t>Sep 1 2016</t>
  </si>
  <si>
    <t>Jan 1 2017</t>
  </si>
  <si>
    <t>Mar 1 2017</t>
  </si>
  <si>
    <t>July 1 2017</t>
  </si>
  <si>
    <t>Sep 1 2017</t>
  </si>
  <si>
    <t>Jan 1 2018</t>
  </si>
  <si>
    <t>Mar 1 2018</t>
  </si>
  <si>
    <t>July 1 2018</t>
  </si>
  <si>
    <t>Sep 1 2018</t>
  </si>
  <si>
    <t>Jan 1 2019</t>
  </si>
  <si>
    <t>Mar 1 2019</t>
  </si>
  <si>
    <t>July 1 2019</t>
  </si>
  <si>
    <t>Sep 1 2019</t>
  </si>
  <si>
    <t>Jan 1 2020</t>
  </si>
  <si>
    <t>Mar 1 2020</t>
  </si>
  <si>
    <t>July 1 2020</t>
  </si>
  <si>
    <t>Sep 1 2020</t>
  </si>
  <si>
    <t>Jan 1 2021</t>
  </si>
  <si>
    <t>Mar 1 2021</t>
  </si>
  <si>
    <t>July 1 2021</t>
  </si>
  <si>
    <t>Sep 1 2021</t>
  </si>
  <si>
    <t>Jan 1 2022</t>
  </si>
  <si>
    <t>Mar 1 2022</t>
  </si>
  <si>
    <t>July 1 2022</t>
  </si>
  <si>
    <t>Sep 1 2022</t>
  </si>
  <si>
    <t>Jan 1 2023</t>
  </si>
  <si>
    <t>Mar 1 2023</t>
  </si>
  <si>
    <t>July 1 2023</t>
  </si>
  <si>
    <t>Sep 1 2023</t>
  </si>
  <si>
    <t>Jan 1 2024</t>
  </si>
  <si>
    <t>Mar 1 2024</t>
  </si>
  <si>
    <t>July 1 2024</t>
  </si>
  <si>
    <t>Sep 1 2024</t>
  </si>
  <si>
    <t>Jan 1 2025</t>
  </si>
  <si>
    <t>Mar 1 2025</t>
  </si>
  <si>
    <t>July 1 2025</t>
  </si>
  <si>
    <t>Sep 1 2025</t>
  </si>
  <si>
    <t>Jan 1 2026</t>
  </si>
  <si>
    <t>Mar 1 2026</t>
  </si>
  <si>
    <t>July 1 2026</t>
  </si>
  <si>
    <t>Sep 1 2026</t>
  </si>
  <si>
    <t>Jan 1 2027</t>
  </si>
  <si>
    <t>Mar 1 2027</t>
  </si>
  <si>
    <t>July 1 2027</t>
  </si>
  <si>
    <t>Sep 1 2027</t>
  </si>
  <si>
    <t>Mar 1 2028</t>
  </si>
  <si>
    <t xml:space="preserve"> --------------- </t>
  </si>
  <si>
    <t>GENERAL OBLIGATION - DPW</t>
  </si>
  <si>
    <t xml:space="preserve">SCHEDULE OF PRINCIPAL AND INTEREST </t>
  </si>
  <si>
    <t>X</t>
  </si>
  <si>
    <t>refunded '10</t>
  </si>
  <si>
    <t>again?</t>
  </si>
  <si>
    <t xml:space="preserve"> new '02</t>
  </si>
  <si>
    <t>new '01</t>
  </si>
  <si>
    <t>state revolving fund</t>
  </si>
  <si>
    <t xml:space="preserve"> Dexter Twp</t>
  </si>
  <si>
    <t>Ref'(3070)</t>
  </si>
  <si>
    <t>Lyndon P II</t>
  </si>
  <si>
    <t>(3120)</t>
  </si>
  <si>
    <t>update  '00</t>
  </si>
  <si>
    <t xml:space="preserve"> (3290)</t>
  </si>
  <si>
    <t xml:space="preserve"> (3190)</t>
  </si>
  <si>
    <t>refunded '07</t>
  </si>
  <si>
    <t xml:space="preserve"> (3350)</t>
  </si>
  <si>
    <t>new '04</t>
  </si>
  <si>
    <t xml:space="preserve"> (3240)</t>
  </si>
  <si>
    <t xml:space="preserve"> (3180)</t>
  </si>
  <si>
    <t xml:space="preserve"> new'07</t>
  </si>
  <si>
    <t>updates'09</t>
  </si>
  <si>
    <t xml:space="preserve"> (3140)</t>
  </si>
  <si>
    <t>updated '99</t>
  </si>
  <si>
    <t xml:space="preserve"> (3310)</t>
  </si>
  <si>
    <t>updated '03</t>
  </si>
  <si>
    <t xml:space="preserve"> (3340)</t>
  </si>
  <si>
    <t>Special</t>
  </si>
  <si>
    <t>Multi Lake Sewer</t>
  </si>
  <si>
    <t xml:space="preserve">  Salem Sewer</t>
  </si>
  <si>
    <t>Salem Collection</t>
  </si>
  <si>
    <t>Northfield sewer&amp;WW</t>
  </si>
  <si>
    <t>Lyndon &amp; Sylvan sewer</t>
  </si>
  <si>
    <t>Bridgewater wastewater</t>
  </si>
  <si>
    <t>Multi-Lakes PIII WW</t>
  </si>
  <si>
    <t>Water (Sylvan) &amp;wastewater</t>
  </si>
  <si>
    <t>Water (Saline I)</t>
  </si>
  <si>
    <t>Water (Saline II)</t>
  </si>
  <si>
    <t xml:space="preserve">   Total General Ob</t>
  </si>
  <si>
    <t>ANNUAL TOTAL GENOB</t>
  </si>
  <si>
    <t>SEWER</t>
  </si>
  <si>
    <t>WATER</t>
  </si>
  <si>
    <t>Assess</t>
  </si>
  <si>
    <t>TOTAL</t>
  </si>
  <si>
    <t xml:space="preserve">  PRIN</t>
  </si>
  <si>
    <t xml:space="preserve">  INT</t>
  </si>
  <si>
    <t>PRINCIPAL</t>
  </si>
  <si>
    <t>INTEREST</t>
  </si>
  <si>
    <t xml:space="preserve">  -----------</t>
  </si>
  <si>
    <t xml:space="preserve">   ----------</t>
  </si>
  <si>
    <t>Apr 1 2013</t>
  </si>
  <si>
    <t>MAY 1,2013</t>
  </si>
  <si>
    <t>Oct 1, 2013</t>
  </si>
  <si>
    <t>NOV 1 2013</t>
  </si>
  <si>
    <t>Apr 1 2014</t>
  </si>
  <si>
    <t>MAY 1,2014</t>
  </si>
  <si>
    <t>Oct 1, 2014</t>
  </si>
  <si>
    <t>Nov 1 2014</t>
  </si>
  <si>
    <t>Apr 1 2015</t>
  </si>
  <si>
    <t>May 1 2015</t>
  </si>
  <si>
    <t>Oct 1, 2015</t>
  </si>
  <si>
    <t>Nov 1 2015</t>
  </si>
  <si>
    <t>Apr 1 2016</t>
  </si>
  <si>
    <t>May 1 2016</t>
  </si>
  <si>
    <t>Oct 1, 2016</t>
  </si>
  <si>
    <t>Nov 1 2016</t>
  </si>
  <si>
    <t>Apr 1 2017</t>
  </si>
  <si>
    <t>May 1 2017</t>
  </si>
  <si>
    <t>Oct 1, 2017</t>
  </si>
  <si>
    <t>Nov 1 2017</t>
  </si>
  <si>
    <t>Apr 1 2018</t>
  </si>
  <si>
    <t>May 1 2018</t>
  </si>
  <si>
    <t>Oct 1, 2018</t>
  </si>
  <si>
    <t>Nov 1 2018</t>
  </si>
  <si>
    <t>Apr 1 2019</t>
  </si>
  <si>
    <t>May 1 2019</t>
  </si>
  <si>
    <t>Oct 1, 2019</t>
  </si>
  <si>
    <t>Nov 1 2019</t>
  </si>
  <si>
    <t>Apr 1 2020</t>
  </si>
  <si>
    <t>May 1 2020</t>
  </si>
  <si>
    <t>Oct 1, 2020</t>
  </si>
  <si>
    <t>Nov 1 2020</t>
  </si>
  <si>
    <t>Apr 1 2021</t>
  </si>
  <si>
    <t>May 1 2021</t>
  </si>
  <si>
    <t>Oct 1, 2021</t>
  </si>
  <si>
    <t>Nov 1 2021</t>
  </si>
  <si>
    <t>Apr 1 2022</t>
  </si>
  <si>
    <t>May 1 2022</t>
  </si>
  <si>
    <t>Oct 1, 2022</t>
  </si>
  <si>
    <t>Nov 1, 2022</t>
  </si>
  <si>
    <t>Apr 1 2023</t>
  </si>
  <si>
    <t>May 1 2023</t>
  </si>
  <si>
    <t>Oct 1, 2023</t>
  </si>
  <si>
    <t>Nov 1, 2023</t>
  </si>
  <si>
    <t>Apr 1 2024</t>
  </si>
  <si>
    <t>May 1 2024</t>
  </si>
  <si>
    <t>Oct 1, 2024</t>
  </si>
  <si>
    <t>Nov 1, 2024</t>
  </si>
  <si>
    <t>Apr 1 2025</t>
  </si>
  <si>
    <t>May 1 2025</t>
  </si>
  <si>
    <t>Oct 1, 2025</t>
  </si>
  <si>
    <t>Nov 1, 2025</t>
  </si>
  <si>
    <t>Apr 1 2026</t>
  </si>
  <si>
    <t>May 1 2026</t>
  </si>
  <si>
    <t>Oct 1, 2026</t>
  </si>
  <si>
    <t>Apr 1 2027</t>
  </si>
  <si>
    <t>Oct 1, 2027</t>
  </si>
  <si>
    <t>Apr 1 2028</t>
  </si>
  <si>
    <t>-------------</t>
  </si>
  <si>
    <t xml:space="preserve"> ROAD COMMISSION</t>
  </si>
  <si>
    <t>SPECIAL ASSESSMENT  SCHEDULE</t>
  </si>
  <si>
    <t>new 2009</t>
  </si>
  <si>
    <t xml:space="preserve"> new 2010</t>
  </si>
  <si>
    <t xml:space="preserve"> new 2011</t>
  </si>
  <si>
    <t xml:space="preserve">    Wing Meadows</t>
  </si>
  <si>
    <t>Varsity Indust Park</t>
  </si>
  <si>
    <t xml:space="preserve"> Scio Hills</t>
  </si>
  <si>
    <t>Uplands Scio Hills</t>
  </si>
  <si>
    <t xml:space="preserve">            Annual totals</t>
  </si>
  <si>
    <t>Principal</t>
  </si>
  <si>
    <t xml:space="preserve"> Interest</t>
  </si>
  <si>
    <t xml:space="preserve">   -----------</t>
  </si>
  <si>
    <t xml:space="preserve">  -------</t>
  </si>
  <si>
    <t xml:space="preserve"> ----------</t>
  </si>
  <si>
    <t xml:space="preserve">  Principal</t>
  </si>
  <si>
    <t>GENERAL OBLIGATION - Road Commission Schedule</t>
  </si>
  <si>
    <t xml:space="preserve"> refunded 04</t>
  </si>
  <si>
    <t>MTF Notes</t>
  </si>
  <si>
    <t>Building Authority</t>
  </si>
  <si>
    <t xml:space="preserve"> 2002 Ypsi Twp</t>
  </si>
  <si>
    <t xml:space="preserve"> TOTAL GENERAL OB</t>
  </si>
  <si>
    <t xml:space="preserve">    ANNUAL TOTAL GENOB</t>
  </si>
  <si>
    <t xml:space="preserve">  Interest</t>
  </si>
  <si>
    <t>Feb 1 2013</t>
  </si>
  <si>
    <t>Aug 1 2013</t>
  </si>
  <si>
    <t xml:space="preserve">      2000 Zeeb Rd</t>
  </si>
  <si>
    <t>Interest</t>
  </si>
  <si>
    <t>Bridgewater tile</t>
  </si>
  <si>
    <t>Wing Drain</t>
  </si>
  <si>
    <t>Bazley-Foster</t>
  </si>
  <si>
    <t>Textile Drain</t>
  </si>
  <si>
    <t>Hammond / Wienette</t>
  </si>
  <si>
    <t>Lee Gause</t>
  </si>
  <si>
    <t xml:space="preserve">Lake Forest </t>
  </si>
  <si>
    <t xml:space="preserve"> Jun 1, 2015</t>
  </si>
  <si>
    <t xml:space="preserve"> Jun 1, 2014</t>
  </si>
  <si>
    <t xml:space="preserve"> May 1, 2014</t>
  </si>
  <si>
    <t xml:space="preserve"> May 1, 2013</t>
  </si>
  <si>
    <t>TOTAL  by year</t>
  </si>
  <si>
    <t>Portage Baseline</t>
  </si>
  <si>
    <t>new '08</t>
  </si>
  <si>
    <t>new '07</t>
  </si>
  <si>
    <t xml:space="preserve"> SCHEDULE</t>
  </si>
  <si>
    <t xml:space="preserve">   PAYABLE</t>
  </si>
  <si>
    <t>NOTES</t>
  </si>
  <si>
    <t>Water Resources</t>
  </si>
  <si>
    <t>WILLOW  RUN  GRANT</t>
  </si>
  <si>
    <t>Payment</t>
  </si>
  <si>
    <t xml:space="preserve">annual </t>
  </si>
  <si>
    <t>debit</t>
  </si>
  <si>
    <t>credit</t>
  </si>
  <si>
    <t>Number</t>
  </si>
  <si>
    <t xml:space="preserve"> Paid </t>
  </si>
  <si>
    <t>Balance</t>
  </si>
  <si>
    <t>Year</t>
  </si>
  <si>
    <t xml:space="preserve"> payment</t>
  </si>
  <si>
    <t>B-303899</t>
  </si>
  <si>
    <t xml:space="preserve"> B-337519</t>
  </si>
  <si>
    <t xml:space="preserve"> B-376333</t>
  </si>
  <si>
    <t>Terry did je this year</t>
  </si>
  <si>
    <t xml:space="preserve"> B-412930</t>
  </si>
  <si>
    <t>split between long and short term.</t>
  </si>
  <si>
    <t xml:space="preserve"> B-480826</t>
  </si>
  <si>
    <t xml:space="preserve"> B-510270</t>
  </si>
  <si>
    <t>WASHTENAW  COUNTY  DELINQUENT  TAX  NOTES</t>
  </si>
  <si>
    <t>Debt Service Schedule</t>
  </si>
  <si>
    <t>WASHTENAW  COUNTY  DRAIN  COMMISSIONER  INSTALLMENT  OBLIGATION</t>
  </si>
  <si>
    <t>WASHTENAW  COUNTY  CAPITAL  LEASE</t>
  </si>
  <si>
    <t>Payment Schedule</t>
  </si>
  <si>
    <t>IT Equipment</t>
  </si>
  <si>
    <t>Detailed Listing of Debt Service Requirements</t>
  </si>
  <si>
    <t>The tabs that follow list in detail the debt service requirements for each Washtenaw County bond issue.</t>
  </si>
  <si>
    <t>These amounts are presented as of 12-31-12, the date of our last external audit.</t>
  </si>
  <si>
    <t>These amounts will be updated next year after completion of the 12-31-13 audit.</t>
  </si>
  <si>
    <t>Balance at 12-31-12</t>
  </si>
  <si>
    <t xml:space="preserve">  DECEMBER 31, 2012</t>
  </si>
  <si>
    <t xml:space="preserve"> ========= </t>
  </si>
  <si>
    <t>-</t>
  </si>
  <si>
    <t>2012 Series</t>
  </si>
  <si>
    <t>Capital Improvement Refunding Bonds</t>
  </si>
  <si>
    <t>new in 12</t>
  </si>
  <si>
    <t>DECEMBER 31, 2012</t>
  </si>
  <si>
    <t>refunded 2012</t>
  </si>
  <si>
    <t>New '12</t>
  </si>
  <si>
    <t>Refuse System #1</t>
  </si>
  <si>
    <t>-----</t>
  </si>
  <si>
    <r>
      <t>The total amounts listed in the following tabs agree with pages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>94 and 95 of the County's 12-31-12 Comprehensive Annual Financial Report (CAFR).</t>
    </r>
  </si>
  <si>
    <t>new '12</t>
  </si>
  <si>
    <t>8778/8672</t>
  </si>
  <si>
    <t>8686/9705</t>
  </si>
  <si>
    <t>8687/9706</t>
  </si>
  <si>
    <t>Malletts Cistern</t>
  </si>
  <si>
    <t>Swift Run</t>
  </si>
  <si>
    <t>County Farm Std Blvd.</t>
  </si>
  <si>
    <t>Allen Cistern-Trees</t>
  </si>
  <si>
    <t>Territorial Road Drain</t>
  </si>
  <si>
    <t>Allen Creek Willard St</t>
  </si>
  <si>
    <t>Traver Creek Leslie PK</t>
  </si>
  <si>
    <t>Sugar Creek</t>
  </si>
  <si>
    <t>Allen Creek Madison Ave</t>
  </si>
  <si>
    <t>Allen Creek Miller Rd</t>
  </si>
  <si>
    <t>Huron River Green INF</t>
  </si>
  <si>
    <t xml:space="preserve"> Mar 1, 2013</t>
  </si>
  <si>
    <t xml:space="preserve"> Mar 1, 2014</t>
  </si>
  <si>
    <t xml:space="preserve"> Mar 1, 2015</t>
  </si>
  <si>
    <t xml:space="preserve"> Mar 1, 2016</t>
  </si>
  <si>
    <t xml:space="preserve"> Mar 1, 2017</t>
  </si>
  <si>
    <t xml:space="preserve"> Mar 1, 2018</t>
  </si>
  <si>
    <t xml:space="preserve"> Mar 1, 2019</t>
  </si>
  <si>
    <t xml:space="preserve"> Mar 1, 2020</t>
  </si>
  <si>
    <t xml:space="preserve"> Mar 1, 2021</t>
  </si>
  <si>
    <t xml:space="preserve"> Mar 1, 2022</t>
  </si>
  <si>
    <t xml:space="preserve"> Mar 1, 2023</t>
  </si>
  <si>
    <t xml:space="preserve"> Mar 1, 2024</t>
  </si>
  <si>
    <t xml:space="preserve"> Mar 1, 2025</t>
  </si>
  <si>
    <t xml:space="preserve"> Mar 1, 2026</t>
  </si>
  <si>
    <t xml:space="preserve"> Mar 1, 2027</t>
  </si>
  <si>
    <t xml:space="preserve"> Mar 1, 2028</t>
  </si>
  <si>
    <t xml:space="preserve"> Mar 1, 2029</t>
  </si>
  <si>
    <t xml:space="preserve"> Mar 1, 2030</t>
  </si>
  <si>
    <t xml:space="preserve"> Dec 1, 2030</t>
  </si>
  <si>
    <t xml:space="preserve"> Mar 1, 2031</t>
  </si>
  <si>
    <t xml:space="preserve"> Jun 1, 2031</t>
  </si>
  <si>
    <t xml:space="preserve"> Oct 1, 2031</t>
  </si>
  <si>
    <t xml:space="preserve"> Dec 1, 2031</t>
  </si>
  <si>
    <t xml:space="preserve"> Mar 1, 2032</t>
  </si>
  <si>
    <t xml:space="preserve"> Apr 1, 2032</t>
  </si>
  <si>
    <t xml:space="preserve"> Jun 1, 2032</t>
  </si>
  <si>
    <t xml:space="preserve"> Oct 1, 2032</t>
  </si>
  <si>
    <t xml:space="preserve"> Dec 1, 2032</t>
  </si>
  <si>
    <t xml:space="preserve"> Mar 1, 2033</t>
  </si>
  <si>
    <t xml:space="preserve"> Apr 1, 2033</t>
  </si>
  <si>
    <t xml:space="preserve"> Jun 1, 2033</t>
  </si>
  <si>
    <t xml:space="preserve"> Oct 1, 2033</t>
  </si>
  <si>
    <t xml:space="preserve"> Dec 1, 2033</t>
  </si>
  <si>
    <t xml:space="preserve"> Mar 1, 2034</t>
  </si>
  <si>
    <t xml:space="preserve"> Apr 1, 2034</t>
  </si>
  <si>
    <t xml:space="preserve"> Jun 1, 2034</t>
  </si>
  <si>
    <t xml:space="preserve"> Oct 1, 2034</t>
  </si>
  <si>
    <t xml:space="preserve"> Dec 1, 2034</t>
  </si>
  <si>
    <t xml:space="preserve"> Mar 1, 2035</t>
  </si>
  <si>
    <t xml:space="preserve"> Apr 1, 2035</t>
  </si>
  <si>
    <t xml:space="preserve"> Jun 1, 2035</t>
  </si>
  <si>
    <t xml:space="preserve"> Oct 1, 2035</t>
  </si>
  <si>
    <t xml:space="preserve"> Dec 1, 2035</t>
  </si>
  <si>
    <t xml:space="preserve">  --------------</t>
  </si>
  <si>
    <t>--------</t>
  </si>
  <si>
    <t xml:space="preserve"> Jun 1, 2013</t>
  </si>
  <si>
    <t xml:space="preserve"> Dec 1, 2013</t>
  </si>
  <si>
    <t xml:space="preserve"> Dec 1, 2014</t>
  </si>
  <si>
    <t>new 2012</t>
  </si>
  <si>
    <t>Polo Fields Bonds</t>
  </si>
  <si>
    <t>new 12</t>
  </si>
  <si>
    <t>Series 2012</t>
  </si>
  <si>
    <t>Feb 1 2014</t>
  </si>
  <si>
    <t>Aug 1 2014</t>
  </si>
  <si>
    <t>Feb 1 2015</t>
  </si>
  <si>
    <t>Aug 1 2015</t>
  </si>
  <si>
    <t>Feb 1 2016</t>
  </si>
  <si>
    <t>Aug 1 2016</t>
  </si>
  <si>
    <t>Feb 1 2017</t>
  </si>
  <si>
    <t>Aug 1 2017</t>
  </si>
  <si>
    <t>Feb 1 2018</t>
  </si>
  <si>
    <t>Aug 1 2018</t>
  </si>
  <si>
    <t>Feb 1 2019</t>
  </si>
  <si>
    <t>Aug 1 2019</t>
  </si>
  <si>
    <t>Feb 1 2020</t>
  </si>
  <si>
    <t>Aug 1 2020</t>
  </si>
  <si>
    <t>Feb 1 2021</t>
  </si>
  <si>
    <t>Aug 1 2021</t>
  </si>
  <si>
    <t>Feb 1 2022</t>
  </si>
  <si>
    <t>Aug 1 2022</t>
  </si>
  <si>
    <t>WASHTENAW  COUNTY INSTALLMENT  OBLIGATION</t>
  </si>
  <si>
    <t>Del Tax 5320</t>
  </si>
  <si>
    <t xml:space="preserve">Issuance Date </t>
  </si>
  <si>
    <t>Issuance Amount</t>
  </si>
  <si>
    <t>Balance 12/31/12</t>
  </si>
  <si>
    <t>Del Tax 5231</t>
  </si>
  <si>
    <t>Issuance Date</t>
  </si>
  <si>
    <t>12/1/02</t>
  </si>
  <si>
    <t>2/1/07</t>
  </si>
  <si>
    <t>9/1/08</t>
  </si>
  <si>
    <t>6/1/08</t>
  </si>
  <si>
    <t>5/1/98</t>
  </si>
  <si>
    <t>10/1/97</t>
  </si>
  <si>
    <t>11/1/06</t>
  </si>
  <si>
    <t>12/1/04</t>
  </si>
  <si>
    <t>1/1/05</t>
  </si>
  <si>
    <t>Series 1992 2/1/92</t>
  </si>
  <si>
    <t>Series 1998A 2/1/98</t>
  </si>
  <si>
    <t>Series 2005 1/1/05</t>
  </si>
  <si>
    <t>Series 1999 9/1/99</t>
  </si>
  <si>
    <t>Series 2004 12/1/04</t>
  </si>
  <si>
    <t>8/1/10</t>
  </si>
  <si>
    <t>1/1/02</t>
  </si>
  <si>
    <t>10/3/96</t>
  </si>
  <si>
    <t>6/1/02</t>
  </si>
  <si>
    <t>9/1/07</t>
  </si>
  <si>
    <t>9/1/04</t>
  </si>
  <si>
    <t>6/21/07</t>
  </si>
  <si>
    <t>4/1/10</t>
  </si>
  <si>
    <t>7/2/98</t>
  </si>
  <si>
    <t>6/24/99</t>
  </si>
  <si>
    <t>5/8/12</t>
  </si>
  <si>
    <t>10/2012</t>
  </si>
  <si>
    <t>12/31/12 Balance</t>
  </si>
  <si>
    <t>1/21/04</t>
  </si>
  <si>
    <t>6/21/12</t>
  </si>
  <si>
    <t>Not issued yet</t>
  </si>
  <si>
    <t>delinquent tax revenues are pledged to repay the delinquent tax notes.</t>
  </si>
  <si>
    <t xml:space="preserve">Total  </t>
  </si>
  <si>
    <t>ATT Phone System</t>
  </si>
  <si>
    <t>EMC #12926-11 computer equipment</t>
  </si>
  <si>
    <t>Computer Equipment</t>
  </si>
  <si>
    <t>Ad valorem property taxes</t>
  </si>
  <si>
    <t>Willow Run Airport</t>
  </si>
  <si>
    <t>General Fund</t>
  </si>
  <si>
    <t>Repayment Source:</t>
  </si>
  <si>
    <t>Repayment Source(s):</t>
  </si>
  <si>
    <t>Washtenaw Intermediate School District</t>
  </si>
  <si>
    <t>Delinquent tax fund monies</t>
  </si>
  <si>
    <t>Road Commission</t>
  </si>
  <si>
    <t>Special voted millage</t>
  </si>
  <si>
    <t>City of Ann Arbor</t>
  </si>
  <si>
    <t>Michigan Department of Transportation</t>
  </si>
  <si>
    <t>Pittsfield Township</t>
  </si>
  <si>
    <t>General fund</t>
  </si>
  <si>
    <t>Michigan Dept of Transportation</t>
  </si>
  <si>
    <t>Property Owners</t>
  </si>
  <si>
    <t>Various Townships</t>
  </si>
  <si>
    <t>City of Milan</t>
  </si>
  <si>
    <t>Railroads</t>
  </si>
  <si>
    <t>Various Drainage Districts</t>
  </si>
  <si>
    <t>City of Ypsilanti</t>
  </si>
  <si>
    <t>Various Counties</t>
  </si>
  <si>
    <t>State of Michigan</t>
  </si>
  <si>
    <t>City of Dexter</t>
  </si>
  <si>
    <t>Lyndon Township</t>
  </si>
  <si>
    <t>Salem Township</t>
  </si>
  <si>
    <t>Northfield Township</t>
  </si>
  <si>
    <t>Sylvan Township</t>
  </si>
  <si>
    <t>Bridgewater Township</t>
  </si>
  <si>
    <t>Multi-Lakes Authority</t>
  </si>
  <si>
    <t>Livingston County</t>
  </si>
  <si>
    <t>City of Saline</t>
  </si>
  <si>
    <t>General Fund Road Commission</t>
  </si>
  <si>
    <t>Ypsilanti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</si>
</sst>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#,##0.00;[Red]#,##0.00"/>
    <numFmt numFmtId="166" formatCode="0_)"/>
    <numFmt numFmtId="167" formatCode="0.00000"/>
    <numFmt numFmtId="168" formatCode="mm/dd/yy;@"/>
  </numFmts>
  <fonts count="27">
    <font>
      <sz val="12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helv"/>
    </font>
    <font>
      <sz val="10"/>
      <name val="Helv"/>
    </font>
    <font>
      <b/>
      <sz val="10"/>
      <name val="Helv"/>
    </font>
    <font>
      <sz val="10"/>
      <name val="Arial"/>
    </font>
    <font>
      <sz val="12"/>
      <name val="SWISS"/>
    </font>
    <font>
      <sz val="10"/>
      <name val="SWISS"/>
    </font>
    <font>
      <b/>
      <sz val="10"/>
      <name val="SWISS"/>
    </font>
    <font>
      <u/>
      <sz val="2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FF0000"/>
      <name val="Helv"/>
    </font>
    <font>
      <sz val="10"/>
      <color rgb="FFFF0000"/>
      <name val="SWISS"/>
    </font>
    <font>
      <sz val="12"/>
      <color rgb="FFFF0000"/>
      <name val="Arial"/>
      <family val="2"/>
    </font>
    <font>
      <sz val="12"/>
      <color indexed="17"/>
      <name val="helv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9" fillId="0" borderId="0"/>
    <xf numFmtId="166" fontId="6" fillId="0" borderId="0"/>
    <xf numFmtId="0" fontId="10" fillId="0" borderId="0"/>
    <xf numFmtId="0" fontId="1" fillId="0" borderId="0"/>
    <xf numFmtId="9" fontId="1" fillId="0" borderId="0" applyFont="0" applyFill="0" applyBorder="0" applyAlignment="0" applyProtection="0"/>
    <xf numFmtId="0" fontId="15" fillId="0" borderId="0"/>
    <xf numFmtId="0" fontId="1" fillId="0" borderId="0"/>
  </cellStyleXfs>
  <cellXfs count="194">
    <xf numFmtId="0" fontId="0" fillId="0" borderId="0" xfId="0"/>
    <xf numFmtId="0" fontId="1" fillId="0" borderId="0" xfId="4" applyFont="1"/>
    <xf numFmtId="37" fontId="1" fillId="0" borderId="0" xfId="4" applyNumberFormat="1" applyFont="1" applyProtection="1"/>
    <xf numFmtId="165" fontId="1" fillId="0" borderId="0" xfId="4" applyNumberFormat="1" applyFont="1" applyAlignment="1"/>
    <xf numFmtId="0" fontId="1" fillId="0" borderId="0" xfId="4" applyFont="1" applyProtection="1"/>
    <xf numFmtId="37" fontId="1" fillId="0" borderId="0" xfId="4" applyNumberFormat="1" applyFont="1" applyAlignment="1" applyProtection="1">
      <alignment horizontal="right"/>
    </xf>
    <xf numFmtId="37" fontId="1" fillId="2" borderId="0" xfId="4" applyNumberFormat="1" applyFont="1" applyFill="1" applyProtection="1"/>
    <xf numFmtId="37" fontId="1" fillId="0" borderId="0" xfId="4" applyNumberFormat="1" applyFont="1" applyFill="1" applyProtection="1"/>
    <xf numFmtId="166" fontId="7" fillId="0" borderId="0" xfId="6" applyFont="1"/>
    <xf numFmtId="166" fontId="8" fillId="0" borderId="0" xfId="6" applyFont="1"/>
    <xf numFmtId="166" fontId="8" fillId="0" borderId="0" xfId="6" quotePrefix="1" applyFont="1" applyAlignment="1">
      <alignment horizontal="left"/>
    </xf>
    <xf numFmtId="166" fontId="7" fillId="0" borderId="0" xfId="6" quotePrefix="1" applyFont="1" applyAlignment="1">
      <alignment horizontal="left"/>
    </xf>
    <xf numFmtId="166" fontId="7" fillId="0" borderId="0" xfId="6" applyFont="1" applyAlignment="1">
      <alignment horizontal="center"/>
    </xf>
    <xf numFmtId="166" fontId="8" fillId="0" borderId="0" xfId="6" applyFont="1" applyAlignment="1">
      <alignment horizontal="center"/>
    </xf>
    <xf numFmtId="166" fontId="7" fillId="0" borderId="0" xfId="6" quotePrefix="1" applyFont="1" applyAlignment="1">
      <alignment horizontal="center"/>
    </xf>
    <xf numFmtId="37" fontId="7" fillId="0" borderId="0" xfId="6" applyNumberFormat="1" applyFont="1" applyProtection="1"/>
    <xf numFmtId="37" fontId="7" fillId="4" borderId="0" xfId="6" applyNumberFormat="1" applyFont="1" applyFill="1" applyProtection="1"/>
    <xf numFmtId="37" fontId="7" fillId="0" borderId="1" xfId="6" applyNumberFormat="1" applyFont="1" applyBorder="1" applyProtection="1"/>
    <xf numFmtId="164" fontId="7" fillId="0" borderId="0" xfId="1" applyNumberFormat="1" applyFont="1" applyProtection="1"/>
    <xf numFmtId="3" fontId="7" fillId="0" borderId="0" xfId="6" applyNumberFormat="1" applyFont="1"/>
    <xf numFmtId="37" fontId="7" fillId="0" borderId="0" xfId="6" applyNumberFormat="1" applyFont="1" applyAlignment="1" applyProtection="1">
      <alignment horizontal="right"/>
    </xf>
    <xf numFmtId="164" fontId="7" fillId="0" borderId="0" xfId="1" applyNumberFormat="1" applyFont="1"/>
    <xf numFmtId="0" fontId="8" fillId="0" borderId="0" xfId="4" applyFont="1"/>
    <xf numFmtId="0" fontId="7" fillId="0" borderId="0" xfId="4" applyFont="1"/>
    <xf numFmtId="0" fontId="8" fillId="0" borderId="0" xfId="4" quotePrefix="1" applyFont="1" applyAlignment="1">
      <alignment horizontal="left"/>
    </xf>
    <xf numFmtId="0" fontId="23" fillId="0" borderId="0" xfId="4" applyFont="1"/>
    <xf numFmtId="0" fontId="7" fillId="0" borderId="0" xfId="4" applyFont="1" applyAlignment="1">
      <alignment horizontal="center"/>
    </xf>
    <xf numFmtId="164" fontId="7" fillId="0" borderId="0" xfId="4" applyNumberFormat="1" applyFont="1"/>
    <xf numFmtId="37" fontId="7" fillId="0" borderId="0" xfId="4" applyNumberFormat="1" applyFont="1" applyProtection="1"/>
    <xf numFmtId="37" fontId="7" fillId="0" borderId="0" xfId="4" applyNumberFormat="1" applyFont="1" applyAlignment="1" applyProtection="1">
      <alignment horizontal="right"/>
    </xf>
    <xf numFmtId="3" fontId="7" fillId="0" borderId="0" xfId="6" applyNumberFormat="1" applyFont="1" applyAlignment="1" applyProtection="1">
      <alignment horizontal="right"/>
    </xf>
    <xf numFmtId="3" fontId="7" fillId="0" borderId="0" xfId="6" applyNumberFormat="1" applyFont="1" applyProtection="1"/>
    <xf numFmtId="37" fontId="8" fillId="5" borderId="1" xfId="6" applyNumberFormat="1" applyFont="1" applyFill="1" applyBorder="1" applyProtection="1"/>
    <xf numFmtId="166" fontId="8" fillId="0" borderId="0" xfId="6" applyFont="1" applyFill="1"/>
    <xf numFmtId="37" fontId="7" fillId="0" borderId="1" xfId="6" applyNumberFormat="1" applyFont="1" applyFill="1" applyBorder="1" applyProtection="1"/>
    <xf numFmtId="0" fontId="11" fillId="0" borderId="0" xfId="7" applyFont="1"/>
    <xf numFmtId="37" fontId="11" fillId="0" borderId="0" xfId="7" applyNumberFormat="1" applyFont="1" applyProtection="1"/>
    <xf numFmtId="0" fontId="12" fillId="0" borderId="0" xfId="7" applyFont="1" applyAlignment="1">
      <alignment horizontal="center"/>
    </xf>
    <xf numFmtId="37" fontId="11" fillId="0" borderId="0" xfId="7" applyNumberFormat="1" applyFont="1" applyAlignment="1" applyProtection="1">
      <alignment horizontal="right"/>
    </xf>
    <xf numFmtId="0" fontId="11" fillId="0" borderId="0" xfId="7" applyFont="1" applyAlignment="1">
      <alignment horizontal="center"/>
    </xf>
    <xf numFmtId="0" fontId="11" fillId="0" borderId="0" xfId="7" applyFont="1" applyAlignment="1">
      <alignment horizontal="left"/>
    </xf>
    <xf numFmtId="0" fontId="11" fillId="0" borderId="0" xfId="7" applyFont="1" applyAlignment="1">
      <alignment horizontal="right"/>
    </xf>
    <xf numFmtId="0" fontId="24" fillId="0" borderId="0" xfId="7" applyFont="1" applyAlignment="1">
      <alignment horizontal="right"/>
    </xf>
    <xf numFmtId="0" fontId="13" fillId="0" borderId="0" xfId="8" applyFont="1" applyAlignment="1"/>
    <xf numFmtId="0" fontId="1" fillId="0" borderId="0" xfId="8" applyAlignment="1">
      <alignment horizontal="centerContinuous"/>
    </xf>
    <xf numFmtId="0" fontId="1" fillId="0" borderId="0" xfId="8"/>
    <xf numFmtId="0" fontId="1" fillId="0" borderId="0" xfId="8" applyAlignment="1">
      <alignment horizontal="left"/>
    </xf>
    <xf numFmtId="0" fontId="1" fillId="0" borderId="0" xfId="8" applyFont="1" applyAlignment="1">
      <alignment horizontal="centerContinuous"/>
    </xf>
    <xf numFmtId="0" fontId="14" fillId="0" borderId="0" xfId="8" applyFont="1"/>
    <xf numFmtId="0" fontId="2" fillId="0" borderId="0" xfId="8" applyFont="1" applyAlignment="1">
      <alignment horizontal="center"/>
    </xf>
    <xf numFmtId="0" fontId="2" fillId="0" borderId="0" xfId="8" applyFont="1"/>
    <xf numFmtId="167" fontId="1" fillId="0" borderId="0" xfId="8" applyNumberFormat="1"/>
    <xf numFmtId="49" fontId="1" fillId="0" borderId="0" xfId="8" applyNumberFormat="1" applyFont="1"/>
    <xf numFmtId="0" fontId="1" fillId="0" borderId="0" xfId="8" applyFont="1"/>
    <xf numFmtId="8" fontId="3" fillId="0" borderId="0" xfId="8" applyNumberFormat="1" applyFont="1" applyAlignment="1">
      <alignment horizontal="center"/>
    </xf>
    <xf numFmtId="0" fontId="3" fillId="0" borderId="0" xfId="8" applyFont="1" applyAlignment="1">
      <alignment horizontal="center"/>
    </xf>
    <xf numFmtId="14" fontId="1" fillId="0" borderId="0" xfId="8" applyNumberFormat="1"/>
    <xf numFmtId="0" fontId="1" fillId="0" borderId="0" xfId="8" applyFont="1" applyAlignment="1">
      <alignment horizontal="right"/>
    </xf>
    <xf numFmtId="43" fontId="1" fillId="0" borderId="0" xfId="8" applyNumberFormat="1" applyFont="1" applyAlignment="1">
      <alignment horizontal="right"/>
    </xf>
    <xf numFmtId="14" fontId="1" fillId="0" borderId="2" xfId="8" applyNumberFormat="1" applyBorder="1"/>
    <xf numFmtId="0" fontId="1" fillId="0" borderId="2" xfId="8" applyFont="1" applyBorder="1" applyAlignment="1">
      <alignment horizontal="right"/>
    </xf>
    <xf numFmtId="43" fontId="1" fillId="0" borderId="2" xfId="8" applyNumberFormat="1" applyFont="1" applyBorder="1" applyAlignment="1">
      <alignment horizontal="right"/>
    </xf>
    <xf numFmtId="43" fontId="1" fillId="0" borderId="0" xfId="1" applyNumberFormat="1"/>
    <xf numFmtId="0" fontId="1" fillId="0" borderId="0" xfId="8" applyAlignment="1">
      <alignment horizontal="center"/>
    </xf>
    <xf numFmtId="43" fontId="1" fillId="0" borderId="0" xfId="1"/>
    <xf numFmtId="8" fontId="1" fillId="0" borderId="0" xfId="1" applyNumberFormat="1"/>
    <xf numFmtId="0" fontId="1" fillId="0" borderId="2" xfId="8" applyBorder="1"/>
    <xf numFmtId="43" fontId="1" fillId="0" borderId="2" xfId="1" applyNumberFormat="1" applyBorder="1"/>
    <xf numFmtId="8" fontId="1" fillId="0" borderId="2" xfId="1" applyNumberFormat="1" applyBorder="1"/>
    <xf numFmtId="43" fontId="1" fillId="0" borderId="2" xfId="8" applyNumberFormat="1" applyBorder="1"/>
    <xf numFmtId="43" fontId="1" fillId="0" borderId="0" xfId="1" applyFont="1"/>
    <xf numFmtId="43" fontId="0" fillId="0" borderId="0" xfId="1" applyFont="1"/>
    <xf numFmtId="43" fontId="1" fillId="0" borderId="0" xfId="8" applyNumberFormat="1"/>
    <xf numFmtId="43" fontId="1" fillId="0" borderId="0" xfId="1" applyNumberFormat="1" applyFont="1"/>
    <xf numFmtId="8" fontId="2" fillId="0" borderId="1" xfId="1" applyNumberFormat="1" applyFont="1" applyBorder="1"/>
    <xf numFmtId="8" fontId="2" fillId="0" borderId="0" xfId="1" applyNumberFormat="1" applyFont="1"/>
    <xf numFmtId="164" fontId="0" fillId="0" borderId="0" xfId="1" applyNumberFormat="1" applyFont="1"/>
    <xf numFmtId="164" fontId="0" fillId="0" borderId="1" xfId="0" applyNumberFormat="1" applyBorder="1"/>
    <xf numFmtId="0" fontId="15" fillId="0" borderId="0" xfId="0" applyFont="1"/>
    <xf numFmtId="14" fontId="0" fillId="0" borderId="0" xfId="0" applyNumberFormat="1"/>
    <xf numFmtId="0" fontId="16" fillId="0" borderId="0" xfId="0" applyFont="1" applyAlignment="1">
      <alignment horizontal="center"/>
    </xf>
    <xf numFmtId="164" fontId="0" fillId="0" borderId="0" xfId="0" applyNumberFormat="1"/>
    <xf numFmtId="0" fontId="17" fillId="0" borderId="0" xfId="0" applyFont="1"/>
    <xf numFmtId="164" fontId="17" fillId="5" borderId="1" xfId="0" applyNumberFormat="1" applyFont="1" applyFill="1" applyBorder="1"/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left" indent="2"/>
    </xf>
    <xf numFmtId="0" fontId="0" fillId="0" borderId="0" xfId="0" applyAlignment="1">
      <alignment horizontal="left" indent="1"/>
    </xf>
    <xf numFmtId="0" fontId="18" fillId="0" borderId="0" xfId="0" applyFont="1"/>
    <xf numFmtId="0" fontId="1" fillId="0" borderId="0" xfId="4" applyFont="1" applyAlignment="1">
      <alignment horizontal="center"/>
    </xf>
    <xf numFmtId="0" fontId="1" fillId="0" borderId="0" xfId="4" applyFont="1" applyAlignment="1">
      <alignment horizontal="fill"/>
    </xf>
    <xf numFmtId="0" fontId="1" fillId="0" borderId="0" xfId="4" applyFont="1" applyAlignment="1">
      <alignment horizontal="right"/>
    </xf>
    <xf numFmtId="0" fontId="2" fillId="0" borderId="0" xfId="4" applyFont="1"/>
    <xf numFmtId="0" fontId="2" fillId="0" borderId="0" xfId="4" applyFont="1" applyAlignment="1">
      <alignment horizontal="left"/>
    </xf>
    <xf numFmtId="0" fontId="2" fillId="0" borderId="0" xfId="4" applyFont="1" applyAlignment="1"/>
    <xf numFmtId="0" fontId="2" fillId="0" borderId="0" xfId="4" applyFont="1" applyAlignment="1">
      <alignment horizontal="right"/>
    </xf>
    <xf numFmtId="0" fontId="1" fillId="0" borderId="0" xfId="4" applyFont="1" applyAlignment="1">
      <alignment horizontal="left"/>
    </xf>
    <xf numFmtId="0" fontId="21" fillId="0" borderId="0" xfId="4" applyFont="1"/>
    <xf numFmtId="0" fontId="1" fillId="0" borderId="0" xfId="4" quotePrefix="1" applyFont="1" applyAlignment="1">
      <alignment horizontal="left"/>
    </xf>
    <xf numFmtId="166" fontId="7" fillId="3" borderId="0" xfId="6" applyFont="1" applyFill="1" applyAlignment="1">
      <alignment horizontal="right"/>
    </xf>
    <xf numFmtId="166" fontId="7" fillId="0" borderId="0" xfId="6" applyFont="1" applyAlignment="1">
      <alignment horizontal="right"/>
    </xf>
    <xf numFmtId="166" fontId="7" fillId="3" borderId="0" xfId="6" applyFont="1" applyFill="1" applyAlignment="1">
      <alignment horizontal="center"/>
    </xf>
    <xf numFmtId="166" fontId="7" fillId="0" borderId="0" xfId="6" applyFont="1" applyAlignment="1">
      <alignment horizontal="left"/>
    </xf>
    <xf numFmtId="37" fontId="7" fillId="3" borderId="1" xfId="6" applyNumberFormat="1" applyFont="1" applyFill="1" applyBorder="1" applyProtection="1"/>
    <xf numFmtId="37" fontId="7" fillId="6" borderId="1" xfId="6" applyNumberFormat="1" applyFont="1" applyFill="1" applyBorder="1" applyProtection="1"/>
    <xf numFmtId="37" fontId="2" fillId="5" borderId="0" xfId="4" applyNumberFormat="1" applyFont="1" applyFill="1" applyProtection="1"/>
    <xf numFmtId="43" fontId="2" fillId="5" borderId="0" xfId="1" applyNumberFormat="1" applyFont="1" applyFill="1"/>
    <xf numFmtId="0" fontId="1" fillId="0" borderId="0" xfId="10" applyFont="1"/>
    <xf numFmtId="0" fontId="1" fillId="0" borderId="0" xfId="10" applyFont="1" applyAlignment="1">
      <alignment horizontal="center"/>
    </xf>
    <xf numFmtId="0" fontId="2" fillId="0" borderId="0" xfId="10" applyFont="1" applyAlignment="1">
      <alignment horizontal="right"/>
    </xf>
    <xf numFmtId="0" fontId="20" fillId="0" borderId="0" xfId="10" applyFont="1" applyAlignment="1">
      <alignment horizontal="right"/>
    </xf>
    <xf numFmtId="0" fontId="1" fillId="0" borderId="0" xfId="10" applyFont="1" applyAlignment="1">
      <alignment horizontal="left"/>
    </xf>
    <xf numFmtId="0" fontId="2" fillId="0" borderId="0" xfId="10" applyFont="1" applyAlignment="1">
      <alignment horizontal="left"/>
    </xf>
    <xf numFmtId="0" fontId="21" fillId="0" borderId="0" xfId="10" applyFont="1" applyAlignment="1">
      <alignment horizontal="right"/>
    </xf>
    <xf numFmtId="0" fontId="2" fillId="0" borderId="0" xfId="10" applyFont="1" applyAlignment="1">
      <alignment horizontal="center"/>
    </xf>
    <xf numFmtId="0" fontId="20" fillId="0" borderId="0" xfId="10" applyFont="1" applyAlignment="1">
      <alignment horizontal="left"/>
    </xf>
    <xf numFmtId="0" fontId="21" fillId="0" borderId="0" xfId="10" applyFont="1" applyAlignment="1">
      <alignment horizontal="left"/>
    </xf>
    <xf numFmtId="0" fontId="2" fillId="0" borderId="0" xfId="10" applyFont="1"/>
    <xf numFmtId="0" fontId="2" fillId="0" borderId="0" xfId="10" applyFont="1" applyFill="1" applyAlignment="1">
      <alignment horizontal="right"/>
    </xf>
    <xf numFmtId="0" fontId="2" fillId="0" borderId="0" xfId="10" applyFont="1" applyFill="1"/>
    <xf numFmtId="0" fontId="3" fillId="0" borderId="0" xfId="10" applyFont="1" applyAlignment="1">
      <alignment horizontal="center"/>
    </xf>
    <xf numFmtId="43" fontId="3" fillId="0" borderId="0" xfId="1" applyFont="1" applyAlignment="1">
      <alignment horizontal="center"/>
    </xf>
    <xf numFmtId="37" fontId="1" fillId="0" borderId="0" xfId="10" applyNumberFormat="1" applyFont="1" applyProtection="1"/>
    <xf numFmtId="43" fontId="1" fillId="0" borderId="0" xfId="1" applyFont="1" applyProtection="1"/>
    <xf numFmtId="37" fontId="22" fillId="0" borderId="0" xfId="10" applyNumberFormat="1" applyFont="1" applyProtection="1"/>
    <xf numFmtId="37" fontId="1" fillId="0" borderId="0" xfId="10" applyNumberFormat="1" applyFont="1" applyFill="1" applyProtection="1"/>
    <xf numFmtId="37" fontId="1" fillId="0" borderId="0" xfId="10" applyNumberFormat="1" applyFont="1" applyAlignment="1" applyProtection="1">
      <alignment horizontal="right"/>
    </xf>
    <xf numFmtId="43" fontId="1" fillId="0" borderId="0" xfId="1" applyFont="1" applyAlignment="1" applyProtection="1">
      <alignment horizontal="right"/>
    </xf>
    <xf numFmtId="37" fontId="1" fillId="7" borderId="0" xfId="10" applyNumberFormat="1" applyFont="1" applyFill="1" applyProtection="1"/>
    <xf numFmtId="164" fontId="1" fillId="0" borderId="0" xfId="10" applyNumberFormat="1" applyFont="1"/>
    <xf numFmtId="0" fontId="11" fillId="0" borderId="4" xfId="10" applyFont="1" applyBorder="1"/>
    <xf numFmtId="0" fontId="11" fillId="0" borderId="3" xfId="10" applyFont="1" applyBorder="1"/>
    <xf numFmtId="43" fontId="2" fillId="5" borderId="0" xfId="1" applyFont="1" applyFill="1" applyProtection="1"/>
    <xf numFmtId="37" fontId="11" fillId="0" borderId="0" xfId="7" applyNumberFormat="1" applyFont="1" applyFill="1" applyProtection="1"/>
    <xf numFmtId="37" fontId="12" fillId="5" borderId="0" xfId="7" applyNumberFormat="1" applyFont="1" applyFill="1" applyProtection="1"/>
    <xf numFmtId="0" fontId="26" fillId="0" borderId="0" xfId="0" applyFont="1"/>
    <xf numFmtId="3" fontId="7" fillId="0" borderId="0" xfId="6" applyNumberFormat="1" applyFont="1" applyFill="1"/>
    <xf numFmtId="3" fontId="7" fillId="0" borderId="0" xfId="6" applyNumberFormat="1" applyFont="1" applyAlignment="1">
      <alignment horizontal="center"/>
    </xf>
    <xf numFmtId="37" fontId="8" fillId="5" borderId="0" xfId="4" applyNumberFormat="1" applyFont="1" applyFill="1" applyProtection="1"/>
    <xf numFmtId="37" fontId="8" fillId="5" borderId="0" xfId="6" applyNumberFormat="1" applyFont="1" applyFill="1" applyProtection="1"/>
    <xf numFmtId="164" fontId="15" fillId="0" borderId="1" xfId="0" applyNumberFormat="1" applyFont="1" applyFill="1" applyBorder="1"/>
    <xf numFmtId="164" fontId="0" fillId="0" borderId="0" xfId="1" applyNumberFormat="1" applyFont="1" applyFill="1"/>
    <xf numFmtId="3" fontId="0" fillId="0" borderId="0" xfId="0" applyNumberFormat="1"/>
    <xf numFmtId="168" fontId="1" fillId="0" borderId="0" xfId="4" applyNumberFormat="1" applyFont="1"/>
    <xf numFmtId="168" fontId="2" fillId="0" borderId="0" xfId="4" applyNumberFormat="1" applyFont="1"/>
    <xf numFmtId="168" fontId="1" fillId="0" borderId="0" xfId="4" quotePrefix="1" applyNumberFormat="1" applyFont="1"/>
    <xf numFmtId="164" fontId="2" fillId="0" borderId="0" xfId="1" applyNumberFormat="1" applyFont="1"/>
    <xf numFmtId="164" fontId="1" fillId="0" borderId="0" xfId="1" applyNumberFormat="1" applyFont="1"/>
    <xf numFmtId="3" fontId="1" fillId="0" borderId="0" xfId="10" applyNumberFormat="1" applyFont="1"/>
    <xf numFmtId="3" fontId="1" fillId="0" borderId="0" xfId="1" applyNumberFormat="1" applyFont="1"/>
    <xf numFmtId="14" fontId="1" fillId="0" borderId="0" xfId="10" applyNumberFormat="1" applyFont="1"/>
    <xf numFmtId="3" fontId="11" fillId="0" borderId="0" xfId="7" applyNumberFormat="1" applyFont="1"/>
    <xf numFmtId="168" fontId="1" fillId="0" borderId="0" xfId="10" applyNumberFormat="1" applyFont="1"/>
    <xf numFmtId="168" fontId="11" fillId="0" borderId="0" xfId="7" applyNumberFormat="1" applyFont="1"/>
    <xf numFmtId="37" fontId="1" fillId="0" borderId="0" xfId="10" applyNumberFormat="1" applyFont="1"/>
    <xf numFmtId="37" fontId="7" fillId="0" borderId="0" xfId="6" applyNumberFormat="1" applyFont="1"/>
    <xf numFmtId="168" fontId="1" fillId="0" borderId="0" xfId="10" applyNumberFormat="1" applyFont="1" applyAlignment="1">
      <alignment horizontal="center"/>
    </xf>
    <xf numFmtId="168" fontId="7" fillId="0" borderId="0" xfId="6" quotePrefix="1" applyNumberFormat="1" applyFont="1" applyAlignment="1">
      <alignment horizontal="center"/>
    </xf>
    <xf numFmtId="168" fontId="7" fillId="0" borderId="0" xfId="6" applyNumberFormat="1" applyFont="1" applyAlignment="1">
      <alignment horizontal="center"/>
    </xf>
    <xf numFmtId="17" fontId="15" fillId="0" borderId="0" xfId="0" quotePrefix="1" applyNumberFormat="1" applyFont="1" applyAlignment="1">
      <alignment horizontal="center"/>
    </xf>
    <xf numFmtId="3" fontId="15" fillId="0" borderId="0" xfId="0" applyNumberFormat="1" applyFont="1"/>
    <xf numFmtId="37" fontId="7" fillId="0" borderId="0" xfId="4" applyNumberFormat="1" applyFont="1"/>
    <xf numFmtId="14" fontId="7" fillId="0" borderId="0" xfId="4" applyNumberFormat="1" applyFont="1"/>
    <xf numFmtId="3" fontId="7" fillId="0" borderId="0" xfId="6" quotePrefix="1" applyNumberFormat="1" applyFont="1" applyAlignment="1">
      <alignment horizontal="center"/>
    </xf>
    <xf numFmtId="14" fontId="1" fillId="0" borderId="0" xfId="10" applyNumberFormat="1" applyFont="1" applyFill="1"/>
    <xf numFmtId="3" fontId="1" fillId="0" borderId="0" xfId="10" applyNumberFormat="1" applyFont="1" applyFill="1"/>
    <xf numFmtId="0" fontId="1" fillId="0" borderId="0" xfId="10" applyFont="1" applyFill="1"/>
    <xf numFmtId="43" fontId="2" fillId="0" borderId="2" xfId="1" applyNumberFormat="1" applyFont="1" applyFill="1" applyBorder="1"/>
    <xf numFmtId="164" fontId="1" fillId="0" borderId="0" xfId="1" applyNumberFormat="1"/>
    <xf numFmtId="14" fontId="0" fillId="0" borderId="0" xfId="0" applyNumberFormat="1" applyFill="1"/>
    <xf numFmtId="168" fontId="11" fillId="0" borderId="0" xfId="7" applyNumberFormat="1" applyFont="1" applyFill="1"/>
    <xf numFmtId="14" fontId="15" fillId="0" borderId="0" xfId="0" quotePrefix="1" applyNumberFormat="1" applyFont="1" applyAlignment="1">
      <alignment horizontal="center"/>
    </xf>
    <xf numFmtId="164" fontId="17" fillId="0" borderId="1" xfId="0" applyNumberFormat="1" applyFont="1" applyFill="1" applyBorder="1"/>
    <xf numFmtId="3" fontId="17" fillId="0" borderId="0" xfId="0" applyNumberFormat="1" applyFont="1"/>
    <xf numFmtId="3" fontId="0" fillId="0" borderId="2" xfId="0" applyNumberFormat="1" applyBorder="1"/>
    <xf numFmtId="0" fontId="1" fillId="0" borderId="0" xfId="10" applyFont="1" applyAlignment="1">
      <alignment wrapText="1"/>
    </xf>
    <xf numFmtId="0" fontId="17" fillId="0" borderId="2" xfId="0" applyFont="1" applyBorder="1" applyAlignment="1">
      <alignment horizontal="center"/>
    </xf>
    <xf numFmtId="0" fontId="1" fillId="0" borderId="0" xfId="4" applyFont="1" applyAlignment="1">
      <alignment horizontal="left" wrapText="1"/>
    </xf>
    <xf numFmtId="0" fontId="2" fillId="0" borderId="0" xfId="4" applyFont="1" applyAlignment="1">
      <alignment horizontal="center"/>
    </xf>
    <xf numFmtId="0" fontId="2" fillId="2" borderId="0" xfId="4" applyFont="1" applyFill="1" applyAlignment="1">
      <alignment horizontal="center"/>
    </xf>
    <xf numFmtId="0" fontId="2" fillId="0" borderId="0" xfId="4" quotePrefix="1" applyFont="1" applyAlignment="1">
      <alignment horizontal="center"/>
    </xf>
    <xf numFmtId="0" fontId="2" fillId="0" borderId="0" xfId="4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66" fontId="8" fillId="0" borderId="0" xfId="6" applyFont="1" applyAlignment="1">
      <alignment horizontal="center"/>
    </xf>
    <xf numFmtId="166" fontId="8" fillId="0" borderId="0" xfId="6" quotePrefix="1" applyFont="1" applyAlignment="1">
      <alignment horizontal="center"/>
    </xf>
    <xf numFmtId="43" fontId="2" fillId="0" borderId="0" xfId="1" applyFont="1" applyAlignment="1">
      <alignment horizontal="center"/>
    </xf>
    <xf numFmtId="0" fontId="2" fillId="0" borderId="0" xfId="10" applyFont="1" applyFill="1" applyAlignment="1">
      <alignment horizontal="center"/>
    </xf>
    <xf numFmtId="0" fontId="12" fillId="0" borderId="0" xfId="7" applyFont="1" applyAlignment="1">
      <alignment horizontal="center"/>
    </xf>
    <xf numFmtId="0" fontId="12" fillId="0" borderId="0" xfId="7" quotePrefix="1" applyFont="1" applyAlignment="1">
      <alignment horizontal="center"/>
    </xf>
    <xf numFmtId="0" fontId="8" fillId="0" borderId="0" xfId="4" applyFont="1" applyAlignment="1">
      <alignment horizontal="center"/>
    </xf>
    <xf numFmtId="166" fontId="8" fillId="0" borderId="0" xfId="6" applyFont="1" applyFill="1" applyAlignment="1">
      <alignment horizontal="center"/>
    </xf>
    <xf numFmtId="166" fontId="8" fillId="2" borderId="0" xfId="6" applyFont="1" applyFill="1" applyAlignment="1">
      <alignment horizontal="center"/>
    </xf>
    <xf numFmtId="3" fontId="8" fillId="0" borderId="0" xfId="6" applyNumberFormat="1" applyFont="1" applyAlignment="1">
      <alignment horizontal="center"/>
    </xf>
    <xf numFmtId="166" fontId="7" fillId="0" borderId="0" xfId="6" applyFont="1" applyAlignment="1">
      <alignment wrapText="1"/>
    </xf>
  </cellXfs>
  <cellStyles count="12">
    <cellStyle name="Comma" xfId="1" builtinId="3"/>
    <cellStyle name="Comma 2" xfId="2"/>
    <cellStyle name="Comma 4" xfId="3"/>
    <cellStyle name="Normal" xfId="0" builtinId="0"/>
    <cellStyle name="Normal 2" xfId="4"/>
    <cellStyle name="Normal 2 2" xfId="5"/>
    <cellStyle name="Normal 3" xfId="6"/>
    <cellStyle name="Normal 4" xfId="7"/>
    <cellStyle name="Normal 5" xfId="8"/>
    <cellStyle name="Normal 6" xfId="10"/>
    <cellStyle name="Normal 7" xfId="11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D18" sqref="D18"/>
    </sheetView>
  </sheetViews>
  <sheetFormatPr defaultRowHeight="15"/>
  <sheetData>
    <row r="1" spans="1:1" ht="20.25">
      <c r="A1" s="87" t="s">
        <v>397</v>
      </c>
    </row>
    <row r="4" spans="1:1">
      <c r="A4" s="78" t="s">
        <v>398</v>
      </c>
    </row>
    <row r="6" spans="1:1">
      <c r="A6" s="78" t="s">
        <v>399</v>
      </c>
    </row>
    <row r="8" spans="1:1">
      <c r="A8" s="78" t="s">
        <v>400</v>
      </c>
    </row>
    <row r="10" spans="1:1">
      <c r="A10" s="78" t="s">
        <v>413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N1534"/>
  <sheetViews>
    <sheetView workbookViewId="0">
      <pane ySplit="4" topLeftCell="A44" activePane="bottomLeft" state="frozen"/>
      <selection pane="bottomLeft" activeCell="G79" sqref="G79"/>
    </sheetView>
  </sheetViews>
  <sheetFormatPr defaultRowHeight="12.75"/>
  <cols>
    <col min="1" max="1" width="16.5546875" style="45" customWidth="1"/>
    <col min="2" max="2" width="13.5546875" style="45" customWidth="1"/>
    <col min="3" max="3" width="9.109375" style="45" bestFit="1" customWidth="1"/>
    <col min="4" max="4" width="3.6640625" style="45" customWidth="1"/>
    <col min="5" max="5" width="9.5546875" style="45" bestFit="1" customWidth="1"/>
    <col min="6" max="6" width="8.88671875" style="45"/>
    <col min="7" max="7" width="9.109375" style="45" bestFit="1" customWidth="1"/>
    <col min="8" max="8" width="8.77734375" style="45" bestFit="1" customWidth="1"/>
    <col min="9" max="12" width="8.88671875" style="45"/>
    <col min="13" max="13" width="13.109375" style="45" customWidth="1"/>
    <col min="14" max="16384" width="8.88671875" style="45"/>
  </cols>
  <sheetData>
    <row r="1" spans="1:14" ht="25.5">
      <c r="A1" s="43" t="s">
        <v>373</v>
      </c>
      <c r="B1" s="44"/>
      <c r="C1" s="44"/>
      <c r="D1" s="44"/>
      <c r="F1" s="46"/>
      <c r="I1" s="47"/>
    </row>
    <row r="2" spans="1:14">
      <c r="F2" s="48"/>
    </row>
    <row r="3" spans="1:14">
      <c r="B3" s="49" t="s">
        <v>374</v>
      </c>
      <c r="C3" s="49" t="s">
        <v>336</v>
      </c>
      <c r="D3" s="50"/>
      <c r="E3" s="50"/>
      <c r="F3" s="50"/>
      <c r="G3" s="49" t="s">
        <v>375</v>
      </c>
      <c r="H3" s="51"/>
      <c r="M3" s="52"/>
      <c r="N3" s="53" t="s">
        <v>377</v>
      </c>
    </row>
    <row r="4" spans="1:14">
      <c r="B4" s="54" t="s">
        <v>378</v>
      </c>
      <c r="C4" s="55" t="s">
        <v>379</v>
      </c>
      <c r="D4" s="55"/>
      <c r="E4" s="55" t="s">
        <v>380</v>
      </c>
      <c r="F4" s="55" t="s">
        <v>381</v>
      </c>
      <c r="G4" s="55" t="s">
        <v>382</v>
      </c>
      <c r="M4" s="52"/>
      <c r="N4" s="53" t="s">
        <v>376</v>
      </c>
    </row>
    <row r="5" spans="1:14">
      <c r="A5" s="56">
        <v>37711</v>
      </c>
      <c r="B5" s="57">
        <v>0</v>
      </c>
      <c r="C5" s="57">
        <v>0</v>
      </c>
      <c r="D5" s="57"/>
      <c r="E5" s="58">
        <v>292133.37</v>
      </c>
    </row>
    <row r="6" spans="1:14">
      <c r="A6" s="56">
        <v>37802</v>
      </c>
      <c r="B6" s="57">
        <v>0</v>
      </c>
      <c r="C6" s="57">
        <v>0</v>
      </c>
      <c r="D6" s="57"/>
      <c r="E6" s="58">
        <v>292133.37</v>
      </c>
    </row>
    <row r="7" spans="1:14">
      <c r="A7" s="56">
        <v>37894</v>
      </c>
      <c r="B7" s="57">
        <v>0</v>
      </c>
      <c r="C7" s="57">
        <v>0</v>
      </c>
      <c r="D7" s="57"/>
      <c r="E7" s="58">
        <v>292133.37</v>
      </c>
    </row>
    <row r="8" spans="1:14">
      <c r="A8" s="56">
        <v>37986</v>
      </c>
      <c r="B8" s="57">
        <v>0</v>
      </c>
      <c r="C8" s="57">
        <v>0</v>
      </c>
      <c r="D8" s="57"/>
      <c r="E8" s="58">
        <v>292133.37</v>
      </c>
      <c r="F8" s="57">
        <v>2003</v>
      </c>
    </row>
    <row r="9" spans="1:14">
      <c r="A9" s="56">
        <v>38077</v>
      </c>
      <c r="B9" s="57">
        <v>0</v>
      </c>
      <c r="C9" s="57">
        <v>0</v>
      </c>
      <c r="D9" s="57"/>
      <c r="E9" s="58">
        <v>292133.37</v>
      </c>
    </row>
    <row r="10" spans="1:14">
      <c r="A10" s="56">
        <v>38168</v>
      </c>
      <c r="B10" s="57">
        <v>0</v>
      </c>
      <c r="C10" s="57">
        <v>0</v>
      </c>
      <c r="D10" s="57"/>
      <c r="E10" s="58">
        <v>292133.37</v>
      </c>
    </row>
    <row r="11" spans="1:14">
      <c r="A11" s="56">
        <v>38260</v>
      </c>
      <c r="B11" s="57">
        <v>0</v>
      </c>
      <c r="C11" s="57">
        <v>0</v>
      </c>
      <c r="D11" s="57"/>
      <c r="E11" s="58">
        <v>292133.37</v>
      </c>
    </row>
    <row r="12" spans="1:14">
      <c r="A12" s="59">
        <v>38352</v>
      </c>
      <c r="B12" s="60">
        <v>0</v>
      </c>
      <c r="C12" s="60">
        <v>0</v>
      </c>
      <c r="D12" s="60"/>
      <c r="E12" s="61">
        <v>292133.37</v>
      </c>
      <c r="F12" s="60">
        <v>2004</v>
      </c>
    </row>
    <row r="13" spans="1:14">
      <c r="A13" s="56">
        <v>38442</v>
      </c>
      <c r="B13" s="45">
        <v>1</v>
      </c>
      <c r="C13" s="62">
        <v>4868.8900000000003</v>
      </c>
      <c r="D13" s="63"/>
      <c r="E13" s="62">
        <f>E12-C13</f>
        <v>287264.48</v>
      </c>
      <c r="H13" s="64"/>
      <c r="J13" s="64"/>
      <c r="K13" s="65"/>
      <c r="L13" s="64"/>
    </row>
    <row r="14" spans="1:14">
      <c r="A14" s="56">
        <v>38533</v>
      </c>
      <c r="B14" s="45">
        <v>2</v>
      </c>
      <c r="C14" s="62">
        <v>4868.8900000000003</v>
      </c>
      <c r="D14" s="65"/>
      <c r="E14" s="62">
        <f t="shared" ref="E14:E72" si="0">E13-C14</f>
        <v>282395.58999999997</v>
      </c>
      <c r="H14" s="64"/>
      <c r="J14" s="64"/>
      <c r="K14" s="65"/>
      <c r="L14" s="64"/>
    </row>
    <row r="15" spans="1:14">
      <c r="A15" s="56">
        <v>38625</v>
      </c>
      <c r="B15" s="45">
        <v>3</v>
      </c>
      <c r="C15" s="62">
        <v>4868.8900000000003</v>
      </c>
      <c r="D15" s="65"/>
      <c r="E15" s="62">
        <f t="shared" si="0"/>
        <v>277526.69999999995</v>
      </c>
      <c r="H15" s="64"/>
      <c r="J15" s="64"/>
      <c r="K15" s="65"/>
      <c r="L15" s="64"/>
    </row>
    <row r="16" spans="1:14">
      <c r="A16" s="59">
        <v>38717</v>
      </c>
      <c r="B16" s="66">
        <v>4</v>
      </c>
      <c r="C16" s="67">
        <v>4868.8900000000003</v>
      </c>
      <c r="D16" s="68"/>
      <c r="E16" s="67">
        <f t="shared" si="0"/>
        <v>272657.80999999994</v>
      </c>
      <c r="F16" s="66">
        <v>2005</v>
      </c>
      <c r="G16" s="69">
        <f>SUM(C13:C16)</f>
        <v>19475.560000000001</v>
      </c>
      <c r="H16" s="70" t="s">
        <v>383</v>
      </c>
      <c r="I16" s="45">
        <v>19475</v>
      </c>
      <c r="J16" s="64"/>
      <c r="K16" s="65"/>
      <c r="L16" s="64"/>
    </row>
    <row r="17" spans="1:12">
      <c r="A17" s="56">
        <v>38807</v>
      </c>
      <c r="B17" s="45">
        <v>5</v>
      </c>
      <c r="C17" s="62">
        <v>4868.8900000000003</v>
      </c>
      <c r="D17" s="65"/>
      <c r="E17" s="62">
        <f t="shared" si="0"/>
        <v>267788.91999999993</v>
      </c>
      <c r="H17" s="64"/>
      <c r="J17" s="64"/>
      <c r="K17" s="65"/>
      <c r="L17" s="64"/>
    </row>
    <row r="18" spans="1:12">
      <c r="A18" s="56">
        <v>38898</v>
      </c>
      <c r="B18" s="45">
        <v>6</v>
      </c>
      <c r="C18" s="62">
        <v>4868.8900000000003</v>
      </c>
      <c r="D18" s="65"/>
      <c r="E18" s="62">
        <f t="shared" si="0"/>
        <v>262920.02999999991</v>
      </c>
      <c r="H18" s="64"/>
      <c r="J18" s="64"/>
      <c r="K18" s="65"/>
      <c r="L18" s="64"/>
    </row>
    <row r="19" spans="1:12">
      <c r="A19" s="56">
        <v>38990</v>
      </c>
      <c r="B19" s="45">
        <v>7</v>
      </c>
      <c r="C19" s="62">
        <v>4868.8900000000003</v>
      </c>
      <c r="D19" s="65"/>
      <c r="E19" s="62">
        <f t="shared" si="0"/>
        <v>258051.1399999999</v>
      </c>
      <c r="H19" s="64"/>
      <c r="J19" s="64"/>
      <c r="K19" s="65"/>
      <c r="L19" s="64"/>
    </row>
    <row r="20" spans="1:12">
      <c r="A20" s="59">
        <v>39082</v>
      </c>
      <c r="B20" s="66">
        <v>8</v>
      </c>
      <c r="C20" s="67">
        <v>4868.8900000000003</v>
      </c>
      <c r="D20" s="68"/>
      <c r="E20" s="67">
        <f t="shared" si="0"/>
        <v>253182.24999999988</v>
      </c>
      <c r="F20" s="66">
        <v>2006</v>
      </c>
      <c r="G20" s="69">
        <f>SUM(C17:C20)</f>
        <v>19475.560000000001</v>
      </c>
      <c r="H20" s="70" t="s">
        <v>384</v>
      </c>
      <c r="I20" s="45">
        <v>198624</v>
      </c>
      <c r="J20" s="64"/>
      <c r="K20" s="65"/>
      <c r="L20" s="64"/>
    </row>
    <row r="21" spans="1:12">
      <c r="A21" s="56">
        <v>39172</v>
      </c>
      <c r="B21" s="45">
        <v>9</v>
      </c>
      <c r="C21" s="62">
        <v>4868.8900000000003</v>
      </c>
      <c r="D21" s="65"/>
      <c r="E21" s="62">
        <f t="shared" si="0"/>
        <v>248313.35999999987</v>
      </c>
      <c r="H21" s="64"/>
      <c r="J21" s="64"/>
      <c r="K21" s="65"/>
      <c r="L21" s="64"/>
    </row>
    <row r="22" spans="1:12">
      <c r="A22" s="56">
        <v>39263</v>
      </c>
      <c r="B22" s="45">
        <v>10</v>
      </c>
      <c r="C22" s="62">
        <v>4868.8900000000003</v>
      </c>
      <c r="D22" s="65"/>
      <c r="E22" s="62">
        <f t="shared" si="0"/>
        <v>243444.46999999986</v>
      </c>
      <c r="H22" s="64"/>
      <c r="J22" s="64"/>
      <c r="K22" s="65"/>
      <c r="L22" s="64"/>
    </row>
    <row r="23" spans="1:12">
      <c r="A23" s="56">
        <v>39355</v>
      </c>
      <c r="B23" s="45">
        <v>11</v>
      </c>
      <c r="C23" s="62">
        <v>4868.8900000000003</v>
      </c>
      <c r="D23" s="65"/>
      <c r="E23" s="62">
        <f t="shared" si="0"/>
        <v>238575.57999999984</v>
      </c>
      <c r="H23" s="64"/>
      <c r="J23" s="64"/>
      <c r="K23" s="65"/>
      <c r="L23" s="64"/>
    </row>
    <row r="24" spans="1:12" ht="15">
      <c r="A24" s="59">
        <v>39447</v>
      </c>
      <c r="B24" s="66">
        <v>12</v>
      </c>
      <c r="C24" s="67">
        <v>4868.8900000000003</v>
      </c>
      <c r="D24" s="68"/>
      <c r="E24" s="67">
        <f t="shared" si="0"/>
        <v>233706.68999999983</v>
      </c>
      <c r="F24" s="66">
        <v>2007</v>
      </c>
      <c r="G24" s="69">
        <f>SUM(C21:C24)</f>
        <v>19475.560000000001</v>
      </c>
      <c r="H24" s="71" t="s">
        <v>385</v>
      </c>
      <c r="I24" s="45" t="s">
        <v>386</v>
      </c>
      <c r="J24" s="64"/>
      <c r="K24" s="65"/>
      <c r="L24" s="64"/>
    </row>
    <row r="25" spans="1:12">
      <c r="A25" s="56">
        <v>39538</v>
      </c>
      <c r="B25" s="45">
        <v>13</v>
      </c>
      <c r="C25" s="62">
        <v>4868.8900000000003</v>
      </c>
      <c r="D25" s="65"/>
      <c r="E25" s="62">
        <f t="shared" si="0"/>
        <v>228837.79999999981</v>
      </c>
      <c r="H25" s="64"/>
      <c r="J25" s="64"/>
      <c r="K25" s="65"/>
      <c r="L25" s="64"/>
    </row>
    <row r="26" spans="1:12">
      <c r="A26" s="56">
        <v>39629</v>
      </c>
      <c r="B26" s="45">
        <v>14</v>
      </c>
      <c r="C26" s="62">
        <v>4868.8900000000003</v>
      </c>
      <c r="D26" s="65"/>
      <c r="E26" s="62">
        <f t="shared" si="0"/>
        <v>223968.9099999998</v>
      </c>
      <c r="H26" s="64"/>
      <c r="J26" s="64"/>
      <c r="K26" s="65"/>
      <c r="L26" s="64"/>
    </row>
    <row r="27" spans="1:12">
      <c r="A27" s="56">
        <v>39721</v>
      </c>
      <c r="B27" s="45">
        <v>15</v>
      </c>
      <c r="C27" s="62">
        <v>4868.8900000000003</v>
      </c>
      <c r="D27" s="65"/>
      <c r="E27" s="62">
        <f t="shared" si="0"/>
        <v>219100.01999999979</v>
      </c>
      <c r="H27" s="64"/>
      <c r="J27" s="64"/>
      <c r="K27" s="65"/>
      <c r="L27" s="64"/>
    </row>
    <row r="28" spans="1:12">
      <c r="A28" s="59">
        <v>39813</v>
      </c>
      <c r="B28" s="66">
        <v>16</v>
      </c>
      <c r="C28" s="67">
        <v>4868.8900000000003</v>
      </c>
      <c r="D28" s="68"/>
      <c r="E28" s="67">
        <f t="shared" si="0"/>
        <v>214231.12999999977</v>
      </c>
      <c r="F28" s="66">
        <v>2008</v>
      </c>
      <c r="G28" s="69">
        <f>SUM(C25:C28)</f>
        <v>19475.560000000001</v>
      </c>
      <c r="H28" s="70" t="s">
        <v>387</v>
      </c>
      <c r="I28" s="45" t="s">
        <v>388</v>
      </c>
      <c r="J28" s="64"/>
      <c r="K28" s="65"/>
      <c r="L28" s="64"/>
    </row>
    <row r="29" spans="1:12">
      <c r="A29" s="56">
        <v>39903</v>
      </c>
      <c r="B29" s="45">
        <v>17</v>
      </c>
      <c r="C29" s="62">
        <v>4868.8900000000003</v>
      </c>
      <c r="D29" s="65"/>
      <c r="E29" s="62">
        <f t="shared" si="0"/>
        <v>209362.23999999976</v>
      </c>
      <c r="H29" s="64"/>
      <c r="J29" s="64"/>
      <c r="K29" s="65"/>
      <c r="L29" s="64"/>
    </row>
    <row r="30" spans="1:12">
      <c r="A30" s="56">
        <v>39994</v>
      </c>
      <c r="B30" s="45">
        <v>18</v>
      </c>
      <c r="C30" s="62">
        <v>4868.8900000000003</v>
      </c>
      <c r="D30" s="65"/>
      <c r="E30" s="62">
        <f t="shared" si="0"/>
        <v>204493.34999999974</v>
      </c>
      <c r="H30" s="64"/>
      <c r="J30" s="64"/>
      <c r="K30" s="65"/>
      <c r="L30" s="64"/>
    </row>
    <row r="31" spans="1:12">
      <c r="A31" s="56">
        <v>40086</v>
      </c>
      <c r="B31" s="45">
        <v>19</v>
      </c>
      <c r="C31" s="62">
        <v>4868.8900000000003</v>
      </c>
      <c r="D31" s="65"/>
      <c r="E31" s="62">
        <f t="shared" si="0"/>
        <v>199624.45999999973</v>
      </c>
      <c r="H31" s="64"/>
      <c r="J31" s="64"/>
      <c r="K31" s="65"/>
      <c r="L31" s="64"/>
    </row>
    <row r="32" spans="1:12">
      <c r="A32" s="59">
        <v>40178</v>
      </c>
      <c r="B32" s="66">
        <v>20</v>
      </c>
      <c r="C32" s="67">
        <v>4868.8900000000003</v>
      </c>
      <c r="D32" s="68"/>
      <c r="E32" s="67">
        <f t="shared" si="0"/>
        <v>194755.56999999972</v>
      </c>
      <c r="F32" s="66">
        <v>2009</v>
      </c>
      <c r="G32" s="69">
        <f>SUM(C29:C32)</f>
        <v>19475.560000000001</v>
      </c>
      <c r="H32" s="70" t="s">
        <v>389</v>
      </c>
      <c r="I32" s="45" t="s">
        <v>386</v>
      </c>
      <c r="J32" s="64"/>
      <c r="K32" s="65"/>
      <c r="L32" s="64"/>
    </row>
    <row r="33" spans="1:12">
      <c r="A33" s="56">
        <v>40268</v>
      </c>
      <c r="B33" s="45">
        <v>21</v>
      </c>
      <c r="C33" s="62">
        <v>4868.8900000000003</v>
      </c>
      <c r="D33" s="65"/>
      <c r="E33" s="62">
        <f t="shared" si="0"/>
        <v>189886.6799999997</v>
      </c>
      <c r="H33" s="64"/>
      <c r="J33" s="64"/>
      <c r="K33" s="65"/>
      <c r="L33" s="64"/>
    </row>
    <row r="34" spans="1:12">
      <c r="A34" s="56">
        <v>40359</v>
      </c>
      <c r="B34" s="45">
        <v>22</v>
      </c>
      <c r="C34" s="62">
        <v>4868.8900000000003</v>
      </c>
      <c r="D34" s="65"/>
      <c r="E34" s="62">
        <f t="shared" si="0"/>
        <v>185017.78999999969</v>
      </c>
      <c r="H34" s="64"/>
      <c r="J34" s="64"/>
      <c r="K34" s="65"/>
      <c r="L34" s="64"/>
    </row>
    <row r="35" spans="1:12">
      <c r="A35" s="56">
        <v>40451</v>
      </c>
      <c r="B35" s="45">
        <v>23</v>
      </c>
      <c r="C35" s="62">
        <v>4868.8900000000003</v>
      </c>
      <c r="D35" s="65"/>
      <c r="E35" s="62">
        <f t="shared" si="0"/>
        <v>180148.89999999967</v>
      </c>
      <c r="H35" s="64"/>
      <c r="J35" s="64"/>
      <c r="K35" s="65"/>
      <c r="L35" s="64"/>
    </row>
    <row r="36" spans="1:12">
      <c r="A36" s="59">
        <v>40543</v>
      </c>
      <c r="B36" s="66">
        <v>24</v>
      </c>
      <c r="C36" s="67">
        <v>4868.8900000000003</v>
      </c>
      <c r="D36" s="68"/>
      <c r="E36" s="67">
        <f t="shared" si="0"/>
        <v>175280.00999999966</v>
      </c>
      <c r="F36" s="66">
        <v>2010</v>
      </c>
      <c r="G36" s="69">
        <f>SUM(C33:C36)</f>
        <v>19475.560000000001</v>
      </c>
      <c r="H36" s="70" t="s">
        <v>390</v>
      </c>
      <c r="I36" s="45" t="s">
        <v>386</v>
      </c>
      <c r="J36" s="64"/>
      <c r="K36" s="65"/>
      <c r="L36" s="64"/>
    </row>
    <row r="37" spans="1:12">
      <c r="A37" s="56">
        <v>40633</v>
      </c>
      <c r="B37" s="45">
        <v>25</v>
      </c>
      <c r="C37" s="62">
        <v>4868.8900000000003</v>
      </c>
      <c r="D37" s="65"/>
      <c r="E37" s="62">
        <f>E36-C37</f>
        <v>170411.11999999965</v>
      </c>
      <c r="H37" s="64"/>
      <c r="J37" s="64"/>
      <c r="K37" s="65"/>
      <c r="L37" s="64"/>
    </row>
    <row r="38" spans="1:12">
      <c r="A38" s="56">
        <v>40724</v>
      </c>
      <c r="B38" s="45">
        <v>26</v>
      </c>
      <c r="C38" s="62">
        <v>4868.8900000000003</v>
      </c>
      <c r="D38" s="65"/>
      <c r="E38" s="62">
        <f t="shared" si="0"/>
        <v>165542.22999999963</v>
      </c>
      <c r="H38" s="64"/>
      <c r="J38" s="64"/>
      <c r="K38" s="65"/>
      <c r="L38" s="64"/>
    </row>
    <row r="39" spans="1:12">
      <c r="A39" s="56">
        <v>40816</v>
      </c>
      <c r="B39" s="45">
        <v>27</v>
      </c>
      <c r="C39" s="62">
        <v>4868.8900000000003</v>
      </c>
      <c r="D39" s="65"/>
      <c r="E39" s="62">
        <f t="shared" si="0"/>
        <v>160673.33999999962</v>
      </c>
      <c r="G39" s="72"/>
      <c r="H39" s="64"/>
      <c r="J39" s="64"/>
      <c r="K39" s="65"/>
      <c r="L39" s="64"/>
    </row>
    <row r="40" spans="1:12">
      <c r="A40" s="59">
        <v>40908</v>
      </c>
      <c r="B40" s="66">
        <v>28</v>
      </c>
      <c r="C40" s="67">
        <v>4868.8900000000003</v>
      </c>
      <c r="D40" s="68"/>
      <c r="E40" s="166">
        <f t="shared" si="0"/>
        <v>155804.4499999996</v>
      </c>
      <c r="F40" s="66">
        <v>2011</v>
      </c>
      <c r="G40" s="69">
        <f>SUM(C37:C40)</f>
        <v>19475.560000000001</v>
      </c>
      <c r="H40" s="64"/>
      <c r="J40" s="64"/>
      <c r="K40" s="65"/>
      <c r="L40" s="64"/>
    </row>
    <row r="41" spans="1:12">
      <c r="A41" s="56">
        <v>40999</v>
      </c>
      <c r="B41" s="45">
        <v>29</v>
      </c>
      <c r="C41" s="62">
        <v>4868.8900000000003</v>
      </c>
      <c r="D41" s="65"/>
      <c r="E41" s="62">
        <f t="shared" si="0"/>
        <v>150935.55999999959</v>
      </c>
      <c r="H41" s="64"/>
      <c r="I41" s="53"/>
      <c r="J41" s="64"/>
      <c r="K41" s="65"/>
      <c r="L41" s="64"/>
    </row>
    <row r="42" spans="1:12">
      <c r="A42" s="56">
        <v>41090</v>
      </c>
      <c r="B42" s="45">
        <v>30</v>
      </c>
      <c r="C42" s="62">
        <v>4868.8900000000003</v>
      </c>
      <c r="D42" s="65"/>
      <c r="E42" s="62">
        <f t="shared" si="0"/>
        <v>146066.66999999958</v>
      </c>
      <c r="H42" s="64"/>
      <c r="J42" s="64"/>
      <c r="K42" s="65"/>
      <c r="L42" s="64"/>
    </row>
    <row r="43" spans="1:12">
      <c r="A43" s="56">
        <v>41182</v>
      </c>
      <c r="B43" s="45">
        <v>31</v>
      </c>
      <c r="C43" s="62">
        <v>4868.8900000000003</v>
      </c>
      <c r="D43" s="65"/>
      <c r="E43" s="62">
        <f t="shared" si="0"/>
        <v>141197.77999999956</v>
      </c>
      <c r="H43" s="64"/>
      <c r="J43" s="64"/>
      <c r="K43" s="65"/>
      <c r="L43" s="64"/>
    </row>
    <row r="44" spans="1:12">
      <c r="A44" s="56">
        <v>41274</v>
      </c>
      <c r="B44" s="45">
        <v>32</v>
      </c>
      <c r="C44" s="62">
        <v>4868.8900000000003</v>
      </c>
      <c r="D44" s="65"/>
      <c r="E44" s="105">
        <f t="shared" si="0"/>
        <v>136328.88999999955</v>
      </c>
      <c r="F44" s="45">
        <v>2012</v>
      </c>
      <c r="G44" s="72">
        <f>SUM(C41:C44)</f>
        <v>19475.560000000001</v>
      </c>
      <c r="H44" s="64"/>
      <c r="J44" s="64"/>
      <c r="K44" s="65"/>
      <c r="L44" s="64"/>
    </row>
    <row r="45" spans="1:12">
      <c r="A45" s="56">
        <v>41364</v>
      </c>
      <c r="B45" s="45">
        <v>33</v>
      </c>
      <c r="C45" s="62">
        <v>4868.8900000000003</v>
      </c>
      <c r="D45" s="65"/>
      <c r="E45" s="62">
        <f t="shared" si="0"/>
        <v>131459.99999999953</v>
      </c>
      <c r="H45" s="64"/>
      <c r="I45" s="72"/>
      <c r="J45" s="64"/>
      <c r="K45" s="65"/>
      <c r="L45" s="64"/>
    </row>
    <row r="46" spans="1:12">
      <c r="A46" s="56">
        <v>41455</v>
      </c>
      <c r="B46" s="45">
        <v>34</v>
      </c>
      <c r="C46" s="62">
        <v>4868.8900000000003</v>
      </c>
      <c r="D46" s="65"/>
      <c r="E46" s="62">
        <f t="shared" si="0"/>
        <v>126591.10999999953</v>
      </c>
      <c r="H46" s="64"/>
      <c r="J46" s="64"/>
      <c r="K46" s="65"/>
      <c r="L46" s="64"/>
    </row>
    <row r="47" spans="1:12">
      <c r="A47" s="56">
        <v>41547</v>
      </c>
      <c r="B47" s="45">
        <v>35</v>
      </c>
      <c r="C47" s="62">
        <v>4868.8900000000003</v>
      </c>
      <c r="D47" s="65"/>
      <c r="E47" s="62">
        <f t="shared" si="0"/>
        <v>121722.21999999954</v>
      </c>
      <c r="H47" s="64"/>
      <c r="J47" s="64"/>
      <c r="K47" s="65"/>
      <c r="L47" s="64"/>
    </row>
    <row r="48" spans="1:12">
      <c r="A48" s="56">
        <v>41639</v>
      </c>
      <c r="B48" s="45">
        <v>36</v>
      </c>
      <c r="C48" s="62">
        <v>4868.8900000000003</v>
      </c>
      <c r="D48" s="65"/>
      <c r="E48" s="62">
        <f t="shared" si="0"/>
        <v>116853.32999999954</v>
      </c>
      <c r="F48" s="45">
        <v>2013</v>
      </c>
      <c r="G48" s="72">
        <f>SUM(C45:C48)</f>
        <v>19475.560000000001</v>
      </c>
      <c r="H48" s="64"/>
      <c r="J48" s="64"/>
      <c r="K48" s="65"/>
      <c r="L48" s="64"/>
    </row>
    <row r="49" spans="1:12">
      <c r="A49" s="56">
        <v>41729</v>
      </c>
      <c r="B49" s="45">
        <v>37</v>
      </c>
      <c r="C49" s="62">
        <v>4868.8900000000003</v>
      </c>
      <c r="D49" s="65"/>
      <c r="E49" s="62">
        <f t="shared" si="0"/>
        <v>111984.43999999954</v>
      </c>
      <c r="H49" s="64"/>
      <c r="J49" s="64"/>
      <c r="K49" s="65"/>
      <c r="L49" s="64"/>
    </row>
    <row r="50" spans="1:12">
      <c r="A50" s="56">
        <v>41820</v>
      </c>
      <c r="B50" s="45">
        <v>38</v>
      </c>
      <c r="C50" s="62">
        <v>4868.8900000000003</v>
      </c>
      <c r="D50" s="65"/>
      <c r="E50" s="62">
        <f t="shared" si="0"/>
        <v>107115.54999999954</v>
      </c>
      <c r="H50" s="64"/>
      <c r="J50" s="64"/>
      <c r="K50" s="65"/>
      <c r="L50" s="64"/>
    </row>
    <row r="51" spans="1:12">
      <c r="A51" s="56">
        <v>41912</v>
      </c>
      <c r="B51" s="45">
        <v>39</v>
      </c>
      <c r="C51" s="62">
        <v>4868.8900000000003</v>
      </c>
      <c r="D51" s="65"/>
      <c r="E51" s="62">
        <f t="shared" si="0"/>
        <v>102246.65999999954</v>
      </c>
      <c r="H51" s="64"/>
      <c r="J51" s="64"/>
      <c r="K51" s="65"/>
      <c r="L51" s="64"/>
    </row>
    <row r="52" spans="1:12">
      <c r="A52" s="56">
        <v>42004</v>
      </c>
      <c r="B52" s="45">
        <v>40</v>
      </c>
      <c r="C52" s="62">
        <v>4868.8900000000003</v>
      </c>
      <c r="D52" s="65"/>
      <c r="E52" s="62">
        <f t="shared" si="0"/>
        <v>97377.769999999538</v>
      </c>
      <c r="F52" s="45">
        <v>2014</v>
      </c>
      <c r="G52" s="72">
        <f>SUM(C49:C52)</f>
        <v>19475.560000000001</v>
      </c>
      <c r="H52" s="64"/>
      <c r="J52" s="64"/>
      <c r="K52" s="65"/>
      <c r="L52" s="64"/>
    </row>
    <row r="53" spans="1:12">
      <c r="A53" s="56">
        <v>42094</v>
      </c>
      <c r="B53" s="45">
        <v>41</v>
      </c>
      <c r="C53" s="62">
        <v>4868.8900000000003</v>
      </c>
      <c r="D53" s="65"/>
      <c r="E53" s="62">
        <f t="shared" si="0"/>
        <v>92508.879999999539</v>
      </c>
      <c r="H53" s="64"/>
      <c r="J53" s="64"/>
      <c r="K53" s="65"/>
      <c r="L53" s="64"/>
    </row>
    <row r="54" spans="1:12">
      <c r="A54" s="56">
        <v>42185</v>
      </c>
      <c r="B54" s="45">
        <v>42</v>
      </c>
      <c r="C54" s="62">
        <v>4868.8900000000003</v>
      </c>
      <c r="D54" s="65"/>
      <c r="E54" s="62">
        <f>E53-C54</f>
        <v>87639.98999999954</v>
      </c>
      <c r="H54" s="64"/>
      <c r="J54" s="64"/>
      <c r="K54" s="65"/>
      <c r="L54" s="64"/>
    </row>
    <row r="55" spans="1:12">
      <c r="A55" s="56">
        <v>42277</v>
      </c>
      <c r="B55" s="45">
        <v>43</v>
      </c>
      <c r="C55" s="62">
        <v>4868.8900000000003</v>
      </c>
      <c r="D55" s="65"/>
      <c r="E55" s="62">
        <f t="shared" si="0"/>
        <v>82771.09999999954</v>
      </c>
      <c r="H55" s="64"/>
      <c r="J55" s="64"/>
      <c r="K55" s="65"/>
      <c r="L55" s="64"/>
    </row>
    <row r="56" spans="1:12">
      <c r="A56" s="56">
        <v>42369</v>
      </c>
      <c r="B56" s="45">
        <v>44</v>
      </c>
      <c r="C56" s="62">
        <v>4868.8900000000003</v>
      </c>
      <c r="D56" s="65"/>
      <c r="E56" s="62">
        <f t="shared" si="0"/>
        <v>77902.209999999541</v>
      </c>
      <c r="F56" s="45">
        <v>2015</v>
      </c>
      <c r="G56" s="72">
        <f>SUM(C53:C56)</f>
        <v>19475.560000000001</v>
      </c>
      <c r="H56" s="64"/>
      <c r="J56" s="64"/>
      <c r="K56" s="65"/>
      <c r="L56" s="64"/>
    </row>
    <row r="57" spans="1:12">
      <c r="A57" s="56">
        <v>42460</v>
      </c>
      <c r="B57" s="45">
        <v>45</v>
      </c>
      <c r="C57" s="62">
        <v>4868.8900000000003</v>
      </c>
      <c r="D57" s="65"/>
      <c r="E57" s="62">
        <f t="shared" si="0"/>
        <v>73033.319999999541</v>
      </c>
      <c r="H57" s="64"/>
      <c r="J57" s="64"/>
      <c r="K57" s="65"/>
      <c r="L57" s="64"/>
    </row>
    <row r="58" spans="1:12">
      <c r="A58" s="56">
        <v>42551</v>
      </c>
      <c r="B58" s="45">
        <v>46</v>
      </c>
      <c r="C58" s="62">
        <v>4868.8900000000003</v>
      </c>
      <c r="D58" s="65"/>
      <c r="E58" s="62">
        <f t="shared" si="0"/>
        <v>68164.429999999542</v>
      </c>
      <c r="H58" s="64"/>
      <c r="J58" s="64"/>
      <c r="K58" s="65"/>
      <c r="L58" s="64"/>
    </row>
    <row r="59" spans="1:12">
      <c r="A59" s="56">
        <v>42643</v>
      </c>
      <c r="B59" s="45">
        <v>47</v>
      </c>
      <c r="C59" s="62">
        <v>4868.8900000000003</v>
      </c>
      <c r="D59" s="65"/>
      <c r="E59" s="62">
        <f t="shared" si="0"/>
        <v>63295.539999999542</v>
      </c>
      <c r="H59" s="64"/>
      <c r="J59" s="64"/>
      <c r="K59" s="65"/>
      <c r="L59" s="64"/>
    </row>
    <row r="60" spans="1:12">
      <c r="A60" s="56">
        <v>42735</v>
      </c>
      <c r="B60" s="45">
        <v>48</v>
      </c>
      <c r="C60" s="62">
        <v>4868.8900000000003</v>
      </c>
      <c r="D60" s="65"/>
      <c r="E60" s="62">
        <f t="shared" si="0"/>
        <v>58426.649999999543</v>
      </c>
      <c r="F60" s="45">
        <v>2016</v>
      </c>
      <c r="G60" s="72">
        <f>SUM(C57:C60)</f>
        <v>19475.560000000001</v>
      </c>
      <c r="H60" s="64"/>
      <c r="J60" s="64"/>
      <c r="K60" s="65"/>
      <c r="L60" s="64"/>
    </row>
    <row r="61" spans="1:12">
      <c r="A61" s="56">
        <v>42825</v>
      </c>
      <c r="B61" s="45">
        <v>49</v>
      </c>
      <c r="C61" s="62">
        <v>4868.8900000000003</v>
      </c>
      <c r="D61" s="65"/>
      <c r="E61" s="62">
        <f t="shared" si="0"/>
        <v>53557.759999999544</v>
      </c>
      <c r="H61" s="64"/>
      <c r="J61" s="64"/>
      <c r="K61" s="65"/>
      <c r="L61" s="64"/>
    </row>
    <row r="62" spans="1:12">
      <c r="A62" s="56">
        <v>42916</v>
      </c>
      <c r="B62" s="45">
        <v>50</v>
      </c>
      <c r="C62" s="62">
        <v>4868.8900000000003</v>
      </c>
      <c r="D62" s="65"/>
      <c r="E62" s="62">
        <f t="shared" si="0"/>
        <v>48688.869999999544</v>
      </c>
      <c r="H62" s="64"/>
      <c r="J62" s="64"/>
      <c r="K62" s="65"/>
      <c r="L62" s="64"/>
    </row>
    <row r="63" spans="1:12">
      <c r="A63" s="56">
        <v>43008</v>
      </c>
      <c r="B63" s="45">
        <v>51</v>
      </c>
      <c r="C63" s="62">
        <v>4868.8900000000003</v>
      </c>
      <c r="D63" s="65"/>
      <c r="E63" s="62">
        <f t="shared" si="0"/>
        <v>43819.979999999545</v>
      </c>
      <c r="H63" s="64"/>
      <c r="J63" s="64"/>
      <c r="K63" s="65"/>
      <c r="L63" s="64"/>
    </row>
    <row r="64" spans="1:12">
      <c r="A64" s="56">
        <v>43100</v>
      </c>
      <c r="B64" s="45">
        <v>52</v>
      </c>
      <c r="C64" s="62">
        <v>4868.8900000000003</v>
      </c>
      <c r="D64" s="65"/>
      <c r="E64" s="62">
        <f t="shared" si="0"/>
        <v>38951.089999999545</v>
      </c>
      <c r="F64" s="45">
        <v>2017</v>
      </c>
      <c r="G64" s="72">
        <f>SUM(C61:C64)</f>
        <v>19475.560000000001</v>
      </c>
      <c r="H64" s="64"/>
      <c r="J64" s="64"/>
      <c r="K64" s="65"/>
      <c r="L64" s="64"/>
    </row>
    <row r="65" spans="1:12">
      <c r="A65" s="56">
        <v>43190</v>
      </c>
      <c r="B65" s="45">
        <v>53</v>
      </c>
      <c r="C65" s="62">
        <v>4868.8900000000003</v>
      </c>
      <c r="D65" s="65"/>
      <c r="E65" s="62">
        <f t="shared" si="0"/>
        <v>34082.199999999546</v>
      </c>
      <c r="H65" s="64"/>
      <c r="J65" s="64"/>
      <c r="K65" s="65"/>
      <c r="L65" s="64"/>
    </row>
    <row r="66" spans="1:12">
      <c r="A66" s="56">
        <v>43281</v>
      </c>
      <c r="B66" s="45">
        <v>54</v>
      </c>
      <c r="C66" s="62">
        <v>4868.8900000000003</v>
      </c>
      <c r="D66" s="65"/>
      <c r="E66" s="62">
        <f t="shared" si="0"/>
        <v>29213.309999999547</v>
      </c>
      <c r="H66" s="64"/>
      <c r="J66" s="64"/>
      <c r="K66" s="65"/>
      <c r="L66" s="64"/>
    </row>
    <row r="67" spans="1:12">
      <c r="A67" s="56">
        <v>43373</v>
      </c>
      <c r="B67" s="45">
        <v>55</v>
      </c>
      <c r="C67" s="62">
        <v>4868.8900000000003</v>
      </c>
      <c r="D67" s="65"/>
      <c r="E67" s="62">
        <f t="shared" si="0"/>
        <v>24344.419999999547</v>
      </c>
      <c r="H67" s="64"/>
      <c r="J67" s="64"/>
      <c r="K67" s="65"/>
      <c r="L67" s="64"/>
    </row>
    <row r="68" spans="1:12">
      <c r="A68" s="56">
        <v>43465</v>
      </c>
      <c r="B68" s="45">
        <v>56</v>
      </c>
      <c r="C68" s="62">
        <v>4868.8900000000003</v>
      </c>
      <c r="D68" s="65"/>
      <c r="E68" s="62">
        <f t="shared" si="0"/>
        <v>19475.529999999548</v>
      </c>
      <c r="F68" s="45">
        <v>2018</v>
      </c>
      <c r="G68" s="72">
        <f>SUM(C65:C68)</f>
        <v>19475.560000000001</v>
      </c>
      <c r="H68" s="64"/>
      <c r="J68" s="64"/>
      <c r="K68" s="65"/>
      <c r="L68" s="64"/>
    </row>
    <row r="69" spans="1:12">
      <c r="A69" s="56">
        <v>43555</v>
      </c>
      <c r="B69" s="45">
        <v>57</v>
      </c>
      <c r="C69" s="62">
        <v>4868.8900000000003</v>
      </c>
      <c r="D69" s="65"/>
      <c r="E69" s="62">
        <f t="shared" si="0"/>
        <v>14606.639999999548</v>
      </c>
      <c r="H69" s="64"/>
      <c r="J69" s="64"/>
      <c r="K69" s="65"/>
      <c r="L69" s="64"/>
    </row>
    <row r="70" spans="1:12">
      <c r="A70" s="56">
        <v>43646</v>
      </c>
      <c r="B70" s="45">
        <v>58</v>
      </c>
      <c r="C70" s="62">
        <v>4868.8900000000003</v>
      </c>
      <c r="D70" s="65"/>
      <c r="E70" s="62">
        <f t="shared" si="0"/>
        <v>9737.7499999995489</v>
      </c>
      <c r="H70" s="64"/>
      <c r="J70" s="64"/>
      <c r="K70" s="65"/>
      <c r="L70" s="64"/>
    </row>
    <row r="71" spans="1:12">
      <c r="A71" s="56">
        <v>43738</v>
      </c>
      <c r="B71" s="45">
        <v>59</v>
      </c>
      <c r="C71" s="62">
        <v>4868.8900000000003</v>
      </c>
      <c r="D71" s="65"/>
      <c r="E71" s="62">
        <f t="shared" si="0"/>
        <v>4868.8599999995486</v>
      </c>
      <c r="H71" s="64"/>
      <c r="J71" s="64"/>
      <c r="K71" s="65"/>
      <c r="L71" s="64"/>
    </row>
    <row r="72" spans="1:12">
      <c r="A72" s="56">
        <v>43830</v>
      </c>
      <c r="B72" s="45">
        <v>60</v>
      </c>
      <c r="C72" s="73">
        <f>4868.89-0.03</f>
        <v>4868.8600000000006</v>
      </c>
      <c r="D72" s="65"/>
      <c r="E72" s="62">
        <f t="shared" si="0"/>
        <v>-4.5201886678114533E-10</v>
      </c>
      <c r="F72" s="45">
        <v>2019</v>
      </c>
      <c r="G72" s="72">
        <f>SUM(C69:C72)</f>
        <v>19475.530000000002</v>
      </c>
      <c r="H72" s="64"/>
      <c r="J72" s="64"/>
      <c r="K72" s="65"/>
      <c r="L72" s="64"/>
    </row>
    <row r="73" spans="1:12" ht="13.5" thickBot="1">
      <c r="C73" s="74">
        <f>SUM(C13:C72)</f>
        <v>292133.3700000004</v>
      </c>
      <c r="D73" s="65"/>
      <c r="E73" s="62"/>
      <c r="G73" s="74">
        <f>SUM(G13:G72)</f>
        <v>292133.37000000005</v>
      </c>
      <c r="H73" s="64"/>
      <c r="I73" s="50"/>
      <c r="J73" s="64"/>
      <c r="K73" s="75"/>
      <c r="L73" s="64"/>
    </row>
    <row r="74" spans="1:12" ht="13.5" thickTop="1">
      <c r="D74" s="75"/>
      <c r="E74" s="62"/>
    </row>
    <row r="75" spans="1:12">
      <c r="E75" s="72"/>
    </row>
    <row r="76" spans="1:12" ht="15">
      <c r="A76" t="s">
        <v>505</v>
      </c>
      <c r="B76" s="56">
        <v>38353</v>
      </c>
      <c r="E76" s="72"/>
    </row>
    <row r="77" spans="1:12" ht="15">
      <c r="A77" t="s">
        <v>502</v>
      </c>
      <c r="B77" s="167">
        <v>292133.37</v>
      </c>
      <c r="E77" s="72"/>
    </row>
    <row r="78" spans="1:12">
      <c r="E78" s="72"/>
    </row>
    <row r="79" spans="1:12">
      <c r="E79" s="72"/>
    </row>
    <row r="80" spans="1:12" ht="15">
      <c r="A80" s="78" t="s">
        <v>544</v>
      </c>
      <c r="B80" s="45" t="s">
        <v>542</v>
      </c>
      <c r="E80" s="72"/>
    </row>
    <row r="81" spans="5:5">
      <c r="E81" s="72"/>
    </row>
    <row r="82" spans="5:5">
      <c r="E82" s="72"/>
    </row>
    <row r="83" spans="5:5">
      <c r="E83" s="72"/>
    </row>
    <row r="84" spans="5:5">
      <c r="E84" s="72"/>
    </row>
    <row r="85" spans="5:5">
      <c r="E85" s="72"/>
    </row>
    <row r="86" spans="5:5">
      <c r="E86" s="72"/>
    </row>
    <row r="87" spans="5:5">
      <c r="E87" s="72"/>
    </row>
    <row r="88" spans="5:5">
      <c r="E88" s="72"/>
    </row>
    <row r="89" spans="5:5">
      <c r="E89" s="72"/>
    </row>
    <row r="90" spans="5:5">
      <c r="E90" s="72"/>
    </row>
    <row r="91" spans="5:5">
      <c r="E91" s="72"/>
    </row>
    <row r="92" spans="5:5">
      <c r="E92" s="72"/>
    </row>
    <row r="93" spans="5:5">
      <c r="E93" s="72"/>
    </row>
    <row r="94" spans="5:5">
      <c r="E94" s="72"/>
    </row>
    <row r="95" spans="5:5">
      <c r="E95" s="72"/>
    </row>
    <row r="96" spans="5:5">
      <c r="E96" s="72"/>
    </row>
    <row r="97" spans="5:5">
      <c r="E97" s="72"/>
    </row>
    <row r="98" spans="5:5">
      <c r="E98" s="72"/>
    </row>
    <row r="99" spans="5:5">
      <c r="E99" s="72"/>
    </row>
    <row r="100" spans="5:5">
      <c r="E100" s="72"/>
    </row>
    <row r="101" spans="5:5">
      <c r="E101" s="72"/>
    </row>
    <row r="102" spans="5:5">
      <c r="E102" s="72"/>
    </row>
    <row r="103" spans="5:5">
      <c r="E103" s="72"/>
    </row>
    <row r="104" spans="5:5">
      <c r="E104" s="72"/>
    </row>
    <row r="105" spans="5:5">
      <c r="E105" s="72"/>
    </row>
    <row r="106" spans="5:5">
      <c r="E106" s="72"/>
    </row>
    <row r="107" spans="5:5">
      <c r="E107" s="72"/>
    </row>
    <row r="108" spans="5:5">
      <c r="E108" s="72"/>
    </row>
    <row r="109" spans="5:5">
      <c r="E109" s="72"/>
    </row>
    <row r="110" spans="5:5">
      <c r="E110" s="72"/>
    </row>
    <row r="111" spans="5:5">
      <c r="E111" s="72"/>
    </row>
    <row r="112" spans="5:5">
      <c r="E112" s="72"/>
    </row>
    <row r="113" spans="5:5">
      <c r="E113" s="72"/>
    </row>
    <row r="114" spans="5:5">
      <c r="E114" s="72"/>
    </row>
    <row r="115" spans="5:5">
      <c r="E115" s="72"/>
    </row>
    <row r="116" spans="5:5">
      <c r="E116" s="72"/>
    </row>
    <row r="117" spans="5:5">
      <c r="E117" s="72"/>
    </row>
    <row r="118" spans="5:5">
      <c r="E118" s="72"/>
    </row>
    <row r="119" spans="5:5">
      <c r="E119" s="72"/>
    </row>
    <row r="120" spans="5:5">
      <c r="E120" s="72"/>
    </row>
    <row r="121" spans="5:5">
      <c r="E121" s="72"/>
    </row>
    <row r="122" spans="5:5">
      <c r="E122" s="72"/>
    </row>
    <row r="123" spans="5:5">
      <c r="E123" s="72"/>
    </row>
    <row r="124" spans="5:5">
      <c r="E124" s="72"/>
    </row>
    <row r="125" spans="5:5">
      <c r="E125" s="72"/>
    </row>
    <row r="126" spans="5:5">
      <c r="E126" s="72"/>
    </row>
    <row r="127" spans="5:5">
      <c r="E127" s="72"/>
    </row>
    <row r="128" spans="5:5">
      <c r="E128" s="72"/>
    </row>
    <row r="129" spans="5:5">
      <c r="E129" s="72"/>
    </row>
    <row r="130" spans="5:5">
      <c r="E130" s="72"/>
    </row>
    <row r="131" spans="5:5">
      <c r="E131" s="72"/>
    </row>
    <row r="132" spans="5:5">
      <c r="E132" s="72"/>
    </row>
    <row r="133" spans="5:5">
      <c r="E133" s="72"/>
    </row>
    <row r="134" spans="5:5">
      <c r="E134" s="72"/>
    </row>
    <row r="135" spans="5:5">
      <c r="E135" s="72"/>
    </row>
    <row r="136" spans="5:5">
      <c r="E136" s="72"/>
    </row>
    <row r="137" spans="5:5">
      <c r="E137" s="72"/>
    </row>
    <row r="138" spans="5:5">
      <c r="E138" s="72"/>
    </row>
    <row r="139" spans="5:5">
      <c r="E139" s="72"/>
    </row>
    <row r="140" spans="5:5">
      <c r="E140" s="72"/>
    </row>
    <row r="141" spans="5:5">
      <c r="E141" s="72"/>
    </row>
    <row r="142" spans="5:5">
      <c r="E142" s="72"/>
    </row>
    <row r="143" spans="5:5">
      <c r="E143" s="72"/>
    </row>
    <row r="144" spans="5:5">
      <c r="E144" s="72"/>
    </row>
    <row r="145" spans="5:5">
      <c r="E145" s="72"/>
    </row>
    <row r="146" spans="5:5">
      <c r="E146" s="72"/>
    </row>
    <row r="147" spans="5:5">
      <c r="E147" s="72"/>
    </row>
    <row r="148" spans="5:5">
      <c r="E148" s="72"/>
    </row>
    <row r="149" spans="5:5">
      <c r="E149" s="72"/>
    </row>
    <row r="150" spans="5:5">
      <c r="E150" s="72"/>
    </row>
    <row r="151" spans="5:5">
      <c r="E151" s="72"/>
    </row>
    <row r="152" spans="5:5">
      <c r="E152" s="72"/>
    </row>
    <row r="153" spans="5:5">
      <c r="E153" s="72"/>
    </row>
    <row r="154" spans="5:5">
      <c r="E154" s="72"/>
    </row>
    <row r="155" spans="5:5">
      <c r="E155" s="72"/>
    </row>
    <row r="156" spans="5:5">
      <c r="E156" s="72"/>
    </row>
    <row r="157" spans="5:5">
      <c r="E157" s="72"/>
    </row>
    <row r="158" spans="5:5">
      <c r="E158" s="72"/>
    </row>
    <row r="159" spans="5:5">
      <c r="E159" s="72"/>
    </row>
    <row r="160" spans="5:5">
      <c r="E160" s="72"/>
    </row>
    <row r="161" spans="5:5">
      <c r="E161" s="72"/>
    </row>
    <row r="162" spans="5:5">
      <c r="E162" s="72"/>
    </row>
    <row r="163" spans="5:5">
      <c r="E163" s="72"/>
    </row>
    <row r="164" spans="5:5">
      <c r="E164" s="72"/>
    </row>
    <row r="165" spans="5:5">
      <c r="E165" s="72"/>
    </row>
    <row r="166" spans="5:5">
      <c r="E166" s="72"/>
    </row>
    <row r="167" spans="5:5">
      <c r="E167" s="72"/>
    </row>
    <row r="168" spans="5:5">
      <c r="E168" s="72"/>
    </row>
    <row r="169" spans="5:5">
      <c r="E169" s="72"/>
    </row>
    <row r="170" spans="5:5">
      <c r="E170" s="72"/>
    </row>
    <row r="171" spans="5:5">
      <c r="E171" s="72"/>
    </row>
    <row r="172" spans="5:5">
      <c r="E172" s="72"/>
    </row>
    <row r="173" spans="5:5">
      <c r="E173" s="72"/>
    </row>
    <row r="174" spans="5:5">
      <c r="E174" s="72"/>
    </row>
    <row r="175" spans="5:5">
      <c r="E175" s="72"/>
    </row>
    <row r="176" spans="5:5">
      <c r="E176" s="72"/>
    </row>
    <row r="177" spans="5:5">
      <c r="E177" s="72"/>
    </row>
    <row r="178" spans="5:5">
      <c r="E178" s="72"/>
    </row>
    <row r="179" spans="5:5">
      <c r="E179" s="72"/>
    </row>
    <row r="180" spans="5:5">
      <c r="E180" s="72"/>
    </row>
    <row r="181" spans="5:5">
      <c r="E181" s="72"/>
    </row>
    <row r="182" spans="5:5">
      <c r="E182" s="72"/>
    </row>
    <row r="183" spans="5:5">
      <c r="E183" s="72"/>
    </row>
    <row r="184" spans="5:5">
      <c r="E184" s="72"/>
    </row>
    <row r="185" spans="5:5">
      <c r="E185" s="72"/>
    </row>
    <row r="186" spans="5:5">
      <c r="E186" s="72"/>
    </row>
    <row r="187" spans="5:5">
      <c r="E187" s="72"/>
    </row>
    <row r="188" spans="5:5">
      <c r="E188" s="72"/>
    </row>
    <row r="189" spans="5:5">
      <c r="E189" s="72"/>
    </row>
    <row r="190" spans="5:5">
      <c r="E190" s="72"/>
    </row>
    <row r="191" spans="5:5">
      <c r="E191" s="72"/>
    </row>
    <row r="192" spans="5:5">
      <c r="E192" s="72"/>
    </row>
    <row r="193" spans="5:5">
      <c r="E193" s="72"/>
    </row>
    <row r="194" spans="5:5">
      <c r="E194" s="72"/>
    </row>
    <row r="195" spans="5:5">
      <c r="E195" s="72"/>
    </row>
    <row r="196" spans="5:5">
      <c r="E196" s="72"/>
    </row>
    <row r="197" spans="5:5">
      <c r="E197" s="72"/>
    </row>
    <row r="198" spans="5:5">
      <c r="E198" s="72"/>
    </row>
    <row r="199" spans="5:5">
      <c r="E199" s="72"/>
    </row>
    <row r="200" spans="5:5">
      <c r="E200" s="72"/>
    </row>
    <row r="201" spans="5:5">
      <c r="E201" s="72"/>
    </row>
    <row r="202" spans="5:5">
      <c r="E202" s="72"/>
    </row>
    <row r="203" spans="5:5">
      <c r="E203" s="72"/>
    </row>
    <row r="204" spans="5:5">
      <c r="E204" s="72"/>
    </row>
    <row r="205" spans="5:5">
      <c r="E205" s="72"/>
    </row>
    <row r="206" spans="5:5">
      <c r="E206" s="72"/>
    </row>
    <row r="207" spans="5:5">
      <c r="E207" s="72"/>
    </row>
    <row r="208" spans="5:5">
      <c r="E208" s="72"/>
    </row>
    <row r="209" spans="5:5">
      <c r="E209" s="72"/>
    </row>
    <row r="210" spans="5:5">
      <c r="E210" s="72"/>
    </row>
    <row r="211" spans="5:5">
      <c r="E211" s="72"/>
    </row>
    <row r="212" spans="5:5">
      <c r="E212" s="72"/>
    </row>
    <row r="213" spans="5:5">
      <c r="E213" s="72"/>
    </row>
    <row r="214" spans="5:5">
      <c r="E214" s="72"/>
    </row>
    <row r="215" spans="5:5">
      <c r="E215" s="72"/>
    </row>
    <row r="216" spans="5:5">
      <c r="E216" s="72"/>
    </row>
    <row r="217" spans="5:5">
      <c r="E217" s="72"/>
    </row>
    <row r="218" spans="5:5">
      <c r="E218" s="72"/>
    </row>
    <row r="219" spans="5:5">
      <c r="E219" s="72"/>
    </row>
    <row r="220" spans="5:5">
      <c r="E220" s="72"/>
    </row>
    <row r="221" spans="5:5">
      <c r="E221" s="72"/>
    </row>
    <row r="222" spans="5:5">
      <c r="E222" s="72"/>
    </row>
    <row r="223" spans="5:5">
      <c r="E223" s="72"/>
    </row>
    <row r="224" spans="5:5">
      <c r="E224" s="72"/>
    </row>
    <row r="225" spans="5:5">
      <c r="E225" s="72"/>
    </row>
    <row r="226" spans="5:5">
      <c r="E226" s="72"/>
    </row>
    <row r="227" spans="5:5">
      <c r="E227" s="72"/>
    </row>
    <row r="228" spans="5:5">
      <c r="E228" s="72"/>
    </row>
    <row r="229" spans="5:5">
      <c r="E229" s="72"/>
    </row>
    <row r="230" spans="5:5">
      <c r="E230" s="72"/>
    </row>
    <row r="231" spans="5:5">
      <c r="E231" s="72"/>
    </row>
    <row r="232" spans="5:5">
      <c r="E232" s="72"/>
    </row>
    <row r="233" spans="5:5">
      <c r="E233" s="72"/>
    </row>
    <row r="234" spans="5:5">
      <c r="E234" s="72"/>
    </row>
    <row r="235" spans="5:5">
      <c r="E235" s="72"/>
    </row>
    <row r="236" spans="5:5">
      <c r="E236" s="72"/>
    </row>
    <row r="237" spans="5:5">
      <c r="E237" s="72"/>
    </row>
    <row r="238" spans="5:5">
      <c r="E238" s="72"/>
    </row>
    <row r="239" spans="5:5">
      <c r="E239" s="72"/>
    </row>
    <row r="240" spans="5:5">
      <c r="E240" s="72"/>
    </row>
    <row r="241" spans="5:5">
      <c r="E241" s="72"/>
    </row>
    <row r="242" spans="5:5">
      <c r="E242" s="72"/>
    </row>
    <row r="243" spans="5:5">
      <c r="E243" s="72"/>
    </row>
    <row r="244" spans="5:5">
      <c r="E244" s="72"/>
    </row>
    <row r="245" spans="5:5">
      <c r="E245" s="72"/>
    </row>
    <row r="246" spans="5:5">
      <c r="E246" s="72"/>
    </row>
    <row r="247" spans="5:5">
      <c r="E247" s="72"/>
    </row>
    <row r="248" spans="5:5">
      <c r="E248" s="72"/>
    </row>
    <row r="249" spans="5:5">
      <c r="E249" s="72"/>
    </row>
    <row r="250" spans="5:5">
      <c r="E250" s="72"/>
    </row>
    <row r="251" spans="5:5">
      <c r="E251" s="72"/>
    </row>
    <row r="252" spans="5:5">
      <c r="E252" s="72"/>
    </row>
    <row r="253" spans="5:5">
      <c r="E253" s="72"/>
    </row>
    <row r="254" spans="5:5">
      <c r="E254" s="72"/>
    </row>
    <row r="255" spans="5:5">
      <c r="E255" s="72"/>
    </row>
    <row r="256" spans="5:5">
      <c r="E256" s="72"/>
    </row>
    <row r="257" spans="5:5">
      <c r="E257" s="72"/>
    </row>
    <row r="258" spans="5:5">
      <c r="E258" s="72"/>
    </row>
    <row r="259" spans="5:5">
      <c r="E259" s="72"/>
    </row>
    <row r="260" spans="5:5">
      <c r="E260" s="72"/>
    </row>
    <row r="261" spans="5:5">
      <c r="E261" s="72"/>
    </row>
    <row r="262" spans="5:5">
      <c r="E262" s="72"/>
    </row>
    <row r="263" spans="5:5">
      <c r="E263" s="72"/>
    </row>
    <row r="264" spans="5:5">
      <c r="E264" s="72"/>
    </row>
    <row r="265" spans="5:5">
      <c r="E265" s="72"/>
    </row>
    <row r="266" spans="5:5">
      <c r="E266" s="72"/>
    </row>
    <row r="267" spans="5:5">
      <c r="E267" s="72"/>
    </row>
    <row r="268" spans="5:5">
      <c r="E268" s="72"/>
    </row>
    <row r="269" spans="5:5">
      <c r="E269" s="72"/>
    </row>
    <row r="270" spans="5:5">
      <c r="E270" s="72"/>
    </row>
    <row r="271" spans="5:5">
      <c r="E271" s="72"/>
    </row>
    <row r="272" spans="5:5">
      <c r="E272" s="72"/>
    </row>
    <row r="273" spans="5:5">
      <c r="E273" s="72"/>
    </row>
    <row r="274" spans="5:5">
      <c r="E274" s="72"/>
    </row>
    <row r="275" spans="5:5">
      <c r="E275" s="72"/>
    </row>
    <row r="276" spans="5:5">
      <c r="E276" s="72"/>
    </row>
    <row r="277" spans="5:5">
      <c r="E277" s="72"/>
    </row>
    <row r="278" spans="5:5">
      <c r="E278" s="72"/>
    </row>
    <row r="279" spans="5:5">
      <c r="E279" s="72"/>
    </row>
    <row r="280" spans="5:5">
      <c r="E280" s="72"/>
    </row>
    <row r="281" spans="5:5">
      <c r="E281" s="72"/>
    </row>
    <row r="282" spans="5:5">
      <c r="E282" s="72"/>
    </row>
    <row r="283" spans="5:5">
      <c r="E283" s="72"/>
    </row>
    <row r="284" spans="5:5">
      <c r="E284" s="72"/>
    </row>
    <row r="285" spans="5:5">
      <c r="E285" s="72"/>
    </row>
    <row r="286" spans="5:5">
      <c r="E286" s="72"/>
    </row>
    <row r="287" spans="5:5">
      <c r="E287" s="72"/>
    </row>
    <row r="288" spans="5:5">
      <c r="E288" s="72"/>
    </row>
    <row r="289" spans="5:5">
      <c r="E289" s="72"/>
    </row>
    <row r="290" spans="5:5">
      <c r="E290" s="72"/>
    </row>
    <row r="291" spans="5:5">
      <c r="E291" s="72"/>
    </row>
    <row r="292" spans="5:5">
      <c r="E292" s="72"/>
    </row>
    <row r="293" spans="5:5">
      <c r="E293" s="72"/>
    </row>
    <row r="294" spans="5:5">
      <c r="E294" s="72"/>
    </row>
    <row r="295" spans="5:5">
      <c r="E295" s="72"/>
    </row>
    <row r="296" spans="5:5">
      <c r="E296" s="72"/>
    </row>
    <row r="297" spans="5:5">
      <c r="E297" s="72"/>
    </row>
    <row r="298" spans="5:5">
      <c r="E298" s="72"/>
    </row>
    <row r="299" spans="5:5">
      <c r="E299" s="72"/>
    </row>
    <row r="300" spans="5:5">
      <c r="E300" s="72"/>
    </row>
    <row r="301" spans="5:5">
      <c r="E301" s="72"/>
    </row>
    <row r="302" spans="5:5">
      <c r="E302" s="72"/>
    </row>
    <row r="303" spans="5:5">
      <c r="E303" s="72"/>
    </row>
    <row r="304" spans="5:5">
      <c r="E304" s="72"/>
    </row>
    <row r="305" spans="5:5">
      <c r="E305" s="72"/>
    </row>
    <row r="306" spans="5:5">
      <c r="E306" s="72"/>
    </row>
    <row r="307" spans="5:5">
      <c r="E307" s="72"/>
    </row>
    <row r="308" spans="5:5">
      <c r="E308" s="72"/>
    </row>
    <row r="309" spans="5:5">
      <c r="E309" s="72"/>
    </row>
    <row r="310" spans="5:5">
      <c r="E310" s="72"/>
    </row>
    <row r="311" spans="5:5">
      <c r="E311" s="72"/>
    </row>
    <row r="312" spans="5:5">
      <c r="E312" s="72"/>
    </row>
    <row r="313" spans="5:5">
      <c r="E313" s="72"/>
    </row>
    <row r="314" spans="5:5">
      <c r="E314" s="72"/>
    </row>
    <row r="315" spans="5:5">
      <c r="E315" s="72"/>
    </row>
    <row r="316" spans="5:5">
      <c r="E316" s="72"/>
    </row>
    <row r="317" spans="5:5">
      <c r="E317" s="72"/>
    </row>
    <row r="318" spans="5:5">
      <c r="E318" s="72"/>
    </row>
    <row r="319" spans="5:5">
      <c r="E319" s="72"/>
    </row>
    <row r="320" spans="5:5">
      <c r="E320" s="72"/>
    </row>
    <row r="321" spans="5:5">
      <c r="E321" s="72"/>
    </row>
    <row r="322" spans="5:5">
      <c r="E322" s="72"/>
    </row>
    <row r="323" spans="5:5">
      <c r="E323" s="72"/>
    </row>
    <row r="324" spans="5:5">
      <c r="E324" s="72"/>
    </row>
    <row r="325" spans="5:5">
      <c r="E325" s="72"/>
    </row>
    <row r="326" spans="5:5">
      <c r="E326" s="72"/>
    </row>
    <row r="327" spans="5:5">
      <c r="E327" s="72"/>
    </row>
    <row r="328" spans="5:5">
      <c r="E328" s="72"/>
    </row>
    <row r="329" spans="5:5">
      <c r="E329" s="72"/>
    </row>
    <row r="330" spans="5:5">
      <c r="E330" s="72"/>
    </row>
    <row r="331" spans="5:5">
      <c r="E331" s="72"/>
    </row>
    <row r="332" spans="5:5">
      <c r="E332" s="72"/>
    </row>
    <row r="333" spans="5:5">
      <c r="E333" s="72"/>
    </row>
    <row r="334" spans="5:5">
      <c r="E334" s="72"/>
    </row>
    <row r="335" spans="5:5">
      <c r="E335" s="72"/>
    </row>
    <row r="336" spans="5:5">
      <c r="E336" s="72"/>
    </row>
    <row r="337" spans="5:5">
      <c r="E337" s="72"/>
    </row>
    <row r="338" spans="5:5">
      <c r="E338" s="72"/>
    </row>
    <row r="339" spans="5:5">
      <c r="E339" s="72"/>
    </row>
    <row r="340" spans="5:5">
      <c r="E340" s="72"/>
    </row>
    <row r="341" spans="5:5">
      <c r="E341" s="72"/>
    </row>
    <row r="342" spans="5:5">
      <c r="E342" s="72"/>
    </row>
    <row r="343" spans="5:5">
      <c r="E343" s="72"/>
    </row>
    <row r="344" spans="5:5">
      <c r="E344" s="72"/>
    </row>
    <row r="345" spans="5:5">
      <c r="E345" s="72"/>
    </row>
    <row r="346" spans="5:5">
      <c r="E346" s="72"/>
    </row>
    <row r="347" spans="5:5">
      <c r="E347" s="72"/>
    </row>
    <row r="348" spans="5:5">
      <c r="E348" s="72"/>
    </row>
    <row r="349" spans="5:5">
      <c r="E349" s="72"/>
    </row>
    <row r="350" spans="5:5">
      <c r="E350" s="72"/>
    </row>
    <row r="351" spans="5:5">
      <c r="E351" s="72"/>
    </row>
    <row r="352" spans="5:5">
      <c r="E352" s="72"/>
    </row>
    <row r="353" spans="5:5">
      <c r="E353" s="72"/>
    </row>
    <row r="354" spans="5:5">
      <c r="E354" s="72"/>
    </row>
    <row r="355" spans="5:5">
      <c r="E355" s="72"/>
    </row>
    <row r="356" spans="5:5">
      <c r="E356" s="72"/>
    </row>
    <row r="357" spans="5:5">
      <c r="E357" s="72"/>
    </row>
    <row r="358" spans="5:5">
      <c r="E358" s="72"/>
    </row>
    <row r="359" spans="5:5">
      <c r="E359" s="72"/>
    </row>
    <row r="360" spans="5:5">
      <c r="E360" s="72"/>
    </row>
    <row r="361" spans="5:5">
      <c r="E361" s="72"/>
    </row>
    <row r="362" spans="5:5">
      <c r="E362" s="72"/>
    </row>
    <row r="363" spans="5:5">
      <c r="E363" s="72"/>
    </row>
    <row r="364" spans="5:5">
      <c r="E364" s="72"/>
    </row>
    <row r="365" spans="5:5">
      <c r="E365" s="72"/>
    </row>
    <row r="366" spans="5:5">
      <c r="E366" s="72"/>
    </row>
    <row r="367" spans="5:5">
      <c r="E367" s="72"/>
    </row>
    <row r="368" spans="5:5">
      <c r="E368" s="72"/>
    </row>
    <row r="369" spans="5:5">
      <c r="E369" s="72"/>
    </row>
    <row r="370" spans="5:5">
      <c r="E370" s="72"/>
    </row>
    <row r="371" spans="5:5">
      <c r="E371" s="72"/>
    </row>
    <row r="372" spans="5:5">
      <c r="E372" s="72"/>
    </row>
    <row r="373" spans="5:5">
      <c r="E373" s="72"/>
    </row>
    <row r="374" spans="5:5">
      <c r="E374" s="72"/>
    </row>
    <row r="375" spans="5:5">
      <c r="E375" s="72"/>
    </row>
    <row r="376" spans="5:5">
      <c r="E376" s="72"/>
    </row>
    <row r="377" spans="5:5">
      <c r="E377" s="72"/>
    </row>
    <row r="378" spans="5:5">
      <c r="E378" s="72"/>
    </row>
    <row r="379" spans="5:5">
      <c r="E379" s="72"/>
    </row>
    <row r="380" spans="5:5">
      <c r="E380" s="72"/>
    </row>
    <row r="381" spans="5:5">
      <c r="E381" s="72"/>
    </row>
    <row r="382" spans="5:5">
      <c r="E382" s="72"/>
    </row>
    <row r="383" spans="5:5">
      <c r="E383" s="72"/>
    </row>
    <row r="384" spans="5:5">
      <c r="E384" s="72"/>
    </row>
    <row r="385" spans="5:5">
      <c r="E385" s="72"/>
    </row>
    <row r="386" spans="5:5">
      <c r="E386" s="72"/>
    </row>
    <row r="387" spans="5:5">
      <c r="E387" s="72"/>
    </row>
    <row r="388" spans="5:5">
      <c r="E388" s="72"/>
    </row>
    <row r="389" spans="5:5">
      <c r="E389" s="72"/>
    </row>
    <row r="390" spans="5:5">
      <c r="E390" s="72"/>
    </row>
    <row r="391" spans="5:5">
      <c r="E391" s="72"/>
    </row>
    <row r="392" spans="5:5">
      <c r="E392" s="72"/>
    </row>
    <row r="393" spans="5:5">
      <c r="E393" s="72"/>
    </row>
    <row r="394" spans="5:5">
      <c r="E394" s="72"/>
    </row>
    <row r="395" spans="5:5">
      <c r="E395" s="72"/>
    </row>
    <row r="396" spans="5:5">
      <c r="E396" s="72"/>
    </row>
    <row r="397" spans="5:5">
      <c r="E397" s="72"/>
    </row>
    <row r="398" spans="5:5">
      <c r="E398" s="72"/>
    </row>
    <row r="399" spans="5:5">
      <c r="E399" s="72"/>
    </row>
    <row r="400" spans="5:5">
      <c r="E400" s="72"/>
    </row>
    <row r="401" spans="5:5">
      <c r="E401" s="72"/>
    </row>
    <row r="402" spans="5:5">
      <c r="E402" s="72"/>
    </row>
    <row r="403" spans="5:5">
      <c r="E403" s="72"/>
    </row>
    <row r="404" spans="5:5">
      <c r="E404" s="72"/>
    </row>
    <row r="405" spans="5:5">
      <c r="E405" s="72"/>
    </row>
    <row r="406" spans="5:5">
      <c r="E406" s="72"/>
    </row>
    <row r="407" spans="5:5">
      <c r="E407" s="72"/>
    </row>
    <row r="408" spans="5:5">
      <c r="E408" s="72"/>
    </row>
    <row r="409" spans="5:5">
      <c r="E409" s="72"/>
    </row>
    <row r="410" spans="5:5">
      <c r="E410" s="72"/>
    </row>
    <row r="411" spans="5:5">
      <c r="E411" s="72"/>
    </row>
    <row r="412" spans="5:5">
      <c r="E412" s="72"/>
    </row>
    <row r="413" spans="5:5">
      <c r="E413" s="72"/>
    </row>
    <row r="414" spans="5:5">
      <c r="E414" s="72"/>
    </row>
    <row r="415" spans="5:5">
      <c r="E415" s="72"/>
    </row>
    <row r="416" spans="5:5">
      <c r="E416" s="72"/>
    </row>
    <row r="417" spans="5:5">
      <c r="E417" s="72"/>
    </row>
    <row r="418" spans="5:5">
      <c r="E418" s="72"/>
    </row>
    <row r="419" spans="5:5">
      <c r="E419" s="72"/>
    </row>
    <row r="420" spans="5:5">
      <c r="E420" s="72"/>
    </row>
    <row r="421" spans="5:5">
      <c r="E421" s="72"/>
    </row>
    <row r="422" spans="5:5">
      <c r="E422" s="72"/>
    </row>
    <row r="423" spans="5:5">
      <c r="E423" s="72"/>
    </row>
    <row r="424" spans="5:5">
      <c r="E424" s="72"/>
    </row>
    <row r="425" spans="5:5">
      <c r="E425" s="72"/>
    </row>
    <row r="426" spans="5:5">
      <c r="E426" s="72"/>
    </row>
    <row r="427" spans="5:5">
      <c r="E427" s="72"/>
    </row>
    <row r="428" spans="5:5">
      <c r="E428" s="72"/>
    </row>
    <row r="429" spans="5:5">
      <c r="E429" s="72"/>
    </row>
    <row r="430" spans="5:5">
      <c r="E430" s="72"/>
    </row>
    <row r="431" spans="5:5">
      <c r="E431" s="72"/>
    </row>
    <row r="432" spans="5:5">
      <c r="E432" s="72"/>
    </row>
    <row r="433" spans="5:5">
      <c r="E433" s="72"/>
    </row>
    <row r="434" spans="5:5">
      <c r="E434" s="72"/>
    </row>
    <row r="435" spans="5:5">
      <c r="E435" s="72"/>
    </row>
    <row r="436" spans="5:5">
      <c r="E436" s="72"/>
    </row>
    <row r="437" spans="5:5">
      <c r="E437" s="72"/>
    </row>
    <row r="438" spans="5:5">
      <c r="E438" s="72"/>
    </row>
    <row r="439" spans="5:5">
      <c r="E439" s="72"/>
    </row>
    <row r="440" spans="5:5">
      <c r="E440" s="72"/>
    </row>
    <row r="441" spans="5:5">
      <c r="E441" s="72"/>
    </row>
    <row r="442" spans="5:5">
      <c r="E442" s="72"/>
    </row>
    <row r="443" spans="5:5">
      <c r="E443" s="72"/>
    </row>
    <row r="444" spans="5:5">
      <c r="E444" s="72"/>
    </row>
    <row r="445" spans="5:5">
      <c r="E445" s="72"/>
    </row>
    <row r="446" spans="5:5">
      <c r="E446" s="72"/>
    </row>
    <row r="447" spans="5:5">
      <c r="E447" s="72"/>
    </row>
    <row r="448" spans="5:5">
      <c r="E448" s="72"/>
    </row>
    <row r="449" spans="5:5">
      <c r="E449" s="72"/>
    </row>
    <row r="450" spans="5:5">
      <c r="E450" s="72"/>
    </row>
    <row r="451" spans="5:5">
      <c r="E451" s="72"/>
    </row>
    <row r="452" spans="5:5">
      <c r="E452" s="72"/>
    </row>
    <row r="453" spans="5:5">
      <c r="E453" s="72"/>
    </row>
    <row r="454" spans="5:5">
      <c r="E454" s="72"/>
    </row>
    <row r="455" spans="5:5">
      <c r="E455" s="72"/>
    </row>
    <row r="456" spans="5:5">
      <c r="E456" s="72"/>
    </row>
    <row r="457" spans="5:5">
      <c r="E457" s="72"/>
    </row>
    <row r="458" spans="5:5">
      <c r="E458" s="72"/>
    </row>
    <row r="459" spans="5:5">
      <c r="E459" s="72"/>
    </row>
    <row r="460" spans="5:5">
      <c r="E460" s="72"/>
    </row>
    <row r="461" spans="5:5">
      <c r="E461" s="72"/>
    </row>
    <row r="462" spans="5:5">
      <c r="E462" s="72"/>
    </row>
    <row r="463" spans="5:5">
      <c r="E463" s="72"/>
    </row>
    <row r="464" spans="5:5">
      <c r="E464" s="72"/>
    </row>
    <row r="465" spans="5:5">
      <c r="E465" s="72"/>
    </row>
    <row r="466" spans="5:5">
      <c r="E466" s="72"/>
    </row>
    <row r="467" spans="5:5">
      <c r="E467" s="72"/>
    </row>
    <row r="468" spans="5:5">
      <c r="E468" s="72"/>
    </row>
    <row r="469" spans="5:5">
      <c r="E469" s="72"/>
    </row>
    <row r="470" spans="5:5">
      <c r="E470" s="72"/>
    </row>
    <row r="471" spans="5:5">
      <c r="E471" s="72"/>
    </row>
    <row r="472" spans="5:5">
      <c r="E472" s="72"/>
    </row>
    <row r="473" spans="5:5">
      <c r="E473" s="72"/>
    </row>
    <row r="474" spans="5:5">
      <c r="E474" s="72"/>
    </row>
    <row r="475" spans="5:5">
      <c r="E475" s="72"/>
    </row>
    <row r="476" spans="5:5">
      <c r="E476" s="72"/>
    </row>
    <row r="477" spans="5:5">
      <c r="E477" s="72"/>
    </row>
    <row r="478" spans="5:5">
      <c r="E478" s="72"/>
    </row>
    <row r="479" spans="5:5">
      <c r="E479" s="72"/>
    </row>
    <row r="480" spans="5:5">
      <c r="E480" s="72"/>
    </row>
    <row r="481" spans="5:5">
      <c r="E481" s="72"/>
    </row>
    <row r="482" spans="5:5">
      <c r="E482" s="72"/>
    </row>
    <row r="483" spans="5:5">
      <c r="E483" s="72"/>
    </row>
    <row r="484" spans="5:5">
      <c r="E484" s="72"/>
    </row>
    <row r="485" spans="5:5">
      <c r="E485" s="72"/>
    </row>
    <row r="486" spans="5:5">
      <c r="E486" s="72"/>
    </row>
    <row r="487" spans="5:5">
      <c r="E487" s="72"/>
    </row>
    <row r="488" spans="5:5">
      <c r="E488" s="72"/>
    </row>
    <row r="489" spans="5:5">
      <c r="E489" s="72"/>
    </row>
    <row r="490" spans="5:5">
      <c r="E490" s="72"/>
    </row>
    <row r="491" spans="5:5">
      <c r="E491" s="72"/>
    </row>
    <row r="492" spans="5:5">
      <c r="E492" s="72"/>
    </row>
    <row r="493" spans="5:5">
      <c r="E493" s="72"/>
    </row>
    <row r="494" spans="5:5">
      <c r="E494" s="72"/>
    </row>
    <row r="495" spans="5:5">
      <c r="E495" s="72"/>
    </row>
    <row r="496" spans="5:5">
      <c r="E496" s="72"/>
    </row>
    <row r="497" spans="5:5">
      <c r="E497" s="72"/>
    </row>
    <row r="498" spans="5:5">
      <c r="E498" s="72"/>
    </row>
    <row r="499" spans="5:5">
      <c r="E499" s="72"/>
    </row>
    <row r="500" spans="5:5">
      <c r="E500" s="72"/>
    </row>
    <row r="501" spans="5:5">
      <c r="E501" s="72"/>
    </row>
    <row r="502" spans="5:5">
      <c r="E502" s="72"/>
    </row>
    <row r="503" spans="5:5">
      <c r="E503" s="72"/>
    </row>
    <row r="504" spans="5:5">
      <c r="E504" s="72"/>
    </row>
    <row r="505" spans="5:5">
      <c r="E505" s="72"/>
    </row>
    <row r="506" spans="5:5">
      <c r="E506" s="72"/>
    </row>
    <row r="507" spans="5:5">
      <c r="E507" s="72"/>
    </row>
    <row r="508" spans="5:5">
      <c r="E508" s="72"/>
    </row>
    <row r="509" spans="5:5">
      <c r="E509" s="72"/>
    </row>
    <row r="510" spans="5:5">
      <c r="E510" s="72"/>
    </row>
    <row r="511" spans="5:5">
      <c r="E511" s="72"/>
    </row>
    <row r="512" spans="5:5">
      <c r="E512" s="72"/>
    </row>
    <row r="513" spans="5:5">
      <c r="E513" s="72"/>
    </row>
    <row r="514" spans="5:5">
      <c r="E514" s="72"/>
    </row>
    <row r="515" spans="5:5">
      <c r="E515" s="72"/>
    </row>
    <row r="516" spans="5:5">
      <c r="E516" s="72"/>
    </row>
    <row r="517" spans="5:5">
      <c r="E517" s="72"/>
    </row>
    <row r="518" spans="5:5">
      <c r="E518" s="72"/>
    </row>
    <row r="519" spans="5:5">
      <c r="E519" s="72"/>
    </row>
    <row r="520" spans="5:5">
      <c r="E520" s="72"/>
    </row>
    <row r="521" spans="5:5">
      <c r="E521" s="72"/>
    </row>
    <row r="522" spans="5:5">
      <c r="E522" s="72"/>
    </row>
    <row r="523" spans="5:5">
      <c r="E523" s="72"/>
    </row>
    <row r="524" spans="5:5">
      <c r="E524" s="72"/>
    </row>
    <row r="525" spans="5:5">
      <c r="E525" s="72"/>
    </row>
    <row r="526" spans="5:5">
      <c r="E526" s="72"/>
    </row>
    <row r="527" spans="5:5">
      <c r="E527" s="72"/>
    </row>
    <row r="528" spans="5:5">
      <c r="E528" s="72"/>
    </row>
    <row r="529" spans="5:5">
      <c r="E529" s="72"/>
    </row>
    <row r="530" spans="5:5">
      <c r="E530" s="72"/>
    </row>
    <row r="531" spans="5:5">
      <c r="E531" s="72"/>
    </row>
    <row r="532" spans="5:5">
      <c r="E532" s="72"/>
    </row>
    <row r="533" spans="5:5">
      <c r="E533" s="72"/>
    </row>
    <row r="534" spans="5:5">
      <c r="E534" s="72"/>
    </row>
    <row r="535" spans="5:5">
      <c r="E535" s="72"/>
    </row>
    <row r="536" spans="5:5">
      <c r="E536" s="72"/>
    </row>
    <row r="537" spans="5:5">
      <c r="E537" s="72"/>
    </row>
    <row r="538" spans="5:5">
      <c r="E538" s="72"/>
    </row>
    <row r="539" spans="5:5">
      <c r="E539" s="72"/>
    </row>
    <row r="540" spans="5:5">
      <c r="E540" s="72"/>
    </row>
    <row r="541" spans="5:5">
      <c r="E541" s="72"/>
    </row>
    <row r="542" spans="5:5">
      <c r="E542" s="72"/>
    </row>
    <row r="543" spans="5:5">
      <c r="E543" s="72"/>
    </row>
    <row r="544" spans="5:5">
      <c r="E544" s="72"/>
    </row>
    <row r="545" spans="5:5">
      <c r="E545" s="72"/>
    </row>
    <row r="546" spans="5:5">
      <c r="E546" s="72"/>
    </row>
    <row r="547" spans="5:5">
      <c r="E547" s="72"/>
    </row>
    <row r="548" spans="5:5">
      <c r="E548" s="72"/>
    </row>
    <row r="549" spans="5:5">
      <c r="E549" s="72"/>
    </row>
    <row r="550" spans="5:5">
      <c r="E550" s="72"/>
    </row>
    <row r="551" spans="5:5">
      <c r="E551" s="72"/>
    </row>
    <row r="552" spans="5:5">
      <c r="E552" s="72"/>
    </row>
    <row r="553" spans="5:5">
      <c r="E553" s="72"/>
    </row>
    <row r="554" spans="5:5">
      <c r="E554" s="72"/>
    </row>
    <row r="555" spans="5:5">
      <c r="E555" s="72"/>
    </row>
    <row r="556" spans="5:5">
      <c r="E556" s="72"/>
    </row>
    <row r="557" spans="5:5">
      <c r="E557" s="72"/>
    </row>
    <row r="558" spans="5:5">
      <c r="E558" s="72"/>
    </row>
    <row r="559" spans="5:5">
      <c r="E559" s="72"/>
    </row>
    <row r="560" spans="5:5">
      <c r="E560" s="72"/>
    </row>
    <row r="561" spans="5:5">
      <c r="E561" s="72"/>
    </row>
    <row r="562" spans="5:5">
      <c r="E562" s="72"/>
    </row>
    <row r="563" spans="5:5">
      <c r="E563" s="72"/>
    </row>
    <row r="564" spans="5:5">
      <c r="E564" s="72"/>
    </row>
    <row r="565" spans="5:5">
      <c r="E565" s="72"/>
    </row>
    <row r="566" spans="5:5">
      <c r="E566" s="72"/>
    </row>
    <row r="567" spans="5:5">
      <c r="E567" s="72"/>
    </row>
    <row r="568" spans="5:5">
      <c r="E568" s="72"/>
    </row>
    <row r="569" spans="5:5">
      <c r="E569" s="72"/>
    </row>
    <row r="570" spans="5:5">
      <c r="E570" s="72"/>
    </row>
    <row r="571" spans="5:5">
      <c r="E571" s="72"/>
    </row>
    <row r="572" spans="5:5">
      <c r="E572" s="72"/>
    </row>
    <row r="573" spans="5:5">
      <c r="E573" s="72"/>
    </row>
    <row r="574" spans="5:5">
      <c r="E574" s="72"/>
    </row>
    <row r="575" spans="5:5">
      <c r="E575" s="72"/>
    </row>
    <row r="576" spans="5:5">
      <c r="E576" s="72"/>
    </row>
    <row r="577" spans="5:5">
      <c r="E577" s="72"/>
    </row>
    <row r="578" spans="5:5">
      <c r="E578" s="72"/>
    </row>
    <row r="579" spans="5:5">
      <c r="E579" s="72"/>
    </row>
    <row r="580" spans="5:5">
      <c r="E580" s="72"/>
    </row>
    <row r="581" spans="5:5">
      <c r="E581" s="72"/>
    </row>
    <row r="582" spans="5:5">
      <c r="E582" s="72"/>
    </row>
    <row r="583" spans="5:5">
      <c r="E583" s="72"/>
    </row>
    <row r="584" spans="5:5">
      <c r="E584" s="72"/>
    </row>
    <row r="585" spans="5:5">
      <c r="E585" s="72"/>
    </row>
    <row r="586" spans="5:5">
      <c r="E586" s="72"/>
    </row>
    <row r="587" spans="5:5">
      <c r="E587" s="72"/>
    </row>
    <row r="588" spans="5:5">
      <c r="E588" s="72"/>
    </row>
    <row r="589" spans="5:5">
      <c r="E589" s="72"/>
    </row>
    <row r="590" spans="5:5">
      <c r="E590" s="72"/>
    </row>
    <row r="591" spans="5:5">
      <c r="E591" s="72"/>
    </row>
    <row r="592" spans="5:5">
      <c r="E592" s="72"/>
    </row>
    <row r="593" spans="5:5">
      <c r="E593" s="72"/>
    </row>
    <row r="594" spans="5:5">
      <c r="E594" s="72"/>
    </row>
    <row r="595" spans="5:5">
      <c r="E595" s="72"/>
    </row>
    <row r="596" spans="5:5">
      <c r="E596" s="72"/>
    </row>
    <row r="597" spans="5:5">
      <c r="E597" s="72"/>
    </row>
    <row r="598" spans="5:5">
      <c r="E598" s="72"/>
    </row>
    <row r="599" spans="5:5">
      <c r="E599" s="72"/>
    </row>
    <row r="600" spans="5:5">
      <c r="E600" s="72"/>
    </row>
    <row r="601" spans="5:5">
      <c r="E601" s="72"/>
    </row>
    <row r="602" spans="5:5">
      <c r="E602" s="72"/>
    </row>
    <row r="603" spans="5:5">
      <c r="E603" s="72"/>
    </row>
    <row r="604" spans="5:5">
      <c r="E604" s="72"/>
    </row>
    <row r="605" spans="5:5">
      <c r="E605" s="72"/>
    </row>
    <row r="606" spans="5:5">
      <c r="E606" s="72"/>
    </row>
    <row r="607" spans="5:5">
      <c r="E607" s="72"/>
    </row>
    <row r="608" spans="5:5">
      <c r="E608" s="72"/>
    </row>
    <row r="609" spans="5:5">
      <c r="E609" s="72"/>
    </row>
    <row r="610" spans="5:5">
      <c r="E610" s="72"/>
    </row>
    <row r="611" spans="5:5">
      <c r="E611" s="72"/>
    </row>
    <row r="612" spans="5:5">
      <c r="E612" s="72"/>
    </row>
    <row r="613" spans="5:5">
      <c r="E613" s="72"/>
    </row>
    <row r="614" spans="5:5">
      <c r="E614" s="72"/>
    </row>
    <row r="615" spans="5:5">
      <c r="E615" s="72"/>
    </row>
    <row r="616" spans="5:5">
      <c r="E616" s="72"/>
    </row>
    <row r="617" spans="5:5">
      <c r="E617" s="72"/>
    </row>
    <row r="618" spans="5:5">
      <c r="E618" s="72"/>
    </row>
    <row r="619" spans="5:5">
      <c r="E619" s="72"/>
    </row>
    <row r="620" spans="5:5">
      <c r="E620" s="72"/>
    </row>
    <row r="621" spans="5:5">
      <c r="E621" s="72"/>
    </row>
    <row r="622" spans="5:5">
      <c r="E622" s="72"/>
    </row>
    <row r="623" spans="5:5">
      <c r="E623" s="72"/>
    </row>
    <row r="624" spans="5:5">
      <c r="E624" s="72"/>
    </row>
    <row r="625" spans="5:5">
      <c r="E625" s="72"/>
    </row>
    <row r="626" spans="5:5">
      <c r="E626" s="72"/>
    </row>
    <row r="627" spans="5:5">
      <c r="E627" s="72"/>
    </row>
    <row r="628" spans="5:5">
      <c r="E628" s="72"/>
    </row>
    <row r="629" spans="5:5">
      <c r="E629" s="72"/>
    </row>
    <row r="630" spans="5:5">
      <c r="E630" s="72"/>
    </row>
    <row r="631" spans="5:5">
      <c r="E631" s="72"/>
    </row>
    <row r="632" spans="5:5">
      <c r="E632" s="72"/>
    </row>
    <row r="633" spans="5:5">
      <c r="E633" s="72"/>
    </row>
    <row r="634" spans="5:5">
      <c r="E634" s="72"/>
    </row>
    <row r="635" spans="5:5">
      <c r="E635" s="72"/>
    </row>
    <row r="636" spans="5:5">
      <c r="E636" s="72"/>
    </row>
    <row r="637" spans="5:5">
      <c r="E637" s="72"/>
    </row>
    <row r="638" spans="5:5">
      <c r="E638" s="72"/>
    </row>
    <row r="639" spans="5:5">
      <c r="E639" s="72"/>
    </row>
    <row r="640" spans="5:5">
      <c r="E640" s="72"/>
    </row>
    <row r="641" spans="5:5">
      <c r="E641" s="72"/>
    </row>
    <row r="642" spans="5:5">
      <c r="E642" s="72"/>
    </row>
    <row r="643" spans="5:5">
      <c r="E643" s="72"/>
    </row>
    <row r="644" spans="5:5">
      <c r="E644" s="72"/>
    </row>
    <row r="645" spans="5:5">
      <c r="E645" s="72"/>
    </row>
    <row r="646" spans="5:5">
      <c r="E646" s="72"/>
    </row>
    <row r="647" spans="5:5">
      <c r="E647" s="72"/>
    </row>
    <row r="648" spans="5:5">
      <c r="E648" s="72"/>
    </row>
    <row r="649" spans="5:5">
      <c r="E649" s="72"/>
    </row>
    <row r="650" spans="5:5">
      <c r="E650" s="72"/>
    </row>
    <row r="651" spans="5:5">
      <c r="E651" s="72"/>
    </row>
    <row r="652" spans="5:5">
      <c r="E652" s="72"/>
    </row>
    <row r="653" spans="5:5">
      <c r="E653" s="72"/>
    </row>
    <row r="654" spans="5:5">
      <c r="E654" s="72"/>
    </row>
    <row r="655" spans="5:5">
      <c r="E655" s="72"/>
    </row>
    <row r="656" spans="5:5">
      <c r="E656" s="72"/>
    </row>
    <row r="657" spans="5:5">
      <c r="E657" s="72"/>
    </row>
    <row r="658" spans="5:5">
      <c r="E658" s="72"/>
    </row>
    <row r="659" spans="5:5">
      <c r="E659" s="72"/>
    </row>
    <row r="660" spans="5:5">
      <c r="E660" s="72"/>
    </row>
    <row r="661" spans="5:5">
      <c r="E661" s="72"/>
    </row>
    <row r="662" spans="5:5">
      <c r="E662" s="72"/>
    </row>
    <row r="663" spans="5:5">
      <c r="E663" s="72"/>
    </row>
    <row r="664" spans="5:5">
      <c r="E664" s="72"/>
    </row>
    <row r="665" spans="5:5">
      <c r="E665" s="72"/>
    </row>
    <row r="666" spans="5:5">
      <c r="E666" s="72"/>
    </row>
    <row r="667" spans="5:5">
      <c r="E667" s="72"/>
    </row>
    <row r="668" spans="5:5">
      <c r="E668" s="72"/>
    </row>
    <row r="669" spans="5:5">
      <c r="E669" s="72"/>
    </row>
    <row r="670" spans="5:5">
      <c r="E670" s="72"/>
    </row>
    <row r="671" spans="5:5">
      <c r="E671" s="72"/>
    </row>
    <row r="672" spans="5:5">
      <c r="E672" s="72"/>
    </row>
    <row r="673" spans="5:5">
      <c r="E673" s="72"/>
    </row>
    <row r="674" spans="5:5">
      <c r="E674" s="72"/>
    </row>
    <row r="675" spans="5:5">
      <c r="E675" s="72"/>
    </row>
    <row r="676" spans="5:5">
      <c r="E676" s="72"/>
    </row>
    <row r="677" spans="5:5">
      <c r="E677" s="72"/>
    </row>
    <row r="678" spans="5:5">
      <c r="E678" s="72"/>
    </row>
    <row r="679" spans="5:5">
      <c r="E679" s="72"/>
    </row>
    <row r="680" spans="5:5">
      <c r="E680" s="72"/>
    </row>
    <row r="681" spans="5:5">
      <c r="E681" s="72"/>
    </row>
    <row r="682" spans="5:5">
      <c r="E682" s="72"/>
    </row>
    <row r="683" spans="5:5">
      <c r="E683" s="72"/>
    </row>
    <row r="684" spans="5:5">
      <c r="E684" s="72"/>
    </row>
    <row r="685" spans="5:5">
      <c r="E685" s="72"/>
    </row>
    <row r="686" spans="5:5">
      <c r="E686" s="72"/>
    </row>
    <row r="687" spans="5:5">
      <c r="E687" s="72"/>
    </row>
    <row r="688" spans="5:5">
      <c r="E688" s="72"/>
    </row>
    <row r="689" spans="5:5">
      <c r="E689" s="72"/>
    </row>
    <row r="690" spans="5:5">
      <c r="E690" s="72"/>
    </row>
    <row r="691" spans="5:5">
      <c r="E691" s="72"/>
    </row>
    <row r="692" spans="5:5">
      <c r="E692" s="72"/>
    </row>
    <row r="693" spans="5:5">
      <c r="E693" s="72"/>
    </row>
    <row r="694" spans="5:5">
      <c r="E694" s="72"/>
    </row>
    <row r="695" spans="5:5">
      <c r="E695" s="72"/>
    </row>
    <row r="696" spans="5:5">
      <c r="E696" s="72"/>
    </row>
    <row r="697" spans="5:5">
      <c r="E697" s="72"/>
    </row>
    <row r="698" spans="5:5">
      <c r="E698" s="72"/>
    </row>
    <row r="699" spans="5:5">
      <c r="E699" s="72"/>
    </row>
    <row r="700" spans="5:5">
      <c r="E700" s="72"/>
    </row>
    <row r="701" spans="5:5">
      <c r="E701" s="72"/>
    </row>
    <row r="702" spans="5:5">
      <c r="E702" s="72"/>
    </row>
    <row r="703" spans="5:5">
      <c r="E703" s="72"/>
    </row>
    <row r="704" spans="5:5">
      <c r="E704" s="72"/>
    </row>
    <row r="705" spans="5:5">
      <c r="E705" s="72"/>
    </row>
    <row r="706" spans="5:5">
      <c r="E706" s="72"/>
    </row>
    <row r="707" spans="5:5">
      <c r="E707" s="72"/>
    </row>
    <row r="708" spans="5:5">
      <c r="E708" s="72"/>
    </row>
    <row r="709" spans="5:5">
      <c r="E709" s="72"/>
    </row>
    <row r="710" spans="5:5">
      <c r="E710" s="72"/>
    </row>
    <row r="711" spans="5:5">
      <c r="E711" s="72"/>
    </row>
    <row r="712" spans="5:5">
      <c r="E712" s="72"/>
    </row>
    <row r="713" spans="5:5">
      <c r="E713" s="72"/>
    </row>
    <row r="714" spans="5:5">
      <c r="E714" s="72"/>
    </row>
    <row r="715" spans="5:5">
      <c r="E715" s="72"/>
    </row>
    <row r="716" spans="5:5">
      <c r="E716" s="72"/>
    </row>
    <row r="717" spans="5:5">
      <c r="E717" s="72"/>
    </row>
    <row r="718" spans="5:5">
      <c r="E718" s="72"/>
    </row>
    <row r="719" spans="5:5">
      <c r="E719" s="72"/>
    </row>
    <row r="720" spans="5:5">
      <c r="E720" s="72"/>
    </row>
    <row r="721" spans="5:5">
      <c r="E721" s="72"/>
    </row>
    <row r="722" spans="5:5">
      <c r="E722" s="72"/>
    </row>
    <row r="723" spans="5:5">
      <c r="E723" s="72"/>
    </row>
    <row r="724" spans="5:5">
      <c r="E724" s="72"/>
    </row>
    <row r="725" spans="5:5">
      <c r="E725" s="72"/>
    </row>
    <row r="726" spans="5:5">
      <c r="E726" s="72"/>
    </row>
    <row r="727" spans="5:5">
      <c r="E727" s="72"/>
    </row>
    <row r="728" spans="5:5">
      <c r="E728" s="72"/>
    </row>
    <row r="729" spans="5:5">
      <c r="E729" s="72"/>
    </row>
    <row r="730" spans="5:5">
      <c r="E730" s="72"/>
    </row>
    <row r="731" spans="5:5">
      <c r="E731" s="72"/>
    </row>
    <row r="732" spans="5:5">
      <c r="E732" s="72"/>
    </row>
    <row r="733" spans="5:5">
      <c r="E733" s="72"/>
    </row>
    <row r="734" spans="5:5">
      <c r="E734" s="72"/>
    </row>
    <row r="735" spans="5:5">
      <c r="E735" s="72"/>
    </row>
    <row r="736" spans="5:5">
      <c r="E736" s="72"/>
    </row>
    <row r="737" spans="5:5">
      <c r="E737" s="72"/>
    </row>
    <row r="738" spans="5:5">
      <c r="E738" s="72"/>
    </row>
    <row r="739" spans="5:5">
      <c r="E739" s="72"/>
    </row>
    <row r="740" spans="5:5">
      <c r="E740" s="72"/>
    </row>
    <row r="741" spans="5:5">
      <c r="E741" s="72"/>
    </row>
    <row r="742" spans="5:5">
      <c r="E742" s="72"/>
    </row>
    <row r="743" spans="5:5">
      <c r="E743" s="72"/>
    </row>
    <row r="744" spans="5:5">
      <c r="E744" s="72"/>
    </row>
    <row r="745" spans="5:5">
      <c r="E745" s="72"/>
    </row>
    <row r="746" spans="5:5">
      <c r="E746" s="72"/>
    </row>
    <row r="747" spans="5:5">
      <c r="E747" s="72"/>
    </row>
    <row r="748" spans="5:5">
      <c r="E748" s="72"/>
    </row>
    <row r="749" spans="5:5">
      <c r="E749" s="72"/>
    </row>
    <row r="750" spans="5:5">
      <c r="E750" s="72"/>
    </row>
    <row r="751" spans="5:5">
      <c r="E751" s="72"/>
    </row>
    <row r="752" spans="5:5">
      <c r="E752" s="72"/>
    </row>
    <row r="753" spans="5:5">
      <c r="E753" s="72"/>
    </row>
    <row r="754" spans="5:5">
      <c r="E754" s="72"/>
    </row>
    <row r="755" spans="5:5">
      <c r="E755" s="72"/>
    </row>
    <row r="756" spans="5:5">
      <c r="E756" s="72"/>
    </row>
    <row r="757" spans="5:5">
      <c r="E757" s="72"/>
    </row>
    <row r="758" spans="5:5">
      <c r="E758" s="72"/>
    </row>
    <row r="759" spans="5:5">
      <c r="E759" s="72"/>
    </row>
    <row r="760" spans="5:5">
      <c r="E760" s="72"/>
    </row>
    <row r="761" spans="5:5">
      <c r="E761" s="72"/>
    </row>
    <row r="762" spans="5:5">
      <c r="E762" s="72"/>
    </row>
    <row r="763" spans="5:5">
      <c r="E763" s="72"/>
    </row>
    <row r="764" spans="5:5">
      <c r="E764" s="72"/>
    </row>
    <row r="765" spans="5:5">
      <c r="E765" s="72"/>
    </row>
    <row r="766" spans="5:5">
      <c r="E766" s="72"/>
    </row>
    <row r="767" spans="5:5">
      <c r="E767" s="72"/>
    </row>
    <row r="768" spans="5:5">
      <c r="E768" s="72"/>
    </row>
    <row r="769" spans="5:5">
      <c r="E769" s="72"/>
    </row>
    <row r="770" spans="5:5">
      <c r="E770" s="72"/>
    </row>
    <row r="771" spans="5:5">
      <c r="E771" s="72"/>
    </row>
    <row r="772" spans="5:5">
      <c r="E772" s="72"/>
    </row>
    <row r="773" spans="5:5">
      <c r="E773" s="72"/>
    </row>
    <row r="774" spans="5:5">
      <c r="E774" s="72"/>
    </row>
    <row r="775" spans="5:5">
      <c r="E775" s="72"/>
    </row>
    <row r="776" spans="5:5">
      <c r="E776" s="72"/>
    </row>
    <row r="777" spans="5:5">
      <c r="E777" s="72"/>
    </row>
    <row r="778" spans="5:5">
      <c r="E778" s="72"/>
    </row>
    <row r="779" spans="5:5">
      <c r="E779" s="72"/>
    </row>
    <row r="780" spans="5:5">
      <c r="E780" s="72"/>
    </row>
    <row r="781" spans="5:5">
      <c r="E781" s="72"/>
    </row>
    <row r="782" spans="5:5">
      <c r="E782" s="72"/>
    </row>
    <row r="783" spans="5:5">
      <c r="E783" s="72"/>
    </row>
    <row r="784" spans="5:5">
      <c r="E784" s="72"/>
    </row>
    <row r="785" spans="5:5">
      <c r="E785" s="72"/>
    </row>
    <row r="786" spans="5:5">
      <c r="E786" s="72"/>
    </row>
    <row r="787" spans="5:5">
      <c r="E787" s="72"/>
    </row>
    <row r="788" spans="5:5">
      <c r="E788" s="72"/>
    </row>
    <row r="789" spans="5:5">
      <c r="E789" s="72"/>
    </row>
    <row r="790" spans="5:5">
      <c r="E790" s="72"/>
    </row>
    <row r="791" spans="5:5">
      <c r="E791" s="72"/>
    </row>
    <row r="792" spans="5:5">
      <c r="E792" s="72"/>
    </row>
    <row r="793" spans="5:5">
      <c r="E793" s="72"/>
    </row>
    <row r="794" spans="5:5">
      <c r="E794" s="72"/>
    </row>
    <row r="795" spans="5:5">
      <c r="E795" s="72"/>
    </row>
    <row r="796" spans="5:5">
      <c r="E796" s="72"/>
    </row>
    <row r="797" spans="5:5">
      <c r="E797" s="72"/>
    </row>
    <row r="798" spans="5:5">
      <c r="E798" s="72"/>
    </row>
    <row r="799" spans="5:5">
      <c r="E799" s="72"/>
    </row>
    <row r="800" spans="5:5">
      <c r="E800" s="72"/>
    </row>
    <row r="801" spans="5:5">
      <c r="E801" s="72"/>
    </row>
    <row r="802" spans="5:5">
      <c r="E802" s="72"/>
    </row>
    <row r="803" spans="5:5">
      <c r="E803" s="72"/>
    </row>
    <row r="804" spans="5:5">
      <c r="E804" s="72"/>
    </row>
    <row r="805" spans="5:5">
      <c r="E805" s="72"/>
    </row>
    <row r="806" spans="5:5">
      <c r="E806" s="72"/>
    </row>
    <row r="807" spans="5:5">
      <c r="E807" s="72"/>
    </row>
    <row r="808" spans="5:5">
      <c r="E808" s="72"/>
    </row>
    <row r="809" spans="5:5">
      <c r="E809" s="72"/>
    </row>
    <row r="810" spans="5:5">
      <c r="E810" s="72"/>
    </row>
    <row r="811" spans="5:5">
      <c r="E811" s="72"/>
    </row>
    <row r="812" spans="5:5">
      <c r="E812" s="72"/>
    </row>
    <row r="813" spans="5:5">
      <c r="E813" s="72"/>
    </row>
    <row r="814" spans="5:5">
      <c r="E814" s="72"/>
    </row>
    <row r="815" spans="5:5">
      <c r="E815" s="72"/>
    </row>
    <row r="816" spans="5:5">
      <c r="E816" s="72"/>
    </row>
    <row r="817" spans="5:5">
      <c r="E817" s="72"/>
    </row>
    <row r="818" spans="5:5">
      <c r="E818" s="72"/>
    </row>
    <row r="819" spans="5:5">
      <c r="E819" s="72"/>
    </row>
    <row r="820" spans="5:5">
      <c r="E820" s="72"/>
    </row>
    <row r="821" spans="5:5">
      <c r="E821" s="72"/>
    </row>
    <row r="822" spans="5:5">
      <c r="E822" s="72"/>
    </row>
    <row r="823" spans="5:5">
      <c r="E823" s="72"/>
    </row>
    <row r="824" spans="5:5">
      <c r="E824" s="72"/>
    </row>
    <row r="825" spans="5:5">
      <c r="E825" s="72"/>
    </row>
    <row r="826" spans="5:5">
      <c r="E826" s="72"/>
    </row>
    <row r="827" spans="5:5">
      <c r="E827" s="72"/>
    </row>
    <row r="828" spans="5:5">
      <c r="E828" s="72"/>
    </row>
    <row r="829" spans="5:5">
      <c r="E829" s="72"/>
    </row>
    <row r="830" spans="5:5">
      <c r="E830" s="72"/>
    </row>
    <row r="831" spans="5:5">
      <c r="E831" s="72"/>
    </row>
    <row r="832" spans="5:5">
      <c r="E832" s="72"/>
    </row>
    <row r="833" spans="5:5">
      <c r="E833" s="72"/>
    </row>
    <row r="834" spans="5:5">
      <c r="E834" s="72"/>
    </row>
    <row r="835" spans="5:5">
      <c r="E835" s="72"/>
    </row>
    <row r="836" spans="5:5">
      <c r="E836" s="72"/>
    </row>
    <row r="837" spans="5:5">
      <c r="E837" s="72"/>
    </row>
    <row r="838" spans="5:5">
      <c r="E838" s="72"/>
    </row>
    <row r="839" spans="5:5">
      <c r="E839" s="72"/>
    </row>
    <row r="840" spans="5:5">
      <c r="E840" s="72"/>
    </row>
    <row r="841" spans="5:5">
      <c r="E841" s="72"/>
    </row>
    <row r="842" spans="5:5">
      <c r="E842" s="72"/>
    </row>
    <row r="843" spans="5:5">
      <c r="E843" s="72"/>
    </row>
    <row r="844" spans="5:5">
      <c r="E844" s="72"/>
    </row>
    <row r="845" spans="5:5">
      <c r="E845" s="72"/>
    </row>
    <row r="846" spans="5:5">
      <c r="E846" s="72"/>
    </row>
    <row r="847" spans="5:5">
      <c r="E847" s="72"/>
    </row>
    <row r="848" spans="5:5">
      <c r="E848" s="72"/>
    </row>
    <row r="849" spans="5:5">
      <c r="E849" s="72"/>
    </row>
    <row r="850" spans="5:5">
      <c r="E850" s="72"/>
    </row>
    <row r="851" spans="5:5">
      <c r="E851" s="72"/>
    </row>
    <row r="852" spans="5:5">
      <c r="E852" s="72"/>
    </row>
    <row r="853" spans="5:5">
      <c r="E853" s="72"/>
    </row>
    <row r="854" spans="5:5">
      <c r="E854" s="72"/>
    </row>
    <row r="855" spans="5:5">
      <c r="E855" s="72"/>
    </row>
    <row r="856" spans="5:5">
      <c r="E856" s="72"/>
    </row>
    <row r="857" spans="5:5">
      <c r="E857" s="72"/>
    </row>
    <row r="858" spans="5:5">
      <c r="E858" s="72"/>
    </row>
    <row r="859" spans="5:5">
      <c r="E859" s="72"/>
    </row>
    <row r="860" spans="5:5">
      <c r="E860" s="72"/>
    </row>
    <row r="861" spans="5:5">
      <c r="E861" s="72"/>
    </row>
    <row r="862" spans="5:5">
      <c r="E862" s="72"/>
    </row>
    <row r="863" spans="5:5">
      <c r="E863" s="72"/>
    </row>
    <row r="864" spans="5:5">
      <c r="E864" s="72"/>
    </row>
    <row r="865" spans="5:5">
      <c r="E865" s="72"/>
    </row>
    <row r="866" spans="5:5">
      <c r="E866" s="72"/>
    </row>
    <row r="867" spans="5:5">
      <c r="E867" s="72"/>
    </row>
    <row r="868" spans="5:5">
      <c r="E868" s="72"/>
    </row>
    <row r="869" spans="5:5">
      <c r="E869" s="72"/>
    </row>
    <row r="870" spans="5:5">
      <c r="E870" s="72"/>
    </row>
    <row r="871" spans="5:5">
      <c r="E871" s="72"/>
    </row>
    <row r="872" spans="5:5">
      <c r="E872" s="72"/>
    </row>
    <row r="873" spans="5:5">
      <c r="E873" s="72"/>
    </row>
    <row r="874" spans="5:5">
      <c r="E874" s="72"/>
    </row>
    <row r="875" spans="5:5">
      <c r="E875" s="72"/>
    </row>
    <row r="876" spans="5:5">
      <c r="E876" s="72"/>
    </row>
    <row r="877" spans="5:5">
      <c r="E877" s="72"/>
    </row>
    <row r="878" spans="5:5">
      <c r="E878" s="72"/>
    </row>
    <row r="879" spans="5:5">
      <c r="E879" s="72"/>
    </row>
    <row r="880" spans="5:5">
      <c r="E880" s="72"/>
    </row>
    <row r="881" spans="5:5">
      <c r="E881" s="72"/>
    </row>
    <row r="882" spans="5:5">
      <c r="E882" s="72"/>
    </row>
    <row r="883" spans="5:5">
      <c r="E883" s="72"/>
    </row>
    <row r="884" spans="5:5">
      <c r="E884" s="72"/>
    </row>
    <row r="885" spans="5:5">
      <c r="E885" s="72"/>
    </row>
    <row r="886" spans="5:5">
      <c r="E886" s="72"/>
    </row>
    <row r="887" spans="5:5">
      <c r="E887" s="72"/>
    </row>
    <row r="888" spans="5:5">
      <c r="E888" s="72"/>
    </row>
    <row r="889" spans="5:5">
      <c r="E889" s="72"/>
    </row>
    <row r="890" spans="5:5">
      <c r="E890" s="72"/>
    </row>
    <row r="891" spans="5:5">
      <c r="E891" s="72"/>
    </row>
    <row r="892" spans="5:5">
      <c r="E892" s="72"/>
    </row>
    <row r="893" spans="5:5">
      <c r="E893" s="72"/>
    </row>
    <row r="894" spans="5:5">
      <c r="E894" s="72"/>
    </row>
    <row r="895" spans="5:5">
      <c r="E895" s="72"/>
    </row>
    <row r="896" spans="5:5">
      <c r="E896" s="72"/>
    </row>
    <row r="897" spans="5:5">
      <c r="E897" s="72"/>
    </row>
    <row r="898" spans="5:5">
      <c r="E898" s="72"/>
    </row>
    <row r="899" spans="5:5">
      <c r="E899" s="72"/>
    </row>
    <row r="900" spans="5:5">
      <c r="E900" s="72"/>
    </row>
    <row r="901" spans="5:5">
      <c r="E901" s="72"/>
    </row>
    <row r="902" spans="5:5">
      <c r="E902" s="72"/>
    </row>
    <row r="903" spans="5:5">
      <c r="E903" s="72"/>
    </row>
    <row r="904" spans="5:5">
      <c r="E904" s="72"/>
    </row>
    <row r="905" spans="5:5">
      <c r="E905" s="72"/>
    </row>
    <row r="906" spans="5:5">
      <c r="E906" s="72"/>
    </row>
    <row r="907" spans="5:5">
      <c r="E907" s="72"/>
    </row>
    <row r="908" spans="5:5">
      <c r="E908" s="72"/>
    </row>
    <row r="909" spans="5:5">
      <c r="E909" s="72"/>
    </row>
    <row r="910" spans="5:5">
      <c r="E910" s="72"/>
    </row>
    <row r="911" spans="5:5">
      <c r="E911" s="72"/>
    </row>
    <row r="912" spans="5:5">
      <c r="E912" s="72"/>
    </row>
    <row r="913" spans="5:5">
      <c r="E913" s="72"/>
    </row>
    <row r="914" spans="5:5">
      <c r="E914" s="72"/>
    </row>
    <row r="915" spans="5:5">
      <c r="E915" s="72"/>
    </row>
    <row r="916" spans="5:5">
      <c r="E916" s="72"/>
    </row>
    <row r="917" spans="5:5">
      <c r="E917" s="72"/>
    </row>
    <row r="918" spans="5:5">
      <c r="E918" s="72"/>
    </row>
    <row r="919" spans="5:5">
      <c r="E919" s="72"/>
    </row>
    <row r="920" spans="5:5">
      <c r="E920" s="72"/>
    </row>
    <row r="921" spans="5:5">
      <c r="E921" s="72"/>
    </row>
    <row r="922" spans="5:5">
      <c r="E922" s="72"/>
    </row>
    <row r="923" spans="5:5">
      <c r="E923" s="72"/>
    </row>
    <row r="924" spans="5:5">
      <c r="E924" s="72"/>
    </row>
    <row r="925" spans="5:5">
      <c r="E925" s="72"/>
    </row>
    <row r="926" spans="5:5">
      <c r="E926" s="72"/>
    </row>
    <row r="927" spans="5:5">
      <c r="E927" s="72"/>
    </row>
    <row r="928" spans="5:5">
      <c r="E928" s="72"/>
    </row>
    <row r="929" spans="5:5">
      <c r="E929" s="72"/>
    </row>
    <row r="930" spans="5:5">
      <c r="E930" s="72"/>
    </row>
    <row r="931" spans="5:5">
      <c r="E931" s="72"/>
    </row>
    <row r="932" spans="5:5">
      <c r="E932" s="72"/>
    </row>
    <row r="933" spans="5:5">
      <c r="E933" s="72"/>
    </row>
    <row r="934" spans="5:5">
      <c r="E934" s="72"/>
    </row>
    <row r="935" spans="5:5">
      <c r="E935" s="72"/>
    </row>
    <row r="936" spans="5:5">
      <c r="E936" s="72"/>
    </row>
    <row r="937" spans="5:5">
      <c r="E937" s="72"/>
    </row>
    <row r="938" spans="5:5">
      <c r="E938" s="72"/>
    </row>
    <row r="939" spans="5:5">
      <c r="E939" s="72"/>
    </row>
    <row r="940" spans="5:5">
      <c r="E940" s="72"/>
    </row>
    <row r="941" spans="5:5">
      <c r="E941" s="72"/>
    </row>
    <row r="942" spans="5:5">
      <c r="E942" s="72"/>
    </row>
    <row r="943" spans="5:5">
      <c r="E943" s="72"/>
    </row>
    <row r="944" spans="5:5">
      <c r="E944" s="72"/>
    </row>
    <row r="945" spans="5:5">
      <c r="E945" s="72"/>
    </row>
    <row r="946" spans="5:5">
      <c r="E946" s="72"/>
    </row>
    <row r="947" spans="5:5">
      <c r="E947" s="72"/>
    </row>
    <row r="948" spans="5:5">
      <c r="E948" s="72"/>
    </row>
    <row r="949" spans="5:5">
      <c r="E949" s="72"/>
    </row>
    <row r="950" spans="5:5">
      <c r="E950" s="72"/>
    </row>
    <row r="951" spans="5:5">
      <c r="E951" s="72"/>
    </row>
    <row r="952" spans="5:5">
      <c r="E952" s="72"/>
    </row>
    <row r="953" spans="5:5">
      <c r="E953" s="72"/>
    </row>
    <row r="954" spans="5:5">
      <c r="E954" s="72"/>
    </row>
    <row r="955" spans="5:5">
      <c r="E955" s="72"/>
    </row>
    <row r="956" spans="5:5">
      <c r="E956" s="72"/>
    </row>
    <row r="957" spans="5:5">
      <c r="E957" s="72"/>
    </row>
    <row r="958" spans="5:5">
      <c r="E958" s="72"/>
    </row>
    <row r="959" spans="5:5">
      <c r="E959" s="72"/>
    </row>
    <row r="960" spans="5:5">
      <c r="E960" s="72"/>
    </row>
    <row r="961" spans="5:5">
      <c r="E961" s="72"/>
    </row>
    <row r="962" spans="5:5">
      <c r="E962" s="72"/>
    </row>
    <row r="963" spans="5:5">
      <c r="E963" s="72"/>
    </row>
    <row r="964" spans="5:5">
      <c r="E964" s="72"/>
    </row>
    <row r="965" spans="5:5">
      <c r="E965" s="72"/>
    </row>
    <row r="966" spans="5:5">
      <c r="E966" s="72"/>
    </row>
    <row r="967" spans="5:5">
      <c r="E967" s="72"/>
    </row>
    <row r="968" spans="5:5">
      <c r="E968" s="72"/>
    </row>
    <row r="969" spans="5:5">
      <c r="E969" s="72"/>
    </row>
    <row r="970" spans="5:5">
      <c r="E970" s="72"/>
    </row>
    <row r="971" spans="5:5">
      <c r="E971" s="72"/>
    </row>
    <row r="972" spans="5:5">
      <c r="E972" s="72"/>
    </row>
    <row r="973" spans="5:5">
      <c r="E973" s="72"/>
    </row>
    <row r="974" spans="5:5">
      <c r="E974" s="72"/>
    </row>
    <row r="975" spans="5:5">
      <c r="E975" s="72"/>
    </row>
    <row r="976" spans="5:5">
      <c r="E976" s="72"/>
    </row>
    <row r="977" spans="5:5">
      <c r="E977" s="72"/>
    </row>
    <row r="978" spans="5:5">
      <c r="E978" s="72"/>
    </row>
    <row r="979" spans="5:5">
      <c r="E979" s="72"/>
    </row>
    <row r="980" spans="5:5">
      <c r="E980" s="72"/>
    </row>
    <row r="981" spans="5:5">
      <c r="E981" s="72"/>
    </row>
    <row r="982" spans="5:5">
      <c r="E982" s="72"/>
    </row>
    <row r="983" spans="5:5">
      <c r="E983" s="72"/>
    </row>
    <row r="984" spans="5:5">
      <c r="E984" s="72"/>
    </row>
    <row r="985" spans="5:5">
      <c r="E985" s="72"/>
    </row>
    <row r="986" spans="5:5">
      <c r="E986" s="72"/>
    </row>
    <row r="987" spans="5:5">
      <c r="E987" s="72"/>
    </row>
    <row r="988" spans="5:5">
      <c r="E988" s="72"/>
    </row>
    <row r="989" spans="5:5">
      <c r="E989" s="72"/>
    </row>
    <row r="990" spans="5:5">
      <c r="E990" s="72"/>
    </row>
    <row r="991" spans="5:5">
      <c r="E991" s="72"/>
    </row>
    <row r="992" spans="5:5">
      <c r="E992" s="72"/>
    </row>
    <row r="993" spans="5:5">
      <c r="E993" s="72"/>
    </row>
    <row r="994" spans="5:5">
      <c r="E994" s="72"/>
    </row>
    <row r="995" spans="5:5">
      <c r="E995" s="72"/>
    </row>
    <row r="996" spans="5:5">
      <c r="E996" s="72"/>
    </row>
    <row r="997" spans="5:5">
      <c r="E997" s="72"/>
    </row>
    <row r="998" spans="5:5">
      <c r="E998" s="72"/>
    </row>
    <row r="999" spans="5:5">
      <c r="E999" s="72"/>
    </row>
    <row r="1000" spans="5:5">
      <c r="E1000" s="72"/>
    </row>
    <row r="1001" spans="5:5">
      <c r="E1001" s="72"/>
    </row>
    <row r="1002" spans="5:5">
      <c r="E1002" s="72"/>
    </row>
    <row r="1003" spans="5:5">
      <c r="E1003" s="72"/>
    </row>
    <row r="1004" spans="5:5">
      <c r="E1004" s="72"/>
    </row>
    <row r="1005" spans="5:5">
      <c r="E1005" s="72"/>
    </row>
    <row r="1006" spans="5:5">
      <c r="E1006" s="72"/>
    </row>
    <row r="1007" spans="5:5">
      <c r="E1007" s="72"/>
    </row>
    <row r="1008" spans="5:5">
      <c r="E1008" s="72"/>
    </row>
    <row r="1009" spans="5:5">
      <c r="E1009" s="72"/>
    </row>
    <row r="1010" spans="5:5">
      <c r="E1010" s="72"/>
    </row>
    <row r="1011" spans="5:5">
      <c r="E1011" s="72"/>
    </row>
    <row r="1012" spans="5:5">
      <c r="E1012" s="72"/>
    </row>
    <row r="1013" spans="5:5">
      <c r="E1013" s="72"/>
    </row>
    <row r="1014" spans="5:5">
      <c r="E1014" s="72"/>
    </row>
    <row r="1015" spans="5:5">
      <c r="E1015" s="72"/>
    </row>
    <row r="1016" spans="5:5">
      <c r="E1016" s="72"/>
    </row>
    <row r="1017" spans="5:5">
      <c r="E1017" s="72"/>
    </row>
    <row r="1018" spans="5:5">
      <c r="E1018" s="72"/>
    </row>
    <row r="1019" spans="5:5">
      <c r="E1019" s="72"/>
    </row>
    <row r="1020" spans="5:5">
      <c r="E1020" s="72"/>
    </row>
    <row r="1021" spans="5:5">
      <c r="E1021" s="72"/>
    </row>
    <row r="1022" spans="5:5">
      <c r="E1022" s="72"/>
    </row>
    <row r="1023" spans="5:5">
      <c r="E1023" s="72"/>
    </row>
    <row r="1024" spans="5:5">
      <c r="E1024" s="72"/>
    </row>
    <row r="1025" spans="5:5">
      <c r="E1025" s="72"/>
    </row>
    <row r="1026" spans="5:5">
      <c r="E1026" s="72"/>
    </row>
    <row r="1027" spans="5:5">
      <c r="E1027" s="72"/>
    </row>
    <row r="1028" spans="5:5">
      <c r="E1028" s="72"/>
    </row>
    <row r="1029" spans="5:5">
      <c r="E1029" s="72"/>
    </row>
    <row r="1030" spans="5:5">
      <c r="E1030" s="72"/>
    </row>
    <row r="1031" spans="5:5">
      <c r="E1031" s="72"/>
    </row>
    <row r="1032" spans="5:5">
      <c r="E1032" s="72"/>
    </row>
    <row r="1033" spans="5:5">
      <c r="E1033" s="72"/>
    </row>
    <row r="1034" spans="5:5">
      <c r="E1034" s="72"/>
    </row>
    <row r="1035" spans="5:5">
      <c r="E1035" s="72"/>
    </row>
    <row r="1036" spans="5:5">
      <c r="E1036" s="72"/>
    </row>
    <row r="1037" spans="5:5">
      <c r="E1037" s="72"/>
    </row>
    <row r="1038" spans="5:5">
      <c r="E1038" s="72"/>
    </row>
    <row r="1039" spans="5:5">
      <c r="E1039" s="72"/>
    </row>
    <row r="1040" spans="5:5">
      <c r="E1040" s="72"/>
    </row>
    <row r="1041" spans="5:5">
      <c r="E1041" s="72"/>
    </row>
    <row r="1042" spans="5:5">
      <c r="E1042" s="72"/>
    </row>
    <row r="1043" spans="5:5">
      <c r="E1043" s="72"/>
    </row>
    <row r="1044" spans="5:5">
      <c r="E1044" s="72"/>
    </row>
    <row r="1045" spans="5:5">
      <c r="E1045" s="72"/>
    </row>
    <row r="1046" spans="5:5">
      <c r="E1046" s="72"/>
    </row>
    <row r="1047" spans="5:5">
      <c r="E1047" s="72"/>
    </row>
    <row r="1048" spans="5:5">
      <c r="E1048" s="72"/>
    </row>
    <row r="1049" spans="5:5">
      <c r="E1049" s="72"/>
    </row>
    <row r="1050" spans="5:5">
      <c r="E1050" s="72"/>
    </row>
    <row r="1051" spans="5:5">
      <c r="E1051" s="72"/>
    </row>
    <row r="1052" spans="5:5">
      <c r="E1052" s="72"/>
    </row>
    <row r="1053" spans="5:5">
      <c r="E1053" s="72"/>
    </row>
    <row r="1054" spans="5:5">
      <c r="E1054" s="72"/>
    </row>
    <row r="1055" spans="5:5">
      <c r="E1055" s="72"/>
    </row>
    <row r="1056" spans="5:5">
      <c r="E1056" s="72"/>
    </row>
    <row r="1057" spans="5:5">
      <c r="E1057" s="72"/>
    </row>
    <row r="1058" spans="5:5">
      <c r="E1058" s="72"/>
    </row>
    <row r="1059" spans="5:5">
      <c r="E1059" s="72"/>
    </row>
    <row r="1060" spans="5:5">
      <c r="E1060" s="72"/>
    </row>
    <row r="1061" spans="5:5">
      <c r="E1061" s="72"/>
    </row>
    <row r="1062" spans="5:5">
      <c r="E1062" s="72"/>
    </row>
    <row r="1063" spans="5:5">
      <c r="E1063" s="72"/>
    </row>
    <row r="1064" spans="5:5">
      <c r="E1064" s="72"/>
    </row>
    <row r="1065" spans="5:5">
      <c r="E1065" s="72"/>
    </row>
    <row r="1066" spans="5:5">
      <c r="E1066" s="72"/>
    </row>
    <row r="1067" spans="5:5">
      <c r="E1067" s="72"/>
    </row>
    <row r="1068" spans="5:5">
      <c r="E1068" s="72"/>
    </row>
    <row r="1069" spans="5:5">
      <c r="E1069" s="72"/>
    </row>
    <row r="1070" spans="5:5">
      <c r="E1070" s="72"/>
    </row>
    <row r="1071" spans="5:5">
      <c r="E1071" s="72"/>
    </row>
    <row r="1072" spans="5:5">
      <c r="E1072" s="72"/>
    </row>
    <row r="1073" spans="5:5">
      <c r="E1073" s="72"/>
    </row>
    <row r="1074" spans="5:5">
      <c r="E1074" s="72"/>
    </row>
    <row r="1075" spans="5:5">
      <c r="E1075" s="72"/>
    </row>
    <row r="1076" spans="5:5">
      <c r="E1076" s="72"/>
    </row>
    <row r="1077" spans="5:5">
      <c r="E1077" s="72"/>
    </row>
    <row r="1078" spans="5:5">
      <c r="E1078" s="72"/>
    </row>
    <row r="1079" spans="5:5">
      <c r="E1079" s="72"/>
    </row>
    <row r="1080" spans="5:5">
      <c r="E1080" s="72"/>
    </row>
    <row r="1081" spans="5:5">
      <c r="E1081" s="72"/>
    </row>
    <row r="1082" spans="5:5">
      <c r="E1082" s="72"/>
    </row>
    <row r="1083" spans="5:5">
      <c r="E1083" s="72"/>
    </row>
    <row r="1084" spans="5:5">
      <c r="E1084" s="72"/>
    </row>
    <row r="1085" spans="5:5">
      <c r="E1085" s="72"/>
    </row>
    <row r="1086" spans="5:5">
      <c r="E1086" s="72"/>
    </row>
    <row r="1087" spans="5:5">
      <c r="E1087" s="72"/>
    </row>
    <row r="1088" spans="5:5">
      <c r="E1088" s="72"/>
    </row>
    <row r="1089" spans="5:5">
      <c r="E1089" s="72"/>
    </row>
    <row r="1090" spans="5:5">
      <c r="E1090" s="72"/>
    </row>
    <row r="1091" spans="5:5">
      <c r="E1091" s="72"/>
    </row>
    <row r="1092" spans="5:5">
      <c r="E1092" s="72"/>
    </row>
    <row r="1093" spans="5:5">
      <c r="E1093" s="72"/>
    </row>
    <row r="1094" spans="5:5">
      <c r="E1094" s="72"/>
    </row>
    <row r="1095" spans="5:5">
      <c r="E1095" s="72"/>
    </row>
    <row r="1096" spans="5:5">
      <c r="E1096" s="72"/>
    </row>
    <row r="1097" spans="5:5">
      <c r="E1097" s="72"/>
    </row>
    <row r="1098" spans="5:5">
      <c r="E1098" s="72"/>
    </row>
    <row r="1099" spans="5:5">
      <c r="E1099" s="72"/>
    </row>
    <row r="1100" spans="5:5">
      <c r="E1100" s="72"/>
    </row>
    <row r="1101" spans="5:5">
      <c r="E1101" s="72"/>
    </row>
    <row r="1102" spans="5:5">
      <c r="E1102" s="72"/>
    </row>
    <row r="1103" spans="5:5">
      <c r="E1103" s="72"/>
    </row>
    <row r="1104" spans="5:5">
      <c r="E1104" s="72"/>
    </row>
    <row r="1105" spans="5:5">
      <c r="E1105" s="72"/>
    </row>
    <row r="1106" spans="5:5">
      <c r="E1106" s="72"/>
    </row>
    <row r="1107" spans="5:5">
      <c r="E1107" s="72"/>
    </row>
    <row r="1108" spans="5:5">
      <c r="E1108" s="72"/>
    </row>
    <row r="1109" spans="5:5">
      <c r="E1109" s="72"/>
    </row>
    <row r="1110" spans="5:5">
      <c r="E1110" s="72"/>
    </row>
    <row r="1111" spans="5:5">
      <c r="E1111" s="72"/>
    </row>
    <row r="1112" spans="5:5">
      <c r="E1112" s="72"/>
    </row>
    <row r="1113" spans="5:5">
      <c r="E1113" s="72"/>
    </row>
    <row r="1114" spans="5:5">
      <c r="E1114" s="72"/>
    </row>
    <row r="1115" spans="5:5">
      <c r="E1115" s="72"/>
    </row>
    <row r="1116" spans="5:5">
      <c r="E1116" s="72"/>
    </row>
    <row r="1117" spans="5:5">
      <c r="E1117" s="72"/>
    </row>
    <row r="1118" spans="5:5">
      <c r="E1118" s="72"/>
    </row>
    <row r="1119" spans="5:5">
      <c r="E1119" s="72"/>
    </row>
    <row r="1120" spans="5:5">
      <c r="E1120" s="72"/>
    </row>
    <row r="1121" spans="5:5">
      <c r="E1121" s="72"/>
    </row>
    <row r="1122" spans="5:5">
      <c r="E1122" s="72"/>
    </row>
    <row r="1123" spans="5:5">
      <c r="E1123" s="72"/>
    </row>
    <row r="1124" spans="5:5">
      <c r="E1124" s="72"/>
    </row>
    <row r="1125" spans="5:5">
      <c r="E1125" s="72"/>
    </row>
    <row r="1126" spans="5:5">
      <c r="E1126" s="72"/>
    </row>
    <row r="1127" spans="5:5">
      <c r="E1127" s="72"/>
    </row>
    <row r="1128" spans="5:5">
      <c r="E1128" s="72"/>
    </row>
    <row r="1129" spans="5:5">
      <c r="E1129" s="72"/>
    </row>
    <row r="1130" spans="5:5">
      <c r="E1130" s="72"/>
    </row>
    <row r="1131" spans="5:5">
      <c r="E1131" s="72"/>
    </row>
    <row r="1132" spans="5:5">
      <c r="E1132" s="72"/>
    </row>
    <row r="1133" spans="5:5">
      <c r="E1133" s="72"/>
    </row>
    <row r="1134" spans="5:5">
      <c r="E1134" s="72"/>
    </row>
    <row r="1135" spans="5:5">
      <c r="E1135" s="72"/>
    </row>
    <row r="1136" spans="5:5">
      <c r="E1136" s="72"/>
    </row>
    <row r="1137" spans="5:5">
      <c r="E1137" s="72"/>
    </row>
    <row r="1138" spans="5:5">
      <c r="E1138" s="72"/>
    </row>
    <row r="1139" spans="5:5">
      <c r="E1139" s="72"/>
    </row>
    <row r="1140" spans="5:5">
      <c r="E1140" s="72"/>
    </row>
    <row r="1141" spans="5:5">
      <c r="E1141" s="72"/>
    </row>
    <row r="1142" spans="5:5">
      <c r="E1142" s="72"/>
    </row>
    <row r="1143" spans="5:5">
      <c r="E1143" s="72"/>
    </row>
    <row r="1144" spans="5:5">
      <c r="E1144" s="72"/>
    </row>
    <row r="1145" spans="5:5">
      <c r="E1145" s="72"/>
    </row>
    <row r="1146" spans="5:5">
      <c r="E1146" s="72"/>
    </row>
    <row r="1147" spans="5:5">
      <c r="E1147" s="72"/>
    </row>
    <row r="1148" spans="5:5">
      <c r="E1148" s="72"/>
    </row>
    <row r="1149" spans="5:5">
      <c r="E1149" s="72"/>
    </row>
    <row r="1150" spans="5:5">
      <c r="E1150" s="72"/>
    </row>
    <row r="1151" spans="5:5">
      <c r="E1151" s="72"/>
    </row>
    <row r="1152" spans="5:5">
      <c r="E1152" s="72"/>
    </row>
    <row r="1153" spans="5:5">
      <c r="E1153" s="72"/>
    </row>
    <row r="1154" spans="5:5">
      <c r="E1154" s="72"/>
    </row>
    <row r="1155" spans="5:5">
      <c r="E1155" s="72"/>
    </row>
    <row r="1156" spans="5:5">
      <c r="E1156" s="72"/>
    </row>
    <row r="1157" spans="5:5">
      <c r="E1157" s="72"/>
    </row>
    <row r="1158" spans="5:5">
      <c r="E1158" s="72"/>
    </row>
    <row r="1159" spans="5:5">
      <c r="E1159" s="72"/>
    </row>
    <row r="1160" spans="5:5">
      <c r="E1160" s="72"/>
    </row>
    <row r="1161" spans="5:5">
      <c r="E1161" s="72"/>
    </row>
    <row r="1162" spans="5:5">
      <c r="E1162" s="72"/>
    </row>
    <row r="1163" spans="5:5">
      <c r="E1163" s="72"/>
    </row>
    <row r="1164" spans="5:5">
      <c r="E1164" s="72"/>
    </row>
    <row r="1165" spans="5:5">
      <c r="E1165" s="72"/>
    </row>
    <row r="1166" spans="5:5">
      <c r="E1166" s="72"/>
    </row>
    <row r="1167" spans="5:5">
      <c r="E1167" s="72"/>
    </row>
    <row r="1168" spans="5:5">
      <c r="E1168" s="72"/>
    </row>
    <row r="1169" spans="5:5">
      <c r="E1169" s="72"/>
    </row>
    <row r="1170" spans="5:5">
      <c r="E1170" s="72"/>
    </row>
    <row r="1171" spans="5:5">
      <c r="E1171" s="72"/>
    </row>
    <row r="1172" spans="5:5">
      <c r="E1172" s="72"/>
    </row>
    <row r="1173" spans="5:5">
      <c r="E1173" s="72"/>
    </row>
    <row r="1174" spans="5:5">
      <c r="E1174" s="72"/>
    </row>
    <row r="1175" spans="5:5">
      <c r="E1175" s="72"/>
    </row>
    <row r="1176" spans="5:5">
      <c r="E1176" s="72"/>
    </row>
    <row r="1177" spans="5:5">
      <c r="E1177" s="72"/>
    </row>
    <row r="1178" spans="5:5">
      <c r="E1178" s="72"/>
    </row>
    <row r="1179" spans="5:5">
      <c r="E1179" s="72"/>
    </row>
    <row r="1180" spans="5:5">
      <c r="E1180" s="72"/>
    </row>
    <row r="1181" spans="5:5">
      <c r="E1181" s="72"/>
    </row>
    <row r="1182" spans="5:5">
      <c r="E1182" s="72"/>
    </row>
    <row r="1183" spans="5:5">
      <c r="E1183" s="72"/>
    </row>
    <row r="1184" spans="5:5">
      <c r="E1184" s="72"/>
    </row>
    <row r="1185" spans="5:5">
      <c r="E1185" s="72"/>
    </row>
    <row r="1186" spans="5:5">
      <c r="E1186" s="72"/>
    </row>
    <row r="1187" spans="5:5">
      <c r="E1187" s="72"/>
    </row>
    <row r="1188" spans="5:5">
      <c r="E1188" s="72"/>
    </row>
    <row r="1189" spans="5:5">
      <c r="E1189" s="72"/>
    </row>
    <row r="1190" spans="5:5">
      <c r="E1190" s="72"/>
    </row>
    <row r="1191" spans="5:5">
      <c r="E1191" s="72"/>
    </row>
    <row r="1192" spans="5:5">
      <c r="E1192" s="72"/>
    </row>
    <row r="1193" spans="5:5">
      <c r="E1193" s="72"/>
    </row>
    <row r="1194" spans="5:5">
      <c r="E1194" s="72"/>
    </row>
    <row r="1195" spans="5:5">
      <c r="E1195" s="72"/>
    </row>
    <row r="1196" spans="5:5">
      <c r="E1196" s="72"/>
    </row>
    <row r="1197" spans="5:5">
      <c r="E1197" s="72"/>
    </row>
    <row r="1198" spans="5:5">
      <c r="E1198" s="72"/>
    </row>
    <row r="1199" spans="5:5">
      <c r="E1199" s="72"/>
    </row>
    <row r="1200" spans="5:5">
      <c r="E1200" s="72"/>
    </row>
    <row r="1201" spans="5:5">
      <c r="E1201" s="72"/>
    </row>
    <row r="1202" spans="5:5">
      <c r="E1202" s="72"/>
    </row>
    <row r="1203" spans="5:5">
      <c r="E1203" s="72"/>
    </row>
    <row r="1204" spans="5:5">
      <c r="E1204" s="72"/>
    </row>
    <row r="1205" spans="5:5">
      <c r="E1205" s="72"/>
    </row>
    <row r="1206" spans="5:5">
      <c r="E1206" s="72"/>
    </row>
    <row r="1207" spans="5:5">
      <c r="E1207" s="72"/>
    </row>
    <row r="1208" spans="5:5">
      <c r="E1208" s="72"/>
    </row>
    <row r="1209" spans="5:5">
      <c r="E1209" s="72"/>
    </row>
    <row r="1210" spans="5:5">
      <c r="E1210" s="72"/>
    </row>
    <row r="1211" spans="5:5">
      <c r="E1211" s="72"/>
    </row>
    <row r="1212" spans="5:5">
      <c r="E1212" s="72"/>
    </row>
    <row r="1213" spans="5:5">
      <c r="E1213" s="72"/>
    </row>
    <row r="1214" spans="5:5">
      <c r="E1214" s="72"/>
    </row>
    <row r="1215" spans="5:5">
      <c r="E1215" s="72"/>
    </row>
    <row r="1216" spans="5:5">
      <c r="E1216" s="72"/>
    </row>
    <row r="1217" spans="5:5">
      <c r="E1217" s="72"/>
    </row>
    <row r="1218" spans="5:5">
      <c r="E1218" s="72"/>
    </row>
    <row r="1219" spans="5:5">
      <c r="E1219" s="72"/>
    </row>
    <row r="1220" spans="5:5">
      <c r="E1220" s="72"/>
    </row>
    <row r="1221" spans="5:5">
      <c r="E1221" s="72"/>
    </row>
    <row r="1222" spans="5:5">
      <c r="E1222" s="72"/>
    </row>
    <row r="1223" spans="5:5">
      <c r="E1223" s="72"/>
    </row>
    <row r="1224" spans="5:5">
      <c r="E1224" s="72"/>
    </row>
    <row r="1225" spans="5:5">
      <c r="E1225" s="72"/>
    </row>
    <row r="1226" spans="5:5">
      <c r="E1226" s="72"/>
    </row>
    <row r="1227" spans="5:5">
      <c r="E1227" s="72"/>
    </row>
    <row r="1228" spans="5:5">
      <c r="E1228" s="72"/>
    </row>
    <row r="1229" spans="5:5">
      <c r="E1229" s="72"/>
    </row>
    <row r="1230" spans="5:5">
      <c r="E1230" s="72"/>
    </row>
    <row r="1231" spans="5:5">
      <c r="E1231" s="72"/>
    </row>
    <row r="1232" spans="5:5">
      <c r="E1232" s="72"/>
    </row>
    <row r="1233" spans="5:5">
      <c r="E1233" s="72"/>
    </row>
    <row r="1234" spans="5:5">
      <c r="E1234" s="72"/>
    </row>
    <row r="1235" spans="5:5">
      <c r="E1235" s="72"/>
    </row>
    <row r="1236" spans="5:5">
      <c r="E1236" s="72"/>
    </row>
    <row r="1237" spans="5:5">
      <c r="E1237" s="72"/>
    </row>
    <row r="1238" spans="5:5">
      <c r="E1238" s="72"/>
    </row>
    <row r="1239" spans="5:5">
      <c r="E1239" s="72"/>
    </row>
    <row r="1240" spans="5:5">
      <c r="E1240" s="72"/>
    </row>
    <row r="1241" spans="5:5">
      <c r="E1241" s="72"/>
    </row>
    <row r="1242" spans="5:5">
      <c r="E1242" s="72"/>
    </row>
    <row r="1243" spans="5:5">
      <c r="E1243" s="72"/>
    </row>
    <row r="1244" spans="5:5">
      <c r="E1244" s="72"/>
    </row>
    <row r="1245" spans="5:5">
      <c r="E1245" s="72"/>
    </row>
    <row r="1246" spans="5:5">
      <c r="E1246" s="72"/>
    </row>
    <row r="1247" spans="5:5">
      <c r="E1247" s="72"/>
    </row>
    <row r="1248" spans="5:5">
      <c r="E1248" s="72"/>
    </row>
    <row r="1249" spans="5:5">
      <c r="E1249" s="72"/>
    </row>
    <row r="1250" spans="5:5">
      <c r="E1250" s="72"/>
    </row>
    <row r="1251" spans="5:5">
      <c r="E1251" s="72"/>
    </row>
    <row r="1252" spans="5:5">
      <c r="E1252" s="72"/>
    </row>
    <row r="1253" spans="5:5">
      <c r="E1253" s="72"/>
    </row>
    <row r="1254" spans="5:5">
      <c r="E1254" s="72"/>
    </row>
    <row r="1255" spans="5:5">
      <c r="E1255" s="72"/>
    </row>
    <row r="1256" spans="5:5">
      <c r="E1256" s="72"/>
    </row>
    <row r="1257" spans="5:5">
      <c r="E1257" s="72"/>
    </row>
    <row r="1258" spans="5:5">
      <c r="E1258" s="72"/>
    </row>
    <row r="1259" spans="5:5">
      <c r="E1259" s="72"/>
    </row>
    <row r="1260" spans="5:5">
      <c r="E1260" s="72"/>
    </row>
    <row r="1261" spans="5:5">
      <c r="E1261" s="72"/>
    </row>
    <row r="1262" spans="5:5">
      <c r="E1262" s="72"/>
    </row>
    <row r="1263" spans="5:5">
      <c r="E1263" s="72"/>
    </row>
    <row r="1264" spans="5:5">
      <c r="E1264" s="72"/>
    </row>
    <row r="1265" spans="5:5">
      <c r="E1265" s="72"/>
    </row>
    <row r="1266" spans="5:5">
      <c r="E1266" s="72"/>
    </row>
    <row r="1267" spans="5:5">
      <c r="E1267" s="72"/>
    </row>
    <row r="1268" spans="5:5">
      <c r="E1268" s="72"/>
    </row>
    <row r="1269" spans="5:5">
      <c r="E1269" s="72"/>
    </row>
    <row r="1270" spans="5:5">
      <c r="E1270" s="72"/>
    </row>
    <row r="1271" spans="5:5">
      <c r="E1271" s="72"/>
    </row>
    <row r="1272" spans="5:5">
      <c r="E1272" s="72"/>
    </row>
    <row r="1273" spans="5:5">
      <c r="E1273" s="72"/>
    </row>
    <row r="1274" spans="5:5">
      <c r="E1274" s="72"/>
    </row>
    <row r="1275" spans="5:5">
      <c r="E1275" s="72"/>
    </row>
    <row r="1276" spans="5:5">
      <c r="E1276" s="72"/>
    </row>
    <row r="1277" spans="5:5">
      <c r="E1277" s="72"/>
    </row>
    <row r="1278" spans="5:5">
      <c r="E1278" s="72"/>
    </row>
    <row r="1279" spans="5:5">
      <c r="E1279" s="72"/>
    </row>
    <row r="1280" spans="5:5">
      <c r="E1280" s="72"/>
    </row>
    <row r="1281" spans="5:5">
      <c r="E1281" s="72"/>
    </row>
    <row r="1282" spans="5:5">
      <c r="E1282" s="72"/>
    </row>
    <row r="1283" spans="5:5">
      <c r="E1283" s="72"/>
    </row>
    <row r="1284" spans="5:5">
      <c r="E1284" s="72"/>
    </row>
    <row r="1285" spans="5:5">
      <c r="E1285" s="72"/>
    </row>
    <row r="1286" spans="5:5">
      <c r="E1286" s="72"/>
    </row>
    <row r="1287" spans="5:5">
      <c r="E1287" s="72"/>
    </row>
    <row r="1288" spans="5:5">
      <c r="E1288" s="72"/>
    </row>
    <row r="1289" spans="5:5">
      <c r="E1289" s="72"/>
    </row>
    <row r="1290" spans="5:5">
      <c r="E1290" s="72"/>
    </row>
    <row r="1291" spans="5:5">
      <c r="E1291" s="72"/>
    </row>
    <row r="1292" spans="5:5">
      <c r="E1292" s="72"/>
    </row>
    <row r="1293" spans="5:5">
      <c r="E1293" s="72"/>
    </row>
    <row r="1294" spans="5:5">
      <c r="E1294" s="72"/>
    </row>
    <row r="1295" spans="5:5">
      <c r="E1295" s="72"/>
    </row>
    <row r="1296" spans="5:5">
      <c r="E1296" s="72"/>
    </row>
    <row r="1297" spans="5:5">
      <c r="E1297" s="72"/>
    </row>
    <row r="1298" spans="5:5">
      <c r="E1298" s="72"/>
    </row>
    <row r="1299" spans="5:5">
      <c r="E1299" s="72"/>
    </row>
    <row r="1300" spans="5:5">
      <c r="E1300" s="72"/>
    </row>
    <row r="1301" spans="5:5">
      <c r="E1301" s="72"/>
    </row>
    <row r="1302" spans="5:5">
      <c r="E1302" s="72"/>
    </row>
    <row r="1303" spans="5:5">
      <c r="E1303" s="72"/>
    </row>
    <row r="1304" spans="5:5">
      <c r="E1304" s="72"/>
    </row>
    <row r="1305" spans="5:5">
      <c r="E1305" s="72"/>
    </row>
    <row r="1306" spans="5:5">
      <c r="E1306" s="72"/>
    </row>
    <row r="1307" spans="5:5">
      <c r="E1307" s="72"/>
    </row>
    <row r="1308" spans="5:5">
      <c r="E1308" s="72"/>
    </row>
    <row r="1309" spans="5:5">
      <c r="E1309" s="72"/>
    </row>
    <row r="1310" spans="5:5">
      <c r="E1310" s="72"/>
    </row>
    <row r="1311" spans="5:5">
      <c r="E1311" s="72"/>
    </row>
    <row r="1312" spans="5:5">
      <c r="E1312" s="72"/>
    </row>
    <row r="1313" spans="5:5">
      <c r="E1313" s="72"/>
    </row>
    <row r="1314" spans="5:5">
      <c r="E1314" s="72"/>
    </row>
    <row r="1315" spans="5:5">
      <c r="E1315" s="72"/>
    </row>
    <row r="1316" spans="5:5">
      <c r="E1316" s="72"/>
    </row>
    <row r="1317" spans="5:5">
      <c r="E1317" s="72"/>
    </row>
    <row r="1318" spans="5:5">
      <c r="E1318" s="72"/>
    </row>
    <row r="1319" spans="5:5">
      <c r="E1319" s="72"/>
    </row>
    <row r="1320" spans="5:5">
      <c r="E1320" s="72"/>
    </row>
    <row r="1321" spans="5:5">
      <c r="E1321" s="72"/>
    </row>
    <row r="1322" spans="5:5">
      <c r="E1322" s="72"/>
    </row>
    <row r="1323" spans="5:5">
      <c r="E1323" s="72"/>
    </row>
    <row r="1324" spans="5:5">
      <c r="E1324" s="72"/>
    </row>
    <row r="1325" spans="5:5">
      <c r="E1325" s="72"/>
    </row>
    <row r="1326" spans="5:5">
      <c r="E1326" s="72"/>
    </row>
    <row r="1327" spans="5:5">
      <c r="E1327" s="72"/>
    </row>
    <row r="1328" spans="5:5">
      <c r="E1328" s="72"/>
    </row>
    <row r="1329" spans="5:5">
      <c r="E1329" s="72"/>
    </row>
    <row r="1330" spans="5:5">
      <c r="E1330" s="72"/>
    </row>
    <row r="1331" spans="5:5">
      <c r="E1331" s="72"/>
    </row>
    <row r="1332" spans="5:5">
      <c r="E1332" s="72"/>
    </row>
    <row r="1333" spans="5:5">
      <c r="E1333" s="72"/>
    </row>
    <row r="1334" spans="5:5">
      <c r="E1334" s="72"/>
    </row>
    <row r="1335" spans="5:5">
      <c r="E1335" s="72"/>
    </row>
    <row r="1336" spans="5:5">
      <c r="E1336" s="72"/>
    </row>
    <row r="1337" spans="5:5">
      <c r="E1337" s="72"/>
    </row>
    <row r="1338" spans="5:5">
      <c r="E1338" s="72"/>
    </row>
    <row r="1339" spans="5:5">
      <c r="E1339" s="72"/>
    </row>
    <row r="1340" spans="5:5">
      <c r="E1340" s="72"/>
    </row>
    <row r="1341" spans="5:5">
      <c r="E1341" s="72"/>
    </row>
    <row r="1342" spans="5:5">
      <c r="E1342" s="72"/>
    </row>
    <row r="1343" spans="5:5">
      <c r="E1343" s="72"/>
    </row>
    <row r="1344" spans="5:5">
      <c r="E1344" s="72"/>
    </row>
    <row r="1345" spans="5:5">
      <c r="E1345" s="72"/>
    </row>
    <row r="1346" spans="5:5">
      <c r="E1346" s="72"/>
    </row>
    <row r="1347" spans="5:5">
      <c r="E1347" s="72"/>
    </row>
    <row r="1348" spans="5:5">
      <c r="E1348" s="72"/>
    </row>
    <row r="1349" spans="5:5">
      <c r="E1349" s="72"/>
    </row>
    <row r="1350" spans="5:5">
      <c r="E1350" s="72"/>
    </row>
    <row r="1351" spans="5:5">
      <c r="E1351" s="72"/>
    </row>
    <row r="1352" spans="5:5">
      <c r="E1352" s="72"/>
    </row>
    <row r="1353" spans="5:5">
      <c r="E1353" s="72"/>
    </row>
    <row r="1354" spans="5:5">
      <c r="E1354" s="72"/>
    </row>
    <row r="1355" spans="5:5">
      <c r="E1355" s="72"/>
    </row>
    <row r="1356" spans="5:5">
      <c r="E1356" s="72"/>
    </row>
    <row r="1357" spans="5:5">
      <c r="E1357" s="72"/>
    </row>
    <row r="1358" spans="5:5">
      <c r="E1358" s="72"/>
    </row>
    <row r="1359" spans="5:5">
      <c r="E1359" s="72"/>
    </row>
    <row r="1360" spans="5:5">
      <c r="E1360" s="72"/>
    </row>
    <row r="1361" spans="5:5">
      <c r="E1361" s="72"/>
    </row>
    <row r="1362" spans="5:5">
      <c r="E1362" s="72"/>
    </row>
    <row r="1363" spans="5:5">
      <c r="E1363" s="72"/>
    </row>
    <row r="1364" spans="5:5">
      <c r="E1364" s="72"/>
    </row>
    <row r="1365" spans="5:5">
      <c r="E1365" s="72"/>
    </row>
    <row r="1366" spans="5:5">
      <c r="E1366" s="72"/>
    </row>
    <row r="1367" spans="5:5">
      <c r="E1367" s="72"/>
    </row>
    <row r="1368" spans="5:5">
      <c r="E1368" s="72"/>
    </row>
    <row r="1369" spans="5:5">
      <c r="E1369" s="72"/>
    </row>
    <row r="1370" spans="5:5">
      <c r="E1370" s="72"/>
    </row>
    <row r="1371" spans="5:5">
      <c r="E1371" s="72"/>
    </row>
    <row r="1372" spans="5:5">
      <c r="E1372" s="72"/>
    </row>
    <row r="1373" spans="5:5">
      <c r="E1373" s="72"/>
    </row>
    <row r="1374" spans="5:5">
      <c r="E1374" s="72"/>
    </row>
    <row r="1375" spans="5:5">
      <c r="E1375" s="72"/>
    </row>
    <row r="1376" spans="5:5">
      <c r="E1376" s="72"/>
    </row>
    <row r="1377" spans="5:5">
      <c r="E1377" s="72"/>
    </row>
    <row r="1378" spans="5:5">
      <c r="E1378" s="72"/>
    </row>
    <row r="1379" spans="5:5">
      <c r="E1379" s="72"/>
    </row>
    <row r="1380" spans="5:5">
      <c r="E1380" s="72"/>
    </row>
    <row r="1381" spans="5:5">
      <c r="E1381" s="72"/>
    </row>
    <row r="1382" spans="5:5">
      <c r="E1382" s="72"/>
    </row>
    <row r="1383" spans="5:5">
      <c r="E1383" s="72"/>
    </row>
    <row r="1384" spans="5:5">
      <c r="E1384" s="72"/>
    </row>
    <row r="1385" spans="5:5">
      <c r="E1385" s="72"/>
    </row>
    <row r="1386" spans="5:5">
      <c r="E1386" s="72"/>
    </row>
    <row r="1387" spans="5:5">
      <c r="E1387" s="72"/>
    </row>
    <row r="1388" spans="5:5">
      <c r="E1388" s="72"/>
    </row>
    <row r="1389" spans="5:5">
      <c r="E1389" s="72"/>
    </row>
    <row r="1390" spans="5:5">
      <c r="E1390" s="72"/>
    </row>
    <row r="1391" spans="5:5">
      <c r="E1391" s="72"/>
    </row>
    <row r="1392" spans="5:5">
      <c r="E1392" s="72"/>
    </row>
    <row r="1393" spans="5:5">
      <c r="E1393" s="72"/>
    </row>
    <row r="1394" spans="5:5">
      <c r="E1394" s="72"/>
    </row>
    <row r="1395" spans="5:5">
      <c r="E1395" s="72"/>
    </row>
    <row r="1396" spans="5:5">
      <c r="E1396" s="72"/>
    </row>
    <row r="1397" spans="5:5">
      <c r="E1397" s="72"/>
    </row>
    <row r="1398" spans="5:5">
      <c r="E1398" s="72"/>
    </row>
    <row r="1399" spans="5:5">
      <c r="E1399" s="72"/>
    </row>
    <row r="1400" spans="5:5">
      <c r="E1400" s="72"/>
    </row>
    <row r="1401" spans="5:5">
      <c r="E1401" s="72"/>
    </row>
    <row r="1402" spans="5:5">
      <c r="E1402" s="72"/>
    </row>
    <row r="1403" spans="5:5">
      <c r="E1403" s="72"/>
    </row>
    <row r="1404" spans="5:5">
      <c r="E1404" s="72"/>
    </row>
    <row r="1405" spans="5:5">
      <c r="E1405" s="72"/>
    </row>
    <row r="1406" spans="5:5">
      <c r="E1406" s="72"/>
    </row>
    <row r="1407" spans="5:5">
      <c r="E1407" s="72"/>
    </row>
    <row r="1408" spans="5:5">
      <c r="E1408" s="72"/>
    </row>
    <row r="1409" spans="5:5">
      <c r="E1409" s="72"/>
    </row>
    <row r="1410" spans="5:5">
      <c r="E1410" s="72"/>
    </row>
    <row r="1411" spans="5:5">
      <c r="E1411" s="72"/>
    </row>
    <row r="1412" spans="5:5">
      <c r="E1412" s="72"/>
    </row>
    <row r="1413" spans="5:5">
      <c r="E1413" s="72"/>
    </row>
    <row r="1414" spans="5:5">
      <c r="E1414" s="72"/>
    </row>
    <row r="1415" spans="5:5">
      <c r="E1415" s="72"/>
    </row>
    <row r="1416" spans="5:5">
      <c r="E1416" s="72"/>
    </row>
    <row r="1417" spans="5:5">
      <c r="E1417" s="72"/>
    </row>
    <row r="1418" spans="5:5">
      <c r="E1418" s="72"/>
    </row>
    <row r="1419" spans="5:5">
      <c r="E1419" s="72"/>
    </row>
    <row r="1420" spans="5:5">
      <c r="E1420" s="72"/>
    </row>
    <row r="1421" spans="5:5">
      <c r="E1421" s="72"/>
    </row>
    <row r="1422" spans="5:5">
      <c r="E1422" s="72"/>
    </row>
    <row r="1423" spans="5:5">
      <c r="E1423" s="72"/>
    </row>
    <row r="1424" spans="5:5">
      <c r="E1424" s="72"/>
    </row>
    <row r="1425" spans="5:5">
      <c r="E1425" s="72"/>
    </row>
    <row r="1426" spans="5:5">
      <c r="E1426" s="72"/>
    </row>
    <row r="1427" spans="5:5">
      <c r="E1427" s="72"/>
    </row>
    <row r="1428" spans="5:5">
      <c r="E1428" s="72"/>
    </row>
    <row r="1429" spans="5:5">
      <c r="E1429" s="72"/>
    </row>
    <row r="1430" spans="5:5">
      <c r="E1430" s="72"/>
    </row>
    <row r="1431" spans="5:5">
      <c r="E1431" s="72"/>
    </row>
    <row r="1432" spans="5:5">
      <c r="E1432" s="72"/>
    </row>
    <row r="1433" spans="5:5">
      <c r="E1433" s="72"/>
    </row>
    <row r="1434" spans="5:5">
      <c r="E1434" s="72"/>
    </row>
    <row r="1435" spans="5:5">
      <c r="E1435" s="72"/>
    </row>
    <row r="1436" spans="5:5">
      <c r="E1436" s="72"/>
    </row>
    <row r="1437" spans="5:5">
      <c r="E1437" s="72"/>
    </row>
    <row r="1438" spans="5:5">
      <c r="E1438" s="72"/>
    </row>
    <row r="1439" spans="5:5">
      <c r="E1439" s="72"/>
    </row>
    <row r="1440" spans="5:5">
      <c r="E1440" s="72"/>
    </row>
    <row r="1441" spans="5:5">
      <c r="E1441" s="72"/>
    </row>
    <row r="1442" spans="5:5">
      <c r="E1442" s="72"/>
    </row>
    <row r="1443" spans="5:5">
      <c r="E1443" s="72"/>
    </row>
    <row r="1444" spans="5:5">
      <c r="E1444" s="72"/>
    </row>
    <row r="1445" spans="5:5">
      <c r="E1445" s="72"/>
    </row>
    <row r="1446" spans="5:5">
      <c r="E1446" s="72"/>
    </row>
    <row r="1447" spans="5:5">
      <c r="E1447" s="72"/>
    </row>
    <row r="1448" spans="5:5">
      <c r="E1448" s="72"/>
    </row>
    <row r="1449" spans="5:5">
      <c r="E1449" s="72"/>
    </row>
    <row r="1450" spans="5:5">
      <c r="E1450" s="72"/>
    </row>
    <row r="1451" spans="5:5">
      <c r="E1451" s="72"/>
    </row>
    <row r="1452" spans="5:5">
      <c r="E1452" s="72"/>
    </row>
    <row r="1453" spans="5:5">
      <c r="E1453" s="72"/>
    </row>
    <row r="1454" spans="5:5">
      <c r="E1454" s="72"/>
    </row>
    <row r="1455" spans="5:5">
      <c r="E1455" s="72"/>
    </row>
    <row r="1456" spans="5:5">
      <c r="E1456" s="72"/>
    </row>
    <row r="1457" spans="5:5">
      <c r="E1457" s="72"/>
    </row>
    <row r="1458" spans="5:5">
      <c r="E1458" s="72"/>
    </row>
    <row r="1459" spans="5:5">
      <c r="E1459" s="72"/>
    </row>
    <row r="1460" spans="5:5">
      <c r="E1460" s="72"/>
    </row>
    <row r="1461" spans="5:5">
      <c r="E1461" s="72"/>
    </row>
    <row r="1462" spans="5:5">
      <c r="E1462" s="72"/>
    </row>
    <row r="1463" spans="5:5">
      <c r="E1463" s="72"/>
    </row>
    <row r="1464" spans="5:5">
      <c r="E1464" s="72"/>
    </row>
    <row r="1465" spans="5:5">
      <c r="E1465" s="72"/>
    </row>
    <row r="1466" spans="5:5">
      <c r="E1466" s="72"/>
    </row>
    <row r="1467" spans="5:5">
      <c r="E1467" s="72"/>
    </row>
    <row r="1468" spans="5:5">
      <c r="E1468" s="72"/>
    </row>
    <row r="1469" spans="5:5">
      <c r="E1469" s="72"/>
    </row>
    <row r="1470" spans="5:5">
      <c r="E1470" s="72"/>
    </row>
    <row r="1471" spans="5:5">
      <c r="E1471" s="72"/>
    </row>
    <row r="1472" spans="5:5">
      <c r="E1472" s="72"/>
    </row>
    <row r="1473" spans="5:5">
      <c r="E1473" s="72"/>
    </row>
    <row r="1474" spans="5:5">
      <c r="E1474" s="72"/>
    </row>
    <row r="1475" spans="5:5">
      <c r="E1475" s="72"/>
    </row>
    <row r="1476" spans="5:5">
      <c r="E1476" s="72"/>
    </row>
    <row r="1477" spans="5:5">
      <c r="E1477" s="72"/>
    </row>
    <row r="1478" spans="5:5">
      <c r="E1478" s="72"/>
    </row>
    <row r="1479" spans="5:5">
      <c r="E1479" s="72"/>
    </row>
    <row r="1480" spans="5:5">
      <c r="E1480" s="72"/>
    </row>
    <row r="1481" spans="5:5">
      <c r="E1481" s="72"/>
    </row>
    <row r="1482" spans="5:5">
      <c r="E1482" s="72"/>
    </row>
    <row r="1483" spans="5:5">
      <c r="E1483" s="72"/>
    </row>
    <row r="1484" spans="5:5">
      <c r="E1484" s="72"/>
    </row>
    <row r="1485" spans="5:5">
      <c r="E1485" s="72"/>
    </row>
    <row r="1486" spans="5:5">
      <c r="E1486" s="72"/>
    </row>
    <row r="1487" spans="5:5">
      <c r="E1487" s="72"/>
    </row>
    <row r="1488" spans="5:5">
      <c r="E1488" s="72"/>
    </row>
    <row r="1489" spans="5:5">
      <c r="E1489" s="72"/>
    </row>
    <row r="1490" spans="5:5">
      <c r="E1490" s="72"/>
    </row>
    <row r="1491" spans="5:5">
      <c r="E1491" s="72"/>
    </row>
    <row r="1492" spans="5:5">
      <c r="E1492" s="72"/>
    </row>
    <row r="1493" spans="5:5">
      <c r="E1493" s="72"/>
    </row>
    <row r="1494" spans="5:5">
      <c r="E1494" s="72"/>
    </row>
    <row r="1495" spans="5:5">
      <c r="E1495" s="72"/>
    </row>
    <row r="1496" spans="5:5">
      <c r="E1496" s="72"/>
    </row>
    <row r="1497" spans="5:5">
      <c r="E1497" s="72"/>
    </row>
    <row r="1498" spans="5:5">
      <c r="E1498" s="72"/>
    </row>
    <row r="1499" spans="5:5">
      <c r="E1499" s="72"/>
    </row>
    <row r="1500" spans="5:5">
      <c r="E1500" s="72"/>
    </row>
    <row r="1501" spans="5:5">
      <c r="E1501" s="72"/>
    </row>
    <row r="1502" spans="5:5">
      <c r="E1502" s="72"/>
    </row>
    <row r="1503" spans="5:5">
      <c r="E1503" s="72"/>
    </row>
    <row r="1504" spans="5:5">
      <c r="E1504" s="72"/>
    </row>
    <row r="1505" spans="5:5">
      <c r="E1505" s="72"/>
    </row>
    <row r="1506" spans="5:5">
      <c r="E1506" s="72"/>
    </row>
    <row r="1507" spans="5:5">
      <c r="E1507" s="72"/>
    </row>
    <row r="1508" spans="5:5">
      <c r="E1508" s="72"/>
    </row>
    <row r="1509" spans="5:5">
      <c r="E1509" s="72"/>
    </row>
    <row r="1510" spans="5:5">
      <c r="E1510" s="72"/>
    </row>
    <row r="1511" spans="5:5">
      <c r="E1511" s="72"/>
    </row>
    <row r="1512" spans="5:5">
      <c r="E1512" s="72"/>
    </row>
    <row r="1513" spans="5:5">
      <c r="E1513" s="72"/>
    </row>
    <row r="1514" spans="5:5">
      <c r="E1514" s="72"/>
    </row>
    <row r="1515" spans="5:5">
      <c r="E1515" s="72"/>
    </row>
    <row r="1516" spans="5:5">
      <c r="E1516" s="72"/>
    </row>
    <row r="1517" spans="5:5">
      <c r="E1517" s="72"/>
    </row>
    <row r="1518" spans="5:5">
      <c r="E1518" s="72"/>
    </row>
    <row r="1519" spans="5:5">
      <c r="E1519" s="72"/>
    </row>
    <row r="1520" spans="5:5">
      <c r="E1520" s="72"/>
    </row>
    <row r="1521" spans="5:5">
      <c r="E1521" s="72"/>
    </row>
    <row r="1522" spans="5:5">
      <c r="E1522" s="72"/>
    </row>
    <row r="1523" spans="5:5">
      <c r="E1523" s="72"/>
    </row>
    <row r="1524" spans="5:5">
      <c r="E1524" s="72"/>
    </row>
    <row r="1525" spans="5:5">
      <c r="E1525" s="72"/>
    </row>
    <row r="1526" spans="5:5">
      <c r="E1526" s="72"/>
    </row>
    <row r="1527" spans="5:5">
      <c r="E1527" s="72"/>
    </row>
    <row r="1528" spans="5:5">
      <c r="E1528" s="72"/>
    </row>
    <row r="1529" spans="5:5">
      <c r="E1529" s="72"/>
    </row>
    <row r="1530" spans="5:5">
      <c r="E1530" s="72"/>
    </row>
    <row r="1531" spans="5:5">
      <c r="E1531" s="72"/>
    </row>
    <row r="1532" spans="5:5">
      <c r="E1532" s="72"/>
    </row>
    <row r="1533" spans="5:5">
      <c r="E1533" s="72"/>
    </row>
    <row r="1534" spans="5:5">
      <c r="E1534" s="72"/>
    </row>
  </sheetData>
  <printOptions gridLines="1"/>
  <pageMargins left="0.25" right="0.25" top="0.25" bottom="0.25" header="0" footer="0"/>
  <pageSetup scale="67" orientation="portrait" r:id="rId1"/>
  <headerFooter alignWithMargins="0">
    <oddFooter>&amp;Lprinted &amp;D&amp;Cfile: &amp;F&amp;Rpage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23"/>
  <sheetViews>
    <sheetView workbookViewId="0">
      <selection activeCell="E27" sqref="E27"/>
    </sheetView>
  </sheetViews>
  <sheetFormatPr defaultRowHeight="15"/>
  <cols>
    <col min="1" max="1" width="37.5546875" bestFit="1" customWidth="1"/>
    <col min="2" max="2" width="14.5546875" bestFit="1" customWidth="1"/>
    <col min="3" max="3" width="10" bestFit="1" customWidth="1"/>
    <col min="4" max="4" width="16.5546875" customWidth="1"/>
    <col min="5" max="5" width="10" customWidth="1"/>
    <col min="6" max="6" width="11.109375" bestFit="1" customWidth="1"/>
    <col min="7" max="7" width="10" bestFit="1" customWidth="1"/>
  </cols>
  <sheetData>
    <row r="1" spans="1:7" ht="15.75">
      <c r="A1" s="82" t="s">
        <v>394</v>
      </c>
      <c r="C1" s="82" t="s">
        <v>396</v>
      </c>
    </row>
    <row r="3" spans="1:7">
      <c r="A3" s="78" t="s">
        <v>395</v>
      </c>
    </row>
    <row r="5" spans="1:7">
      <c r="A5" s="79">
        <v>41274</v>
      </c>
    </row>
    <row r="6" spans="1:7" ht="15.75">
      <c r="B6" s="175" t="s">
        <v>538</v>
      </c>
      <c r="C6" s="175"/>
      <c r="D6" s="175" t="s">
        <v>540</v>
      </c>
      <c r="E6" s="175"/>
      <c r="F6" s="175" t="s">
        <v>113</v>
      </c>
      <c r="G6" s="175"/>
    </row>
    <row r="7" spans="1:7">
      <c r="B7" s="80" t="s">
        <v>336</v>
      </c>
      <c r="C7" s="80" t="s">
        <v>353</v>
      </c>
      <c r="D7" s="80" t="s">
        <v>336</v>
      </c>
      <c r="E7" s="80" t="s">
        <v>353</v>
      </c>
      <c r="F7" s="80" t="s">
        <v>336</v>
      </c>
      <c r="G7" s="80" t="s">
        <v>353</v>
      </c>
    </row>
    <row r="8" spans="1:7">
      <c r="A8">
        <v>2013</v>
      </c>
      <c r="B8" s="76">
        <v>23539.119999999999</v>
      </c>
      <c r="C8" s="140">
        <v>2246</v>
      </c>
      <c r="D8" s="76">
        <v>312724</v>
      </c>
      <c r="E8" s="140">
        <v>39752.68</v>
      </c>
      <c r="F8" s="76">
        <f t="shared" ref="F8:G10" si="0">B8+D8</f>
        <v>336263.12</v>
      </c>
      <c r="G8" s="76">
        <f t="shared" si="0"/>
        <v>41998.68</v>
      </c>
    </row>
    <row r="9" spans="1:7">
      <c r="A9">
        <v>2014</v>
      </c>
      <c r="B9" s="76">
        <v>24830.12</v>
      </c>
      <c r="C9" s="140">
        <v>955</v>
      </c>
      <c r="D9" s="76">
        <v>325450.31</v>
      </c>
      <c r="E9" s="140">
        <v>27026.69</v>
      </c>
      <c r="F9" s="76">
        <f t="shared" si="0"/>
        <v>350280.43</v>
      </c>
      <c r="G9" s="76">
        <f t="shared" si="0"/>
        <v>27981.69</v>
      </c>
    </row>
    <row r="10" spans="1:7">
      <c r="A10">
        <v>2015</v>
      </c>
      <c r="B10" s="76">
        <v>4268.5200000000004</v>
      </c>
      <c r="C10" s="140">
        <v>29</v>
      </c>
      <c r="D10" s="76">
        <v>338694.18</v>
      </c>
      <c r="E10" s="140">
        <v>13782.82</v>
      </c>
      <c r="F10" s="76">
        <f t="shared" si="0"/>
        <v>342962.7</v>
      </c>
      <c r="G10" s="76">
        <f t="shared" si="0"/>
        <v>13811.82</v>
      </c>
    </row>
    <row r="11" spans="1:7" ht="16.5" thickBot="1">
      <c r="A11" s="85" t="s">
        <v>401</v>
      </c>
      <c r="B11" s="83">
        <f t="shared" ref="B11:G11" si="1">SUM(B8:B10)</f>
        <v>52637.759999999995</v>
      </c>
      <c r="C11" s="77">
        <f t="shared" si="1"/>
        <v>3230</v>
      </c>
      <c r="D11" s="83">
        <f t="shared" si="1"/>
        <v>976868.49</v>
      </c>
      <c r="E11" s="77">
        <f t="shared" si="1"/>
        <v>80562.19</v>
      </c>
      <c r="F11" s="171">
        <f t="shared" si="1"/>
        <v>1029506.25</v>
      </c>
      <c r="G11" s="171">
        <f t="shared" si="1"/>
        <v>83792.19</v>
      </c>
    </row>
    <row r="12" spans="1:7" ht="15.75" thickTop="1"/>
    <row r="13" spans="1:7">
      <c r="B13" s="76"/>
    </row>
    <row r="15" spans="1:7" ht="15.75">
      <c r="A15" s="82" t="s">
        <v>539</v>
      </c>
      <c r="D15" s="78" t="s">
        <v>544</v>
      </c>
    </row>
    <row r="16" spans="1:7">
      <c r="A16" t="s">
        <v>505</v>
      </c>
      <c r="B16" s="79">
        <v>40756</v>
      </c>
      <c r="D16" s="78" t="s">
        <v>541</v>
      </c>
    </row>
    <row r="17" spans="1:7" s="141" customFormat="1">
      <c r="A17" s="141" t="s">
        <v>502</v>
      </c>
      <c r="B17" s="173">
        <v>1302837</v>
      </c>
    </row>
    <row r="18" spans="1:7" s="141" customFormat="1" ht="15.75">
      <c r="A18" s="159" t="s">
        <v>532</v>
      </c>
      <c r="B18" s="172">
        <v>976868</v>
      </c>
    </row>
    <row r="20" spans="1:7" ht="15.75">
      <c r="A20" s="82" t="s">
        <v>538</v>
      </c>
      <c r="C20" s="71"/>
      <c r="D20" s="71"/>
      <c r="E20" s="71"/>
      <c r="F20" s="71"/>
      <c r="G20" s="71"/>
    </row>
    <row r="21" spans="1:7">
      <c r="A21" t="s">
        <v>505</v>
      </c>
      <c r="B21" s="79">
        <v>40969</v>
      </c>
      <c r="C21" s="71"/>
      <c r="D21" s="78" t="s">
        <v>541</v>
      </c>
      <c r="E21" s="71"/>
      <c r="F21" s="71"/>
      <c r="G21" s="71"/>
    </row>
    <row r="22" spans="1:7" s="141" customFormat="1">
      <c r="A22" s="141" t="s">
        <v>502</v>
      </c>
      <c r="B22" s="173">
        <v>71316.240000000005</v>
      </c>
    </row>
    <row r="23" spans="1:7" s="141" customFormat="1" ht="15.75">
      <c r="A23" s="159" t="s">
        <v>532</v>
      </c>
      <c r="B23" s="172">
        <v>52637.64</v>
      </c>
    </row>
  </sheetData>
  <mergeCells count="3">
    <mergeCell ref="B6:C6"/>
    <mergeCell ref="F6:G6"/>
    <mergeCell ref="D6:E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1"/>
  <sheetViews>
    <sheetView workbookViewId="0">
      <selection activeCell="A19" sqref="A19"/>
    </sheetView>
  </sheetViews>
  <sheetFormatPr defaultRowHeight="15"/>
  <cols>
    <col min="1" max="1" width="18.44140625" customWidth="1"/>
    <col min="2" max="2" width="11.44140625" customWidth="1"/>
    <col min="3" max="3" width="8.5546875" bestFit="1" customWidth="1"/>
    <col min="4" max="4" width="11" bestFit="1" customWidth="1"/>
  </cols>
  <sheetData>
    <row r="1" spans="1:4" ht="15.75">
      <c r="A1" s="82" t="s">
        <v>499</v>
      </c>
    </row>
    <row r="3" spans="1:4">
      <c r="A3" s="78" t="s">
        <v>392</v>
      </c>
    </row>
    <row r="5" spans="1:4">
      <c r="A5" s="79">
        <v>41274</v>
      </c>
    </row>
    <row r="7" spans="1:4">
      <c r="B7" s="80" t="s">
        <v>336</v>
      </c>
      <c r="C7" s="80" t="s">
        <v>353</v>
      </c>
      <c r="D7" s="80" t="s">
        <v>113</v>
      </c>
    </row>
    <row r="8" spans="1:4">
      <c r="A8">
        <v>2013</v>
      </c>
      <c r="B8" s="76">
        <v>60869</v>
      </c>
      <c r="C8" s="76">
        <v>0</v>
      </c>
      <c r="D8" s="81">
        <f>SUM(B8:C8)</f>
        <v>60869</v>
      </c>
    </row>
    <row r="9" spans="1:4">
      <c r="A9">
        <v>2014</v>
      </c>
      <c r="B9" s="76">
        <v>60869</v>
      </c>
      <c r="C9" s="76">
        <v>0</v>
      </c>
      <c r="D9" s="81">
        <f>SUM(B9:C9)</f>
        <v>60869</v>
      </c>
    </row>
    <row r="10" spans="1:4" ht="16.5" thickBot="1">
      <c r="B10" s="83">
        <f>SUM(B8:B9)</f>
        <v>121738</v>
      </c>
      <c r="C10" s="139">
        <f>SUM(C8:C9)</f>
        <v>0</v>
      </c>
      <c r="D10" s="139">
        <f>SUM(D8:D9)</f>
        <v>121738</v>
      </c>
    </row>
    <row r="11" spans="1:4" ht="15.75" thickTop="1"/>
    <row r="12" spans="1:4">
      <c r="B12" s="71"/>
    </row>
    <row r="15" spans="1:4">
      <c r="A15" t="s">
        <v>505</v>
      </c>
      <c r="B15" s="158" t="s">
        <v>531</v>
      </c>
    </row>
    <row r="16" spans="1:4">
      <c r="A16" t="s">
        <v>502</v>
      </c>
      <c r="B16" s="141">
        <v>182607</v>
      </c>
    </row>
    <row r="19" spans="1:3">
      <c r="A19" s="78" t="s">
        <v>544</v>
      </c>
      <c r="B19" s="78" t="s">
        <v>543</v>
      </c>
    </row>
    <row r="21" spans="1:3" ht="15.75">
      <c r="C21" s="1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tabColor rgb="FFFFC000"/>
    <pageSetUpPr fitToPage="1"/>
  </sheetPr>
  <dimension ref="A1:AR80"/>
  <sheetViews>
    <sheetView workbookViewId="0">
      <pane xSplit="1" ySplit="7" topLeftCell="B50" activePane="bottomRight" state="frozen"/>
      <selection pane="topRight" activeCell="B1" sqref="B1"/>
      <selection pane="bottomLeft" activeCell="A8" sqref="A8"/>
      <selection pane="bottomRight" activeCell="A79" sqref="A79"/>
    </sheetView>
  </sheetViews>
  <sheetFormatPr defaultColWidth="9.77734375" defaultRowHeight="12.75"/>
  <cols>
    <col min="1" max="1" width="16.88671875" style="1" customWidth="1"/>
    <col min="2" max="2" width="12.88671875" style="1" customWidth="1"/>
    <col min="3" max="3" width="9.33203125" style="1" customWidth="1"/>
    <col min="4" max="4" width="10" style="1" customWidth="1"/>
    <col min="5" max="6" width="9.33203125" style="1" customWidth="1"/>
    <col min="7" max="7" width="8.21875" style="1" customWidth="1"/>
    <col min="8" max="8" width="8.33203125" style="1" customWidth="1"/>
    <col min="9" max="9" width="7" style="1" customWidth="1"/>
    <col min="10" max="10" width="9.21875" style="1" customWidth="1"/>
    <col min="11" max="11" width="8.109375" style="1" customWidth="1"/>
    <col min="12" max="12" width="8.21875" style="1" customWidth="1"/>
    <col min="13" max="13" width="8" style="1" customWidth="1"/>
    <col min="14" max="14" width="8.6640625" style="1" customWidth="1"/>
    <col min="15" max="15" width="8.109375" style="1" customWidth="1"/>
    <col min="16" max="16" width="8" style="1" hidden="1" customWidth="1"/>
    <col min="17" max="17" width="7.44140625" style="1" hidden="1" customWidth="1"/>
    <col min="18" max="18" width="8.109375" style="1" hidden="1" customWidth="1"/>
    <col min="19" max="19" width="7.44140625" style="1" hidden="1" customWidth="1"/>
    <col min="20" max="20" width="7.6640625" style="1" hidden="1" customWidth="1"/>
    <col min="21" max="21" width="5.6640625" style="1" hidden="1" customWidth="1"/>
    <col min="22" max="22" width="7.6640625" style="1" hidden="1" customWidth="1"/>
    <col min="23" max="23" width="6.44140625" style="1" hidden="1" customWidth="1"/>
    <col min="24" max="24" width="10" style="1" customWidth="1"/>
    <col min="25" max="25" width="7.88671875" style="1" customWidth="1"/>
    <col min="26" max="26" width="9.77734375" style="1" customWidth="1"/>
    <col min="27" max="27" width="8.77734375" style="1" customWidth="1"/>
    <col min="28" max="28" width="9.109375" style="1" customWidth="1"/>
    <col min="29" max="29" width="8.5546875" style="1" customWidth="1"/>
    <col min="30" max="30" width="13.6640625" style="1" customWidth="1"/>
    <col min="31" max="31" width="14.33203125" style="1" customWidth="1"/>
    <col min="32" max="32" width="10" style="1" customWidth="1"/>
    <col min="33" max="34" width="8.88671875" style="1" customWidth="1"/>
    <col min="35" max="35" width="9.21875" style="1" customWidth="1"/>
    <col min="36" max="36" width="4.21875" style="1" customWidth="1"/>
    <col min="37" max="16384" width="9.77734375" style="1"/>
  </cols>
  <sheetData>
    <row r="1" spans="1:42">
      <c r="C1" s="1" t="s">
        <v>114</v>
      </c>
      <c r="J1" s="1" t="s">
        <v>115</v>
      </c>
      <c r="X1" s="97" t="s">
        <v>402</v>
      </c>
    </row>
    <row r="2" spans="1:42">
      <c r="D2" s="90" t="s">
        <v>116</v>
      </c>
      <c r="H2" s="90" t="s">
        <v>117</v>
      </c>
      <c r="J2" s="90" t="s">
        <v>117</v>
      </c>
      <c r="N2" s="1" t="s">
        <v>118</v>
      </c>
      <c r="P2" s="1" t="s">
        <v>118</v>
      </c>
      <c r="Z2" s="1" t="s">
        <v>118</v>
      </c>
      <c r="AB2" s="1" t="s">
        <v>119</v>
      </c>
      <c r="AD2" s="96" t="s">
        <v>407</v>
      </c>
    </row>
    <row r="3" spans="1:42">
      <c r="B3" s="177">
        <v>3902</v>
      </c>
      <c r="C3" s="177"/>
      <c r="D3" s="177">
        <v>3908</v>
      </c>
      <c r="E3" s="177"/>
      <c r="F3" s="91"/>
      <c r="G3" s="92">
        <v>3906</v>
      </c>
      <c r="I3" s="95">
        <v>3909</v>
      </c>
      <c r="J3" s="91">
        <v>3910</v>
      </c>
      <c r="K3" s="92">
        <v>3911</v>
      </c>
      <c r="L3" s="91">
        <v>3880</v>
      </c>
      <c r="M3" s="93" t="s">
        <v>120</v>
      </c>
      <c r="N3" s="94">
        <v>3890</v>
      </c>
      <c r="O3" s="91" t="s">
        <v>121</v>
      </c>
      <c r="P3" s="91">
        <v>3810</v>
      </c>
      <c r="Q3" s="93" t="s">
        <v>120</v>
      </c>
      <c r="R3" s="91">
        <v>3820</v>
      </c>
      <c r="S3" s="92">
        <v>3830</v>
      </c>
      <c r="X3" s="91">
        <v>3901</v>
      </c>
      <c r="Z3" s="91">
        <v>3905</v>
      </c>
      <c r="AB3" s="91">
        <v>3907</v>
      </c>
    </row>
    <row r="4" spans="1:42">
      <c r="B4" s="177" t="s">
        <v>122</v>
      </c>
      <c r="C4" s="177"/>
      <c r="D4" s="177" t="s">
        <v>123</v>
      </c>
      <c r="E4" s="177"/>
      <c r="F4" s="177" t="s">
        <v>124</v>
      </c>
      <c r="G4" s="177"/>
      <c r="H4" s="177" t="s">
        <v>125</v>
      </c>
      <c r="I4" s="177"/>
      <c r="J4" s="177" t="s">
        <v>126</v>
      </c>
      <c r="K4" s="177"/>
      <c r="L4" s="179" t="s">
        <v>127</v>
      </c>
      <c r="M4" s="177"/>
      <c r="N4" s="177" t="s">
        <v>128</v>
      </c>
      <c r="O4" s="177"/>
      <c r="P4" s="177" t="s">
        <v>129</v>
      </c>
      <c r="Q4" s="177"/>
      <c r="R4" s="177" t="s">
        <v>130</v>
      </c>
      <c r="S4" s="177"/>
      <c r="T4" s="177" t="s">
        <v>131</v>
      </c>
      <c r="U4" s="177"/>
      <c r="V4" s="179" t="s">
        <v>132</v>
      </c>
      <c r="W4" s="177"/>
      <c r="X4" s="177" t="s">
        <v>133</v>
      </c>
      <c r="Y4" s="177"/>
      <c r="Z4" s="177" t="s">
        <v>134</v>
      </c>
      <c r="AA4" s="177"/>
      <c r="AB4" s="177" t="s">
        <v>135</v>
      </c>
      <c r="AC4" s="177"/>
      <c r="AD4" s="177" t="s">
        <v>406</v>
      </c>
      <c r="AE4" s="177"/>
    </row>
    <row r="5" spans="1:42">
      <c r="B5" s="180" t="s">
        <v>136</v>
      </c>
      <c r="C5" s="180"/>
      <c r="D5" s="177" t="s">
        <v>137</v>
      </c>
      <c r="E5" s="177"/>
      <c r="F5" s="178" t="s">
        <v>138</v>
      </c>
      <c r="G5" s="178"/>
      <c r="H5" s="179" t="s">
        <v>139</v>
      </c>
      <c r="I5" s="177"/>
      <c r="J5" s="177" t="s">
        <v>140</v>
      </c>
      <c r="K5" s="179"/>
      <c r="L5" s="178" t="s">
        <v>141</v>
      </c>
      <c r="M5" s="178"/>
      <c r="N5" s="178" t="s">
        <v>142</v>
      </c>
      <c r="O5" s="178"/>
      <c r="P5" s="178" t="s">
        <v>141</v>
      </c>
      <c r="Q5" s="178"/>
      <c r="R5" s="177" t="s">
        <v>143</v>
      </c>
      <c r="S5" s="177"/>
      <c r="T5" s="177" t="s">
        <v>144</v>
      </c>
      <c r="U5" s="177"/>
      <c r="V5" s="177" t="s">
        <v>145</v>
      </c>
      <c r="W5" s="177"/>
      <c r="X5" s="178" t="s">
        <v>146</v>
      </c>
      <c r="Y5" s="178"/>
      <c r="Z5" s="177" t="s">
        <v>147</v>
      </c>
      <c r="AA5" s="177"/>
      <c r="AB5" s="177" t="s">
        <v>148</v>
      </c>
      <c r="AC5" s="177"/>
      <c r="AD5" s="179" t="s">
        <v>405</v>
      </c>
      <c r="AE5" s="179"/>
      <c r="AF5" s="177" t="s">
        <v>149</v>
      </c>
      <c r="AG5" s="177"/>
      <c r="AH5" s="177" t="s">
        <v>150</v>
      </c>
      <c r="AI5" s="177"/>
    </row>
    <row r="6" spans="1:42">
      <c r="A6" s="88" t="s">
        <v>151</v>
      </c>
      <c r="B6" s="90" t="s">
        <v>152</v>
      </c>
      <c r="C6" s="88" t="s">
        <v>153</v>
      </c>
      <c r="D6" s="90" t="s">
        <v>152</v>
      </c>
      <c r="E6" s="88" t="s">
        <v>153</v>
      </c>
      <c r="F6" s="90" t="s">
        <v>152</v>
      </c>
      <c r="G6" s="88" t="s">
        <v>153</v>
      </c>
      <c r="H6" s="90" t="s">
        <v>152</v>
      </c>
      <c r="I6" s="88" t="s">
        <v>153</v>
      </c>
      <c r="J6" s="90" t="s">
        <v>152</v>
      </c>
      <c r="K6" s="88" t="s">
        <v>153</v>
      </c>
      <c r="L6" s="90" t="s">
        <v>152</v>
      </c>
      <c r="M6" s="88" t="s">
        <v>153</v>
      </c>
      <c r="N6" s="90" t="s">
        <v>152</v>
      </c>
      <c r="O6" s="88" t="s">
        <v>153</v>
      </c>
      <c r="P6" s="90" t="s">
        <v>152</v>
      </c>
      <c r="Q6" s="88" t="s">
        <v>153</v>
      </c>
      <c r="R6" s="90" t="s">
        <v>152</v>
      </c>
      <c r="S6" s="88" t="s">
        <v>153</v>
      </c>
      <c r="T6" s="90" t="s">
        <v>152</v>
      </c>
      <c r="U6" s="88" t="s">
        <v>153</v>
      </c>
      <c r="V6" s="90" t="s">
        <v>152</v>
      </c>
      <c r="W6" s="88" t="s">
        <v>153</v>
      </c>
      <c r="X6" s="90" t="s">
        <v>152</v>
      </c>
      <c r="Y6" s="88" t="s">
        <v>153</v>
      </c>
      <c r="Z6" s="90" t="s">
        <v>152</v>
      </c>
      <c r="AA6" s="88" t="s">
        <v>153</v>
      </c>
      <c r="AB6" s="90" t="s">
        <v>152</v>
      </c>
      <c r="AC6" s="88" t="s">
        <v>153</v>
      </c>
      <c r="AD6" s="90" t="s">
        <v>152</v>
      </c>
      <c r="AE6" s="88" t="s">
        <v>153</v>
      </c>
      <c r="AF6" s="90" t="s">
        <v>152</v>
      </c>
      <c r="AG6" s="88" t="s">
        <v>153</v>
      </c>
      <c r="AH6" s="90" t="s">
        <v>152</v>
      </c>
      <c r="AI6" s="88" t="s">
        <v>153</v>
      </c>
    </row>
    <row r="7" spans="1:42">
      <c r="A7" s="89" t="s">
        <v>404</v>
      </c>
      <c r="B7" s="88" t="s">
        <v>154</v>
      </c>
      <c r="C7" s="88" t="s">
        <v>155</v>
      </c>
      <c r="D7" s="88" t="s">
        <v>154</v>
      </c>
      <c r="E7" s="88" t="s">
        <v>155</v>
      </c>
      <c r="F7" s="88" t="s">
        <v>154</v>
      </c>
      <c r="G7" s="88" t="s">
        <v>155</v>
      </c>
      <c r="H7" s="88" t="s">
        <v>154</v>
      </c>
      <c r="I7" s="88" t="s">
        <v>155</v>
      </c>
      <c r="J7" s="88" t="s">
        <v>154</v>
      </c>
      <c r="K7" s="88" t="s">
        <v>155</v>
      </c>
      <c r="L7" s="88" t="s">
        <v>154</v>
      </c>
      <c r="M7" s="88" t="s">
        <v>155</v>
      </c>
      <c r="N7" s="88" t="s">
        <v>154</v>
      </c>
      <c r="O7" s="88" t="s">
        <v>155</v>
      </c>
      <c r="P7" s="88" t="s">
        <v>154</v>
      </c>
      <c r="Q7" s="88" t="s">
        <v>155</v>
      </c>
      <c r="R7" s="88" t="s">
        <v>154</v>
      </c>
      <c r="S7" s="88" t="s">
        <v>155</v>
      </c>
      <c r="T7" s="88" t="s">
        <v>154</v>
      </c>
      <c r="U7" s="88" t="s">
        <v>155</v>
      </c>
      <c r="V7" s="88" t="s">
        <v>154</v>
      </c>
      <c r="W7" s="88" t="s">
        <v>155</v>
      </c>
      <c r="X7" s="88" t="s">
        <v>154</v>
      </c>
      <c r="Y7" s="88" t="s">
        <v>155</v>
      </c>
      <c r="Z7" s="88" t="s">
        <v>154</v>
      </c>
      <c r="AA7" s="88" t="s">
        <v>155</v>
      </c>
      <c r="AB7" s="88" t="s">
        <v>154</v>
      </c>
      <c r="AC7" s="88" t="s">
        <v>155</v>
      </c>
      <c r="AD7" s="88" t="s">
        <v>154</v>
      </c>
      <c r="AE7" s="88" t="s">
        <v>155</v>
      </c>
      <c r="AF7" s="88" t="s">
        <v>154</v>
      </c>
      <c r="AG7" s="88" t="s">
        <v>155</v>
      </c>
      <c r="AH7" s="88" t="s">
        <v>154</v>
      </c>
      <c r="AI7" s="88" t="s">
        <v>155</v>
      </c>
    </row>
    <row r="8" spans="1:42">
      <c r="A8" s="1" t="s">
        <v>156</v>
      </c>
      <c r="B8" s="2"/>
      <c r="C8" s="2">
        <v>38412</v>
      </c>
      <c r="D8" s="2"/>
      <c r="F8" s="2"/>
      <c r="G8" s="2"/>
      <c r="H8" s="2"/>
      <c r="I8" s="2"/>
      <c r="J8" s="2">
        <v>900000</v>
      </c>
      <c r="K8" s="2">
        <v>244556</v>
      </c>
      <c r="L8" s="2"/>
      <c r="M8" s="2">
        <v>7012</v>
      </c>
      <c r="N8" s="2"/>
      <c r="O8" s="2">
        <v>7700</v>
      </c>
      <c r="P8" s="2"/>
      <c r="Q8" s="2"/>
      <c r="R8" s="2"/>
      <c r="S8" s="2"/>
      <c r="T8" s="2"/>
      <c r="U8" s="2"/>
      <c r="V8" s="2"/>
      <c r="W8" s="2"/>
      <c r="X8" s="2"/>
      <c r="Y8" s="2">
        <v>18119</v>
      </c>
      <c r="Z8" s="3"/>
      <c r="AA8" s="2"/>
      <c r="AB8" s="2"/>
      <c r="AC8" s="2">
        <v>241375</v>
      </c>
      <c r="AD8" s="2"/>
      <c r="AE8" s="2">
        <v>108533.54</v>
      </c>
      <c r="AF8" s="2">
        <f t="shared" ref="AF8:AF39" si="0">(B8+D8+F8+H8+J8+L8+N8+P8+R8+T8+V8+X8+Z8+AB8+AD8)</f>
        <v>900000</v>
      </c>
      <c r="AG8" s="2">
        <f t="shared" ref="AG8:AG39" si="1">(C8+E8+G8+I8+K8+M8+O8+Q8+S8+U8+W8+Y8+AA8+AC8+AE8)</f>
        <v>665707.54</v>
      </c>
      <c r="AH8" s="2"/>
      <c r="AI8" s="2"/>
      <c r="AJ8" s="4"/>
      <c r="AK8" s="2"/>
      <c r="AL8" s="2"/>
      <c r="AM8" s="2"/>
      <c r="AN8" s="2"/>
      <c r="AO8" s="2"/>
      <c r="AP8" s="2"/>
    </row>
    <row r="9" spans="1:42">
      <c r="A9" s="1" t="s">
        <v>157</v>
      </c>
      <c r="B9" s="2"/>
      <c r="C9" s="2"/>
      <c r="D9" s="2">
        <v>875000</v>
      </c>
      <c r="E9" s="2">
        <v>368641</v>
      </c>
      <c r="F9" s="2"/>
      <c r="G9" s="2"/>
      <c r="H9" s="2"/>
      <c r="I9" s="2">
        <v>41656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  <c r="AA9" s="2"/>
      <c r="AB9" s="2"/>
      <c r="AC9" s="2"/>
      <c r="AD9" s="2"/>
      <c r="AE9" s="2"/>
      <c r="AF9" s="2">
        <f t="shared" si="0"/>
        <v>875000</v>
      </c>
      <c r="AG9" s="2">
        <f t="shared" si="1"/>
        <v>410297</v>
      </c>
      <c r="AH9" s="2"/>
      <c r="AI9" s="2"/>
      <c r="AJ9" s="4"/>
      <c r="AK9" s="2"/>
      <c r="AL9" s="2"/>
      <c r="AM9" s="2"/>
      <c r="AN9" s="2"/>
      <c r="AO9" s="2"/>
      <c r="AP9" s="2"/>
    </row>
    <row r="10" spans="1:42">
      <c r="A10" s="1" t="s">
        <v>158</v>
      </c>
      <c r="B10" s="2">
        <v>150000</v>
      </c>
      <c r="C10" s="2">
        <v>38413</v>
      </c>
      <c r="F10" s="2"/>
      <c r="G10" s="2"/>
      <c r="H10" s="2"/>
      <c r="I10" s="2"/>
      <c r="J10" s="2"/>
      <c r="K10" s="2">
        <v>228806</v>
      </c>
      <c r="L10" s="2">
        <v>425000</v>
      </c>
      <c r="M10" s="2">
        <v>7013</v>
      </c>
      <c r="N10" s="2">
        <v>440000</v>
      </c>
      <c r="O10" s="2">
        <v>7700</v>
      </c>
      <c r="P10" s="2"/>
      <c r="Q10" s="2"/>
      <c r="R10" s="2"/>
      <c r="S10" s="2"/>
      <c r="T10" s="2"/>
      <c r="U10" s="2"/>
      <c r="V10" s="2"/>
      <c r="W10" s="2"/>
      <c r="X10" s="2">
        <v>1115000</v>
      </c>
      <c r="Y10" s="2">
        <v>18118</v>
      </c>
      <c r="Z10" s="3"/>
      <c r="AA10" s="2"/>
      <c r="AB10" s="2">
        <v>2700000</v>
      </c>
      <c r="AC10" s="2">
        <v>241375</v>
      </c>
      <c r="AD10" s="2">
        <v>1265000</v>
      </c>
      <c r="AE10" s="2">
        <v>93028.75</v>
      </c>
      <c r="AF10" s="2">
        <f t="shared" si="0"/>
        <v>6095000</v>
      </c>
      <c r="AG10" s="2">
        <f t="shared" si="1"/>
        <v>634453.75</v>
      </c>
      <c r="AH10" s="2">
        <f>SUM(AF8:AF10)</f>
        <v>7870000</v>
      </c>
      <c r="AI10" s="2">
        <f>SUM(AG8:AG10)</f>
        <v>1710458.29</v>
      </c>
      <c r="AJ10" s="4">
        <v>2013</v>
      </c>
      <c r="AK10" s="2"/>
      <c r="AL10" s="2"/>
      <c r="AM10" s="2"/>
      <c r="AN10" s="2"/>
      <c r="AO10" s="2"/>
      <c r="AP10" s="2"/>
    </row>
    <row r="11" spans="1:42">
      <c r="A11" s="1" t="s">
        <v>159</v>
      </c>
      <c r="B11" s="2"/>
      <c r="C11" s="2"/>
      <c r="D11" s="2"/>
      <c r="E11" s="2">
        <v>351141</v>
      </c>
      <c r="F11" s="2"/>
      <c r="G11" s="2"/>
      <c r="H11" s="2">
        <v>1000000</v>
      </c>
      <c r="I11" s="2">
        <v>41657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2"/>
      <c r="AB11" s="2"/>
      <c r="AC11" s="2"/>
      <c r="AD11" s="2"/>
      <c r="AE11" s="2"/>
      <c r="AF11" s="2">
        <f t="shared" si="0"/>
        <v>1000000</v>
      </c>
      <c r="AG11" s="2">
        <f t="shared" si="1"/>
        <v>392798</v>
      </c>
      <c r="AH11" s="2"/>
      <c r="AI11" s="2"/>
      <c r="AJ11" s="4"/>
      <c r="AK11" s="2"/>
      <c r="AL11" s="2"/>
      <c r="AM11" s="2"/>
      <c r="AN11" s="2"/>
      <c r="AO11" s="2"/>
      <c r="AP11" s="2"/>
    </row>
    <row r="12" spans="1:42">
      <c r="A12" s="1" t="s">
        <v>160</v>
      </c>
      <c r="B12" s="2"/>
      <c r="C12" s="2">
        <v>35562</v>
      </c>
      <c r="D12" s="2"/>
      <c r="F12" s="2"/>
      <c r="G12" s="2"/>
      <c r="H12" s="2"/>
      <c r="I12" s="2"/>
      <c r="J12" s="2">
        <v>925000</v>
      </c>
      <c r="K12" s="2">
        <v>228806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2"/>
      <c r="AB12" s="2"/>
      <c r="AC12" s="2">
        <v>190750</v>
      </c>
      <c r="AD12" s="2"/>
      <c r="AE12" s="2">
        <v>83541.25</v>
      </c>
      <c r="AF12" s="2">
        <f t="shared" si="0"/>
        <v>925000</v>
      </c>
      <c r="AG12" s="2">
        <f t="shared" si="1"/>
        <v>538659.25</v>
      </c>
      <c r="AH12" s="2"/>
      <c r="AI12" s="2"/>
      <c r="AJ12" s="4"/>
      <c r="AK12" s="2"/>
      <c r="AL12" s="2"/>
      <c r="AM12" s="2"/>
      <c r="AN12" s="2"/>
      <c r="AO12" s="2"/>
      <c r="AP12" s="2"/>
    </row>
    <row r="13" spans="1:42">
      <c r="A13" s="1" t="s">
        <v>161</v>
      </c>
      <c r="B13" s="2"/>
      <c r="C13" s="2"/>
      <c r="D13" s="2">
        <v>925000</v>
      </c>
      <c r="E13" s="2">
        <v>351141</v>
      </c>
      <c r="F13" s="2"/>
      <c r="G13" s="2"/>
      <c r="H13" s="2"/>
      <c r="I13" s="2">
        <v>21656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2"/>
      <c r="AB13" s="2"/>
      <c r="AC13" s="2"/>
      <c r="AD13" s="2"/>
      <c r="AE13" s="2"/>
      <c r="AF13" s="2">
        <f t="shared" si="0"/>
        <v>925000</v>
      </c>
      <c r="AG13" s="2">
        <f t="shared" si="1"/>
        <v>372797</v>
      </c>
      <c r="AH13" s="2"/>
      <c r="AI13" s="2"/>
      <c r="AJ13" s="4"/>
      <c r="AK13" s="2"/>
      <c r="AL13" s="2"/>
      <c r="AM13" s="2"/>
      <c r="AN13" s="2"/>
      <c r="AO13" s="2"/>
      <c r="AP13" s="2"/>
    </row>
    <row r="14" spans="1:42">
      <c r="A14" s="1" t="s">
        <v>162</v>
      </c>
      <c r="B14" s="2">
        <v>150000</v>
      </c>
      <c r="C14" s="2">
        <v>35563</v>
      </c>
      <c r="F14" s="2"/>
      <c r="G14" s="2"/>
      <c r="H14" s="2"/>
      <c r="I14" s="2"/>
      <c r="J14" s="2"/>
      <c r="K14" s="2">
        <v>212619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A14" s="2"/>
      <c r="AB14" s="2">
        <v>3000000</v>
      </c>
      <c r="AC14" s="2">
        <v>190750</v>
      </c>
      <c r="AD14" s="2">
        <v>1285000</v>
      </c>
      <c r="AE14" s="2">
        <v>83541.25</v>
      </c>
      <c r="AF14" s="2">
        <f t="shared" si="0"/>
        <v>4435000</v>
      </c>
      <c r="AG14" s="2">
        <f t="shared" si="1"/>
        <v>522473.25</v>
      </c>
      <c r="AH14" s="2">
        <f>SUM(AF11:AF14)</f>
        <v>7285000</v>
      </c>
      <c r="AI14" s="2">
        <f>SUM(AG11:AG14)</f>
        <v>1826727.5</v>
      </c>
      <c r="AJ14" s="4">
        <v>2014</v>
      </c>
      <c r="AK14" s="2"/>
      <c r="AL14" s="2"/>
      <c r="AM14" s="2"/>
      <c r="AN14" s="2"/>
      <c r="AO14" s="2"/>
      <c r="AP14" s="2"/>
    </row>
    <row r="15" spans="1:42">
      <c r="A15" s="1" t="s">
        <v>163</v>
      </c>
      <c r="B15" s="2"/>
      <c r="C15" s="2"/>
      <c r="D15" s="2"/>
      <c r="E15" s="2">
        <v>332641</v>
      </c>
      <c r="F15" s="2"/>
      <c r="G15" s="2"/>
      <c r="H15" s="2">
        <v>1050000</v>
      </c>
      <c r="I15" s="2">
        <v>21656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2"/>
      <c r="AB15" s="2"/>
      <c r="AC15" s="2"/>
      <c r="AD15" s="2"/>
      <c r="AE15" s="2"/>
      <c r="AF15" s="2">
        <f t="shared" si="0"/>
        <v>1050000</v>
      </c>
      <c r="AG15" s="2">
        <f t="shared" si="1"/>
        <v>354297</v>
      </c>
      <c r="AH15" s="2"/>
      <c r="AI15" s="2"/>
      <c r="AJ15" s="4"/>
      <c r="AK15" s="2"/>
      <c r="AL15" s="2"/>
      <c r="AM15" s="2"/>
      <c r="AN15" s="2"/>
      <c r="AO15" s="2"/>
      <c r="AP15" s="2"/>
    </row>
    <row r="16" spans="1:42">
      <c r="A16" s="1" t="s">
        <v>164</v>
      </c>
      <c r="B16" s="2"/>
      <c r="C16" s="2">
        <v>32562</v>
      </c>
      <c r="D16" s="2"/>
      <c r="F16" s="2"/>
      <c r="G16" s="2"/>
      <c r="H16" s="2"/>
      <c r="I16" s="2"/>
      <c r="J16" s="2">
        <v>950000</v>
      </c>
      <c r="K16" s="2">
        <v>212619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2"/>
      <c r="AB16" s="2"/>
      <c r="AC16" s="2">
        <v>134500</v>
      </c>
      <c r="AD16" s="2"/>
      <c r="AE16" s="2">
        <v>73903.75</v>
      </c>
      <c r="AF16" s="2">
        <f t="shared" si="0"/>
        <v>950000</v>
      </c>
      <c r="AG16" s="2">
        <f t="shared" si="1"/>
        <v>453584.75</v>
      </c>
      <c r="AH16" s="2"/>
      <c r="AI16" s="2"/>
      <c r="AJ16" s="4"/>
      <c r="AK16" s="2"/>
      <c r="AL16" s="2"/>
      <c r="AM16" s="2"/>
      <c r="AN16" s="2"/>
      <c r="AO16" s="2"/>
      <c r="AP16" s="2"/>
    </row>
    <row r="17" spans="1:42">
      <c r="A17" s="1" t="s">
        <v>165</v>
      </c>
      <c r="B17" s="2"/>
      <c r="C17" s="2"/>
      <c r="D17" s="2">
        <v>950000</v>
      </c>
      <c r="E17" s="2">
        <v>332641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2"/>
      <c r="AB17" s="2"/>
      <c r="AC17" s="2"/>
      <c r="AD17" s="2"/>
      <c r="AE17" s="2"/>
      <c r="AF17" s="2">
        <f t="shared" si="0"/>
        <v>950000</v>
      </c>
      <c r="AG17" s="2">
        <f t="shared" si="1"/>
        <v>332641</v>
      </c>
      <c r="AH17" s="2"/>
      <c r="AI17" s="2"/>
      <c r="AJ17" s="4"/>
      <c r="AK17" s="2"/>
      <c r="AL17" s="2"/>
      <c r="AM17" s="2"/>
      <c r="AN17" s="2"/>
      <c r="AO17" s="2"/>
      <c r="AP17" s="2"/>
    </row>
    <row r="18" spans="1:42">
      <c r="A18" s="1" t="s">
        <v>166</v>
      </c>
      <c r="B18" s="2">
        <v>150000</v>
      </c>
      <c r="C18" s="2">
        <v>32563</v>
      </c>
      <c r="D18" s="2"/>
      <c r="E18" s="2"/>
      <c r="F18" s="2"/>
      <c r="G18" s="2"/>
      <c r="H18" s="2"/>
      <c r="I18" s="2"/>
      <c r="J18" s="2"/>
      <c r="K18" s="2">
        <v>195994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2"/>
      <c r="AB18" s="2">
        <v>3275000</v>
      </c>
      <c r="AC18" s="2">
        <v>134500</v>
      </c>
      <c r="AD18" s="2">
        <v>1325000</v>
      </c>
      <c r="AE18" s="2">
        <v>73903.75</v>
      </c>
      <c r="AF18" s="2">
        <f t="shared" si="0"/>
        <v>4750000</v>
      </c>
      <c r="AG18" s="2">
        <f t="shared" si="1"/>
        <v>436960.75</v>
      </c>
      <c r="AH18" s="2">
        <f>SUM(AF15:AF18)</f>
        <v>7700000</v>
      </c>
      <c r="AI18" s="2">
        <f>SUM(AG15:AG18)</f>
        <v>1577483.5</v>
      </c>
      <c r="AJ18" s="4">
        <v>2015</v>
      </c>
      <c r="AK18" s="2"/>
      <c r="AL18" s="2"/>
      <c r="AM18" s="2"/>
      <c r="AN18" s="2"/>
      <c r="AO18" s="2"/>
      <c r="AP18" s="2"/>
    </row>
    <row r="19" spans="1:42">
      <c r="A19" s="1" t="s">
        <v>167</v>
      </c>
      <c r="B19" s="2"/>
      <c r="C19" s="2"/>
      <c r="D19" s="2"/>
      <c r="E19" s="2">
        <v>313641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  <c r="AA19" s="2"/>
      <c r="AB19" s="2"/>
      <c r="AC19" s="2"/>
      <c r="AD19" s="2"/>
      <c r="AE19" s="2"/>
      <c r="AF19" s="2">
        <f t="shared" si="0"/>
        <v>0</v>
      </c>
      <c r="AG19" s="2">
        <f t="shared" si="1"/>
        <v>313641</v>
      </c>
      <c r="AH19" s="2"/>
      <c r="AI19" s="2"/>
      <c r="AJ19" s="4"/>
      <c r="AK19" s="2"/>
      <c r="AL19" s="2"/>
      <c r="AM19" s="2"/>
      <c r="AN19" s="2"/>
      <c r="AO19" s="2"/>
      <c r="AP19" s="2"/>
    </row>
    <row r="20" spans="1:42">
      <c r="A20" s="1" t="s">
        <v>168</v>
      </c>
      <c r="B20" s="2"/>
      <c r="C20" s="2">
        <v>29562</v>
      </c>
      <c r="D20" s="2"/>
      <c r="E20" s="2"/>
      <c r="F20" s="2"/>
      <c r="G20" s="2"/>
      <c r="H20" s="2"/>
      <c r="I20" s="2"/>
      <c r="J20" s="2">
        <v>1000000</v>
      </c>
      <c r="K20" s="2">
        <v>195994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2"/>
      <c r="AB20" s="2"/>
      <c r="AC20" s="2">
        <v>69000</v>
      </c>
      <c r="AD20" s="2"/>
      <c r="AE20" s="2">
        <v>63966.25</v>
      </c>
      <c r="AF20" s="2">
        <f t="shared" si="0"/>
        <v>1000000</v>
      </c>
      <c r="AG20" s="2">
        <f t="shared" si="1"/>
        <v>358522.25</v>
      </c>
      <c r="AH20" s="2"/>
      <c r="AI20" s="2"/>
      <c r="AJ20" s="4"/>
      <c r="AK20" s="2"/>
      <c r="AL20" s="2"/>
      <c r="AM20" s="2"/>
      <c r="AN20" s="2"/>
      <c r="AO20" s="2"/>
      <c r="AP20" s="2"/>
    </row>
    <row r="21" spans="1:42">
      <c r="A21" s="1" t="s">
        <v>169</v>
      </c>
      <c r="B21" s="2"/>
      <c r="C21" s="2"/>
      <c r="D21" s="2">
        <v>1000000</v>
      </c>
      <c r="E21" s="2">
        <v>313641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2"/>
      <c r="AB21" s="2"/>
      <c r="AC21" s="2"/>
      <c r="AD21" s="2"/>
      <c r="AE21" s="2"/>
      <c r="AF21" s="2">
        <f t="shared" si="0"/>
        <v>1000000</v>
      </c>
      <c r="AG21" s="2">
        <f t="shared" si="1"/>
        <v>313641</v>
      </c>
      <c r="AH21" s="2"/>
      <c r="AI21" s="2"/>
      <c r="AJ21" s="4"/>
      <c r="AK21" s="2"/>
      <c r="AL21" s="2"/>
      <c r="AM21" s="2"/>
      <c r="AN21" s="2"/>
      <c r="AO21" s="2"/>
      <c r="AP21" s="2"/>
    </row>
    <row r="22" spans="1:42">
      <c r="A22" s="1" t="s">
        <v>170</v>
      </c>
      <c r="B22" s="2">
        <v>175000</v>
      </c>
      <c r="C22" s="2">
        <v>29563</v>
      </c>
      <c r="D22" s="2"/>
      <c r="E22" s="2"/>
      <c r="F22" s="2"/>
      <c r="G22" s="2"/>
      <c r="H22" s="2"/>
      <c r="I22" s="2"/>
      <c r="J22" s="2"/>
      <c r="K22" s="2">
        <v>177244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2"/>
      <c r="AB22" s="2">
        <v>3450000</v>
      </c>
      <c r="AC22" s="2">
        <v>69000</v>
      </c>
      <c r="AD22" s="2">
        <v>1345000</v>
      </c>
      <c r="AE22" s="2">
        <v>63966.25</v>
      </c>
      <c r="AF22" s="2">
        <f t="shared" si="0"/>
        <v>4970000</v>
      </c>
      <c r="AG22" s="2">
        <f t="shared" si="1"/>
        <v>339773.25</v>
      </c>
      <c r="AH22" s="2">
        <f>SUM(AF19:AF22)</f>
        <v>6970000</v>
      </c>
      <c r="AI22" s="2">
        <f>SUM(AG19:AG22)</f>
        <v>1325577.5</v>
      </c>
      <c r="AJ22" s="4">
        <v>2016</v>
      </c>
      <c r="AK22" s="2"/>
      <c r="AL22" s="2"/>
      <c r="AM22" s="2"/>
      <c r="AN22" s="2"/>
      <c r="AO22" s="2"/>
      <c r="AP22" s="2"/>
    </row>
    <row r="23" spans="1:42">
      <c r="A23" s="1" t="s">
        <v>171</v>
      </c>
      <c r="B23" s="2"/>
      <c r="C23" s="2"/>
      <c r="D23" s="2"/>
      <c r="E23" s="2">
        <v>293641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2"/>
      <c r="AB23" s="2"/>
      <c r="AC23" s="2"/>
      <c r="AD23" s="2"/>
      <c r="AE23" s="2"/>
      <c r="AF23" s="2">
        <f t="shared" si="0"/>
        <v>0</v>
      </c>
      <c r="AG23" s="2">
        <f t="shared" si="1"/>
        <v>293641</v>
      </c>
      <c r="AH23" s="2"/>
      <c r="AI23" s="2"/>
      <c r="AJ23" s="4"/>
      <c r="AK23" s="2"/>
      <c r="AL23" s="2"/>
      <c r="AM23" s="2"/>
      <c r="AN23" s="2"/>
      <c r="AO23" s="2"/>
      <c r="AP23" s="2"/>
    </row>
    <row r="24" spans="1:42">
      <c r="A24" s="1" t="s">
        <v>172</v>
      </c>
      <c r="B24" s="2"/>
      <c r="C24" s="2">
        <v>25953</v>
      </c>
      <c r="D24" s="2"/>
      <c r="E24" s="2"/>
      <c r="F24" s="2"/>
      <c r="G24" s="2"/>
      <c r="H24" s="2"/>
      <c r="I24" s="2"/>
      <c r="J24" s="2">
        <v>1025000</v>
      </c>
      <c r="K24" s="2">
        <v>177244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2"/>
      <c r="AB24" s="2"/>
      <c r="AC24" s="2"/>
      <c r="AD24" s="2"/>
      <c r="AE24" s="2">
        <v>53878.75</v>
      </c>
      <c r="AF24" s="2">
        <f t="shared" si="0"/>
        <v>1025000</v>
      </c>
      <c r="AG24" s="2">
        <f t="shared" si="1"/>
        <v>257075.75</v>
      </c>
      <c r="AH24" s="2"/>
      <c r="AI24" s="2"/>
      <c r="AJ24" s="4"/>
      <c r="AK24" s="2"/>
      <c r="AL24" s="2"/>
      <c r="AM24" s="2"/>
      <c r="AN24" s="2"/>
      <c r="AO24" s="2"/>
      <c r="AP24" s="2"/>
    </row>
    <row r="25" spans="1:42">
      <c r="A25" s="1" t="s">
        <v>173</v>
      </c>
      <c r="B25" s="2"/>
      <c r="C25" s="2"/>
      <c r="D25" s="2">
        <v>1025000</v>
      </c>
      <c r="E25" s="2">
        <v>293640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  <c r="AA25" s="2"/>
      <c r="AB25" s="2"/>
      <c r="AC25" s="2"/>
      <c r="AD25" s="2"/>
      <c r="AE25" s="2"/>
      <c r="AF25" s="2">
        <f t="shared" si="0"/>
        <v>1025000</v>
      </c>
      <c r="AG25" s="2">
        <f t="shared" si="1"/>
        <v>293640</v>
      </c>
      <c r="AH25" s="2"/>
      <c r="AI25" s="2"/>
      <c r="AJ25" s="4"/>
      <c r="AK25" s="2"/>
      <c r="AL25" s="2"/>
      <c r="AM25" s="2"/>
      <c r="AN25" s="2"/>
      <c r="AO25" s="2"/>
      <c r="AP25" s="2"/>
    </row>
    <row r="26" spans="1:42">
      <c r="A26" s="1" t="s">
        <v>174</v>
      </c>
      <c r="B26" s="2">
        <v>175000</v>
      </c>
      <c r="C26" s="2">
        <v>25953</v>
      </c>
      <c r="D26" s="2"/>
      <c r="E26" s="2"/>
      <c r="F26" s="2"/>
      <c r="G26" s="2"/>
      <c r="H26" s="2"/>
      <c r="I26" s="2"/>
      <c r="J26" s="2"/>
      <c r="K26" s="2">
        <v>158025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  <c r="AA26" s="2"/>
      <c r="AB26" s="2"/>
      <c r="AC26" s="2"/>
      <c r="AD26" s="2">
        <v>1380000</v>
      </c>
      <c r="AE26" s="2">
        <v>53878.75</v>
      </c>
      <c r="AF26" s="2">
        <f t="shared" si="0"/>
        <v>1555000</v>
      </c>
      <c r="AG26" s="2">
        <f t="shared" si="1"/>
        <v>237856.75</v>
      </c>
      <c r="AH26" s="2">
        <f>SUM(AF23:AF26)</f>
        <v>3605000</v>
      </c>
      <c r="AI26" s="2">
        <f>SUM(AG23:AG26)</f>
        <v>1082213.5</v>
      </c>
      <c r="AJ26" s="4">
        <v>2017</v>
      </c>
      <c r="AK26" s="2"/>
      <c r="AL26" s="2"/>
      <c r="AM26" s="2"/>
      <c r="AN26" s="2"/>
      <c r="AO26" s="2"/>
      <c r="AP26" s="2"/>
    </row>
    <row r="27" spans="1:42">
      <c r="A27" s="1" t="s">
        <v>175</v>
      </c>
      <c r="B27" s="2"/>
      <c r="C27" s="2"/>
      <c r="D27" s="2"/>
      <c r="E27" s="2">
        <v>273141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  <c r="AA27" s="2"/>
      <c r="AB27" s="2"/>
      <c r="AC27" s="2"/>
      <c r="AD27" s="2"/>
      <c r="AE27" s="2"/>
      <c r="AF27" s="2">
        <f t="shared" si="0"/>
        <v>0</v>
      </c>
      <c r="AG27" s="2">
        <f t="shared" si="1"/>
        <v>273141</v>
      </c>
      <c r="AH27" s="2"/>
      <c r="AI27" s="2"/>
      <c r="AJ27" s="4"/>
      <c r="AK27" s="2"/>
      <c r="AL27" s="2"/>
      <c r="AM27" s="2"/>
      <c r="AN27" s="2"/>
      <c r="AO27" s="2"/>
      <c r="AP27" s="2"/>
    </row>
    <row r="28" spans="1:42">
      <c r="A28" s="1" t="s">
        <v>176</v>
      </c>
      <c r="B28" s="2"/>
      <c r="C28" s="2">
        <v>22234</v>
      </c>
      <c r="D28" s="2"/>
      <c r="E28" s="2"/>
      <c r="F28" s="2"/>
      <c r="G28" s="2"/>
      <c r="H28" s="2"/>
      <c r="I28" s="2"/>
      <c r="J28" s="2">
        <v>1055000</v>
      </c>
      <c r="K28" s="2">
        <v>158025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  <c r="AA28" s="2"/>
      <c r="AB28" s="2"/>
      <c r="AC28" s="2"/>
      <c r="AD28" s="2"/>
      <c r="AE28" s="2">
        <v>43528.75</v>
      </c>
      <c r="AF28" s="2">
        <f t="shared" si="0"/>
        <v>1055000</v>
      </c>
      <c r="AG28" s="2">
        <f t="shared" si="1"/>
        <v>223787.75</v>
      </c>
      <c r="AH28" s="2"/>
      <c r="AI28" s="2"/>
      <c r="AJ28" s="4"/>
      <c r="AK28" s="2"/>
      <c r="AL28" s="2"/>
      <c r="AM28" s="2"/>
      <c r="AN28" s="2"/>
      <c r="AO28" s="2"/>
      <c r="AP28" s="2"/>
    </row>
    <row r="29" spans="1:42">
      <c r="A29" s="1" t="s">
        <v>177</v>
      </c>
      <c r="B29" s="2"/>
      <c r="C29" s="2"/>
      <c r="D29" s="2">
        <v>1075000</v>
      </c>
      <c r="E29" s="2">
        <v>273140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2"/>
      <c r="AB29" s="2"/>
      <c r="AC29" s="2"/>
      <c r="AD29" s="2"/>
      <c r="AE29" s="2"/>
      <c r="AF29" s="2">
        <f t="shared" si="0"/>
        <v>1075000</v>
      </c>
      <c r="AG29" s="2">
        <f t="shared" si="1"/>
        <v>273140</v>
      </c>
      <c r="AH29" s="2"/>
      <c r="AI29" s="2"/>
      <c r="AJ29" s="4"/>
      <c r="AK29" s="2"/>
      <c r="AL29" s="2"/>
      <c r="AM29" s="2"/>
      <c r="AN29" s="2"/>
      <c r="AO29" s="2"/>
      <c r="AP29" s="2"/>
    </row>
    <row r="30" spans="1:42">
      <c r="A30" s="1" t="s">
        <v>178</v>
      </c>
      <c r="B30" s="2">
        <v>175000</v>
      </c>
      <c r="C30" s="2">
        <v>22235</v>
      </c>
      <c r="D30" s="2"/>
      <c r="E30" s="2"/>
      <c r="F30" s="2"/>
      <c r="G30" s="2"/>
      <c r="H30" s="2"/>
      <c r="I30" s="2"/>
      <c r="J30" s="2"/>
      <c r="K30" s="2">
        <v>138244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  <c r="AA30" s="2"/>
      <c r="AB30" s="2"/>
      <c r="AC30" s="2"/>
      <c r="AD30" s="2">
        <v>1385000</v>
      </c>
      <c r="AE30" s="2">
        <v>43528.75</v>
      </c>
      <c r="AF30" s="2">
        <f t="shared" si="0"/>
        <v>1560000</v>
      </c>
      <c r="AG30" s="2">
        <f t="shared" si="1"/>
        <v>204007.75</v>
      </c>
      <c r="AH30" s="2">
        <f>SUM(AF27:AF30)</f>
        <v>3690000</v>
      </c>
      <c r="AI30" s="2">
        <f>SUM(AG27:AG30)</f>
        <v>974076.5</v>
      </c>
      <c r="AJ30" s="4">
        <v>2018</v>
      </c>
      <c r="AK30" s="2"/>
      <c r="AL30" s="2"/>
      <c r="AM30" s="2"/>
      <c r="AN30" s="2"/>
      <c r="AO30" s="2"/>
      <c r="AP30" s="2"/>
    </row>
    <row r="31" spans="1:42">
      <c r="A31" s="1" t="s">
        <v>179</v>
      </c>
      <c r="B31" s="2"/>
      <c r="C31" s="2"/>
      <c r="D31" s="2"/>
      <c r="E31" s="2">
        <v>251641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A31" s="2"/>
      <c r="AB31" s="2"/>
      <c r="AC31" s="2"/>
      <c r="AD31" s="2"/>
      <c r="AE31" s="2"/>
      <c r="AF31" s="2">
        <f t="shared" si="0"/>
        <v>0</v>
      </c>
      <c r="AG31" s="2">
        <f t="shared" si="1"/>
        <v>251641</v>
      </c>
      <c r="AH31" s="2"/>
      <c r="AI31" s="2"/>
      <c r="AJ31" s="4"/>
      <c r="AK31" s="2"/>
      <c r="AL31" s="2"/>
      <c r="AM31" s="2"/>
      <c r="AN31" s="2"/>
      <c r="AO31" s="2"/>
      <c r="AP31" s="2"/>
    </row>
    <row r="32" spans="1:42">
      <c r="A32" s="1" t="s">
        <v>180</v>
      </c>
      <c r="B32" s="2"/>
      <c r="C32" s="2">
        <v>18406</v>
      </c>
      <c r="D32" s="2"/>
      <c r="E32" s="2"/>
      <c r="F32" s="2"/>
      <c r="G32" s="2"/>
      <c r="H32" s="2"/>
      <c r="I32" s="2"/>
      <c r="J32" s="2">
        <v>525000</v>
      </c>
      <c r="K32" s="2">
        <v>138244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  <c r="AA32" s="2"/>
      <c r="AB32" s="2"/>
      <c r="AC32" s="2"/>
      <c r="AD32" s="2"/>
      <c r="AE32" s="2">
        <v>33141.25</v>
      </c>
      <c r="AF32" s="2">
        <f t="shared" si="0"/>
        <v>525000</v>
      </c>
      <c r="AG32" s="2">
        <f t="shared" si="1"/>
        <v>189791.25</v>
      </c>
      <c r="AH32" s="2"/>
      <c r="AI32" s="2"/>
      <c r="AJ32" s="4"/>
      <c r="AK32" s="2"/>
      <c r="AL32" s="2"/>
      <c r="AM32" s="2"/>
      <c r="AN32" s="2"/>
      <c r="AO32" s="2"/>
      <c r="AP32" s="2"/>
    </row>
    <row r="33" spans="1:42">
      <c r="A33" s="1" t="s">
        <v>181</v>
      </c>
      <c r="B33" s="2"/>
      <c r="C33" s="2"/>
      <c r="D33" s="2">
        <v>1125000</v>
      </c>
      <c r="E33" s="2">
        <v>251640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  <c r="AA33" s="2"/>
      <c r="AB33" s="2"/>
      <c r="AC33" s="2"/>
      <c r="AD33" s="2"/>
      <c r="AE33" s="2"/>
      <c r="AF33" s="2">
        <f t="shared" si="0"/>
        <v>1125000</v>
      </c>
      <c r="AG33" s="2">
        <f t="shared" si="1"/>
        <v>251640</v>
      </c>
      <c r="AH33" s="2"/>
      <c r="AI33" s="2"/>
      <c r="AJ33" s="4"/>
      <c r="AK33" s="2"/>
      <c r="AL33" s="2"/>
      <c r="AM33" s="2"/>
      <c r="AN33" s="2"/>
      <c r="AO33" s="2"/>
      <c r="AP33" s="2"/>
    </row>
    <row r="34" spans="1:42">
      <c r="A34" s="1" t="s">
        <v>182</v>
      </c>
      <c r="B34" s="2">
        <v>175000</v>
      </c>
      <c r="C34" s="2">
        <v>18407</v>
      </c>
      <c r="D34" s="2"/>
      <c r="E34" s="2"/>
      <c r="F34" s="2"/>
      <c r="G34" s="2"/>
      <c r="H34" s="2"/>
      <c r="I34" s="2"/>
      <c r="J34" s="2"/>
      <c r="K34" s="2">
        <v>127744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  <c r="AA34" s="2"/>
      <c r="AB34" s="2"/>
      <c r="AC34" s="2"/>
      <c r="AD34" s="2">
        <v>1365000</v>
      </c>
      <c r="AE34" s="2">
        <v>33141.25</v>
      </c>
      <c r="AF34" s="2">
        <f t="shared" si="0"/>
        <v>1540000</v>
      </c>
      <c r="AG34" s="2">
        <f t="shared" si="1"/>
        <v>179292.25</v>
      </c>
      <c r="AH34" s="2">
        <f>SUM(AF31:AF34)</f>
        <v>3190000</v>
      </c>
      <c r="AI34" s="2">
        <f>SUM(AG31:AG34)</f>
        <v>872364.5</v>
      </c>
      <c r="AJ34" s="4">
        <v>2019</v>
      </c>
      <c r="AK34" s="2"/>
      <c r="AL34" s="2"/>
      <c r="AM34" s="2"/>
      <c r="AN34" s="2"/>
      <c r="AO34" s="2"/>
      <c r="AP34" s="2"/>
    </row>
    <row r="35" spans="1:42">
      <c r="A35" s="1" t="s">
        <v>183</v>
      </c>
      <c r="B35" s="2"/>
      <c r="C35" s="2"/>
      <c r="D35" s="2"/>
      <c r="E35" s="2">
        <v>229141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2"/>
      <c r="AB35" s="2"/>
      <c r="AC35" s="2"/>
      <c r="AD35" s="2"/>
      <c r="AE35" s="2"/>
      <c r="AF35" s="2">
        <f t="shared" si="0"/>
        <v>0</v>
      </c>
      <c r="AG35" s="2">
        <f t="shared" si="1"/>
        <v>229141</v>
      </c>
      <c r="AH35" s="2"/>
      <c r="AI35" s="2"/>
      <c r="AJ35" s="4"/>
      <c r="AK35" s="2"/>
      <c r="AL35" s="2"/>
      <c r="AM35" s="2"/>
      <c r="AN35" s="2"/>
      <c r="AO35" s="2"/>
      <c r="AP35" s="2"/>
    </row>
    <row r="36" spans="1:42">
      <c r="A36" s="1" t="s">
        <v>184</v>
      </c>
      <c r="B36" s="2"/>
      <c r="C36" s="2">
        <v>14469</v>
      </c>
      <c r="D36" s="2"/>
      <c r="E36" s="2"/>
      <c r="F36" s="2"/>
      <c r="G36" s="2"/>
      <c r="H36" s="2"/>
      <c r="I36" s="2"/>
      <c r="J36" s="2">
        <v>550000</v>
      </c>
      <c r="K36" s="2">
        <v>127744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2"/>
      <c r="AB36" s="2"/>
      <c r="AC36" s="2"/>
      <c r="AD36" s="2"/>
      <c r="AE36" s="2">
        <v>21197.5</v>
      </c>
      <c r="AF36" s="2">
        <f t="shared" si="0"/>
        <v>550000</v>
      </c>
      <c r="AG36" s="2">
        <f t="shared" si="1"/>
        <v>163410.5</v>
      </c>
      <c r="AH36" s="2"/>
      <c r="AI36" s="2"/>
      <c r="AJ36" s="4"/>
      <c r="AK36" s="2"/>
      <c r="AL36" s="2"/>
      <c r="AM36" s="2"/>
      <c r="AN36" s="2"/>
      <c r="AO36" s="2"/>
      <c r="AP36" s="2"/>
    </row>
    <row r="37" spans="1:42">
      <c r="A37" s="1" t="s">
        <v>185</v>
      </c>
      <c r="B37" s="2"/>
      <c r="C37" s="2"/>
      <c r="D37" s="2">
        <v>1175000</v>
      </c>
      <c r="E37" s="2">
        <v>229140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2"/>
      <c r="AB37" s="2"/>
      <c r="AC37" s="2"/>
      <c r="AD37" s="2"/>
      <c r="AE37" s="2"/>
      <c r="AF37" s="2">
        <f t="shared" si="0"/>
        <v>1175000</v>
      </c>
      <c r="AG37" s="2">
        <f t="shared" si="1"/>
        <v>229140</v>
      </c>
      <c r="AH37" s="2"/>
      <c r="AI37" s="2"/>
      <c r="AJ37" s="4"/>
      <c r="AK37" s="2"/>
      <c r="AL37" s="2"/>
      <c r="AM37" s="2"/>
      <c r="AN37" s="2"/>
      <c r="AO37" s="2"/>
      <c r="AP37" s="2"/>
    </row>
    <row r="38" spans="1:42">
      <c r="A38" s="1" t="s">
        <v>186</v>
      </c>
      <c r="B38" s="2">
        <v>200000</v>
      </c>
      <c r="C38" s="2">
        <v>14469</v>
      </c>
      <c r="D38" s="2"/>
      <c r="E38" s="2"/>
      <c r="F38" s="2"/>
      <c r="G38" s="2"/>
      <c r="H38" s="2"/>
      <c r="I38" s="2"/>
      <c r="J38" s="2"/>
      <c r="K38" s="2">
        <v>116744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2"/>
      <c r="AB38" s="2"/>
      <c r="AC38" s="2"/>
      <c r="AD38" s="2">
        <v>375000</v>
      </c>
      <c r="AE38" s="2">
        <v>21197.5</v>
      </c>
      <c r="AF38" s="2">
        <f t="shared" si="0"/>
        <v>575000</v>
      </c>
      <c r="AG38" s="2">
        <f t="shared" si="1"/>
        <v>152410.5</v>
      </c>
      <c r="AH38" s="2">
        <f>SUM(AF35:AF38)</f>
        <v>2300000</v>
      </c>
      <c r="AI38" s="2">
        <f>SUM(AG35:AG38)</f>
        <v>774102</v>
      </c>
      <c r="AJ38" s="4">
        <v>2020</v>
      </c>
      <c r="AK38" s="2"/>
      <c r="AL38" s="2"/>
      <c r="AM38" s="2"/>
      <c r="AN38" s="2"/>
      <c r="AO38" s="2"/>
      <c r="AP38" s="2"/>
    </row>
    <row r="39" spans="1:42">
      <c r="A39" s="1" t="s">
        <v>187</v>
      </c>
      <c r="B39" s="2"/>
      <c r="C39" s="2"/>
      <c r="D39" s="2"/>
      <c r="E39" s="2">
        <v>204906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  <c r="AA39" s="2"/>
      <c r="AB39" s="2"/>
      <c r="AC39" s="2"/>
      <c r="AD39" s="2"/>
      <c r="AE39" s="2"/>
      <c r="AF39" s="2">
        <f t="shared" si="0"/>
        <v>0</v>
      </c>
      <c r="AG39" s="2">
        <f t="shared" si="1"/>
        <v>204906</v>
      </c>
      <c r="AH39" s="2"/>
      <c r="AI39" s="2"/>
      <c r="AJ39" s="4"/>
      <c r="AK39" s="2"/>
      <c r="AL39" s="2"/>
      <c r="AM39" s="2"/>
      <c r="AN39" s="2"/>
      <c r="AO39" s="2"/>
      <c r="AP39" s="2"/>
    </row>
    <row r="40" spans="1:42">
      <c r="A40" s="1" t="s">
        <v>188</v>
      </c>
      <c r="B40" s="2"/>
      <c r="C40" s="2">
        <v>9968</v>
      </c>
      <c r="D40" s="2"/>
      <c r="E40" s="2"/>
      <c r="F40" s="2"/>
      <c r="G40" s="2"/>
      <c r="H40" s="2"/>
      <c r="I40" s="2"/>
      <c r="J40" s="2">
        <v>575000</v>
      </c>
      <c r="K40" s="2">
        <v>116744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2"/>
      <c r="AB40" s="2"/>
      <c r="AC40" s="2"/>
      <c r="AD40" s="2"/>
      <c r="AE40" s="2">
        <v>17447.5</v>
      </c>
      <c r="AF40" s="2">
        <f t="shared" ref="AF40:AF67" si="2">(B40+D40+F40+H40+J40+L40+N40+P40+R40+T40+V40+X40+Z40+AB40+AD40)</f>
        <v>575000</v>
      </c>
      <c r="AG40" s="2">
        <f t="shared" ref="AG40:AG67" si="3">(C40+E40+G40+I40+K40+M40+O40+Q40+S40+U40+W40+Y40+AA40+AC40+AE40)</f>
        <v>144159.5</v>
      </c>
      <c r="AH40" s="2"/>
      <c r="AI40" s="2"/>
      <c r="AJ40" s="4"/>
      <c r="AK40" s="2"/>
      <c r="AL40" s="2"/>
      <c r="AM40" s="2"/>
      <c r="AN40" s="2"/>
      <c r="AO40" s="2"/>
      <c r="AP40" s="2"/>
    </row>
    <row r="41" spans="1:42">
      <c r="A41" s="1" t="s">
        <v>189</v>
      </c>
      <c r="B41" s="2"/>
      <c r="C41" s="2"/>
      <c r="D41" s="2">
        <v>1200000</v>
      </c>
      <c r="E41" s="2">
        <v>204906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2"/>
      <c r="AB41" s="2"/>
      <c r="AC41" s="2"/>
      <c r="AD41" s="2"/>
      <c r="AE41" s="2"/>
      <c r="AF41" s="2">
        <f t="shared" si="2"/>
        <v>1200000</v>
      </c>
      <c r="AG41" s="2">
        <f t="shared" si="3"/>
        <v>204906</v>
      </c>
      <c r="AH41" s="2"/>
      <c r="AI41" s="2"/>
      <c r="AJ41" s="4"/>
      <c r="AK41" s="2"/>
      <c r="AL41" s="2"/>
      <c r="AM41" s="2"/>
      <c r="AN41" s="2"/>
      <c r="AO41" s="2"/>
      <c r="AP41" s="2"/>
    </row>
    <row r="42" spans="1:42">
      <c r="A42" s="1" t="s">
        <v>190</v>
      </c>
      <c r="B42" s="2">
        <v>200000</v>
      </c>
      <c r="C42" s="2">
        <v>9969</v>
      </c>
      <c r="D42" s="2"/>
      <c r="E42" s="2"/>
      <c r="F42" s="2"/>
      <c r="G42" s="2"/>
      <c r="H42" s="2"/>
      <c r="I42" s="2"/>
      <c r="J42" s="2"/>
      <c r="K42" s="2">
        <v>105244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2"/>
      <c r="AB42" s="2"/>
      <c r="AC42" s="2"/>
      <c r="AD42" s="2">
        <v>370000</v>
      </c>
      <c r="AE42" s="2">
        <v>17447.5</v>
      </c>
      <c r="AF42" s="2">
        <f t="shared" si="2"/>
        <v>570000</v>
      </c>
      <c r="AG42" s="2">
        <f t="shared" si="3"/>
        <v>132660.5</v>
      </c>
      <c r="AH42" s="2">
        <f>SUM(AF39:AF42)</f>
        <v>2345000</v>
      </c>
      <c r="AI42" s="2">
        <f>SUM(AG39:AG42)</f>
        <v>686632</v>
      </c>
      <c r="AJ42" s="4">
        <v>2021</v>
      </c>
      <c r="AK42" s="2"/>
      <c r="AL42" s="2"/>
      <c r="AM42" s="2"/>
      <c r="AN42" s="2"/>
      <c r="AO42" s="2"/>
      <c r="AP42" s="2"/>
    </row>
    <row r="43" spans="1:42">
      <c r="A43" s="1" t="s">
        <v>191</v>
      </c>
      <c r="B43" s="2"/>
      <c r="C43" s="2"/>
      <c r="D43" s="2"/>
      <c r="E43" s="2">
        <v>180156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2"/>
      <c r="AB43" s="2"/>
      <c r="AC43" s="2"/>
      <c r="AD43" s="2"/>
      <c r="AE43" s="2"/>
      <c r="AF43" s="2">
        <f t="shared" si="2"/>
        <v>0</v>
      </c>
      <c r="AG43" s="2">
        <f t="shared" si="3"/>
        <v>180156</v>
      </c>
      <c r="AH43" s="2"/>
      <c r="AI43" s="2"/>
      <c r="AJ43" s="4"/>
      <c r="AK43" s="2"/>
      <c r="AL43" s="2"/>
      <c r="AM43" s="2"/>
      <c r="AN43" s="2"/>
      <c r="AO43" s="2"/>
      <c r="AP43" s="2"/>
    </row>
    <row r="44" spans="1:42">
      <c r="A44" s="1" t="s">
        <v>192</v>
      </c>
      <c r="B44" s="2"/>
      <c r="C44" s="2">
        <v>5343</v>
      </c>
      <c r="D44" s="2"/>
      <c r="E44" s="2"/>
      <c r="F44" s="2"/>
      <c r="G44" s="2"/>
      <c r="H44" s="2"/>
      <c r="I44" s="2"/>
      <c r="J44" s="2">
        <v>600000</v>
      </c>
      <c r="K44" s="2">
        <v>105244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2"/>
      <c r="AB44" s="2"/>
      <c r="AC44" s="2"/>
      <c r="AD44" s="2"/>
      <c r="AE44" s="2">
        <v>13747.5</v>
      </c>
      <c r="AF44" s="2">
        <f t="shared" si="2"/>
        <v>600000</v>
      </c>
      <c r="AG44" s="2">
        <f t="shared" si="3"/>
        <v>124334.5</v>
      </c>
      <c r="AH44" s="2"/>
      <c r="AI44" s="2"/>
      <c r="AJ44" s="4"/>
      <c r="AK44" s="2"/>
      <c r="AL44" s="2"/>
      <c r="AM44" s="2"/>
      <c r="AN44" s="2"/>
      <c r="AO44" s="2"/>
      <c r="AP44" s="2"/>
    </row>
    <row r="45" spans="1:42">
      <c r="A45" s="1" t="s">
        <v>193</v>
      </c>
      <c r="B45" s="2"/>
      <c r="C45" s="2"/>
      <c r="D45" s="2">
        <v>1250000</v>
      </c>
      <c r="E45" s="2">
        <v>180156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2"/>
      <c r="AB45" s="2"/>
      <c r="AC45" s="2"/>
      <c r="AD45" s="2"/>
      <c r="AE45" s="2"/>
      <c r="AF45" s="2">
        <f t="shared" si="2"/>
        <v>1250000</v>
      </c>
      <c r="AG45" s="2">
        <f t="shared" si="3"/>
        <v>180156</v>
      </c>
      <c r="AH45" s="2"/>
      <c r="AI45" s="2"/>
      <c r="AJ45" s="4"/>
      <c r="AK45" s="2"/>
      <c r="AL45" s="2"/>
      <c r="AM45" s="2"/>
      <c r="AN45" s="2"/>
      <c r="AO45" s="2"/>
      <c r="AP45" s="2"/>
    </row>
    <row r="46" spans="1:42">
      <c r="A46" s="1" t="s">
        <v>194</v>
      </c>
      <c r="B46" s="2">
        <v>225000</v>
      </c>
      <c r="C46" s="2">
        <v>5344</v>
      </c>
      <c r="D46" s="2"/>
      <c r="E46" s="2"/>
      <c r="F46" s="2"/>
      <c r="G46" s="2"/>
      <c r="H46" s="2"/>
      <c r="I46" s="2"/>
      <c r="J46" s="2"/>
      <c r="K46" s="2">
        <v>92494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2"/>
      <c r="AB46" s="2"/>
      <c r="AC46" s="2"/>
      <c r="AD46" s="2">
        <v>390000</v>
      </c>
      <c r="AE46" s="2">
        <v>13747.5</v>
      </c>
      <c r="AF46" s="2">
        <f t="shared" si="2"/>
        <v>615000</v>
      </c>
      <c r="AG46" s="2">
        <f t="shared" si="3"/>
        <v>111585.5</v>
      </c>
      <c r="AH46" s="2">
        <f>SUM(AF43:AF46)</f>
        <v>2465000</v>
      </c>
      <c r="AI46" s="2">
        <f>SUM(AG43:AG46)</f>
        <v>596232</v>
      </c>
      <c r="AJ46" s="4">
        <v>2022</v>
      </c>
      <c r="AK46" s="2"/>
      <c r="AL46" s="2"/>
      <c r="AM46" s="2"/>
      <c r="AN46" s="2"/>
      <c r="AO46" s="2"/>
      <c r="AP46" s="2"/>
    </row>
    <row r="47" spans="1:42">
      <c r="A47" s="1" t="s">
        <v>195</v>
      </c>
      <c r="B47" s="2"/>
      <c r="C47" s="2"/>
      <c r="D47" s="2"/>
      <c r="E47" s="2">
        <v>154375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2"/>
      <c r="AB47" s="2"/>
      <c r="AC47" s="2"/>
      <c r="AD47" s="2"/>
      <c r="AE47" s="2"/>
      <c r="AF47" s="2">
        <f t="shared" si="2"/>
        <v>0</v>
      </c>
      <c r="AG47" s="2">
        <f t="shared" si="3"/>
        <v>154375</v>
      </c>
      <c r="AH47" s="2"/>
      <c r="AI47" s="2"/>
      <c r="AJ47" s="4"/>
      <c r="AK47" s="2"/>
      <c r="AL47" s="2"/>
      <c r="AM47" s="2"/>
      <c r="AN47" s="2"/>
      <c r="AO47" s="2"/>
      <c r="AP47" s="2"/>
    </row>
    <row r="48" spans="1:42">
      <c r="A48" s="1" t="s">
        <v>196</v>
      </c>
      <c r="B48" s="2"/>
      <c r="C48" s="2"/>
      <c r="D48" s="2"/>
      <c r="E48" s="2"/>
      <c r="F48" s="2"/>
      <c r="G48" s="2"/>
      <c r="H48" s="2"/>
      <c r="I48" s="2"/>
      <c r="J48" s="2">
        <v>625000</v>
      </c>
      <c r="K48" s="2">
        <v>92494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2"/>
      <c r="AB48" s="2"/>
      <c r="AC48" s="2"/>
      <c r="AD48" s="2"/>
      <c r="AE48" s="2">
        <v>9652.5</v>
      </c>
      <c r="AF48" s="2">
        <f t="shared" si="2"/>
        <v>625000</v>
      </c>
      <c r="AG48" s="2">
        <f t="shared" si="3"/>
        <v>102146.5</v>
      </c>
      <c r="AH48" s="2"/>
      <c r="AI48" s="2"/>
      <c r="AJ48" s="4"/>
      <c r="AK48" s="2"/>
      <c r="AL48" s="2"/>
      <c r="AM48" s="2"/>
      <c r="AN48" s="2"/>
      <c r="AO48" s="2"/>
      <c r="AP48" s="2"/>
    </row>
    <row r="49" spans="1:42">
      <c r="A49" s="1" t="s">
        <v>197</v>
      </c>
      <c r="B49" s="2"/>
      <c r="C49" s="2"/>
      <c r="D49" s="2">
        <v>1325000</v>
      </c>
      <c r="E49" s="2">
        <v>154375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2"/>
      <c r="AB49" s="2"/>
      <c r="AC49" s="2"/>
      <c r="AD49" s="2"/>
      <c r="AE49" s="2"/>
      <c r="AF49" s="2">
        <f t="shared" si="2"/>
        <v>1325000</v>
      </c>
      <c r="AG49" s="2">
        <f t="shared" si="3"/>
        <v>154375</v>
      </c>
      <c r="AH49" s="2"/>
      <c r="AI49" s="2"/>
      <c r="AJ49" s="4"/>
      <c r="AK49" s="2"/>
      <c r="AL49" s="2"/>
      <c r="AM49" s="2"/>
      <c r="AN49" s="2"/>
      <c r="AO49" s="2"/>
      <c r="AP49" s="2"/>
    </row>
    <row r="50" spans="1:42">
      <c r="A50" s="1" t="s">
        <v>198</v>
      </c>
      <c r="B50" s="2"/>
      <c r="C50" s="2"/>
      <c r="D50" s="2"/>
      <c r="E50" s="2"/>
      <c r="F50" s="2"/>
      <c r="G50" s="2"/>
      <c r="H50" s="2"/>
      <c r="I50" s="2"/>
      <c r="J50" s="2"/>
      <c r="K50" s="2">
        <v>78821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2"/>
      <c r="AB50" s="2"/>
      <c r="AC50" s="2"/>
      <c r="AD50" s="2">
        <v>410000</v>
      </c>
      <c r="AE50" s="2">
        <v>9652.5</v>
      </c>
      <c r="AF50" s="2">
        <f t="shared" si="2"/>
        <v>410000</v>
      </c>
      <c r="AG50" s="2">
        <f t="shared" si="3"/>
        <v>88473.5</v>
      </c>
      <c r="AH50" s="2">
        <f>SUM(AF47:AF50)</f>
        <v>2360000</v>
      </c>
      <c r="AI50" s="2">
        <f>SUM(AG47:AG50)</f>
        <v>499370</v>
      </c>
      <c r="AJ50" s="4">
        <v>2023</v>
      </c>
      <c r="AK50" s="2"/>
      <c r="AL50" s="2"/>
      <c r="AM50" s="2"/>
      <c r="AN50" s="2"/>
      <c r="AO50" s="2"/>
      <c r="AP50" s="2"/>
    </row>
    <row r="51" spans="1:42">
      <c r="A51" s="1" t="s">
        <v>199</v>
      </c>
      <c r="B51" s="2"/>
      <c r="C51" s="2"/>
      <c r="D51" s="2"/>
      <c r="E51" s="2">
        <v>126219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2"/>
      <c r="AB51" s="2"/>
      <c r="AC51" s="2"/>
      <c r="AD51" s="2"/>
      <c r="AE51" s="2"/>
      <c r="AF51" s="2">
        <f t="shared" si="2"/>
        <v>0</v>
      </c>
      <c r="AG51" s="2">
        <f t="shared" si="3"/>
        <v>126219</v>
      </c>
      <c r="AH51" s="2"/>
      <c r="AI51" s="2"/>
      <c r="AJ51" s="4"/>
      <c r="AK51" s="2"/>
      <c r="AL51" s="2"/>
      <c r="AM51" s="2"/>
      <c r="AN51" s="2"/>
      <c r="AO51" s="2"/>
      <c r="AP51" s="2"/>
    </row>
    <row r="52" spans="1:42">
      <c r="A52" s="1" t="s">
        <v>200</v>
      </c>
      <c r="B52" s="2"/>
      <c r="C52" s="2"/>
      <c r="D52" s="2"/>
      <c r="E52" s="2"/>
      <c r="F52" s="2"/>
      <c r="G52" s="2"/>
      <c r="H52" s="2"/>
      <c r="I52" s="2"/>
      <c r="J52" s="2">
        <v>650000</v>
      </c>
      <c r="K52" s="2">
        <v>78821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2"/>
      <c r="AB52" s="2"/>
      <c r="AC52" s="2"/>
      <c r="AD52" s="2"/>
      <c r="AE52" s="2">
        <v>5040</v>
      </c>
      <c r="AF52" s="2">
        <f t="shared" si="2"/>
        <v>650000</v>
      </c>
      <c r="AG52" s="2">
        <f t="shared" si="3"/>
        <v>83861</v>
      </c>
      <c r="AH52" s="2"/>
      <c r="AI52" s="2"/>
      <c r="AJ52" s="4"/>
      <c r="AK52" s="2"/>
      <c r="AL52" s="2"/>
      <c r="AM52" s="2"/>
      <c r="AN52" s="2"/>
      <c r="AO52" s="2"/>
      <c r="AP52" s="2"/>
    </row>
    <row r="53" spans="1:42">
      <c r="A53" s="1" t="s">
        <v>201</v>
      </c>
      <c r="B53" s="2"/>
      <c r="C53" s="2"/>
      <c r="D53" s="2">
        <v>1375000</v>
      </c>
      <c r="E53" s="2">
        <v>126219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2"/>
      <c r="AB53" s="2"/>
      <c r="AC53" s="2"/>
      <c r="AD53" s="2"/>
      <c r="AE53" s="2"/>
      <c r="AF53" s="2">
        <f t="shared" si="2"/>
        <v>1375000</v>
      </c>
      <c r="AG53" s="2">
        <f t="shared" si="3"/>
        <v>126219</v>
      </c>
      <c r="AH53" s="2"/>
      <c r="AI53" s="2"/>
      <c r="AJ53" s="4"/>
      <c r="AK53" s="2"/>
      <c r="AL53" s="2"/>
      <c r="AM53" s="2"/>
      <c r="AN53" s="2"/>
      <c r="AO53" s="2"/>
      <c r="AP53" s="2"/>
    </row>
    <row r="54" spans="1:42">
      <c r="A54" s="1" t="s">
        <v>202</v>
      </c>
      <c r="B54" s="2"/>
      <c r="C54" s="2"/>
      <c r="D54" s="2"/>
      <c r="E54" s="2"/>
      <c r="F54" s="2"/>
      <c r="G54" s="2"/>
      <c r="H54" s="2"/>
      <c r="I54" s="2"/>
      <c r="J54" s="2"/>
      <c r="K54" s="2">
        <v>64603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2"/>
      <c r="AB54" s="2"/>
      <c r="AC54" s="2"/>
      <c r="AD54" s="2">
        <v>420000</v>
      </c>
      <c r="AE54" s="2">
        <v>5040</v>
      </c>
      <c r="AF54" s="2">
        <f t="shared" si="2"/>
        <v>420000</v>
      </c>
      <c r="AG54" s="2">
        <f t="shared" si="3"/>
        <v>69643</v>
      </c>
      <c r="AH54" s="2">
        <f>SUM(AF51:AF54)</f>
        <v>2445000</v>
      </c>
      <c r="AI54" s="2">
        <f>SUM(AG51:AG54)</f>
        <v>405942</v>
      </c>
      <c r="AJ54" s="4">
        <v>2024</v>
      </c>
      <c r="AK54" s="2"/>
      <c r="AL54" s="2"/>
      <c r="AM54" s="2"/>
      <c r="AN54" s="2"/>
      <c r="AO54" s="2"/>
      <c r="AP54" s="2"/>
    </row>
    <row r="55" spans="1:42">
      <c r="A55" s="1" t="s">
        <v>203</v>
      </c>
      <c r="B55" s="2"/>
      <c r="C55" s="2"/>
      <c r="D55" s="2"/>
      <c r="E55" s="2">
        <v>97000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2"/>
      <c r="AB55" s="2"/>
      <c r="AC55" s="2"/>
      <c r="AD55" s="2"/>
      <c r="AE55" s="2"/>
      <c r="AF55" s="2">
        <f t="shared" si="2"/>
        <v>0</v>
      </c>
      <c r="AG55" s="2">
        <f t="shared" si="3"/>
        <v>97000</v>
      </c>
      <c r="AH55" s="2"/>
      <c r="AI55" s="2"/>
      <c r="AJ55" s="4"/>
      <c r="AK55" s="2"/>
      <c r="AL55" s="2"/>
      <c r="AM55" s="2"/>
      <c r="AN55" s="2"/>
      <c r="AO55" s="2"/>
      <c r="AP55" s="2"/>
    </row>
    <row r="56" spans="1:42">
      <c r="A56" s="1" t="s">
        <v>204</v>
      </c>
      <c r="B56" s="2"/>
      <c r="C56" s="2"/>
      <c r="D56" s="2"/>
      <c r="E56" s="2"/>
      <c r="F56" s="2"/>
      <c r="G56" s="2"/>
      <c r="H56" s="2"/>
      <c r="I56" s="2"/>
      <c r="J56" s="2">
        <v>675000</v>
      </c>
      <c r="K56" s="2">
        <v>64603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2"/>
      <c r="AB56" s="2"/>
      <c r="AC56" s="2"/>
      <c r="AD56" s="2"/>
      <c r="AE56" s="2"/>
      <c r="AF56" s="2">
        <f t="shared" si="2"/>
        <v>675000</v>
      </c>
      <c r="AG56" s="2">
        <f t="shared" si="3"/>
        <v>64603</v>
      </c>
      <c r="AH56" s="2"/>
      <c r="AI56" s="2"/>
      <c r="AJ56" s="4"/>
      <c r="AK56" s="2"/>
      <c r="AL56" s="2"/>
      <c r="AM56" s="2"/>
      <c r="AN56" s="2"/>
      <c r="AO56" s="2"/>
      <c r="AP56" s="2"/>
    </row>
    <row r="57" spans="1:42">
      <c r="A57" s="1" t="s">
        <v>205</v>
      </c>
      <c r="B57" s="2"/>
      <c r="C57" s="2"/>
      <c r="D57" s="2">
        <v>1425000</v>
      </c>
      <c r="E57" s="2">
        <v>97000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  <c r="AA57" s="2"/>
      <c r="AB57" s="2"/>
      <c r="AC57" s="2"/>
      <c r="AD57" s="2"/>
      <c r="AE57" s="2"/>
      <c r="AF57" s="2">
        <f t="shared" si="2"/>
        <v>1425000</v>
      </c>
      <c r="AG57" s="2">
        <f t="shared" si="3"/>
        <v>97000</v>
      </c>
      <c r="AH57" s="2"/>
      <c r="AI57" s="2"/>
      <c r="AJ57" s="4"/>
      <c r="AK57" s="2"/>
      <c r="AL57" s="2"/>
      <c r="AM57" s="2"/>
      <c r="AN57" s="2"/>
      <c r="AO57" s="2"/>
      <c r="AP57" s="2"/>
    </row>
    <row r="58" spans="1:42">
      <c r="A58" s="1" t="s">
        <v>206</v>
      </c>
      <c r="B58" s="2"/>
      <c r="C58" s="2"/>
      <c r="D58" s="2"/>
      <c r="E58" s="2"/>
      <c r="F58" s="2"/>
      <c r="G58" s="2"/>
      <c r="H58" s="2"/>
      <c r="I58" s="2"/>
      <c r="J58" s="2"/>
      <c r="K58" s="2">
        <v>49837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  <c r="AA58" s="2"/>
      <c r="AB58" s="2"/>
      <c r="AC58" s="2"/>
      <c r="AD58" s="2"/>
      <c r="AE58" s="2"/>
      <c r="AF58" s="2">
        <f t="shared" si="2"/>
        <v>0</v>
      </c>
      <c r="AG58" s="2">
        <f t="shared" si="3"/>
        <v>49837</v>
      </c>
      <c r="AH58" s="2">
        <f>SUM(AF55:AF58)</f>
        <v>2100000</v>
      </c>
      <c r="AI58" s="2">
        <f>SUM(AG55:AG58)</f>
        <v>308440</v>
      </c>
      <c r="AJ58" s="4">
        <v>2025</v>
      </c>
      <c r="AK58" s="2"/>
      <c r="AL58" s="2"/>
      <c r="AM58" s="2"/>
      <c r="AN58" s="2"/>
      <c r="AO58" s="2"/>
      <c r="AP58" s="2"/>
    </row>
    <row r="59" spans="1:42">
      <c r="A59" s="1" t="s">
        <v>207</v>
      </c>
      <c r="B59" s="2"/>
      <c r="C59" s="2"/>
      <c r="D59" s="2"/>
      <c r="E59" s="2">
        <v>66719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2"/>
      <c r="AB59" s="2"/>
      <c r="AC59" s="2"/>
      <c r="AD59" s="2"/>
      <c r="AE59" s="2"/>
      <c r="AF59" s="2">
        <f t="shared" si="2"/>
        <v>0</v>
      </c>
      <c r="AG59" s="2">
        <f t="shared" si="3"/>
        <v>66719</v>
      </c>
      <c r="AH59" s="2"/>
      <c r="AI59" s="2"/>
      <c r="AJ59" s="4"/>
      <c r="AK59" s="2"/>
      <c r="AL59" s="2"/>
      <c r="AM59" s="2"/>
      <c r="AN59" s="2"/>
      <c r="AO59" s="2"/>
      <c r="AP59" s="2"/>
    </row>
    <row r="60" spans="1:42">
      <c r="A60" s="1" t="s">
        <v>208</v>
      </c>
      <c r="B60" s="2"/>
      <c r="C60" s="2"/>
      <c r="D60" s="2"/>
      <c r="E60" s="2"/>
      <c r="F60" s="2"/>
      <c r="G60" s="2"/>
      <c r="H60" s="2"/>
      <c r="I60" s="2"/>
      <c r="J60" s="2">
        <v>700000</v>
      </c>
      <c r="K60" s="2">
        <v>49837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  <c r="AA60" s="2"/>
      <c r="AB60" s="2"/>
      <c r="AC60" s="2"/>
      <c r="AD60" s="2"/>
      <c r="AE60" s="2"/>
      <c r="AF60" s="2">
        <f t="shared" si="2"/>
        <v>700000</v>
      </c>
      <c r="AG60" s="2">
        <f t="shared" si="3"/>
        <v>49837</v>
      </c>
      <c r="AH60" s="2"/>
      <c r="AI60" s="2"/>
      <c r="AJ60" s="4"/>
      <c r="AK60" s="2"/>
      <c r="AL60" s="2"/>
      <c r="AM60" s="2"/>
      <c r="AN60" s="2"/>
      <c r="AO60" s="2"/>
      <c r="AP60" s="2"/>
    </row>
    <row r="61" spans="1:42">
      <c r="A61" s="1" t="s">
        <v>209</v>
      </c>
      <c r="B61" s="2"/>
      <c r="C61" s="2"/>
      <c r="D61" s="2">
        <v>1500000</v>
      </c>
      <c r="E61" s="2">
        <v>66719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  <c r="AA61" s="2"/>
      <c r="AB61" s="2"/>
      <c r="AC61" s="2"/>
      <c r="AD61" s="2"/>
      <c r="AE61" s="2"/>
      <c r="AF61" s="2">
        <f t="shared" si="2"/>
        <v>1500000</v>
      </c>
      <c r="AG61" s="2">
        <f t="shared" si="3"/>
        <v>66719</v>
      </c>
      <c r="AH61" s="2"/>
      <c r="AI61" s="2"/>
      <c r="AJ61" s="4"/>
      <c r="AK61" s="2"/>
      <c r="AL61" s="2"/>
      <c r="AM61" s="2"/>
      <c r="AN61" s="2"/>
      <c r="AO61" s="2"/>
      <c r="AP61" s="2"/>
    </row>
    <row r="62" spans="1:42">
      <c r="A62" s="1" t="s">
        <v>210</v>
      </c>
      <c r="B62" s="2"/>
      <c r="C62" s="2"/>
      <c r="D62" s="2"/>
      <c r="E62" s="2"/>
      <c r="F62" s="2"/>
      <c r="G62" s="2"/>
      <c r="H62" s="2"/>
      <c r="I62" s="2"/>
      <c r="J62" s="2"/>
      <c r="K62" s="2">
        <v>34087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  <c r="AA62" s="2"/>
      <c r="AB62" s="2"/>
      <c r="AC62" s="2"/>
      <c r="AD62" s="2"/>
      <c r="AE62" s="2"/>
      <c r="AF62" s="2">
        <f t="shared" si="2"/>
        <v>0</v>
      </c>
      <c r="AG62" s="2">
        <f t="shared" si="3"/>
        <v>34087</v>
      </c>
      <c r="AH62" s="2">
        <f>SUM(AF59:AF62)</f>
        <v>2200000</v>
      </c>
      <c r="AI62" s="2">
        <f>SUM(AG59:AG62)</f>
        <v>217362</v>
      </c>
      <c r="AJ62" s="4">
        <v>2026</v>
      </c>
      <c r="AK62" s="2"/>
      <c r="AL62" s="2"/>
      <c r="AM62" s="2"/>
      <c r="AN62" s="2"/>
      <c r="AO62" s="2"/>
      <c r="AP62" s="2"/>
    </row>
    <row r="63" spans="1:42">
      <c r="A63" s="1" t="s">
        <v>211</v>
      </c>
      <c r="B63" s="2"/>
      <c r="C63" s="2"/>
      <c r="D63" s="2"/>
      <c r="E63" s="2">
        <v>33906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  <c r="AA63" s="2"/>
      <c r="AB63" s="2"/>
      <c r="AC63" s="2"/>
      <c r="AD63" s="2"/>
      <c r="AE63" s="2"/>
      <c r="AF63" s="2">
        <f t="shared" si="2"/>
        <v>0</v>
      </c>
      <c r="AG63" s="2">
        <f t="shared" si="3"/>
        <v>33906</v>
      </c>
      <c r="AH63" s="2"/>
      <c r="AI63" s="2"/>
      <c r="AJ63" s="4"/>
      <c r="AK63" s="2"/>
      <c r="AL63" s="2"/>
      <c r="AM63" s="2"/>
      <c r="AN63" s="2"/>
      <c r="AO63" s="2"/>
      <c r="AP63" s="2"/>
    </row>
    <row r="64" spans="1:42">
      <c r="A64" s="1" t="s">
        <v>212</v>
      </c>
      <c r="B64" s="2"/>
      <c r="C64" s="2"/>
      <c r="D64" s="2"/>
      <c r="E64" s="2"/>
      <c r="F64" s="2"/>
      <c r="G64" s="2"/>
      <c r="H64" s="2"/>
      <c r="I64" s="2"/>
      <c r="J64" s="2">
        <v>725000</v>
      </c>
      <c r="K64" s="2">
        <v>34087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  <c r="AA64" s="2"/>
      <c r="AB64" s="2"/>
      <c r="AC64" s="2"/>
      <c r="AD64" s="2"/>
      <c r="AE64" s="2"/>
      <c r="AF64" s="2">
        <f t="shared" si="2"/>
        <v>725000</v>
      </c>
      <c r="AG64" s="2">
        <f t="shared" si="3"/>
        <v>34087</v>
      </c>
      <c r="AH64" s="2"/>
      <c r="AI64" s="2"/>
      <c r="AJ64" s="4"/>
      <c r="AK64" s="2"/>
      <c r="AL64" s="2"/>
      <c r="AM64" s="2"/>
      <c r="AN64" s="2"/>
      <c r="AO64" s="2"/>
      <c r="AP64" s="2"/>
    </row>
    <row r="65" spans="1:44">
      <c r="A65" s="1" t="s">
        <v>213</v>
      </c>
      <c r="B65" s="2"/>
      <c r="C65" s="2"/>
      <c r="D65" s="2">
        <v>1550000</v>
      </c>
      <c r="E65" s="2">
        <v>33906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  <c r="AA65" s="2"/>
      <c r="AB65" s="2"/>
      <c r="AC65" s="2"/>
      <c r="AD65" s="2"/>
      <c r="AE65" s="2"/>
      <c r="AF65" s="2">
        <f t="shared" si="2"/>
        <v>1550000</v>
      </c>
      <c r="AG65" s="2">
        <f t="shared" si="3"/>
        <v>33906</v>
      </c>
      <c r="AH65" s="2"/>
      <c r="AI65" s="2"/>
      <c r="AJ65" s="4"/>
      <c r="AK65" s="2"/>
      <c r="AL65" s="2"/>
      <c r="AM65" s="2"/>
      <c r="AN65" s="2"/>
      <c r="AO65" s="2"/>
      <c r="AP65" s="2"/>
    </row>
    <row r="66" spans="1:44">
      <c r="A66" s="1" t="s">
        <v>214</v>
      </c>
      <c r="B66" s="2"/>
      <c r="C66" s="2"/>
      <c r="F66" s="2"/>
      <c r="G66" s="2"/>
      <c r="H66" s="2"/>
      <c r="I66" s="2"/>
      <c r="J66" s="2"/>
      <c r="K66" s="2">
        <v>17775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  <c r="AA66" s="2"/>
      <c r="AB66" s="2"/>
      <c r="AC66" s="2"/>
      <c r="AD66" s="2"/>
      <c r="AE66" s="2"/>
      <c r="AF66" s="2">
        <f t="shared" si="2"/>
        <v>0</v>
      </c>
      <c r="AG66" s="2">
        <f t="shared" si="3"/>
        <v>17775</v>
      </c>
      <c r="AH66" s="2">
        <f>SUM(AF63:AF66)</f>
        <v>2275000</v>
      </c>
      <c r="AI66" s="2">
        <f>SUM(AG63:AG66)</f>
        <v>119674</v>
      </c>
      <c r="AJ66" s="4">
        <v>2027</v>
      </c>
      <c r="AK66" s="2"/>
      <c r="AL66" s="2"/>
      <c r="AM66" s="2"/>
      <c r="AN66" s="2"/>
      <c r="AO66" s="2"/>
      <c r="AP66" s="2"/>
    </row>
    <row r="67" spans="1:44">
      <c r="A67" s="1" t="s">
        <v>215</v>
      </c>
      <c r="B67" s="2"/>
      <c r="C67" s="2"/>
      <c r="D67" s="2"/>
      <c r="E67" s="2"/>
      <c r="F67" s="2"/>
      <c r="G67" s="2"/>
      <c r="H67" s="2"/>
      <c r="I67" s="2"/>
      <c r="J67" s="2">
        <v>790000</v>
      </c>
      <c r="K67" s="2">
        <v>17775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  <c r="AA67" s="2"/>
      <c r="AB67" s="2"/>
      <c r="AC67" s="2"/>
      <c r="AD67" s="2"/>
      <c r="AE67" s="2"/>
      <c r="AF67" s="2">
        <f t="shared" si="2"/>
        <v>790000</v>
      </c>
      <c r="AG67" s="2">
        <f t="shared" si="3"/>
        <v>17775</v>
      </c>
      <c r="AH67" s="2">
        <f>SUM(AF67)</f>
        <v>790000</v>
      </c>
      <c r="AI67" s="2">
        <f>SUM(AG67)</f>
        <v>17775</v>
      </c>
      <c r="AJ67" s="4">
        <v>2028</v>
      </c>
      <c r="AK67" s="2"/>
      <c r="AL67" s="2"/>
      <c r="AM67" s="2"/>
      <c r="AN67" s="2"/>
      <c r="AO67" s="2"/>
      <c r="AP67" s="2"/>
    </row>
    <row r="68" spans="1:44">
      <c r="B68" s="5" t="s">
        <v>216</v>
      </c>
      <c r="C68" s="5" t="s">
        <v>216</v>
      </c>
      <c r="D68" s="5" t="s">
        <v>216</v>
      </c>
      <c r="E68" s="5" t="s">
        <v>216</v>
      </c>
      <c r="F68" s="5" t="s">
        <v>216</v>
      </c>
      <c r="G68" s="5" t="s">
        <v>216</v>
      </c>
      <c r="H68" s="5" t="s">
        <v>216</v>
      </c>
      <c r="I68" s="5" t="s">
        <v>216</v>
      </c>
      <c r="J68" s="5" t="s">
        <v>216</v>
      </c>
      <c r="K68" s="5" t="s">
        <v>216</v>
      </c>
      <c r="L68" s="5" t="s">
        <v>216</v>
      </c>
      <c r="M68" s="5" t="s">
        <v>216</v>
      </c>
      <c r="N68" s="5" t="s">
        <v>216</v>
      </c>
      <c r="O68" s="5" t="s">
        <v>216</v>
      </c>
      <c r="P68" s="5" t="s">
        <v>216</v>
      </c>
      <c r="Q68" s="5" t="s">
        <v>216</v>
      </c>
      <c r="R68" s="5" t="s">
        <v>216</v>
      </c>
      <c r="S68" s="5" t="s">
        <v>216</v>
      </c>
      <c r="T68" s="5" t="s">
        <v>216</v>
      </c>
      <c r="U68" s="5" t="s">
        <v>216</v>
      </c>
      <c r="V68" s="5" t="s">
        <v>216</v>
      </c>
      <c r="W68" s="5" t="s">
        <v>216</v>
      </c>
      <c r="X68" s="5" t="s">
        <v>216</v>
      </c>
      <c r="Y68" s="5" t="s">
        <v>216</v>
      </c>
      <c r="Z68" s="5" t="s">
        <v>216</v>
      </c>
      <c r="AA68" s="5" t="s">
        <v>216</v>
      </c>
      <c r="AB68" s="5" t="s">
        <v>216</v>
      </c>
      <c r="AC68" s="5" t="s">
        <v>216</v>
      </c>
      <c r="AD68" s="5" t="s">
        <v>216</v>
      </c>
      <c r="AE68" s="5" t="s">
        <v>216</v>
      </c>
      <c r="AF68" s="5" t="s">
        <v>216</v>
      </c>
      <c r="AG68" s="5" t="s">
        <v>216</v>
      </c>
      <c r="AH68" s="5" t="s">
        <v>216</v>
      </c>
      <c r="AI68" s="5" t="s">
        <v>216</v>
      </c>
      <c r="AJ68" s="4"/>
    </row>
    <row r="69" spans="1:44">
      <c r="B69" s="2">
        <f t="shared" ref="B69:AH69" si="4">SUM(B7:B68)</f>
        <v>1775000</v>
      </c>
      <c r="C69" s="2">
        <f t="shared" si="4"/>
        <v>464950</v>
      </c>
      <c r="D69" s="2">
        <f t="shared" si="4"/>
        <v>17775000</v>
      </c>
      <c r="E69" s="2">
        <f t="shared" si="4"/>
        <v>6185173</v>
      </c>
      <c r="F69" s="6">
        <f t="shared" si="4"/>
        <v>0</v>
      </c>
      <c r="G69" s="2">
        <f t="shared" si="4"/>
        <v>0</v>
      </c>
      <c r="H69" s="2">
        <f t="shared" si="4"/>
        <v>2050000</v>
      </c>
      <c r="I69" s="2">
        <f t="shared" si="4"/>
        <v>126625</v>
      </c>
      <c r="J69" s="2">
        <f t="shared" si="4"/>
        <v>12270000</v>
      </c>
      <c r="K69" s="2">
        <f t="shared" si="4"/>
        <v>3841118</v>
      </c>
      <c r="L69" s="6">
        <f t="shared" si="4"/>
        <v>425000</v>
      </c>
      <c r="M69" s="2">
        <f t="shared" si="4"/>
        <v>14025</v>
      </c>
      <c r="N69" s="6">
        <f t="shared" si="4"/>
        <v>440000</v>
      </c>
      <c r="O69" s="2">
        <f t="shared" si="4"/>
        <v>15400</v>
      </c>
      <c r="P69" s="6">
        <f t="shared" si="4"/>
        <v>0</v>
      </c>
      <c r="Q69" s="2">
        <f t="shared" si="4"/>
        <v>0</v>
      </c>
      <c r="R69" s="2">
        <f t="shared" si="4"/>
        <v>0</v>
      </c>
      <c r="S69" s="2">
        <f t="shared" si="4"/>
        <v>0</v>
      </c>
      <c r="T69" s="2">
        <f t="shared" si="4"/>
        <v>0</v>
      </c>
      <c r="U69" s="2">
        <f t="shared" si="4"/>
        <v>0</v>
      </c>
      <c r="V69" s="2">
        <f t="shared" si="4"/>
        <v>0</v>
      </c>
      <c r="W69" s="2">
        <f t="shared" si="4"/>
        <v>0</v>
      </c>
      <c r="X69" s="6">
        <f t="shared" si="4"/>
        <v>1115000</v>
      </c>
      <c r="Y69" s="2">
        <f t="shared" si="4"/>
        <v>36237</v>
      </c>
      <c r="Z69" s="2">
        <f t="shared" si="4"/>
        <v>0</v>
      </c>
      <c r="AA69" s="2">
        <f t="shared" si="4"/>
        <v>0</v>
      </c>
      <c r="AB69" s="2">
        <f t="shared" si="4"/>
        <v>12425000</v>
      </c>
      <c r="AC69" s="2">
        <f t="shared" si="4"/>
        <v>1271250</v>
      </c>
      <c r="AD69" s="6">
        <f t="shared" si="4"/>
        <v>11315000</v>
      </c>
      <c r="AE69" s="2">
        <f t="shared" si="4"/>
        <v>1039652.29</v>
      </c>
      <c r="AF69" s="2">
        <f t="shared" si="4"/>
        <v>59590000</v>
      </c>
      <c r="AG69" s="2">
        <f t="shared" si="4"/>
        <v>12994430.289999999</v>
      </c>
      <c r="AH69" s="104">
        <f t="shared" si="4"/>
        <v>59590000</v>
      </c>
      <c r="AI69" s="7">
        <f>SUM(AI7:AI68)+2</f>
        <v>12994432.289999999</v>
      </c>
      <c r="AJ69" s="4"/>
    </row>
    <row r="70" spans="1:44">
      <c r="B70" s="5" t="s">
        <v>403</v>
      </c>
      <c r="C70" s="5" t="s">
        <v>403</v>
      </c>
      <c r="D70" s="5" t="s">
        <v>403</v>
      </c>
      <c r="E70" s="5" t="s">
        <v>403</v>
      </c>
      <c r="F70" s="5" t="s">
        <v>403</v>
      </c>
      <c r="G70" s="5" t="s">
        <v>403</v>
      </c>
      <c r="H70" s="5" t="s">
        <v>403</v>
      </c>
      <c r="I70" s="5" t="s">
        <v>403</v>
      </c>
      <c r="J70" s="5" t="s">
        <v>403</v>
      </c>
      <c r="K70" s="5" t="s">
        <v>403</v>
      </c>
      <c r="L70" s="5" t="s">
        <v>403</v>
      </c>
      <c r="M70" s="5" t="s">
        <v>403</v>
      </c>
      <c r="N70" s="5" t="s">
        <v>403</v>
      </c>
      <c r="O70" s="5" t="s">
        <v>403</v>
      </c>
      <c r="P70" s="5" t="s">
        <v>403</v>
      </c>
      <c r="Q70" s="5" t="s">
        <v>403</v>
      </c>
      <c r="R70" s="5" t="s">
        <v>403</v>
      </c>
      <c r="S70" s="5" t="s">
        <v>403</v>
      </c>
      <c r="T70" s="5" t="s">
        <v>403</v>
      </c>
      <c r="U70" s="5" t="s">
        <v>403</v>
      </c>
      <c r="V70" s="5" t="s">
        <v>403</v>
      </c>
      <c r="W70" s="5" t="s">
        <v>403</v>
      </c>
      <c r="X70" s="5" t="s">
        <v>403</v>
      </c>
      <c r="Y70" s="5" t="s">
        <v>403</v>
      </c>
      <c r="Z70" s="5" t="s">
        <v>403</v>
      </c>
      <c r="AA70" s="5" t="s">
        <v>403</v>
      </c>
      <c r="AB70" s="5" t="s">
        <v>403</v>
      </c>
      <c r="AC70" s="5" t="s">
        <v>403</v>
      </c>
      <c r="AD70" s="5" t="s">
        <v>403</v>
      </c>
      <c r="AE70" s="5" t="s">
        <v>403</v>
      </c>
      <c r="AF70" s="5" t="s">
        <v>403</v>
      </c>
      <c r="AG70" s="5" t="s">
        <v>403</v>
      </c>
      <c r="AH70" s="5" t="s">
        <v>403</v>
      </c>
      <c r="AI70" s="5" t="s">
        <v>403</v>
      </c>
      <c r="AJ70" s="4"/>
      <c r="AK70" s="2"/>
      <c r="AL70" s="2"/>
      <c r="AM70" s="2"/>
      <c r="AN70" s="2"/>
      <c r="AO70" s="2"/>
      <c r="AP70" s="2"/>
      <c r="AQ70" s="2"/>
      <c r="AR70" s="2"/>
    </row>
    <row r="72" spans="1:44" s="142" customFormat="1">
      <c r="A72" s="143" t="s">
        <v>505</v>
      </c>
      <c r="B72" s="144" t="s">
        <v>506</v>
      </c>
      <c r="D72" s="144" t="s">
        <v>507</v>
      </c>
      <c r="F72" s="144" t="s">
        <v>514</v>
      </c>
      <c r="H72" s="144" t="s">
        <v>508</v>
      </c>
      <c r="J72" s="144" t="s">
        <v>509</v>
      </c>
      <c r="L72" s="144" t="s">
        <v>515</v>
      </c>
      <c r="N72" s="144" t="s">
        <v>510</v>
      </c>
      <c r="X72" s="144" t="s">
        <v>511</v>
      </c>
      <c r="Z72" s="144" t="s">
        <v>513</v>
      </c>
      <c r="AB72" s="144" t="s">
        <v>512</v>
      </c>
      <c r="AD72" s="142" t="s">
        <v>517</v>
      </c>
    </row>
    <row r="73" spans="1:44" s="146" customFormat="1">
      <c r="A73" s="145" t="s">
        <v>502</v>
      </c>
      <c r="B73" s="146">
        <v>3000000</v>
      </c>
      <c r="D73" s="146">
        <v>21675000</v>
      </c>
      <c r="F73" s="146">
        <v>11475000</v>
      </c>
      <c r="H73" s="146">
        <v>6500000</v>
      </c>
      <c r="J73" s="146">
        <v>15620000</v>
      </c>
      <c r="L73" s="146">
        <v>3350000</v>
      </c>
      <c r="N73" s="146">
        <v>4960000</v>
      </c>
      <c r="X73" s="146">
        <v>11390000</v>
      </c>
      <c r="Z73" s="146">
        <v>6365000</v>
      </c>
      <c r="AB73" s="146">
        <v>23750000</v>
      </c>
      <c r="AD73" s="146">
        <v>11475000</v>
      </c>
    </row>
    <row r="74" spans="1:44">
      <c r="AD74" s="142" t="s">
        <v>518</v>
      </c>
    </row>
    <row r="75" spans="1:44">
      <c r="L75" s="144" t="s">
        <v>516</v>
      </c>
      <c r="AD75" s="146">
        <v>15050000</v>
      </c>
    </row>
    <row r="76" spans="1:44">
      <c r="L76" s="146">
        <v>4830000</v>
      </c>
      <c r="AD76" s="142" t="s">
        <v>519</v>
      </c>
    </row>
    <row r="77" spans="1:44">
      <c r="AD77" s="146">
        <v>6365000</v>
      </c>
    </row>
    <row r="79" spans="1:44">
      <c r="A79" s="91" t="s">
        <v>545</v>
      </c>
      <c r="B79" s="1" t="s">
        <v>543</v>
      </c>
      <c r="D79" s="1" t="s">
        <v>543</v>
      </c>
      <c r="H79" s="1" t="s">
        <v>125</v>
      </c>
      <c r="J79" s="1" t="s">
        <v>543</v>
      </c>
      <c r="L79" s="1" t="s">
        <v>543</v>
      </c>
      <c r="N79" s="1" t="s">
        <v>548</v>
      </c>
      <c r="X79" s="1" t="s">
        <v>543</v>
      </c>
      <c r="Z79" s="1" t="s">
        <v>543</v>
      </c>
      <c r="AB79" s="1" t="s">
        <v>549</v>
      </c>
      <c r="AD79" s="1" t="s">
        <v>543</v>
      </c>
    </row>
    <row r="80" spans="1:44" ht="27" customHeight="1">
      <c r="B80" s="176" t="s">
        <v>546</v>
      </c>
      <c r="C80" s="176"/>
      <c r="D80" s="1" t="s">
        <v>547</v>
      </c>
      <c r="L80" s="1" t="s">
        <v>547</v>
      </c>
      <c r="X80" s="1" t="s">
        <v>547</v>
      </c>
      <c r="Z80" s="1" t="s">
        <v>547</v>
      </c>
      <c r="AD80" s="1" t="s">
        <v>547</v>
      </c>
    </row>
  </sheetData>
  <mergeCells count="35">
    <mergeCell ref="H4:I4"/>
    <mergeCell ref="V4:W4"/>
    <mergeCell ref="X4:Y4"/>
    <mergeCell ref="Z4:AA4"/>
    <mergeCell ref="AB4:AC4"/>
    <mergeCell ref="B3:C3"/>
    <mergeCell ref="D3:E3"/>
    <mergeCell ref="B4:C4"/>
    <mergeCell ref="D4:E4"/>
    <mergeCell ref="F4:G4"/>
    <mergeCell ref="J4:K4"/>
    <mergeCell ref="L4:M4"/>
    <mergeCell ref="N4:O4"/>
    <mergeCell ref="AD4:AE4"/>
    <mergeCell ref="AD5:AE5"/>
    <mergeCell ref="P4:Q4"/>
    <mergeCell ref="R4:S4"/>
    <mergeCell ref="T4:U4"/>
    <mergeCell ref="Z5:AA5"/>
    <mergeCell ref="AB5:AC5"/>
    <mergeCell ref="B80:C80"/>
    <mergeCell ref="AF5:AG5"/>
    <mergeCell ref="AH5:AI5"/>
    <mergeCell ref="N5:O5"/>
    <mergeCell ref="P5:Q5"/>
    <mergeCell ref="R5:S5"/>
    <mergeCell ref="T5:U5"/>
    <mergeCell ref="V5:W5"/>
    <mergeCell ref="X5:Y5"/>
    <mergeCell ref="J5:K5"/>
    <mergeCell ref="L5:M5"/>
    <mergeCell ref="B5:C5"/>
    <mergeCell ref="D5:E5"/>
    <mergeCell ref="F5:G5"/>
    <mergeCell ref="H5:I5"/>
  </mergeCells>
  <printOptions horizontalCentered="1" verticalCentered="1" gridLines="1"/>
  <pageMargins left="0.25" right="0.25" top="0.5" bottom="0.5" header="0" footer="0"/>
  <pageSetup scale="50" orientation="landscape" r:id="rId1"/>
  <headerFooter alignWithMargins="0">
    <oddHeader>&amp;C&amp;A</oddHeader>
    <oddFooter>&amp;L&amp;10printed &amp;D&amp;C&amp;10file &amp;F 
&amp;R&amp;10page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30"/>
  <sheetViews>
    <sheetView workbookViewId="0">
      <selection activeCell="A29" sqref="A29"/>
    </sheetView>
  </sheetViews>
  <sheetFormatPr defaultRowHeight="15"/>
  <cols>
    <col min="1" max="1" width="22.21875" customWidth="1"/>
    <col min="2" max="2" width="13.5546875" bestFit="1" customWidth="1"/>
    <col min="3" max="3" width="11" bestFit="1" customWidth="1"/>
    <col min="4" max="5" width="11" customWidth="1"/>
    <col min="6" max="6" width="12" bestFit="1" customWidth="1"/>
    <col min="7" max="7" width="10.77734375" bestFit="1" customWidth="1"/>
  </cols>
  <sheetData>
    <row r="1" spans="1:7" ht="15.75">
      <c r="A1" s="82" t="s">
        <v>391</v>
      </c>
    </row>
    <row r="3" spans="1:7">
      <c r="A3" s="78" t="s">
        <v>392</v>
      </c>
    </row>
    <row r="5" spans="1:7">
      <c r="A5" s="79">
        <v>41274</v>
      </c>
    </row>
    <row r="6" spans="1:7" ht="15.75">
      <c r="B6" s="175" t="s">
        <v>500</v>
      </c>
      <c r="C6" s="175"/>
      <c r="D6" s="175" t="s">
        <v>504</v>
      </c>
      <c r="E6" s="175"/>
      <c r="F6" s="175" t="s">
        <v>537</v>
      </c>
      <c r="G6" s="175"/>
    </row>
    <row r="7" spans="1:7">
      <c r="B7" s="80" t="s">
        <v>336</v>
      </c>
      <c r="C7" s="80" t="s">
        <v>353</v>
      </c>
      <c r="D7" s="80" t="s">
        <v>336</v>
      </c>
      <c r="E7" s="80" t="s">
        <v>353</v>
      </c>
      <c r="F7" s="80" t="s">
        <v>336</v>
      </c>
      <c r="G7" s="80" t="s">
        <v>353</v>
      </c>
    </row>
    <row r="8" spans="1:7">
      <c r="A8">
        <v>2013</v>
      </c>
      <c r="B8" s="76">
        <v>8000000</v>
      </c>
      <c r="C8" s="76">
        <v>80250</v>
      </c>
      <c r="D8" s="76">
        <v>6000000</v>
      </c>
      <c r="E8" s="76">
        <v>68625</v>
      </c>
      <c r="F8" s="81">
        <f>B8+D8</f>
        <v>14000000</v>
      </c>
      <c r="G8" s="81">
        <f>C8+E8</f>
        <v>148875</v>
      </c>
    </row>
    <row r="9" spans="1:7">
      <c r="A9">
        <v>2014</v>
      </c>
      <c r="B9" s="76">
        <v>4000000</v>
      </c>
      <c r="C9" s="76">
        <v>31500</v>
      </c>
      <c r="D9" s="76">
        <v>1500000</v>
      </c>
      <c r="E9" s="76">
        <v>12375</v>
      </c>
      <c r="F9" s="81">
        <f>B9+D9</f>
        <v>5500000</v>
      </c>
      <c r="G9" s="81">
        <f>C9+E9</f>
        <v>43875</v>
      </c>
    </row>
    <row r="10" spans="1:7" ht="16.5" thickBot="1">
      <c r="A10" s="84" t="s">
        <v>401</v>
      </c>
      <c r="B10" s="83">
        <f t="shared" ref="B10:G10" si="0">SUM(B8:B9)</f>
        <v>12000000</v>
      </c>
      <c r="C10" s="77">
        <f t="shared" si="0"/>
        <v>111750</v>
      </c>
      <c r="D10" s="83">
        <f t="shared" si="0"/>
        <v>7500000</v>
      </c>
      <c r="E10" s="77">
        <f t="shared" si="0"/>
        <v>81000</v>
      </c>
      <c r="F10" s="77">
        <f t="shared" si="0"/>
        <v>19500000</v>
      </c>
      <c r="G10" s="77">
        <f t="shared" si="0"/>
        <v>192750</v>
      </c>
    </row>
    <row r="11" spans="1:7" ht="15.75" thickTop="1">
      <c r="A11" s="86"/>
    </row>
    <row r="18" spans="1:2">
      <c r="A18" s="181" t="s">
        <v>500</v>
      </c>
      <c r="B18" s="181"/>
    </row>
    <row r="19" spans="1:2">
      <c r="A19" t="s">
        <v>501</v>
      </c>
      <c r="B19" s="79">
        <v>41059</v>
      </c>
    </row>
    <row r="20" spans="1:2">
      <c r="A20" t="s">
        <v>502</v>
      </c>
      <c r="B20" s="141">
        <v>20000000</v>
      </c>
    </row>
    <row r="21" spans="1:2" ht="16.5" thickBot="1">
      <c r="A21" t="s">
        <v>503</v>
      </c>
      <c r="B21" s="83">
        <v>12000000</v>
      </c>
    </row>
    <row r="22" spans="1:2" ht="15.75" thickTop="1"/>
    <row r="24" spans="1:2">
      <c r="A24" s="182" t="s">
        <v>504</v>
      </c>
      <c r="B24" s="182"/>
    </row>
    <row r="25" spans="1:2">
      <c r="A25" t="s">
        <v>501</v>
      </c>
      <c r="B25" s="168">
        <v>40682</v>
      </c>
    </row>
    <row r="26" spans="1:2">
      <c r="A26" t="s">
        <v>502</v>
      </c>
      <c r="B26" s="141">
        <v>27500000</v>
      </c>
    </row>
    <row r="27" spans="1:2" ht="16.5" thickBot="1">
      <c r="A27" t="s">
        <v>503</v>
      </c>
      <c r="B27" s="83">
        <v>7500000</v>
      </c>
    </row>
    <row r="28" spans="1:2" ht="15.75" thickTop="1"/>
    <row r="29" spans="1:2">
      <c r="A29" s="78" t="s">
        <v>544</v>
      </c>
    </row>
    <row r="30" spans="1:2" ht="15.75">
      <c r="A30" s="82" t="s">
        <v>536</v>
      </c>
    </row>
  </sheetData>
  <mergeCells count="5">
    <mergeCell ref="A18:B18"/>
    <mergeCell ref="A24:B24"/>
    <mergeCell ref="B6:C6"/>
    <mergeCell ref="D6:E6"/>
    <mergeCell ref="F6:G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tabColor rgb="FFFFC000"/>
    <pageSetUpPr fitToPage="1"/>
  </sheetPr>
  <dimension ref="A1:BR75"/>
  <sheetViews>
    <sheetView zoomScaleNormal="100" workbookViewId="0">
      <pane xSplit="1" ySplit="6" topLeftCell="B44" activePane="bottomRight" state="frozen"/>
      <selection pane="topRight" activeCell="B1" sqref="B1"/>
      <selection pane="bottomLeft" activeCell="A7" sqref="A7"/>
      <selection pane="bottomRight" activeCell="A72" sqref="A72"/>
    </sheetView>
  </sheetViews>
  <sheetFormatPr defaultColWidth="9.77734375" defaultRowHeight="12.75"/>
  <cols>
    <col min="1" max="1" width="17" style="8" customWidth="1"/>
    <col min="2" max="2" width="9" style="8" customWidth="1"/>
    <col min="3" max="4" width="7.88671875" style="8" customWidth="1"/>
    <col min="5" max="5" width="10.109375" style="8" bestFit="1" customWidth="1"/>
    <col min="6" max="6" width="8.109375" style="8" customWidth="1"/>
    <col min="7" max="7" width="7.21875" style="8" customWidth="1"/>
    <col min="8" max="8" width="8" style="8" customWidth="1"/>
    <col min="9" max="9" width="6.77734375" style="8" customWidth="1"/>
    <col min="10" max="11" width="2.109375" style="8" hidden="1" customWidth="1"/>
    <col min="12" max="12" width="9.109375" style="8" customWidth="1"/>
    <col min="13" max="13" width="8.88671875" style="8" customWidth="1"/>
    <col min="14" max="14" width="2.109375" style="8" hidden="1" customWidth="1"/>
    <col min="15" max="15" width="1.77734375" style="8" hidden="1" customWidth="1"/>
    <col min="16" max="17" width="1.88671875" style="8" hidden="1" customWidth="1"/>
    <col min="18" max="18" width="8.77734375" style="8" customWidth="1"/>
    <col min="19" max="19" width="8.88671875" style="8" customWidth="1"/>
    <col min="20" max="20" width="9.77734375" style="8" customWidth="1"/>
    <col min="21" max="21" width="9.21875" style="8" customWidth="1"/>
    <col min="22" max="23" width="9" style="8" customWidth="1"/>
    <col min="24" max="24" width="9.109375" style="8" customWidth="1"/>
    <col min="25" max="25" width="8.77734375" style="8" customWidth="1"/>
    <col min="26" max="26" width="9.44140625" style="8" customWidth="1"/>
    <col min="27" max="27" width="6.33203125" style="8" customWidth="1"/>
    <col min="28" max="28" width="9.6640625" style="8" customWidth="1"/>
    <col min="29" max="31" width="10" style="8" customWidth="1"/>
    <col min="32" max="32" width="10.109375" style="8" customWidth="1"/>
    <col min="33" max="33" width="8.77734375" style="8" customWidth="1"/>
    <col min="34" max="34" width="9.5546875" style="8" customWidth="1"/>
    <col min="35" max="35" width="8.77734375" style="8" customWidth="1"/>
    <col min="36" max="36" width="5" style="8" customWidth="1"/>
    <col min="37" max="37" width="8" style="8" hidden="1" customWidth="1"/>
    <col min="38" max="41" width="8.5546875" style="8" hidden="1" customWidth="1"/>
    <col min="42" max="42" width="9" style="8" hidden="1" customWidth="1"/>
    <col min="43" max="43" width="8.33203125" style="8" hidden="1" customWidth="1"/>
    <col min="44" max="45" width="8.5546875" style="8" hidden="1" customWidth="1"/>
    <col min="46" max="47" width="5.33203125" style="8" customWidth="1"/>
    <col min="48" max="16384" width="9.77734375" style="8"/>
  </cols>
  <sheetData>
    <row r="1" spans="1:70">
      <c r="B1" s="9" t="s">
        <v>217</v>
      </c>
      <c r="F1" s="9" t="s">
        <v>218</v>
      </c>
      <c r="M1" s="10" t="s">
        <v>408</v>
      </c>
      <c r="AK1" s="8" t="s">
        <v>219</v>
      </c>
    </row>
    <row r="2" spans="1:70">
      <c r="B2" s="98" t="s">
        <v>220</v>
      </c>
      <c r="C2" s="8" t="s">
        <v>221</v>
      </c>
      <c r="D2" s="8" t="s">
        <v>222</v>
      </c>
      <c r="E2" s="8" t="s">
        <v>409</v>
      </c>
      <c r="X2" s="99" t="s">
        <v>223</v>
      </c>
      <c r="Z2" s="8" t="s">
        <v>224</v>
      </c>
      <c r="AB2" s="8" t="s">
        <v>224</v>
      </c>
    </row>
    <row r="3" spans="1:70">
      <c r="B3" s="8" t="s">
        <v>225</v>
      </c>
      <c r="C3" s="100" t="s">
        <v>226</v>
      </c>
      <c r="D3" s="8" t="s">
        <v>227</v>
      </c>
      <c r="E3" s="11" t="s">
        <v>228</v>
      </c>
      <c r="F3" s="11" t="s">
        <v>229</v>
      </c>
      <c r="G3" s="12" t="s">
        <v>230</v>
      </c>
      <c r="H3" s="99" t="s">
        <v>222</v>
      </c>
      <c r="I3" s="101" t="s">
        <v>231</v>
      </c>
      <c r="K3" s="101"/>
      <c r="L3" s="98" t="s">
        <v>232</v>
      </c>
      <c r="M3" s="101" t="s">
        <v>233</v>
      </c>
      <c r="R3" s="12" t="s">
        <v>234</v>
      </c>
      <c r="S3" s="8" t="s">
        <v>235</v>
      </c>
      <c r="T3" s="12" t="s">
        <v>234</v>
      </c>
      <c r="U3" s="8" t="s">
        <v>236</v>
      </c>
      <c r="V3" s="12" t="s">
        <v>237</v>
      </c>
      <c r="W3" s="8" t="s">
        <v>238</v>
      </c>
      <c r="X3" s="98" t="s">
        <v>220</v>
      </c>
      <c r="Y3" s="8" t="s">
        <v>239</v>
      </c>
      <c r="Z3" s="8" t="s">
        <v>240</v>
      </c>
      <c r="AA3" s="8" t="s">
        <v>241</v>
      </c>
      <c r="AB3" s="8" t="s">
        <v>242</v>
      </c>
      <c r="AC3" s="8" t="s">
        <v>243</v>
      </c>
      <c r="AD3" s="8" t="s">
        <v>410</v>
      </c>
      <c r="AP3" s="12" t="s">
        <v>244</v>
      </c>
      <c r="AQ3" s="12" t="s">
        <v>244</v>
      </c>
    </row>
    <row r="4" spans="1:70">
      <c r="A4" s="12" t="s">
        <v>14</v>
      </c>
      <c r="B4" s="10" t="s">
        <v>245</v>
      </c>
      <c r="D4" s="10" t="s">
        <v>245</v>
      </c>
      <c r="F4" s="183" t="s">
        <v>246</v>
      </c>
      <c r="G4" s="183"/>
      <c r="H4" s="183" t="s">
        <v>247</v>
      </c>
      <c r="I4" s="183"/>
      <c r="L4" s="9" t="s">
        <v>248</v>
      </c>
      <c r="N4" s="9"/>
      <c r="P4" s="9"/>
      <c r="R4" s="9" t="s">
        <v>249</v>
      </c>
      <c r="T4" s="9" t="s">
        <v>250</v>
      </c>
      <c r="V4" s="183" t="s">
        <v>251</v>
      </c>
      <c r="W4" s="183"/>
      <c r="X4" s="10" t="s">
        <v>252</v>
      </c>
      <c r="Z4" s="184" t="s">
        <v>253</v>
      </c>
      <c r="AA4" s="183"/>
      <c r="AB4" s="184" t="s">
        <v>254</v>
      </c>
      <c r="AC4" s="183"/>
      <c r="AD4" s="183" t="s">
        <v>411</v>
      </c>
      <c r="AE4" s="183"/>
      <c r="AF4" s="8" t="s">
        <v>255</v>
      </c>
      <c r="AH4" s="8" t="s">
        <v>256</v>
      </c>
      <c r="AL4" s="12" t="s">
        <v>257</v>
      </c>
      <c r="AM4" s="12" t="s">
        <v>257</v>
      </c>
      <c r="AN4" s="12" t="s">
        <v>258</v>
      </c>
      <c r="AO4" s="12" t="s">
        <v>258</v>
      </c>
      <c r="AP4" s="14" t="s">
        <v>259</v>
      </c>
      <c r="AQ4" s="14" t="s">
        <v>259</v>
      </c>
      <c r="AR4" s="12" t="s">
        <v>260</v>
      </c>
      <c r="AS4" s="12" t="s">
        <v>260</v>
      </c>
    </row>
    <row r="5" spans="1:70">
      <c r="A5" s="12" t="s">
        <v>32</v>
      </c>
      <c r="B5" s="12" t="s">
        <v>33</v>
      </c>
      <c r="C5" s="12" t="s">
        <v>36</v>
      </c>
      <c r="D5" s="12" t="s">
        <v>261</v>
      </c>
      <c r="E5" s="12" t="s">
        <v>262</v>
      </c>
      <c r="F5" s="12" t="s">
        <v>35</v>
      </c>
      <c r="G5" s="12" t="s">
        <v>34</v>
      </c>
      <c r="H5" s="12" t="s">
        <v>35</v>
      </c>
      <c r="I5" s="12" t="s">
        <v>34</v>
      </c>
      <c r="J5" s="12" t="s">
        <v>33</v>
      </c>
      <c r="K5" s="12" t="s">
        <v>36</v>
      </c>
      <c r="L5" s="12" t="s">
        <v>261</v>
      </c>
      <c r="M5" s="12" t="s">
        <v>262</v>
      </c>
      <c r="N5" s="12" t="s">
        <v>35</v>
      </c>
      <c r="O5" s="12" t="s">
        <v>34</v>
      </c>
      <c r="P5" s="12" t="s">
        <v>35</v>
      </c>
      <c r="Q5" s="12" t="s">
        <v>34</v>
      </c>
      <c r="R5" s="12" t="s">
        <v>261</v>
      </c>
      <c r="S5" s="12" t="s">
        <v>262</v>
      </c>
      <c r="T5" s="12" t="s">
        <v>35</v>
      </c>
      <c r="U5" s="12" t="s">
        <v>34</v>
      </c>
      <c r="V5" s="12" t="s">
        <v>35</v>
      </c>
      <c r="W5" s="12" t="s">
        <v>34</v>
      </c>
      <c r="X5" s="12" t="s">
        <v>261</v>
      </c>
      <c r="Y5" s="12" t="s">
        <v>262</v>
      </c>
      <c r="Z5" s="12" t="s">
        <v>35</v>
      </c>
      <c r="AA5" s="12" t="s">
        <v>34</v>
      </c>
      <c r="AB5" s="12" t="s">
        <v>35</v>
      </c>
      <c r="AC5" s="12" t="s">
        <v>34</v>
      </c>
      <c r="AD5" s="12" t="s">
        <v>35</v>
      </c>
      <c r="AE5" s="12" t="s">
        <v>34</v>
      </c>
      <c r="AF5" s="12" t="s">
        <v>261</v>
      </c>
      <c r="AG5" s="12" t="s">
        <v>262</v>
      </c>
      <c r="AH5" s="12" t="s">
        <v>261</v>
      </c>
      <c r="AI5" s="12" t="s">
        <v>262</v>
      </c>
      <c r="AL5" s="12" t="s">
        <v>263</v>
      </c>
      <c r="AM5" s="12" t="s">
        <v>264</v>
      </c>
      <c r="AN5" s="12" t="s">
        <v>263</v>
      </c>
      <c r="AO5" s="12" t="s">
        <v>264</v>
      </c>
      <c r="AP5" s="12" t="s">
        <v>263</v>
      </c>
      <c r="AQ5" s="12" t="s">
        <v>264</v>
      </c>
      <c r="AR5" s="12" t="s">
        <v>263</v>
      </c>
      <c r="AS5" s="12" t="s">
        <v>264</v>
      </c>
    </row>
    <row r="6" spans="1:70">
      <c r="A6" s="8" t="s">
        <v>111</v>
      </c>
      <c r="B6" s="8" t="s">
        <v>265</v>
      </c>
      <c r="C6" s="8" t="s">
        <v>266</v>
      </c>
      <c r="F6" s="8" t="s">
        <v>265</v>
      </c>
      <c r="G6" s="8" t="s">
        <v>266</v>
      </c>
      <c r="H6" s="8" t="s">
        <v>265</v>
      </c>
      <c r="I6" s="8" t="s">
        <v>266</v>
      </c>
      <c r="J6" s="8" t="s">
        <v>265</v>
      </c>
      <c r="K6" s="8" t="s">
        <v>154</v>
      </c>
      <c r="L6" s="8" t="s">
        <v>265</v>
      </c>
      <c r="M6" s="8" t="s">
        <v>266</v>
      </c>
      <c r="N6" s="8" t="s">
        <v>265</v>
      </c>
      <c r="O6" s="8" t="s">
        <v>265</v>
      </c>
      <c r="P6" s="8" t="s">
        <v>265</v>
      </c>
      <c r="Q6" s="8" t="s">
        <v>154</v>
      </c>
      <c r="R6" s="8" t="s">
        <v>265</v>
      </c>
      <c r="S6" s="8" t="s">
        <v>154</v>
      </c>
      <c r="T6" s="8" t="s">
        <v>265</v>
      </c>
      <c r="U6" s="8" t="s">
        <v>154</v>
      </c>
      <c r="V6" s="8" t="s">
        <v>265</v>
      </c>
      <c r="W6" s="8" t="s">
        <v>154</v>
      </c>
      <c r="X6" s="8" t="s">
        <v>265</v>
      </c>
      <c r="Y6" s="8" t="s">
        <v>265</v>
      </c>
      <c r="Z6" s="8" t="s">
        <v>265</v>
      </c>
      <c r="AA6" s="8" t="s">
        <v>266</v>
      </c>
      <c r="AB6" s="8" t="s">
        <v>265</v>
      </c>
      <c r="AC6" s="8" t="s">
        <v>266</v>
      </c>
      <c r="AD6" s="8" t="s">
        <v>265</v>
      </c>
      <c r="AE6" s="8" t="s">
        <v>266</v>
      </c>
      <c r="AF6" s="8" t="s">
        <v>265</v>
      </c>
      <c r="AG6" s="8" t="s">
        <v>266</v>
      </c>
      <c r="AH6" s="8" t="s">
        <v>265</v>
      </c>
      <c r="AI6" s="8" t="s">
        <v>154</v>
      </c>
      <c r="AL6" s="12" t="s">
        <v>412</v>
      </c>
      <c r="AM6" s="12" t="s">
        <v>412</v>
      </c>
      <c r="AN6" s="12" t="s">
        <v>412</v>
      </c>
      <c r="AO6" s="12" t="s">
        <v>412</v>
      </c>
      <c r="AP6" s="12" t="s">
        <v>111</v>
      </c>
      <c r="AQ6" s="12" t="s">
        <v>111</v>
      </c>
      <c r="AR6" s="12" t="s">
        <v>111</v>
      </c>
      <c r="AS6" s="12" t="s">
        <v>111</v>
      </c>
    </row>
    <row r="7" spans="1:70">
      <c r="A7" s="8" t="s">
        <v>267</v>
      </c>
      <c r="B7" s="15"/>
      <c r="C7" s="15"/>
      <c r="D7" s="15"/>
      <c r="E7" s="15"/>
      <c r="F7" s="15">
        <v>120000</v>
      </c>
      <c r="G7" s="15">
        <v>6750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>
        <v>165000</v>
      </c>
      <c r="W7" s="15">
        <v>24213</v>
      </c>
      <c r="X7" s="15"/>
      <c r="Y7" s="15"/>
      <c r="Z7" s="15"/>
      <c r="AA7" s="15">
        <v>6063</v>
      </c>
      <c r="AB7" s="15">
        <v>60000</v>
      </c>
      <c r="AC7" s="15">
        <v>6653</v>
      </c>
      <c r="AD7" s="15"/>
      <c r="AE7" s="15"/>
      <c r="AF7" s="15">
        <f>(B7+D7+F7+H7+J7+L7+N7+P7+R7+T7+V7+X7+Z7+AB7+AD7)</f>
        <v>345000</v>
      </c>
      <c r="AG7" s="15">
        <f>(C7+E7+G7+I7+K7+M7+O7+Q7+S7+U7+W7+Y7+AA7+AC7+AE7)</f>
        <v>43679</v>
      </c>
      <c r="AH7" s="15"/>
      <c r="AI7" s="15"/>
      <c r="AL7" s="15" t="e">
        <f>B7+#REF!+F7+#REF!+J7+L7+N7+P7+#REF!+#REF!+R7+T7+V7</f>
        <v>#REF!</v>
      </c>
      <c r="AM7" s="15" t="e">
        <f>C7+#REF!+G7+#REF!+K7+M7+O7+Q7+#REF!+#REF!+S7+U7+W7</f>
        <v>#REF!</v>
      </c>
      <c r="AN7" s="15" t="e">
        <f>X7+#REF!+Z7+AB7</f>
        <v>#REF!</v>
      </c>
      <c r="AO7" s="15" t="e">
        <f>Y7+#REF!+AA7+AC7</f>
        <v>#REF!</v>
      </c>
      <c r="AP7" s="15"/>
      <c r="AQ7" s="15"/>
      <c r="AR7" s="15" t="e">
        <f t="shared" ref="AR7:AS22" si="0">(AL7+AN7+AP7)</f>
        <v>#REF!</v>
      </c>
      <c r="AS7" s="15" t="e">
        <f t="shared" si="0"/>
        <v>#REF!</v>
      </c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</row>
    <row r="8" spans="1:70">
      <c r="A8" s="8" t="s">
        <v>268</v>
      </c>
      <c r="B8" s="15">
        <v>290000</v>
      </c>
      <c r="C8" s="15">
        <v>31966</v>
      </c>
      <c r="D8" s="15">
        <v>160000</v>
      </c>
      <c r="E8" s="15">
        <v>30560</v>
      </c>
      <c r="F8" s="15"/>
      <c r="G8" s="15"/>
      <c r="H8" s="15">
        <v>55000</v>
      </c>
      <c r="I8" s="15">
        <v>11866</v>
      </c>
      <c r="J8" s="15"/>
      <c r="K8" s="15"/>
      <c r="L8" s="15">
        <v>495000</v>
      </c>
      <c r="M8" s="15">
        <v>53656</v>
      </c>
      <c r="N8" s="15"/>
      <c r="O8" s="15"/>
      <c r="P8" s="15"/>
      <c r="Q8" s="15"/>
      <c r="R8" s="15">
        <v>225000</v>
      </c>
      <c r="S8" s="15">
        <v>46322</v>
      </c>
      <c r="T8" s="15">
        <v>65000</v>
      </c>
      <c r="U8" s="15">
        <v>13528</v>
      </c>
      <c r="V8" s="15"/>
      <c r="W8" s="15"/>
      <c r="X8" s="15"/>
      <c r="Y8" s="15">
        <v>175363</v>
      </c>
      <c r="Z8" s="15"/>
      <c r="AA8" s="15"/>
      <c r="AB8" s="15"/>
      <c r="AC8" s="15"/>
      <c r="AD8" s="15">
        <v>140000</v>
      </c>
      <c r="AE8" s="15">
        <v>27740</v>
      </c>
      <c r="AF8" s="15">
        <f t="shared" ref="AF8:AG64" si="1">(B8+D8+F8+H8+J8+L8+N8+P8+R8+T8+V8+X8+Z8+AB8+AD8)</f>
        <v>1430000</v>
      </c>
      <c r="AG8" s="15">
        <f t="shared" si="1"/>
        <v>391001</v>
      </c>
      <c r="AH8" s="15"/>
      <c r="AI8" s="15"/>
      <c r="AL8" s="15" t="e">
        <f>B8+#REF!+F8+#REF!+J8+L8+N8+P8+#REF!+#REF!+R8+T8+V8</f>
        <v>#REF!</v>
      </c>
      <c r="AM8" s="15" t="e">
        <f>C8+#REF!+G8+#REF!+K8+M8+O8+Q8+#REF!+#REF!+S8+U8+W8</f>
        <v>#REF!</v>
      </c>
      <c r="AN8" s="15" t="e">
        <f>X8+#REF!+Z8+AB8</f>
        <v>#REF!</v>
      </c>
      <c r="AO8" s="15" t="e">
        <f>Y8+#REF!+AA8+AC8</f>
        <v>#REF!</v>
      </c>
      <c r="AP8" s="15"/>
      <c r="AQ8" s="15"/>
      <c r="AR8" s="15" t="e">
        <f t="shared" si="0"/>
        <v>#REF!</v>
      </c>
      <c r="AS8" s="15" t="e">
        <f t="shared" si="0"/>
        <v>#REF!</v>
      </c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</row>
    <row r="9" spans="1:70">
      <c r="A9" s="11" t="s">
        <v>269</v>
      </c>
      <c r="B9" s="15"/>
      <c r="C9" s="15"/>
      <c r="D9" s="15"/>
      <c r="E9" s="15"/>
      <c r="F9" s="15"/>
      <c r="G9" s="15">
        <v>5400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>
        <v>22872</v>
      </c>
      <c r="X9" s="15"/>
      <c r="Y9" s="15"/>
      <c r="Z9" s="15">
        <v>75000</v>
      </c>
      <c r="AA9" s="15">
        <v>6062</v>
      </c>
      <c r="AB9" s="15"/>
      <c r="AC9" s="15">
        <v>5903</v>
      </c>
      <c r="AD9" s="15"/>
      <c r="AE9" s="15"/>
      <c r="AF9" s="15">
        <f t="shared" si="1"/>
        <v>75000</v>
      </c>
      <c r="AG9" s="15">
        <f t="shared" si="1"/>
        <v>40237</v>
      </c>
      <c r="AH9" s="15"/>
      <c r="AI9" s="15"/>
      <c r="AL9" s="15" t="e">
        <f>B9+#REF!+F9+#REF!+J9+L9+N9+P9+#REF!+#REF!+R9+T9+V9</f>
        <v>#REF!</v>
      </c>
      <c r="AM9" s="15" t="e">
        <f>C9+#REF!+G9+#REF!+K9+M9+O9+Q9+#REF!+#REF!+S9+U9+W9</f>
        <v>#REF!</v>
      </c>
      <c r="AN9" s="15" t="e">
        <f>X9+#REF!+Z9+AB9</f>
        <v>#REF!</v>
      </c>
      <c r="AO9" s="15" t="e">
        <f>Y9+#REF!+AA9+AC9</f>
        <v>#REF!</v>
      </c>
      <c r="AP9" s="15"/>
      <c r="AQ9" s="15"/>
      <c r="AR9" s="15" t="e">
        <f t="shared" si="0"/>
        <v>#REF!</v>
      </c>
      <c r="AS9" s="15" t="e">
        <f t="shared" si="0"/>
        <v>#REF!</v>
      </c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</row>
    <row r="10" spans="1:70">
      <c r="A10" s="8" t="s">
        <v>270</v>
      </c>
      <c r="B10" s="15"/>
      <c r="C10" s="15">
        <v>29065</v>
      </c>
      <c r="D10" s="15"/>
      <c r="E10" s="15">
        <v>26960</v>
      </c>
      <c r="F10" s="15"/>
      <c r="G10" s="15"/>
      <c r="H10" s="15"/>
      <c r="I10" s="15">
        <v>10643</v>
      </c>
      <c r="J10" s="15"/>
      <c r="K10" s="15"/>
      <c r="L10" s="15"/>
      <c r="M10" s="15">
        <v>43138</v>
      </c>
      <c r="N10" s="15"/>
      <c r="O10" s="15"/>
      <c r="P10" s="15"/>
      <c r="Q10" s="15"/>
      <c r="R10" s="15"/>
      <c r="S10" s="15">
        <v>41822</v>
      </c>
      <c r="T10" s="15"/>
      <c r="U10" s="15">
        <v>12350</v>
      </c>
      <c r="V10" s="15"/>
      <c r="W10" s="15"/>
      <c r="X10" s="15"/>
      <c r="Y10" s="15">
        <v>175362</v>
      </c>
      <c r="Z10" s="15"/>
      <c r="AA10" s="15"/>
      <c r="AB10" s="15"/>
      <c r="AC10" s="15"/>
      <c r="AD10" s="15"/>
      <c r="AE10" s="15">
        <v>26340</v>
      </c>
      <c r="AF10" s="15">
        <f t="shared" si="1"/>
        <v>0</v>
      </c>
      <c r="AG10" s="15">
        <f t="shared" si="1"/>
        <v>365680</v>
      </c>
      <c r="AH10" s="15">
        <f>SUM(AF7:AF10)</f>
        <v>1850000</v>
      </c>
      <c r="AI10" s="15">
        <f>SUM(AG7:AG10)</f>
        <v>840597</v>
      </c>
      <c r="AJ10" s="8">
        <v>2013</v>
      </c>
      <c r="AL10" s="15" t="e">
        <f>B10+#REF!+F10+#REF!+J10+L10+N10+P10+#REF!+#REF!+R10+T10+V10</f>
        <v>#REF!</v>
      </c>
      <c r="AM10" s="15" t="e">
        <f>C10+#REF!+G10+#REF!+K10+M10+O10+Q10+#REF!+#REF!+S10+U10+W10</f>
        <v>#REF!</v>
      </c>
      <c r="AN10" s="15" t="e">
        <f>X10+#REF!+Z10+AB10</f>
        <v>#REF!</v>
      </c>
      <c r="AO10" s="15" t="e">
        <f>Y10+#REF!+AA10+AC10</f>
        <v>#REF!</v>
      </c>
      <c r="AP10" s="15"/>
      <c r="AQ10" s="15"/>
      <c r="AR10" s="15" t="e">
        <f t="shared" si="0"/>
        <v>#REF!</v>
      </c>
      <c r="AS10" s="15" t="e">
        <f t="shared" si="0"/>
        <v>#REF!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</row>
    <row r="11" spans="1:70">
      <c r="A11" s="8" t="s">
        <v>271</v>
      </c>
      <c r="B11" s="15"/>
      <c r="C11" s="15"/>
      <c r="D11" s="15"/>
      <c r="E11" s="15"/>
      <c r="F11" s="15">
        <v>125000</v>
      </c>
      <c r="G11" s="15">
        <v>5400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>
        <v>165000</v>
      </c>
      <c r="W11" s="16">
        <v>22872</v>
      </c>
      <c r="X11" s="15"/>
      <c r="Y11" s="15"/>
      <c r="Z11" s="15"/>
      <c r="AA11" s="15">
        <v>5125</v>
      </c>
      <c r="AB11" s="15">
        <v>60000</v>
      </c>
      <c r="AC11" s="15">
        <v>5903</v>
      </c>
      <c r="AD11" s="15"/>
      <c r="AE11" s="15"/>
      <c r="AF11" s="15">
        <f t="shared" si="1"/>
        <v>350000</v>
      </c>
      <c r="AG11" s="15">
        <f t="shared" si="1"/>
        <v>39300</v>
      </c>
      <c r="AH11" s="15"/>
      <c r="AI11" s="15"/>
      <c r="AL11" s="15" t="e">
        <f>B11+#REF!+F11+#REF!+J11+L11+N11+P11+#REF!+#REF!+R11+T11+V11</f>
        <v>#REF!</v>
      </c>
      <c r="AM11" s="15" t="e">
        <f>C11+#REF!+G11+#REF!+K11+M11+O11+Q11+#REF!+#REF!+S11+U11+W11</f>
        <v>#REF!</v>
      </c>
      <c r="AN11" s="15" t="e">
        <f>X11+#REF!+Z11+AB11</f>
        <v>#REF!</v>
      </c>
      <c r="AO11" s="15" t="e">
        <f>Y11+#REF!+AA11+AC11</f>
        <v>#REF!</v>
      </c>
      <c r="AP11" s="15"/>
      <c r="AQ11" s="15"/>
      <c r="AR11" s="15" t="e">
        <f t="shared" si="0"/>
        <v>#REF!</v>
      </c>
      <c r="AS11" s="15" t="e">
        <f t="shared" si="0"/>
        <v>#REF!</v>
      </c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</row>
    <row r="12" spans="1:70">
      <c r="A12" s="8" t="s">
        <v>272</v>
      </c>
      <c r="B12" s="15">
        <v>300000</v>
      </c>
      <c r="C12" s="15">
        <v>29066</v>
      </c>
      <c r="D12" s="15">
        <v>160000</v>
      </c>
      <c r="E12" s="15">
        <v>26960</v>
      </c>
      <c r="F12" s="15"/>
      <c r="G12" s="15"/>
      <c r="H12" s="15">
        <v>55000</v>
      </c>
      <c r="I12" s="15">
        <v>10643</v>
      </c>
      <c r="J12" s="15"/>
      <c r="K12" s="15"/>
      <c r="L12" s="15">
        <v>540000</v>
      </c>
      <c r="M12" s="15">
        <v>43138</v>
      </c>
      <c r="N12" s="15"/>
      <c r="O12" s="15"/>
      <c r="P12" s="15"/>
      <c r="Q12" s="15"/>
      <c r="R12" s="15">
        <v>225000</v>
      </c>
      <c r="S12" s="15">
        <v>41822</v>
      </c>
      <c r="T12" s="15">
        <v>65000</v>
      </c>
      <c r="U12" s="15">
        <v>12350</v>
      </c>
      <c r="V12" s="15"/>
      <c r="W12" s="15"/>
      <c r="X12" s="15">
        <v>625000</v>
      </c>
      <c r="Y12" s="15">
        <v>175363</v>
      </c>
      <c r="Z12" s="15"/>
      <c r="AA12" s="15"/>
      <c r="AB12" s="15"/>
      <c r="AC12" s="15"/>
      <c r="AD12" s="15">
        <v>145000</v>
      </c>
      <c r="AE12" s="15">
        <v>26340</v>
      </c>
      <c r="AF12" s="15">
        <f t="shared" si="1"/>
        <v>2115000</v>
      </c>
      <c r="AG12" s="15">
        <f t="shared" si="1"/>
        <v>365682</v>
      </c>
      <c r="AH12" s="15"/>
      <c r="AI12" s="15"/>
      <c r="AL12" s="15" t="e">
        <f>B12+#REF!+F12+#REF!+J12+L12+N12+P12+#REF!+#REF!+R12+T12+V12</f>
        <v>#REF!</v>
      </c>
      <c r="AM12" s="15" t="e">
        <f>C12+#REF!+G12+#REF!+K12+M12+O12+Q12+#REF!+#REF!+S12+U12+W12</f>
        <v>#REF!</v>
      </c>
      <c r="AN12" s="15" t="e">
        <f>X12+#REF!+Z12+AB12</f>
        <v>#REF!</v>
      </c>
      <c r="AO12" s="15" t="e">
        <f>Y12+#REF!+AA12+AC12</f>
        <v>#REF!</v>
      </c>
      <c r="AP12" s="15"/>
      <c r="AQ12" s="15"/>
      <c r="AR12" s="15" t="e">
        <f t="shared" si="0"/>
        <v>#REF!</v>
      </c>
      <c r="AS12" s="15" t="e">
        <f t="shared" si="0"/>
        <v>#REF!</v>
      </c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</row>
    <row r="13" spans="1:70">
      <c r="A13" s="11" t="s">
        <v>273</v>
      </c>
      <c r="B13" s="15"/>
      <c r="C13" s="15"/>
      <c r="D13" s="15"/>
      <c r="E13" s="15"/>
      <c r="F13" s="15"/>
      <c r="G13" s="15">
        <v>3994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>
        <v>21531</v>
      </c>
      <c r="X13" s="15"/>
      <c r="Y13" s="15"/>
      <c r="Z13" s="15">
        <v>80000</v>
      </c>
      <c r="AA13" s="15">
        <v>5125</v>
      </c>
      <c r="AB13" s="15"/>
      <c r="AC13" s="15">
        <v>5153</v>
      </c>
      <c r="AD13" s="15"/>
      <c r="AE13" s="15"/>
      <c r="AF13" s="15">
        <f t="shared" si="1"/>
        <v>80000</v>
      </c>
      <c r="AG13" s="15">
        <f t="shared" si="1"/>
        <v>35803</v>
      </c>
      <c r="AH13" s="15"/>
      <c r="AI13" s="15"/>
      <c r="AL13" s="15" t="e">
        <f>B13+#REF!+F13+#REF!+J13+L13+N13+P13+#REF!+#REF!+R13+T13+V13</f>
        <v>#REF!</v>
      </c>
      <c r="AM13" s="15" t="e">
        <f>C13+#REF!+G13+#REF!+K13+M13+O13+Q13+#REF!+#REF!+S13+U13+W13</f>
        <v>#REF!</v>
      </c>
      <c r="AN13" s="15" t="e">
        <f>X13+#REF!+Z13+AB13</f>
        <v>#REF!</v>
      </c>
      <c r="AO13" s="15" t="e">
        <f>Y13+#REF!+AA13+AC13</f>
        <v>#REF!</v>
      </c>
      <c r="AP13" s="15"/>
      <c r="AQ13" s="15"/>
      <c r="AR13" s="15" t="e">
        <f t="shared" si="0"/>
        <v>#REF!</v>
      </c>
      <c r="AS13" s="15" t="e">
        <f t="shared" si="0"/>
        <v>#REF!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</row>
    <row r="14" spans="1:70">
      <c r="A14" s="8" t="s">
        <v>274</v>
      </c>
      <c r="B14" s="15"/>
      <c r="C14" s="15">
        <v>26065</v>
      </c>
      <c r="D14" s="15"/>
      <c r="E14" s="15">
        <v>23360</v>
      </c>
      <c r="F14" s="15"/>
      <c r="G14" s="15"/>
      <c r="H14" s="15"/>
      <c r="I14" s="15">
        <v>9391</v>
      </c>
      <c r="J14" s="15"/>
      <c r="K14" s="15"/>
      <c r="L14" s="15"/>
      <c r="M14" s="15">
        <v>31662</v>
      </c>
      <c r="N14" s="15"/>
      <c r="O14" s="15"/>
      <c r="P14" s="15"/>
      <c r="Q14" s="15"/>
      <c r="R14" s="15"/>
      <c r="S14" s="15">
        <v>37322</v>
      </c>
      <c r="T14" s="15"/>
      <c r="U14" s="15">
        <v>11131</v>
      </c>
      <c r="V14" s="15"/>
      <c r="W14" s="15"/>
      <c r="X14" s="15"/>
      <c r="Y14" s="15">
        <v>169112</v>
      </c>
      <c r="Z14" s="15"/>
      <c r="AA14" s="15"/>
      <c r="AB14" s="15"/>
      <c r="AC14" s="15"/>
      <c r="AD14" s="15"/>
      <c r="AE14" s="15">
        <v>24890</v>
      </c>
      <c r="AF14" s="15">
        <f t="shared" si="1"/>
        <v>0</v>
      </c>
      <c r="AG14" s="15">
        <f t="shared" si="1"/>
        <v>332933</v>
      </c>
      <c r="AH14" s="15">
        <f>SUM(AF11:AF14)</f>
        <v>2545000</v>
      </c>
      <c r="AI14" s="15">
        <f>SUM(AG11:AG14)</f>
        <v>773718</v>
      </c>
      <c r="AJ14" s="8">
        <v>2014</v>
      </c>
      <c r="AL14" s="15" t="e">
        <f>B14+#REF!+F14+#REF!+J14+L14+N14+P14+#REF!+#REF!+R14+T14+V14</f>
        <v>#REF!</v>
      </c>
      <c r="AM14" s="15" t="e">
        <f>C14+#REF!+G14+#REF!+K14+M14+O14+Q14+#REF!+#REF!+S14+U14+W14</f>
        <v>#REF!</v>
      </c>
      <c r="AN14" s="15" t="e">
        <f>X14+#REF!+Z14+AB14</f>
        <v>#REF!</v>
      </c>
      <c r="AO14" s="15" t="e">
        <f>Y14+#REF!+AA14+AC14</f>
        <v>#REF!</v>
      </c>
      <c r="AP14" s="15"/>
      <c r="AQ14" s="15"/>
      <c r="AR14" s="15" t="e">
        <f t="shared" si="0"/>
        <v>#REF!</v>
      </c>
      <c r="AS14" s="15" t="e">
        <f t="shared" si="0"/>
        <v>#REF!</v>
      </c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</row>
    <row r="15" spans="1:70">
      <c r="A15" s="8" t="s">
        <v>275</v>
      </c>
      <c r="B15" s="15"/>
      <c r="C15" s="15"/>
      <c r="D15" s="15"/>
      <c r="E15" s="15"/>
      <c r="F15" s="15">
        <v>125000</v>
      </c>
      <c r="G15" s="15">
        <v>3994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>
        <v>170000</v>
      </c>
      <c r="W15" s="15">
        <v>21531</v>
      </c>
      <c r="X15" s="15"/>
      <c r="Y15" s="15"/>
      <c r="Z15" s="15"/>
      <c r="AA15" s="15">
        <v>4125</v>
      </c>
      <c r="AB15" s="15">
        <v>65000</v>
      </c>
      <c r="AC15" s="15">
        <v>5153</v>
      </c>
      <c r="AD15" s="15"/>
      <c r="AE15" s="15"/>
      <c r="AF15" s="15">
        <f t="shared" si="1"/>
        <v>360000</v>
      </c>
      <c r="AG15" s="15">
        <f t="shared" si="1"/>
        <v>34803</v>
      </c>
      <c r="AH15" s="15"/>
      <c r="AI15" s="15"/>
      <c r="AL15" s="15" t="e">
        <f>B15+#REF!+F15+#REF!+J15+L15+N15+P15+#REF!+#REF!+R15+T15+V15</f>
        <v>#REF!</v>
      </c>
      <c r="AM15" s="15" t="e">
        <f>C15+#REF!+G15+#REF!+K15+M15+O15+Q15+#REF!+#REF!+S15+U15+W15</f>
        <v>#REF!</v>
      </c>
      <c r="AN15" s="15" t="e">
        <f>X15+#REF!+Z15+AB15</f>
        <v>#REF!</v>
      </c>
      <c r="AO15" s="15" t="e">
        <f>Y15+#REF!+AA15+AC15</f>
        <v>#REF!</v>
      </c>
      <c r="AP15" s="15"/>
      <c r="AQ15" s="15"/>
      <c r="AR15" s="15" t="e">
        <f t="shared" si="0"/>
        <v>#REF!</v>
      </c>
      <c r="AS15" s="15" t="e">
        <f t="shared" si="0"/>
        <v>#REF!</v>
      </c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</row>
    <row r="16" spans="1:70">
      <c r="A16" s="8" t="s">
        <v>276</v>
      </c>
      <c r="B16" s="15">
        <v>305000</v>
      </c>
      <c r="C16" s="15">
        <v>26066</v>
      </c>
      <c r="D16" s="15">
        <v>160000</v>
      </c>
      <c r="E16" s="15">
        <v>23360</v>
      </c>
      <c r="F16" s="15"/>
      <c r="G16" s="15"/>
      <c r="H16" s="15">
        <v>55000</v>
      </c>
      <c r="I16" s="15">
        <v>9391</v>
      </c>
      <c r="J16" s="15"/>
      <c r="K16" s="15"/>
      <c r="L16" s="15">
        <v>535000</v>
      </c>
      <c r="M16" s="15">
        <v>31662</v>
      </c>
      <c r="N16" s="15"/>
      <c r="O16" s="15"/>
      <c r="P16" s="15"/>
      <c r="Q16" s="15"/>
      <c r="R16" s="15">
        <v>225000</v>
      </c>
      <c r="S16" s="15">
        <v>37322</v>
      </c>
      <c r="T16" s="15">
        <v>65000</v>
      </c>
      <c r="U16" s="15">
        <v>11131</v>
      </c>
      <c r="V16" s="15"/>
      <c r="W16" s="15"/>
      <c r="X16" s="15">
        <v>610000</v>
      </c>
      <c r="Y16" s="15">
        <v>169113</v>
      </c>
      <c r="Z16" s="15"/>
      <c r="AA16" s="15"/>
      <c r="AB16" s="15"/>
      <c r="AC16" s="15"/>
      <c r="AD16" s="15">
        <v>150000</v>
      </c>
      <c r="AE16" s="15">
        <v>24890</v>
      </c>
      <c r="AF16" s="15">
        <f t="shared" si="1"/>
        <v>2105000</v>
      </c>
      <c r="AG16" s="15">
        <f t="shared" si="1"/>
        <v>332935</v>
      </c>
      <c r="AH16" s="15"/>
      <c r="AI16" s="15"/>
      <c r="AL16" s="15" t="e">
        <f>B16+#REF!+F16+#REF!+J16+L16+N16+P16+#REF!+#REF!+R16+T16+V16</f>
        <v>#REF!</v>
      </c>
      <c r="AM16" s="15" t="e">
        <f>C16+#REF!+G16+#REF!+K16+M16+O16+Q16+#REF!+#REF!+S16+U16+W16</f>
        <v>#REF!</v>
      </c>
      <c r="AN16" s="15" t="e">
        <f>X16+#REF!+Z16+AB16</f>
        <v>#REF!</v>
      </c>
      <c r="AO16" s="15" t="e">
        <f>Y16+#REF!+AA16+AC16</f>
        <v>#REF!</v>
      </c>
      <c r="AP16" s="15"/>
      <c r="AQ16" s="15"/>
      <c r="AR16" s="15" t="e">
        <f t="shared" si="0"/>
        <v>#REF!</v>
      </c>
      <c r="AS16" s="15" t="e">
        <f t="shared" si="0"/>
        <v>#REF!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</row>
    <row r="17" spans="1:70">
      <c r="A17" s="11" t="s">
        <v>277</v>
      </c>
      <c r="B17" s="15"/>
      <c r="C17" s="15"/>
      <c r="D17" s="15"/>
      <c r="E17" s="15"/>
      <c r="F17" s="15"/>
      <c r="G17" s="16">
        <v>2587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>
        <v>20150</v>
      </c>
      <c r="X17" s="15"/>
      <c r="Y17" s="15"/>
      <c r="Z17" s="15">
        <v>80000</v>
      </c>
      <c r="AA17" s="15">
        <v>4125</v>
      </c>
      <c r="AB17" s="15"/>
      <c r="AC17" s="15">
        <v>4341</v>
      </c>
      <c r="AD17" s="15"/>
      <c r="AE17" s="15"/>
      <c r="AF17" s="15">
        <f t="shared" si="1"/>
        <v>80000</v>
      </c>
      <c r="AG17" s="15">
        <f t="shared" si="1"/>
        <v>31203</v>
      </c>
      <c r="AH17" s="15"/>
      <c r="AI17" s="15"/>
      <c r="AL17" s="15" t="e">
        <f>B17+#REF!+F17+#REF!+J17+L17+N17+P17+#REF!+#REF!+R17+T17+V17</f>
        <v>#REF!</v>
      </c>
      <c r="AM17" s="15" t="e">
        <f>C17+#REF!+G17+#REF!+K17+M17+O17+Q17+#REF!+#REF!+S17+U17+W17</f>
        <v>#REF!</v>
      </c>
      <c r="AN17" s="15" t="e">
        <f>X17+#REF!+Z17+AB17</f>
        <v>#REF!</v>
      </c>
      <c r="AO17" s="15" t="e">
        <f>Y17+#REF!+AA17+AC17</f>
        <v>#REF!</v>
      </c>
      <c r="AP17" s="15"/>
      <c r="AQ17" s="15"/>
      <c r="AR17" s="15" t="e">
        <f t="shared" si="0"/>
        <v>#REF!</v>
      </c>
      <c r="AS17" s="15" t="e">
        <f t="shared" si="0"/>
        <v>#REF!</v>
      </c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</row>
    <row r="18" spans="1:70">
      <c r="A18" s="8" t="s">
        <v>278</v>
      </c>
      <c r="B18" s="15"/>
      <c r="C18" s="15">
        <v>22634</v>
      </c>
      <c r="D18" s="15"/>
      <c r="E18" s="15">
        <v>19600</v>
      </c>
      <c r="F18" s="15"/>
      <c r="G18" s="15"/>
      <c r="H18" s="15"/>
      <c r="I18" s="15">
        <v>8113</v>
      </c>
      <c r="J18" s="15"/>
      <c r="K18" s="15"/>
      <c r="L18" s="15"/>
      <c r="M18" s="15">
        <v>20294</v>
      </c>
      <c r="N18" s="15"/>
      <c r="O18" s="15"/>
      <c r="P18" s="15"/>
      <c r="Q18" s="15"/>
      <c r="R18" s="15"/>
      <c r="S18" s="15">
        <v>32822</v>
      </c>
      <c r="T18" s="15"/>
      <c r="U18" s="15">
        <v>9872</v>
      </c>
      <c r="V18" s="15"/>
      <c r="W18" s="15"/>
      <c r="X18" s="15"/>
      <c r="Y18" s="15">
        <v>161487</v>
      </c>
      <c r="Z18" s="15"/>
      <c r="AA18" s="15"/>
      <c r="AB18" s="15"/>
      <c r="AC18" s="15"/>
      <c r="AD18" s="15"/>
      <c r="AE18" s="15">
        <v>23390</v>
      </c>
      <c r="AF18" s="15">
        <f t="shared" si="1"/>
        <v>0</v>
      </c>
      <c r="AG18" s="15">
        <f t="shared" si="1"/>
        <v>298212</v>
      </c>
      <c r="AH18" s="15">
        <f>SUM(AF15:AF18)</f>
        <v>2545000</v>
      </c>
      <c r="AI18" s="15">
        <f>SUM(AG15:AG18)</f>
        <v>697153</v>
      </c>
      <c r="AJ18" s="8">
        <v>2015</v>
      </c>
      <c r="AL18" s="15" t="e">
        <f>B18+#REF!+F18+#REF!+J18+L18+N18+P18+#REF!+#REF!+R18+T18+V18</f>
        <v>#REF!</v>
      </c>
      <c r="AM18" s="15" t="e">
        <f>C18+#REF!+G18+#REF!+K18+M18+O18+Q18+#REF!+#REF!+S18+U18+W18</f>
        <v>#REF!</v>
      </c>
      <c r="AN18" s="15" t="e">
        <f>X18+#REF!+Z18+AB18</f>
        <v>#REF!</v>
      </c>
      <c r="AO18" s="15" t="e">
        <f>Y18+#REF!+AA18+AC18</f>
        <v>#REF!</v>
      </c>
      <c r="AP18" s="15"/>
      <c r="AQ18" s="15"/>
      <c r="AR18" s="15" t="e">
        <f t="shared" si="0"/>
        <v>#REF!</v>
      </c>
      <c r="AS18" s="15" t="e">
        <f t="shared" si="0"/>
        <v>#REF!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</row>
    <row r="19" spans="1:70">
      <c r="A19" s="8" t="s">
        <v>279</v>
      </c>
      <c r="B19" s="15"/>
      <c r="C19" s="15"/>
      <c r="D19" s="15"/>
      <c r="E19" s="15"/>
      <c r="F19" s="15">
        <v>130000</v>
      </c>
      <c r="G19" s="16">
        <v>2588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>
        <v>175000</v>
      </c>
      <c r="W19" s="15">
        <v>20150</v>
      </c>
      <c r="X19" s="15"/>
      <c r="Y19" s="15"/>
      <c r="Z19" s="15"/>
      <c r="AA19" s="15">
        <v>3125</v>
      </c>
      <c r="AB19" s="15">
        <v>65000</v>
      </c>
      <c r="AC19" s="15">
        <v>4341</v>
      </c>
      <c r="AD19" s="15"/>
      <c r="AE19" s="15"/>
      <c r="AF19" s="15">
        <f t="shared" si="1"/>
        <v>370000</v>
      </c>
      <c r="AG19" s="15">
        <f t="shared" si="1"/>
        <v>30204</v>
      </c>
      <c r="AH19" s="15"/>
      <c r="AI19" s="15"/>
      <c r="AL19" s="15" t="e">
        <f>B19+#REF!+F19+#REF!+J19+L19+N19+P19+#REF!+#REF!+R19+T19+V19</f>
        <v>#REF!</v>
      </c>
      <c r="AM19" s="15" t="e">
        <f>C19+#REF!+G19+#REF!+K19+M19+O19+Q19+#REF!+#REF!+S19+U19+W19</f>
        <v>#REF!</v>
      </c>
      <c r="AN19" s="15" t="e">
        <f>X19+#REF!+Z19+AB19</f>
        <v>#REF!</v>
      </c>
      <c r="AO19" s="15" t="e">
        <f>Y19+#REF!+AA19+AC19</f>
        <v>#REF!</v>
      </c>
      <c r="AP19" s="15"/>
      <c r="AQ19" s="15"/>
      <c r="AR19" s="15" t="e">
        <f t="shared" si="0"/>
        <v>#REF!</v>
      </c>
      <c r="AS19" s="15" t="e">
        <f t="shared" si="0"/>
        <v>#REF!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</row>
    <row r="20" spans="1:70">
      <c r="A20" s="8" t="s">
        <v>280</v>
      </c>
      <c r="B20" s="15">
        <v>315000</v>
      </c>
      <c r="C20" s="15">
        <v>22634</v>
      </c>
      <c r="D20" s="15">
        <v>160000</v>
      </c>
      <c r="E20" s="15">
        <v>19600</v>
      </c>
      <c r="F20" s="15"/>
      <c r="G20" s="15"/>
      <c r="H20" s="15">
        <v>55000</v>
      </c>
      <c r="I20" s="15">
        <v>8113</v>
      </c>
      <c r="J20" s="15"/>
      <c r="K20" s="15"/>
      <c r="L20" s="15">
        <v>555000</v>
      </c>
      <c r="M20" s="15">
        <v>20294</v>
      </c>
      <c r="N20" s="15"/>
      <c r="O20" s="15"/>
      <c r="P20" s="15"/>
      <c r="Q20" s="15"/>
      <c r="R20" s="15">
        <v>225000</v>
      </c>
      <c r="S20" s="15">
        <v>32822</v>
      </c>
      <c r="T20" s="15">
        <v>65000</v>
      </c>
      <c r="U20" s="15">
        <v>9872</v>
      </c>
      <c r="V20" s="15"/>
      <c r="W20" s="15"/>
      <c r="X20" s="15">
        <v>600000</v>
      </c>
      <c r="Y20" s="15">
        <v>161488</v>
      </c>
      <c r="Z20" s="15"/>
      <c r="AA20" s="15"/>
      <c r="AB20" s="15"/>
      <c r="AC20" s="15"/>
      <c r="AD20" s="15">
        <v>155000</v>
      </c>
      <c r="AE20" s="15">
        <v>23390</v>
      </c>
      <c r="AF20" s="15">
        <f t="shared" si="1"/>
        <v>2130000</v>
      </c>
      <c r="AG20" s="15">
        <f t="shared" si="1"/>
        <v>298213</v>
      </c>
      <c r="AH20" s="15"/>
      <c r="AI20" s="15"/>
      <c r="AL20" s="15" t="e">
        <f>B20+#REF!+F20+#REF!+J20+L20+N20+P20+#REF!+#REF!+R20+T20+V20</f>
        <v>#REF!</v>
      </c>
      <c r="AM20" s="15" t="e">
        <f>C20+#REF!+G20+#REF!+K20+M20+O20+Q20+#REF!+#REF!+S20+U20+W20</f>
        <v>#REF!</v>
      </c>
      <c r="AN20" s="15" t="e">
        <f>X20+#REF!+Z20+AB20</f>
        <v>#REF!</v>
      </c>
      <c r="AO20" s="15" t="e">
        <f>Y20+#REF!+AA20+AC20</f>
        <v>#REF!</v>
      </c>
      <c r="AP20" s="15"/>
      <c r="AQ20" s="15"/>
      <c r="AR20" s="15" t="e">
        <f t="shared" si="0"/>
        <v>#REF!</v>
      </c>
      <c r="AS20" s="15" t="e">
        <f t="shared" si="0"/>
        <v>#REF!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</row>
    <row r="21" spans="1:70">
      <c r="A21" s="11" t="s">
        <v>281</v>
      </c>
      <c r="B21" s="15"/>
      <c r="C21" s="15"/>
      <c r="D21" s="15"/>
      <c r="E21" s="15"/>
      <c r="F21" s="15"/>
      <c r="G21" s="15">
        <v>1125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>
        <v>18728</v>
      </c>
      <c r="X21" s="15"/>
      <c r="Y21" s="15"/>
      <c r="Z21" s="15">
        <v>80000</v>
      </c>
      <c r="AA21" s="15">
        <v>3125</v>
      </c>
      <c r="AB21" s="15"/>
      <c r="AC21" s="15">
        <v>3528</v>
      </c>
      <c r="AD21" s="15"/>
      <c r="AE21" s="15"/>
      <c r="AF21" s="15">
        <f t="shared" si="1"/>
        <v>80000</v>
      </c>
      <c r="AG21" s="15">
        <f t="shared" si="1"/>
        <v>26506</v>
      </c>
      <c r="AH21" s="15"/>
      <c r="AI21" s="15"/>
      <c r="AL21" s="15" t="e">
        <f>B21+#REF!+F21+#REF!+J21+L21+N21+P21+#REF!+#REF!+R21+T21+V21</f>
        <v>#REF!</v>
      </c>
      <c r="AM21" s="15" t="e">
        <f>C21+#REF!+G21+#REF!+K21+M21+O21+Q21+#REF!+#REF!+S21+U21+W21</f>
        <v>#REF!</v>
      </c>
      <c r="AN21" s="15" t="e">
        <f>X21+#REF!+Z21+AB21</f>
        <v>#REF!</v>
      </c>
      <c r="AO21" s="15" t="e">
        <f>Y21+#REF!+AA21+AC21</f>
        <v>#REF!</v>
      </c>
      <c r="AP21" s="15"/>
      <c r="AQ21" s="15"/>
      <c r="AR21" s="15" t="e">
        <f t="shared" si="0"/>
        <v>#REF!</v>
      </c>
      <c r="AS21" s="15" t="e">
        <f t="shared" si="0"/>
        <v>#REF!</v>
      </c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</row>
    <row r="22" spans="1:70">
      <c r="A22" s="8" t="s">
        <v>282</v>
      </c>
      <c r="B22" s="15"/>
      <c r="C22" s="15">
        <v>19091</v>
      </c>
      <c r="D22" s="15"/>
      <c r="E22" s="15">
        <v>15800</v>
      </c>
      <c r="F22" s="15"/>
      <c r="G22" s="15"/>
      <c r="H22" s="15"/>
      <c r="I22" s="15">
        <v>6805</v>
      </c>
      <c r="J22" s="15"/>
      <c r="K22" s="15"/>
      <c r="L22" s="15"/>
      <c r="M22" s="15">
        <v>8500</v>
      </c>
      <c r="N22" s="15"/>
      <c r="O22" s="15"/>
      <c r="P22" s="15"/>
      <c r="Q22" s="15"/>
      <c r="R22" s="15"/>
      <c r="S22" s="15">
        <v>28322</v>
      </c>
      <c r="T22" s="15"/>
      <c r="U22" s="15">
        <v>8572</v>
      </c>
      <c r="V22" s="15"/>
      <c r="W22" s="15"/>
      <c r="X22" s="15"/>
      <c r="Y22" s="15">
        <v>152487</v>
      </c>
      <c r="Z22" s="15"/>
      <c r="AA22" s="15"/>
      <c r="AB22" s="15"/>
      <c r="AC22" s="15"/>
      <c r="AD22" s="15"/>
      <c r="AE22" s="15">
        <v>21840</v>
      </c>
      <c r="AF22" s="15">
        <f t="shared" si="1"/>
        <v>0</v>
      </c>
      <c r="AG22" s="15">
        <f t="shared" si="1"/>
        <v>261417</v>
      </c>
      <c r="AH22" s="15">
        <f>SUM(AF19:AF22)</f>
        <v>2580000</v>
      </c>
      <c r="AI22" s="15">
        <f>SUM(AG19:AG22)</f>
        <v>616340</v>
      </c>
      <c r="AJ22" s="8">
        <v>2016</v>
      </c>
      <c r="AL22" s="15" t="e">
        <f>B22+#REF!+F22+#REF!+J22+L22+N22+P22+#REF!+#REF!+R22+T22+V22</f>
        <v>#REF!</v>
      </c>
      <c r="AM22" s="15" t="e">
        <f>C22+#REF!+G22+#REF!+K22+M22+O22+Q22+#REF!+#REF!+S22+U22+W22</f>
        <v>#REF!</v>
      </c>
      <c r="AN22" s="15" t="e">
        <f>X22+#REF!+Z22+AB22</f>
        <v>#REF!</v>
      </c>
      <c r="AO22" s="15" t="e">
        <f>Y22+#REF!+AA22+AC22</f>
        <v>#REF!</v>
      </c>
      <c r="AP22" s="15"/>
      <c r="AQ22" s="15"/>
      <c r="AR22" s="15" t="e">
        <f t="shared" si="0"/>
        <v>#REF!</v>
      </c>
      <c r="AS22" s="15" t="e">
        <f t="shared" si="0"/>
        <v>#REF!</v>
      </c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</row>
    <row r="23" spans="1:70">
      <c r="A23" s="11" t="s">
        <v>283</v>
      </c>
      <c r="B23" s="15"/>
      <c r="C23" s="15"/>
      <c r="D23" s="15"/>
      <c r="E23" s="15"/>
      <c r="F23" s="15">
        <v>100000</v>
      </c>
      <c r="G23" s="15">
        <v>1125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>
        <v>175000</v>
      </c>
      <c r="W23" s="15">
        <v>18728</v>
      </c>
      <c r="X23" s="15"/>
      <c r="Y23" s="15"/>
      <c r="Z23" s="15"/>
      <c r="AA23" s="15">
        <v>2125</v>
      </c>
      <c r="AB23" s="15">
        <v>65000</v>
      </c>
      <c r="AC23" s="15">
        <v>3528</v>
      </c>
      <c r="AD23" s="15"/>
      <c r="AE23" s="15"/>
      <c r="AF23" s="15">
        <f t="shared" si="1"/>
        <v>340000</v>
      </c>
      <c r="AG23" s="15">
        <f t="shared" si="1"/>
        <v>25506</v>
      </c>
      <c r="AH23" s="15"/>
      <c r="AI23" s="15"/>
      <c r="AL23" s="15" t="e">
        <f>B23+#REF!+F23+#REF!+J23+L23+N23+P23+#REF!+#REF!+R23+T23+V23</f>
        <v>#REF!</v>
      </c>
      <c r="AM23" s="15" t="e">
        <f>C23+#REF!+G23+#REF!+K23+M23+O23+Q23+#REF!+#REF!+S23+U23+W23</f>
        <v>#REF!</v>
      </c>
      <c r="AN23" s="15" t="e">
        <f>X23+#REF!+Z23+AB23</f>
        <v>#REF!</v>
      </c>
      <c r="AO23" s="15" t="e">
        <f>Y23+#REF!+AA23+AC23</f>
        <v>#REF!</v>
      </c>
      <c r="AP23" s="15"/>
      <c r="AQ23" s="15"/>
      <c r="AR23" s="15" t="e">
        <f t="shared" ref="AR23:AS30" si="2">(AL23+AN23+AP23)</f>
        <v>#REF!</v>
      </c>
      <c r="AS23" s="15" t="e">
        <f t="shared" si="2"/>
        <v>#REF!</v>
      </c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</row>
    <row r="24" spans="1:70">
      <c r="A24" s="8" t="s">
        <v>284</v>
      </c>
      <c r="B24" s="15">
        <v>325000</v>
      </c>
      <c r="C24" s="15">
        <v>19091</v>
      </c>
      <c r="D24" s="15">
        <v>160000</v>
      </c>
      <c r="E24" s="15">
        <v>15800</v>
      </c>
      <c r="F24" s="15"/>
      <c r="G24" s="15"/>
      <c r="H24" s="15">
        <v>55000</v>
      </c>
      <c r="I24" s="15">
        <v>6806</v>
      </c>
      <c r="J24" s="15"/>
      <c r="K24" s="15"/>
      <c r="L24" s="15">
        <v>400000</v>
      </c>
      <c r="M24" s="15">
        <v>8500</v>
      </c>
      <c r="N24" s="15"/>
      <c r="O24" s="15"/>
      <c r="P24" s="15"/>
      <c r="Q24" s="15"/>
      <c r="R24" s="15">
        <v>225000</v>
      </c>
      <c r="S24" s="15">
        <v>28322</v>
      </c>
      <c r="T24" s="15">
        <v>65000</v>
      </c>
      <c r="U24" s="15">
        <v>8572</v>
      </c>
      <c r="V24" s="15"/>
      <c r="W24" s="15"/>
      <c r="X24" s="15">
        <v>590000</v>
      </c>
      <c r="Y24" s="15">
        <v>152488</v>
      </c>
      <c r="Z24" s="15"/>
      <c r="AA24" s="15"/>
      <c r="AB24" s="15"/>
      <c r="AC24" s="15"/>
      <c r="AD24" s="15">
        <v>160000</v>
      </c>
      <c r="AE24" s="15">
        <v>21840</v>
      </c>
      <c r="AF24" s="15">
        <f t="shared" si="1"/>
        <v>1980000</v>
      </c>
      <c r="AG24" s="15">
        <f t="shared" si="1"/>
        <v>261419</v>
      </c>
      <c r="AI24" s="15"/>
      <c r="AL24" s="15" t="e">
        <f>B24+#REF!+F24+#REF!+J24+L24+N24+P24+#REF!+#REF!+R24+T24+V24</f>
        <v>#REF!</v>
      </c>
      <c r="AM24" s="15" t="e">
        <f>C24+#REF!+G24+#REF!+K24+M24+O24+Q24+#REF!+#REF!+S24+U24+W24</f>
        <v>#REF!</v>
      </c>
      <c r="AN24" s="15" t="e">
        <f>X24+#REF!+Z24+AB24</f>
        <v>#REF!</v>
      </c>
      <c r="AO24" s="15" t="e">
        <f>Y24+#REF!+AA24+AC24</f>
        <v>#REF!</v>
      </c>
      <c r="AP24" s="15"/>
      <c r="AQ24" s="15"/>
      <c r="AR24" s="15" t="e">
        <f t="shared" si="2"/>
        <v>#REF!</v>
      </c>
      <c r="AS24" s="15" t="e">
        <f t="shared" si="2"/>
        <v>#REF!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</row>
    <row r="25" spans="1:70">
      <c r="A25" s="11" t="s">
        <v>285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>
        <v>17307</v>
      </c>
      <c r="X25" s="15"/>
      <c r="Y25" s="15"/>
      <c r="Z25" s="15">
        <v>85000</v>
      </c>
      <c r="AA25" s="15">
        <v>2125</v>
      </c>
      <c r="AB25" s="15"/>
      <c r="AC25" s="15">
        <v>2716</v>
      </c>
      <c r="AD25" s="15"/>
      <c r="AE25" s="15"/>
      <c r="AF25" s="15">
        <f t="shared" si="1"/>
        <v>85000</v>
      </c>
      <c r="AG25" s="15">
        <f t="shared" si="1"/>
        <v>22148</v>
      </c>
      <c r="AL25" s="15" t="e">
        <f>B25+#REF!+F25+#REF!+J25+L25+N25+P25+#REF!+#REF!+R25+T25+V25</f>
        <v>#REF!</v>
      </c>
      <c r="AM25" s="15" t="e">
        <f>C25+#REF!+G25+#REF!+K25+M25+O25+Q25+#REF!+#REF!+S25+U25+W25</f>
        <v>#REF!</v>
      </c>
      <c r="AN25" s="15" t="e">
        <f>X25+#REF!+Z25+AB25</f>
        <v>#REF!</v>
      </c>
      <c r="AO25" s="15" t="e">
        <f>Y25+#REF!+AA25+AC25</f>
        <v>#REF!</v>
      </c>
      <c r="AP25" s="15"/>
      <c r="AQ25" s="15"/>
      <c r="AR25" s="15" t="e">
        <f t="shared" si="2"/>
        <v>#REF!</v>
      </c>
      <c r="AS25" s="15" t="e">
        <f t="shared" si="2"/>
        <v>#REF!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</row>
    <row r="26" spans="1:70">
      <c r="A26" s="8" t="s">
        <v>286</v>
      </c>
      <c r="B26" s="15"/>
      <c r="C26" s="15">
        <v>15028</v>
      </c>
      <c r="D26" s="15"/>
      <c r="E26" s="15">
        <v>12000</v>
      </c>
      <c r="F26" s="15"/>
      <c r="G26" s="15"/>
      <c r="H26" s="15"/>
      <c r="I26" s="15">
        <v>5472</v>
      </c>
      <c r="J26" s="15"/>
      <c r="K26" s="15"/>
      <c r="L26" s="15"/>
      <c r="M26" s="15"/>
      <c r="N26" s="15"/>
      <c r="O26" s="15"/>
      <c r="P26" s="15"/>
      <c r="Q26" s="15"/>
      <c r="R26" s="15"/>
      <c r="S26" s="15">
        <v>23822</v>
      </c>
      <c r="T26" s="15"/>
      <c r="U26" s="15">
        <v>7239</v>
      </c>
      <c r="V26" s="15"/>
      <c r="W26" s="15"/>
      <c r="X26" s="15"/>
      <c r="Y26" s="15">
        <v>143637</v>
      </c>
      <c r="Z26" s="15"/>
      <c r="AA26" s="15"/>
      <c r="AB26" s="15"/>
      <c r="AC26" s="15"/>
      <c r="AD26" s="15"/>
      <c r="AE26" s="15">
        <v>20240</v>
      </c>
      <c r="AF26" s="15">
        <f t="shared" si="1"/>
        <v>0</v>
      </c>
      <c r="AG26" s="15">
        <f t="shared" si="1"/>
        <v>227438</v>
      </c>
      <c r="AH26" s="15">
        <f>SUM(AF23:AF26)</f>
        <v>2405000</v>
      </c>
      <c r="AI26" s="15">
        <f>SUM(AG23:AG26)</f>
        <v>536511</v>
      </c>
      <c r="AJ26" s="8">
        <v>2017</v>
      </c>
      <c r="AL26" s="15" t="e">
        <f>B26+#REF!+F26+#REF!+J26+L26+N26+P26+#REF!+#REF!+R26+T26+V26</f>
        <v>#REF!</v>
      </c>
      <c r="AM26" s="15" t="e">
        <f>C26+#REF!+G26+#REF!+K26+M26+O26+Q26+#REF!+#REF!+S26+U26+W26</f>
        <v>#REF!</v>
      </c>
      <c r="AN26" s="15" t="e">
        <f>X26+#REF!+Z26+AB26</f>
        <v>#REF!</v>
      </c>
      <c r="AO26" s="15" t="e">
        <f>Y26+#REF!+AA26+AC26</f>
        <v>#REF!</v>
      </c>
      <c r="AP26" s="15"/>
      <c r="AQ26" s="15"/>
      <c r="AR26" s="15" t="e">
        <f t="shared" si="2"/>
        <v>#REF!</v>
      </c>
      <c r="AS26" s="15" t="e">
        <f t="shared" si="2"/>
        <v>#REF!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</row>
    <row r="27" spans="1:70">
      <c r="A27" s="11" t="s">
        <v>287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>
        <v>180000</v>
      </c>
      <c r="W27" s="15">
        <v>17306</v>
      </c>
      <c r="X27" s="15"/>
      <c r="Y27" s="15"/>
      <c r="Z27" s="15"/>
      <c r="AA27" s="15">
        <v>1063</v>
      </c>
      <c r="AB27" s="15">
        <v>70000</v>
      </c>
      <c r="AC27" s="15">
        <v>2716</v>
      </c>
      <c r="AD27" s="15"/>
      <c r="AE27" s="15"/>
      <c r="AF27" s="15">
        <f t="shared" si="1"/>
        <v>250000</v>
      </c>
      <c r="AG27" s="15">
        <f t="shared" si="1"/>
        <v>21085</v>
      </c>
      <c r="AH27" s="15"/>
      <c r="AI27" s="15"/>
      <c r="AL27" s="15" t="e">
        <f>B27+#REF!+F27+#REF!+J27+L27+N27+P27+#REF!+#REF!+R27+T27+V27</f>
        <v>#REF!</v>
      </c>
      <c r="AM27" s="15" t="e">
        <f>C27+#REF!+G27+#REF!+K27+M27+O27+Q27+#REF!+#REF!+S27+U27+W27</f>
        <v>#REF!</v>
      </c>
      <c r="AN27" s="15" t="e">
        <f>X27+#REF!+Z27+AB27</f>
        <v>#REF!</v>
      </c>
      <c r="AO27" s="15" t="e">
        <f>Y27+#REF!+AA27+AC27</f>
        <v>#REF!</v>
      </c>
      <c r="AP27" s="15"/>
      <c r="AQ27" s="15"/>
      <c r="AR27" s="15" t="e">
        <f t="shared" si="2"/>
        <v>#REF!</v>
      </c>
      <c r="AS27" s="15" t="e">
        <f t="shared" si="2"/>
        <v>#REF!</v>
      </c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</row>
    <row r="28" spans="1:70">
      <c r="A28" s="8" t="s">
        <v>288</v>
      </c>
      <c r="B28" s="15">
        <v>335000</v>
      </c>
      <c r="C28" s="15">
        <v>15028</v>
      </c>
      <c r="D28" s="15">
        <v>160000</v>
      </c>
      <c r="E28" s="15">
        <v>12000</v>
      </c>
      <c r="F28" s="15"/>
      <c r="G28" s="15"/>
      <c r="H28" s="15">
        <v>55000</v>
      </c>
      <c r="I28" s="15">
        <v>5473</v>
      </c>
      <c r="J28" s="15"/>
      <c r="K28" s="15"/>
      <c r="L28" s="15"/>
      <c r="M28" s="15"/>
      <c r="N28" s="15"/>
      <c r="O28" s="15"/>
      <c r="P28" s="15"/>
      <c r="Q28" s="15"/>
      <c r="R28" s="15">
        <v>225000</v>
      </c>
      <c r="S28" s="15">
        <v>23822</v>
      </c>
      <c r="T28" s="15">
        <v>65000</v>
      </c>
      <c r="U28" s="15">
        <v>7239</v>
      </c>
      <c r="V28" s="15"/>
      <c r="W28" s="15"/>
      <c r="X28" s="15">
        <v>680000</v>
      </c>
      <c r="Y28" s="15">
        <v>143638</v>
      </c>
      <c r="Z28" s="15"/>
      <c r="AA28" s="15"/>
      <c r="AB28" s="15"/>
      <c r="AC28" s="15"/>
      <c r="AD28" s="15">
        <v>165000</v>
      </c>
      <c r="AE28" s="15">
        <v>20240</v>
      </c>
      <c r="AF28" s="15">
        <f t="shared" si="1"/>
        <v>1685000</v>
      </c>
      <c r="AG28" s="15">
        <f t="shared" si="1"/>
        <v>227440</v>
      </c>
      <c r="AH28" s="15"/>
      <c r="AI28" s="15"/>
      <c r="AL28" s="15" t="e">
        <f>B28+#REF!+F28+#REF!+J28+L28+N28+P28+#REF!+#REF!+R28+T28+V28</f>
        <v>#REF!</v>
      </c>
      <c r="AM28" s="15" t="e">
        <f>C28+#REF!+G28+#REF!+K28+M28+O28+Q28+#REF!+#REF!+S28+U28+W28</f>
        <v>#REF!</v>
      </c>
      <c r="AN28" s="15" t="e">
        <f>X28+#REF!+Z28+AB28</f>
        <v>#REF!</v>
      </c>
      <c r="AO28" s="15" t="e">
        <f>Y28+#REF!+AA28+AC28</f>
        <v>#REF!</v>
      </c>
      <c r="AP28" s="15"/>
      <c r="AQ28" s="15"/>
      <c r="AR28" s="15" t="e">
        <f t="shared" si="2"/>
        <v>#REF!</v>
      </c>
      <c r="AS28" s="15" t="e">
        <f t="shared" si="2"/>
        <v>#REF!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</row>
    <row r="29" spans="1:70">
      <c r="A29" s="11" t="s">
        <v>289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>
        <v>15844</v>
      </c>
      <c r="X29" s="15"/>
      <c r="Y29" s="15"/>
      <c r="Z29" s="15">
        <v>85000</v>
      </c>
      <c r="AA29" s="15">
        <v>1062</v>
      </c>
      <c r="AB29" s="15"/>
      <c r="AC29" s="15">
        <v>1841</v>
      </c>
      <c r="AD29" s="15"/>
      <c r="AE29" s="15"/>
      <c r="AF29" s="15">
        <f t="shared" si="1"/>
        <v>85000</v>
      </c>
      <c r="AG29" s="15">
        <f t="shared" si="1"/>
        <v>18747</v>
      </c>
      <c r="AL29" s="15" t="e">
        <f>B29+#REF!+F29+#REF!+J29+L29+N29+P29+#REF!+#REF!+R29+T29+V29</f>
        <v>#REF!</v>
      </c>
      <c r="AM29" s="15" t="e">
        <f>C29+#REF!+G29+#REF!+K29+M29+O29+Q29+#REF!+#REF!+S29+U29+W29</f>
        <v>#REF!</v>
      </c>
      <c r="AN29" s="15" t="e">
        <f>X29+#REF!+Z29+AB29</f>
        <v>#REF!</v>
      </c>
      <c r="AO29" s="15" t="e">
        <f>Y29+#REF!+AA29+AC29</f>
        <v>#REF!</v>
      </c>
      <c r="AP29" s="15"/>
      <c r="AQ29" s="15"/>
      <c r="AR29" s="15" t="e">
        <f t="shared" si="2"/>
        <v>#REF!</v>
      </c>
      <c r="AS29" s="15" t="e">
        <f t="shared" si="2"/>
        <v>#REF!</v>
      </c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</row>
    <row r="30" spans="1:70">
      <c r="A30" s="8" t="s">
        <v>290</v>
      </c>
      <c r="B30" s="15"/>
      <c r="C30" s="15">
        <v>10422</v>
      </c>
      <c r="D30" s="15"/>
      <c r="E30" s="15">
        <v>8000</v>
      </c>
      <c r="F30" s="15"/>
      <c r="G30" s="15"/>
      <c r="H30" s="15"/>
      <c r="I30" s="15">
        <v>4125</v>
      </c>
      <c r="J30" s="15"/>
      <c r="K30" s="15"/>
      <c r="L30" s="15"/>
      <c r="M30" s="15"/>
      <c r="N30" s="15"/>
      <c r="O30" s="15"/>
      <c r="P30" s="15"/>
      <c r="Q30" s="15"/>
      <c r="R30" s="15"/>
      <c r="S30" s="15">
        <v>19181</v>
      </c>
      <c r="T30" s="15"/>
      <c r="U30" s="15">
        <v>5891</v>
      </c>
      <c r="V30" s="15"/>
      <c r="W30" s="15"/>
      <c r="X30" s="15"/>
      <c r="Y30" s="15">
        <v>131737</v>
      </c>
      <c r="Z30" s="15"/>
      <c r="AA30" s="15"/>
      <c r="AB30" s="15"/>
      <c r="AC30" s="15"/>
      <c r="AD30" s="15"/>
      <c r="AE30" s="15">
        <v>18590</v>
      </c>
      <c r="AF30" s="15">
        <f t="shared" si="1"/>
        <v>0</v>
      </c>
      <c r="AG30" s="15">
        <f t="shared" si="1"/>
        <v>197946</v>
      </c>
      <c r="AH30" s="15">
        <f>SUM(AF27:AF30)</f>
        <v>2020000</v>
      </c>
      <c r="AI30" s="15">
        <f>SUM(AG27:AG30)</f>
        <v>465218</v>
      </c>
      <c r="AJ30" s="8">
        <v>2018</v>
      </c>
      <c r="AL30" s="15" t="e">
        <f>B30+#REF!+F30+#REF!+J30+L30+N30+P30+#REF!+#REF!+R30+T30+V30</f>
        <v>#REF!</v>
      </c>
      <c r="AM30" s="15" t="e">
        <f>C30+#REF!+G30+#REF!+K30+M30+O30+Q30+#REF!+#REF!+S30+U30+W30</f>
        <v>#REF!</v>
      </c>
      <c r="AN30" s="15" t="e">
        <f>X30+#REF!+Z30+AB30</f>
        <v>#REF!</v>
      </c>
      <c r="AO30" s="15" t="e">
        <f>Y30+#REF!+AA30+AC30</f>
        <v>#REF!</v>
      </c>
      <c r="AP30" s="15"/>
      <c r="AQ30" s="15"/>
      <c r="AR30" s="15" t="e">
        <f t="shared" si="2"/>
        <v>#REF!</v>
      </c>
      <c r="AS30" s="15" t="e">
        <f t="shared" si="2"/>
        <v>#REF!</v>
      </c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</row>
    <row r="31" spans="1:70">
      <c r="A31" s="11" t="s">
        <v>291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>
        <v>180000</v>
      </c>
      <c r="W31" s="15">
        <v>15844</v>
      </c>
      <c r="X31" s="15"/>
      <c r="Y31" s="15"/>
      <c r="Z31" s="15"/>
      <c r="AA31" s="15"/>
      <c r="AB31" s="15">
        <v>70000</v>
      </c>
      <c r="AC31" s="15">
        <v>1841</v>
      </c>
      <c r="AD31" s="15"/>
      <c r="AE31" s="15"/>
      <c r="AF31" s="15">
        <f t="shared" si="1"/>
        <v>250000</v>
      </c>
      <c r="AG31" s="15">
        <f t="shared" si="1"/>
        <v>17685</v>
      </c>
      <c r="AH31" s="15"/>
      <c r="AI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</row>
    <row r="32" spans="1:70">
      <c r="A32" s="8" t="s">
        <v>292</v>
      </c>
      <c r="B32" s="15">
        <v>325000</v>
      </c>
      <c r="C32" s="15">
        <v>10422</v>
      </c>
      <c r="D32" s="15">
        <v>160000</v>
      </c>
      <c r="E32" s="15">
        <v>8000</v>
      </c>
      <c r="F32" s="15"/>
      <c r="G32" s="15"/>
      <c r="H32" s="15">
        <v>55000</v>
      </c>
      <c r="I32" s="15">
        <v>4125</v>
      </c>
      <c r="J32" s="15"/>
      <c r="K32" s="15"/>
      <c r="L32" s="15"/>
      <c r="M32" s="15"/>
      <c r="N32" s="15"/>
      <c r="O32" s="15"/>
      <c r="P32" s="15"/>
      <c r="Q32" s="15"/>
      <c r="R32" s="15">
        <v>225000</v>
      </c>
      <c r="S32" s="15">
        <v>19181</v>
      </c>
      <c r="T32" s="15">
        <v>65000</v>
      </c>
      <c r="U32" s="15">
        <v>5891</v>
      </c>
      <c r="V32" s="15"/>
      <c r="W32" s="15"/>
      <c r="X32" s="15">
        <v>665000</v>
      </c>
      <c r="Y32" s="15">
        <v>131738</v>
      </c>
      <c r="Z32" s="15"/>
      <c r="AA32" s="15"/>
      <c r="AB32" s="15"/>
      <c r="AC32" s="15"/>
      <c r="AD32" s="15">
        <v>175000</v>
      </c>
      <c r="AE32" s="15">
        <v>18590</v>
      </c>
      <c r="AF32" s="15">
        <f t="shared" si="1"/>
        <v>1670000</v>
      </c>
      <c r="AG32" s="15">
        <f t="shared" si="1"/>
        <v>197947</v>
      </c>
      <c r="AH32" s="15"/>
      <c r="AI32" s="15"/>
      <c r="AL32" s="15" t="e">
        <f>B32+#REF!+F32+#REF!+J32+L32+N32+P32+#REF!+#REF!+R32+T32+V32</f>
        <v>#REF!</v>
      </c>
      <c r="AM32" s="15" t="e">
        <f>C32+#REF!+G32+#REF!+K32+M32+O32+Q32+#REF!+#REF!+S32+U32+W32</f>
        <v>#REF!</v>
      </c>
      <c r="AN32" s="15" t="e">
        <f>X32+#REF!+Z32+AB32</f>
        <v>#REF!</v>
      </c>
      <c r="AO32" s="15" t="e">
        <f>Y32+#REF!+AA32+AC32</f>
        <v>#REF!</v>
      </c>
      <c r="AP32" s="15"/>
      <c r="AQ32" s="15"/>
      <c r="AR32" s="15" t="e">
        <f>(AL32+AN32+AP32)</f>
        <v>#REF!</v>
      </c>
      <c r="AS32" s="15" t="e">
        <f>(AM32+AO32+AQ32)</f>
        <v>#REF!</v>
      </c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</row>
    <row r="33" spans="1:70">
      <c r="A33" s="11" t="s">
        <v>293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>
        <v>14381</v>
      </c>
      <c r="X33" s="15"/>
      <c r="Y33" s="15"/>
      <c r="Z33" s="15"/>
      <c r="AA33" s="15"/>
      <c r="AB33" s="15"/>
      <c r="AC33" s="15">
        <v>966</v>
      </c>
      <c r="AD33" s="15"/>
      <c r="AE33" s="15"/>
      <c r="AF33" s="15">
        <f t="shared" si="1"/>
        <v>0</v>
      </c>
      <c r="AG33" s="15">
        <f t="shared" si="1"/>
        <v>15347</v>
      </c>
      <c r="AH33" s="15"/>
      <c r="AI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</row>
    <row r="34" spans="1:70">
      <c r="A34" s="8" t="s">
        <v>294</v>
      </c>
      <c r="B34" s="15"/>
      <c r="C34" s="15">
        <v>5547</v>
      </c>
      <c r="D34" s="15"/>
      <c r="E34" s="15">
        <v>4000</v>
      </c>
      <c r="F34" s="15"/>
      <c r="G34" s="15"/>
      <c r="H34" s="15"/>
      <c r="I34" s="15">
        <v>2750</v>
      </c>
      <c r="J34" s="15"/>
      <c r="K34" s="15"/>
      <c r="L34" s="15"/>
      <c r="M34" s="15"/>
      <c r="N34" s="15"/>
      <c r="O34" s="15"/>
      <c r="P34" s="15"/>
      <c r="Q34" s="15"/>
      <c r="R34" s="15"/>
      <c r="S34" s="15">
        <v>14541</v>
      </c>
      <c r="T34" s="15"/>
      <c r="U34" s="15">
        <v>4509</v>
      </c>
      <c r="V34" s="15"/>
      <c r="W34" s="15"/>
      <c r="X34" s="15"/>
      <c r="Y34" s="15">
        <v>120100</v>
      </c>
      <c r="Z34" s="15"/>
      <c r="AA34" s="15"/>
      <c r="AB34" s="15"/>
      <c r="AC34" s="15"/>
      <c r="AD34" s="15"/>
      <c r="AE34" s="15">
        <v>16840</v>
      </c>
      <c r="AF34" s="15">
        <f t="shared" si="1"/>
        <v>0</v>
      </c>
      <c r="AG34" s="15">
        <f t="shared" si="1"/>
        <v>168287</v>
      </c>
      <c r="AH34" s="15">
        <f>SUM(AF31:AF34)</f>
        <v>1920000</v>
      </c>
      <c r="AI34" s="15">
        <f>SUM(AG31:AG34)</f>
        <v>399266</v>
      </c>
      <c r="AJ34" s="8">
        <v>2019</v>
      </c>
      <c r="AL34" s="15" t="e">
        <f>B34+#REF!+F34+#REF!+J34+L34+N34+P34+#REF!+#REF!+R34+T34+V34</f>
        <v>#REF!</v>
      </c>
      <c r="AM34" s="15" t="e">
        <f>C34+#REF!+G34+#REF!+K34+M34+O34+Q34+#REF!+#REF!+S34+U34+W34</f>
        <v>#REF!</v>
      </c>
      <c r="AN34" s="15" t="e">
        <f>X34+#REF!+Z34+AB34</f>
        <v>#REF!</v>
      </c>
      <c r="AO34" s="15" t="e">
        <f>Y34+#REF!+AA34+AC34</f>
        <v>#REF!</v>
      </c>
      <c r="AP34" s="15"/>
      <c r="AQ34" s="15"/>
      <c r="AR34" s="15" t="e">
        <f>(AL34+AN34+AP34)</f>
        <v>#REF!</v>
      </c>
      <c r="AS34" s="15" t="e">
        <f>(AM34+AO34+AQ34)</f>
        <v>#REF!</v>
      </c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</row>
    <row r="35" spans="1:70">
      <c r="A35" s="11" t="s">
        <v>295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>
        <v>185000</v>
      </c>
      <c r="W35" s="15">
        <v>14381</v>
      </c>
      <c r="X35" s="15"/>
      <c r="Y35" s="15"/>
      <c r="Z35" s="15"/>
      <c r="AA35" s="15"/>
      <c r="AB35" s="15">
        <v>77279</v>
      </c>
      <c r="AC35" s="15">
        <v>966</v>
      </c>
      <c r="AD35" s="15"/>
      <c r="AE35" s="15"/>
      <c r="AF35" s="15">
        <f t="shared" si="1"/>
        <v>262279</v>
      </c>
      <c r="AG35" s="15">
        <f t="shared" si="1"/>
        <v>15347</v>
      </c>
      <c r="AH35" s="15"/>
      <c r="AI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</row>
    <row r="36" spans="1:70">
      <c r="A36" s="8" t="s">
        <v>296</v>
      </c>
      <c r="B36" s="15">
        <v>355000</v>
      </c>
      <c r="C36" s="15">
        <v>5547</v>
      </c>
      <c r="D36" s="15">
        <v>160000</v>
      </c>
      <c r="E36" s="15">
        <v>4000</v>
      </c>
      <c r="F36" s="15"/>
      <c r="G36" s="15"/>
      <c r="H36" s="15">
        <v>55000</v>
      </c>
      <c r="I36" s="15">
        <v>2750</v>
      </c>
      <c r="J36" s="15"/>
      <c r="K36" s="15"/>
      <c r="L36" s="15"/>
      <c r="M36" s="15"/>
      <c r="N36" s="15"/>
      <c r="O36" s="15"/>
      <c r="P36" s="15"/>
      <c r="Q36" s="15"/>
      <c r="R36" s="15">
        <v>225000</v>
      </c>
      <c r="S36" s="15">
        <v>14541</v>
      </c>
      <c r="T36" s="15">
        <v>65000</v>
      </c>
      <c r="U36" s="15">
        <v>4509</v>
      </c>
      <c r="V36" s="15"/>
      <c r="W36" s="15"/>
      <c r="X36" s="15">
        <v>655000</v>
      </c>
      <c r="Y36" s="15">
        <v>120100</v>
      </c>
      <c r="Z36" s="15"/>
      <c r="AA36" s="15"/>
      <c r="AB36" s="15"/>
      <c r="AC36" s="15"/>
      <c r="AD36" s="15">
        <v>180000</v>
      </c>
      <c r="AE36" s="15">
        <v>16840</v>
      </c>
      <c r="AF36" s="15">
        <f t="shared" si="1"/>
        <v>1695000</v>
      </c>
      <c r="AG36" s="15">
        <f t="shared" si="1"/>
        <v>168287</v>
      </c>
      <c r="AH36" s="15"/>
      <c r="AI36" s="15"/>
      <c r="AL36" s="15" t="e">
        <f>B36+#REF!+F36+#REF!+J36+L36+N36+P36+#REF!+#REF!+R36+T36+V36</f>
        <v>#REF!</v>
      </c>
      <c r="AM36" s="15" t="e">
        <f>C36+#REF!+G36+#REF!+K36+M36+O36+Q36+#REF!+#REF!+S36+U36+W36</f>
        <v>#REF!</v>
      </c>
      <c r="AN36" s="15" t="e">
        <f>X36+#REF!+Z36+AB36</f>
        <v>#REF!</v>
      </c>
      <c r="AO36" s="15" t="e">
        <f>Y36+#REF!+AA36+AC36</f>
        <v>#REF!</v>
      </c>
      <c r="AP36" s="15"/>
      <c r="AQ36" s="15"/>
      <c r="AR36" s="15" t="e">
        <f t="shared" ref="AR36:AS42" si="3">(AL36+AN36+AP36)</f>
        <v>#REF!</v>
      </c>
      <c r="AS36" s="15" t="e">
        <f t="shared" si="3"/>
        <v>#REF!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</row>
    <row r="37" spans="1:70">
      <c r="A37" s="11" t="s">
        <v>297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>
        <v>12878</v>
      </c>
      <c r="X37" s="15"/>
      <c r="Y37" s="15"/>
      <c r="Z37" s="15"/>
      <c r="AA37" s="15"/>
      <c r="AB37" s="15"/>
      <c r="AC37" s="15"/>
      <c r="AD37" s="15"/>
      <c r="AE37" s="15"/>
      <c r="AF37" s="15">
        <f t="shared" si="1"/>
        <v>0</v>
      </c>
      <c r="AG37" s="15">
        <f t="shared" si="1"/>
        <v>12878</v>
      </c>
      <c r="AH37" s="15"/>
      <c r="AI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</row>
    <row r="38" spans="1:70">
      <c r="A38" s="8" t="s">
        <v>298</v>
      </c>
      <c r="B38" s="15"/>
      <c r="C38" s="15"/>
      <c r="D38" s="15"/>
      <c r="E38" s="15"/>
      <c r="F38" s="15"/>
      <c r="G38" s="15"/>
      <c r="H38" s="15"/>
      <c r="I38" s="15">
        <v>1375</v>
      </c>
      <c r="J38" s="15"/>
      <c r="K38" s="15"/>
      <c r="L38" s="15"/>
      <c r="M38" s="15"/>
      <c r="N38" s="15"/>
      <c r="O38" s="15"/>
      <c r="P38" s="15"/>
      <c r="Q38" s="15"/>
      <c r="R38" s="15"/>
      <c r="S38" s="15">
        <v>9759</v>
      </c>
      <c r="T38" s="15"/>
      <c r="U38" s="16">
        <v>3088</v>
      </c>
      <c r="V38" s="15"/>
      <c r="W38" s="15"/>
      <c r="X38" s="15"/>
      <c r="Y38" s="15">
        <v>107000</v>
      </c>
      <c r="Z38" s="15"/>
      <c r="AA38" s="15"/>
      <c r="AB38" s="15"/>
      <c r="AC38" s="15"/>
      <c r="AD38" s="15"/>
      <c r="AE38" s="15">
        <v>15040</v>
      </c>
      <c r="AF38" s="15">
        <f t="shared" si="1"/>
        <v>0</v>
      </c>
      <c r="AG38" s="15">
        <f t="shared" si="1"/>
        <v>136262</v>
      </c>
      <c r="AH38" s="15">
        <f>SUM(AF35:AF38)</f>
        <v>1957279</v>
      </c>
      <c r="AI38" s="15">
        <f>SUM(AG35:AG38)</f>
        <v>332774</v>
      </c>
      <c r="AJ38" s="8">
        <v>2020</v>
      </c>
      <c r="AL38" s="15" t="e">
        <f>B38+#REF!+F38+#REF!+J38+L38+N38+P38+#REF!+#REF!+R38+T38+V38</f>
        <v>#REF!</v>
      </c>
      <c r="AM38" s="15" t="e">
        <f>C38+#REF!+G38+#REF!+K38+M38+O38+Q38+#REF!+#REF!+S38+U38+W38</f>
        <v>#REF!</v>
      </c>
      <c r="AN38" s="15" t="e">
        <f>X38+#REF!+Z38+AB38</f>
        <v>#REF!</v>
      </c>
      <c r="AO38" s="15" t="e">
        <f>Y38+#REF!+AA38+AC38</f>
        <v>#REF!</v>
      </c>
      <c r="AP38" s="15"/>
      <c r="AQ38" s="15"/>
      <c r="AR38" s="15" t="e">
        <f t="shared" si="3"/>
        <v>#REF!</v>
      </c>
      <c r="AS38" s="15" t="e">
        <f t="shared" si="3"/>
        <v>#REF!</v>
      </c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</row>
    <row r="39" spans="1:70">
      <c r="A39" s="11" t="s">
        <v>299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>
        <v>185000</v>
      </c>
      <c r="W39" s="15">
        <v>12878</v>
      </c>
      <c r="X39" s="15"/>
      <c r="Y39" s="15"/>
      <c r="Z39" s="15"/>
      <c r="AA39" s="15"/>
      <c r="AB39" s="15"/>
      <c r="AC39" s="15"/>
      <c r="AD39" s="15"/>
      <c r="AE39" s="15"/>
      <c r="AF39" s="15">
        <f t="shared" si="1"/>
        <v>185000</v>
      </c>
      <c r="AG39" s="15">
        <f t="shared" si="1"/>
        <v>12878</v>
      </c>
      <c r="AH39" s="15"/>
      <c r="AI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</row>
    <row r="40" spans="1:70">
      <c r="A40" s="8" t="s">
        <v>300</v>
      </c>
      <c r="B40" s="15"/>
      <c r="C40" s="15"/>
      <c r="D40" s="15"/>
      <c r="E40" s="15"/>
      <c r="F40" s="15"/>
      <c r="G40" s="15"/>
      <c r="H40" s="15">
        <v>55000</v>
      </c>
      <c r="I40" s="15">
        <v>1375</v>
      </c>
      <c r="J40" s="15"/>
      <c r="K40" s="15"/>
      <c r="L40" s="15"/>
      <c r="M40" s="15"/>
      <c r="N40" s="15"/>
      <c r="O40" s="15"/>
      <c r="P40" s="15"/>
      <c r="Q40" s="15"/>
      <c r="R40" s="15">
        <v>225000</v>
      </c>
      <c r="S40" s="15">
        <v>9759</v>
      </c>
      <c r="T40" s="15">
        <v>65000</v>
      </c>
      <c r="U40" s="16">
        <v>3087</v>
      </c>
      <c r="V40" s="15"/>
      <c r="W40" s="15"/>
      <c r="X40" s="15">
        <v>740000</v>
      </c>
      <c r="Y40" s="15">
        <v>107000</v>
      </c>
      <c r="Z40" s="15"/>
      <c r="AA40" s="15"/>
      <c r="AB40" s="15"/>
      <c r="AC40" s="15"/>
      <c r="AD40" s="15">
        <v>185000</v>
      </c>
      <c r="AE40" s="15">
        <v>15040</v>
      </c>
      <c r="AF40" s="15">
        <f t="shared" si="1"/>
        <v>1270000</v>
      </c>
      <c r="AG40" s="15">
        <f t="shared" si="1"/>
        <v>136261</v>
      </c>
      <c r="AH40" s="15"/>
      <c r="AI40" s="15"/>
      <c r="AL40" s="15" t="e">
        <f>B40+#REF!+F40+#REF!+J40+L40+N40+P40+#REF!+#REF!+R40+T40+V40</f>
        <v>#REF!</v>
      </c>
      <c r="AM40" s="15" t="e">
        <f>C40+#REF!+G40+#REF!+K40+M40+O40+Q40+#REF!+#REF!+S40+U40+W40</f>
        <v>#REF!</v>
      </c>
      <c r="AN40" s="15" t="e">
        <f>X40+#REF!+Z40+AB40</f>
        <v>#REF!</v>
      </c>
      <c r="AO40" s="15" t="e">
        <f>Y40+#REF!+AA40+AC40</f>
        <v>#REF!</v>
      </c>
      <c r="AP40" s="15"/>
      <c r="AQ40" s="15"/>
      <c r="AR40" s="15" t="e">
        <f t="shared" si="3"/>
        <v>#REF!</v>
      </c>
      <c r="AS40" s="15" t="e">
        <f t="shared" si="3"/>
        <v>#REF!</v>
      </c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</row>
    <row r="41" spans="1:70">
      <c r="A41" s="11" t="s">
        <v>301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>
        <v>11375</v>
      </c>
      <c r="X41" s="15"/>
      <c r="Y41" s="15"/>
      <c r="Z41" s="15"/>
      <c r="AA41" s="15"/>
      <c r="AB41" s="15"/>
      <c r="AC41" s="15"/>
      <c r="AD41" s="15"/>
      <c r="AE41" s="15"/>
      <c r="AF41" s="15">
        <f t="shared" si="1"/>
        <v>0</v>
      </c>
      <c r="AG41" s="15">
        <f t="shared" si="1"/>
        <v>11375</v>
      </c>
      <c r="AH41" s="15"/>
      <c r="AI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</row>
    <row r="42" spans="1:70">
      <c r="A42" s="8" t="s">
        <v>302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4922</v>
      </c>
      <c r="T42" s="15"/>
      <c r="U42" s="15">
        <v>1625</v>
      </c>
      <c r="V42" s="15"/>
      <c r="W42" s="15"/>
      <c r="X42" s="15"/>
      <c r="Y42" s="15">
        <v>92200</v>
      </c>
      <c r="Z42" s="15"/>
      <c r="AA42" s="15"/>
      <c r="AB42" s="15"/>
      <c r="AC42" s="15"/>
      <c r="AD42" s="15"/>
      <c r="AE42" s="15">
        <v>13051.25</v>
      </c>
      <c r="AF42" s="15">
        <f t="shared" si="1"/>
        <v>0</v>
      </c>
      <c r="AG42" s="15">
        <f t="shared" si="1"/>
        <v>111798.25</v>
      </c>
      <c r="AH42" s="15">
        <f>SUM(AF39:AF42)</f>
        <v>1455000</v>
      </c>
      <c r="AI42" s="15">
        <f>SUM(AG39:AG42)</f>
        <v>272312.25</v>
      </c>
      <c r="AJ42" s="8">
        <v>2021</v>
      </c>
      <c r="AL42" s="15" t="e">
        <f>B42+#REF!+F42+#REF!+J42+L42+N42+P42+#REF!+#REF!+R42+T42+V42</f>
        <v>#REF!</v>
      </c>
      <c r="AM42" s="15" t="e">
        <f>C42+#REF!+G42+#REF!+K42+M42+O42+Q42+#REF!+#REF!+S42+U42+W42</f>
        <v>#REF!</v>
      </c>
      <c r="AN42" s="15" t="e">
        <f>X42+#REF!+Z42+AB42</f>
        <v>#REF!</v>
      </c>
      <c r="AO42" s="15" t="e">
        <f>Y42+#REF!+AA42+AC42</f>
        <v>#REF!</v>
      </c>
      <c r="AP42" s="15"/>
      <c r="AQ42" s="15"/>
      <c r="AR42" s="15" t="e">
        <f t="shared" si="3"/>
        <v>#REF!</v>
      </c>
      <c r="AS42" s="15" t="e">
        <f t="shared" si="3"/>
        <v>#REF!</v>
      </c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</row>
    <row r="43" spans="1:70">
      <c r="A43" s="11" t="s">
        <v>303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>
        <v>190000</v>
      </c>
      <c r="W43" s="15">
        <v>11375</v>
      </c>
      <c r="X43" s="15"/>
      <c r="Y43" s="15"/>
      <c r="Z43" s="15"/>
      <c r="AA43" s="15"/>
      <c r="AB43" s="15"/>
      <c r="AC43" s="15"/>
      <c r="AD43" s="15"/>
      <c r="AE43" s="15"/>
      <c r="AF43" s="15">
        <f t="shared" si="1"/>
        <v>190000</v>
      </c>
      <c r="AG43" s="15">
        <f t="shared" si="1"/>
        <v>11375</v>
      </c>
      <c r="AH43" s="15"/>
      <c r="AI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</row>
    <row r="44" spans="1:70">
      <c r="A44" s="8" t="s">
        <v>304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>
        <v>225000</v>
      </c>
      <c r="S44" s="15">
        <v>4922</v>
      </c>
      <c r="T44" s="15">
        <v>65000</v>
      </c>
      <c r="U44" s="15">
        <v>1625</v>
      </c>
      <c r="V44" s="15"/>
      <c r="W44" s="15"/>
      <c r="X44" s="15">
        <v>730000</v>
      </c>
      <c r="Y44" s="15">
        <v>92200</v>
      </c>
      <c r="Z44" s="15"/>
      <c r="AA44" s="15"/>
      <c r="AB44" s="15"/>
      <c r="AC44" s="15"/>
      <c r="AD44" s="15">
        <v>195000</v>
      </c>
      <c r="AE44" s="15">
        <v>13051.25</v>
      </c>
      <c r="AF44" s="15">
        <f t="shared" si="1"/>
        <v>1215000</v>
      </c>
      <c r="AG44" s="15">
        <f t="shared" si="1"/>
        <v>111798.25</v>
      </c>
      <c r="AL44" s="15" t="e">
        <f>B44+#REF!+F44+#REF!+J44+L44+N44+P44+#REF!+#REF!+R44+T44+V44</f>
        <v>#REF!</v>
      </c>
      <c r="AM44" s="15" t="e">
        <f>C44+#REF!+G44+#REF!+K44+M44+O44+Q44+#REF!+#REF!+S44+U44+W44</f>
        <v>#REF!</v>
      </c>
      <c r="AN44" s="15" t="e">
        <f>X44+#REF!+Z44+AB44</f>
        <v>#REF!</v>
      </c>
      <c r="AO44" s="15" t="e">
        <f>Y44+#REF!+AA44+AC44</f>
        <v>#REF!</v>
      </c>
      <c r="AP44" s="15"/>
      <c r="AQ44" s="15"/>
      <c r="AR44" s="15" t="e">
        <f>(AL44+AN44+AP44)</f>
        <v>#REF!</v>
      </c>
      <c r="AS44" s="15" t="e">
        <f>(AM44+AO44+AQ44)</f>
        <v>#REF!</v>
      </c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</row>
    <row r="45" spans="1:70">
      <c r="A45" s="11" t="s">
        <v>305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>
        <v>9831</v>
      </c>
      <c r="X45" s="15"/>
      <c r="Y45" s="15"/>
      <c r="Z45" s="15"/>
      <c r="AA45" s="15"/>
      <c r="AB45" s="15"/>
      <c r="AC45" s="15"/>
      <c r="AD45" s="15"/>
      <c r="AE45" s="15"/>
      <c r="AF45" s="15">
        <f t="shared" si="1"/>
        <v>0</v>
      </c>
      <c r="AG45" s="15">
        <f t="shared" si="1"/>
        <v>9831</v>
      </c>
      <c r="AH45" s="15"/>
      <c r="AI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</row>
    <row r="46" spans="1:70">
      <c r="A46" s="11" t="s">
        <v>306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>
        <v>77600</v>
      </c>
      <c r="Z46" s="15"/>
      <c r="AA46" s="15"/>
      <c r="AB46" s="15"/>
      <c r="AC46" s="15"/>
      <c r="AD46" s="15"/>
      <c r="AE46" s="15">
        <v>10857.5</v>
      </c>
      <c r="AF46" s="15">
        <f t="shared" si="1"/>
        <v>0</v>
      </c>
      <c r="AG46" s="15">
        <f t="shared" si="1"/>
        <v>88457.5</v>
      </c>
      <c r="AH46" s="15">
        <f>SUM(AF43:AF46)</f>
        <v>1405000</v>
      </c>
      <c r="AI46" s="15">
        <f>SUM(AG43:AG46)</f>
        <v>221461.75</v>
      </c>
      <c r="AJ46" s="8">
        <v>2022</v>
      </c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</row>
    <row r="47" spans="1:70">
      <c r="A47" s="11" t="s">
        <v>307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>
        <v>195000</v>
      </c>
      <c r="W47" s="15">
        <v>9831</v>
      </c>
      <c r="X47" s="15"/>
      <c r="Y47" s="15"/>
      <c r="Z47" s="15"/>
      <c r="AA47" s="15"/>
      <c r="AB47" s="15"/>
      <c r="AC47" s="15"/>
      <c r="AD47" s="15"/>
      <c r="AE47" s="15"/>
      <c r="AF47" s="15">
        <f t="shared" si="1"/>
        <v>195000</v>
      </c>
      <c r="AG47" s="15">
        <f t="shared" si="1"/>
        <v>9831</v>
      </c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</row>
    <row r="48" spans="1:70">
      <c r="A48" s="11" t="s">
        <v>308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>
        <v>920000</v>
      </c>
      <c r="Y48" s="15">
        <v>77600</v>
      </c>
      <c r="Z48" s="15"/>
      <c r="AA48" s="15"/>
      <c r="AB48" s="15"/>
      <c r="AC48" s="15"/>
      <c r="AD48" s="15">
        <v>200000</v>
      </c>
      <c r="AE48" s="15">
        <v>10857.5</v>
      </c>
      <c r="AF48" s="15">
        <f t="shared" si="1"/>
        <v>1120000</v>
      </c>
      <c r="AG48" s="15">
        <f t="shared" si="1"/>
        <v>88457.5</v>
      </c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</row>
    <row r="49" spans="1:70">
      <c r="A49" s="11" t="s">
        <v>309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>
        <v>8247</v>
      </c>
      <c r="X49" s="15"/>
      <c r="Y49" s="15"/>
      <c r="Z49" s="15"/>
      <c r="AA49" s="15"/>
      <c r="AB49" s="15"/>
      <c r="AC49" s="15"/>
      <c r="AD49" s="15"/>
      <c r="AE49" s="15"/>
      <c r="AF49" s="15">
        <f t="shared" si="1"/>
        <v>0</v>
      </c>
      <c r="AG49" s="15">
        <f t="shared" si="1"/>
        <v>8247</v>
      </c>
      <c r="AH49" s="15"/>
      <c r="AI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</row>
    <row r="50" spans="1:70">
      <c r="A50" s="11" t="s">
        <v>310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>
        <v>59200</v>
      </c>
      <c r="Z50" s="15"/>
      <c r="AA50" s="15"/>
      <c r="AB50" s="15"/>
      <c r="AC50" s="15"/>
      <c r="AD50" s="15"/>
      <c r="AE50" s="15">
        <v>8457.5</v>
      </c>
      <c r="AF50" s="15">
        <f t="shared" si="1"/>
        <v>0</v>
      </c>
      <c r="AG50" s="15">
        <f t="shared" si="1"/>
        <v>67657.5</v>
      </c>
      <c r="AH50" s="15">
        <f>SUM(AF47:AF50)</f>
        <v>1315000</v>
      </c>
      <c r="AI50" s="15">
        <f>SUM(AG47:AG50)</f>
        <v>174193</v>
      </c>
      <c r="AJ50" s="8">
        <v>2023</v>
      </c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</row>
    <row r="51" spans="1:70">
      <c r="A51" s="11" t="s">
        <v>311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>
        <v>195000</v>
      </c>
      <c r="W51" s="16">
        <v>8246</v>
      </c>
      <c r="X51" s="15"/>
      <c r="Y51" s="15"/>
      <c r="Z51" s="15"/>
      <c r="AA51" s="15"/>
      <c r="AB51" s="15"/>
      <c r="AC51" s="15"/>
      <c r="AD51" s="15"/>
      <c r="AE51" s="15"/>
      <c r="AF51" s="15">
        <f t="shared" si="1"/>
        <v>195000</v>
      </c>
      <c r="AG51" s="15">
        <f t="shared" si="1"/>
        <v>8246</v>
      </c>
      <c r="AH51" s="15"/>
      <c r="AI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</row>
    <row r="52" spans="1:70">
      <c r="A52" s="11" t="s">
        <v>312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>
        <v>960000</v>
      </c>
      <c r="Y52" s="15">
        <v>59200</v>
      </c>
      <c r="Z52" s="15"/>
      <c r="AA52" s="15"/>
      <c r="AB52" s="15"/>
      <c r="AC52" s="15"/>
      <c r="AD52" s="15">
        <v>210000</v>
      </c>
      <c r="AE52" s="15">
        <v>8457.5</v>
      </c>
      <c r="AF52" s="15">
        <f t="shared" si="1"/>
        <v>1170000</v>
      </c>
      <c r="AG52" s="15">
        <f t="shared" si="1"/>
        <v>67657.5</v>
      </c>
      <c r="AH52" s="15"/>
      <c r="AI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</row>
    <row r="53" spans="1:70">
      <c r="A53" s="11" t="s">
        <v>313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>
        <v>6663</v>
      </c>
      <c r="X53" s="15"/>
      <c r="Y53" s="15"/>
      <c r="Z53" s="15"/>
      <c r="AA53" s="15"/>
      <c r="AB53" s="15"/>
      <c r="AC53" s="15"/>
      <c r="AD53" s="15"/>
      <c r="AE53" s="15"/>
      <c r="AF53" s="15">
        <f t="shared" si="1"/>
        <v>0</v>
      </c>
      <c r="AG53" s="15">
        <f t="shared" si="1"/>
        <v>6663</v>
      </c>
      <c r="AH53" s="15"/>
      <c r="AI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</row>
    <row r="54" spans="1:70">
      <c r="A54" s="11" t="s">
        <v>314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>
        <v>40000</v>
      </c>
      <c r="Z54" s="15"/>
      <c r="AA54" s="15"/>
      <c r="AB54" s="15"/>
      <c r="AC54" s="15"/>
      <c r="AD54" s="15"/>
      <c r="AE54" s="15">
        <v>5832.5</v>
      </c>
      <c r="AF54" s="15">
        <f t="shared" si="1"/>
        <v>0</v>
      </c>
      <c r="AG54" s="15">
        <f t="shared" si="1"/>
        <v>45832.5</v>
      </c>
      <c r="AH54" s="15">
        <f>SUM(AF51:AF54)</f>
        <v>1365000</v>
      </c>
      <c r="AI54" s="15">
        <f>SUM(AG51:AG54)</f>
        <v>128399</v>
      </c>
      <c r="AJ54" s="8">
        <v>2024</v>
      </c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</row>
    <row r="55" spans="1:70">
      <c r="A55" s="11" t="s">
        <v>315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>
        <v>200000</v>
      </c>
      <c r="W55" s="15">
        <v>6663</v>
      </c>
      <c r="X55" s="15"/>
      <c r="Y55" s="15"/>
      <c r="Z55" s="15"/>
      <c r="AA55" s="15"/>
      <c r="AB55" s="15"/>
      <c r="AC55" s="15"/>
      <c r="AD55" s="15"/>
      <c r="AE55" s="15"/>
      <c r="AF55" s="15">
        <f t="shared" si="1"/>
        <v>200000</v>
      </c>
      <c r="AG55" s="15">
        <f t="shared" si="1"/>
        <v>6663</v>
      </c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</row>
    <row r="56" spans="1:70">
      <c r="A56" s="11" t="s">
        <v>316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>
        <v>1000000</v>
      </c>
      <c r="Y56" s="15">
        <v>40000</v>
      </c>
      <c r="Z56" s="15"/>
      <c r="AA56" s="15"/>
      <c r="AB56" s="15"/>
      <c r="AC56" s="15"/>
      <c r="AD56" s="15">
        <v>215000</v>
      </c>
      <c r="AE56" s="15">
        <v>5832.5</v>
      </c>
      <c r="AF56" s="15">
        <f t="shared" si="1"/>
        <v>1215000</v>
      </c>
      <c r="AG56" s="15">
        <f t="shared" si="1"/>
        <v>45832.5</v>
      </c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</row>
    <row r="57" spans="1:70">
      <c r="A57" s="11" t="s">
        <v>317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>
        <v>5037</v>
      </c>
      <c r="X57" s="15"/>
      <c r="Y57" s="15"/>
      <c r="Z57" s="15"/>
      <c r="AA57" s="15"/>
      <c r="AB57" s="15"/>
      <c r="AC57" s="15"/>
      <c r="AD57" s="15"/>
      <c r="AE57" s="15"/>
      <c r="AF57" s="15">
        <f t="shared" si="1"/>
        <v>0</v>
      </c>
      <c r="AG57" s="15">
        <f t="shared" si="1"/>
        <v>5037</v>
      </c>
      <c r="AH57" s="15"/>
      <c r="AI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</row>
    <row r="58" spans="1:70">
      <c r="A58" s="11" t="s">
        <v>318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>
        <v>20000</v>
      </c>
      <c r="Z58" s="15"/>
      <c r="AA58" s="15"/>
      <c r="AB58" s="15"/>
      <c r="AC58" s="15"/>
      <c r="AD58" s="15"/>
      <c r="AE58" s="15">
        <v>3037.5</v>
      </c>
      <c r="AF58" s="15">
        <f t="shared" si="1"/>
        <v>0</v>
      </c>
      <c r="AG58" s="15">
        <f t="shared" si="1"/>
        <v>23037.5</v>
      </c>
      <c r="AH58" s="15">
        <f>SUM(AF55:AF58)</f>
        <v>1415000</v>
      </c>
      <c r="AI58" s="15">
        <f>SUM(AG55:AG58)</f>
        <v>80570</v>
      </c>
      <c r="AJ58" s="8">
        <v>2025</v>
      </c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</row>
    <row r="59" spans="1:70">
      <c r="A59" s="11" t="s">
        <v>319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>
        <v>205000</v>
      </c>
      <c r="W59" s="16">
        <v>5038</v>
      </c>
      <c r="X59" s="15"/>
      <c r="Y59" s="15"/>
      <c r="Z59" s="15"/>
      <c r="AA59" s="15"/>
      <c r="AB59" s="15"/>
      <c r="AC59" s="15"/>
      <c r="AD59" s="15"/>
      <c r="AE59" s="15"/>
      <c r="AF59" s="15">
        <f t="shared" si="1"/>
        <v>205000</v>
      </c>
      <c r="AG59" s="15">
        <f t="shared" si="1"/>
        <v>5038</v>
      </c>
      <c r="AH59" s="15"/>
      <c r="AI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</row>
    <row r="60" spans="1:70">
      <c r="A60" s="11" t="s">
        <v>320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>
        <v>1000000</v>
      </c>
      <c r="Y60" s="15">
        <v>20000</v>
      </c>
      <c r="Z60" s="15"/>
      <c r="AA60" s="15"/>
      <c r="AB60" s="15"/>
      <c r="AC60" s="15"/>
      <c r="AD60" s="15">
        <v>225000</v>
      </c>
      <c r="AE60" s="15">
        <v>3037.5</v>
      </c>
      <c r="AF60" s="15">
        <f>(B60+D60+F60+H60+J60+L60+N60+P60+R60+T60+V60+X60+Z60+AB60+AD60)</f>
        <v>1225000</v>
      </c>
      <c r="AG60" s="15">
        <f t="shared" si="1"/>
        <v>23037.5</v>
      </c>
      <c r="AH60" s="15"/>
      <c r="AI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</row>
    <row r="61" spans="1:70">
      <c r="A61" s="11" t="s">
        <v>321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>
        <v>3372</v>
      </c>
      <c r="X61" s="15"/>
      <c r="Y61" s="15"/>
      <c r="Z61" s="15"/>
      <c r="AA61" s="15"/>
      <c r="AB61" s="15"/>
      <c r="AC61" s="15"/>
      <c r="AD61" s="15"/>
      <c r="AE61" s="15"/>
      <c r="AF61" s="15">
        <f t="shared" si="1"/>
        <v>0</v>
      </c>
      <c r="AG61" s="15">
        <f t="shared" si="1"/>
        <v>3372</v>
      </c>
      <c r="AH61" s="15">
        <f>SUM(AF59:AF61)</f>
        <v>1430000</v>
      </c>
      <c r="AI61" s="15">
        <f>SUM(AG59:AG61)</f>
        <v>31447.5</v>
      </c>
      <c r="AJ61" s="8">
        <v>2026</v>
      </c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</row>
    <row r="62" spans="1:70">
      <c r="A62" s="11" t="s">
        <v>322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>
        <v>205000</v>
      </c>
      <c r="W62" s="15">
        <v>3372</v>
      </c>
      <c r="X62" s="15"/>
      <c r="Y62" s="15"/>
      <c r="Z62" s="15"/>
      <c r="AA62" s="15"/>
      <c r="AB62" s="15"/>
      <c r="AC62" s="15"/>
      <c r="AD62" s="15"/>
      <c r="AE62" s="15"/>
      <c r="AF62" s="15">
        <f t="shared" si="1"/>
        <v>205000</v>
      </c>
      <c r="AG62" s="15">
        <f t="shared" si="1"/>
        <v>3372</v>
      </c>
      <c r="AH62" s="15"/>
      <c r="AI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</row>
    <row r="63" spans="1:70">
      <c r="A63" s="11" t="s">
        <v>323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>
        <v>1706</v>
      </c>
      <c r="X63" s="15"/>
      <c r="Y63" s="15"/>
      <c r="Z63" s="15"/>
      <c r="AA63" s="15"/>
      <c r="AB63" s="15"/>
      <c r="AC63" s="15"/>
      <c r="AD63" s="15"/>
      <c r="AE63" s="15"/>
      <c r="AF63" s="15">
        <f t="shared" si="1"/>
        <v>0</v>
      </c>
      <c r="AG63" s="15">
        <f t="shared" si="1"/>
        <v>1706</v>
      </c>
      <c r="AH63" s="15">
        <f>SUM(AF62:AF63)</f>
        <v>205000</v>
      </c>
      <c r="AI63" s="15">
        <f>SUM(AG62:AG63)</f>
        <v>5078</v>
      </c>
      <c r="AJ63" s="8">
        <v>2027</v>
      </c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</row>
    <row r="64" spans="1:70">
      <c r="A64" s="11" t="s">
        <v>324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>
        <v>210000</v>
      </c>
      <c r="W64" s="15">
        <v>1706</v>
      </c>
      <c r="X64" s="15"/>
      <c r="Y64" s="15"/>
      <c r="Z64" s="15"/>
      <c r="AA64" s="15"/>
      <c r="AB64" s="15"/>
      <c r="AC64" s="15"/>
      <c r="AD64" s="15"/>
      <c r="AE64" s="15"/>
      <c r="AF64" s="15">
        <f t="shared" si="1"/>
        <v>210000</v>
      </c>
      <c r="AG64" s="15">
        <f t="shared" si="1"/>
        <v>1706</v>
      </c>
      <c r="AH64" s="15">
        <f>SUM(AF64:AF64)</f>
        <v>210000</v>
      </c>
      <c r="AI64" s="15">
        <f>SUM(AG64:AG64)</f>
        <v>1706</v>
      </c>
      <c r="AJ64" s="8">
        <v>2028</v>
      </c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</row>
    <row r="65" spans="1:70" ht="13.5" thickBot="1">
      <c r="A65" s="13" t="s">
        <v>113</v>
      </c>
      <c r="B65" s="102">
        <f t="shared" ref="B65:AH65" si="4">SUM(B6:B64)</f>
        <v>2550000</v>
      </c>
      <c r="C65" s="17">
        <f t="shared" si="4"/>
        <v>287672</v>
      </c>
      <c r="D65" s="17">
        <f t="shared" si="4"/>
        <v>1280000</v>
      </c>
      <c r="E65" s="17">
        <f t="shared" si="4"/>
        <v>250000</v>
      </c>
      <c r="F65" s="17">
        <f t="shared" si="4"/>
        <v>600000</v>
      </c>
      <c r="G65" s="17">
        <f t="shared" si="4"/>
        <v>32963</v>
      </c>
      <c r="H65" s="17">
        <f t="shared" si="4"/>
        <v>495000</v>
      </c>
      <c r="I65" s="17">
        <f t="shared" si="4"/>
        <v>109216</v>
      </c>
      <c r="J65" s="17">
        <f t="shared" si="4"/>
        <v>0</v>
      </c>
      <c r="K65" s="17">
        <f t="shared" si="4"/>
        <v>0</v>
      </c>
      <c r="L65" s="103">
        <f t="shared" si="4"/>
        <v>2525000</v>
      </c>
      <c r="M65" s="17">
        <f t="shared" si="4"/>
        <v>260844</v>
      </c>
      <c r="N65" s="17">
        <f t="shared" si="4"/>
        <v>0</v>
      </c>
      <c r="O65" s="17">
        <f t="shared" si="4"/>
        <v>0</v>
      </c>
      <c r="P65" s="17">
        <f t="shared" si="4"/>
        <v>0</v>
      </c>
      <c r="Q65" s="17">
        <f t="shared" si="4"/>
        <v>0</v>
      </c>
      <c r="R65" s="17">
        <f t="shared" si="4"/>
        <v>2250000</v>
      </c>
      <c r="S65" s="17">
        <f t="shared" si="4"/>
        <v>471348</v>
      </c>
      <c r="T65" s="17">
        <f t="shared" si="4"/>
        <v>650000</v>
      </c>
      <c r="U65" s="17">
        <f t="shared" si="4"/>
        <v>142081</v>
      </c>
      <c r="V65" s="17">
        <f>SUM(V6:V64)</f>
        <v>2980000</v>
      </c>
      <c r="W65" s="17">
        <f t="shared" si="4"/>
        <v>404056</v>
      </c>
      <c r="X65" s="103">
        <f t="shared" si="4"/>
        <v>9775000</v>
      </c>
      <c r="Y65" s="17">
        <f t="shared" si="4"/>
        <v>3075213</v>
      </c>
      <c r="Z65" s="17">
        <f t="shared" si="4"/>
        <v>485000</v>
      </c>
      <c r="AA65" s="17">
        <f t="shared" si="4"/>
        <v>43250</v>
      </c>
      <c r="AB65" s="17">
        <f t="shared" si="4"/>
        <v>532279</v>
      </c>
      <c r="AC65" s="17">
        <f t="shared" si="4"/>
        <v>55549</v>
      </c>
      <c r="AD65" s="17">
        <f t="shared" si="4"/>
        <v>2500000</v>
      </c>
      <c r="AE65" s="17">
        <f>SUM(AE6:AE64)</f>
        <v>444552.5</v>
      </c>
      <c r="AF65" s="17">
        <f>SUM(AF6:AF64)</f>
        <v>26622279</v>
      </c>
      <c r="AG65" s="17">
        <f>SUM(AG6:AG64)</f>
        <v>5576744.5</v>
      </c>
      <c r="AH65" s="32">
        <f t="shared" si="4"/>
        <v>26622279</v>
      </c>
      <c r="AI65" s="34">
        <f>SUM(AI6:AI64)-14</f>
        <v>5576730.5</v>
      </c>
      <c r="AL65" s="17" t="e">
        <f t="shared" ref="AL65:AS65" si="5">SUM(AL6:AL64)</f>
        <v>#REF!</v>
      </c>
      <c r="AM65" s="17" t="e">
        <f t="shared" si="5"/>
        <v>#REF!</v>
      </c>
      <c r="AN65" s="17" t="e">
        <f t="shared" si="5"/>
        <v>#REF!</v>
      </c>
      <c r="AO65" s="17" t="e">
        <f t="shared" si="5"/>
        <v>#REF!</v>
      </c>
      <c r="AP65" s="17">
        <f t="shared" si="5"/>
        <v>0</v>
      </c>
      <c r="AQ65" s="17">
        <f t="shared" si="5"/>
        <v>0</v>
      </c>
      <c r="AR65" s="17" t="e">
        <f t="shared" si="5"/>
        <v>#REF!</v>
      </c>
      <c r="AS65" s="17" t="e">
        <f t="shared" si="5"/>
        <v>#REF!</v>
      </c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</row>
    <row r="66" spans="1:70" ht="13.5" thickTop="1"/>
    <row r="67" spans="1:70" s="157" customFormat="1">
      <c r="A67" s="155" t="s">
        <v>505</v>
      </c>
      <c r="B67" s="156" t="s">
        <v>520</v>
      </c>
      <c r="D67" s="156" t="s">
        <v>521</v>
      </c>
      <c r="F67" s="156" t="s">
        <v>522</v>
      </c>
      <c r="H67" s="156" t="s">
        <v>523</v>
      </c>
      <c r="L67" s="156" t="s">
        <v>524</v>
      </c>
      <c r="R67" s="156" t="s">
        <v>525</v>
      </c>
      <c r="T67" s="156" t="s">
        <v>525</v>
      </c>
      <c r="V67" s="156" t="s">
        <v>526</v>
      </c>
      <c r="X67" s="156" t="s">
        <v>527</v>
      </c>
      <c r="Z67" s="156" t="s">
        <v>528</v>
      </c>
      <c r="AB67" s="156" t="s">
        <v>529</v>
      </c>
      <c r="AD67" s="156" t="s">
        <v>530</v>
      </c>
    </row>
    <row r="68" spans="1:70" s="154" customFormat="1">
      <c r="A68" s="153" t="s">
        <v>502</v>
      </c>
      <c r="B68" s="154">
        <v>3095000</v>
      </c>
      <c r="D68" s="154">
        <v>7850000</v>
      </c>
      <c r="F68" s="154">
        <v>2136315</v>
      </c>
      <c r="H68" s="154">
        <v>1090000</v>
      </c>
      <c r="L68" s="154">
        <v>4965000</v>
      </c>
      <c r="R68" s="154">
        <v>5115000</v>
      </c>
      <c r="T68" s="154">
        <v>1095000</v>
      </c>
      <c r="V68" s="154">
        <v>3610000</v>
      </c>
      <c r="X68" s="154">
        <v>9775000</v>
      </c>
      <c r="Z68" s="154">
        <v>1375000</v>
      </c>
      <c r="AB68" s="154">
        <v>1197279</v>
      </c>
      <c r="AD68" s="154">
        <v>2500000</v>
      </c>
    </row>
    <row r="72" spans="1:70">
      <c r="A72" s="8" t="s">
        <v>545</v>
      </c>
      <c r="B72" s="8" t="s">
        <v>563</v>
      </c>
      <c r="D72" s="8" t="s">
        <v>564</v>
      </c>
      <c r="F72" s="8" t="s">
        <v>565</v>
      </c>
      <c r="H72" s="8" t="s">
        <v>565</v>
      </c>
      <c r="L72" s="8" t="s">
        <v>566</v>
      </c>
      <c r="R72" s="8" t="s">
        <v>564</v>
      </c>
      <c r="T72" s="8" t="s">
        <v>568</v>
      </c>
      <c r="V72" s="8" t="s">
        <v>564</v>
      </c>
      <c r="X72" s="8" t="s">
        <v>567</v>
      </c>
      <c r="Z72" s="8" t="s">
        <v>571</v>
      </c>
      <c r="AB72" s="8" t="s">
        <v>571</v>
      </c>
      <c r="AD72" s="8" t="s">
        <v>555</v>
      </c>
    </row>
    <row r="73" spans="1:70">
      <c r="R73" s="8" t="s">
        <v>567</v>
      </c>
      <c r="V73" s="8" t="s">
        <v>563</v>
      </c>
    </row>
    <row r="74" spans="1:70">
      <c r="V74" s="8" t="s">
        <v>569</v>
      </c>
    </row>
    <row r="75" spans="1:70">
      <c r="V75" s="8" t="s">
        <v>570</v>
      </c>
    </row>
  </sheetData>
  <mergeCells count="6">
    <mergeCell ref="AD4:AE4"/>
    <mergeCell ref="F4:G4"/>
    <mergeCell ref="H4:I4"/>
    <mergeCell ref="V4:W4"/>
    <mergeCell ref="Z4:AA4"/>
    <mergeCell ref="AB4:AC4"/>
  </mergeCells>
  <printOptions horizontalCentered="1" gridLines="1"/>
  <pageMargins left="0.75" right="0.75" top="0.5" bottom="0.5" header="0" footer="0"/>
  <pageSetup scale="74" fitToWidth="2" fitToHeight="2" pageOrder="overThenDown" orientation="landscape" r:id="rId1"/>
  <headerFooter alignWithMargins="0">
    <oddHeader>&amp;C&amp;A</oddHeader>
    <oddFooter>&amp;L&amp;10prepared &amp;D&amp;C&amp;10file: &amp;F &amp;R&amp;10page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>
    <tabColor rgb="FFFFC000"/>
    <pageSetUpPr fitToPage="1"/>
  </sheetPr>
  <dimension ref="A1:BD137"/>
  <sheetViews>
    <sheetView workbookViewId="0">
      <pane xSplit="1" ySplit="5" topLeftCell="B109" activePane="bottomRight" state="frozen"/>
      <selection pane="topRight" activeCell="B1" sqref="B1"/>
      <selection pane="bottomLeft" activeCell="A8" sqref="A8"/>
      <selection pane="bottomRight" activeCell="AJ133" sqref="AJ133"/>
    </sheetView>
  </sheetViews>
  <sheetFormatPr defaultColWidth="9.77734375" defaultRowHeight="12.75"/>
  <cols>
    <col min="1" max="1" width="16.5546875" style="106" bestFit="1" customWidth="1"/>
    <col min="2" max="2" width="15.33203125" style="106" customWidth="1"/>
    <col min="3" max="3" width="7.109375" style="106" customWidth="1"/>
    <col min="4" max="4" width="14.88671875" style="106" customWidth="1"/>
    <col min="5" max="5" width="7.6640625" style="106" customWidth="1"/>
    <col min="6" max="6" width="15.44140625" style="106" customWidth="1"/>
    <col min="7" max="7" width="7.77734375" style="106" customWidth="1"/>
    <col min="8" max="8" width="15.109375" style="106" customWidth="1"/>
    <col min="9" max="9" width="7.77734375" style="106" customWidth="1"/>
    <col min="10" max="10" width="16.109375" style="106" customWidth="1"/>
    <col min="11" max="11" width="7.77734375" style="106" customWidth="1"/>
    <col min="12" max="12" width="14.77734375" style="106" customWidth="1"/>
    <col min="13" max="13" width="7.77734375" style="106" customWidth="1"/>
    <col min="14" max="14" width="12.109375" style="106" customWidth="1"/>
    <col min="15" max="15" width="7.21875" style="106" customWidth="1"/>
    <col min="16" max="16" width="8.6640625" style="106" customWidth="1"/>
    <col min="17" max="17" width="7.33203125" style="106" customWidth="1"/>
    <col min="18" max="18" width="8.6640625" style="106" customWidth="1"/>
    <col min="19" max="19" width="7.33203125" style="106" customWidth="1"/>
    <col min="20" max="20" width="13.6640625" style="106" customWidth="1"/>
    <col min="21" max="21" width="9.33203125" style="106" customWidth="1"/>
    <col min="22" max="22" width="12.33203125" style="106" customWidth="1"/>
    <col min="23" max="23" width="8.5546875" style="106" customWidth="1"/>
    <col min="24" max="24" width="15" style="106" customWidth="1"/>
    <col min="25" max="25" width="6.5546875" style="106" customWidth="1"/>
    <col min="26" max="26" width="12.77734375" style="106" customWidth="1"/>
    <col min="27" max="27" width="10.21875" style="106" customWidth="1"/>
    <col min="28" max="28" width="8.33203125" style="106" customWidth="1"/>
    <col min="29" max="29" width="8.109375" style="106" bestFit="1" customWidth="1"/>
    <col min="30" max="30" width="13.77734375" style="106" customWidth="1"/>
    <col min="31" max="31" width="6.88671875" style="106" customWidth="1"/>
    <col min="32" max="32" width="11.33203125" style="106" customWidth="1"/>
    <col min="33" max="33" width="6.88671875" style="106" customWidth="1"/>
    <col min="34" max="34" width="13.44140625" style="106" customWidth="1"/>
    <col min="35" max="35" width="6.88671875" style="106" customWidth="1"/>
    <col min="36" max="36" width="12.44140625" style="106" customWidth="1"/>
    <col min="37" max="37" width="6.88671875" style="106" customWidth="1"/>
    <col min="38" max="38" width="11.44140625" style="106" customWidth="1"/>
    <col min="39" max="39" width="7.44140625" style="106" bestFit="1" customWidth="1"/>
    <col min="40" max="40" width="12.5546875" style="106" customWidth="1"/>
    <col min="41" max="41" width="9.21875" style="106" customWidth="1"/>
    <col min="42" max="42" width="17" style="106" customWidth="1"/>
    <col min="43" max="43" width="7.44140625" style="106" customWidth="1"/>
    <col min="44" max="44" width="14" style="106" customWidth="1"/>
    <col min="45" max="45" width="7.44140625" style="106" customWidth="1"/>
    <col min="46" max="46" width="12.6640625" style="106" customWidth="1"/>
    <col min="47" max="47" width="8.6640625" style="106" customWidth="1"/>
    <col min="48" max="48" width="12.21875" style="106" customWidth="1"/>
    <col min="49" max="49" width="7.44140625" style="106" customWidth="1"/>
    <col min="50" max="50" width="10.5546875" style="106" hidden="1" customWidth="1"/>
    <col min="51" max="51" width="7.44140625" style="106" hidden="1" customWidth="1"/>
    <col min="52" max="52" width="9.44140625" style="106" customWidth="1"/>
    <col min="53" max="53" width="8.88671875" style="106" customWidth="1"/>
    <col min="54" max="55" width="12.109375" style="70" customWidth="1"/>
    <col min="56" max="56" width="6.109375" style="106" bestFit="1" customWidth="1"/>
    <col min="57" max="57" width="9.77734375" style="106"/>
    <col min="58" max="59" width="10.77734375" style="106" customWidth="1"/>
    <col min="60" max="62" width="9.77734375" style="106"/>
    <col min="63" max="63" width="11.77734375" style="106" customWidth="1"/>
    <col min="64" max="64" width="12.77734375" style="106" customWidth="1"/>
    <col min="65" max="16384" width="9.77734375" style="106"/>
  </cols>
  <sheetData>
    <row r="1" spans="1:56">
      <c r="B1" s="106" t="s">
        <v>0</v>
      </c>
      <c r="E1" s="106" t="s">
        <v>1</v>
      </c>
      <c r="H1" s="106" t="s">
        <v>2</v>
      </c>
      <c r="J1" s="106" t="s">
        <v>3</v>
      </c>
      <c r="L1" s="107">
        <v>2012</v>
      </c>
      <c r="N1" s="106" t="s">
        <v>4</v>
      </c>
      <c r="P1" s="108"/>
      <c r="R1" s="108"/>
    </row>
    <row r="2" spans="1:56">
      <c r="A2" s="106" t="s">
        <v>5</v>
      </c>
      <c r="D2" s="108" t="s">
        <v>6</v>
      </c>
      <c r="E2" s="109" t="s">
        <v>7</v>
      </c>
      <c r="P2" s="108"/>
      <c r="R2" s="108"/>
    </row>
    <row r="3" spans="1:56">
      <c r="B3" s="108" t="s">
        <v>8</v>
      </c>
      <c r="C3" s="110">
        <v>8664</v>
      </c>
      <c r="D3" s="108" t="s">
        <v>8</v>
      </c>
      <c r="E3" s="110">
        <v>8665</v>
      </c>
      <c r="F3" s="109" t="s">
        <v>7</v>
      </c>
      <c r="G3" s="110">
        <v>8667</v>
      </c>
      <c r="H3" s="109" t="s">
        <v>7</v>
      </c>
      <c r="I3" s="110">
        <v>8668</v>
      </c>
      <c r="J3" s="109" t="s">
        <v>7</v>
      </c>
      <c r="K3" s="107">
        <v>8670</v>
      </c>
      <c r="L3" s="109" t="s">
        <v>9</v>
      </c>
      <c r="M3" s="107"/>
      <c r="N3" s="108" t="s">
        <v>10</v>
      </c>
      <c r="O3" s="111">
        <v>8603</v>
      </c>
      <c r="P3" s="112" t="s">
        <v>9</v>
      </c>
      <c r="Q3" s="113"/>
      <c r="R3" s="108" t="s">
        <v>6</v>
      </c>
      <c r="S3" s="113">
        <v>8654</v>
      </c>
      <c r="T3" s="108" t="s">
        <v>8</v>
      </c>
      <c r="U3" s="110">
        <v>8659</v>
      </c>
      <c r="V3" s="108" t="s">
        <v>11</v>
      </c>
      <c r="W3" s="113">
        <v>8524</v>
      </c>
      <c r="X3" s="108" t="s">
        <v>11</v>
      </c>
      <c r="Y3" s="113">
        <v>8629</v>
      </c>
      <c r="Z3" s="112" t="s">
        <v>9</v>
      </c>
      <c r="AA3" s="110"/>
      <c r="AB3" s="108" t="s">
        <v>12</v>
      </c>
      <c r="AC3" s="110" t="s">
        <v>13</v>
      </c>
      <c r="AD3" s="114" t="s">
        <v>9</v>
      </c>
      <c r="AE3" s="115"/>
      <c r="AF3" s="114" t="s">
        <v>9</v>
      </c>
      <c r="AG3" s="115"/>
      <c r="AH3" s="114" t="s">
        <v>9</v>
      </c>
      <c r="AI3" s="115"/>
      <c r="AJ3" s="114" t="s">
        <v>9</v>
      </c>
      <c r="AK3" s="115"/>
      <c r="AL3" s="114" t="s">
        <v>414</v>
      </c>
      <c r="AM3" s="110" t="s">
        <v>415</v>
      </c>
      <c r="AN3" s="114" t="s">
        <v>414</v>
      </c>
      <c r="AO3" s="110" t="s">
        <v>416</v>
      </c>
      <c r="AP3" s="114" t="s">
        <v>414</v>
      </c>
      <c r="AQ3" s="110" t="s">
        <v>417</v>
      </c>
      <c r="AR3" s="114" t="s">
        <v>414</v>
      </c>
      <c r="AS3" s="110"/>
      <c r="AT3" s="114" t="s">
        <v>414</v>
      </c>
      <c r="AU3" s="110"/>
      <c r="AV3" s="114" t="s">
        <v>414</v>
      </c>
      <c r="AW3" s="110"/>
      <c r="AX3" s="114" t="s">
        <v>414</v>
      </c>
      <c r="AY3" s="110">
        <v>8685</v>
      </c>
      <c r="AZ3" s="116"/>
      <c r="BA3" s="116"/>
    </row>
    <row r="4" spans="1:56">
      <c r="A4" s="107" t="s">
        <v>14</v>
      </c>
      <c r="B4" s="186" t="s">
        <v>15</v>
      </c>
      <c r="C4" s="186"/>
      <c r="D4" s="186" t="s">
        <v>16</v>
      </c>
      <c r="E4" s="186"/>
      <c r="F4" s="186" t="s">
        <v>17</v>
      </c>
      <c r="G4" s="186"/>
      <c r="H4" s="186" t="s">
        <v>18</v>
      </c>
      <c r="I4" s="186"/>
      <c r="J4" s="186" t="s">
        <v>19</v>
      </c>
      <c r="K4" s="186"/>
      <c r="L4" s="186" t="s">
        <v>20</v>
      </c>
      <c r="M4" s="186"/>
      <c r="N4" s="186" t="s">
        <v>21</v>
      </c>
      <c r="O4" s="186"/>
      <c r="P4" s="186" t="s">
        <v>22</v>
      </c>
      <c r="Q4" s="186"/>
      <c r="R4" s="186" t="s">
        <v>23</v>
      </c>
      <c r="S4" s="186"/>
      <c r="T4" s="186" t="s">
        <v>24</v>
      </c>
      <c r="U4" s="186"/>
      <c r="V4" s="186" t="s">
        <v>25</v>
      </c>
      <c r="W4" s="186"/>
      <c r="X4" s="117" t="s">
        <v>26</v>
      </c>
      <c r="Y4" s="118" t="s">
        <v>27</v>
      </c>
      <c r="Z4" s="186" t="s">
        <v>28</v>
      </c>
      <c r="AA4" s="186"/>
      <c r="AB4" s="186" t="s">
        <v>29</v>
      </c>
      <c r="AC4" s="186"/>
      <c r="AD4" s="186" t="s">
        <v>418</v>
      </c>
      <c r="AE4" s="186"/>
      <c r="AF4" s="186" t="s">
        <v>419</v>
      </c>
      <c r="AG4" s="186"/>
      <c r="AH4" s="186" t="s">
        <v>420</v>
      </c>
      <c r="AI4" s="186"/>
      <c r="AJ4" s="186" t="s">
        <v>421</v>
      </c>
      <c r="AK4" s="186"/>
      <c r="AL4" s="186" t="s">
        <v>422</v>
      </c>
      <c r="AM4" s="186"/>
      <c r="AN4" s="186" t="s">
        <v>423</v>
      </c>
      <c r="AO4" s="186"/>
      <c r="AP4" s="186" t="s">
        <v>424</v>
      </c>
      <c r="AQ4" s="186"/>
      <c r="AR4" s="186" t="s">
        <v>425</v>
      </c>
      <c r="AS4" s="186"/>
      <c r="AT4" s="186" t="s">
        <v>426</v>
      </c>
      <c r="AU4" s="186"/>
      <c r="AV4" s="186" t="s">
        <v>427</v>
      </c>
      <c r="AW4" s="186"/>
      <c r="AX4" s="186" t="s">
        <v>428</v>
      </c>
      <c r="AY4" s="186"/>
      <c r="AZ4" s="118" t="s">
        <v>30</v>
      </c>
      <c r="BA4" s="118"/>
      <c r="BB4" s="185" t="s">
        <v>31</v>
      </c>
      <c r="BC4" s="185"/>
    </row>
    <row r="5" spans="1:56">
      <c r="A5" s="107" t="s">
        <v>32</v>
      </c>
      <c r="B5" s="119" t="s">
        <v>33</v>
      </c>
      <c r="C5" s="119" t="s">
        <v>34</v>
      </c>
      <c r="D5" s="119" t="s">
        <v>33</v>
      </c>
      <c r="E5" s="119" t="s">
        <v>34</v>
      </c>
      <c r="F5" s="119" t="s">
        <v>35</v>
      </c>
      <c r="G5" s="119" t="s">
        <v>36</v>
      </c>
      <c r="H5" s="119" t="s">
        <v>35</v>
      </c>
      <c r="I5" s="119" t="s">
        <v>36</v>
      </c>
      <c r="J5" s="119" t="s">
        <v>35</v>
      </c>
      <c r="K5" s="119" t="s">
        <v>36</v>
      </c>
      <c r="L5" s="119" t="s">
        <v>35</v>
      </c>
      <c r="M5" s="119" t="s">
        <v>36</v>
      </c>
      <c r="N5" s="119" t="s">
        <v>33</v>
      </c>
      <c r="O5" s="119" t="s">
        <v>34</v>
      </c>
      <c r="P5" s="119" t="s">
        <v>35</v>
      </c>
      <c r="Q5" s="119" t="s">
        <v>36</v>
      </c>
      <c r="R5" s="119" t="s">
        <v>35</v>
      </c>
      <c r="S5" s="119" t="s">
        <v>36</v>
      </c>
      <c r="T5" s="119" t="s">
        <v>33</v>
      </c>
      <c r="U5" s="119" t="s">
        <v>34</v>
      </c>
      <c r="V5" s="119" t="s">
        <v>35</v>
      </c>
      <c r="W5" s="119" t="s">
        <v>36</v>
      </c>
      <c r="X5" s="119" t="s">
        <v>35</v>
      </c>
      <c r="Y5" s="119" t="s">
        <v>36</v>
      </c>
      <c r="Z5" s="119" t="s">
        <v>33</v>
      </c>
      <c r="AA5" s="119" t="s">
        <v>34</v>
      </c>
      <c r="AB5" s="119" t="s">
        <v>35</v>
      </c>
      <c r="AC5" s="119" t="s">
        <v>36</v>
      </c>
      <c r="AD5" s="119" t="s">
        <v>35</v>
      </c>
      <c r="AE5" s="119" t="s">
        <v>36</v>
      </c>
      <c r="AF5" s="119" t="s">
        <v>35</v>
      </c>
      <c r="AG5" s="119" t="s">
        <v>36</v>
      </c>
      <c r="AH5" s="119" t="s">
        <v>35</v>
      </c>
      <c r="AI5" s="119" t="s">
        <v>36</v>
      </c>
      <c r="AJ5" s="119" t="s">
        <v>35</v>
      </c>
      <c r="AK5" s="119" t="s">
        <v>36</v>
      </c>
      <c r="AL5" s="119" t="s">
        <v>35</v>
      </c>
      <c r="AM5" s="119" t="s">
        <v>36</v>
      </c>
      <c r="AN5" s="119" t="s">
        <v>35</v>
      </c>
      <c r="AO5" s="119" t="s">
        <v>36</v>
      </c>
      <c r="AP5" s="119" t="s">
        <v>35</v>
      </c>
      <c r="AQ5" s="119" t="s">
        <v>36</v>
      </c>
      <c r="AR5" s="119" t="s">
        <v>35</v>
      </c>
      <c r="AS5" s="119" t="s">
        <v>36</v>
      </c>
      <c r="AT5" s="119" t="s">
        <v>35</v>
      </c>
      <c r="AU5" s="119" t="s">
        <v>36</v>
      </c>
      <c r="AV5" s="119" t="s">
        <v>35</v>
      </c>
      <c r="AW5" s="119" t="s">
        <v>36</v>
      </c>
      <c r="AX5" s="119" t="s">
        <v>35</v>
      </c>
      <c r="AY5" s="119" t="s">
        <v>36</v>
      </c>
      <c r="AZ5" s="119" t="s">
        <v>35</v>
      </c>
      <c r="BA5" s="119" t="s">
        <v>36</v>
      </c>
      <c r="BB5" s="120" t="s">
        <v>35</v>
      </c>
      <c r="BC5" s="120" t="s">
        <v>36</v>
      </c>
    </row>
    <row r="6" spans="1:56">
      <c r="A6" s="106" t="s">
        <v>429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>
        <f>(B6+D6+F6+H6+J6+L6+N6+P6+R6+T6+V6+X6+Z6+AB6+AD6+AF6+AH6+AJ6+AL6+AN6+AP6+AX6+AR6+AT6+AV6)</f>
        <v>0</v>
      </c>
      <c r="BA6" s="121">
        <f>(C6+E6+G6+I6+K6+M6+O6+Q6+S6+U6+W6+Y6+AA6+AC6+AE6+AG6+AI6+AK6+AM6+AO6+AQ6+AY6+AS6+AU6+AW6)</f>
        <v>0</v>
      </c>
      <c r="BB6" s="120"/>
      <c r="BC6" s="120"/>
    </row>
    <row r="7" spans="1:56">
      <c r="A7" s="106" t="s">
        <v>37</v>
      </c>
      <c r="B7" s="121">
        <v>5000</v>
      </c>
      <c r="C7" s="121">
        <v>1875</v>
      </c>
      <c r="D7" s="121">
        <v>106000</v>
      </c>
      <c r="E7" s="121">
        <v>29462.75</v>
      </c>
      <c r="F7" s="121"/>
      <c r="G7" s="121">
        <v>10937.5</v>
      </c>
      <c r="H7" s="121">
        <v>40000</v>
      </c>
      <c r="I7" s="121">
        <v>12437.5</v>
      </c>
      <c r="J7" s="121">
        <v>15000</v>
      </c>
      <c r="K7" s="121">
        <v>4688</v>
      </c>
      <c r="L7" s="121">
        <v>5000</v>
      </c>
      <c r="M7" s="121">
        <v>1516.89</v>
      </c>
      <c r="N7" s="121"/>
      <c r="O7" s="121"/>
      <c r="P7" s="121"/>
      <c r="Q7" s="121">
        <v>2027.61</v>
      </c>
      <c r="R7" s="121"/>
      <c r="S7" s="121">
        <v>11992</v>
      </c>
      <c r="T7" s="121"/>
      <c r="U7" s="121"/>
      <c r="V7" s="121">
        <v>75000</v>
      </c>
      <c r="W7" s="121">
        <v>27713</v>
      </c>
      <c r="X7" s="121">
        <v>55000</v>
      </c>
      <c r="Y7" s="121">
        <v>4510</v>
      </c>
      <c r="Z7" s="121">
        <v>7500</v>
      </c>
      <c r="AA7" s="121">
        <v>2291.36</v>
      </c>
      <c r="AB7" s="121"/>
      <c r="AC7" s="121"/>
      <c r="AD7" s="121">
        <v>47500</v>
      </c>
      <c r="AE7" s="121">
        <v>11589.17</v>
      </c>
      <c r="AF7" s="121">
        <v>500</v>
      </c>
      <c r="AG7" s="121">
        <v>290.45999999999998</v>
      </c>
      <c r="AH7" s="121">
        <v>17500</v>
      </c>
      <c r="AI7" s="121">
        <v>3226.17</v>
      </c>
      <c r="AJ7" s="121">
        <v>500</v>
      </c>
      <c r="AK7" s="121">
        <v>350.29</v>
      </c>
      <c r="AL7" s="121"/>
      <c r="AM7" s="121"/>
      <c r="AN7" s="121">
        <v>7500</v>
      </c>
      <c r="AO7" s="121">
        <v>527.01</v>
      </c>
      <c r="AP7" s="121"/>
      <c r="AQ7" s="121"/>
      <c r="AR7" s="121"/>
      <c r="AS7" s="121"/>
      <c r="AT7" s="121">
        <v>178</v>
      </c>
      <c r="AU7" s="121"/>
      <c r="AV7" s="121">
        <v>158</v>
      </c>
      <c r="AW7" s="121"/>
      <c r="AX7" s="121"/>
      <c r="AY7" s="121"/>
      <c r="AZ7" s="121">
        <f>(B7+D7+F7+H7+J7+L7+N7+P7+R7+T7+V7+X7+Z7+AB7+AD7+AF7+AH7+AJ7+AL7+AN7+AP7+AX7+AR7+AT7+AV7)</f>
        <v>382336</v>
      </c>
      <c r="BA7" s="121">
        <f>(C7+E7+G7+I7+K7+M7+O7+Q7+S7+U7+W7+Y7+AA7+AC7+AE7+AG7+AI7+AK7+AM7+AO7+AQ7+AY7+AS7+AU7+AW7)</f>
        <v>125434.70999999999</v>
      </c>
      <c r="BB7" s="122"/>
      <c r="BC7" s="122"/>
    </row>
    <row r="8" spans="1:56">
      <c r="A8" s="106" t="s">
        <v>38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>
        <v>100000</v>
      </c>
      <c r="O8" s="121">
        <v>6250</v>
      </c>
      <c r="P8" s="121"/>
      <c r="Q8" s="121"/>
      <c r="R8" s="121"/>
      <c r="S8" s="121"/>
      <c r="T8" s="121">
        <v>60000</v>
      </c>
      <c r="U8" s="121">
        <v>31011</v>
      </c>
      <c r="V8" s="121"/>
      <c r="W8" s="121"/>
      <c r="X8" s="121"/>
      <c r="Y8" s="121"/>
      <c r="Z8" s="121"/>
      <c r="AA8" s="121"/>
      <c r="AB8" s="121">
        <v>60000</v>
      </c>
      <c r="AC8" s="121">
        <v>19310</v>
      </c>
      <c r="AD8" s="121"/>
      <c r="AE8" s="121"/>
      <c r="AF8" s="121"/>
      <c r="AG8" s="121"/>
      <c r="AH8" s="121"/>
      <c r="AI8" s="121"/>
      <c r="AJ8" s="121"/>
      <c r="AK8" s="121"/>
      <c r="AL8" s="121">
        <v>10000</v>
      </c>
      <c r="AM8" s="121">
        <v>4786.25</v>
      </c>
      <c r="AN8" s="121"/>
      <c r="AO8" s="121"/>
      <c r="AP8" s="121"/>
      <c r="AQ8" s="121"/>
      <c r="AR8" s="121">
        <v>90000</v>
      </c>
      <c r="AS8" s="121">
        <v>1485</v>
      </c>
      <c r="AT8" s="121"/>
      <c r="AU8" s="121"/>
      <c r="AV8" s="121"/>
      <c r="AW8" s="121"/>
      <c r="AX8" s="121"/>
      <c r="AY8" s="121"/>
      <c r="AZ8" s="121">
        <f t="shared" ref="AZ8:BA71" si="0">(B8+D8+F8+H8+J8+L8+N8+P8+R8+T8+V8+X8+Z8+AB8+AD8+AF8+AH8+AJ8+AL8+AN8+AP8+AX8+AR8+AT8+AV8)</f>
        <v>320000</v>
      </c>
      <c r="BA8" s="121">
        <f t="shared" si="0"/>
        <v>62842.25</v>
      </c>
      <c r="BB8" s="122"/>
      <c r="BC8" s="122"/>
    </row>
    <row r="9" spans="1:56">
      <c r="A9" s="106" t="s">
        <v>39</v>
      </c>
      <c r="B9" s="121"/>
      <c r="C9" s="121">
        <v>1813</v>
      </c>
      <c r="D9" s="121"/>
      <c r="E9" s="121">
        <v>27731.79</v>
      </c>
      <c r="F9" s="121">
        <v>40000</v>
      </c>
      <c r="G9" s="121">
        <v>10937.5</v>
      </c>
      <c r="H9" s="121"/>
      <c r="I9" s="121">
        <v>11937.5</v>
      </c>
      <c r="J9" s="121"/>
      <c r="K9" s="121">
        <v>4500</v>
      </c>
      <c r="L9" s="121"/>
      <c r="M9" s="121">
        <v>1526.01</v>
      </c>
      <c r="N9" s="121"/>
      <c r="O9" s="121"/>
      <c r="P9" s="121">
        <v>15000</v>
      </c>
      <c r="Q9" s="121">
        <v>2027.61</v>
      </c>
      <c r="R9" s="121">
        <v>90000</v>
      </c>
      <c r="S9" s="121">
        <v>11992</v>
      </c>
      <c r="T9" s="121"/>
      <c r="U9" s="121"/>
      <c r="V9" s="121"/>
      <c r="W9" s="121">
        <v>26194</v>
      </c>
      <c r="X9" s="121"/>
      <c r="Y9" s="121">
        <v>3410</v>
      </c>
      <c r="Z9" s="121"/>
      <c r="AA9" s="121">
        <v>2643.45</v>
      </c>
      <c r="AB9" s="121"/>
      <c r="AC9" s="121"/>
      <c r="AD9" s="121"/>
      <c r="AE9" s="121">
        <v>11014.45</v>
      </c>
      <c r="AF9" s="121"/>
      <c r="AG9" s="121">
        <v>301.3</v>
      </c>
      <c r="AH9" s="121"/>
      <c r="AI9" s="121">
        <v>3062.1</v>
      </c>
      <c r="AJ9" s="121"/>
      <c r="AK9" s="121">
        <v>346.28</v>
      </c>
      <c r="AL9" s="121"/>
      <c r="AM9" s="121"/>
      <c r="AN9" s="121"/>
      <c r="AO9" s="121">
        <v>845.48</v>
      </c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>
        <f t="shared" si="0"/>
        <v>145000</v>
      </c>
      <c r="BA9" s="121">
        <f t="shared" si="0"/>
        <v>120282.47</v>
      </c>
      <c r="BB9" s="122"/>
      <c r="BC9" s="122"/>
    </row>
    <row r="10" spans="1:56">
      <c r="A10" s="106" t="s">
        <v>40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>
        <v>3750</v>
      </c>
      <c r="P10" s="121"/>
      <c r="Q10" s="121"/>
      <c r="R10" s="121"/>
      <c r="S10" s="121"/>
      <c r="T10" s="121"/>
      <c r="U10" s="121">
        <v>30336</v>
      </c>
      <c r="V10" s="121"/>
      <c r="W10" s="121"/>
      <c r="X10" s="121"/>
      <c r="Y10" s="121"/>
      <c r="Z10" s="121"/>
      <c r="AA10" s="121"/>
      <c r="AB10" s="121"/>
      <c r="AC10" s="121">
        <v>18485</v>
      </c>
      <c r="AD10" s="121"/>
      <c r="AE10" s="121"/>
      <c r="AF10" s="121"/>
      <c r="AG10" s="121"/>
      <c r="AH10" s="121"/>
      <c r="AI10" s="121"/>
      <c r="AJ10" s="121"/>
      <c r="AK10" s="121"/>
      <c r="AL10" s="121"/>
      <c r="AM10" s="121">
        <v>4611.25</v>
      </c>
      <c r="AN10" s="121"/>
      <c r="AO10" s="121"/>
      <c r="AP10" s="121"/>
      <c r="AQ10" s="121"/>
      <c r="AR10" s="121"/>
      <c r="AS10" s="121">
        <v>1102.5</v>
      </c>
      <c r="AT10" s="121"/>
      <c r="AU10" s="121"/>
      <c r="AV10" s="121"/>
      <c r="AW10" s="121"/>
      <c r="AX10" s="121"/>
      <c r="AY10" s="121"/>
      <c r="AZ10" s="121">
        <f t="shared" si="0"/>
        <v>0</v>
      </c>
      <c r="BA10" s="121">
        <f t="shared" si="0"/>
        <v>58284.75</v>
      </c>
      <c r="BB10" s="122">
        <f>SUM(AZ6:AZ10)</f>
        <v>847336</v>
      </c>
      <c r="BC10" s="122">
        <f>SUM(BA6:BA10)</f>
        <v>366844.18</v>
      </c>
      <c r="BD10" s="106">
        <v>2013</v>
      </c>
    </row>
    <row r="11" spans="1:56">
      <c r="A11" s="106" t="s">
        <v>430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>
        <f t="shared" si="0"/>
        <v>0</v>
      </c>
      <c r="BA11" s="121">
        <f t="shared" si="0"/>
        <v>0</v>
      </c>
      <c r="BB11" s="122"/>
      <c r="BC11" s="122"/>
    </row>
    <row r="12" spans="1:56">
      <c r="A12" s="106" t="s">
        <v>41</v>
      </c>
      <c r="B12" s="121">
        <v>5000</v>
      </c>
      <c r="C12" s="121">
        <v>1813</v>
      </c>
      <c r="D12" s="121">
        <v>110000</v>
      </c>
      <c r="E12" s="121">
        <v>27731.79</v>
      </c>
      <c r="F12" s="121"/>
      <c r="G12" s="121">
        <v>10437.5</v>
      </c>
      <c r="H12" s="121">
        <v>45000</v>
      </c>
      <c r="I12" s="121">
        <v>11937.5</v>
      </c>
      <c r="J12" s="121">
        <v>15000</v>
      </c>
      <c r="K12" s="121">
        <v>4500</v>
      </c>
      <c r="L12" s="121">
        <v>5000</v>
      </c>
      <c r="M12" s="121">
        <v>1526.01</v>
      </c>
      <c r="N12" s="121"/>
      <c r="O12" s="121"/>
      <c r="P12" s="121"/>
      <c r="Q12" s="121">
        <v>1840.11</v>
      </c>
      <c r="R12" s="121"/>
      <c r="S12" s="121">
        <v>11261</v>
      </c>
      <c r="T12" s="121"/>
      <c r="U12" s="121"/>
      <c r="V12" s="121">
        <v>75000</v>
      </c>
      <c r="W12" s="121">
        <v>26194</v>
      </c>
      <c r="X12" s="121">
        <v>55000</v>
      </c>
      <c r="Y12" s="121">
        <v>3410</v>
      </c>
      <c r="Z12" s="121">
        <v>10000</v>
      </c>
      <c r="AA12" s="121">
        <v>2643.45</v>
      </c>
      <c r="AB12" s="121"/>
      <c r="AC12" s="121"/>
      <c r="AD12" s="121">
        <v>50000</v>
      </c>
      <c r="AE12" s="121">
        <v>11014.45</v>
      </c>
      <c r="AF12" s="121">
        <v>1000</v>
      </c>
      <c r="AG12" s="121">
        <v>301.3</v>
      </c>
      <c r="AH12" s="121">
        <v>15000</v>
      </c>
      <c r="AI12" s="121">
        <v>3062.1</v>
      </c>
      <c r="AJ12" s="121">
        <v>1000</v>
      </c>
      <c r="AK12" s="121">
        <v>346.28</v>
      </c>
      <c r="AL12" s="121"/>
      <c r="AM12" s="121"/>
      <c r="AN12" s="121">
        <v>5000</v>
      </c>
      <c r="AO12" s="121">
        <v>845.48</v>
      </c>
      <c r="AP12" s="121">
        <v>27500</v>
      </c>
      <c r="AQ12" s="121"/>
      <c r="AR12" s="121"/>
      <c r="AS12" s="121"/>
      <c r="AT12" s="121"/>
      <c r="AU12" s="121"/>
      <c r="AV12" s="121"/>
      <c r="AW12" s="121"/>
      <c r="AX12" s="121"/>
      <c r="AY12" s="121"/>
      <c r="AZ12" s="121">
        <f t="shared" si="0"/>
        <v>419500</v>
      </c>
      <c r="BA12" s="121">
        <f t="shared" si="0"/>
        <v>118863.97</v>
      </c>
      <c r="BB12" s="122"/>
      <c r="BC12" s="122"/>
    </row>
    <row r="13" spans="1:56">
      <c r="A13" s="106" t="s">
        <v>42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>
        <v>75000</v>
      </c>
      <c r="O13" s="121">
        <v>3750</v>
      </c>
      <c r="P13" s="121"/>
      <c r="Q13" s="121"/>
      <c r="R13" s="121"/>
      <c r="S13" s="121"/>
      <c r="T13" s="121">
        <v>65000</v>
      </c>
      <c r="U13" s="121">
        <v>30336</v>
      </c>
      <c r="V13" s="121"/>
      <c r="W13" s="121"/>
      <c r="X13" s="121"/>
      <c r="Y13" s="121"/>
      <c r="Z13" s="121"/>
      <c r="AA13" s="121"/>
      <c r="AB13" s="121">
        <v>60000</v>
      </c>
      <c r="AC13" s="121">
        <v>18485</v>
      </c>
      <c r="AD13" s="121"/>
      <c r="AE13" s="121"/>
      <c r="AF13" s="121"/>
      <c r="AG13" s="121"/>
      <c r="AH13" s="121"/>
      <c r="AI13" s="121"/>
      <c r="AJ13" s="121"/>
      <c r="AK13" s="121"/>
      <c r="AL13" s="121">
        <v>10000</v>
      </c>
      <c r="AM13" s="121">
        <v>4611.25</v>
      </c>
      <c r="AN13" s="121"/>
      <c r="AO13" s="121"/>
      <c r="AP13" s="121"/>
      <c r="AQ13" s="121"/>
      <c r="AR13" s="121">
        <v>90000</v>
      </c>
      <c r="AS13" s="121">
        <v>1102.5</v>
      </c>
      <c r="AT13" s="121"/>
      <c r="AU13" s="121"/>
      <c r="AV13" s="121"/>
      <c r="AW13" s="121"/>
      <c r="AX13" s="121"/>
      <c r="AY13" s="121"/>
      <c r="AZ13" s="121">
        <f t="shared" si="0"/>
        <v>300000</v>
      </c>
      <c r="BA13" s="121">
        <f t="shared" si="0"/>
        <v>58284.75</v>
      </c>
      <c r="BB13" s="122"/>
      <c r="BC13" s="122"/>
    </row>
    <row r="14" spans="1:56">
      <c r="A14" s="106" t="s">
        <v>43</v>
      </c>
      <c r="B14" s="121"/>
      <c r="C14" s="121">
        <v>1750</v>
      </c>
      <c r="D14" s="121"/>
      <c r="E14" s="121">
        <v>26356.79</v>
      </c>
      <c r="F14" s="121">
        <v>40000</v>
      </c>
      <c r="G14" s="121">
        <v>10437.5</v>
      </c>
      <c r="H14" s="121"/>
      <c r="I14" s="121">
        <v>11375</v>
      </c>
      <c r="J14" s="121"/>
      <c r="K14" s="121">
        <v>4312</v>
      </c>
      <c r="L14" s="121"/>
      <c r="M14" s="121">
        <v>1463.51</v>
      </c>
      <c r="N14" s="121"/>
      <c r="O14" s="121"/>
      <c r="P14" s="121">
        <v>15000</v>
      </c>
      <c r="Q14" s="121">
        <v>1840.11</v>
      </c>
      <c r="R14" s="121">
        <v>90000</v>
      </c>
      <c r="S14" s="121">
        <v>11261</v>
      </c>
      <c r="T14" s="121"/>
      <c r="U14" s="121"/>
      <c r="V14" s="121"/>
      <c r="W14" s="121">
        <v>24656</v>
      </c>
      <c r="X14" s="121"/>
      <c r="Y14" s="121">
        <v>2296</v>
      </c>
      <c r="Z14" s="121"/>
      <c r="AA14" s="121">
        <v>2518.4499999999998</v>
      </c>
      <c r="AB14" s="121"/>
      <c r="AC14" s="121"/>
      <c r="AD14" s="121"/>
      <c r="AE14" s="121">
        <v>10389.450000000001</v>
      </c>
      <c r="AF14" s="121"/>
      <c r="AG14" s="121">
        <v>288.8</v>
      </c>
      <c r="AH14" s="121"/>
      <c r="AI14" s="121">
        <v>2874.6</v>
      </c>
      <c r="AJ14" s="121"/>
      <c r="AK14" s="121">
        <v>333.78</v>
      </c>
      <c r="AL14" s="121"/>
      <c r="AM14" s="121"/>
      <c r="AN14" s="121"/>
      <c r="AO14" s="121">
        <v>782.98</v>
      </c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>
        <f t="shared" si="0"/>
        <v>145000</v>
      </c>
      <c r="BA14" s="121">
        <f t="shared" si="0"/>
        <v>112935.97</v>
      </c>
      <c r="BB14" s="122"/>
      <c r="BC14" s="122"/>
    </row>
    <row r="15" spans="1:56">
      <c r="A15" s="106" t="s">
        <v>44</v>
      </c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>
        <v>1875</v>
      </c>
      <c r="P15" s="121"/>
      <c r="Q15" s="121"/>
      <c r="R15" s="121"/>
      <c r="S15" s="121"/>
      <c r="T15" s="121"/>
      <c r="U15" s="121">
        <v>29524</v>
      </c>
      <c r="V15" s="121"/>
      <c r="W15" s="121"/>
      <c r="X15" s="121"/>
      <c r="Y15" s="121"/>
      <c r="Z15" s="121"/>
      <c r="AA15" s="121"/>
      <c r="AB15" s="121"/>
      <c r="AC15" s="121">
        <v>17660</v>
      </c>
      <c r="AD15" s="121"/>
      <c r="AE15" s="121"/>
      <c r="AF15" s="121"/>
      <c r="AG15" s="121"/>
      <c r="AH15" s="121"/>
      <c r="AI15" s="121"/>
      <c r="AJ15" s="121"/>
      <c r="AK15" s="121"/>
      <c r="AL15" s="121"/>
      <c r="AM15" s="121">
        <v>4436.25</v>
      </c>
      <c r="AN15" s="121"/>
      <c r="AO15" s="121"/>
      <c r="AP15" s="121"/>
      <c r="AQ15" s="121"/>
      <c r="AR15" s="121"/>
      <c r="AS15" s="121">
        <v>607.5</v>
      </c>
      <c r="AT15" s="121"/>
      <c r="AU15" s="121"/>
      <c r="AV15" s="121"/>
      <c r="AW15" s="121"/>
      <c r="AX15" s="121"/>
      <c r="AY15" s="121"/>
      <c r="AZ15" s="121">
        <f t="shared" si="0"/>
        <v>0</v>
      </c>
      <c r="BA15" s="121">
        <f t="shared" si="0"/>
        <v>54102.75</v>
      </c>
      <c r="BB15" s="122">
        <f>SUM(AZ11:AZ15)</f>
        <v>864500</v>
      </c>
      <c r="BC15" s="122">
        <f>SUM(BA11:BA15)</f>
        <v>344187.44</v>
      </c>
      <c r="BD15" s="106">
        <v>2014</v>
      </c>
    </row>
    <row r="16" spans="1:56">
      <c r="A16" s="106" t="s">
        <v>431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>
        <f t="shared" si="0"/>
        <v>0</v>
      </c>
      <c r="BA16" s="121">
        <f t="shared" si="0"/>
        <v>0</v>
      </c>
      <c r="BB16" s="122"/>
      <c r="BC16" s="122"/>
    </row>
    <row r="17" spans="1:56">
      <c r="A17" s="106" t="s">
        <v>45</v>
      </c>
      <c r="B17" s="121">
        <v>5000</v>
      </c>
      <c r="C17" s="121">
        <v>1750</v>
      </c>
      <c r="D17" s="121">
        <v>110000</v>
      </c>
      <c r="E17" s="121">
        <v>26356.79</v>
      </c>
      <c r="F17" s="121"/>
      <c r="G17" s="121">
        <v>9937.5</v>
      </c>
      <c r="H17" s="121">
        <v>45000</v>
      </c>
      <c r="I17" s="121">
        <v>11375</v>
      </c>
      <c r="J17" s="121">
        <v>15000</v>
      </c>
      <c r="K17" s="121">
        <v>4313</v>
      </c>
      <c r="L17" s="121">
        <v>5000</v>
      </c>
      <c r="M17" s="121">
        <v>1463.51</v>
      </c>
      <c r="N17" s="121"/>
      <c r="O17" s="121"/>
      <c r="P17" s="121"/>
      <c r="Q17" s="121">
        <v>1652.61</v>
      </c>
      <c r="R17" s="121"/>
      <c r="S17" s="121">
        <v>10530</v>
      </c>
      <c r="T17" s="121"/>
      <c r="U17" s="121"/>
      <c r="V17" s="121">
        <v>80000</v>
      </c>
      <c r="W17" s="121">
        <v>24656</v>
      </c>
      <c r="X17" s="121">
        <v>55000</v>
      </c>
      <c r="Y17" s="121">
        <v>2296</v>
      </c>
      <c r="Z17" s="121">
        <v>10000</v>
      </c>
      <c r="AA17" s="121">
        <v>2518.4499999999998</v>
      </c>
      <c r="AB17" s="121"/>
      <c r="AC17" s="121"/>
      <c r="AD17" s="121">
        <v>50000</v>
      </c>
      <c r="AE17" s="121">
        <v>10389.450000000001</v>
      </c>
      <c r="AF17" s="121">
        <v>1000</v>
      </c>
      <c r="AG17" s="121">
        <v>288.8</v>
      </c>
      <c r="AH17" s="121">
        <v>15000</v>
      </c>
      <c r="AI17" s="121">
        <v>2874.6</v>
      </c>
      <c r="AJ17" s="121">
        <v>1000</v>
      </c>
      <c r="AK17" s="121">
        <v>333.78</v>
      </c>
      <c r="AL17" s="121"/>
      <c r="AM17" s="121"/>
      <c r="AN17" s="121">
        <v>5000</v>
      </c>
      <c r="AO17" s="121">
        <v>782.98</v>
      </c>
      <c r="AP17" s="121">
        <v>30000</v>
      </c>
      <c r="AQ17" s="121"/>
      <c r="AR17" s="121"/>
      <c r="AS17" s="121"/>
      <c r="AT17" s="121"/>
      <c r="AU17" s="121"/>
      <c r="AV17" s="121"/>
      <c r="AW17" s="121"/>
      <c r="AX17" s="121"/>
      <c r="AY17" s="121"/>
      <c r="AZ17" s="121">
        <f t="shared" si="0"/>
        <v>427000</v>
      </c>
      <c r="BA17" s="121">
        <f t="shared" si="0"/>
        <v>111518.47</v>
      </c>
      <c r="BB17" s="122"/>
      <c r="BC17" s="122"/>
    </row>
    <row r="18" spans="1:56">
      <c r="A18" s="106" t="s">
        <v>46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>
        <v>75000</v>
      </c>
      <c r="O18" s="121">
        <v>1875</v>
      </c>
      <c r="P18" s="121"/>
      <c r="Q18" s="121"/>
      <c r="R18" s="121"/>
      <c r="S18" s="121"/>
      <c r="T18" s="121">
        <v>65000</v>
      </c>
      <c r="U18" s="121">
        <v>29524</v>
      </c>
      <c r="V18" s="121"/>
      <c r="W18" s="121"/>
      <c r="X18" s="121"/>
      <c r="Y18" s="121"/>
      <c r="Z18" s="121"/>
      <c r="AA18" s="121"/>
      <c r="AB18" s="121">
        <v>60000</v>
      </c>
      <c r="AC18" s="121">
        <v>17660</v>
      </c>
      <c r="AD18" s="121"/>
      <c r="AE18" s="121"/>
      <c r="AF18" s="121"/>
      <c r="AG18" s="121"/>
      <c r="AH18" s="121"/>
      <c r="AI18" s="121"/>
      <c r="AJ18" s="121"/>
      <c r="AK18" s="121"/>
      <c r="AL18" s="121">
        <v>10000</v>
      </c>
      <c r="AM18" s="121">
        <v>4436.25</v>
      </c>
      <c r="AN18" s="121"/>
      <c r="AO18" s="121"/>
      <c r="AP18" s="121"/>
      <c r="AQ18" s="121"/>
      <c r="AR18" s="121">
        <v>90000</v>
      </c>
      <c r="AS18" s="121">
        <v>607.5</v>
      </c>
      <c r="AT18" s="121"/>
      <c r="AU18" s="121"/>
      <c r="AV18" s="121"/>
      <c r="AW18" s="121"/>
      <c r="AX18" s="121"/>
      <c r="AY18" s="121"/>
      <c r="AZ18" s="121">
        <f t="shared" si="0"/>
        <v>300000</v>
      </c>
      <c r="BA18" s="121">
        <f t="shared" si="0"/>
        <v>54102.75</v>
      </c>
    </row>
    <row r="19" spans="1:56">
      <c r="A19" s="106" t="s">
        <v>47</v>
      </c>
      <c r="B19" s="121"/>
      <c r="C19" s="121">
        <v>1688</v>
      </c>
      <c r="D19" s="121"/>
      <c r="E19" s="121">
        <v>24981.79</v>
      </c>
      <c r="F19" s="121">
        <v>40000</v>
      </c>
      <c r="G19" s="121">
        <v>9937.5</v>
      </c>
      <c r="H19" s="121"/>
      <c r="I19" s="121">
        <v>10812.5</v>
      </c>
      <c r="J19" s="121"/>
      <c r="K19" s="121">
        <v>4125</v>
      </c>
      <c r="L19" s="121"/>
      <c r="M19" s="121">
        <v>1401.01</v>
      </c>
      <c r="N19" s="121"/>
      <c r="O19" s="121"/>
      <c r="P19" s="121">
        <v>15000</v>
      </c>
      <c r="Q19" s="121">
        <v>1652.61</v>
      </c>
      <c r="R19" s="121">
        <v>100000</v>
      </c>
      <c r="S19" s="121">
        <v>10530</v>
      </c>
      <c r="T19" s="121"/>
      <c r="U19" s="121">
        <v>28630</v>
      </c>
      <c r="V19" s="121"/>
      <c r="W19" s="121">
        <v>22976</v>
      </c>
      <c r="X19" s="121"/>
      <c r="Y19" s="121">
        <v>1155</v>
      </c>
      <c r="Z19" s="121"/>
      <c r="AA19" s="121">
        <v>2393.4499999999998</v>
      </c>
      <c r="AB19" s="121"/>
      <c r="AC19" s="121"/>
      <c r="AD19" s="121"/>
      <c r="AE19" s="121">
        <v>9764.4500000000007</v>
      </c>
      <c r="AF19" s="121"/>
      <c r="AG19" s="121">
        <v>276.3</v>
      </c>
      <c r="AH19" s="121"/>
      <c r="AI19" s="121">
        <v>2687.1</v>
      </c>
      <c r="AJ19" s="121"/>
      <c r="AK19" s="121">
        <v>321.27999999999997</v>
      </c>
      <c r="AL19" s="121"/>
      <c r="AM19" s="121"/>
      <c r="AN19" s="121"/>
      <c r="AO19" s="121">
        <v>720.48</v>
      </c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>
        <f t="shared" si="0"/>
        <v>155000</v>
      </c>
      <c r="BA19" s="121">
        <f t="shared" si="0"/>
        <v>134052.47</v>
      </c>
      <c r="BB19" s="122"/>
      <c r="BC19" s="122"/>
    </row>
    <row r="20" spans="1:56">
      <c r="A20" s="106" t="s">
        <v>48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>
        <v>16835</v>
      </c>
      <c r="AD20" s="121"/>
      <c r="AE20" s="121"/>
      <c r="AF20" s="121"/>
      <c r="AG20" s="121"/>
      <c r="AH20" s="121"/>
      <c r="AI20" s="121"/>
      <c r="AJ20" s="121"/>
      <c r="AK20" s="121"/>
      <c r="AL20" s="121"/>
      <c r="AM20" s="121">
        <v>4261.25</v>
      </c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>
        <f t="shared" si="0"/>
        <v>0</v>
      </c>
      <c r="BA20" s="121">
        <f t="shared" si="0"/>
        <v>21096.25</v>
      </c>
      <c r="BB20" s="122">
        <f>SUM(AZ16:AZ20)</f>
        <v>882000</v>
      </c>
      <c r="BC20" s="122">
        <f>SUM(BA16:BA20)</f>
        <v>320769.94</v>
      </c>
      <c r="BD20" s="106">
        <v>2015</v>
      </c>
    </row>
    <row r="21" spans="1:56">
      <c r="A21" s="106" t="s">
        <v>432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>
        <f t="shared" si="0"/>
        <v>0</v>
      </c>
      <c r="BA21" s="121">
        <f t="shared" si="0"/>
        <v>0</v>
      </c>
      <c r="BB21" s="122"/>
      <c r="BC21" s="122"/>
    </row>
    <row r="22" spans="1:56">
      <c r="A22" s="106" t="s">
        <v>49</v>
      </c>
      <c r="B22" s="121">
        <v>5000</v>
      </c>
      <c r="C22" s="121">
        <v>1688</v>
      </c>
      <c r="D22" s="121">
        <v>115000</v>
      </c>
      <c r="E22" s="121">
        <v>24981.79</v>
      </c>
      <c r="F22" s="121"/>
      <c r="G22" s="121">
        <v>9437.5</v>
      </c>
      <c r="H22" s="121">
        <v>45000</v>
      </c>
      <c r="I22" s="121">
        <v>10812.5</v>
      </c>
      <c r="J22" s="121">
        <v>20000</v>
      </c>
      <c r="K22" s="121">
        <v>4125</v>
      </c>
      <c r="L22" s="121">
        <v>5000</v>
      </c>
      <c r="M22" s="121">
        <v>1401.01</v>
      </c>
      <c r="N22" s="121"/>
      <c r="O22" s="121"/>
      <c r="P22" s="121"/>
      <c r="Q22" s="121">
        <v>1465.11</v>
      </c>
      <c r="R22" s="121"/>
      <c r="S22" s="121">
        <v>9717</v>
      </c>
      <c r="T22" s="121">
        <v>70000</v>
      </c>
      <c r="U22" s="121">
        <v>28630</v>
      </c>
      <c r="V22" s="121">
        <v>80000</v>
      </c>
      <c r="W22" s="121">
        <v>22976</v>
      </c>
      <c r="X22" s="121">
        <v>55000</v>
      </c>
      <c r="Y22" s="121">
        <v>1155</v>
      </c>
      <c r="Z22" s="121">
        <v>10000</v>
      </c>
      <c r="AA22" s="121">
        <v>2393.4499999999998</v>
      </c>
      <c r="AB22" s="121"/>
      <c r="AC22" s="121"/>
      <c r="AD22" s="121">
        <v>50000</v>
      </c>
      <c r="AE22" s="121">
        <v>9764.4500000000007</v>
      </c>
      <c r="AF22" s="121">
        <v>1000</v>
      </c>
      <c r="AG22" s="121">
        <v>276.3</v>
      </c>
      <c r="AH22" s="121">
        <v>15000</v>
      </c>
      <c r="AI22" s="121">
        <v>2687.1</v>
      </c>
      <c r="AJ22" s="121">
        <v>1000</v>
      </c>
      <c r="AK22" s="121">
        <v>321.27999999999997</v>
      </c>
      <c r="AL22" s="121"/>
      <c r="AM22" s="121"/>
      <c r="AN22" s="121">
        <v>5000</v>
      </c>
      <c r="AO22" s="121">
        <v>720.48</v>
      </c>
      <c r="AP22" s="121">
        <v>15348</v>
      </c>
      <c r="AQ22" s="121"/>
      <c r="AR22" s="121"/>
      <c r="AS22" s="121"/>
      <c r="AT22" s="121"/>
      <c r="AU22" s="121"/>
      <c r="AV22" s="121"/>
      <c r="AW22" s="121"/>
      <c r="AX22" s="121"/>
      <c r="AY22" s="121"/>
      <c r="AZ22" s="121">
        <f t="shared" si="0"/>
        <v>492348</v>
      </c>
      <c r="BA22" s="121">
        <f t="shared" si="0"/>
        <v>132551.97</v>
      </c>
      <c r="BB22" s="122"/>
      <c r="BC22" s="122"/>
    </row>
    <row r="23" spans="1:56">
      <c r="A23" s="106" t="s">
        <v>50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>
        <v>65000</v>
      </c>
      <c r="AC23" s="121">
        <v>16835</v>
      </c>
      <c r="AD23" s="121"/>
      <c r="AE23" s="121"/>
      <c r="AF23" s="121"/>
      <c r="AG23" s="121"/>
      <c r="AH23" s="121"/>
      <c r="AI23" s="121"/>
      <c r="AJ23" s="121"/>
      <c r="AK23" s="121"/>
      <c r="AL23" s="121">
        <v>10000</v>
      </c>
      <c r="AM23" s="121">
        <v>4261.25</v>
      </c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>
        <f t="shared" si="0"/>
        <v>75000</v>
      </c>
      <c r="BA23" s="121">
        <f t="shared" si="0"/>
        <v>21096.25</v>
      </c>
      <c r="BB23" s="122"/>
      <c r="BC23" s="122"/>
    </row>
    <row r="24" spans="1:56">
      <c r="A24" s="106" t="s">
        <v>51</v>
      </c>
      <c r="B24" s="121"/>
      <c r="C24" s="121">
        <v>1625</v>
      </c>
      <c r="D24" s="121"/>
      <c r="E24" s="121">
        <v>23544.29</v>
      </c>
      <c r="F24" s="121">
        <v>40000</v>
      </c>
      <c r="G24" s="121">
        <v>9437.5</v>
      </c>
      <c r="H24" s="121"/>
      <c r="I24" s="121">
        <v>10250</v>
      </c>
      <c r="J24" s="121"/>
      <c r="K24" s="121">
        <v>3875</v>
      </c>
      <c r="L24" s="121"/>
      <c r="M24" s="121">
        <v>1338.51</v>
      </c>
      <c r="N24" s="121"/>
      <c r="O24" s="121"/>
      <c r="P24" s="121">
        <v>15000</v>
      </c>
      <c r="Q24" s="121">
        <v>1465.11</v>
      </c>
      <c r="R24" s="121">
        <v>100000</v>
      </c>
      <c r="S24" s="121">
        <v>9717</v>
      </c>
      <c r="T24" s="121"/>
      <c r="U24" s="121">
        <v>27580</v>
      </c>
      <c r="V24" s="121"/>
      <c r="W24" s="121">
        <v>21276</v>
      </c>
      <c r="X24" s="121"/>
      <c r="Y24" s="121"/>
      <c r="Z24" s="121"/>
      <c r="AA24" s="121">
        <v>2268.4499999999998</v>
      </c>
      <c r="AB24" s="121"/>
      <c r="AC24" s="121"/>
      <c r="AD24" s="121"/>
      <c r="AE24" s="121">
        <v>9139.4500000000007</v>
      </c>
      <c r="AF24" s="121"/>
      <c r="AG24" s="121">
        <v>263.8</v>
      </c>
      <c r="AH24" s="121"/>
      <c r="AI24" s="121">
        <v>2499.6</v>
      </c>
      <c r="AJ24" s="121"/>
      <c r="AK24" s="121">
        <v>308.77999999999997</v>
      </c>
      <c r="AL24" s="121"/>
      <c r="AM24" s="121"/>
      <c r="AN24" s="121"/>
      <c r="AO24" s="121">
        <v>657.98</v>
      </c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>
        <f t="shared" si="0"/>
        <v>155000</v>
      </c>
      <c r="BA24" s="121">
        <f t="shared" si="0"/>
        <v>125246.47</v>
      </c>
      <c r="BB24" s="122"/>
      <c r="BC24" s="122"/>
    </row>
    <row r="25" spans="1:56">
      <c r="A25" s="106" t="s">
        <v>52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>
        <v>15941</v>
      </c>
      <c r="AD25" s="121"/>
      <c r="AE25" s="121"/>
      <c r="AF25" s="121"/>
      <c r="AG25" s="121"/>
      <c r="AH25" s="121"/>
      <c r="AI25" s="121"/>
      <c r="AJ25" s="121"/>
      <c r="AK25" s="121"/>
      <c r="AL25" s="121"/>
      <c r="AM25" s="121">
        <v>4086.25</v>
      </c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>
        <f t="shared" si="0"/>
        <v>0</v>
      </c>
      <c r="BA25" s="121">
        <f t="shared" si="0"/>
        <v>20027.25</v>
      </c>
      <c r="BB25" s="122">
        <f>SUM(AZ21:AZ25)</f>
        <v>722348</v>
      </c>
      <c r="BC25" s="122">
        <f>SUM(BA21:BA25)</f>
        <v>298921.94</v>
      </c>
      <c r="BD25" s="106">
        <v>2016</v>
      </c>
    </row>
    <row r="26" spans="1:56">
      <c r="A26" s="106" t="s">
        <v>433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>
        <f t="shared" si="0"/>
        <v>0</v>
      </c>
      <c r="BA26" s="121">
        <f t="shared" si="0"/>
        <v>0</v>
      </c>
      <c r="BB26" s="122"/>
      <c r="BC26" s="122"/>
    </row>
    <row r="27" spans="1:56">
      <c r="A27" s="106" t="s">
        <v>53</v>
      </c>
      <c r="B27" s="121">
        <v>10000</v>
      </c>
      <c r="C27" s="121">
        <v>1625</v>
      </c>
      <c r="D27" s="121">
        <v>120000</v>
      </c>
      <c r="E27" s="121">
        <v>23544.29</v>
      </c>
      <c r="F27" s="121"/>
      <c r="G27" s="121">
        <v>8937.5</v>
      </c>
      <c r="H27" s="121">
        <v>45000</v>
      </c>
      <c r="I27" s="121">
        <v>10250</v>
      </c>
      <c r="J27" s="121">
        <v>20000</v>
      </c>
      <c r="K27" s="121">
        <v>3875</v>
      </c>
      <c r="L27" s="121">
        <v>5000</v>
      </c>
      <c r="M27" s="121">
        <v>1338.51</v>
      </c>
      <c r="N27" s="121"/>
      <c r="O27" s="121"/>
      <c r="P27" s="121"/>
      <c r="Q27" s="121">
        <v>1277.6099999999999</v>
      </c>
      <c r="R27" s="121"/>
      <c r="S27" s="121">
        <v>8905</v>
      </c>
      <c r="T27" s="121">
        <v>70000</v>
      </c>
      <c r="U27" s="121">
        <v>27580</v>
      </c>
      <c r="V27" s="121">
        <v>85000</v>
      </c>
      <c r="W27" s="121">
        <v>21276</v>
      </c>
      <c r="X27" s="121"/>
      <c r="Y27" s="121"/>
      <c r="Z27" s="121">
        <v>10000</v>
      </c>
      <c r="AA27" s="121">
        <v>2268.4499999999998</v>
      </c>
      <c r="AB27" s="121"/>
      <c r="AC27" s="121"/>
      <c r="AD27" s="121">
        <v>50000</v>
      </c>
      <c r="AE27" s="121">
        <v>9139.4500000000007</v>
      </c>
      <c r="AF27" s="121">
        <v>1000</v>
      </c>
      <c r="AG27" s="121">
        <v>263.8</v>
      </c>
      <c r="AH27" s="121">
        <v>20000</v>
      </c>
      <c r="AI27" s="121">
        <v>2499.6</v>
      </c>
      <c r="AJ27" s="121">
        <v>1000</v>
      </c>
      <c r="AK27" s="121">
        <v>308.77999999999997</v>
      </c>
      <c r="AL27" s="121"/>
      <c r="AM27" s="121"/>
      <c r="AN27" s="121">
        <v>5000</v>
      </c>
      <c r="AO27" s="121">
        <v>657.98</v>
      </c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>
        <f t="shared" si="0"/>
        <v>442000</v>
      </c>
      <c r="BA27" s="121">
        <f t="shared" si="0"/>
        <v>123746.97</v>
      </c>
      <c r="BB27" s="122"/>
      <c r="BC27" s="122"/>
    </row>
    <row r="28" spans="1:56">
      <c r="A28" s="106" t="s">
        <v>54</v>
      </c>
      <c r="B28" s="121"/>
      <c r="C28" s="121"/>
      <c r="D28" s="123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>
        <v>65000</v>
      </c>
      <c r="AC28" s="121">
        <v>15941</v>
      </c>
      <c r="AD28" s="121"/>
      <c r="AE28" s="121"/>
      <c r="AF28" s="121"/>
      <c r="AG28" s="121"/>
      <c r="AH28" s="121"/>
      <c r="AI28" s="121"/>
      <c r="AJ28" s="121"/>
      <c r="AK28" s="121"/>
      <c r="AL28" s="121">
        <v>10000</v>
      </c>
      <c r="AM28" s="121">
        <v>4086.25</v>
      </c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>
        <f t="shared" si="0"/>
        <v>75000</v>
      </c>
      <c r="BA28" s="121">
        <f t="shared" si="0"/>
        <v>20027.25</v>
      </c>
      <c r="BB28" s="122"/>
      <c r="BC28" s="122"/>
    </row>
    <row r="29" spans="1:56">
      <c r="A29" s="106" t="s">
        <v>55</v>
      </c>
      <c r="B29" s="121"/>
      <c r="C29" s="121">
        <v>1500</v>
      </c>
      <c r="D29" s="121"/>
      <c r="E29" s="121">
        <v>22044.29</v>
      </c>
      <c r="F29" s="121">
        <v>45000</v>
      </c>
      <c r="G29" s="121">
        <v>8937.5</v>
      </c>
      <c r="H29" s="121"/>
      <c r="I29" s="121">
        <v>9687.5</v>
      </c>
      <c r="J29" s="121"/>
      <c r="K29" s="121">
        <v>3625</v>
      </c>
      <c r="L29" s="121"/>
      <c r="M29" s="121">
        <v>1276.01</v>
      </c>
      <c r="N29" s="121"/>
      <c r="O29" s="121"/>
      <c r="P29" s="121">
        <v>20000</v>
      </c>
      <c r="Q29" s="121">
        <v>1277.6099999999999</v>
      </c>
      <c r="R29" s="121">
        <v>100000</v>
      </c>
      <c r="S29" s="121">
        <v>8905</v>
      </c>
      <c r="T29" s="121"/>
      <c r="U29" s="121">
        <v>26425</v>
      </c>
      <c r="V29" s="121"/>
      <c r="W29" s="121">
        <v>19427</v>
      </c>
      <c r="X29" s="121"/>
      <c r="Y29" s="121"/>
      <c r="Z29" s="121"/>
      <c r="AA29" s="121">
        <v>2143.4499999999998</v>
      </c>
      <c r="AB29" s="121"/>
      <c r="AC29" s="121"/>
      <c r="AD29" s="121"/>
      <c r="AE29" s="121">
        <v>8514.4500000000007</v>
      </c>
      <c r="AF29" s="121"/>
      <c r="AG29" s="121">
        <v>251.3</v>
      </c>
      <c r="AH29" s="121"/>
      <c r="AI29" s="121">
        <v>2249.6</v>
      </c>
      <c r="AJ29" s="121"/>
      <c r="AK29" s="121">
        <v>296.27999999999997</v>
      </c>
      <c r="AL29" s="121"/>
      <c r="AM29" s="121"/>
      <c r="AN29" s="121"/>
      <c r="AO29" s="121">
        <v>595.48</v>
      </c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>
        <f t="shared" si="0"/>
        <v>165000</v>
      </c>
      <c r="BA29" s="121">
        <f t="shared" si="0"/>
        <v>117155.47</v>
      </c>
      <c r="BB29" s="122"/>
      <c r="BC29" s="122"/>
    </row>
    <row r="30" spans="1:56">
      <c r="A30" s="106" t="s">
        <v>56</v>
      </c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>
        <v>14966</v>
      </c>
      <c r="AD30" s="121"/>
      <c r="AE30" s="121"/>
      <c r="AF30" s="121"/>
      <c r="AG30" s="121"/>
      <c r="AH30" s="121"/>
      <c r="AI30" s="121"/>
      <c r="AJ30" s="121"/>
      <c r="AK30" s="121"/>
      <c r="AL30" s="121"/>
      <c r="AM30" s="121">
        <v>3911.25</v>
      </c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>
        <f t="shared" si="0"/>
        <v>0</v>
      </c>
      <c r="BA30" s="121">
        <f t="shared" si="0"/>
        <v>18877.25</v>
      </c>
      <c r="BB30" s="122">
        <f>SUM(AZ26:AZ30)</f>
        <v>682000</v>
      </c>
      <c r="BC30" s="122">
        <f>SUM(BA26:BA30)</f>
        <v>279806.94</v>
      </c>
      <c r="BD30" s="106">
        <v>2017</v>
      </c>
    </row>
    <row r="31" spans="1:56">
      <c r="A31" s="106" t="s">
        <v>434</v>
      </c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>
        <f t="shared" si="0"/>
        <v>0</v>
      </c>
      <c r="BA31" s="121">
        <f t="shared" si="0"/>
        <v>0</v>
      </c>
      <c r="BB31" s="122"/>
      <c r="BC31" s="122"/>
    </row>
    <row r="32" spans="1:56">
      <c r="A32" s="106" t="s">
        <v>57</v>
      </c>
      <c r="B32" s="121">
        <v>10000</v>
      </c>
      <c r="C32" s="121">
        <v>1500</v>
      </c>
      <c r="D32" s="121">
        <v>120000</v>
      </c>
      <c r="E32" s="121">
        <v>22044.29</v>
      </c>
      <c r="F32" s="121"/>
      <c r="G32" s="121">
        <v>8375</v>
      </c>
      <c r="H32" s="121">
        <v>45000</v>
      </c>
      <c r="I32" s="121">
        <v>9687.5</v>
      </c>
      <c r="J32" s="121">
        <v>20000</v>
      </c>
      <c r="K32" s="121">
        <v>3625</v>
      </c>
      <c r="L32" s="121">
        <v>5000</v>
      </c>
      <c r="M32" s="121">
        <v>1276.01</v>
      </c>
      <c r="N32" s="121"/>
      <c r="O32" s="121"/>
      <c r="P32" s="121"/>
      <c r="Q32" s="121">
        <v>1027.6099999999999</v>
      </c>
      <c r="R32" s="121"/>
      <c r="S32" s="121">
        <v>8092</v>
      </c>
      <c r="T32" s="121">
        <v>75000</v>
      </c>
      <c r="U32" s="121">
        <v>26425</v>
      </c>
      <c r="V32" s="121">
        <v>85000</v>
      </c>
      <c r="W32" s="121">
        <v>19427</v>
      </c>
      <c r="X32" s="121"/>
      <c r="Y32" s="121"/>
      <c r="Z32" s="121">
        <v>10000</v>
      </c>
      <c r="AA32" s="121">
        <v>2143.4499999999998</v>
      </c>
      <c r="AB32" s="121"/>
      <c r="AC32" s="121"/>
      <c r="AD32" s="121">
        <v>55000</v>
      </c>
      <c r="AE32" s="121">
        <v>8514.4500000000007</v>
      </c>
      <c r="AF32" s="121">
        <v>1000</v>
      </c>
      <c r="AG32" s="121">
        <v>251.3</v>
      </c>
      <c r="AH32" s="121">
        <v>20000</v>
      </c>
      <c r="AI32" s="121">
        <v>2249.6</v>
      </c>
      <c r="AJ32" s="121">
        <v>1000</v>
      </c>
      <c r="AK32" s="121">
        <v>296.27999999999997</v>
      </c>
      <c r="AL32" s="121"/>
      <c r="AM32" s="121"/>
      <c r="AN32" s="121">
        <v>5000</v>
      </c>
      <c r="AO32" s="121">
        <v>595.48</v>
      </c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>
        <f t="shared" si="0"/>
        <v>452000</v>
      </c>
      <c r="BA32" s="121">
        <f t="shared" si="0"/>
        <v>115529.97</v>
      </c>
      <c r="BB32" s="122"/>
      <c r="BC32" s="122"/>
    </row>
    <row r="33" spans="1:56">
      <c r="A33" s="106" t="s">
        <v>58</v>
      </c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>
        <v>65000</v>
      </c>
      <c r="AC33" s="121">
        <v>14966</v>
      </c>
      <c r="AD33" s="121"/>
      <c r="AE33" s="121"/>
      <c r="AF33" s="121"/>
      <c r="AG33" s="121"/>
      <c r="AH33" s="121"/>
      <c r="AI33" s="121"/>
      <c r="AJ33" s="121"/>
      <c r="AK33" s="121"/>
      <c r="AL33" s="121">
        <v>10000</v>
      </c>
      <c r="AM33" s="121">
        <v>3911.25</v>
      </c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>
        <f t="shared" si="0"/>
        <v>75000</v>
      </c>
      <c r="BA33" s="121">
        <f t="shared" si="0"/>
        <v>18877.25</v>
      </c>
      <c r="BB33" s="122"/>
      <c r="BC33" s="122"/>
    </row>
    <row r="34" spans="1:56">
      <c r="A34" s="106" t="s">
        <v>59</v>
      </c>
      <c r="B34" s="121"/>
      <c r="C34" s="121">
        <v>1375</v>
      </c>
      <c r="D34" s="121"/>
      <c r="E34" s="121">
        <v>20544.29</v>
      </c>
      <c r="F34" s="121">
        <v>45000</v>
      </c>
      <c r="G34" s="121">
        <v>8375</v>
      </c>
      <c r="H34" s="121"/>
      <c r="I34" s="121">
        <v>9125</v>
      </c>
      <c r="J34" s="121"/>
      <c r="K34" s="121">
        <v>3375</v>
      </c>
      <c r="L34" s="121"/>
      <c r="M34" s="121">
        <v>1213.51</v>
      </c>
      <c r="N34" s="121"/>
      <c r="O34" s="121"/>
      <c r="P34" s="121">
        <v>20000</v>
      </c>
      <c r="Q34" s="121">
        <v>1027.6099999999999</v>
      </c>
      <c r="R34" s="121">
        <v>100000</v>
      </c>
      <c r="S34" s="121">
        <v>8092</v>
      </c>
      <c r="T34" s="121"/>
      <c r="U34" s="121">
        <v>25075</v>
      </c>
      <c r="V34" s="121"/>
      <c r="W34" s="121">
        <v>17557</v>
      </c>
      <c r="X34" s="121"/>
      <c r="Y34" s="121"/>
      <c r="Z34" s="121"/>
      <c r="AA34" s="121">
        <v>2018.45</v>
      </c>
      <c r="AB34" s="121"/>
      <c r="AC34" s="121"/>
      <c r="AD34" s="121"/>
      <c r="AE34" s="121">
        <v>7826.95</v>
      </c>
      <c r="AF34" s="121"/>
      <c r="AG34" s="121">
        <v>238.8</v>
      </c>
      <c r="AH34" s="121"/>
      <c r="AI34" s="121">
        <v>1999.6</v>
      </c>
      <c r="AJ34" s="121"/>
      <c r="AK34" s="121">
        <v>283.77999999999997</v>
      </c>
      <c r="AL34" s="121"/>
      <c r="AM34" s="121"/>
      <c r="AN34" s="121"/>
      <c r="AO34" s="121">
        <v>532.98</v>
      </c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>
        <f t="shared" si="0"/>
        <v>165000</v>
      </c>
      <c r="BA34" s="121">
        <f t="shared" si="0"/>
        <v>108659.97</v>
      </c>
      <c r="BB34" s="122"/>
      <c r="BC34" s="122"/>
    </row>
    <row r="35" spans="1:56">
      <c r="A35" s="106" t="s">
        <v>60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>
        <v>13991</v>
      </c>
      <c r="AD35" s="121"/>
      <c r="AE35" s="121"/>
      <c r="AF35" s="121"/>
      <c r="AG35" s="121"/>
      <c r="AH35" s="121"/>
      <c r="AI35" s="121"/>
      <c r="AJ35" s="121"/>
      <c r="AK35" s="121"/>
      <c r="AL35" s="121"/>
      <c r="AM35" s="121">
        <v>3736.25</v>
      </c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>
        <f t="shared" si="0"/>
        <v>0</v>
      </c>
      <c r="BA35" s="121">
        <f t="shared" si="0"/>
        <v>17727.25</v>
      </c>
      <c r="BB35" s="122">
        <f>SUM(AZ31:AZ35)</f>
        <v>692000</v>
      </c>
      <c r="BC35" s="122">
        <f>SUM(BA31:BA35)</f>
        <v>260794.44</v>
      </c>
      <c r="BD35" s="106">
        <v>2018</v>
      </c>
    </row>
    <row r="36" spans="1:56">
      <c r="A36" s="106" t="s">
        <v>435</v>
      </c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>
        <f t="shared" si="0"/>
        <v>0</v>
      </c>
      <c r="BA36" s="121">
        <f t="shared" si="0"/>
        <v>0</v>
      </c>
      <c r="BB36" s="122"/>
      <c r="BC36" s="122"/>
    </row>
    <row r="37" spans="1:56">
      <c r="A37" s="106" t="s">
        <v>61</v>
      </c>
      <c r="B37" s="121">
        <v>10000</v>
      </c>
      <c r="C37" s="121">
        <v>1375</v>
      </c>
      <c r="D37" s="121">
        <v>125000</v>
      </c>
      <c r="E37" s="121">
        <v>20544.29</v>
      </c>
      <c r="F37" s="121"/>
      <c r="G37" s="121">
        <v>7812.5</v>
      </c>
      <c r="H37" s="121">
        <v>50000</v>
      </c>
      <c r="I37" s="121">
        <v>9125</v>
      </c>
      <c r="J37" s="121">
        <v>20000</v>
      </c>
      <c r="K37" s="121">
        <v>3375</v>
      </c>
      <c r="L37" s="121">
        <v>5000</v>
      </c>
      <c r="M37" s="121">
        <v>1213.51</v>
      </c>
      <c r="N37" s="121"/>
      <c r="O37" s="121"/>
      <c r="P37" s="121"/>
      <c r="Q37" s="121">
        <v>777.61</v>
      </c>
      <c r="R37" s="121"/>
      <c r="S37" s="121">
        <v>7280</v>
      </c>
      <c r="T37" s="121">
        <v>80000</v>
      </c>
      <c r="U37" s="121">
        <v>25075</v>
      </c>
      <c r="V37" s="121">
        <v>90000</v>
      </c>
      <c r="W37" s="121">
        <v>17557</v>
      </c>
      <c r="X37" s="121"/>
      <c r="Y37" s="121"/>
      <c r="Z37" s="121">
        <v>10000</v>
      </c>
      <c r="AA37" s="121">
        <v>2018.45</v>
      </c>
      <c r="AB37" s="121"/>
      <c r="AC37" s="121"/>
      <c r="AD37" s="121">
        <v>55000</v>
      </c>
      <c r="AE37" s="121">
        <v>7826.95</v>
      </c>
      <c r="AF37" s="121">
        <v>1000</v>
      </c>
      <c r="AG37" s="121">
        <v>238.8</v>
      </c>
      <c r="AH37" s="121">
        <v>20000</v>
      </c>
      <c r="AI37" s="121">
        <v>1999.6</v>
      </c>
      <c r="AJ37" s="121">
        <v>1000</v>
      </c>
      <c r="AK37" s="121">
        <v>283.77999999999997</v>
      </c>
      <c r="AL37" s="121"/>
      <c r="AM37" s="121"/>
      <c r="AN37" s="121">
        <v>10000</v>
      </c>
      <c r="AO37" s="121">
        <v>532.98</v>
      </c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>
        <f t="shared" si="0"/>
        <v>477000</v>
      </c>
      <c r="BA37" s="121">
        <f t="shared" si="0"/>
        <v>107035.47</v>
      </c>
      <c r="BB37" s="122"/>
      <c r="BC37" s="122"/>
    </row>
    <row r="38" spans="1:56">
      <c r="A38" s="106" t="s">
        <v>62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>
        <v>65000</v>
      </c>
      <c r="AC38" s="121">
        <v>13991</v>
      </c>
      <c r="AD38" s="121"/>
      <c r="AE38" s="121"/>
      <c r="AF38" s="121"/>
      <c r="AG38" s="121"/>
      <c r="AH38" s="121"/>
      <c r="AI38" s="121"/>
      <c r="AJ38" s="121"/>
      <c r="AK38" s="121"/>
      <c r="AL38" s="121">
        <v>10000</v>
      </c>
      <c r="AM38" s="121">
        <v>3736.25</v>
      </c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>
        <f t="shared" si="0"/>
        <v>75000</v>
      </c>
      <c r="BA38" s="121">
        <f t="shared" si="0"/>
        <v>17727.25</v>
      </c>
      <c r="BB38" s="122"/>
      <c r="BC38" s="122"/>
    </row>
    <row r="39" spans="1:56">
      <c r="A39" s="106" t="s">
        <v>63</v>
      </c>
      <c r="B39" s="121"/>
      <c r="C39" s="121">
        <v>1250</v>
      </c>
      <c r="D39" s="121"/>
      <c r="E39" s="121">
        <v>18981.79</v>
      </c>
      <c r="F39" s="121">
        <v>45000</v>
      </c>
      <c r="G39" s="121">
        <v>7812.5</v>
      </c>
      <c r="H39" s="121"/>
      <c r="I39" s="121">
        <v>8500</v>
      </c>
      <c r="J39" s="121"/>
      <c r="K39" s="121">
        <v>3125</v>
      </c>
      <c r="L39" s="121"/>
      <c r="M39" s="121">
        <v>1151.01</v>
      </c>
      <c r="N39" s="121"/>
      <c r="O39" s="121"/>
      <c r="P39" s="121">
        <v>20000</v>
      </c>
      <c r="Q39" s="121">
        <v>777.61</v>
      </c>
      <c r="R39" s="121">
        <v>105000</v>
      </c>
      <c r="S39" s="121">
        <v>7280</v>
      </c>
      <c r="T39" s="121"/>
      <c r="U39" s="121">
        <v>23555</v>
      </c>
      <c r="V39" s="121"/>
      <c r="W39" s="121">
        <v>15555</v>
      </c>
      <c r="X39" s="121"/>
      <c r="Y39" s="121"/>
      <c r="Z39" s="121"/>
      <c r="AA39" s="121">
        <v>1893.45</v>
      </c>
      <c r="AB39" s="121"/>
      <c r="AC39" s="121"/>
      <c r="AD39" s="121"/>
      <c r="AE39" s="121">
        <v>7139.45</v>
      </c>
      <c r="AF39" s="121"/>
      <c r="AG39" s="121">
        <v>226.3</v>
      </c>
      <c r="AH39" s="121"/>
      <c r="AI39" s="121">
        <v>1749.6</v>
      </c>
      <c r="AJ39" s="121"/>
      <c r="AK39" s="121">
        <v>271.27999999999997</v>
      </c>
      <c r="AL39" s="121"/>
      <c r="AM39" s="121"/>
      <c r="AN39" s="121"/>
      <c r="AO39" s="121">
        <v>407.98</v>
      </c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>
        <f t="shared" si="0"/>
        <v>170000</v>
      </c>
      <c r="BA39" s="121">
        <f t="shared" si="0"/>
        <v>99675.97</v>
      </c>
      <c r="BB39" s="122"/>
      <c r="BC39" s="122"/>
    </row>
    <row r="40" spans="1:56">
      <c r="A40" s="106" t="s">
        <v>64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>
        <v>13016</v>
      </c>
      <c r="AD40" s="121"/>
      <c r="AE40" s="121"/>
      <c r="AF40" s="121"/>
      <c r="AG40" s="121"/>
      <c r="AH40" s="121"/>
      <c r="AI40" s="121"/>
      <c r="AJ40" s="121"/>
      <c r="AK40" s="121"/>
      <c r="AL40" s="121"/>
      <c r="AM40" s="121">
        <v>3536.25</v>
      </c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>
        <f t="shared" si="0"/>
        <v>0</v>
      </c>
      <c r="BA40" s="121">
        <f t="shared" si="0"/>
        <v>16552.25</v>
      </c>
      <c r="BB40" s="122">
        <f>SUM(AZ36:AZ40)</f>
        <v>722000</v>
      </c>
      <c r="BC40" s="122">
        <f>SUM(BA36:BA40)</f>
        <v>240990.94</v>
      </c>
      <c r="BD40" s="106">
        <v>2019</v>
      </c>
    </row>
    <row r="41" spans="1:56">
      <c r="A41" s="106" t="s">
        <v>436</v>
      </c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>
        <f t="shared" si="0"/>
        <v>0</v>
      </c>
      <c r="BA41" s="121">
        <f t="shared" si="0"/>
        <v>0</v>
      </c>
      <c r="BB41" s="122"/>
      <c r="BC41" s="122"/>
    </row>
    <row r="42" spans="1:56">
      <c r="A42" s="106" t="s">
        <v>65</v>
      </c>
      <c r="B42" s="121">
        <v>10000</v>
      </c>
      <c r="C42" s="121">
        <v>1250</v>
      </c>
      <c r="D42" s="121">
        <v>125000</v>
      </c>
      <c r="E42" s="121">
        <v>18981.79</v>
      </c>
      <c r="F42" s="121"/>
      <c r="G42" s="121">
        <v>7250</v>
      </c>
      <c r="H42" s="121">
        <f>50000</f>
        <v>50000</v>
      </c>
      <c r="I42" s="121">
        <v>8500</v>
      </c>
      <c r="J42" s="121">
        <v>20000</v>
      </c>
      <c r="K42" s="121">
        <v>3125</v>
      </c>
      <c r="L42" s="121">
        <v>5000</v>
      </c>
      <c r="M42" s="121">
        <v>1151.01</v>
      </c>
      <c r="N42" s="121"/>
      <c r="O42" s="121"/>
      <c r="P42" s="121"/>
      <c r="Q42" s="121">
        <v>527.61</v>
      </c>
      <c r="R42" s="121"/>
      <c r="S42" s="121">
        <v>6427</v>
      </c>
      <c r="T42" s="121">
        <v>85000</v>
      </c>
      <c r="U42" s="121">
        <v>23555</v>
      </c>
      <c r="V42" s="121">
        <v>90000</v>
      </c>
      <c r="W42" s="121">
        <v>15555</v>
      </c>
      <c r="X42" s="121"/>
      <c r="Y42" s="121"/>
      <c r="Z42" s="121">
        <v>10000</v>
      </c>
      <c r="AA42" s="121">
        <v>1893.45</v>
      </c>
      <c r="AB42" s="121"/>
      <c r="AC42" s="121"/>
      <c r="AD42" s="121">
        <v>55000</v>
      </c>
      <c r="AE42" s="121">
        <v>7139.45</v>
      </c>
      <c r="AF42" s="121">
        <v>1000</v>
      </c>
      <c r="AG42" s="121">
        <v>226.3</v>
      </c>
      <c r="AH42" s="121">
        <v>20000</v>
      </c>
      <c r="AI42" s="121">
        <v>1749.6</v>
      </c>
      <c r="AJ42" s="121">
        <v>2000</v>
      </c>
      <c r="AK42" s="121">
        <v>271.27999999999997</v>
      </c>
      <c r="AL42" s="121"/>
      <c r="AM42" s="121"/>
      <c r="AN42" s="121">
        <v>10000</v>
      </c>
      <c r="AO42" s="121">
        <v>407.98</v>
      </c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>
        <f t="shared" si="0"/>
        <v>483000</v>
      </c>
      <c r="BA42" s="121">
        <f t="shared" si="0"/>
        <v>98010.47</v>
      </c>
      <c r="BB42" s="122"/>
      <c r="BC42" s="122"/>
    </row>
    <row r="43" spans="1:56">
      <c r="A43" s="106" t="s">
        <v>66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>
        <v>65000</v>
      </c>
      <c r="AC43" s="121">
        <v>13016</v>
      </c>
      <c r="AD43" s="121"/>
      <c r="AE43" s="121"/>
      <c r="AF43" s="121"/>
      <c r="AG43" s="121"/>
      <c r="AH43" s="121"/>
      <c r="AI43" s="121"/>
      <c r="AJ43" s="121"/>
      <c r="AK43" s="121"/>
      <c r="AL43" s="121">
        <v>10000</v>
      </c>
      <c r="AM43" s="121">
        <v>3536.25</v>
      </c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>
        <f t="shared" si="0"/>
        <v>75000</v>
      </c>
      <c r="BA43" s="121">
        <f t="shared" si="0"/>
        <v>16552.25</v>
      </c>
      <c r="BB43" s="122"/>
      <c r="BC43" s="122"/>
    </row>
    <row r="44" spans="1:56">
      <c r="A44" s="106" t="s">
        <v>67</v>
      </c>
      <c r="B44" s="121"/>
      <c r="C44" s="121">
        <v>1125</v>
      </c>
      <c r="D44" s="121"/>
      <c r="E44" s="121">
        <v>17419.29</v>
      </c>
      <c r="F44" s="121">
        <v>45000</v>
      </c>
      <c r="G44" s="121">
        <v>7250</v>
      </c>
      <c r="H44" s="121"/>
      <c r="I44" s="121">
        <v>7875</v>
      </c>
      <c r="J44" s="121"/>
      <c r="K44" s="121">
        <v>2875</v>
      </c>
      <c r="L44" s="121"/>
      <c r="M44" s="121">
        <v>1088.51</v>
      </c>
      <c r="N44" s="121"/>
      <c r="O44" s="121"/>
      <c r="P44" s="121">
        <v>20000</v>
      </c>
      <c r="Q44" s="121">
        <v>527.61</v>
      </c>
      <c r="R44" s="121">
        <v>105000</v>
      </c>
      <c r="S44" s="121">
        <v>6427</v>
      </c>
      <c r="T44" s="121"/>
      <c r="U44" s="121">
        <v>21897</v>
      </c>
      <c r="V44" s="121"/>
      <c r="W44" s="121">
        <v>13530</v>
      </c>
      <c r="X44" s="121"/>
      <c r="Y44" s="121"/>
      <c r="Z44" s="121"/>
      <c r="AA44" s="121">
        <v>1768.45</v>
      </c>
      <c r="AB44" s="121"/>
      <c r="AC44" s="121"/>
      <c r="AD44" s="121"/>
      <c r="AE44" s="121">
        <v>6451.95</v>
      </c>
      <c r="AF44" s="121"/>
      <c r="AG44" s="121">
        <v>213.8</v>
      </c>
      <c r="AH44" s="121"/>
      <c r="AI44" s="121">
        <v>1499.6</v>
      </c>
      <c r="AJ44" s="121"/>
      <c r="AK44" s="121">
        <v>246.28</v>
      </c>
      <c r="AL44" s="121"/>
      <c r="AM44" s="121"/>
      <c r="AN44" s="121"/>
      <c r="AO44" s="121">
        <v>282.98</v>
      </c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>
        <f t="shared" si="0"/>
        <v>170000</v>
      </c>
      <c r="BA44" s="121">
        <f t="shared" si="0"/>
        <v>90477.47</v>
      </c>
      <c r="BB44" s="122"/>
      <c r="BC44" s="122"/>
    </row>
    <row r="45" spans="1:56">
      <c r="A45" s="106" t="s">
        <v>68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>
        <v>11976</v>
      </c>
      <c r="AD45" s="121"/>
      <c r="AE45" s="121"/>
      <c r="AF45" s="121"/>
      <c r="AG45" s="121"/>
      <c r="AH45" s="121"/>
      <c r="AI45" s="121"/>
      <c r="AJ45" s="121"/>
      <c r="AK45" s="121"/>
      <c r="AL45" s="121"/>
      <c r="AM45" s="121">
        <v>3336.25</v>
      </c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>
        <f t="shared" si="0"/>
        <v>0</v>
      </c>
      <c r="BA45" s="121">
        <f t="shared" si="0"/>
        <v>15312.25</v>
      </c>
      <c r="BB45" s="122">
        <f>SUM(AZ41:AZ45)</f>
        <v>728000</v>
      </c>
      <c r="BC45" s="122">
        <f>SUM(BA41:BA45)</f>
        <v>220352.44</v>
      </c>
      <c r="BD45" s="106">
        <v>2020</v>
      </c>
    </row>
    <row r="46" spans="1:56">
      <c r="A46" s="106" t="s">
        <v>437</v>
      </c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>
        <f t="shared" si="0"/>
        <v>0</v>
      </c>
      <c r="BA46" s="121">
        <f t="shared" si="0"/>
        <v>0</v>
      </c>
      <c r="BB46" s="122"/>
      <c r="BC46" s="122"/>
    </row>
    <row r="47" spans="1:56">
      <c r="A47" s="106" t="s">
        <v>69</v>
      </c>
      <c r="B47" s="121">
        <v>10000</v>
      </c>
      <c r="C47" s="121">
        <v>1125</v>
      </c>
      <c r="D47" s="121">
        <v>130000</v>
      </c>
      <c r="E47" s="121">
        <v>17419.29</v>
      </c>
      <c r="F47" s="121"/>
      <c r="G47" s="121">
        <v>6687.5</v>
      </c>
      <c r="H47" s="121">
        <v>50000</v>
      </c>
      <c r="I47" s="121">
        <v>7875</v>
      </c>
      <c r="J47" s="121">
        <v>20000</v>
      </c>
      <c r="K47" s="121">
        <v>2875</v>
      </c>
      <c r="L47" s="121">
        <v>5000</v>
      </c>
      <c r="M47" s="121">
        <v>1088.51</v>
      </c>
      <c r="N47" s="121"/>
      <c r="O47" s="121"/>
      <c r="P47" s="121"/>
      <c r="Q47" s="121">
        <v>277.61</v>
      </c>
      <c r="R47" s="121"/>
      <c r="S47" s="121">
        <v>5573</v>
      </c>
      <c r="T47" s="121">
        <v>90000</v>
      </c>
      <c r="U47" s="121">
        <v>21897</v>
      </c>
      <c r="V47" s="121">
        <v>95000</v>
      </c>
      <c r="W47" s="121">
        <v>13530</v>
      </c>
      <c r="X47" s="121"/>
      <c r="Y47" s="121"/>
      <c r="Z47" s="121">
        <v>10000</v>
      </c>
      <c r="AA47" s="121">
        <v>1768.45</v>
      </c>
      <c r="AB47" s="121"/>
      <c r="AC47" s="121"/>
      <c r="AD47" s="121">
        <v>60000</v>
      </c>
      <c r="AE47" s="121">
        <v>6451.95</v>
      </c>
      <c r="AF47" s="121">
        <v>1000</v>
      </c>
      <c r="AG47" s="121">
        <v>213.8</v>
      </c>
      <c r="AH47" s="121">
        <v>20000</v>
      </c>
      <c r="AI47" s="121">
        <v>1499.6</v>
      </c>
      <c r="AJ47" s="121">
        <v>2000</v>
      </c>
      <c r="AK47" s="121">
        <v>246.28</v>
      </c>
      <c r="AL47" s="121"/>
      <c r="AM47" s="121"/>
      <c r="AN47" s="121">
        <v>10000</v>
      </c>
      <c r="AO47" s="121">
        <v>282.98</v>
      </c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>
        <f t="shared" si="0"/>
        <v>503000</v>
      </c>
      <c r="BA47" s="121">
        <f t="shared" si="0"/>
        <v>88810.97</v>
      </c>
      <c r="BB47" s="122"/>
      <c r="BC47" s="122"/>
    </row>
    <row r="48" spans="1:56">
      <c r="A48" s="106" t="s">
        <v>70</v>
      </c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>
        <v>65000</v>
      </c>
      <c r="AC48" s="121">
        <v>11976</v>
      </c>
      <c r="AD48" s="121"/>
      <c r="AE48" s="121"/>
      <c r="AF48" s="121"/>
      <c r="AG48" s="121"/>
      <c r="AH48" s="121"/>
      <c r="AI48" s="121"/>
      <c r="AJ48" s="121"/>
      <c r="AK48" s="121"/>
      <c r="AL48" s="121">
        <v>10000</v>
      </c>
      <c r="AM48" s="121">
        <v>3336.25</v>
      </c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>
        <f t="shared" si="0"/>
        <v>75000</v>
      </c>
      <c r="BA48" s="121">
        <f t="shared" si="0"/>
        <v>15312.25</v>
      </c>
      <c r="BB48" s="122"/>
      <c r="BC48" s="122"/>
    </row>
    <row r="49" spans="1:56">
      <c r="A49" s="106" t="s">
        <v>71</v>
      </c>
      <c r="B49" s="121"/>
      <c r="C49" s="121">
        <v>1000</v>
      </c>
      <c r="D49" s="121"/>
      <c r="E49" s="121">
        <v>15794.29</v>
      </c>
      <c r="F49" s="121">
        <v>45000</v>
      </c>
      <c r="G49" s="121">
        <v>6687.5</v>
      </c>
      <c r="H49" s="121"/>
      <c r="I49" s="121">
        <v>7250</v>
      </c>
      <c r="J49" s="121"/>
      <c r="K49" s="121">
        <v>2625</v>
      </c>
      <c r="L49" s="121"/>
      <c r="M49" s="121">
        <v>1026.01</v>
      </c>
      <c r="N49" s="121"/>
      <c r="O49" s="121"/>
      <c r="P49" s="121">
        <v>20000</v>
      </c>
      <c r="Q49" s="121">
        <v>277.61</v>
      </c>
      <c r="R49" s="121">
        <v>105000</v>
      </c>
      <c r="S49" s="121">
        <v>5573</v>
      </c>
      <c r="T49" s="121"/>
      <c r="U49" s="121">
        <v>20097</v>
      </c>
      <c r="V49" s="121"/>
      <c r="W49" s="121">
        <v>11369</v>
      </c>
      <c r="X49" s="121"/>
      <c r="Y49" s="121"/>
      <c r="Z49" s="121"/>
      <c r="AA49" s="121">
        <v>1643.45</v>
      </c>
      <c r="AB49" s="121"/>
      <c r="AC49" s="121"/>
      <c r="AD49" s="121"/>
      <c r="AE49" s="121">
        <v>5701.95</v>
      </c>
      <c r="AF49" s="121"/>
      <c r="AG49" s="121">
        <v>201.3</v>
      </c>
      <c r="AH49" s="121"/>
      <c r="AI49" s="121">
        <v>1249.5999999999999</v>
      </c>
      <c r="AJ49" s="121"/>
      <c r="AK49" s="121">
        <v>221.28</v>
      </c>
      <c r="AL49" s="121"/>
      <c r="AM49" s="121"/>
      <c r="AN49" s="121"/>
      <c r="AO49" s="121">
        <v>157.97999999999999</v>
      </c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>
        <f t="shared" si="0"/>
        <v>170000</v>
      </c>
      <c r="BA49" s="121">
        <f t="shared" si="0"/>
        <v>80874.97</v>
      </c>
      <c r="BB49" s="122"/>
      <c r="BC49" s="122"/>
    </row>
    <row r="50" spans="1:56">
      <c r="A50" s="106" t="s">
        <v>72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>
        <v>10936</v>
      </c>
      <c r="AD50" s="121"/>
      <c r="AE50" s="121"/>
      <c r="AF50" s="121"/>
      <c r="AG50" s="121"/>
      <c r="AH50" s="121"/>
      <c r="AI50" s="121"/>
      <c r="AJ50" s="121"/>
      <c r="AK50" s="121"/>
      <c r="AL50" s="121"/>
      <c r="AM50" s="121">
        <v>3136.25</v>
      </c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>
        <f t="shared" si="0"/>
        <v>0</v>
      </c>
      <c r="BA50" s="121">
        <f t="shared" si="0"/>
        <v>14072.25</v>
      </c>
      <c r="BB50" s="122">
        <f>SUM(AZ46:AZ50)</f>
        <v>748000</v>
      </c>
      <c r="BC50" s="122">
        <f>SUM(BA46:BA50)</f>
        <v>199070.44</v>
      </c>
      <c r="BD50" s="106">
        <v>2021</v>
      </c>
    </row>
    <row r="51" spans="1:56">
      <c r="A51" s="106" t="s">
        <v>438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>
        <f t="shared" si="0"/>
        <v>0</v>
      </c>
      <c r="BA51" s="121">
        <f t="shared" si="0"/>
        <v>0</v>
      </c>
      <c r="BB51" s="122"/>
      <c r="BC51" s="122"/>
    </row>
    <row r="52" spans="1:56">
      <c r="A52" s="106" t="s">
        <v>73</v>
      </c>
      <c r="B52" s="121">
        <v>10000</v>
      </c>
      <c r="C52" s="121">
        <v>1000</v>
      </c>
      <c r="D52" s="121">
        <v>135000</v>
      </c>
      <c r="E52" s="121">
        <v>15794.29</v>
      </c>
      <c r="F52" s="121"/>
      <c r="G52" s="121">
        <v>6125</v>
      </c>
      <c r="H52" s="121">
        <v>50000</v>
      </c>
      <c r="I52" s="121">
        <v>7250</v>
      </c>
      <c r="J52" s="121">
        <v>20000</v>
      </c>
      <c r="K52" s="121">
        <v>2625</v>
      </c>
      <c r="L52" s="121">
        <v>5000</v>
      </c>
      <c r="M52" s="121">
        <v>1026.01</v>
      </c>
      <c r="N52" s="121"/>
      <c r="O52" s="121"/>
      <c r="P52" s="121"/>
      <c r="Q52" s="121">
        <v>27.61</v>
      </c>
      <c r="R52" s="121"/>
      <c r="S52" s="121">
        <v>4720</v>
      </c>
      <c r="T52" s="121">
        <v>95000</v>
      </c>
      <c r="U52" s="121">
        <v>20098</v>
      </c>
      <c r="V52" s="121">
        <v>95000</v>
      </c>
      <c r="W52" s="121">
        <v>11369</v>
      </c>
      <c r="X52" s="121"/>
      <c r="Y52" s="121"/>
      <c r="Z52" s="121">
        <v>10000</v>
      </c>
      <c r="AA52" s="121">
        <v>1643.45</v>
      </c>
      <c r="AB52" s="121"/>
      <c r="AC52" s="121"/>
      <c r="AD52" s="121">
        <v>60000</v>
      </c>
      <c r="AE52" s="121">
        <v>5701.95</v>
      </c>
      <c r="AF52" s="121">
        <v>1000</v>
      </c>
      <c r="AG52" s="121">
        <v>201.3</v>
      </c>
      <c r="AH52" s="121">
        <v>20000</v>
      </c>
      <c r="AI52" s="121">
        <v>1249.5999999999999</v>
      </c>
      <c r="AJ52" s="121">
        <v>2000</v>
      </c>
      <c r="AK52" s="121">
        <v>221.28</v>
      </c>
      <c r="AL52" s="121"/>
      <c r="AM52" s="121"/>
      <c r="AN52" s="121">
        <v>10000</v>
      </c>
      <c r="AO52" s="121">
        <v>157.97999999999999</v>
      </c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>
        <f t="shared" si="0"/>
        <v>513000</v>
      </c>
      <c r="BA52" s="121">
        <f t="shared" si="0"/>
        <v>79210.47</v>
      </c>
      <c r="BB52" s="122"/>
      <c r="BC52" s="122"/>
    </row>
    <row r="53" spans="1:56">
      <c r="A53" s="106" t="s">
        <v>74</v>
      </c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>
        <v>65000</v>
      </c>
      <c r="AC53" s="121">
        <v>10936</v>
      </c>
      <c r="AD53" s="121"/>
      <c r="AE53" s="121"/>
      <c r="AF53" s="121"/>
      <c r="AG53" s="121"/>
      <c r="AH53" s="121"/>
      <c r="AI53" s="121"/>
      <c r="AJ53" s="121"/>
      <c r="AK53" s="121"/>
      <c r="AL53" s="121">
        <v>10000</v>
      </c>
      <c r="AM53" s="121">
        <v>3136.25</v>
      </c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>
        <f t="shared" si="0"/>
        <v>75000</v>
      </c>
      <c r="BA53" s="121">
        <f t="shared" si="0"/>
        <v>14072.25</v>
      </c>
      <c r="BB53" s="122"/>
      <c r="BC53" s="122"/>
    </row>
    <row r="54" spans="1:56">
      <c r="A54" s="106" t="s">
        <v>75</v>
      </c>
      <c r="B54" s="121"/>
      <c r="C54" s="121">
        <v>875</v>
      </c>
      <c r="D54" s="121"/>
      <c r="E54" s="121">
        <v>14106.79</v>
      </c>
      <c r="F54" s="121">
        <v>50000</v>
      </c>
      <c r="G54" s="121">
        <v>6125</v>
      </c>
      <c r="H54" s="121"/>
      <c r="I54" s="121">
        <v>6625</v>
      </c>
      <c r="J54" s="121"/>
      <c r="K54" s="121">
        <v>2375</v>
      </c>
      <c r="L54" s="121"/>
      <c r="M54" s="121">
        <v>963.51</v>
      </c>
      <c r="N54" s="121"/>
      <c r="O54" s="121"/>
      <c r="P54" s="121">
        <v>2209</v>
      </c>
      <c r="Q54" s="121">
        <v>27.61</v>
      </c>
      <c r="R54" s="121">
        <v>110000</v>
      </c>
      <c r="S54" s="121">
        <v>4720</v>
      </c>
      <c r="T54" s="121"/>
      <c r="U54" s="121">
        <v>18150</v>
      </c>
      <c r="V54" s="121"/>
      <c r="W54" s="121">
        <v>9184</v>
      </c>
      <c r="X54" s="121"/>
      <c r="Y54" s="121"/>
      <c r="Z54" s="121"/>
      <c r="AA54" s="121">
        <v>1518.45</v>
      </c>
      <c r="AB54" s="121"/>
      <c r="AC54" s="121"/>
      <c r="AD54" s="121"/>
      <c r="AE54" s="121">
        <v>4951.95</v>
      </c>
      <c r="AF54" s="121"/>
      <c r="AG54" s="121">
        <v>188.8</v>
      </c>
      <c r="AH54" s="121"/>
      <c r="AI54" s="121">
        <v>999.6</v>
      </c>
      <c r="AJ54" s="121"/>
      <c r="AK54" s="121">
        <v>196.28</v>
      </c>
      <c r="AL54" s="121"/>
      <c r="AM54" s="121"/>
      <c r="AN54" s="121"/>
      <c r="AO54" s="121">
        <v>32.979999999999997</v>
      </c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>
        <f t="shared" si="0"/>
        <v>162209</v>
      </c>
      <c r="BA54" s="121">
        <f t="shared" si="0"/>
        <v>71039.97</v>
      </c>
      <c r="BB54" s="122"/>
      <c r="BC54" s="122"/>
    </row>
    <row r="55" spans="1:56">
      <c r="A55" s="106" t="s">
        <v>76</v>
      </c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>
        <v>9864</v>
      </c>
      <c r="AD55" s="121"/>
      <c r="AE55" s="121"/>
      <c r="AF55" s="121"/>
      <c r="AG55" s="121"/>
      <c r="AH55" s="121"/>
      <c r="AI55" s="121"/>
      <c r="AJ55" s="121"/>
      <c r="AK55" s="121"/>
      <c r="AL55" s="121"/>
      <c r="AM55" s="121">
        <v>2936.25</v>
      </c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>
        <f t="shared" si="0"/>
        <v>0</v>
      </c>
      <c r="BA55" s="121">
        <f t="shared" si="0"/>
        <v>12800.25</v>
      </c>
      <c r="BB55" s="122">
        <f>SUM(AZ51:AZ55)</f>
        <v>750209</v>
      </c>
      <c r="BC55" s="122">
        <f>SUM(BA51:BA55)</f>
        <v>177122.94</v>
      </c>
      <c r="BD55" s="106">
        <v>2022</v>
      </c>
    </row>
    <row r="56" spans="1:56">
      <c r="A56" s="106" t="s">
        <v>439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>
        <f t="shared" si="0"/>
        <v>0</v>
      </c>
      <c r="BA56" s="121">
        <f t="shared" si="0"/>
        <v>0</v>
      </c>
      <c r="BB56" s="122"/>
      <c r="BC56" s="122"/>
    </row>
    <row r="57" spans="1:56">
      <c r="A57" s="106" t="s">
        <v>77</v>
      </c>
      <c r="B57" s="121">
        <v>10000</v>
      </c>
      <c r="C57" s="121">
        <v>875</v>
      </c>
      <c r="D57" s="121">
        <v>135000</v>
      </c>
      <c r="E57" s="121">
        <v>14106.79</v>
      </c>
      <c r="F57" s="121"/>
      <c r="G57" s="121">
        <v>5500</v>
      </c>
      <c r="H57" s="121">
        <v>55000</v>
      </c>
      <c r="I57" s="121">
        <v>6625</v>
      </c>
      <c r="J57" s="121">
        <v>20000</v>
      </c>
      <c r="K57" s="121">
        <v>2375</v>
      </c>
      <c r="L57" s="121">
        <v>5000</v>
      </c>
      <c r="M57" s="121">
        <v>963.51</v>
      </c>
      <c r="N57" s="121"/>
      <c r="O57" s="121"/>
      <c r="P57" s="121"/>
      <c r="Q57" s="121"/>
      <c r="R57" s="121"/>
      <c r="S57" s="121">
        <v>3827</v>
      </c>
      <c r="T57" s="121">
        <v>100000</v>
      </c>
      <c r="U57" s="121">
        <v>18150</v>
      </c>
      <c r="V57" s="121">
        <v>95000</v>
      </c>
      <c r="W57" s="121">
        <v>9184</v>
      </c>
      <c r="X57" s="121"/>
      <c r="Y57" s="121"/>
      <c r="Z57" s="121">
        <v>10000</v>
      </c>
      <c r="AA57" s="121">
        <v>1518.45</v>
      </c>
      <c r="AB57" s="121"/>
      <c r="AC57" s="121"/>
      <c r="AD57" s="121">
        <v>60000</v>
      </c>
      <c r="AE57" s="121">
        <v>4951.95</v>
      </c>
      <c r="AF57" s="121">
        <v>1000</v>
      </c>
      <c r="AG57" s="121">
        <v>188.8</v>
      </c>
      <c r="AH57" s="121">
        <v>20000</v>
      </c>
      <c r="AI57" s="121">
        <v>999.6</v>
      </c>
      <c r="AJ57" s="121">
        <v>2000</v>
      </c>
      <c r="AK57" s="121">
        <v>196.28</v>
      </c>
      <c r="AL57" s="121"/>
      <c r="AM57" s="121"/>
      <c r="AN57" s="121">
        <v>2638</v>
      </c>
      <c r="AO57" s="121">
        <v>32.979999999999997</v>
      </c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>
        <f t="shared" si="0"/>
        <v>515638</v>
      </c>
      <c r="BA57" s="121">
        <f t="shared" si="0"/>
        <v>69494.36</v>
      </c>
      <c r="BB57" s="122"/>
      <c r="BC57" s="122"/>
    </row>
    <row r="58" spans="1:56">
      <c r="A58" s="106" t="s">
        <v>78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>
        <v>65000</v>
      </c>
      <c r="AC58" s="121">
        <v>9864</v>
      </c>
      <c r="AD58" s="121"/>
      <c r="AE58" s="121"/>
      <c r="AG58" s="121"/>
      <c r="AH58" s="121"/>
      <c r="AI58" s="121"/>
      <c r="AJ58" s="121"/>
      <c r="AK58" s="121"/>
      <c r="AL58" s="121">
        <v>10000</v>
      </c>
      <c r="AM58" s="121">
        <v>2936.25</v>
      </c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>
        <f t="shared" si="0"/>
        <v>75000</v>
      </c>
      <c r="BA58" s="121">
        <f t="shared" si="0"/>
        <v>12800.25</v>
      </c>
      <c r="BB58" s="122"/>
      <c r="BC58" s="122"/>
    </row>
    <row r="59" spans="1:56">
      <c r="A59" s="106" t="s">
        <v>79</v>
      </c>
      <c r="B59" s="121"/>
      <c r="C59" s="121">
        <v>750</v>
      </c>
      <c r="D59" s="121"/>
      <c r="E59" s="121">
        <v>12419.29</v>
      </c>
      <c r="F59" s="121">
        <v>50000</v>
      </c>
      <c r="G59" s="121">
        <v>5500</v>
      </c>
      <c r="H59" s="121"/>
      <c r="I59" s="121">
        <v>5937.5</v>
      </c>
      <c r="J59" s="121"/>
      <c r="K59" s="121">
        <v>2125</v>
      </c>
      <c r="L59" s="121"/>
      <c r="M59" s="121">
        <v>901.01</v>
      </c>
      <c r="N59" s="121"/>
      <c r="O59" s="121"/>
      <c r="P59" s="121"/>
      <c r="Q59" s="121"/>
      <c r="R59" s="121">
        <v>115000</v>
      </c>
      <c r="S59" s="121">
        <v>3827</v>
      </c>
      <c r="T59" s="121"/>
      <c r="U59" s="121">
        <v>16050</v>
      </c>
      <c r="V59" s="121"/>
      <c r="W59" s="121">
        <v>6975</v>
      </c>
      <c r="X59" s="121"/>
      <c r="Y59" s="121"/>
      <c r="Z59" s="121"/>
      <c r="AA59" s="121">
        <v>1393.45</v>
      </c>
      <c r="AB59" s="121"/>
      <c r="AC59" s="121"/>
      <c r="AD59" s="121"/>
      <c r="AE59" s="121">
        <v>4201.95</v>
      </c>
      <c r="AF59" s="121"/>
      <c r="AG59" s="121">
        <v>176.3</v>
      </c>
      <c r="AH59" s="121"/>
      <c r="AI59" s="121">
        <v>749.6</v>
      </c>
      <c r="AJ59" s="121"/>
      <c r="AK59" s="121">
        <v>171.28</v>
      </c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>
        <f t="shared" si="0"/>
        <v>165000</v>
      </c>
      <c r="BA59" s="121">
        <f t="shared" si="0"/>
        <v>61177.38</v>
      </c>
      <c r="BB59" s="122"/>
      <c r="BC59" s="122"/>
    </row>
    <row r="60" spans="1:56">
      <c r="A60" s="106" t="s">
        <v>80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>
        <v>8759</v>
      </c>
      <c r="AD60" s="121"/>
      <c r="AE60" s="121"/>
      <c r="AF60" s="121"/>
      <c r="AG60" s="121"/>
      <c r="AH60" s="121"/>
      <c r="AI60" s="121"/>
      <c r="AJ60" s="121"/>
      <c r="AK60" s="121"/>
      <c r="AL60" s="121"/>
      <c r="AM60" s="121">
        <v>2736.25</v>
      </c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>
        <f t="shared" si="0"/>
        <v>0</v>
      </c>
      <c r="BA60" s="121">
        <f t="shared" si="0"/>
        <v>11495.25</v>
      </c>
      <c r="BB60" s="122">
        <f>SUM(AZ56:AZ60)</f>
        <v>755638</v>
      </c>
      <c r="BC60" s="122">
        <f>SUM(BA56:BA60)</f>
        <v>154967.24</v>
      </c>
      <c r="BD60" s="106">
        <v>2023</v>
      </c>
    </row>
    <row r="61" spans="1:56">
      <c r="A61" s="106" t="s">
        <v>440</v>
      </c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>
        <f t="shared" si="0"/>
        <v>0</v>
      </c>
      <c r="BA61" s="121">
        <f t="shared" si="0"/>
        <v>0</v>
      </c>
      <c r="BB61" s="122"/>
      <c r="BC61" s="122"/>
    </row>
    <row r="62" spans="1:56">
      <c r="A62" s="106" t="s">
        <v>81</v>
      </c>
      <c r="B62" s="121">
        <v>10000</v>
      </c>
      <c r="C62" s="121">
        <v>750</v>
      </c>
      <c r="D62" s="121">
        <v>140000</v>
      </c>
      <c r="E62" s="121">
        <v>12419.29</v>
      </c>
      <c r="F62" s="121"/>
      <c r="G62" s="121">
        <v>4875</v>
      </c>
      <c r="H62" s="121">
        <v>55000</v>
      </c>
      <c r="I62" s="121">
        <v>5937.5</v>
      </c>
      <c r="J62" s="121">
        <v>20000</v>
      </c>
      <c r="K62" s="121">
        <v>2125</v>
      </c>
      <c r="L62" s="121">
        <v>5000</v>
      </c>
      <c r="M62" s="121">
        <v>901.01</v>
      </c>
      <c r="N62" s="121"/>
      <c r="O62" s="121"/>
      <c r="P62" s="121"/>
      <c r="Q62" s="121"/>
      <c r="R62" s="121"/>
      <c r="S62" s="121">
        <v>2892</v>
      </c>
      <c r="T62" s="121">
        <v>105000</v>
      </c>
      <c r="U62" s="121">
        <v>16050</v>
      </c>
      <c r="V62" s="121">
        <v>100000</v>
      </c>
      <c r="W62" s="121">
        <v>6975</v>
      </c>
      <c r="X62" s="121"/>
      <c r="Y62" s="121"/>
      <c r="Z62" s="121">
        <v>10000</v>
      </c>
      <c r="AA62" s="121">
        <v>1393.45</v>
      </c>
      <c r="AB62" s="121"/>
      <c r="AC62" s="121"/>
      <c r="AD62" s="121">
        <v>65000</v>
      </c>
      <c r="AE62" s="121">
        <v>4201.95</v>
      </c>
      <c r="AF62" s="121">
        <v>1000</v>
      </c>
      <c r="AG62" s="121">
        <v>176.3</v>
      </c>
      <c r="AH62" s="121">
        <v>20000</v>
      </c>
      <c r="AI62" s="121">
        <v>749.6</v>
      </c>
      <c r="AJ62" s="121">
        <v>2000</v>
      </c>
      <c r="AK62" s="121">
        <v>171.28</v>
      </c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>
        <f t="shared" si="0"/>
        <v>533000</v>
      </c>
      <c r="BA62" s="121">
        <f t="shared" si="0"/>
        <v>59617.38</v>
      </c>
      <c r="BB62" s="122"/>
      <c r="BC62" s="122"/>
    </row>
    <row r="63" spans="1:56">
      <c r="A63" s="106" t="s">
        <v>82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>
        <v>65000</v>
      </c>
      <c r="AC63" s="121">
        <v>8759</v>
      </c>
      <c r="AD63" s="121"/>
      <c r="AE63" s="121"/>
      <c r="AF63" s="121"/>
      <c r="AG63" s="121"/>
      <c r="AH63" s="121"/>
      <c r="AI63" s="121"/>
      <c r="AJ63" s="121"/>
      <c r="AK63" s="121"/>
      <c r="AL63" s="121">
        <v>10000</v>
      </c>
      <c r="AM63" s="121">
        <v>2736.25</v>
      </c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>
        <f t="shared" si="0"/>
        <v>75000</v>
      </c>
      <c r="BA63" s="121">
        <f t="shared" si="0"/>
        <v>11495.25</v>
      </c>
      <c r="BB63" s="122"/>
      <c r="BC63" s="122"/>
    </row>
    <row r="64" spans="1:56">
      <c r="A64" s="106" t="s">
        <v>83</v>
      </c>
      <c r="B64" s="121"/>
      <c r="C64" s="121">
        <v>625</v>
      </c>
      <c r="D64" s="121"/>
      <c r="E64" s="121">
        <v>10669.29</v>
      </c>
      <c r="F64" s="121">
        <v>50000</v>
      </c>
      <c r="G64" s="121">
        <v>4875</v>
      </c>
      <c r="H64" s="121"/>
      <c r="I64" s="121">
        <v>5250</v>
      </c>
      <c r="J64" s="121"/>
      <c r="K64" s="121">
        <v>1875</v>
      </c>
      <c r="L64" s="121"/>
      <c r="M64" s="121">
        <v>776.01</v>
      </c>
      <c r="N64" s="121"/>
      <c r="O64" s="121"/>
      <c r="P64" s="121"/>
      <c r="Q64" s="121"/>
      <c r="R64" s="121">
        <v>115000</v>
      </c>
      <c r="S64" s="121">
        <v>2892</v>
      </c>
      <c r="T64" s="121"/>
      <c r="U64" s="121">
        <v>13793</v>
      </c>
      <c r="V64" s="121"/>
      <c r="W64" s="121">
        <v>4650</v>
      </c>
      <c r="X64" s="121"/>
      <c r="Y64" s="121"/>
      <c r="Z64" s="121"/>
      <c r="AA64" s="121">
        <v>1268.45</v>
      </c>
      <c r="AB64" s="121"/>
      <c r="AC64" s="121"/>
      <c r="AD64" s="121"/>
      <c r="AE64" s="121">
        <v>3389.45</v>
      </c>
      <c r="AF64" s="121"/>
      <c r="AG64" s="121">
        <v>163.80000000000001</v>
      </c>
      <c r="AH64" s="121"/>
      <c r="AI64" s="121">
        <v>499.6</v>
      </c>
      <c r="AJ64" s="121"/>
      <c r="AK64" s="121">
        <v>146.28</v>
      </c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>
        <f t="shared" si="0"/>
        <v>165000</v>
      </c>
      <c r="BA64" s="121">
        <f t="shared" si="0"/>
        <v>50872.88</v>
      </c>
      <c r="BB64" s="122"/>
      <c r="BC64" s="122"/>
    </row>
    <row r="65" spans="1:56">
      <c r="A65" s="106" t="s">
        <v>84</v>
      </c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>
        <v>7621</v>
      </c>
      <c r="AD65" s="121"/>
      <c r="AE65" s="121"/>
      <c r="AF65" s="121"/>
      <c r="AG65" s="121"/>
      <c r="AH65" s="121"/>
      <c r="AI65" s="121"/>
      <c r="AJ65" s="121"/>
      <c r="AK65" s="121"/>
      <c r="AL65" s="121"/>
      <c r="AM65" s="121">
        <v>2536.25</v>
      </c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>
        <f t="shared" si="0"/>
        <v>0</v>
      </c>
      <c r="BA65" s="121">
        <f t="shared" si="0"/>
        <v>10157.25</v>
      </c>
      <c r="BB65" s="122">
        <f>SUM(AZ61:AZ65)</f>
        <v>773000</v>
      </c>
      <c r="BC65" s="122">
        <f>SUM(BA61:BA65)</f>
        <v>132142.76</v>
      </c>
      <c r="BD65" s="106">
        <v>2024</v>
      </c>
    </row>
    <row r="66" spans="1:56">
      <c r="A66" s="106" t="s">
        <v>441</v>
      </c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>
        <f t="shared" si="0"/>
        <v>0</v>
      </c>
      <c r="BA66" s="121">
        <f t="shared" si="0"/>
        <v>0</v>
      </c>
      <c r="BB66" s="122"/>
      <c r="BC66" s="122"/>
    </row>
    <row r="67" spans="1:56">
      <c r="A67" s="106" t="s">
        <v>85</v>
      </c>
      <c r="B67" s="121">
        <v>10000</v>
      </c>
      <c r="C67" s="121">
        <v>625</v>
      </c>
      <c r="D67" s="121">
        <v>145000</v>
      </c>
      <c r="E67" s="121">
        <v>10669.29</v>
      </c>
      <c r="F67" s="121"/>
      <c r="G67" s="121">
        <v>4250</v>
      </c>
      <c r="H67" s="121">
        <v>55000</v>
      </c>
      <c r="I67" s="121">
        <v>5250</v>
      </c>
      <c r="J67" s="121">
        <v>25000</v>
      </c>
      <c r="K67" s="121">
        <v>1875</v>
      </c>
      <c r="L67" s="121">
        <v>10000</v>
      </c>
      <c r="M67" s="121">
        <v>776.01</v>
      </c>
      <c r="N67" s="121"/>
      <c r="O67" s="121"/>
      <c r="P67" s="121"/>
      <c r="Q67" s="121"/>
      <c r="R67" s="121"/>
      <c r="S67" s="121">
        <v>1958</v>
      </c>
      <c r="T67" s="121">
        <v>110000</v>
      </c>
      <c r="U67" s="121">
        <v>13793</v>
      </c>
      <c r="V67" s="121">
        <v>100000</v>
      </c>
      <c r="W67" s="121">
        <v>4650</v>
      </c>
      <c r="X67" s="121"/>
      <c r="Y67" s="121"/>
      <c r="Z67" s="121">
        <v>10000</v>
      </c>
      <c r="AA67" s="121">
        <v>1268.45</v>
      </c>
      <c r="AB67" s="121"/>
      <c r="AC67" s="121"/>
      <c r="AD67" s="121">
        <v>65000</v>
      </c>
      <c r="AE67" s="121">
        <v>3389.45</v>
      </c>
      <c r="AF67" s="121">
        <v>2000</v>
      </c>
      <c r="AG67" s="121">
        <v>163.80000000000001</v>
      </c>
      <c r="AH67" s="121">
        <v>20000</v>
      </c>
      <c r="AI67" s="121">
        <v>499.6</v>
      </c>
      <c r="AJ67" s="121">
        <v>2000</v>
      </c>
      <c r="AK67" s="121">
        <v>146.28</v>
      </c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>
        <f t="shared" si="0"/>
        <v>554000</v>
      </c>
      <c r="BA67" s="121">
        <f t="shared" si="0"/>
        <v>49313.88</v>
      </c>
      <c r="BB67" s="122"/>
      <c r="BC67" s="122"/>
    </row>
    <row r="68" spans="1:56">
      <c r="A68" s="106" t="s">
        <v>86</v>
      </c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>
        <v>65000</v>
      </c>
      <c r="AC68" s="121">
        <v>7621</v>
      </c>
      <c r="AD68" s="121"/>
      <c r="AE68" s="121"/>
      <c r="AF68" s="121"/>
      <c r="AG68" s="121"/>
      <c r="AH68" s="121"/>
      <c r="AI68" s="121"/>
      <c r="AJ68" s="121"/>
      <c r="AK68" s="121"/>
      <c r="AL68" s="121">
        <v>10000</v>
      </c>
      <c r="AM68" s="121">
        <v>2536.25</v>
      </c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>
        <f t="shared" si="0"/>
        <v>75000</v>
      </c>
      <c r="BA68" s="121">
        <f t="shared" si="0"/>
        <v>10157.25</v>
      </c>
      <c r="BB68" s="122"/>
      <c r="BC68" s="122"/>
    </row>
    <row r="69" spans="1:56">
      <c r="A69" s="106" t="s">
        <v>87</v>
      </c>
      <c r="B69" s="121"/>
      <c r="C69" s="121">
        <v>500</v>
      </c>
      <c r="D69" s="121"/>
      <c r="E69" s="121">
        <v>8856.7900000000009</v>
      </c>
      <c r="F69" s="121">
        <v>55000</v>
      </c>
      <c r="G69" s="121">
        <v>4250</v>
      </c>
      <c r="H69" s="121"/>
      <c r="I69" s="121">
        <v>4562.5</v>
      </c>
      <c r="J69" s="121"/>
      <c r="K69" s="121">
        <v>1562</v>
      </c>
      <c r="L69" s="121"/>
      <c r="M69" s="121">
        <v>651.01</v>
      </c>
      <c r="N69" s="121"/>
      <c r="O69" s="121"/>
      <c r="P69" s="121"/>
      <c r="Q69" s="121"/>
      <c r="R69" s="121">
        <v>120000</v>
      </c>
      <c r="S69" s="121">
        <v>1958</v>
      </c>
      <c r="T69" s="121"/>
      <c r="U69" s="121">
        <v>11372</v>
      </c>
      <c r="V69" s="121"/>
      <c r="W69" s="121">
        <v>2325</v>
      </c>
      <c r="X69" s="121"/>
      <c r="Y69" s="121"/>
      <c r="Z69" s="121"/>
      <c r="AA69" s="121">
        <v>1143.45</v>
      </c>
      <c r="AB69" s="121"/>
      <c r="AC69" s="121"/>
      <c r="AD69" s="121"/>
      <c r="AE69" s="121">
        <v>2576.9499999999998</v>
      </c>
      <c r="AF69" s="121"/>
      <c r="AG69" s="121">
        <v>138.80000000000001</v>
      </c>
      <c r="AH69" s="121"/>
      <c r="AI69" s="121">
        <v>249.6</v>
      </c>
      <c r="AJ69" s="121"/>
      <c r="AK69" s="121">
        <v>121.28</v>
      </c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>
        <f t="shared" si="0"/>
        <v>175000</v>
      </c>
      <c r="BA69" s="121">
        <f t="shared" si="0"/>
        <v>40267.379999999997</v>
      </c>
      <c r="BB69" s="122"/>
      <c r="BC69" s="122"/>
    </row>
    <row r="70" spans="1:56">
      <c r="A70" s="106" t="s">
        <v>88</v>
      </c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3"/>
      <c r="Q70" s="121"/>
      <c r="R70" s="123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>
        <v>6451</v>
      </c>
      <c r="AD70" s="121"/>
      <c r="AE70" s="121"/>
      <c r="AF70" s="121"/>
      <c r="AG70" s="121"/>
      <c r="AH70" s="121"/>
      <c r="AI70" s="121"/>
      <c r="AJ70" s="121"/>
      <c r="AK70" s="121"/>
      <c r="AL70" s="121"/>
      <c r="AM70" s="121">
        <v>2336.25</v>
      </c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>
        <f t="shared" si="0"/>
        <v>0</v>
      </c>
      <c r="BA70" s="121">
        <f t="shared" si="0"/>
        <v>8787.25</v>
      </c>
      <c r="BB70" s="122">
        <f>SUM(AZ66:AZ70)</f>
        <v>804000</v>
      </c>
      <c r="BC70" s="122">
        <f>SUM(BA66:BA70)</f>
        <v>108525.75999999999</v>
      </c>
      <c r="BD70" s="106">
        <v>2025</v>
      </c>
    </row>
    <row r="71" spans="1:56">
      <c r="A71" s="106" t="s">
        <v>442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3"/>
      <c r="Q71" s="121"/>
      <c r="R71" s="123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>
        <f t="shared" si="0"/>
        <v>0</v>
      </c>
      <c r="BA71" s="121">
        <f t="shared" si="0"/>
        <v>0</v>
      </c>
      <c r="BB71" s="122"/>
      <c r="BC71" s="122"/>
    </row>
    <row r="72" spans="1:56">
      <c r="A72" s="106" t="s">
        <v>89</v>
      </c>
      <c r="B72" s="121">
        <v>10000</v>
      </c>
      <c r="C72" s="121">
        <v>500</v>
      </c>
      <c r="D72" s="121">
        <v>145000</v>
      </c>
      <c r="E72" s="121">
        <v>8856.7900000000009</v>
      </c>
      <c r="F72" s="121"/>
      <c r="G72" s="121">
        <v>3562.5</v>
      </c>
      <c r="H72" s="121">
        <v>55000</v>
      </c>
      <c r="I72" s="121">
        <v>4562.5</v>
      </c>
      <c r="J72" s="121">
        <v>25000</v>
      </c>
      <c r="K72" s="121">
        <v>1563</v>
      </c>
      <c r="L72" s="121">
        <v>10000</v>
      </c>
      <c r="M72" s="121">
        <v>651.01</v>
      </c>
      <c r="N72" s="121"/>
      <c r="O72" s="121"/>
      <c r="P72" s="121"/>
      <c r="Q72" s="121"/>
      <c r="R72" s="121"/>
      <c r="S72" s="121">
        <v>983</v>
      </c>
      <c r="T72" s="121">
        <v>115000</v>
      </c>
      <c r="U72" s="121">
        <v>11373</v>
      </c>
      <c r="V72" s="121">
        <v>100000</v>
      </c>
      <c r="W72" s="121">
        <v>2325</v>
      </c>
      <c r="X72" s="121"/>
      <c r="Y72" s="121"/>
      <c r="Z72" s="121">
        <v>10000</v>
      </c>
      <c r="AA72" s="121">
        <v>1143.45</v>
      </c>
      <c r="AB72" s="121"/>
      <c r="AC72" s="121"/>
      <c r="AD72" s="121">
        <v>65000</v>
      </c>
      <c r="AE72" s="121">
        <v>2576.9499999999998</v>
      </c>
      <c r="AF72" s="121">
        <v>2000</v>
      </c>
      <c r="AG72" s="121">
        <v>138.80000000000001</v>
      </c>
      <c r="AH72" s="121">
        <v>20000</v>
      </c>
      <c r="AI72" s="121">
        <v>249.6</v>
      </c>
      <c r="AJ72" s="121">
        <v>2000</v>
      </c>
      <c r="AK72" s="121">
        <v>121.28</v>
      </c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>
        <f t="shared" ref="AZ72:BA120" si="1">(B72+D72+F72+H72+J72+L72+N72+P72+R72+T72+V72+X72+Z72+AB72+AD72+AF72+AH72+AJ72+AL72+AN72+AP72+AX72+AR72+AT72+AV72)</f>
        <v>559000</v>
      </c>
      <c r="BA72" s="121">
        <f t="shared" si="1"/>
        <v>38606.879999999997</v>
      </c>
      <c r="BB72" s="122"/>
      <c r="BC72" s="122"/>
    </row>
    <row r="73" spans="1:56">
      <c r="A73" s="106" t="s">
        <v>90</v>
      </c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>
        <v>65000</v>
      </c>
      <c r="AC73" s="121">
        <v>6451</v>
      </c>
      <c r="AD73" s="121"/>
      <c r="AE73" s="121"/>
      <c r="AF73" s="121"/>
      <c r="AG73" s="121"/>
      <c r="AH73" s="121"/>
      <c r="AI73" s="121"/>
      <c r="AJ73" s="121"/>
      <c r="AK73" s="121"/>
      <c r="AL73" s="121">
        <v>15000</v>
      </c>
      <c r="AM73" s="121">
        <v>2336.25</v>
      </c>
      <c r="AN73" s="121"/>
      <c r="AO73" s="121"/>
      <c r="AP73" s="121"/>
      <c r="AQ73" s="121"/>
      <c r="AR73" s="121"/>
      <c r="AS73" s="121"/>
      <c r="AT73" s="121"/>
      <c r="AU73" s="121"/>
      <c r="AV73" s="121"/>
      <c r="AW73" s="121"/>
      <c r="AX73" s="121"/>
      <c r="AY73" s="121"/>
      <c r="AZ73" s="121">
        <f t="shared" si="1"/>
        <v>80000</v>
      </c>
      <c r="BA73" s="121">
        <f t="shared" si="1"/>
        <v>8787.25</v>
      </c>
      <c r="BB73" s="122"/>
      <c r="BC73" s="122"/>
    </row>
    <row r="74" spans="1:56">
      <c r="A74" s="106" t="s">
        <v>91</v>
      </c>
      <c r="B74" s="121"/>
      <c r="C74" s="121">
        <v>375</v>
      </c>
      <c r="D74" s="121"/>
      <c r="E74" s="121">
        <v>7044.29</v>
      </c>
      <c r="F74" s="121">
        <v>55000</v>
      </c>
      <c r="G74" s="121">
        <v>3562.5</v>
      </c>
      <c r="H74" s="121"/>
      <c r="I74" s="121">
        <v>3875</v>
      </c>
      <c r="J74" s="121"/>
      <c r="K74" s="121">
        <v>1250</v>
      </c>
      <c r="L74" s="121"/>
      <c r="M74" s="121">
        <v>526.01</v>
      </c>
      <c r="N74" s="121"/>
      <c r="O74" s="121"/>
      <c r="P74" s="121"/>
      <c r="Q74" s="121"/>
      <c r="R74" s="121">
        <v>120962</v>
      </c>
      <c r="S74" s="121">
        <v>983</v>
      </c>
      <c r="T74" s="121"/>
      <c r="U74" s="121">
        <v>8785</v>
      </c>
      <c r="V74" s="121"/>
      <c r="W74" s="121"/>
      <c r="X74" s="121"/>
      <c r="Y74" s="121"/>
      <c r="Z74" s="121"/>
      <c r="AA74" s="121">
        <v>1018.45</v>
      </c>
      <c r="AB74" s="121"/>
      <c r="AC74" s="121"/>
      <c r="AD74" s="121"/>
      <c r="AE74" s="121">
        <v>1764.45</v>
      </c>
      <c r="AF74" s="121"/>
      <c r="AG74" s="121">
        <v>113.8</v>
      </c>
      <c r="AH74" s="121"/>
      <c r="AI74" s="121"/>
      <c r="AJ74" s="121"/>
      <c r="AK74" s="121">
        <v>96.28</v>
      </c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>
        <f t="shared" si="1"/>
        <v>175962</v>
      </c>
      <c r="BA74" s="121">
        <f t="shared" si="1"/>
        <v>29393.78</v>
      </c>
      <c r="BB74" s="122"/>
      <c r="BC74" s="122"/>
    </row>
    <row r="75" spans="1:56">
      <c r="A75" s="106" t="s">
        <v>92</v>
      </c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>
        <v>5233</v>
      </c>
      <c r="AD75" s="121"/>
      <c r="AE75" s="121"/>
      <c r="AF75" s="121"/>
      <c r="AG75" s="121"/>
      <c r="AH75" s="121"/>
      <c r="AI75" s="121"/>
      <c r="AJ75" s="121"/>
      <c r="AK75" s="121"/>
      <c r="AL75" s="121"/>
      <c r="AM75" s="121">
        <v>2025</v>
      </c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>
        <f t="shared" si="1"/>
        <v>0</v>
      </c>
      <c r="BA75" s="121">
        <f t="shared" si="1"/>
        <v>7258</v>
      </c>
      <c r="BB75" s="122">
        <f>SUM(AZ71:AZ75)</f>
        <v>814962</v>
      </c>
      <c r="BC75" s="122">
        <f>SUM(BA71:BA75)</f>
        <v>84045.91</v>
      </c>
      <c r="BD75" s="106">
        <v>2026</v>
      </c>
    </row>
    <row r="76" spans="1:56">
      <c r="A76" s="106" t="s">
        <v>443</v>
      </c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>
        <f t="shared" si="1"/>
        <v>0</v>
      </c>
      <c r="BA76" s="121">
        <f t="shared" si="1"/>
        <v>0</v>
      </c>
      <c r="BB76" s="122"/>
      <c r="BC76" s="122"/>
    </row>
    <row r="77" spans="1:56">
      <c r="A77" s="106" t="s">
        <v>93</v>
      </c>
      <c r="B77" s="121">
        <v>10000</v>
      </c>
      <c r="C77" s="121">
        <v>375</v>
      </c>
      <c r="D77" s="121">
        <v>150000</v>
      </c>
      <c r="E77" s="121">
        <v>7044.29</v>
      </c>
      <c r="F77" s="121"/>
      <c r="G77" s="121">
        <v>2875</v>
      </c>
      <c r="H77" s="121">
        <v>60000</v>
      </c>
      <c r="I77" s="121">
        <v>3875</v>
      </c>
      <c r="J77" s="121">
        <v>25000</v>
      </c>
      <c r="K77" s="121">
        <v>1250</v>
      </c>
      <c r="L77" s="121">
        <v>10000</v>
      </c>
      <c r="M77" s="121">
        <v>526.01</v>
      </c>
      <c r="N77" s="121"/>
      <c r="O77" s="121"/>
      <c r="P77" s="121"/>
      <c r="Q77" s="121"/>
      <c r="R77" s="121"/>
      <c r="S77" s="121"/>
      <c r="T77" s="121">
        <v>120000</v>
      </c>
      <c r="U77" s="121">
        <v>8785</v>
      </c>
      <c r="V77" s="121"/>
      <c r="W77" s="121"/>
      <c r="X77" s="121"/>
      <c r="Y77" s="121"/>
      <c r="Z77" s="121">
        <v>10000</v>
      </c>
      <c r="AA77" s="121">
        <v>1018.45</v>
      </c>
      <c r="AB77" s="121"/>
      <c r="AC77" s="121"/>
      <c r="AD77" s="121">
        <v>65000</v>
      </c>
      <c r="AE77" s="121">
        <v>1764.45</v>
      </c>
      <c r="AF77" s="121">
        <v>2000</v>
      </c>
      <c r="AG77" s="121">
        <v>113.8</v>
      </c>
      <c r="AH77" s="121">
        <v>7031</v>
      </c>
      <c r="AI77" s="121"/>
      <c r="AJ77" s="121">
        <v>2000</v>
      </c>
      <c r="AK77" s="121">
        <v>96.28</v>
      </c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>
        <f t="shared" si="1"/>
        <v>461031</v>
      </c>
      <c r="BA77" s="121">
        <f t="shared" si="1"/>
        <v>27723.280000000002</v>
      </c>
      <c r="BB77" s="122"/>
      <c r="BC77" s="122"/>
    </row>
    <row r="78" spans="1:56">
      <c r="A78" s="106" t="s">
        <v>94</v>
      </c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>
        <v>65000</v>
      </c>
      <c r="AC78" s="121">
        <v>5233</v>
      </c>
      <c r="AD78" s="121"/>
      <c r="AE78" s="121"/>
      <c r="AF78" s="121"/>
      <c r="AG78" s="121"/>
      <c r="AH78" s="121"/>
      <c r="AI78" s="121"/>
      <c r="AJ78" s="121"/>
      <c r="AK78" s="121"/>
      <c r="AL78" s="121">
        <v>15000</v>
      </c>
      <c r="AM78" s="121">
        <v>2025</v>
      </c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>
        <f t="shared" si="1"/>
        <v>80000</v>
      </c>
      <c r="BA78" s="121">
        <f t="shared" si="1"/>
        <v>7258</v>
      </c>
      <c r="BB78" s="122"/>
      <c r="BC78" s="122"/>
    </row>
    <row r="79" spans="1:56">
      <c r="A79" s="106" t="s">
        <v>95</v>
      </c>
      <c r="B79" s="121"/>
      <c r="C79" s="121">
        <v>250</v>
      </c>
      <c r="D79" s="121"/>
      <c r="E79" s="121">
        <v>5169.29</v>
      </c>
      <c r="F79" s="121">
        <v>55000</v>
      </c>
      <c r="G79" s="121">
        <v>2875</v>
      </c>
      <c r="H79" s="121"/>
      <c r="I79" s="121">
        <v>3125</v>
      </c>
      <c r="J79" s="121"/>
      <c r="K79" s="121">
        <v>937</v>
      </c>
      <c r="L79" s="121"/>
      <c r="M79" s="121">
        <v>401.01</v>
      </c>
      <c r="N79" s="121"/>
      <c r="O79" s="121"/>
      <c r="P79" s="121"/>
      <c r="Q79" s="121"/>
      <c r="R79" s="121"/>
      <c r="S79" s="121"/>
      <c r="T79" s="121"/>
      <c r="U79" s="121">
        <v>6025</v>
      </c>
      <c r="V79" s="121"/>
      <c r="W79" s="121"/>
      <c r="X79" s="121"/>
      <c r="Y79" s="121"/>
      <c r="Z79" s="121"/>
      <c r="AA79" s="121">
        <v>893.45</v>
      </c>
      <c r="AB79" s="121"/>
      <c r="AC79" s="121"/>
      <c r="AD79" s="121"/>
      <c r="AE79" s="121">
        <v>951.95</v>
      </c>
      <c r="AF79" s="121"/>
      <c r="AG79" s="121">
        <v>88.8</v>
      </c>
      <c r="AH79" s="121"/>
      <c r="AI79" s="121"/>
      <c r="AJ79" s="121"/>
      <c r="AK79" s="121">
        <v>71.28</v>
      </c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>
        <f t="shared" si="1"/>
        <v>55000</v>
      </c>
      <c r="BA79" s="121">
        <f t="shared" si="1"/>
        <v>20787.780000000002</v>
      </c>
      <c r="BB79" s="122"/>
      <c r="BC79" s="122"/>
    </row>
    <row r="80" spans="1:56">
      <c r="A80" s="106" t="s">
        <v>96</v>
      </c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>
        <v>3933</v>
      </c>
      <c r="AD80" s="121"/>
      <c r="AE80" s="121"/>
      <c r="AF80" s="121"/>
      <c r="AG80" s="121"/>
      <c r="AH80" s="121"/>
      <c r="AI80" s="121"/>
      <c r="AJ80" s="121"/>
      <c r="AK80" s="121"/>
      <c r="AL80" s="121"/>
      <c r="AM80" s="121">
        <v>1706.25</v>
      </c>
      <c r="AN80" s="121"/>
      <c r="AO80" s="121"/>
      <c r="AP80" s="121"/>
      <c r="AQ80" s="121"/>
      <c r="AR80" s="121"/>
      <c r="AS80" s="121"/>
      <c r="AT80" s="121"/>
      <c r="AU80" s="121"/>
      <c r="AV80" s="121"/>
      <c r="AW80" s="121"/>
      <c r="AX80" s="121"/>
      <c r="AY80" s="121"/>
      <c r="AZ80" s="121">
        <f t="shared" si="1"/>
        <v>0</v>
      </c>
      <c r="BA80" s="121">
        <f t="shared" si="1"/>
        <v>5639.25</v>
      </c>
      <c r="BB80" s="122">
        <f>SUM(AZ76:AZ80)</f>
        <v>596031</v>
      </c>
      <c r="BC80" s="122">
        <f>SUM(BA76:BA80)</f>
        <v>61408.31</v>
      </c>
      <c r="BD80" s="106">
        <v>2027</v>
      </c>
    </row>
    <row r="81" spans="1:56">
      <c r="A81" s="106" t="s">
        <v>444</v>
      </c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>
        <f t="shared" si="1"/>
        <v>0</v>
      </c>
      <c r="BA81" s="121">
        <f t="shared" si="1"/>
        <v>0</v>
      </c>
      <c r="BB81" s="122"/>
      <c r="BC81" s="122"/>
    </row>
    <row r="82" spans="1:56">
      <c r="A82" s="106" t="s">
        <v>97</v>
      </c>
      <c r="B82" s="121">
        <v>10000</v>
      </c>
      <c r="C82" s="121">
        <v>250</v>
      </c>
      <c r="D82" s="121">
        <v>155000</v>
      </c>
      <c r="E82" s="121">
        <v>5169.29</v>
      </c>
      <c r="F82" s="121"/>
      <c r="G82" s="121">
        <v>2187.5</v>
      </c>
      <c r="H82" s="121">
        <v>60000</v>
      </c>
      <c r="I82" s="121">
        <v>3125</v>
      </c>
      <c r="J82" s="121">
        <v>25000</v>
      </c>
      <c r="K82" s="121">
        <v>938</v>
      </c>
      <c r="L82" s="121">
        <v>10000</v>
      </c>
      <c r="M82" s="121">
        <v>401.01</v>
      </c>
      <c r="N82" s="121"/>
      <c r="O82" s="121"/>
      <c r="P82" s="121"/>
      <c r="Q82" s="121"/>
      <c r="R82" s="121"/>
      <c r="S82" s="121"/>
      <c r="T82" s="121">
        <v>125000</v>
      </c>
      <c r="U82" s="121">
        <v>6025</v>
      </c>
      <c r="V82" s="121"/>
      <c r="W82" s="121"/>
      <c r="X82" s="121"/>
      <c r="Y82" s="121"/>
      <c r="Z82" s="121">
        <v>10000</v>
      </c>
      <c r="AA82" s="121">
        <v>893.45</v>
      </c>
      <c r="AB82" s="121"/>
      <c r="AC82" s="121"/>
      <c r="AD82" s="121">
        <v>70000</v>
      </c>
      <c r="AE82" s="121">
        <v>951.95</v>
      </c>
      <c r="AF82" s="121">
        <v>2000</v>
      </c>
      <c r="AG82" s="121">
        <v>88.8</v>
      </c>
      <c r="AH82" s="121"/>
      <c r="AI82" s="121"/>
      <c r="AJ82" s="121">
        <v>2000</v>
      </c>
      <c r="AK82" s="121">
        <v>71.28</v>
      </c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>
        <f t="shared" si="1"/>
        <v>469000</v>
      </c>
      <c r="BA82" s="121">
        <f t="shared" si="1"/>
        <v>20101.280000000002</v>
      </c>
      <c r="BB82" s="122"/>
      <c r="BC82" s="122"/>
    </row>
    <row r="83" spans="1:56">
      <c r="A83" s="106" t="s">
        <v>98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>
        <v>65000</v>
      </c>
      <c r="AC83" s="121">
        <v>3933</v>
      </c>
      <c r="AD83" s="121"/>
      <c r="AE83" s="121"/>
      <c r="AF83" s="121"/>
      <c r="AG83" s="121"/>
      <c r="AH83" s="121"/>
      <c r="AI83" s="121"/>
      <c r="AJ83" s="121"/>
      <c r="AK83" s="121"/>
      <c r="AL83" s="121">
        <v>15000</v>
      </c>
      <c r="AM83" s="121">
        <v>1706.25</v>
      </c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>
        <f t="shared" si="1"/>
        <v>80000</v>
      </c>
      <c r="BA83" s="121">
        <f t="shared" si="1"/>
        <v>5639.25</v>
      </c>
      <c r="BB83" s="122"/>
      <c r="BC83" s="122"/>
    </row>
    <row r="84" spans="1:56">
      <c r="A84" s="106" t="s">
        <v>99</v>
      </c>
      <c r="B84" s="121"/>
      <c r="C84" s="121">
        <v>125</v>
      </c>
      <c r="D84" s="121"/>
      <c r="E84" s="121">
        <v>3231.79</v>
      </c>
      <c r="F84" s="121">
        <v>55000</v>
      </c>
      <c r="G84" s="121">
        <v>2187.5</v>
      </c>
      <c r="H84" s="121"/>
      <c r="I84" s="121">
        <v>2375</v>
      </c>
      <c r="J84" s="121"/>
      <c r="K84" s="121">
        <v>625</v>
      </c>
      <c r="L84" s="121"/>
      <c r="M84" s="121">
        <v>276.01</v>
      </c>
      <c r="N84" s="121"/>
      <c r="O84" s="121"/>
      <c r="P84" s="121"/>
      <c r="Q84" s="121"/>
      <c r="R84" s="121"/>
      <c r="S84" s="121"/>
      <c r="T84" s="121"/>
      <c r="U84" s="121">
        <v>3088</v>
      </c>
      <c r="V84" s="121"/>
      <c r="W84" s="121"/>
      <c r="X84" s="121"/>
      <c r="Y84" s="121"/>
      <c r="Z84" s="121"/>
      <c r="AA84" s="121">
        <v>768.45</v>
      </c>
      <c r="AB84" s="121"/>
      <c r="AC84" s="121"/>
      <c r="AD84" s="121"/>
      <c r="AE84" s="121"/>
      <c r="AF84" s="121"/>
      <c r="AG84" s="121">
        <v>63.8</v>
      </c>
      <c r="AH84" s="121"/>
      <c r="AI84" s="121"/>
      <c r="AJ84" s="121"/>
      <c r="AK84" s="121">
        <v>46.28</v>
      </c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>
        <f t="shared" si="1"/>
        <v>55000</v>
      </c>
      <c r="BA84" s="121">
        <f t="shared" si="1"/>
        <v>12786.830000000002</v>
      </c>
      <c r="BB84" s="122"/>
      <c r="BC84" s="122"/>
    </row>
    <row r="85" spans="1:56">
      <c r="A85" s="106" t="s">
        <v>100</v>
      </c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>
        <v>2633</v>
      </c>
      <c r="AD85" s="121"/>
      <c r="AE85" s="121"/>
      <c r="AF85" s="121"/>
      <c r="AG85" s="121"/>
      <c r="AH85" s="121"/>
      <c r="AI85" s="121"/>
      <c r="AJ85" s="121"/>
      <c r="AK85" s="121"/>
      <c r="AL85" s="121"/>
      <c r="AM85" s="121">
        <v>1380</v>
      </c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>
        <f t="shared" si="1"/>
        <v>0</v>
      </c>
      <c r="BA85" s="121">
        <f t="shared" si="1"/>
        <v>4013</v>
      </c>
      <c r="BB85" s="122">
        <f>SUM(AZ81:AZ85)</f>
        <v>604000</v>
      </c>
      <c r="BC85" s="122">
        <f>SUM(BA81:BA85)</f>
        <v>42540.36</v>
      </c>
      <c r="BD85" s="106">
        <v>2028</v>
      </c>
    </row>
    <row r="86" spans="1:56">
      <c r="A86" s="106" t="s">
        <v>445</v>
      </c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>
        <f t="shared" si="1"/>
        <v>0</v>
      </c>
      <c r="BA86" s="121">
        <f t="shared" si="1"/>
        <v>0</v>
      </c>
      <c r="BB86" s="122"/>
      <c r="BC86" s="122"/>
    </row>
    <row r="87" spans="1:56">
      <c r="A87" s="106" t="s">
        <v>101</v>
      </c>
      <c r="B87" s="121">
        <v>10000</v>
      </c>
      <c r="C87" s="121">
        <v>125</v>
      </c>
      <c r="D87" s="121">
        <v>160000</v>
      </c>
      <c r="E87" s="121">
        <v>3231.79</v>
      </c>
      <c r="F87" s="121"/>
      <c r="G87" s="121">
        <v>1500</v>
      </c>
      <c r="H87" s="121">
        <v>60000</v>
      </c>
      <c r="I87" s="121">
        <v>2375</v>
      </c>
      <c r="J87" s="121">
        <v>25000</v>
      </c>
      <c r="K87" s="121">
        <v>625</v>
      </c>
      <c r="L87" s="121">
        <v>10000</v>
      </c>
      <c r="M87" s="121">
        <v>276.01</v>
      </c>
      <c r="N87" s="121"/>
      <c r="O87" s="121"/>
      <c r="P87" s="121"/>
      <c r="Q87" s="121"/>
      <c r="R87" s="121"/>
      <c r="S87" s="121"/>
      <c r="T87" s="121">
        <v>130000</v>
      </c>
      <c r="U87" s="121">
        <v>3088</v>
      </c>
      <c r="V87" s="121"/>
      <c r="W87" s="121"/>
      <c r="X87" s="121"/>
      <c r="Y87" s="121"/>
      <c r="Z87" s="121">
        <v>15000</v>
      </c>
      <c r="AA87" s="121">
        <v>768.45</v>
      </c>
      <c r="AB87" s="121"/>
      <c r="AC87" s="121"/>
      <c r="AD87" s="121">
        <f>6156+45850</f>
        <v>52006</v>
      </c>
      <c r="AE87" s="121">
        <v>76.95</v>
      </c>
      <c r="AF87" s="121">
        <v>2000</v>
      </c>
      <c r="AG87" s="121">
        <v>63.8</v>
      </c>
      <c r="AH87" s="121"/>
      <c r="AI87" s="121"/>
      <c r="AJ87" s="121">
        <v>2000</v>
      </c>
      <c r="AK87" s="121">
        <v>46.28</v>
      </c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>
        <f t="shared" si="1"/>
        <v>466006</v>
      </c>
      <c r="BA87" s="121">
        <f t="shared" si="1"/>
        <v>12176.28</v>
      </c>
      <c r="BB87" s="122"/>
      <c r="BC87" s="122"/>
    </row>
    <row r="88" spans="1:56">
      <c r="A88" s="106" t="s">
        <v>102</v>
      </c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>
        <v>65000</v>
      </c>
      <c r="AC88" s="121">
        <v>2633</v>
      </c>
      <c r="AD88" s="121"/>
      <c r="AE88" s="121"/>
      <c r="AF88" s="121"/>
      <c r="AG88" s="121"/>
      <c r="AH88" s="121"/>
      <c r="AI88" s="121"/>
      <c r="AJ88" s="121"/>
      <c r="AK88" s="121"/>
      <c r="AL88" s="121">
        <v>15000</v>
      </c>
      <c r="AM88" s="121">
        <v>1380</v>
      </c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>
        <f t="shared" si="1"/>
        <v>80000</v>
      </c>
      <c r="BA88" s="121">
        <f t="shared" si="1"/>
        <v>4013</v>
      </c>
      <c r="BB88" s="122"/>
      <c r="BC88" s="122"/>
    </row>
    <row r="89" spans="1:56">
      <c r="A89" s="106" t="s">
        <v>103</v>
      </c>
      <c r="B89" s="121"/>
      <c r="C89" s="121"/>
      <c r="D89" s="121"/>
      <c r="E89" s="121">
        <v>1231.79</v>
      </c>
      <c r="F89" s="124">
        <v>60000</v>
      </c>
      <c r="G89" s="121">
        <v>1500</v>
      </c>
      <c r="H89" s="121"/>
      <c r="I89" s="121">
        <v>1625</v>
      </c>
      <c r="J89" s="121"/>
      <c r="K89" s="121">
        <v>312</v>
      </c>
      <c r="L89" s="121"/>
      <c r="M89" s="121">
        <v>151.01</v>
      </c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>
        <v>580.95000000000005</v>
      </c>
      <c r="AB89" s="121"/>
      <c r="AC89" s="121"/>
      <c r="AD89" s="121"/>
      <c r="AE89" s="121">
        <v>76.95</v>
      </c>
      <c r="AF89" s="121"/>
      <c r="AG89" s="121">
        <v>38.799999999999997</v>
      </c>
      <c r="AH89" s="121"/>
      <c r="AI89" s="121"/>
      <c r="AJ89" s="121"/>
      <c r="AK89" s="121">
        <v>21.28</v>
      </c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>
        <f t="shared" si="1"/>
        <v>60000</v>
      </c>
      <c r="BA89" s="121">
        <f t="shared" si="1"/>
        <v>5537.78</v>
      </c>
      <c r="BB89" s="122"/>
      <c r="BC89" s="122"/>
    </row>
    <row r="90" spans="1:56">
      <c r="A90" s="106" t="s">
        <v>104</v>
      </c>
      <c r="B90" s="121"/>
      <c r="C90" s="121"/>
      <c r="D90" s="121"/>
      <c r="E90" s="121"/>
      <c r="F90" s="124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>
        <v>1316</v>
      </c>
      <c r="AD90" s="121"/>
      <c r="AE90" s="121"/>
      <c r="AF90" s="121"/>
      <c r="AG90" s="121"/>
      <c r="AH90" s="121"/>
      <c r="AI90" s="121"/>
      <c r="AJ90" s="121"/>
      <c r="AK90" s="121"/>
      <c r="AL90" s="121"/>
      <c r="AM90" s="121">
        <v>1046.25</v>
      </c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>
        <f t="shared" si="1"/>
        <v>0</v>
      </c>
      <c r="BA90" s="121">
        <f t="shared" si="1"/>
        <v>2362.25</v>
      </c>
      <c r="BB90" s="122">
        <f>SUM(AZ86:AZ90)</f>
        <v>606006</v>
      </c>
      <c r="BC90" s="122">
        <f>SUM(BA86:BA90)</f>
        <v>24089.31</v>
      </c>
      <c r="BD90" s="106">
        <v>2029</v>
      </c>
    </row>
    <row r="91" spans="1:56">
      <c r="A91" s="106" t="s">
        <v>446</v>
      </c>
      <c r="B91" s="121"/>
      <c r="C91" s="121"/>
      <c r="D91" s="121"/>
      <c r="E91" s="121"/>
      <c r="F91" s="124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>
        <f t="shared" si="1"/>
        <v>0</v>
      </c>
      <c r="BA91" s="121">
        <f t="shared" si="1"/>
        <v>0</v>
      </c>
      <c r="BB91" s="122"/>
      <c r="BC91" s="122"/>
    </row>
    <row r="92" spans="1:56">
      <c r="A92" s="106" t="s">
        <v>105</v>
      </c>
      <c r="B92" s="121"/>
      <c r="C92" s="121"/>
      <c r="D92" s="121">
        <v>98543</v>
      </c>
      <c r="E92" s="121">
        <v>1231.79</v>
      </c>
      <c r="F92" s="124"/>
      <c r="G92" s="121">
        <v>750</v>
      </c>
      <c r="H92" s="121">
        <v>65000</v>
      </c>
      <c r="I92" s="121">
        <v>1625</v>
      </c>
      <c r="J92" s="121">
        <f>25000</f>
        <v>25000</v>
      </c>
      <c r="K92" s="121">
        <v>313</v>
      </c>
      <c r="L92" s="121">
        <v>10000</v>
      </c>
      <c r="M92" s="121">
        <v>151.01</v>
      </c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>
        <v>15000</v>
      </c>
      <c r="AA92" s="121">
        <v>580.95000000000005</v>
      </c>
      <c r="AB92" s="121">
        <v>65000</v>
      </c>
      <c r="AC92" s="121"/>
      <c r="AD92" s="121"/>
      <c r="AE92" s="121"/>
      <c r="AF92" s="121">
        <v>2000</v>
      </c>
      <c r="AG92" s="121">
        <v>38.799999999999997</v>
      </c>
      <c r="AH92" s="121"/>
      <c r="AI92" s="121"/>
      <c r="AJ92" s="121">
        <v>2000</v>
      </c>
      <c r="AK92" s="121">
        <v>21.28</v>
      </c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>
        <f t="shared" si="1"/>
        <v>282543</v>
      </c>
      <c r="BA92" s="121">
        <f t="shared" si="1"/>
        <v>4711.83</v>
      </c>
      <c r="BB92" s="122"/>
      <c r="BC92" s="122"/>
    </row>
    <row r="93" spans="1:56">
      <c r="A93" s="106" t="s">
        <v>106</v>
      </c>
      <c r="B93" s="121"/>
      <c r="C93" s="121"/>
      <c r="D93" s="121"/>
      <c r="E93" s="121"/>
      <c r="F93" s="124"/>
      <c r="G93" s="121"/>
      <c r="I93" s="121"/>
      <c r="K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>
        <v>1316</v>
      </c>
      <c r="AD93" s="121"/>
      <c r="AE93" s="121"/>
      <c r="AF93" s="121"/>
      <c r="AG93" s="121"/>
      <c r="AH93" s="121"/>
      <c r="AI93" s="121"/>
      <c r="AJ93" s="121"/>
      <c r="AK93" s="121"/>
      <c r="AL93" s="121">
        <v>15000</v>
      </c>
      <c r="AM93" s="121">
        <v>1046.25</v>
      </c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>
        <f t="shared" si="1"/>
        <v>15000</v>
      </c>
      <c r="BA93" s="121">
        <f t="shared" si="1"/>
        <v>2362.25</v>
      </c>
      <c r="BB93" s="122"/>
      <c r="BC93" s="122"/>
    </row>
    <row r="94" spans="1:56">
      <c r="A94" s="106" t="s">
        <v>107</v>
      </c>
      <c r="B94" s="121"/>
      <c r="C94" s="121"/>
      <c r="D94" s="121"/>
      <c r="E94" s="121"/>
      <c r="F94" s="124">
        <v>60000</v>
      </c>
      <c r="G94" s="121">
        <v>750</v>
      </c>
      <c r="I94" s="121">
        <v>812.5</v>
      </c>
      <c r="K94" s="121"/>
      <c r="L94" s="121"/>
      <c r="M94" s="121">
        <v>26.01</v>
      </c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>
        <v>393.45</v>
      </c>
      <c r="AB94" s="121"/>
      <c r="AC94" s="121"/>
      <c r="AD94" s="121"/>
      <c r="AE94" s="121"/>
      <c r="AF94" s="121"/>
      <c r="AG94" s="121">
        <v>13.8</v>
      </c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>
        <f t="shared" si="1"/>
        <v>60000</v>
      </c>
      <c r="BA94" s="121">
        <f t="shared" si="1"/>
        <v>1995.76</v>
      </c>
    </row>
    <row r="95" spans="1:56">
      <c r="A95" s="106" t="s">
        <v>447</v>
      </c>
      <c r="B95" s="121"/>
      <c r="C95" s="121"/>
      <c r="D95" s="121"/>
      <c r="E95" s="121"/>
      <c r="F95" s="124"/>
      <c r="G95" s="121"/>
      <c r="I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>
        <v>705</v>
      </c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>
        <f t="shared" si="1"/>
        <v>0</v>
      </c>
      <c r="BA95" s="121">
        <f t="shared" si="1"/>
        <v>705</v>
      </c>
      <c r="BB95" s="122">
        <f>SUM(AZ91:AZ95)</f>
        <v>357543</v>
      </c>
      <c r="BC95" s="122">
        <f>SUM(BA91:BA95)</f>
        <v>9774.84</v>
      </c>
      <c r="BD95" s="106">
        <v>2030</v>
      </c>
    </row>
    <row r="96" spans="1:56">
      <c r="A96" s="106" t="s">
        <v>448</v>
      </c>
      <c r="B96" s="121"/>
      <c r="C96" s="121"/>
      <c r="D96" s="121"/>
      <c r="E96" s="121"/>
      <c r="F96" s="124"/>
      <c r="G96" s="121"/>
      <c r="I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>
        <f t="shared" si="1"/>
        <v>0</v>
      </c>
      <c r="BA96" s="121">
        <f t="shared" si="1"/>
        <v>0</v>
      </c>
      <c r="BB96" s="122"/>
      <c r="BC96" s="122"/>
    </row>
    <row r="97" spans="1:56" ht="13.5" customHeight="1">
      <c r="A97" s="106" t="s">
        <v>108</v>
      </c>
      <c r="B97" s="121"/>
      <c r="C97" s="121"/>
      <c r="D97" s="121"/>
      <c r="E97" s="121"/>
      <c r="F97" s="121"/>
      <c r="G97" s="121"/>
      <c r="H97" s="121">
        <v>65000</v>
      </c>
      <c r="I97" s="121">
        <v>812.5</v>
      </c>
      <c r="J97" s="121"/>
      <c r="K97" s="121"/>
      <c r="L97" s="121">
        <v>10000</v>
      </c>
      <c r="M97" s="121">
        <v>26.01</v>
      </c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>
        <v>3982</v>
      </c>
      <c r="AA97" s="121">
        <v>393.45</v>
      </c>
      <c r="AB97" s="121"/>
      <c r="AC97" s="121"/>
      <c r="AD97" s="121"/>
      <c r="AE97" s="121"/>
      <c r="AF97" s="121">
        <f>1104+540</f>
        <v>1644</v>
      </c>
      <c r="AG97" s="121"/>
      <c r="AH97" s="121"/>
      <c r="AI97" s="121"/>
      <c r="AJ97" s="121">
        <v>1522</v>
      </c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21">
        <f t="shared" si="1"/>
        <v>82148</v>
      </c>
      <c r="BA97" s="121">
        <f t="shared" si="1"/>
        <v>1231.96</v>
      </c>
    </row>
    <row r="98" spans="1:56" ht="13.5" customHeight="1">
      <c r="A98" s="106" t="s">
        <v>449</v>
      </c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>
        <v>15000</v>
      </c>
      <c r="AM98" s="121">
        <v>705</v>
      </c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>
        <f t="shared" si="1"/>
        <v>15000</v>
      </c>
      <c r="BA98" s="121">
        <f t="shared" si="1"/>
        <v>705</v>
      </c>
      <c r="BB98" s="122"/>
      <c r="BC98" s="122"/>
    </row>
    <row r="99" spans="1:56" ht="13.5" customHeight="1">
      <c r="A99" s="106" t="s">
        <v>450</v>
      </c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>
        <f t="shared" si="1"/>
        <v>0</v>
      </c>
      <c r="BA99" s="121">
        <f t="shared" si="1"/>
        <v>0</v>
      </c>
      <c r="BB99" s="122"/>
      <c r="BC99" s="122"/>
    </row>
    <row r="100" spans="1:56" ht="13.5" customHeight="1">
      <c r="A100" s="106" t="s">
        <v>451</v>
      </c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>
        <v>356.25</v>
      </c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>
        <f t="shared" si="1"/>
        <v>0</v>
      </c>
      <c r="BA100" s="121">
        <f t="shared" si="1"/>
        <v>356.25</v>
      </c>
      <c r="BB100" s="122">
        <f>SUM(AZ96:AZ100)</f>
        <v>97148</v>
      </c>
      <c r="BC100" s="122">
        <f>SUM(BA96:BA100)</f>
        <v>2293.21</v>
      </c>
      <c r="BD100" s="106">
        <v>2031</v>
      </c>
    </row>
    <row r="101" spans="1:56" ht="13.5" customHeight="1">
      <c r="A101" s="106" t="s">
        <v>452</v>
      </c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>
        <f t="shared" si="1"/>
        <v>0</v>
      </c>
      <c r="BA101" s="121">
        <f t="shared" si="1"/>
        <v>0</v>
      </c>
      <c r="BB101" s="122"/>
      <c r="BC101" s="122"/>
    </row>
    <row r="102" spans="1:56" ht="13.5" customHeight="1">
      <c r="A102" s="106" t="s">
        <v>453</v>
      </c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>
        <v>3084</v>
      </c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>
        <f t="shared" si="1"/>
        <v>3084</v>
      </c>
      <c r="BA102" s="121">
        <f t="shared" si="1"/>
        <v>0</v>
      </c>
      <c r="BB102" s="122"/>
      <c r="BC102" s="122"/>
    </row>
    <row r="103" spans="1:56" ht="13.5" customHeight="1">
      <c r="A103" s="106" t="s">
        <v>454</v>
      </c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>
        <v>15000</v>
      </c>
      <c r="AM103" s="121">
        <v>356.25</v>
      </c>
      <c r="AN103" s="121"/>
      <c r="AO103" s="121"/>
      <c r="AP103" s="121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>
        <f t="shared" si="1"/>
        <v>15000</v>
      </c>
      <c r="BA103" s="121">
        <f t="shared" si="1"/>
        <v>356.25</v>
      </c>
      <c r="BB103" s="122">
        <f>SUM(AZ101:AZ105)</f>
        <v>18084</v>
      </c>
      <c r="BC103" s="122">
        <f>SUM(BA101:BA105)</f>
        <v>356.25</v>
      </c>
      <c r="BD103" s="106">
        <v>2032</v>
      </c>
    </row>
    <row r="104" spans="1:56" ht="13.5" customHeight="1">
      <c r="A104" s="106" t="s">
        <v>455</v>
      </c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>
        <f t="shared" si="1"/>
        <v>0</v>
      </c>
      <c r="BA104" s="121">
        <f t="shared" si="1"/>
        <v>0</v>
      </c>
      <c r="BB104" s="122"/>
      <c r="BC104" s="122"/>
    </row>
    <row r="105" spans="1:56" ht="13.5" customHeight="1">
      <c r="A105" s="106" t="s">
        <v>456</v>
      </c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>
        <f t="shared" si="1"/>
        <v>0</v>
      </c>
      <c r="BA105" s="121">
        <f t="shared" si="1"/>
        <v>0</v>
      </c>
      <c r="BB105" s="122"/>
      <c r="BC105" s="122"/>
    </row>
    <row r="106" spans="1:56" ht="13.5" customHeight="1">
      <c r="A106" s="106" t="s">
        <v>457</v>
      </c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>
        <f t="shared" si="1"/>
        <v>0</v>
      </c>
      <c r="BA106" s="121">
        <f t="shared" si="1"/>
        <v>0</v>
      </c>
      <c r="BB106" s="122">
        <f>SUM(AZ106:AZ110)</f>
        <v>0</v>
      </c>
      <c r="BC106" s="122">
        <f>SUM(BA106:BA110)</f>
        <v>0</v>
      </c>
      <c r="BD106" s="106">
        <v>2033</v>
      </c>
    </row>
    <row r="107" spans="1:56" ht="13.5" customHeight="1">
      <c r="A107" s="106" t="s">
        <v>458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>
        <f t="shared" si="1"/>
        <v>0</v>
      </c>
      <c r="BA107" s="121">
        <f t="shared" si="1"/>
        <v>0</v>
      </c>
      <c r="BB107" s="122"/>
      <c r="BC107" s="122"/>
    </row>
    <row r="108" spans="1:56" ht="13.5" customHeight="1">
      <c r="A108" s="106" t="s">
        <v>459</v>
      </c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>
        <f t="shared" si="1"/>
        <v>0</v>
      </c>
      <c r="BA108" s="121">
        <f t="shared" si="1"/>
        <v>0</v>
      </c>
      <c r="BB108" s="122"/>
      <c r="BC108" s="122"/>
    </row>
    <row r="109" spans="1:56" ht="13.5" customHeight="1">
      <c r="A109" s="106" t="s">
        <v>460</v>
      </c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>
        <f t="shared" si="1"/>
        <v>0</v>
      </c>
      <c r="BA109" s="121">
        <f t="shared" si="1"/>
        <v>0</v>
      </c>
      <c r="BB109" s="122"/>
      <c r="BC109" s="122"/>
    </row>
    <row r="110" spans="1:56" ht="13.5" customHeight="1">
      <c r="A110" s="106" t="s">
        <v>461</v>
      </c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>
        <f t="shared" si="1"/>
        <v>0</v>
      </c>
      <c r="BA110" s="121">
        <f t="shared" si="1"/>
        <v>0</v>
      </c>
      <c r="BB110" s="122"/>
      <c r="BC110" s="122"/>
    </row>
    <row r="111" spans="1:56" ht="13.5" customHeight="1">
      <c r="A111" s="106" t="s">
        <v>462</v>
      </c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>
        <f t="shared" si="1"/>
        <v>0</v>
      </c>
      <c r="BA111" s="121">
        <f t="shared" si="1"/>
        <v>0</v>
      </c>
      <c r="BB111" s="122">
        <f>SUM(AZ111:AZ115)</f>
        <v>0</v>
      </c>
      <c r="BC111" s="122">
        <f>SUM(BA111:BA115)</f>
        <v>0</v>
      </c>
      <c r="BD111" s="106">
        <v>2034</v>
      </c>
    </row>
    <row r="112" spans="1:56" ht="13.5" customHeight="1">
      <c r="A112" s="106" t="s">
        <v>463</v>
      </c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>
        <f t="shared" si="1"/>
        <v>0</v>
      </c>
      <c r="BA112" s="121">
        <f t="shared" si="1"/>
        <v>0</v>
      </c>
      <c r="BB112" s="122"/>
      <c r="BC112" s="122"/>
    </row>
    <row r="113" spans="1:56" ht="13.5" customHeight="1">
      <c r="A113" s="106" t="s">
        <v>464</v>
      </c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>
        <f t="shared" si="1"/>
        <v>0</v>
      </c>
      <c r="BA113" s="121">
        <f t="shared" si="1"/>
        <v>0</v>
      </c>
      <c r="BB113" s="122"/>
      <c r="BC113" s="122"/>
    </row>
    <row r="114" spans="1:56" ht="13.5" customHeight="1">
      <c r="A114" s="106" t="s">
        <v>465</v>
      </c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>
        <f t="shared" si="1"/>
        <v>0</v>
      </c>
      <c r="BA114" s="121">
        <f t="shared" si="1"/>
        <v>0</v>
      </c>
      <c r="BB114" s="122"/>
      <c r="BC114" s="122"/>
    </row>
    <row r="115" spans="1:56" ht="13.5" customHeight="1">
      <c r="A115" s="106" t="s">
        <v>466</v>
      </c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>
        <f t="shared" si="1"/>
        <v>0</v>
      </c>
      <c r="BA115" s="121">
        <f t="shared" si="1"/>
        <v>0</v>
      </c>
      <c r="BB115" s="122"/>
      <c r="BC115" s="122"/>
    </row>
    <row r="116" spans="1:56" ht="13.5" customHeight="1">
      <c r="A116" s="106" t="s">
        <v>467</v>
      </c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>
        <f t="shared" si="1"/>
        <v>0</v>
      </c>
      <c r="BA116" s="121">
        <f t="shared" si="1"/>
        <v>0</v>
      </c>
      <c r="BB116" s="122">
        <f>SUM(AZ116:AZ120)</f>
        <v>0</v>
      </c>
      <c r="BC116" s="122">
        <f>SUM(BA116:BA120)</f>
        <v>0</v>
      </c>
      <c r="BD116" s="106">
        <v>2035</v>
      </c>
    </row>
    <row r="117" spans="1:56" ht="13.5" customHeight="1">
      <c r="A117" s="106" t="s">
        <v>468</v>
      </c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>
        <f t="shared" si="1"/>
        <v>0</v>
      </c>
      <c r="BA117" s="121">
        <f t="shared" si="1"/>
        <v>0</v>
      </c>
      <c r="BB117" s="122"/>
      <c r="BC117" s="122"/>
    </row>
    <row r="118" spans="1:56" ht="13.5" customHeight="1">
      <c r="A118" s="106" t="s">
        <v>469</v>
      </c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  <c r="AS118" s="121"/>
      <c r="AT118" s="121"/>
      <c r="AU118" s="121"/>
      <c r="AV118" s="121"/>
      <c r="AW118" s="121"/>
      <c r="AX118" s="121"/>
      <c r="AY118" s="121"/>
      <c r="AZ118" s="121">
        <f t="shared" si="1"/>
        <v>0</v>
      </c>
      <c r="BA118" s="121">
        <f t="shared" si="1"/>
        <v>0</v>
      </c>
      <c r="BB118" s="122"/>
      <c r="BC118" s="122"/>
    </row>
    <row r="119" spans="1:56" ht="13.5" customHeight="1">
      <c r="A119" s="106" t="s">
        <v>470</v>
      </c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  <c r="AS119" s="121"/>
      <c r="AT119" s="121"/>
      <c r="AU119" s="121"/>
      <c r="AV119" s="121"/>
      <c r="AW119" s="121"/>
      <c r="AX119" s="121"/>
      <c r="AY119" s="121"/>
      <c r="AZ119" s="121">
        <f t="shared" si="1"/>
        <v>0</v>
      </c>
      <c r="BA119" s="121">
        <f t="shared" si="1"/>
        <v>0</v>
      </c>
      <c r="BB119" s="122"/>
      <c r="BC119" s="122"/>
    </row>
    <row r="120" spans="1:56" ht="13.5" customHeight="1">
      <c r="A120" s="106" t="s">
        <v>471</v>
      </c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>
        <f t="shared" si="1"/>
        <v>0</v>
      </c>
      <c r="BA120" s="121">
        <f t="shared" si="1"/>
        <v>0</v>
      </c>
      <c r="BB120" s="122"/>
      <c r="BC120" s="122"/>
    </row>
    <row r="121" spans="1:56" ht="13.5" customHeight="1"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2"/>
      <c r="BC121" s="122"/>
    </row>
    <row r="122" spans="1:56">
      <c r="B122" s="125" t="s">
        <v>472</v>
      </c>
      <c r="C122" s="121" t="s">
        <v>109</v>
      </c>
      <c r="D122" s="125" t="s">
        <v>472</v>
      </c>
      <c r="E122" s="121" t="s">
        <v>109</v>
      </c>
      <c r="F122" s="125" t="s">
        <v>110</v>
      </c>
      <c r="G122" s="121" t="s">
        <v>111</v>
      </c>
      <c r="H122" s="125" t="s">
        <v>110</v>
      </c>
      <c r="I122" s="121" t="s">
        <v>111</v>
      </c>
      <c r="J122" s="125" t="s">
        <v>110</v>
      </c>
      <c r="K122" s="121" t="s">
        <v>111</v>
      </c>
      <c r="L122" s="125" t="s">
        <v>110</v>
      </c>
      <c r="M122" s="121" t="s">
        <v>111</v>
      </c>
      <c r="N122" s="125" t="s">
        <v>472</v>
      </c>
      <c r="O122" s="121" t="s">
        <v>109</v>
      </c>
      <c r="P122" s="125" t="s">
        <v>110</v>
      </c>
      <c r="Q122" s="121" t="s">
        <v>111</v>
      </c>
      <c r="R122" s="125" t="s">
        <v>110</v>
      </c>
      <c r="S122" s="121" t="s">
        <v>111</v>
      </c>
      <c r="T122" s="125" t="s">
        <v>110</v>
      </c>
      <c r="U122" s="121" t="s">
        <v>111</v>
      </c>
      <c r="V122" s="125" t="s">
        <v>110</v>
      </c>
      <c r="W122" s="121" t="s">
        <v>111</v>
      </c>
      <c r="X122" s="125" t="s">
        <v>109</v>
      </c>
      <c r="Y122" s="121" t="s">
        <v>109</v>
      </c>
      <c r="Z122" s="125" t="s">
        <v>472</v>
      </c>
      <c r="AA122" s="121" t="s">
        <v>109</v>
      </c>
      <c r="AB122" s="125" t="s">
        <v>109</v>
      </c>
      <c r="AC122" s="121" t="s">
        <v>109</v>
      </c>
      <c r="AD122" s="125" t="s">
        <v>109</v>
      </c>
      <c r="AE122" s="121" t="s">
        <v>109</v>
      </c>
      <c r="AF122" s="125" t="s">
        <v>109</v>
      </c>
      <c r="AG122" s="121" t="s">
        <v>109</v>
      </c>
      <c r="AH122" s="125" t="s">
        <v>109</v>
      </c>
      <c r="AI122" s="121" t="s">
        <v>109</v>
      </c>
      <c r="AJ122" s="125" t="s">
        <v>109</v>
      </c>
      <c r="AK122" s="121" t="s">
        <v>109</v>
      </c>
      <c r="AL122" s="125" t="s">
        <v>109</v>
      </c>
      <c r="AM122" s="121" t="s">
        <v>109</v>
      </c>
      <c r="AN122" s="125" t="s">
        <v>109</v>
      </c>
      <c r="AO122" s="121" t="s">
        <v>109</v>
      </c>
      <c r="AP122" s="125" t="s">
        <v>109</v>
      </c>
      <c r="AQ122" s="121" t="s">
        <v>109</v>
      </c>
      <c r="AR122" s="125" t="s">
        <v>109</v>
      </c>
      <c r="AS122" s="121" t="s">
        <v>109</v>
      </c>
      <c r="AT122" s="125" t="s">
        <v>109</v>
      </c>
      <c r="AU122" s="121" t="s">
        <v>109</v>
      </c>
      <c r="AV122" s="125" t="s">
        <v>109</v>
      </c>
      <c r="AW122" s="121" t="s">
        <v>109</v>
      </c>
      <c r="AX122" s="125" t="s">
        <v>109</v>
      </c>
      <c r="AY122" s="121" t="s">
        <v>109</v>
      </c>
      <c r="AZ122" s="125" t="s">
        <v>110</v>
      </c>
      <c r="BA122" s="121" t="s">
        <v>112</v>
      </c>
      <c r="BB122" s="126" t="s">
        <v>110</v>
      </c>
      <c r="BC122" s="122" t="s">
        <v>112</v>
      </c>
    </row>
    <row r="123" spans="1:56">
      <c r="A123" s="113" t="s">
        <v>113</v>
      </c>
      <c r="B123" s="127">
        <f t="shared" ref="B123:BA123" si="2">SUM(B6:B122)</f>
        <v>150000</v>
      </c>
      <c r="C123" s="124">
        <f t="shared" si="2"/>
        <v>35127</v>
      </c>
      <c r="D123" s="127">
        <f>SUM(D6:D122)</f>
        <v>2324543</v>
      </c>
      <c r="E123" s="124">
        <f t="shared" si="2"/>
        <v>549718.60999999987</v>
      </c>
      <c r="F123" s="127">
        <f t="shared" si="2"/>
        <v>875000</v>
      </c>
      <c r="G123" s="124">
        <f t="shared" si="2"/>
        <v>222875</v>
      </c>
      <c r="H123" s="127">
        <f t="shared" si="2"/>
        <v>995000</v>
      </c>
      <c r="I123" s="124">
        <f t="shared" si="2"/>
        <v>254437.5</v>
      </c>
      <c r="J123" s="127">
        <f t="shared" si="2"/>
        <v>375000</v>
      </c>
      <c r="K123" s="124">
        <f t="shared" si="2"/>
        <v>91688</v>
      </c>
      <c r="L123" s="127">
        <f t="shared" si="2"/>
        <v>133084</v>
      </c>
      <c r="M123" s="124">
        <f t="shared" si="2"/>
        <v>33828.249999999985</v>
      </c>
      <c r="N123" s="127">
        <f t="shared" si="2"/>
        <v>250000</v>
      </c>
      <c r="O123" s="124">
        <f t="shared" si="2"/>
        <v>17500</v>
      </c>
      <c r="P123" s="127">
        <f t="shared" si="2"/>
        <v>162209</v>
      </c>
      <c r="Q123" s="124">
        <f t="shared" si="2"/>
        <v>21802.200000000008</v>
      </c>
      <c r="R123" s="127">
        <f t="shared" si="2"/>
        <v>1475962</v>
      </c>
      <c r="S123" s="124">
        <f t="shared" si="2"/>
        <v>188314</v>
      </c>
      <c r="T123" s="127">
        <f t="shared" si="2"/>
        <v>1560000</v>
      </c>
      <c r="U123" s="124">
        <f t="shared" si="2"/>
        <v>651777</v>
      </c>
      <c r="V123" s="127">
        <f t="shared" si="2"/>
        <v>1245000</v>
      </c>
      <c r="W123" s="124">
        <f t="shared" si="2"/>
        <v>419061</v>
      </c>
      <c r="X123" s="127">
        <f t="shared" si="2"/>
        <v>220000</v>
      </c>
      <c r="Y123" s="124">
        <f t="shared" si="2"/>
        <v>18232</v>
      </c>
      <c r="Z123" s="127">
        <f t="shared" si="2"/>
        <v>191482</v>
      </c>
      <c r="AA123" s="124">
        <f t="shared" si="2"/>
        <v>58830.559999999939</v>
      </c>
      <c r="AB123" s="127">
        <f t="shared" si="2"/>
        <v>1155000</v>
      </c>
      <c r="AC123" s="124">
        <f t="shared" si="2"/>
        <v>378542</v>
      </c>
      <c r="AD123" s="127">
        <f t="shared" si="2"/>
        <v>974506</v>
      </c>
      <c r="AE123" s="124">
        <f t="shared" si="2"/>
        <v>199301.57000000021</v>
      </c>
      <c r="AF123" s="127">
        <f t="shared" si="2"/>
        <v>25144</v>
      </c>
      <c r="AG123" s="124">
        <f t="shared" si="2"/>
        <v>6773.4600000000046</v>
      </c>
      <c r="AH123" s="127">
        <f t="shared" si="2"/>
        <v>269531</v>
      </c>
      <c r="AI123" s="124">
        <f t="shared" si="2"/>
        <v>47965.769999999975</v>
      </c>
      <c r="AJ123" s="127">
        <f t="shared" si="2"/>
        <v>30022</v>
      </c>
      <c r="AK123" s="124">
        <f t="shared" si="2"/>
        <v>7348.8099999999931</v>
      </c>
      <c r="AL123" s="127">
        <f t="shared" si="2"/>
        <v>235000</v>
      </c>
      <c r="AM123" s="124">
        <f t="shared" si="2"/>
        <v>110416.25</v>
      </c>
      <c r="AN123" s="127">
        <f t="shared" si="2"/>
        <v>75138</v>
      </c>
      <c r="AO123" s="124">
        <f t="shared" si="2"/>
        <v>10561.609999999993</v>
      </c>
      <c r="AP123" s="127">
        <f t="shared" si="2"/>
        <v>72848</v>
      </c>
      <c r="AQ123" s="124">
        <f t="shared" si="2"/>
        <v>0</v>
      </c>
      <c r="AR123" s="127">
        <f t="shared" si="2"/>
        <v>270000</v>
      </c>
      <c r="AS123" s="124">
        <f t="shared" si="2"/>
        <v>4905</v>
      </c>
      <c r="AT123" s="127">
        <f t="shared" si="2"/>
        <v>178</v>
      </c>
      <c r="AU123" s="121">
        <f t="shared" si="2"/>
        <v>0</v>
      </c>
      <c r="AV123" s="127">
        <f t="shared" si="2"/>
        <v>158</v>
      </c>
      <c r="AW123" s="121">
        <f t="shared" si="2"/>
        <v>0</v>
      </c>
      <c r="AX123" s="127">
        <f t="shared" si="2"/>
        <v>0</v>
      </c>
      <c r="AY123" s="121">
        <f t="shared" si="2"/>
        <v>0</v>
      </c>
      <c r="AZ123" s="124">
        <f>SUM(AZ6:AZ122)</f>
        <v>13064805</v>
      </c>
      <c r="BA123" s="121">
        <f t="shared" si="2"/>
        <v>3329005.5899999989</v>
      </c>
      <c r="BB123" s="131">
        <f>SUM(BB6:BB122)</f>
        <v>13064805</v>
      </c>
      <c r="BC123" s="122">
        <f>SUM(BC6:BC122)</f>
        <v>3329005.5899999994</v>
      </c>
    </row>
    <row r="124" spans="1:56">
      <c r="A124" s="129"/>
    </row>
    <row r="125" spans="1:56" ht="13.5" thickBot="1">
      <c r="A125" s="130"/>
      <c r="AR125" s="128"/>
    </row>
    <row r="127" spans="1:56">
      <c r="AT127" s="116" t="s">
        <v>535</v>
      </c>
    </row>
    <row r="128" spans="1:56">
      <c r="A128" s="106" t="s">
        <v>505</v>
      </c>
      <c r="B128" s="149">
        <v>39986</v>
      </c>
      <c r="D128" s="149">
        <v>40084</v>
      </c>
      <c r="F128" s="149">
        <v>40200</v>
      </c>
      <c r="H128" s="149">
        <v>40200</v>
      </c>
      <c r="J128" s="149">
        <v>40353</v>
      </c>
      <c r="L128" s="149">
        <v>40809</v>
      </c>
      <c r="N128" s="163">
        <v>35156</v>
      </c>
      <c r="P128" s="149">
        <v>40893</v>
      </c>
      <c r="R128" s="149">
        <v>38806</v>
      </c>
      <c r="T128" s="163">
        <v>39934</v>
      </c>
      <c r="V128" s="163">
        <v>38930</v>
      </c>
      <c r="X128" s="163">
        <v>38869</v>
      </c>
      <c r="Z128" s="149">
        <v>40809</v>
      </c>
      <c r="AB128" s="163">
        <v>40452</v>
      </c>
      <c r="AD128" s="149">
        <v>40809</v>
      </c>
      <c r="AF128" s="149">
        <v>40809</v>
      </c>
      <c r="AH128" s="149">
        <v>40809</v>
      </c>
      <c r="AJ128" s="163">
        <v>40893</v>
      </c>
      <c r="AL128" s="163">
        <v>40940</v>
      </c>
      <c r="AN128" s="149">
        <v>41170</v>
      </c>
      <c r="AP128" s="163">
        <v>41170</v>
      </c>
      <c r="AR128" s="163">
        <v>41061</v>
      </c>
      <c r="AT128" s="163">
        <v>41534</v>
      </c>
      <c r="AU128" s="165"/>
      <c r="AV128" s="163">
        <v>41450</v>
      </c>
    </row>
    <row r="129" spans="1:55" s="147" customFormat="1">
      <c r="A129" s="147" t="s">
        <v>502</v>
      </c>
      <c r="B129" s="147">
        <v>165000</v>
      </c>
      <c r="D129" s="147">
        <v>2661000</v>
      </c>
      <c r="F129" s="147">
        <v>953386</v>
      </c>
      <c r="H129" s="147">
        <v>1035000</v>
      </c>
      <c r="J129" s="147">
        <v>405000</v>
      </c>
      <c r="L129" s="147">
        <v>145000</v>
      </c>
      <c r="N129" s="147">
        <v>1850000</v>
      </c>
      <c r="P129" s="147">
        <v>415000</v>
      </c>
      <c r="R129" s="147">
        <v>2040962</v>
      </c>
      <c r="T129" s="147">
        <v>1750000</v>
      </c>
      <c r="V129" s="147">
        <v>1650000</v>
      </c>
      <c r="X129" s="147">
        <v>520000</v>
      </c>
      <c r="Z129" s="147">
        <v>217500</v>
      </c>
      <c r="AB129" s="147">
        <v>1275000</v>
      </c>
      <c r="AD129" s="147">
        <v>1212500</v>
      </c>
      <c r="AF129" s="147">
        <v>27500</v>
      </c>
      <c r="AH129" s="147">
        <v>412500</v>
      </c>
      <c r="AJ129" s="164">
        <v>32500</v>
      </c>
      <c r="AL129" s="147">
        <v>235000</v>
      </c>
      <c r="AN129" s="147">
        <v>172500</v>
      </c>
      <c r="AP129" s="164">
        <v>747500</v>
      </c>
      <c r="AR129" s="147">
        <v>270000</v>
      </c>
      <c r="AT129" s="164">
        <v>1049664</v>
      </c>
      <c r="AU129" s="164"/>
      <c r="AV129" s="164">
        <v>809350</v>
      </c>
      <c r="BB129" s="148"/>
      <c r="BC129" s="148"/>
    </row>
    <row r="132" spans="1:55">
      <c r="A132" s="106" t="s">
        <v>545</v>
      </c>
      <c r="B132" s="106" t="s">
        <v>550</v>
      </c>
      <c r="D132" s="106" t="s">
        <v>550</v>
      </c>
      <c r="F132" s="106" t="s">
        <v>550</v>
      </c>
      <c r="H132" s="106" t="s">
        <v>550</v>
      </c>
      <c r="J132" s="106" t="s">
        <v>550</v>
      </c>
      <c r="L132" s="106" t="s">
        <v>550</v>
      </c>
      <c r="N132" s="106" t="s">
        <v>552</v>
      </c>
      <c r="P132" s="106" t="s">
        <v>550</v>
      </c>
      <c r="R132" s="106" t="s">
        <v>550</v>
      </c>
      <c r="T132" s="106" t="s">
        <v>554</v>
      </c>
      <c r="V132" s="106" t="s">
        <v>552</v>
      </c>
      <c r="X132" s="106" t="s">
        <v>550</v>
      </c>
      <c r="Z132" s="106" t="s">
        <v>550</v>
      </c>
      <c r="AB132" s="106" t="s">
        <v>548</v>
      </c>
      <c r="AD132" s="106" t="s">
        <v>550</v>
      </c>
      <c r="AF132" s="106" t="s">
        <v>550</v>
      </c>
      <c r="AH132" s="106" t="s">
        <v>550</v>
      </c>
      <c r="AJ132" s="106" t="s">
        <v>550</v>
      </c>
      <c r="AL132" s="106" t="s">
        <v>555</v>
      </c>
      <c r="AN132" s="106" t="s">
        <v>550</v>
      </c>
      <c r="AP132" s="106" t="s">
        <v>550</v>
      </c>
      <c r="AR132" s="106" t="s">
        <v>557</v>
      </c>
      <c r="AT132" s="106" t="s">
        <v>550</v>
      </c>
      <c r="AV132" s="106" t="s">
        <v>550</v>
      </c>
    </row>
    <row r="133" spans="1:55" ht="32.25" customHeight="1">
      <c r="B133" s="174" t="s">
        <v>551</v>
      </c>
      <c r="C133" s="174"/>
      <c r="D133" s="174" t="s">
        <v>551</v>
      </c>
      <c r="F133" s="174" t="s">
        <v>551</v>
      </c>
      <c r="H133" s="174" t="s">
        <v>551</v>
      </c>
      <c r="J133" s="174" t="s">
        <v>551</v>
      </c>
      <c r="K133" s="174"/>
      <c r="L133" s="174" t="s">
        <v>551</v>
      </c>
      <c r="N133" s="106" t="s">
        <v>543</v>
      </c>
      <c r="P133" s="106" t="s">
        <v>552</v>
      </c>
      <c r="R133" s="106" t="s">
        <v>552</v>
      </c>
      <c r="T133" s="106" t="s">
        <v>552</v>
      </c>
      <c r="V133" s="106" t="s">
        <v>555</v>
      </c>
      <c r="X133" s="106" t="s">
        <v>543</v>
      </c>
      <c r="Z133" s="106" t="s">
        <v>554</v>
      </c>
      <c r="AB133" s="106" t="s">
        <v>555</v>
      </c>
      <c r="AD133" s="106" t="s">
        <v>554</v>
      </c>
      <c r="AL133" s="106" t="s">
        <v>548</v>
      </c>
      <c r="AP133" s="106" t="s">
        <v>554</v>
      </c>
      <c r="AR133" s="106" t="s">
        <v>554</v>
      </c>
    </row>
    <row r="134" spans="1:55">
      <c r="B134" s="106" t="s">
        <v>543</v>
      </c>
      <c r="P134" s="106" t="s">
        <v>553</v>
      </c>
      <c r="R134" s="106" t="s">
        <v>553</v>
      </c>
      <c r="T134" s="106" t="s">
        <v>553</v>
      </c>
      <c r="V134" s="106" t="s">
        <v>543</v>
      </c>
      <c r="Z134" s="106" t="s">
        <v>543</v>
      </c>
      <c r="AB134" s="106" t="s">
        <v>556</v>
      </c>
      <c r="AD134" s="106" t="s">
        <v>543</v>
      </c>
      <c r="AL134" s="106" t="s">
        <v>556</v>
      </c>
      <c r="AR134" s="106" t="s">
        <v>558</v>
      </c>
    </row>
    <row r="135" spans="1:55">
      <c r="AR135" s="106" t="s">
        <v>555</v>
      </c>
    </row>
    <row r="136" spans="1:55">
      <c r="AR136" s="106" t="s">
        <v>548</v>
      </c>
    </row>
    <row r="137" spans="1:55">
      <c r="AR137" s="106" t="s">
        <v>556</v>
      </c>
    </row>
  </sheetData>
  <mergeCells count="25">
    <mergeCell ref="L4:M4"/>
    <mergeCell ref="B4:C4"/>
    <mergeCell ref="D4:E4"/>
    <mergeCell ref="F4:G4"/>
    <mergeCell ref="H4:I4"/>
    <mergeCell ref="J4:K4"/>
    <mergeCell ref="AL4:AM4"/>
    <mergeCell ref="N4:O4"/>
    <mergeCell ref="P4:Q4"/>
    <mergeCell ref="R4:S4"/>
    <mergeCell ref="T4:U4"/>
    <mergeCell ref="V4:W4"/>
    <mergeCell ref="Z4:AA4"/>
    <mergeCell ref="AB4:AC4"/>
    <mergeCell ref="AD4:AE4"/>
    <mergeCell ref="AF4:AG4"/>
    <mergeCell ref="AH4:AI4"/>
    <mergeCell ref="AJ4:AK4"/>
    <mergeCell ref="BB4:BC4"/>
    <mergeCell ref="AN4:AO4"/>
    <mergeCell ref="AP4:AQ4"/>
    <mergeCell ref="AR4:AS4"/>
    <mergeCell ref="AT4:AU4"/>
    <mergeCell ref="AV4:AW4"/>
    <mergeCell ref="AX4:AY4"/>
  </mergeCells>
  <printOptions horizontalCentered="1" gridLines="1"/>
  <pageMargins left="0.5" right="0.5" top="0.5" bottom="0.5" header="0" footer="0"/>
  <pageSetup scale="74" fitToWidth="2" fitToHeight="2" pageOrder="overThenDown" orientation="landscape" r:id="rId1"/>
  <headerFooter alignWithMargins="0">
    <oddHeader>&amp;C&amp;A</oddHeader>
    <oddFooter>&amp;L&amp;10&amp;D&amp;C&amp;10&amp;Z&amp;F&amp;R&amp;10page &amp;P of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C000"/>
    <pageSetUpPr fitToPage="1"/>
  </sheetPr>
  <dimension ref="A1:V29"/>
  <sheetViews>
    <sheetView defaultGridColor="0" colorId="22" zoomScale="87" zoomScaleNormal="87" workbookViewId="0">
      <pane xSplit="1" topLeftCell="B1" activePane="topRight" state="frozen"/>
      <selection activeCell="A28" sqref="A28"/>
      <selection pane="topRight" activeCell="J49" sqref="J49"/>
    </sheetView>
  </sheetViews>
  <sheetFormatPr defaultColWidth="9.77734375" defaultRowHeight="12.75"/>
  <cols>
    <col min="1" max="1" width="17.44140625" style="35" bestFit="1" customWidth="1"/>
    <col min="2" max="2" width="13.44140625" style="35" customWidth="1"/>
    <col min="3" max="3" width="6.6640625" style="35" customWidth="1"/>
    <col min="4" max="4" width="11.6640625" style="35" customWidth="1"/>
    <col min="5" max="5" width="6.21875" style="35" bestFit="1" customWidth="1"/>
    <col min="6" max="6" width="9.21875" style="35" customWidth="1"/>
    <col min="7" max="7" width="8.109375" style="35" customWidth="1"/>
    <col min="8" max="8" width="12" style="35" customWidth="1"/>
    <col min="9" max="9" width="6.88671875" style="35" customWidth="1"/>
    <col min="10" max="10" width="14.6640625" style="35" customWidth="1"/>
    <col min="11" max="11" width="6.44140625" style="35" customWidth="1"/>
    <col min="12" max="12" width="7.44140625" style="35" hidden="1" customWidth="1"/>
    <col min="13" max="13" width="6.44140625" style="35" hidden="1" customWidth="1"/>
    <col min="14" max="14" width="12.6640625" style="35" customWidth="1"/>
    <col min="15" max="15" width="7.33203125" style="35" customWidth="1"/>
    <col min="16" max="16" width="8.6640625" style="35" hidden="1" customWidth="1"/>
    <col min="17" max="17" width="6.109375" style="35" hidden="1" customWidth="1"/>
    <col min="18" max="18" width="9.88671875" style="35" customWidth="1"/>
    <col min="19" max="19" width="8.44140625" style="35" customWidth="1"/>
    <col min="20" max="20" width="8.33203125" style="35" customWidth="1"/>
    <col min="21" max="21" width="7.5546875" style="35" bestFit="1" customWidth="1"/>
    <col min="22" max="22" width="5.6640625" style="35" customWidth="1"/>
    <col min="23" max="23" width="9.77734375" style="35"/>
    <col min="24" max="24" width="10.33203125" style="35" bestFit="1" customWidth="1"/>
    <col min="25" max="16384" width="9.77734375" style="35"/>
  </cols>
  <sheetData>
    <row r="1" spans="1:22">
      <c r="B1" s="35" t="s">
        <v>372</v>
      </c>
      <c r="F1" s="35" t="s">
        <v>371</v>
      </c>
      <c r="G1" s="35" t="s">
        <v>370</v>
      </c>
      <c r="H1" s="35" t="s">
        <v>369</v>
      </c>
      <c r="J1" s="35" t="s">
        <v>3</v>
      </c>
      <c r="L1" s="35">
        <v>2012</v>
      </c>
    </row>
    <row r="2" spans="1:22">
      <c r="A2" s="35" t="s">
        <v>5</v>
      </c>
      <c r="J2" s="41"/>
    </row>
    <row r="3" spans="1:22">
      <c r="B3" s="41" t="s">
        <v>368</v>
      </c>
      <c r="C3" s="40">
        <v>8732</v>
      </c>
      <c r="D3" s="41" t="s">
        <v>367</v>
      </c>
      <c r="E3" s="40">
        <v>8662</v>
      </c>
      <c r="F3" s="42" t="s">
        <v>12</v>
      </c>
      <c r="G3" s="40">
        <v>8666</v>
      </c>
      <c r="H3" s="42" t="s">
        <v>12</v>
      </c>
      <c r="I3" s="40">
        <v>8671</v>
      </c>
      <c r="J3" s="41" t="s">
        <v>8</v>
      </c>
      <c r="K3" s="40">
        <v>8660</v>
      </c>
      <c r="L3" s="41" t="s">
        <v>234</v>
      </c>
      <c r="M3" s="40">
        <v>8502</v>
      </c>
      <c r="N3" s="42" t="s">
        <v>12</v>
      </c>
      <c r="O3" s="40">
        <v>8669</v>
      </c>
      <c r="P3" s="41" t="s">
        <v>11</v>
      </c>
      <c r="Q3" s="40">
        <v>8518</v>
      </c>
    </row>
    <row r="4" spans="1:22">
      <c r="A4" s="39" t="s">
        <v>14</v>
      </c>
      <c r="B4" s="187" t="s">
        <v>360</v>
      </c>
      <c r="C4" s="187"/>
      <c r="D4" s="187" t="s">
        <v>359</v>
      </c>
      <c r="E4" s="187"/>
      <c r="F4" s="187" t="s">
        <v>358</v>
      </c>
      <c r="G4" s="187"/>
      <c r="H4" s="187" t="s">
        <v>366</v>
      </c>
      <c r="I4" s="187"/>
      <c r="J4" s="187" t="s">
        <v>357</v>
      </c>
      <c r="K4" s="187"/>
      <c r="L4" s="187" t="s">
        <v>356</v>
      </c>
      <c r="M4" s="187"/>
      <c r="N4" s="187" t="s">
        <v>355</v>
      </c>
      <c r="O4" s="187"/>
      <c r="P4" s="187" t="s">
        <v>354</v>
      </c>
      <c r="Q4" s="187"/>
      <c r="R4" s="188" t="s">
        <v>260</v>
      </c>
      <c r="S4" s="187"/>
      <c r="T4" s="188" t="s">
        <v>365</v>
      </c>
      <c r="U4" s="187"/>
    </row>
    <row r="5" spans="1:22">
      <c r="A5" s="39" t="s">
        <v>32</v>
      </c>
      <c r="B5" s="39" t="s">
        <v>33</v>
      </c>
      <c r="C5" s="39" t="s">
        <v>262</v>
      </c>
      <c r="D5" s="39" t="s">
        <v>35</v>
      </c>
      <c r="E5" s="39" t="s">
        <v>262</v>
      </c>
      <c r="F5" s="39" t="s">
        <v>35</v>
      </c>
      <c r="G5" s="39" t="s">
        <v>262</v>
      </c>
      <c r="H5" s="39" t="s">
        <v>35</v>
      </c>
      <c r="I5" s="39" t="s">
        <v>36</v>
      </c>
      <c r="J5" s="39" t="s">
        <v>35</v>
      </c>
      <c r="K5" s="39" t="s">
        <v>36</v>
      </c>
      <c r="L5" s="39" t="s">
        <v>35</v>
      </c>
      <c r="M5" s="39" t="s">
        <v>36</v>
      </c>
      <c r="N5" s="39" t="s">
        <v>35</v>
      </c>
      <c r="O5" s="39" t="s">
        <v>36</v>
      </c>
      <c r="P5" s="39" t="s">
        <v>35</v>
      </c>
      <c r="Q5" s="39" t="s">
        <v>36</v>
      </c>
      <c r="R5" s="39" t="s">
        <v>35</v>
      </c>
      <c r="S5" s="39" t="s">
        <v>36</v>
      </c>
      <c r="T5" s="39" t="s">
        <v>35</v>
      </c>
      <c r="U5" s="39" t="s">
        <v>36</v>
      </c>
    </row>
    <row r="6" spans="1:22">
      <c r="B6" s="38" t="s">
        <v>109</v>
      </c>
      <c r="C6" s="36" t="s">
        <v>109</v>
      </c>
      <c r="D6" s="38" t="s">
        <v>111</v>
      </c>
      <c r="E6" s="36" t="s">
        <v>155</v>
      </c>
      <c r="F6" s="38" t="s">
        <v>111</v>
      </c>
      <c r="G6" s="36" t="s">
        <v>155</v>
      </c>
      <c r="H6" s="38" t="s">
        <v>111</v>
      </c>
      <c r="I6" s="36" t="s">
        <v>473</v>
      </c>
      <c r="J6" s="38" t="s">
        <v>109</v>
      </c>
      <c r="K6" s="36" t="s">
        <v>111</v>
      </c>
      <c r="L6" s="38" t="s">
        <v>155</v>
      </c>
      <c r="M6" s="36" t="s">
        <v>111</v>
      </c>
      <c r="N6" s="38" t="s">
        <v>155</v>
      </c>
      <c r="O6" s="36" t="s">
        <v>155</v>
      </c>
      <c r="P6" s="38" t="s">
        <v>109</v>
      </c>
      <c r="Q6" s="36" t="s">
        <v>109</v>
      </c>
      <c r="R6" s="38" t="s">
        <v>110</v>
      </c>
      <c r="S6" s="36" t="s">
        <v>112</v>
      </c>
      <c r="T6" s="38" t="s">
        <v>110</v>
      </c>
      <c r="U6" s="36" t="s">
        <v>325</v>
      </c>
    </row>
    <row r="7" spans="1:22">
      <c r="A7" s="35" t="s">
        <v>364</v>
      </c>
      <c r="B7" s="36">
        <v>73600</v>
      </c>
      <c r="C7" s="36">
        <v>6109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(B7+D7+F7+H7+J7+L7+N7+P7)</f>
        <v>73600</v>
      </c>
      <c r="S7" s="36">
        <f>(C7+E7+G7+I7+K7+M7+O7+Q7)</f>
        <v>6109</v>
      </c>
      <c r="T7" s="36"/>
      <c r="U7" s="36"/>
    </row>
    <row r="8" spans="1:22">
      <c r="A8" s="35" t="s">
        <v>474</v>
      </c>
      <c r="B8" s="36"/>
      <c r="C8" s="36"/>
      <c r="D8" s="36">
        <v>68750</v>
      </c>
      <c r="E8" s="36">
        <v>2908</v>
      </c>
      <c r="F8" s="36">
        <v>5000</v>
      </c>
      <c r="G8" s="36">
        <v>660</v>
      </c>
      <c r="H8" s="36">
        <v>66667</v>
      </c>
      <c r="I8" s="36">
        <v>5293</v>
      </c>
      <c r="J8" s="36">
        <v>12500</v>
      </c>
      <c r="K8" s="36">
        <v>556</v>
      </c>
      <c r="L8" s="36"/>
      <c r="M8" s="36"/>
      <c r="N8" s="36">
        <v>29950</v>
      </c>
      <c r="O8" s="36">
        <v>12339.4</v>
      </c>
      <c r="P8" s="36"/>
      <c r="Q8" s="36"/>
      <c r="R8" s="36">
        <f t="shared" ref="R8:S17" si="0">(B8+D8+F8+H8+J8+L8+N8+P8)</f>
        <v>182867</v>
      </c>
      <c r="S8" s="36">
        <f t="shared" si="0"/>
        <v>21756.400000000001</v>
      </c>
      <c r="T8" s="36">
        <f>SUM(R7:R9)</f>
        <v>256467</v>
      </c>
      <c r="U8" s="36">
        <f>SUM(S7:S9)</f>
        <v>27865.4</v>
      </c>
      <c r="V8" s="35">
        <v>2013</v>
      </c>
    </row>
    <row r="9" spans="1:22">
      <c r="A9" s="35" t="s">
        <v>475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>
        <f t="shared" si="0"/>
        <v>0</v>
      </c>
      <c r="S9" s="36">
        <f t="shared" si="0"/>
        <v>0</v>
      </c>
      <c r="T9" s="36"/>
      <c r="U9" s="36"/>
    </row>
    <row r="10" spans="1:22">
      <c r="A10" s="35" t="s">
        <v>363</v>
      </c>
      <c r="B10" s="36">
        <v>73600</v>
      </c>
      <c r="C10" s="36">
        <v>3054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>
        <v>29950</v>
      </c>
      <c r="O10" s="36">
        <v>10796.98</v>
      </c>
      <c r="P10" s="36"/>
      <c r="Q10" s="36"/>
      <c r="R10" s="36">
        <f t="shared" si="0"/>
        <v>103550</v>
      </c>
      <c r="S10" s="36">
        <f t="shared" si="0"/>
        <v>13850.98</v>
      </c>
      <c r="T10" s="36"/>
      <c r="U10" s="36"/>
    </row>
    <row r="11" spans="1:22">
      <c r="A11" s="35" t="s">
        <v>362</v>
      </c>
      <c r="B11" s="36"/>
      <c r="C11" s="36"/>
      <c r="D11" s="36"/>
      <c r="E11" s="36"/>
      <c r="F11" s="36">
        <v>5000</v>
      </c>
      <c r="G11" s="36">
        <v>440</v>
      </c>
      <c r="H11" s="36">
        <v>66666</v>
      </c>
      <c r="I11" s="36">
        <v>2647</v>
      </c>
      <c r="J11" s="36"/>
      <c r="K11" s="36"/>
      <c r="L11" s="36"/>
      <c r="M11" s="36"/>
      <c r="N11" s="36">
        <v>29950</v>
      </c>
      <c r="O11" s="36">
        <v>9254.5499999999993</v>
      </c>
      <c r="P11" s="36"/>
      <c r="Q11" s="36"/>
      <c r="R11" s="36">
        <f t="shared" si="0"/>
        <v>101616</v>
      </c>
      <c r="S11" s="36">
        <f t="shared" si="0"/>
        <v>12341.55</v>
      </c>
      <c r="T11" s="36">
        <f>SUM(R10:R12)</f>
        <v>205166</v>
      </c>
      <c r="U11" s="36">
        <f>SUM(S10:S12)</f>
        <v>26192.53</v>
      </c>
      <c r="V11" s="35">
        <v>2014</v>
      </c>
    </row>
    <row r="12" spans="1:22">
      <c r="A12" s="35" t="s">
        <v>476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>
        <f t="shared" si="0"/>
        <v>0</v>
      </c>
      <c r="S12" s="36">
        <f t="shared" si="0"/>
        <v>0</v>
      </c>
      <c r="T12" s="36"/>
      <c r="U12" s="36"/>
    </row>
    <row r="13" spans="1:22">
      <c r="A13" s="35" t="s">
        <v>361</v>
      </c>
      <c r="B13" s="36"/>
      <c r="C13" s="36"/>
      <c r="D13" s="36"/>
      <c r="E13" s="36"/>
      <c r="F13" s="36">
        <v>5000</v>
      </c>
      <c r="G13" s="36">
        <v>220</v>
      </c>
      <c r="H13" s="36"/>
      <c r="I13" s="36"/>
      <c r="J13" s="36"/>
      <c r="K13" s="36"/>
      <c r="L13" s="36"/>
      <c r="M13" s="36"/>
      <c r="N13" s="36">
        <v>29950</v>
      </c>
      <c r="O13" s="36">
        <v>7733.25</v>
      </c>
      <c r="P13" s="36"/>
      <c r="Q13" s="36"/>
      <c r="R13" s="36">
        <f t="shared" si="0"/>
        <v>34950</v>
      </c>
      <c r="S13" s="36">
        <f t="shared" si="0"/>
        <v>7953.25</v>
      </c>
      <c r="T13" s="36">
        <f>SUM(R13)</f>
        <v>34950</v>
      </c>
      <c r="U13" s="36">
        <f t="shared" ref="T13:U17" si="1">SUM(S13)</f>
        <v>7953.25</v>
      </c>
      <c r="V13" s="35">
        <v>2015</v>
      </c>
    </row>
    <row r="14" spans="1:22">
      <c r="A14" s="35" t="s">
        <v>50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>
        <v>29950</v>
      </c>
      <c r="O14" s="36">
        <v>6169.7</v>
      </c>
      <c r="P14" s="36"/>
      <c r="Q14" s="36"/>
      <c r="R14" s="36">
        <f t="shared" si="0"/>
        <v>29950</v>
      </c>
      <c r="S14" s="36">
        <f t="shared" si="0"/>
        <v>6169.7</v>
      </c>
      <c r="T14" s="36">
        <f t="shared" si="1"/>
        <v>29950</v>
      </c>
      <c r="U14" s="36">
        <f t="shared" si="1"/>
        <v>6169.7</v>
      </c>
      <c r="V14" s="35">
        <v>2016</v>
      </c>
    </row>
    <row r="15" spans="1:22">
      <c r="A15" s="35" t="s">
        <v>54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>
        <v>29950</v>
      </c>
      <c r="O15" s="36">
        <v>4627.28</v>
      </c>
      <c r="P15" s="36"/>
      <c r="Q15" s="36"/>
      <c r="R15" s="36">
        <f t="shared" si="0"/>
        <v>29950</v>
      </c>
      <c r="S15" s="36">
        <f t="shared" si="0"/>
        <v>4627.28</v>
      </c>
      <c r="T15" s="36">
        <f t="shared" si="1"/>
        <v>29950</v>
      </c>
      <c r="U15" s="36">
        <f t="shared" si="1"/>
        <v>4627.28</v>
      </c>
      <c r="V15" s="35">
        <v>2017</v>
      </c>
    </row>
    <row r="16" spans="1:22">
      <c r="A16" s="35" t="s">
        <v>58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>
        <v>29950</v>
      </c>
      <c r="O16" s="36">
        <v>3084.85</v>
      </c>
      <c r="P16" s="36"/>
      <c r="Q16" s="36"/>
      <c r="R16" s="36">
        <f t="shared" si="0"/>
        <v>29950</v>
      </c>
      <c r="S16" s="36">
        <f t="shared" si="0"/>
        <v>3084.85</v>
      </c>
      <c r="T16" s="36">
        <f t="shared" si="1"/>
        <v>29950</v>
      </c>
      <c r="U16" s="36">
        <f t="shared" si="1"/>
        <v>3084.85</v>
      </c>
      <c r="V16" s="35">
        <v>2018</v>
      </c>
    </row>
    <row r="17" spans="1:22">
      <c r="A17" s="35" t="s">
        <v>62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>
        <v>29950</v>
      </c>
      <c r="O17" s="36">
        <v>1546.65</v>
      </c>
      <c r="P17" s="36"/>
      <c r="Q17" s="36"/>
      <c r="R17" s="36">
        <f t="shared" si="0"/>
        <v>29950</v>
      </c>
      <c r="S17" s="36">
        <f t="shared" si="0"/>
        <v>1546.65</v>
      </c>
      <c r="T17" s="36">
        <f t="shared" si="1"/>
        <v>29950</v>
      </c>
      <c r="U17" s="36">
        <f t="shared" si="1"/>
        <v>1546.65</v>
      </c>
      <c r="V17" s="35">
        <v>2019</v>
      </c>
    </row>
    <row r="18" spans="1:22">
      <c r="B18" s="38" t="s">
        <v>109</v>
      </c>
      <c r="C18" s="36" t="s">
        <v>109</v>
      </c>
      <c r="D18" s="38" t="s">
        <v>111</v>
      </c>
      <c r="E18" s="36" t="s">
        <v>155</v>
      </c>
      <c r="F18" s="38" t="s">
        <v>111</v>
      </c>
      <c r="G18" s="36" t="s">
        <v>155</v>
      </c>
      <c r="H18" s="38" t="s">
        <v>111</v>
      </c>
      <c r="I18" s="36" t="s">
        <v>473</v>
      </c>
      <c r="J18" s="38" t="s">
        <v>109</v>
      </c>
      <c r="K18" s="36" t="s">
        <v>111</v>
      </c>
      <c r="L18" s="38" t="s">
        <v>155</v>
      </c>
      <c r="M18" s="36" t="s">
        <v>111</v>
      </c>
      <c r="N18" s="36" t="s">
        <v>155</v>
      </c>
      <c r="O18" s="36" t="s">
        <v>155</v>
      </c>
      <c r="P18" s="38" t="s">
        <v>109</v>
      </c>
      <c r="Q18" s="36" t="s">
        <v>109</v>
      </c>
      <c r="R18" s="38" t="s">
        <v>110</v>
      </c>
      <c r="S18" s="36" t="s">
        <v>112</v>
      </c>
      <c r="T18" s="38" t="s">
        <v>110</v>
      </c>
      <c r="U18" s="36" t="s">
        <v>325</v>
      </c>
    </row>
    <row r="19" spans="1:22">
      <c r="A19" s="37" t="s">
        <v>113</v>
      </c>
      <c r="B19" s="36">
        <f t="shared" ref="B19:S19" si="2">SUM(B6:B18)</f>
        <v>147200</v>
      </c>
      <c r="C19" s="36">
        <f t="shared" si="2"/>
        <v>9163</v>
      </c>
      <c r="D19" s="36">
        <f t="shared" si="2"/>
        <v>68750</v>
      </c>
      <c r="E19" s="36">
        <f t="shared" si="2"/>
        <v>2908</v>
      </c>
      <c r="F19" s="36">
        <f t="shared" si="2"/>
        <v>15000</v>
      </c>
      <c r="G19" s="36">
        <f t="shared" si="2"/>
        <v>1320</v>
      </c>
      <c r="H19" s="36">
        <f t="shared" si="2"/>
        <v>133333</v>
      </c>
      <c r="I19" s="36">
        <f t="shared" si="2"/>
        <v>7940</v>
      </c>
      <c r="J19" s="36">
        <f t="shared" si="2"/>
        <v>12500</v>
      </c>
      <c r="K19" s="36">
        <f t="shared" si="2"/>
        <v>556</v>
      </c>
      <c r="L19" s="36">
        <f t="shared" si="2"/>
        <v>0</v>
      </c>
      <c r="M19" s="36">
        <f t="shared" si="2"/>
        <v>0</v>
      </c>
      <c r="N19" s="36">
        <f t="shared" si="2"/>
        <v>239600</v>
      </c>
      <c r="O19" s="36">
        <f t="shared" si="2"/>
        <v>55552.659999999989</v>
      </c>
      <c r="P19" s="36">
        <f t="shared" si="2"/>
        <v>0</v>
      </c>
      <c r="Q19" s="36">
        <f t="shared" si="2"/>
        <v>0</v>
      </c>
      <c r="R19" s="132">
        <f>SUM(R6:R18)</f>
        <v>616383</v>
      </c>
      <c r="S19" s="36">
        <f t="shared" si="2"/>
        <v>77439.66</v>
      </c>
      <c r="T19" s="133">
        <f>SUM(T6:T18)</f>
        <v>616383</v>
      </c>
      <c r="U19" s="36">
        <f>SUM(U6:U18)</f>
        <v>77439.66</v>
      </c>
    </row>
    <row r="22" spans="1:22" s="152" customFormat="1">
      <c r="A22" s="151" t="s">
        <v>505</v>
      </c>
      <c r="B22" s="169">
        <v>39569</v>
      </c>
      <c r="D22" s="169">
        <v>40330</v>
      </c>
      <c r="F22" s="169">
        <v>40330</v>
      </c>
      <c r="H22" s="169">
        <v>40437</v>
      </c>
      <c r="J22" s="169">
        <v>40053</v>
      </c>
      <c r="N22" s="169">
        <v>40330</v>
      </c>
    </row>
    <row r="23" spans="1:22" s="150" customFormat="1">
      <c r="A23" s="147" t="s">
        <v>502</v>
      </c>
      <c r="B23" s="150">
        <v>515200</v>
      </c>
      <c r="D23" s="150">
        <v>275000</v>
      </c>
      <c r="F23" s="150">
        <v>25000</v>
      </c>
      <c r="H23" s="150">
        <v>200000</v>
      </c>
      <c r="J23" s="150">
        <v>50000</v>
      </c>
      <c r="N23" s="150">
        <v>299500</v>
      </c>
    </row>
    <row r="24" spans="1:22">
      <c r="A24" s="106"/>
    </row>
    <row r="26" spans="1:22">
      <c r="A26" s="35" t="s">
        <v>545</v>
      </c>
      <c r="B26" s="35" t="s">
        <v>552</v>
      </c>
      <c r="D26" s="35" t="s">
        <v>560</v>
      </c>
      <c r="F26" s="35" t="s">
        <v>555</v>
      </c>
      <c r="H26" s="35" t="s">
        <v>561</v>
      </c>
      <c r="J26" s="35" t="s">
        <v>552</v>
      </c>
      <c r="N26" s="35" t="s">
        <v>555</v>
      </c>
    </row>
    <row r="27" spans="1:22">
      <c r="B27" s="35" t="s">
        <v>555</v>
      </c>
      <c r="D27" s="35" t="s">
        <v>555</v>
      </c>
      <c r="H27" s="35" t="s">
        <v>555</v>
      </c>
      <c r="J27" s="35" t="s">
        <v>555</v>
      </c>
    </row>
    <row r="28" spans="1:22">
      <c r="B28" s="35" t="s">
        <v>543</v>
      </c>
      <c r="D28" s="35" t="s">
        <v>543</v>
      </c>
      <c r="H28" s="35" t="s">
        <v>562</v>
      </c>
      <c r="J28" s="35" t="s">
        <v>562</v>
      </c>
    </row>
    <row r="29" spans="1:22">
      <c r="J29" s="35" t="s">
        <v>543</v>
      </c>
    </row>
  </sheetData>
  <mergeCells count="10">
    <mergeCell ref="N4:O4"/>
    <mergeCell ref="P4:Q4"/>
    <mergeCell ref="R4:S4"/>
    <mergeCell ref="T4:U4"/>
    <mergeCell ref="B4:C4"/>
    <mergeCell ref="D4:E4"/>
    <mergeCell ref="F4:G4"/>
    <mergeCell ref="H4:I4"/>
    <mergeCell ref="J4:K4"/>
    <mergeCell ref="L4:M4"/>
  </mergeCells>
  <printOptions horizontalCentered="1" gridLines="1"/>
  <pageMargins left="0.75" right="0.25" top="0.5" bottom="0.5" header="0" footer="0"/>
  <pageSetup scale="81" fitToWidth="2" pageOrder="overThenDown" orientation="landscape" r:id="rId1"/>
  <headerFooter alignWithMargins="0">
    <oddHeader>&amp;C&amp;A</oddHeader>
    <oddFooter>&amp;L&amp;10&amp;D&amp;C&amp;10file: &amp;Z&amp;F&amp;R&amp;10page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0"/>
  <sheetViews>
    <sheetView workbookViewId="0">
      <selection activeCell="B17" sqref="B17"/>
    </sheetView>
  </sheetViews>
  <sheetFormatPr defaultRowHeight="15"/>
  <cols>
    <col min="1" max="1" width="18.44140625" customWidth="1"/>
    <col min="2" max="2" width="13.77734375" bestFit="1" customWidth="1"/>
    <col min="3" max="3" width="8.5546875" bestFit="1" customWidth="1"/>
    <col min="4" max="4" width="11" bestFit="1" customWidth="1"/>
  </cols>
  <sheetData>
    <row r="1" spans="1:4" ht="15.75">
      <c r="A1" s="82" t="s">
        <v>393</v>
      </c>
    </row>
    <row r="3" spans="1:4">
      <c r="A3" s="78" t="s">
        <v>392</v>
      </c>
    </row>
    <row r="5" spans="1:4">
      <c r="A5" s="79">
        <v>41274</v>
      </c>
    </row>
    <row r="7" spans="1:4">
      <c r="B7" s="80" t="s">
        <v>336</v>
      </c>
      <c r="C7" s="80" t="s">
        <v>353</v>
      </c>
      <c r="D7" s="80" t="s">
        <v>113</v>
      </c>
    </row>
    <row r="8" spans="1:4">
      <c r="A8">
        <v>2013</v>
      </c>
      <c r="B8" s="76">
        <v>143204.07</v>
      </c>
      <c r="C8" s="76">
        <v>6795.93</v>
      </c>
      <c r="D8" s="81">
        <f>SUM(B8:C8)</f>
        <v>150000</v>
      </c>
    </row>
    <row r="9" spans="1:4" ht="16.5" thickBot="1">
      <c r="B9" s="83">
        <f>SUM(B8:B8)</f>
        <v>143204.07</v>
      </c>
      <c r="C9" s="77">
        <f>SUM(C8:C8)</f>
        <v>6795.93</v>
      </c>
      <c r="D9" s="77">
        <f>SUM(D8:D8)</f>
        <v>150000</v>
      </c>
    </row>
    <row r="10" spans="1:4" ht="15.75" thickTop="1"/>
    <row r="12" spans="1:4">
      <c r="A12" s="151" t="s">
        <v>505</v>
      </c>
      <c r="B12" s="170">
        <v>39600</v>
      </c>
    </row>
    <row r="13" spans="1:4">
      <c r="A13" s="147" t="s">
        <v>502</v>
      </c>
      <c r="B13" s="76">
        <v>329407</v>
      </c>
    </row>
    <row r="14" spans="1:4">
      <c r="A14" s="106"/>
    </row>
    <row r="16" spans="1:4">
      <c r="A16" s="78" t="s">
        <v>544</v>
      </c>
      <c r="B16" s="78" t="s">
        <v>559</v>
      </c>
    </row>
    <row r="20" spans="3:3" ht="15.75">
      <c r="C20" s="1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C000"/>
    <pageSetUpPr fitToPage="1"/>
  </sheetPr>
  <dimension ref="A1:R26"/>
  <sheetViews>
    <sheetView workbookViewId="0">
      <pane xSplit="1" ySplit="5" topLeftCell="B6" activePane="bottomRight" state="frozen"/>
      <selection activeCell="H43" sqref="H43"/>
      <selection pane="topRight" activeCell="H43" sqref="H43"/>
      <selection pane="bottomLeft" activeCell="H43" sqref="H43"/>
      <selection pane="bottomRight" activeCell="E42" sqref="E42"/>
    </sheetView>
  </sheetViews>
  <sheetFormatPr defaultColWidth="9.77734375" defaultRowHeight="12.75"/>
  <cols>
    <col min="1" max="1" width="16.88671875" style="23" customWidth="1"/>
    <col min="2" max="2" width="10.77734375" style="23" customWidth="1"/>
    <col min="3" max="3" width="6.77734375" style="23" customWidth="1"/>
    <col min="4" max="4" width="10.44140625" style="23" customWidth="1"/>
    <col min="5" max="5" width="6.77734375" style="23" customWidth="1"/>
    <col min="6" max="6" width="7.21875" style="23" customWidth="1"/>
    <col min="7" max="7" width="6.77734375" style="23" customWidth="1"/>
    <col min="8" max="8" width="8.5546875" style="23" customWidth="1"/>
    <col min="9" max="9" width="6.77734375" style="23" customWidth="1"/>
    <col min="10" max="10" width="8.5546875" style="23" customWidth="1"/>
    <col min="11" max="11" width="6.77734375" style="23" customWidth="1"/>
    <col min="12" max="12" width="8.77734375" style="23" hidden="1" customWidth="1"/>
    <col min="13" max="13" width="7.77734375" style="23" hidden="1" customWidth="1"/>
    <col min="14" max="14" width="9.6640625" style="23" hidden="1" customWidth="1"/>
    <col min="15" max="15" width="7.77734375" style="23" hidden="1" customWidth="1"/>
    <col min="16" max="16" width="9.77734375" style="23" customWidth="1"/>
    <col min="17" max="17" width="8.5546875" style="23" customWidth="1"/>
    <col min="18" max="18" width="4.77734375" style="23" customWidth="1"/>
    <col min="19" max="16384" width="9.77734375" style="23"/>
  </cols>
  <sheetData>
    <row r="1" spans="1:18">
      <c r="A1" s="22" t="s">
        <v>326</v>
      </c>
      <c r="C1" s="23" t="s">
        <v>327</v>
      </c>
      <c r="I1" s="24" t="s">
        <v>408</v>
      </c>
      <c r="K1" s="24"/>
      <c r="O1" s="23" t="s">
        <v>5</v>
      </c>
    </row>
    <row r="2" spans="1:18">
      <c r="A2" s="23" t="s">
        <v>5</v>
      </c>
      <c r="B2" s="23" t="s">
        <v>328</v>
      </c>
      <c r="D2" s="23" t="s">
        <v>328</v>
      </c>
      <c r="F2" s="23" t="s">
        <v>329</v>
      </c>
      <c r="H2" s="25" t="s">
        <v>330</v>
      </c>
      <c r="J2" s="25" t="s">
        <v>477</v>
      </c>
    </row>
    <row r="3" spans="1:18">
      <c r="A3" s="26" t="s">
        <v>14</v>
      </c>
      <c r="B3" s="22" t="s">
        <v>331</v>
      </c>
      <c r="D3" s="22" t="s">
        <v>332</v>
      </c>
      <c r="F3" s="189" t="s">
        <v>333</v>
      </c>
      <c r="G3" s="189"/>
      <c r="H3" s="189" t="s">
        <v>334</v>
      </c>
      <c r="I3" s="189"/>
      <c r="J3" s="189" t="s">
        <v>478</v>
      </c>
      <c r="K3" s="189"/>
      <c r="L3" s="22"/>
      <c r="N3" s="22"/>
      <c r="P3" s="22" t="s">
        <v>335</v>
      </c>
    </row>
    <row r="4" spans="1:18">
      <c r="A4" s="26" t="s">
        <v>32</v>
      </c>
      <c r="B4" s="26" t="s">
        <v>336</v>
      </c>
      <c r="C4" s="26" t="s">
        <v>337</v>
      </c>
      <c r="D4" s="26" t="s">
        <v>336</v>
      </c>
      <c r="E4" s="26" t="s">
        <v>337</v>
      </c>
      <c r="F4" s="26" t="s">
        <v>336</v>
      </c>
      <c r="G4" s="26" t="s">
        <v>337</v>
      </c>
      <c r="H4" s="26" t="s">
        <v>336</v>
      </c>
      <c r="I4" s="26" t="s">
        <v>337</v>
      </c>
      <c r="J4" s="26" t="s">
        <v>336</v>
      </c>
      <c r="K4" s="26" t="s">
        <v>337</v>
      </c>
      <c r="L4" s="26" t="s">
        <v>336</v>
      </c>
      <c r="M4" s="26" t="s">
        <v>337</v>
      </c>
      <c r="N4" s="26" t="s">
        <v>336</v>
      </c>
      <c r="O4" s="26" t="s">
        <v>337</v>
      </c>
      <c r="P4" s="26" t="s">
        <v>336</v>
      </c>
      <c r="Q4" s="26" t="s">
        <v>337</v>
      </c>
    </row>
    <row r="5" spans="1:18">
      <c r="B5" s="23" t="s">
        <v>338</v>
      </c>
      <c r="C5" s="23" t="s">
        <v>339</v>
      </c>
      <c r="D5" s="23" t="s">
        <v>338</v>
      </c>
      <c r="E5" s="23" t="s">
        <v>339</v>
      </c>
      <c r="F5" s="23" t="s">
        <v>338</v>
      </c>
      <c r="G5" s="23" t="s">
        <v>339</v>
      </c>
      <c r="H5" s="23" t="s">
        <v>338</v>
      </c>
      <c r="I5" s="23" t="s">
        <v>339</v>
      </c>
      <c r="J5" s="23" t="s">
        <v>338</v>
      </c>
      <c r="K5" s="23" t="s">
        <v>339</v>
      </c>
      <c r="L5" s="23" t="s">
        <v>338</v>
      </c>
      <c r="M5" s="23" t="s">
        <v>154</v>
      </c>
      <c r="N5" s="23" t="s">
        <v>338</v>
      </c>
      <c r="O5" s="23" t="s">
        <v>340</v>
      </c>
      <c r="P5" s="23" t="s">
        <v>338</v>
      </c>
      <c r="Q5" s="23" t="s">
        <v>338</v>
      </c>
    </row>
    <row r="6" spans="1:18">
      <c r="A6" s="23">
        <v>2013</v>
      </c>
      <c r="B6" s="21">
        <v>5000</v>
      </c>
      <c r="C6" s="21">
        <v>741</v>
      </c>
      <c r="D6" s="21">
        <v>29000</v>
      </c>
      <c r="E6" s="21">
        <v>4807</v>
      </c>
      <c r="F6" s="27">
        <v>37000</v>
      </c>
      <c r="G6" s="23">
        <v>10328</v>
      </c>
      <c r="H6" s="27">
        <v>36000</v>
      </c>
      <c r="I6" s="23">
        <v>6246</v>
      </c>
      <c r="J6" s="27">
        <v>62000</v>
      </c>
      <c r="K6" s="21">
        <f>5702.68+7047.5</f>
        <v>12750.18</v>
      </c>
      <c r="P6" s="27">
        <f t="shared" ref="P6:P15" si="0">+B6+D6+F6+J6+H6</f>
        <v>169000</v>
      </c>
      <c r="Q6" s="27">
        <f t="shared" ref="Q6:Q15" si="1">+C6+E6+K6+G6+I6</f>
        <v>34872.18</v>
      </c>
      <c r="R6" s="23">
        <v>2013</v>
      </c>
    </row>
    <row r="7" spans="1:18">
      <c r="A7" s="23">
        <v>2014</v>
      </c>
      <c r="B7" s="21">
        <v>5000</v>
      </c>
      <c r="C7" s="21">
        <v>650</v>
      </c>
      <c r="D7" s="21">
        <v>29000</v>
      </c>
      <c r="E7" s="21">
        <v>4278</v>
      </c>
      <c r="F7" s="27">
        <v>36000</v>
      </c>
      <c r="G7" s="23">
        <v>8944</v>
      </c>
      <c r="H7" s="27">
        <v>36000</v>
      </c>
      <c r="I7" s="23">
        <v>5931</v>
      </c>
      <c r="J7" s="27">
        <v>75000</v>
      </c>
      <c r="K7" s="21">
        <f>7047.5+6672.5</f>
        <v>13720</v>
      </c>
      <c r="P7" s="27">
        <f t="shared" si="0"/>
        <v>181000</v>
      </c>
      <c r="Q7" s="27">
        <f t="shared" si="1"/>
        <v>33523</v>
      </c>
      <c r="R7" s="23">
        <v>2014</v>
      </c>
    </row>
    <row r="8" spans="1:18">
      <c r="A8" s="23">
        <v>2015</v>
      </c>
      <c r="B8" s="21">
        <v>5000</v>
      </c>
      <c r="C8" s="21">
        <v>544</v>
      </c>
      <c r="D8" s="21">
        <v>29000</v>
      </c>
      <c r="E8" s="21">
        <v>3661</v>
      </c>
      <c r="F8" s="27">
        <v>36000</v>
      </c>
      <c r="G8" s="23">
        <v>7580</v>
      </c>
      <c r="H8" s="27">
        <v>36000</v>
      </c>
      <c r="I8" s="23">
        <v>5526</v>
      </c>
      <c r="J8" s="27">
        <v>75000</v>
      </c>
      <c r="K8" s="21">
        <f>6672.5+6203.75</f>
        <v>12876.25</v>
      </c>
      <c r="P8" s="27">
        <f t="shared" si="0"/>
        <v>181000</v>
      </c>
      <c r="Q8" s="27">
        <f t="shared" si="1"/>
        <v>30187.25</v>
      </c>
      <c r="R8" s="23">
        <v>2015</v>
      </c>
    </row>
    <row r="9" spans="1:18">
      <c r="A9" s="23">
        <v>2016</v>
      </c>
      <c r="B9" s="21">
        <v>4000</v>
      </c>
      <c r="C9" s="21">
        <v>438</v>
      </c>
      <c r="D9" s="21">
        <v>29000</v>
      </c>
      <c r="E9" s="21">
        <v>2973</v>
      </c>
      <c r="F9" s="27">
        <v>36000</v>
      </c>
      <c r="G9" s="23">
        <v>6216</v>
      </c>
      <c r="H9" s="27">
        <v>36000</v>
      </c>
      <c r="I9" s="23">
        <v>5031</v>
      </c>
      <c r="J9" s="27">
        <v>75000</v>
      </c>
      <c r="K9" s="21">
        <f>6203.75+5641.25</f>
        <v>11845</v>
      </c>
      <c r="P9" s="27">
        <f t="shared" si="0"/>
        <v>180000</v>
      </c>
      <c r="Q9" s="27">
        <f t="shared" si="1"/>
        <v>26503</v>
      </c>
      <c r="R9" s="23">
        <v>2016</v>
      </c>
    </row>
    <row r="10" spans="1:18">
      <c r="A10" s="23">
        <v>2017</v>
      </c>
      <c r="B10" s="21">
        <v>5000</v>
      </c>
      <c r="C10" s="21">
        <v>319</v>
      </c>
      <c r="D10" s="21">
        <v>29000</v>
      </c>
      <c r="E10" s="21">
        <v>2211</v>
      </c>
      <c r="F10" s="27">
        <v>36000</v>
      </c>
      <c r="G10" s="23">
        <v>4851</v>
      </c>
      <c r="H10" s="27">
        <v>36000</v>
      </c>
      <c r="I10" s="23">
        <v>4437</v>
      </c>
      <c r="J10" s="27">
        <v>75000</v>
      </c>
      <c r="K10" s="21">
        <f>5641.25+4985</f>
        <v>10626.25</v>
      </c>
      <c r="P10" s="27">
        <f t="shared" si="0"/>
        <v>181000</v>
      </c>
      <c r="Q10" s="27">
        <f t="shared" si="1"/>
        <v>22444.25</v>
      </c>
      <c r="R10" s="23">
        <v>2017</v>
      </c>
    </row>
    <row r="11" spans="1:18">
      <c r="A11" s="23">
        <v>2018</v>
      </c>
      <c r="B11" s="21">
        <v>4000</v>
      </c>
      <c r="C11" s="21">
        <v>190</v>
      </c>
      <c r="D11" s="21">
        <v>29000</v>
      </c>
      <c r="E11" s="21">
        <v>1378</v>
      </c>
      <c r="F11" s="27">
        <v>36000</v>
      </c>
      <c r="G11" s="23">
        <v>3487</v>
      </c>
      <c r="H11" s="27">
        <v>35000</v>
      </c>
      <c r="I11" s="23">
        <v>3719</v>
      </c>
      <c r="J11" s="27">
        <v>75000</v>
      </c>
      <c r="K11" s="21">
        <f>4985+4235</f>
        <v>9220</v>
      </c>
      <c r="P11" s="27">
        <f t="shared" si="0"/>
        <v>179000</v>
      </c>
      <c r="Q11" s="27">
        <f t="shared" si="1"/>
        <v>17994</v>
      </c>
      <c r="R11" s="23">
        <v>2018</v>
      </c>
    </row>
    <row r="12" spans="1:18">
      <c r="A12" s="23">
        <v>2019</v>
      </c>
      <c r="B12" s="21">
        <v>4000</v>
      </c>
      <c r="C12" s="21">
        <v>65</v>
      </c>
      <c r="D12" s="21">
        <v>29000</v>
      </c>
      <c r="E12" s="21">
        <v>471</v>
      </c>
      <c r="F12" s="27">
        <v>36000</v>
      </c>
      <c r="G12" s="23">
        <v>2122</v>
      </c>
      <c r="H12" s="27">
        <v>35000</v>
      </c>
      <c r="I12" s="23">
        <v>2844</v>
      </c>
      <c r="J12" s="27">
        <v>75000</v>
      </c>
      <c r="K12" s="21">
        <f>4235+3391.25</f>
        <v>7626.25</v>
      </c>
      <c r="P12" s="27">
        <f t="shared" si="0"/>
        <v>179000</v>
      </c>
      <c r="Q12" s="27">
        <f t="shared" si="1"/>
        <v>13128.25</v>
      </c>
      <c r="R12" s="23">
        <v>2019</v>
      </c>
    </row>
    <row r="13" spans="1:18">
      <c r="A13" s="23">
        <v>2020</v>
      </c>
      <c r="B13" s="21"/>
      <c r="C13" s="21"/>
      <c r="D13" s="21"/>
      <c r="E13" s="21"/>
      <c r="F13" s="27">
        <v>38000</v>
      </c>
      <c r="G13" s="23">
        <v>720</v>
      </c>
      <c r="H13" s="27">
        <v>35000</v>
      </c>
      <c r="I13" s="23">
        <v>1794</v>
      </c>
      <c r="J13" s="27">
        <v>75000</v>
      </c>
      <c r="K13" s="21">
        <f>3391.25+2360</f>
        <v>5751.25</v>
      </c>
      <c r="P13" s="27">
        <f t="shared" si="0"/>
        <v>148000</v>
      </c>
      <c r="Q13" s="27">
        <f t="shared" si="1"/>
        <v>8265.25</v>
      </c>
      <c r="R13" s="23">
        <v>2020</v>
      </c>
    </row>
    <row r="14" spans="1:18">
      <c r="A14" s="23">
        <v>2021</v>
      </c>
      <c r="B14" s="21"/>
      <c r="C14" s="21"/>
      <c r="D14" s="21"/>
      <c r="E14" s="21"/>
      <c r="H14" s="27">
        <v>35000</v>
      </c>
      <c r="I14" s="23">
        <v>613</v>
      </c>
      <c r="J14" s="27">
        <v>75000</v>
      </c>
      <c r="K14" s="21">
        <f>2360+1235</f>
        <v>3595</v>
      </c>
      <c r="P14" s="27">
        <f t="shared" si="0"/>
        <v>110000</v>
      </c>
      <c r="Q14" s="27">
        <f t="shared" si="1"/>
        <v>4208</v>
      </c>
      <c r="R14" s="23">
        <v>2021</v>
      </c>
    </row>
    <row r="15" spans="1:18">
      <c r="A15" s="23">
        <v>2022</v>
      </c>
      <c r="B15" s="21"/>
      <c r="C15" s="21"/>
      <c r="D15" s="21"/>
      <c r="E15" s="21"/>
      <c r="J15" s="21">
        <v>76000</v>
      </c>
      <c r="K15" s="21">
        <v>1235</v>
      </c>
      <c r="P15" s="27">
        <f t="shared" si="0"/>
        <v>76000</v>
      </c>
      <c r="Q15" s="27">
        <f t="shared" si="1"/>
        <v>1235</v>
      </c>
      <c r="R15" s="23">
        <v>2022</v>
      </c>
    </row>
    <row r="16" spans="1:18">
      <c r="B16" s="28"/>
      <c r="C16" s="28"/>
      <c r="D16" s="28"/>
      <c r="E16" s="28"/>
      <c r="F16" s="28"/>
      <c r="G16" s="28"/>
      <c r="H16" s="28"/>
      <c r="I16" s="28"/>
      <c r="J16" s="28"/>
      <c r="K16" s="18"/>
      <c r="L16" s="28"/>
      <c r="M16" s="28"/>
      <c r="N16" s="28"/>
      <c r="O16" s="28"/>
      <c r="P16" s="28"/>
      <c r="Q16" s="28"/>
    </row>
    <row r="17" spans="1:17">
      <c r="B17" s="29" t="s">
        <v>155</v>
      </c>
      <c r="C17" s="29" t="s">
        <v>155</v>
      </c>
      <c r="D17" s="29" t="s">
        <v>155</v>
      </c>
      <c r="E17" s="29" t="s">
        <v>155</v>
      </c>
      <c r="F17" s="29" t="s">
        <v>155</v>
      </c>
      <c r="G17" s="29" t="s">
        <v>155</v>
      </c>
      <c r="H17" s="29" t="s">
        <v>155</v>
      </c>
      <c r="I17" s="29" t="s">
        <v>155</v>
      </c>
      <c r="J17" s="29" t="s">
        <v>155</v>
      </c>
      <c r="K17" s="29" t="s">
        <v>155</v>
      </c>
      <c r="L17" s="29" t="s">
        <v>155</v>
      </c>
      <c r="M17" s="29" t="s">
        <v>155</v>
      </c>
      <c r="N17" s="29" t="s">
        <v>155</v>
      </c>
      <c r="O17" s="29" t="s">
        <v>155</v>
      </c>
      <c r="P17" s="29" t="s">
        <v>155</v>
      </c>
      <c r="Q17" s="29" t="s">
        <v>155</v>
      </c>
    </row>
    <row r="18" spans="1:17">
      <c r="B18" s="28">
        <f>SUM(B5:B17)</f>
        <v>32000</v>
      </c>
      <c r="C18" s="28">
        <f t="shared" ref="C18:Q18" si="2">SUM(C5:C17)</f>
        <v>2947</v>
      </c>
      <c r="D18" s="28">
        <f t="shared" si="2"/>
        <v>203000</v>
      </c>
      <c r="E18" s="28">
        <f t="shared" si="2"/>
        <v>19779</v>
      </c>
      <c r="F18" s="28">
        <f t="shared" si="2"/>
        <v>291000</v>
      </c>
      <c r="G18" s="28">
        <f t="shared" si="2"/>
        <v>44248</v>
      </c>
      <c r="H18" s="28">
        <f t="shared" si="2"/>
        <v>320000</v>
      </c>
      <c r="I18" s="28">
        <f t="shared" si="2"/>
        <v>36141</v>
      </c>
      <c r="J18" s="28">
        <f t="shared" si="2"/>
        <v>738000</v>
      </c>
      <c r="K18" s="28">
        <f t="shared" si="2"/>
        <v>89245.18</v>
      </c>
      <c r="L18" s="28">
        <f t="shared" si="2"/>
        <v>0</v>
      </c>
      <c r="M18" s="28">
        <f t="shared" si="2"/>
        <v>0</v>
      </c>
      <c r="N18" s="28">
        <f t="shared" si="2"/>
        <v>0</v>
      </c>
      <c r="O18" s="28">
        <f t="shared" si="2"/>
        <v>0</v>
      </c>
      <c r="P18" s="137">
        <f>SUM(P5:P17)</f>
        <v>1584000</v>
      </c>
      <c r="Q18" s="28">
        <f t="shared" si="2"/>
        <v>192360.18</v>
      </c>
    </row>
    <row r="21" spans="1:17">
      <c r="A21" s="151" t="s">
        <v>505</v>
      </c>
      <c r="B21" s="161">
        <v>40087</v>
      </c>
      <c r="D21" s="161">
        <v>40087</v>
      </c>
      <c r="F21" s="161">
        <v>40402</v>
      </c>
      <c r="H21" s="161">
        <v>40759</v>
      </c>
      <c r="J21" s="161">
        <v>41162</v>
      </c>
    </row>
    <row r="22" spans="1:17" s="160" customFormat="1">
      <c r="A22" s="153" t="s">
        <v>502</v>
      </c>
      <c r="B22" s="160">
        <v>43000</v>
      </c>
      <c r="D22" s="160">
        <v>277000</v>
      </c>
      <c r="F22" s="160">
        <v>349000</v>
      </c>
      <c r="H22" s="160">
        <v>349000</v>
      </c>
      <c r="J22" s="160">
        <v>738000</v>
      </c>
    </row>
    <row r="25" spans="1:17">
      <c r="A25" s="23" t="s">
        <v>545</v>
      </c>
      <c r="B25" s="23" t="s">
        <v>555</v>
      </c>
      <c r="D25" s="23" t="s">
        <v>555</v>
      </c>
      <c r="F25" s="23" t="s">
        <v>555</v>
      </c>
      <c r="H25" s="23" t="s">
        <v>555</v>
      </c>
      <c r="J25" s="23" t="s">
        <v>555</v>
      </c>
    </row>
    <row r="26" spans="1:17" ht="12" customHeight="1"/>
  </sheetData>
  <mergeCells count="3">
    <mergeCell ref="F3:G3"/>
    <mergeCell ref="H3:I3"/>
    <mergeCell ref="J3:K3"/>
  </mergeCells>
  <printOptions gridLines="1"/>
  <pageMargins left="0.5" right="0.5" top="1" bottom="0.75" header="0.25" footer="0.25"/>
  <pageSetup scale="83" orientation="portrait" r:id="rId1"/>
  <headerFooter alignWithMargins="0">
    <oddHeader>&amp;C&amp;A</oddHeader>
    <oddFooter>&amp;L&amp;10prepared by bert &amp;D&amp;C&amp;10file: &amp;F&amp;R&amp;10page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>
    <tabColor rgb="FFFFC000"/>
    <pageSetUpPr fitToPage="1"/>
  </sheetPr>
  <dimension ref="A1:BE34"/>
  <sheetViews>
    <sheetView workbookViewId="0">
      <pane xSplit="1" ySplit="6" topLeftCell="B7" activePane="bottomRight" state="frozen"/>
      <selection activeCell="R26" sqref="R26"/>
      <selection pane="topRight" activeCell="R26" sqref="R26"/>
      <selection pane="bottomLeft" activeCell="R26" sqref="R26"/>
      <selection pane="bottomRight" activeCell="J35" sqref="J35"/>
    </sheetView>
  </sheetViews>
  <sheetFormatPr defaultColWidth="9.77734375" defaultRowHeight="12.75"/>
  <cols>
    <col min="1" max="1" width="15.88671875" style="8" customWidth="1"/>
    <col min="2" max="2" width="2.88671875" style="8" hidden="1" customWidth="1"/>
    <col min="3" max="3" width="7.88671875" style="8" hidden="1" customWidth="1"/>
    <col min="4" max="4" width="15" style="8" customWidth="1"/>
    <col min="5" max="5" width="7.44140625" style="8" customWidth="1"/>
    <col min="6" max="6" width="8.5546875" style="8" hidden="1" customWidth="1"/>
    <col min="7" max="7" width="7.77734375" style="19" hidden="1" customWidth="1"/>
    <col min="8" max="8" width="13.33203125" style="19" customWidth="1"/>
    <col min="9" max="9" width="7.77734375" style="19" customWidth="1"/>
    <col min="10" max="11" width="8.88671875" style="8" customWidth="1"/>
    <col min="12" max="12" width="10.21875" style="8" customWidth="1"/>
    <col min="13" max="13" width="9.44140625" style="8" customWidth="1"/>
    <col min="14" max="14" width="5.77734375" style="8" customWidth="1"/>
    <col min="15" max="15" width="6.21875" style="8" bestFit="1" customWidth="1"/>
    <col min="16" max="16" width="5.88671875" style="8" bestFit="1" customWidth="1"/>
    <col min="17" max="22" width="12.77734375" style="8" customWidth="1"/>
    <col min="23" max="24" width="15.77734375" style="8" customWidth="1"/>
    <col min="25" max="30" width="12.77734375" style="8" customWidth="1"/>
    <col min="31" max="33" width="15.77734375" style="8" customWidth="1"/>
    <col min="34" max="16384" width="9.77734375" style="8"/>
  </cols>
  <sheetData>
    <row r="1" spans="1:57">
      <c r="A1" s="8" t="s">
        <v>342</v>
      </c>
      <c r="J1" s="10" t="s">
        <v>402</v>
      </c>
    </row>
    <row r="2" spans="1:57">
      <c r="D2" s="8" t="s">
        <v>343</v>
      </c>
      <c r="H2" s="19" t="s">
        <v>479</v>
      </c>
    </row>
    <row r="3" spans="1:57">
      <c r="B3" s="183" t="s">
        <v>344</v>
      </c>
      <c r="C3" s="183"/>
      <c r="D3" s="183" t="s">
        <v>345</v>
      </c>
      <c r="E3" s="183"/>
      <c r="F3" s="190" t="s">
        <v>344</v>
      </c>
      <c r="G3" s="190"/>
      <c r="H3" s="183" t="s">
        <v>344</v>
      </c>
      <c r="I3" s="183"/>
    </row>
    <row r="4" spans="1:57">
      <c r="A4" s="12" t="s">
        <v>14</v>
      </c>
      <c r="B4" s="183" t="s">
        <v>346</v>
      </c>
      <c r="C4" s="183"/>
      <c r="D4" s="191" t="s">
        <v>142</v>
      </c>
      <c r="E4" s="191"/>
      <c r="F4" s="33" t="s">
        <v>352</v>
      </c>
      <c r="G4" s="135"/>
      <c r="H4" s="192" t="s">
        <v>480</v>
      </c>
      <c r="I4" s="192"/>
      <c r="J4" s="11" t="s">
        <v>347</v>
      </c>
      <c r="L4" s="8" t="s">
        <v>348</v>
      </c>
    </row>
    <row r="5" spans="1:57">
      <c r="A5" s="12" t="s">
        <v>151</v>
      </c>
      <c r="B5" s="99" t="s">
        <v>152</v>
      </c>
      <c r="C5" s="12" t="s">
        <v>153</v>
      </c>
      <c r="D5" s="99" t="s">
        <v>152</v>
      </c>
      <c r="E5" s="12" t="s">
        <v>153</v>
      </c>
      <c r="F5" s="12" t="s">
        <v>341</v>
      </c>
      <c r="G5" s="136" t="s">
        <v>349</v>
      </c>
      <c r="H5" s="12" t="s">
        <v>341</v>
      </c>
      <c r="I5" s="136" t="s">
        <v>349</v>
      </c>
      <c r="J5" s="12" t="s">
        <v>341</v>
      </c>
      <c r="K5" s="12" t="s">
        <v>349</v>
      </c>
      <c r="L5" s="12" t="s">
        <v>341</v>
      </c>
      <c r="M5" s="12" t="s">
        <v>349</v>
      </c>
    </row>
    <row r="6" spans="1:57">
      <c r="A6" s="8" t="s">
        <v>111</v>
      </c>
      <c r="B6" s="12" t="s">
        <v>154</v>
      </c>
      <c r="C6" s="12" t="s">
        <v>155</v>
      </c>
      <c r="D6" s="12" t="s">
        <v>154</v>
      </c>
      <c r="E6" s="12" t="s">
        <v>155</v>
      </c>
      <c r="F6" s="8" t="s">
        <v>265</v>
      </c>
      <c r="G6" s="19" t="s">
        <v>154</v>
      </c>
      <c r="H6" s="8" t="s">
        <v>265</v>
      </c>
      <c r="I6" s="19" t="s">
        <v>154</v>
      </c>
      <c r="J6" s="8" t="s">
        <v>265</v>
      </c>
      <c r="K6" s="8" t="s">
        <v>266</v>
      </c>
      <c r="L6" s="8" t="s">
        <v>265</v>
      </c>
      <c r="M6" s="8" t="s">
        <v>154</v>
      </c>
    </row>
    <row r="7" spans="1:57">
      <c r="A7" s="8" t="s">
        <v>350</v>
      </c>
      <c r="B7" s="15"/>
      <c r="C7" s="15"/>
      <c r="D7" s="15"/>
      <c r="E7" s="15">
        <v>7700</v>
      </c>
      <c r="I7" s="19">
        <v>69666.67</v>
      </c>
      <c r="J7" s="15">
        <f>(B7+D7+F7+H7)</f>
        <v>0</v>
      </c>
      <c r="K7" s="15">
        <f>(C7+E7+G7+I7)</f>
        <v>77366.67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</row>
    <row r="8" spans="1:57">
      <c r="A8" s="8" t="s">
        <v>351</v>
      </c>
      <c r="B8" s="15"/>
      <c r="C8" s="15"/>
      <c r="D8" s="15">
        <v>440000</v>
      </c>
      <c r="E8" s="15">
        <v>7700</v>
      </c>
      <c r="H8" s="19">
        <v>600000</v>
      </c>
      <c r="I8" s="19">
        <v>57000</v>
      </c>
      <c r="J8" s="15">
        <f>(B8+D8+F8+H8)</f>
        <v>1040000</v>
      </c>
      <c r="K8" s="15">
        <f>(C8+E8+G8+I8)</f>
        <v>64700</v>
      </c>
      <c r="L8" s="15">
        <f>SUM(J7:J8)</f>
        <v>1040000</v>
      </c>
      <c r="M8" s="15">
        <f>SUM(K7:K8)</f>
        <v>142066.66999999998</v>
      </c>
      <c r="N8" s="8">
        <v>2013</v>
      </c>
      <c r="O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</row>
    <row r="9" spans="1:57">
      <c r="A9" s="8" t="s">
        <v>481</v>
      </c>
      <c r="B9" s="15"/>
      <c r="C9" s="15"/>
      <c r="D9" s="15"/>
      <c r="E9" s="15"/>
      <c r="I9" s="19">
        <v>54000</v>
      </c>
      <c r="J9" s="15">
        <f t="shared" ref="J9:K24" si="0">(B9+D9+F9+H9)</f>
        <v>0</v>
      </c>
      <c r="K9" s="15">
        <f t="shared" si="0"/>
        <v>54000</v>
      </c>
      <c r="L9" s="15"/>
      <c r="M9" s="15"/>
      <c r="O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 spans="1:57">
      <c r="A10" s="8" t="s">
        <v>482</v>
      </c>
      <c r="B10" s="15"/>
      <c r="C10" s="15"/>
      <c r="D10" s="15"/>
      <c r="E10" s="15"/>
      <c r="H10" s="19">
        <v>600000</v>
      </c>
      <c r="I10" s="19">
        <v>54000</v>
      </c>
      <c r="J10" s="15">
        <f t="shared" si="0"/>
        <v>600000</v>
      </c>
      <c r="K10" s="15">
        <f t="shared" si="0"/>
        <v>54000</v>
      </c>
      <c r="L10" s="15">
        <f>SUM(J9:J10)</f>
        <v>600000</v>
      </c>
      <c r="M10" s="15">
        <f>SUM(K9:K10)</f>
        <v>108000</v>
      </c>
      <c r="O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</row>
    <row r="11" spans="1:57">
      <c r="A11" s="8" t="s">
        <v>483</v>
      </c>
      <c r="B11" s="15"/>
      <c r="C11" s="15"/>
      <c r="D11" s="15"/>
      <c r="E11" s="15"/>
      <c r="I11" s="19">
        <v>51000</v>
      </c>
      <c r="J11" s="15">
        <f t="shared" si="0"/>
        <v>0</v>
      </c>
      <c r="K11" s="15">
        <f t="shared" si="0"/>
        <v>51000</v>
      </c>
      <c r="L11" s="15"/>
      <c r="M11" s="15"/>
      <c r="O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1:57">
      <c r="A12" s="8" t="s">
        <v>484</v>
      </c>
      <c r="B12" s="15"/>
      <c r="C12" s="15"/>
      <c r="D12" s="15"/>
      <c r="E12" s="15"/>
      <c r="H12" s="19">
        <v>600000</v>
      </c>
      <c r="I12" s="19">
        <v>51000</v>
      </c>
      <c r="J12" s="15">
        <f t="shared" si="0"/>
        <v>600000</v>
      </c>
      <c r="K12" s="15">
        <f t="shared" si="0"/>
        <v>51000</v>
      </c>
      <c r="L12" s="15">
        <f>SUM(J11:J12)</f>
        <v>600000</v>
      </c>
      <c r="M12" s="15">
        <f>SUM(K11:K12)</f>
        <v>102000</v>
      </c>
      <c r="O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 spans="1:57">
      <c r="A13" s="8" t="s">
        <v>485</v>
      </c>
      <c r="B13" s="15"/>
      <c r="C13" s="15"/>
      <c r="D13" s="15"/>
      <c r="E13" s="15"/>
      <c r="I13" s="19">
        <v>45000</v>
      </c>
      <c r="J13" s="15">
        <f t="shared" si="0"/>
        <v>0</v>
      </c>
      <c r="K13" s="15">
        <f t="shared" si="0"/>
        <v>45000</v>
      </c>
      <c r="L13" s="15"/>
      <c r="M13" s="15"/>
      <c r="O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</row>
    <row r="14" spans="1:57">
      <c r="A14" s="8" t="s">
        <v>486</v>
      </c>
      <c r="B14" s="15"/>
      <c r="C14" s="15"/>
      <c r="D14" s="15"/>
      <c r="E14" s="15"/>
      <c r="H14" s="19">
        <v>600000</v>
      </c>
      <c r="I14" s="19">
        <v>45000</v>
      </c>
      <c r="J14" s="15">
        <f t="shared" si="0"/>
        <v>600000</v>
      </c>
      <c r="K14" s="15">
        <f t="shared" si="0"/>
        <v>45000</v>
      </c>
      <c r="L14" s="15">
        <f>SUM(J13:J14)</f>
        <v>600000</v>
      </c>
      <c r="M14" s="15">
        <f>SUM(K13:K14)</f>
        <v>90000</v>
      </c>
      <c r="O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</row>
    <row r="15" spans="1:57">
      <c r="A15" s="8" t="s">
        <v>487</v>
      </c>
      <c r="B15" s="15"/>
      <c r="C15" s="15"/>
      <c r="D15" s="15"/>
      <c r="E15" s="15"/>
      <c r="I15" s="19">
        <v>39000</v>
      </c>
      <c r="J15" s="15">
        <f t="shared" si="0"/>
        <v>0</v>
      </c>
      <c r="K15" s="15">
        <f t="shared" si="0"/>
        <v>39000</v>
      </c>
      <c r="L15" s="15"/>
      <c r="M15" s="15"/>
      <c r="O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 spans="1:57">
      <c r="A16" s="8" t="s">
        <v>488</v>
      </c>
      <c r="B16" s="15"/>
      <c r="C16" s="15"/>
      <c r="D16" s="15"/>
      <c r="E16" s="15"/>
      <c r="H16" s="19">
        <v>600000</v>
      </c>
      <c r="I16" s="19">
        <v>39000</v>
      </c>
      <c r="J16" s="15">
        <f t="shared" si="0"/>
        <v>600000</v>
      </c>
      <c r="K16" s="15">
        <f t="shared" si="0"/>
        <v>39000</v>
      </c>
      <c r="L16" s="15">
        <f>SUM(J15:J16)</f>
        <v>600000</v>
      </c>
      <c r="M16" s="15">
        <f>SUM(K15:K16)</f>
        <v>78000</v>
      </c>
      <c r="O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 spans="1:57">
      <c r="A17" s="8" t="s">
        <v>489</v>
      </c>
      <c r="B17" s="15"/>
      <c r="C17" s="15"/>
      <c r="D17" s="15"/>
      <c r="E17" s="15"/>
      <c r="I17" s="19">
        <v>33000</v>
      </c>
      <c r="J17" s="15">
        <f t="shared" si="0"/>
        <v>0</v>
      </c>
      <c r="K17" s="15">
        <f t="shared" si="0"/>
        <v>33000</v>
      </c>
      <c r="L17" s="15"/>
      <c r="M17" s="15"/>
      <c r="O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</row>
    <row r="18" spans="1:57">
      <c r="A18" s="8" t="s">
        <v>490</v>
      </c>
      <c r="B18" s="15"/>
      <c r="C18" s="15"/>
      <c r="D18" s="15"/>
      <c r="E18" s="15"/>
      <c r="H18" s="19">
        <v>600000</v>
      </c>
      <c r="I18" s="19">
        <v>33000</v>
      </c>
      <c r="J18" s="15">
        <f t="shared" si="0"/>
        <v>600000</v>
      </c>
      <c r="K18" s="15">
        <f t="shared" si="0"/>
        <v>33000</v>
      </c>
      <c r="L18" s="15">
        <f>SUM(J17:J18)</f>
        <v>600000</v>
      </c>
      <c r="M18" s="15">
        <f>SUM(K17:K18)</f>
        <v>66000</v>
      </c>
      <c r="O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 spans="1:57">
      <c r="A19" s="8" t="s">
        <v>491</v>
      </c>
      <c r="B19" s="15"/>
      <c r="C19" s="15"/>
      <c r="D19" s="15"/>
      <c r="E19" s="15"/>
      <c r="I19" s="19">
        <v>27000</v>
      </c>
      <c r="J19" s="15">
        <f t="shared" si="0"/>
        <v>0</v>
      </c>
      <c r="K19" s="15">
        <f t="shared" si="0"/>
        <v>27000</v>
      </c>
      <c r="L19" s="15"/>
      <c r="M19" s="15"/>
      <c r="O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</row>
    <row r="20" spans="1:57">
      <c r="A20" s="8" t="s">
        <v>492</v>
      </c>
      <c r="B20" s="15"/>
      <c r="C20" s="15"/>
      <c r="D20" s="15"/>
      <c r="E20" s="15"/>
      <c r="H20" s="19">
        <v>600000</v>
      </c>
      <c r="I20" s="19">
        <v>27000</v>
      </c>
      <c r="J20" s="15">
        <f t="shared" si="0"/>
        <v>600000</v>
      </c>
      <c r="K20" s="15">
        <f t="shared" si="0"/>
        <v>27000</v>
      </c>
      <c r="L20" s="15">
        <f>SUM(J19:J20)</f>
        <v>600000</v>
      </c>
      <c r="M20" s="15">
        <f>SUM(K19:K20)</f>
        <v>54000</v>
      </c>
      <c r="O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</row>
    <row r="21" spans="1:57">
      <c r="A21" s="8" t="s">
        <v>493</v>
      </c>
      <c r="B21" s="15"/>
      <c r="C21" s="15"/>
      <c r="D21" s="15"/>
      <c r="E21" s="15"/>
      <c r="I21" s="19">
        <v>21000</v>
      </c>
      <c r="J21" s="15">
        <f t="shared" si="0"/>
        <v>0</v>
      </c>
      <c r="K21" s="15">
        <f t="shared" si="0"/>
        <v>21000</v>
      </c>
      <c r="L21" s="15"/>
      <c r="M21" s="15"/>
      <c r="O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</row>
    <row r="22" spans="1:57">
      <c r="A22" s="8" t="s">
        <v>494</v>
      </c>
      <c r="B22" s="15"/>
      <c r="C22" s="15"/>
      <c r="D22" s="15"/>
      <c r="E22" s="15"/>
      <c r="H22" s="19">
        <v>600000</v>
      </c>
      <c r="I22" s="19">
        <v>21000</v>
      </c>
      <c r="J22" s="15">
        <f t="shared" si="0"/>
        <v>600000</v>
      </c>
      <c r="K22" s="15">
        <f t="shared" si="0"/>
        <v>21000</v>
      </c>
      <c r="L22" s="15">
        <f>SUM(J21:J22)</f>
        <v>600000</v>
      </c>
      <c r="M22" s="15">
        <f>SUM(K21:K22)</f>
        <v>42000</v>
      </c>
      <c r="O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spans="1:57">
      <c r="A23" s="8" t="s">
        <v>495</v>
      </c>
      <c r="B23" s="15"/>
      <c r="C23" s="15"/>
      <c r="D23" s="15"/>
      <c r="E23" s="15"/>
      <c r="I23" s="19">
        <v>15000</v>
      </c>
      <c r="J23" s="15">
        <f t="shared" si="0"/>
        <v>0</v>
      </c>
      <c r="K23" s="15">
        <f t="shared" si="0"/>
        <v>15000</v>
      </c>
      <c r="L23" s="15"/>
      <c r="M23" s="15"/>
      <c r="O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</row>
    <row r="24" spans="1:57">
      <c r="A24" s="8" t="s">
        <v>496</v>
      </c>
      <c r="B24" s="15"/>
      <c r="C24" s="15"/>
      <c r="D24" s="15"/>
      <c r="E24" s="15"/>
      <c r="H24" s="19">
        <v>600000</v>
      </c>
      <c r="I24" s="19">
        <v>15000</v>
      </c>
      <c r="J24" s="15">
        <f t="shared" si="0"/>
        <v>600000</v>
      </c>
      <c r="K24" s="15">
        <f t="shared" si="0"/>
        <v>15000</v>
      </c>
      <c r="L24" s="15">
        <f>SUM(J23:J24)</f>
        <v>600000</v>
      </c>
      <c r="M24" s="15">
        <f>SUM(K23:K24)</f>
        <v>30000</v>
      </c>
      <c r="O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</row>
    <row r="25" spans="1:57">
      <c r="A25" s="8" t="s">
        <v>497</v>
      </c>
      <c r="B25" s="15"/>
      <c r="C25" s="15"/>
      <c r="D25" s="15"/>
      <c r="E25" s="15"/>
      <c r="I25" s="19">
        <v>7500</v>
      </c>
      <c r="J25" s="15">
        <f t="shared" ref="J25:K26" si="1">(B25+D25+F25+H25)</f>
        <v>0</v>
      </c>
      <c r="K25" s="15">
        <f t="shared" si="1"/>
        <v>7500</v>
      </c>
      <c r="L25" s="15"/>
      <c r="M25" s="15"/>
      <c r="O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</row>
    <row r="26" spans="1:57">
      <c r="A26" s="8" t="s">
        <v>498</v>
      </c>
      <c r="B26" s="15"/>
      <c r="C26" s="15"/>
      <c r="D26" s="15"/>
      <c r="E26" s="15"/>
      <c r="H26" s="19">
        <v>600000</v>
      </c>
      <c r="I26" s="19">
        <v>7500</v>
      </c>
      <c r="J26" s="15">
        <f t="shared" si="1"/>
        <v>600000</v>
      </c>
      <c r="K26" s="15">
        <f t="shared" si="1"/>
        <v>7500</v>
      </c>
      <c r="L26" s="15">
        <f>SUM(J25:J26)</f>
        <v>600000</v>
      </c>
      <c r="M26" s="15">
        <f>SUM(K25:K26)</f>
        <v>15000</v>
      </c>
      <c r="O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</row>
    <row r="27" spans="1:57">
      <c r="B27" s="15"/>
      <c r="C27" s="15"/>
      <c r="D27" s="15"/>
      <c r="E27" s="15"/>
      <c r="J27" s="15">
        <f>(B27+D27+F27+H27)</f>
        <v>0</v>
      </c>
      <c r="K27" s="15">
        <f>(C27+E27+G27+I27)</f>
        <v>0</v>
      </c>
      <c r="L27" s="15"/>
      <c r="M27" s="15"/>
      <c r="O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</row>
    <row r="28" spans="1:57">
      <c r="B28" s="20" t="s">
        <v>216</v>
      </c>
      <c r="C28" s="20" t="s">
        <v>216</v>
      </c>
      <c r="D28" s="20" t="s">
        <v>216</v>
      </c>
      <c r="E28" s="20" t="s">
        <v>216</v>
      </c>
      <c r="F28" s="20" t="s">
        <v>109</v>
      </c>
      <c r="G28" s="30" t="s">
        <v>109</v>
      </c>
      <c r="H28" s="20" t="s">
        <v>109</v>
      </c>
      <c r="I28" s="30" t="s">
        <v>109</v>
      </c>
      <c r="J28" s="20" t="s">
        <v>109</v>
      </c>
      <c r="K28" s="20" t="s">
        <v>109</v>
      </c>
      <c r="L28" s="20" t="s">
        <v>109</v>
      </c>
      <c r="M28" s="20" t="s">
        <v>109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</row>
    <row r="29" spans="1:57">
      <c r="B29" s="15">
        <f>SUM(B6:B28)</f>
        <v>0</v>
      </c>
      <c r="C29" s="15">
        <f>SUM(C6:C28)</f>
        <v>0</v>
      </c>
      <c r="D29" s="15">
        <f>SUM(D2:D28)</f>
        <v>440000</v>
      </c>
      <c r="E29" s="15">
        <f>SUM(E2:E28)</f>
        <v>15400</v>
      </c>
      <c r="F29" s="15">
        <f t="shared" ref="F29:M29" si="2">SUM(F6:F28)</f>
        <v>0</v>
      </c>
      <c r="G29" s="31">
        <f t="shared" si="2"/>
        <v>0</v>
      </c>
      <c r="H29" s="15">
        <f t="shared" si="2"/>
        <v>6000000</v>
      </c>
      <c r="I29" s="31">
        <f t="shared" si="2"/>
        <v>711666.66999999993</v>
      </c>
      <c r="J29" s="15">
        <f t="shared" si="2"/>
        <v>6440000</v>
      </c>
      <c r="K29" s="15">
        <f t="shared" si="2"/>
        <v>727066.66999999993</v>
      </c>
      <c r="L29" s="138">
        <f t="shared" si="2"/>
        <v>6440000</v>
      </c>
      <c r="M29" s="15">
        <f t="shared" si="2"/>
        <v>727066.66999999993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 spans="1:57"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spans="1:57">
      <c r="A31" s="151" t="s">
        <v>505</v>
      </c>
      <c r="D31" s="14" t="s">
        <v>533</v>
      </c>
      <c r="E31" s="12"/>
      <c r="F31" s="12"/>
      <c r="G31" s="136"/>
      <c r="H31" s="162" t="s">
        <v>534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 spans="1:57" s="154" customFormat="1">
      <c r="A32" s="153" t="s">
        <v>502</v>
      </c>
      <c r="D32" s="154">
        <v>3535000</v>
      </c>
      <c r="H32" s="154">
        <v>6000000</v>
      </c>
    </row>
    <row r="34" spans="1:8" ht="25.5">
      <c r="A34" s="8" t="s">
        <v>545</v>
      </c>
      <c r="D34" s="193" t="s">
        <v>572</v>
      </c>
      <c r="H34" s="19" t="s">
        <v>573</v>
      </c>
    </row>
  </sheetData>
  <mergeCells count="7">
    <mergeCell ref="B3:C3"/>
    <mergeCell ref="D3:E3"/>
    <mergeCell ref="F3:G3"/>
    <mergeCell ref="H3:I3"/>
    <mergeCell ref="B4:C4"/>
    <mergeCell ref="D4:E4"/>
    <mergeCell ref="H4:I4"/>
  </mergeCells>
  <printOptions horizontalCentered="1" gridLines="1"/>
  <pageMargins left="0.5" right="0.5" top="1" bottom="0.55000000000000004" header="0.25" footer="0.25"/>
  <pageSetup orientation="landscape" r:id="rId1"/>
  <headerFooter alignWithMargins="0">
    <oddHeader>&amp;C&amp;A</oddHeader>
    <oddFooter>&amp;L&amp;10printed &amp;D&amp;C&amp;10file: &amp;F&amp;R&amp;10page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19</vt:i4>
      </vt:variant>
    </vt:vector>
  </HeadingPairs>
  <TitlesOfParts>
    <vt:vector size="31" baseType="lpstr">
      <vt:lpstr>Summary</vt:lpstr>
      <vt:lpstr>Loan from State of MI</vt:lpstr>
      <vt:lpstr>Capital Leases</vt:lpstr>
      <vt:lpstr>Installment Contracts</vt:lpstr>
      <vt:lpstr>BuildingAuth general oblig bon </vt:lpstr>
      <vt:lpstr>Del Tax General Obligation Note</vt:lpstr>
      <vt:lpstr>DPW general obligation bonds</vt:lpstr>
      <vt:lpstr>Drains General Obligation bonds</vt:lpstr>
      <vt:lpstr>Drains Notes Payable</vt:lpstr>
      <vt:lpstr>Drains Instalment Loan</vt:lpstr>
      <vt:lpstr>Roads General Obligation Bonds</vt:lpstr>
      <vt:lpstr>Roads Special Assessment Notes</vt:lpstr>
      <vt:lpstr>'BuildingAuth general oblig bon '!\A</vt:lpstr>
      <vt:lpstr>'DPW general obligation bonds'!\A</vt:lpstr>
      <vt:lpstr>'Roads Special Assessment Notes'!\A</vt:lpstr>
      <vt:lpstr>'DPW general obligation bonds'!ALL</vt:lpstr>
      <vt:lpstr>'Roads Special Assessment Notes'!ALL</vt:lpstr>
      <vt:lpstr>'Drains Notes Payable'!Print_Area</vt:lpstr>
      <vt:lpstr>'BuildingAuth general oblig bon '!Print_Area_MI</vt:lpstr>
      <vt:lpstr>'DPW general obligation bonds'!Print_Area_MI</vt:lpstr>
      <vt:lpstr>'Drains General Obligation bonds'!Print_Area_MI</vt:lpstr>
      <vt:lpstr>'Drains Notes Payable'!Print_Area_MI</vt:lpstr>
      <vt:lpstr>'Roads General Obligation Bonds'!Print_Area_MI</vt:lpstr>
      <vt:lpstr>'Roads Special Assessment Notes'!Print_Area_MI</vt:lpstr>
      <vt:lpstr>'DPW general obligation bonds'!Print_Titles</vt:lpstr>
      <vt:lpstr>'Drains General Obligation bonds'!Print_Titles</vt:lpstr>
      <vt:lpstr>'Drains Notes Payable'!Print_Titles</vt:lpstr>
      <vt:lpstr>'Loan from State of MI'!Print_Titles</vt:lpstr>
      <vt:lpstr>'Drains General Obligation bonds'!Print_Titles_MI</vt:lpstr>
      <vt:lpstr>'Drains Notes Payable'!SPECASSTOT</vt:lpstr>
      <vt:lpstr>'Roads General Obligation Bonds'!SPECASSTOT</vt:lpstr>
    </vt:vector>
  </TitlesOfParts>
  <Company>Washtenaw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Sara Wuellner</cp:lastModifiedBy>
  <dcterms:created xsi:type="dcterms:W3CDTF">2012-09-11T15:32:31Z</dcterms:created>
  <dcterms:modified xsi:type="dcterms:W3CDTF">2013-10-22T19:24:45Z</dcterms:modified>
</cp:coreProperties>
</file>