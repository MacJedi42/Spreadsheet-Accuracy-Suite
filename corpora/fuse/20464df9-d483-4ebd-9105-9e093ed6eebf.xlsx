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17" i="1"/>
  <c r="F16"/>
  <c r="F15"/>
  <c r="F27"/>
  <c r="F14"/>
  <c r="F25"/>
  <c r="F24"/>
  <c r="F23"/>
  <c r="F22"/>
</calcChain>
</file>

<file path=xl/sharedStrings.xml><?xml version="1.0" encoding="utf-8"?>
<sst xmlns="http://schemas.openxmlformats.org/spreadsheetml/2006/main" count="103" uniqueCount="87">
  <si>
    <t>Order Date:</t>
  </si>
  <si>
    <t>Customer #:</t>
  </si>
  <si>
    <t xml:space="preserve">Group Name: </t>
  </si>
  <si>
    <t>Contact:</t>
  </si>
  <si>
    <t xml:space="preserve">Address: </t>
  </si>
  <si>
    <t>TEL #</t>
  </si>
  <si>
    <t>FAX #</t>
  </si>
  <si>
    <t xml:space="preserve">City/St/Zip: </t>
  </si>
  <si>
    <t>Email:</t>
  </si>
  <si>
    <t>Age</t>
  </si>
  <si>
    <t>Quantity</t>
  </si>
  <si>
    <t>Rate</t>
  </si>
  <si>
    <r>
      <t xml:space="preserve">Comps* </t>
    </r>
    <r>
      <rPr>
        <sz val="8"/>
        <rFont val="Arial"/>
        <family val="2"/>
      </rPr>
      <t>(38974)</t>
    </r>
  </si>
  <si>
    <t>Subtotals</t>
  </si>
  <si>
    <t>For Office Use</t>
  </si>
  <si>
    <t>Adult (19-64)</t>
  </si>
  <si>
    <t>=</t>
  </si>
  <si>
    <t>Teen (13-18)</t>
  </si>
  <si>
    <t>Child (5-12)</t>
  </si>
  <si>
    <t>Senior (65+)</t>
  </si>
  <si>
    <r>
      <t>Full payment</t>
    </r>
    <r>
      <rPr>
        <sz val="12"/>
        <rFont val="Arial"/>
        <family val="2"/>
      </rPr>
      <t xml:space="preserve"> is</t>
    </r>
  </si>
  <si>
    <t xml:space="preserve">Ride Date:  </t>
  </si>
  <si>
    <t>due with order.</t>
  </si>
  <si>
    <t>Terms &amp; Conditions (PLEASE READ CAREFULLY):</t>
  </si>
  <si>
    <r>
      <t>within 1 week</t>
    </r>
    <r>
      <rPr>
        <sz val="10"/>
        <rFont val="Arial"/>
        <family val="2"/>
      </rPr>
      <t xml:space="preserve"> of ride date (see address below).  </t>
    </r>
    <r>
      <rPr>
        <i/>
        <sz val="10"/>
        <rFont val="Arial"/>
        <family val="2"/>
      </rPr>
      <t>Expect 6-8 weeks for refunds.</t>
    </r>
  </si>
  <si>
    <t>Please send check or money order for amount due, OR complete and return the credit card authorization below.</t>
  </si>
  <si>
    <t>I hereby authorize Heavenly Mountain Resort to charge my credit card as follows:</t>
  </si>
  <si>
    <t xml:space="preserve">Card Type:   </t>
  </si>
  <si>
    <t xml:space="preserve"> Visa</t>
  </si>
  <si>
    <t>MC</t>
  </si>
  <si>
    <t>Amex</t>
  </si>
  <si>
    <t xml:space="preserve"> Discover</t>
  </si>
  <si>
    <t xml:space="preserve">Check #: </t>
  </si>
  <si>
    <t xml:space="preserve">Card Number:   </t>
  </si>
  <si>
    <t xml:space="preserve"> Exp Month:</t>
  </si>
  <si>
    <t>Yr:</t>
  </si>
  <si>
    <t xml:space="preserve">Name On Card:   </t>
  </si>
  <si>
    <t xml:space="preserve"> Amount to charge:  </t>
  </si>
  <si>
    <t xml:space="preserve">Signature:   </t>
  </si>
  <si>
    <t xml:space="preserve"> Date:</t>
  </si>
  <si>
    <t>Please indicate desired means of obtaining tickets:</t>
  </si>
  <si>
    <r>
      <t xml:space="preserve"> 1.    </t>
    </r>
    <r>
      <rPr>
        <b/>
        <sz val="11"/>
        <rFont val="Arial"/>
        <family val="2"/>
      </rPr>
      <t>Pick-up</t>
    </r>
    <r>
      <rPr>
        <sz val="11"/>
        <rFont val="Arial"/>
        <family val="2"/>
      </rPr>
      <t xml:space="preserve"> at Heavenly Gondola Advance Sales Ticket Office.</t>
    </r>
  </si>
  <si>
    <r>
      <t xml:space="preserve"> 2.    </t>
    </r>
    <r>
      <rPr>
        <b/>
        <sz val="11"/>
        <rFont val="Arial"/>
        <family val="2"/>
      </rPr>
      <t>Deliver</t>
    </r>
    <r>
      <rPr>
        <sz val="11"/>
        <rFont val="Arial"/>
        <family val="2"/>
      </rPr>
      <t xml:space="preserve"> to </t>
    </r>
    <r>
      <rPr>
        <b/>
        <sz val="11"/>
        <rFont val="Arial"/>
        <family val="2"/>
      </rPr>
      <t>local</t>
    </r>
    <r>
      <rPr>
        <sz val="11"/>
        <rFont val="Arial"/>
        <family val="2"/>
      </rPr>
      <t xml:space="preserve"> lodging property indicated here:</t>
    </r>
  </si>
  <si>
    <t xml:space="preserve">  </t>
  </si>
  <si>
    <t>Arrival Date:</t>
  </si>
  <si>
    <t>(Lodging property must be in the immediate South lake Tahoe area.  No delivery to private residences.)</t>
  </si>
  <si>
    <r>
      <t xml:space="preserve"> 3.    </t>
    </r>
    <r>
      <rPr>
        <b/>
        <sz val="11"/>
        <rFont val="Arial"/>
        <family val="2"/>
      </rPr>
      <t xml:space="preserve">FedEx </t>
    </r>
    <r>
      <rPr>
        <sz val="11"/>
        <rFont val="Arial"/>
        <family val="2"/>
      </rPr>
      <t>to your address indicated above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  (account# _______________________________) </t>
    </r>
  </si>
  <si>
    <t>Send orders, payments and questions to:</t>
  </si>
  <si>
    <t>For Assistance:</t>
  </si>
  <si>
    <t>OFFICE USE ONLY</t>
  </si>
  <si>
    <t>Summer Group 20-99</t>
  </si>
  <si>
    <t>Heavenly Mountain Resort</t>
  </si>
  <si>
    <t>Resort Sales (775) 586-4444</t>
  </si>
  <si>
    <t>Date:</t>
  </si>
  <si>
    <t>Initials:</t>
  </si>
  <si>
    <t>Attn: Resort Sales</t>
  </si>
  <si>
    <t>Gondola Ticket Office</t>
  </si>
  <si>
    <t>Customer#</t>
  </si>
  <si>
    <t>Order Ref#</t>
  </si>
  <si>
    <r>
      <t xml:space="preserve">P.O. Box 2180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(Mailing address)</t>
    </r>
  </si>
  <si>
    <t>775-586-7000 x 2251</t>
  </si>
  <si>
    <t>Pymt Info:</t>
  </si>
  <si>
    <t>Comm%</t>
  </si>
  <si>
    <r>
      <t xml:space="preserve">224 Kingsbury Grade </t>
    </r>
    <r>
      <rPr>
        <b/>
        <sz val="8"/>
        <rFont val="Arial"/>
        <family val="2"/>
      </rPr>
      <t>(Physical address)</t>
    </r>
  </si>
  <si>
    <r>
      <t xml:space="preserve">Fax to: </t>
    </r>
    <r>
      <rPr>
        <sz val="9"/>
        <rFont val="Arial"/>
        <family val="2"/>
      </rPr>
      <t xml:space="preserve"> (775) 588-5517</t>
    </r>
  </si>
  <si>
    <t>Auto Search Profile:</t>
  </si>
  <si>
    <t>Heavenly A/R Billing</t>
  </si>
  <si>
    <t>Stateline, NV  89449</t>
  </si>
  <si>
    <t xml:space="preserve">E-Mail to:  </t>
  </si>
  <si>
    <t>User Property Profile:</t>
  </si>
  <si>
    <t>Group</t>
  </si>
  <si>
    <t>Group Type:</t>
  </si>
  <si>
    <r>
      <t xml:space="preserve">Other Group </t>
    </r>
    <r>
      <rPr>
        <b/>
        <sz val="8"/>
        <rFont val="Arial"/>
        <family val="2"/>
      </rPr>
      <t>(HSRG)</t>
    </r>
  </si>
  <si>
    <t>2012 Scenic Summer Gondola Group (20-99) Order Form</t>
  </si>
  <si>
    <t>2012 SUMMER RATES ARE SUBJECT TO CHANGE WITHOUT NOTICE</t>
  </si>
  <si>
    <t>Gondola Ticket Only</t>
  </si>
  <si>
    <t>3.  All orders require at least 2 business days to process.</t>
  </si>
  <si>
    <t>4.  Lost or stolen tickets will not be reissued or refunded.</t>
  </si>
  <si>
    <r>
      <t xml:space="preserve">6.  </t>
    </r>
    <r>
      <rPr>
        <b/>
        <sz val="10"/>
        <rFont val="Arial"/>
        <family val="2"/>
      </rPr>
      <t xml:space="preserve">Refunds paid to group leader ONLY, </t>
    </r>
    <r>
      <rPr>
        <sz val="10"/>
        <rFont val="Arial"/>
        <family val="2"/>
      </rPr>
      <t xml:space="preserve">upon return of unused tickets to the Resort Sales Office </t>
    </r>
  </si>
  <si>
    <t xml:space="preserve">2. One COMP ticket will be issued for every 25 tickets purchased. </t>
  </si>
  <si>
    <t>5.  Children four years old and under ride free, however, they must have a "Kids" ticket issued at the window.</t>
  </si>
  <si>
    <r>
      <t xml:space="preserve">1.  The minimum order is </t>
    </r>
    <r>
      <rPr>
        <b/>
        <sz val="10"/>
        <rFont val="Arial"/>
        <family val="2"/>
      </rPr>
      <t xml:space="preserve">20 </t>
    </r>
    <r>
      <rPr>
        <b/>
        <i/>
        <sz val="10"/>
        <rFont val="Arial"/>
        <family val="2"/>
      </rPr>
      <t>paid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tickets.  </t>
    </r>
  </si>
  <si>
    <t xml:space="preserve">*"Kids" tickets do not count towards the number of paid tickets to constitute a group.  </t>
  </si>
  <si>
    <t>lgrondin@vailresorts.com</t>
  </si>
  <si>
    <t>***BEST VALUE*** Gondola/Lunch Combo - Includes Gondola Ticket &amp; $15 Lunch Voucher</t>
  </si>
  <si>
    <t>*Comp will be a Gondola Only Ticket - Not a Gondola/Lunch Combo Ticket.</t>
  </si>
  <si>
    <t>TOTAL</t>
  </si>
</sst>
</file>

<file path=xl/styles.xml><?xml version="1.0" encoding="utf-8"?>
<styleSheet xmlns="http://schemas.openxmlformats.org/spreadsheetml/2006/main">
  <numFmts count="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m/dd/yy"/>
    <numFmt numFmtId="166" formatCode="_(* #,##0_);_(* \(#,##0\);_(* &quot;-&quot;??_);_(@_)"/>
    <numFmt numFmtId="167" formatCode="m/d/yy"/>
    <numFmt numFmtId="168" formatCode="mmmm\ d\,\ yyyy"/>
  </numFmts>
  <fonts count="3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i/>
      <sz val="6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2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u/>
      <sz val="4"/>
      <name val="Arial"/>
      <family val="2"/>
    </font>
    <font>
      <sz val="4"/>
      <name val="Arial"/>
      <family val="2"/>
    </font>
    <font>
      <b/>
      <sz val="4"/>
      <name val="Arial"/>
      <family val="2"/>
    </font>
    <font>
      <sz val="13"/>
      <name val="Arial"/>
      <family val="2"/>
    </font>
    <font>
      <b/>
      <sz val="2"/>
      <name val="Arial"/>
      <family val="2"/>
    </font>
    <font>
      <b/>
      <u/>
      <sz val="9"/>
      <name val="Arial"/>
      <family val="2"/>
    </font>
    <font>
      <i/>
      <sz val="8"/>
      <name val="Arial"/>
      <family val="2"/>
    </font>
    <font>
      <b/>
      <sz val="13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</cellStyleXfs>
  <cellXfs count="19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Border="1" applyAlignment="1"/>
    <xf numFmtId="0" fontId="5" fillId="0" borderId="0" xfId="0" applyFont="1"/>
    <xf numFmtId="0" fontId="6" fillId="0" borderId="0" xfId="0" applyFont="1" applyAlignment="1">
      <alignment horizontal="right"/>
    </xf>
    <xf numFmtId="0" fontId="0" fillId="0" borderId="0" xfId="0" applyBorder="1" applyAlignment="1"/>
    <xf numFmtId="0" fontId="8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Border="1" applyAlignment="1"/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164" fontId="6" fillId="0" borderId="0" xfId="0" applyNumberFormat="1" applyFont="1" applyBorder="1" applyAlignment="1">
      <alignment horizontal="center"/>
    </xf>
    <xf numFmtId="44" fontId="13" fillId="0" borderId="0" xfId="2" applyNumberFormat="1" applyFont="1"/>
    <xf numFmtId="1" fontId="1" fillId="0" borderId="0" xfId="2" applyNumberFormat="1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44" fontId="13" fillId="0" borderId="0" xfId="2" applyFont="1"/>
    <xf numFmtId="0" fontId="15" fillId="0" borderId="0" xfId="0" applyFont="1" applyAlignment="1">
      <alignment horizontal="left"/>
    </xf>
    <xf numFmtId="7" fontId="5" fillId="0" borderId="0" xfId="0" applyNumberFormat="1" applyFont="1" applyAlignment="1">
      <alignment vertical="center"/>
    </xf>
    <xf numFmtId="164" fontId="5" fillId="0" borderId="0" xfId="0" applyNumberFormat="1" applyFont="1" applyAlignment="1"/>
    <xf numFmtId="0" fontId="5" fillId="0" borderId="0" xfId="0" applyFont="1" applyBorder="1"/>
    <xf numFmtId="0" fontId="1" fillId="0" borderId="0" xfId="0" applyFont="1" applyAlignment="1"/>
    <xf numFmtId="0" fontId="6" fillId="0" borderId="0" xfId="0" applyFont="1" applyAlignment="1"/>
    <xf numFmtId="0" fontId="8" fillId="0" borderId="0" xfId="0" applyFont="1" applyAlignment="1">
      <alignment horizontal="left"/>
    </xf>
    <xf numFmtId="0" fontId="15" fillId="0" borderId="0" xfId="0" applyFont="1" applyAlignment="1"/>
    <xf numFmtId="166" fontId="15" fillId="0" borderId="0" xfId="1" applyNumberFormat="1" applyFont="1" applyAlignment="1"/>
    <xf numFmtId="0" fontId="15" fillId="0" borderId="0" xfId="0" applyFont="1" applyAlignment="1">
      <alignment horizontal="right"/>
    </xf>
    <xf numFmtId="0" fontId="16" fillId="0" borderId="0" xfId="0" applyFont="1"/>
    <xf numFmtId="0" fontId="1" fillId="0" borderId="0" xfId="0" applyFont="1" applyBorder="1" applyAlignment="1"/>
    <xf numFmtId="0" fontId="1" fillId="0" borderId="0" xfId="0" applyFont="1" applyAlignment="1">
      <alignment horizontal="left" indent="4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2" fillId="0" borderId="0" xfId="0" applyFont="1" applyAlignment="1">
      <alignment horizontal="left" indent="4"/>
    </xf>
    <xf numFmtId="0" fontId="14" fillId="0" borderId="0" xfId="0" applyFont="1" applyAlignment="1">
      <alignment horizontal="right"/>
    </xf>
    <xf numFmtId="0" fontId="17" fillId="0" borderId="0" xfId="0" applyFont="1"/>
    <xf numFmtId="0" fontId="2" fillId="0" borderId="0" xfId="0" applyFont="1" applyAlignment="1">
      <alignment horizontal="left"/>
    </xf>
    <xf numFmtId="166" fontId="1" fillId="0" borderId="0" xfId="1" applyNumberFormat="1" applyFont="1" applyAlignment="1"/>
    <xf numFmtId="0" fontId="18" fillId="0" borderId="1" xfId="0" applyFont="1" applyBorder="1" applyAlignment="1"/>
    <xf numFmtId="0" fontId="18" fillId="0" borderId="3" xfId="0" applyFont="1" applyBorder="1" applyAlignment="1"/>
    <xf numFmtId="0" fontId="18" fillId="0" borderId="3" xfId="0" applyFont="1" applyBorder="1" applyAlignment="1">
      <alignment horizontal="right"/>
    </xf>
    <xf numFmtId="0" fontId="18" fillId="0" borderId="4" xfId="0" applyFont="1" applyBorder="1" applyAlignment="1"/>
    <xf numFmtId="0" fontId="18" fillId="0" borderId="0" xfId="0" applyFont="1" applyFill="1" applyBorder="1"/>
    <xf numFmtId="0" fontId="19" fillId="0" borderId="5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7" fillId="0" borderId="0" xfId="0" applyFont="1" applyBorder="1" applyAlignment="1"/>
    <xf numFmtId="164" fontId="7" fillId="0" borderId="0" xfId="0" applyNumberFormat="1" applyFont="1" applyFill="1" applyBorder="1" applyAlignment="1">
      <alignment horizontal="center"/>
    </xf>
    <xf numFmtId="164" fontId="20" fillId="0" borderId="0" xfId="0" applyNumberFormat="1" applyFont="1" applyFill="1" applyBorder="1" applyAlignment="1">
      <alignment horizontal="center"/>
    </xf>
    <xf numFmtId="0" fontId="7" fillId="0" borderId="6" xfId="0" applyFont="1" applyBorder="1" applyAlignment="1"/>
    <xf numFmtId="0" fontId="10" fillId="0" borderId="0" xfId="0" applyFont="1" applyFill="1" applyBorder="1"/>
    <xf numFmtId="0" fontId="21" fillId="0" borderId="5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2" fillId="0" borderId="0" xfId="0" applyFont="1" applyBorder="1" applyAlignment="1"/>
    <xf numFmtId="164" fontId="22" fillId="0" borderId="0" xfId="0" applyNumberFormat="1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0" fontId="22" fillId="0" borderId="6" xfId="0" applyFont="1" applyBorder="1" applyAlignment="1"/>
    <xf numFmtId="0" fontId="22" fillId="0" borderId="0" xfId="0" applyFont="1" applyFill="1" applyBorder="1"/>
    <xf numFmtId="0" fontId="24" fillId="0" borderId="5" xfId="0" applyFont="1" applyFill="1" applyBorder="1"/>
    <xf numFmtId="0" fontId="3" fillId="0" borderId="0" xfId="0" applyFont="1" applyBorder="1" applyAlignment="1">
      <alignment horizontal="right"/>
    </xf>
    <xf numFmtId="0" fontId="24" fillId="0" borderId="0" xfId="0" applyFont="1" applyBorder="1"/>
    <xf numFmtId="0" fontId="24" fillId="0" borderId="0" xfId="0" applyFont="1" applyBorder="1" applyAlignment="1">
      <alignment horizontal="left"/>
    </xf>
    <xf numFmtId="0" fontId="24" fillId="0" borderId="0" xfId="0" applyFont="1" applyBorder="1" applyAlignment="1"/>
    <xf numFmtId="0" fontId="24" fillId="0" borderId="0" xfId="0" applyFont="1" applyBorder="1" applyAlignment="1">
      <alignment horizontal="right"/>
    </xf>
    <xf numFmtId="0" fontId="24" fillId="0" borderId="7" xfId="0" applyFont="1" applyBorder="1" applyAlignment="1">
      <alignment horizontal="center"/>
    </xf>
    <xf numFmtId="0" fontId="24" fillId="0" borderId="0" xfId="0" applyFont="1" applyFill="1" applyBorder="1"/>
    <xf numFmtId="0" fontId="4" fillId="0" borderId="5" xfId="0" applyFont="1" applyFill="1" applyBorder="1"/>
    <xf numFmtId="0" fontId="3" fillId="0" borderId="0" xfId="0" applyFont="1" applyBorder="1" applyAlignment="1">
      <alignment horizontal="left"/>
    </xf>
    <xf numFmtId="0" fontId="4" fillId="0" borderId="0" xfId="0" applyFont="1" applyBorder="1" applyAlignment="1"/>
    <xf numFmtId="0" fontId="4" fillId="0" borderId="8" xfId="0" applyFont="1" applyBorder="1" applyAlignment="1" applyProtection="1">
      <protection locked="0"/>
    </xf>
    <xf numFmtId="0" fontId="3" fillId="0" borderId="9" xfId="0" applyFont="1" applyBorder="1" applyAlignment="1" applyProtection="1">
      <alignment horizontal="right"/>
      <protection locked="0"/>
    </xf>
    <xf numFmtId="0" fontId="4" fillId="0" borderId="0" xfId="0" applyFont="1" applyBorder="1"/>
    <xf numFmtId="168" fontId="4" fillId="0" borderId="6" xfId="0" applyNumberFormat="1" applyFont="1" applyBorder="1" applyAlignment="1"/>
    <xf numFmtId="0" fontId="4" fillId="0" borderId="10" xfId="0" applyFont="1" applyFill="1" applyBorder="1"/>
    <xf numFmtId="0" fontId="3" fillId="0" borderId="11" xfId="0" applyFont="1" applyBorder="1" applyAlignment="1">
      <alignment horizontal="right"/>
    </xf>
    <xf numFmtId="0" fontId="4" fillId="0" borderId="11" xfId="0" applyFont="1" applyBorder="1" applyAlignment="1"/>
    <xf numFmtId="0" fontId="3" fillId="0" borderId="11" xfId="0" applyFont="1" applyBorder="1" applyAlignment="1">
      <alignment horizontal="left"/>
    </xf>
    <xf numFmtId="167" fontId="4" fillId="0" borderId="11" xfId="0" applyNumberFormat="1" applyFont="1" applyBorder="1" applyAlignment="1"/>
    <xf numFmtId="167" fontId="0" fillId="0" borderId="11" xfId="0" applyNumberFormat="1" applyBorder="1" applyAlignment="1"/>
    <xf numFmtId="168" fontId="4" fillId="0" borderId="12" xfId="0" applyNumberFormat="1" applyFont="1" applyBorder="1" applyAlignment="1"/>
    <xf numFmtId="0" fontId="5" fillId="0" borderId="0" xfId="0" applyFont="1" applyBorder="1" applyAlignment="1">
      <alignment horizontal="right"/>
    </xf>
    <xf numFmtId="0" fontId="5" fillId="0" borderId="0" xfId="0" applyFont="1" applyFill="1" applyBorder="1"/>
    <xf numFmtId="0" fontId="20" fillId="0" borderId="0" xfId="0" applyFont="1" applyBorder="1" applyAlignment="1"/>
    <xf numFmtId="0" fontId="18" fillId="0" borderId="0" xfId="0" applyFont="1" applyBorder="1" applyAlignment="1"/>
    <xf numFmtId="0" fontId="18" fillId="0" borderId="0" xfId="0" applyFont="1"/>
    <xf numFmtId="0" fontId="7" fillId="0" borderId="0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20" fillId="0" borderId="0" xfId="0" applyFont="1" applyFill="1" applyBorder="1" applyAlignment="1">
      <alignment horizontal="right"/>
    </xf>
    <xf numFmtId="167" fontId="7" fillId="0" borderId="8" xfId="0" applyNumberFormat="1" applyFont="1" applyBorder="1" applyAlignment="1" applyProtection="1">
      <protection locked="0"/>
    </xf>
    <xf numFmtId="0" fontId="25" fillId="0" borderId="0" xfId="0" applyFont="1" applyBorder="1" applyAlignment="1"/>
    <xf numFmtId="0" fontId="15" fillId="0" borderId="0" xfId="0" applyFont="1" applyBorder="1" applyAlignment="1">
      <alignment horizontal="right"/>
    </xf>
    <xf numFmtId="0" fontId="20" fillId="0" borderId="0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26" fillId="0" borderId="13" xfId="0" applyFont="1" applyBorder="1" applyAlignment="1">
      <alignment horizontal="left"/>
    </xf>
    <xf numFmtId="0" fontId="12" fillId="0" borderId="14" xfId="0" applyFont="1" applyBorder="1" applyAlignment="1"/>
    <xf numFmtId="0" fontId="26" fillId="0" borderId="14" xfId="0" applyFont="1" applyBorder="1" applyAlignment="1">
      <alignment horizontal="left"/>
    </xf>
    <xf numFmtId="0" fontId="12" fillId="0" borderId="15" xfId="0" applyFont="1" applyBorder="1" applyAlignment="1"/>
    <xf numFmtId="0" fontId="12" fillId="0" borderId="16" xfId="0" applyFont="1" applyBorder="1" applyAlignment="1"/>
    <xf numFmtId="0" fontId="12" fillId="0" borderId="0" xfId="0" applyFont="1" applyBorder="1" applyAlignment="1"/>
    <xf numFmtId="0" fontId="12" fillId="0" borderId="17" xfId="0" applyFont="1" applyBorder="1" applyAlignment="1"/>
    <xf numFmtId="0" fontId="13" fillId="0" borderId="16" xfId="0" applyFont="1" applyBorder="1"/>
    <xf numFmtId="0" fontId="12" fillId="0" borderId="0" xfId="0" applyFont="1" applyFill="1" applyBorder="1" applyAlignment="1"/>
    <xf numFmtId="0" fontId="13" fillId="0" borderId="0" xfId="0" applyFont="1" applyBorder="1" applyAlignment="1">
      <alignment vertical="center"/>
    </xf>
    <xf numFmtId="0" fontId="14" fillId="0" borderId="16" xfId="0" applyNumberFormat="1" applyFont="1" applyBorder="1" applyAlignment="1">
      <alignment vertical="top"/>
    </xf>
    <xf numFmtId="0" fontId="12" fillId="0" borderId="0" xfId="0" applyFont="1" applyFill="1" applyBorder="1"/>
    <xf numFmtId="0" fontId="14" fillId="0" borderId="0" xfId="0" applyFont="1" applyBorder="1" applyAlignment="1">
      <alignment vertical="top"/>
    </xf>
    <xf numFmtId="0" fontId="12" fillId="0" borderId="16" xfId="0" applyFont="1" applyFill="1" applyBorder="1" applyAlignment="1"/>
    <xf numFmtId="0" fontId="12" fillId="0" borderId="0" xfId="0" applyFont="1" applyBorder="1" applyAlignment="1">
      <alignment horizontal="center"/>
    </xf>
    <xf numFmtId="0" fontId="14" fillId="0" borderId="18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12" fillId="0" borderId="19" xfId="0" applyFont="1" applyBorder="1" applyAlignment="1"/>
    <xf numFmtId="0" fontId="17" fillId="0" borderId="0" xfId="0" applyFont="1" applyBorder="1" applyAlignment="1"/>
    <xf numFmtId="0" fontId="17" fillId="0" borderId="0" xfId="0" applyFont="1" applyBorder="1" applyAlignment="1">
      <alignment horizontal="left"/>
    </xf>
    <xf numFmtId="0" fontId="27" fillId="0" borderId="13" xfId="0" applyFont="1" applyBorder="1" applyAlignment="1">
      <alignment horizontal="left"/>
    </xf>
    <xf numFmtId="0" fontId="27" fillId="0" borderId="13" xfId="0" applyFont="1" applyBorder="1" applyAlignment="1">
      <alignment horizontal="right"/>
    </xf>
    <xf numFmtId="0" fontId="5" fillId="0" borderId="0" xfId="0" applyFont="1" applyBorder="1" applyAlignment="1">
      <alignment horizontal="left" vertical="center"/>
    </xf>
    <xf numFmtId="0" fontId="12" fillId="0" borderId="0" xfId="0" applyFont="1" applyBorder="1"/>
    <xf numFmtId="0" fontId="27" fillId="0" borderId="16" xfId="0" applyFont="1" applyBorder="1" applyAlignment="1">
      <alignment horizontal="left"/>
    </xf>
    <xf numFmtId="0" fontId="27" fillId="0" borderId="16" xfId="0" applyFont="1" applyBorder="1" applyAlignment="1">
      <alignment horizontal="right"/>
    </xf>
    <xf numFmtId="0" fontId="5" fillId="0" borderId="18" xfId="0" applyFont="1" applyBorder="1"/>
    <xf numFmtId="0" fontId="5" fillId="0" borderId="8" xfId="0" applyFont="1" applyBorder="1"/>
    <xf numFmtId="0" fontId="27" fillId="0" borderId="18" xfId="0" applyFont="1" applyBorder="1"/>
    <xf numFmtId="0" fontId="27" fillId="0" borderId="8" xfId="0" applyFont="1" applyBorder="1" applyAlignment="1">
      <alignment horizontal="right"/>
    </xf>
    <xf numFmtId="0" fontId="5" fillId="0" borderId="8" xfId="0" applyFont="1" applyBorder="1" applyAlignment="1">
      <alignment horizontal="left" vertical="top"/>
    </xf>
    <xf numFmtId="0" fontId="5" fillId="0" borderId="19" xfId="0" applyFont="1" applyBorder="1"/>
    <xf numFmtId="0" fontId="1" fillId="0" borderId="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4" fontId="6" fillId="0" borderId="2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8" fillId="0" borderId="20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>
      <alignment horizontal="center"/>
    </xf>
    <xf numFmtId="164" fontId="6" fillId="0" borderId="12" xfId="0" applyNumberFormat="1" applyFont="1" applyBorder="1" applyAlignment="1">
      <alignment horizontal="center" vertical="center"/>
    </xf>
    <xf numFmtId="0" fontId="1" fillId="0" borderId="14" xfId="0" applyFont="1" applyBorder="1" applyAlignment="1" applyProtection="1">
      <alignment horizontal="center"/>
      <protection locked="0"/>
    </xf>
    <xf numFmtId="0" fontId="28" fillId="2" borderId="0" xfId="0" applyFont="1" applyFill="1" applyBorder="1" applyAlignment="1"/>
    <xf numFmtId="0" fontId="32" fillId="2" borderId="0" xfId="0" applyFont="1" applyFill="1" applyBorder="1" applyAlignment="1"/>
    <xf numFmtId="0" fontId="28" fillId="2" borderId="0" xfId="0" applyFont="1" applyFill="1" applyAlignment="1">
      <alignment horizontal="right"/>
    </xf>
    <xf numFmtId="0" fontId="24" fillId="2" borderId="0" xfId="0" applyFont="1" applyFill="1" applyBorder="1" applyAlignment="1" applyProtection="1">
      <alignment horizontal="center"/>
      <protection locked="0"/>
    </xf>
    <xf numFmtId="0" fontId="2" fillId="0" borderId="0" xfId="0" applyFont="1"/>
    <xf numFmtId="0" fontId="2" fillId="0" borderId="0" xfId="0" applyFont="1" applyAlignment="1"/>
    <xf numFmtId="0" fontId="29" fillId="0" borderId="0" xfId="0" applyFont="1" applyAlignment="1">
      <alignment horizontal="left" indent="4"/>
    </xf>
    <xf numFmtId="0" fontId="29" fillId="0" borderId="0" xfId="0" applyFont="1"/>
    <xf numFmtId="0" fontId="29" fillId="0" borderId="0" xfId="0" applyFont="1" applyAlignment="1">
      <alignment horizontal="left"/>
    </xf>
    <xf numFmtId="0" fontId="29" fillId="0" borderId="0" xfId="0" applyFont="1" applyAlignment="1"/>
    <xf numFmtId="0" fontId="29" fillId="0" borderId="0" xfId="0" applyFont="1" applyBorder="1" applyAlignment="1">
      <alignment horizontal="center"/>
    </xf>
    <xf numFmtId="0" fontId="31" fillId="0" borderId="8" xfId="3" applyBorder="1" applyAlignment="1" applyProtection="1">
      <alignment horizontal="left" indent="1"/>
    </xf>
    <xf numFmtId="0" fontId="6" fillId="0" borderId="11" xfId="0" applyFont="1" applyBorder="1" applyAlignment="1">
      <alignment horizontal="left"/>
    </xf>
    <xf numFmtId="165" fontId="6" fillId="0" borderId="11" xfId="0" applyNumberFormat="1" applyFont="1" applyBorder="1" applyAlignment="1" applyProtection="1">
      <alignment horizontal="center"/>
      <protection locked="0"/>
    </xf>
    <xf numFmtId="165" fontId="6" fillId="0" borderId="0" xfId="0" applyNumberFormat="1" applyFont="1" applyBorder="1" applyAlignment="1" applyProtection="1">
      <alignment horizontal="center"/>
      <protection locked="0"/>
    </xf>
    <xf numFmtId="0" fontId="24" fillId="0" borderId="0" xfId="0" applyFont="1" applyBorder="1" applyAlignment="1">
      <alignment horizontal="center"/>
    </xf>
    <xf numFmtId="0" fontId="2" fillId="3" borderId="8" xfId="0" applyFont="1" applyFill="1" applyBorder="1" applyAlignment="1" applyProtection="1">
      <alignment horizontal="center"/>
      <protection locked="0"/>
    </xf>
    <xf numFmtId="0" fontId="14" fillId="3" borderId="24" xfId="0" applyFont="1" applyFill="1" applyBorder="1" applyAlignment="1">
      <alignment horizontal="center"/>
    </xf>
    <xf numFmtId="1" fontId="1" fillId="3" borderId="24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left"/>
    </xf>
    <xf numFmtId="0" fontId="0" fillId="3" borderId="23" xfId="0" applyFill="1" applyBorder="1" applyAlignment="1">
      <alignment horizontal="left"/>
    </xf>
    <xf numFmtId="0" fontId="0" fillId="3" borderId="23" xfId="0" applyFill="1" applyBorder="1" applyAlignment="1"/>
    <xf numFmtId="0" fontId="27" fillId="3" borderId="26" xfId="0" applyFont="1" applyFill="1" applyBorder="1" applyAlignment="1">
      <alignment horizontal="right"/>
    </xf>
    <xf numFmtId="15" fontId="2" fillId="3" borderId="8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8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23" xfId="0" applyFont="1" applyBorder="1" applyAlignment="1" applyProtection="1">
      <alignment horizontal="center"/>
      <protection locked="0"/>
    </xf>
    <xf numFmtId="0" fontId="6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7" fontId="8" fillId="0" borderId="21" xfId="2" applyNumberFormat="1" applyFont="1" applyBorder="1" applyAlignment="1">
      <alignment vertical="center"/>
    </xf>
    <xf numFmtId="7" fontId="8" fillId="0" borderId="22" xfId="2" applyNumberFormat="1" applyFont="1" applyBorder="1" applyAlignment="1">
      <alignment vertical="center"/>
    </xf>
    <xf numFmtId="0" fontId="20" fillId="0" borderId="8" xfId="0" applyFont="1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20" fillId="0" borderId="0" xfId="0" applyFont="1" applyBorder="1" applyAlignment="1">
      <alignment horizontal="right" vertical="center" textRotation="90"/>
    </xf>
    <xf numFmtId="7" fontId="6" fillId="0" borderId="1" xfId="2" applyNumberFormat="1" applyFont="1" applyBorder="1" applyAlignment="1">
      <alignment vertical="center"/>
    </xf>
    <xf numFmtId="7" fontId="6" fillId="0" borderId="4" xfId="2" applyNumberFormat="1" applyFont="1" applyBorder="1" applyAlignment="1">
      <alignment vertical="center"/>
    </xf>
    <xf numFmtId="7" fontId="6" fillId="0" borderId="10" xfId="2" applyNumberFormat="1" applyFont="1" applyBorder="1" applyAlignment="1">
      <alignment vertical="center"/>
    </xf>
    <xf numFmtId="7" fontId="6" fillId="0" borderId="12" xfId="2" applyNumberFormat="1" applyFont="1" applyBorder="1" applyAlignment="1">
      <alignment vertical="center"/>
    </xf>
    <xf numFmtId="0" fontId="28" fillId="0" borderId="0" xfId="0" applyFont="1" applyFill="1" applyBorder="1" applyAlignment="1">
      <alignment horizontal="left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left"/>
      <protection locked="0"/>
    </xf>
    <xf numFmtId="7" fontId="4" fillId="0" borderId="8" xfId="2" applyNumberFormat="1" applyFont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4" fillId="0" borderId="23" xfId="0" applyFont="1" applyBorder="1" applyAlignment="1" applyProtection="1">
      <protection locked="0"/>
    </xf>
    <xf numFmtId="167" fontId="4" fillId="0" borderId="8" xfId="0" applyNumberFormat="1" applyFont="1" applyBorder="1" applyAlignment="1" applyProtection="1">
      <protection locked="0"/>
    </xf>
    <xf numFmtId="167" fontId="0" fillId="0" borderId="8" xfId="0" applyNumberFormat="1" applyBorder="1" applyAlignment="1" applyProtection="1">
      <protection locked="0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0</xdr:rowOff>
    </xdr:from>
    <xdr:to>
      <xdr:col>2</xdr:col>
      <xdr:colOff>390525</xdr:colOff>
      <xdr:row>3</xdr:row>
      <xdr:rowOff>190500</xdr:rowOff>
    </xdr:to>
    <xdr:pic>
      <xdr:nvPicPr>
        <xdr:cNvPr id="1033" name="Picture 1" descr="Hvly Horiz color.jp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7175" y="0"/>
          <a:ext cx="1914525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grondin@vailresorts.com" TargetMode="External"/><Relationship Id="rId2" Type="http://schemas.openxmlformats.org/officeDocument/2006/relationships/hyperlink" Target="mailto:HeavenlySales@vailresorts.com" TargetMode="External"/><Relationship Id="rId1" Type="http://schemas.openxmlformats.org/officeDocument/2006/relationships/hyperlink" Target="mailto:HeavenlySales@vailresorts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67"/>
  <sheetViews>
    <sheetView tabSelected="1" topLeftCell="A28" workbookViewId="0">
      <selection activeCell="J6" sqref="J6"/>
    </sheetView>
  </sheetViews>
  <sheetFormatPr defaultRowHeight="15"/>
  <cols>
    <col min="1" max="1" width="17.5703125" customWidth="1"/>
    <col min="4" max="4" width="12.85546875" customWidth="1"/>
    <col min="5" max="5" width="5.28515625" customWidth="1"/>
    <col min="10" max="10" width="13" customWidth="1"/>
  </cols>
  <sheetData>
    <row r="1" spans="1:10" s="1" customFormat="1" ht="12.75">
      <c r="H1" s="2" t="s">
        <v>0</v>
      </c>
      <c r="I1" s="173"/>
      <c r="J1" s="173"/>
    </row>
    <row r="2" spans="1:10" s="1" customFormat="1" ht="12.75"/>
    <row r="3" spans="1:10" s="1" customFormat="1" ht="12.75"/>
    <row r="4" spans="1:10" s="1" customFormat="1" ht="18">
      <c r="A4" s="3"/>
      <c r="B4" s="3"/>
      <c r="C4" s="3"/>
      <c r="D4" s="3"/>
      <c r="E4" s="3"/>
      <c r="F4" s="3"/>
      <c r="G4" s="3"/>
      <c r="H4" s="3"/>
      <c r="I4" s="2" t="s">
        <v>1</v>
      </c>
      <c r="J4" s="165"/>
    </row>
    <row r="5" spans="1:10" s="1" customFormat="1" ht="18">
      <c r="A5" s="174" t="s">
        <v>73</v>
      </c>
      <c r="B5" s="174"/>
      <c r="C5" s="174"/>
      <c r="D5" s="174"/>
      <c r="E5" s="174"/>
      <c r="F5" s="174"/>
      <c r="G5" s="174"/>
      <c r="H5" s="174"/>
      <c r="I5" s="174"/>
      <c r="J5" s="175"/>
    </row>
    <row r="6" spans="1:10" s="7" customFormat="1" ht="11.25">
      <c r="A6" s="4"/>
      <c r="B6" s="4"/>
      <c r="C6" s="4"/>
      <c r="D6" s="4"/>
      <c r="E6" s="5"/>
      <c r="F6" s="4"/>
      <c r="G6" s="6"/>
      <c r="H6" s="4"/>
    </row>
    <row r="7" spans="1:10" s="1" customFormat="1" ht="15.75">
      <c r="A7" s="8" t="s">
        <v>2</v>
      </c>
      <c r="B7" s="176"/>
      <c r="C7" s="176"/>
      <c r="D7" s="176"/>
      <c r="E7" s="9"/>
      <c r="F7" s="8" t="s">
        <v>3</v>
      </c>
      <c r="G7" s="177"/>
      <c r="H7" s="177"/>
      <c r="I7" s="177"/>
      <c r="J7" s="177"/>
    </row>
    <row r="8" spans="1:10" s="1" customFormat="1" ht="15.75">
      <c r="A8" s="8" t="s">
        <v>4</v>
      </c>
      <c r="B8" s="178"/>
      <c r="C8" s="178"/>
      <c r="D8" s="178"/>
      <c r="E8" s="9"/>
      <c r="F8" s="8" t="s">
        <v>5</v>
      </c>
      <c r="G8" s="178"/>
      <c r="H8" s="178"/>
      <c r="I8" s="178"/>
      <c r="J8" s="178"/>
    </row>
    <row r="9" spans="1:10" s="1" customFormat="1" ht="15.75">
      <c r="A9" s="10"/>
      <c r="B9" s="178"/>
      <c r="C9" s="178"/>
      <c r="D9" s="178"/>
      <c r="E9" s="9"/>
      <c r="F9" s="8" t="s">
        <v>6</v>
      </c>
      <c r="G9" s="178"/>
      <c r="H9" s="178"/>
      <c r="I9" s="178"/>
      <c r="J9" s="178"/>
    </row>
    <row r="10" spans="1:10" s="1" customFormat="1" ht="15.75">
      <c r="A10" s="11" t="s">
        <v>7</v>
      </c>
      <c r="B10" s="178"/>
      <c r="C10" s="178"/>
      <c r="D10" s="178"/>
      <c r="E10" s="9"/>
      <c r="F10" s="8" t="s">
        <v>8</v>
      </c>
      <c r="G10" s="178"/>
      <c r="H10" s="178"/>
      <c r="I10" s="178"/>
      <c r="J10" s="178"/>
    </row>
    <row r="11" spans="1:10" s="1" customFormat="1" ht="15.75">
      <c r="A11" s="11"/>
      <c r="B11" s="137"/>
      <c r="C11" s="137"/>
      <c r="D11" s="137"/>
      <c r="E11" s="9"/>
      <c r="F11" s="8"/>
      <c r="G11" s="137"/>
      <c r="H11" s="137"/>
      <c r="I11" s="137"/>
      <c r="J11" s="148"/>
    </row>
    <row r="12" spans="1:10" s="1" customFormat="1" ht="18" thickBot="1">
      <c r="A12" s="149" t="s">
        <v>84</v>
      </c>
      <c r="B12" s="149"/>
      <c r="C12" s="149"/>
      <c r="D12" s="149"/>
      <c r="E12" s="150"/>
      <c r="F12" s="151"/>
      <c r="G12" s="152"/>
      <c r="H12" s="152"/>
      <c r="I12" s="152"/>
      <c r="J12" s="152"/>
    </row>
    <row r="13" spans="1:10" s="1" customFormat="1" ht="16.5" thickBot="1">
      <c r="A13" s="18" t="s">
        <v>9</v>
      </c>
      <c r="B13" s="141" t="s">
        <v>10</v>
      </c>
      <c r="C13" s="141" t="s">
        <v>11</v>
      </c>
      <c r="D13" s="138"/>
      <c r="E13" s="19"/>
      <c r="F13" s="179" t="s">
        <v>13</v>
      </c>
      <c r="G13" s="180"/>
      <c r="H13" s="20"/>
      <c r="I13" s="21"/>
      <c r="J13" s="166" t="s">
        <v>14</v>
      </c>
    </row>
    <row r="14" spans="1:10" s="1" customFormat="1" ht="16.5" thickBot="1">
      <c r="A14" s="22" t="s">
        <v>15</v>
      </c>
      <c r="B14" s="145"/>
      <c r="C14" s="142">
        <v>40</v>
      </c>
      <c r="D14" s="139"/>
      <c r="E14" s="24" t="s">
        <v>16</v>
      </c>
      <c r="F14" s="181">
        <f>C14*B14</f>
        <v>0</v>
      </c>
      <c r="G14" s="182"/>
      <c r="H14" s="25"/>
      <c r="I14" s="26"/>
      <c r="J14" s="167"/>
    </row>
    <row r="15" spans="1:10" s="1" customFormat="1" ht="16.5" customHeight="1" thickBot="1">
      <c r="A15" s="143" t="s">
        <v>17</v>
      </c>
      <c r="B15" s="145"/>
      <c r="C15" s="142">
        <v>32</v>
      </c>
      <c r="D15" s="140"/>
      <c r="E15" s="24" t="s">
        <v>16</v>
      </c>
      <c r="F15" s="181">
        <f>C15*B15</f>
        <v>0</v>
      </c>
      <c r="G15" s="182"/>
      <c r="H15" s="28"/>
      <c r="I15" s="26"/>
      <c r="J15" s="167"/>
    </row>
    <row r="16" spans="1:10" s="1" customFormat="1" ht="16.5" thickBot="1">
      <c r="A16" s="22" t="s">
        <v>18</v>
      </c>
      <c r="B16" s="145"/>
      <c r="C16" s="142">
        <v>26</v>
      </c>
      <c r="D16" s="140"/>
      <c r="E16" s="24" t="s">
        <v>16</v>
      </c>
      <c r="F16" s="181">
        <f>C16*B16</f>
        <v>0</v>
      </c>
      <c r="G16" s="182"/>
      <c r="H16" s="28"/>
      <c r="I16" s="26"/>
      <c r="J16" s="167"/>
    </row>
    <row r="17" spans="1:10" s="1" customFormat="1" ht="16.5" thickBot="1">
      <c r="A17" s="144" t="s">
        <v>19</v>
      </c>
      <c r="B17" s="145"/>
      <c r="C17" s="142">
        <v>32</v>
      </c>
      <c r="D17" s="140"/>
      <c r="E17" s="24" t="s">
        <v>16</v>
      </c>
      <c r="F17" s="181">
        <f>C17*B17</f>
        <v>0</v>
      </c>
      <c r="G17" s="182"/>
      <c r="H17" s="28"/>
      <c r="I17" s="26"/>
      <c r="J17" s="167"/>
    </row>
    <row r="18" spans="1:10" s="16" customFormat="1" ht="8.25">
      <c r="A18" s="12"/>
      <c r="B18" s="13"/>
      <c r="C18" s="13"/>
      <c r="D18" s="13"/>
      <c r="E18" s="14"/>
      <c r="F18" s="15"/>
      <c r="G18" s="13"/>
      <c r="H18" s="13"/>
      <c r="I18" s="13"/>
      <c r="J18" s="13"/>
    </row>
    <row r="19" spans="1:10" s="16" customFormat="1" ht="0.75" customHeight="1">
      <c r="A19" s="12"/>
      <c r="B19" s="13"/>
      <c r="C19" s="13"/>
      <c r="D19" s="13"/>
      <c r="E19" s="14"/>
      <c r="F19" s="15"/>
      <c r="G19" s="13"/>
      <c r="H19" s="13"/>
      <c r="I19" s="13"/>
      <c r="J19" s="13"/>
    </row>
    <row r="20" spans="1:10" s="16" customFormat="1" ht="16.5" customHeight="1" thickBot="1">
      <c r="A20" s="190" t="s">
        <v>75</v>
      </c>
      <c r="B20" s="190"/>
      <c r="C20" s="190"/>
      <c r="D20" s="190"/>
      <c r="E20" s="14"/>
      <c r="F20" s="14"/>
      <c r="G20" s="14"/>
      <c r="H20" s="17"/>
      <c r="I20" s="14"/>
      <c r="J20" s="14"/>
    </row>
    <row r="21" spans="1:10" s="1" customFormat="1" ht="16.5" thickBot="1">
      <c r="A21" s="18" t="s">
        <v>9</v>
      </c>
      <c r="B21" s="141" t="s">
        <v>10</v>
      </c>
      <c r="C21" s="146" t="s">
        <v>11</v>
      </c>
      <c r="D21" s="168" t="s">
        <v>12</v>
      </c>
      <c r="E21" s="19"/>
      <c r="F21" s="179" t="s">
        <v>13</v>
      </c>
      <c r="G21" s="180"/>
      <c r="H21" s="20"/>
      <c r="I21" s="21"/>
      <c r="J21" s="166" t="s">
        <v>14</v>
      </c>
    </row>
    <row r="22" spans="1:10" s="1" customFormat="1" ht="16.5" thickBot="1">
      <c r="A22" s="22" t="s">
        <v>15</v>
      </c>
      <c r="B22" s="145"/>
      <c r="C22" s="147">
        <v>32</v>
      </c>
      <c r="D22" s="23"/>
      <c r="E22" s="24" t="s">
        <v>16</v>
      </c>
      <c r="F22" s="181">
        <f>C22*B22</f>
        <v>0</v>
      </c>
      <c r="G22" s="182"/>
      <c r="H22" s="25"/>
      <c r="I22" s="26"/>
      <c r="J22" s="167">
        <v>38912</v>
      </c>
    </row>
    <row r="23" spans="1:10" s="1" customFormat="1" ht="16.5" customHeight="1" thickBot="1">
      <c r="A23" s="143" t="s">
        <v>17</v>
      </c>
      <c r="B23" s="145"/>
      <c r="C23" s="147">
        <v>24</v>
      </c>
      <c r="D23" s="27"/>
      <c r="E23" s="24" t="s">
        <v>16</v>
      </c>
      <c r="F23" s="181">
        <f>C23*B23</f>
        <v>0</v>
      </c>
      <c r="G23" s="182"/>
      <c r="H23" s="28"/>
      <c r="I23" s="26"/>
      <c r="J23" s="167">
        <v>38914</v>
      </c>
    </row>
    <row r="24" spans="1:10" s="1" customFormat="1" ht="16.5" thickBot="1">
      <c r="A24" s="22" t="s">
        <v>18</v>
      </c>
      <c r="B24" s="145"/>
      <c r="C24" s="147">
        <v>18</v>
      </c>
      <c r="D24" s="27"/>
      <c r="E24" s="24" t="s">
        <v>16</v>
      </c>
      <c r="F24" s="181">
        <f>C24*B24</f>
        <v>0</v>
      </c>
      <c r="G24" s="182"/>
      <c r="H24" s="28"/>
      <c r="I24" s="26"/>
      <c r="J24" s="167">
        <v>38913</v>
      </c>
    </row>
    <row r="25" spans="1:10" s="1" customFormat="1" ht="16.5" thickBot="1">
      <c r="A25" s="144" t="s">
        <v>19</v>
      </c>
      <c r="B25" s="145"/>
      <c r="C25" s="147">
        <v>24</v>
      </c>
      <c r="D25" s="27"/>
      <c r="E25" s="24" t="s">
        <v>16</v>
      </c>
      <c r="F25" s="181">
        <f>C25*B25</f>
        <v>0</v>
      </c>
      <c r="G25" s="182"/>
      <c r="H25" s="28"/>
      <c r="I25" s="26"/>
      <c r="J25" s="167">
        <v>38915</v>
      </c>
    </row>
    <row r="26" spans="1:10" s="7" customFormat="1" ht="14.25" customHeight="1" thickBot="1">
      <c r="A26" s="29" t="s">
        <v>74</v>
      </c>
      <c r="D26" s="6"/>
      <c r="E26" s="4"/>
      <c r="F26" s="30"/>
      <c r="G26" s="30"/>
      <c r="H26" s="31"/>
      <c r="I26" s="32"/>
      <c r="J26" s="6"/>
    </row>
    <row r="27" spans="1:10" s="1" customFormat="1" ht="23.25" customHeight="1">
      <c r="A27" s="33"/>
      <c r="E27" s="185" t="s">
        <v>86</v>
      </c>
      <c r="F27" s="186">
        <f>SUM(F22:G25,F14:G17)</f>
        <v>0</v>
      </c>
      <c r="G27" s="187"/>
      <c r="H27" s="34" t="s">
        <v>20</v>
      </c>
    </row>
    <row r="28" spans="1:10" s="1" customFormat="1" ht="20.25" customHeight="1" thickBot="1">
      <c r="A28" s="161" t="s">
        <v>21</v>
      </c>
      <c r="B28" s="162"/>
      <c r="C28" s="163"/>
      <c r="D28" s="33"/>
      <c r="E28" s="185"/>
      <c r="F28" s="188"/>
      <c r="G28" s="189"/>
      <c r="H28" s="35" t="s">
        <v>22</v>
      </c>
    </row>
    <row r="29" spans="1:10" s="7" customFormat="1" ht="11.25">
      <c r="A29" s="36"/>
      <c r="B29" s="36"/>
      <c r="C29" s="36"/>
      <c r="D29" s="37"/>
      <c r="E29" s="4"/>
      <c r="G29" s="4"/>
      <c r="H29" s="4"/>
      <c r="I29" s="4"/>
      <c r="J29" s="38"/>
    </row>
    <row r="30" spans="1:10" s="1" customFormat="1" ht="12.75">
      <c r="A30" s="39" t="s">
        <v>23</v>
      </c>
      <c r="C30" s="33"/>
      <c r="D30" s="33"/>
      <c r="E30" s="33"/>
      <c r="F30" s="33"/>
      <c r="G30" s="33"/>
      <c r="H30" s="40"/>
      <c r="I30" s="33"/>
      <c r="J30" s="33"/>
    </row>
    <row r="31" spans="1:10" s="1" customFormat="1" ht="12.75">
      <c r="A31" s="41" t="s">
        <v>81</v>
      </c>
      <c r="C31" s="42"/>
      <c r="D31" s="33"/>
      <c r="E31" s="43"/>
      <c r="F31" s="43"/>
      <c r="G31" s="44"/>
      <c r="H31" s="45"/>
      <c r="I31" s="45"/>
      <c r="J31" s="33"/>
    </row>
    <row r="32" spans="1:10" s="1" customFormat="1" ht="12.75">
      <c r="A32" s="41" t="s">
        <v>79</v>
      </c>
      <c r="C32" s="42"/>
      <c r="D32" s="33"/>
      <c r="E32" s="43"/>
      <c r="F32" s="43"/>
      <c r="G32" s="44"/>
      <c r="H32" s="45"/>
      <c r="I32" s="45"/>
      <c r="J32" s="33"/>
    </row>
    <row r="33" spans="1:10" s="1" customFormat="1" ht="12.75">
      <c r="A33" s="155" t="s">
        <v>85</v>
      </c>
      <c r="B33" s="156"/>
      <c r="C33" s="157"/>
      <c r="D33" s="158"/>
      <c r="E33" s="159"/>
      <c r="F33" s="159"/>
      <c r="G33" s="44"/>
      <c r="H33" s="45"/>
      <c r="I33" s="45"/>
      <c r="J33" s="33"/>
    </row>
    <row r="34" spans="1:10" s="1" customFormat="1" ht="12.75">
      <c r="A34" s="41" t="s">
        <v>76</v>
      </c>
      <c r="C34" s="33"/>
      <c r="D34" s="33"/>
      <c r="E34" s="33"/>
      <c r="F34" s="33"/>
      <c r="G34" s="33"/>
      <c r="H34" s="33"/>
      <c r="I34" s="33"/>
      <c r="J34" s="33"/>
    </row>
    <row r="35" spans="1:10" s="1" customFormat="1" ht="12.75">
      <c r="A35" s="41" t="s">
        <v>77</v>
      </c>
      <c r="D35" s="33"/>
      <c r="E35" s="33"/>
      <c r="F35" s="33"/>
      <c r="G35" s="33"/>
      <c r="H35" s="33"/>
      <c r="I35" s="33"/>
      <c r="J35" s="33"/>
    </row>
    <row r="36" spans="1:10" s="1" customFormat="1" ht="12.75">
      <c r="A36" s="41" t="s">
        <v>80</v>
      </c>
      <c r="D36" s="33"/>
      <c r="E36" s="33"/>
      <c r="F36" s="33"/>
      <c r="G36" s="33"/>
      <c r="H36" s="33"/>
      <c r="I36" s="33"/>
      <c r="J36" s="33"/>
    </row>
    <row r="37" spans="1:10" s="1" customFormat="1" ht="12.75">
      <c r="A37" s="41" t="s">
        <v>82</v>
      </c>
      <c r="B37" s="153"/>
      <c r="C37" s="153"/>
      <c r="D37" s="154"/>
      <c r="E37" s="154"/>
      <c r="F37" s="154"/>
      <c r="G37" s="154"/>
      <c r="H37" s="154"/>
      <c r="I37" s="33"/>
      <c r="J37" s="33"/>
    </row>
    <row r="38" spans="1:10" s="1" customFormat="1" ht="12.75">
      <c r="A38" s="41" t="s">
        <v>78</v>
      </c>
      <c r="C38" s="33"/>
      <c r="D38" s="33"/>
      <c r="E38" s="33"/>
      <c r="F38" s="33"/>
      <c r="G38" s="33"/>
      <c r="H38" s="33"/>
      <c r="I38" s="33"/>
    </row>
    <row r="39" spans="1:10" s="1" customFormat="1" ht="12.75">
      <c r="A39" s="46" t="s">
        <v>24</v>
      </c>
      <c r="C39" s="33"/>
      <c r="D39" s="33"/>
      <c r="E39" s="33"/>
      <c r="F39" s="33"/>
      <c r="G39" s="33"/>
      <c r="H39" s="33"/>
      <c r="I39" s="33"/>
      <c r="J39" s="47"/>
    </row>
    <row r="40" spans="1:10" s="1" customFormat="1" ht="12.75">
      <c r="C40" s="33"/>
      <c r="D40" s="33"/>
      <c r="E40" s="33"/>
      <c r="F40" s="33"/>
      <c r="G40" s="33"/>
      <c r="H40" s="33"/>
      <c r="I40" s="33"/>
      <c r="J40" s="47"/>
    </row>
    <row r="41" spans="1:10" s="1" customFormat="1" ht="12.75">
      <c r="A41" s="48" t="s">
        <v>25</v>
      </c>
      <c r="C41" s="33"/>
      <c r="D41" s="33"/>
      <c r="E41" s="33"/>
      <c r="F41" s="33"/>
      <c r="G41" s="33"/>
      <c r="H41" s="33"/>
      <c r="I41" s="33"/>
    </row>
    <row r="42" spans="1:10" s="1" customFormat="1" ht="13.5" thickBot="1">
      <c r="A42" s="49"/>
      <c r="B42" s="33"/>
      <c r="C42" s="33"/>
      <c r="D42" s="50"/>
      <c r="E42" s="33"/>
      <c r="F42" s="33"/>
      <c r="G42" s="33"/>
      <c r="H42" s="33"/>
      <c r="I42" s="33"/>
      <c r="J42" s="33"/>
    </row>
    <row r="43" spans="1:10" s="55" customFormat="1" ht="5.25">
      <c r="A43" s="51"/>
      <c r="B43" s="52"/>
      <c r="C43" s="53"/>
      <c r="D43" s="52"/>
      <c r="E43" s="52"/>
      <c r="F43" s="52"/>
      <c r="G43" s="52"/>
      <c r="H43" s="52"/>
      <c r="I43" s="52"/>
      <c r="J43" s="54"/>
    </row>
    <row r="44" spans="1:10" s="62" customFormat="1">
      <c r="A44" s="56" t="s">
        <v>26</v>
      </c>
      <c r="B44" s="57"/>
      <c r="C44" s="58"/>
      <c r="D44" s="58"/>
      <c r="E44" s="59"/>
      <c r="F44" s="60"/>
      <c r="G44" s="60"/>
      <c r="H44" s="60"/>
      <c r="I44" s="60"/>
      <c r="J44" s="61"/>
    </row>
    <row r="45" spans="1:10" s="69" customFormat="1" ht="6.75">
      <c r="A45" s="63"/>
      <c r="B45" s="64"/>
      <c r="C45" s="65"/>
      <c r="D45" s="65"/>
      <c r="E45" s="66"/>
      <c r="F45" s="67"/>
      <c r="G45" s="67"/>
      <c r="H45" s="67"/>
      <c r="I45" s="67"/>
      <c r="J45" s="68"/>
    </row>
    <row r="46" spans="1:10" s="77" customFormat="1" ht="18">
      <c r="A46" s="70"/>
      <c r="B46" s="71" t="s">
        <v>27</v>
      </c>
      <c r="C46" s="73" t="s">
        <v>28</v>
      </c>
      <c r="D46" s="164" t="s">
        <v>29</v>
      </c>
      <c r="E46" s="72" t="s">
        <v>30</v>
      </c>
      <c r="F46" s="74"/>
      <c r="G46" s="75" t="s">
        <v>31</v>
      </c>
      <c r="H46" s="72"/>
      <c r="I46" s="75" t="s">
        <v>32</v>
      </c>
      <c r="J46" s="76"/>
    </row>
    <row r="47" spans="1:10" s="77" customFormat="1" ht="18">
      <c r="A47" s="78"/>
      <c r="B47" s="71" t="s">
        <v>33</v>
      </c>
      <c r="C47" s="191"/>
      <c r="D47" s="191"/>
      <c r="E47" s="191"/>
      <c r="F47" s="79" t="s">
        <v>34</v>
      </c>
      <c r="G47" s="80"/>
      <c r="H47" s="81"/>
      <c r="I47" s="71" t="s">
        <v>35</v>
      </c>
      <c r="J47" s="82"/>
    </row>
    <row r="48" spans="1:10" s="77" customFormat="1" ht="18">
      <c r="A48" s="78"/>
      <c r="B48" s="71" t="s">
        <v>36</v>
      </c>
      <c r="C48" s="192"/>
      <c r="D48" s="192"/>
      <c r="E48" s="192"/>
      <c r="F48" s="79" t="s">
        <v>37</v>
      </c>
      <c r="G48" s="83"/>
      <c r="H48" s="83"/>
      <c r="I48" s="193"/>
      <c r="J48" s="194"/>
    </row>
    <row r="49" spans="1:10" s="77" customFormat="1" ht="18">
      <c r="A49" s="78"/>
      <c r="B49" s="71" t="s">
        <v>38</v>
      </c>
      <c r="C49" s="195"/>
      <c r="D49" s="195"/>
      <c r="E49" s="195"/>
      <c r="F49" s="79" t="s">
        <v>39</v>
      </c>
      <c r="G49" s="196"/>
      <c r="H49" s="197"/>
      <c r="I49" s="197"/>
      <c r="J49" s="84"/>
    </row>
    <row r="50" spans="1:10" s="77" customFormat="1" ht="18.75" thickBot="1">
      <c r="A50" s="85"/>
      <c r="B50" s="86"/>
      <c r="C50" s="87"/>
      <c r="D50" s="87"/>
      <c r="E50" s="87"/>
      <c r="F50" s="88"/>
      <c r="G50" s="89"/>
      <c r="H50" s="90"/>
      <c r="I50" s="90"/>
      <c r="J50" s="91"/>
    </row>
    <row r="51" spans="1:10" s="93" customFormat="1" ht="11.25">
      <c r="A51" s="92"/>
      <c r="B51" s="32"/>
      <c r="C51" s="32"/>
      <c r="D51" s="32"/>
      <c r="E51" s="32"/>
      <c r="F51" s="32"/>
      <c r="G51" s="32"/>
      <c r="H51" s="92"/>
      <c r="I51" s="32"/>
      <c r="J51" s="32"/>
    </row>
    <row r="52" spans="1:10">
      <c r="A52" s="57" t="s">
        <v>40</v>
      </c>
      <c r="B52" s="94"/>
      <c r="C52" s="94"/>
      <c r="D52" s="94"/>
      <c r="E52" s="94"/>
      <c r="F52" s="58"/>
      <c r="G52" s="58"/>
      <c r="H52" s="58"/>
      <c r="I52" s="58"/>
      <c r="J52" s="58"/>
    </row>
    <row r="53" spans="1:10" s="96" customFormat="1" ht="5.25">
      <c r="A53" s="95"/>
      <c r="B53" s="95"/>
      <c r="C53" s="95"/>
      <c r="D53" s="95"/>
      <c r="E53" s="95"/>
      <c r="F53" s="95"/>
      <c r="G53" s="95"/>
      <c r="H53" s="95"/>
      <c r="I53" s="95"/>
      <c r="J53" s="95"/>
    </row>
    <row r="54" spans="1:10">
      <c r="A54" s="97" t="s">
        <v>41</v>
      </c>
      <c r="B54" s="58"/>
      <c r="C54" s="58"/>
      <c r="D54" s="58"/>
      <c r="E54" s="58"/>
      <c r="F54" s="58"/>
      <c r="G54" s="58"/>
      <c r="H54" s="58"/>
      <c r="I54" s="58"/>
      <c r="J54" s="58"/>
    </row>
    <row r="55" spans="1:10" s="96" customFormat="1" ht="3" customHeight="1">
      <c r="A55" s="98"/>
      <c r="B55" s="95"/>
      <c r="C55" s="95"/>
      <c r="D55" s="95"/>
      <c r="E55" s="95"/>
      <c r="F55" s="95"/>
      <c r="G55" s="95"/>
      <c r="H55" s="95"/>
      <c r="I55" s="95"/>
      <c r="J55" s="95"/>
    </row>
    <row r="56" spans="1:10">
      <c r="A56" s="58" t="s">
        <v>42</v>
      </c>
      <c r="B56" s="58"/>
      <c r="C56" s="58"/>
      <c r="D56" s="58"/>
      <c r="E56" s="183" t="s">
        <v>43</v>
      </c>
      <c r="F56" s="184"/>
      <c r="G56" s="184"/>
      <c r="H56" s="1"/>
      <c r="I56" s="99" t="s">
        <v>44</v>
      </c>
      <c r="J56" s="100"/>
    </row>
    <row r="57" spans="1:10" s="96" customFormat="1" ht="11.25">
      <c r="A57" s="95"/>
      <c r="B57" s="101"/>
      <c r="F57" s="95"/>
      <c r="G57" s="95"/>
      <c r="H57" s="95"/>
      <c r="I57" s="95"/>
      <c r="J57" s="102" t="s">
        <v>45</v>
      </c>
    </row>
    <row r="58" spans="1:10" s="96" customFormat="1" ht="3" customHeight="1">
      <c r="A58" s="95"/>
      <c r="B58" s="101"/>
      <c r="E58" s="101"/>
      <c r="F58" s="95"/>
      <c r="G58" s="95"/>
      <c r="H58" s="95"/>
      <c r="I58" s="95"/>
      <c r="J58" s="95"/>
    </row>
    <row r="59" spans="1:10">
      <c r="A59" s="58" t="s">
        <v>46</v>
      </c>
      <c r="B59" s="58"/>
      <c r="C59" s="58"/>
      <c r="D59" s="58"/>
      <c r="E59" s="58"/>
      <c r="F59" s="58"/>
      <c r="G59" s="58"/>
      <c r="H59" s="58"/>
      <c r="I59" s="58"/>
      <c r="J59" s="103"/>
    </row>
    <row r="60" spans="1:10" s="96" customFormat="1" ht="11.25">
      <c r="A60" s="95"/>
      <c r="B60" s="95"/>
      <c r="E60" s="95"/>
      <c r="F60" s="95"/>
      <c r="G60" s="95"/>
      <c r="H60" s="95"/>
      <c r="I60" s="95"/>
      <c r="J60" s="104"/>
    </row>
    <row r="61" spans="1:10">
      <c r="A61" s="105" t="s">
        <v>47</v>
      </c>
      <c r="B61" s="106"/>
      <c r="C61" s="106"/>
      <c r="D61" s="107" t="s">
        <v>48</v>
      </c>
      <c r="E61" s="106"/>
      <c r="F61" s="108"/>
      <c r="G61" s="169" t="s">
        <v>49</v>
      </c>
      <c r="H61" s="170"/>
      <c r="I61" s="171"/>
      <c r="J61" s="172" t="s">
        <v>50</v>
      </c>
    </row>
    <row r="62" spans="1:10">
      <c r="A62" s="109" t="s">
        <v>51</v>
      </c>
      <c r="B62" s="110"/>
      <c r="C62" s="110"/>
      <c r="D62" s="110" t="s">
        <v>52</v>
      </c>
      <c r="E62" s="110"/>
      <c r="F62" s="111"/>
      <c r="G62" s="112" t="s">
        <v>53</v>
      </c>
      <c r="H62" s="113"/>
      <c r="I62" s="114" t="s">
        <v>54</v>
      </c>
      <c r="J62" s="111"/>
    </row>
    <row r="63" spans="1:10">
      <c r="A63" s="109" t="s">
        <v>55</v>
      </c>
      <c r="B63" s="110"/>
      <c r="C63" s="110"/>
      <c r="D63" s="110" t="s">
        <v>56</v>
      </c>
      <c r="E63" s="110"/>
      <c r="F63" s="111"/>
      <c r="G63" s="115" t="s">
        <v>57</v>
      </c>
      <c r="H63" s="116"/>
      <c r="I63" s="117" t="s">
        <v>58</v>
      </c>
      <c r="J63" s="111"/>
    </row>
    <row r="64" spans="1:10">
      <c r="A64" s="118" t="s">
        <v>59</v>
      </c>
      <c r="B64" s="110"/>
      <c r="C64" s="110"/>
      <c r="D64" s="110"/>
      <c r="E64" s="119" t="s">
        <v>60</v>
      </c>
      <c r="F64" s="111"/>
      <c r="G64" s="120" t="s">
        <v>61</v>
      </c>
      <c r="H64" s="121"/>
      <c r="I64" s="121" t="s">
        <v>62</v>
      </c>
      <c r="J64" s="122"/>
    </row>
    <row r="65" spans="1:10">
      <c r="A65" s="109" t="s">
        <v>63</v>
      </c>
      <c r="B65" s="110"/>
      <c r="C65" s="123"/>
      <c r="D65" s="124" t="s">
        <v>64</v>
      </c>
      <c r="E65" s="110"/>
      <c r="F65" s="111"/>
      <c r="G65" s="125"/>
      <c r="H65" s="126" t="s">
        <v>65</v>
      </c>
      <c r="I65" s="127" t="s">
        <v>66</v>
      </c>
      <c r="J65" s="108"/>
    </row>
    <row r="66" spans="1:10">
      <c r="A66" s="109" t="s">
        <v>67</v>
      </c>
      <c r="B66" s="110"/>
      <c r="C66" s="128"/>
      <c r="D66" s="124" t="s">
        <v>68</v>
      </c>
      <c r="E66" s="110"/>
      <c r="F66" s="111"/>
      <c r="G66" s="129"/>
      <c r="H66" s="130" t="s">
        <v>69</v>
      </c>
      <c r="I66" s="127" t="s">
        <v>70</v>
      </c>
      <c r="J66" s="111"/>
    </row>
    <row r="67" spans="1:10" s="7" customFormat="1">
      <c r="A67" s="131"/>
      <c r="B67" s="132"/>
      <c r="C67" s="132"/>
      <c r="D67" s="160" t="s">
        <v>83</v>
      </c>
      <c r="E67" s="132"/>
      <c r="F67" s="132"/>
      <c r="G67" s="133"/>
      <c r="H67" s="134" t="s">
        <v>71</v>
      </c>
      <c r="I67" s="135" t="s">
        <v>72</v>
      </c>
      <c r="J67" s="136"/>
    </row>
  </sheetData>
  <mergeCells count="29">
    <mergeCell ref="F17:G17"/>
    <mergeCell ref="A20:D20"/>
    <mergeCell ref="C47:E47"/>
    <mergeCell ref="C48:E48"/>
    <mergeCell ref="I48:J48"/>
    <mergeCell ref="C49:E49"/>
    <mergeCell ref="G49:I49"/>
    <mergeCell ref="E56:G56"/>
    <mergeCell ref="F23:G23"/>
    <mergeCell ref="F24:G24"/>
    <mergeCell ref="E27:E28"/>
    <mergeCell ref="F27:G28"/>
    <mergeCell ref="F25:G25"/>
    <mergeCell ref="B9:D9"/>
    <mergeCell ref="G9:J9"/>
    <mergeCell ref="B10:D10"/>
    <mergeCell ref="G10:J10"/>
    <mergeCell ref="F21:G21"/>
    <mergeCell ref="F22:G22"/>
    <mergeCell ref="F13:G13"/>
    <mergeCell ref="F14:G14"/>
    <mergeCell ref="F15:G15"/>
    <mergeCell ref="F16:G16"/>
    <mergeCell ref="I1:J1"/>
    <mergeCell ref="A5:J5"/>
    <mergeCell ref="B7:D7"/>
    <mergeCell ref="G7:J7"/>
    <mergeCell ref="B8:D8"/>
    <mergeCell ref="G8:J8"/>
  </mergeCells>
  <hyperlinks>
    <hyperlink ref="G27" r:id="rId1" display="HeavenlySales@vailresorts.com"/>
    <hyperlink ref="H5" r:id="rId2" display="HeavenlySales@vailresorts.com"/>
    <hyperlink ref="D67" r:id="rId3"/>
  </hyperlinks>
  <pageMargins left="0.7" right="0.7" top="0.75" bottom="0.75" header="0.3" footer="0.3"/>
  <pageSetup scale="75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Vail Resorts,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Grondin</dc:creator>
  <cp:lastModifiedBy>rroberts1</cp:lastModifiedBy>
  <cp:lastPrinted>2012-05-03T21:52:13Z</cp:lastPrinted>
  <dcterms:created xsi:type="dcterms:W3CDTF">2012-05-03T20:54:51Z</dcterms:created>
  <dcterms:modified xsi:type="dcterms:W3CDTF">2012-05-14T17:24:58Z</dcterms:modified>
</cp:coreProperties>
</file>