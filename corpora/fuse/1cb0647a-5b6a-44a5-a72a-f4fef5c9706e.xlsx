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9035" windowHeight="11760"/>
  </bookViews>
  <sheets>
    <sheet name="Final March 2012 List" sheetId="1" r:id="rId1"/>
  </sheets>
  <externalReferences>
    <externalReference r:id="rId2"/>
  </externalReferences>
  <definedNames>
    <definedName name="_xlnm.Print_Titles" localSheetId="0">'Final March 2012 List'!$3:$3</definedName>
    <definedName name="ProjectType">'[1]Dropdown lists'!$A$2:$A$11</definedName>
  </definedNames>
  <calcPr calcId="125725"/>
</workbook>
</file>

<file path=xl/calcChain.xml><?xml version="1.0" encoding="utf-8"?>
<calcChain xmlns="http://schemas.openxmlformats.org/spreadsheetml/2006/main">
  <c r="H32" i="1"/>
  <c r="E32"/>
  <c r="D32"/>
  <c r="G14"/>
  <c r="G12"/>
  <c r="F12"/>
  <c r="G10"/>
  <c r="F10"/>
  <c r="F32" s="1"/>
  <c r="G7"/>
  <c r="G6"/>
  <c r="G32" s="1"/>
  <c r="G33" l="1"/>
</calcChain>
</file>

<file path=xl/sharedStrings.xml><?xml version="1.0" encoding="utf-8"?>
<sst xmlns="http://schemas.openxmlformats.org/spreadsheetml/2006/main" count="109" uniqueCount="86">
  <si>
    <t xml:space="preserve">North Carolina Clean Water State Revolving Fund </t>
  </si>
  <si>
    <t>Final Project List - March 2012 Applications</t>
  </si>
  <si>
    <t>Applicant Name</t>
  </si>
  <si>
    <t>Project Name</t>
  </si>
  <si>
    <t>County</t>
  </si>
  <si>
    <t>CWSRF Loan Amount</t>
  </si>
  <si>
    <t>Green Project Reserve</t>
  </si>
  <si>
    <t>Principle Forgiveness</t>
  </si>
  <si>
    <t>CWSRF - Base</t>
  </si>
  <si>
    <t>Project Cost</t>
  </si>
  <si>
    <t>Priority Points</t>
  </si>
  <si>
    <t>Midland, Town of</t>
  </si>
  <si>
    <t>Cabarrus Acres Sewer Project</t>
  </si>
  <si>
    <t>Cabarrus</t>
  </si>
  <si>
    <t>Maysvillle, Town of</t>
  </si>
  <si>
    <t>Town of Maysville Maple Ave Green Stormwater Improvements</t>
  </si>
  <si>
    <t>Jones</t>
  </si>
  <si>
    <t>#</t>
  </si>
  <si>
    <t>Eden, City of</t>
  </si>
  <si>
    <t>Tanyard Branch Outfall Rehabiliation</t>
  </si>
  <si>
    <t>Rockingham</t>
  </si>
  <si>
    <t>Williamston, Town of</t>
  </si>
  <si>
    <t>Sanitary Sewer Rehab</t>
  </si>
  <si>
    <t>Martin</t>
  </si>
  <si>
    <t>Newton, City of</t>
  </si>
  <si>
    <t>Snow Creek Sewer Outfall Rehab, Phase II, III, &amp; IV</t>
  </si>
  <si>
    <t>Catawba</t>
  </si>
  <si>
    <t>Yadkin Valley Sewer Authority</t>
  </si>
  <si>
    <t>Southwest Elkin Sewer Area Rehabilitation Project</t>
  </si>
  <si>
    <t>Yadkin</t>
  </si>
  <si>
    <t>Andrews, Town of</t>
  </si>
  <si>
    <t>Main Street Sewer Rehab</t>
  </si>
  <si>
    <t>Cherokee</t>
  </si>
  <si>
    <t>Lenoir, City of</t>
  </si>
  <si>
    <t>Gunpowder Creek WTTP Improvements</t>
  </si>
  <si>
    <t>Caldwell</t>
  </si>
  <si>
    <t>Henderson, City of</t>
  </si>
  <si>
    <t>Sandy Creek Pump Station Improvements</t>
  </si>
  <si>
    <t>Vance</t>
  </si>
  <si>
    <t>Spring Lake, Town of</t>
  </si>
  <si>
    <t>Lower Little River Interceptor</t>
  </si>
  <si>
    <t>Cumberland</t>
  </si>
  <si>
    <t>Edgecombe W&amp;S District #5</t>
  </si>
  <si>
    <t>Hwy 33/Logsboro Rd WW Collection &amp; Transport System</t>
  </si>
  <si>
    <t>Edgecombe</t>
  </si>
  <si>
    <t>Murphy, Town of</t>
  </si>
  <si>
    <t>Downtown Sewer Rehab</t>
  </si>
  <si>
    <t>WWTP System Rehab</t>
  </si>
  <si>
    <t>Edgecombe W&amp;S District #4</t>
  </si>
  <si>
    <t>WW Collection &amp; Transport System to Town of Speed</t>
  </si>
  <si>
    <t>@</t>
  </si>
  <si>
    <t>Stanley, Town of</t>
  </si>
  <si>
    <t>Stanley Sewer Interconnect</t>
  </si>
  <si>
    <t>Gaston</t>
  </si>
  <si>
    <t>Jonesville Phase 1 Collection System Improvements</t>
  </si>
  <si>
    <t>Clyde, Town of</t>
  </si>
  <si>
    <t>Fire Station Branch Sewer Line Replacement</t>
  </si>
  <si>
    <t>Haywood</t>
  </si>
  <si>
    <t>Willilamston, Town of</t>
  </si>
  <si>
    <t>Annexation Area A Sanitary Sewer Improvements</t>
  </si>
  <si>
    <t>Orange, County of</t>
  </si>
  <si>
    <t>McGowan Creek Interceptor</t>
  </si>
  <si>
    <t>Orange</t>
  </si>
  <si>
    <t>Stanly, County of</t>
  </si>
  <si>
    <t>Tarheel Challenge Academy/NC Hwy 740 Sewer</t>
  </si>
  <si>
    <t>Stanly</t>
  </si>
  <si>
    <t>Green Level, Town of</t>
  </si>
  <si>
    <t>New Outfall constructon from Green Level to East Burlington WWTF</t>
  </si>
  <si>
    <t>Alamance</t>
  </si>
  <si>
    <t>Albemarle, City of</t>
  </si>
  <si>
    <t>WWTP Headworks Improvements</t>
  </si>
  <si>
    <t>Kinston, City of</t>
  </si>
  <si>
    <t>Smithfield Foods Sewer Improvements</t>
  </si>
  <si>
    <t>Lenoir</t>
  </si>
  <si>
    <t>Northwest, City of</t>
  </si>
  <si>
    <t>Northwest Wastewater Collection System Improvement Project</t>
  </si>
  <si>
    <t>Brunswick</t>
  </si>
  <si>
    <t>Sanitary Sewer Rehab, Phase I</t>
  </si>
  <si>
    <t xml:space="preserve">Maxton, Town of </t>
  </si>
  <si>
    <t>Sewer System Overflow Prevention &amp; Response Pgm</t>
  </si>
  <si>
    <t>Robeson</t>
  </si>
  <si>
    <t>*</t>
  </si>
  <si>
    <t>WWTP Rehabilitation</t>
  </si>
  <si>
    <t>Category Totals</t>
  </si>
  <si>
    <t>Total Funding</t>
  </si>
  <si>
    <r>
      <t>2011 Capitalization Grant Allocations</t>
    </r>
    <r>
      <rPr>
        <b/>
        <vertAlign val="superscript"/>
        <sz val="10"/>
        <color indexed="8"/>
        <rFont val="Calibri"/>
        <family val="2"/>
      </rPr>
      <t>(1)</t>
    </r>
    <r>
      <rPr>
        <b/>
        <sz val="10"/>
        <color indexed="8"/>
        <rFont val="Calibri"/>
        <family val="2"/>
      </rPr>
      <t>:</t>
    </r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</si>
</sst>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164" formatCode="&quot;$&quot;#,##0.00"/>
    <numFmt numFmtId="165" formatCode="&quot;$&quot;#,##0.00;[Red]&quot;$&quot;#,##0.00"/>
    <numFmt numFmtId="166" formatCode="&quot;$&quot;#,##0;[Red]&quot;$&quot;#,##0"/>
  </numFmts>
  <fonts count="9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indexed="8"/>
      <name val="Calibri"/>
      <family val="2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0" fontId="3" fillId="0" borderId="2" xfId="0" applyFont="1" applyBorder="1"/>
    <xf numFmtId="0" fontId="4" fillId="0" borderId="2" xfId="0" applyFont="1" applyBorder="1"/>
    <xf numFmtId="165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3" fillId="0" borderId="3" xfId="0" applyNumberFormat="1" applyFont="1" applyBorder="1"/>
    <xf numFmtId="2" fontId="3" fillId="0" borderId="2" xfId="0" applyNumberFormat="1" applyFont="1" applyBorder="1" applyAlignment="1">
      <alignment horizontal="center"/>
    </xf>
    <xf numFmtId="0" fontId="3" fillId="0" borderId="4" xfId="0" applyFont="1" applyFill="1" applyBorder="1"/>
    <xf numFmtId="0" fontId="4" fillId="0" borderId="4" xfId="0" applyFont="1" applyFill="1" applyBorder="1"/>
    <xf numFmtId="165" fontId="3" fillId="0" borderId="4" xfId="0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center"/>
    </xf>
    <xf numFmtId="164" fontId="3" fillId="0" borderId="4" xfId="0" applyNumberFormat="1" applyFont="1" applyFill="1" applyBorder="1"/>
    <xf numFmtId="2" fontId="3" fillId="0" borderId="4" xfId="0" applyNumberFormat="1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/>
    <xf numFmtId="0" fontId="3" fillId="0" borderId="4" xfId="0" applyFont="1" applyBorder="1"/>
    <xf numFmtId="0" fontId="4" fillId="0" borderId="4" xfId="0" applyFont="1" applyBorder="1"/>
    <xf numFmtId="165" fontId="3" fillId="0" borderId="4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164" fontId="3" fillId="0" borderId="4" xfId="0" applyNumberFormat="1" applyFont="1" applyFill="1" applyBorder="1" applyAlignment="1">
      <alignment horizontal="right"/>
    </xf>
    <xf numFmtId="164" fontId="3" fillId="0" borderId="5" xfId="0" applyNumberFormat="1" applyFont="1" applyFill="1" applyBorder="1" applyAlignment="1">
      <alignment horizontal="right"/>
    </xf>
    <xf numFmtId="164" fontId="3" fillId="0" borderId="1" xfId="0" applyNumberFormat="1" applyFont="1" applyFill="1" applyBorder="1"/>
    <xf numFmtId="164" fontId="3" fillId="0" borderId="2" xfId="0" applyNumberFormat="1" applyFont="1" applyFill="1" applyBorder="1"/>
    <xf numFmtId="164" fontId="3" fillId="0" borderId="4" xfId="0" applyNumberFormat="1" applyFont="1" applyFill="1" applyBorder="1" applyAlignment="1">
      <alignment horizontal="center"/>
    </xf>
    <xf numFmtId="164" fontId="3" fillId="0" borderId="4" xfId="0" applyNumberFormat="1" applyFont="1" applyBorder="1"/>
    <xf numFmtId="165" fontId="3" fillId="0" borderId="5" xfId="0" applyNumberFormat="1" applyFont="1" applyBorder="1" applyAlignment="1">
      <alignment horizontal="right"/>
    </xf>
    <xf numFmtId="164" fontId="3" fillId="2" borderId="6" xfId="0" applyNumberFormat="1" applyFont="1" applyFill="1" applyBorder="1" applyAlignment="1">
      <alignment horizontal="center"/>
    </xf>
    <xf numFmtId="2" fontId="3" fillId="2" borderId="4" xfId="0" applyNumberFormat="1" applyFont="1" applyFill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165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/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center"/>
    </xf>
    <xf numFmtId="0" fontId="6" fillId="0" borderId="0" xfId="0" applyFont="1" applyBorder="1"/>
    <xf numFmtId="165" fontId="6" fillId="0" borderId="7" xfId="0" applyNumberFormat="1" applyFont="1" applyBorder="1"/>
    <xf numFmtId="164" fontId="6" fillId="0" borderId="7" xfId="0" applyNumberFormat="1" applyFont="1" applyBorder="1"/>
    <xf numFmtId="0" fontId="3" fillId="0" borderId="0" xfId="0" applyFont="1" applyBorder="1" applyAlignment="1">
      <alignment horizontal="center"/>
    </xf>
    <xf numFmtId="164" fontId="6" fillId="0" borderId="0" xfId="0" applyNumberFormat="1" applyFont="1" applyBorder="1"/>
    <xf numFmtId="164" fontId="0" fillId="0" borderId="0" xfId="0" applyNumberFormat="1"/>
    <xf numFmtId="166" fontId="6" fillId="0" borderId="0" xfId="0" applyNumberFormat="1" applyFont="1" applyAlignment="1">
      <alignment horizontal="right"/>
    </xf>
    <xf numFmtId="164" fontId="6" fillId="0" borderId="0" xfId="0" applyNumberFormat="1" applyFont="1"/>
    <xf numFmtId="166" fontId="6" fillId="0" borderId="0" xfId="0" applyNumberFormat="1" applyFont="1"/>
    <xf numFmtId="6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36</xdr:row>
      <xdr:rowOff>114300</xdr:rowOff>
    </xdr:from>
    <xdr:to>
      <xdr:col>8</xdr:col>
      <xdr:colOff>333375</xdr:colOff>
      <xdr:row>45</xdr:row>
      <xdr:rowOff>152400</xdr:rowOff>
    </xdr:to>
    <xdr:sp macro="" textlink="">
      <xdr:nvSpPr>
        <xdr:cNvPr id="2" name="TextBox 1"/>
        <xdr:cNvSpPr txBox="1"/>
      </xdr:nvSpPr>
      <xdr:spPr>
        <a:xfrm>
          <a:off x="6315075" y="7210425"/>
          <a:ext cx="4943475" cy="175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00">
              <a:solidFill>
                <a:schemeClr val="dk1"/>
              </a:solidFill>
              <a:latin typeface="+mn-lt"/>
              <a:ea typeface="+mn-ea"/>
              <a:cs typeface="+mn-cs"/>
            </a:rPr>
            <a:t># - Requested principal</a:t>
          </a:r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 forgiveness but did not meet requirements</a:t>
          </a:r>
        </a:p>
        <a:p>
          <a:endParaRPr lang="en-US" sz="1000">
            <a:latin typeface="+mn-lt"/>
          </a:endParaRPr>
        </a:p>
        <a:p>
          <a:r>
            <a:rPr lang="en-US" sz="10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@</a:t>
          </a:r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 - Declined CWSRF loan without principal forgiveness included</a:t>
          </a:r>
        </a:p>
        <a:p>
          <a:endParaRPr lang="en-US" sz="10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* - Incomplete Application</a:t>
          </a:r>
        </a:p>
        <a:p>
          <a:endParaRPr lang="en-US" sz="1000">
            <a:latin typeface="+mn-lt"/>
          </a:endParaRPr>
        </a:p>
        <a:p>
          <a:r>
            <a:rPr lang="en-US" sz="1000">
              <a:solidFill>
                <a:schemeClr val="dk1"/>
              </a:solidFill>
              <a:latin typeface="+mn-lt"/>
              <a:ea typeface="+mn-ea"/>
              <a:cs typeface="+mn-cs"/>
            </a:rPr>
            <a:t>(1) - 2011 Capitalization</a:t>
          </a:r>
          <a:r>
            <a:rPr lang="en-US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 Grant principal forgiveness allocation is $2,469,546 minimum and approximately $8 million maximum with approximately $4 million allocated in both Sept., 2011 and March, 2012.</a:t>
          </a:r>
          <a:endParaRPr lang="en-US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0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S/CWSRF%20App%20Cycles/2012%20March/March%202012%20Track/CWSRF%20March%202012%20Applications%20(revised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rch 2012 Applications"/>
      <sheetName val="Dropdown lists"/>
      <sheetName val="Final March 2012 List"/>
    </sheetNames>
    <sheetDataSet>
      <sheetData sheetId="0"/>
      <sheetData sheetId="1">
        <row r="2">
          <cell r="A2" t="str">
            <v>WWTP, New or Exp</v>
          </cell>
        </row>
        <row r="3">
          <cell r="A3" t="str">
            <v>WWTP, Rehab</v>
          </cell>
        </row>
        <row r="4">
          <cell r="A4" t="str">
            <v>Sewer, New or Exp</v>
          </cell>
        </row>
        <row r="5">
          <cell r="A5" t="str">
            <v>Sewer, Rehab</v>
          </cell>
        </row>
        <row r="6">
          <cell r="A6" t="str">
            <v>Stream Restoration</v>
          </cell>
        </row>
        <row r="7">
          <cell r="A7" t="str">
            <v>Stormwater BMP</v>
          </cell>
        </row>
        <row r="8">
          <cell r="A8" t="str">
            <v>Reclaimed Water, New</v>
          </cell>
        </row>
        <row r="9">
          <cell r="A9" t="str">
            <v>Reclaimed Water, Exp</v>
          </cell>
        </row>
        <row r="10">
          <cell r="A10" t="str">
            <v>Energy Eff</v>
          </cell>
        </row>
        <row r="11">
          <cell r="A11" t="str">
            <v>Other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97"/>
  <sheetViews>
    <sheetView tabSelected="1" workbookViewId="0">
      <pane xSplit="2" topLeftCell="C1" activePane="topRight" state="frozen"/>
      <selection pane="topRight" activeCell="G33" sqref="G33"/>
    </sheetView>
  </sheetViews>
  <sheetFormatPr defaultRowHeight="15"/>
  <cols>
    <col min="1" max="1" width="25.28515625" customWidth="1"/>
    <col min="2" max="2" width="55" customWidth="1"/>
    <col min="3" max="3" width="13.7109375" customWidth="1"/>
    <col min="4" max="4" width="14.85546875" customWidth="1"/>
    <col min="5" max="7" width="13.7109375" customWidth="1"/>
    <col min="8" max="8" width="13.85546875" bestFit="1" customWidth="1"/>
    <col min="9" max="9" width="8.140625" style="2" bestFit="1" customWidth="1"/>
    <col min="10" max="10" width="9.140625" style="3"/>
  </cols>
  <sheetData>
    <row r="1" spans="1:12" ht="15.75" customHeight="1">
      <c r="A1" s="1" t="s">
        <v>0</v>
      </c>
    </row>
    <row r="2" spans="1:12" ht="15.75" customHeight="1">
      <c r="A2" s="1" t="s">
        <v>1</v>
      </c>
    </row>
    <row r="3" spans="1:12" ht="28.5" customHeight="1" thickBo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7"/>
      <c r="K3" s="7"/>
      <c r="L3" s="8"/>
    </row>
    <row r="4" spans="1:12">
      <c r="A4" s="9" t="s">
        <v>11</v>
      </c>
      <c r="B4" s="10" t="s">
        <v>12</v>
      </c>
      <c r="C4" s="9" t="s">
        <v>13</v>
      </c>
      <c r="D4" s="11">
        <v>1200000</v>
      </c>
      <c r="E4" s="12"/>
      <c r="F4" s="13"/>
      <c r="G4" s="11">
        <v>1200000</v>
      </c>
      <c r="H4" s="11">
        <v>1224000</v>
      </c>
      <c r="I4" s="14">
        <v>66.84</v>
      </c>
    </row>
    <row r="5" spans="1:12" s="22" customFormat="1">
      <c r="A5" s="15" t="s">
        <v>14</v>
      </c>
      <c r="B5" s="16" t="s">
        <v>15</v>
      </c>
      <c r="C5" s="15" t="s">
        <v>16</v>
      </c>
      <c r="D5" s="17">
        <v>1613825</v>
      </c>
      <c r="E5" s="17">
        <v>1613825</v>
      </c>
      <c r="F5" s="18" t="s">
        <v>17</v>
      </c>
      <c r="G5" s="19"/>
      <c r="H5" s="17">
        <v>1613825</v>
      </c>
      <c r="I5" s="20">
        <v>61.54</v>
      </c>
      <c r="J5" s="21"/>
    </row>
    <row r="6" spans="1:12">
      <c r="A6" s="23" t="s">
        <v>18</v>
      </c>
      <c r="B6" s="24" t="s">
        <v>19</v>
      </c>
      <c r="C6" s="23" t="s">
        <v>20</v>
      </c>
      <c r="D6" s="25">
        <v>2519449.4</v>
      </c>
      <c r="E6" s="19"/>
      <c r="F6" s="19">
        <v>1000000</v>
      </c>
      <c r="G6" s="19">
        <f>D6-F6</f>
        <v>1519449.4</v>
      </c>
      <c r="H6" s="25">
        <v>3044449.4</v>
      </c>
      <c r="I6" s="26">
        <v>56.75</v>
      </c>
    </row>
    <row r="7" spans="1:12">
      <c r="A7" s="23" t="s">
        <v>21</v>
      </c>
      <c r="B7" s="24" t="s">
        <v>22</v>
      </c>
      <c r="C7" s="23" t="s">
        <v>23</v>
      </c>
      <c r="D7" s="25">
        <v>2083289</v>
      </c>
      <c r="E7" s="19"/>
      <c r="F7" s="19">
        <v>1000000</v>
      </c>
      <c r="G7" s="19">
        <f>D7-F7</f>
        <v>1083289</v>
      </c>
      <c r="H7" s="25">
        <v>2083289</v>
      </c>
      <c r="I7" s="26">
        <v>55.27</v>
      </c>
    </row>
    <row r="8" spans="1:12" ht="15.75" customHeight="1">
      <c r="A8" s="23" t="s">
        <v>24</v>
      </c>
      <c r="B8" s="24" t="s">
        <v>25</v>
      </c>
      <c r="C8" s="23" t="s">
        <v>26</v>
      </c>
      <c r="D8" s="25">
        <v>1399000</v>
      </c>
      <c r="E8" s="19"/>
      <c r="F8" s="18" t="s">
        <v>17</v>
      </c>
      <c r="G8" s="25">
        <v>1399000</v>
      </c>
      <c r="H8" s="25">
        <v>1399000</v>
      </c>
      <c r="I8" s="26">
        <v>55.19</v>
      </c>
      <c r="J8" s="27"/>
    </row>
    <row r="9" spans="1:12">
      <c r="A9" s="23" t="s">
        <v>27</v>
      </c>
      <c r="B9" s="24" t="s">
        <v>28</v>
      </c>
      <c r="C9" s="23" t="s">
        <v>29</v>
      </c>
      <c r="D9" s="25">
        <v>600000</v>
      </c>
      <c r="E9" s="19"/>
      <c r="F9" s="18" t="s">
        <v>17</v>
      </c>
      <c r="G9" s="25">
        <v>600000</v>
      </c>
      <c r="H9" s="25">
        <v>612000</v>
      </c>
      <c r="I9" s="26">
        <v>52.61</v>
      </c>
    </row>
    <row r="10" spans="1:12">
      <c r="A10" s="23" t="s">
        <v>30</v>
      </c>
      <c r="B10" s="24" t="s">
        <v>31</v>
      </c>
      <c r="C10" s="23" t="s">
        <v>32</v>
      </c>
      <c r="D10" s="25">
        <v>492300</v>
      </c>
      <c r="E10" s="19"/>
      <c r="F10" s="28">
        <f>0.5*D10</f>
        <v>246150</v>
      </c>
      <c r="G10" s="28">
        <f>0.5*D10</f>
        <v>246150</v>
      </c>
      <c r="H10" s="25">
        <v>502146</v>
      </c>
      <c r="I10" s="26">
        <v>50.28</v>
      </c>
    </row>
    <row r="11" spans="1:12">
      <c r="A11" s="23" t="s">
        <v>33</v>
      </c>
      <c r="B11" s="24" t="s">
        <v>34</v>
      </c>
      <c r="C11" s="23" t="s">
        <v>35</v>
      </c>
      <c r="D11" s="25">
        <v>3850000</v>
      </c>
      <c r="E11" s="19"/>
      <c r="F11" s="18" t="s">
        <v>17</v>
      </c>
      <c r="G11" s="25">
        <v>3850000</v>
      </c>
      <c r="H11" s="25">
        <v>3927000</v>
      </c>
      <c r="I11" s="26">
        <v>47.92</v>
      </c>
    </row>
    <row r="12" spans="1:12">
      <c r="A12" s="23" t="s">
        <v>36</v>
      </c>
      <c r="B12" s="24" t="s">
        <v>37</v>
      </c>
      <c r="C12" s="23" t="s">
        <v>38</v>
      </c>
      <c r="D12" s="25">
        <v>1800000</v>
      </c>
      <c r="E12" s="19"/>
      <c r="F12" s="29">
        <f>0.5*D12</f>
        <v>900000</v>
      </c>
      <c r="G12" s="28">
        <f>0.5*D12</f>
        <v>900000</v>
      </c>
      <c r="H12" s="25">
        <v>1836000</v>
      </c>
      <c r="I12" s="26">
        <v>46.51</v>
      </c>
    </row>
    <row r="13" spans="1:12" s="22" customFormat="1">
      <c r="A13" s="15" t="s">
        <v>39</v>
      </c>
      <c r="B13" s="16" t="s">
        <v>40</v>
      </c>
      <c r="C13" s="15" t="s">
        <v>41</v>
      </c>
      <c r="D13" s="17">
        <v>1756032</v>
      </c>
      <c r="E13" s="19"/>
      <c r="F13" s="29">
        <v>878016</v>
      </c>
      <c r="G13" s="17">
        <v>878016</v>
      </c>
      <c r="H13" s="17">
        <v>1779032</v>
      </c>
      <c r="I13" s="20">
        <v>44.3</v>
      </c>
      <c r="J13" s="21"/>
    </row>
    <row r="14" spans="1:12" s="22" customFormat="1" ht="15.75" thickBot="1">
      <c r="A14" s="15" t="s">
        <v>42</v>
      </c>
      <c r="B14" s="16" t="s">
        <v>43</v>
      </c>
      <c r="C14" s="15" t="s">
        <v>44</v>
      </c>
      <c r="D14" s="17">
        <v>3243815</v>
      </c>
      <c r="E14" s="19"/>
      <c r="F14" s="30">
        <v>550000</v>
      </c>
      <c r="G14" s="28">
        <f>D14-F14</f>
        <v>2693815</v>
      </c>
      <c r="H14" s="17">
        <v>3323991</v>
      </c>
      <c r="I14" s="20">
        <v>40.57</v>
      </c>
      <c r="J14" s="21"/>
    </row>
    <row r="15" spans="1:12">
      <c r="A15" s="23" t="s">
        <v>45</v>
      </c>
      <c r="B15" s="24" t="s">
        <v>46</v>
      </c>
      <c r="C15" s="23" t="s">
        <v>32</v>
      </c>
      <c r="D15" s="25">
        <v>251400</v>
      </c>
      <c r="E15" s="19"/>
      <c r="F15" s="31"/>
      <c r="G15" s="25">
        <v>251400</v>
      </c>
      <c r="H15" s="25">
        <v>256428</v>
      </c>
      <c r="I15" s="26">
        <v>38.69</v>
      </c>
    </row>
    <row r="16" spans="1:12">
      <c r="A16" s="23" t="s">
        <v>45</v>
      </c>
      <c r="B16" s="24" t="s">
        <v>47</v>
      </c>
      <c r="C16" s="23" t="s">
        <v>32</v>
      </c>
      <c r="D16" s="25">
        <v>247400</v>
      </c>
      <c r="E16" s="19"/>
      <c r="F16" s="19"/>
      <c r="G16" s="25">
        <v>247400</v>
      </c>
      <c r="H16" s="25">
        <v>252348</v>
      </c>
      <c r="I16" s="26">
        <v>35.69</v>
      </c>
    </row>
    <row r="17" spans="1:21" s="22" customFormat="1">
      <c r="A17" s="15" t="s">
        <v>48</v>
      </c>
      <c r="B17" s="16" t="s">
        <v>49</v>
      </c>
      <c r="C17" s="15" t="s">
        <v>44</v>
      </c>
      <c r="D17" s="17">
        <v>1000000</v>
      </c>
      <c r="E17" s="28"/>
      <c r="F17" s="28"/>
      <c r="G17" s="18" t="s">
        <v>50</v>
      </c>
      <c r="H17" s="17">
        <v>4630300</v>
      </c>
      <c r="I17" s="20">
        <v>35.57</v>
      </c>
      <c r="J17" s="21"/>
    </row>
    <row r="18" spans="1:21">
      <c r="A18" s="23" t="s">
        <v>51</v>
      </c>
      <c r="B18" s="24" t="s">
        <v>52</v>
      </c>
      <c r="C18" s="23" t="s">
        <v>53</v>
      </c>
      <c r="D18" s="25">
        <v>3083000</v>
      </c>
      <c r="E18" s="19"/>
      <c r="F18" s="19"/>
      <c r="G18" s="25">
        <v>3083000</v>
      </c>
      <c r="H18" s="25">
        <v>3083000</v>
      </c>
      <c r="I18" s="26">
        <v>32.68</v>
      </c>
    </row>
    <row r="19" spans="1:21">
      <c r="A19" s="23" t="s">
        <v>27</v>
      </c>
      <c r="B19" s="24" t="s">
        <v>54</v>
      </c>
      <c r="C19" s="23" t="s">
        <v>29</v>
      </c>
      <c r="D19" s="25">
        <v>1660260</v>
      </c>
      <c r="E19" s="19"/>
      <c r="F19" s="18" t="s">
        <v>17</v>
      </c>
      <c r="G19" s="18" t="s">
        <v>50</v>
      </c>
      <c r="H19" s="25">
        <v>1693360</v>
      </c>
      <c r="I19" s="26">
        <v>30.6</v>
      </c>
    </row>
    <row r="20" spans="1:21">
      <c r="A20" s="23" t="s">
        <v>55</v>
      </c>
      <c r="B20" s="24" t="s">
        <v>56</v>
      </c>
      <c r="C20" s="23" t="s">
        <v>57</v>
      </c>
      <c r="D20" s="25">
        <v>310100</v>
      </c>
      <c r="E20" s="19"/>
      <c r="F20" s="19"/>
      <c r="G20" s="25">
        <v>310100</v>
      </c>
      <c r="H20" s="25">
        <v>316302</v>
      </c>
      <c r="I20" s="26">
        <v>28.75</v>
      </c>
    </row>
    <row r="21" spans="1:21">
      <c r="A21" s="23" t="s">
        <v>58</v>
      </c>
      <c r="B21" s="24" t="s">
        <v>59</v>
      </c>
      <c r="C21" s="23" t="s">
        <v>23</v>
      </c>
      <c r="D21" s="25">
        <v>4230300</v>
      </c>
      <c r="E21" s="19"/>
      <c r="F21" s="19"/>
      <c r="G21" s="25">
        <v>4230300</v>
      </c>
      <c r="H21" s="25">
        <v>4230300</v>
      </c>
      <c r="I21" s="26">
        <v>27.27</v>
      </c>
    </row>
    <row r="22" spans="1:21">
      <c r="A22" s="23" t="s">
        <v>60</v>
      </c>
      <c r="B22" s="24" t="s">
        <v>61</v>
      </c>
      <c r="C22" s="23" t="s">
        <v>62</v>
      </c>
      <c r="D22" s="25">
        <v>755450</v>
      </c>
      <c r="E22" s="19"/>
      <c r="F22" s="18" t="s">
        <v>17</v>
      </c>
      <c r="G22" s="25">
        <v>755450</v>
      </c>
      <c r="H22" s="25">
        <v>755450</v>
      </c>
      <c r="I22" s="26">
        <v>23.86</v>
      </c>
    </row>
    <row r="23" spans="1:21" ht="15" customHeight="1">
      <c r="A23" s="23" t="s">
        <v>63</v>
      </c>
      <c r="B23" s="24" t="s">
        <v>64</v>
      </c>
      <c r="C23" s="23" t="s">
        <v>65</v>
      </c>
      <c r="D23" s="25">
        <v>1658000</v>
      </c>
      <c r="E23" s="19"/>
      <c r="F23" s="32"/>
      <c r="G23" s="25">
        <v>1658000</v>
      </c>
      <c r="H23" s="25">
        <v>1658000</v>
      </c>
      <c r="I23" s="26">
        <v>21.64</v>
      </c>
      <c r="J23" s="27"/>
    </row>
    <row r="24" spans="1:21">
      <c r="A24" s="23" t="s">
        <v>66</v>
      </c>
      <c r="B24" s="24" t="s">
        <v>67</v>
      </c>
      <c r="C24" s="23" t="s">
        <v>68</v>
      </c>
      <c r="D24" s="25">
        <v>1874900</v>
      </c>
      <c r="E24" s="19"/>
      <c r="F24" s="19"/>
      <c r="G24" s="25">
        <v>1874900</v>
      </c>
      <c r="H24" s="25">
        <v>1874900</v>
      </c>
      <c r="I24" s="26">
        <v>21.12</v>
      </c>
    </row>
    <row r="25" spans="1:21">
      <c r="A25" s="23" t="s">
        <v>69</v>
      </c>
      <c r="B25" s="24" t="s">
        <v>70</v>
      </c>
      <c r="C25" s="23" t="s">
        <v>65</v>
      </c>
      <c r="D25" s="25">
        <v>3664395</v>
      </c>
      <c r="E25" s="33"/>
      <c r="F25" s="18" t="s">
        <v>17</v>
      </c>
      <c r="G25" s="25">
        <v>3664395</v>
      </c>
      <c r="H25" s="25">
        <v>3664395</v>
      </c>
      <c r="I25" s="26">
        <v>20.39</v>
      </c>
    </row>
    <row r="26" spans="1:21">
      <c r="A26" s="23" t="s">
        <v>71</v>
      </c>
      <c r="B26" s="24" t="s">
        <v>72</v>
      </c>
      <c r="C26" s="23" t="s">
        <v>73</v>
      </c>
      <c r="D26" s="25">
        <v>775000</v>
      </c>
      <c r="E26" s="33"/>
      <c r="F26" s="33"/>
      <c r="G26" s="25">
        <v>775000</v>
      </c>
      <c r="H26" s="25">
        <v>4315500</v>
      </c>
      <c r="I26" s="26">
        <v>19.63</v>
      </c>
    </row>
    <row r="27" spans="1:21">
      <c r="A27" s="23" t="s">
        <v>74</v>
      </c>
      <c r="B27" s="24" t="s">
        <v>75</v>
      </c>
      <c r="C27" s="23" t="s">
        <v>76</v>
      </c>
      <c r="D27" s="25">
        <v>900000</v>
      </c>
      <c r="E27" s="33"/>
      <c r="F27" s="33"/>
      <c r="G27" s="25">
        <v>900000</v>
      </c>
      <c r="H27" s="25">
        <v>900000</v>
      </c>
      <c r="I27" s="26">
        <v>15.98</v>
      </c>
    </row>
    <row r="28" spans="1:21" ht="15.75" thickBot="1">
      <c r="A28" s="23" t="s">
        <v>69</v>
      </c>
      <c r="B28" s="24" t="s">
        <v>77</v>
      </c>
      <c r="C28" s="23" t="s">
        <v>65</v>
      </c>
      <c r="D28" s="25">
        <v>3252000</v>
      </c>
      <c r="E28" s="33"/>
      <c r="F28" s="18" t="s">
        <v>17</v>
      </c>
      <c r="G28" s="34">
        <v>3252000</v>
      </c>
      <c r="H28" s="25">
        <v>3316000</v>
      </c>
      <c r="I28" s="26">
        <v>10.34</v>
      </c>
    </row>
    <row r="29" spans="1:21">
      <c r="A29" s="23" t="s">
        <v>78</v>
      </c>
      <c r="B29" s="24" t="s">
        <v>79</v>
      </c>
      <c r="C29" s="23" t="s">
        <v>80</v>
      </c>
      <c r="D29" s="25">
        <v>976500</v>
      </c>
      <c r="E29" s="33"/>
      <c r="F29" s="33"/>
      <c r="G29" s="35" t="s">
        <v>81</v>
      </c>
      <c r="H29" s="25">
        <v>976500</v>
      </c>
      <c r="I29" s="36" t="s">
        <v>81</v>
      </c>
    </row>
    <row r="30" spans="1:21">
      <c r="A30" s="23" t="s">
        <v>78</v>
      </c>
      <c r="B30" s="24" t="s">
        <v>82</v>
      </c>
      <c r="C30" s="23" t="s">
        <v>80</v>
      </c>
      <c r="D30" s="25">
        <v>424300</v>
      </c>
      <c r="E30" s="33"/>
      <c r="F30" s="33"/>
      <c r="G30" s="18" t="s">
        <v>81</v>
      </c>
      <c r="H30" s="25">
        <v>424300</v>
      </c>
      <c r="I30" s="36" t="s">
        <v>81</v>
      </c>
    </row>
    <row r="31" spans="1:21" ht="15.75" thickBot="1">
      <c r="A31" s="37"/>
      <c r="B31" s="38"/>
      <c r="C31" s="37"/>
      <c r="D31" s="39"/>
      <c r="E31" s="40"/>
      <c r="F31" s="40"/>
      <c r="G31" s="41"/>
      <c r="H31" s="42"/>
      <c r="I31" s="43"/>
    </row>
    <row r="32" spans="1:21" s="3" customFormat="1">
      <c r="A32" s="37"/>
      <c r="B32" s="37"/>
      <c r="C32" s="44" t="s">
        <v>83</v>
      </c>
      <c r="D32" s="45">
        <f>SUM(D4:D30)</f>
        <v>45620715.399999999</v>
      </c>
      <c r="E32" s="46">
        <f>SUM(E4:E30)</f>
        <v>1613825</v>
      </c>
      <c r="F32" s="46">
        <f>SUM(F4:F30)</f>
        <v>4574166</v>
      </c>
      <c r="G32" s="46">
        <f>SUM(G4:G30)</f>
        <v>35371664.399999999</v>
      </c>
      <c r="H32" s="45">
        <f>SUM(H4:H30)</f>
        <v>53691815.399999999</v>
      </c>
      <c r="I32" s="47"/>
      <c r="K32"/>
      <c r="L32"/>
      <c r="M32"/>
      <c r="N32"/>
      <c r="O32"/>
      <c r="P32"/>
      <c r="Q32"/>
      <c r="R32"/>
      <c r="S32"/>
      <c r="T32"/>
      <c r="U32"/>
    </row>
    <row r="33" spans="1:21" s="3" customFormat="1">
      <c r="A33" s="37"/>
      <c r="B33" s="37"/>
      <c r="C33" s="37"/>
      <c r="D33" s="37"/>
      <c r="E33" s="40"/>
      <c r="F33" s="48" t="s">
        <v>84</v>
      </c>
      <c r="G33" s="48">
        <f>E32+F32+G32</f>
        <v>41559655.399999999</v>
      </c>
      <c r="H33" s="37"/>
      <c r="I33" s="47"/>
      <c r="K33"/>
      <c r="L33"/>
      <c r="M33"/>
      <c r="N33"/>
      <c r="O33"/>
      <c r="P33"/>
      <c r="Q33"/>
      <c r="R33"/>
      <c r="S33"/>
      <c r="T33"/>
      <c r="U33"/>
    </row>
    <row r="34" spans="1:21" s="3" customFormat="1">
      <c r="A34"/>
      <c r="B34"/>
      <c r="C34"/>
      <c r="D34"/>
      <c r="E34" s="49"/>
      <c r="F34" s="49"/>
      <c r="G34" s="49"/>
      <c r="H34"/>
      <c r="I34" s="2"/>
      <c r="K34"/>
      <c r="L34"/>
      <c r="M34"/>
      <c r="N34"/>
      <c r="O34"/>
      <c r="P34"/>
      <c r="Q34"/>
      <c r="R34"/>
      <c r="S34"/>
      <c r="T34"/>
      <c r="U34"/>
    </row>
    <row r="35" spans="1:21" s="3" customFormat="1" ht="15.75">
      <c r="A35"/>
      <c r="B35"/>
      <c r="C35"/>
      <c r="D35" s="50" t="s">
        <v>85</v>
      </c>
      <c r="E35" s="51">
        <v>5330000</v>
      </c>
      <c r="F35" s="51">
        <v>2469546</v>
      </c>
      <c r="G35" s="49"/>
      <c r="H35"/>
      <c r="I35" s="2"/>
      <c r="K35"/>
      <c r="L35"/>
      <c r="M35"/>
      <c r="N35"/>
      <c r="O35"/>
      <c r="P35"/>
      <c r="Q35"/>
      <c r="R35"/>
      <c r="S35"/>
      <c r="T35"/>
      <c r="U35"/>
    </row>
    <row r="36" spans="1:21" s="3" customFormat="1">
      <c r="A36"/>
      <c r="B36"/>
      <c r="C36"/>
      <c r="D36" s="52"/>
      <c r="E36" s="51"/>
      <c r="F36" s="51">
        <v>8000000</v>
      </c>
      <c r="G36" s="49"/>
      <c r="H36"/>
      <c r="I36" s="2"/>
      <c r="K36"/>
      <c r="L36"/>
      <c r="M36"/>
      <c r="N36"/>
      <c r="O36"/>
      <c r="P36"/>
      <c r="Q36"/>
      <c r="R36"/>
      <c r="S36"/>
      <c r="T36"/>
      <c r="U36"/>
    </row>
    <row r="37" spans="1:21" s="3" customFormat="1">
      <c r="A37"/>
      <c r="B37"/>
      <c r="C37"/>
      <c r="D37"/>
      <c r="E37" s="53"/>
      <c r="F37"/>
      <c r="G37"/>
      <c r="H37" s="49"/>
      <c r="I37" s="2"/>
      <c r="K37"/>
      <c r="L37"/>
      <c r="M37"/>
      <c r="N37"/>
      <c r="O37"/>
      <c r="P37"/>
      <c r="Q37"/>
      <c r="R37"/>
      <c r="S37"/>
      <c r="T37"/>
      <c r="U37"/>
    </row>
    <row r="38" spans="1:21" s="3" customFormat="1">
      <c r="A38"/>
      <c r="B38"/>
      <c r="C38"/>
      <c r="D38"/>
      <c r="E38"/>
      <c r="F38"/>
      <c r="G38"/>
      <c r="H38"/>
      <c r="I38" s="2"/>
      <c r="K38"/>
      <c r="L38"/>
      <c r="M38"/>
      <c r="N38"/>
      <c r="O38"/>
      <c r="P38"/>
      <c r="Q38"/>
      <c r="R38"/>
      <c r="S38"/>
      <c r="T38"/>
      <c r="U38"/>
    </row>
    <row r="39" spans="1:21" s="3" customFormat="1">
      <c r="A39"/>
      <c r="B39"/>
      <c r="C39"/>
      <c r="D39"/>
      <c r="E39"/>
      <c r="F39"/>
      <c r="G39"/>
      <c r="H39"/>
      <c r="I39" s="2"/>
      <c r="K39"/>
      <c r="L39"/>
      <c r="M39"/>
      <c r="N39"/>
      <c r="O39"/>
      <c r="P39"/>
      <c r="Q39"/>
      <c r="R39"/>
      <c r="S39"/>
      <c r="T39"/>
      <c r="U39"/>
    </row>
    <row r="40" spans="1:21" s="3" customFormat="1">
      <c r="A40"/>
      <c r="B40"/>
      <c r="C40"/>
      <c r="D40"/>
      <c r="E40"/>
      <c r="F40"/>
      <c r="G40"/>
      <c r="H40"/>
      <c r="I40" s="2"/>
      <c r="K40"/>
      <c r="L40"/>
      <c r="M40"/>
      <c r="N40"/>
      <c r="O40"/>
      <c r="P40"/>
      <c r="Q40"/>
      <c r="R40"/>
      <c r="S40"/>
      <c r="T40"/>
      <c r="U40"/>
    </row>
    <row r="41" spans="1:21" s="3" customFormat="1">
      <c r="A41"/>
      <c r="B41"/>
      <c r="C41"/>
      <c r="D41"/>
      <c r="E41"/>
      <c r="F41"/>
      <c r="G41"/>
      <c r="H41"/>
      <c r="I41" s="2"/>
      <c r="K41"/>
      <c r="L41"/>
      <c r="M41"/>
      <c r="N41"/>
      <c r="O41"/>
      <c r="P41"/>
      <c r="Q41"/>
      <c r="R41"/>
      <c r="S41"/>
      <c r="T41"/>
      <c r="U41"/>
    </row>
    <row r="42" spans="1:21" s="3" customFormat="1">
      <c r="A42"/>
      <c r="B42"/>
      <c r="C42"/>
      <c r="D42"/>
      <c r="E42"/>
      <c r="F42"/>
      <c r="G42"/>
      <c r="H42"/>
      <c r="I42" s="2"/>
      <c r="K42"/>
      <c r="L42"/>
      <c r="M42"/>
      <c r="N42"/>
      <c r="O42"/>
      <c r="P42"/>
      <c r="Q42"/>
      <c r="R42"/>
      <c r="S42"/>
      <c r="T42"/>
      <c r="U42"/>
    </row>
    <row r="43" spans="1:21" s="3" customFormat="1">
      <c r="A43"/>
      <c r="B43"/>
      <c r="C43"/>
      <c r="D43"/>
      <c r="E43"/>
      <c r="F43"/>
      <c r="G43"/>
      <c r="H43"/>
      <c r="I43" s="2"/>
      <c r="K43"/>
      <c r="L43"/>
      <c r="M43"/>
      <c r="N43"/>
      <c r="O43"/>
      <c r="P43"/>
      <c r="Q43"/>
      <c r="R43"/>
      <c r="S43"/>
      <c r="T43"/>
      <c r="U43"/>
    </row>
    <row r="44" spans="1:21" s="3" customFormat="1">
      <c r="A44"/>
      <c r="B44"/>
      <c r="C44"/>
      <c r="D44"/>
      <c r="E44"/>
      <c r="F44"/>
      <c r="G44"/>
      <c r="H44"/>
      <c r="I44" s="2"/>
      <c r="K44"/>
      <c r="L44"/>
      <c r="M44"/>
      <c r="N44"/>
      <c r="O44"/>
      <c r="P44"/>
      <c r="Q44"/>
      <c r="R44"/>
      <c r="S44"/>
      <c r="T44"/>
      <c r="U44"/>
    </row>
    <row r="46" spans="1:21">
      <c r="I46"/>
    </row>
    <row r="47" spans="1:21">
      <c r="I47"/>
    </row>
    <row r="48" spans="1:21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  <row r="54" spans="9:9">
      <c r="I54"/>
    </row>
    <row r="55" spans="9:9">
      <c r="I55"/>
    </row>
    <row r="56" spans="9:9">
      <c r="I56"/>
    </row>
    <row r="57" spans="9:9">
      <c r="I57"/>
    </row>
    <row r="58" spans="9:9">
      <c r="I58"/>
    </row>
    <row r="59" spans="9:9">
      <c r="I59"/>
    </row>
    <row r="60" spans="9:9">
      <c r="I60"/>
    </row>
    <row r="61" spans="9:9">
      <c r="I61"/>
    </row>
    <row r="62" spans="9:9">
      <c r="I62"/>
    </row>
    <row r="63" spans="9:9">
      <c r="I63"/>
    </row>
    <row r="64" spans="9:9">
      <c r="I64"/>
    </row>
    <row r="65" spans="9:9">
      <c r="I65"/>
    </row>
    <row r="66" spans="9:9">
      <c r="I66"/>
    </row>
    <row r="67" spans="9:9">
      <c r="I67"/>
    </row>
    <row r="68" spans="9:9">
      <c r="I68"/>
    </row>
    <row r="69" spans="9:9">
      <c r="I69"/>
    </row>
    <row r="70" spans="9:9">
      <c r="I70"/>
    </row>
    <row r="71" spans="9:9">
      <c r="I71"/>
    </row>
    <row r="72" spans="9:9">
      <c r="I72"/>
    </row>
    <row r="73" spans="9:9">
      <c r="I73"/>
    </row>
    <row r="74" spans="9:9">
      <c r="I74"/>
    </row>
    <row r="75" spans="9:9">
      <c r="I75"/>
    </row>
    <row r="76" spans="9:9">
      <c r="I76"/>
    </row>
    <row r="77" spans="9:9">
      <c r="I77"/>
    </row>
    <row r="78" spans="9:9">
      <c r="I78"/>
    </row>
    <row r="79" spans="9:9">
      <c r="I79"/>
    </row>
    <row r="80" spans="9:9">
      <c r="I80"/>
    </row>
    <row r="81" spans="9:9">
      <c r="I81"/>
    </row>
    <row r="82" spans="9:9">
      <c r="I82"/>
    </row>
    <row r="83" spans="9:9">
      <c r="I83"/>
    </row>
    <row r="84" spans="9:9">
      <c r="I84"/>
    </row>
    <row r="85" spans="9:9">
      <c r="I85"/>
    </row>
    <row r="86" spans="9:9">
      <c r="I86"/>
    </row>
    <row r="87" spans="9:9">
      <c r="I87"/>
    </row>
    <row r="88" spans="9:9">
      <c r="I88"/>
    </row>
    <row r="89" spans="9:9">
      <c r="I89"/>
    </row>
    <row r="90" spans="9:9">
      <c r="I90"/>
    </row>
    <row r="91" spans="9:9">
      <c r="I91"/>
    </row>
    <row r="92" spans="9:9">
      <c r="I92"/>
    </row>
    <row r="93" spans="9:9">
      <c r="I93"/>
    </row>
    <row r="94" spans="9:9">
      <c r="I94"/>
    </row>
    <row r="95" spans="9:9">
      <c r="I95"/>
    </row>
    <row r="96" spans="9:9">
      <c r="I96"/>
    </row>
    <row r="97" spans="9:9">
      <c r="I97"/>
    </row>
  </sheetData>
  <printOptions horizontalCentered="1"/>
  <pageMargins left="0.25" right="0.25" top="0.5" bottom="0.5" header="0.3" footer="0.3"/>
  <pageSetup paperSize="3" orientation="landscape" r:id="rId1"/>
  <headerFooter>
    <oddFooter>&amp;L&amp;F  &amp;A&amp;C&amp;D&amp;R&amp;P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March 2012 List</vt:lpstr>
      <vt:lpstr>'Final March 2012 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Robertson</dc:creator>
  <cp:lastModifiedBy>Seth Robertson</cp:lastModifiedBy>
  <dcterms:created xsi:type="dcterms:W3CDTF">2012-04-17T15:26:55Z</dcterms:created>
  <dcterms:modified xsi:type="dcterms:W3CDTF">2012-04-17T15:27:37Z</dcterms:modified>
</cp:coreProperties>
</file>