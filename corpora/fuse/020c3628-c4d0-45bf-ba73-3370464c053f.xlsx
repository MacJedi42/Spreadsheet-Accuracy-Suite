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895" yWindow="345" windowWidth="6150" windowHeight="11025" tabRatio="678"/>
  </bookViews>
  <sheets>
    <sheet name="Holds" sheetId="2" r:id="rId1"/>
    <sheet name="Intakes, Admins, Discharges" sheetId="10" r:id="rId2"/>
    <sheet name="AMH CMH Patients Served" sheetId="11" r:id="rId3"/>
    <sheet name="Invsigtns, Exams, and Commits" sheetId="12" r:id="rId4"/>
    <sheet name="Admissions" sheetId="23" state="hidden" r:id="rId5"/>
    <sheet name="Number SErved" sheetId="24" state="hidden" r:id="rId6"/>
    <sheet name="Sheet1" sheetId="25" state="hidden" r:id="rId7"/>
  </sheets>
  <calcPr calcId="145621"/>
</workbook>
</file>

<file path=xl/calcChain.xml><?xml version="1.0" encoding="utf-8"?>
<calcChain xmlns="http://schemas.openxmlformats.org/spreadsheetml/2006/main">
  <c r="F50" i="2" l="1"/>
  <c r="E50" i="2"/>
  <c r="D50" i="2"/>
  <c r="C50" i="2"/>
  <c r="E50" i="10"/>
  <c r="I50" i="2"/>
  <c r="J50" i="2"/>
  <c r="K50" i="2"/>
  <c r="L50" i="2"/>
  <c r="J50" i="10"/>
  <c r="H50" i="10"/>
  <c r="C50" i="10"/>
  <c r="N49" i="12"/>
  <c r="M50" i="12"/>
  <c r="N50" i="12" s="1"/>
  <c r="K50" i="12"/>
  <c r="H50" i="12"/>
  <c r="F50" i="12"/>
  <c r="D50" i="12"/>
  <c r="C50" i="12"/>
  <c r="G9" i="23"/>
  <c r="I50" i="12"/>
  <c r="N39" i="12"/>
  <c r="N33" i="12"/>
  <c r="N25" i="12"/>
  <c r="N21" i="12"/>
  <c r="N15" i="12"/>
  <c r="N10" i="12"/>
  <c r="N5" i="12"/>
  <c r="L39" i="12"/>
  <c r="L33" i="12"/>
  <c r="L25" i="12"/>
  <c r="L21" i="12"/>
  <c r="L15" i="12"/>
  <c r="L10" i="12"/>
  <c r="L5" i="12"/>
  <c r="I39" i="12"/>
  <c r="I33" i="12"/>
  <c r="I25" i="12"/>
  <c r="I21" i="12"/>
  <c r="I15" i="12"/>
  <c r="I10" i="12"/>
  <c r="I5" i="12"/>
  <c r="I49" i="12"/>
  <c r="G39" i="12"/>
  <c r="G33" i="12"/>
  <c r="G25" i="12"/>
  <c r="G21" i="12"/>
  <c r="G15" i="12"/>
  <c r="G5" i="12"/>
  <c r="G10" i="12"/>
  <c r="G50" i="12" s="1"/>
  <c r="V50" i="10"/>
  <c r="T50" i="10"/>
  <c r="P50" i="10"/>
  <c r="O50" i="10"/>
  <c r="N50" i="10"/>
  <c r="Q50" i="10"/>
  <c r="K39" i="10"/>
  <c r="K33" i="10"/>
  <c r="K25" i="10"/>
  <c r="K21" i="10"/>
  <c r="K15" i="10"/>
  <c r="K10" i="10"/>
  <c r="K5" i="10"/>
  <c r="K49" i="10"/>
  <c r="I49" i="10"/>
  <c r="I39" i="10"/>
  <c r="I33" i="10"/>
  <c r="I25" i="10"/>
  <c r="I21" i="10"/>
  <c r="I15" i="10"/>
  <c r="I5" i="10"/>
  <c r="I10" i="10"/>
  <c r="I50" i="10" s="1"/>
  <c r="F49" i="10"/>
  <c r="F39" i="10"/>
  <c r="F33" i="10"/>
  <c r="F25" i="10"/>
  <c r="F21" i="10"/>
  <c r="F15" i="10"/>
  <c r="F10" i="10"/>
  <c r="F5" i="10"/>
  <c r="F50" i="10" s="1"/>
  <c r="D49" i="10"/>
  <c r="D39" i="10"/>
  <c r="D33" i="10"/>
  <c r="D25" i="10"/>
  <c r="D21" i="10"/>
  <c r="D15" i="10"/>
  <c r="D10" i="10"/>
  <c r="D5" i="10"/>
  <c r="N39" i="2"/>
  <c r="N33" i="2"/>
  <c r="N25" i="2"/>
  <c r="N21" i="2"/>
  <c r="N15" i="2"/>
  <c r="N10" i="2"/>
  <c r="N5" i="2"/>
  <c r="M49" i="2"/>
  <c r="N49" i="2" s="1"/>
  <c r="N50" i="2" s="1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H39" i="2"/>
  <c r="H33" i="2"/>
  <c r="H25" i="2"/>
  <c r="H21" i="2"/>
  <c r="H15" i="2"/>
  <c r="H10" i="2"/>
  <c r="H5" i="2"/>
  <c r="G49" i="2"/>
  <c r="H49" i="2" s="1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C2" i="2"/>
  <c r="A1" i="10"/>
  <c r="N3" i="10" s="1"/>
  <c r="A1" i="11"/>
  <c r="A1" i="12"/>
  <c r="D50" i="11"/>
  <c r="G50" i="11"/>
  <c r="S50" i="10"/>
  <c r="U50" i="10"/>
  <c r="F50" i="11"/>
  <c r="C50" i="11"/>
  <c r="D50" i="10"/>
  <c r="H3" i="10"/>
  <c r="S3" i="10"/>
  <c r="C3" i="10"/>
  <c r="L50" i="12" l="1"/>
  <c r="K50" i="10"/>
  <c r="M50" i="2"/>
  <c r="G50" i="2"/>
  <c r="H50" i="2"/>
</calcChain>
</file>

<file path=xl/sharedStrings.xml><?xml version="1.0" encoding="utf-8"?>
<sst xmlns="http://schemas.openxmlformats.org/spreadsheetml/2006/main" count="323" uniqueCount="119">
  <si>
    <t>Region 1</t>
  </si>
  <si>
    <t>Region 2</t>
  </si>
  <si>
    <t>Region 3</t>
  </si>
  <si>
    <t>Region 4</t>
  </si>
  <si>
    <t>Region 5</t>
  </si>
  <si>
    <t>Region 6</t>
  </si>
  <si>
    <t>Region 7</t>
  </si>
  <si>
    <t>Statewide</t>
  </si>
  <si>
    <t>Benewah</t>
  </si>
  <si>
    <t>Bonner</t>
  </si>
  <si>
    <t>Boundary</t>
  </si>
  <si>
    <t>Kootenai</t>
  </si>
  <si>
    <t>Shoshone</t>
  </si>
  <si>
    <t>Unknown</t>
  </si>
  <si>
    <t>Clearwater</t>
  </si>
  <si>
    <t>Idaho</t>
  </si>
  <si>
    <t>Latah</t>
  </si>
  <si>
    <t>Lewis</t>
  </si>
  <si>
    <t>Nez Perce</t>
  </si>
  <si>
    <t>Adams</t>
  </si>
  <si>
    <t>Canyon</t>
  </si>
  <si>
    <t>Gem</t>
  </si>
  <si>
    <t>Owyhee</t>
  </si>
  <si>
    <t>Payette</t>
  </si>
  <si>
    <t>Washington</t>
  </si>
  <si>
    <t>Ada</t>
  </si>
  <si>
    <t>Boise</t>
  </si>
  <si>
    <t>Elmore</t>
  </si>
  <si>
    <t>Valley</t>
  </si>
  <si>
    <t>Blaine</t>
  </si>
  <si>
    <t>Camas</t>
  </si>
  <si>
    <t>Cassia</t>
  </si>
  <si>
    <t>Gooding</t>
  </si>
  <si>
    <t>Jerome</t>
  </si>
  <si>
    <t>Minidoka</t>
  </si>
  <si>
    <t>Twin Falls</t>
  </si>
  <si>
    <t>Bannock</t>
  </si>
  <si>
    <t>Bear Lake</t>
  </si>
  <si>
    <t>Caribou</t>
  </si>
  <si>
    <t>Franklin</t>
  </si>
  <si>
    <t>Oneida</t>
  </si>
  <si>
    <t>Power</t>
  </si>
  <si>
    <t>Bingham</t>
  </si>
  <si>
    <t>Bonneville</t>
  </si>
  <si>
    <t>Butte</t>
  </si>
  <si>
    <t>Clark</t>
  </si>
  <si>
    <t>Custer</t>
  </si>
  <si>
    <t>Fremont</t>
  </si>
  <si>
    <t>Jefferson</t>
  </si>
  <si>
    <t>Lemhi</t>
  </si>
  <si>
    <t>Madison</t>
  </si>
  <si>
    <t>Teton</t>
  </si>
  <si>
    <t>Mental Holds (I.C. 66-326) by Ordering County</t>
  </si>
  <si>
    <t>Monthly</t>
  </si>
  <si>
    <t>24 Hour-MD Hold</t>
  </si>
  <si>
    <t>24 Hour-Police Hold</t>
  </si>
  <si>
    <t>Field Petition</t>
  </si>
  <si>
    <t>Administrative Hold</t>
  </si>
  <si>
    <t>County Total</t>
  </si>
  <si>
    <t>Regional Total</t>
  </si>
  <si>
    <t xml:space="preserve">Monthly County Total </t>
  </si>
  <si>
    <t>Monthly Regional Total</t>
  </si>
  <si>
    <t>Intakes by County of Residence</t>
  </si>
  <si>
    <t>Children's Mental Health</t>
  </si>
  <si>
    <t>Admissions/Discharges</t>
  </si>
  <si>
    <t>Adult Mental Health</t>
  </si>
  <si>
    <t>Number of adults served this Month</t>
  </si>
  <si>
    <t>Number of children served this Month</t>
  </si>
  <si>
    <t>Pre-Sentence Investigation Reports (I.C. 19-2524)</t>
  </si>
  <si>
    <t>Lincoln</t>
  </si>
  <si>
    <t>Admin</t>
  </si>
  <si>
    <t>Disch</t>
  </si>
  <si>
    <t>Out of State and Other</t>
  </si>
  <si>
    <t>Designated Examinations
 by Ordering County</t>
  </si>
  <si>
    <t>Civil Commitments (I.C. 66-329) 
by Ordering County</t>
  </si>
  <si>
    <t>Children's 
Mental Health</t>
  </si>
  <si>
    <t xml:space="preserve">Adult 
Mental Health </t>
  </si>
  <si>
    <t>Statewide Total</t>
  </si>
  <si>
    <t>Total</t>
  </si>
  <si>
    <t>IDHW, DBH, Region 1</t>
  </si>
  <si>
    <t>IDHW, DBH, Region 2</t>
  </si>
  <si>
    <t>IDHW, DBH, Region 3</t>
  </si>
  <si>
    <t>IDHW, DBH, Region 4</t>
  </si>
  <si>
    <t>IDHW, DBH, Region 5</t>
  </si>
  <si>
    <t>IDHW, DBH, Region 6</t>
  </si>
  <si>
    <t>IDHW, DBH, Region 7</t>
  </si>
  <si>
    <t>SFY2013 -YTD</t>
  </si>
  <si>
    <t>CMH Admissions July</t>
  </si>
  <si>
    <t>AMH Admissions July</t>
  </si>
  <si>
    <t>CMH Discharges July</t>
  </si>
  <si>
    <t>AMH Discharges July</t>
  </si>
  <si>
    <t>Statewide Month Totals</t>
  </si>
  <si>
    <t>AMH Clients Served July</t>
  </si>
  <si>
    <t>CMH Clients Served July</t>
  </si>
  <si>
    <t>19 2524 Assessments</t>
  </si>
  <si>
    <t xml:space="preserve"> Region 6</t>
  </si>
  <si>
    <t>Witts July CMH Number Served</t>
  </si>
  <si>
    <t>Witts July AMH Number Served</t>
  </si>
  <si>
    <t>Number of adults served SFY2013</t>
  </si>
  <si>
    <t>Number of children served SFY2013</t>
  </si>
  <si>
    <t>SFY2013</t>
  </si>
  <si>
    <t>SFY2013 County Total</t>
  </si>
  <si>
    <t>SFY2013 Regional Total</t>
  </si>
  <si>
    <t xml:space="preserve">Region </t>
  </si>
  <si>
    <t>CMH Admissions October</t>
  </si>
  <si>
    <t>October CMH Discharges</t>
  </si>
  <si>
    <t>CMH Admissions FY</t>
  </si>
  <si>
    <t>FY CMH Discharges</t>
  </si>
  <si>
    <t>AMH Admissions October</t>
  </si>
  <si>
    <t>October AMH Discharges</t>
  </si>
  <si>
    <t>AMH Admissions FY</t>
  </si>
  <si>
    <t>FY AMH Discharges</t>
  </si>
  <si>
    <t>AMH Clients Served October</t>
  </si>
  <si>
    <t>AMH Clients Served SFY12</t>
  </si>
  <si>
    <t>CMH Clients Served October</t>
  </si>
  <si>
    <t>CMH Clients Served SFY13</t>
  </si>
  <si>
    <t>October 192524</t>
  </si>
  <si>
    <t>FY 192524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</si>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</sst>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mmm\-yyyy;@"/>
    <numFmt numFmtId="165" formatCode="_(* #,##0_);_(* \(#,##0\);_(* &quot;-&quot;??_);_(@_)"/>
    <numFmt numFmtId="166" formatCode="[$-10409]#,##0;\-#,##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8"/>
      <name val="Tahoma"/>
      <family val="2"/>
    </font>
    <font>
      <sz val="14"/>
      <color indexed="8"/>
      <name val="Arial"/>
      <family val="2"/>
    </font>
    <font>
      <b/>
      <sz val="14"/>
      <color indexed="9"/>
      <name val="Arial"/>
      <family val="2"/>
    </font>
    <font>
      <sz val="11"/>
      <color indexed="8"/>
      <name val="Arial"/>
      <family val="2"/>
    </font>
    <font>
      <b/>
      <sz val="9"/>
      <color indexed="63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54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51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00339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</cellStyleXfs>
  <cellXfs count="250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/>
    <xf numFmtId="0" fontId="0" fillId="0" borderId="0" xfId="0" applyBorder="1" applyAlignment="1">
      <alignment vertical="center" wrapText="1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5" borderId="3" xfId="0" applyFill="1" applyBorder="1"/>
    <xf numFmtId="0" fontId="0" fillId="5" borderId="0" xfId="0" applyFill="1" applyBorder="1"/>
    <xf numFmtId="0" fontId="0" fillId="5" borderId="1" xfId="0" applyFill="1" applyBorder="1"/>
    <xf numFmtId="0" fontId="0" fillId="5" borderId="5" xfId="0" applyFill="1" applyBorder="1"/>
    <xf numFmtId="0" fontId="0" fillId="0" borderId="0" xfId="0" applyAlignment="1">
      <alignment vertic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2" fillId="5" borderId="5" xfId="0" applyFont="1" applyFill="1" applyBorder="1" applyAlignment="1">
      <alignment horizontal="center" wrapText="1"/>
    </xf>
    <xf numFmtId="165" fontId="11" fillId="5" borderId="6" xfId="1" applyNumberFormat="1" applyFont="1" applyFill="1" applyBorder="1" applyAlignment="1">
      <alignment horizontal="center" vertical="center"/>
    </xf>
    <xf numFmtId="0" fontId="0" fillId="5" borderId="7" xfId="0" applyFill="1" applyBorder="1"/>
    <xf numFmtId="0" fontId="0" fillId="6" borderId="8" xfId="0" applyFill="1" applyBorder="1"/>
    <xf numFmtId="0" fontId="0" fillId="5" borderId="6" xfId="0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0" fontId="12" fillId="5" borderId="6" xfId="0" applyFont="1" applyFill="1" applyBorder="1" applyAlignment="1">
      <alignment horizontal="center" wrapText="1"/>
    </xf>
    <xf numFmtId="0" fontId="12" fillId="6" borderId="6" xfId="0" applyFont="1" applyFill="1" applyBorder="1" applyAlignment="1">
      <alignment horizontal="center" wrapText="1"/>
    </xf>
    <xf numFmtId="165" fontId="11" fillId="6" borderId="6" xfId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wrapText="1"/>
    </xf>
    <xf numFmtId="0" fontId="12" fillId="6" borderId="5" xfId="0" applyFont="1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10" xfId="0" applyFill="1" applyBorder="1"/>
    <xf numFmtId="165" fontId="11" fillId="5" borderId="11" xfId="1" applyNumberFormat="1" applyFont="1" applyFill="1" applyBorder="1" applyAlignment="1">
      <alignment vertical="center"/>
    </xf>
    <xf numFmtId="165" fontId="11" fillId="5" borderId="5" xfId="1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wrapText="1"/>
    </xf>
    <xf numFmtId="0" fontId="0" fillId="6" borderId="10" xfId="0" applyFill="1" applyBorder="1"/>
    <xf numFmtId="0" fontId="0" fillId="0" borderId="12" xfId="0" applyFill="1" applyBorder="1" applyAlignment="1">
      <alignment wrapText="1"/>
    </xf>
    <xf numFmtId="164" fontId="0" fillId="0" borderId="3" xfId="0" applyNumberFormat="1" applyFill="1" applyBorder="1" applyAlignment="1"/>
    <xf numFmtId="3" fontId="0" fillId="0" borderId="9" xfId="0" applyNumberFormat="1" applyBorder="1"/>
    <xf numFmtId="0" fontId="13" fillId="6" borderId="3" xfId="0" applyFont="1" applyFill="1" applyBorder="1" applyAlignment="1">
      <alignment horizontal="center" wrapText="1"/>
    </xf>
    <xf numFmtId="0" fontId="13" fillId="5" borderId="13" xfId="0" applyFont="1" applyFill="1" applyBorder="1" applyAlignment="1">
      <alignment horizontal="center" wrapText="1"/>
    </xf>
    <xf numFmtId="165" fontId="11" fillId="0" borderId="0" xfId="1" applyNumberFormat="1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wrapText="1"/>
    </xf>
    <xf numFmtId="0" fontId="13" fillId="5" borderId="14" xfId="0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center" wrapText="1"/>
    </xf>
    <xf numFmtId="165" fontId="11" fillId="0" borderId="0" xfId="1" applyNumberFormat="1" applyFont="1" applyFill="1" applyBorder="1" applyAlignment="1">
      <alignment vertical="center"/>
    </xf>
    <xf numFmtId="165" fontId="11" fillId="0" borderId="15" xfId="1" applyNumberFormat="1" applyFont="1" applyFill="1" applyBorder="1" applyAlignment="1">
      <alignment horizontal="center" vertical="center"/>
    </xf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13" fillId="5" borderId="16" xfId="0" applyFont="1" applyFill="1" applyBorder="1" applyAlignment="1">
      <alignment horizontal="center" wrapText="1"/>
    </xf>
    <xf numFmtId="0" fontId="13" fillId="6" borderId="16" xfId="0" applyFont="1" applyFill="1" applyBorder="1" applyAlignment="1">
      <alignment horizontal="center" wrapText="1"/>
    </xf>
    <xf numFmtId="0" fontId="13" fillId="6" borderId="20" xfId="0" applyFont="1" applyFill="1" applyBorder="1" applyAlignment="1">
      <alignment horizontal="center" wrapText="1"/>
    </xf>
    <xf numFmtId="0" fontId="0" fillId="0" borderId="21" xfId="0" applyBorder="1"/>
    <xf numFmtId="0" fontId="0" fillId="0" borderId="22" xfId="0" applyBorder="1"/>
    <xf numFmtId="0" fontId="13" fillId="5" borderId="21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" fontId="0" fillId="5" borderId="23" xfId="0" applyNumberFormat="1" applyFill="1" applyBorder="1"/>
    <xf numFmtId="0" fontId="13" fillId="6" borderId="7" xfId="0" applyFont="1" applyFill="1" applyBorder="1" applyAlignment="1">
      <alignment horizontal="center" wrapText="1"/>
    </xf>
    <xf numFmtId="0" fontId="13" fillId="6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right" vertical="center"/>
    </xf>
    <xf numFmtId="3" fontId="0" fillId="5" borderId="6" xfId="0" applyNumberFormat="1" applyFill="1" applyBorder="1"/>
    <xf numFmtId="3" fontId="0" fillId="6" borderId="6" xfId="0" applyNumberFormat="1" applyFill="1" applyBorder="1"/>
    <xf numFmtId="1" fontId="2" fillId="3" borderId="27" xfId="0" applyNumberFormat="1" applyFont="1" applyFill="1" applyBorder="1" applyAlignment="1">
      <alignment horizontal="right"/>
    </xf>
    <xf numFmtId="1" fontId="2" fillId="3" borderId="27" xfId="0" applyNumberFormat="1" applyFont="1" applyFill="1" applyBorder="1" applyAlignment="1">
      <alignment horizontal="right" vertical="center"/>
    </xf>
    <xf numFmtId="3" fontId="4" fillId="5" borderId="2" xfId="3" applyNumberFormat="1" applyFont="1" applyFill="1" applyBorder="1" applyAlignment="1">
      <alignment horizontal="center" vertical="center"/>
    </xf>
    <xf numFmtId="37" fontId="11" fillId="5" borderId="10" xfId="1" applyNumberFormat="1" applyFont="1" applyFill="1" applyBorder="1" applyAlignment="1">
      <alignment horizontal="center" vertical="center"/>
    </xf>
    <xf numFmtId="1" fontId="4" fillId="6" borderId="2" xfId="3" applyNumberFormat="1" applyFont="1" applyFill="1" applyBorder="1" applyAlignment="1">
      <alignment horizontal="center" vertical="center"/>
    </xf>
    <xf numFmtId="1" fontId="11" fillId="6" borderId="10" xfId="1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3" fontId="4" fillId="6" borderId="3" xfId="3" applyNumberFormat="1" applyFont="1" applyFill="1" applyBorder="1" applyAlignment="1">
      <alignment horizontal="center" vertical="center"/>
    </xf>
    <xf numFmtId="1" fontId="11" fillId="5" borderId="6" xfId="1" applyNumberFormat="1" applyFont="1" applyFill="1" applyBorder="1" applyAlignment="1">
      <alignment horizontal="center" vertical="center"/>
    </xf>
    <xf numFmtId="3" fontId="0" fillId="0" borderId="6" xfId="0" applyNumberFormat="1" applyBorder="1"/>
    <xf numFmtId="0" fontId="5" fillId="3" borderId="0" xfId="0" applyFont="1" applyFill="1" applyAlignment="1">
      <alignment vertical="center"/>
    </xf>
    <xf numFmtId="0" fontId="3" fillId="2" borderId="27" xfId="0" applyFont="1" applyFill="1" applyBorder="1" applyAlignment="1">
      <alignment horizontal="left"/>
    </xf>
    <xf numFmtId="0" fontId="5" fillId="3" borderId="0" xfId="0" applyFont="1" applyFill="1" applyAlignment="1">
      <alignment vertical="center" wrapText="1"/>
    </xf>
    <xf numFmtId="1" fontId="0" fillId="6" borderId="6" xfId="0" applyNumberFormat="1" applyFill="1" applyBorder="1" applyAlignment="1">
      <alignment horizontal="center" vertical="center"/>
    </xf>
    <xf numFmtId="0" fontId="0" fillId="5" borderId="28" xfId="0" applyFill="1" applyBorder="1"/>
    <xf numFmtId="0" fontId="0" fillId="0" borderId="28" xfId="0" applyBorder="1"/>
    <xf numFmtId="3" fontId="1" fillId="0" borderId="6" xfId="0" applyNumberFormat="1" applyFont="1" applyBorder="1" applyAlignment="1">
      <alignment horizontal="center" vertical="center"/>
    </xf>
    <xf numFmtId="3" fontId="1" fillId="5" borderId="6" xfId="0" applyNumberFormat="1" applyFont="1" applyFill="1" applyBorder="1" applyAlignment="1">
      <alignment horizontal="center" vertical="center"/>
    </xf>
    <xf numFmtId="37" fontId="11" fillId="5" borderId="29" xfId="1" applyNumberFormat="1" applyFont="1" applyFill="1" applyBorder="1" applyAlignment="1">
      <alignment horizontal="center" vertical="center"/>
    </xf>
    <xf numFmtId="37" fontId="11" fillId="6" borderId="30" xfId="1" applyNumberFormat="1" applyFont="1" applyFill="1" applyBorder="1" applyAlignment="1">
      <alignment horizontal="center" vertical="center"/>
    </xf>
    <xf numFmtId="3" fontId="1" fillId="6" borderId="6" xfId="0" applyNumberFormat="1" applyFont="1" applyFill="1" applyBorder="1" applyAlignment="1">
      <alignment horizontal="center" vertical="center"/>
    </xf>
    <xf numFmtId="3" fontId="0" fillId="5" borderId="6" xfId="0" applyNumberFormat="1" applyFill="1" applyBorder="1" applyAlignment="1">
      <alignment horizontal="center" vertical="center"/>
    </xf>
    <xf numFmtId="1" fontId="11" fillId="5" borderId="29" xfId="1" applyNumberFormat="1" applyFont="1" applyFill="1" applyBorder="1" applyAlignment="1">
      <alignment horizontal="center" vertical="center"/>
    </xf>
    <xf numFmtId="3" fontId="0" fillId="0" borderId="0" xfId="0" applyNumberFormat="1"/>
    <xf numFmtId="165" fontId="11" fillId="5" borderId="11" xfId="1" applyNumberFormat="1" applyFon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2" fillId="3" borderId="27" xfId="0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14" fillId="7" borderId="0" xfId="0" applyFont="1" applyFill="1" applyAlignment="1">
      <alignment wrapText="1"/>
    </xf>
    <xf numFmtId="0" fontId="3" fillId="8" borderId="27" xfId="0" applyFont="1" applyFill="1" applyBorder="1" applyAlignment="1">
      <alignment horizontal="left" wrapText="1"/>
    </xf>
    <xf numFmtId="0" fontId="3" fillId="8" borderId="27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 applyProtection="1">
      <alignment vertical="top" wrapText="1"/>
      <protection locked="0"/>
    </xf>
    <xf numFmtId="0" fontId="6" fillId="0" borderId="6" xfId="0" applyFont="1" applyFill="1" applyBorder="1" applyAlignment="1" applyProtection="1">
      <alignment vertical="top" wrapText="1" readingOrder="1"/>
      <protection locked="0"/>
    </xf>
    <xf numFmtId="166" fontId="6" fillId="0" borderId="6" xfId="0" applyNumberFormat="1" applyFont="1" applyFill="1" applyBorder="1" applyAlignment="1" applyProtection="1">
      <alignment vertical="top" wrapText="1" readingOrder="1"/>
      <protection locked="0"/>
    </xf>
    <xf numFmtId="0" fontId="0" fillId="0" borderId="0" xfId="0" applyBorder="1" applyAlignment="1">
      <alignment wrapText="1"/>
    </xf>
    <xf numFmtId="0" fontId="7" fillId="3" borderId="0" xfId="0" applyFont="1" applyFill="1" applyAlignment="1">
      <alignment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3" fontId="0" fillId="6" borderId="5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0" fillId="5" borderId="32" xfId="0" applyNumberFormat="1" applyFill="1" applyBorder="1"/>
    <xf numFmtId="0" fontId="12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" fillId="0" borderId="6" xfId="0" applyNumberFormat="1" applyFont="1" applyFill="1" applyBorder="1" applyAlignment="1">
      <alignment horizontal="center" vertical="center"/>
    </xf>
    <xf numFmtId="3" fontId="0" fillId="0" borderId="9" xfId="0" applyNumberFormat="1" applyFill="1" applyBorder="1"/>
    <xf numFmtId="1" fontId="11" fillId="6" borderId="30" xfId="1" applyNumberFormat="1" applyFont="1" applyFill="1" applyBorder="1" applyAlignment="1">
      <alignment horizontal="center" vertical="center"/>
    </xf>
    <xf numFmtId="1" fontId="11" fillId="6" borderId="33" xfId="1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3" fontId="1" fillId="5" borderId="34" xfId="0" applyNumberFormat="1" applyFont="1" applyFill="1" applyBorder="1" applyAlignment="1">
      <alignment horizontal="center" vertical="center"/>
    </xf>
    <xf numFmtId="3" fontId="1" fillId="5" borderId="9" xfId="0" applyNumberFormat="1" applyFont="1" applyFill="1" applyBorder="1" applyAlignment="1">
      <alignment horizontal="center" vertical="center"/>
    </xf>
    <xf numFmtId="3" fontId="1" fillId="6" borderId="9" xfId="0" applyNumberFormat="1" applyFont="1" applyFill="1" applyBorder="1" applyAlignment="1">
      <alignment horizontal="center" vertical="center"/>
    </xf>
    <xf numFmtId="0" fontId="0" fillId="5" borderId="35" xfId="0" applyFill="1" applyBorder="1"/>
    <xf numFmtId="3" fontId="1" fillId="5" borderId="36" xfId="0" applyNumberFormat="1" applyFont="1" applyFill="1" applyBorder="1" applyAlignment="1">
      <alignment horizontal="center" vertical="center"/>
    </xf>
    <xf numFmtId="37" fontId="11" fillId="5" borderId="37" xfId="1" applyNumberFormat="1" applyFont="1" applyFill="1" applyBorder="1" applyAlignment="1">
      <alignment horizontal="center" vertical="center"/>
    </xf>
    <xf numFmtId="3" fontId="0" fillId="6" borderId="36" xfId="0" applyNumberFormat="1" applyFill="1" applyBorder="1" applyAlignment="1">
      <alignment horizontal="center" vertical="center"/>
    </xf>
    <xf numFmtId="37" fontId="11" fillId="6" borderId="33" xfId="1" applyNumberFormat="1" applyFont="1" applyFill="1" applyBorder="1" applyAlignment="1">
      <alignment horizontal="center" vertical="center"/>
    </xf>
    <xf numFmtId="3" fontId="0" fillId="5" borderId="38" xfId="0" applyNumberFormat="1" applyFill="1" applyBorder="1" applyAlignment="1">
      <alignment horizontal="center" vertical="center"/>
    </xf>
    <xf numFmtId="1" fontId="11" fillId="5" borderId="37" xfId="1" applyNumberFormat="1" applyFont="1" applyFill="1" applyBorder="1" applyAlignment="1">
      <alignment horizontal="center" vertical="center"/>
    </xf>
    <xf numFmtId="3" fontId="1" fillId="5" borderId="39" xfId="0" applyNumberFormat="1" applyFont="1" applyFill="1" applyBorder="1" applyAlignment="1">
      <alignment horizontal="center" vertical="center"/>
    </xf>
    <xf numFmtId="0" fontId="0" fillId="0" borderId="6" xfId="0" applyBorder="1"/>
    <xf numFmtId="37" fontId="11" fillId="5" borderId="6" xfId="1" applyNumberFormat="1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9" fillId="3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left" wrapText="1"/>
    </xf>
    <xf numFmtId="1" fontId="3" fillId="2" borderId="6" xfId="0" applyNumberFormat="1" applyFont="1" applyFill="1" applyBorder="1" applyAlignment="1">
      <alignment horizontal="right" vertical="center" wrapText="1"/>
    </xf>
    <xf numFmtId="1" fontId="2" fillId="3" borderId="6" xfId="0" applyNumberFormat="1" applyFont="1" applyFill="1" applyBorder="1" applyAlignment="1">
      <alignment horizontal="right"/>
    </xf>
    <xf numFmtId="1" fontId="2" fillId="3" borderId="6" xfId="0" applyNumberFormat="1" applyFont="1" applyFill="1" applyBorder="1" applyAlignment="1">
      <alignment horizontal="right" vertical="center"/>
    </xf>
    <xf numFmtId="0" fontId="10" fillId="4" borderId="27" xfId="0" applyFont="1" applyFill="1" applyBorder="1" applyAlignment="1">
      <alignment horizontal="left" vertical="center" wrapText="1"/>
    </xf>
    <xf numFmtId="0" fontId="2" fillId="4" borderId="27" xfId="0" applyFont="1" applyFill="1" applyBorder="1" applyAlignment="1">
      <alignment horizontal="right"/>
    </xf>
    <xf numFmtId="0" fontId="2" fillId="4" borderId="27" xfId="0" applyFont="1" applyFill="1" applyBorder="1" applyAlignment="1">
      <alignment horizontal="right" vertical="center"/>
    </xf>
    <xf numFmtId="0" fontId="8" fillId="0" borderId="27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right" vertical="center"/>
    </xf>
    <xf numFmtId="1" fontId="0" fillId="6" borderId="23" xfId="0" applyNumberFormat="1" applyFill="1" applyBorder="1"/>
    <xf numFmtId="1" fontId="0" fillId="6" borderId="40" xfId="0" applyNumberFormat="1" applyFill="1" applyBorder="1"/>
    <xf numFmtId="1" fontId="0" fillId="6" borderId="31" xfId="0" applyNumberFormat="1" applyFill="1" applyBorder="1"/>
    <xf numFmtId="0" fontId="17" fillId="0" borderId="0" xfId="0" applyFont="1" applyAlignment="1">
      <alignment horizontal="center" vertical="center" wrapText="1"/>
    </xf>
    <xf numFmtId="0" fontId="0" fillId="6" borderId="11" xfId="0" applyFill="1" applyBorder="1"/>
    <xf numFmtId="0" fontId="0" fillId="0" borderId="10" xfId="0" applyBorder="1"/>
    <xf numFmtId="1" fontId="5" fillId="3" borderId="27" xfId="0" applyNumberFormat="1" applyFont="1" applyFill="1" applyBorder="1" applyAlignment="1">
      <alignment horizontal="right" vertical="center" wrapText="1"/>
    </xf>
    <xf numFmtId="0" fontId="5" fillId="3" borderId="27" xfId="0" applyFont="1" applyFill="1" applyBorder="1" applyAlignment="1">
      <alignment horizontal="right" vertical="center" wrapText="1"/>
    </xf>
    <xf numFmtId="0" fontId="5" fillId="0" borderId="27" xfId="0" applyFont="1" applyFill="1" applyBorder="1" applyAlignment="1">
      <alignment horizontal="right"/>
    </xf>
    <xf numFmtId="0" fontId="5" fillId="0" borderId="27" xfId="0" applyFont="1" applyFill="1" applyBorder="1" applyAlignment="1">
      <alignment horizontal="right" vertical="center"/>
    </xf>
    <xf numFmtId="165" fontId="11" fillId="5" borderId="4" xfId="1" applyNumberFormat="1" applyFont="1" applyFill="1" applyBorder="1" applyAlignment="1">
      <alignment horizontal="center" vertical="center"/>
    </xf>
    <xf numFmtId="165" fontId="11" fillId="5" borderId="8" xfId="1" applyNumberFormat="1" applyFont="1" applyFill="1" applyBorder="1" applyAlignment="1">
      <alignment horizontal="center" vertical="center"/>
    </xf>
    <xf numFmtId="165" fontId="11" fillId="5" borderId="11" xfId="1" applyNumberFormat="1" applyFont="1" applyFill="1" applyBorder="1" applyAlignment="1">
      <alignment horizontal="center" vertical="center"/>
    </xf>
    <xf numFmtId="165" fontId="11" fillId="5" borderId="9" xfId="1" applyNumberFormat="1" applyFont="1" applyFill="1" applyBorder="1" applyAlignment="1">
      <alignment horizontal="center" vertical="center"/>
    </xf>
    <xf numFmtId="165" fontId="11" fillId="5" borderId="12" xfId="1" applyNumberFormat="1" applyFont="1" applyFill="1" applyBorder="1" applyAlignment="1">
      <alignment horizontal="center" vertical="center"/>
    </xf>
    <xf numFmtId="165" fontId="11" fillId="5" borderId="10" xfId="1" applyNumberFormat="1" applyFont="1" applyFill="1" applyBorder="1" applyAlignment="1">
      <alignment horizontal="center" vertical="center"/>
    </xf>
    <xf numFmtId="17" fontId="17" fillId="9" borderId="0" xfId="0" applyNumberFormat="1" applyFont="1" applyFill="1" applyAlignment="1">
      <alignment horizontal="center" vertical="center" wrapText="1"/>
    </xf>
    <xf numFmtId="17" fontId="17" fillId="9" borderId="8" xfId="0" applyNumberFormat="1" applyFont="1" applyFill="1" applyBorder="1" applyAlignment="1">
      <alignment horizontal="center" vertical="center" wrapText="1"/>
    </xf>
    <xf numFmtId="17" fontId="17" fillId="9" borderId="15" xfId="0" applyNumberFormat="1" applyFont="1" applyFill="1" applyBorder="1" applyAlignment="1">
      <alignment horizontal="center" vertical="center" wrapText="1"/>
    </xf>
    <xf numFmtId="17" fontId="17" fillId="9" borderId="1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0" fontId="18" fillId="10" borderId="1" xfId="0" applyFont="1" applyFill="1" applyBorder="1" applyAlignment="1">
      <alignment horizontal="center" vertical="center"/>
    </xf>
    <xf numFmtId="0" fontId="18" fillId="10" borderId="28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37" fontId="11" fillId="5" borderId="3" xfId="1" applyNumberFormat="1" applyFont="1" applyFill="1" applyBorder="1" applyAlignment="1">
      <alignment horizontal="center" vertical="center"/>
    </xf>
    <xf numFmtId="37" fontId="11" fillId="5" borderId="0" xfId="1" applyNumberFormat="1" applyFont="1" applyFill="1" applyBorder="1" applyAlignment="1">
      <alignment horizontal="center" vertical="center"/>
    </xf>
    <xf numFmtId="37" fontId="11" fillId="5" borderId="15" xfId="1" applyNumberFormat="1" applyFont="1" applyFill="1" applyBorder="1" applyAlignment="1">
      <alignment horizontal="center" vertical="center"/>
    </xf>
    <xf numFmtId="1" fontId="11" fillId="6" borderId="33" xfId="1" applyNumberFormat="1" applyFont="1" applyFill="1" applyBorder="1" applyAlignment="1">
      <alignment horizontal="center" vertical="center"/>
    </xf>
    <xf numFmtId="1" fontId="11" fillId="6" borderId="44" xfId="1" applyNumberFormat="1" applyFont="1" applyFill="1" applyBorder="1" applyAlignment="1">
      <alignment horizontal="center" vertical="center"/>
    </xf>
    <xf numFmtId="1" fontId="11" fillId="6" borderId="42" xfId="1" applyNumberFormat="1" applyFont="1" applyFill="1" applyBorder="1" applyAlignment="1">
      <alignment horizontal="center" vertical="center"/>
    </xf>
    <xf numFmtId="37" fontId="11" fillId="6" borderId="42" xfId="1" applyNumberFormat="1" applyFont="1" applyFill="1" applyBorder="1" applyAlignment="1">
      <alignment horizontal="center" vertical="center"/>
    </xf>
    <xf numFmtId="37" fontId="11" fillId="6" borderId="24" xfId="1" applyNumberFormat="1" applyFont="1" applyFill="1" applyBorder="1" applyAlignment="1">
      <alignment horizontal="center" vertical="center"/>
    </xf>
    <xf numFmtId="37" fontId="11" fillId="6" borderId="43" xfId="1" applyNumberFormat="1" applyFont="1" applyFill="1" applyBorder="1" applyAlignment="1">
      <alignment horizontal="center" vertical="center"/>
    </xf>
    <xf numFmtId="1" fontId="11" fillId="5" borderId="28" xfId="1" applyNumberFormat="1" applyFont="1" applyFill="1" applyBorder="1" applyAlignment="1">
      <alignment horizontal="center" vertical="center"/>
    </xf>
    <xf numFmtId="1" fontId="0" fillId="6" borderId="16" xfId="0" applyNumberForma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1" fontId="0" fillId="6" borderId="14" xfId="0" applyNumberFormat="1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1" fontId="0" fillId="6" borderId="17" xfId="0" applyNumberFormat="1" applyFill="1" applyBorder="1" applyAlignment="1">
      <alignment horizontal="center" vertical="center"/>
    </xf>
    <xf numFmtId="1" fontId="0" fillId="6" borderId="45" xfId="0" applyNumberFormat="1" applyFill="1" applyBorder="1" applyAlignment="1">
      <alignment horizontal="center" vertical="center"/>
    </xf>
    <xf numFmtId="17" fontId="17" fillId="0" borderId="0" xfId="0" applyNumberFormat="1" applyFont="1" applyAlignment="1">
      <alignment horizontal="center" vertical="center" wrapText="1"/>
    </xf>
    <xf numFmtId="17" fontId="17" fillId="0" borderId="8" xfId="0" applyNumberFormat="1" applyFont="1" applyBorder="1" applyAlignment="1">
      <alignment horizontal="center" vertical="center" wrapText="1"/>
    </xf>
    <xf numFmtId="17" fontId="17" fillId="0" borderId="0" xfId="0" applyNumberFormat="1" applyFont="1" applyBorder="1" applyAlignment="1">
      <alignment horizontal="center" vertical="center" wrapText="1"/>
    </xf>
    <xf numFmtId="17" fontId="17" fillId="0" borderId="15" xfId="0" applyNumberFormat="1" applyFont="1" applyBorder="1" applyAlignment="1">
      <alignment horizontal="center" vertical="center" wrapText="1"/>
    </xf>
    <xf numFmtId="1" fontId="11" fillId="6" borderId="43" xfId="1" applyNumberFormat="1" applyFont="1" applyFill="1" applyBorder="1" applyAlignment="1">
      <alignment horizontal="center" vertical="center"/>
    </xf>
    <xf numFmtId="1" fontId="11" fillId="5" borderId="3" xfId="1" applyNumberFormat="1" applyFont="1" applyFill="1" applyBorder="1" applyAlignment="1">
      <alignment horizontal="center" vertical="center"/>
    </xf>
    <xf numFmtId="1" fontId="11" fillId="6" borderId="30" xfId="1" applyNumberFormat="1" applyFont="1" applyFill="1" applyBorder="1" applyAlignment="1">
      <alignment horizontal="center" vertical="center"/>
    </xf>
    <xf numFmtId="1" fontId="0" fillId="5" borderId="16" xfId="0" applyNumberForma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1" fontId="0" fillId="5" borderId="17" xfId="0" applyNumberFormat="1" applyFill="1" applyBorder="1" applyAlignment="1">
      <alignment horizontal="center" vertical="center"/>
    </xf>
    <xf numFmtId="1" fontId="0" fillId="5" borderId="14" xfId="0" applyNumberFormat="1" applyFill="1" applyBorder="1" applyAlignment="1">
      <alignment horizontal="center" vertical="center"/>
    </xf>
    <xf numFmtId="1" fontId="0" fillId="5" borderId="45" xfId="0" applyNumberFormat="1" applyFill="1" applyBorder="1" applyAlignment="1">
      <alignment horizontal="center" vertical="center"/>
    </xf>
    <xf numFmtId="1" fontId="0" fillId="5" borderId="46" xfId="0" applyNumberFormat="1" applyFill="1" applyBorder="1" applyAlignment="1">
      <alignment horizontal="center" vertical="center"/>
    </xf>
    <xf numFmtId="1" fontId="0" fillId="6" borderId="46" xfId="0" applyNumberFormat="1" applyFill="1" applyBorder="1" applyAlignment="1">
      <alignment horizontal="center" vertical="center"/>
    </xf>
    <xf numFmtId="164" fontId="0" fillId="5" borderId="25" xfId="0" applyNumberFormat="1" applyFill="1" applyBorder="1" applyAlignment="1">
      <alignment horizontal="center" vertical="center"/>
    </xf>
    <xf numFmtId="164" fontId="0" fillId="5" borderId="26" xfId="0" applyNumberFormat="1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 wrapText="1"/>
    </xf>
    <xf numFmtId="0" fontId="17" fillId="5" borderId="48" xfId="0" applyFont="1" applyFill="1" applyBorder="1" applyAlignment="1">
      <alignment horizontal="center" vertical="center" wrapText="1"/>
    </xf>
    <xf numFmtId="0" fontId="17" fillId="5" borderId="26" xfId="0" applyFont="1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/>
    </xf>
    <xf numFmtId="0" fontId="18" fillId="11" borderId="28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164" fontId="0" fillId="5" borderId="17" xfId="0" applyNumberFormat="1" applyFill="1" applyBorder="1" applyAlignment="1">
      <alignment horizontal="center" vertical="center"/>
    </xf>
    <xf numFmtId="164" fontId="0" fillId="5" borderId="24" xfId="0" applyNumberFormat="1" applyFill="1" applyBorder="1" applyAlignment="1">
      <alignment horizontal="center" vertical="center"/>
    </xf>
    <xf numFmtId="3" fontId="0" fillId="6" borderId="9" xfId="0" applyNumberFormat="1" applyFill="1" applyBorder="1" applyAlignment="1">
      <alignment horizontal="center" vertical="center"/>
    </xf>
    <xf numFmtId="3" fontId="0" fillId="6" borderId="12" xfId="0" applyNumberFormat="1" applyFill="1" applyBorder="1" applyAlignment="1">
      <alignment horizontal="center" vertical="center"/>
    </xf>
    <xf numFmtId="3" fontId="0" fillId="6" borderId="10" xfId="0" applyNumberFormat="1" applyFill="1" applyBorder="1" applyAlignment="1">
      <alignment horizontal="center" vertical="center"/>
    </xf>
    <xf numFmtId="3" fontId="0" fillId="5" borderId="9" xfId="0" applyNumberFormat="1" applyFill="1" applyBorder="1" applyAlignment="1">
      <alignment horizontal="center" vertical="center"/>
    </xf>
    <xf numFmtId="3" fontId="0" fillId="5" borderId="12" xfId="0" applyNumberFormat="1" applyFill="1" applyBorder="1" applyAlignment="1">
      <alignment horizontal="center" vertical="center"/>
    </xf>
    <xf numFmtId="3" fontId="0" fillId="5" borderId="10" xfId="0" applyNumberForma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 wrapText="1"/>
    </xf>
    <xf numFmtId="165" fontId="11" fillId="6" borderId="9" xfId="1" applyNumberFormat="1" applyFont="1" applyFill="1" applyBorder="1" applyAlignment="1">
      <alignment horizontal="center" vertical="center"/>
    </xf>
    <xf numFmtId="165" fontId="11" fillId="6" borderId="12" xfId="1" applyNumberFormat="1" applyFont="1" applyFill="1" applyBorder="1" applyAlignment="1">
      <alignment horizontal="center" vertical="center"/>
    </xf>
    <xf numFmtId="165" fontId="11" fillId="6" borderId="10" xfId="1" applyNumberFormat="1" applyFon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6" borderId="6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" fontId="11" fillId="6" borderId="9" xfId="1" applyNumberFormat="1" applyFont="1" applyFill="1" applyBorder="1" applyAlignment="1">
      <alignment horizontal="center" vertical="center"/>
    </xf>
    <xf numFmtId="1" fontId="11" fillId="6" borderId="12" xfId="1" applyNumberFormat="1" applyFont="1" applyFill="1" applyBorder="1" applyAlignment="1">
      <alignment horizontal="center" vertical="center"/>
    </xf>
    <xf numFmtId="1" fontId="11" fillId="6" borderId="10" xfId="1" applyNumberFormat="1" applyFont="1" applyFill="1" applyBorder="1" applyAlignment="1">
      <alignment horizontal="center" vertical="center"/>
    </xf>
    <xf numFmtId="37" fontId="11" fillId="5" borderId="9" xfId="1" applyNumberFormat="1" applyFont="1" applyFill="1" applyBorder="1" applyAlignment="1">
      <alignment horizontal="center" vertical="center"/>
    </xf>
    <xf numFmtId="37" fontId="11" fillId="5" borderId="12" xfId="1" applyNumberFormat="1" applyFont="1" applyFill="1" applyBorder="1" applyAlignment="1">
      <alignment horizontal="center" vertical="center"/>
    </xf>
    <xf numFmtId="37" fontId="11" fillId="5" borderId="10" xfId="1" applyNumberFormat="1" applyFont="1" applyFill="1" applyBorder="1" applyAlignment="1">
      <alignment horizontal="center" vertical="center"/>
    </xf>
    <xf numFmtId="0" fontId="18" fillId="10" borderId="28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2"/>
  <sheetViews>
    <sheetView tabSelected="1" zoomScale="70" zoomScaleNormal="70" workbookViewId="0">
      <selection activeCell="S29" sqref="S29"/>
    </sheetView>
  </sheetViews>
  <sheetFormatPr defaultRowHeight="15" x14ac:dyDescent="0.25"/>
  <cols>
    <col min="1" max="1" width="15.140625" customWidth="1"/>
    <col min="2" max="2" width="12.28515625" bestFit="1" customWidth="1"/>
    <col min="8" max="8" width="10" customWidth="1"/>
    <col min="14" max="14" width="10.7109375" bestFit="1" customWidth="1"/>
  </cols>
  <sheetData>
    <row r="1" spans="1:14" ht="36" customHeight="1" x14ac:dyDescent="0.25">
      <c r="A1" s="158">
        <v>41334</v>
      </c>
      <c r="B1" s="159"/>
      <c r="C1" s="168" t="s">
        <v>52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70"/>
    </row>
    <row r="2" spans="1:14" x14ac:dyDescent="0.25">
      <c r="A2" s="158"/>
      <c r="B2" s="159"/>
      <c r="C2" s="165">
        <f>A1</f>
        <v>41334</v>
      </c>
      <c r="D2" s="166"/>
      <c r="E2" s="166"/>
      <c r="F2" s="166"/>
      <c r="G2" s="166"/>
      <c r="H2" s="167"/>
      <c r="I2" s="171" t="s">
        <v>86</v>
      </c>
      <c r="J2" s="172"/>
      <c r="K2" s="172"/>
      <c r="L2" s="172"/>
      <c r="M2" s="172"/>
      <c r="N2" s="173"/>
    </row>
    <row r="3" spans="1:14" ht="45" x14ac:dyDescent="0.25">
      <c r="A3" s="158"/>
      <c r="B3" s="159"/>
      <c r="C3" s="6" t="s">
        <v>54</v>
      </c>
      <c r="D3" s="7" t="s">
        <v>55</v>
      </c>
      <c r="E3" s="7" t="s">
        <v>56</v>
      </c>
      <c r="F3" s="7" t="s">
        <v>57</v>
      </c>
      <c r="G3" s="28" t="s">
        <v>58</v>
      </c>
      <c r="H3" s="28" t="s">
        <v>59</v>
      </c>
      <c r="I3" s="32" t="s">
        <v>54</v>
      </c>
      <c r="J3" s="32" t="s">
        <v>55</v>
      </c>
      <c r="K3" s="32" t="s">
        <v>56</v>
      </c>
      <c r="L3" s="32" t="s">
        <v>57</v>
      </c>
      <c r="M3" s="32" t="s">
        <v>58</v>
      </c>
      <c r="N3" s="8" t="s">
        <v>59</v>
      </c>
    </row>
    <row r="4" spans="1:14" ht="11.25" customHeight="1" x14ac:dyDescent="0.25">
      <c r="A4" s="160"/>
      <c r="B4" s="161"/>
      <c r="C4" s="19"/>
      <c r="D4" s="10"/>
      <c r="E4" s="10"/>
      <c r="F4" s="10"/>
      <c r="G4" s="29"/>
      <c r="H4" s="29"/>
      <c r="I4" s="33"/>
      <c r="J4" s="33"/>
      <c r="K4" s="146"/>
      <c r="L4" s="146"/>
      <c r="M4" s="146"/>
      <c r="N4" s="20"/>
    </row>
    <row r="5" spans="1:14" x14ac:dyDescent="0.25">
      <c r="A5" s="162" t="s">
        <v>0</v>
      </c>
      <c r="B5" s="9" t="s">
        <v>8</v>
      </c>
      <c r="C5" s="81"/>
      <c r="D5" s="81">
        <v>1</v>
      </c>
      <c r="E5" s="81"/>
      <c r="F5" s="81"/>
      <c r="G5" s="36">
        <f>SUM(C5:F5)</f>
        <v>1</v>
      </c>
      <c r="H5" s="155">
        <f>SUM(C5:F9)</f>
        <v>49</v>
      </c>
      <c r="I5" s="128"/>
      <c r="J5" s="128">
        <v>4</v>
      </c>
      <c r="K5" s="128"/>
      <c r="L5" s="147"/>
      <c r="M5" s="36">
        <f t="shared" ref="M5:M49" si="0">SUM(I5:L5)</f>
        <v>4</v>
      </c>
      <c r="N5" s="152">
        <f>SUM(I5:L9)</f>
        <v>445</v>
      </c>
    </row>
    <row r="6" spans="1:14" x14ac:dyDescent="0.25">
      <c r="A6" s="163"/>
      <c r="B6" s="10" t="s">
        <v>9</v>
      </c>
      <c r="C6" s="81"/>
      <c r="D6" s="81">
        <v>2</v>
      </c>
      <c r="E6" s="81"/>
      <c r="F6" s="81"/>
      <c r="G6" s="36">
        <f t="shared" ref="G6:G49" si="1">SUM(C6:F6)</f>
        <v>2</v>
      </c>
      <c r="H6" s="156"/>
      <c r="I6" s="128">
        <v>2</v>
      </c>
      <c r="J6" s="128">
        <v>38</v>
      </c>
      <c r="K6" s="128"/>
      <c r="L6" s="128">
        <v>1</v>
      </c>
      <c r="M6" s="36">
        <f t="shared" si="0"/>
        <v>41</v>
      </c>
      <c r="N6" s="153"/>
    </row>
    <row r="7" spans="1:14" x14ac:dyDescent="0.25">
      <c r="A7" s="163"/>
      <c r="B7" s="10" t="s">
        <v>10</v>
      </c>
      <c r="C7" s="112"/>
      <c r="D7" s="112"/>
      <c r="E7" s="112"/>
      <c r="F7" s="112"/>
      <c r="G7" s="113">
        <f t="shared" si="1"/>
        <v>0</v>
      </c>
      <c r="H7" s="156"/>
      <c r="I7" s="128"/>
      <c r="J7" s="128">
        <v>1</v>
      </c>
      <c r="K7" s="128"/>
      <c r="L7" s="128">
        <v>1</v>
      </c>
      <c r="M7" s="36">
        <f t="shared" si="0"/>
        <v>2</v>
      </c>
      <c r="N7" s="153"/>
    </row>
    <row r="8" spans="1:14" x14ac:dyDescent="0.25">
      <c r="A8" s="163"/>
      <c r="B8" s="10" t="s">
        <v>11</v>
      </c>
      <c r="C8" s="81">
        <v>5</v>
      </c>
      <c r="D8" s="81">
        <v>31</v>
      </c>
      <c r="E8" s="81"/>
      <c r="F8" s="81">
        <v>8</v>
      </c>
      <c r="G8" s="36">
        <f t="shared" si="1"/>
        <v>44</v>
      </c>
      <c r="H8" s="156"/>
      <c r="I8" s="128">
        <v>72</v>
      </c>
      <c r="J8" s="128">
        <v>240</v>
      </c>
      <c r="K8" s="128">
        <v>1</v>
      </c>
      <c r="L8" s="128">
        <v>71</v>
      </c>
      <c r="M8" s="36">
        <f t="shared" si="0"/>
        <v>384</v>
      </c>
      <c r="N8" s="153"/>
    </row>
    <row r="9" spans="1:14" x14ac:dyDescent="0.25">
      <c r="A9" s="164"/>
      <c r="B9" s="10" t="s">
        <v>12</v>
      </c>
      <c r="C9" s="81">
        <v>1</v>
      </c>
      <c r="D9" s="81">
        <v>1</v>
      </c>
      <c r="E9" s="81"/>
      <c r="F9" s="81"/>
      <c r="G9" s="36">
        <f t="shared" si="1"/>
        <v>2</v>
      </c>
      <c r="H9" s="157"/>
      <c r="I9" s="128">
        <v>3</v>
      </c>
      <c r="J9" s="128">
        <v>10</v>
      </c>
      <c r="K9" s="128"/>
      <c r="L9" s="128">
        <v>1</v>
      </c>
      <c r="M9" s="36">
        <f t="shared" si="0"/>
        <v>14</v>
      </c>
      <c r="N9" s="154"/>
    </row>
    <row r="10" spans="1:14" x14ac:dyDescent="0.25">
      <c r="A10" s="162" t="s">
        <v>1</v>
      </c>
      <c r="B10" s="9" t="s">
        <v>14</v>
      </c>
      <c r="C10" s="81">
        <v>2</v>
      </c>
      <c r="D10" s="81">
        <v>3</v>
      </c>
      <c r="E10" s="81"/>
      <c r="F10" s="81"/>
      <c r="G10" s="36">
        <f t="shared" si="1"/>
        <v>5</v>
      </c>
      <c r="H10" s="155">
        <f>SUM(C10:F14)</f>
        <v>20</v>
      </c>
      <c r="I10" s="128">
        <v>5</v>
      </c>
      <c r="J10" s="128">
        <v>5</v>
      </c>
      <c r="K10" s="128">
        <v>2</v>
      </c>
      <c r="L10" s="128">
        <v>2</v>
      </c>
      <c r="M10" s="36">
        <f t="shared" si="0"/>
        <v>14</v>
      </c>
      <c r="N10" s="152">
        <f>SUM(I10:L14)</f>
        <v>156</v>
      </c>
    </row>
    <row r="11" spans="1:14" x14ac:dyDescent="0.25">
      <c r="A11" s="163"/>
      <c r="B11" s="10" t="s">
        <v>15</v>
      </c>
      <c r="C11" s="81"/>
      <c r="D11" s="81"/>
      <c r="E11" s="81"/>
      <c r="F11" s="81"/>
      <c r="G11" s="36">
        <f t="shared" si="1"/>
        <v>0</v>
      </c>
      <c r="H11" s="156"/>
      <c r="I11" s="128"/>
      <c r="J11" s="128"/>
      <c r="K11" s="128">
        <v>6</v>
      </c>
      <c r="L11" s="128"/>
      <c r="M11" s="36">
        <f t="shared" si="0"/>
        <v>6</v>
      </c>
      <c r="N11" s="153"/>
    </row>
    <row r="12" spans="1:14" x14ac:dyDescent="0.25">
      <c r="A12" s="163"/>
      <c r="B12" s="10" t="s">
        <v>16</v>
      </c>
      <c r="C12" s="81">
        <v>2</v>
      </c>
      <c r="D12" s="81">
        <v>2</v>
      </c>
      <c r="E12" s="81">
        <v>1</v>
      </c>
      <c r="F12" s="81"/>
      <c r="G12" s="36">
        <f t="shared" si="1"/>
        <v>5</v>
      </c>
      <c r="H12" s="156"/>
      <c r="I12" s="128">
        <v>22</v>
      </c>
      <c r="J12" s="128">
        <v>13</v>
      </c>
      <c r="K12" s="128">
        <v>4</v>
      </c>
      <c r="L12" s="128">
        <v>2</v>
      </c>
      <c r="M12" s="36">
        <f t="shared" si="0"/>
        <v>41</v>
      </c>
      <c r="N12" s="153"/>
    </row>
    <row r="13" spans="1:14" x14ac:dyDescent="0.25">
      <c r="A13" s="163"/>
      <c r="B13" s="10" t="s">
        <v>17</v>
      </c>
      <c r="C13" s="81"/>
      <c r="D13" s="81"/>
      <c r="E13" s="81"/>
      <c r="F13" s="81"/>
      <c r="G13" s="36">
        <f t="shared" si="1"/>
        <v>0</v>
      </c>
      <c r="H13" s="156"/>
      <c r="I13" s="128"/>
      <c r="J13" s="128"/>
      <c r="K13" s="128">
        <v>2</v>
      </c>
      <c r="L13" s="128"/>
      <c r="M13" s="36">
        <f t="shared" si="0"/>
        <v>2</v>
      </c>
      <c r="N13" s="153"/>
    </row>
    <row r="14" spans="1:14" x14ac:dyDescent="0.25">
      <c r="A14" s="164"/>
      <c r="B14" s="10" t="s">
        <v>18</v>
      </c>
      <c r="C14" s="81">
        <v>5</v>
      </c>
      <c r="D14" s="81">
        <v>4</v>
      </c>
      <c r="E14" s="81"/>
      <c r="F14" s="81">
        <v>1</v>
      </c>
      <c r="G14" s="36">
        <f t="shared" si="1"/>
        <v>10</v>
      </c>
      <c r="H14" s="157"/>
      <c r="I14" s="128">
        <v>50</v>
      </c>
      <c r="J14" s="128">
        <v>39</v>
      </c>
      <c r="K14" s="128">
        <v>1</v>
      </c>
      <c r="L14" s="128">
        <v>3</v>
      </c>
      <c r="M14" s="36">
        <f t="shared" si="0"/>
        <v>93</v>
      </c>
      <c r="N14" s="154"/>
    </row>
    <row r="15" spans="1:14" x14ac:dyDescent="0.25">
      <c r="A15" s="162" t="s">
        <v>2</v>
      </c>
      <c r="B15" s="9" t="s">
        <v>19</v>
      </c>
      <c r="C15" s="81"/>
      <c r="D15" s="81">
        <v>1</v>
      </c>
      <c r="E15" s="81"/>
      <c r="F15" s="81"/>
      <c r="G15" s="36">
        <f t="shared" si="1"/>
        <v>1</v>
      </c>
      <c r="H15" s="155">
        <f>SUM(C15:F20)</f>
        <v>80</v>
      </c>
      <c r="I15" s="128">
        <v>2</v>
      </c>
      <c r="J15" s="128">
        <v>5</v>
      </c>
      <c r="K15" s="128"/>
      <c r="L15" s="128">
        <v>3</v>
      </c>
      <c r="M15" s="36">
        <f t="shared" si="0"/>
        <v>10</v>
      </c>
      <c r="N15" s="152">
        <f>SUM(I15:L20)</f>
        <v>781</v>
      </c>
    </row>
    <row r="16" spans="1:14" x14ac:dyDescent="0.25">
      <c r="A16" s="163"/>
      <c r="B16" s="10" t="s">
        <v>20</v>
      </c>
      <c r="C16" s="81">
        <v>33</v>
      </c>
      <c r="D16" s="81">
        <v>35</v>
      </c>
      <c r="E16" s="81"/>
      <c r="F16" s="81">
        <v>2</v>
      </c>
      <c r="G16" s="36">
        <f t="shared" si="1"/>
        <v>70</v>
      </c>
      <c r="H16" s="156"/>
      <c r="I16" s="128">
        <v>315</v>
      </c>
      <c r="J16" s="128">
        <v>343</v>
      </c>
      <c r="K16" s="128"/>
      <c r="L16" s="128">
        <v>13</v>
      </c>
      <c r="M16" s="36">
        <f t="shared" si="0"/>
        <v>671</v>
      </c>
      <c r="N16" s="153"/>
    </row>
    <row r="17" spans="1:14" x14ac:dyDescent="0.25">
      <c r="A17" s="163"/>
      <c r="B17" s="10" t="s">
        <v>21</v>
      </c>
      <c r="C17" s="81"/>
      <c r="D17" s="81">
        <v>4</v>
      </c>
      <c r="E17" s="81"/>
      <c r="F17" s="81"/>
      <c r="G17" s="36">
        <f t="shared" si="1"/>
        <v>4</v>
      </c>
      <c r="H17" s="156"/>
      <c r="I17" s="128">
        <v>16</v>
      </c>
      <c r="J17" s="128">
        <v>17</v>
      </c>
      <c r="K17" s="128"/>
      <c r="L17" s="128"/>
      <c r="M17" s="36">
        <f t="shared" si="0"/>
        <v>33</v>
      </c>
      <c r="N17" s="153"/>
    </row>
    <row r="18" spans="1:14" x14ac:dyDescent="0.25">
      <c r="A18" s="163"/>
      <c r="B18" s="10" t="s">
        <v>22</v>
      </c>
      <c r="C18" s="81"/>
      <c r="D18" s="81"/>
      <c r="E18" s="81"/>
      <c r="F18" s="81"/>
      <c r="G18" s="36">
        <f t="shared" si="1"/>
        <v>0</v>
      </c>
      <c r="H18" s="156"/>
      <c r="I18" s="128">
        <v>9</v>
      </c>
      <c r="J18" s="128">
        <v>7</v>
      </c>
      <c r="K18" s="128"/>
      <c r="L18" s="128">
        <v>1</v>
      </c>
      <c r="M18" s="36">
        <f t="shared" si="0"/>
        <v>17</v>
      </c>
      <c r="N18" s="153"/>
    </row>
    <row r="19" spans="1:14" x14ac:dyDescent="0.25">
      <c r="A19" s="163"/>
      <c r="B19" s="10" t="s">
        <v>23</v>
      </c>
      <c r="C19" s="81">
        <v>1</v>
      </c>
      <c r="D19" s="81">
        <v>3</v>
      </c>
      <c r="E19" s="81"/>
      <c r="F19" s="81"/>
      <c r="G19" s="36">
        <f t="shared" si="1"/>
        <v>4</v>
      </c>
      <c r="H19" s="156"/>
      <c r="I19" s="128">
        <v>9</v>
      </c>
      <c r="J19" s="128">
        <v>20</v>
      </c>
      <c r="K19" s="128"/>
      <c r="L19" s="128"/>
      <c r="M19" s="36">
        <f t="shared" si="0"/>
        <v>29</v>
      </c>
      <c r="N19" s="153"/>
    </row>
    <row r="20" spans="1:14" x14ac:dyDescent="0.25">
      <c r="A20" s="164"/>
      <c r="B20" s="10" t="s">
        <v>24</v>
      </c>
      <c r="C20" s="81"/>
      <c r="D20" s="81">
        <v>1</v>
      </c>
      <c r="E20" s="81"/>
      <c r="F20" s="81"/>
      <c r="G20" s="36">
        <f t="shared" si="1"/>
        <v>1</v>
      </c>
      <c r="H20" s="157"/>
      <c r="I20" s="128">
        <v>11</v>
      </c>
      <c r="J20" s="128">
        <v>10</v>
      </c>
      <c r="K20" s="128"/>
      <c r="L20" s="128"/>
      <c r="M20" s="36">
        <f t="shared" si="0"/>
        <v>21</v>
      </c>
      <c r="N20" s="154"/>
    </row>
    <row r="21" spans="1:14" x14ac:dyDescent="0.25">
      <c r="A21" s="162" t="s">
        <v>3</v>
      </c>
      <c r="B21" s="9" t="s">
        <v>25</v>
      </c>
      <c r="C21" s="81">
        <v>88</v>
      </c>
      <c r="D21" s="81">
        <v>54</v>
      </c>
      <c r="E21" s="81">
        <v>8</v>
      </c>
      <c r="F21" s="81"/>
      <c r="G21" s="36">
        <f t="shared" si="1"/>
        <v>150</v>
      </c>
      <c r="H21" s="155">
        <f>SUM(C21:F24)</f>
        <v>157</v>
      </c>
      <c r="I21" s="128">
        <v>818</v>
      </c>
      <c r="J21" s="128">
        <v>504</v>
      </c>
      <c r="K21" s="128">
        <v>89</v>
      </c>
      <c r="L21" s="128">
        <v>3</v>
      </c>
      <c r="M21" s="36">
        <f t="shared" si="0"/>
        <v>1414</v>
      </c>
      <c r="N21" s="152">
        <f>SUM(I21:L24)</f>
        <v>1464</v>
      </c>
    </row>
    <row r="22" spans="1:14" x14ac:dyDescent="0.25">
      <c r="A22" s="163"/>
      <c r="B22" s="10" t="s">
        <v>26</v>
      </c>
      <c r="C22" s="81"/>
      <c r="D22" s="81">
        <v>1</v>
      </c>
      <c r="E22" s="81"/>
      <c r="F22" s="81"/>
      <c r="G22" s="36">
        <f t="shared" si="1"/>
        <v>1</v>
      </c>
      <c r="H22" s="156"/>
      <c r="I22" s="128"/>
      <c r="J22" s="128">
        <v>6</v>
      </c>
      <c r="K22" s="128"/>
      <c r="L22" s="128"/>
      <c r="M22" s="36">
        <f t="shared" si="0"/>
        <v>6</v>
      </c>
      <c r="N22" s="153"/>
    </row>
    <row r="23" spans="1:14" x14ac:dyDescent="0.25">
      <c r="A23" s="163"/>
      <c r="B23" s="10" t="s">
        <v>27</v>
      </c>
      <c r="C23" s="81">
        <v>1</v>
      </c>
      <c r="D23" s="81">
        <v>4</v>
      </c>
      <c r="E23" s="81"/>
      <c r="F23" s="81"/>
      <c r="G23" s="36">
        <f t="shared" si="1"/>
        <v>5</v>
      </c>
      <c r="H23" s="156"/>
      <c r="I23" s="128">
        <v>11</v>
      </c>
      <c r="J23" s="128">
        <v>24</v>
      </c>
      <c r="K23" s="128">
        <v>3</v>
      </c>
      <c r="L23" s="128"/>
      <c r="M23" s="36">
        <f t="shared" si="0"/>
        <v>38</v>
      </c>
      <c r="N23" s="153"/>
    </row>
    <row r="24" spans="1:14" x14ac:dyDescent="0.25">
      <c r="A24" s="164"/>
      <c r="B24" s="10" t="s">
        <v>28</v>
      </c>
      <c r="C24" s="81"/>
      <c r="D24" s="81"/>
      <c r="E24" s="81">
        <v>1</v>
      </c>
      <c r="F24" s="81"/>
      <c r="G24" s="36">
        <f t="shared" si="1"/>
        <v>1</v>
      </c>
      <c r="H24" s="157"/>
      <c r="I24" s="128">
        <v>3</v>
      </c>
      <c r="J24" s="128">
        <v>2</v>
      </c>
      <c r="K24" s="128">
        <v>1</v>
      </c>
      <c r="L24" s="128"/>
      <c r="M24" s="36">
        <f t="shared" si="0"/>
        <v>6</v>
      </c>
      <c r="N24" s="154"/>
    </row>
    <row r="25" spans="1:14" x14ac:dyDescent="0.25">
      <c r="A25" s="162" t="s">
        <v>4</v>
      </c>
      <c r="B25" s="9" t="s">
        <v>29</v>
      </c>
      <c r="C25" s="81"/>
      <c r="D25" s="81"/>
      <c r="E25" s="81"/>
      <c r="F25" s="81">
        <v>1</v>
      </c>
      <c r="G25" s="36">
        <f t="shared" si="1"/>
        <v>1</v>
      </c>
      <c r="H25" s="155">
        <f>SUM(C25:F32)</f>
        <v>45</v>
      </c>
      <c r="I25" s="128">
        <v>21</v>
      </c>
      <c r="J25" s="128">
        <v>2</v>
      </c>
      <c r="K25" s="128"/>
      <c r="L25" s="128">
        <v>1</v>
      </c>
      <c r="M25" s="36">
        <f t="shared" si="0"/>
        <v>24</v>
      </c>
      <c r="N25" s="152">
        <f>SUM(I25:L32)</f>
        <v>393</v>
      </c>
    </row>
    <row r="26" spans="1:14" x14ac:dyDescent="0.25">
      <c r="A26" s="163"/>
      <c r="B26" s="10" t="s">
        <v>30</v>
      </c>
      <c r="C26" s="81"/>
      <c r="D26" s="81"/>
      <c r="E26" s="81"/>
      <c r="F26" s="81"/>
      <c r="G26" s="36">
        <f t="shared" si="1"/>
        <v>0</v>
      </c>
      <c r="H26" s="156"/>
      <c r="I26" s="128">
        <v>2</v>
      </c>
      <c r="J26" s="128">
        <v>1</v>
      </c>
      <c r="K26" s="128"/>
      <c r="L26" s="128"/>
      <c r="M26" s="36">
        <f t="shared" si="0"/>
        <v>3</v>
      </c>
      <c r="N26" s="153"/>
    </row>
    <row r="27" spans="1:14" x14ac:dyDescent="0.25">
      <c r="A27" s="163"/>
      <c r="B27" s="10" t="s">
        <v>31</v>
      </c>
      <c r="C27" s="81">
        <v>2</v>
      </c>
      <c r="D27" s="81">
        <v>1</v>
      </c>
      <c r="E27" s="81"/>
      <c r="F27" s="81"/>
      <c r="G27" s="36">
        <f t="shared" si="1"/>
        <v>3</v>
      </c>
      <c r="H27" s="156"/>
      <c r="I27" s="128">
        <v>16</v>
      </c>
      <c r="J27" s="128">
        <v>8</v>
      </c>
      <c r="K27" s="128"/>
      <c r="L27" s="128">
        <v>1</v>
      </c>
      <c r="M27" s="36">
        <f t="shared" si="0"/>
        <v>25</v>
      </c>
      <c r="N27" s="153"/>
    </row>
    <row r="28" spans="1:14" x14ac:dyDescent="0.25">
      <c r="A28" s="163"/>
      <c r="B28" s="10" t="s">
        <v>32</v>
      </c>
      <c r="C28" s="81">
        <v>3</v>
      </c>
      <c r="D28" s="81">
        <v>1</v>
      </c>
      <c r="E28" s="81"/>
      <c r="F28" s="81"/>
      <c r="G28" s="36">
        <f t="shared" si="1"/>
        <v>4</v>
      </c>
      <c r="H28" s="156"/>
      <c r="I28" s="128">
        <v>14</v>
      </c>
      <c r="J28" s="128">
        <v>8</v>
      </c>
      <c r="K28" s="128"/>
      <c r="L28" s="128"/>
      <c r="M28" s="36">
        <f t="shared" si="0"/>
        <v>22</v>
      </c>
      <c r="N28" s="153"/>
    </row>
    <row r="29" spans="1:14" x14ac:dyDescent="0.25">
      <c r="A29" s="163"/>
      <c r="B29" s="10" t="s">
        <v>33</v>
      </c>
      <c r="C29" s="81">
        <v>1</v>
      </c>
      <c r="D29" s="81"/>
      <c r="E29" s="81"/>
      <c r="F29" s="81"/>
      <c r="G29" s="36">
        <f t="shared" si="1"/>
        <v>1</v>
      </c>
      <c r="H29" s="156"/>
      <c r="I29" s="128">
        <v>14</v>
      </c>
      <c r="J29" s="128">
        <v>4</v>
      </c>
      <c r="K29" s="128"/>
      <c r="L29" s="128"/>
      <c r="M29" s="36">
        <f t="shared" si="0"/>
        <v>18</v>
      </c>
      <c r="N29" s="153"/>
    </row>
    <row r="30" spans="1:14" x14ac:dyDescent="0.25">
      <c r="A30" s="163"/>
      <c r="B30" s="10" t="s">
        <v>69</v>
      </c>
      <c r="C30" s="81">
        <v>1</v>
      </c>
      <c r="D30" s="81">
        <v>1</v>
      </c>
      <c r="E30" s="81"/>
      <c r="F30" s="81"/>
      <c r="G30" s="36">
        <f t="shared" si="1"/>
        <v>2</v>
      </c>
      <c r="H30" s="156"/>
      <c r="I30" s="128">
        <v>10</v>
      </c>
      <c r="J30" s="128">
        <v>6</v>
      </c>
      <c r="K30" s="128"/>
      <c r="L30" s="128"/>
      <c r="M30" s="36">
        <f t="shared" si="0"/>
        <v>16</v>
      </c>
      <c r="N30" s="153"/>
    </row>
    <row r="31" spans="1:14" x14ac:dyDescent="0.25">
      <c r="A31" s="163"/>
      <c r="B31" s="10" t="s">
        <v>34</v>
      </c>
      <c r="C31" s="81"/>
      <c r="D31" s="81">
        <v>5</v>
      </c>
      <c r="E31" s="81"/>
      <c r="F31" s="81"/>
      <c r="G31" s="36">
        <f t="shared" si="1"/>
        <v>5</v>
      </c>
      <c r="H31" s="156"/>
      <c r="I31" s="128">
        <v>18</v>
      </c>
      <c r="J31" s="128">
        <v>10</v>
      </c>
      <c r="K31" s="128"/>
      <c r="L31" s="128"/>
      <c r="M31" s="36">
        <f t="shared" si="0"/>
        <v>28</v>
      </c>
      <c r="N31" s="153"/>
    </row>
    <row r="32" spans="1:14" x14ac:dyDescent="0.25">
      <c r="A32" s="164"/>
      <c r="B32" s="10" t="s">
        <v>35</v>
      </c>
      <c r="C32" s="81">
        <v>15</v>
      </c>
      <c r="D32" s="81">
        <v>8</v>
      </c>
      <c r="E32" s="81"/>
      <c r="F32" s="81">
        <v>6</v>
      </c>
      <c r="G32" s="36">
        <f t="shared" si="1"/>
        <v>29</v>
      </c>
      <c r="H32" s="157"/>
      <c r="I32" s="128">
        <v>195</v>
      </c>
      <c r="J32" s="128">
        <v>54</v>
      </c>
      <c r="K32" s="128"/>
      <c r="L32" s="128">
        <v>8</v>
      </c>
      <c r="M32" s="36">
        <f t="shared" si="0"/>
        <v>257</v>
      </c>
      <c r="N32" s="154"/>
    </row>
    <row r="33" spans="1:14" x14ac:dyDescent="0.25">
      <c r="A33" s="162" t="s">
        <v>5</v>
      </c>
      <c r="B33" s="9" t="s">
        <v>36</v>
      </c>
      <c r="C33" s="81">
        <v>14</v>
      </c>
      <c r="D33" s="81">
        <v>4</v>
      </c>
      <c r="E33" s="81"/>
      <c r="F33" s="81"/>
      <c r="G33" s="36">
        <f t="shared" si="1"/>
        <v>18</v>
      </c>
      <c r="H33" s="155">
        <f>SUM(C33:F38)</f>
        <v>20</v>
      </c>
      <c r="I33" s="128">
        <v>136</v>
      </c>
      <c r="J33" s="128">
        <v>14</v>
      </c>
      <c r="K33" s="128"/>
      <c r="L33" s="128">
        <v>14</v>
      </c>
      <c r="M33" s="36">
        <f t="shared" si="0"/>
        <v>164</v>
      </c>
      <c r="N33" s="152">
        <f>SUM(I33:L38)</f>
        <v>185</v>
      </c>
    </row>
    <row r="34" spans="1:14" x14ac:dyDescent="0.25">
      <c r="A34" s="163"/>
      <c r="B34" s="10" t="s">
        <v>37</v>
      </c>
      <c r="C34" s="81">
        <v>1</v>
      </c>
      <c r="D34" s="81">
        <v>1</v>
      </c>
      <c r="E34" s="81"/>
      <c r="F34" s="81"/>
      <c r="G34" s="36">
        <f t="shared" si="1"/>
        <v>2</v>
      </c>
      <c r="H34" s="156"/>
      <c r="I34" s="128">
        <v>3</v>
      </c>
      <c r="J34" s="128">
        <v>1</v>
      </c>
      <c r="K34" s="128"/>
      <c r="L34" s="128"/>
      <c r="M34" s="36">
        <f t="shared" si="0"/>
        <v>4</v>
      </c>
      <c r="N34" s="153"/>
    </row>
    <row r="35" spans="1:14" x14ac:dyDescent="0.25">
      <c r="A35" s="163"/>
      <c r="B35" s="10" t="s">
        <v>38</v>
      </c>
      <c r="C35" s="81"/>
      <c r="D35" s="81"/>
      <c r="E35" s="81"/>
      <c r="F35" s="81"/>
      <c r="G35" s="36">
        <f t="shared" si="1"/>
        <v>0</v>
      </c>
      <c r="H35" s="156"/>
      <c r="I35" s="128"/>
      <c r="J35" s="128"/>
      <c r="K35" s="128"/>
      <c r="L35" s="128"/>
      <c r="M35" s="36">
        <f t="shared" si="0"/>
        <v>0</v>
      </c>
      <c r="N35" s="153"/>
    </row>
    <row r="36" spans="1:14" x14ac:dyDescent="0.25">
      <c r="A36" s="163"/>
      <c r="B36" s="10" t="s">
        <v>39</v>
      </c>
      <c r="C36" s="81"/>
      <c r="D36" s="81"/>
      <c r="E36" s="81"/>
      <c r="F36" s="81"/>
      <c r="G36" s="36">
        <f t="shared" si="1"/>
        <v>0</v>
      </c>
      <c r="H36" s="156"/>
      <c r="I36" s="128">
        <v>4</v>
      </c>
      <c r="J36" s="128">
        <v>5</v>
      </c>
      <c r="K36" s="128"/>
      <c r="L36" s="128">
        <v>1</v>
      </c>
      <c r="M36" s="36">
        <f t="shared" si="0"/>
        <v>10</v>
      </c>
      <c r="N36" s="153"/>
    </row>
    <row r="37" spans="1:14" x14ac:dyDescent="0.25">
      <c r="A37" s="163"/>
      <c r="B37" s="10" t="s">
        <v>40</v>
      </c>
      <c r="C37" s="81"/>
      <c r="D37" s="81"/>
      <c r="E37" s="81"/>
      <c r="F37" s="81"/>
      <c r="G37" s="36">
        <f t="shared" si="1"/>
        <v>0</v>
      </c>
      <c r="H37" s="156"/>
      <c r="I37" s="128"/>
      <c r="J37" s="128">
        <v>1</v>
      </c>
      <c r="K37" s="128"/>
      <c r="L37" s="128"/>
      <c r="M37" s="36">
        <f t="shared" si="0"/>
        <v>1</v>
      </c>
      <c r="N37" s="153"/>
    </row>
    <row r="38" spans="1:14" x14ac:dyDescent="0.25">
      <c r="A38" s="164"/>
      <c r="B38" s="10" t="s">
        <v>41</v>
      </c>
      <c r="C38" s="81"/>
      <c r="D38" s="81"/>
      <c r="E38" s="81"/>
      <c r="F38" s="81"/>
      <c r="G38" s="36">
        <f t="shared" si="1"/>
        <v>0</v>
      </c>
      <c r="H38" s="157"/>
      <c r="I38" s="128">
        <v>4</v>
      </c>
      <c r="J38" s="128">
        <v>1</v>
      </c>
      <c r="K38" s="128"/>
      <c r="L38" s="128">
        <v>1</v>
      </c>
      <c r="M38" s="36">
        <f t="shared" si="0"/>
        <v>6</v>
      </c>
      <c r="N38" s="154"/>
    </row>
    <row r="39" spans="1:14" x14ac:dyDescent="0.25">
      <c r="A39" s="162" t="s">
        <v>6</v>
      </c>
      <c r="B39" s="9" t="s">
        <v>42</v>
      </c>
      <c r="C39" s="81"/>
      <c r="D39" s="81">
        <v>1</v>
      </c>
      <c r="E39" s="81"/>
      <c r="F39" s="81">
        <v>3</v>
      </c>
      <c r="G39" s="36">
        <f t="shared" si="1"/>
        <v>4</v>
      </c>
      <c r="H39" s="155">
        <f>SUM(C39:F48)</f>
        <v>27</v>
      </c>
      <c r="I39" s="128">
        <v>8</v>
      </c>
      <c r="J39" s="128">
        <v>6</v>
      </c>
      <c r="K39" s="128"/>
      <c r="L39" s="128">
        <v>57</v>
      </c>
      <c r="M39" s="36">
        <f t="shared" si="0"/>
        <v>71</v>
      </c>
      <c r="N39" s="152">
        <f>SUM(I39:L48)</f>
        <v>307</v>
      </c>
    </row>
    <row r="40" spans="1:14" x14ac:dyDescent="0.25">
      <c r="A40" s="163"/>
      <c r="B40" s="10" t="s">
        <v>43</v>
      </c>
      <c r="C40" s="81">
        <v>2</v>
      </c>
      <c r="D40" s="81">
        <v>1</v>
      </c>
      <c r="E40" s="81"/>
      <c r="F40" s="81">
        <v>12</v>
      </c>
      <c r="G40" s="36">
        <f t="shared" si="1"/>
        <v>15</v>
      </c>
      <c r="H40" s="156"/>
      <c r="I40" s="128">
        <v>10</v>
      </c>
      <c r="J40" s="128">
        <v>25</v>
      </c>
      <c r="K40" s="128"/>
      <c r="L40" s="128">
        <v>124</v>
      </c>
      <c r="M40" s="36">
        <f t="shared" si="0"/>
        <v>159</v>
      </c>
      <c r="N40" s="153"/>
    </row>
    <row r="41" spans="1:14" x14ac:dyDescent="0.25">
      <c r="A41" s="163"/>
      <c r="B41" s="10" t="s">
        <v>44</v>
      </c>
      <c r="C41" s="81"/>
      <c r="D41" s="81"/>
      <c r="E41" s="81"/>
      <c r="F41" s="81">
        <v>1</v>
      </c>
      <c r="G41" s="36">
        <f t="shared" si="1"/>
        <v>1</v>
      </c>
      <c r="H41" s="156"/>
      <c r="I41" s="128"/>
      <c r="J41" s="128"/>
      <c r="K41" s="128"/>
      <c r="L41" s="128">
        <v>1</v>
      </c>
      <c r="M41" s="36">
        <f t="shared" si="0"/>
        <v>1</v>
      </c>
      <c r="N41" s="153"/>
    </row>
    <row r="42" spans="1:14" x14ac:dyDescent="0.25">
      <c r="A42" s="163"/>
      <c r="B42" s="10" t="s">
        <v>45</v>
      </c>
      <c r="C42" s="81"/>
      <c r="D42" s="81"/>
      <c r="E42" s="81"/>
      <c r="F42" s="81"/>
      <c r="G42" s="36">
        <f t="shared" si="1"/>
        <v>0</v>
      </c>
      <c r="H42" s="156"/>
      <c r="I42" s="128"/>
      <c r="J42" s="128"/>
      <c r="K42" s="128"/>
      <c r="L42" s="128"/>
      <c r="M42" s="36">
        <f t="shared" si="0"/>
        <v>0</v>
      </c>
      <c r="N42" s="153"/>
    </row>
    <row r="43" spans="1:14" x14ac:dyDescent="0.25">
      <c r="A43" s="163"/>
      <c r="B43" s="10" t="s">
        <v>46</v>
      </c>
      <c r="C43" s="81"/>
      <c r="D43" s="81"/>
      <c r="E43" s="81"/>
      <c r="F43" s="81"/>
      <c r="G43" s="36">
        <f t="shared" si="1"/>
        <v>0</v>
      </c>
      <c r="H43" s="156"/>
      <c r="I43" s="128"/>
      <c r="J43" s="128"/>
      <c r="K43" s="128"/>
      <c r="L43" s="128">
        <v>2</v>
      </c>
      <c r="M43" s="36">
        <f t="shared" si="0"/>
        <v>2</v>
      </c>
      <c r="N43" s="153"/>
    </row>
    <row r="44" spans="1:14" x14ac:dyDescent="0.25">
      <c r="A44" s="163"/>
      <c r="B44" s="10" t="s">
        <v>47</v>
      </c>
      <c r="C44" s="81"/>
      <c r="D44" s="81"/>
      <c r="E44" s="81">
        <v>1</v>
      </c>
      <c r="F44" s="81"/>
      <c r="G44" s="36">
        <f t="shared" si="1"/>
        <v>1</v>
      </c>
      <c r="H44" s="156"/>
      <c r="I44" s="128"/>
      <c r="J44" s="128">
        <v>3</v>
      </c>
      <c r="K44" s="128">
        <v>1</v>
      </c>
      <c r="L44" s="128">
        <v>5</v>
      </c>
      <c r="M44" s="36">
        <f t="shared" si="0"/>
        <v>9</v>
      </c>
      <c r="N44" s="153"/>
    </row>
    <row r="45" spans="1:14" x14ac:dyDescent="0.25">
      <c r="A45" s="163"/>
      <c r="B45" s="10" t="s">
        <v>48</v>
      </c>
      <c r="C45" s="81"/>
      <c r="D45" s="81"/>
      <c r="E45" s="81"/>
      <c r="F45" s="81">
        <v>1</v>
      </c>
      <c r="G45" s="36">
        <f t="shared" si="1"/>
        <v>1</v>
      </c>
      <c r="H45" s="156"/>
      <c r="I45" s="128">
        <v>3</v>
      </c>
      <c r="J45" s="128">
        <v>1</v>
      </c>
      <c r="K45" s="128"/>
      <c r="L45" s="128">
        <v>16</v>
      </c>
      <c r="M45" s="36">
        <f t="shared" si="0"/>
        <v>20</v>
      </c>
      <c r="N45" s="153"/>
    </row>
    <row r="46" spans="1:14" x14ac:dyDescent="0.25">
      <c r="A46" s="163"/>
      <c r="B46" s="10" t="s">
        <v>49</v>
      </c>
      <c r="C46" s="81"/>
      <c r="D46" s="81"/>
      <c r="E46" s="81"/>
      <c r="F46" s="81"/>
      <c r="G46" s="36">
        <f t="shared" si="1"/>
        <v>0</v>
      </c>
      <c r="H46" s="156"/>
      <c r="I46" s="128">
        <v>1</v>
      </c>
      <c r="J46" s="128">
        <v>2</v>
      </c>
      <c r="K46" s="128"/>
      <c r="L46" s="128">
        <v>7</v>
      </c>
      <c r="M46" s="36">
        <f t="shared" si="0"/>
        <v>10</v>
      </c>
      <c r="N46" s="153"/>
    </row>
    <row r="47" spans="1:14" x14ac:dyDescent="0.25">
      <c r="A47" s="163"/>
      <c r="B47" s="10" t="s">
        <v>50</v>
      </c>
      <c r="C47" s="81"/>
      <c r="D47" s="81"/>
      <c r="E47" s="81">
        <v>1</v>
      </c>
      <c r="F47" s="81">
        <v>3</v>
      </c>
      <c r="G47" s="36">
        <f t="shared" si="1"/>
        <v>4</v>
      </c>
      <c r="H47" s="156"/>
      <c r="I47" s="128">
        <v>3</v>
      </c>
      <c r="J47" s="128">
        <v>1</v>
      </c>
      <c r="K47" s="128">
        <v>1</v>
      </c>
      <c r="L47" s="128">
        <v>21</v>
      </c>
      <c r="M47" s="36">
        <f t="shared" si="0"/>
        <v>26</v>
      </c>
      <c r="N47" s="153"/>
    </row>
    <row r="48" spans="1:14" x14ac:dyDescent="0.25">
      <c r="A48" s="164"/>
      <c r="B48" s="10" t="s">
        <v>51</v>
      </c>
      <c r="C48" s="81">
        <v>1</v>
      </c>
      <c r="D48" s="81"/>
      <c r="E48" s="81"/>
      <c r="F48" s="81"/>
      <c r="G48" s="36">
        <f t="shared" si="1"/>
        <v>1</v>
      </c>
      <c r="H48" s="157"/>
      <c r="I48" s="128">
        <v>2</v>
      </c>
      <c r="J48" s="128">
        <v>2</v>
      </c>
      <c r="K48" s="128"/>
      <c r="L48" s="128">
        <v>5</v>
      </c>
      <c r="M48" s="36">
        <f t="shared" si="0"/>
        <v>9</v>
      </c>
      <c r="N48" s="154"/>
    </row>
    <row r="49" spans="1:14" x14ac:dyDescent="0.25">
      <c r="A49" s="11" t="s">
        <v>72</v>
      </c>
      <c r="B49" s="79"/>
      <c r="C49" s="81">
        <v>2</v>
      </c>
      <c r="D49" s="81"/>
      <c r="E49" s="81"/>
      <c r="F49" s="81"/>
      <c r="G49" s="36">
        <f t="shared" si="1"/>
        <v>2</v>
      </c>
      <c r="H49" s="89">
        <f>G49</f>
        <v>2</v>
      </c>
      <c r="I49" s="128">
        <v>7</v>
      </c>
      <c r="J49" s="128"/>
      <c r="K49" s="128"/>
      <c r="L49" s="128"/>
      <c r="M49" s="36">
        <f t="shared" si="0"/>
        <v>7</v>
      </c>
      <c r="N49" s="30">
        <f>M49</f>
        <v>7</v>
      </c>
    </row>
    <row r="50" spans="1:14" x14ac:dyDescent="0.25">
      <c r="A50" s="4" t="s">
        <v>7</v>
      </c>
      <c r="B50" s="80"/>
      <c r="C50" s="74">
        <f>SUM(C5:C49)</f>
        <v>180</v>
      </c>
      <c r="D50" s="74">
        <f t="shared" ref="D50:F50" si="2">SUM(D5:D49)</f>
        <v>170</v>
      </c>
      <c r="E50" s="74">
        <f t="shared" si="2"/>
        <v>12</v>
      </c>
      <c r="F50" s="74">
        <f t="shared" si="2"/>
        <v>38</v>
      </c>
      <c r="G50" s="74">
        <f t="shared" ref="G50:N50" si="3">SUM(G5:G49)</f>
        <v>400</v>
      </c>
      <c r="H50" s="18">
        <f t="shared" si="3"/>
        <v>400</v>
      </c>
      <c r="I50" s="128">
        <f t="shared" si="3"/>
        <v>1819</v>
      </c>
      <c r="J50" s="128">
        <f t="shared" si="3"/>
        <v>1443</v>
      </c>
      <c r="K50" s="128">
        <f t="shared" si="3"/>
        <v>111</v>
      </c>
      <c r="L50" s="128">
        <f t="shared" si="3"/>
        <v>365</v>
      </c>
      <c r="M50" s="74">
        <f t="shared" si="3"/>
        <v>3738</v>
      </c>
      <c r="N50" s="31">
        <f t="shared" si="3"/>
        <v>3738</v>
      </c>
    </row>
    <row r="52" spans="1:14" x14ac:dyDescent="0.25">
      <c r="C52" s="88"/>
      <c r="D52" s="88"/>
      <c r="E52" s="88"/>
      <c r="F52" s="88"/>
    </row>
  </sheetData>
  <sheetProtection password="8A47" sheet="1" objects="1" scenarios="1"/>
  <mergeCells count="25">
    <mergeCell ref="H21:H24"/>
    <mergeCell ref="H15:H20"/>
    <mergeCell ref="I2:N2"/>
    <mergeCell ref="H10:H14"/>
    <mergeCell ref="H39:H48"/>
    <mergeCell ref="N39:N48"/>
    <mergeCell ref="A1:B4"/>
    <mergeCell ref="A5:A9"/>
    <mergeCell ref="A10:A14"/>
    <mergeCell ref="A15:A20"/>
    <mergeCell ref="A21:A24"/>
    <mergeCell ref="A25:A32"/>
    <mergeCell ref="A33:A38"/>
    <mergeCell ref="A39:A48"/>
    <mergeCell ref="C2:H2"/>
    <mergeCell ref="C1:N1"/>
    <mergeCell ref="H5:H9"/>
    <mergeCell ref="N5:N9"/>
    <mergeCell ref="H33:H38"/>
    <mergeCell ref="H25:H32"/>
    <mergeCell ref="N10:N14"/>
    <mergeCell ref="N15:N20"/>
    <mergeCell ref="N21:N24"/>
    <mergeCell ref="N25:N32"/>
    <mergeCell ref="N33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D60"/>
  <sheetViews>
    <sheetView zoomScale="70" zoomScaleNormal="70" workbookViewId="0">
      <selection activeCell="Y7" sqref="Y7"/>
    </sheetView>
  </sheetViews>
  <sheetFormatPr defaultRowHeight="15" x14ac:dyDescent="0.25"/>
  <cols>
    <col min="1" max="1" width="17.28515625" customWidth="1"/>
    <col min="2" max="2" width="12.5703125" bestFit="1" customWidth="1"/>
    <col min="3" max="6" width="11.7109375" customWidth="1"/>
    <col min="7" max="7" width="3.140625" customWidth="1"/>
    <col min="8" max="10" width="11.7109375" customWidth="1"/>
    <col min="11" max="11" width="11.85546875" customWidth="1"/>
    <col min="12" max="17" width="8.42578125" customWidth="1"/>
    <col min="18" max="18" width="3.5703125" customWidth="1"/>
    <col min="19" max="20" width="8.42578125" customWidth="1"/>
  </cols>
  <sheetData>
    <row r="1" spans="1:24" ht="34.5" customHeight="1" thickBot="1" x14ac:dyDescent="0.3">
      <c r="A1" s="192">
        <f>Holds!A1</f>
        <v>41334</v>
      </c>
      <c r="B1" s="193"/>
      <c r="C1" s="218" t="s">
        <v>62</v>
      </c>
      <c r="D1" s="219"/>
      <c r="E1" s="219"/>
      <c r="F1" s="219"/>
      <c r="G1" s="219"/>
      <c r="H1" s="219"/>
      <c r="I1" s="219"/>
      <c r="J1" s="219"/>
      <c r="K1" s="220"/>
      <c r="N1" s="224" t="s">
        <v>64</v>
      </c>
      <c r="O1" s="225"/>
      <c r="P1" s="225"/>
      <c r="Q1" s="225"/>
      <c r="R1" s="225"/>
      <c r="S1" s="225"/>
      <c r="T1" s="225"/>
      <c r="U1" s="225"/>
      <c r="V1" s="226"/>
    </row>
    <row r="2" spans="1:24" ht="38.25" customHeight="1" thickBot="1" x14ac:dyDescent="0.3">
      <c r="A2" s="192"/>
      <c r="B2" s="194"/>
      <c r="C2" s="211" t="s">
        <v>75</v>
      </c>
      <c r="D2" s="212"/>
      <c r="E2" s="212"/>
      <c r="F2" s="213"/>
      <c r="G2" s="35"/>
      <c r="H2" s="211" t="s">
        <v>76</v>
      </c>
      <c r="I2" s="212"/>
      <c r="J2" s="212"/>
      <c r="K2" s="213"/>
      <c r="N2" s="221" t="s">
        <v>63</v>
      </c>
      <c r="O2" s="222"/>
      <c r="P2" s="222"/>
      <c r="Q2" s="223"/>
      <c r="S2" s="221" t="s">
        <v>65</v>
      </c>
      <c r="T2" s="222"/>
      <c r="U2" s="222"/>
      <c r="V2" s="223"/>
    </row>
    <row r="3" spans="1:24" s="2" customFormat="1" ht="27.75" customHeight="1" thickBot="1" x14ac:dyDescent="0.3">
      <c r="A3" s="192"/>
      <c r="B3" s="194"/>
      <c r="C3" s="216">
        <f>A1</f>
        <v>41334</v>
      </c>
      <c r="D3" s="217"/>
      <c r="E3" s="214" t="s">
        <v>100</v>
      </c>
      <c r="F3" s="215"/>
      <c r="G3" s="34"/>
      <c r="H3" s="216">
        <f>A1</f>
        <v>41334</v>
      </c>
      <c r="I3" s="217"/>
      <c r="J3" s="214" t="s">
        <v>100</v>
      </c>
      <c r="K3" s="215"/>
      <c r="L3"/>
      <c r="N3" s="227">
        <f>A1</f>
        <v>41334</v>
      </c>
      <c r="O3" s="228"/>
      <c r="P3" s="214" t="s">
        <v>100</v>
      </c>
      <c r="Q3" s="215"/>
      <c r="S3" s="207">
        <f>A1</f>
        <v>41334</v>
      </c>
      <c r="T3" s="208"/>
      <c r="U3" s="209" t="s">
        <v>100</v>
      </c>
      <c r="V3" s="210"/>
    </row>
    <row r="4" spans="1:24" s="3" customFormat="1" ht="32.25" customHeight="1" thickBot="1" x14ac:dyDescent="0.3">
      <c r="A4" s="195"/>
      <c r="B4" s="194"/>
      <c r="C4" s="41" t="s">
        <v>58</v>
      </c>
      <c r="D4" s="41" t="s">
        <v>59</v>
      </c>
      <c r="E4" s="37" t="s">
        <v>58</v>
      </c>
      <c r="F4" s="40" t="s">
        <v>59</v>
      </c>
      <c r="G4" s="42"/>
      <c r="H4" s="41" t="s">
        <v>58</v>
      </c>
      <c r="I4" s="38" t="s">
        <v>59</v>
      </c>
      <c r="J4" s="40" t="s">
        <v>58</v>
      </c>
      <c r="K4" s="40" t="s">
        <v>59</v>
      </c>
      <c r="L4" s="1"/>
      <c r="M4" s="55"/>
      <c r="N4" s="49" t="s">
        <v>70</v>
      </c>
      <c r="O4" s="54" t="s">
        <v>71</v>
      </c>
      <c r="P4" s="50" t="s">
        <v>70</v>
      </c>
      <c r="Q4" s="51" t="s">
        <v>71</v>
      </c>
      <c r="S4" s="59" t="s">
        <v>70</v>
      </c>
      <c r="T4" s="60" t="s">
        <v>71</v>
      </c>
      <c r="U4" s="57" t="s">
        <v>70</v>
      </c>
      <c r="V4" s="58" t="s">
        <v>71</v>
      </c>
    </row>
    <row r="5" spans="1:24" x14ac:dyDescent="0.25">
      <c r="A5" s="162" t="s">
        <v>0</v>
      </c>
      <c r="B5" s="45" t="s">
        <v>8</v>
      </c>
      <c r="C5" s="82"/>
      <c r="D5" s="174">
        <f>SUM(C5:C9)</f>
        <v>10</v>
      </c>
      <c r="E5" s="85"/>
      <c r="F5" s="180">
        <f>SUM(E5:E9)</f>
        <v>94</v>
      </c>
      <c r="G5" s="39"/>
      <c r="H5" s="82">
        <v>4</v>
      </c>
      <c r="I5" s="183">
        <f>SUM(H5:H9)</f>
        <v>80</v>
      </c>
      <c r="J5" s="85">
        <v>19</v>
      </c>
      <c r="K5" s="177">
        <f>SUM(J5:J9)</f>
        <v>641</v>
      </c>
      <c r="L5" s="1"/>
      <c r="M5" s="1"/>
      <c r="N5" s="203">
        <v>5</v>
      </c>
      <c r="O5" s="203">
        <v>6</v>
      </c>
      <c r="P5" s="187">
        <v>62</v>
      </c>
      <c r="Q5" s="187">
        <v>64</v>
      </c>
      <c r="R5" s="52"/>
      <c r="S5" s="203">
        <v>18</v>
      </c>
      <c r="T5" s="203">
        <v>14</v>
      </c>
      <c r="U5" s="187">
        <v>167</v>
      </c>
      <c r="V5" s="187">
        <v>190</v>
      </c>
      <c r="W5" s="148"/>
      <c r="X5" s="149"/>
    </row>
    <row r="6" spans="1:24" x14ac:dyDescent="0.25">
      <c r="A6" s="163"/>
      <c r="B6" s="46" t="s">
        <v>9</v>
      </c>
      <c r="C6" s="82">
        <v>2</v>
      </c>
      <c r="D6" s="175"/>
      <c r="E6" s="85">
        <v>16</v>
      </c>
      <c r="F6" s="181"/>
      <c r="G6" s="39"/>
      <c r="H6" s="82">
        <v>11</v>
      </c>
      <c r="I6" s="183"/>
      <c r="J6" s="85">
        <v>99</v>
      </c>
      <c r="K6" s="178"/>
      <c r="L6" s="1"/>
      <c r="M6" s="1"/>
      <c r="N6" s="204"/>
      <c r="O6" s="204"/>
      <c r="P6" s="191"/>
      <c r="Q6" s="191"/>
      <c r="R6" s="1"/>
      <c r="S6" s="204"/>
      <c r="T6" s="204"/>
      <c r="U6" s="191"/>
      <c r="V6" s="191"/>
      <c r="W6" s="148"/>
      <c r="X6" s="149"/>
    </row>
    <row r="7" spans="1:24" x14ac:dyDescent="0.25">
      <c r="A7" s="163"/>
      <c r="B7" s="46" t="s">
        <v>10</v>
      </c>
      <c r="C7" s="82">
        <v>1</v>
      </c>
      <c r="D7" s="175"/>
      <c r="E7" s="85">
        <v>2</v>
      </c>
      <c r="F7" s="181"/>
      <c r="G7" s="39"/>
      <c r="H7" s="82"/>
      <c r="I7" s="183"/>
      <c r="J7" s="85">
        <v>13</v>
      </c>
      <c r="K7" s="178"/>
      <c r="L7" s="1"/>
      <c r="M7" s="1"/>
      <c r="N7" s="204"/>
      <c r="O7" s="204"/>
      <c r="P7" s="191"/>
      <c r="Q7" s="191"/>
      <c r="R7" s="1"/>
      <c r="S7" s="204"/>
      <c r="T7" s="204"/>
      <c r="U7" s="191"/>
      <c r="V7" s="191"/>
      <c r="W7" s="148"/>
      <c r="X7" s="149"/>
    </row>
    <row r="8" spans="1:24" x14ac:dyDescent="0.25">
      <c r="A8" s="163"/>
      <c r="B8" s="46" t="s">
        <v>11</v>
      </c>
      <c r="C8" s="82">
        <v>7</v>
      </c>
      <c r="D8" s="175"/>
      <c r="E8" s="85">
        <v>71</v>
      </c>
      <c r="F8" s="181"/>
      <c r="G8" s="39"/>
      <c r="H8" s="82">
        <v>59</v>
      </c>
      <c r="I8" s="183"/>
      <c r="J8" s="85">
        <v>479</v>
      </c>
      <c r="K8" s="178"/>
      <c r="L8" s="1"/>
      <c r="M8" s="1"/>
      <c r="N8" s="204"/>
      <c r="O8" s="204"/>
      <c r="P8" s="191"/>
      <c r="Q8" s="191"/>
      <c r="R8" s="1"/>
      <c r="S8" s="204"/>
      <c r="T8" s="204"/>
      <c r="U8" s="191"/>
      <c r="V8" s="191"/>
      <c r="W8" s="148"/>
      <c r="X8" s="149"/>
    </row>
    <row r="9" spans="1:24" ht="15.75" thickBot="1" x14ac:dyDescent="0.3">
      <c r="A9" s="164"/>
      <c r="B9" s="46" t="s">
        <v>12</v>
      </c>
      <c r="C9" s="82"/>
      <c r="D9" s="176"/>
      <c r="E9" s="85">
        <v>5</v>
      </c>
      <c r="F9" s="182"/>
      <c r="G9" s="39"/>
      <c r="H9" s="82">
        <v>6</v>
      </c>
      <c r="I9" s="183"/>
      <c r="J9" s="85">
        <v>31</v>
      </c>
      <c r="K9" s="198"/>
      <c r="L9" s="1"/>
      <c r="M9" s="1"/>
      <c r="N9" s="205"/>
      <c r="O9" s="205"/>
      <c r="P9" s="206"/>
      <c r="Q9" s="206"/>
      <c r="R9" s="53"/>
      <c r="S9" s="205"/>
      <c r="T9" s="205"/>
      <c r="U9" s="206"/>
      <c r="V9" s="206"/>
      <c r="W9" s="148"/>
      <c r="X9" s="149"/>
    </row>
    <row r="10" spans="1:24" x14ac:dyDescent="0.25">
      <c r="A10" s="162" t="s">
        <v>1</v>
      </c>
      <c r="B10" s="47" t="s">
        <v>14</v>
      </c>
      <c r="C10" s="82">
        <v>1</v>
      </c>
      <c r="D10" s="174">
        <f>SUM(C10:C14)</f>
        <v>8</v>
      </c>
      <c r="E10" s="85">
        <v>4</v>
      </c>
      <c r="F10" s="180">
        <f>SUM(E10:E14)</f>
        <v>62</v>
      </c>
      <c r="G10" s="39"/>
      <c r="H10" s="82">
        <v>6</v>
      </c>
      <c r="I10" s="183">
        <f>SUM(H10:H14)</f>
        <v>31</v>
      </c>
      <c r="J10" s="85">
        <v>32</v>
      </c>
      <c r="K10" s="177">
        <f>SUM(J10:J14)</f>
        <v>325</v>
      </c>
      <c r="L10" s="1"/>
      <c r="M10" s="1"/>
      <c r="N10" s="203">
        <v>6</v>
      </c>
      <c r="O10" s="203">
        <v>7</v>
      </c>
      <c r="P10" s="187">
        <v>34</v>
      </c>
      <c r="Q10" s="187">
        <v>32</v>
      </c>
      <c r="R10" s="52"/>
      <c r="S10" s="203">
        <v>10</v>
      </c>
      <c r="T10" s="203">
        <v>12</v>
      </c>
      <c r="U10" s="187">
        <v>121</v>
      </c>
      <c r="V10" s="187">
        <v>163</v>
      </c>
      <c r="W10" s="148"/>
      <c r="X10" s="149"/>
    </row>
    <row r="11" spans="1:24" x14ac:dyDescent="0.25">
      <c r="A11" s="163"/>
      <c r="B11" s="46" t="s">
        <v>15</v>
      </c>
      <c r="C11" s="82">
        <v>1</v>
      </c>
      <c r="D11" s="175"/>
      <c r="E11" s="85">
        <v>8</v>
      </c>
      <c r="F11" s="181"/>
      <c r="G11" s="39"/>
      <c r="H11" s="82">
        <v>1</v>
      </c>
      <c r="I11" s="183"/>
      <c r="J11" s="85">
        <v>21</v>
      </c>
      <c r="K11" s="178"/>
      <c r="L11" s="1"/>
      <c r="M11" s="1"/>
      <c r="N11" s="204"/>
      <c r="O11" s="204"/>
      <c r="P11" s="191"/>
      <c r="Q11" s="191"/>
      <c r="R11" s="1"/>
      <c r="S11" s="204"/>
      <c r="T11" s="204"/>
      <c r="U11" s="191"/>
      <c r="V11" s="191"/>
      <c r="W11" s="148"/>
      <c r="X11" s="149"/>
    </row>
    <row r="12" spans="1:24" x14ac:dyDescent="0.25">
      <c r="A12" s="163"/>
      <c r="B12" s="46" t="s">
        <v>16</v>
      </c>
      <c r="C12" s="82">
        <v>1</v>
      </c>
      <c r="D12" s="175"/>
      <c r="E12" s="85">
        <v>17</v>
      </c>
      <c r="F12" s="181"/>
      <c r="G12" s="39"/>
      <c r="H12" s="82">
        <v>7</v>
      </c>
      <c r="I12" s="183"/>
      <c r="J12" s="85">
        <v>98</v>
      </c>
      <c r="K12" s="178"/>
      <c r="L12" s="1"/>
      <c r="M12" s="1"/>
      <c r="N12" s="204"/>
      <c r="O12" s="204"/>
      <c r="P12" s="191"/>
      <c r="Q12" s="191"/>
      <c r="R12" s="1"/>
      <c r="S12" s="204"/>
      <c r="T12" s="204"/>
      <c r="U12" s="191"/>
      <c r="V12" s="191"/>
      <c r="W12" s="148"/>
      <c r="X12" s="149"/>
    </row>
    <row r="13" spans="1:24" x14ac:dyDescent="0.25">
      <c r="A13" s="163"/>
      <c r="B13" s="46" t="s">
        <v>17</v>
      </c>
      <c r="C13" s="82"/>
      <c r="D13" s="175"/>
      <c r="E13" s="85">
        <v>3</v>
      </c>
      <c r="F13" s="181"/>
      <c r="G13" s="39"/>
      <c r="H13" s="82"/>
      <c r="I13" s="183"/>
      <c r="J13" s="85">
        <v>4</v>
      </c>
      <c r="K13" s="178"/>
      <c r="L13" s="1"/>
      <c r="M13" s="1"/>
      <c r="N13" s="204"/>
      <c r="O13" s="204"/>
      <c r="P13" s="191"/>
      <c r="Q13" s="191"/>
      <c r="R13" s="1"/>
      <c r="S13" s="204"/>
      <c r="T13" s="204"/>
      <c r="U13" s="191"/>
      <c r="V13" s="191"/>
    </row>
    <row r="14" spans="1:24" ht="15.75" thickBot="1" x14ac:dyDescent="0.3">
      <c r="A14" s="164"/>
      <c r="B14" s="46" t="s">
        <v>18</v>
      </c>
      <c r="C14" s="82">
        <v>5</v>
      </c>
      <c r="D14" s="176"/>
      <c r="E14" s="85">
        <v>30</v>
      </c>
      <c r="F14" s="182"/>
      <c r="G14" s="39"/>
      <c r="H14" s="82">
        <v>17</v>
      </c>
      <c r="I14" s="183"/>
      <c r="J14" s="85">
        <v>170</v>
      </c>
      <c r="K14" s="179"/>
      <c r="L14" s="1"/>
      <c r="M14" s="1"/>
      <c r="N14" s="205"/>
      <c r="O14" s="205"/>
      <c r="P14" s="206"/>
      <c r="Q14" s="206"/>
      <c r="R14" s="1"/>
      <c r="S14" s="205"/>
      <c r="T14" s="205"/>
      <c r="U14" s="206"/>
      <c r="V14" s="206"/>
    </row>
    <row r="15" spans="1:24" x14ac:dyDescent="0.25">
      <c r="A15" s="162" t="s">
        <v>2</v>
      </c>
      <c r="B15" s="47" t="s">
        <v>19</v>
      </c>
      <c r="C15" s="82"/>
      <c r="D15" s="174">
        <f>SUM(C15:C20)</f>
        <v>26</v>
      </c>
      <c r="E15" s="85"/>
      <c r="F15" s="180">
        <f>SUM(E15:E20)</f>
        <v>136</v>
      </c>
      <c r="G15" s="39"/>
      <c r="H15" s="82">
        <v>1</v>
      </c>
      <c r="I15" s="183">
        <f>SUM(H15:H20)</f>
        <v>133</v>
      </c>
      <c r="J15" s="85">
        <v>14</v>
      </c>
      <c r="K15" s="177">
        <f>SUM(J15:J20)</f>
        <v>1221</v>
      </c>
      <c r="L15" s="1"/>
      <c r="M15" s="1"/>
      <c r="N15" s="199">
        <v>10</v>
      </c>
      <c r="O15" s="199">
        <v>3</v>
      </c>
      <c r="P15" s="184">
        <v>68</v>
      </c>
      <c r="Q15" s="187">
        <v>66</v>
      </c>
      <c r="R15" s="52"/>
      <c r="S15" s="199">
        <v>16</v>
      </c>
      <c r="T15" s="199">
        <v>15</v>
      </c>
      <c r="U15" s="184">
        <v>143</v>
      </c>
      <c r="V15" s="187">
        <v>143</v>
      </c>
    </row>
    <row r="16" spans="1:24" x14ac:dyDescent="0.25">
      <c r="A16" s="163"/>
      <c r="B16" s="46" t="s">
        <v>20</v>
      </c>
      <c r="C16" s="82">
        <v>25</v>
      </c>
      <c r="D16" s="175"/>
      <c r="E16" s="85">
        <v>111</v>
      </c>
      <c r="F16" s="181"/>
      <c r="G16" s="39"/>
      <c r="H16" s="82">
        <v>115</v>
      </c>
      <c r="I16" s="183"/>
      <c r="J16" s="85">
        <v>998</v>
      </c>
      <c r="K16" s="178"/>
      <c r="L16" s="1"/>
      <c r="M16" s="1"/>
      <c r="N16" s="200"/>
      <c r="O16" s="200"/>
      <c r="P16" s="185"/>
      <c r="Q16" s="188"/>
      <c r="R16" s="1"/>
      <c r="S16" s="200"/>
      <c r="T16" s="200"/>
      <c r="U16" s="185"/>
      <c r="V16" s="188"/>
    </row>
    <row r="17" spans="1:22" x14ac:dyDescent="0.25">
      <c r="A17" s="163"/>
      <c r="B17" s="46" t="s">
        <v>21</v>
      </c>
      <c r="C17" s="82">
        <v>1</v>
      </c>
      <c r="D17" s="175"/>
      <c r="E17" s="85">
        <v>6</v>
      </c>
      <c r="F17" s="181"/>
      <c r="G17" s="39"/>
      <c r="H17" s="82">
        <v>4</v>
      </c>
      <c r="I17" s="183"/>
      <c r="J17" s="85">
        <v>41</v>
      </c>
      <c r="K17" s="178"/>
      <c r="L17" s="1"/>
      <c r="M17" s="1"/>
      <c r="N17" s="200"/>
      <c r="O17" s="200"/>
      <c r="P17" s="185"/>
      <c r="Q17" s="188"/>
      <c r="R17" s="1"/>
      <c r="S17" s="200"/>
      <c r="T17" s="200"/>
      <c r="U17" s="185"/>
      <c r="V17" s="188"/>
    </row>
    <row r="18" spans="1:22" x14ac:dyDescent="0.25">
      <c r="A18" s="163"/>
      <c r="B18" s="46" t="s">
        <v>22</v>
      </c>
      <c r="C18" s="82"/>
      <c r="D18" s="175"/>
      <c r="E18" s="85">
        <v>3</v>
      </c>
      <c r="F18" s="181"/>
      <c r="G18" s="39"/>
      <c r="H18" s="82"/>
      <c r="I18" s="183"/>
      <c r="J18" s="85">
        <v>20</v>
      </c>
      <c r="K18" s="178"/>
      <c r="L18" s="1"/>
      <c r="M18" s="1"/>
      <c r="N18" s="200"/>
      <c r="O18" s="200"/>
      <c r="P18" s="185"/>
      <c r="Q18" s="188"/>
      <c r="R18" s="1"/>
      <c r="S18" s="200"/>
      <c r="T18" s="200"/>
      <c r="U18" s="185"/>
      <c r="V18" s="188"/>
    </row>
    <row r="19" spans="1:22" x14ac:dyDescent="0.25">
      <c r="A19" s="163"/>
      <c r="B19" s="46" t="s">
        <v>23</v>
      </c>
      <c r="C19" s="82"/>
      <c r="D19" s="175"/>
      <c r="E19" s="85">
        <v>5</v>
      </c>
      <c r="F19" s="181"/>
      <c r="G19" s="39"/>
      <c r="H19" s="82">
        <v>9</v>
      </c>
      <c r="I19" s="183"/>
      <c r="J19" s="85">
        <v>95</v>
      </c>
      <c r="K19" s="178"/>
      <c r="L19" s="1"/>
      <c r="M19" s="1"/>
      <c r="N19" s="200"/>
      <c r="O19" s="200"/>
      <c r="P19" s="185"/>
      <c r="Q19" s="188"/>
      <c r="R19" s="1"/>
      <c r="S19" s="200"/>
      <c r="T19" s="200"/>
      <c r="U19" s="185"/>
      <c r="V19" s="188"/>
    </row>
    <row r="20" spans="1:22" ht="15.75" thickBot="1" x14ac:dyDescent="0.3">
      <c r="A20" s="164"/>
      <c r="B20" s="46" t="s">
        <v>24</v>
      </c>
      <c r="C20" s="82"/>
      <c r="D20" s="176"/>
      <c r="E20" s="85">
        <v>11</v>
      </c>
      <c r="F20" s="182"/>
      <c r="G20" s="39"/>
      <c r="H20" s="82">
        <v>4</v>
      </c>
      <c r="I20" s="183"/>
      <c r="J20" s="85">
        <v>53</v>
      </c>
      <c r="K20" s="198"/>
      <c r="L20" s="1"/>
      <c r="M20" s="1"/>
      <c r="N20" s="201"/>
      <c r="O20" s="201"/>
      <c r="P20" s="186"/>
      <c r="Q20" s="189"/>
      <c r="R20" s="53"/>
      <c r="S20" s="201"/>
      <c r="T20" s="201"/>
      <c r="U20" s="186"/>
      <c r="V20" s="189"/>
    </row>
    <row r="21" spans="1:22" x14ac:dyDescent="0.25">
      <c r="A21" s="162" t="s">
        <v>3</v>
      </c>
      <c r="B21" s="47" t="s">
        <v>25</v>
      </c>
      <c r="C21" s="82">
        <v>22</v>
      </c>
      <c r="D21" s="174">
        <f>SUM(C21:C24)</f>
        <v>27</v>
      </c>
      <c r="E21" s="85">
        <v>200</v>
      </c>
      <c r="F21" s="180">
        <f>SUM(E21:E24)</f>
        <v>223</v>
      </c>
      <c r="G21" s="39"/>
      <c r="H21" s="82">
        <v>204</v>
      </c>
      <c r="I21" s="183">
        <f>SUM(H21:H24)</f>
        <v>212</v>
      </c>
      <c r="J21" s="85">
        <v>1686</v>
      </c>
      <c r="K21" s="177">
        <f>SUM(J21:J24)</f>
        <v>1773</v>
      </c>
      <c r="L21" s="1"/>
      <c r="M21" s="1"/>
      <c r="N21" s="199">
        <v>17</v>
      </c>
      <c r="O21" s="199">
        <v>24</v>
      </c>
      <c r="P21" s="184">
        <v>148</v>
      </c>
      <c r="Q21" s="187">
        <v>125</v>
      </c>
      <c r="R21" s="52"/>
      <c r="S21" s="199">
        <v>13</v>
      </c>
      <c r="T21" s="199">
        <v>15</v>
      </c>
      <c r="U21" s="184">
        <v>166</v>
      </c>
      <c r="V21" s="187">
        <v>178</v>
      </c>
    </row>
    <row r="22" spans="1:22" x14ac:dyDescent="0.25">
      <c r="A22" s="163"/>
      <c r="B22" s="46" t="s">
        <v>26</v>
      </c>
      <c r="C22" s="82">
        <v>1</v>
      </c>
      <c r="D22" s="175"/>
      <c r="E22" s="85">
        <v>3</v>
      </c>
      <c r="F22" s="181"/>
      <c r="G22" s="39"/>
      <c r="H22" s="82"/>
      <c r="I22" s="183"/>
      <c r="J22" s="85">
        <v>9</v>
      </c>
      <c r="K22" s="178"/>
      <c r="L22" s="1"/>
      <c r="M22" s="1"/>
      <c r="N22" s="200"/>
      <c r="O22" s="200"/>
      <c r="P22" s="185"/>
      <c r="Q22" s="188"/>
      <c r="R22" s="1"/>
      <c r="S22" s="200"/>
      <c r="T22" s="200"/>
      <c r="U22" s="185"/>
      <c r="V22" s="188"/>
    </row>
    <row r="23" spans="1:22" x14ac:dyDescent="0.25">
      <c r="A23" s="163"/>
      <c r="B23" s="46" t="s">
        <v>27</v>
      </c>
      <c r="C23" s="82"/>
      <c r="D23" s="175"/>
      <c r="E23" s="85">
        <v>9</v>
      </c>
      <c r="F23" s="181"/>
      <c r="G23" s="39"/>
      <c r="H23" s="82">
        <v>6</v>
      </c>
      <c r="I23" s="183"/>
      <c r="J23" s="85">
        <v>55</v>
      </c>
      <c r="K23" s="178"/>
      <c r="L23" s="1"/>
      <c r="M23" s="1"/>
      <c r="N23" s="200"/>
      <c r="O23" s="200"/>
      <c r="P23" s="185"/>
      <c r="Q23" s="188"/>
      <c r="R23" s="1"/>
      <c r="S23" s="200"/>
      <c r="T23" s="200"/>
      <c r="U23" s="185"/>
      <c r="V23" s="188"/>
    </row>
    <row r="24" spans="1:22" ht="15.75" thickBot="1" x14ac:dyDescent="0.3">
      <c r="A24" s="164"/>
      <c r="B24" s="46" t="s">
        <v>28</v>
      </c>
      <c r="C24" s="82">
        <v>4</v>
      </c>
      <c r="D24" s="176"/>
      <c r="E24" s="85">
        <v>11</v>
      </c>
      <c r="F24" s="182"/>
      <c r="G24" s="39"/>
      <c r="H24" s="82">
        <v>2</v>
      </c>
      <c r="I24" s="183"/>
      <c r="J24" s="85">
        <v>23</v>
      </c>
      <c r="K24" s="179"/>
      <c r="L24" s="1"/>
      <c r="M24" s="1"/>
      <c r="N24" s="200"/>
      <c r="O24" s="200"/>
      <c r="P24" s="185"/>
      <c r="Q24" s="188"/>
      <c r="R24" s="1"/>
      <c r="S24" s="200"/>
      <c r="T24" s="200"/>
      <c r="U24" s="185"/>
      <c r="V24" s="188"/>
    </row>
    <row r="25" spans="1:22" x14ac:dyDescent="0.25">
      <c r="A25" s="162" t="s">
        <v>4</v>
      </c>
      <c r="B25" s="47" t="s">
        <v>29</v>
      </c>
      <c r="C25" s="82"/>
      <c r="D25" s="174">
        <f>SUM(C25:C32)</f>
        <v>21</v>
      </c>
      <c r="E25" s="85">
        <v>5</v>
      </c>
      <c r="F25" s="180">
        <f>SUM(E25:E32)</f>
        <v>160</v>
      </c>
      <c r="G25" s="39"/>
      <c r="H25" s="82">
        <v>2</v>
      </c>
      <c r="I25" s="183">
        <f>SUM(H25:H32)</f>
        <v>75</v>
      </c>
      <c r="J25" s="85">
        <v>38</v>
      </c>
      <c r="K25" s="177">
        <f>SUM(J25:J32)</f>
        <v>671</v>
      </c>
      <c r="L25" s="1"/>
      <c r="M25" s="1"/>
      <c r="N25" s="199">
        <v>11</v>
      </c>
      <c r="O25" s="199">
        <v>5</v>
      </c>
      <c r="P25" s="184">
        <v>90</v>
      </c>
      <c r="Q25" s="187">
        <v>75</v>
      </c>
      <c r="R25" s="52"/>
      <c r="S25" s="199">
        <v>12</v>
      </c>
      <c r="T25" s="199">
        <v>13</v>
      </c>
      <c r="U25" s="184">
        <v>114</v>
      </c>
      <c r="V25" s="187">
        <v>136</v>
      </c>
    </row>
    <row r="26" spans="1:22" x14ac:dyDescent="0.25">
      <c r="A26" s="163"/>
      <c r="B26" s="46" t="s">
        <v>30</v>
      </c>
      <c r="C26" s="82"/>
      <c r="D26" s="175"/>
      <c r="E26" s="85"/>
      <c r="F26" s="181"/>
      <c r="G26" s="39"/>
      <c r="H26" s="82"/>
      <c r="I26" s="183"/>
      <c r="J26" s="85">
        <v>8</v>
      </c>
      <c r="K26" s="178"/>
      <c r="L26" s="1"/>
      <c r="M26" s="1"/>
      <c r="N26" s="200"/>
      <c r="O26" s="200"/>
      <c r="P26" s="185"/>
      <c r="Q26" s="188"/>
      <c r="R26" s="1"/>
      <c r="S26" s="200"/>
      <c r="T26" s="200"/>
      <c r="U26" s="185"/>
      <c r="V26" s="188"/>
    </row>
    <row r="27" spans="1:22" x14ac:dyDescent="0.25">
      <c r="A27" s="163"/>
      <c r="B27" s="46" t="s">
        <v>31</v>
      </c>
      <c r="C27" s="82">
        <v>3</v>
      </c>
      <c r="D27" s="175"/>
      <c r="E27" s="85">
        <v>8</v>
      </c>
      <c r="F27" s="181"/>
      <c r="G27" s="39"/>
      <c r="H27" s="82">
        <v>4</v>
      </c>
      <c r="I27" s="183"/>
      <c r="J27" s="85">
        <v>67</v>
      </c>
      <c r="K27" s="178"/>
      <c r="L27" s="1"/>
      <c r="M27" s="1"/>
      <c r="N27" s="200"/>
      <c r="O27" s="200"/>
      <c r="P27" s="185"/>
      <c r="Q27" s="188"/>
      <c r="R27" s="1"/>
      <c r="S27" s="200"/>
      <c r="T27" s="200"/>
      <c r="U27" s="185"/>
      <c r="V27" s="188"/>
    </row>
    <row r="28" spans="1:22" x14ac:dyDescent="0.25">
      <c r="A28" s="163"/>
      <c r="B28" s="46" t="s">
        <v>32</v>
      </c>
      <c r="C28" s="82">
        <v>2</v>
      </c>
      <c r="D28" s="175"/>
      <c r="E28" s="85">
        <v>12</v>
      </c>
      <c r="F28" s="181"/>
      <c r="G28" s="39"/>
      <c r="H28" s="82">
        <v>5</v>
      </c>
      <c r="I28" s="183"/>
      <c r="J28" s="85">
        <v>36</v>
      </c>
      <c r="K28" s="178"/>
      <c r="L28" s="1"/>
      <c r="M28" s="1"/>
      <c r="N28" s="200"/>
      <c r="O28" s="200"/>
      <c r="P28" s="185"/>
      <c r="Q28" s="188"/>
      <c r="R28" s="1"/>
      <c r="S28" s="200"/>
      <c r="T28" s="200"/>
      <c r="U28" s="185"/>
      <c r="V28" s="188"/>
    </row>
    <row r="29" spans="1:22" x14ac:dyDescent="0.25">
      <c r="A29" s="163"/>
      <c r="B29" s="46" t="s">
        <v>33</v>
      </c>
      <c r="C29" s="82">
        <v>2</v>
      </c>
      <c r="D29" s="175"/>
      <c r="E29" s="85">
        <v>21</v>
      </c>
      <c r="F29" s="181"/>
      <c r="G29" s="39"/>
      <c r="H29" s="82">
        <v>2</v>
      </c>
      <c r="I29" s="183"/>
      <c r="J29" s="85">
        <v>38</v>
      </c>
      <c r="K29" s="178"/>
      <c r="L29" s="1"/>
      <c r="M29" s="1"/>
      <c r="N29" s="200"/>
      <c r="O29" s="200"/>
      <c r="P29" s="185"/>
      <c r="Q29" s="188"/>
      <c r="R29" s="1"/>
      <c r="S29" s="200"/>
      <c r="T29" s="200"/>
      <c r="U29" s="185"/>
      <c r="V29" s="188"/>
    </row>
    <row r="30" spans="1:22" x14ac:dyDescent="0.25">
      <c r="A30" s="163"/>
      <c r="B30" s="46" t="s">
        <v>69</v>
      </c>
      <c r="C30" s="82"/>
      <c r="D30" s="175"/>
      <c r="E30" s="85">
        <v>3</v>
      </c>
      <c r="F30" s="181"/>
      <c r="G30" s="39"/>
      <c r="H30" s="82">
        <v>2</v>
      </c>
      <c r="I30" s="183"/>
      <c r="J30" s="85">
        <v>16</v>
      </c>
      <c r="K30" s="178"/>
      <c r="L30" s="1"/>
      <c r="M30" s="1"/>
      <c r="N30" s="200"/>
      <c r="O30" s="200"/>
      <c r="P30" s="185"/>
      <c r="Q30" s="188"/>
      <c r="R30" s="1"/>
      <c r="S30" s="200"/>
      <c r="T30" s="200"/>
      <c r="U30" s="185"/>
      <c r="V30" s="188"/>
    </row>
    <row r="31" spans="1:22" x14ac:dyDescent="0.25">
      <c r="A31" s="163"/>
      <c r="B31" s="46" t="s">
        <v>34</v>
      </c>
      <c r="C31" s="82">
        <v>1</v>
      </c>
      <c r="D31" s="175"/>
      <c r="E31" s="85">
        <v>16</v>
      </c>
      <c r="F31" s="181"/>
      <c r="G31" s="39"/>
      <c r="H31" s="82">
        <v>10</v>
      </c>
      <c r="I31" s="183"/>
      <c r="J31" s="85">
        <v>70</v>
      </c>
      <c r="K31" s="178"/>
      <c r="L31" s="1"/>
      <c r="M31" s="1"/>
      <c r="N31" s="200"/>
      <c r="O31" s="200"/>
      <c r="P31" s="185"/>
      <c r="Q31" s="188"/>
      <c r="R31" s="1"/>
      <c r="S31" s="200"/>
      <c r="T31" s="200"/>
      <c r="U31" s="185"/>
      <c r="V31" s="188"/>
    </row>
    <row r="32" spans="1:22" ht="12.75" customHeight="1" thickBot="1" x14ac:dyDescent="0.3">
      <c r="A32" s="164"/>
      <c r="B32" s="46" t="s">
        <v>35</v>
      </c>
      <c r="C32" s="82">
        <v>13</v>
      </c>
      <c r="D32" s="176"/>
      <c r="E32" s="85">
        <v>95</v>
      </c>
      <c r="F32" s="182"/>
      <c r="G32" s="39"/>
      <c r="H32" s="82">
        <v>50</v>
      </c>
      <c r="I32" s="183"/>
      <c r="J32" s="85">
        <v>398</v>
      </c>
      <c r="K32" s="179"/>
      <c r="L32" s="1"/>
      <c r="M32" s="1"/>
      <c r="N32" s="200"/>
      <c r="O32" s="200"/>
      <c r="P32" s="185"/>
      <c r="Q32" s="188"/>
      <c r="R32" s="1"/>
      <c r="S32" s="200"/>
      <c r="T32" s="200"/>
      <c r="U32" s="185"/>
      <c r="V32" s="188"/>
    </row>
    <row r="33" spans="1:22" x14ac:dyDescent="0.25">
      <c r="A33" s="162" t="s">
        <v>5</v>
      </c>
      <c r="B33" s="47" t="s">
        <v>36</v>
      </c>
      <c r="C33" s="82">
        <v>16</v>
      </c>
      <c r="D33" s="174">
        <f>SUM(C33:C38)</f>
        <v>22</v>
      </c>
      <c r="E33" s="85">
        <v>87</v>
      </c>
      <c r="F33" s="180">
        <f>SUM(E33:E38)</f>
        <v>102</v>
      </c>
      <c r="G33" s="39"/>
      <c r="H33" s="82">
        <v>50</v>
      </c>
      <c r="I33" s="183">
        <f>SUM(H33:H38)</f>
        <v>56</v>
      </c>
      <c r="J33" s="85">
        <v>382</v>
      </c>
      <c r="K33" s="177">
        <f>SUM(J33:J38)</f>
        <v>438</v>
      </c>
      <c r="L33" s="1"/>
      <c r="M33" s="1"/>
      <c r="N33" s="199">
        <v>9</v>
      </c>
      <c r="O33" s="199">
        <v>6</v>
      </c>
      <c r="P33" s="184">
        <v>57</v>
      </c>
      <c r="Q33" s="187">
        <v>51</v>
      </c>
      <c r="R33" s="52"/>
      <c r="S33" s="199">
        <v>14</v>
      </c>
      <c r="T33" s="199">
        <v>13</v>
      </c>
      <c r="U33" s="184">
        <v>119</v>
      </c>
      <c r="V33" s="187">
        <v>109</v>
      </c>
    </row>
    <row r="34" spans="1:22" x14ac:dyDescent="0.25">
      <c r="A34" s="163"/>
      <c r="B34" s="46" t="s">
        <v>37</v>
      </c>
      <c r="C34" s="82">
        <v>1</v>
      </c>
      <c r="D34" s="175"/>
      <c r="E34" s="85">
        <v>4</v>
      </c>
      <c r="F34" s="181"/>
      <c r="G34" s="39"/>
      <c r="H34" s="82">
        <v>2</v>
      </c>
      <c r="I34" s="183"/>
      <c r="J34" s="85">
        <v>8</v>
      </c>
      <c r="K34" s="178"/>
      <c r="L34" s="1"/>
      <c r="M34" s="1"/>
      <c r="N34" s="200"/>
      <c r="O34" s="200"/>
      <c r="P34" s="185"/>
      <c r="Q34" s="188"/>
      <c r="R34" s="1"/>
      <c r="S34" s="200"/>
      <c r="T34" s="200"/>
      <c r="U34" s="185"/>
      <c r="V34" s="188"/>
    </row>
    <row r="35" spans="1:22" x14ac:dyDescent="0.25">
      <c r="A35" s="163"/>
      <c r="B35" s="46" t="s">
        <v>38</v>
      </c>
      <c r="C35" s="82">
        <v>1</v>
      </c>
      <c r="D35" s="175"/>
      <c r="E35" s="85">
        <v>2</v>
      </c>
      <c r="F35" s="181"/>
      <c r="G35" s="39"/>
      <c r="H35" s="82"/>
      <c r="I35" s="183"/>
      <c r="J35" s="85">
        <v>9</v>
      </c>
      <c r="K35" s="178"/>
      <c r="L35" s="1"/>
      <c r="M35" s="1"/>
      <c r="N35" s="200"/>
      <c r="O35" s="200"/>
      <c r="P35" s="185"/>
      <c r="Q35" s="188"/>
      <c r="R35" s="1"/>
      <c r="S35" s="200"/>
      <c r="T35" s="200"/>
      <c r="U35" s="185"/>
      <c r="V35" s="188"/>
    </row>
    <row r="36" spans="1:22" x14ac:dyDescent="0.25">
      <c r="A36" s="163"/>
      <c r="B36" s="46" t="s">
        <v>39</v>
      </c>
      <c r="C36" s="82">
        <v>2</v>
      </c>
      <c r="D36" s="175"/>
      <c r="E36" s="85">
        <v>3</v>
      </c>
      <c r="F36" s="181"/>
      <c r="G36" s="39"/>
      <c r="H36" s="82">
        <v>2</v>
      </c>
      <c r="I36" s="183"/>
      <c r="J36" s="85">
        <v>15</v>
      </c>
      <c r="K36" s="178"/>
      <c r="L36" s="1"/>
      <c r="M36" s="1"/>
      <c r="N36" s="200"/>
      <c r="O36" s="200"/>
      <c r="P36" s="185"/>
      <c r="Q36" s="188"/>
      <c r="R36" s="1"/>
      <c r="S36" s="200"/>
      <c r="T36" s="200"/>
      <c r="U36" s="185"/>
      <c r="V36" s="188"/>
    </row>
    <row r="37" spans="1:22" x14ac:dyDescent="0.25">
      <c r="A37" s="163"/>
      <c r="B37" s="46" t="s">
        <v>40</v>
      </c>
      <c r="C37" s="82"/>
      <c r="D37" s="175"/>
      <c r="E37" s="85">
        <v>1</v>
      </c>
      <c r="F37" s="181"/>
      <c r="G37" s="39"/>
      <c r="H37" s="82">
        <v>1</v>
      </c>
      <c r="I37" s="183"/>
      <c r="J37" s="85">
        <v>5</v>
      </c>
      <c r="K37" s="178"/>
      <c r="L37" s="1"/>
      <c r="M37" s="1"/>
      <c r="N37" s="200"/>
      <c r="O37" s="200"/>
      <c r="P37" s="185"/>
      <c r="Q37" s="188"/>
      <c r="R37" s="1"/>
      <c r="S37" s="200"/>
      <c r="T37" s="200"/>
      <c r="U37" s="185"/>
      <c r="V37" s="188"/>
    </row>
    <row r="38" spans="1:22" ht="15.75" thickBot="1" x14ac:dyDescent="0.3">
      <c r="A38" s="164"/>
      <c r="B38" s="46" t="s">
        <v>41</v>
      </c>
      <c r="C38" s="82">
        <v>2</v>
      </c>
      <c r="D38" s="176"/>
      <c r="E38" s="85">
        <v>5</v>
      </c>
      <c r="F38" s="182"/>
      <c r="G38" s="39"/>
      <c r="H38" s="82">
        <v>1</v>
      </c>
      <c r="I38" s="183"/>
      <c r="J38" s="85">
        <v>19</v>
      </c>
      <c r="K38" s="198"/>
      <c r="L38" s="1"/>
      <c r="M38" s="1"/>
      <c r="N38" s="201"/>
      <c r="O38" s="201"/>
      <c r="P38" s="186"/>
      <c r="Q38" s="189"/>
      <c r="R38" s="53"/>
      <c r="S38" s="201"/>
      <c r="T38" s="201"/>
      <c r="U38" s="186"/>
      <c r="V38" s="189"/>
    </row>
    <row r="39" spans="1:22" x14ac:dyDescent="0.25">
      <c r="A39" s="162" t="s">
        <v>6</v>
      </c>
      <c r="B39" s="47" t="s">
        <v>42</v>
      </c>
      <c r="C39" s="82">
        <v>3</v>
      </c>
      <c r="D39" s="174">
        <f>SUM(C39:C48)</f>
        <v>28</v>
      </c>
      <c r="E39" s="85">
        <v>34</v>
      </c>
      <c r="F39" s="180">
        <f>SUM(E39:E48)</f>
        <v>261</v>
      </c>
      <c r="G39" s="39"/>
      <c r="H39" s="82">
        <v>18</v>
      </c>
      <c r="I39" s="183">
        <f>SUM(H39:H48)</f>
        <v>83</v>
      </c>
      <c r="J39" s="85">
        <v>163</v>
      </c>
      <c r="K39" s="196">
        <f>SUM(J39:J48)</f>
        <v>740</v>
      </c>
      <c r="L39" s="1"/>
      <c r="M39" s="1"/>
      <c r="N39" s="202">
        <v>12</v>
      </c>
      <c r="O39" s="202">
        <v>14</v>
      </c>
      <c r="P39" s="190">
        <v>121</v>
      </c>
      <c r="Q39" s="191">
        <v>126</v>
      </c>
      <c r="R39" s="1"/>
      <c r="S39" s="202">
        <v>40</v>
      </c>
      <c r="T39" s="202">
        <v>36</v>
      </c>
      <c r="U39" s="190">
        <v>286</v>
      </c>
      <c r="V39" s="191">
        <v>281</v>
      </c>
    </row>
    <row r="40" spans="1:22" x14ac:dyDescent="0.25">
      <c r="A40" s="163"/>
      <c r="B40" s="46" t="s">
        <v>43</v>
      </c>
      <c r="C40" s="82">
        <v>20</v>
      </c>
      <c r="D40" s="175"/>
      <c r="E40" s="85">
        <v>149</v>
      </c>
      <c r="F40" s="181"/>
      <c r="G40" s="39"/>
      <c r="H40" s="82">
        <v>48</v>
      </c>
      <c r="I40" s="183"/>
      <c r="J40" s="85">
        <v>418</v>
      </c>
      <c r="K40" s="178"/>
      <c r="L40" s="1"/>
      <c r="M40" s="1"/>
      <c r="N40" s="200"/>
      <c r="O40" s="200"/>
      <c r="P40" s="185"/>
      <c r="Q40" s="188"/>
      <c r="R40" s="1"/>
      <c r="S40" s="200"/>
      <c r="T40" s="200"/>
      <c r="U40" s="185"/>
      <c r="V40" s="188"/>
    </row>
    <row r="41" spans="1:22" x14ac:dyDescent="0.25">
      <c r="A41" s="163"/>
      <c r="B41" s="46" t="s">
        <v>44</v>
      </c>
      <c r="C41" s="82">
        <v>1</v>
      </c>
      <c r="D41" s="175"/>
      <c r="E41" s="85">
        <v>2</v>
      </c>
      <c r="F41" s="181"/>
      <c r="G41" s="39"/>
      <c r="H41" s="82">
        <v>2</v>
      </c>
      <c r="I41" s="183"/>
      <c r="J41" s="85">
        <v>5</v>
      </c>
      <c r="K41" s="178"/>
      <c r="L41" s="1"/>
      <c r="M41" s="1"/>
      <c r="N41" s="200"/>
      <c r="O41" s="200"/>
      <c r="P41" s="185"/>
      <c r="Q41" s="188"/>
      <c r="R41" s="1"/>
      <c r="S41" s="200"/>
      <c r="T41" s="200"/>
      <c r="U41" s="185"/>
      <c r="V41" s="188"/>
    </row>
    <row r="42" spans="1:22" x14ac:dyDescent="0.25">
      <c r="A42" s="163"/>
      <c r="B42" s="46" t="s">
        <v>45</v>
      </c>
      <c r="C42" s="82"/>
      <c r="D42" s="175"/>
      <c r="E42" s="85"/>
      <c r="F42" s="181"/>
      <c r="G42" s="39"/>
      <c r="H42" s="82"/>
      <c r="I42" s="183"/>
      <c r="J42" s="85"/>
      <c r="K42" s="178"/>
      <c r="L42" s="1"/>
      <c r="M42" s="1"/>
      <c r="N42" s="200"/>
      <c r="O42" s="200"/>
      <c r="P42" s="185"/>
      <c r="Q42" s="188"/>
      <c r="R42" s="1"/>
      <c r="S42" s="200"/>
      <c r="T42" s="200"/>
      <c r="U42" s="185"/>
      <c r="V42" s="188"/>
    </row>
    <row r="43" spans="1:22" x14ac:dyDescent="0.25">
      <c r="A43" s="163"/>
      <c r="B43" s="46" t="s">
        <v>46</v>
      </c>
      <c r="C43" s="82"/>
      <c r="D43" s="175"/>
      <c r="E43" s="85">
        <v>3</v>
      </c>
      <c r="F43" s="181"/>
      <c r="G43" s="39"/>
      <c r="H43" s="82"/>
      <c r="I43" s="183"/>
      <c r="J43" s="85">
        <v>4</v>
      </c>
      <c r="K43" s="178"/>
      <c r="L43" s="1"/>
      <c r="M43" s="1"/>
      <c r="N43" s="200"/>
      <c r="O43" s="200"/>
      <c r="P43" s="185"/>
      <c r="Q43" s="188"/>
      <c r="R43" s="1"/>
      <c r="S43" s="200"/>
      <c r="T43" s="200"/>
      <c r="U43" s="185"/>
      <c r="V43" s="188"/>
    </row>
    <row r="44" spans="1:22" x14ac:dyDescent="0.25">
      <c r="A44" s="163"/>
      <c r="B44" s="46" t="s">
        <v>47</v>
      </c>
      <c r="C44" s="82">
        <v>1</v>
      </c>
      <c r="D44" s="175"/>
      <c r="E44" s="85">
        <v>12</v>
      </c>
      <c r="F44" s="181"/>
      <c r="G44" s="39"/>
      <c r="H44" s="82">
        <v>2</v>
      </c>
      <c r="I44" s="183"/>
      <c r="J44" s="85">
        <v>18</v>
      </c>
      <c r="K44" s="178"/>
      <c r="L44" s="1"/>
      <c r="M44" s="1"/>
      <c r="N44" s="200"/>
      <c r="O44" s="200"/>
      <c r="P44" s="185"/>
      <c r="Q44" s="188"/>
      <c r="R44" s="1"/>
      <c r="S44" s="200"/>
      <c r="T44" s="200"/>
      <c r="U44" s="185"/>
      <c r="V44" s="188"/>
    </row>
    <row r="45" spans="1:22" x14ac:dyDescent="0.25">
      <c r="A45" s="163"/>
      <c r="B45" s="46" t="s">
        <v>48</v>
      </c>
      <c r="C45" s="82">
        <v>1</v>
      </c>
      <c r="D45" s="175"/>
      <c r="E45" s="85">
        <v>23</v>
      </c>
      <c r="F45" s="181"/>
      <c r="G45" s="39"/>
      <c r="H45" s="82">
        <v>6</v>
      </c>
      <c r="I45" s="183"/>
      <c r="J45" s="85">
        <v>45</v>
      </c>
      <c r="K45" s="178"/>
      <c r="L45" s="1"/>
      <c r="M45" s="1"/>
      <c r="N45" s="200"/>
      <c r="O45" s="200"/>
      <c r="P45" s="185"/>
      <c r="Q45" s="188"/>
      <c r="R45" s="1"/>
      <c r="S45" s="200"/>
      <c r="T45" s="200"/>
      <c r="U45" s="185"/>
      <c r="V45" s="188"/>
    </row>
    <row r="46" spans="1:22" x14ac:dyDescent="0.25">
      <c r="A46" s="163"/>
      <c r="B46" s="46" t="s">
        <v>49</v>
      </c>
      <c r="C46" s="82">
        <v>1</v>
      </c>
      <c r="D46" s="175"/>
      <c r="E46" s="85">
        <v>9</v>
      </c>
      <c r="F46" s="181"/>
      <c r="G46" s="39"/>
      <c r="H46" s="82"/>
      <c r="I46" s="183"/>
      <c r="J46" s="85">
        <v>18</v>
      </c>
      <c r="K46" s="178"/>
      <c r="L46" s="1"/>
      <c r="M46" s="1"/>
      <c r="N46" s="200"/>
      <c r="O46" s="200"/>
      <c r="P46" s="185"/>
      <c r="Q46" s="188"/>
      <c r="R46" s="1"/>
      <c r="S46" s="200"/>
      <c r="T46" s="200"/>
      <c r="U46" s="185"/>
      <c r="V46" s="188"/>
    </row>
    <row r="47" spans="1:22" x14ac:dyDescent="0.25">
      <c r="A47" s="163"/>
      <c r="B47" s="46" t="s">
        <v>50</v>
      </c>
      <c r="C47" s="82">
        <v>1</v>
      </c>
      <c r="D47" s="175"/>
      <c r="E47" s="85">
        <v>25</v>
      </c>
      <c r="F47" s="181"/>
      <c r="G47" s="39"/>
      <c r="H47" s="82">
        <v>5</v>
      </c>
      <c r="I47" s="183"/>
      <c r="J47" s="85">
        <v>52</v>
      </c>
      <c r="K47" s="178"/>
      <c r="L47" s="1"/>
      <c r="M47" s="1"/>
      <c r="N47" s="200"/>
      <c r="O47" s="200"/>
      <c r="P47" s="185"/>
      <c r="Q47" s="188"/>
      <c r="R47" s="1"/>
      <c r="S47" s="200"/>
      <c r="T47" s="200"/>
      <c r="U47" s="185"/>
      <c r="V47" s="188"/>
    </row>
    <row r="48" spans="1:22" ht="15.75" thickBot="1" x14ac:dyDescent="0.3">
      <c r="A48" s="164"/>
      <c r="B48" s="46" t="s">
        <v>51</v>
      </c>
      <c r="C48" s="118"/>
      <c r="D48" s="175"/>
      <c r="E48" s="119">
        <v>4</v>
      </c>
      <c r="F48" s="181"/>
      <c r="G48" s="39"/>
      <c r="H48" s="118">
        <v>2</v>
      </c>
      <c r="I48" s="197"/>
      <c r="J48" s="119">
        <v>17</v>
      </c>
      <c r="K48" s="179"/>
      <c r="L48" s="1"/>
      <c r="M48" s="1"/>
      <c r="N48" s="201"/>
      <c r="O48" s="201"/>
      <c r="P48" s="186"/>
      <c r="Q48" s="189"/>
      <c r="R48" s="53"/>
      <c r="S48" s="201"/>
      <c r="T48" s="201"/>
      <c r="U48" s="186"/>
      <c r="V48" s="189"/>
    </row>
    <row r="49" spans="1:30" ht="15.75" thickBot="1" x14ac:dyDescent="0.3">
      <c r="A49" s="11" t="s">
        <v>13</v>
      </c>
      <c r="B49" s="120"/>
      <c r="C49" s="121" t="s">
        <v>118</v>
      </c>
      <c r="D49" s="122" t="str">
        <f>C49</f>
        <v xml:space="preserve"> </v>
      </c>
      <c r="E49" s="123">
        <v>3</v>
      </c>
      <c r="F49" s="124">
        <f>E49</f>
        <v>3</v>
      </c>
      <c r="G49" s="43"/>
      <c r="H49" s="125">
        <v>10</v>
      </c>
      <c r="I49" s="126">
        <f>H49</f>
        <v>10</v>
      </c>
      <c r="J49" s="123">
        <v>135</v>
      </c>
      <c r="K49" s="115">
        <f>J49</f>
        <v>135</v>
      </c>
      <c r="L49" s="1"/>
      <c r="M49" s="1"/>
      <c r="N49" s="107"/>
      <c r="O49" s="107"/>
      <c r="P49" s="108"/>
      <c r="Q49" s="130"/>
      <c r="R49" s="106"/>
      <c r="S49" s="107"/>
      <c r="T49" s="107"/>
      <c r="U49" s="108"/>
      <c r="V49" s="90"/>
    </row>
    <row r="50" spans="1:30" ht="15.75" thickBot="1" x14ac:dyDescent="0.3">
      <c r="A50" s="11" t="s">
        <v>7</v>
      </c>
      <c r="B50" s="48"/>
      <c r="C50" s="117">
        <f>SUM(C5:C49)</f>
        <v>142</v>
      </c>
      <c r="D50" s="83">
        <f>SUM(D5:D49)</f>
        <v>142</v>
      </c>
      <c r="E50" s="117">
        <f>SUM(E5:E49)</f>
        <v>1041</v>
      </c>
      <c r="F50" s="84">
        <f>SUM(F5:F49)</f>
        <v>1041</v>
      </c>
      <c r="G50" s="44"/>
      <c r="H50" s="127">
        <f>SUM(H5:H49)</f>
        <v>680</v>
      </c>
      <c r="I50" s="87">
        <f>SUM(I5:I49)</f>
        <v>680</v>
      </c>
      <c r="J50" s="127">
        <f>SUM(J5:J49)</f>
        <v>5944</v>
      </c>
      <c r="K50" s="114">
        <f>SUM(K5:K49)</f>
        <v>5944</v>
      </c>
      <c r="L50" s="1"/>
      <c r="M50" s="1"/>
      <c r="N50" s="56">
        <f>SUM(N5:N49)</f>
        <v>70</v>
      </c>
      <c r="O50" s="109">
        <f>SUM(O5:O49)</f>
        <v>65</v>
      </c>
      <c r="P50" s="142">
        <f>SUM(P5:P49)</f>
        <v>580</v>
      </c>
      <c r="Q50" s="143">
        <f>SUM(Q5:Q49)</f>
        <v>539</v>
      </c>
      <c r="R50" s="53"/>
      <c r="S50" s="56">
        <f>SUM(S5:S49)</f>
        <v>123</v>
      </c>
      <c r="T50" s="56">
        <f>SUM(T5:T49)</f>
        <v>118</v>
      </c>
      <c r="U50" s="142">
        <f>SUM(U5:U49)</f>
        <v>1116</v>
      </c>
      <c r="V50" s="144">
        <f>SUM(V5:V49)</f>
        <v>1200</v>
      </c>
    </row>
    <row r="51" spans="1:30" x14ac:dyDescent="0.25">
      <c r="L51" s="1"/>
      <c r="M51" s="1"/>
    </row>
    <row r="52" spans="1:30" ht="60" customHeight="1" x14ac:dyDescent="0.25"/>
    <row r="53" spans="1:30" ht="71.25" hidden="1" x14ac:dyDescent="0.25">
      <c r="M53" s="131" t="s">
        <v>103</v>
      </c>
      <c r="N53" s="132" t="s">
        <v>104</v>
      </c>
      <c r="O53" s="133" t="s">
        <v>105</v>
      </c>
      <c r="P53" s="132" t="s">
        <v>106</v>
      </c>
      <c r="Q53" s="134" t="s">
        <v>107</v>
      </c>
      <c r="S53" s="132" t="s">
        <v>108</v>
      </c>
      <c r="T53" s="133" t="s">
        <v>109</v>
      </c>
      <c r="U53" s="132" t="s">
        <v>110</v>
      </c>
      <c r="V53" s="134" t="s">
        <v>111</v>
      </c>
    </row>
    <row r="54" spans="1:30" hidden="1" x14ac:dyDescent="0.25">
      <c r="M54" s="128">
        <v>1</v>
      </c>
      <c r="N54" s="135">
        <v>4</v>
      </c>
      <c r="O54" s="135">
        <v>6</v>
      </c>
      <c r="P54" s="136">
        <v>21</v>
      </c>
      <c r="Q54" s="136">
        <v>31</v>
      </c>
      <c r="S54" s="135">
        <v>20</v>
      </c>
      <c r="T54" s="135">
        <v>19</v>
      </c>
      <c r="U54" s="136">
        <v>80</v>
      </c>
      <c r="V54" s="136">
        <v>90</v>
      </c>
    </row>
    <row r="55" spans="1:30" hidden="1" x14ac:dyDescent="0.25">
      <c r="M55" s="128">
        <v>2</v>
      </c>
      <c r="N55" s="135">
        <v>2</v>
      </c>
      <c r="O55" s="135">
        <v>3</v>
      </c>
      <c r="P55" s="136">
        <v>7</v>
      </c>
      <c r="Q55" s="136">
        <v>12</v>
      </c>
      <c r="S55" s="135">
        <v>14</v>
      </c>
      <c r="T55" s="135">
        <v>22</v>
      </c>
      <c r="U55" s="136">
        <v>40</v>
      </c>
      <c r="V55" s="136">
        <v>67</v>
      </c>
    </row>
    <row r="56" spans="1:30" hidden="1" x14ac:dyDescent="0.25">
      <c r="M56" s="128">
        <v>3</v>
      </c>
      <c r="N56" s="135">
        <v>4</v>
      </c>
      <c r="O56" s="135">
        <v>5</v>
      </c>
      <c r="P56" s="136">
        <v>20</v>
      </c>
      <c r="Q56" s="136">
        <v>25</v>
      </c>
      <c r="S56" s="135">
        <v>18</v>
      </c>
      <c r="T56" s="135">
        <v>11</v>
      </c>
      <c r="U56" s="136">
        <v>59</v>
      </c>
      <c r="V56" s="136">
        <v>59</v>
      </c>
    </row>
    <row r="57" spans="1:30" hidden="1" x14ac:dyDescent="0.25">
      <c r="M57" s="128">
        <v>4</v>
      </c>
      <c r="N57" s="135">
        <v>11</v>
      </c>
      <c r="O57" s="135">
        <v>8</v>
      </c>
      <c r="P57" s="136">
        <v>45</v>
      </c>
      <c r="Q57" s="136">
        <v>42</v>
      </c>
      <c r="S57" s="135">
        <v>15</v>
      </c>
      <c r="T57" s="135">
        <v>18</v>
      </c>
      <c r="U57" s="136">
        <v>72</v>
      </c>
      <c r="V57" s="136">
        <v>78</v>
      </c>
    </row>
    <row r="58" spans="1:30" hidden="1" x14ac:dyDescent="0.25">
      <c r="M58" s="128">
        <v>5</v>
      </c>
      <c r="N58" s="135">
        <v>6</v>
      </c>
      <c r="O58" s="135">
        <v>2</v>
      </c>
      <c r="P58" s="136">
        <v>19</v>
      </c>
      <c r="Q58" s="136">
        <v>22</v>
      </c>
      <c r="S58" s="135">
        <v>8</v>
      </c>
      <c r="T58" s="135">
        <v>15</v>
      </c>
      <c r="U58" s="136">
        <v>45</v>
      </c>
      <c r="V58" s="136">
        <v>66</v>
      </c>
    </row>
    <row r="59" spans="1:30" ht="26.25" hidden="1" customHeight="1" x14ac:dyDescent="0.25">
      <c r="M59" s="128">
        <v>6</v>
      </c>
      <c r="N59" s="135">
        <v>4</v>
      </c>
      <c r="O59" s="135">
        <v>3</v>
      </c>
      <c r="P59" s="136">
        <v>20</v>
      </c>
      <c r="Q59" s="136">
        <v>22</v>
      </c>
      <c r="S59" s="135">
        <v>10</v>
      </c>
      <c r="T59" s="135">
        <v>5</v>
      </c>
      <c r="U59" s="136">
        <v>52</v>
      </c>
      <c r="V59" s="136">
        <v>44</v>
      </c>
    </row>
    <row r="60" spans="1:30" x14ac:dyDescent="0.25">
      <c r="X60" s="145"/>
      <c r="Y60" s="145"/>
      <c r="Z60" s="145"/>
      <c r="AA60" s="145"/>
      <c r="AB60" s="145"/>
      <c r="AC60" s="145"/>
      <c r="AD60" s="145"/>
    </row>
  </sheetData>
  <sheetProtection password="8A47" sheet="1" objects="1" scenarios="1"/>
  <mergeCells count="106">
    <mergeCell ref="V21:V24"/>
    <mergeCell ref="V25:V32"/>
    <mergeCell ref="V33:V38"/>
    <mergeCell ref="V39:V48"/>
    <mergeCell ref="N25:N32"/>
    <mergeCell ref="O25:O32"/>
    <mergeCell ref="N33:N38"/>
    <mergeCell ref="S39:S48"/>
    <mergeCell ref="S21:S24"/>
    <mergeCell ref="S25:S32"/>
    <mergeCell ref="S33:S38"/>
    <mergeCell ref="S10:S14"/>
    <mergeCell ref="N10:N14"/>
    <mergeCell ref="O10:O14"/>
    <mergeCell ref="N15:N20"/>
    <mergeCell ref="O15:O20"/>
    <mergeCell ref="N21:N24"/>
    <mergeCell ref="O21:O24"/>
    <mergeCell ref="T33:T38"/>
    <mergeCell ref="U33:U38"/>
    <mergeCell ref="T39:T48"/>
    <mergeCell ref="U39:U48"/>
    <mergeCell ref="T21:T24"/>
    <mergeCell ref="U21:U24"/>
    <mergeCell ref="T10:T14"/>
    <mergeCell ref="U10:U14"/>
    <mergeCell ref="T15:T20"/>
    <mergeCell ref="U15:U20"/>
    <mergeCell ref="T25:T32"/>
    <mergeCell ref="U25:U32"/>
    <mergeCell ref="C1:K1"/>
    <mergeCell ref="C3:D3"/>
    <mergeCell ref="E3:F3"/>
    <mergeCell ref="S15:S20"/>
    <mergeCell ref="S2:V2"/>
    <mergeCell ref="N1:V1"/>
    <mergeCell ref="P5:P9"/>
    <mergeCell ref="Q5:Q9"/>
    <mergeCell ref="V5:V9"/>
    <mergeCell ref="N2:Q2"/>
    <mergeCell ref="N3:O3"/>
    <mergeCell ref="P3:Q3"/>
    <mergeCell ref="S5:S9"/>
    <mergeCell ref="P10:P14"/>
    <mergeCell ref="Q10:Q14"/>
    <mergeCell ref="V10:V14"/>
    <mergeCell ref="V15:V20"/>
    <mergeCell ref="D5:D9"/>
    <mergeCell ref="N5:N9"/>
    <mergeCell ref="O5:O9"/>
    <mergeCell ref="T5:T9"/>
    <mergeCell ref="U5:U9"/>
    <mergeCell ref="S3:T3"/>
    <mergeCell ref="U3:V3"/>
    <mergeCell ref="C2:F2"/>
    <mergeCell ref="H2:K2"/>
    <mergeCell ref="J3:K3"/>
    <mergeCell ref="H3:I3"/>
    <mergeCell ref="P33:P38"/>
    <mergeCell ref="Q33:Q38"/>
    <mergeCell ref="P39:P48"/>
    <mergeCell ref="Q39:Q48"/>
    <mergeCell ref="A39:A48"/>
    <mergeCell ref="A1:B4"/>
    <mergeCell ref="F39:F48"/>
    <mergeCell ref="K39:K48"/>
    <mergeCell ref="D39:D48"/>
    <mergeCell ref="I39:I48"/>
    <mergeCell ref="P15:P20"/>
    <mergeCell ref="Q15:Q20"/>
    <mergeCell ref="P21:P24"/>
    <mergeCell ref="Q21:Q24"/>
    <mergeCell ref="P25:P32"/>
    <mergeCell ref="Q25:Q32"/>
    <mergeCell ref="K5:K9"/>
    <mergeCell ref="F5:F9"/>
    <mergeCell ref="K10:K14"/>
    <mergeCell ref="F10:F14"/>
    <mergeCell ref="O33:O38"/>
    <mergeCell ref="N39:N48"/>
    <mergeCell ref="O39:O48"/>
    <mergeCell ref="K33:K38"/>
    <mergeCell ref="D10:D14"/>
    <mergeCell ref="K21:K24"/>
    <mergeCell ref="F21:F24"/>
    <mergeCell ref="K25:K32"/>
    <mergeCell ref="F25:F32"/>
    <mergeCell ref="I25:I32"/>
    <mergeCell ref="I33:I38"/>
    <mergeCell ref="A5:A9"/>
    <mergeCell ref="A10:A14"/>
    <mergeCell ref="A15:A20"/>
    <mergeCell ref="A21:A24"/>
    <mergeCell ref="A25:A32"/>
    <mergeCell ref="A33:A38"/>
    <mergeCell ref="F33:F38"/>
    <mergeCell ref="K15:K20"/>
    <mergeCell ref="D15:D20"/>
    <mergeCell ref="D21:D24"/>
    <mergeCell ref="D25:D32"/>
    <mergeCell ref="D33:D38"/>
    <mergeCell ref="I5:I9"/>
    <mergeCell ref="I10:I14"/>
    <mergeCell ref="I15:I20"/>
    <mergeCell ref="I21:I24"/>
    <mergeCell ref="F15:F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101"/>
  <sheetViews>
    <sheetView zoomScale="70" zoomScaleNormal="70" workbookViewId="0">
      <selection activeCell="L16" sqref="L16"/>
    </sheetView>
  </sheetViews>
  <sheetFormatPr defaultRowHeight="15" x14ac:dyDescent="0.25"/>
  <cols>
    <col min="1" max="1" width="16.85546875" customWidth="1"/>
    <col min="2" max="2" width="11.5703125" customWidth="1"/>
    <col min="3" max="4" width="21.28515625" customWidth="1"/>
    <col min="5" max="5" width="4.140625" customWidth="1"/>
    <col min="6" max="7" width="21.28515625" customWidth="1"/>
  </cols>
  <sheetData>
    <row r="1" spans="1:9" ht="45.75" customHeight="1" x14ac:dyDescent="0.25">
      <c r="A1" s="192">
        <f>Holds!A1</f>
        <v>41334</v>
      </c>
      <c r="B1" s="192"/>
      <c r="C1" s="235" t="s">
        <v>63</v>
      </c>
      <c r="D1" s="236"/>
      <c r="E1" s="13"/>
      <c r="F1" s="235" t="s">
        <v>65</v>
      </c>
      <c r="G1" s="236"/>
    </row>
    <row r="2" spans="1:9" s="3" customFormat="1" ht="36.75" customHeight="1" x14ac:dyDescent="0.25">
      <c r="A2" s="192"/>
      <c r="B2" s="192"/>
      <c r="C2" s="21" t="s">
        <v>67</v>
      </c>
      <c r="D2" s="22" t="s">
        <v>99</v>
      </c>
      <c r="F2" s="21" t="s">
        <v>66</v>
      </c>
      <c r="G2" s="22" t="s">
        <v>98</v>
      </c>
    </row>
    <row r="3" spans="1:9" ht="5.25" customHeight="1" x14ac:dyDescent="0.25">
      <c r="A3" s="192"/>
      <c r="B3" s="192"/>
    </row>
    <row r="4" spans="1:9" ht="5.25" customHeight="1" x14ac:dyDescent="0.25">
      <c r="A4" s="195"/>
      <c r="B4" s="195"/>
    </row>
    <row r="5" spans="1:9" ht="15" customHeight="1" x14ac:dyDescent="0.25">
      <c r="A5" s="162" t="s">
        <v>0</v>
      </c>
      <c r="B5" s="9" t="s">
        <v>8</v>
      </c>
      <c r="C5" s="232">
        <v>70</v>
      </c>
      <c r="D5" s="229">
        <v>155</v>
      </c>
      <c r="F5" s="232">
        <v>329</v>
      </c>
      <c r="G5" s="229">
        <v>771</v>
      </c>
      <c r="H5" s="150"/>
      <c r="I5" s="150"/>
    </row>
    <row r="6" spans="1:9" ht="15.75" x14ac:dyDescent="0.25">
      <c r="A6" s="163"/>
      <c r="B6" s="10" t="s">
        <v>9</v>
      </c>
      <c r="C6" s="233"/>
      <c r="D6" s="230"/>
      <c r="F6" s="233"/>
      <c r="G6" s="230"/>
      <c r="H6" s="150"/>
      <c r="I6" s="150"/>
    </row>
    <row r="7" spans="1:9" ht="15.75" x14ac:dyDescent="0.25">
      <c r="A7" s="163"/>
      <c r="B7" s="10" t="s">
        <v>10</v>
      </c>
      <c r="C7" s="233"/>
      <c r="D7" s="230"/>
      <c r="F7" s="233"/>
      <c r="G7" s="230"/>
      <c r="H7" s="150"/>
      <c r="I7" s="150"/>
    </row>
    <row r="8" spans="1:9" ht="15.75" x14ac:dyDescent="0.25">
      <c r="A8" s="163"/>
      <c r="B8" s="10" t="s">
        <v>11</v>
      </c>
      <c r="C8" s="233"/>
      <c r="D8" s="230"/>
      <c r="F8" s="233"/>
      <c r="G8" s="230"/>
      <c r="H8" s="150"/>
      <c r="I8" s="150"/>
    </row>
    <row r="9" spans="1:9" ht="15.75" x14ac:dyDescent="0.25">
      <c r="A9" s="164"/>
      <c r="B9" s="10" t="s">
        <v>12</v>
      </c>
      <c r="C9" s="234"/>
      <c r="D9" s="231"/>
      <c r="F9" s="234"/>
      <c r="G9" s="231"/>
      <c r="H9" s="150"/>
      <c r="I9" s="150"/>
    </row>
    <row r="10" spans="1:9" ht="15.75" x14ac:dyDescent="0.25">
      <c r="A10" s="162" t="s">
        <v>1</v>
      </c>
      <c r="B10" s="9" t="s">
        <v>14</v>
      </c>
      <c r="C10" s="232">
        <v>85</v>
      </c>
      <c r="D10" s="229">
        <v>124</v>
      </c>
      <c r="F10" s="232">
        <v>225</v>
      </c>
      <c r="G10" s="229">
        <v>543</v>
      </c>
      <c r="H10" s="150"/>
      <c r="I10" s="150"/>
    </row>
    <row r="11" spans="1:9" ht="15.75" x14ac:dyDescent="0.25">
      <c r="A11" s="163"/>
      <c r="B11" s="10" t="s">
        <v>15</v>
      </c>
      <c r="C11" s="233"/>
      <c r="D11" s="230"/>
      <c r="F11" s="233"/>
      <c r="G11" s="230"/>
      <c r="H11" s="150"/>
      <c r="I11" s="150"/>
    </row>
    <row r="12" spans="1:9" x14ac:dyDescent="0.25">
      <c r="A12" s="163"/>
      <c r="B12" s="10" t="s">
        <v>16</v>
      </c>
      <c r="C12" s="233"/>
      <c r="D12" s="230"/>
      <c r="F12" s="233"/>
      <c r="G12" s="230"/>
      <c r="H12" s="151"/>
      <c r="I12" s="151"/>
    </row>
    <row r="13" spans="1:9" x14ac:dyDescent="0.25">
      <c r="A13" s="163"/>
      <c r="B13" s="10" t="s">
        <v>17</v>
      </c>
      <c r="C13" s="233"/>
      <c r="D13" s="230"/>
      <c r="F13" s="233"/>
      <c r="G13" s="230"/>
    </row>
    <row r="14" spans="1:9" x14ac:dyDescent="0.25">
      <c r="A14" s="164"/>
      <c r="B14" s="10" t="s">
        <v>18</v>
      </c>
      <c r="C14" s="234"/>
      <c r="D14" s="231"/>
      <c r="F14" s="234"/>
      <c r="G14" s="231"/>
    </row>
    <row r="15" spans="1:9" x14ac:dyDescent="0.25">
      <c r="A15" s="162" t="s">
        <v>2</v>
      </c>
      <c r="B15" s="9" t="s">
        <v>19</v>
      </c>
      <c r="C15" s="232">
        <v>81</v>
      </c>
      <c r="D15" s="229">
        <v>189</v>
      </c>
      <c r="F15" s="232">
        <v>571</v>
      </c>
      <c r="G15" s="229">
        <v>1227</v>
      </c>
    </row>
    <row r="16" spans="1:9" x14ac:dyDescent="0.25">
      <c r="A16" s="163"/>
      <c r="B16" s="10" t="s">
        <v>20</v>
      </c>
      <c r="C16" s="233"/>
      <c r="D16" s="230"/>
      <c r="F16" s="233"/>
      <c r="G16" s="230"/>
    </row>
    <row r="17" spans="1:7" x14ac:dyDescent="0.25">
      <c r="A17" s="163"/>
      <c r="B17" s="10" t="s">
        <v>21</v>
      </c>
      <c r="C17" s="233"/>
      <c r="D17" s="230"/>
      <c r="F17" s="233"/>
      <c r="G17" s="230"/>
    </row>
    <row r="18" spans="1:7" x14ac:dyDescent="0.25">
      <c r="A18" s="163"/>
      <c r="B18" s="10" t="s">
        <v>22</v>
      </c>
      <c r="C18" s="233"/>
      <c r="D18" s="230"/>
      <c r="F18" s="233"/>
      <c r="G18" s="230"/>
    </row>
    <row r="19" spans="1:7" x14ac:dyDescent="0.25">
      <c r="A19" s="163"/>
      <c r="B19" s="10" t="s">
        <v>23</v>
      </c>
      <c r="C19" s="233"/>
      <c r="D19" s="230"/>
      <c r="F19" s="233"/>
      <c r="G19" s="230"/>
    </row>
    <row r="20" spans="1:7" x14ac:dyDescent="0.25">
      <c r="A20" s="164"/>
      <c r="B20" s="10" t="s">
        <v>24</v>
      </c>
      <c r="C20" s="234"/>
      <c r="D20" s="231"/>
      <c r="F20" s="234"/>
      <c r="G20" s="231"/>
    </row>
    <row r="21" spans="1:7" x14ac:dyDescent="0.25">
      <c r="A21" s="162" t="s">
        <v>3</v>
      </c>
      <c r="B21" s="9" t="s">
        <v>25</v>
      </c>
      <c r="C21" s="232">
        <v>181</v>
      </c>
      <c r="D21" s="229">
        <v>337</v>
      </c>
      <c r="F21" s="232">
        <v>624</v>
      </c>
      <c r="G21" s="229">
        <v>2130</v>
      </c>
    </row>
    <row r="22" spans="1:7" x14ac:dyDescent="0.25">
      <c r="A22" s="163"/>
      <c r="B22" s="10" t="s">
        <v>26</v>
      </c>
      <c r="C22" s="233"/>
      <c r="D22" s="230"/>
      <c r="F22" s="233"/>
      <c r="G22" s="230"/>
    </row>
    <row r="23" spans="1:7" x14ac:dyDescent="0.25">
      <c r="A23" s="163"/>
      <c r="B23" s="10" t="s">
        <v>27</v>
      </c>
      <c r="C23" s="233"/>
      <c r="D23" s="230"/>
      <c r="F23" s="233"/>
      <c r="G23" s="230"/>
    </row>
    <row r="24" spans="1:7" x14ac:dyDescent="0.25">
      <c r="A24" s="164"/>
      <c r="B24" s="10" t="s">
        <v>28</v>
      </c>
      <c r="C24" s="234"/>
      <c r="D24" s="231"/>
      <c r="F24" s="234"/>
      <c r="G24" s="231"/>
    </row>
    <row r="25" spans="1:7" x14ac:dyDescent="0.25">
      <c r="A25" s="162" t="s">
        <v>4</v>
      </c>
      <c r="B25" s="9" t="s">
        <v>29</v>
      </c>
      <c r="C25" s="232">
        <v>92</v>
      </c>
      <c r="D25" s="229">
        <v>173</v>
      </c>
      <c r="F25" s="232">
        <v>239</v>
      </c>
      <c r="G25" s="229">
        <v>729</v>
      </c>
    </row>
    <row r="26" spans="1:7" x14ac:dyDescent="0.25">
      <c r="A26" s="163"/>
      <c r="B26" s="10" t="s">
        <v>30</v>
      </c>
      <c r="C26" s="233"/>
      <c r="D26" s="230"/>
      <c r="F26" s="233"/>
      <c r="G26" s="230"/>
    </row>
    <row r="27" spans="1:7" x14ac:dyDescent="0.25">
      <c r="A27" s="163"/>
      <c r="B27" s="10" t="s">
        <v>31</v>
      </c>
      <c r="C27" s="233"/>
      <c r="D27" s="230"/>
      <c r="F27" s="233"/>
      <c r="G27" s="230"/>
    </row>
    <row r="28" spans="1:7" x14ac:dyDescent="0.25">
      <c r="A28" s="163"/>
      <c r="B28" s="10" t="s">
        <v>32</v>
      </c>
      <c r="C28" s="233"/>
      <c r="D28" s="230"/>
      <c r="F28" s="233"/>
      <c r="G28" s="230"/>
    </row>
    <row r="29" spans="1:7" x14ac:dyDescent="0.25">
      <c r="A29" s="163"/>
      <c r="B29" s="10" t="s">
        <v>33</v>
      </c>
      <c r="C29" s="233"/>
      <c r="D29" s="230"/>
      <c r="F29" s="233"/>
      <c r="G29" s="230"/>
    </row>
    <row r="30" spans="1:7" x14ac:dyDescent="0.25">
      <c r="A30" s="163"/>
      <c r="B30" s="10" t="s">
        <v>69</v>
      </c>
      <c r="C30" s="233"/>
      <c r="D30" s="230"/>
      <c r="F30" s="233"/>
      <c r="G30" s="230"/>
    </row>
    <row r="31" spans="1:7" x14ac:dyDescent="0.25">
      <c r="A31" s="163"/>
      <c r="B31" s="10" t="s">
        <v>34</v>
      </c>
      <c r="C31" s="233"/>
      <c r="D31" s="230"/>
      <c r="F31" s="233"/>
      <c r="G31" s="230"/>
    </row>
    <row r="32" spans="1:7" x14ac:dyDescent="0.25">
      <c r="A32" s="164"/>
      <c r="B32" s="10" t="s">
        <v>35</v>
      </c>
      <c r="C32" s="234"/>
      <c r="D32" s="231"/>
      <c r="F32" s="234"/>
      <c r="G32" s="231"/>
    </row>
    <row r="33" spans="1:13" x14ac:dyDescent="0.25">
      <c r="A33" s="162" t="s">
        <v>5</v>
      </c>
      <c r="B33" s="9" t="s">
        <v>36</v>
      </c>
      <c r="C33" s="232">
        <v>69</v>
      </c>
      <c r="D33" s="229">
        <v>143</v>
      </c>
      <c r="F33" s="232">
        <v>256</v>
      </c>
      <c r="G33" s="229">
        <v>621</v>
      </c>
    </row>
    <row r="34" spans="1:13" x14ac:dyDescent="0.25">
      <c r="A34" s="163"/>
      <c r="B34" s="10" t="s">
        <v>37</v>
      </c>
      <c r="C34" s="233"/>
      <c r="D34" s="230"/>
      <c r="F34" s="233"/>
      <c r="G34" s="230"/>
    </row>
    <row r="35" spans="1:13" x14ac:dyDescent="0.25">
      <c r="A35" s="163"/>
      <c r="B35" s="10" t="s">
        <v>38</v>
      </c>
      <c r="C35" s="233"/>
      <c r="D35" s="230"/>
      <c r="F35" s="233"/>
      <c r="G35" s="230"/>
    </row>
    <row r="36" spans="1:13" x14ac:dyDescent="0.25">
      <c r="A36" s="163"/>
      <c r="B36" s="10" t="s">
        <v>39</v>
      </c>
      <c r="C36" s="233"/>
      <c r="D36" s="230"/>
      <c r="F36" s="233"/>
      <c r="G36" s="230"/>
    </row>
    <row r="37" spans="1:13" x14ac:dyDescent="0.25">
      <c r="A37" s="163"/>
      <c r="B37" s="10" t="s">
        <v>40</v>
      </c>
      <c r="C37" s="233"/>
      <c r="D37" s="230"/>
      <c r="F37" s="233"/>
      <c r="G37" s="230"/>
    </row>
    <row r="38" spans="1:13" x14ac:dyDescent="0.25">
      <c r="A38" s="164"/>
      <c r="B38" s="10" t="s">
        <v>41</v>
      </c>
      <c r="C38" s="234"/>
      <c r="D38" s="231"/>
      <c r="F38" s="234"/>
      <c r="G38" s="231"/>
    </row>
    <row r="39" spans="1:13" x14ac:dyDescent="0.25">
      <c r="A39" s="162" t="s">
        <v>6</v>
      </c>
      <c r="B39" s="9" t="s">
        <v>42</v>
      </c>
      <c r="C39" s="232">
        <v>189</v>
      </c>
      <c r="D39" s="229">
        <v>410</v>
      </c>
      <c r="F39" s="232">
        <v>495</v>
      </c>
      <c r="G39" s="229">
        <v>1188</v>
      </c>
    </row>
    <row r="40" spans="1:13" x14ac:dyDescent="0.25">
      <c r="A40" s="163"/>
      <c r="B40" s="10" t="s">
        <v>43</v>
      </c>
      <c r="C40" s="233"/>
      <c r="D40" s="230"/>
      <c r="F40" s="233"/>
      <c r="G40" s="230"/>
    </row>
    <row r="41" spans="1:13" x14ac:dyDescent="0.25">
      <c r="A41" s="163"/>
      <c r="B41" s="10" t="s">
        <v>44</v>
      </c>
      <c r="C41" s="233"/>
      <c r="D41" s="230"/>
      <c r="F41" s="233"/>
      <c r="G41" s="230"/>
      <c r="K41" s="92"/>
      <c r="L41" s="92"/>
      <c r="M41" s="92"/>
    </row>
    <row r="42" spans="1:13" x14ac:dyDescent="0.25">
      <c r="A42" s="163"/>
      <c r="B42" s="10" t="s">
        <v>45</v>
      </c>
      <c r="C42" s="233"/>
      <c r="D42" s="230"/>
      <c r="F42" s="233"/>
      <c r="G42" s="230"/>
    </row>
    <row r="43" spans="1:13" x14ac:dyDescent="0.25">
      <c r="A43" s="163"/>
      <c r="B43" s="10" t="s">
        <v>46</v>
      </c>
      <c r="C43" s="233"/>
      <c r="D43" s="230"/>
      <c r="F43" s="233"/>
      <c r="G43" s="230"/>
    </row>
    <row r="44" spans="1:13" x14ac:dyDescent="0.25">
      <c r="A44" s="163"/>
      <c r="B44" s="10" t="s">
        <v>47</v>
      </c>
      <c r="C44" s="233"/>
      <c r="D44" s="230"/>
      <c r="F44" s="233"/>
      <c r="G44" s="230"/>
    </row>
    <row r="45" spans="1:13" x14ac:dyDescent="0.25">
      <c r="A45" s="163"/>
      <c r="B45" s="10" t="s">
        <v>48</v>
      </c>
      <c r="C45" s="233"/>
      <c r="D45" s="230"/>
      <c r="F45" s="233"/>
      <c r="G45" s="230"/>
    </row>
    <row r="46" spans="1:13" x14ac:dyDescent="0.25">
      <c r="A46" s="163"/>
      <c r="B46" s="10" t="s">
        <v>49</v>
      </c>
      <c r="C46" s="233"/>
      <c r="D46" s="230"/>
      <c r="F46" s="233"/>
      <c r="G46" s="230"/>
    </row>
    <row r="47" spans="1:13" x14ac:dyDescent="0.25">
      <c r="A47" s="163"/>
      <c r="B47" s="10" t="s">
        <v>50</v>
      </c>
      <c r="C47" s="233"/>
      <c r="D47" s="230"/>
      <c r="F47" s="233"/>
      <c r="G47" s="230"/>
    </row>
    <row r="48" spans="1:13" x14ac:dyDescent="0.25">
      <c r="A48" s="164"/>
      <c r="B48" s="10" t="s">
        <v>51</v>
      </c>
      <c r="C48" s="234"/>
      <c r="D48" s="231"/>
      <c r="F48" s="234"/>
      <c r="G48" s="231"/>
    </row>
    <row r="49" spans="1:15" x14ac:dyDescent="0.25">
      <c r="A49" s="11" t="s">
        <v>13</v>
      </c>
      <c r="B49" s="12"/>
      <c r="C49" s="86"/>
      <c r="D49" s="104"/>
      <c r="E49" s="105"/>
      <c r="F49" s="86"/>
      <c r="G49" s="104"/>
    </row>
    <row r="50" spans="1:15" x14ac:dyDescent="0.25">
      <c r="A50" s="11" t="s">
        <v>7</v>
      </c>
      <c r="B50" s="12"/>
      <c r="C50" s="63">
        <f>SUM(C5:C49)</f>
        <v>767</v>
      </c>
      <c r="D50" s="64">
        <f>SUM(D5:D49)</f>
        <v>1531</v>
      </c>
      <c r="F50" s="63">
        <f>SUM(F5:F49)</f>
        <v>2739</v>
      </c>
      <c r="G50" s="64">
        <f>SUM(G5:G49)</f>
        <v>7209</v>
      </c>
    </row>
    <row r="51" spans="1:15" x14ac:dyDescent="0.25">
      <c r="I51" s="92"/>
      <c r="N51" s="92"/>
      <c r="O51" s="92"/>
    </row>
    <row r="58" spans="1:15" ht="24" hidden="1" x14ac:dyDescent="0.25">
      <c r="C58" s="137" t="s">
        <v>112</v>
      </c>
      <c r="D58" s="137" t="s">
        <v>113</v>
      </c>
      <c r="F58" s="137" t="s">
        <v>114</v>
      </c>
      <c r="G58" s="137" t="s">
        <v>115</v>
      </c>
    </row>
    <row r="59" spans="1:15" hidden="1" x14ac:dyDescent="0.25">
      <c r="C59" s="138">
        <v>318</v>
      </c>
      <c r="D59" s="138">
        <v>516</v>
      </c>
      <c r="F59" s="138">
        <v>57</v>
      </c>
      <c r="G59" s="138">
        <v>95</v>
      </c>
    </row>
    <row r="60" spans="1:15" hidden="1" x14ac:dyDescent="0.25">
      <c r="C60" s="138">
        <v>226</v>
      </c>
      <c r="D60" s="138">
        <v>366</v>
      </c>
      <c r="F60" s="138">
        <v>66</v>
      </c>
      <c r="G60" s="138">
        <v>85</v>
      </c>
      <c r="J60">
        <v>76</v>
      </c>
      <c r="K60">
        <v>114</v>
      </c>
      <c r="L60">
        <v>45</v>
      </c>
      <c r="M60">
        <v>48</v>
      </c>
    </row>
    <row r="61" spans="1:15" hidden="1" x14ac:dyDescent="0.25">
      <c r="C61" s="138">
        <v>444</v>
      </c>
      <c r="D61" s="138">
        <v>634</v>
      </c>
      <c r="F61" s="138">
        <v>58</v>
      </c>
      <c r="G61" s="138">
        <v>102</v>
      </c>
      <c r="J61">
        <v>83</v>
      </c>
      <c r="K61">
        <v>147</v>
      </c>
      <c r="L61">
        <v>68</v>
      </c>
      <c r="M61">
        <v>66</v>
      </c>
    </row>
    <row r="62" spans="1:15" hidden="1" x14ac:dyDescent="0.25">
      <c r="C62" s="138">
        <v>587</v>
      </c>
      <c r="D62" s="138">
        <v>1224</v>
      </c>
      <c r="F62" s="138">
        <v>126</v>
      </c>
      <c r="G62" s="138">
        <v>208</v>
      </c>
    </row>
    <row r="63" spans="1:15" hidden="1" x14ac:dyDescent="0.25">
      <c r="C63" s="138">
        <v>216</v>
      </c>
      <c r="D63" s="138">
        <v>463</v>
      </c>
      <c r="F63" s="138">
        <v>54</v>
      </c>
      <c r="G63" s="138">
        <v>99</v>
      </c>
    </row>
    <row r="64" spans="1:15" hidden="1" x14ac:dyDescent="0.25">
      <c r="C64" s="138">
        <v>213</v>
      </c>
      <c r="D64" s="138">
        <v>399</v>
      </c>
      <c r="F64" s="138">
        <v>54</v>
      </c>
      <c r="G64" s="138">
        <v>90</v>
      </c>
    </row>
    <row r="65" spans="3:14" hidden="1" x14ac:dyDescent="0.25">
      <c r="C65" s="138">
        <v>442</v>
      </c>
      <c r="D65" s="138">
        <v>796</v>
      </c>
      <c r="F65" s="138">
        <v>165</v>
      </c>
      <c r="G65" s="138">
        <v>270</v>
      </c>
    </row>
    <row r="66" spans="3:14" hidden="1" x14ac:dyDescent="0.25">
      <c r="C66" s="139">
        <v>2446</v>
      </c>
      <c r="D66" s="139">
        <v>4398</v>
      </c>
      <c r="F66" s="139">
        <v>580</v>
      </c>
      <c r="G66" s="139">
        <v>949</v>
      </c>
    </row>
    <row r="67" spans="3:14" hidden="1" x14ac:dyDescent="0.25">
      <c r="C67">
        <v>326</v>
      </c>
      <c r="D67">
        <v>414</v>
      </c>
      <c r="F67">
        <v>63</v>
      </c>
      <c r="G67">
        <v>80</v>
      </c>
    </row>
    <row r="68" spans="3:14" hidden="1" x14ac:dyDescent="0.25">
      <c r="C68">
        <v>205</v>
      </c>
      <c r="D68">
        <v>266</v>
      </c>
      <c r="F68">
        <v>69</v>
      </c>
      <c r="G68">
        <v>75</v>
      </c>
    </row>
    <row r="69" spans="3:14" hidden="1" x14ac:dyDescent="0.25">
      <c r="C69">
        <v>430</v>
      </c>
      <c r="D69">
        <v>527</v>
      </c>
      <c r="F69">
        <v>76</v>
      </c>
      <c r="G69">
        <v>83</v>
      </c>
    </row>
    <row r="70" spans="3:14" hidden="1" x14ac:dyDescent="0.25">
      <c r="C70">
        <v>605</v>
      </c>
      <c r="D70">
        <v>830</v>
      </c>
      <c r="F70">
        <v>114</v>
      </c>
      <c r="G70">
        <v>147</v>
      </c>
      <c r="H70">
        <v>63</v>
      </c>
      <c r="I70">
        <v>69</v>
      </c>
      <c r="N70">
        <v>186</v>
      </c>
    </row>
    <row r="71" spans="3:14" hidden="1" x14ac:dyDescent="0.25">
      <c r="C71">
        <v>236</v>
      </c>
      <c r="D71">
        <v>362</v>
      </c>
      <c r="F71">
        <v>45</v>
      </c>
      <c r="G71">
        <v>68</v>
      </c>
      <c r="H71">
        <v>80</v>
      </c>
      <c r="I71">
        <v>75</v>
      </c>
      <c r="J71">
        <v>430</v>
      </c>
      <c r="K71">
        <v>605</v>
      </c>
      <c r="L71">
        <v>236</v>
      </c>
      <c r="M71">
        <v>244</v>
      </c>
      <c r="N71">
        <v>213</v>
      </c>
    </row>
    <row r="72" spans="3:14" hidden="1" x14ac:dyDescent="0.25">
      <c r="C72">
        <v>244</v>
      </c>
      <c r="D72">
        <v>315</v>
      </c>
      <c r="F72">
        <v>48</v>
      </c>
      <c r="G72">
        <v>66</v>
      </c>
      <c r="J72">
        <v>527</v>
      </c>
      <c r="K72">
        <v>830</v>
      </c>
      <c r="L72">
        <v>362</v>
      </c>
      <c r="M72">
        <v>315</v>
      </c>
    </row>
    <row r="73" spans="3:14" hidden="1" x14ac:dyDescent="0.25">
      <c r="C73">
        <v>543</v>
      </c>
      <c r="D73">
        <v>656</v>
      </c>
      <c r="F73">
        <v>186</v>
      </c>
      <c r="G73">
        <v>213</v>
      </c>
    </row>
    <row r="74" spans="3:14" hidden="1" x14ac:dyDescent="0.25"/>
    <row r="75" spans="3:14" hidden="1" x14ac:dyDescent="0.25"/>
    <row r="76" spans="3:14" hidden="1" x14ac:dyDescent="0.25"/>
    <row r="77" spans="3:14" hidden="1" x14ac:dyDescent="0.25"/>
    <row r="78" spans="3:14" hidden="1" x14ac:dyDescent="0.25"/>
    <row r="79" spans="3:14" hidden="1" x14ac:dyDescent="0.25"/>
    <row r="80" spans="3:14" hidden="1" x14ac:dyDescent="0.25"/>
    <row r="81" spans="8:14" hidden="1" x14ac:dyDescent="0.25">
      <c r="H81">
        <v>326</v>
      </c>
      <c r="I81">
        <v>205</v>
      </c>
      <c r="N81">
        <v>543</v>
      </c>
    </row>
    <row r="82" spans="8:14" hidden="1" x14ac:dyDescent="0.25">
      <c r="H82">
        <v>414</v>
      </c>
      <c r="I82">
        <v>266</v>
      </c>
      <c r="N82">
        <v>656</v>
      </c>
    </row>
    <row r="83" spans="8:14" hidden="1" x14ac:dyDescent="0.25"/>
    <row r="84" spans="8:14" hidden="1" x14ac:dyDescent="0.25">
      <c r="H84">
        <v>326</v>
      </c>
      <c r="I84">
        <v>414</v>
      </c>
    </row>
    <row r="85" spans="8:14" hidden="1" x14ac:dyDescent="0.25">
      <c r="H85">
        <v>205</v>
      </c>
      <c r="I85">
        <v>266</v>
      </c>
    </row>
    <row r="86" spans="8:14" hidden="1" x14ac:dyDescent="0.25">
      <c r="H86">
        <v>430</v>
      </c>
      <c r="I86">
        <v>527</v>
      </c>
    </row>
    <row r="87" spans="8:14" hidden="1" x14ac:dyDescent="0.25">
      <c r="H87">
        <v>605</v>
      </c>
      <c r="I87">
        <v>830</v>
      </c>
    </row>
    <row r="88" spans="8:14" hidden="1" x14ac:dyDescent="0.25">
      <c r="H88">
        <v>236</v>
      </c>
      <c r="I88">
        <v>362</v>
      </c>
    </row>
    <row r="89" spans="8:14" hidden="1" x14ac:dyDescent="0.25">
      <c r="H89">
        <v>244</v>
      </c>
      <c r="I89">
        <v>315</v>
      </c>
    </row>
    <row r="90" spans="8:14" hidden="1" x14ac:dyDescent="0.25">
      <c r="H90">
        <v>543</v>
      </c>
      <c r="I90">
        <v>656</v>
      </c>
    </row>
    <row r="97" ht="43.5" customHeight="1" x14ac:dyDescent="0.25"/>
    <row r="98" ht="44.25" customHeight="1" x14ac:dyDescent="0.25"/>
    <row r="99" ht="37.5" customHeight="1" x14ac:dyDescent="0.25"/>
    <row r="100" ht="37.5" customHeight="1" x14ac:dyDescent="0.25"/>
    <row r="101" ht="37.5" customHeight="1" x14ac:dyDescent="0.25"/>
  </sheetData>
  <sheetProtection password="8A47" sheet="1" objects="1" scenarios="1"/>
  <mergeCells count="38">
    <mergeCell ref="F10:F14"/>
    <mergeCell ref="G10:G14"/>
    <mergeCell ref="C10:C14"/>
    <mergeCell ref="D10:D14"/>
    <mergeCell ref="F1:G1"/>
    <mergeCell ref="C1:D1"/>
    <mergeCell ref="F5:F9"/>
    <mergeCell ref="G5:G9"/>
    <mergeCell ref="C5:C9"/>
    <mergeCell ref="D5:D9"/>
    <mergeCell ref="F21:F24"/>
    <mergeCell ref="G21:G24"/>
    <mergeCell ref="C21:C24"/>
    <mergeCell ref="D21:D24"/>
    <mergeCell ref="D15:D20"/>
    <mergeCell ref="C15:C20"/>
    <mergeCell ref="G15:G20"/>
    <mergeCell ref="F15:F20"/>
    <mergeCell ref="D25:D32"/>
    <mergeCell ref="D33:D38"/>
    <mergeCell ref="C33:C38"/>
    <mergeCell ref="C25:C32"/>
    <mergeCell ref="C39:C48"/>
    <mergeCell ref="D39:D48"/>
    <mergeCell ref="G25:G32"/>
    <mergeCell ref="G33:G38"/>
    <mergeCell ref="F33:F38"/>
    <mergeCell ref="F25:F32"/>
    <mergeCell ref="G39:G48"/>
    <mergeCell ref="F39:F48"/>
    <mergeCell ref="A39:A48"/>
    <mergeCell ref="A1:B4"/>
    <mergeCell ref="A5:A9"/>
    <mergeCell ref="A10:A14"/>
    <mergeCell ref="A15:A20"/>
    <mergeCell ref="A21:A24"/>
    <mergeCell ref="A25:A32"/>
    <mergeCell ref="A33:A3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08"/>
  <sheetViews>
    <sheetView zoomScale="70" zoomScaleNormal="70" workbookViewId="0">
      <selection activeCell="R38" sqref="R38"/>
    </sheetView>
  </sheetViews>
  <sheetFormatPr defaultRowHeight="15" x14ac:dyDescent="0.25"/>
  <cols>
    <col min="1" max="1" width="14.42578125" customWidth="1"/>
    <col min="2" max="2" width="12.5703125" bestFit="1" customWidth="1"/>
    <col min="3" max="4" width="13.5703125" customWidth="1"/>
    <col min="5" max="5" width="9.140625" style="1"/>
    <col min="6" max="9" width="11.140625" customWidth="1"/>
    <col min="10" max="10" width="9.140625" style="1"/>
    <col min="11" max="11" width="12.140625" customWidth="1"/>
    <col min="12" max="12" width="11.140625" style="105" customWidth="1"/>
    <col min="13" max="14" width="11.140625" customWidth="1"/>
  </cols>
  <sheetData>
    <row r="1" spans="1:23" s="2" customFormat="1" ht="81" customHeight="1" x14ac:dyDescent="0.25">
      <c r="A1" s="192">
        <f>Holds!A1</f>
        <v>41334</v>
      </c>
      <c r="B1" s="192"/>
      <c r="C1" s="235" t="s">
        <v>68</v>
      </c>
      <c r="D1" s="236"/>
      <c r="E1" s="5"/>
      <c r="F1" s="235" t="s">
        <v>73</v>
      </c>
      <c r="G1" s="249"/>
      <c r="H1" s="249"/>
      <c r="I1" s="236"/>
      <c r="J1" s="5"/>
      <c r="K1" s="235" t="s">
        <v>74</v>
      </c>
      <c r="L1" s="249"/>
      <c r="M1" s="249"/>
      <c r="N1" s="236"/>
    </row>
    <row r="2" spans="1:23" s="2" customFormat="1" ht="36.75" x14ac:dyDescent="0.25">
      <c r="A2" s="192"/>
      <c r="B2" s="192"/>
      <c r="C2" s="23" t="s">
        <v>53</v>
      </c>
      <c r="D2" s="24" t="s">
        <v>100</v>
      </c>
      <c r="E2" s="14"/>
      <c r="F2" s="16" t="s">
        <v>60</v>
      </c>
      <c r="G2" s="17" t="s">
        <v>61</v>
      </c>
      <c r="H2" s="26" t="s">
        <v>101</v>
      </c>
      <c r="I2" s="27" t="s">
        <v>102</v>
      </c>
      <c r="J2" s="15"/>
      <c r="K2" s="16" t="s">
        <v>60</v>
      </c>
      <c r="L2" s="110" t="s">
        <v>61</v>
      </c>
      <c r="M2" s="26" t="s">
        <v>101</v>
      </c>
      <c r="N2" s="27" t="s">
        <v>102</v>
      </c>
    </row>
    <row r="3" spans="1:23" ht="3" customHeight="1" x14ac:dyDescent="0.25">
      <c r="A3" s="192"/>
      <c r="B3" s="192"/>
    </row>
    <row r="4" spans="1:23" ht="3" customHeight="1" x14ac:dyDescent="0.25">
      <c r="A4" s="195"/>
      <c r="B4" s="195"/>
    </row>
    <row r="5" spans="1:23" x14ac:dyDescent="0.25">
      <c r="A5" s="162" t="s">
        <v>0</v>
      </c>
      <c r="B5" s="9" t="s">
        <v>8</v>
      </c>
      <c r="C5" s="240">
        <v>9</v>
      </c>
      <c r="D5" s="241">
        <v>66</v>
      </c>
      <c r="F5" s="67">
        <v>1</v>
      </c>
      <c r="G5" s="246">
        <f>SUM(F5:F9)</f>
        <v>49</v>
      </c>
      <c r="H5" s="69">
        <v>4</v>
      </c>
      <c r="I5" s="243">
        <f>SUM(H5:H9)</f>
        <v>443</v>
      </c>
      <c r="K5" s="67"/>
      <c r="L5" s="155">
        <f>SUM(K5:K9)</f>
        <v>2</v>
      </c>
      <c r="M5" s="72">
        <v>1</v>
      </c>
      <c r="N5" s="237">
        <f>SUM(M5:M9)</f>
        <v>87</v>
      </c>
      <c r="O5" s="1"/>
      <c r="P5" s="1"/>
      <c r="Q5" s="1"/>
    </row>
    <row r="6" spans="1:23" x14ac:dyDescent="0.25">
      <c r="A6" s="163"/>
      <c r="B6" s="10" t="s">
        <v>9</v>
      </c>
      <c r="C6" s="163"/>
      <c r="D6" s="242"/>
      <c r="F6" s="67">
        <v>2</v>
      </c>
      <c r="G6" s="247"/>
      <c r="H6" s="69">
        <v>41</v>
      </c>
      <c r="I6" s="244"/>
      <c r="K6" s="67"/>
      <c r="L6" s="156"/>
      <c r="M6" s="72">
        <v>14</v>
      </c>
      <c r="N6" s="238"/>
      <c r="O6" s="1"/>
      <c r="P6" s="1"/>
      <c r="Q6" s="1"/>
    </row>
    <row r="7" spans="1:23" x14ac:dyDescent="0.25">
      <c r="A7" s="163"/>
      <c r="B7" s="10" t="s">
        <v>10</v>
      </c>
      <c r="C7" s="163"/>
      <c r="D7" s="242"/>
      <c r="F7" s="67"/>
      <c r="G7" s="247"/>
      <c r="H7" s="69">
        <v>2</v>
      </c>
      <c r="I7" s="244"/>
      <c r="K7" s="67"/>
      <c r="L7" s="156"/>
      <c r="M7" s="72"/>
      <c r="N7" s="238"/>
      <c r="O7" s="1"/>
      <c r="P7" s="1"/>
      <c r="Q7" s="1"/>
    </row>
    <row r="8" spans="1:23" x14ac:dyDescent="0.25">
      <c r="A8" s="163"/>
      <c r="B8" s="10" t="s">
        <v>11</v>
      </c>
      <c r="C8" s="163"/>
      <c r="D8" s="242"/>
      <c r="F8" s="67">
        <v>44</v>
      </c>
      <c r="G8" s="247"/>
      <c r="H8" s="69">
        <v>382</v>
      </c>
      <c r="I8" s="244"/>
      <c r="K8" s="67">
        <v>1</v>
      </c>
      <c r="L8" s="156"/>
      <c r="M8" s="72">
        <v>64</v>
      </c>
      <c r="N8" s="238"/>
      <c r="O8" s="1"/>
      <c r="P8" s="1"/>
      <c r="Q8" s="1"/>
    </row>
    <row r="9" spans="1:23" x14ac:dyDescent="0.25">
      <c r="A9" s="164"/>
      <c r="B9" s="10" t="s">
        <v>12</v>
      </c>
      <c r="C9" s="163"/>
      <c r="D9" s="242"/>
      <c r="F9" s="67">
        <v>2</v>
      </c>
      <c r="G9" s="248"/>
      <c r="H9" s="69">
        <v>14</v>
      </c>
      <c r="I9" s="245"/>
      <c r="K9" s="67">
        <v>1</v>
      </c>
      <c r="L9" s="157"/>
      <c r="M9" s="72">
        <v>8</v>
      </c>
      <c r="N9" s="239"/>
      <c r="O9" s="1"/>
      <c r="P9" s="1"/>
      <c r="Q9" s="1"/>
    </row>
    <row r="10" spans="1:23" x14ac:dyDescent="0.25">
      <c r="A10" s="162" t="s">
        <v>1</v>
      </c>
      <c r="B10" s="9" t="s">
        <v>14</v>
      </c>
      <c r="C10" s="240">
        <v>3</v>
      </c>
      <c r="D10" s="241">
        <v>34</v>
      </c>
      <c r="F10" s="67">
        <v>5</v>
      </c>
      <c r="G10" s="246">
        <f>SUM(F10:F14)</f>
        <v>20</v>
      </c>
      <c r="H10" s="69">
        <v>14</v>
      </c>
      <c r="I10" s="243">
        <f>SUM(H10:H14)</f>
        <v>154</v>
      </c>
      <c r="K10" s="67">
        <v>2</v>
      </c>
      <c r="L10" s="155">
        <f>SUM(K10:K14)</f>
        <v>5</v>
      </c>
      <c r="M10" s="72">
        <v>7</v>
      </c>
      <c r="N10" s="237">
        <f>SUM(M10:M14)</f>
        <v>47</v>
      </c>
      <c r="O10" s="1"/>
      <c r="P10" s="1"/>
      <c r="Q10" s="1"/>
    </row>
    <row r="11" spans="1:23" x14ac:dyDescent="0.25">
      <c r="A11" s="163"/>
      <c r="B11" s="10" t="s">
        <v>15</v>
      </c>
      <c r="C11" s="163"/>
      <c r="D11" s="242"/>
      <c r="F11" s="67"/>
      <c r="G11" s="247"/>
      <c r="H11" s="69">
        <v>6</v>
      </c>
      <c r="I11" s="244"/>
      <c r="K11" s="67"/>
      <c r="L11" s="156"/>
      <c r="M11" s="72">
        <v>4</v>
      </c>
      <c r="N11" s="238"/>
      <c r="O11" s="1"/>
      <c r="P11" s="1"/>
      <c r="Q11" s="1"/>
    </row>
    <row r="12" spans="1:23" x14ac:dyDescent="0.25">
      <c r="A12" s="163"/>
      <c r="B12" s="10" t="s">
        <v>16</v>
      </c>
      <c r="C12" s="163"/>
      <c r="D12" s="242"/>
      <c r="F12" s="67">
        <v>5</v>
      </c>
      <c r="G12" s="247"/>
      <c r="H12" s="69">
        <v>40</v>
      </c>
      <c r="I12" s="244"/>
      <c r="K12" s="67"/>
      <c r="L12" s="156"/>
      <c r="M12" s="72">
        <v>5</v>
      </c>
      <c r="N12" s="238"/>
      <c r="O12" s="1"/>
      <c r="P12" s="1"/>
      <c r="Q12" s="1"/>
    </row>
    <row r="13" spans="1:23" x14ac:dyDescent="0.25">
      <c r="A13" s="163"/>
      <c r="B13" s="10" t="s">
        <v>17</v>
      </c>
      <c r="C13" s="163"/>
      <c r="D13" s="242"/>
      <c r="F13" s="67"/>
      <c r="G13" s="247"/>
      <c r="H13" s="69">
        <v>2</v>
      </c>
      <c r="I13" s="244"/>
      <c r="K13" s="67"/>
      <c r="L13" s="156"/>
      <c r="M13" s="72">
        <v>2</v>
      </c>
      <c r="N13" s="238"/>
      <c r="O13" s="1"/>
      <c r="P13" s="1"/>
      <c r="Q13" s="1"/>
      <c r="R13" s="1"/>
      <c r="S13" s="1"/>
      <c r="T13" s="1"/>
      <c r="U13" s="1"/>
    </row>
    <row r="14" spans="1:23" x14ac:dyDescent="0.25">
      <c r="A14" s="164"/>
      <c r="B14" s="10" t="s">
        <v>18</v>
      </c>
      <c r="C14" s="163"/>
      <c r="D14" s="242"/>
      <c r="F14" s="67">
        <v>10</v>
      </c>
      <c r="G14" s="248"/>
      <c r="H14" s="69">
        <v>92</v>
      </c>
      <c r="I14" s="245"/>
      <c r="K14" s="67">
        <v>3</v>
      </c>
      <c r="L14" s="157"/>
      <c r="M14" s="72">
        <v>29</v>
      </c>
      <c r="N14" s="239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62" t="s">
        <v>2</v>
      </c>
      <c r="B15" s="9" t="s">
        <v>19</v>
      </c>
      <c r="C15" s="240">
        <v>18</v>
      </c>
      <c r="D15" s="241">
        <v>159</v>
      </c>
      <c r="F15" s="67">
        <v>1</v>
      </c>
      <c r="G15" s="246">
        <f>SUM(F15:F20)</f>
        <v>74</v>
      </c>
      <c r="H15" s="69">
        <v>8</v>
      </c>
      <c r="I15" s="243">
        <f>SUM(H15:H20)</f>
        <v>733</v>
      </c>
      <c r="K15" s="67"/>
      <c r="L15" s="155">
        <f>SUM(K15:K20)</f>
        <v>7</v>
      </c>
      <c r="M15" s="72">
        <v>2</v>
      </c>
      <c r="N15" s="237">
        <f>SUM(M15:M20)</f>
        <v>115</v>
      </c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63"/>
      <c r="B16" s="10" t="s">
        <v>20</v>
      </c>
      <c r="C16" s="163"/>
      <c r="D16" s="242"/>
      <c r="F16" s="67">
        <v>65</v>
      </c>
      <c r="G16" s="247"/>
      <c r="H16" s="69">
        <v>631</v>
      </c>
      <c r="I16" s="244"/>
      <c r="K16" s="67">
        <v>7</v>
      </c>
      <c r="L16" s="156"/>
      <c r="M16" s="72">
        <v>98</v>
      </c>
      <c r="N16" s="238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63"/>
      <c r="B17" s="10" t="s">
        <v>21</v>
      </c>
      <c r="C17" s="163"/>
      <c r="D17" s="242"/>
      <c r="F17" s="67">
        <v>3</v>
      </c>
      <c r="G17" s="247"/>
      <c r="H17" s="69">
        <v>30</v>
      </c>
      <c r="I17" s="244"/>
      <c r="K17" s="67"/>
      <c r="L17" s="156"/>
      <c r="M17" s="72">
        <v>4</v>
      </c>
      <c r="N17" s="238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63"/>
      <c r="B18" s="10" t="s">
        <v>22</v>
      </c>
      <c r="C18" s="163"/>
      <c r="D18" s="242"/>
      <c r="F18" s="67"/>
      <c r="G18" s="247"/>
      <c r="H18" s="69">
        <v>17</v>
      </c>
      <c r="I18" s="244"/>
      <c r="K18" s="67"/>
      <c r="L18" s="156"/>
      <c r="M18" s="72">
        <v>3</v>
      </c>
      <c r="N18" s="238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63"/>
      <c r="B19" s="10" t="s">
        <v>23</v>
      </c>
      <c r="C19" s="163"/>
      <c r="D19" s="242"/>
      <c r="F19" s="67">
        <v>4</v>
      </c>
      <c r="G19" s="247"/>
      <c r="H19" s="69">
        <v>26</v>
      </c>
      <c r="I19" s="244"/>
      <c r="K19" s="67"/>
      <c r="L19" s="156"/>
      <c r="M19" s="72">
        <v>6</v>
      </c>
      <c r="N19" s="238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64"/>
      <c r="B20" s="10" t="s">
        <v>24</v>
      </c>
      <c r="C20" s="163"/>
      <c r="D20" s="242"/>
      <c r="F20" s="67">
        <v>1</v>
      </c>
      <c r="G20" s="248"/>
      <c r="H20" s="69">
        <v>21</v>
      </c>
      <c r="I20" s="245"/>
      <c r="K20" s="67"/>
      <c r="L20" s="157"/>
      <c r="M20" s="72">
        <v>2</v>
      </c>
      <c r="N20" s="239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62" t="s">
        <v>3</v>
      </c>
      <c r="B21" s="9" t="s">
        <v>25</v>
      </c>
      <c r="C21" s="240">
        <v>32</v>
      </c>
      <c r="D21" s="241">
        <v>239</v>
      </c>
      <c r="F21" s="67">
        <v>135</v>
      </c>
      <c r="G21" s="246">
        <f>SUM(F21:F24)</f>
        <v>141</v>
      </c>
      <c r="H21" s="69">
        <v>1345</v>
      </c>
      <c r="I21" s="243">
        <f>SUM(H21:H24)</f>
        <v>1393</v>
      </c>
      <c r="K21" s="67">
        <v>15</v>
      </c>
      <c r="L21" s="155">
        <f>SUM(K21:K24)</f>
        <v>15</v>
      </c>
      <c r="M21" s="72">
        <v>258</v>
      </c>
      <c r="N21" s="237">
        <f>SUM(M21:M24)</f>
        <v>266</v>
      </c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63"/>
      <c r="B22" s="10" t="s">
        <v>26</v>
      </c>
      <c r="C22" s="163"/>
      <c r="D22" s="242"/>
      <c r="F22" s="67">
        <v>1</v>
      </c>
      <c r="G22" s="247"/>
      <c r="H22" s="69">
        <v>6</v>
      </c>
      <c r="I22" s="244"/>
      <c r="K22" s="67"/>
      <c r="L22" s="156"/>
      <c r="M22" s="72"/>
      <c r="N22" s="238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63"/>
      <c r="B23" s="10" t="s">
        <v>27</v>
      </c>
      <c r="C23" s="163"/>
      <c r="D23" s="242"/>
      <c r="F23" s="67">
        <v>5</v>
      </c>
      <c r="G23" s="247"/>
      <c r="H23" s="69">
        <v>37</v>
      </c>
      <c r="I23" s="244"/>
      <c r="K23" s="67"/>
      <c r="L23" s="156"/>
      <c r="M23" s="72">
        <v>7</v>
      </c>
      <c r="N23" s="238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64"/>
      <c r="B24" s="10" t="s">
        <v>28</v>
      </c>
      <c r="C24" s="163"/>
      <c r="D24" s="242"/>
      <c r="F24" s="67"/>
      <c r="G24" s="248"/>
      <c r="H24" s="69">
        <v>5</v>
      </c>
      <c r="I24" s="245"/>
      <c r="K24" s="67"/>
      <c r="L24" s="157"/>
      <c r="M24" s="72">
        <v>1</v>
      </c>
      <c r="N24" s="239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62" t="s">
        <v>4</v>
      </c>
      <c r="B25" s="9" t="s">
        <v>29</v>
      </c>
      <c r="C25" s="240">
        <v>14</v>
      </c>
      <c r="D25" s="241">
        <v>106</v>
      </c>
      <c r="F25" s="67">
        <v>1</v>
      </c>
      <c r="G25" s="246">
        <f>SUM(F25:F32)</f>
        <v>45</v>
      </c>
      <c r="H25" s="69">
        <v>24</v>
      </c>
      <c r="I25" s="243">
        <f>SUM(H25:H32)</f>
        <v>393</v>
      </c>
      <c r="K25" s="67"/>
      <c r="L25" s="155">
        <f>SUM(K25:K32)</f>
        <v>4</v>
      </c>
      <c r="M25" s="72">
        <v>5</v>
      </c>
      <c r="N25" s="237">
        <f>SUM(M25:M32)</f>
        <v>41</v>
      </c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63"/>
      <c r="B26" s="10" t="s">
        <v>30</v>
      </c>
      <c r="C26" s="163"/>
      <c r="D26" s="242"/>
      <c r="F26" s="67"/>
      <c r="G26" s="247"/>
      <c r="H26" s="69">
        <v>3</v>
      </c>
      <c r="I26" s="244"/>
      <c r="K26" s="67"/>
      <c r="L26" s="156"/>
      <c r="M26" s="72"/>
      <c r="N26" s="238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63"/>
      <c r="B27" s="10" t="s">
        <v>31</v>
      </c>
      <c r="C27" s="163"/>
      <c r="D27" s="242"/>
      <c r="F27" s="67">
        <v>3</v>
      </c>
      <c r="G27" s="247"/>
      <c r="H27" s="69">
        <v>25</v>
      </c>
      <c r="I27" s="244"/>
      <c r="K27" s="67"/>
      <c r="L27" s="156"/>
      <c r="M27" s="72">
        <v>1</v>
      </c>
      <c r="N27" s="238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63"/>
      <c r="B28" s="10" t="s">
        <v>32</v>
      </c>
      <c r="C28" s="163"/>
      <c r="D28" s="242"/>
      <c r="F28" s="67">
        <v>4</v>
      </c>
      <c r="G28" s="247"/>
      <c r="H28" s="69">
        <v>22</v>
      </c>
      <c r="I28" s="244"/>
      <c r="K28" s="67">
        <v>1</v>
      </c>
      <c r="L28" s="156"/>
      <c r="M28" s="72">
        <v>5</v>
      </c>
      <c r="N28" s="238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63"/>
      <c r="B29" s="10" t="s">
        <v>33</v>
      </c>
      <c r="C29" s="163"/>
      <c r="D29" s="242"/>
      <c r="F29" s="67">
        <v>1</v>
      </c>
      <c r="G29" s="247"/>
      <c r="H29" s="69">
        <v>18</v>
      </c>
      <c r="I29" s="244"/>
      <c r="K29" s="67"/>
      <c r="L29" s="156"/>
      <c r="M29" s="72">
        <v>3</v>
      </c>
      <c r="N29" s="238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63"/>
      <c r="B30" s="10" t="s">
        <v>69</v>
      </c>
      <c r="C30" s="163"/>
      <c r="D30" s="242"/>
      <c r="F30" s="67">
        <v>2</v>
      </c>
      <c r="G30" s="247"/>
      <c r="H30" s="69">
        <v>16</v>
      </c>
      <c r="I30" s="244"/>
      <c r="K30" s="67"/>
      <c r="L30" s="156"/>
      <c r="M30" s="72">
        <v>1</v>
      </c>
      <c r="N30" s="238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63"/>
      <c r="B31" s="10" t="s">
        <v>34</v>
      </c>
      <c r="C31" s="163"/>
      <c r="D31" s="242"/>
      <c r="F31" s="67">
        <v>5</v>
      </c>
      <c r="G31" s="247"/>
      <c r="H31" s="69">
        <v>28</v>
      </c>
      <c r="I31" s="244"/>
      <c r="K31" s="67"/>
      <c r="L31" s="156"/>
      <c r="M31" s="72">
        <v>2</v>
      </c>
      <c r="N31" s="238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64"/>
      <c r="B32" s="10" t="s">
        <v>35</v>
      </c>
      <c r="C32" s="163"/>
      <c r="D32" s="242"/>
      <c r="F32" s="67">
        <v>29</v>
      </c>
      <c r="G32" s="248"/>
      <c r="H32" s="69">
        <v>257</v>
      </c>
      <c r="I32" s="245"/>
      <c r="K32" s="67">
        <v>3</v>
      </c>
      <c r="L32" s="157"/>
      <c r="M32" s="72">
        <v>24</v>
      </c>
      <c r="N32" s="239"/>
      <c r="O32" s="1"/>
      <c r="P32" s="1"/>
      <c r="Q32" s="1"/>
      <c r="R32" s="1"/>
      <c r="S32" s="1"/>
      <c r="T32" s="1"/>
      <c r="U32" s="1"/>
      <c r="V32" s="1"/>
      <c r="W32" s="1"/>
    </row>
    <row r="33" spans="1:14" x14ac:dyDescent="0.25">
      <c r="A33" s="162" t="s">
        <v>5</v>
      </c>
      <c r="B33" s="9" t="s">
        <v>36</v>
      </c>
      <c r="C33" s="240">
        <v>13</v>
      </c>
      <c r="D33" s="241">
        <v>109</v>
      </c>
      <c r="F33" s="67">
        <v>18</v>
      </c>
      <c r="G33" s="246">
        <f>SUM(F33:F38)</f>
        <v>20</v>
      </c>
      <c r="H33" s="69">
        <v>159</v>
      </c>
      <c r="I33" s="243">
        <f>SUM(H33:H38)</f>
        <v>180</v>
      </c>
      <c r="K33" s="67">
        <v>8</v>
      </c>
      <c r="L33" s="155">
        <f>SUM(K33:K38)</f>
        <v>9</v>
      </c>
      <c r="M33" s="72">
        <v>67</v>
      </c>
      <c r="N33" s="237">
        <f>SUM(M33:M38)</f>
        <v>75</v>
      </c>
    </row>
    <row r="34" spans="1:14" x14ac:dyDescent="0.25">
      <c r="A34" s="163"/>
      <c r="B34" s="10" t="s">
        <v>37</v>
      </c>
      <c r="C34" s="163"/>
      <c r="D34" s="242"/>
      <c r="F34" s="67">
        <v>2</v>
      </c>
      <c r="G34" s="247"/>
      <c r="H34" s="69">
        <v>4</v>
      </c>
      <c r="I34" s="244"/>
      <c r="K34" s="67">
        <v>1</v>
      </c>
      <c r="L34" s="156"/>
      <c r="M34" s="72">
        <v>3</v>
      </c>
      <c r="N34" s="238"/>
    </row>
    <row r="35" spans="1:14" x14ac:dyDescent="0.25">
      <c r="A35" s="163"/>
      <c r="B35" s="10" t="s">
        <v>38</v>
      </c>
      <c r="C35" s="163"/>
      <c r="D35" s="242"/>
      <c r="F35" s="67"/>
      <c r="G35" s="247"/>
      <c r="H35" s="69"/>
      <c r="I35" s="244"/>
      <c r="K35" s="67"/>
      <c r="L35" s="156"/>
      <c r="M35" s="72"/>
      <c r="N35" s="238"/>
    </row>
    <row r="36" spans="1:14" x14ac:dyDescent="0.25">
      <c r="A36" s="163"/>
      <c r="B36" s="10" t="s">
        <v>39</v>
      </c>
      <c r="C36" s="163"/>
      <c r="D36" s="242"/>
      <c r="F36" s="67"/>
      <c r="G36" s="247"/>
      <c r="H36" s="69">
        <v>10</v>
      </c>
      <c r="I36" s="244"/>
      <c r="K36" s="67"/>
      <c r="L36" s="156"/>
      <c r="M36" s="72">
        <v>2</v>
      </c>
      <c r="N36" s="238"/>
    </row>
    <row r="37" spans="1:14" x14ac:dyDescent="0.25">
      <c r="A37" s="163"/>
      <c r="B37" s="10" t="s">
        <v>40</v>
      </c>
      <c r="C37" s="163"/>
      <c r="D37" s="242"/>
      <c r="F37" s="67"/>
      <c r="G37" s="247"/>
      <c r="H37" s="69">
        <v>1</v>
      </c>
      <c r="I37" s="244"/>
      <c r="K37" s="67"/>
      <c r="L37" s="156"/>
      <c r="M37" s="72"/>
      <c r="N37" s="238"/>
    </row>
    <row r="38" spans="1:14" x14ac:dyDescent="0.25">
      <c r="A38" s="164"/>
      <c r="B38" s="10" t="s">
        <v>41</v>
      </c>
      <c r="C38" s="163"/>
      <c r="D38" s="242"/>
      <c r="F38" s="67"/>
      <c r="G38" s="248"/>
      <c r="H38" s="69">
        <v>6</v>
      </c>
      <c r="I38" s="245"/>
      <c r="K38" s="67"/>
      <c r="L38" s="157"/>
      <c r="M38" s="72">
        <v>3</v>
      </c>
      <c r="N38" s="239"/>
    </row>
    <row r="39" spans="1:14" x14ac:dyDescent="0.25">
      <c r="A39" s="162" t="s">
        <v>6</v>
      </c>
      <c r="B39" s="9" t="s">
        <v>42</v>
      </c>
      <c r="C39" s="240">
        <v>20</v>
      </c>
      <c r="D39" s="241">
        <v>154</v>
      </c>
      <c r="F39" s="67">
        <v>4</v>
      </c>
      <c r="G39" s="246">
        <f>SUM(F39:F48)</f>
        <v>25</v>
      </c>
      <c r="H39" s="69">
        <v>70</v>
      </c>
      <c r="I39" s="243">
        <f>SUM(H39:H48)</f>
        <v>296</v>
      </c>
      <c r="K39" s="67">
        <v>4</v>
      </c>
      <c r="L39" s="155">
        <f>SUM(K39:K48)</f>
        <v>9</v>
      </c>
      <c r="M39" s="72">
        <v>28</v>
      </c>
      <c r="N39" s="237">
        <f>SUM(M39:M48)</f>
        <v>110</v>
      </c>
    </row>
    <row r="40" spans="1:14" x14ac:dyDescent="0.25">
      <c r="A40" s="163"/>
      <c r="B40" s="10" t="s">
        <v>43</v>
      </c>
      <c r="C40" s="163"/>
      <c r="D40" s="242"/>
      <c r="F40" s="67">
        <v>14</v>
      </c>
      <c r="G40" s="247"/>
      <c r="H40" s="69">
        <v>153</v>
      </c>
      <c r="I40" s="244"/>
      <c r="K40" s="67">
        <v>5</v>
      </c>
      <c r="L40" s="156"/>
      <c r="M40" s="72">
        <v>65</v>
      </c>
      <c r="N40" s="238"/>
    </row>
    <row r="41" spans="1:14" x14ac:dyDescent="0.25">
      <c r="A41" s="163"/>
      <c r="B41" s="10" t="s">
        <v>44</v>
      </c>
      <c r="C41" s="163"/>
      <c r="D41" s="242"/>
      <c r="F41" s="67">
        <v>1</v>
      </c>
      <c r="G41" s="247"/>
      <c r="H41" s="69">
        <v>1</v>
      </c>
      <c r="I41" s="244"/>
      <c r="K41" s="67"/>
      <c r="L41" s="156"/>
      <c r="M41" s="72"/>
      <c r="N41" s="238"/>
    </row>
    <row r="42" spans="1:14" x14ac:dyDescent="0.25">
      <c r="A42" s="163"/>
      <c r="B42" s="10" t="s">
        <v>45</v>
      </c>
      <c r="C42" s="163"/>
      <c r="D42" s="242"/>
      <c r="F42" s="67"/>
      <c r="G42" s="247"/>
      <c r="H42" s="69"/>
      <c r="I42" s="244"/>
      <c r="K42" s="67"/>
      <c r="L42" s="156"/>
      <c r="M42" s="72"/>
      <c r="N42" s="238"/>
    </row>
    <row r="43" spans="1:14" x14ac:dyDescent="0.25">
      <c r="A43" s="163"/>
      <c r="B43" s="10" t="s">
        <v>46</v>
      </c>
      <c r="C43" s="163"/>
      <c r="D43" s="242"/>
      <c r="F43" s="67"/>
      <c r="G43" s="247"/>
      <c r="H43" s="69">
        <v>1</v>
      </c>
      <c r="I43" s="244"/>
      <c r="K43" s="67"/>
      <c r="L43" s="156"/>
      <c r="M43" s="72"/>
      <c r="N43" s="238"/>
    </row>
    <row r="44" spans="1:14" x14ac:dyDescent="0.25">
      <c r="A44" s="163"/>
      <c r="B44" s="10" t="s">
        <v>47</v>
      </c>
      <c r="C44" s="163"/>
      <c r="D44" s="242"/>
      <c r="F44" s="67">
        <v>1</v>
      </c>
      <c r="G44" s="247"/>
      <c r="H44" s="69">
        <v>8</v>
      </c>
      <c r="I44" s="244"/>
      <c r="K44" s="67"/>
      <c r="L44" s="156"/>
      <c r="M44" s="72">
        <v>2</v>
      </c>
      <c r="N44" s="238"/>
    </row>
    <row r="45" spans="1:14" x14ac:dyDescent="0.25">
      <c r="A45" s="163"/>
      <c r="B45" s="10" t="s">
        <v>48</v>
      </c>
      <c r="C45" s="163"/>
      <c r="D45" s="242"/>
      <c r="F45" s="67"/>
      <c r="G45" s="247"/>
      <c r="H45" s="69">
        <v>18</v>
      </c>
      <c r="I45" s="244"/>
      <c r="K45" s="67"/>
      <c r="L45" s="156"/>
      <c r="M45" s="72">
        <v>4</v>
      </c>
      <c r="N45" s="238"/>
    </row>
    <row r="46" spans="1:14" x14ac:dyDescent="0.25">
      <c r="A46" s="163"/>
      <c r="B46" s="10" t="s">
        <v>49</v>
      </c>
      <c r="C46" s="163"/>
      <c r="D46" s="242"/>
      <c r="F46" s="67"/>
      <c r="G46" s="247"/>
      <c r="H46" s="69">
        <v>10</v>
      </c>
      <c r="I46" s="244"/>
      <c r="K46" s="67"/>
      <c r="L46" s="156"/>
      <c r="M46" s="72">
        <v>5</v>
      </c>
      <c r="N46" s="238"/>
    </row>
    <row r="47" spans="1:14" x14ac:dyDescent="0.25">
      <c r="A47" s="163"/>
      <c r="B47" s="10" t="s">
        <v>50</v>
      </c>
      <c r="C47" s="163"/>
      <c r="D47" s="242"/>
      <c r="F47" s="67">
        <v>4</v>
      </c>
      <c r="G47" s="247"/>
      <c r="H47" s="69">
        <v>26</v>
      </c>
      <c r="I47" s="244"/>
      <c r="K47" s="67"/>
      <c r="L47" s="156"/>
      <c r="M47" s="72">
        <v>4</v>
      </c>
      <c r="N47" s="238"/>
    </row>
    <row r="48" spans="1:14" x14ac:dyDescent="0.25">
      <c r="A48" s="164"/>
      <c r="B48" s="10" t="s">
        <v>51</v>
      </c>
      <c r="C48" s="164"/>
      <c r="D48" s="242"/>
      <c r="F48" s="67">
        <v>1</v>
      </c>
      <c r="G48" s="248"/>
      <c r="H48" s="69">
        <v>9</v>
      </c>
      <c r="I48" s="245"/>
      <c r="K48" s="67"/>
      <c r="L48" s="157"/>
      <c r="M48" s="72">
        <v>2</v>
      </c>
      <c r="N48" s="239"/>
    </row>
    <row r="49" spans="1:23" x14ac:dyDescent="0.25">
      <c r="A49" s="11" t="s">
        <v>13</v>
      </c>
      <c r="B49" s="12"/>
      <c r="C49" s="103"/>
      <c r="D49" s="116"/>
      <c r="F49" s="67">
        <v>2</v>
      </c>
      <c r="G49" s="68"/>
      <c r="H49" s="69">
        <v>7</v>
      </c>
      <c r="I49" s="70">
        <f>H49</f>
        <v>7</v>
      </c>
      <c r="K49" s="67"/>
      <c r="L49" s="73"/>
      <c r="M49" s="72"/>
      <c r="N49" s="25">
        <f>M49</f>
        <v>0</v>
      </c>
    </row>
    <row r="50" spans="1:23" x14ac:dyDescent="0.25">
      <c r="A50" s="11" t="s">
        <v>7</v>
      </c>
      <c r="B50" s="12"/>
      <c r="C50" s="71">
        <f>SUM(C5:C49)</f>
        <v>109</v>
      </c>
      <c r="D50" s="78">
        <f>SUM(D5:D49)</f>
        <v>867</v>
      </c>
      <c r="F50" s="129">
        <f>SUM(F5:F49)</f>
        <v>376</v>
      </c>
      <c r="G50" s="68">
        <f>SUM(G5:G49)</f>
        <v>374</v>
      </c>
      <c r="H50" s="129">
        <f>SUM(H5:H49)</f>
        <v>3599</v>
      </c>
      <c r="I50" s="78">
        <f>H50</f>
        <v>3599</v>
      </c>
      <c r="K50" s="129">
        <f>SUM(K5:K49)</f>
        <v>51</v>
      </c>
      <c r="L50" s="18">
        <f>SUM(L5:L49)</f>
        <v>51</v>
      </c>
      <c r="M50" s="129">
        <f>SUM(M5:M49)</f>
        <v>741</v>
      </c>
      <c r="N50" s="25">
        <f>M50</f>
        <v>741</v>
      </c>
    </row>
    <row r="51" spans="1:23" x14ac:dyDescent="0.25">
      <c r="H51" s="1"/>
      <c r="I51" s="1"/>
    </row>
    <row r="53" spans="1:23" x14ac:dyDescent="0.25">
      <c r="Q53" s="145"/>
      <c r="R53" s="145"/>
      <c r="S53" s="145"/>
      <c r="T53" s="145"/>
      <c r="U53" s="145"/>
      <c r="V53" s="145"/>
      <c r="W53" s="145"/>
    </row>
    <row r="56" spans="1:23" hidden="1" x14ac:dyDescent="0.25">
      <c r="C56" s="76" t="s">
        <v>116</v>
      </c>
      <c r="D56" s="141" t="s">
        <v>117</v>
      </c>
    </row>
    <row r="57" spans="1:23" hidden="1" x14ac:dyDescent="0.25">
      <c r="C57" s="65">
        <v>2</v>
      </c>
      <c r="D57" s="66">
        <v>22</v>
      </c>
    </row>
    <row r="58" spans="1:23" hidden="1" x14ac:dyDescent="0.25">
      <c r="C58" s="65">
        <v>4</v>
      </c>
      <c r="D58" s="66">
        <v>12</v>
      </c>
    </row>
    <row r="59" spans="1:23" hidden="1" x14ac:dyDescent="0.25">
      <c r="C59" s="65">
        <v>10</v>
      </c>
      <c r="D59" s="66">
        <v>67</v>
      </c>
    </row>
    <row r="60" spans="1:23" hidden="1" x14ac:dyDescent="0.25">
      <c r="C60" s="65">
        <v>17</v>
      </c>
      <c r="D60" s="66">
        <v>85</v>
      </c>
    </row>
    <row r="61" spans="1:23" hidden="1" x14ac:dyDescent="0.25">
      <c r="C61" s="65">
        <v>7</v>
      </c>
      <c r="D61" s="66">
        <v>33</v>
      </c>
    </row>
    <row r="62" spans="1:23" hidden="1" x14ac:dyDescent="0.25">
      <c r="C62" s="65">
        <v>8</v>
      </c>
      <c r="D62" s="66">
        <v>45</v>
      </c>
    </row>
    <row r="63" spans="1:23" hidden="1" x14ac:dyDescent="0.25">
      <c r="C63" s="65">
        <v>13</v>
      </c>
      <c r="D63" s="66">
        <v>63</v>
      </c>
    </row>
    <row r="64" spans="1:23" hidden="1" x14ac:dyDescent="0.25">
      <c r="C64" s="66">
        <v>61</v>
      </c>
      <c r="D64" s="66">
        <v>327</v>
      </c>
    </row>
    <row r="98" spans="1:12" ht="18" customHeight="1" x14ac:dyDescent="0.25"/>
    <row r="99" spans="1:12" ht="25.5" customHeight="1" x14ac:dyDescent="0.25"/>
    <row r="100" spans="1:12" s="2" customFormat="1" ht="71.25" customHeight="1" x14ac:dyDescent="0.3">
      <c r="A100" s="100"/>
      <c r="B100" s="101"/>
      <c r="C100" s="99"/>
      <c r="H100" s="99"/>
      <c r="L100" s="111"/>
    </row>
    <row r="101" spans="1:12" ht="18" x14ac:dyDescent="0.25">
      <c r="A101" s="140"/>
      <c r="B101" s="105"/>
      <c r="C101" s="105"/>
      <c r="E101"/>
      <c r="H101" s="1"/>
      <c r="J101"/>
    </row>
    <row r="102" spans="1:12" ht="18" x14ac:dyDescent="0.25">
      <c r="A102" s="140"/>
      <c r="B102" s="105"/>
      <c r="C102" s="105"/>
      <c r="E102"/>
      <c r="H102" s="1"/>
      <c r="J102"/>
    </row>
    <row r="103" spans="1:12" ht="18" x14ac:dyDescent="0.25">
      <c r="A103" s="140"/>
      <c r="B103" s="105"/>
      <c r="C103" s="105"/>
      <c r="E103"/>
      <c r="H103" s="1"/>
      <c r="J103" s="88"/>
    </row>
    <row r="104" spans="1:12" ht="18" x14ac:dyDescent="0.25">
      <c r="A104" s="140"/>
      <c r="B104" s="105"/>
      <c r="C104" s="106"/>
      <c r="E104"/>
      <c r="H104" s="1"/>
      <c r="J104"/>
    </row>
    <row r="105" spans="1:12" ht="18" x14ac:dyDescent="0.25">
      <c r="A105" s="140"/>
      <c r="B105" s="106"/>
      <c r="C105" s="105"/>
      <c r="E105"/>
      <c r="H105" s="1"/>
      <c r="J105"/>
    </row>
    <row r="106" spans="1:12" ht="18" x14ac:dyDescent="0.25">
      <c r="A106" s="140"/>
      <c r="B106" s="105"/>
      <c r="C106" s="105"/>
      <c r="E106"/>
      <c r="H106" s="1"/>
      <c r="J106"/>
    </row>
    <row r="107" spans="1:12" ht="18" x14ac:dyDescent="0.25">
      <c r="A107" s="140"/>
      <c r="B107" s="105"/>
      <c r="C107" s="105"/>
      <c r="E107"/>
      <c r="H107" s="1"/>
      <c r="J107"/>
    </row>
    <row r="108" spans="1:12" ht="18.75" x14ac:dyDescent="0.25">
      <c r="A108" s="140"/>
      <c r="B108" s="102"/>
      <c r="C108" s="1"/>
      <c r="E108"/>
      <c r="H108" s="1"/>
      <c r="J108"/>
    </row>
  </sheetData>
  <sheetProtection password="8A47" sheet="1" objects="1" scenarios="1"/>
  <mergeCells count="53">
    <mergeCell ref="N21:N24"/>
    <mergeCell ref="N25:N32"/>
    <mergeCell ref="N33:N38"/>
    <mergeCell ref="D25:D32"/>
    <mergeCell ref="C1:D1"/>
    <mergeCell ref="C5:C9"/>
    <mergeCell ref="D5:D9"/>
    <mergeCell ref="C10:C14"/>
    <mergeCell ref="D10:D14"/>
    <mergeCell ref="C15:C20"/>
    <mergeCell ref="G5:G9"/>
    <mergeCell ref="G10:G14"/>
    <mergeCell ref="G15:G20"/>
    <mergeCell ref="I5:I9"/>
    <mergeCell ref="I10:I14"/>
    <mergeCell ref="I15:I20"/>
    <mergeCell ref="D15:D20"/>
    <mergeCell ref="F1:I1"/>
    <mergeCell ref="K1:N1"/>
    <mergeCell ref="L5:L9"/>
    <mergeCell ref="L10:L14"/>
    <mergeCell ref="L15:L20"/>
    <mergeCell ref="N5:N9"/>
    <mergeCell ref="N10:N14"/>
    <mergeCell ref="N15:N20"/>
    <mergeCell ref="G21:G24"/>
    <mergeCell ref="G25:G32"/>
    <mergeCell ref="I33:I38"/>
    <mergeCell ref="C33:C38"/>
    <mergeCell ref="D33:D38"/>
    <mergeCell ref="L25:L32"/>
    <mergeCell ref="L33:L38"/>
    <mergeCell ref="C39:C48"/>
    <mergeCell ref="D39:D48"/>
    <mergeCell ref="G33:G38"/>
    <mergeCell ref="G39:G48"/>
    <mergeCell ref="I39:I48"/>
    <mergeCell ref="N39:N48"/>
    <mergeCell ref="A39:A48"/>
    <mergeCell ref="A1:B4"/>
    <mergeCell ref="A33:A38"/>
    <mergeCell ref="A25:A32"/>
    <mergeCell ref="A21:A24"/>
    <mergeCell ref="A15:A20"/>
    <mergeCell ref="A10:A14"/>
    <mergeCell ref="A5:A9"/>
    <mergeCell ref="L21:L24"/>
    <mergeCell ref="C21:C24"/>
    <mergeCell ref="D21:D24"/>
    <mergeCell ref="C25:C32"/>
    <mergeCell ref="I21:I24"/>
    <mergeCell ref="I25:I32"/>
    <mergeCell ref="L39:L48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I31" sqref="I31"/>
    </sheetView>
  </sheetViews>
  <sheetFormatPr defaultRowHeight="15" x14ac:dyDescent="0.25"/>
  <cols>
    <col min="1" max="1" width="17.85546875" customWidth="1"/>
    <col min="2" max="2" width="11.28515625" customWidth="1"/>
    <col min="3" max="3" width="11" customWidth="1"/>
    <col min="4" max="4" width="10.28515625" customWidth="1"/>
    <col min="5" max="5" width="11.140625" customWidth="1"/>
    <col min="6" max="6" width="12.7109375" customWidth="1"/>
    <col min="7" max="7" width="11.28515625" customWidth="1"/>
    <col min="8" max="8" width="12.42578125" customWidth="1"/>
    <col min="12" max="12" width="14.28515625" customWidth="1"/>
  </cols>
  <sheetData>
    <row r="1" spans="1:9" ht="45" x14ac:dyDescent="0.25">
      <c r="A1" s="77"/>
      <c r="B1" s="94" t="s">
        <v>87</v>
      </c>
      <c r="C1" s="94" t="s">
        <v>89</v>
      </c>
      <c r="D1" s="94" t="s">
        <v>88</v>
      </c>
      <c r="E1" s="94" t="s">
        <v>90</v>
      </c>
      <c r="F1" s="94" t="s">
        <v>92</v>
      </c>
      <c r="G1" s="93" t="s">
        <v>93</v>
      </c>
      <c r="H1" s="93" t="s">
        <v>94</v>
      </c>
      <c r="I1" s="2"/>
    </row>
    <row r="2" spans="1:9" x14ac:dyDescent="0.25">
      <c r="A2" s="95" t="s">
        <v>0</v>
      </c>
      <c r="B2" s="65">
        <v>7</v>
      </c>
      <c r="C2" s="65">
        <v>5</v>
      </c>
      <c r="D2" s="65">
        <v>22</v>
      </c>
      <c r="E2" s="65">
        <v>33</v>
      </c>
      <c r="F2" s="91">
        <v>1636</v>
      </c>
      <c r="G2" s="92">
        <v>64</v>
      </c>
      <c r="H2" s="92">
        <v>3</v>
      </c>
    </row>
    <row r="3" spans="1:9" x14ac:dyDescent="0.25">
      <c r="A3" s="95" t="s">
        <v>1</v>
      </c>
      <c r="B3" s="65">
        <v>1</v>
      </c>
      <c r="C3" s="65">
        <v>2</v>
      </c>
      <c r="D3" s="65">
        <v>8</v>
      </c>
      <c r="E3" s="65">
        <v>19</v>
      </c>
      <c r="F3" s="91">
        <v>1409</v>
      </c>
      <c r="G3" s="92">
        <v>67</v>
      </c>
      <c r="H3" s="92">
        <v>1</v>
      </c>
    </row>
    <row r="4" spans="1:9" x14ac:dyDescent="0.25">
      <c r="A4" s="95" t="s">
        <v>2</v>
      </c>
      <c r="B4" s="65">
        <v>7</v>
      </c>
      <c r="C4" s="65">
        <v>2</v>
      </c>
      <c r="D4" s="65">
        <v>19</v>
      </c>
      <c r="E4" s="65">
        <v>14</v>
      </c>
      <c r="F4" s="91">
        <v>2683</v>
      </c>
      <c r="G4" s="92">
        <v>70</v>
      </c>
      <c r="H4" s="92">
        <v>19</v>
      </c>
    </row>
    <row r="5" spans="1:9" x14ac:dyDescent="0.25">
      <c r="A5" s="95" t="s">
        <v>3</v>
      </c>
      <c r="B5" s="65">
        <v>10</v>
      </c>
      <c r="C5" s="65">
        <v>15</v>
      </c>
      <c r="D5" s="65">
        <v>16</v>
      </c>
      <c r="E5" s="65">
        <v>14</v>
      </c>
      <c r="F5" s="91">
        <v>2673</v>
      </c>
      <c r="G5" s="92">
        <v>121</v>
      </c>
      <c r="H5" s="92">
        <v>22</v>
      </c>
    </row>
    <row r="6" spans="1:9" x14ac:dyDescent="0.25">
      <c r="A6" s="95" t="s">
        <v>4</v>
      </c>
      <c r="B6" s="65">
        <v>2</v>
      </c>
      <c r="C6" s="65">
        <v>7</v>
      </c>
      <c r="D6" s="65">
        <v>7</v>
      </c>
      <c r="E6" s="65">
        <v>18</v>
      </c>
      <c r="F6" s="91">
        <v>1250</v>
      </c>
      <c r="G6" s="92">
        <v>45</v>
      </c>
      <c r="H6" s="92">
        <v>10</v>
      </c>
    </row>
    <row r="7" spans="1:9" x14ac:dyDescent="0.25">
      <c r="A7" s="95" t="s">
        <v>95</v>
      </c>
      <c r="B7" s="65">
        <v>3</v>
      </c>
      <c r="C7" s="65">
        <v>8</v>
      </c>
      <c r="D7" s="65">
        <v>10</v>
      </c>
      <c r="E7" s="65">
        <v>14</v>
      </c>
      <c r="F7" s="91">
        <v>1514</v>
      </c>
      <c r="G7" s="92">
        <v>54</v>
      </c>
      <c r="H7" s="92">
        <v>11</v>
      </c>
    </row>
    <row r="8" spans="1:9" x14ac:dyDescent="0.25">
      <c r="A8" s="95" t="s">
        <v>6</v>
      </c>
      <c r="B8" s="65">
        <v>4</v>
      </c>
      <c r="C8" s="65">
        <v>11</v>
      </c>
      <c r="D8" s="65">
        <v>26</v>
      </c>
      <c r="E8" s="65">
        <v>33</v>
      </c>
      <c r="F8" s="91">
        <v>3126</v>
      </c>
      <c r="G8" s="92">
        <v>165</v>
      </c>
      <c r="H8" s="92">
        <v>15</v>
      </c>
    </row>
    <row r="9" spans="1:9" x14ac:dyDescent="0.25">
      <c r="A9" s="95" t="s">
        <v>77</v>
      </c>
      <c r="B9" s="66">
        <v>34</v>
      </c>
      <c r="C9" s="66">
        <v>50</v>
      </c>
      <c r="D9" s="66">
        <v>108</v>
      </c>
      <c r="E9" s="66">
        <v>145</v>
      </c>
      <c r="F9" s="62">
        <v>14291</v>
      </c>
      <c r="G9" s="92">
        <f>SUM(G2:G8)</f>
        <v>586</v>
      </c>
      <c r="H9" s="92">
        <v>81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4"/>
    </sheetView>
  </sheetViews>
  <sheetFormatPr defaultRowHeight="15" x14ac:dyDescent="0.25"/>
  <cols>
    <col min="1" max="1" width="26.140625" customWidth="1"/>
  </cols>
  <sheetData>
    <row r="1" spans="1:9" ht="36" x14ac:dyDescent="0.25">
      <c r="A1" s="75"/>
      <c r="B1" s="61" t="s">
        <v>79</v>
      </c>
      <c r="C1" s="61" t="s">
        <v>80</v>
      </c>
      <c r="D1" s="61" t="s">
        <v>81</v>
      </c>
      <c r="E1" s="61" t="s">
        <v>82</v>
      </c>
      <c r="F1" s="61" t="s">
        <v>83</v>
      </c>
      <c r="G1" s="61" t="s">
        <v>84</v>
      </c>
      <c r="H1" s="61" t="s">
        <v>85</v>
      </c>
      <c r="I1" s="61" t="s">
        <v>91</v>
      </c>
    </row>
    <row r="2" spans="1:9" x14ac:dyDescent="0.25">
      <c r="A2" s="76" t="s">
        <v>92</v>
      </c>
      <c r="B2" s="91">
        <v>1636</v>
      </c>
      <c r="C2" s="91">
        <v>1409</v>
      </c>
      <c r="D2" s="91">
        <v>2683</v>
      </c>
      <c r="E2" s="91">
        <v>2673</v>
      </c>
      <c r="F2" s="91">
        <v>1250</v>
      </c>
      <c r="G2" s="91">
        <v>1514</v>
      </c>
      <c r="H2" s="91">
        <v>3126</v>
      </c>
      <c r="I2" s="62">
        <v>14291</v>
      </c>
    </row>
    <row r="3" spans="1:9" x14ac:dyDescent="0.25">
      <c r="A3" t="s">
        <v>93</v>
      </c>
      <c r="B3" s="92">
        <v>64</v>
      </c>
      <c r="C3" s="92">
        <v>67</v>
      </c>
      <c r="D3" s="92">
        <v>70</v>
      </c>
      <c r="E3" s="92">
        <v>121</v>
      </c>
      <c r="F3" s="92">
        <v>45</v>
      </c>
      <c r="G3" s="92">
        <v>54</v>
      </c>
      <c r="H3" s="92">
        <v>165</v>
      </c>
      <c r="I3" s="92"/>
    </row>
    <row r="4" spans="1:9" x14ac:dyDescent="0.25">
      <c r="A4" t="s">
        <v>94</v>
      </c>
      <c r="B4" s="92">
        <v>3</v>
      </c>
      <c r="C4" s="92">
        <v>1</v>
      </c>
      <c r="D4" s="92">
        <v>19</v>
      </c>
      <c r="E4" s="92">
        <v>22</v>
      </c>
      <c r="F4" s="92">
        <v>10</v>
      </c>
      <c r="G4" s="92">
        <v>11</v>
      </c>
      <c r="H4" s="92">
        <v>15</v>
      </c>
      <c r="I4" s="92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>
      <selection activeCell="D28" sqref="D28"/>
    </sheetView>
  </sheetViews>
  <sheetFormatPr defaultRowHeight="15" x14ac:dyDescent="0.25"/>
  <cols>
    <col min="1" max="1" width="15" customWidth="1"/>
    <col min="2" max="2" width="13.42578125" customWidth="1"/>
    <col min="3" max="3" width="16.7109375" customWidth="1"/>
  </cols>
  <sheetData>
    <row r="1" spans="1:3" ht="21" x14ac:dyDescent="0.25">
      <c r="A1" s="96"/>
      <c r="B1" s="97" t="s">
        <v>96</v>
      </c>
      <c r="C1" s="97" t="s">
        <v>97</v>
      </c>
    </row>
    <row r="2" spans="1:3" ht="21" x14ac:dyDescent="0.25">
      <c r="A2" s="97" t="s">
        <v>79</v>
      </c>
      <c r="B2" s="98">
        <v>68</v>
      </c>
      <c r="C2" s="98">
        <v>323</v>
      </c>
    </row>
    <row r="3" spans="1:3" ht="21" x14ac:dyDescent="0.25">
      <c r="A3" s="97" t="s">
        <v>80</v>
      </c>
      <c r="B3" s="98">
        <v>67</v>
      </c>
      <c r="C3" s="98">
        <v>219</v>
      </c>
    </row>
    <row r="4" spans="1:3" ht="21" x14ac:dyDescent="0.25">
      <c r="A4" s="97" t="s">
        <v>81</v>
      </c>
      <c r="B4" s="98">
        <v>70</v>
      </c>
      <c r="C4" s="98">
        <v>438</v>
      </c>
    </row>
    <row r="5" spans="1:3" ht="21" x14ac:dyDescent="0.25">
      <c r="A5" s="97" t="s">
        <v>82</v>
      </c>
      <c r="B5" s="98">
        <v>125</v>
      </c>
      <c r="C5" s="98">
        <v>599</v>
      </c>
    </row>
    <row r="6" spans="1:3" ht="21" x14ac:dyDescent="0.25">
      <c r="A6" s="97" t="s">
        <v>83</v>
      </c>
      <c r="B6" s="98">
        <v>53</v>
      </c>
      <c r="C6" s="98">
        <v>301</v>
      </c>
    </row>
    <row r="7" spans="1:3" ht="21" x14ac:dyDescent="0.25">
      <c r="A7" s="97" t="s">
        <v>84</v>
      </c>
      <c r="B7" s="98">
        <v>54</v>
      </c>
      <c r="C7" s="98">
        <v>268</v>
      </c>
    </row>
    <row r="8" spans="1:3" ht="21" x14ac:dyDescent="0.25">
      <c r="A8" s="97" t="s">
        <v>85</v>
      </c>
      <c r="B8" s="98">
        <v>167</v>
      </c>
      <c r="C8" s="98">
        <v>478</v>
      </c>
    </row>
    <row r="9" spans="1:3" x14ac:dyDescent="0.25">
      <c r="A9" s="97" t="s">
        <v>78</v>
      </c>
      <c r="B9" s="98">
        <v>604</v>
      </c>
      <c r="C9" s="98">
        <v>2626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BAC72FF4AEF4DACAD84F54EF6EBF6" ma:contentTypeVersion="0" ma:contentTypeDescription="Create a new document." ma:contentTypeScope="" ma:versionID="c17ca01ceaf579f6bef8eb80b870818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43EFAE-94F7-4F62-AC73-4DC922ABE8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8C8723-4899-4A31-A790-D592B38C64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F40C65A-F8DE-431F-ACD8-F56EFCA5B4CD}">
  <ds:schemaRefs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Holds</vt:lpstr>
      <vt:lpstr>Intakes, Admins, Discharges</vt:lpstr>
      <vt:lpstr>AMH CMH Patients Served</vt:lpstr>
      <vt:lpstr>Invsigtns, Exams, and Commits</vt:lpstr>
      <vt:lpstr>Admissions</vt:lpstr>
      <vt:lpstr>Number SErved</vt:lpstr>
      <vt:lpstr>Sheet1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Employee</dc:creator>
  <cp:lastModifiedBy>Wilmoth, Boyd E. - CO 3rd</cp:lastModifiedBy>
  <cp:lastPrinted>2012-08-29T13:59:03Z</cp:lastPrinted>
  <dcterms:created xsi:type="dcterms:W3CDTF">2012-01-06T15:16:49Z</dcterms:created>
  <dcterms:modified xsi:type="dcterms:W3CDTF">2013-05-01T19:41:37Z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0x010100E36BAC72FF4AEF4DACAD84F54EF6EBF6</vt:lpwstr>
  </property>
  <property fmtid="{D5CDD505-2E9C-101B-9397-08002B2CF9AE}" pid="3" name="Order">
    <vt:r8>6900</vt:r8>
  </property>
</Properties>
</file>