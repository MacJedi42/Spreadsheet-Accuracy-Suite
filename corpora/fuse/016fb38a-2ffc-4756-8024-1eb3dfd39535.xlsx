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225" windowWidth="14805" windowHeight="7890"/>
  </bookViews>
  <sheets>
    <sheet name="Data" sheetId="1" r:id="rId1"/>
    <sheet name="Total Participants" sheetId="8" r:id="rId2"/>
    <sheet name="Items to Date" sheetId="5" r:id="rId3"/>
    <sheet name="Downloads to Date" sheetId="6" r:id="rId4"/>
    <sheet name="Downloads per month" sheetId="7" r:id="rId5"/>
    <sheet name="Comparison" sheetId="11" r:id="rId6"/>
    <sheet name="Percentage of Dc that are ETDs" sheetId="13" r:id="rId7"/>
    <sheet name="ETDdownloadspercent" sheetId="16" r:id="rId8"/>
    <sheet name="AveDownloadItem" sheetId="18" r:id="rId9"/>
  </sheets>
  <calcPr calcId="145621"/>
</workbook>
</file>

<file path=xl/calcChain.xml><?xml version="1.0" encoding="utf-8"?>
<calcChain xmlns="http://schemas.openxmlformats.org/spreadsheetml/2006/main">
  <c r="BL3" i="1" l="1"/>
  <c r="BL4" i="1"/>
  <c r="BL6" i="1"/>
  <c r="BL7" i="1"/>
  <c r="BL9" i="1"/>
  <c r="BL10" i="1"/>
  <c r="BL12" i="1"/>
  <c r="BL14" i="1"/>
  <c r="BL16" i="1"/>
  <c r="BL17" i="1"/>
  <c r="BK3" i="1" l="1"/>
  <c r="BK4" i="1" s="1"/>
  <c r="BK6" i="1"/>
  <c r="BK7" i="1" s="1"/>
  <c r="BK9" i="1"/>
  <c r="BK10" i="1" s="1"/>
  <c r="BK12" i="1"/>
  <c r="BK14" i="1"/>
  <c r="BK16" i="1"/>
  <c r="BK17" i="1"/>
  <c r="BJ3" i="1" l="1"/>
  <c r="BJ4" i="1"/>
  <c r="BJ6" i="1"/>
  <c r="BJ7" i="1"/>
  <c r="BJ9" i="1"/>
  <c r="BJ10" i="1" s="1"/>
  <c r="BJ12" i="1"/>
  <c r="BJ14" i="1"/>
  <c r="BJ16" i="1"/>
  <c r="BJ17" i="1"/>
  <c r="BI3" i="1" l="1"/>
  <c r="BI4" i="1" s="1"/>
  <c r="BI6" i="1"/>
  <c r="BI7" i="1" s="1"/>
  <c r="BI9" i="1"/>
  <c r="BI10" i="1"/>
  <c r="BI12" i="1"/>
  <c r="BI14" i="1"/>
  <c r="BI16" i="1"/>
  <c r="BI17" i="1"/>
  <c r="BH3" i="1" l="1"/>
  <c r="BH4" i="1" s="1"/>
  <c r="BH6" i="1"/>
  <c r="BH7" i="1"/>
  <c r="BH9" i="1"/>
  <c r="BH10" i="1" s="1"/>
  <c r="BH12" i="1"/>
  <c r="BH14" i="1"/>
  <c r="BH16" i="1"/>
  <c r="BH17" i="1"/>
  <c r="BG3" i="1" l="1"/>
  <c r="BG4" i="1" s="1"/>
  <c r="BG6" i="1"/>
  <c r="BG7" i="1" s="1"/>
  <c r="BG9" i="1"/>
  <c r="BG10" i="1" s="1"/>
  <c r="BG12" i="1"/>
  <c r="BG14" i="1"/>
  <c r="BG16" i="1"/>
  <c r="BG17" i="1"/>
  <c r="BF17" i="1" l="1"/>
  <c r="BF16" i="1"/>
  <c r="BF14" i="1"/>
  <c r="BF12" i="1"/>
  <c r="BF9" i="1"/>
  <c r="BF10" i="1" s="1"/>
  <c r="BF6" i="1"/>
  <c r="BF7" i="1" s="1"/>
  <c r="BF3" i="1"/>
  <c r="BF4" i="1" s="1"/>
  <c r="BE17" i="1" l="1"/>
  <c r="BE16" i="1"/>
  <c r="BE14" i="1"/>
  <c r="BE12" i="1"/>
  <c r="BE10" i="1"/>
  <c r="BE9" i="1"/>
  <c r="BE7" i="1"/>
  <c r="BE6" i="1"/>
  <c r="BE4" i="1"/>
  <c r="BE3" i="1"/>
  <c r="BD16" i="1" l="1"/>
  <c r="BD17" i="1"/>
  <c r="BD14" i="1"/>
  <c r="BD12" i="1"/>
  <c r="BD9" i="1"/>
  <c r="BD10" i="1" s="1"/>
  <c r="BD6" i="1"/>
  <c r="BD7" i="1" s="1"/>
  <c r="BD3" i="1"/>
  <c r="BD4" i="1" s="1"/>
  <c r="BC3" i="1" l="1"/>
  <c r="BC12" i="1" l="1"/>
  <c r="BB12" i="1"/>
  <c r="BA12" i="1"/>
  <c r="BC6" i="1"/>
  <c r="BC7" i="1" s="1"/>
  <c r="BC17" i="1"/>
  <c r="BC16" i="1"/>
  <c r="BC14" i="1"/>
  <c r="BC9" i="1"/>
  <c r="BC10" i="1" s="1"/>
  <c r="BC4" i="1"/>
  <c r="BB17" i="1" l="1"/>
  <c r="BB16" i="1"/>
  <c r="BB14" i="1"/>
  <c r="BB9" i="1"/>
  <c r="BB10" i="1" s="1"/>
  <c r="BB6" i="1"/>
  <c r="BB7" i="1" s="1"/>
  <c r="BB3" i="1"/>
  <c r="BB4" i="1" s="1"/>
  <c r="BA16" i="1" l="1"/>
  <c r="BA14" i="1"/>
  <c r="BA9" i="1"/>
  <c r="BA10" i="1" s="1"/>
  <c r="BA17" i="1"/>
  <c r="BA6" i="1"/>
  <c r="BA7" i="1" s="1"/>
  <c r="BA3" i="1"/>
  <c r="BA4" i="1" s="1"/>
  <c r="AZ17" i="1" l="1"/>
  <c r="AZ16" i="1"/>
  <c r="AZ14" i="1"/>
  <c r="AZ12" i="1"/>
  <c r="AZ9" i="1"/>
  <c r="AZ10" i="1" s="1"/>
  <c r="AZ6" i="1"/>
  <c r="AZ7" i="1" s="1"/>
  <c r="AZ3" i="1"/>
  <c r="AZ4" i="1" s="1"/>
  <c r="AY17" i="1" l="1"/>
  <c r="AY16" i="1"/>
  <c r="AY14" i="1"/>
  <c r="AY9" i="1"/>
  <c r="AY10" i="1" s="1"/>
  <c r="AY6" i="1"/>
  <c r="AY7" i="1" s="1"/>
  <c r="AY3" i="1"/>
  <c r="AY4" i="1" s="1"/>
  <c r="AX17" i="1" l="1"/>
  <c r="AX16" i="1"/>
  <c r="AX14" i="1"/>
  <c r="AX9" i="1"/>
  <c r="AX10" i="1" s="1"/>
  <c r="AX12" i="1"/>
  <c r="AX6" i="1"/>
  <c r="AX7" i="1" s="1"/>
  <c r="AX4" i="1"/>
  <c r="AX3" i="1"/>
  <c r="AW17" i="1" l="1"/>
  <c r="AW16" i="1"/>
  <c r="AW14" i="1"/>
  <c r="AW12" i="1"/>
  <c r="AW9" i="1"/>
  <c r="AW10" i="1" s="1"/>
  <c r="AW6" i="1"/>
  <c r="AW7" i="1" s="1"/>
  <c r="AW3" i="1"/>
  <c r="AW4" i="1" s="1"/>
  <c r="AV17" i="1" l="1"/>
  <c r="AV16" i="1"/>
  <c r="AV14" i="1"/>
  <c r="AV12" i="1"/>
  <c r="AV9" i="1"/>
  <c r="AV10" i="1" s="1"/>
  <c r="AV6" i="1"/>
  <c r="AV7" i="1" s="1"/>
  <c r="AV3" i="1"/>
  <c r="AV4" i="1" s="1"/>
  <c r="AU14" i="1" l="1"/>
  <c r="AU16" i="1"/>
  <c r="AU17" i="1" l="1"/>
  <c r="AU12" i="1"/>
  <c r="AU9" i="1"/>
  <c r="AU10" i="1" s="1"/>
  <c r="AU6" i="1"/>
  <c r="AU7" i="1" s="1"/>
  <c r="AU3" i="1"/>
  <c r="AU4" i="1" s="1"/>
  <c r="AT17" i="1" l="1"/>
  <c r="AT16" i="1"/>
  <c r="AT14" i="1"/>
  <c r="AT9" i="1"/>
  <c r="AT10" i="1" s="1"/>
  <c r="AT12" i="1"/>
  <c r="AT6" i="1"/>
  <c r="AT7" i="1" s="1"/>
  <c r="AT3" i="1"/>
  <c r="AT4" i="1" s="1"/>
  <c r="AS17" i="1" l="1"/>
  <c r="AS16" i="1"/>
  <c r="AS12" i="1"/>
  <c r="AS14" i="1"/>
  <c r="AS10" i="1"/>
  <c r="AS9" i="1"/>
  <c r="AS6" i="1"/>
  <c r="AS7" i="1" s="1"/>
  <c r="AS4" i="1"/>
  <c r="AS3" i="1"/>
  <c r="AR17" i="1" l="1"/>
  <c r="AR16" i="1"/>
  <c r="AR14" i="1"/>
  <c r="AR9" i="1"/>
  <c r="AR10" i="1" s="1"/>
  <c r="AR12" i="1"/>
  <c r="AR6" i="1"/>
  <c r="AR7" i="1" s="1"/>
  <c r="AR3" i="1"/>
  <c r="AR4" i="1" s="1"/>
  <c r="AQ14" i="1"/>
  <c r="AQ17" i="1"/>
  <c r="AQ16" i="1"/>
  <c r="AQ12" i="1"/>
  <c r="AQ9" i="1"/>
  <c r="AQ10" i="1" s="1"/>
  <c r="AQ6" i="1"/>
  <c r="AQ7" i="1" s="1"/>
  <c r="AQ3" i="1"/>
  <c r="AQ4" i="1" s="1"/>
  <c r="AP12" i="1"/>
  <c r="AP16" i="1"/>
  <c r="AP17" i="1"/>
  <c r="AP14" i="1"/>
  <c r="AP9" i="1"/>
  <c r="AP10" i="1" s="1"/>
  <c r="AP3" i="1"/>
  <c r="AP4" i="1" s="1"/>
  <c r="AP6" i="1"/>
  <c r="AP7" i="1" s="1"/>
  <c r="AO17" i="1"/>
  <c r="AO16" i="1"/>
  <c r="AO14" i="1"/>
  <c r="AO12" i="1"/>
  <c r="AO9" i="1"/>
  <c r="AO10" i="1" s="1"/>
  <c r="AO6" i="1"/>
  <c r="AO7" i="1" s="1"/>
  <c r="AO3" i="1"/>
  <c r="AO4" i="1" s="1"/>
  <c r="AN16" i="1"/>
  <c r="AN14" i="1"/>
  <c r="AN17" i="1"/>
  <c r="AN12" i="1"/>
  <c r="AN9" i="1"/>
  <c r="AN10" i="1" s="1"/>
  <c r="AN6" i="1"/>
  <c r="AN7" i="1" s="1"/>
  <c r="AN3" i="1"/>
  <c r="AN4" i="1" s="1"/>
  <c r="AM17" i="1"/>
  <c r="AM16" i="1"/>
  <c r="AM14" i="1"/>
  <c r="AM12" i="1"/>
  <c r="AM9" i="1"/>
  <c r="AM10" i="1" s="1"/>
  <c r="AM6" i="1"/>
  <c r="AM7" i="1" s="1"/>
  <c r="AM3" i="1"/>
  <c r="AM4" i="1" s="1"/>
  <c r="AL17" i="1"/>
  <c r="AL16" i="1"/>
  <c r="AL14" i="1"/>
  <c r="AL12" i="1"/>
  <c r="AL9" i="1"/>
  <c r="AL10" i="1" s="1"/>
  <c r="AL6" i="1"/>
  <c r="AL7" i="1" s="1"/>
  <c r="AL3" i="1"/>
  <c r="AL4" i="1" s="1"/>
  <c r="AK16" i="1"/>
  <c r="AK17" i="1"/>
  <c r="AK14" i="1"/>
  <c r="AK9" i="1"/>
  <c r="AK10" i="1" s="1"/>
  <c r="AK12" i="1"/>
  <c r="AK6" i="1"/>
  <c r="AK7" i="1" s="1"/>
  <c r="AK3" i="1"/>
  <c r="AK4" i="1" s="1"/>
  <c r="AJ16" i="1"/>
  <c r="AJ14" i="1"/>
  <c r="AJ17" i="1"/>
  <c r="AJ12" i="1"/>
  <c r="AJ9" i="1"/>
  <c r="AJ10" i="1" s="1"/>
  <c r="AJ6" i="1"/>
  <c r="AJ7" i="1" s="1"/>
  <c r="AJ3" i="1"/>
  <c r="AJ4" i="1" s="1"/>
  <c r="AI16" i="1"/>
  <c r="AI14" i="1"/>
  <c r="AI17" i="1"/>
  <c r="AI12" i="1"/>
  <c r="AG12" i="1"/>
  <c r="AI9" i="1"/>
  <c r="AI10" i="1" s="1"/>
  <c r="AI6" i="1"/>
  <c r="AI7" i="1" s="1"/>
  <c r="AI3" i="1"/>
  <c r="AI4" i="1" s="1"/>
  <c r="AH16" i="1"/>
  <c r="AH14" i="1"/>
  <c r="AH17" i="1"/>
  <c r="AH12" i="1"/>
  <c r="AH9" i="1"/>
  <c r="AH10" i="1" s="1"/>
  <c r="AH6" i="1"/>
  <c r="AH7" i="1" s="1"/>
  <c r="AH3" i="1"/>
  <c r="AH4" i="1" s="1"/>
  <c r="AG16" i="1"/>
  <c r="AG14" i="1"/>
  <c r="AG17" i="1"/>
  <c r="AG9" i="1"/>
  <c r="AG10" i="1" s="1"/>
  <c r="AG6" i="1"/>
  <c r="AG7" i="1" s="1"/>
  <c r="AG3" i="1"/>
  <c r="AG4" i="1" s="1"/>
  <c r="AF16" i="1"/>
  <c r="AF14" i="1"/>
  <c r="AF17" i="1"/>
  <c r="AF12" i="1"/>
  <c r="AF9" i="1"/>
  <c r="AF10" i="1" s="1"/>
  <c r="AF6" i="1"/>
  <c r="AF7" i="1" s="1"/>
  <c r="AF3" i="1"/>
  <c r="AF4" i="1" s="1"/>
  <c r="AE17" i="1"/>
  <c r="AE16" i="1"/>
  <c r="AE14" i="1"/>
  <c r="AE12" i="1"/>
  <c r="AE9" i="1"/>
  <c r="AE10" i="1" s="1"/>
  <c r="AE6" i="1"/>
  <c r="AE7" i="1" s="1"/>
  <c r="AE3" i="1"/>
  <c r="AE4" i="1" s="1"/>
  <c r="AD17" i="1"/>
  <c r="AD16" i="1"/>
  <c r="AD14" i="1"/>
  <c r="AD12" i="1"/>
  <c r="AD9" i="1"/>
  <c r="AD10" i="1" s="1"/>
  <c r="AD6" i="1"/>
  <c r="AD7" i="1" s="1"/>
  <c r="AD3" i="1"/>
  <c r="AD4" i="1" s="1"/>
  <c r="AC16" i="1"/>
  <c r="AC14" i="1"/>
  <c r="AC9" i="1"/>
  <c r="AC10" i="1" s="1"/>
  <c r="AC17" i="1"/>
  <c r="AC12" i="1"/>
  <c r="AC6" i="1"/>
  <c r="AC7" i="1" s="1"/>
  <c r="AC3" i="1"/>
  <c r="AC4" i="1" s="1"/>
  <c r="AB16" i="1"/>
  <c r="AB14" i="1"/>
  <c r="AB17" i="1"/>
  <c r="AB12" i="1"/>
  <c r="AB9" i="1"/>
  <c r="AB10" i="1" s="1"/>
  <c r="AB6" i="1"/>
  <c r="AB7" i="1" s="1"/>
  <c r="AB3" i="1"/>
  <c r="AB4" i="1" s="1"/>
  <c r="AA16" i="1"/>
  <c r="AA14" i="1"/>
  <c r="AA17" i="1"/>
  <c r="AA12" i="1"/>
  <c r="AA9" i="1"/>
  <c r="AA10" i="1" s="1"/>
  <c r="AA6" i="1"/>
  <c r="AA7" i="1" s="1"/>
  <c r="AA3" i="1"/>
  <c r="AA4" i="1" s="1"/>
  <c r="Z17" i="1"/>
  <c r="Z16" i="1"/>
  <c r="Z14" i="1"/>
  <c r="Z12" i="1"/>
  <c r="Z9" i="1"/>
  <c r="Z10" i="1" s="1"/>
  <c r="Z6" i="1"/>
  <c r="Z7" i="1" s="1"/>
  <c r="Z3" i="1"/>
  <c r="Z4" i="1" s="1"/>
  <c r="Y16" i="1"/>
  <c r="Y14" i="1"/>
  <c r="Y12" i="1"/>
  <c r="Y9" i="1"/>
  <c r="Y10" i="1" s="1"/>
  <c r="Y17" i="1"/>
  <c r="Y3" i="1"/>
  <c r="Y4" i="1" s="1"/>
  <c r="Y6" i="1"/>
  <c r="Y7" i="1" s="1"/>
  <c r="X16" i="1"/>
  <c r="X14" i="1"/>
  <c r="X17" i="1"/>
  <c r="X12" i="1"/>
  <c r="X9" i="1"/>
  <c r="X10" i="1" s="1"/>
  <c r="X6" i="1"/>
  <c r="X7" i="1" s="1"/>
  <c r="X3" i="1"/>
  <c r="X4" i="1" s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B17" i="1"/>
  <c r="W14" i="1"/>
  <c r="W16" i="1"/>
  <c r="W12" i="1"/>
  <c r="W9" i="1"/>
  <c r="W10" i="1" s="1"/>
  <c r="W6" i="1"/>
  <c r="W7" i="1" s="1"/>
  <c r="W3" i="1"/>
  <c r="W4" i="1" s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B16" i="1"/>
  <c r="V14" i="1"/>
  <c r="V12" i="1"/>
  <c r="V9" i="1"/>
  <c r="V10" i="1" s="1"/>
  <c r="V6" i="1"/>
  <c r="V7" i="1" s="1"/>
  <c r="V3" i="1"/>
  <c r="V4" i="1" s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B14" i="1"/>
  <c r="U12" i="1"/>
  <c r="U9" i="1"/>
  <c r="U10" i="1" s="1"/>
  <c r="U6" i="1"/>
  <c r="U7" i="1" s="1"/>
  <c r="U3" i="1"/>
  <c r="U4" i="1" s="1"/>
  <c r="T12" i="1"/>
  <c r="T9" i="1"/>
  <c r="T10" i="1" s="1"/>
  <c r="T6" i="1"/>
  <c r="T7" i="1" s="1"/>
  <c r="T3" i="1"/>
  <c r="T4" i="1" s="1"/>
  <c r="S3" i="1"/>
  <c r="S4" i="1" s="1"/>
  <c r="S6" i="1"/>
  <c r="S7" i="1" s="1"/>
  <c r="S9" i="1"/>
  <c r="S10" i="1" s="1"/>
  <c r="E9" i="1"/>
  <c r="D6" i="1"/>
  <c r="E6" i="1"/>
  <c r="E7" i="1" s="1"/>
  <c r="F6" i="1"/>
  <c r="G6" i="1"/>
  <c r="H6" i="1"/>
  <c r="I6" i="1"/>
  <c r="J6" i="1"/>
  <c r="K6" i="1"/>
  <c r="L6" i="1"/>
  <c r="M6" i="1"/>
  <c r="N6" i="1"/>
  <c r="O6" i="1"/>
  <c r="P6" i="1"/>
  <c r="Q6" i="1"/>
  <c r="R6" i="1"/>
  <c r="R7" i="1" s="1"/>
  <c r="C6" i="1"/>
  <c r="C7" i="1" s="1"/>
  <c r="L3" i="1"/>
  <c r="L4" i="1" s="1"/>
  <c r="M3" i="1"/>
  <c r="M4" i="1" s="1"/>
  <c r="N3" i="1"/>
  <c r="N4" i="1" s="1"/>
  <c r="O3" i="1"/>
  <c r="O4" i="1" s="1"/>
  <c r="P3" i="1"/>
  <c r="P4" i="1" s="1"/>
  <c r="K3" i="1"/>
  <c r="K4" i="1" s="1"/>
  <c r="H9" i="1"/>
  <c r="H10" i="1" s="1"/>
  <c r="I9" i="1"/>
  <c r="I10" i="1" s="1"/>
  <c r="J9" i="1"/>
  <c r="J10" i="1" s="1"/>
  <c r="K9" i="1"/>
  <c r="K10" i="1" s="1"/>
  <c r="L9" i="1"/>
  <c r="L10" i="1" s="1"/>
  <c r="M9" i="1"/>
  <c r="M10" i="1" s="1"/>
  <c r="N9" i="1"/>
  <c r="N10" i="1" s="1"/>
  <c r="O9" i="1"/>
  <c r="O10" i="1" s="1"/>
  <c r="P9" i="1"/>
  <c r="P10" i="1" s="1"/>
  <c r="Q9" i="1"/>
  <c r="Q10" i="1" s="1"/>
  <c r="R9" i="1"/>
  <c r="R10" i="1" s="1"/>
  <c r="G9" i="1"/>
  <c r="G10" i="1" s="1"/>
  <c r="D3" i="1"/>
  <c r="D4" i="1" s="1"/>
  <c r="E3" i="1"/>
  <c r="E4" i="1" s="1"/>
  <c r="F3" i="1"/>
  <c r="F4" i="1" s="1"/>
  <c r="G3" i="1"/>
  <c r="G4" i="1" s="1"/>
  <c r="H3" i="1"/>
  <c r="H4" i="1" s="1"/>
  <c r="I3" i="1"/>
  <c r="I4" i="1" s="1"/>
  <c r="J3" i="1"/>
  <c r="J4" i="1" s="1"/>
  <c r="Q3" i="1"/>
  <c r="Q4" i="1" s="1"/>
  <c r="R3" i="1"/>
  <c r="R4" i="1" s="1"/>
  <c r="C3" i="1"/>
  <c r="C4" i="1" s="1"/>
  <c r="D7" i="1"/>
  <c r="F7" i="1"/>
  <c r="G7" i="1"/>
  <c r="H7" i="1"/>
  <c r="I7" i="1"/>
  <c r="J7" i="1"/>
  <c r="K7" i="1"/>
  <c r="L7" i="1"/>
  <c r="M7" i="1"/>
  <c r="N7" i="1"/>
  <c r="O7" i="1"/>
  <c r="P7" i="1"/>
  <c r="Q7" i="1"/>
</calcChain>
</file>

<file path=xl/comments1.xml><?xml version="1.0" encoding="utf-8"?>
<comments xmlns="http://schemas.openxmlformats.org/spreadsheetml/2006/main">
  <authors>
    <author>Author</author>
  </authors>
  <commentList>
    <comment ref="BC8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did not get this count for Jan</t>
        </r>
      </text>
    </comment>
  </commentList>
</comments>
</file>

<file path=xl/sharedStrings.xml><?xml version="1.0" encoding="utf-8"?>
<sst xmlns="http://schemas.openxmlformats.org/spreadsheetml/2006/main" count="64" uniqueCount="17">
  <si>
    <t>Items to date</t>
  </si>
  <si>
    <t>Number of new items</t>
  </si>
  <si>
    <t>Percent change</t>
  </si>
  <si>
    <t>Downloads to date</t>
  </si>
  <si>
    <t>Downloads for month</t>
  </si>
  <si>
    <t>Total number of participants</t>
  </si>
  <si>
    <t>Number of new participants</t>
  </si>
  <si>
    <t>Selected Works pages to date</t>
  </si>
  <si>
    <t>Number of new SWPs</t>
  </si>
  <si>
    <t>X</t>
  </si>
  <si>
    <t>x</t>
  </si>
  <si>
    <t>Number for months represent total AT THE END OF THE MONTH</t>
  </si>
  <si>
    <t>Number of ETDs</t>
  </si>
  <si>
    <t>Percent of ETDs to the whole</t>
  </si>
  <si>
    <t>Percent of downloads that are ETDs</t>
  </si>
  <si>
    <t>ETD downloads to date</t>
  </si>
  <si>
    <t>Downloads per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</si>
</sst>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%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3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0">
    <xf numFmtId="0" fontId="0" fillId="0" borderId="0" xfId="0"/>
    <xf numFmtId="9" fontId="0" fillId="0" borderId="0" xfId="1" applyFont="1"/>
    <xf numFmtId="165" fontId="0" fillId="0" borderId="0" xfId="0" applyNumberFormat="1"/>
    <xf numFmtId="0" fontId="2" fillId="0" borderId="3" xfId="0" applyFont="1" applyBorder="1"/>
    <xf numFmtId="0" fontId="0" fillId="0" borderId="0" xfId="0" applyNumberFormat="1" applyAlignment="1"/>
    <xf numFmtId="0" fontId="0" fillId="0" borderId="0" xfId="0" applyAlignment="1"/>
    <xf numFmtId="17" fontId="4" fillId="0" borderId="2" xfId="2" applyNumberFormat="1" applyBorder="1" applyAlignment="1">
      <alignment vertical="top" wrapText="1"/>
    </xf>
    <xf numFmtId="0" fontId="4" fillId="0" borderId="1" xfId="2" applyBorder="1" applyAlignment="1">
      <alignment vertical="top" wrapText="1"/>
    </xf>
    <xf numFmtId="0" fontId="4" fillId="0" borderId="1" xfId="2" applyBorder="1"/>
    <xf numFmtId="0" fontId="4" fillId="0" borderId="1" xfId="2" applyFill="1" applyBorder="1"/>
    <xf numFmtId="0" fontId="4" fillId="0" borderId="4" xfId="2" applyFill="1" applyBorder="1"/>
    <xf numFmtId="0" fontId="4" fillId="0" borderId="1" xfId="2" applyNumberFormat="1" applyBorder="1" applyAlignment="1">
      <alignment wrapText="1"/>
    </xf>
    <xf numFmtId="9" fontId="4" fillId="0" borderId="1" xfId="2" applyNumberFormat="1" applyBorder="1" applyAlignment="1">
      <alignment vertical="top" wrapText="1"/>
    </xf>
    <xf numFmtId="9" fontId="4" fillId="0" borderId="1" xfId="2" applyNumberFormat="1" applyBorder="1"/>
    <xf numFmtId="0" fontId="4" fillId="0" borderId="1" xfId="2" applyBorder="1" applyAlignment="1">
      <alignment wrapText="1"/>
    </xf>
    <xf numFmtId="0" fontId="4" fillId="0" borderId="1" xfId="2" applyBorder="1" applyAlignment="1"/>
    <xf numFmtId="0" fontId="4" fillId="0" borderId="4" xfId="2" applyFill="1" applyBorder="1" applyAlignment="1"/>
    <xf numFmtId="0" fontId="4" fillId="0" borderId="1" xfId="2" applyFill="1" applyBorder="1" applyAlignment="1">
      <alignment wrapText="1"/>
    </xf>
    <xf numFmtId="164" fontId="4" fillId="0" borderId="1" xfId="2" applyNumberFormat="1" applyBorder="1"/>
    <xf numFmtId="165" fontId="4" fillId="0" borderId="1" xfId="2" applyNumberFormat="1" applyBorder="1"/>
    <xf numFmtId="0" fontId="3" fillId="0" borderId="1" xfId="2" applyFont="1" applyBorder="1" applyAlignment="1">
      <alignment horizontal="center" vertical="center" wrapText="1"/>
    </xf>
    <xf numFmtId="0" fontId="3" fillId="0" borderId="1" xfId="2" applyNumberFormat="1" applyFont="1" applyBorder="1" applyAlignment="1">
      <alignment horizontal="center" vertical="center" wrapText="1"/>
    </xf>
    <xf numFmtId="9" fontId="3" fillId="0" borderId="1" xfId="2" applyNumberFormat="1" applyFont="1" applyBorder="1" applyAlignment="1">
      <alignment horizontal="center" vertical="center" wrapText="1"/>
    </xf>
    <xf numFmtId="0" fontId="3" fillId="0" borderId="1" xfId="2" applyFont="1" applyFill="1" applyBorder="1" applyAlignment="1">
      <alignment horizontal="center" vertical="center" wrapText="1"/>
    </xf>
    <xf numFmtId="9" fontId="3" fillId="0" borderId="1" xfId="2" applyNumberFormat="1" applyFont="1" applyFill="1" applyBorder="1" applyAlignment="1">
      <alignment horizontal="center" vertical="center" wrapText="1"/>
    </xf>
    <xf numFmtId="165" fontId="3" fillId="0" borderId="1" xfId="2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5" xfId="2" applyFill="1" applyBorder="1" applyAlignment="1"/>
    <xf numFmtId="0" fontId="4" fillId="0" borderId="1" xfId="2" applyFill="1" applyBorder="1" applyAlignment="1"/>
    <xf numFmtId="0" fontId="4" fillId="0" borderId="2" xfId="2" applyNumberFormat="1" applyBorder="1" applyAlignment="1"/>
  </cellXfs>
  <cellStyles count="3">
    <cellStyle name="Heading 4" xfId="2" builtinId="19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tyles" Target="styles.xml"/><Relationship Id="rId5" Type="http://schemas.openxmlformats.org/officeDocument/2006/relationships/chartsheet" Target="chartsheets/sheet4.xml"/><Relationship Id="rId10" Type="http://schemas.openxmlformats.org/officeDocument/2006/relationships/theme" Target="theme/theme1.xml"/><Relationship Id="rId4" Type="http://schemas.openxmlformats.org/officeDocument/2006/relationships/chartsheet" Target="chartsheets/sheet3.xml"/><Relationship Id="rId9" Type="http://schemas.openxmlformats.org/officeDocument/2006/relationships/chartsheet" Target="chartsheets/sheet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0"/>
    </mc:Choice>
    <mc:Fallback>
      <c:style val="3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Total Participants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cat>
            <c:numRef>
              <c:f>Data!$D$1:$BL$1</c:f>
              <c:numCache>
                <c:formatCode>mmm\-yy</c:formatCode>
                <c:ptCount val="61"/>
                <c:pt idx="0">
                  <c:v>39356</c:v>
                </c:pt>
                <c:pt idx="1">
                  <c:v>39387</c:v>
                </c:pt>
                <c:pt idx="2">
                  <c:v>39417</c:v>
                </c:pt>
                <c:pt idx="3">
                  <c:v>39448</c:v>
                </c:pt>
                <c:pt idx="4">
                  <c:v>39479</c:v>
                </c:pt>
                <c:pt idx="5">
                  <c:v>39508</c:v>
                </c:pt>
                <c:pt idx="6">
                  <c:v>39539</c:v>
                </c:pt>
                <c:pt idx="7">
                  <c:v>39569</c:v>
                </c:pt>
                <c:pt idx="8">
                  <c:v>39600</c:v>
                </c:pt>
                <c:pt idx="9">
                  <c:v>39630</c:v>
                </c:pt>
                <c:pt idx="10">
                  <c:v>39661</c:v>
                </c:pt>
                <c:pt idx="11">
                  <c:v>39692</c:v>
                </c:pt>
                <c:pt idx="12">
                  <c:v>39722</c:v>
                </c:pt>
                <c:pt idx="13">
                  <c:v>39753</c:v>
                </c:pt>
                <c:pt idx="14">
                  <c:v>39783</c:v>
                </c:pt>
                <c:pt idx="15">
                  <c:v>39814</c:v>
                </c:pt>
                <c:pt idx="16">
                  <c:v>39845</c:v>
                </c:pt>
                <c:pt idx="17">
                  <c:v>39873</c:v>
                </c:pt>
                <c:pt idx="18">
                  <c:v>39904</c:v>
                </c:pt>
                <c:pt idx="19">
                  <c:v>39934</c:v>
                </c:pt>
                <c:pt idx="20">
                  <c:v>39965</c:v>
                </c:pt>
                <c:pt idx="21">
                  <c:v>39995</c:v>
                </c:pt>
                <c:pt idx="22">
                  <c:v>40026</c:v>
                </c:pt>
                <c:pt idx="23">
                  <c:v>40057</c:v>
                </c:pt>
                <c:pt idx="24">
                  <c:v>40087</c:v>
                </c:pt>
                <c:pt idx="25">
                  <c:v>40118</c:v>
                </c:pt>
                <c:pt idx="26">
                  <c:v>40148</c:v>
                </c:pt>
                <c:pt idx="27">
                  <c:v>40179</c:v>
                </c:pt>
                <c:pt idx="28">
                  <c:v>40210</c:v>
                </c:pt>
                <c:pt idx="29">
                  <c:v>40238</c:v>
                </c:pt>
                <c:pt idx="30">
                  <c:v>40269</c:v>
                </c:pt>
                <c:pt idx="31">
                  <c:v>40299</c:v>
                </c:pt>
                <c:pt idx="32">
                  <c:v>40330</c:v>
                </c:pt>
                <c:pt idx="33">
                  <c:v>40360</c:v>
                </c:pt>
                <c:pt idx="34">
                  <c:v>40391</c:v>
                </c:pt>
                <c:pt idx="35">
                  <c:v>40422</c:v>
                </c:pt>
                <c:pt idx="36">
                  <c:v>40452</c:v>
                </c:pt>
                <c:pt idx="37">
                  <c:v>40483</c:v>
                </c:pt>
                <c:pt idx="38">
                  <c:v>40513</c:v>
                </c:pt>
                <c:pt idx="39">
                  <c:v>40544</c:v>
                </c:pt>
                <c:pt idx="40">
                  <c:v>40575</c:v>
                </c:pt>
                <c:pt idx="41">
                  <c:v>40603</c:v>
                </c:pt>
                <c:pt idx="42">
                  <c:v>40634</c:v>
                </c:pt>
                <c:pt idx="43">
                  <c:v>40664</c:v>
                </c:pt>
                <c:pt idx="44">
                  <c:v>40695</c:v>
                </c:pt>
                <c:pt idx="45">
                  <c:v>40725</c:v>
                </c:pt>
                <c:pt idx="46">
                  <c:v>40756</c:v>
                </c:pt>
                <c:pt idx="47">
                  <c:v>40787</c:v>
                </c:pt>
                <c:pt idx="48">
                  <c:v>40817</c:v>
                </c:pt>
                <c:pt idx="49">
                  <c:v>40848</c:v>
                </c:pt>
                <c:pt idx="50">
                  <c:v>40878</c:v>
                </c:pt>
                <c:pt idx="51">
                  <c:v>40909</c:v>
                </c:pt>
                <c:pt idx="52">
                  <c:v>40940</c:v>
                </c:pt>
                <c:pt idx="53">
                  <c:v>40969</c:v>
                </c:pt>
                <c:pt idx="54">
                  <c:v>41000</c:v>
                </c:pt>
                <c:pt idx="55">
                  <c:v>41030</c:v>
                </c:pt>
                <c:pt idx="56">
                  <c:v>41061</c:v>
                </c:pt>
                <c:pt idx="57">
                  <c:v>41091</c:v>
                </c:pt>
                <c:pt idx="58">
                  <c:v>41122</c:v>
                </c:pt>
                <c:pt idx="59">
                  <c:v>41153</c:v>
                </c:pt>
                <c:pt idx="60">
                  <c:v>41183</c:v>
                </c:pt>
              </c:numCache>
            </c:numRef>
          </c:cat>
          <c:val>
            <c:numRef>
              <c:f>Data!$D$8:$BL$8</c:f>
              <c:numCache>
                <c:formatCode>General</c:formatCode>
                <c:ptCount val="61"/>
                <c:pt idx="0">
                  <c:v>113</c:v>
                </c:pt>
                <c:pt idx="1">
                  <c:v>135</c:v>
                </c:pt>
                <c:pt idx="2">
                  <c:v>140</c:v>
                </c:pt>
                <c:pt idx="3">
                  <c:v>143</c:v>
                </c:pt>
                <c:pt idx="4">
                  <c:v>156</c:v>
                </c:pt>
                <c:pt idx="5">
                  <c:v>161</c:v>
                </c:pt>
                <c:pt idx="6">
                  <c:v>196</c:v>
                </c:pt>
                <c:pt idx="7">
                  <c:v>226</c:v>
                </c:pt>
                <c:pt idx="8">
                  <c:v>226</c:v>
                </c:pt>
                <c:pt idx="9">
                  <c:v>231</c:v>
                </c:pt>
                <c:pt idx="10">
                  <c:v>238</c:v>
                </c:pt>
                <c:pt idx="11">
                  <c:v>248</c:v>
                </c:pt>
                <c:pt idx="12">
                  <c:v>255</c:v>
                </c:pt>
                <c:pt idx="13">
                  <c:v>269</c:v>
                </c:pt>
                <c:pt idx="14">
                  <c:v>292</c:v>
                </c:pt>
                <c:pt idx="15">
                  <c:v>326</c:v>
                </c:pt>
                <c:pt idx="16">
                  <c:v>350</c:v>
                </c:pt>
                <c:pt idx="17">
                  <c:v>386</c:v>
                </c:pt>
                <c:pt idx="18">
                  <c:v>430</c:v>
                </c:pt>
                <c:pt idx="19">
                  <c:v>491</c:v>
                </c:pt>
                <c:pt idx="20">
                  <c:v>577</c:v>
                </c:pt>
                <c:pt idx="21">
                  <c:v>650</c:v>
                </c:pt>
                <c:pt idx="22">
                  <c:v>711</c:v>
                </c:pt>
                <c:pt idx="23">
                  <c:v>764</c:v>
                </c:pt>
                <c:pt idx="24">
                  <c:v>790</c:v>
                </c:pt>
                <c:pt idx="25">
                  <c:v>848</c:v>
                </c:pt>
                <c:pt idx="26">
                  <c:v>881</c:v>
                </c:pt>
                <c:pt idx="27">
                  <c:v>918</c:v>
                </c:pt>
                <c:pt idx="28">
                  <c:v>950</c:v>
                </c:pt>
                <c:pt idx="29">
                  <c:v>964</c:v>
                </c:pt>
                <c:pt idx="30">
                  <c:v>996</c:v>
                </c:pt>
                <c:pt idx="31">
                  <c:v>1057</c:v>
                </c:pt>
                <c:pt idx="32">
                  <c:v>1097</c:v>
                </c:pt>
                <c:pt idx="33">
                  <c:v>1115</c:v>
                </c:pt>
                <c:pt idx="34">
                  <c:v>1139</c:v>
                </c:pt>
                <c:pt idx="35">
                  <c:v>1160</c:v>
                </c:pt>
                <c:pt idx="36">
                  <c:v>1167</c:v>
                </c:pt>
                <c:pt idx="37">
                  <c:v>1187</c:v>
                </c:pt>
                <c:pt idx="38">
                  <c:v>1220</c:v>
                </c:pt>
                <c:pt idx="39">
                  <c:v>1231</c:v>
                </c:pt>
                <c:pt idx="40">
                  <c:v>1246</c:v>
                </c:pt>
                <c:pt idx="41">
                  <c:v>1242</c:v>
                </c:pt>
                <c:pt idx="42">
                  <c:v>1307</c:v>
                </c:pt>
                <c:pt idx="43">
                  <c:v>1355</c:v>
                </c:pt>
                <c:pt idx="44">
                  <c:v>1375</c:v>
                </c:pt>
                <c:pt idx="45">
                  <c:v>1417</c:v>
                </c:pt>
                <c:pt idx="46">
                  <c:v>1439</c:v>
                </c:pt>
                <c:pt idx="47">
                  <c:v>1444</c:v>
                </c:pt>
                <c:pt idx="48">
                  <c:v>1449</c:v>
                </c:pt>
                <c:pt idx="49">
                  <c:v>1471</c:v>
                </c:pt>
                <c:pt idx="50">
                  <c:v>1492</c:v>
                </c:pt>
                <c:pt idx="51">
                  <c:v>1492</c:v>
                </c:pt>
                <c:pt idx="52">
                  <c:v>1523</c:v>
                </c:pt>
                <c:pt idx="53">
                  <c:v>1527</c:v>
                </c:pt>
                <c:pt idx="54">
                  <c:v>1617</c:v>
                </c:pt>
                <c:pt idx="55">
                  <c:v>1656</c:v>
                </c:pt>
                <c:pt idx="56">
                  <c:v>1667</c:v>
                </c:pt>
                <c:pt idx="57">
                  <c:v>1679</c:v>
                </c:pt>
                <c:pt idx="58">
                  <c:v>1689</c:v>
                </c:pt>
                <c:pt idx="59">
                  <c:v>1701</c:v>
                </c:pt>
                <c:pt idx="60">
                  <c:v>1719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135"/>
        <c:shape val="cylinder"/>
        <c:axId val="162394880"/>
        <c:axId val="162396416"/>
        <c:axId val="0"/>
      </c:bar3DChart>
      <c:dateAx>
        <c:axId val="16239488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162396416"/>
        <c:crosses val="autoZero"/>
        <c:auto val="1"/>
        <c:lblOffset val="100"/>
        <c:baseTimeUnit val="months"/>
      </c:dateAx>
      <c:valAx>
        <c:axId val="16239641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62394880"/>
        <c:crosses val="autoZero"/>
        <c:crossBetween val="between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Items to Date</a:t>
            </a:r>
          </a:p>
        </c:rich>
      </c:tx>
      <c:layout/>
      <c:overlay val="0"/>
    </c:title>
    <c:autoTitleDeleted val="0"/>
    <c:view3D>
      <c:rotX val="15"/>
      <c:rotY val="20"/>
      <c:rAngAx val="0"/>
      <c:perspective val="30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stacked"/>
        <c:varyColors val="0"/>
        <c:ser>
          <c:idx val="0"/>
          <c:order val="0"/>
          <c:invertIfNegative val="0"/>
          <c:cat>
            <c:numRef>
              <c:f>Data!$B$1:$BL$1</c:f>
              <c:numCache>
                <c:formatCode>mmm\-yy</c:formatCode>
                <c:ptCount val="63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  <c:pt idx="58">
                  <c:v>41061</c:v>
                </c:pt>
                <c:pt idx="59">
                  <c:v>41091</c:v>
                </c:pt>
                <c:pt idx="60">
                  <c:v>41122</c:v>
                </c:pt>
                <c:pt idx="61">
                  <c:v>41153</c:v>
                </c:pt>
                <c:pt idx="62">
                  <c:v>41183</c:v>
                </c:pt>
              </c:numCache>
            </c:numRef>
          </c:cat>
          <c:val>
            <c:numRef>
              <c:f>Data!$B$2:$BL$2</c:f>
              <c:numCache>
                <c:formatCode>General</c:formatCode>
                <c:ptCount val="63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  <c:pt idx="34">
                  <c:v>3563</c:v>
                </c:pt>
                <c:pt idx="35">
                  <c:v>3607</c:v>
                </c:pt>
                <c:pt idx="36">
                  <c:v>3684</c:v>
                </c:pt>
                <c:pt idx="37">
                  <c:v>3756</c:v>
                </c:pt>
                <c:pt idx="38">
                  <c:v>3842</c:v>
                </c:pt>
                <c:pt idx="39">
                  <c:v>4017</c:v>
                </c:pt>
                <c:pt idx="40">
                  <c:v>4054</c:v>
                </c:pt>
                <c:pt idx="41">
                  <c:v>4172</c:v>
                </c:pt>
                <c:pt idx="42">
                  <c:v>4259</c:v>
                </c:pt>
                <c:pt idx="43">
                  <c:v>4287</c:v>
                </c:pt>
                <c:pt idx="44">
                  <c:v>4334</c:v>
                </c:pt>
                <c:pt idx="45">
                  <c:v>4475</c:v>
                </c:pt>
                <c:pt idx="46">
                  <c:v>4520</c:v>
                </c:pt>
                <c:pt idx="47">
                  <c:v>4599</c:v>
                </c:pt>
                <c:pt idx="48">
                  <c:v>4662</c:v>
                </c:pt>
                <c:pt idx="49">
                  <c:v>4693</c:v>
                </c:pt>
                <c:pt idx="50">
                  <c:v>4731</c:v>
                </c:pt>
                <c:pt idx="51">
                  <c:v>4850</c:v>
                </c:pt>
                <c:pt idx="52">
                  <c:v>4869</c:v>
                </c:pt>
                <c:pt idx="53">
                  <c:v>4887</c:v>
                </c:pt>
                <c:pt idx="54">
                  <c:v>4915</c:v>
                </c:pt>
                <c:pt idx="55">
                  <c:v>4923</c:v>
                </c:pt>
                <c:pt idx="56">
                  <c:v>5041</c:v>
                </c:pt>
                <c:pt idx="57">
                  <c:v>5084</c:v>
                </c:pt>
                <c:pt idx="58">
                  <c:v>5100</c:v>
                </c:pt>
                <c:pt idx="59">
                  <c:v>5115</c:v>
                </c:pt>
                <c:pt idx="60">
                  <c:v>5126</c:v>
                </c:pt>
                <c:pt idx="61">
                  <c:v>5144</c:v>
                </c:pt>
                <c:pt idx="62">
                  <c:v>5176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5798144"/>
        <c:axId val="155824512"/>
        <c:axId val="0"/>
      </c:bar3DChart>
      <c:dateAx>
        <c:axId val="155798144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txPr>
          <a:bodyPr/>
          <a:lstStyle/>
          <a:p>
            <a:pPr>
              <a:defRPr>
                <a:latin typeface="Berlin Sans FB Demi" pitchFamily="34" charset="0"/>
              </a:defRPr>
            </a:pPr>
            <a:endParaRPr lang="en-US"/>
          </a:p>
        </c:txPr>
        <c:crossAx val="155824512"/>
        <c:crosses val="autoZero"/>
        <c:auto val="1"/>
        <c:lblOffset val="100"/>
        <c:baseTimeUnit val="months"/>
      </c:dateAx>
      <c:valAx>
        <c:axId val="15582451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55798144"/>
        <c:crosses val="autoZero"/>
        <c:crossBetween val="between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6"/>
    </mc:Choice>
    <mc:Fallback>
      <c:style val="3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Downloads to Date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Data!$B$1:$BL$1</c:f>
              <c:numCache>
                <c:formatCode>mmm\-yy</c:formatCode>
                <c:ptCount val="63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  <c:pt idx="58">
                  <c:v>41061</c:v>
                </c:pt>
                <c:pt idx="59">
                  <c:v>41091</c:v>
                </c:pt>
                <c:pt idx="60">
                  <c:v>41122</c:v>
                </c:pt>
                <c:pt idx="61">
                  <c:v>41153</c:v>
                </c:pt>
                <c:pt idx="62">
                  <c:v>41183</c:v>
                </c:pt>
              </c:numCache>
            </c:numRef>
          </c:cat>
          <c:val>
            <c:numRef>
              <c:f>Data!$B$5:$BL$5</c:f>
              <c:numCache>
                <c:formatCode>General</c:formatCode>
                <c:ptCount val="63"/>
                <c:pt idx="0">
                  <c:v>5029</c:v>
                </c:pt>
                <c:pt idx="1">
                  <c:v>6657</c:v>
                </c:pt>
                <c:pt idx="2">
                  <c:v>8626</c:v>
                </c:pt>
                <c:pt idx="3">
                  <c:v>10405</c:v>
                </c:pt>
                <c:pt idx="4">
                  <c:v>12004</c:v>
                </c:pt>
                <c:pt idx="5">
                  <c:v>13900</c:v>
                </c:pt>
                <c:pt idx="6">
                  <c:v>15916</c:v>
                </c:pt>
                <c:pt idx="7">
                  <c:v>18446</c:v>
                </c:pt>
                <c:pt idx="8">
                  <c:v>21339</c:v>
                </c:pt>
                <c:pt idx="9">
                  <c:v>25062</c:v>
                </c:pt>
                <c:pt idx="10">
                  <c:v>29031</c:v>
                </c:pt>
                <c:pt idx="11">
                  <c:v>33509</c:v>
                </c:pt>
                <c:pt idx="12">
                  <c:v>37137</c:v>
                </c:pt>
                <c:pt idx="13">
                  <c:v>41158</c:v>
                </c:pt>
                <c:pt idx="14">
                  <c:v>45640</c:v>
                </c:pt>
                <c:pt idx="15">
                  <c:v>50226</c:v>
                </c:pt>
                <c:pt idx="16">
                  <c:v>53908</c:v>
                </c:pt>
                <c:pt idx="17">
                  <c:v>58062</c:v>
                </c:pt>
                <c:pt idx="18">
                  <c:v>62237</c:v>
                </c:pt>
                <c:pt idx="19">
                  <c:v>68560</c:v>
                </c:pt>
                <c:pt idx="20">
                  <c:v>75704</c:v>
                </c:pt>
                <c:pt idx="21">
                  <c:v>82737</c:v>
                </c:pt>
                <c:pt idx="22">
                  <c:v>89647</c:v>
                </c:pt>
                <c:pt idx="23">
                  <c:v>98271</c:v>
                </c:pt>
                <c:pt idx="24">
                  <c:v>107420</c:v>
                </c:pt>
                <c:pt idx="25">
                  <c:v>118209</c:v>
                </c:pt>
                <c:pt idx="26">
                  <c:v>133608</c:v>
                </c:pt>
                <c:pt idx="27">
                  <c:v>148800</c:v>
                </c:pt>
                <c:pt idx="28">
                  <c:v>161375</c:v>
                </c:pt>
                <c:pt idx="29">
                  <c:v>169181</c:v>
                </c:pt>
                <c:pt idx="30">
                  <c:v>186242</c:v>
                </c:pt>
                <c:pt idx="31">
                  <c:v>204934</c:v>
                </c:pt>
                <c:pt idx="32">
                  <c:v>221799</c:v>
                </c:pt>
                <c:pt idx="33">
                  <c:v>237645</c:v>
                </c:pt>
                <c:pt idx="34">
                  <c:v>260759</c:v>
                </c:pt>
                <c:pt idx="35">
                  <c:v>277701</c:v>
                </c:pt>
                <c:pt idx="36">
                  <c:v>302185</c:v>
                </c:pt>
                <c:pt idx="37">
                  <c:v>339102</c:v>
                </c:pt>
                <c:pt idx="38">
                  <c:v>378445</c:v>
                </c:pt>
                <c:pt idx="39">
                  <c:v>422419</c:v>
                </c:pt>
                <c:pt idx="40">
                  <c:v>457918</c:v>
                </c:pt>
                <c:pt idx="41">
                  <c:v>493251</c:v>
                </c:pt>
                <c:pt idx="42">
                  <c:v>536630</c:v>
                </c:pt>
                <c:pt idx="43">
                  <c:v>595225</c:v>
                </c:pt>
                <c:pt idx="44">
                  <c:v>656784</c:v>
                </c:pt>
                <c:pt idx="45">
                  <c:v>726302</c:v>
                </c:pt>
                <c:pt idx="46">
                  <c:v>777264</c:v>
                </c:pt>
                <c:pt idx="47">
                  <c:v>841211</c:v>
                </c:pt>
                <c:pt idx="48">
                  <c:v>891289</c:v>
                </c:pt>
                <c:pt idx="49">
                  <c:v>951107</c:v>
                </c:pt>
                <c:pt idx="50">
                  <c:v>996910</c:v>
                </c:pt>
                <c:pt idx="51">
                  <c:v>1039389</c:v>
                </c:pt>
                <c:pt idx="52">
                  <c:v>1099521</c:v>
                </c:pt>
                <c:pt idx="53">
                  <c:v>1191374</c:v>
                </c:pt>
                <c:pt idx="54">
                  <c:v>1373391</c:v>
                </c:pt>
                <c:pt idx="55">
                  <c:v>1476581</c:v>
                </c:pt>
                <c:pt idx="56">
                  <c:v>1594168</c:v>
                </c:pt>
                <c:pt idx="57">
                  <c:v>1705432</c:v>
                </c:pt>
                <c:pt idx="58">
                  <c:v>1794462</c:v>
                </c:pt>
                <c:pt idx="59">
                  <c:v>1870783</c:v>
                </c:pt>
                <c:pt idx="60">
                  <c:v>2005252</c:v>
                </c:pt>
                <c:pt idx="61">
                  <c:v>2104322</c:v>
                </c:pt>
                <c:pt idx="62">
                  <c:v>2236605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343616"/>
        <c:axId val="165345152"/>
      </c:lineChart>
      <c:dateAx>
        <c:axId val="165343616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165345152"/>
        <c:crosses val="autoZero"/>
        <c:auto val="1"/>
        <c:lblOffset val="100"/>
        <c:baseTimeUnit val="months"/>
      </c:dateAx>
      <c:valAx>
        <c:axId val="16534515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6534361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>
          <a:solidFill>
            <a:srgbClr val="002060"/>
          </a:solidFill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40"/>
    </mc:Choice>
    <mc:Fallback>
      <c:style val="4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Downloads per Month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invertIfNegative val="0"/>
          <c:cat>
            <c:numRef>
              <c:f>Data!$B$1:$BL$1</c:f>
              <c:numCache>
                <c:formatCode>mmm\-yy</c:formatCode>
                <c:ptCount val="63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  <c:pt idx="58">
                  <c:v>41061</c:v>
                </c:pt>
                <c:pt idx="59">
                  <c:v>41091</c:v>
                </c:pt>
                <c:pt idx="60">
                  <c:v>41122</c:v>
                </c:pt>
                <c:pt idx="61">
                  <c:v>41153</c:v>
                </c:pt>
                <c:pt idx="62">
                  <c:v>41183</c:v>
                </c:pt>
              </c:numCache>
            </c:numRef>
          </c:cat>
          <c:val>
            <c:numRef>
              <c:f>Data!$B$6:$BL$6</c:f>
              <c:numCache>
                <c:formatCode>General</c:formatCode>
                <c:ptCount val="63"/>
                <c:pt idx="1">
                  <c:v>1628</c:v>
                </c:pt>
                <c:pt idx="2">
                  <c:v>1969</c:v>
                </c:pt>
                <c:pt idx="3">
                  <c:v>1779</c:v>
                </c:pt>
                <c:pt idx="4">
                  <c:v>1599</c:v>
                </c:pt>
                <c:pt idx="5">
                  <c:v>1896</c:v>
                </c:pt>
                <c:pt idx="6">
                  <c:v>2016</c:v>
                </c:pt>
                <c:pt idx="7">
                  <c:v>2530</c:v>
                </c:pt>
                <c:pt idx="8">
                  <c:v>2893</c:v>
                </c:pt>
                <c:pt idx="9">
                  <c:v>3723</c:v>
                </c:pt>
                <c:pt idx="10">
                  <c:v>3969</c:v>
                </c:pt>
                <c:pt idx="11">
                  <c:v>4478</c:v>
                </c:pt>
                <c:pt idx="12">
                  <c:v>3628</c:v>
                </c:pt>
                <c:pt idx="13">
                  <c:v>4021</c:v>
                </c:pt>
                <c:pt idx="14">
                  <c:v>4482</c:v>
                </c:pt>
                <c:pt idx="15">
                  <c:v>4586</c:v>
                </c:pt>
                <c:pt idx="16">
                  <c:v>3682</c:v>
                </c:pt>
                <c:pt idx="17">
                  <c:v>4154</c:v>
                </c:pt>
                <c:pt idx="18">
                  <c:v>4175</c:v>
                </c:pt>
                <c:pt idx="19">
                  <c:v>6323</c:v>
                </c:pt>
                <c:pt idx="20">
                  <c:v>7144</c:v>
                </c:pt>
                <c:pt idx="21">
                  <c:v>7033</c:v>
                </c:pt>
                <c:pt idx="22">
                  <c:v>6910</c:v>
                </c:pt>
                <c:pt idx="23">
                  <c:v>8624</c:v>
                </c:pt>
                <c:pt idx="24">
                  <c:v>9149</c:v>
                </c:pt>
                <c:pt idx="25">
                  <c:v>10789</c:v>
                </c:pt>
                <c:pt idx="26">
                  <c:v>15399</c:v>
                </c:pt>
                <c:pt idx="27">
                  <c:v>15192</c:v>
                </c:pt>
                <c:pt idx="28">
                  <c:v>12575</c:v>
                </c:pt>
                <c:pt idx="29">
                  <c:v>7806</c:v>
                </c:pt>
                <c:pt idx="30">
                  <c:v>17061</c:v>
                </c:pt>
                <c:pt idx="31">
                  <c:v>18692</c:v>
                </c:pt>
                <c:pt idx="32">
                  <c:v>16865</c:v>
                </c:pt>
                <c:pt idx="33">
                  <c:v>15846</c:v>
                </c:pt>
                <c:pt idx="34">
                  <c:v>23114</c:v>
                </c:pt>
                <c:pt idx="35">
                  <c:v>16942</c:v>
                </c:pt>
                <c:pt idx="36">
                  <c:v>24484</c:v>
                </c:pt>
                <c:pt idx="37">
                  <c:v>36917</c:v>
                </c:pt>
                <c:pt idx="38">
                  <c:v>39343</c:v>
                </c:pt>
                <c:pt idx="39">
                  <c:v>43974</c:v>
                </c:pt>
                <c:pt idx="40">
                  <c:v>35499</c:v>
                </c:pt>
                <c:pt idx="41">
                  <c:v>35333</c:v>
                </c:pt>
                <c:pt idx="42">
                  <c:v>43379</c:v>
                </c:pt>
                <c:pt idx="43">
                  <c:v>58595</c:v>
                </c:pt>
                <c:pt idx="44">
                  <c:v>61559</c:v>
                </c:pt>
                <c:pt idx="45">
                  <c:v>69518</c:v>
                </c:pt>
                <c:pt idx="46">
                  <c:v>50962</c:v>
                </c:pt>
                <c:pt idx="47">
                  <c:v>63947</c:v>
                </c:pt>
                <c:pt idx="48">
                  <c:v>50078</c:v>
                </c:pt>
                <c:pt idx="49">
                  <c:v>59818</c:v>
                </c:pt>
                <c:pt idx="50">
                  <c:v>45803</c:v>
                </c:pt>
                <c:pt idx="51">
                  <c:v>42479</c:v>
                </c:pt>
                <c:pt idx="52">
                  <c:v>60132</c:v>
                </c:pt>
                <c:pt idx="53">
                  <c:v>91853</c:v>
                </c:pt>
                <c:pt idx="54">
                  <c:v>182017</c:v>
                </c:pt>
                <c:pt idx="55">
                  <c:v>103190</c:v>
                </c:pt>
                <c:pt idx="56">
                  <c:v>117587</c:v>
                </c:pt>
                <c:pt idx="57">
                  <c:v>111264</c:v>
                </c:pt>
                <c:pt idx="58">
                  <c:v>89030</c:v>
                </c:pt>
                <c:pt idx="59">
                  <c:v>76321</c:v>
                </c:pt>
                <c:pt idx="60">
                  <c:v>134469</c:v>
                </c:pt>
                <c:pt idx="61">
                  <c:v>99070</c:v>
                </c:pt>
                <c:pt idx="62">
                  <c:v>132283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5388288"/>
        <c:axId val="165389824"/>
        <c:axId val="0"/>
      </c:bar3DChart>
      <c:dateAx>
        <c:axId val="16538828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165389824"/>
        <c:crosses val="autoZero"/>
        <c:auto val="1"/>
        <c:lblOffset val="100"/>
        <c:baseTimeUnit val="months"/>
      </c:dateAx>
      <c:valAx>
        <c:axId val="16538982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65388288"/>
        <c:crosses val="autoZero"/>
        <c:crossBetween val="between"/>
      </c:valAx>
    </c:plotArea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Items to Date and Number of Participants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5.1986652141272835E-2"/>
          <c:y val="8.4907465107361052E-2"/>
          <c:w val="0.91530721807793236"/>
          <c:h val="0.8184920112607238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Data!$B$1:$BL$1</c:f>
              <c:numCache>
                <c:formatCode>mmm\-yy</c:formatCode>
                <c:ptCount val="63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  <c:pt idx="58">
                  <c:v>41061</c:v>
                </c:pt>
                <c:pt idx="59">
                  <c:v>41091</c:v>
                </c:pt>
                <c:pt idx="60">
                  <c:v>41122</c:v>
                </c:pt>
                <c:pt idx="61">
                  <c:v>41153</c:v>
                </c:pt>
                <c:pt idx="62">
                  <c:v>41183</c:v>
                </c:pt>
              </c:numCache>
            </c:numRef>
          </c:cat>
          <c:val>
            <c:numRef>
              <c:f>Data!$B$2:$BL$2</c:f>
              <c:numCache>
                <c:formatCode>General</c:formatCode>
                <c:ptCount val="63"/>
                <c:pt idx="0">
                  <c:v>150</c:v>
                </c:pt>
                <c:pt idx="1">
                  <c:v>153</c:v>
                </c:pt>
                <c:pt idx="2">
                  <c:v>163</c:v>
                </c:pt>
                <c:pt idx="3">
                  <c:v>201</c:v>
                </c:pt>
                <c:pt idx="4">
                  <c:v>217</c:v>
                </c:pt>
                <c:pt idx="5">
                  <c:v>230</c:v>
                </c:pt>
                <c:pt idx="6">
                  <c:v>240</c:v>
                </c:pt>
                <c:pt idx="7">
                  <c:v>252</c:v>
                </c:pt>
                <c:pt idx="8">
                  <c:v>287</c:v>
                </c:pt>
                <c:pt idx="9">
                  <c:v>331</c:v>
                </c:pt>
                <c:pt idx="10">
                  <c:v>339</c:v>
                </c:pt>
                <c:pt idx="11">
                  <c:v>348</c:v>
                </c:pt>
                <c:pt idx="12">
                  <c:v>365</c:v>
                </c:pt>
                <c:pt idx="13">
                  <c:v>380</c:v>
                </c:pt>
                <c:pt idx="14">
                  <c:v>397</c:v>
                </c:pt>
                <c:pt idx="15">
                  <c:v>450</c:v>
                </c:pt>
                <c:pt idx="16">
                  <c:v>451</c:v>
                </c:pt>
                <c:pt idx="17">
                  <c:v>495</c:v>
                </c:pt>
                <c:pt idx="18">
                  <c:v>644</c:v>
                </c:pt>
                <c:pt idx="19">
                  <c:v>974</c:v>
                </c:pt>
                <c:pt idx="20">
                  <c:v>1076</c:v>
                </c:pt>
                <c:pt idx="21">
                  <c:v>1361</c:v>
                </c:pt>
                <c:pt idx="22">
                  <c:v>1524</c:v>
                </c:pt>
                <c:pt idx="23">
                  <c:v>1730</c:v>
                </c:pt>
                <c:pt idx="24">
                  <c:v>1887</c:v>
                </c:pt>
                <c:pt idx="25">
                  <c:v>2182</c:v>
                </c:pt>
                <c:pt idx="26">
                  <c:v>2511</c:v>
                </c:pt>
                <c:pt idx="27">
                  <c:v>2597</c:v>
                </c:pt>
                <c:pt idx="28">
                  <c:v>2885</c:v>
                </c:pt>
                <c:pt idx="29">
                  <c:v>2934</c:v>
                </c:pt>
                <c:pt idx="30">
                  <c:v>3080</c:v>
                </c:pt>
                <c:pt idx="31">
                  <c:v>3149</c:v>
                </c:pt>
                <c:pt idx="32">
                  <c:v>3319</c:v>
                </c:pt>
                <c:pt idx="33">
                  <c:v>3466</c:v>
                </c:pt>
                <c:pt idx="34">
                  <c:v>3563</c:v>
                </c:pt>
                <c:pt idx="35">
                  <c:v>3607</c:v>
                </c:pt>
                <c:pt idx="36">
                  <c:v>3684</c:v>
                </c:pt>
                <c:pt idx="37">
                  <c:v>3756</c:v>
                </c:pt>
                <c:pt idx="38">
                  <c:v>3842</c:v>
                </c:pt>
                <c:pt idx="39">
                  <c:v>4017</c:v>
                </c:pt>
                <c:pt idx="40">
                  <c:v>4054</c:v>
                </c:pt>
                <c:pt idx="41">
                  <c:v>4172</c:v>
                </c:pt>
                <c:pt idx="42">
                  <c:v>4259</c:v>
                </c:pt>
                <c:pt idx="43">
                  <c:v>4287</c:v>
                </c:pt>
                <c:pt idx="44">
                  <c:v>4334</c:v>
                </c:pt>
                <c:pt idx="45">
                  <c:v>4475</c:v>
                </c:pt>
                <c:pt idx="46">
                  <c:v>4520</c:v>
                </c:pt>
                <c:pt idx="47">
                  <c:v>4599</c:v>
                </c:pt>
                <c:pt idx="48">
                  <c:v>4662</c:v>
                </c:pt>
                <c:pt idx="49">
                  <c:v>4693</c:v>
                </c:pt>
                <c:pt idx="50">
                  <c:v>4731</c:v>
                </c:pt>
                <c:pt idx="51">
                  <c:v>4850</c:v>
                </c:pt>
                <c:pt idx="52">
                  <c:v>4869</c:v>
                </c:pt>
                <c:pt idx="53">
                  <c:v>4887</c:v>
                </c:pt>
                <c:pt idx="54">
                  <c:v>4915</c:v>
                </c:pt>
                <c:pt idx="55">
                  <c:v>4923</c:v>
                </c:pt>
                <c:pt idx="56">
                  <c:v>5041</c:v>
                </c:pt>
                <c:pt idx="57">
                  <c:v>5084</c:v>
                </c:pt>
                <c:pt idx="58">
                  <c:v>5100</c:v>
                </c:pt>
                <c:pt idx="59">
                  <c:v>5115</c:v>
                </c:pt>
                <c:pt idx="60">
                  <c:v>5126</c:v>
                </c:pt>
                <c:pt idx="61">
                  <c:v>5144</c:v>
                </c:pt>
                <c:pt idx="62">
                  <c:v>5176</c:v>
                </c:pt>
              </c:numCache>
            </c:numRef>
          </c:val>
          <c:smooth val="0"/>
        </c:ser>
        <c:ser>
          <c:idx val="1"/>
          <c:order val="1"/>
          <c:marker>
            <c:symbol val="none"/>
          </c:marker>
          <c:cat>
            <c:numRef>
              <c:f>Data!$B$1:$BL$1</c:f>
              <c:numCache>
                <c:formatCode>mmm\-yy</c:formatCode>
                <c:ptCount val="63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  <c:pt idx="58">
                  <c:v>41061</c:v>
                </c:pt>
                <c:pt idx="59">
                  <c:v>41091</c:v>
                </c:pt>
                <c:pt idx="60">
                  <c:v>41122</c:v>
                </c:pt>
                <c:pt idx="61">
                  <c:v>41153</c:v>
                </c:pt>
                <c:pt idx="62">
                  <c:v>41183</c:v>
                </c:pt>
              </c:numCache>
            </c:numRef>
          </c:cat>
          <c:val>
            <c:numRef>
              <c:f>Data!$B$8:$BL$8</c:f>
              <c:numCache>
                <c:formatCode>General</c:formatCode>
                <c:ptCount val="63"/>
                <c:pt idx="2">
                  <c:v>113</c:v>
                </c:pt>
                <c:pt idx="3">
                  <c:v>135</c:v>
                </c:pt>
                <c:pt idx="4">
                  <c:v>140</c:v>
                </c:pt>
                <c:pt idx="5">
                  <c:v>143</c:v>
                </c:pt>
                <c:pt idx="6">
                  <c:v>156</c:v>
                </c:pt>
                <c:pt idx="7">
                  <c:v>161</c:v>
                </c:pt>
                <c:pt idx="8">
                  <c:v>196</c:v>
                </c:pt>
                <c:pt idx="9">
                  <c:v>226</c:v>
                </c:pt>
                <c:pt idx="10">
                  <c:v>226</c:v>
                </c:pt>
                <c:pt idx="11">
                  <c:v>231</c:v>
                </c:pt>
                <c:pt idx="12">
                  <c:v>238</c:v>
                </c:pt>
                <c:pt idx="13">
                  <c:v>248</c:v>
                </c:pt>
                <c:pt idx="14">
                  <c:v>255</c:v>
                </c:pt>
                <c:pt idx="15">
                  <c:v>269</c:v>
                </c:pt>
                <c:pt idx="16">
                  <c:v>292</c:v>
                </c:pt>
                <c:pt idx="17">
                  <c:v>326</c:v>
                </c:pt>
                <c:pt idx="18">
                  <c:v>350</c:v>
                </c:pt>
                <c:pt idx="19">
                  <c:v>386</c:v>
                </c:pt>
                <c:pt idx="20">
                  <c:v>430</c:v>
                </c:pt>
                <c:pt idx="21">
                  <c:v>491</c:v>
                </c:pt>
                <c:pt idx="22">
                  <c:v>577</c:v>
                </c:pt>
                <c:pt idx="23">
                  <c:v>650</c:v>
                </c:pt>
                <c:pt idx="24">
                  <c:v>711</c:v>
                </c:pt>
                <c:pt idx="25">
                  <c:v>764</c:v>
                </c:pt>
                <c:pt idx="26">
                  <c:v>790</c:v>
                </c:pt>
                <c:pt idx="27">
                  <c:v>848</c:v>
                </c:pt>
                <c:pt idx="28">
                  <c:v>881</c:v>
                </c:pt>
                <c:pt idx="29">
                  <c:v>918</c:v>
                </c:pt>
                <c:pt idx="30">
                  <c:v>950</c:v>
                </c:pt>
                <c:pt idx="31">
                  <c:v>964</c:v>
                </c:pt>
                <c:pt idx="32">
                  <c:v>996</c:v>
                </c:pt>
                <c:pt idx="33">
                  <c:v>1057</c:v>
                </c:pt>
                <c:pt idx="34">
                  <c:v>1097</c:v>
                </c:pt>
                <c:pt idx="35">
                  <c:v>1115</c:v>
                </c:pt>
                <c:pt idx="36">
                  <c:v>1139</c:v>
                </c:pt>
                <c:pt idx="37">
                  <c:v>1160</c:v>
                </c:pt>
                <c:pt idx="38">
                  <c:v>1167</c:v>
                </c:pt>
                <c:pt idx="39">
                  <c:v>1187</c:v>
                </c:pt>
                <c:pt idx="40">
                  <c:v>1220</c:v>
                </c:pt>
                <c:pt idx="41">
                  <c:v>1231</c:v>
                </c:pt>
                <c:pt idx="42">
                  <c:v>1246</c:v>
                </c:pt>
                <c:pt idx="43">
                  <c:v>1242</c:v>
                </c:pt>
                <c:pt idx="44">
                  <c:v>1307</c:v>
                </c:pt>
                <c:pt idx="45">
                  <c:v>1355</c:v>
                </c:pt>
                <c:pt idx="46">
                  <c:v>1375</c:v>
                </c:pt>
                <c:pt idx="47">
                  <c:v>1417</c:v>
                </c:pt>
                <c:pt idx="48">
                  <c:v>1439</c:v>
                </c:pt>
                <c:pt idx="49">
                  <c:v>1444</c:v>
                </c:pt>
                <c:pt idx="50">
                  <c:v>1449</c:v>
                </c:pt>
                <c:pt idx="51">
                  <c:v>1471</c:v>
                </c:pt>
                <c:pt idx="52">
                  <c:v>1492</c:v>
                </c:pt>
                <c:pt idx="53">
                  <c:v>1492</c:v>
                </c:pt>
                <c:pt idx="54">
                  <c:v>1523</c:v>
                </c:pt>
                <c:pt idx="55">
                  <c:v>1527</c:v>
                </c:pt>
                <c:pt idx="56">
                  <c:v>1617</c:v>
                </c:pt>
                <c:pt idx="57">
                  <c:v>1656</c:v>
                </c:pt>
                <c:pt idx="58">
                  <c:v>1667</c:v>
                </c:pt>
                <c:pt idx="59">
                  <c:v>1679</c:v>
                </c:pt>
                <c:pt idx="60">
                  <c:v>1689</c:v>
                </c:pt>
                <c:pt idx="61">
                  <c:v>1701</c:v>
                </c:pt>
                <c:pt idx="62">
                  <c:v>1719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521280"/>
        <c:axId val="165522816"/>
      </c:lineChart>
      <c:dateAx>
        <c:axId val="16552128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crossAx val="165522816"/>
        <c:crosses val="autoZero"/>
        <c:auto val="1"/>
        <c:lblOffset val="100"/>
        <c:baseTimeUnit val="months"/>
      </c:dateAx>
      <c:valAx>
        <c:axId val="16552281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65521280"/>
        <c:crossesAt val="1"/>
        <c:crossBetween val="between"/>
      </c:valAx>
    </c:plotArea>
    <c:legend>
      <c:legendPos val="r"/>
      <c:layout>
        <c:manualLayout>
          <c:xMode val="edge"/>
          <c:yMode val="edge"/>
          <c:x val="0.30804493643755948"/>
          <c:y val="0.2679113861500978"/>
          <c:w val="0.20997084308652644"/>
          <c:h val="8.2747380172088728E-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8"/>
    </mc:Choice>
    <mc:Fallback>
      <c:style val="2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Percentage of DC that are ETDs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Data!$B$1:$BL$1</c:f>
              <c:numCache>
                <c:formatCode>mmm\-yy</c:formatCode>
                <c:ptCount val="63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  <c:pt idx="58">
                  <c:v>41061</c:v>
                </c:pt>
                <c:pt idx="59">
                  <c:v>41091</c:v>
                </c:pt>
                <c:pt idx="60">
                  <c:v>41122</c:v>
                </c:pt>
                <c:pt idx="61">
                  <c:v>41153</c:v>
                </c:pt>
                <c:pt idx="62">
                  <c:v>41183</c:v>
                </c:pt>
              </c:numCache>
            </c:numRef>
          </c:cat>
          <c:val>
            <c:numRef>
              <c:f>Data!$B$14:$BL$14</c:f>
              <c:numCache>
                <c:formatCode>0%</c:formatCode>
                <c:ptCount val="63"/>
                <c:pt idx="0">
                  <c:v>0.39333333333333331</c:v>
                </c:pt>
                <c:pt idx="1">
                  <c:v>0.39215686274509803</c:v>
                </c:pt>
                <c:pt idx="2">
                  <c:v>0.38650306748466257</c:v>
                </c:pt>
                <c:pt idx="3">
                  <c:v>0.31840796019900497</c:v>
                </c:pt>
                <c:pt idx="4">
                  <c:v>0.34562211981566821</c:v>
                </c:pt>
                <c:pt idx="5">
                  <c:v>0.32608695652173914</c:v>
                </c:pt>
                <c:pt idx="6">
                  <c:v>0.31666666666666665</c:v>
                </c:pt>
                <c:pt idx="7">
                  <c:v>0.30555555555555558</c:v>
                </c:pt>
                <c:pt idx="8">
                  <c:v>0.32752613240418116</c:v>
                </c:pt>
                <c:pt idx="9">
                  <c:v>0.42900302114803623</c:v>
                </c:pt>
                <c:pt idx="10">
                  <c:v>0.45722713864306785</c:v>
                </c:pt>
                <c:pt idx="11">
                  <c:v>0.45402298850574713</c:v>
                </c:pt>
                <c:pt idx="12">
                  <c:v>0.44383561643835617</c:v>
                </c:pt>
                <c:pt idx="13">
                  <c:v>0.44210526315789472</c:v>
                </c:pt>
                <c:pt idx="14">
                  <c:v>0.4357682619647355</c:v>
                </c:pt>
                <c:pt idx="15">
                  <c:v>0.4</c:v>
                </c:pt>
                <c:pt idx="16">
                  <c:v>0.43458980044345896</c:v>
                </c:pt>
                <c:pt idx="17">
                  <c:v>0.43434343434343436</c:v>
                </c:pt>
                <c:pt idx="18">
                  <c:v>0.35714285714285715</c:v>
                </c:pt>
                <c:pt idx="19">
                  <c:v>0.25154004106776179</c:v>
                </c:pt>
                <c:pt idx="20">
                  <c:v>0.27881040892193309</c:v>
                </c:pt>
                <c:pt idx="21">
                  <c:v>0.23071271124173401</c:v>
                </c:pt>
                <c:pt idx="22">
                  <c:v>0.20931758530183728</c:v>
                </c:pt>
                <c:pt idx="23">
                  <c:v>0.21791907514450867</c:v>
                </c:pt>
                <c:pt idx="24">
                  <c:v>0.21727609962904079</c:v>
                </c:pt>
                <c:pt idx="25">
                  <c:v>0.19844179651695693</c:v>
                </c:pt>
                <c:pt idx="26">
                  <c:v>0.18080446037435285</c:v>
                </c:pt>
                <c:pt idx="27">
                  <c:v>0.21139776665383134</c:v>
                </c:pt>
                <c:pt idx="28">
                  <c:v>0.19965337954939341</c:v>
                </c:pt>
                <c:pt idx="29">
                  <c:v>0.20483980913428765</c:v>
                </c:pt>
                <c:pt idx="30">
                  <c:v>0.20194805194805196</c:v>
                </c:pt>
                <c:pt idx="31">
                  <c:v>0.20292156240076215</c:v>
                </c:pt>
                <c:pt idx="32">
                  <c:v>0.20036155468514613</c:v>
                </c:pt>
                <c:pt idx="33">
                  <c:v>0.21119446047316792</c:v>
                </c:pt>
                <c:pt idx="34">
                  <c:v>0.21554869492001122</c:v>
                </c:pt>
                <c:pt idx="35">
                  <c:v>0.21874133629054615</c:v>
                </c:pt>
                <c:pt idx="36">
                  <c:v>0.21661237785016288</c:v>
                </c:pt>
                <c:pt idx="37">
                  <c:v>0.21671991480298189</c:v>
                </c:pt>
                <c:pt idx="38">
                  <c:v>0.21395106715252474</c:v>
                </c:pt>
                <c:pt idx="39">
                  <c:v>0.21209858103061988</c:v>
                </c:pt>
                <c:pt idx="40">
                  <c:v>0.21386285150468673</c:v>
                </c:pt>
                <c:pt idx="41">
                  <c:v>0.21021093000958774</c:v>
                </c:pt>
                <c:pt idx="42">
                  <c:v>0.20803005400328717</c:v>
                </c:pt>
                <c:pt idx="43">
                  <c:v>0.20807091205971542</c:v>
                </c:pt>
                <c:pt idx="44">
                  <c:v>0.21573604060913706</c:v>
                </c:pt>
                <c:pt idx="45">
                  <c:v>0.22100558659217878</c:v>
                </c:pt>
                <c:pt idx="46">
                  <c:v>0.22234513274336284</c:v>
                </c:pt>
                <c:pt idx="47">
                  <c:v>0.2217873450750163</c:v>
                </c:pt>
                <c:pt idx="48">
                  <c:v>0.22586872586872586</c:v>
                </c:pt>
                <c:pt idx="49">
                  <c:v>0.225442147879821</c:v>
                </c:pt>
                <c:pt idx="50">
                  <c:v>0.22426548298456986</c:v>
                </c:pt>
                <c:pt idx="51">
                  <c:v>0.22164948453608246</c:v>
                </c:pt>
                <c:pt idx="52">
                  <c:v>0.22468679400287533</c:v>
                </c:pt>
                <c:pt idx="53">
                  <c:v>0.22713321055862493</c:v>
                </c:pt>
                <c:pt idx="54">
                  <c:v>0.22665310274669379</c:v>
                </c:pt>
                <c:pt idx="55">
                  <c:v>0.22709729839528742</c:v>
                </c:pt>
                <c:pt idx="56">
                  <c:v>0.24003173973417974</c:v>
                </c:pt>
                <c:pt idx="57">
                  <c:v>0.24586939417781276</c:v>
                </c:pt>
                <c:pt idx="58">
                  <c:v>0.24725490196078431</c:v>
                </c:pt>
                <c:pt idx="59">
                  <c:v>0.24907135874877812</c:v>
                </c:pt>
                <c:pt idx="60">
                  <c:v>0.25068279360124851</c:v>
                </c:pt>
                <c:pt idx="61">
                  <c:v>0.25194401244167963</c:v>
                </c:pt>
                <c:pt idx="62">
                  <c:v>0.25231839258114375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350016"/>
        <c:axId val="165650432"/>
      </c:lineChart>
      <c:dateAx>
        <c:axId val="16535001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65650432"/>
        <c:crosses val="autoZero"/>
        <c:auto val="1"/>
        <c:lblOffset val="100"/>
        <c:baseTimeUnit val="months"/>
      </c:dateAx>
      <c:valAx>
        <c:axId val="165650432"/>
        <c:scaling>
          <c:orientation val="minMax"/>
          <c:min val="0.1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crossAx val="165350016"/>
        <c:crosses val="autoZero"/>
        <c:crossBetween val="between"/>
      </c:valAx>
    </c:plotArea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ETD Downloads as Percent of Whole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6117866117381949E-2"/>
          <c:y val="8.4913266544886568E-2"/>
          <c:w val="0.86921494753505479"/>
          <c:h val="0.81444341477862825"/>
        </c:manualLayout>
      </c:layout>
      <c:lineChart>
        <c:grouping val="stacked"/>
        <c:varyColors val="0"/>
        <c:ser>
          <c:idx val="0"/>
          <c:order val="0"/>
          <c:marker>
            <c:symbol val="none"/>
          </c:marker>
          <c:cat>
            <c:numRef>
              <c:f>Data!$B$1:$BL$1</c:f>
              <c:numCache>
                <c:formatCode>mmm\-yy</c:formatCode>
                <c:ptCount val="63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  <c:pt idx="58">
                  <c:v>41061</c:v>
                </c:pt>
                <c:pt idx="59">
                  <c:v>41091</c:v>
                </c:pt>
                <c:pt idx="60">
                  <c:v>41122</c:v>
                </c:pt>
                <c:pt idx="61">
                  <c:v>41153</c:v>
                </c:pt>
                <c:pt idx="62">
                  <c:v>41183</c:v>
                </c:pt>
              </c:numCache>
            </c:numRef>
          </c:cat>
          <c:val>
            <c:numRef>
              <c:f>Data!$B$16:$BL$16</c:f>
              <c:numCache>
                <c:formatCode>0.0%</c:formatCode>
                <c:ptCount val="63"/>
                <c:pt idx="0">
                  <c:v>0.73056273613044342</c:v>
                </c:pt>
                <c:pt idx="1">
                  <c:v>0.72359921886735767</c:v>
                </c:pt>
                <c:pt idx="2">
                  <c:v>0.71319267331323899</c:v>
                </c:pt>
                <c:pt idx="3">
                  <c:v>0.70370014416146087</c:v>
                </c:pt>
                <c:pt idx="4">
                  <c:v>0.68760413195601466</c:v>
                </c:pt>
                <c:pt idx="5">
                  <c:v>0.66266187050359715</c:v>
                </c:pt>
                <c:pt idx="6">
                  <c:v>0.65330485046494091</c:v>
                </c:pt>
                <c:pt idx="7">
                  <c:v>0.64192778922259564</c:v>
                </c:pt>
                <c:pt idx="8">
                  <c:v>0.63423778058953095</c:v>
                </c:pt>
                <c:pt idx="9">
                  <c:v>0.63386800734179238</c:v>
                </c:pt>
                <c:pt idx="10">
                  <c:v>0.63738762013020567</c:v>
                </c:pt>
                <c:pt idx="11">
                  <c:v>0.63908203766152372</c:v>
                </c:pt>
                <c:pt idx="12">
                  <c:v>0.62490238845356383</c:v>
                </c:pt>
                <c:pt idx="13">
                  <c:v>0.62221196365226683</c:v>
                </c:pt>
                <c:pt idx="14">
                  <c:v>0.61906222611744088</c:v>
                </c:pt>
                <c:pt idx="15">
                  <c:v>0.61523911918130048</c:v>
                </c:pt>
                <c:pt idx="16">
                  <c:v>0.61159753654374116</c:v>
                </c:pt>
                <c:pt idx="17">
                  <c:v>0.60974475560607622</c:v>
                </c:pt>
                <c:pt idx="18">
                  <c:v>0.60304963285505409</c:v>
                </c:pt>
                <c:pt idx="19">
                  <c:v>0.59084014002333718</c:v>
                </c:pt>
                <c:pt idx="20">
                  <c:v>0.5773406953397443</c:v>
                </c:pt>
                <c:pt idx="21">
                  <c:v>0.57033733396183084</c:v>
                </c:pt>
                <c:pt idx="22">
                  <c:v>0.56122346536972789</c:v>
                </c:pt>
                <c:pt idx="23">
                  <c:v>0.55101708540668148</c:v>
                </c:pt>
                <c:pt idx="24">
                  <c:v>0.53059020666542545</c:v>
                </c:pt>
                <c:pt idx="25">
                  <c:v>0.51201685150876841</c:v>
                </c:pt>
                <c:pt idx="26">
                  <c:v>0.49081641817855221</c:v>
                </c:pt>
                <c:pt idx="27">
                  <c:v>0.48336693548387094</c:v>
                </c:pt>
                <c:pt idx="28">
                  <c:v>0.47247714949651431</c:v>
                </c:pt>
                <c:pt idx="29">
                  <c:v>0.47025966272808412</c:v>
                </c:pt>
                <c:pt idx="30">
                  <c:v>0.45355505202908042</c:v>
                </c:pt>
                <c:pt idx="31">
                  <c:v>0.43936584461338773</c:v>
                </c:pt>
                <c:pt idx="32">
                  <c:v>0.43702180803339963</c:v>
                </c:pt>
                <c:pt idx="33">
                  <c:v>0.43940331166235352</c:v>
                </c:pt>
                <c:pt idx="34">
                  <c:v>0.43177800190980942</c:v>
                </c:pt>
                <c:pt idx="35">
                  <c:v>0.42751736579990707</c:v>
                </c:pt>
                <c:pt idx="36">
                  <c:v>0.42457765938084285</c:v>
                </c:pt>
                <c:pt idx="37">
                  <c:v>0.42419390036036353</c:v>
                </c:pt>
                <c:pt idx="38">
                  <c:v>0.42839778567559356</c:v>
                </c:pt>
                <c:pt idx="39">
                  <c:v>0.42885855039664411</c:v>
                </c:pt>
                <c:pt idx="40">
                  <c:v>0.42667246100830281</c:v>
                </c:pt>
                <c:pt idx="41">
                  <c:v>0.42724089763629469</c:v>
                </c:pt>
                <c:pt idx="42">
                  <c:v>0.42651361273130461</c:v>
                </c:pt>
                <c:pt idx="43">
                  <c:v>0.42747532445713804</c:v>
                </c:pt>
                <c:pt idx="44">
                  <c:v>0.43706454481229751</c:v>
                </c:pt>
                <c:pt idx="45">
                  <c:v>0.45222373062445098</c:v>
                </c:pt>
                <c:pt idx="46">
                  <c:v>0.45837064369377717</c:v>
                </c:pt>
                <c:pt idx="47">
                  <c:v>0.46654763192587828</c:v>
                </c:pt>
                <c:pt idx="48">
                  <c:v>0.46927539776660543</c:v>
                </c:pt>
                <c:pt idx="49">
                  <c:v>0.4714285564084798</c:v>
                </c:pt>
                <c:pt idx="50">
                  <c:v>0.47262641562427904</c:v>
                </c:pt>
                <c:pt idx="51">
                  <c:v>0.47373023959268379</c:v>
                </c:pt>
                <c:pt idx="52">
                  <c:v>0.47639653994785003</c:v>
                </c:pt>
                <c:pt idx="53">
                  <c:v>0.48083976987914795</c:v>
                </c:pt>
                <c:pt idx="54">
                  <c:v>0.46057823300138123</c:v>
                </c:pt>
                <c:pt idx="55">
                  <c:v>0.46611259389088711</c:v>
                </c:pt>
                <c:pt idx="56">
                  <c:v>0.47921423588981837</c:v>
                </c:pt>
                <c:pt idx="57">
                  <c:v>0.49181204527650474</c:v>
                </c:pt>
                <c:pt idx="58">
                  <c:v>0.49886316901667466</c:v>
                </c:pt>
                <c:pt idx="59">
                  <c:v>0.50682200982155601</c:v>
                </c:pt>
                <c:pt idx="60">
                  <c:v>0.49986236143886154</c:v>
                </c:pt>
                <c:pt idx="61">
                  <c:v>0.50994191953512813</c:v>
                </c:pt>
                <c:pt idx="62">
                  <c:v>0.52021568403897867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293504"/>
        <c:axId val="166295040"/>
      </c:lineChart>
      <c:dateAx>
        <c:axId val="16629350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66295040"/>
        <c:crosses val="autoZero"/>
        <c:auto val="1"/>
        <c:lblOffset val="100"/>
        <c:baseTimeUnit val="months"/>
      </c:dateAx>
      <c:valAx>
        <c:axId val="166295040"/>
        <c:scaling>
          <c:orientation val="minMax"/>
          <c:min val="0.4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662935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237856839671524"/>
          <c:y val="0.43430557303445733"/>
          <c:w val="0.11005280502029265"/>
          <c:h val="0.17371685842603662"/>
        </c:manualLayout>
      </c:layout>
      <c:overlay val="0"/>
    </c:legend>
    <c:plotVisOnly val="1"/>
    <c:dispBlanksAs val="zero"/>
    <c:showDLblsOverMax val="0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2"/>
    </mc:Choice>
    <mc:Fallback>
      <c:style val="1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Average Downloads per Item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6.3072637509663423E-2"/>
          <c:y val="8.4913266544886568E-2"/>
          <c:w val="0.80478200954193146"/>
          <c:h val="0.80637134325626059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Data!$B$1:$BL$1</c:f>
              <c:numCache>
                <c:formatCode>mmm\-yy</c:formatCode>
                <c:ptCount val="63"/>
                <c:pt idx="0">
                  <c:v>39295</c:v>
                </c:pt>
                <c:pt idx="1">
                  <c:v>39326</c:v>
                </c:pt>
                <c:pt idx="2">
                  <c:v>39356</c:v>
                </c:pt>
                <c:pt idx="3">
                  <c:v>39387</c:v>
                </c:pt>
                <c:pt idx="4">
                  <c:v>39417</c:v>
                </c:pt>
                <c:pt idx="5">
                  <c:v>39448</c:v>
                </c:pt>
                <c:pt idx="6">
                  <c:v>39479</c:v>
                </c:pt>
                <c:pt idx="7">
                  <c:v>39508</c:v>
                </c:pt>
                <c:pt idx="8">
                  <c:v>39539</c:v>
                </c:pt>
                <c:pt idx="9">
                  <c:v>39569</c:v>
                </c:pt>
                <c:pt idx="10">
                  <c:v>39600</c:v>
                </c:pt>
                <c:pt idx="11">
                  <c:v>39630</c:v>
                </c:pt>
                <c:pt idx="12">
                  <c:v>39661</c:v>
                </c:pt>
                <c:pt idx="13">
                  <c:v>39692</c:v>
                </c:pt>
                <c:pt idx="14">
                  <c:v>39722</c:v>
                </c:pt>
                <c:pt idx="15">
                  <c:v>39753</c:v>
                </c:pt>
                <c:pt idx="16">
                  <c:v>39783</c:v>
                </c:pt>
                <c:pt idx="17">
                  <c:v>39814</c:v>
                </c:pt>
                <c:pt idx="18">
                  <c:v>39845</c:v>
                </c:pt>
                <c:pt idx="19">
                  <c:v>39873</c:v>
                </c:pt>
                <c:pt idx="20">
                  <c:v>39904</c:v>
                </c:pt>
                <c:pt idx="21">
                  <c:v>39934</c:v>
                </c:pt>
                <c:pt idx="22">
                  <c:v>39965</c:v>
                </c:pt>
                <c:pt idx="23">
                  <c:v>39995</c:v>
                </c:pt>
                <c:pt idx="24">
                  <c:v>40026</c:v>
                </c:pt>
                <c:pt idx="25">
                  <c:v>40057</c:v>
                </c:pt>
                <c:pt idx="26">
                  <c:v>40087</c:v>
                </c:pt>
                <c:pt idx="27">
                  <c:v>40118</c:v>
                </c:pt>
                <c:pt idx="28">
                  <c:v>40148</c:v>
                </c:pt>
                <c:pt idx="29">
                  <c:v>40179</c:v>
                </c:pt>
                <c:pt idx="30">
                  <c:v>40210</c:v>
                </c:pt>
                <c:pt idx="31">
                  <c:v>40238</c:v>
                </c:pt>
                <c:pt idx="32">
                  <c:v>40269</c:v>
                </c:pt>
                <c:pt idx="33">
                  <c:v>40299</c:v>
                </c:pt>
                <c:pt idx="34">
                  <c:v>40330</c:v>
                </c:pt>
                <c:pt idx="35">
                  <c:v>40360</c:v>
                </c:pt>
                <c:pt idx="36">
                  <c:v>40391</c:v>
                </c:pt>
                <c:pt idx="37">
                  <c:v>40422</c:v>
                </c:pt>
                <c:pt idx="38">
                  <c:v>40452</c:v>
                </c:pt>
                <c:pt idx="39">
                  <c:v>40483</c:v>
                </c:pt>
                <c:pt idx="40">
                  <c:v>40513</c:v>
                </c:pt>
                <c:pt idx="41">
                  <c:v>40544</c:v>
                </c:pt>
                <c:pt idx="42">
                  <c:v>40575</c:v>
                </c:pt>
                <c:pt idx="43">
                  <c:v>40603</c:v>
                </c:pt>
                <c:pt idx="44">
                  <c:v>40634</c:v>
                </c:pt>
                <c:pt idx="45">
                  <c:v>40664</c:v>
                </c:pt>
                <c:pt idx="46">
                  <c:v>40695</c:v>
                </c:pt>
                <c:pt idx="47">
                  <c:v>40725</c:v>
                </c:pt>
                <c:pt idx="48">
                  <c:v>40756</c:v>
                </c:pt>
                <c:pt idx="49">
                  <c:v>40787</c:v>
                </c:pt>
                <c:pt idx="50">
                  <c:v>40817</c:v>
                </c:pt>
                <c:pt idx="51">
                  <c:v>40848</c:v>
                </c:pt>
                <c:pt idx="52">
                  <c:v>40878</c:v>
                </c:pt>
                <c:pt idx="53">
                  <c:v>40909</c:v>
                </c:pt>
                <c:pt idx="54">
                  <c:v>40940</c:v>
                </c:pt>
                <c:pt idx="55">
                  <c:v>40969</c:v>
                </c:pt>
                <c:pt idx="56">
                  <c:v>41000</c:v>
                </c:pt>
                <c:pt idx="57">
                  <c:v>41030</c:v>
                </c:pt>
                <c:pt idx="58">
                  <c:v>41061</c:v>
                </c:pt>
                <c:pt idx="59">
                  <c:v>41091</c:v>
                </c:pt>
                <c:pt idx="60">
                  <c:v>41122</c:v>
                </c:pt>
                <c:pt idx="61">
                  <c:v>41153</c:v>
                </c:pt>
                <c:pt idx="62">
                  <c:v>41183</c:v>
                </c:pt>
              </c:numCache>
            </c:numRef>
          </c:cat>
          <c:val>
            <c:numRef>
              <c:f>Data!$B$17:$BL$17</c:f>
              <c:numCache>
                <c:formatCode>0.0</c:formatCode>
                <c:ptCount val="63"/>
                <c:pt idx="0">
                  <c:v>33.526666666666664</c:v>
                </c:pt>
                <c:pt idx="1">
                  <c:v>43.509803921568626</c:v>
                </c:pt>
                <c:pt idx="2">
                  <c:v>52.920245398773005</c:v>
                </c:pt>
                <c:pt idx="3">
                  <c:v>51.766169154228855</c:v>
                </c:pt>
                <c:pt idx="4">
                  <c:v>55.317972350230413</c:v>
                </c:pt>
                <c:pt idx="5">
                  <c:v>60.434782608695649</c:v>
                </c:pt>
                <c:pt idx="6">
                  <c:v>66.316666666666663</c:v>
                </c:pt>
                <c:pt idx="7">
                  <c:v>73.198412698412696</c:v>
                </c:pt>
                <c:pt idx="8">
                  <c:v>74.351916376306619</c:v>
                </c:pt>
                <c:pt idx="9">
                  <c:v>75.716012084592151</c:v>
                </c:pt>
                <c:pt idx="10">
                  <c:v>85.637168141592923</c:v>
                </c:pt>
                <c:pt idx="11">
                  <c:v>96.290229885057471</c:v>
                </c:pt>
                <c:pt idx="12">
                  <c:v>101.74520547945205</c:v>
                </c:pt>
                <c:pt idx="13">
                  <c:v>108.31052631578947</c:v>
                </c:pt>
                <c:pt idx="14">
                  <c:v>114.96221662468514</c:v>
                </c:pt>
                <c:pt idx="15">
                  <c:v>111.61333333333333</c:v>
                </c:pt>
                <c:pt idx="16">
                  <c:v>119.52993348115299</c:v>
                </c:pt>
                <c:pt idx="17">
                  <c:v>117.2969696969697</c:v>
                </c:pt>
                <c:pt idx="18">
                  <c:v>96.641304347826093</c:v>
                </c:pt>
                <c:pt idx="19">
                  <c:v>70.390143737166326</c:v>
                </c:pt>
                <c:pt idx="20">
                  <c:v>70.356877323420079</c:v>
                </c:pt>
                <c:pt idx="21">
                  <c:v>60.791329904481998</c:v>
                </c:pt>
                <c:pt idx="22">
                  <c:v>58.823490813648291</c:v>
                </c:pt>
                <c:pt idx="23">
                  <c:v>56.804046242774568</c:v>
                </c:pt>
                <c:pt idx="24">
                  <c:v>56.926338102808693</c:v>
                </c:pt>
                <c:pt idx="25">
                  <c:v>54.17461044912924</c:v>
                </c:pt>
                <c:pt idx="26">
                  <c:v>53.209080047789726</c:v>
                </c:pt>
                <c:pt idx="27">
                  <c:v>57.296881016557563</c:v>
                </c:pt>
                <c:pt idx="28">
                  <c:v>55.935875216637783</c:v>
                </c:pt>
                <c:pt idx="29">
                  <c:v>57.662235855487388</c:v>
                </c:pt>
                <c:pt idx="30">
                  <c:v>60.468181818181819</c:v>
                </c:pt>
                <c:pt idx="31">
                  <c:v>65.079072721498889</c:v>
                </c:pt>
                <c:pt idx="32">
                  <c:v>66.827056342271774</c:v>
                </c:pt>
                <c:pt idx="33">
                  <c:v>68.564627813040971</c:v>
                </c:pt>
                <c:pt idx="34">
                  <c:v>73.185237159696882</c:v>
                </c:pt>
                <c:pt idx="35">
                  <c:v>76.989464929304134</c:v>
                </c:pt>
                <c:pt idx="36">
                  <c:v>82.026330076004342</c:v>
                </c:pt>
                <c:pt idx="37">
                  <c:v>90.282747603833869</c:v>
                </c:pt>
                <c:pt idx="38">
                  <c:v>98.502082248828728</c:v>
                </c:pt>
                <c:pt idx="39">
                  <c:v>105.15782922579039</c:v>
                </c:pt>
                <c:pt idx="40">
                  <c:v>112.95461272816971</c:v>
                </c:pt>
                <c:pt idx="41">
                  <c:v>118.22890699904123</c:v>
                </c:pt>
                <c:pt idx="42">
                  <c:v>125.99906081239727</c:v>
                </c:pt>
                <c:pt idx="43">
                  <c:v>138.84418007930955</c:v>
                </c:pt>
                <c:pt idx="44">
                  <c:v>151.54222427318874</c:v>
                </c:pt>
                <c:pt idx="45">
                  <c:v>162.30212290502794</c:v>
                </c:pt>
                <c:pt idx="46">
                  <c:v>171.96106194690265</c:v>
                </c:pt>
                <c:pt idx="47">
                  <c:v>182.91171993911721</c:v>
                </c:pt>
                <c:pt idx="48">
                  <c:v>191.18168168168168</c:v>
                </c:pt>
                <c:pt idx="49">
                  <c:v>202.66503302791392</c:v>
                </c:pt>
                <c:pt idx="50">
                  <c:v>210.71866413020504</c:v>
                </c:pt>
                <c:pt idx="51">
                  <c:v>214.30701030927835</c:v>
                </c:pt>
                <c:pt idx="52">
                  <c:v>225.82070240295749</c:v>
                </c:pt>
                <c:pt idx="53">
                  <c:v>243.7843257622263</c:v>
                </c:pt>
                <c:pt idx="54">
                  <c:v>279.42848423194306</c:v>
                </c:pt>
                <c:pt idx="55">
                  <c:v>299.93520211253303</c:v>
                </c:pt>
                <c:pt idx="56">
                  <c:v>316.24042848641142</c:v>
                </c:pt>
                <c:pt idx="57">
                  <c:v>335.45082612116443</c:v>
                </c:pt>
                <c:pt idx="58">
                  <c:v>351.85529411764708</c:v>
                </c:pt>
                <c:pt idx="59">
                  <c:v>365.744477028348</c:v>
                </c:pt>
                <c:pt idx="60">
                  <c:v>391.19235271166599</c:v>
                </c:pt>
                <c:pt idx="61">
                  <c:v>409.08281493001556</c:v>
                </c:pt>
                <c:pt idx="62">
                  <c:v>432.11070324574962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7655296"/>
        <c:axId val="167656832"/>
      </c:lineChart>
      <c:dateAx>
        <c:axId val="167655296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crossAx val="167656832"/>
        <c:crosses val="autoZero"/>
        <c:auto val="1"/>
        <c:lblOffset val="100"/>
        <c:baseTimeUnit val="months"/>
      </c:dateAx>
      <c:valAx>
        <c:axId val="167656832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crossAx val="167655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371085591259701"/>
          <c:y val="0.48273800216865431"/>
          <c:w val="0.11018456971966505"/>
          <c:h val="0.10914028624709712"/>
        </c:manualLayout>
      </c:layout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chart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chart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123" workbookViewId="0" zoomToFit="1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73171" cy="628030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L25"/>
  <sheetViews>
    <sheetView tabSelected="1"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F23" sqref="BF23"/>
    </sheetView>
  </sheetViews>
  <sheetFormatPr defaultRowHeight="17.25" x14ac:dyDescent="0.25"/>
  <cols>
    <col min="1" max="1" width="19.5703125" style="26" customWidth="1"/>
    <col min="2" max="2" width="11" customWidth="1"/>
    <col min="3" max="3" width="11.85546875" bestFit="1" customWidth="1"/>
    <col min="4" max="4" width="9.42578125" bestFit="1" customWidth="1"/>
    <col min="5" max="5" width="9.5703125" bestFit="1" customWidth="1"/>
    <col min="6" max="6" width="10.28515625" bestFit="1" customWidth="1"/>
    <col min="7" max="7" width="9.42578125" bestFit="1" customWidth="1"/>
    <col min="8" max="8" width="10.140625" bestFit="1" customWidth="1"/>
    <col min="9" max="9" width="9.7109375" bestFit="1" customWidth="1"/>
    <col min="10" max="10" width="9.42578125" bestFit="1" customWidth="1"/>
    <col min="11" max="11" width="10" bestFit="1" customWidth="1"/>
    <col min="12" max="13" width="9.42578125" bestFit="1" customWidth="1"/>
    <col min="14" max="15" width="10.28515625" bestFit="1" customWidth="1"/>
    <col min="16" max="16" width="9.42578125" bestFit="1" customWidth="1"/>
    <col min="17" max="17" width="9.5703125" bestFit="1" customWidth="1"/>
    <col min="18" max="18" width="10.28515625" bestFit="1" customWidth="1"/>
    <col min="19" max="19" width="9.42578125" bestFit="1" customWidth="1"/>
    <col min="20" max="20" width="10.140625" bestFit="1" customWidth="1"/>
    <col min="21" max="21" width="9.7109375" bestFit="1" customWidth="1"/>
    <col min="22" max="22" width="9.42578125" bestFit="1" customWidth="1"/>
    <col min="23" max="23" width="10" bestFit="1" customWidth="1"/>
    <col min="24" max="25" width="9.42578125" bestFit="1" customWidth="1"/>
    <col min="26" max="27" width="10.28515625" bestFit="1" customWidth="1"/>
    <col min="28" max="28" width="10.28515625" customWidth="1"/>
    <col min="29" max="45" width="10.28515625" bestFit="1" customWidth="1"/>
    <col min="46" max="47" width="10.5703125" customWidth="1"/>
    <col min="48" max="48" width="11.85546875" customWidth="1"/>
    <col min="49" max="49" width="11.140625" customWidth="1"/>
    <col min="50" max="50" width="10.42578125" customWidth="1"/>
    <col min="51" max="51" width="10.140625" customWidth="1"/>
    <col min="52" max="52" width="10.7109375" customWidth="1"/>
    <col min="53" max="53" width="11.42578125" customWidth="1"/>
    <col min="54" max="54" width="12" customWidth="1"/>
    <col min="55" max="58" width="11.7109375" bestFit="1" customWidth="1"/>
    <col min="59" max="59" width="11.7109375" customWidth="1"/>
    <col min="60" max="61" width="11.7109375" bestFit="1" customWidth="1"/>
    <col min="62" max="62" width="11.7109375" customWidth="1"/>
    <col min="63" max="64" width="11.7109375" bestFit="1" customWidth="1"/>
  </cols>
  <sheetData>
    <row r="1" spans="1:64" s="3" customFormat="1" ht="27" customHeight="1" thickBot="1" x14ac:dyDescent="0.35">
      <c r="A1" s="20"/>
      <c r="B1" s="6">
        <v>39295</v>
      </c>
      <c r="C1" s="6">
        <v>39326</v>
      </c>
      <c r="D1" s="6">
        <v>39356</v>
      </c>
      <c r="E1" s="6">
        <v>39387</v>
      </c>
      <c r="F1" s="6">
        <v>39417</v>
      </c>
      <c r="G1" s="6">
        <v>39448</v>
      </c>
      <c r="H1" s="6">
        <v>39479</v>
      </c>
      <c r="I1" s="6">
        <v>39508</v>
      </c>
      <c r="J1" s="6">
        <v>39539</v>
      </c>
      <c r="K1" s="6">
        <v>39569</v>
      </c>
      <c r="L1" s="6">
        <v>39600</v>
      </c>
      <c r="M1" s="6">
        <v>39630</v>
      </c>
      <c r="N1" s="6">
        <v>39661</v>
      </c>
      <c r="O1" s="6">
        <v>39692</v>
      </c>
      <c r="P1" s="6">
        <v>39722</v>
      </c>
      <c r="Q1" s="6">
        <v>39753</v>
      </c>
      <c r="R1" s="6">
        <v>39783</v>
      </c>
      <c r="S1" s="6">
        <v>39814</v>
      </c>
      <c r="T1" s="6">
        <v>39845</v>
      </c>
      <c r="U1" s="6">
        <v>39873</v>
      </c>
      <c r="V1" s="6">
        <v>39904</v>
      </c>
      <c r="W1" s="6">
        <v>39934</v>
      </c>
      <c r="X1" s="6">
        <v>39965</v>
      </c>
      <c r="Y1" s="6">
        <v>39995</v>
      </c>
      <c r="Z1" s="6">
        <v>40026</v>
      </c>
      <c r="AA1" s="6">
        <v>40057</v>
      </c>
      <c r="AB1" s="6">
        <v>40087</v>
      </c>
      <c r="AC1" s="6">
        <v>40118</v>
      </c>
      <c r="AD1" s="6">
        <v>40148</v>
      </c>
      <c r="AE1" s="6">
        <v>40179</v>
      </c>
      <c r="AF1" s="6">
        <v>40210</v>
      </c>
      <c r="AG1" s="6">
        <v>40238</v>
      </c>
      <c r="AH1" s="6">
        <v>40269</v>
      </c>
      <c r="AI1" s="6">
        <v>40299</v>
      </c>
      <c r="AJ1" s="6">
        <v>40330</v>
      </c>
      <c r="AK1" s="6">
        <v>40360</v>
      </c>
      <c r="AL1" s="6">
        <v>40391</v>
      </c>
      <c r="AM1" s="6">
        <v>40422</v>
      </c>
      <c r="AN1" s="6">
        <v>40452</v>
      </c>
      <c r="AO1" s="6">
        <v>40483</v>
      </c>
      <c r="AP1" s="6">
        <v>40513</v>
      </c>
      <c r="AQ1" s="6">
        <v>40544</v>
      </c>
      <c r="AR1" s="6">
        <v>40575</v>
      </c>
      <c r="AS1" s="6">
        <v>40603</v>
      </c>
      <c r="AT1" s="6">
        <v>40634</v>
      </c>
      <c r="AU1" s="6">
        <v>40664</v>
      </c>
      <c r="AV1" s="6">
        <v>40695</v>
      </c>
      <c r="AW1" s="6">
        <v>40725</v>
      </c>
      <c r="AX1" s="6">
        <v>40756</v>
      </c>
      <c r="AY1" s="6">
        <v>40787</v>
      </c>
      <c r="AZ1" s="6">
        <v>40817</v>
      </c>
      <c r="BA1" s="6">
        <v>40848</v>
      </c>
      <c r="BB1" s="6">
        <v>40878</v>
      </c>
      <c r="BC1" s="6">
        <v>40909</v>
      </c>
      <c r="BD1" s="6">
        <v>40940</v>
      </c>
      <c r="BE1" s="6">
        <v>40969</v>
      </c>
      <c r="BF1" s="6">
        <v>41000</v>
      </c>
      <c r="BG1" s="6">
        <v>41030</v>
      </c>
      <c r="BH1" s="6">
        <v>41061</v>
      </c>
      <c r="BI1" s="6">
        <v>41091</v>
      </c>
      <c r="BJ1" s="6">
        <v>41122</v>
      </c>
      <c r="BK1" s="6">
        <v>41153</v>
      </c>
      <c r="BL1" s="6">
        <v>41183</v>
      </c>
    </row>
    <row r="2" spans="1:64" ht="18" thickBot="1" x14ac:dyDescent="0.3">
      <c r="A2" s="20" t="s">
        <v>0</v>
      </c>
      <c r="B2" s="7">
        <v>150</v>
      </c>
      <c r="C2" s="7">
        <v>153</v>
      </c>
      <c r="D2" s="7">
        <v>163</v>
      </c>
      <c r="E2" s="8">
        <v>201</v>
      </c>
      <c r="F2" s="8">
        <v>217</v>
      </c>
      <c r="G2" s="8">
        <v>230</v>
      </c>
      <c r="H2" s="8">
        <v>240</v>
      </c>
      <c r="I2" s="8">
        <v>252</v>
      </c>
      <c r="J2" s="8">
        <v>287</v>
      </c>
      <c r="K2" s="8">
        <v>331</v>
      </c>
      <c r="L2" s="8">
        <v>339</v>
      </c>
      <c r="M2" s="8">
        <v>348</v>
      </c>
      <c r="N2" s="8">
        <v>365</v>
      </c>
      <c r="O2" s="8">
        <v>380</v>
      </c>
      <c r="P2" s="8">
        <v>397</v>
      </c>
      <c r="Q2" s="8">
        <v>450</v>
      </c>
      <c r="R2" s="8">
        <v>451</v>
      </c>
      <c r="S2" s="9">
        <v>495</v>
      </c>
      <c r="T2" s="9">
        <v>644</v>
      </c>
      <c r="U2" s="9">
        <v>974</v>
      </c>
      <c r="V2" s="9">
        <v>1076</v>
      </c>
      <c r="W2" s="9">
        <v>1361</v>
      </c>
      <c r="X2" s="9">
        <v>1524</v>
      </c>
      <c r="Y2" s="8">
        <v>1730</v>
      </c>
      <c r="Z2" s="10">
        <v>1887</v>
      </c>
      <c r="AA2" s="10">
        <v>2182</v>
      </c>
      <c r="AB2" s="10">
        <v>2511</v>
      </c>
      <c r="AC2" s="10">
        <v>2597</v>
      </c>
      <c r="AD2" s="10">
        <v>2885</v>
      </c>
      <c r="AE2" s="10">
        <v>2934</v>
      </c>
      <c r="AF2" s="10">
        <v>3080</v>
      </c>
      <c r="AG2" s="10">
        <v>3149</v>
      </c>
      <c r="AH2" s="10">
        <v>3319</v>
      </c>
      <c r="AI2" s="10">
        <v>3466</v>
      </c>
      <c r="AJ2" s="10">
        <v>3563</v>
      </c>
      <c r="AK2" s="10">
        <v>3607</v>
      </c>
      <c r="AL2" s="10">
        <v>3684</v>
      </c>
      <c r="AM2" s="10">
        <v>3756</v>
      </c>
      <c r="AN2" s="10">
        <v>3842</v>
      </c>
      <c r="AO2" s="10">
        <v>4017</v>
      </c>
      <c r="AP2" s="10">
        <v>4054</v>
      </c>
      <c r="AQ2" s="10">
        <v>4172</v>
      </c>
      <c r="AR2" s="10">
        <v>4259</v>
      </c>
      <c r="AS2" s="10">
        <v>4287</v>
      </c>
      <c r="AT2" s="10">
        <v>4334</v>
      </c>
      <c r="AU2" s="10">
        <v>4475</v>
      </c>
      <c r="AV2" s="10">
        <v>4520</v>
      </c>
      <c r="AW2" s="10">
        <v>4599</v>
      </c>
      <c r="AX2" s="10">
        <v>4662</v>
      </c>
      <c r="AY2" s="10">
        <v>4693</v>
      </c>
      <c r="AZ2" s="10">
        <v>4731</v>
      </c>
      <c r="BA2" s="10">
        <v>4850</v>
      </c>
      <c r="BB2" s="10">
        <v>4869</v>
      </c>
      <c r="BC2" s="10">
        <v>4887</v>
      </c>
      <c r="BD2" s="10">
        <v>4915</v>
      </c>
      <c r="BE2" s="29">
        <v>4923</v>
      </c>
      <c r="BF2" s="29">
        <v>5041</v>
      </c>
      <c r="BG2" s="29">
        <v>5084</v>
      </c>
      <c r="BH2" s="29">
        <v>5100</v>
      </c>
      <c r="BI2" s="29">
        <v>5115</v>
      </c>
      <c r="BJ2" s="29">
        <v>5126</v>
      </c>
      <c r="BK2" s="29">
        <v>5144</v>
      </c>
      <c r="BL2" s="29">
        <v>5176</v>
      </c>
    </row>
    <row r="3" spans="1:64" s="4" customFormat="1" ht="35.25" thickBot="1" x14ac:dyDescent="0.3">
      <c r="A3" s="21" t="s">
        <v>1</v>
      </c>
      <c r="B3" s="11" t="s">
        <v>9</v>
      </c>
      <c r="C3" s="11">
        <f>C2-B2</f>
        <v>3</v>
      </c>
      <c r="D3" s="11">
        <f t="shared" ref="D3:BL3" si="0">D2-C2</f>
        <v>10</v>
      </c>
      <c r="E3" s="11">
        <f t="shared" si="0"/>
        <v>38</v>
      </c>
      <c r="F3" s="11">
        <f t="shared" si="0"/>
        <v>16</v>
      </c>
      <c r="G3" s="11">
        <f t="shared" si="0"/>
        <v>13</v>
      </c>
      <c r="H3" s="11">
        <f t="shared" si="0"/>
        <v>10</v>
      </c>
      <c r="I3" s="11">
        <f t="shared" si="0"/>
        <v>12</v>
      </c>
      <c r="J3" s="11">
        <f t="shared" si="0"/>
        <v>35</v>
      </c>
      <c r="K3" s="11">
        <f t="shared" si="0"/>
        <v>44</v>
      </c>
      <c r="L3" s="11">
        <f t="shared" ref="L3" si="1">L2-K2</f>
        <v>8</v>
      </c>
      <c r="M3" s="11">
        <f t="shared" ref="M3" si="2">M2-L2</f>
        <v>9</v>
      </c>
      <c r="N3" s="11">
        <f t="shared" ref="N3" si="3">N2-M2</f>
        <v>17</v>
      </c>
      <c r="O3" s="11">
        <f t="shared" ref="O3" si="4">O2-N2</f>
        <v>15</v>
      </c>
      <c r="P3" s="11">
        <f t="shared" ref="P3" si="5">P2-O2</f>
        <v>17</v>
      </c>
      <c r="Q3" s="11">
        <f t="shared" si="0"/>
        <v>53</v>
      </c>
      <c r="R3" s="11">
        <f t="shared" si="0"/>
        <v>1</v>
      </c>
      <c r="S3" s="11">
        <f t="shared" si="0"/>
        <v>44</v>
      </c>
      <c r="T3" s="11">
        <f t="shared" si="0"/>
        <v>149</v>
      </c>
      <c r="U3" s="11">
        <f t="shared" si="0"/>
        <v>330</v>
      </c>
      <c r="V3" s="11">
        <f t="shared" si="0"/>
        <v>102</v>
      </c>
      <c r="W3" s="11">
        <f t="shared" si="0"/>
        <v>285</v>
      </c>
      <c r="X3" s="11">
        <f t="shared" si="0"/>
        <v>163</v>
      </c>
      <c r="Y3" s="11">
        <f t="shared" si="0"/>
        <v>206</v>
      </c>
      <c r="Z3" s="11">
        <f t="shared" si="0"/>
        <v>157</v>
      </c>
      <c r="AA3" s="11">
        <f t="shared" si="0"/>
        <v>295</v>
      </c>
      <c r="AB3" s="11">
        <f t="shared" si="0"/>
        <v>329</v>
      </c>
      <c r="AC3" s="11">
        <f t="shared" si="0"/>
        <v>86</v>
      </c>
      <c r="AD3" s="11">
        <f t="shared" si="0"/>
        <v>288</v>
      </c>
      <c r="AE3" s="11">
        <f t="shared" si="0"/>
        <v>49</v>
      </c>
      <c r="AF3" s="11">
        <f t="shared" si="0"/>
        <v>146</v>
      </c>
      <c r="AG3" s="11">
        <f t="shared" si="0"/>
        <v>69</v>
      </c>
      <c r="AH3" s="11">
        <f t="shared" si="0"/>
        <v>170</v>
      </c>
      <c r="AI3" s="11">
        <f t="shared" si="0"/>
        <v>147</v>
      </c>
      <c r="AJ3" s="11">
        <f t="shared" si="0"/>
        <v>97</v>
      </c>
      <c r="AK3" s="11">
        <f t="shared" si="0"/>
        <v>44</v>
      </c>
      <c r="AL3" s="11">
        <f t="shared" si="0"/>
        <v>77</v>
      </c>
      <c r="AM3" s="11">
        <f t="shared" si="0"/>
        <v>72</v>
      </c>
      <c r="AN3" s="11">
        <f t="shared" si="0"/>
        <v>86</v>
      </c>
      <c r="AO3" s="11">
        <f t="shared" si="0"/>
        <v>175</v>
      </c>
      <c r="AP3" s="11">
        <f t="shared" si="0"/>
        <v>37</v>
      </c>
      <c r="AQ3" s="11">
        <f t="shared" si="0"/>
        <v>118</v>
      </c>
      <c r="AR3" s="11">
        <f t="shared" si="0"/>
        <v>87</v>
      </c>
      <c r="AS3" s="11">
        <f t="shared" si="0"/>
        <v>28</v>
      </c>
      <c r="AT3" s="11">
        <f t="shared" si="0"/>
        <v>47</v>
      </c>
      <c r="AU3" s="11">
        <f t="shared" si="0"/>
        <v>141</v>
      </c>
      <c r="AV3" s="11">
        <f t="shared" si="0"/>
        <v>45</v>
      </c>
      <c r="AW3" s="11">
        <f t="shared" si="0"/>
        <v>79</v>
      </c>
      <c r="AX3" s="11">
        <f t="shared" si="0"/>
        <v>63</v>
      </c>
      <c r="AY3" s="11">
        <f t="shared" si="0"/>
        <v>31</v>
      </c>
      <c r="AZ3" s="11">
        <f t="shared" si="0"/>
        <v>38</v>
      </c>
      <c r="BA3" s="11">
        <f t="shared" si="0"/>
        <v>119</v>
      </c>
      <c r="BB3" s="11">
        <f t="shared" si="0"/>
        <v>19</v>
      </c>
      <c r="BC3" s="11">
        <f t="shared" si="0"/>
        <v>18</v>
      </c>
      <c r="BD3" s="11">
        <f t="shared" si="0"/>
        <v>28</v>
      </c>
      <c r="BE3" s="11">
        <f t="shared" si="0"/>
        <v>8</v>
      </c>
      <c r="BF3" s="11">
        <f t="shared" si="0"/>
        <v>118</v>
      </c>
      <c r="BG3" s="11">
        <f t="shared" si="0"/>
        <v>43</v>
      </c>
      <c r="BH3" s="11">
        <f t="shared" si="0"/>
        <v>16</v>
      </c>
      <c r="BI3" s="11">
        <f t="shared" si="0"/>
        <v>15</v>
      </c>
      <c r="BJ3" s="11">
        <f t="shared" si="0"/>
        <v>11</v>
      </c>
      <c r="BK3" s="11">
        <f t="shared" si="0"/>
        <v>18</v>
      </c>
      <c r="BL3" s="11">
        <f t="shared" si="0"/>
        <v>32</v>
      </c>
    </row>
    <row r="4" spans="1:64" s="1" customFormat="1" ht="18" thickBot="1" x14ac:dyDescent="0.3">
      <c r="A4" s="22" t="s">
        <v>2</v>
      </c>
      <c r="B4" s="12" t="s">
        <v>9</v>
      </c>
      <c r="C4" s="12">
        <f>C3/B2</f>
        <v>0.02</v>
      </c>
      <c r="D4" s="12">
        <f t="shared" ref="D4:J4" si="6">D3/C2</f>
        <v>6.535947712418301E-2</v>
      </c>
      <c r="E4" s="12">
        <f t="shared" si="6"/>
        <v>0.23312883435582821</v>
      </c>
      <c r="F4" s="12">
        <f t="shared" si="6"/>
        <v>7.9601990049751242E-2</v>
      </c>
      <c r="G4" s="12">
        <f t="shared" si="6"/>
        <v>5.9907834101382486E-2</v>
      </c>
      <c r="H4" s="12">
        <f t="shared" si="6"/>
        <v>4.3478260869565216E-2</v>
      </c>
      <c r="I4" s="12">
        <f t="shared" si="6"/>
        <v>0.05</v>
      </c>
      <c r="J4" s="12">
        <f t="shared" si="6"/>
        <v>0.1388888888888889</v>
      </c>
      <c r="K4" s="12">
        <f t="shared" ref="K4" si="7">K3/J2</f>
        <v>0.15331010452961671</v>
      </c>
      <c r="L4" s="12">
        <f t="shared" ref="L4" si="8">L3/K2</f>
        <v>2.4169184290030211E-2</v>
      </c>
      <c r="M4" s="12">
        <f t="shared" ref="M4" si="9">M3/L2</f>
        <v>2.6548672566371681E-2</v>
      </c>
      <c r="N4" s="12">
        <f t="shared" ref="N4" si="10">N3/M2</f>
        <v>4.8850574712643681E-2</v>
      </c>
      <c r="O4" s="12">
        <f t="shared" ref="O4" si="11">O3/N2</f>
        <v>4.1095890410958902E-2</v>
      </c>
      <c r="P4" s="12">
        <f t="shared" ref="P4" si="12">P3/O2</f>
        <v>4.4736842105263158E-2</v>
      </c>
      <c r="Q4" s="12">
        <f t="shared" ref="Q4" si="13">Q3/P2</f>
        <v>0.13350125944584382</v>
      </c>
      <c r="R4" s="12">
        <f t="shared" ref="R4:AP4" si="14">R3/Q2</f>
        <v>2.2222222222222222E-3</v>
      </c>
      <c r="S4" s="12">
        <f t="shared" si="14"/>
        <v>9.7560975609756101E-2</v>
      </c>
      <c r="T4" s="12">
        <f t="shared" si="14"/>
        <v>0.30101010101010101</v>
      </c>
      <c r="U4" s="12">
        <f t="shared" si="14"/>
        <v>0.51242236024844723</v>
      </c>
      <c r="V4" s="12">
        <f t="shared" si="14"/>
        <v>0.10472279260780287</v>
      </c>
      <c r="W4" s="12">
        <f t="shared" si="14"/>
        <v>0.26486988847583642</v>
      </c>
      <c r="X4" s="12">
        <f t="shared" si="14"/>
        <v>0.11976487876561352</v>
      </c>
      <c r="Y4" s="12">
        <f t="shared" si="14"/>
        <v>0.13517060367454067</v>
      </c>
      <c r="Z4" s="12">
        <f t="shared" si="14"/>
        <v>9.0751445086705199E-2</v>
      </c>
      <c r="AA4" s="12">
        <f t="shared" si="14"/>
        <v>0.15633280339162692</v>
      </c>
      <c r="AB4" s="12">
        <f t="shared" si="14"/>
        <v>0.15077910174152154</v>
      </c>
      <c r="AC4" s="12">
        <f t="shared" si="14"/>
        <v>3.4249303066507371E-2</v>
      </c>
      <c r="AD4" s="12">
        <f t="shared" si="14"/>
        <v>0.11089718906430497</v>
      </c>
      <c r="AE4" s="12">
        <f t="shared" si="14"/>
        <v>1.6984402079722703E-2</v>
      </c>
      <c r="AF4" s="12">
        <f t="shared" si="14"/>
        <v>4.976141785957737E-2</v>
      </c>
      <c r="AG4" s="12">
        <f t="shared" si="14"/>
        <v>2.2402597402597403E-2</v>
      </c>
      <c r="AH4" s="12">
        <f t="shared" si="14"/>
        <v>5.3985392187996188E-2</v>
      </c>
      <c r="AI4" s="12">
        <f t="shared" si="14"/>
        <v>4.4290448930400725E-2</v>
      </c>
      <c r="AJ4" s="12">
        <f t="shared" si="14"/>
        <v>2.7986151182919791E-2</v>
      </c>
      <c r="AK4" s="12">
        <f t="shared" si="14"/>
        <v>1.234914397979231E-2</v>
      </c>
      <c r="AL4" s="12">
        <f t="shared" si="14"/>
        <v>2.1347380094261161E-2</v>
      </c>
      <c r="AM4" s="12">
        <f t="shared" si="14"/>
        <v>1.9543973941368076E-2</v>
      </c>
      <c r="AN4" s="12">
        <f t="shared" si="14"/>
        <v>2.2896698615548456E-2</v>
      </c>
      <c r="AO4" s="12">
        <f t="shared" si="14"/>
        <v>4.5549193128578865E-2</v>
      </c>
      <c r="AP4" s="12">
        <f t="shared" si="14"/>
        <v>9.2108538710480459E-3</v>
      </c>
      <c r="AQ4" s="12">
        <f t="shared" ref="AQ4:BL4" si="15">AQ3/AP2</f>
        <v>2.9107054760730142E-2</v>
      </c>
      <c r="AR4" s="12">
        <f t="shared" si="15"/>
        <v>2.0853307766059443E-2</v>
      </c>
      <c r="AS4" s="12">
        <f t="shared" si="15"/>
        <v>6.574313219065508E-3</v>
      </c>
      <c r="AT4" s="12">
        <f t="shared" si="15"/>
        <v>1.0963377653370656E-2</v>
      </c>
      <c r="AU4" s="12">
        <f t="shared" si="15"/>
        <v>3.2533456391324413E-2</v>
      </c>
      <c r="AV4" s="12">
        <f t="shared" si="15"/>
        <v>1.0055865921787709E-2</v>
      </c>
      <c r="AW4" s="12">
        <f t="shared" si="15"/>
        <v>1.7477876106194692E-2</v>
      </c>
      <c r="AX4" s="12">
        <f t="shared" si="15"/>
        <v>1.3698630136986301E-2</v>
      </c>
      <c r="AY4" s="12">
        <f t="shared" si="15"/>
        <v>6.6495066495066493E-3</v>
      </c>
      <c r="AZ4" s="12">
        <f t="shared" si="15"/>
        <v>8.0971659919028341E-3</v>
      </c>
      <c r="BA4" s="12">
        <f t="shared" si="15"/>
        <v>2.5153244557176074E-2</v>
      </c>
      <c r="BB4" s="12">
        <f t="shared" si="15"/>
        <v>3.9175257731958761E-3</v>
      </c>
      <c r="BC4" s="12">
        <f t="shared" si="15"/>
        <v>3.6968576709796672E-3</v>
      </c>
      <c r="BD4" s="12">
        <f t="shared" si="15"/>
        <v>5.7294863924698177E-3</v>
      </c>
      <c r="BE4" s="12">
        <f t="shared" si="15"/>
        <v>1.6276703967446592E-3</v>
      </c>
      <c r="BF4" s="12">
        <f t="shared" si="15"/>
        <v>2.3969124517570588E-2</v>
      </c>
      <c r="BG4" s="12">
        <f t="shared" si="15"/>
        <v>8.5300535608014288E-3</v>
      </c>
      <c r="BH4" s="12">
        <f t="shared" si="15"/>
        <v>3.1471282454760031E-3</v>
      </c>
      <c r="BI4" s="12">
        <f t="shared" si="15"/>
        <v>2.9411764705882353E-3</v>
      </c>
      <c r="BJ4" s="12">
        <f t="shared" si="15"/>
        <v>2.1505376344086021E-3</v>
      </c>
      <c r="BK4" s="12">
        <f t="shared" si="15"/>
        <v>3.5115099492781898E-3</v>
      </c>
      <c r="BL4" s="12">
        <f t="shared" si="15"/>
        <v>6.2208398133748056E-3</v>
      </c>
    </row>
    <row r="5" spans="1:64" ht="35.25" thickBot="1" x14ac:dyDescent="0.3">
      <c r="A5" s="20" t="s">
        <v>3</v>
      </c>
      <c r="B5" s="8">
        <v>5029</v>
      </c>
      <c r="C5" s="7">
        <v>6657</v>
      </c>
      <c r="D5" s="7">
        <v>8626</v>
      </c>
      <c r="E5" s="8">
        <v>10405</v>
      </c>
      <c r="F5" s="8">
        <v>12004</v>
      </c>
      <c r="G5" s="8">
        <v>13900</v>
      </c>
      <c r="H5" s="8">
        <v>15916</v>
      </c>
      <c r="I5" s="8">
        <v>18446</v>
      </c>
      <c r="J5" s="8">
        <v>21339</v>
      </c>
      <c r="K5" s="8">
        <v>25062</v>
      </c>
      <c r="L5" s="8">
        <v>29031</v>
      </c>
      <c r="M5" s="8">
        <v>33509</v>
      </c>
      <c r="N5" s="9">
        <v>37137</v>
      </c>
      <c r="O5" s="8">
        <v>41158</v>
      </c>
      <c r="P5" s="9">
        <v>45640</v>
      </c>
      <c r="Q5" s="8">
        <v>50226</v>
      </c>
      <c r="R5" s="8">
        <v>53908</v>
      </c>
      <c r="S5" s="9">
        <v>58062</v>
      </c>
      <c r="T5" s="9">
        <v>62237</v>
      </c>
      <c r="U5" s="9">
        <v>68560</v>
      </c>
      <c r="V5" s="9">
        <v>75704</v>
      </c>
      <c r="W5" s="9">
        <v>82737</v>
      </c>
      <c r="X5" s="9">
        <v>89647</v>
      </c>
      <c r="Y5" s="8">
        <v>98271</v>
      </c>
      <c r="Z5" s="10">
        <v>107420</v>
      </c>
      <c r="AA5" s="10">
        <v>118209</v>
      </c>
      <c r="AB5" s="10">
        <v>133608</v>
      </c>
      <c r="AC5" s="10">
        <v>148800</v>
      </c>
      <c r="AD5" s="10">
        <v>161375</v>
      </c>
      <c r="AE5" s="10">
        <v>169181</v>
      </c>
      <c r="AF5" s="10">
        <v>186242</v>
      </c>
      <c r="AG5" s="10">
        <v>204934</v>
      </c>
      <c r="AH5" s="10">
        <v>221799</v>
      </c>
      <c r="AI5" s="10">
        <v>237645</v>
      </c>
      <c r="AJ5" s="10">
        <v>260759</v>
      </c>
      <c r="AK5" s="10">
        <v>277701</v>
      </c>
      <c r="AL5" s="10">
        <v>302185</v>
      </c>
      <c r="AM5" s="10">
        <v>339102</v>
      </c>
      <c r="AN5" s="10">
        <v>378445</v>
      </c>
      <c r="AO5" s="10">
        <v>422419</v>
      </c>
      <c r="AP5" s="10">
        <v>457918</v>
      </c>
      <c r="AQ5" s="10">
        <v>493251</v>
      </c>
      <c r="AR5" s="10">
        <v>536630</v>
      </c>
      <c r="AS5" s="10">
        <v>595225</v>
      </c>
      <c r="AT5" s="10">
        <v>656784</v>
      </c>
      <c r="AU5" s="10">
        <v>726302</v>
      </c>
      <c r="AV5" s="10">
        <v>777264</v>
      </c>
      <c r="AW5" s="10">
        <v>841211</v>
      </c>
      <c r="AX5" s="10">
        <v>891289</v>
      </c>
      <c r="AY5" s="10">
        <v>951107</v>
      </c>
      <c r="AZ5" s="10">
        <v>996910</v>
      </c>
      <c r="BA5" s="10">
        <v>1039389</v>
      </c>
      <c r="BB5" s="10">
        <v>1099521</v>
      </c>
      <c r="BC5" s="10">
        <v>1191374</v>
      </c>
      <c r="BD5" s="10">
        <v>1373391</v>
      </c>
      <c r="BE5" s="29">
        <v>1476581</v>
      </c>
      <c r="BF5" s="29">
        <v>1594168</v>
      </c>
      <c r="BG5" s="29">
        <v>1705432</v>
      </c>
      <c r="BH5" s="29">
        <v>1794462</v>
      </c>
      <c r="BI5" s="29">
        <v>1870783</v>
      </c>
      <c r="BJ5" s="29">
        <v>2005252</v>
      </c>
      <c r="BK5" s="29">
        <v>2104322</v>
      </c>
      <c r="BL5" s="29">
        <v>2236605</v>
      </c>
    </row>
    <row r="6" spans="1:64" ht="35.25" thickBot="1" x14ac:dyDescent="0.3">
      <c r="A6" s="20" t="s">
        <v>4</v>
      </c>
      <c r="B6" s="7"/>
      <c r="C6" s="7">
        <f>C5-B5</f>
        <v>1628</v>
      </c>
      <c r="D6" s="7">
        <f t="shared" ref="D6:BB6" si="16">D5-C5</f>
        <v>1969</v>
      </c>
      <c r="E6" s="7">
        <f t="shared" si="16"/>
        <v>1779</v>
      </c>
      <c r="F6" s="7">
        <f t="shared" si="16"/>
        <v>1599</v>
      </c>
      <c r="G6" s="7">
        <f t="shared" si="16"/>
        <v>1896</v>
      </c>
      <c r="H6" s="7">
        <f t="shared" si="16"/>
        <v>2016</v>
      </c>
      <c r="I6" s="7">
        <f t="shared" si="16"/>
        <v>2530</v>
      </c>
      <c r="J6" s="7">
        <f t="shared" si="16"/>
        <v>2893</v>
      </c>
      <c r="K6" s="7">
        <f t="shared" si="16"/>
        <v>3723</v>
      </c>
      <c r="L6" s="7">
        <f t="shared" si="16"/>
        <v>3969</v>
      </c>
      <c r="M6" s="7">
        <f t="shared" si="16"/>
        <v>4478</v>
      </c>
      <c r="N6" s="7">
        <f t="shared" si="16"/>
        <v>3628</v>
      </c>
      <c r="O6" s="7">
        <f t="shared" si="16"/>
        <v>4021</v>
      </c>
      <c r="P6" s="7">
        <f t="shared" si="16"/>
        <v>4482</v>
      </c>
      <c r="Q6" s="7">
        <f t="shared" si="16"/>
        <v>4586</v>
      </c>
      <c r="R6" s="7">
        <f t="shared" si="16"/>
        <v>3682</v>
      </c>
      <c r="S6" s="7">
        <f t="shared" si="16"/>
        <v>4154</v>
      </c>
      <c r="T6" s="7">
        <f t="shared" si="16"/>
        <v>4175</v>
      </c>
      <c r="U6" s="7">
        <f t="shared" si="16"/>
        <v>6323</v>
      </c>
      <c r="V6" s="7">
        <f t="shared" si="16"/>
        <v>7144</v>
      </c>
      <c r="W6" s="7">
        <f t="shared" si="16"/>
        <v>7033</v>
      </c>
      <c r="X6" s="7">
        <f t="shared" si="16"/>
        <v>6910</v>
      </c>
      <c r="Y6" s="7">
        <f t="shared" si="16"/>
        <v>8624</v>
      </c>
      <c r="Z6" s="7">
        <f t="shared" si="16"/>
        <v>9149</v>
      </c>
      <c r="AA6" s="7">
        <f t="shared" si="16"/>
        <v>10789</v>
      </c>
      <c r="AB6" s="7">
        <f t="shared" si="16"/>
        <v>15399</v>
      </c>
      <c r="AC6" s="7">
        <f t="shared" si="16"/>
        <v>15192</v>
      </c>
      <c r="AD6" s="7">
        <f t="shared" si="16"/>
        <v>12575</v>
      </c>
      <c r="AE6" s="7">
        <f t="shared" si="16"/>
        <v>7806</v>
      </c>
      <c r="AF6" s="7">
        <f t="shared" si="16"/>
        <v>17061</v>
      </c>
      <c r="AG6" s="7">
        <f t="shared" si="16"/>
        <v>18692</v>
      </c>
      <c r="AH6" s="7">
        <f t="shared" si="16"/>
        <v>16865</v>
      </c>
      <c r="AI6" s="7">
        <f t="shared" si="16"/>
        <v>15846</v>
      </c>
      <c r="AJ6" s="7">
        <f t="shared" si="16"/>
        <v>23114</v>
      </c>
      <c r="AK6" s="7">
        <f t="shared" si="16"/>
        <v>16942</v>
      </c>
      <c r="AL6" s="7">
        <f t="shared" si="16"/>
        <v>24484</v>
      </c>
      <c r="AM6" s="7">
        <f t="shared" si="16"/>
        <v>36917</v>
      </c>
      <c r="AN6" s="7">
        <f t="shared" si="16"/>
        <v>39343</v>
      </c>
      <c r="AO6" s="7">
        <f t="shared" si="16"/>
        <v>43974</v>
      </c>
      <c r="AP6" s="7">
        <f t="shared" si="16"/>
        <v>35499</v>
      </c>
      <c r="AQ6" s="7">
        <f t="shared" si="16"/>
        <v>35333</v>
      </c>
      <c r="AR6" s="7">
        <f t="shared" si="16"/>
        <v>43379</v>
      </c>
      <c r="AS6" s="7">
        <f t="shared" si="16"/>
        <v>58595</v>
      </c>
      <c r="AT6" s="7">
        <f t="shared" si="16"/>
        <v>61559</v>
      </c>
      <c r="AU6" s="7">
        <f t="shared" si="16"/>
        <v>69518</v>
      </c>
      <c r="AV6" s="7">
        <f t="shared" si="16"/>
        <v>50962</v>
      </c>
      <c r="AW6" s="7">
        <f t="shared" si="16"/>
        <v>63947</v>
      </c>
      <c r="AX6" s="7">
        <f t="shared" si="16"/>
        <v>50078</v>
      </c>
      <c r="AY6" s="7">
        <f t="shared" si="16"/>
        <v>59818</v>
      </c>
      <c r="AZ6" s="7">
        <f t="shared" si="16"/>
        <v>45803</v>
      </c>
      <c r="BA6" s="7">
        <f t="shared" si="16"/>
        <v>42479</v>
      </c>
      <c r="BB6" s="7">
        <f t="shared" si="16"/>
        <v>60132</v>
      </c>
      <c r="BC6" s="7">
        <f t="shared" ref="BC6:BL6" si="17">BC5-BB5</f>
        <v>91853</v>
      </c>
      <c r="BD6" s="7">
        <f t="shared" si="17"/>
        <v>182017</v>
      </c>
      <c r="BE6" s="7">
        <f t="shared" si="17"/>
        <v>103190</v>
      </c>
      <c r="BF6" s="7">
        <f t="shared" si="17"/>
        <v>117587</v>
      </c>
      <c r="BG6" s="7">
        <f t="shared" si="17"/>
        <v>111264</v>
      </c>
      <c r="BH6" s="7">
        <f t="shared" si="17"/>
        <v>89030</v>
      </c>
      <c r="BI6" s="7">
        <f t="shared" si="17"/>
        <v>76321</v>
      </c>
      <c r="BJ6" s="7">
        <f t="shared" si="17"/>
        <v>134469</v>
      </c>
      <c r="BK6" s="7">
        <f t="shared" si="17"/>
        <v>99070</v>
      </c>
      <c r="BL6" s="7">
        <f t="shared" si="17"/>
        <v>132283</v>
      </c>
    </row>
    <row r="7" spans="1:64" s="1" customFormat="1" ht="18" thickBot="1" x14ac:dyDescent="0.3">
      <c r="A7" s="22" t="s">
        <v>2</v>
      </c>
      <c r="B7" s="12" t="s">
        <v>9</v>
      </c>
      <c r="C7" s="12">
        <f>C6/B5</f>
        <v>0.32372241002187313</v>
      </c>
      <c r="D7" s="12">
        <f t="shared" ref="D7:BL7" si="18">D6/C5</f>
        <v>0.29577887937509389</v>
      </c>
      <c r="E7" s="12">
        <f t="shared" si="18"/>
        <v>0.20623695803385114</v>
      </c>
      <c r="F7" s="12">
        <f t="shared" si="18"/>
        <v>0.15367611725132149</v>
      </c>
      <c r="G7" s="12">
        <f t="shared" si="18"/>
        <v>0.15794735088303899</v>
      </c>
      <c r="H7" s="12">
        <f t="shared" si="18"/>
        <v>0.14503597122302159</v>
      </c>
      <c r="I7" s="12">
        <f t="shared" si="18"/>
        <v>0.15895953757225434</v>
      </c>
      <c r="J7" s="12">
        <f t="shared" si="18"/>
        <v>0.15683617044345657</v>
      </c>
      <c r="K7" s="12">
        <f t="shared" si="18"/>
        <v>0.17446928159707578</v>
      </c>
      <c r="L7" s="12">
        <f t="shared" si="18"/>
        <v>0.1583672492219296</v>
      </c>
      <c r="M7" s="12">
        <f t="shared" si="18"/>
        <v>0.15424890634149702</v>
      </c>
      <c r="N7" s="12">
        <f t="shared" si="18"/>
        <v>0.10826942015577905</v>
      </c>
      <c r="O7" s="12">
        <f t="shared" si="18"/>
        <v>0.10827476640547164</v>
      </c>
      <c r="P7" s="12">
        <f t="shared" si="18"/>
        <v>0.10889741969969387</v>
      </c>
      <c r="Q7" s="12">
        <f t="shared" si="18"/>
        <v>0.1004820333041192</v>
      </c>
      <c r="R7" s="12">
        <f t="shared" si="18"/>
        <v>7.330864492493927E-2</v>
      </c>
      <c r="S7" s="12">
        <f t="shared" si="18"/>
        <v>7.7057208577576614E-2</v>
      </c>
      <c r="T7" s="12">
        <f t="shared" si="18"/>
        <v>7.1905893699838103E-2</v>
      </c>
      <c r="U7" s="12">
        <f t="shared" si="18"/>
        <v>0.10159551392258624</v>
      </c>
      <c r="V7" s="12">
        <f t="shared" si="18"/>
        <v>0.10420070011668611</v>
      </c>
      <c r="W7" s="12">
        <f t="shared" si="18"/>
        <v>9.2901299799218004E-2</v>
      </c>
      <c r="X7" s="12">
        <f t="shared" si="18"/>
        <v>8.3517652320001939E-2</v>
      </c>
      <c r="Y7" s="12">
        <f t="shared" si="18"/>
        <v>9.6199538188673356E-2</v>
      </c>
      <c r="Z7" s="12">
        <f t="shared" si="18"/>
        <v>9.3099693704144657E-2</v>
      </c>
      <c r="AA7" s="12">
        <f t="shared" si="18"/>
        <v>0.10043753490970024</v>
      </c>
      <c r="AB7" s="12">
        <f t="shared" si="18"/>
        <v>0.13026926883739817</v>
      </c>
      <c r="AC7" s="12">
        <f t="shared" si="18"/>
        <v>0.11370576612178912</v>
      </c>
      <c r="AD7" s="12">
        <f t="shared" si="18"/>
        <v>8.4509408602150532E-2</v>
      </c>
      <c r="AE7" s="12">
        <f t="shared" si="18"/>
        <v>4.8371804802478699E-2</v>
      </c>
      <c r="AF7" s="12">
        <f t="shared" si="18"/>
        <v>0.10084465749700025</v>
      </c>
      <c r="AG7" s="12">
        <f t="shared" si="18"/>
        <v>0.10036404248236167</v>
      </c>
      <c r="AH7" s="12">
        <f t="shared" si="18"/>
        <v>8.2294787590150978E-2</v>
      </c>
      <c r="AI7" s="12">
        <f t="shared" si="18"/>
        <v>7.1443063314081665E-2</v>
      </c>
      <c r="AJ7" s="12">
        <f t="shared" si="18"/>
        <v>9.7262723810726079E-2</v>
      </c>
      <c r="AK7" s="12">
        <f t="shared" si="18"/>
        <v>6.4971870577813229E-2</v>
      </c>
      <c r="AL7" s="12">
        <f t="shared" si="18"/>
        <v>8.8166769295033143E-2</v>
      </c>
      <c r="AM7" s="12">
        <f t="shared" si="18"/>
        <v>0.12216688452438076</v>
      </c>
      <c r="AN7" s="12">
        <f t="shared" si="18"/>
        <v>0.11602113818261173</v>
      </c>
      <c r="AO7" s="12">
        <f t="shared" si="18"/>
        <v>0.11619654110901188</v>
      </c>
      <c r="AP7" s="12">
        <f t="shared" si="18"/>
        <v>8.4037413089846816E-2</v>
      </c>
      <c r="AQ7" s="12">
        <f t="shared" si="18"/>
        <v>7.7160102900519306E-2</v>
      </c>
      <c r="AR7" s="12">
        <f t="shared" si="18"/>
        <v>8.7945082726644239E-2</v>
      </c>
      <c r="AS7" s="12">
        <f t="shared" si="18"/>
        <v>0.10919069004714607</v>
      </c>
      <c r="AT7" s="12">
        <f t="shared" si="18"/>
        <v>0.10342139527069595</v>
      </c>
      <c r="AU7" s="12">
        <f t="shared" si="18"/>
        <v>0.10584606202343541</v>
      </c>
      <c r="AV7" s="12">
        <f t="shared" si="18"/>
        <v>7.0166404608551267E-2</v>
      </c>
      <c r="AW7" s="12">
        <f t="shared" si="18"/>
        <v>8.2271917906914516E-2</v>
      </c>
      <c r="AX7" s="12">
        <f t="shared" si="18"/>
        <v>5.9530843034625081E-2</v>
      </c>
      <c r="AY7" s="12">
        <f t="shared" si="18"/>
        <v>6.7114033719702593E-2</v>
      </c>
      <c r="AZ7" s="12">
        <f t="shared" si="18"/>
        <v>4.8157567970796136E-2</v>
      </c>
      <c r="BA7" s="12">
        <f t="shared" si="18"/>
        <v>4.2610666960909212E-2</v>
      </c>
      <c r="BB7" s="12">
        <f t="shared" si="18"/>
        <v>5.7853219535707996E-2</v>
      </c>
      <c r="BC7" s="12">
        <f t="shared" si="18"/>
        <v>8.3539104755616309E-2</v>
      </c>
      <c r="BD7" s="12">
        <f t="shared" si="18"/>
        <v>0.1527790601440018</v>
      </c>
      <c r="BE7" s="12">
        <f t="shared" si="18"/>
        <v>7.5135194565859251E-2</v>
      </c>
      <c r="BF7" s="12">
        <f t="shared" si="18"/>
        <v>7.9634642461199223E-2</v>
      </c>
      <c r="BG7" s="12">
        <f t="shared" si="18"/>
        <v>6.9794400590151101E-2</v>
      </c>
      <c r="BH7" s="12">
        <f t="shared" si="18"/>
        <v>5.2203781798394779E-2</v>
      </c>
      <c r="BI7" s="12">
        <f t="shared" si="18"/>
        <v>4.2531410528615261E-2</v>
      </c>
      <c r="BJ7" s="12">
        <f t="shared" si="18"/>
        <v>7.1878459447194037E-2</v>
      </c>
      <c r="BK7" s="12">
        <f t="shared" si="18"/>
        <v>4.9405261782559003E-2</v>
      </c>
      <c r="BL7" s="12">
        <f t="shared" si="18"/>
        <v>6.2862527693005155E-2</v>
      </c>
    </row>
    <row r="8" spans="1:64" ht="35.25" thickBot="1" x14ac:dyDescent="0.3">
      <c r="A8" s="20" t="s">
        <v>5</v>
      </c>
      <c r="B8" s="7"/>
      <c r="C8" s="7"/>
      <c r="D8" s="7">
        <v>113</v>
      </c>
      <c r="E8" s="8">
        <v>135</v>
      </c>
      <c r="F8" s="8">
        <v>140</v>
      </c>
      <c r="G8" s="8">
        <v>143</v>
      </c>
      <c r="H8" s="8">
        <v>156</v>
      </c>
      <c r="I8" s="8">
        <v>161</v>
      </c>
      <c r="J8" s="8">
        <v>196</v>
      </c>
      <c r="K8" s="8">
        <v>226</v>
      </c>
      <c r="L8" s="8">
        <v>226</v>
      </c>
      <c r="M8" s="8">
        <v>231</v>
      </c>
      <c r="N8" s="8">
        <v>238</v>
      </c>
      <c r="O8" s="8">
        <v>248</v>
      </c>
      <c r="P8" s="8">
        <v>255</v>
      </c>
      <c r="Q8" s="8">
        <v>269</v>
      </c>
      <c r="R8" s="8">
        <v>292</v>
      </c>
      <c r="S8" s="9">
        <v>326</v>
      </c>
      <c r="T8" s="9">
        <v>350</v>
      </c>
      <c r="U8" s="9">
        <v>386</v>
      </c>
      <c r="V8" s="9">
        <v>430</v>
      </c>
      <c r="W8" s="9">
        <v>491</v>
      </c>
      <c r="X8" s="9">
        <v>577</v>
      </c>
      <c r="Y8" s="8">
        <v>650</v>
      </c>
      <c r="Z8" s="10">
        <v>711</v>
      </c>
      <c r="AA8" s="10">
        <v>764</v>
      </c>
      <c r="AB8" s="10">
        <v>790</v>
      </c>
      <c r="AC8" s="10">
        <v>848</v>
      </c>
      <c r="AD8" s="10">
        <v>881</v>
      </c>
      <c r="AE8" s="10">
        <v>918</v>
      </c>
      <c r="AF8" s="10">
        <v>950</v>
      </c>
      <c r="AG8" s="10">
        <v>964</v>
      </c>
      <c r="AH8" s="10">
        <v>996</v>
      </c>
      <c r="AI8" s="10">
        <v>1057</v>
      </c>
      <c r="AJ8" s="10">
        <v>1097</v>
      </c>
      <c r="AK8" s="10">
        <v>1115</v>
      </c>
      <c r="AL8" s="10">
        <v>1139</v>
      </c>
      <c r="AM8" s="10">
        <v>1160</v>
      </c>
      <c r="AN8" s="10">
        <v>1167</v>
      </c>
      <c r="AO8" s="10">
        <v>1187</v>
      </c>
      <c r="AP8" s="10">
        <v>1220</v>
      </c>
      <c r="AQ8" s="10">
        <v>1231</v>
      </c>
      <c r="AR8" s="10">
        <v>1246</v>
      </c>
      <c r="AS8" s="10">
        <v>1242</v>
      </c>
      <c r="AT8" s="10">
        <v>1307</v>
      </c>
      <c r="AU8" s="10">
        <v>1355</v>
      </c>
      <c r="AV8" s="10">
        <v>1375</v>
      </c>
      <c r="AW8" s="10">
        <v>1417</v>
      </c>
      <c r="AX8" s="10">
        <v>1439</v>
      </c>
      <c r="AY8" s="10">
        <v>1444</v>
      </c>
      <c r="AZ8" s="10">
        <v>1449</v>
      </c>
      <c r="BA8" s="10">
        <v>1471</v>
      </c>
      <c r="BB8" s="10">
        <v>1492</v>
      </c>
      <c r="BC8" s="10">
        <v>1492</v>
      </c>
      <c r="BD8" s="10">
        <v>1523</v>
      </c>
      <c r="BE8" s="29">
        <v>1527</v>
      </c>
      <c r="BF8" s="29">
        <v>1617</v>
      </c>
      <c r="BG8" s="29">
        <v>1656</v>
      </c>
      <c r="BH8" s="29">
        <v>1667</v>
      </c>
      <c r="BI8" s="29">
        <v>1679</v>
      </c>
      <c r="BJ8" s="29">
        <v>1689</v>
      </c>
      <c r="BK8" s="29">
        <v>1701</v>
      </c>
      <c r="BL8" s="29">
        <v>1719</v>
      </c>
    </row>
    <row r="9" spans="1:64" ht="35.25" thickBot="1" x14ac:dyDescent="0.3">
      <c r="A9" s="20" t="s">
        <v>6</v>
      </c>
      <c r="B9" s="7" t="s">
        <v>9</v>
      </c>
      <c r="C9" s="7" t="s">
        <v>9</v>
      </c>
      <c r="D9" s="7" t="s">
        <v>9</v>
      </c>
      <c r="E9" s="8">
        <f>E8-D8</f>
        <v>22</v>
      </c>
      <c r="F9" s="8" t="s">
        <v>10</v>
      </c>
      <c r="G9" s="8">
        <f>G8-F8</f>
        <v>3</v>
      </c>
      <c r="H9" s="8">
        <f t="shared" ref="H9:BL9" si="19">H8-G8</f>
        <v>13</v>
      </c>
      <c r="I9" s="8">
        <f t="shared" si="19"/>
        <v>5</v>
      </c>
      <c r="J9" s="8">
        <f t="shared" si="19"/>
        <v>35</v>
      </c>
      <c r="K9" s="8">
        <f t="shared" si="19"/>
        <v>30</v>
      </c>
      <c r="L9" s="8">
        <f t="shared" si="19"/>
        <v>0</v>
      </c>
      <c r="M9" s="8">
        <f t="shared" si="19"/>
        <v>5</v>
      </c>
      <c r="N9" s="8">
        <f t="shared" si="19"/>
        <v>7</v>
      </c>
      <c r="O9" s="8">
        <f t="shared" si="19"/>
        <v>10</v>
      </c>
      <c r="P9" s="8">
        <f t="shared" si="19"/>
        <v>7</v>
      </c>
      <c r="Q9" s="8">
        <f t="shared" si="19"/>
        <v>14</v>
      </c>
      <c r="R9" s="8">
        <f t="shared" si="19"/>
        <v>23</v>
      </c>
      <c r="S9" s="8">
        <f t="shared" si="19"/>
        <v>34</v>
      </c>
      <c r="T9" s="8">
        <f t="shared" si="19"/>
        <v>24</v>
      </c>
      <c r="U9" s="8">
        <f t="shared" si="19"/>
        <v>36</v>
      </c>
      <c r="V9" s="8">
        <f t="shared" si="19"/>
        <v>44</v>
      </c>
      <c r="W9" s="8">
        <f t="shared" si="19"/>
        <v>61</v>
      </c>
      <c r="X9" s="8">
        <f t="shared" si="19"/>
        <v>86</v>
      </c>
      <c r="Y9" s="8">
        <f t="shared" si="19"/>
        <v>73</v>
      </c>
      <c r="Z9" s="8">
        <f t="shared" si="19"/>
        <v>61</v>
      </c>
      <c r="AA9" s="8">
        <f t="shared" si="19"/>
        <v>53</v>
      </c>
      <c r="AB9" s="8">
        <f t="shared" si="19"/>
        <v>26</v>
      </c>
      <c r="AC9" s="8">
        <f t="shared" si="19"/>
        <v>58</v>
      </c>
      <c r="AD9" s="8">
        <f t="shared" si="19"/>
        <v>33</v>
      </c>
      <c r="AE9" s="8">
        <f t="shared" si="19"/>
        <v>37</v>
      </c>
      <c r="AF9" s="8">
        <f t="shared" si="19"/>
        <v>32</v>
      </c>
      <c r="AG9" s="8">
        <f t="shared" si="19"/>
        <v>14</v>
      </c>
      <c r="AH9" s="8">
        <f t="shared" si="19"/>
        <v>32</v>
      </c>
      <c r="AI9" s="8">
        <f t="shared" si="19"/>
        <v>61</v>
      </c>
      <c r="AJ9" s="8">
        <f t="shared" si="19"/>
        <v>40</v>
      </c>
      <c r="AK9" s="8">
        <f t="shared" si="19"/>
        <v>18</v>
      </c>
      <c r="AL9" s="8">
        <f t="shared" si="19"/>
        <v>24</v>
      </c>
      <c r="AM9" s="8">
        <f t="shared" si="19"/>
        <v>21</v>
      </c>
      <c r="AN9" s="8">
        <f t="shared" si="19"/>
        <v>7</v>
      </c>
      <c r="AO9" s="8">
        <f t="shared" si="19"/>
        <v>20</v>
      </c>
      <c r="AP9" s="8">
        <f t="shared" si="19"/>
        <v>33</v>
      </c>
      <c r="AQ9" s="8">
        <f t="shared" si="19"/>
        <v>11</v>
      </c>
      <c r="AR9" s="8">
        <f t="shared" si="19"/>
        <v>15</v>
      </c>
      <c r="AS9" s="8">
        <f t="shared" si="19"/>
        <v>-4</v>
      </c>
      <c r="AT9" s="8">
        <f t="shared" si="19"/>
        <v>65</v>
      </c>
      <c r="AU9" s="8">
        <f t="shared" si="19"/>
        <v>48</v>
      </c>
      <c r="AV9" s="8">
        <f t="shared" si="19"/>
        <v>20</v>
      </c>
      <c r="AW9" s="8">
        <f t="shared" si="19"/>
        <v>42</v>
      </c>
      <c r="AX9" s="8">
        <f t="shared" si="19"/>
        <v>22</v>
      </c>
      <c r="AY9" s="8">
        <f t="shared" si="19"/>
        <v>5</v>
      </c>
      <c r="AZ9" s="8">
        <f t="shared" si="19"/>
        <v>5</v>
      </c>
      <c r="BA9" s="8">
        <f t="shared" si="19"/>
        <v>22</v>
      </c>
      <c r="BB9" s="8">
        <f t="shared" si="19"/>
        <v>21</v>
      </c>
      <c r="BC9" s="8">
        <f t="shared" si="19"/>
        <v>0</v>
      </c>
      <c r="BD9" s="8">
        <f t="shared" si="19"/>
        <v>31</v>
      </c>
      <c r="BE9" s="8">
        <f t="shared" si="19"/>
        <v>4</v>
      </c>
      <c r="BF9" s="8">
        <f t="shared" si="19"/>
        <v>90</v>
      </c>
      <c r="BG9" s="8">
        <f t="shared" si="19"/>
        <v>39</v>
      </c>
      <c r="BH9" s="8">
        <f t="shared" si="19"/>
        <v>11</v>
      </c>
      <c r="BI9" s="8">
        <f t="shared" si="19"/>
        <v>12</v>
      </c>
      <c r="BJ9" s="8">
        <f t="shared" si="19"/>
        <v>10</v>
      </c>
      <c r="BK9" s="8">
        <f t="shared" si="19"/>
        <v>12</v>
      </c>
      <c r="BL9" s="8">
        <f t="shared" si="19"/>
        <v>18</v>
      </c>
    </row>
    <row r="10" spans="1:64" s="1" customFormat="1" ht="18" thickBot="1" x14ac:dyDescent="0.3">
      <c r="A10" s="22" t="s">
        <v>2</v>
      </c>
      <c r="B10" s="12" t="s">
        <v>9</v>
      </c>
      <c r="C10" s="12" t="s">
        <v>10</v>
      </c>
      <c r="D10" s="12" t="s">
        <v>10</v>
      </c>
      <c r="E10" s="13" t="s">
        <v>10</v>
      </c>
      <c r="F10" s="13" t="s">
        <v>10</v>
      </c>
      <c r="G10" s="13">
        <f>G9/F8</f>
        <v>2.1428571428571429E-2</v>
      </c>
      <c r="H10" s="13">
        <f t="shared" ref="H10:BL10" si="20">H9/G8</f>
        <v>9.0909090909090912E-2</v>
      </c>
      <c r="I10" s="13">
        <f t="shared" si="20"/>
        <v>3.2051282051282048E-2</v>
      </c>
      <c r="J10" s="13">
        <f t="shared" si="20"/>
        <v>0.21739130434782608</v>
      </c>
      <c r="K10" s="13">
        <f t="shared" si="20"/>
        <v>0.15306122448979592</v>
      </c>
      <c r="L10" s="13">
        <f t="shared" si="20"/>
        <v>0</v>
      </c>
      <c r="M10" s="13">
        <f t="shared" si="20"/>
        <v>2.2123893805309734E-2</v>
      </c>
      <c r="N10" s="13">
        <f t="shared" si="20"/>
        <v>3.0303030303030304E-2</v>
      </c>
      <c r="O10" s="13">
        <f t="shared" si="20"/>
        <v>4.2016806722689079E-2</v>
      </c>
      <c r="P10" s="13">
        <f t="shared" ref="P10" si="21">P9/O8</f>
        <v>2.8225806451612902E-2</v>
      </c>
      <c r="Q10" s="13">
        <f t="shared" ref="Q10" si="22">Q9/P8</f>
        <v>5.4901960784313725E-2</v>
      </c>
      <c r="R10" s="13">
        <f t="shared" si="20"/>
        <v>8.5501858736059477E-2</v>
      </c>
      <c r="S10" s="13">
        <f t="shared" si="20"/>
        <v>0.11643835616438356</v>
      </c>
      <c r="T10" s="13">
        <f t="shared" si="20"/>
        <v>7.3619631901840496E-2</v>
      </c>
      <c r="U10" s="13">
        <f t="shared" si="20"/>
        <v>0.10285714285714286</v>
      </c>
      <c r="V10" s="13">
        <f t="shared" si="20"/>
        <v>0.11398963730569948</v>
      </c>
      <c r="W10" s="13">
        <f t="shared" si="20"/>
        <v>0.14186046511627906</v>
      </c>
      <c r="X10" s="13">
        <f t="shared" si="20"/>
        <v>0.17515274949083504</v>
      </c>
      <c r="Y10" s="13">
        <f t="shared" si="20"/>
        <v>0.1265164644714038</v>
      </c>
      <c r="Z10" s="13">
        <f t="shared" si="20"/>
        <v>9.3846153846153843E-2</v>
      </c>
      <c r="AA10" s="13">
        <f t="shared" si="20"/>
        <v>7.4542897327707455E-2</v>
      </c>
      <c r="AB10" s="13">
        <f t="shared" si="20"/>
        <v>3.4031413612565446E-2</v>
      </c>
      <c r="AC10" s="13">
        <f t="shared" si="20"/>
        <v>7.3417721518987344E-2</v>
      </c>
      <c r="AD10" s="13">
        <f t="shared" si="20"/>
        <v>3.891509433962264E-2</v>
      </c>
      <c r="AE10" s="13">
        <f t="shared" si="20"/>
        <v>4.1997729852440407E-2</v>
      </c>
      <c r="AF10" s="13">
        <f t="shared" si="20"/>
        <v>3.4858387799564274E-2</v>
      </c>
      <c r="AG10" s="13">
        <f t="shared" si="20"/>
        <v>1.4736842105263158E-2</v>
      </c>
      <c r="AH10" s="13">
        <f t="shared" si="20"/>
        <v>3.3195020746887967E-2</v>
      </c>
      <c r="AI10" s="13">
        <f t="shared" si="20"/>
        <v>6.1244979919678713E-2</v>
      </c>
      <c r="AJ10" s="13">
        <f t="shared" si="20"/>
        <v>3.7842951750236518E-2</v>
      </c>
      <c r="AK10" s="13">
        <f t="shared" si="20"/>
        <v>1.6408386508659983E-2</v>
      </c>
      <c r="AL10" s="13">
        <f t="shared" si="20"/>
        <v>2.1524663677130046E-2</v>
      </c>
      <c r="AM10" s="13">
        <f t="shared" si="20"/>
        <v>1.8437225636523266E-2</v>
      </c>
      <c r="AN10" s="13">
        <f t="shared" si="20"/>
        <v>6.0344827586206896E-3</v>
      </c>
      <c r="AO10" s="13">
        <f t="shared" si="20"/>
        <v>1.713796058269066E-2</v>
      </c>
      <c r="AP10" s="13">
        <f t="shared" si="20"/>
        <v>2.780117944397641E-2</v>
      </c>
      <c r="AQ10" s="13">
        <f t="shared" si="20"/>
        <v>9.0163934426229515E-3</v>
      </c>
      <c r="AR10" s="13">
        <f t="shared" si="20"/>
        <v>1.2185215272136474E-2</v>
      </c>
      <c r="AS10" s="13">
        <f t="shared" si="20"/>
        <v>-3.2102728731942215E-3</v>
      </c>
      <c r="AT10" s="13">
        <f t="shared" si="20"/>
        <v>5.2334943639291469E-2</v>
      </c>
      <c r="AU10" s="13">
        <f t="shared" si="20"/>
        <v>3.6725325172149964E-2</v>
      </c>
      <c r="AV10" s="13">
        <f t="shared" si="20"/>
        <v>1.4760147601476014E-2</v>
      </c>
      <c r="AW10" s="13">
        <f t="shared" si="20"/>
        <v>3.0545454545454546E-2</v>
      </c>
      <c r="AX10" s="13">
        <f t="shared" si="20"/>
        <v>1.5525758645024701E-2</v>
      </c>
      <c r="AY10" s="13">
        <f t="shared" si="20"/>
        <v>3.4746351633078527E-3</v>
      </c>
      <c r="AZ10" s="13">
        <f t="shared" si="20"/>
        <v>3.4626038781163434E-3</v>
      </c>
      <c r="BA10" s="13">
        <f t="shared" si="20"/>
        <v>1.518288474810214E-2</v>
      </c>
      <c r="BB10" s="13">
        <f t="shared" si="20"/>
        <v>1.4276002719238613E-2</v>
      </c>
      <c r="BC10" s="13">
        <f t="shared" si="20"/>
        <v>0</v>
      </c>
      <c r="BD10" s="13">
        <f t="shared" si="20"/>
        <v>2.0777479892761394E-2</v>
      </c>
      <c r="BE10" s="13">
        <f t="shared" si="20"/>
        <v>2.6263952724885093E-3</v>
      </c>
      <c r="BF10" s="13">
        <f t="shared" si="20"/>
        <v>5.8939096267190572E-2</v>
      </c>
      <c r="BG10" s="13">
        <f t="shared" si="20"/>
        <v>2.4118738404452691E-2</v>
      </c>
      <c r="BH10" s="13">
        <f t="shared" si="20"/>
        <v>6.642512077294686E-3</v>
      </c>
      <c r="BI10" s="13">
        <f t="shared" si="20"/>
        <v>7.1985602879424118E-3</v>
      </c>
      <c r="BJ10" s="13">
        <f t="shared" si="20"/>
        <v>5.9559261465157833E-3</v>
      </c>
      <c r="BK10" s="13">
        <f t="shared" si="20"/>
        <v>7.104795737122558E-3</v>
      </c>
      <c r="BL10" s="13">
        <f t="shared" si="20"/>
        <v>1.0582010582010581E-2</v>
      </c>
    </row>
    <row r="11" spans="1:64" s="5" customFormat="1" ht="35.25" thickBot="1" x14ac:dyDescent="0.3">
      <c r="A11" s="20" t="s">
        <v>7</v>
      </c>
      <c r="B11" s="14" t="s">
        <v>10</v>
      </c>
      <c r="C11" s="14" t="s">
        <v>10</v>
      </c>
      <c r="D11" s="14" t="s">
        <v>10</v>
      </c>
      <c r="E11" s="14" t="s">
        <v>10</v>
      </c>
      <c r="F11" s="14" t="s">
        <v>10</v>
      </c>
      <c r="G11" s="14" t="s">
        <v>10</v>
      </c>
      <c r="H11" s="14" t="s">
        <v>10</v>
      </c>
      <c r="I11" s="14" t="s">
        <v>10</v>
      </c>
      <c r="J11" s="14" t="s">
        <v>10</v>
      </c>
      <c r="K11" s="14" t="s">
        <v>10</v>
      </c>
      <c r="L11" s="14" t="s">
        <v>10</v>
      </c>
      <c r="M11" s="14" t="s">
        <v>10</v>
      </c>
      <c r="N11" s="14" t="s">
        <v>10</v>
      </c>
      <c r="O11" s="14" t="s">
        <v>10</v>
      </c>
      <c r="P11" s="14" t="s">
        <v>10</v>
      </c>
      <c r="Q11" s="14" t="s">
        <v>10</v>
      </c>
      <c r="R11" s="14" t="s">
        <v>10</v>
      </c>
      <c r="S11" s="15">
        <v>43</v>
      </c>
      <c r="T11" s="15">
        <v>55</v>
      </c>
      <c r="U11" s="15">
        <v>59</v>
      </c>
      <c r="V11" s="15">
        <v>65</v>
      </c>
      <c r="W11" s="15">
        <v>72</v>
      </c>
      <c r="X11" s="15">
        <v>81</v>
      </c>
      <c r="Y11" s="15">
        <v>83</v>
      </c>
      <c r="Z11" s="16">
        <v>85</v>
      </c>
      <c r="AA11" s="16">
        <v>89</v>
      </c>
      <c r="AB11" s="16">
        <v>91</v>
      </c>
      <c r="AC11" s="16">
        <v>122</v>
      </c>
      <c r="AD11" s="16">
        <v>123</v>
      </c>
      <c r="AE11" s="16">
        <v>125</v>
      </c>
      <c r="AF11" s="16">
        <v>127</v>
      </c>
      <c r="AG11" s="16">
        <v>127</v>
      </c>
      <c r="AH11" s="16">
        <v>127</v>
      </c>
      <c r="AI11" s="16">
        <v>127</v>
      </c>
      <c r="AJ11" s="16">
        <v>127</v>
      </c>
      <c r="AK11" s="16">
        <v>127</v>
      </c>
      <c r="AL11" s="16">
        <v>130</v>
      </c>
      <c r="AM11" s="16">
        <v>133</v>
      </c>
      <c r="AN11" s="16">
        <v>131</v>
      </c>
      <c r="AO11" s="16">
        <v>131</v>
      </c>
      <c r="AP11" s="16">
        <v>131</v>
      </c>
      <c r="AQ11" s="16">
        <v>131</v>
      </c>
      <c r="AR11" s="16">
        <v>131</v>
      </c>
      <c r="AS11" s="16">
        <v>131</v>
      </c>
      <c r="AT11" s="16">
        <v>137</v>
      </c>
      <c r="AU11" s="16">
        <v>139</v>
      </c>
      <c r="AV11" s="16">
        <v>140</v>
      </c>
      <c r="AW11" s="16">
        <v>141</v>
      </c>
      <c r="AX11" s="16">
        <v>142</v>
      </c>
      <c r="AY11" s="16">
        <v>142</v>
      </c>
      <c r="AZ11" s="16">
        <v>142</v>
      </c>
      <c r="BA11" s="16">
        <v>142</v>
      </c>
      <c r="BB11" s="16">
        <v>142</v>
      </c>
      <c r="BC11" s="16">
        <v>143</v>
      </c>
      <c r="BD11" s="16">
        <v>143</v>
      </c>
      <c r="BE11" s="29">
        <v>143</v>
      </c>
      <c r="BF11" s="29">
        <v>143</v>
      </c>
      <c r="BG11" s="29">
        <v>144</v>
      </c>
      <c r="BH11" s="29">
        <v>144</v>
      </c>
      <c r="BI11" s="29">
        <v>144</v>
      </c>
      <c r="BJ11" s="29">
        <v>144</v>
      </c>
      <c r="BK11" s="29">
        <v>144</v>
      </c>
      <c r="BL11" s="29">
        <v>149</v>
      </c>
    </row>
    <row r="12" spans="1:64" s="5" customFormat="1" ht="35.25" thickBot="1" x14ac:dyDescent="0.3">
      <c r="A12" s="20" t="s">
        <v>8</v>
      </c>
      <c r="B12" s="14" t="s">
        <v>10</v>
      </c>
      <c r="C12" s="14" t="s">
        <v>10</v>
      </c>
      <c r="D12" s="14" t="s">
        <v>10</v>
      </c>
      <c r="E12" s="14" t="s">
        <v>10</v>
      </c>
      <c r="F12" s="14" t="s">
        <v>10</v>
      </c>
      <c r="G12" s="14" t="s">
        <v>10</v>
      </c>
      <c r="H12" s="14" t="s">
        <v>10</v>
      </c>
      <c r="I12" s="14" t="s">
        <v>10</v>
      </c>
      <c r="J12" s="14" t="s">
        <v>10</v>
      </c>
      <c r="K12" s="14" t="s">
        <v>10</v>
      </c>
      <c r="L12" s="14" t="s">
        <v>10</v>
      </c>
      <c r="M12" s="14" t="s">
        <v>10</v>
      </c>
      <c r="N12" s="14" t="s">
        <v>10</v>
      </c>
      <c r="O12" s="14" t="s">
        <v>10</v>
      </c>
      <c r="P12" s="14" t="s">
        <v>10</v>
      </c>
      <c r="Q12" s="14" t="s">
        <v>10</v>
      </c>
      <c r="R12" s="15" t="s">
        <v>10</v>
      </c>
      <c r="S12" s="17" t="s">
        <v>10</v>
      </c>
      <c r="T12" s="15">
        <f t="shared" ref="T12:AH12" si="23">T11-S11</f>
        <v>12</v>
      </c>
      <c r="U12" s="15">
        <f t="shared" si="23"/>
        <v>4</v>
      </c>
      <c r="V12" s="15">
        <f t="shared" si="23"/>
        <v>6</v>
      </c>
      <c r="W12" s="15">
        <f t="shared" si="23"/>
        <v>7</v>
      </c>
      <c r="X12" s="15">
        <f t="shared" si="23"/>
        <v>9</v>
      </c>
      <c r="Y12" s="15">
        <f t="shared" si="23"/>
        <v>2</v>
      </c>
      <c r="Z12" s="15">
        <f t="shared" si="23"/>
        <v>2</v>
      </c>
      <c r="AA12" s="15">
        <f t="shared" si="23"/>
        <v>4</v>
      </c>
      <c r="AB12" s="15">
        <f t="shared" si="23"/>
        <v>2</v>
      </c>
      <c r="AC12" s="15">
        <f t="shared" si="23"/>
        <v>31</v>
      </c>
      <c r="AD12" s="15">
        <f t="shared" si="23"/>
        <v>1</v>
      </c>
      <c r="AE12" s="15">
        <f t="shared" si="23"/>
        <v>2</v>
      </c>
      <c r="AF12" s="15">
        <f t="shared" si="23"/>
        <v>2</v>
      </c>
      <c r="AG12" s="15">
        <f>AG11-AF11</f>
        <v>0</v>
      </c>
      <c r="AH12" s="15">
        <f t="shared" si="23"/>
        <v>0</v>
      </c>
      <c r="AI12" s="15">
        <f>AI11-AH11</f>
        <v>0</v>
      </c>
      <c r="AJ12" s="15">
        <f>AJ11-AI11</f>
        <v>0</v>
      </c>
      <c r="AK12" s="15">
        <f t="shared" ref="AK12" si="24">AK11-AJ11</f>
        <v>0</v>
      </c>
      <c r="AL12" s="15">
        <f>AL11-AK11</f>
        <v>3</v>
      </c>
      <c r="AM12" s="15">
        <f>AM11-AL11</f>
        <v>3</v>
      </c>
      <c r="AN12" s="15">
        <f t="shared" ref="AN12" si="25">AN11-AM11</f>
        <v>-2</v>
      </c>
      <c r="AO12" s="15">
        <f>AO11-AN11</f>
        <v>0</v>
      </c>
      <c r="AP12" s="15">
        <f>AP11-AO11</f>
        <v>0</v>
      </c>
      <c r="AQ12" s="15">
        <f t="shared" ref="AQ12" si="26">AQ11-AP11</f>
        <v>0</v>
      </c>
      <c r="AR12" s="15">
        <f t="shared" ref="AR12:BL12" si="27">AR11-AQ11</f>
        <v>0</v>
      </c>
      <c r="AS12" s="15">
        <f t="shared" si="27"/>
        <v>0</v>
      </c>
      <c r="AT12" s="15">
        <f t="shared" si="27"/>
        <v>6</v>
      </c>
      <c r="AU12" s="15">
        <f t="shared" si="27"/>
        <v>2</v>
      </c>
      <c r="AV12" s="15">
        <f t="shared" si="27"/>
        <v>1</v>
      </c>
      <c r="AW12" s="15">
        <f t="shared" si="27"/>
        <v>1</v>
      </c>
      <c r="AX12" s="15">
        <f t="shared" si="27"/>
        <v>1</v>
      </c>
      <c r="AY12" s="28">
        <v>0</v>
      </c>
      <c r="AZ12" s="15">
        <f t="shared" si="27"/>
        <v>0</v>
      </c>
      <c r="BA12" s="15">
        <f t="shared" si="27"/>
        <v>0</v>
      </c>
      <c r="BB12" s="15">
        <f t="shared" si="27"/>
        <v>0</v>
      </c>
      <c r="BC12" s="15">
        <f t="shared" si="27"/>
        <v>1</v>
      </c>
      <c r="BD12" s="15">
        <f t="shared" si="27"/>
        <v>0</v>
      </c>
      <c r="BE12" s="15">
        <f t="shared" si="27"/>
        <v>0</v>
      </c>
      <c r="BF12" s="15">
        <f t="shared" si="27"/>
        <v>0</v>
      </c>
      <c r="BG12" s="15">
        <f t="shared" si="27"/>
        <v>1</v>
      </c>
      <c r="BH12" s="15">
        <f t="shared" si="27"/>
        <v>0</v>
      </c>
      <c r="BI12" s="15">
        <f t="shared" si="27"/>
        <v>0</v>
      </c>
      <c r="BJ12" s="15">
        <f t="shared" si="27"/>
        <v>0</v>
      </c>
      <c r="BK12" s="15">
        <f t="shared" si="27"/>
        <v>0</v>
      </c>
      <c r="BL12" s="15">
        <f t="shared" si="27"/>
        <v>5</v>
      </c>
    </row>
    <row r="13" spans="1:64" ht="18" thickBot="1" x14ac:dyDescent="0.3">
      <c r="A13" s="23" t="s">
        <v>12</v>
      </c>
      <c r="B13" s="8">
        <v>59</v>
      </c>
      <c r="C13" s="8">
        <v>60</v>
      </c>
      <c r="D13" s="8">
        <v>63</v>
      </c>
      <c r="E13" s="9">
        <v>64</v>
      </c>
      <c r="F13" s="9">
        <v>75</v>
      </c>
      <c r="G13" s="9">
        <v>75</v>
      </c>
      <c r="H13" s="9">
        <v>76</v>
      </c>
      <c r="I13" s="9">
        <v>77</v>
      </c>
      <c r="J13" s="9">
        <v>94</v>
      </c>
      <c r="K13" s="9">
        <v>142</v>
      </c>
      <c r="L13" s="9">
        <v>155</v>
      </c>
      <c r="M13" s="9">
        <v>158</v>
      </c>
      <c r="N13" s="9">
        <v>162</v>
      </c>
      <c r="O13" s="9">
        <v>168</v>
      </c>
      <c r="P13" s="9">
        <v>173</v>
      </c>
      <c r="Q13" s="9">
        <v>180</v>
      </c>
      <c r="R13" s="9">
        <v>196</v>
      </c>
      <c r="S13" s="9">
        <v>215</v>
      </c>
      <c r="T13" s="9">
        <v>230</v>
      </c>
      <c r="U13" s="9">
        <v>245</v>
      </c>
      <c r="V13" s="9">
        <v>300</v>
      </c>
      <c r="W13" s="9">
        <v>314</v>
      </c>
      <c r="X13" s="9">
        <v>319</v>
      </c>
      <c r="Y13" s="8">
        <v>377</v>
      </c>
      <c r="Z13" s="10">
        <v>410</v>
      </c>
      <c r="AA13" s="10">
        <v>433</v>
      </c>
      <c r="AB13" s="10">
        <v>454</v>
      </c>
      <c r="AC13" s="10">
        <v>549</v>
      </c>
      <c r="AD13" s="10">
        <v>576</v>
      </c>
      <c r="AE13" s="10">
        <v>601</v>
      </c>
      <c r="AF13" s="10">
        <v>622</v>
      </c>
      <c r="AG13" s="10">
        <v>639</v>
      </c>
      <c r="AH13" s="10">
        <v>665</v>
      </c>
      <c r="AI13" s="10">
        <v>732</v>
      </c>
      <c r="AJ13" s="10">
        <v>768</v>
      </c>
      <c r="AK13" s="10">
        <v>789</v>
      </c>
      <c r="AL13" s="10">
        <v>798</v>
      </c>
      <c r="AM13" s="10">
        <v>814</v>
      </c>
      <c r="AN13" s="10">
        <v>822</v>
      </c>
      <c r="AO13" s="10">
        <v>852</v>
      </c>
      <c r="AP13" s="27">
        <v>867</v>
      </c>
      <c r="AQ13" s="27">
        <v>877</v>
      </c>
      <c r="AR13" s="27">
        <v>886</v>
      </c>
      <c r="AS13" s="27">
        <v>892</v>
      </c>
      <c r="AT13" s="27">
        <v>935</v>
      </c>
      <c r="AU13" s="27">
        <v>989</v>
      </c>
      <c r="AV13" s="27">
        <v>1005</v>
      </c>
      <c r="AW13" s="27">
        <v>1020</v>
      </c>
      <c r="AX13" s="27">
        <v>1053</v>
      </c>
      <c r="AY13" s="28">
        <v>1058</v>
      </c>
      <c r="AZ13" s="28">
        <v>1061</v>
      </c>
      <c r="BA13" s="28">
        <v>1075</v>
      </c>
      <c r="BB13" s="28">
        <v>1094</v>
      </c>
      <c r="BC13" s="28">
        <v>1110</v>
      </c>
      <c r="BD13" s="28">
        <v>1114</v>
      </c>
      <c r="BE13" s="29">
        <v>1118</v>
      </c>
      <c r="BF13" s="29">
        <v>1210</v>
      </c>
      <c r="BG13" s="29">
        <v>1250</v>
      </c>
      <c r="BH13" s="29">
        <v>1261</v>
      </c>
      <c r="BI13" s="29">
        <v>1274</v>
      </c>
      <c r="BJ13" s="29">
        <v>1285</v>
      </c>
      <c r="BK13" s="29">
        <v>1296</v>
      </c>
      <c r="BL13" s="29">
        <v>1306</v>
      </c>
    </row>
    <row r="14" spans="1:64" s="1" customFormat="1" ht="35.25" thickBot="1" x14ac:dyDescent="0.3">
      <c r="A14" s="24" t="s">
        <v>13</v>
      </c>
      <c r="B14" s="13">
        <f>B13/B2</f>
        <v>0.39333333333333331</v>
      </c>
      <c r="C14" s="13">
        <f t="shared" ref="C14:BB14" si="28">C13/C2</f>
        <v>0.39215686274509803</v>
      </c>
      <c r="D14" s="13">
        <f t="shared" si="28"/>
        <v>0.38650306748466257</v>
      </c>
      <c r="E14" s="13">
        <f t="shared" si="28"/>
        <v>0.31840796019900497</v>
      </c>
      <c r="F14" s="13">
        <f t="shared" si="28"/>
        <v>0.34562211981566821</v>
      </c>
      <c r="G14" s="13">
        <f t="shared" si="28"/>
        <v>0.32608695652173914</v>
      </c>
      <c r="H14" s="13">
        <f t="shared" si="28"/>
        <v>0.31666666666666665</v>
      </c>
      <c r="I14" s="13">
        <f t="shared" si="28"/>
        <v>0.30555555555555558</v>
      </c>
      <c r="J14" s="13">
        <f t="shared" si="28"/>
        <v>0.32752613240418116</v>
      </c>
      <c r="K14" s="13">
        <f t="shared" si="28"/>
        <v>0.42900302114803623</v>
      </c>
      <c r="L14" s="13">
        <f t="shared" si="28"/>
        <v>0.45722713864306785</v>
      </c>
      <c r="M14" s="13">
        <f t="shared" si="28"/>
        <v>0.45402298850574713</v>
      </c>
      <c r="N14" s="13">
        <f t="shared" si="28"/>
        <v>0.44383561643835617</v>
      </c>
      <c r="O14" s="13">
        <f t="shared" si="28"/>
        <v>0.44210526315789472</v>
      </c>
      <c r="P14" s="13">
        <f t="shared" si="28"/>
        <v>0.4357682619647355</v>
      </c>
      <c r="Q14" s="13">
        <f t="shared" si="28"/>
        <v>0.4</v>
      </c>
      <c r="R14" s="13">
        <f t="shared" si="28"/>
        <v>0.43458980044345896</v>
      </c>
      <c r="S14" s="13">
        <f t="shared" si="28"/>
        <v>0.43434343434343436</v>
      </c>
      <c r="T14" s="13">
        <f t="shared" si="28"/>
        <v>0.35714285714285715</v>
      </c>
      <c r="U14" s="13">
        <f t="shared" si="28"/>
        <v>0.25154004106776179</v>
      </c>
      <c r="V14" s="13">
        <f t="shared" si="28"/>
        <v>0.27881040892193309</v>
      </c>
      <c r="W14" s="13">
        <f t="shared" si="28"/>
        <v>0.23071271124173401</v>
      </c>
      <c r="X14" s="13">
        <f t="shared" si="28"/>
        <v>0.20931758530183728</v>
      </c>
      <c r="Y14" s="13">
        <f t="shared" si="28"/>
        <v>0.21791907514450867</v>
      </c>
      <c r="Z14" s="13">
        <f t="shared" si="28"/>
        <v>0.21727609962904079</v>
      </c>
      <c r="AA14" s="13">
        <f t="shared" si="28"/>
        <v>0.19844179651695693</v>
      </c>
      <c r="AB14" s="13">
        <f t="shared" si="28"/>
        <v>0.18080446037435285</v>
      </c>
      <c r="AC14" s="13">
        <f t="shared" si="28"/>
        <v>0.21139776665383134</v>
      </c>
      <c r="AD14" s="13">
        <f t="shared" si="28"/>
        <v>0.19965337954939341</v>
      </c>
      <c r="AE14" s="13">
        <f t="shared" si="28"/>
        <v>0.20483980913428765</v>
      </c>
      <c r="AF14" s="13">
        <f t="shared" si="28"/>
        <v>0.20194805194805196</v>
      </c>
      <c r="AG14" s="13">
        <f t="shared" si="28"/>
        <v>0.20292156240076215</v>
      </c>
      <c r="AH14" s="13">
        <f t="shared" si="28"/>
        <v>0.20036155468514613</v>
      </c>
      <c r="AI14" s="13">
        <f t="shared" si="28"/>
        <v>0.21119446047316792</v>
      </c>
      <c r="AJ14" s="13">
        <f t="shared" si="28"/>
        <v>0.21554869492001122</v>
      </c>
      <c r="AK14" s="13">
        <f t="shared" si="28"/>
        <v>0.21874133629054615</v>
      </c>
      <c r="AL14" s="13">
        <f t="shared" si="28"/>
        <v>0.21661237785016288</v>
      </c>
      <c r="AM14" s="13">
        <f t="shared" si="28"/>
        <v>0.21671991480298189</v>
      </c>
      <c r="AN14" s="13">
        <f t="shared" si="28"/>
        <v>0.21395106715252474</v>
      </c>
      <c r="AO14" s="13">
        <f t="shared" si="28"/>
        <v>0.21209858103061988</v>
      </c>
      <c r="AP14" s="13">
        <f t="shared" si="28"/>
        <v>0.21386285150468673</v>
      </c>
      <c r="AQ14" s="13">
        <f t="shared" si="28"/>
        <v>0.21021093000958774</v>
      </c>
      <c r="AR14" s="13">
        <f t="shared" si="28"/>
        <v>0.20803005400328717</v>
      </c>
      <c r="AS14" s="13">
        <f t="shared" si="28"/>
        <v>0.20807091205971542</v>
      </c>
      <c r="AT14" s="13">
        <f t="shared" si="28"/>
        <v>0.21573604060913706</v>
      </c>
      <c r="AU14" s="13">
        <f t="shared" si="28"/>
        <v>0.22100558659217878</v>
      </c>
      <c r="AV14" s="13">
        <f t="shared" si="28"/>
        <v>0.22234513274336284</v>
      </c>
      <c r="AW14" s="13">
        <f t="shared" si="28"/>
        <v>0.2217873450750163</v>
      </c>
      <c r="AX14" s="13">
        <f t="shared" si="28"/>
        <v>0.22586872586872586</v>
      </c>
      <c r="AY14" s="13">
        <f t="shared" si="28"/>
        <v>0.225442147879821</v>
      </c>
      <c r="AZ14" s="13">
        <f t="shared" si="28"/>
        <v>0.22426548298456986</v>
      </c>
      <c r="BA14" s="13">
        <f t="shared" si="28"/>
        <v>0.22164948453608246</v>
      </c>
      <c r="BB14" s="13">
        <f t="shared" si="28"/>
        <v>0.22468679400287533</v>
      </c>
      <c r="BC14" s="13">
        <f t="shared" ref="BC14:BE14" si="29">BC13/BC2</f>
        <v>0.22713321055862493</v>
      </c>
      <c r="BD14" s="13">
        <f t="shared" si="29"/>
        <v>0.22665310274669379</v>
      </c>
      <c r="BE14" s="13">
        <f t="shared" si="29"/>
        <v>0.22709729839528742</v>
      </c>
      <c r="BF14" s="13">
        <f t="shared" ref="BF14:BG14" si="30">BF13/BF2</f>
        <v>0.24003173973417974</v>
      </c>
      <c r="BG14" s="13">
        <f t="shared" si="30"/>
        <v>0.24586939417781276</v>
      </c>
      <c r="BH14" s="13">
        <f t="shared" ref="BH14:BI14" si="31">BH13/BH2</f>
        <v>0.24725490196078431</v>
      </c>
      <c r="BI14" s="13">
        <f t="shared" si="31"/>
        <v>0.24907135874877812</v>
      </c>
      <c r="BJ14" s="13">
        <f t="shared" ref="BJ14:BK14" si="32">BJ13/BJ2</f>
        <v>0.25068279360124851</v>
      </c>
      <c r="BK14" s="13">
        <f t="shared" si="32"/>
        <v>0.25194401244167963</v>
      </c>
      <c r="BL14" s="13">
        <f t="shared" ref="BL14" si="33">BL13/BL2</f>
        <v>0.25231839258114375</v>
      </c>
    </row>
    <row r="15" spans="1:64" ht="35.25" thickBot="1" x14ac:dyDescent="0.3">
      <c r="A15" s="23" t="s">
        <v>15</v>
      </c>
      <c r="B15" s="8">
        <v>3674</v>
      </c>
      <c r="C15" s="8">
        <v>4817</v>
      </c>
      <c r="D15" s="8">
        <v>6152</v>
      </c>
      <c r="E15" s="8">
        <v>7322</v>
      </c>
      <c r="F15" s="8">
        <v>8254</v>
      </c>
      <c r="G15" s="8">
        <v>9211</v>
      </c>
      <c r="H15" s="8">
        <v>10398</v>
      </c>
      <c r="I15" s="8">
        <v>11841</v>
      </c>
      <c r="J15" s="8">
        <v>13534</v>
      </c>
      <c r="K15" s="8">
        <v>15886</v>
      </c>
      <c r="L15" s="8">
        <v>18504</v>
      </c>
      <c r="M15" s="8">
        <v>21415</v>
      </c>
      <c r="N15" s="8">
        <v>23207</v>
      </c>
      <c r="O15" s="8">
        <v>25609</v>
      </c>
      <c r="P15" s="8">
        <v>28254</v>
      </c>
      <c r="Q15" s="8">
        <v>30901</v>
      </c>
      <c r="R15" s="8">
        <v>32970</v>
      </c>
      <c r="S15" s="8">
        <v>35403</v>
      </c>
      <c r="T15" s="8">
        <v>37532</v>
      </c>
      <c r="U15" s="8">
        <v>40508</v>
      </c>
      <c r="V15" s="8">
        <v>43707</v>
      </c>
      <c r="W15" s="8">
        <v>47188</v>
      </c>
      <c r="X15" s="8">
        <v>50312</v>
      </c>
      <c r="Y15" s="8">
        <v>54149</v>
      </c>
      <c r="Z15" s="10">
        <v>56996</v>
      </c>
      <c r="AA15" s="10">
        <v>60525</v>
      </c>
      <c r="AB15" s="10">
        <v>65577</v>
      </c>
      <c r="AC15" s="10">
        <v>71925</v>
      </c>
      <c r="AD15" s="10">
        <v>76246</v>
      </c>
      <c r="AE15" s="10">
        <v>79559</v>
      </c>
      <c r="AF15" s="10">
        <v>84471</v>
      </c>
      <c r="AG15" s="10">
        <v>90041</v>
      </c>
      <c r="AH15" s="10">
        <v>96931</v>
      </c>
      <c r="AI15" s="10">
        <v>104422</v>
      </c>
      <c r="AJ15" s="10">
        <v>112590</v>
      </c>
      <c r="AK15" s="10">
        <v>118722</v>
      </c>
      <c r="AL15" s="10">
        <v>128301</v>
      </c>
      <c r="AM15" s="10">
        <v>143845</v>
      </c>
      <c r="AN15" s="10">
        <v>162125</v>
      </c>
      <c r="AO15" s="10">
        <v>181158</v>
      </c>
      <c r="AP15" s="10">
        <v>195381</v>
      </c>
      <c r="AQ15" s="10">
        <v>210737</v>
      </c>
      <c r="AR15" s="10">
        <v>228880</v>
      </c>
      <c r="AS15" s="10">
        <v>254444</v>
      </c>
      <c r="AT15" s="10">
        <v>287057</v>
      </c>
      <c r="AU15" s="10">
        <v>328451</v>
      </c>
      <c r="AV15" s="10">
        <v>356275</v>
      </c>
      <c r="AW15" s="10">
        <v>392465</v>
      </c>
      <c r="AX15" s="10">
        <v>418260</v>
      </c>
      <c r="AY15" s="10">
        <v>448379</v>
      </c>
      <c r="AZ15" s="10">
        <v>471166</v>
      </c>
      <c r="BA15" s="10">
        <v>492390</v>
      </c>
      <c r="BB15" s="10">
        <v>523808</v>
      </c>
      <c r="BC15" s="10">
        <v>572860</v>
      </c>
      <c r="BD15" s="10">
        <v>632554</v>
      </c>
      <c r="BE15" s="29">
        <v>688253</v>
      </c>
      <c r="BF15" s="29">
        <v>763948</v>
      </c>
      <c r="BG15" s="29">
        <v>838752</v>
      </c>
      <c r="BH15" s="29">
        <v>895191</v>
      </c>
      <c r="BI15" s="29">
        <v>948154</v>
      </c>
      <c r="BJ15" s="29">
        <v>1002350</v>
      </c>
      <c r="BK15" s="29">
        <v>1073082</v>
      </c>
      <c r="BL15" s="29">
        <v>1163517</v>
      </c>
    </row>
    <row r="16" spans="1:64" ht="52.5" thickBot="1" x14ac:dyDescent="0.3">
      <c r="A16" s="23" t="s">
        <v>14</v>
      </c>
      <c r="B16" s="18">
        <f>B15/B5</f>
        <v>0.73056273613044342</v>
      </c>
      <c r="C16" s="18">
        <f t="shared" ref="C16:BB16" si="34">C15/C5</f>
        <v>0.72359921886735767</v>
      </c>
      <c r="D16" s="18">
        <f t="shared" si="34"/>
        <v>0.71319267331323899</v>
      </c>
      <c r="E16" s="18">
        <f t="shared" si="34"/>
        <v>0.70370014416146087</v>
      </c>
      <c r="F16" s="18">
        <f t="shared" si="34"/>
        <v>0.68760413195601466</v>
      </c>
      <c r="G16" s="18">
        <f t="shared" si="34"/>
        <v>0.66266187050359715</v>
      </c>
      <c r="H16" s="18">
        <f t="shared" si="34"/>
        <v>0.65330485046494091</v>
      </c>
      <c r="I16" s="18">
        <f t="shared" si="34"/>
        <v>0.64192778922259564</v>
      </c>
      <c r="J16" s="18">
        <f t="shared" si="34"/>
        <v>0.63423778058953095</v>
      </c>
      <c r="K16" s="18">
        <f t="shared" si="34"/>
        <v>0.63386800734179238</v>
      </c>
      <c r="L16" s="18">
        <f t="shared" si="34"/>
        <v>0.63738762013020567</v>
      </c>
      <c r="M16" s="18">
        <f t="shared" si="34"/>
        <v>0.63908203766152372</v>
      </c>
      <c r="N16" s="18">
        <f t="shared" si="34"/>
        <v>0.62490238845356383</v>
      </c>
      <c r="O16" s="18">
        <f t="shared" si="34"/>
        <v>0.62221196365226683</v>
      </c>
      <c r="P16" s="18">
        <f t="shared" si="34"/>
        <v>0.61906222611744088</v>
      </c>
      <c r="Q16" s="18">
        <f t="shared" si="34"/>
        <v>0.61523911918130048</v>
      </c>
      <c r="R16" s="18">
        <f t="shared" si="34"/>
        <v>0.61159753654374116</v>
      </c>
      <c r="S16" s="18">
        <f t="shared" si="34"/>
        <v>0.60974475560607622</v>
      </c>
      <c r="T16" s="18">
        <f t="shared" si="34"/>
        <v>0.60304963285505409</v>
      </c>
      <c r="U16" s="18">
        <f t="shared" si="34"/>
        <v>0.59084014002333718</v>
      </c>
      <c r="V16" s="18">
        <f t="shared" si="34"/>
        <v>0.5773406953397443</v>
      </c>
      <c r="W16" s="18">
        <f t="shared" si="34"/>
        <v>0.57033733396183084</v>
      </c>
      <c r="X16" s="18">
        <f t="shared" si="34"/>
        <v>0.56122346536972789</v>
      </c>
      <c r="Y16" s="18">
        <f t="shared" si="34"/>
        <v>0.55101708540668148</v>
      </c>
      <c r="Z16" s="18">
        <f t="shared" si="34"/>
        <v>0.53059020666542545</v>
      </c>
      <c r="AA16" s="18">
        <f t="shared" si="34"/>
        <v>0.51201685150876841</v>
      </c>
      <c r="AB16" s="18">
        <f t="shared" si="34"/>
        <v>0.49081641817855221</v>
      </c>
      <c r="AC16" s="18">
        <f t="shared" si="34"/>
        <v>0.48336693548387094</v>
      </c>
      <c r="AD16" s="18">
        <f t="shared" si="34"/>
        <v>0.47247714949651431</v>
      </c>
      <c r="AE16" s="18">
        <f t="shared" si="34"/>
        <v>0.47025966272808412</v>
      </c>
      <c r="AF16" s="18">
        <f t="shared" si="34"/>
        <v>0.45355505202908042</v>
      </c>
      <c r="AG16" s="18">
        <f t="shared" si="34"/>
        <v>0.43936584461338773</v>
      </c>
      <c r="AH16" s="18">
        <f t="shared" si="34"/>
        <v>0.43702180803339963</v>
      </c>
      <c r="AI16" s="18">
        <f t="shared" si="34"/>
        <v>0.43940331166235352</v>
      </c>
      <c r="AJ16" s="18">
        <f t="shared" si="34"/>
        <v>0.43177800190980942</v>
      </c>
      <c r="AK16" s="18">
        <f t="shared" si="34"/>
        <v>0.42751736579990707</v>
      </c>
      <c r="AL16" s="18">
        <f t="shared" si="34"/>
        <v>0.42457765938084285</v>
      </c>
      <c r="AM16" s="18">
        <f t="shared" si="34"/>
        <v>0.42419390036036353</v>
      </c>
      <c r="AN16" s="18">
        <f t="shared" si="34"/>
        <v>0.42839778567559356</v>
      </c>
      <c r="AO16" s="18">
        <f t="shared" si="34"/>
        <v>0.42885855039664411</v>
      </c>
      <c r="AP16" s="18">
        <f t="shared" si="34"/>
        <v>0.42667246100830281</v>
      </c>
      <c r="AQ16" s="18">
        <f t="shared" si="34"/>
        <v>0.42724089763629469</v>
      </c>
      <c r="AR16" s="18">
        <f t="shared" si="34"/>
        <v>0.42651361273130461</v>
      </c>
      <c r="AS16" s="18">
        <f t="shared" si="34"/>
        <v>0.42747532445713804</v>
      </c>
      <c r="AT16" s="18">
        <f t="shared" si="34"/>
        <v>0.43706454481229751</v>
      </c>
      <c r="AU16" s="18">
        <f t="shared" si="34"/>
        <v>0.45222373062445098</v>
      </c>
      <c r="AV16" s="18">
        <f t="shared" si="34"/>
        <v>0.45837064369377717</v>
      </c>
      <c r="AW16" s="18">
        <f t="shared" si="34"/>
        <v>0.46654763192587828</v>
      </c>
      <c r="AX16" s="18">
        <f t="shared" si="34"/>
        <v>0.46927539776660543</v>
      </c>
      <c r="AY16" s="18">
        <f t="shared" si="34"/>
        <v>0.4714285564084798</v>
      </c>
      <c r="AZ16" s="18">
        <f t="shared" si="34"/>
        <v>0.47262641562427904</v>
      </c>
      <c r="BA16" s="18">
        <f t="shared" si="34"/>
        <v>0.47373023959268379</v>
      </c>
      <c r="BB16" s="18">
        <f t="shared" si="34"/>
        <v>0.47639653994785003</v>
      </c>
      <c r="BC16" s="18">
        <f t="shared" ref="BC16" si="35">BC15/BC5</f>
        <v>0.48083976987914795</v>
      </c>
      <c r="BD16" s="18">
        <f t="shared" ref="BD16:BJ16" si="36">BD15/BD5</f>
        <v>0.46057823300138123</v>
      </c>
      <c r="BE16" s="18">
        <f t="shared" si="36"/>
        <v>0.46611259389088711</v>
      </c>
      <c r="BF16" s="18">
        <f t="shared" si="36"/>
        <v>0.47921423588981837</v>
      </c>
      <c r="BG16" s="18">
        <f t="shared" si="36"/>
        <v>0.49181204527650474</v>
      </c>
      <c r="BH16" s="18">
        <f t="shared" si="36"/>
        <v>0.49886316901667466</v>
      </c>
      <c r="BI16" s="18">
        <f t="shared" si="36"/>
        <v>0.50682200982155601</v>
      </c>
      <c r="BJ16" s="18">
        <f t="shared" si="36"/>
        <v>0.49986236143886154</v>
      </c>
      <c r="BK16" s="18">
        <f t="shared" ref="BK16:BL16" si="37">BK15/BK5</f>
        <v>0.50994191953512813</v>
      </c>
      <c r="BL16" s="18">
        <f t="shared" si="37"/>
        <v>0.52021568403897867</v>
      </c>
    </row>
    <row r="17" spans="1:64" s="2" customFormat="1" ht="35.25" thickBot="1" x14ac:dyDescent="0.3">
      <c r="A17" s="25" t="s">
        <v>16</v>
      </c>
      <c r="B17" s="19">
        <f>B5/B2</f>
        <v>33.526666666666664</v>
      </c>
      <c r="C17" s="19">
        <f t="shared" ref="C17:BB17" si="38">C5/C2</f>
        <v>43.509803921568626</v>
      </c>
      <c r="D17" s="19">
        <f t="shared" si="38"/>
        <v>52.920245398773005</v>
      </c>
      <c r="E17" s="19">
        <f t="shared" si="38"/>
        <v>51.766169154228855</v>
      </c>
      <c r="F17" s="19">
        <f t="shared" si="38"/>
        <v>55.317972350230413</v>
      </c>
      <c r="G17" s="19">
        <f t="shared" si="38"/>
        <v>60.434782608695649</v>
      </c>
      <c r="H17" s="19">
        <f t="shared" si="38"/>
        <v>66.316666666666663</v>
      </c>
      <c r="I17" s="19">
        <f t="shared" si="38"/>
        <v>73.198412698412696</v>
      </c>
      <c r="J17" s="19">
        <f t="shared" si="38"/>
        <v>74.351916376306619</v>
      </c>
      <c r="K17" s="19">
        <f t="shared" si="38"/>
        <v>75.716012084592151</v>
      </c>
      <c r="L17" s="19">
        <f t="shared" si="38"/>
        <v>85.637168141592923</v>
      </c>
      <c r="M17" s="19">
        <f t="shared" si="38"/>
        <v>96.290229885057471</v>
      </c>
      <c r="N17" s="19">
        <f t="shared" si="38"/>
        <v>101.74520547945205</v>
      </c>
      <c r="O17" s="19">
        <f t="shared" si="38"/>
        <v>108.31052631578947</v>
      </c>
      <c r="P17" s="19">
        <f t="shared" si="38"/>
        <v>114.96221662468514</v>
      </c>
      <c r="Q17" s="19">
        <f t="shared" si="38"/>
        <v>111.61333333333333</v>
      </c>
      <c r="R17" s="19">
        <f t="shared" si="38"/>
        <v>119.52993348115299</v>
      </c>
      <c r="S17" s="19">
        <f t="shared" si="38"/>
        <v>117.2969696969697</v>
      </c>
      <c r="T17" s="19">
        <f t="shared" si="38"/>
        <v>96.641304347826093</v>
      </c>
      <c r="U17" s="19">
        <f t="shared" si="38"/>
        <v>70.390143737166326</v>
      </c>
      <c r="V17" s="19">
        <f t="shared" si="38"/>
        <v>70.356877323420079</v>
      </c>
      <c r="W17" s="19">
        <f t="shared" si="38"/>
        <v>60.791329904481998</v>
      </c>
      <c r="X17" s="19">
        <f t="shared" si="38"/>
        <v>58.823490813648291</v>
      </c>
      <c r="Y17" s="19">
        <f t="shared" si="38"/>
        <v>56.804046242774568</v>
      </c>
      <c r="Z17" s="19">
        <f t="shared" si="38"/>
        <v>56.926338102808693</v>
      </c>
      <c r="AA17" s="19">
        <f t="shared" si="38"/>
        <v>54.17461044912924</v>
      </c>
      <c r="AB17" s="19">
        <f t="shared" si="38"/>
        <v>53.209080047789726</v>
      </c>
      <c r="AC17" s="19">
        <f t="shared" si="38"/>
        <v>57.296881016557563</v>
      </c>
      <c r="AD17" s="19">
        <f t="shared" si="38"/>
        <v>55.935875216637783</v>
      </c>
      <c r="AE17" s="19">
        <f t="shared" si="38"/>
        <v>57.662235855487388</v>
      </c>
      <c r="AF17" s="19">
        <f t="shared" si="38"/>
        <v>60.468181818181819</v>
      </c>
      <c r="AG17" s="19">
        <f t="shared" si="38"/>
        <v>65.079072721498889</v>
      </c>
      <c r="AH17" s="19">
        <f t="shared" si="38"/>
        <v>66.827056342271774</v>
      </c>
      <c r="AI17" s="19">
        <f t="shared" si="38"/>
        <v>68.564627813040971</v>
      </c>
      <c r="AJ17" s="19">
        <f t="shared" si="38"/>
        <v>73.185237159696882</v>
      </c>
      <c r="AK17" s="19">
        <f t="shared" si="38"/>
        <v>76.989464929304134</v>
      </c>
      <c r="AL17" s="19">
        <f t="shared" si="38"/>
        <v>82.026330076004342</v>
      </c>
      <c r="AM17" s="19">
        <f t="shared" si="38"/>
        <v>90.282747603833869</v>
      </c>
      <c r="AN17" s="19">
        <f t="shared" si="38"/>
        <v>98.502082248828728</v>
      </c>
      <c r="AO17" s="19">
        <f t="shared" si="38"/>
        <v>105.15782922579039</v>
      </c>
      <c r="AP17" s="19">
        <f t="shared" si="38"/>
        <v>112.95461272816971</v>
      </c>
      <c r="AQ17" s="19">
        <f t="shared" si="38"/>
        <v>118.22890699904123</v>
      </c>
      <c r="AR17" s="19">
        <f t="shared" si="38"/>
        <v>125.99906081239727</v>
      </c>
      <c r="AS17" s="19">
        <f t="shared" si="38"/>
        <v>138.84418007930955</v>
      </c>
      <c r="AT17" s="19">
        <f t="shared" si="38"/>
        <v>151.54222427318874</v>
      </c>
      <c r="AU17" s="19">
        <f t="shared" si="38"/>
        <v>162.30212290502794</v>
      </c>
      <c r="AV17" s="19">
        <f t="shared" si="38"/>
        <v>171.96106194690265</v>
      </c>
      <c r="AW17" s="19">
        <f t="shared" si="38"/>
        <v>182.91171993911721</v>
      </c>
      <c r="AX17" s="19">
        <f t="shared" si="38"/>
        <v>191.18168168168168</v>
      </c>
      <c r="AY17" s="19">
        <f t="shared" si="38"/>
        <v>202.66503302791392</v>
      </c>
      <c r="AZ17" s="19">
        <f t="shared" si="38"/>
        <v>210.71866413020504</v>
      </c>
      <c r="BA17" s="19">
        <f t="shared" si="38"/>
        <v>214.30701030927835</v>
      </c>
      <c r="BB17" s="19">
        <f t="shared" si="38"/>
        <v>225.82070240295749</v>
      </c>
      <c r="BC17" s="19">
        <f t="shared" ref="BC17:BE17" si="39">BC5/BC2</f>
        <v>243.7843257622263</v>
      </c>
      <c r="BD17" s="19">
        <f t="shared" si="39"/>
        <v>279.42848423194306</v>
      </c>
      <c r="BE17" s="19">
        <f t="shared" si="39"/>
        <v>299.93520211253303</v>
      </c>
      <c r="BF17" s="19">
        <f t="shared" ref="BF17:BG17" si="40">BF5/BF2</f>
        <v>316.24042848641142</v>
      </c>
      <c r="BG17" s="19">
        <f t="shared" si="40"/>
        <v>335.45082612116443</v>
      </c>
      <c r="BH17" s="19">
        <f t="shared" ref="BH17:BI17" si="41">BH5/BH2</f>
        <v>351.85529411764708</v>
      </c>
      <c r="BI17" s="19">
        <f t="shared" si="41"/>
        <v>365.744477028348</v>
      </c>
      <c r="BJ17" s="19">
        <f t="shared" ref="BJ17:BK17" si="42">BJ5/BJ2</f>
        <v>391.19235271166599</v>
      </c>
      <c r="BK17" s="19">
        <f t="shared" si="42"/>
        <v>409.08281493001556</v>
      </c>
      <c r="BL17" s="19">
        <f t="shared" ref="BL17" si="43">BL5/BL2</f>
        <v>432.11070324574962</v>
      </c>
    </row>
    <row r="25" spans="1:64" x14ac:dyDescent="0.25">
      <c r="B25" t="s">
        <v>11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8</vt:i4>
      </vt:variant>
    </vt:vector>
  </HeadingPairs>
  <TitlesOfParts>
    <vt:vector size="9" baseType="lpstr">
      <vt:lpstr>Data</vt:lpstr>
      <vt:lpstr>Total Participants</vt:lpstr>
      <vt:lpstr>Items to Date</vt:lpstr>
      <vt:lpstr>Downloads to Date</vt:lpstr>
      <vt:lpstr>Downloads per month</vt:lpstr>
      <vt:lpstr>Comparison</vt:lpstr>
      <vt:lpstr>Percentage of Dc that are ETDs</vt:lpstr>
      <vt:lpstr>ETDdownloadspercent</vt:lpstr>
      <vt:lpstr>AveDownloadItem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2012-11-01T15:10:50Z</dcterms:modified>
</cp:coreProperties>
</file>