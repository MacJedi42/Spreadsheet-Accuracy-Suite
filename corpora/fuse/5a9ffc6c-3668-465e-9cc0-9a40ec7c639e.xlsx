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435" windowWidth="14295" windowHeight="15300"/>
  </bookViews>
  <sheets>
    <sheet name="Closed Counts" sheetId="1" r:id="rId1"/>
    <sheet name="Reported Counts" sheetId="4" r:id="rId2"/>
    <sheet name="Reported Claims" sheetId="11" r:id="rId3"/>
    <sheet name="Reported Severity" sheetId="12" r:id="rId4"/>
    <sheet name="Diagnostics" sheetId="10" r:id="rId5"/>
    <sheet name="Dev Method" sheetId="2" r:id="rId6"/>
    <sheet name="Dev Unpaid" sheetId="6" r:id="rId7"/>
    <sheet name="Proj FS" sheetId="13" r:id="rId8"/>
  </sheets>
  <calcPr calcId="125725"/>
</workbook>
</file>

<file path=xl/calcChain.xml><?xml version="1.0" encoding="utf-8"?>
<calcChain xmlns="http://schemas.openxmlformats.org/spreadsheetml/2006/main">
  <c r="B47" i="1"/>
  <c r="K45" i="12"/>
  <c r="J45"/>
  <c r="I45"/>
  <c r="H45"/>
  <c r="G45"/>
  <c r="F45"/>
  <c r="E45"/>
  <c r="D45"/>
  <c r="C45"/>
  <c r="B45"/>
  <c r="K45" i="11"/>
  <c r="J45"/>
  <c r="I45"/>
  <c r="H45"/>
  <c r="G45"/>
  <c r="F45"/>
  <c r="E45"/>
  <c r="D45"/>
  <c r="C45"/>
  <c r="B45"/>
  <c r="K45" i="4"/>
  <c r="J45"/>
  <c r="I45"/>
  <c r="H45"/>
  <c r="G45"/>
  <c r="F45"/>
  <c r="E45"/>
  <c r="D45"/>
  <c r="C45"/>
  <c r="B45"/>
  <c r="K45" i="1"/>
  <c r="J45"/>
  <c r="I45"/>
  <c r="H45"/>
  <c r="G45"/>
  <c r="F45"/>
  <c r="E45"/>
  <c r="D45"/>
  <c r="C45"/>
  <c r="B45"/>
  <c r="C7" i="13"/>
  <c r="C8"/>
  <c r="C9"/>
  <c r="C10"/>
  <c r="C11"/>
  <c r="C12"/>
  <c r="C13"/>
  <c r="C14"/>
  <c r="C15"/>
  <c r="C16"/>
  <c r="F7"/>
  <c r="B15"/>
  <c r="B14"/>
  <c r="B13" s="1"/>
  <c r="B12" s="1"/>
  <c r="B11" s="1"/>
  <c r="B10" s="1"/>
  <c r="B9" s="1"/>
  <c r="B8" s="1"/>
  <c r="B7" s="1"/>
  <c r="B36" i="4"/>
  <c r="B36" i="1"/>
  <c r="B36" i="11"/>
  <c r="B17" i="12"/>
  <c r="E16" i="13" s="1"/>
  <c r="C16" i="12"/>
  <c r="E15" i="13" s="1"/>
  <c r="B16" i="12"/>
  <c r="D15"/>
  <c r="E14" i="13" s="1"/>
  <c r="C15" i="12"/>
  <c r="B15"/>
  <c r="E14"/>
  <c r="E13" i="13" s="1"/>
  <c r="D14" i="12"/>
  <c r="C14"/>
  <c r="B14"/>
  <c r="F13"/>
  <c r="E12" i="13" s="1"/>
  <c r="E13" i="12"/>
  <c r="D13"/>
  <c r="C13"/>
  <c r="B13"/>
  <c r="G12"/>
  <c r="E11" i="13" s="1"/>
  <c r="F12" i="12"/>
  <c r="E12"/>
  <c r="D12"/>
  <c r="C12"/>
  <c r="B12"/>
  <c r="H11"/>
  <c r="E10" i="13" s="1"/>
  <c r="G11" i="12"/>
  <c r="F11"/>
  <c r="E11"/>
  <c r="D11"/>
  <c r="C11"/>
  <c r="B11"/>
  <c r="I10"/>
  <c r="E9" i="13" s="1"/>
  <c r="H10" i="12"/>
  <c r="G10"/>
  <c r="F10"/>
  <c r="E10"/>
  <c r="D10"/>
  <c r="C10"/>
  <c r="B10"/>
  <c r="J9"/>
  <c r="E8" i="13" s="1"/>
  <c r="I9" i="12"/>
  <c r="H9"/>
  <c r="G9"/>
  <c r="F9"/>
  <c r="E9"/>
  <c r="D9"/>
  <c r="C9"/>
  <c r="B9"/>
  <c r="K8"/>
  <c r="J40" s="1"/>
  <c r="J8"/>
  <c r="I8"/>
  <c r="H40" s="1"/>
  <c r="H8"/>
  <c r="G8"/>
  <c r="G39" s="1"/>
  <c r="F8"/>
  <c r="E8"/>
  <c r="D20" s="1"/>
  <c r="D8"/>
  <c r="C8"/>
  <c r="B20" s="1"/>
  <c r="B8"/>
  <c r="K48"/>
  <c r="G40"/>
  <c r="F40"/>
  <c r="E40"/>
  <c r="D40"/>
  <c r="C40"/>
  <c r="B40"/>
  <c r="J39"/>
  <c r="H39"/>
  <c r="F39"/>
  <c r="E39"/>
  <c r="D39"/>
  <c r="C39"/>
  <c r="B39"/>
  <c r="B28"/>
  <c r="C27"/>
  <c r="B27"/>
  <c r="B33" s="1"/>
  <c r="D26"/>
  <c r="C26"/>
  <c r="C33" s="1"/>
  <c r="B26"/>
  <c r="E25"/>
  <c r="D25"/>
  <c r="D33" s="1"/>
  <c r="C25"/>
  <c r="C32" s="1"/>
  <c r="C47" s="1"/>
  <c r="B25"/>
  <c r="B43" s="1"/>
  <c r="F24"/>
  <c r="E24"/>
  <c r="E33" s="1"/>
  <c r="D24"/>
  <c r="C24"/>
  <c r="C43" s="1"/>
  <c r="B24"/>
  <c r="B36" s="1"/>
  <c r="B47" s="1"/>
  <c r="G23"/>
  <c r="F23"/>
  <c r="F33" s="1"/>
  <c r="E23"/>
  <c r="E32" s="1"/>
  <c r="E47" s="1"/>
  <c r="D23"/>
  <c r="D43" s="1"/>
  <c r="C23"/>
  <c r="C36" s="1"/>
  <c r="B23"/>
  <c r="H22"/>
  <c r="G22"/>
  <c r="F22"/>
  <c r="F32" s="1"/>
  <c r="F47" s="1"/>
  <c r="E22"/>
  <c r="D22"/>
  <c r="D31" s="1"/>
  <c r="C22"/>
  <c r="B22"/>
  <c r="I21"/>
  <c r="H21"/>
  <c r="H33" s="1"/>
  <c r="G21"/>
  <c r="G32" s="1"/>
  <c r="G47" s="1"/>
  <c r="F21"/>
  <c r="F43" s="1"/>
  <c r="E21"/>
  <c r="E36" s="1"/>
  <c r="D21"/>
  <c r="C21"/>
  <c r="B21"/>
  <c r="I20"/>
  <c r="I43" s="1"/>
  <c r="G20"/>
  <c r="G36" s="1"/>
  <c r="E20"/>
  <c r="C20"/>
  <c r="D7"/>
  <c r="C7"/>
  <c r="K48" i="11"/>
  <c r="K49" s="1"/>
  <c r="J40"/>
  <c r="I40"/>
  <c r="H40"/>
  <c r="G40"/>
  <c r="F40"/>
  <c r="E40"/>
  <c r="D40"/>
  <c r="C40"/>
  <c r="B40"/>
  <c r="J39"/>
  <c r="I39"/>
  <c r="H39"/>
  <c r="G39"/>
  <c r="F39"/>
  <c r="E39"/>
  <c r="D39"/>
  <c r="C39"/>
  <c r="B39"/>
  <c r="B28"/>
  <c r="C27"/>
  <c r="B27"/>
  <c r="B33" s="1"/>
  <c r="D26"/>
  <c r="C26"/>
  <c r="C33" s="1"/>
  <c r="B26"/>
  <c r="E25"/>
  <c r="D25"/>
  <c r="C25"/>
  <c r="B25"/>
  <c r="F24"/>
  <c r="E24"/>
  <c r="D24"/>
  <c r="D32" s="1"/>
  <c r="D47" s="1"/>
  <c r="C24"/>
  <c r="B24"/>
  <c r="G23"/>
  <c r="F23"/>
  <c r="F33" s="1"/>
  <c r="E23"/>
  <c r="D23"/>
  <c r="C23"/>
  <c r="C31" s="1"/>
  <c r="B23"/>
  <c r="H22"/>
  <c r="G22"/>
  <c r="F22"/>
  <c r="F32" s="1"/>
  <c r="F47" s="1"/>
  <c r="E22"/>
  <c r="E43" s="1"/>
  <c r="D22"/>
  <c r="D36" s="1"/>
  <c r="C22"/>
  <c r="B22"/>
  <c r="I21"/>
  <c r="H21"/>
  <c r="G21"/>
  <c r="F21"/>
  <c r="F43" s="1"/>
  <c r="E21"/>
  <c r="E31" s="1"/>
  <c r="D21"/>
  <c r="C21"/>
  <c r="B21"/>
  <c r="J20"/>
  <c r="J43" s="1"/>
  <c r="I20"/>
  <c r="H20"/>
  <c r="G20"/>
  <c r="G43" s="1"/>
  <c r="F20"/>
  <c r="F36" s="1"/>
  <c r="E20"/>
  <c r="D20"/>
  <c r="C20"/>
  <c r="B20"/>
  <c r="D7"/>
  <c r="E7" s="1"/>
  <c r="C7"/>
  <c r="B17" i="10"/>
  <c r="C16"/>
  <c r="B16"/>
  <c r="D15"/>
  <c r="C15"/>
  <c r="B15"/>
  <c r="E14"/>
  <c r="D14"/>
  <c r="C14"/>
  <c r="B14"/>
  <c r="F13"/>
  <c r="E13"/>
  <c r="D13"/>
  <c r="C13"/>
  <c r="B13"/>
  <c r="G12"/>
  <c r="F12"/>
  <c r="E12"/>
  <c r="D12"/>
  <c r="C12"/>
  <c r="B12"/>
  <c r="H11"/>
  <c r="G11"/>
  <c r="F11"/>
  <c r="E11"/>
  <c r="D11"/>
  <c r="C11"/>
  <c r="B11"/>
  <c r="I10"/>
  <c r="H10"/>
  <c r="G10"/>
  <c r="F10"/>
  <c r="E10"/>
  <c r="D10"/>
  <c r="C10"/>
  <c r="B10"/>
  <c r="J9"/>
  <c r="I9"/>
  <c r="H9"/>
  <c r="G9"/>
  <c r="F9"/>
  <c r="E9"/>
  <c r="D9"/>
  <c r="C9"/>
  <c r="B9"/>
  <c r="K8"/>
  <c r="J8"/>
  <c r="I8"/>
  <c r="H8"/>
  <c r="G8"/>
  <c r="F8"/>
  <c r="E8"/>
  <c r="D8"/>
  <c r="C8"/>
  <c r="B8"/>
  <c r="C7"/>
  <c r="D7" s="1"/>
  <c r="B14" i="2"/>
  <c r="B13"/>
  <c r="B12" s="1"/>
  <c r="B11" s="1"/>
  <c r="B10" s="1"/>
  <c r="B9" s="1"/>
  <c r="B8" s="1"/>
  <c r="B7" s="1"/>
  <c r="B15"/>
  <c r="J47" i="4"/>
  <c r="I47"/>
  <c r="H47"/>
  <c r="G47"/>
  <c r="F47"/>
  <c r="E47"/>
  <c r="D47"/>
  <c r="C47"/>
  <c r="B47"/>
  <c r="D7"/>
  <c r="E7" s="1"/>
  <c r="F7" s="1"/>
  <c r="G7" s="1"/>
  <c r="H7" s="1"/>
  <c r="I7" s="1"/>
  <c r="J7" s="1"/>
  <c r="K7" s="1"/>
  <c r="C7"/>
  <c r="J47" i="1"/>
  <c r="I47"/>
  <c r="H47"/>
  <c r="G47"/>
  <c r="F47"/>
  <c r="E47"/>
  <c r="D7"/>
  <c r="E7" s="1"/>
  <c r="F7" s="1"/>
  <c r="G7" s="1"/>
  <c r="H7" s="1"/>
  <c r="I7" s="1"/>
  <c r="J7" s="1"/>
  <c r="K7" s="1"/>
  <c r="C7"/>
  <c r="D16" i="2"/>
  <c r="D15"/>
  <c r="D14"/>
  <c r="D13"/>
  <c r="D12"/>
  <c r="D11"/>
  <c r="D10"/>
  <c r="D9"/>
  <c r="D8"/>
  <c r="D7"/>
  <c r="C16"/>
  <c r="C15"/>
  <c r="C14"/>
  <c r="C13"/>
  <c r="C12"/>
  <c r="C11"/>
  <c r="C10"/>
  <c r="C9"/>
  <c r="C8"/>
  <c r="C7"/>
  <c r="K48" i="4"/>
  <c r="J48" s="1"/>
  <c r="F8" i="2" s="1"/>
  <c r="J40" i="4"/>
  <c r="I40"/>
  <c r="H40"/>
  <c r="G40"/>
  <c r="F40"/>
  <c r="E40"/>
  <c r="D40"/>
  <c r="C40"/>
  <c r="B40"/>
  <c r="J39"/>
  <c r="I39"/>
  <c r="H39"/>
  <c r="G39"/>
  <c r="F39"/>
  <c r="E39"/>
  <c r="D39"/>
  <c r="C39"/>
  <c r="B39"/>
  <c r="B28"/>
  <c r="C27"/>
  <c r="B27"/>
  <c r="B33" s="1"/>
  <c r="D26"/>
  <c r="C26"/>
  <c r="B26"/>
  <c r="E25"/>
  <c r="D25"/>
  <c r="D33" s="1"/>
  <c r="C25"/>
  <c r="B25"/>
  <c r="F24"/>
  <c r="E24"/>
  <c r="E33" s="1"/>
  <c r="D24"/>
  <c r="C24"/>
  <c r="B24"/>
  <c r="G23"/>
  <c r="F23"/>
  <c r="F33" s="1"/>
  <c r="E23"/>
  <c r="E32" s="1"/>
  <c r="D23"/>
  <c r="C23"/>
  <c r="B23"/>
  <c r="H22"/>
  <c r="G22"/>
  <c r="F22"/>
  <c r="E22"/>
  <c r="D22"/>
  <c r="C22"/>
  <c r="B22"/>
  <c r="I21"/>
  <c r="H21"/>
  <c r="G21"/>
  <c r="G32" s="1"/>
  <c r="F21"/>
  <c r="E21"/>
  <c r="E31" s="1"/>
  <c r="D21"/>
  <c r="C21"/>
  <c r="B21"/>
  <c r="J20"/>
  <c r="J43" s="1"/>
  <c r="I20"/>
  <c r="I43" s="1"/>
  <c r="H20"/>
  <c r="G20"/>
  <c r="G43" s="1"/>
  <c r="F20"/>
  <c r="E20"/>
  <c r="D20"/>
  <c r="C20"/>
  <c r="B20"/>
  <c r="K48" i="1"/>
  <c r="E7" i="2" s="1"/>
  <c r="J40" i="1"/>
  <c r="I40"/>
  <c r="H40"/>
  <c r="G40"/>
  <c r="F40"/>
  <c r="E40"/>
  <c r="D40"/>
  <c r="C40"/>
  <c r="B40"/>
  <c r="J39"/>
  <c r="I39"/>
  <c r="H39"/>
  <c r="G39"/>
  <c r="F39"/>
  <c r="E39"/>
  <c r="D39"/>
  <c r="C39"/>
  <c r="B39"/>
  <c r="I21"/>
  <c r="H21"/>
  <c r="G21"/>
  <c r="F21"/>
  <c r="E21"/>
  <c r="D21"/>
  <c r="C21"/>
  <c r="B21"/>
  <c r="J20"/>
  <c r="J43" s="1"/>
  <c r="I20"/>
  <c r="H20"/>
  <c r="G20"/>
  <c r="F20"/>
  <c r="E20"/>
  <c r="D20"/>
  <c r="C20"/>
  <c r="B20"/>
  <c r="B32" i="12" l="1"/>
  <c r="E43"/>
  <c r="G33"/>
  <c r="I40"/>
  <c r="E7" i="13"/>
  <c r="G7" s="1"/>
  <c r="B31" i="12"/>
  <c r="D32"/>
  <c r="D47" s="1"/>
  <c r="F20"/>
  <c r="F31" s="1"/>
  <c r="H20"/>
  <c r="H43" s="1"/>
  <c r="J20"/>
  <c r="J43" s="1"/>
  <c r="I39"/>
  <c r="E7"/>
  <c r="C31"/>
  <c r="E31"/>
  <c r="G31"/>
  <c r="I31"/>
  <c r="H32"/>
  <c r="H47" s="1"/>
  <c r="I33"/>
  <c r="D36"/>
  <c r="F36"/>
  <c r="H36"/>
  <c r="G43"/>
  <c r="K49"/>
  <c r="H31"/>
  <c r="J31"/>
  <c r="I43" i="11"/>
  <c r="G33"/>
  <c r="H36"/>
  <c r="H43"/>
  <c r="E33"/>
  <c r="C43"/>
  <c r="B32"/>
  <c r="B47" s="1"/>
  <c r="E36"/>
  <c r="G32"/>
  <c r="G47" s="1"/>
  <c r="D43"/>
  <c r="C32"/>
  <c r="C47" s="1"/>
  <c r="J31"/>
  <c r="J36" s="1"/>
  <c r="F7"/>
  <c r="B31"/>
  <c r="D31"/>
  <c r="F31"/>
  <c r="H31"/>
  <c r="E32"/>
  <c r="E47" s="1"/>
  <c r="D33"/>
  <c r="H33"/>
  <c r="J33"/>
  <c r="C36"/>
  <c r="G36"/>
  <c r="B43"/>
  <c r="G31"/>
  <c r="I31"/>
  <c r="H32"/>
  <c r="H47" s="1"/>
  <c r="I33"/>
  <c r="E7" i="10"/>
  <c r="F7" i="2"/>
  <c r="F32" i="4"/>
  <c r="D36"/>
  <c r="C31"/>
  <c r="C43"/>
  <c r="B32"/>
  <c r="C7" i="6"/>
  <c r="C9"/>
  <c r="C11"/>
  <c r="C13"/>
  <c r="C15"/>
  <c r="C8"/>
  <c r="C10"/>
  <c r="C12"/>
  <c r="C14"/>
  <c r="C16"/>
  <c r="B8"/>
  <c r="I43" i="1"/>
  <c r="B10" i="6"/>
  <c r="B12"/>
  <c r="B14"/>
  <c r="B16"/>
  <c r="B7"/>
  <c r="B15"/>
  <c r="B9"/>
  <c r="B11"/>
  <c r="B13"/>
  <c r="F36" i="4"/>
  <c r="H36"/>
  <c r="F43"/>
  <c r="H33"/>
  <c r="E43"/>
  <c r="G33"/>
  <c r="D43"/>
  <c r="B31"/>
  <c r="D32"/>
  <c r="C32"/>
  <c r="C33"/>
  <c r="J49"/>
  <c r="I48"/>
  <c r="F9" i="2" s="1"/>
  <c r="B19" i="4"/>
  <c r="D31"/>
  <c r="F31"/>
  <c r="H31"/>
  <c r="J31"/>
  <c r="C36"/>
  <c r="E36"/>
  <c r="G36"/>
  <c r="B43"/>
  <c r="H43"/>
  <c r="K49"/>
  <c r="G31"/>
  <c r="I31"/>
  <c r="H32"/>
  <c r="I33"/>
  <c r="J31" i="1"/>
  <c r="I31"/>
  <c r="I33"/>
  <c r="J33" i="12" l="1"/>
  <c r="J36"/>
  <c r="J32"/>
  <c r="J47" s="1"/>
  <c r="J48" s="1"/>
  <c r="F8" i="13" s="1"/>
  <c r="G8" s="1"/>
  <c r="I36" i="12"/>
  <c r="I32"/>
  <c r="I47" s="1"/>
  <c r="F7"/>
  <c r="J32" i="11"/>
  <c r="J47" s="1"/>
  <c r="J48" s="1"/>
  <c r="J49" s="1"/>
  <c r="I36"/>
  <c r="I32"/>
  <c r="I47" s="1"/>
  <c r="G7"/>
  <c r="F7" i="10"/>
  <c r="I36" i="4"/>
  <c r="I32"/>
  <c r="D19"/>
  <c r="J36"/>
  <c r="J32"/>
  <c r="J33"/>
  <c r="H48"/>
  <c r="F10" i="2" s="1"/>
  <c r="I49" i="4"/>
  <c r="C19"/>
  <c r="I36" i="1"/>
  <c r="I32"/>
  <c r="J32"/>
  <c r="J33"/>
  <c r="J49" i="12" l="1"/>
  <c r="I48"/>
  <c r="F9" i="13" s="1"/>
  <c r="G9" s="1"/>
  <c r="G7" i="12"/>
  <c r="I48" i="11"/>
  <c r="I49" s="1"/>
  <c r="H7"/>
  <c r="G7" i="10"/>
  <c r="H49" i="4"/>
  <c r="G48"/>
  <c r="F11" i="2" s="1"/>
  <c r="E19" i="4"/>
  <c r="H7" i="12" l="1"/>
  <c r="H48"/>
  <c r="F10" i="13" s="1"/>
  <c r="G10" s="1"/>
  <c r="I49" i="12"/>
  <c r="H48" i="11"/>
  <c r="G48" s="1"/>
  <c r="I7"/>
  <c r="H7" i="10"/>
  <c r="F19" i="4"/>
  <c r="F48"/>
  <c r="F12" i="2" s="1"/>
  <c r="G49" i="4"/>
  <c r="H49" i="12" l="1"/>
  <c r="G48"/>
  <c r="F11" i="13" s="1"/>
  <c r="G11" s="1"/>
  <c r="I7" i="12"/>
  <c r="H49" i="11"/>
  <c r="G49"/>
  <c r="F48"/>
  <c r="J7"/>
  <c r="I7" i="10"/>
  <c r="F49" i="4"/>
  <c r="E48"/>
  <c r="F13" i="2" s="1"/>
  <c r="G19" i="4"/>
  <c r="J7" i="12" l="1"/>
  <c r="F48"/>
  <c r="F12" i="13" s="1"/>
  <c r="G12" s="1"/>
  <c r="G49" i="12"/>
  <c r="K7" i="11"/>
  <c r="E48"/>
  <c r="F49"/>
  <c r="J7" i="10"/>
  <c r="H19" i="4"/>
  <c r="D48"/>
  <c r="F14" i="2" s="1"/>
  <c r="E49" i="4"/>
  <c r="F49" i="12" l="1"/>
  <c r="E48"/>
  <c r="F13" i="13" s="1"/>
  <c r="G13" s="1"/>
  <c r="K7" i="12"/>
  <c r="E49" i="11"/>
  <c r="D48"/>
  <c r="K7" i="10"/>
  <c r="D49" i="4"/>
  <c r="C48"/>
  <c r="F15" i="2" s="1"/>
  <c r="I19" i="4"/>
  <c r="D48" i="12" l="1"/>
  <c r="F14" i="13" s="1"/>
  <c r="G14" s="1"/>
  <c r="E49" i="12"/>
  <c r="C48" i="11"/>
  <c r="D49"/>
  <c r="J19" i="4"/>
  <c r="B48"/>
  <c r="C49"/>
  <c r="A9" i="6"/>
  <c r="A10" s="1"/>
  <c r="A11" s="1"/>
  <c r="A12" s="1"/>
  <c r="A13" s="1"/>
  <c r="A14" s="1"/>
  <c r="A15" s="1"/>
  <c r="A16" s="1"/>
  <c r="J48" i="1"/>
  <c r="E8" i="2" s="1"/>
  <c r="B28" i="1"/>
  <c r="C27"/>
  <c r="B27"/>
  <c r="B33" s="1"/>
  <c r="D26"/>
  <c r="C26"/>
  <c r="B26"/>
  <c r="E25"/>
  <c r="D25"/>
  <c r="D33" s="1"/>
  <c r="C25"/>
  <c r="B25"/>
  <c r="B43" s="1"/>
  <c r="F24"/>
  <c r="E24"/>
  <c r="D24"/>
  <c r="C24"/>
  <c r="B24"/>
  <c r="G23"/>
  <c r="F23"/>
  <c r="F33" s="1"/>
  <c r="E23"/>
  <c r="E32" s="1"/>
  <c r="D23"/>
  <c r="C23"/>
  <c r="B23"/>
  <c r="H22"/>
  <c r="G22"/>
  <c r="F22"/>
  <c r="E22"/>
  <c r="D22"/>
  <c r="C22"/>
  <c r="B22"/>
  <c r="B19"/>
  <c r="D49" i="12" l="1"/>
  <c r="C48"/>
  <c r="F15" i="13" s="1"/>
  <c r="G15" s="1"/>
  <c r="C49" i="11"/>
  <c r="B48"/>
  <c r="B49" s="1"/>
  <c r="B49" i="4"/>
  <c r="F16" i="2"/>
  <c r="E33" i="1"/>
  <c r="C43"/>
  <c r="B32"/>
  <c r="F9" i="6"/>
  <c r="F10"/>
  <c r="F11"/>
  <c r="F12"/>
  <c r="F13"/>
  <c r="F14"/>
  <c r="F15"/>
  <c r="F16"/>
  <c r="D36" i="1"/>
  <c r="D31"/>
  <c r="F32"/>
  <c r="F36"/>
  <c r="F43"/>
  <c r="F31"/>
  <c r="H33"/>
  <c r="H31"/>
  <c r="H36"/>
  <c r="H32"/>
  <c r="H43"/>
  <c r="C36"/>
  <c r="C31"/>
  <c r="E43"/>
  <c r="E31"/>
  <c r="E36"/>
  <c r="G33"/>
  <c r="G43"/>
  <c r="G31"/>
  <c r="G32"/>
  <c r="G36"/>
  <c r="D43"/>
  <c r="B31"/>
  <c r="D32"/>
  <c r="D47" s="1"/>
  <c r="C32"/>
  <c r="C47" s="1"/>
  <c r="C33"/>
  <c r="F7" i="6"/>
  <c r="D18" i="2"/>
  <c r="G7"/>
  <c r="F8" i="6"/>
  <c r="C18" i="2"/>
  <c r="B18" i="6"/>
  <c r="C18"/>
  <c r="H7" i="2"/>
  <c r="J36" i="1"/>
  <c r="I48"/>
  <c r="E9" i="2" s="1"/>
  <c r="G9" s="1"/>
  <c r="J49" i="1"/>
  <c r="G8" i="2"/>
  <c r="H8"/>
  <c r="C19" i="1"/>
  <c r="K49"/>
  <c r="I7" i="2" l="1"/>
  <c r="H7" i="13" s="1"/>
  <c r="I8" i="2"/>
  <c r="H8" i="13" s="1"/>
  <c r="I8" s="1"/>
  <c r="B48" i="12"/>
  <c r="C49"/>
  <c r="E8" i="6"/>
  <c r="H8" s="1"/>
  <c r="J8" s="1"/>
  <c r="E7"/>
  <c r="H7" s="1"/>
  <c r="J7" s="1"/>
  <c r="D9"/>
  <c r="G9" s="1"/>
  <c r="I9" s="1"/>
  <c r="D8"/>
  <c r="G8" s="1"/>
  <c r="I8" s="1"/>
  <c r="D7"/>
  <c r="G7" s="1"/>
  <c r="I7" s="1"/>
  <c r="F18"/>
  <c r="H48" i="1"/>
  <c r="H9" i="2"/>
  <c r="I9" s="1"/>
  <c r="H9" i="13" s="1"/>
  <c r="I9" s="1"/>
  <c r="D19" i="1"/>
  <c r="I49"/>
  <c r="B49" i="12" l="1"/>
  <c r="F16" i="13"/>
  <c r="G16" s="1"/>
  <c r="K9"/>
  <c r="J9"/>
  <c r="J8"/>
  <c r="K8"/>
  <c r="I7"/>
  <c r="E9" i="6"/>
  <c r="H9" s="1"/>
  <c r="J9" s="1"/>
  <c r="H49" i="1"/>
  <c r="E10" i="2"/>
  <c r="G48" i="1"/>
  <c r="E11" i="2" s="1"/>
  <c r="G11" s="1"/>
  <c r="E19" i="1"/>
  <c r="H10" i="2"/>
  <c r="K7" i="13" l="1"/>
  <c r="J7"/>
  <c r="E10" i="6"/>
  <c r="H10" s="1"/>
  <c r="J10" s="1"/>
  <c r="G10" i="2"/>
  <c r="D11" i="6"/>
  <c r="G11" s="1"/>
  <c r="I11" s="1"/>
  <c r="F48" i="1"/>
  <c r="E12" i="2" s="1"/>
  <c r="G49" i="1"/>
  <c r="H11" i="2"/>
  <c r="I11" s="1"/>
  <c r="H11" i="13" s="1"/>
  <c r="I11" s="1"/>
  <c r="F19" i="1"/>
  <c r="K11" i="13" l="1"/>
  <c r="J11"/>
  <c r="D10" i="6"/>
  <c r="G10" s="1"/>
  <c r="I10" s="1"/>
  <c r="I10" i="2"/>
  <c r="E11" i="6"/>
  <c r="H11" s="1"/>
  <c r="J11" s="1"/>
  <c r="G12" i="2"/>
  <c r="E48" i="1"/>
  <c r="E13" i="2" s="1"/>
  <c r="G13" s="1"/>
  <c r="G19" i="1"/>
  <c r="F49"/>
  <c r="H12" i="2"/>
  <c r="H10" i="13" l="1"/>
  <c r="D12" i="6"/>
  <c r="G12" s="1"/>
  <c r="I12" i="2"/>
  <c r="H12" i="13" s="1"/>
  <c r="I12" s="1"/>
  <c r="E12" i="6"/>
  <c r="H12" s="1"/>
  <c r="J12" s="1"/>
  <c r="D13"/>
  <c r="G13" s="1"/>
  <c r="I13" s="1"/>
  <c r="D48" i="1"/>
  <c r="E14" i="2" s="1"/>
  <c r="G14" s="1"/>
  <c r="I12" i="6"/>
  <c r="H13" i="2"/>
  <c r="I13" s="1"/>
  <c r="H13" i="13" s="1"/>
  <c r="I13" s="1"/>
  <c r="E49" i="1"/>
  <c r="H19"/>
  <c r="K13" i="13" l="1"/>
  <c r="J13"/>
  <c r="J12"/>
  <c r="K12"/>
  <c r="I10"/>
  <c r="E13" i="6"/>
  <c r="H13" s="1"/>
  <c r="J13" s="1"/>
  <c r="D14"/>
  <c r="G14" s="1"/>
  <c r="I14" s="1"/>
  <c r="C48" i="1"/>
  <c r="E15" i="2" s="1"/>
  <c r="G15" s="1"/>
  <c r="I19" i="1"/>
  <c r="D49"/>
  <c r="H14" i="2"/>
  <c r="I14" s="1"/>
  <c r="H14" i="13" s="1"/>
  <c r="I14" s="1"/>
  <c r="D15" i="6" l="1"/>
  <c r="G15" s="1"/>
  <c r="I15" s="1"/>
  <c r="J14" i="13"/>
  <c r="K14"/>
  <c r="J10"/>
  <c r="K10"/>
  <c r="E14" i="6"/>
  <c r="H14" s="1"/>
  <c r="J14" s="1"/>
  <c r="B48" i="1"/>
  <c r="E16" i="2" s="1"/>
  <c r="G16" s="1"/>
  <c r="H15"/>
  <c r="I15" s="1"/>
  <c r="H15" i="13" s="1"/>
  <c r="C49" i="1"/>
  <c r="I15" i="13" l="1"/>
  <c r="E15" i="6"/>
  <c r="H15" s="1"/>
  <c r="J15" s="1"/>
  <c r="D16"/>
  <c r="G16" s="1"/>
  <c r="I16" s="1"/>
  <c r="J19" i="1"/>
  <c r="H16" i="2"/>
  <c r="I16" s="1"/>
  <c r="B49" i="1"/>
  <c r="K15" i="13" l="1"/>
  <c r="J15"/>
  <c r="H16"/>
  <c r="I18" i="2"/>
  <c r="E16" i="6"/>
  <c r="H16" s="1"/>
  <c r="J16" s="1"/>
  <c r="G18" i="2"/>
  <c r="I16" i="13" l="1"/>
  <c r="H18"/>
  <c r="H18" i="2"/>
  <c r="D18" i="6"/>
  <c r="J16" i="13" l="1"/>
  <c r="J18" s="1"/>
  <c r="K16"/>
  <c r="K18" s="1"/>
  <c r="I18"/>
  <c r="I18" i="6"/>
  <c r="G18"/>
  <c r="E18"/>
  <c r="J18" l="1"/>
  <c r="H18"/>
</calcChain>
</file>

<file path=xl/comments1.xml><?xml version="1.0" encoding="utf-8"?>
<comments xmlns="http://schemas.openxmlformats.org/spreadsheetml/2006/main">
  <authors>
    <author>Rob Swiatek</author>
  </authors>
  <commentList>
    <comment ref="B47" authorId="0">
      <text>
        <r>
          <rPr>
            <b/>
            <sz val="9"/>
            <color indexed="81"/>
            <rFont val="Tahoma"/>
            <family val="2"/>
          </rPr>
          <t>Rob Swiatek:</t>
        </r>
        <r>
          <rPr>
            <sz val="9"/>
            <color indexed="81"/>
            <rFont val="Tahoma"/>
            <family val="2"/>
          </rPr>
          <t xml:space="preserve">
Friedman accounts for seasonality by taking the average of the last three June 30th ending periods.</t>
        </r>
      </text>
    </comment>
  </commentList>
</comments>
</file>

<file path=xl/sharedStrings.xml><?xml version="1.0" encoding="utf-8"?>
<sst xmlns="http://schemas.openxmlformats.org/spreadsheetml/2006/main" count="279" uniqueCount="75">
  <si>
    <t>PART 1 - Data Triangle</t>
  </si>
  <si>
    <t>AY</t>
  </si>
  <si>
    <t>Simple</t>
  </si>
  <si>
    <t>L5</t>
  </si>
  <si>
    <t>L3</t>
  </si>
  <si>
    <t>Medial</t>
  </si>
  <si>
    <t>L5x1</t>
  </si>
  <si>
    <t>Vol Wtd</t>
  </si>
  <si>
    <t>Geo</t>
  </si>
  <si>
    <t>L4</t>
  </si>
  <si>
    <t>Prior</t>
  </si>
  <si>
    <t>Sel</t>
  </si>
  <si>
    <t>CDF to Ult</t>
  </si>
  <si>
    <t>% Paid</t>
  </si>
  <si>
    <t>Projection of Ultimate Claims Using Reported and Paid Claims ($000)</t>
  </si>
  <si>
    <t>Age of</t>
  </si>
  <si>
    <t>AY @ 12/31/07</t>
  </si>
  <si>
    <t>Reported</t>
  </si>
  <si>
    <t>Paid</t>
  </si>
  <si>
    <t>Claims at 12/31/07</t>
  </si>
  <si>
    <t>Development Method</t>
  </si>
  <si>
    <t>Total</t>
  </si>
  <si>
    <t>L2</t>
  </si>
  <si>
    <t>Case O/S</t>
  </si>
  <si>
    <t>@ 12/31/07</t>
  </si>
  <si>
    <t>IBNR - Based on</t>
  </si>
  <si>
    <t>Dev. Method with</t>
  </si>
  <si>
    <t>Total - Based on</t>
  </si>
  <si>
    <t>Unpaid Claim Estimate at 12/31/08</t>
  </si>
  <si>
    <t>U.S. Industry Auto</t>
  </si>
  <si>
    <t>Selected</t>
  </si>
  <si>
    <t>Claims</t>
  </si>
  <si>
    <t>IBNR</t>
  </si>
  <si>
    <t>Unpaid</t>
  </si>
  <si>
    <t>CDF</t>
  </si>
  <si>
    <t>Ultimate</t>
  </si>
  <si>
    <t>2003-2</t>
  </si>
  <si>
    <t>2004-1</t>
  </si>
  <si>
    <t>2004-2</t>
  </si>
  <si>
    <t>2005-1</t>
  </si>
  <si>
    <t>2005-2</t>
  </si>
  <si>
    <t>2006-1</t>
  </si>
  <si>
    <t>2006-2</t>
  </si>
  <si>
    <t>2007-1</t>
  </si>
  <si>
    <t>2007-2</t>
  </si>
  <si>
    <t>2008-1</t>
  </si>
  <si>
    <t>Auto Collision Insurer</t>
  </si>
  <si>
    <t>Closed</t>
  </si>
  <si>
    <t>Claim Counts at 6/30/2008</t>
  </si>
  <si>
    <t>Ult</t>
  </si>
  <si>
    <t>Closed to Reported Claim Counts</t>
  </si>
  <si>
    <t>Reported Claims</t>
  </si>
  <si>
    <t>Reported Severity</t>
  </si>
  <si>
    <t>Severity</t>
  </si>
  <si>
    <t>Counts</t>
  </si>
  <si>
    <t>60-Ult</t>
  </si>
  <si>
    <t>6-12</t>
  </si>
  <si>
    <t>12-18</t>
  </si>
  <si>
    <t>18-24</t>
  </si>
  <si>
    <t>24-30</t>
  </si>
  <si>
    <t>30-36</t>
  </si>
  <si>
    <t>36-42</t>
  </si>
  <si>
    <t>42-48</t>
  </si>
  <si>
    <t>48-54</t>
  </si>
  <si>
    <t>54-60</t>
  </si>
  <si>
    <t>Exhibit I (Sheet 8)</t>
  </si>
  <si>
    <t>Exhibit I (Sheet 1) p.215</t>
  </si>
  <si>
    <t>Exhibit I (Sheet 2) p.216</t>
  </si>
  <si>
    <t>Exhibit I (Sheet 5) p.219</t>
  </si>
  <si>
    <t>Exhibit I (Sheet 6) p.220</t>
  </si>
  <si>
    <t>Exhibit I (Sheet 4) p.218</t>
  </si>
  <si>
    <t>Exhibit I (Sheet 3) p.217</t>
  </si>
  <si>
    <t>Exhibit I (Sheet 7-8) p.221-222</t>
  </si>
  <si>
    <t>Reported Claim Counts</t>
  </si>
  <si>
    <t>Closed Claim Counts (Excluding Closed with No Payment)</t>
  </si>
</sst>
</file>

<file path=xl/styles.xml><?xml version="1.0" encoding="utf-8"?>
<styleSheet xmlns="http://schemas.openxmlformats.org/spreadsheetml/2006/main">
  <numFmts count="4">
    <numFmt numFmtId="43" formatCode="_(* #,##0.00_);_(* \(#,##0.00\);_(* &quot;-&quot;??_);_(@_)"/>
    <numFmt numFmtId="164" formatCode="_(* #,##0_);_(* \(#,##0\);_(* &quot;-&quot;??_);_(@_)"/>
    <numFmt numFmtId="165" formatCode="_(* #,##0.000_);_(* \(#,##0.000\);_(* &quot;-&quot;??_);_(@_)"/>
    <numFmt numFmtId="166" formatCode="0.0%"/>
  </numFmts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1">
    <xf numFmtId="0" fontId="0" fillId="0" borderId="0" xfId="0"/>
    <xf numFmtId="164" fontId="0" fillId="0" borderId="0" xfId="1" applyNumberFormat="1" applyFont="1"/>
    <xf numFmtId="165" fontId="0" fillId="0" borderId="0" xfId="1" applyNumberFormat="1" applyFont="1"/>
    <xf numFmtId="165" fontId="0" fillId="0" borderId="0" xfId="0" applyNumberFormat="1"/>
    <xf numFmtId="0" fontId="0" fillId="0" borderId="0" xfId="0" applyAlignment="1">
      <alignment horizontal="right"/>
    </xf>
    <xf numFmtId="166" fontId="0" fillId="0" borderId="0" xfId="2" applyNumberFormat="1" applyFont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65" fontId="0" fillId="0" borderId="0" xfId="1" applyNumberFormat="1" applyFont="1" applyAlignment="1">
      <alignment horizontal="center"/>
    </xf>
    <xf numFmtId="164" fontId="0" fillId="0" borderId="0" xfId="1" applyNumberFormat="1" applyFont="1" applyAlignment="1">
      <alignment horizontal="center"/>
    </xf>
    <xf numFmtId="164" fontId="0" fillId="0" borderId="0" xfId="0" applyNumberFormat="1"/>
    <xf numFmtId="0" fontId="0" fillId="0" borderId="0" xfId="0" applyAlignment="1">
      <alignment horizontal="center"/>
    </xf>
    <xf numFmtId="0" fontId="0" fillId="0" borderId="0" xfId="0" quotePrefix="1" applyAlignment="1">
      <alignment horizontal="center"/>
    </xf>
    <xf numFmtId="164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65" fontId="3" fillId="2" borderId="0" xfId="1" applyNumberFormat="1" applyFont="1" applyFill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49"/>
  <sheetViews>
    <sheetView tabSelected="1" zoomScale="85" zoomScaleNormal="85" workbookViewId="0">
      <selection activeCell="A4" sqref="A4"/>
    </sheetView>
  </sheetViews>
  <sheetFormatPr defaultRowHeight="15"/>
  <cols>
    <col min="1" max="1" width="12.140625" customWidth="1"/>
    <col min="2" max="2" width="14.28515625" bestFit="1" customWidth="1"/>
    <col min="3" max="11" width="11.5703125" bestFit="1" customWidth="1"/>
    <col min="12" max="12" width="11.5703125" customWidth="1"/>
  </cols>
  <sheetData>
    <row r="1" spans="1:12">
      <c r="A1" t="s">
        <v>46</v>
      </c>
    </row>
    <row r="2" spans="1:12">
      <c r="A2" t="s">
        <v>66</v>
      </c>
    </row>
    <row r="3" spans="1:12">
      <c r="A3" t="s">
        <v>74</v>
      </c>
    </row>
    <row r="5" spans="1:12">
      <c r="A5" t="s">
        <v>0</v>
      </c>
    </row>
    <row r="7" spans="1:12">
      <c r="A7" t="s">
        <v>1</v>
      </c>
      <c r="B7" s="6">
        <v>6</v>
      </c>
      <c r="C7" s="6">
        <f>B7+6</f>
        <v>12</v>
      </c>
      <c r="D7" s="15">
        <f t="shared" ref="D7:K7" si="0">C7+6</f>
        <v>18</v>
      </c>
      <c r="E7" s="15">
        <f t="shared" si="0"/>
        <v>24</v>
      </c>
      <c r="F7" s="15">
        <f t="shared" si="0"/>
        <v>30</v>
      </c>
      <c r="G7" s="15">
        <f t="shared" si="0"/>
        <v>36</v>
      </c>
      <c r="H7" s="15">
        <f t="shared" si="0"/>
        <v>42</v>
      </c>
      <c r="I7" s="15">
        <f t="shared" si="0"/>
        <v>48</v>
      </c>
      <c r="J7" s="15">
        <f t="shared" si="0"/>
        <v>54</v>
      </c>
      <c r="K7" s="15">
        <f t="shared" si="0"/>
        <v>60</v>
      </c>
      <c r="L7" s="7"/>
    </row>
    <row r="8" spans="1:12">
      <c r="A8" s="4" t="s">
        <v>36</v>
      </c>
      <c r="B8" s="1">
        <v>2547</v>
      </c>
      <c r="C8" s="1">
        <v>3262</v>
      </c>
      <c r="D8" s="1">
        <v>3287</v>
      </c>
      <c r="E8" s="1">
        <v>3291</v>
      </c>
      <c r="F8" s="1">
        <v>3292</v>
      </c>
      <c r="G8" s="1">
        <v>3292</v>
      </c>
      <c r="H8" s="1">
        <v>3292</v>
      </c>
      <c r="I8" s="1">
        <v>3292</v>
      </c>
      <c r="J8" s="1">
        <v>3292</v>
      </c>
      <c r="K8" s="1">
        <v>3292</v>
      </c>
      <c r="L8" s="1"/>
    </row>
    <row r="9" spans="1:12">
      <c r="A9" s="4" t="s">
        <v>37</v>
      </c>
      <c r="B9" s="1">
        <v>2791</v>
      </c>
      <c r="C9" s="1">
        <v>3217</v>
      </c>
      <c r="D9" s="1">
        <v>3240</v>
      </c>
      <c r="E9" s="1">
        <v>3242</v>
      </c>
      <c r="F9" s="1">
        <v>3243</v>
      </c>
      <c r="G9" s="1">
        <v>3243</v>
      </c>
      <c r="H9" s="1">
        <v>3243</v>
      </c>
      <c r="I9" s="1">
        <v>3243</v>
      </c>
      <c r="J9" s="1">
        <v>3242</v>
      </c>
      <c r="K9" s="1"/>
      <c r="L9" s="1"/>
    </row>
    <row r="10" spans="1:12">
      <c r="A10" s="4" t="s">
        <v>38</v>
      </c>
      <c r="B10" s="1">
        <v>2099</v>
      </c>
      <c r="C10" s="1">
        <v>2677</v>
      </c>
      <c r="D10" s="1">
        <v>2695</v>
      </c>
      <c r="E10" s="1">
        <v>2697</v>
      </c>
      <c r="F10" s="1">
        <v>2697</v>
      </c>
      <c r="G10" s="1">
        <v>2698</v>
      </c>
      <c r="H10" s="1">
        <v>2698</v>
      </c>
      <c r="I10" s="1">
        <v>2698</v>
      </c>
      <c r="J10" s="1"/>
      <c r="K10" s="1"/>
      <c r="L10" s="1"/>
    </row>
    <row r="11" spans="1:12">
      <c r="A11" s="4" t="s">
        <v>39</v>
      </c>
      <c r="B11" s="1">
        <v>2370</v>
      </c>
      <c r="C11" s="1">
        <v>2735</v>
      </c>
      <c r="D11" s="1">
        <v>2751</v>
      </c>
      <c r="E11" s="1">
        <v>2754</v>
      </c>
      <c r="F11" s="1">
        <v>2755</v>
      </c>
      <c r="G11" s="1">
        <v>2755</v>
      </c>
      <c r="H11" s="1">
        <v>2756</v>
      </c>
      <c r="I11" s="1"/>
      <c r="J11" s="1"/>
      <c r="K11" s="1"/>
      <c r="L11" s="1"/>
    </row>
    <row r="12" spans="1:12">
      <c r="A12" s="4" t="s">
        <v>40</v>
      </c>
      <c r="B12" s="1">
        <v>1966</v>
      </c>
      <c r="C12" s="1">
        <v>2609</v>
      </c>
      <c r="D12" s="1">
        <v>2630</v>
      </c>
      <c r="E12" s="1">
        <v>2634</v>
      </c>
      <c r="F12" s="1">
        <v>2634</v>
      </c>
      <c r="G12" s="1">
        <v>2634</v>
      </c>
      <c r="H12" s="1"/>
      <c r="I12" s="1"/>
      <c r="J12" s="1"/>
      <c r="K12" s="1"/>
      <c r="L12" s="1"/>
    </row>
    <row r="13" spans="1:12">
      <c r="A13" s="4" t="s">
        <v>41</v>
      </c>
      <c r="B13" s="1">
        <v>2261</v>
      </c>
      <c r="C13" s="1">
        <v>2671</v>
      </c>
      <c r="D13" s="1">
        <v>2694</v>
      </c>
      <c r="E13" s="1">
        <v>2696</v>
      </c>
      <c r="F13" s="1">
        <v>2697</v>
      </c>
      <c r="G13" s="1"/>
      <c r="H13" s="1"/>
      <c r="I13" s="1"/>
      <c r="J13" s="1"/>
      <c r="K13" s="1"/>
      <c r="L13" s="1"/>
    </row>
    <row r="14" spans="1:12">
      <c r="A14" s="4" t="s">
        <v>42</v>
      </c>
      <c r="B14" s="1">
        <v>1949</v>
      </c>
      <c r="C14" s="1">
        <v>2637</v>
      </c>
      <c r="D14" s="1">
        <v>2659</v>
      </c>
      <c r="E14" s="1">
        <v>2662</v>
      </c>
      <c r="F14" s="1"/>
      <c r="G14" s="1"/>
      <c r="H14" s="1"/>
      <c r="I14" s="1"/>
      <c r="J14" s="1"/>
      <c r="K14" s="1"/>
      <c r="L14" s="1"/>
    </row>
    <row r="15" spans="1:12">
      <c r="A15" s="4" t="s">
        <v>43</v>
      </c>
      <c r="B15" s="1">
        <v>2059</v>
      </c>
      <c r="C15" s="1">
        <v>2496</v>
      </c>
      <c r="D15" s="1">
        <v>2520</v>
      </c>
      <c r="E15" s="1"/>
      <c r="F15" s="1"/>
      <c r="G15" s="1"/>
      <c r="H15" s="1"/>
      <c r="I15" s="1"/>
      <c r="J15" s="1"/>
      <c r="K15" s="1"/>
      <c r="L15" s="1"/>
    </row>
    <row r="16" spans="1:12">
      <c r="A16" s="4" t="s">
        <v>44</v>
      </c>
      <c r="B16" s="1">
        <v>2083</v>
      </c>
      <c r="C16" s="1">
        <v>2732</v>
      </c>
      <c r="D16" s="1"/>
      <c r="E16" s="1"/>
      <c r="F16" s="1"/>
      <c r="G16" s="1"/>
      <c r="H16" s="1"/>
      <c r="I16" s="1"/>
      <c r="J16" s="1"/>
      <c r="K16" s="1"/>
      <c r="L16" s="1"/>
    </row>
    <row r="17" spans="1:12">
      <c r="A17" s="4" t="s">
        <v>45</v>
      </c>
      <c r="B17" s="1">
        <v>2533</v>
      </c>
      <c r="C17" s="1"/>
      <c r="D17" s="1"/>
      <c r="E17" s="1"/>
      <c r="F17" s="1"/>
      <c r="G17" s="1"/>
      <c r="H17" s="1"/>
      <c r="I17" s="1"/>
      <c r="J17" s="1"/>
      <c r="K17" s="1"/>
      <c r="L17" s="1"/>
    </row>
    <row r="19" spans="1:12">
      <c r="A19" t="s">
        <v>1</v>
      </c>
      <c r="B19" s="6" t="str">
        <f>B7&amp;"-"&amp;C7</f>
        <v>6-12</v>
      </c>
      <c r="C19" s="6" t="str">
        <f t="shared" ref="C19:J19" si="1">C7&amp;"-"&amp;D7</f>
        <v>12-18</v>
      </c>
      <c r="D19" s="6" t="str">
        <f t="shared" si="1"/>
        <v>18-24</v>
      </c>
      <c r="E19" s="6" t="str">
        <f t="shared" si="1"/>
        <v>24-30</v>
      </c>
      <c r="F19" s="6" t="str">
        <f t="shared" si="1"/>
        <v>30-36</v>
      </c>
      <c r="G19" s="6" t="str">
        <f t="shared" si="1"/>
        <v>36-42</v>
      </c>
      <c r="H19" s="6" t="str">
        <f t="shared" si="1"/>
        <v>42-48</v>
      </c>
      <c r="I19" s="6" t="str">
        <f t="shared" si="1"/>
        <v>48-54</v>
      </c>
      <c r="J19" s="6" t="str">
        <f t="shared" si="1"/>
        <v>54-60</v>
      </c>
      <c r="K19" s="17" t="s">
        <v>55</v>
      </c>
      <c r="L19" s="7"/>
    </row>
    <row r="20" spans="1:12">
      <c r="A20" s="4" t="s">
        <v>36</v>
      </c>
      <c r="B20" s="2">
        <f t="shared" ref="B20:B21" si="2">C8/B8</f>
        <v>1.2807224185316057</v>
      </c>
      <c r="C20" s="2">
        <f t="shared" ref="C20:C21" si="3">D8/C8</f>
        <v>1.0076640098099325</v>
      </c>
      <c r="D20" s="2">
        <f t="shared" ref="D20:D21" si="4">E8/D8</f>
        <v>1.0012169151201704</v>
      </c>
      <c r="E20" s="2">
        <f t="shared" ref="E20:E21" si="5">F8/E8</f>
        <v>1.0003038590094195</v>
      </c>
      <c r="F20" s="2">
        <f t="shared" ref="F20:F21" si="6">G8/F8</f>
        <v>1</v>
      </c>
      <c r="G20" s="2">
        <f t="shared" ref="G20:G21" si="7">H8/G8</f>
        <v>1</v>
      </c>
      <c r="H20" s="2">
        <f t="shared" ref="H20:H21" si="8">I8/H8</f>
        <v>1</v>
      </c>
      <c r="I20" s="2">
        <f t="shared" ref="I20:I21" si="9">J8/I8</f>
        <v>1</v>
      </c>
      <c r="J20" s="2">
        <f t="shared" ref="J20" si="10">K8/J8</f>
        <v>1</v>
      </c>
      <c r="K20" s="2"/>
      <c r="L20" s="2"/>
    </row>
    <row r="21" spans="1:12">
      <c r="A21" s="4" t="s">
        <v>37</v>
      </c>
      <c r="B21" s="2">
        <f t="shared" si="2"/>
        <v>1.1526334647079899</v>
      </c>
      <c r="C21" s="2">
        <f t="shared" si="3"/>
        <v>1.0071495181846442</v>
      </c>
      <c r="D21" s="2">
        <f t="shared" si="4"/>
        <v>1.0006172839506173</v>
      </c>
      <c r="E21" s="2">
        <f t="shared" si="5"/>
        <v>1.0003084515731031</v>
      </c>
      <c r="F21" s="2">
        <f t="shared" si="6"/>
        <v>1</v>
      </c>
      <c r="G21" s="2">
        <f t="shared" si="7"/>
        <v>1</v>
      </c>
      <c r="H21" s="2">
        <f t="shared" si="8"/>
        <v>1</v>
      </c>
      <c r="I21" s="2">
        <f t="shared" si="9"/>
        <v>0.99969164353993212</v>
      </c>
      <c r="J21" s="2"/>
      <c r="K21" s="2"/>
      <c r="L21" s="2"/>
    </row>
    <row r="22" spans="1:12">
      <c r="A22" s="4" t="s">
        <v>38</v>
      </c>
      <c r="B22" s="2">
        <f t="shared" ref="B22:H22" si="11">C10/B10</f>
        <v>1.2753692234397331</v>
      </c>
      <c r="C22" s="2">
        <f t="shared" si="11"/>
        <v>1.0067239447142324</v>
      </c>
      <c r="D22" s="2">
        <f t="shared" si="11"/>
        <v>1.0007421150278293</v>
      </c>
      <c r="E22" s="2">
        <f t="shared" si="11"/>
        <v>1</v>
      </c>
      <c r="F22" s="2">
        <f t="shared" si="11"/>
        <v>1.0003707823507602</v>
      </c>
      <c r="G22" s="2">
        <f t="shared" si="11"/>
        <v>1</v>
      </c>
      <c r="H22" s="2">
        <f t="shared" si="11"/>
        <v>1</v>
      </c>
      <c r="I22" s="2"/>
      <c r="J22" s="2"/>
      <c r="K22" s="2"/>
      <c r="L22" s="2"/>
    </row>
    <row r="23" spans="1:12">
      <c r="A23" s="4" t="s">
        <v>39</v>
      </c>
      <c r="B23" s="2">
        <f t="shared" ref="B23:G23" si="12">C11/B11</f>
        <v>1.1540084388185654</v>
      </c>
      <c r="C23" s="2">
        <f t="shared" si="12"/>
        <v>1.0058500914076782</v>
      </c>
      <c r="D23" s="2">
        <f t="shared" si="12"/>
        <v>1.0010905125408942</v>
      </c>
      <c r="E23" s="2">
        <f t="shared" si="12"/>
        <v>1.0003631082062454</v>
      </c>
      <c r="F23" s="2">
        <f t="shared" si="12"/>
        <v>1</v>
      </c>
      <c r="G23" s="2">
        <f t="shared" si="12"/>
        <v>1.0003629764065336</v>
      </c>
      <c r="H23" s="2"/>
      <c r="I23" s="2"/>
      <c r="J23" s="2"/>
      <c r="K23" s="2"/>
      <c r="L23" s="2"/>
    </row>
    <row r="24" spans="1:12">
      <c r="A24" s="4" t="s">
        <v>40</v>
      </c>
      <c r="B24" s="2">
        <f t="shared" ref="B24:F24" si="13">C12/B12</f>
        <v>1.32706002034588</v>
      </c>
      <c r="C24" s="2">
        <f t="shared" si="13"/>
        <v>1.00804906094289</v>
      </c>
      <c r="D24" s="2">
        <f t="shared" si="13"/>
        <v>1.0015209125475286</v>
      </c>
      <c r="E24" s="2">
        <f t="shared" si="13"/>
        <v>1</v>
      </c>
      <c r="F24" s="2">
        <f t="shared" si="13"/>
        <v>1</v>
      </c>
      <c r="G24" s="2"/>
      <c r="H24" s="2"/>
      <c r="I24" s="2"/>
      <c r="J24" s="2"/>
      <c r="K24" s="2"/>
      <c r="L24" s="2"/>
    </row>
    <row r="25" spans="1:12">
      <c r="A25" s="4" t="s">
        <v>41</v>
      </c>
      <c r="B25" s="2">
        <f t="shared" ref="B25:E25" si="14">C13/B13</f>
        <v>1.1813356921716054</v>
      </c>
      <c r="C25" s="2">
        <f t="shared" si="14"/>
        <v>1.0086110071134406</v>
      </c>
      <c r="D25" s="2">
        <f t="shared" si="14"/>
        <v>1.0007423904974015</v>
      </c>
      <c r="E25" s="2">
        <f t="shared" si="14"/>
        <v>1.0003709198813056</v>
      </c>
      <c r="F25" s="2"/>
      <c r="G25" s="2"/>
      <c r="H25" s="2"/>
      <c r="I25" s="2"/>
      <c r="J25" s="2"/>
      <c r="K25" s="2"/>
      <c r="L25" s="2"/>
    </row>
    <row r="26" spans="1:12">
      <c r="A26" s="4" t="s">
        <v>42</v>
      </c>
      <c r="B26" s="2">
        <f t="shared" ref="B26:D26" si="15">C14/B14</f>
        <v>1.3530015392508978</v>
      </c>
      <c r="C26" s="2">
        <f t="shared" si="15"/>
        <v>1.0083428138035646</v>
      </c>
      <c r="D26" s="2">
        <f t="shared" si="15"/>
        <v>1.0011282437006392</v>
      </c>
      <c r="E26" s="2"/>
      <c r="F26" s="2"/>
      <c r="G26" s="2"/>
      <c r="H26" s="2"/>
      <c r="I26" s="2"/>
      <c r="J26" s="2"/>
      <c r="K26" s="2"/>
      <c r="L26" s="2"/>
    </row>
    <row r="27" spans="1:12">
      <c r="A27" s="4" t="s">
        <v>43</v>
      </c>
      <c r="B27" s="2">
        <f t="shared" ref="B27:C27" si="16">C15/B15</f>
        <v>1.2122389509470617</v>
      </c>
      <c r="C27" s="2">
        <f t="shared" si="16"/>
        <v>1.0096153846153846</v>
      </c>
      <c r="D27" s="2"/>
      <c r="E27" s="2"/>
      <c r="F27" s="2"/>
      <c r="G27" s="2"/>
      <c r="H27" s="2"/>
      <c r="I27" s="2"/>
      <c r="J27" s="2"/>
      <c r="K27" s="2"/>
      <c r="L27" s="2"/>
    </row>
    <row r="28" spans="1:12">
      <c r="A28" s="4" t="s">
        <v>44</v>
      </c>
      <c r="B28" s="2">
        <f>C16/B16</f>
        <v>1.3115698511761882</v>
      </c>
      <c r="C28" s="2"/>
      <c r="D28" s="2"/>
      <c r="E28" s="2"/>
      <c r="F28" s="2"/>
      <c r="G28" s="2"/>
      <c r="H28" s="2"/>
      <c r="I28" s="2"/>
      <c r="J28" s="2"/>
      <c r="K28" s="2"/>
      <c r="L28" s="2"/>
    </row>
    <row r="29" spans="1:12">
      <c r="A29" s="4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1:12">
      <c r="A30" t="s">
        <v>2</v>
      </c>
    </row>
    <row r="31" spans="1:12">
      <c r="A31" s="4" t="s">
        <v>3</v>
      </c>
      <c r="B31" s="3">
        <f>AVERAGE(B24:B28)</f>
        <v>1.2770412107783264</v>
      </c>
      <c r="C31" s="3">
        <f>AVERAGE(C23:C27)</f>
        <v>1.0080936715765916</v>
      </c>
      <c r="D31" s="3">
        <f>AVERAGE(D22:D26)</f>
        <v>1.0010448348628587</v>
      </c>
      <c r="E31" s="3">
        <f>AVERAGE(E21:E25)</f>
        <v>1.0002084959321309</v>
      </c>
      <c r="F31" s="3">
        <f>AVERAGE(F20:F24)</f>
        <v>1.0000741564701521</v>
      </c>
      <c r="G31" s="3">
        <f>AVERAGE(G20:G23)</f>
        <v>1.0000907441016333</v>
      </c>
      <c r="H31" s="3">
        <f>AVERAGE(H20:H22)</f>
        <v>1</v>
      </c>
      <c r="I31" s="3">
        <f>AVERAGE(I20:I21)</f>
        <v>0.99984582176996606</v>
      </c>
      <c r="J31" s="3">
        <f>AVERAGE(J20)</f>
        <v>1</v>
      </c>
      <c r="K31" s="3"/>
      <c r="L31" s="3"/>
    </row>
    <row r="32" spans="1:12">
      <c r="A32" s="4" t="s">
        <v>4</v>
      </c>
      <c r="B32" s="3">
        <f>AVERAGE(B26:B28)</f>
        <v>1.2922701137913826</v>
      </c>
      <c r="C32" s="3">
        <f>AVERAGE(C25:C27)</f>
        <v>1.0088564018441299</v>
      </c>
      <c r="D32" s="3">
        <f>AVERAGE(D24:D26)</f>
        <v>1.0011305155818564</v>
      </c>
      <c r="E32" s="3">
        <f>AVERAGE(E23:E25)</f>
        <v>1.0002446760291837</v>
      </c>
      <c r="F32" s="3">
        <f>AVERAGE(F22:F24)</f>
        <v>1.0001235941169202</v>
      </c>
      <c r="G32" s="3">
        <f>AVERAGE(G21:G23)</f>
        <v>1.0001209921355112</v>
      </c>
      <c r="H32" s="3">
        <f>AVERAGE(H20:H22)</f>
        <v>1</v>
      </c>
      <c r="I32" s="3">
        <f>I31</f>
        <v>0.99984582176996606</v>
      </c>
      <c r="J32" s="3">
        <f>J31</f>
        <v>1</v>
      </c>
      <c r="K32" s="3"/>
      <c r="L32" s="3"/>
    </row>
    <row r="33" spans="1:12">
      <c r="A33" s="4" t="s">
        <v>22</v>
      </c>
      <c r="B33" s="3">
        <f>AVERAGE(B27:B28)</f>
        <v>1.2619044010616249</v>
      </c>
      <c r="C33" s="3">
        <f>AVERAGE(C26:C27)</f>
        <v>1.0089790992094745</v>
      </c>
      <c r="D33" s="3">
        <f>AVERAGE(D25:D26)</f>
        <v>1.0009353170990205</v>
      </c>
      <c r="E33" s="3">
        <f>AVERAGE(E24:E25)</f>
        <v>1.0001854599406528</v>
      </c>
      <c r="F33" s="3">
        <f>AVERAGE(F23:F24)</f>
        <v>1</v>
      </c>
      <c r="G33" s="3">
        <f>AVERAGE(G22:G23)</f>
        <v>1.0001814882032667</v>
      </c>
      <c r="H33" s="3">
        <f>AVERAGE(H21:H22)</f>
        <v>1</v>
      </c>
      <c r="I33" s="3">
        <f>AVERAGE(I20:I21)</f>
        <v>0.99984582176996606</v>
      </c>
      <c r="J33" s="3">
        <f>J31</f>
        <v>1</v>
      </c>
      <c r="K33" s="3"/>
      <c r="L33" s="3"/>
    </row>
    <row r="35" spans="1:12">
      <c r="A35" t="s">
        <v>5</v>
      </c>
    </row>
    <row r="36" spans="1:12">
      <c r="A36" s="4" t="s">
        <v>6</v>
      </c>
      <c r="B36" s="3">
        <f>(1/3)*(SUM(B24:B28)-MIN(B24:B28)-MAX(B24:B28))</f>
        <v>1.2836229408230431</v>
      </c>
      <c r="C36" s="3">
        <f>(1/3)*(SUM(C23:C27)-MIN(C23:C27)-MAX(C23:C27))</f>
        <v>1.0083342939532982</v>
      </c>
      <c r="D36" s="3">
        <f>(1/3)*(SUM(D22:D26)-MIN(D22:D26)-MAX(D22:D26))</f>
        <v>1.0009870489129782</v>
      </c>
      <c r="E36" s="3">
        <f>(1/3)*(SUM(E21:E25)-MIN(E21:E25)-MAX(E21:E25))</f>
        <v>1.0002238532597829</v>
      </c>
      <c r="F36" s="3">
        <f>(1/3)*(SUM(F20:F24)-MIN(F20:F24)-MAX(F20:F24))</f>
        <v>1</v>
      </c>
      <c r="G36" s="3">
        <f>(1/2)*(SUM(G20:G23)-MIN(G20:G23)-MAX(G20:G23))</f>
        <v>0.99999999999999989</v>
      </c>
      <c r="H36" s="3">
        <f>(1/1)*(SUM(H20:H22)-MIN(H20:H22)-MAX(H20:H22))</f>
        <v>1</v>
      </c>
      <c r="I36" s="3">
        <f>I31</f>
        <v>0.99984582176996606</v>
      </c>
      <c r="J36" s="3">
        <f>J31</f>
        <v>1</v>
      </c>
      <c r="K36" s="3"/>
      <c r="L36" s="3"/>
    </row>
    <row r="38" spans="1:12">
      <c r="A38" t="s">
        <v>7</v>
      </c>
    </row>
    <row r="39" spans="1:12">
      <c r="A39" s="4" t="s">
        <v>3</v>
      </c>
      <c r="B39" s="2">
        <f>SUM(C12:C16)/SUM(B12:B16)</f>
        <v>1.2739872068230278</v>
      </c>
      <c r="C39" s="2">
        <f>SUM(D11:D15)/SUM(C11:C15)</f>
        <v>1.0080620626711287</v>
      </c>
      <c r="D39" s="2">
        <f>SUM(E10:E14)/SUM(D10:D14)</f>
        <v>1.0010425199195769</v>
      </c>
      <c r="E39" s="2">
        <f>SUM(F9:F13)/SUM(E9:E13)</f>
        <v>1.0002139342508736</v>
      </c>
      <c r="F39" s="2">
        <f>SUM(G9:G13)/SUM(F9:F13)</f>
        <v>0.80778554113788681</v>
      </c>
      <c r="G39" s="2">
        <f>SUM(H8:H11)/SUM(G8:G11)</f>
        <v>1.0000834167500834</v>
      </c>
      <c r="H39" s="2">
        <f>SUM(I8:I10)/SUM(H8:H10)</f>
        <v>1</v>
      </c>
      <c r="I39" s="2">
        <f>SUM(J8:J9)/SUM(I8:I9)</f>
        <v>0.99984697781178267</v>
      </c>
      <c r="J39" s="2">
        <f>SUM(K8)/SUM(J8)</f>
        <v>1</v>
      </c>
      <c r="K39" s="2"/>
      <c r="L39" s="2"/>
    </row>
    <row r="40" spans="1:12">
      <c r="A40" s="4" t="s">
        <v>4</v>
      </c>
      <c r="B40" s="2">
        <f>SUM(C14:C16)/SUM(B14:B16)</f>
        <v>1.2912493843375472</v>
      </c>
      <c r="C40" s="2">
        <f>SUM(D13:D15)/SUM(C13:C15)</f>
        <v>1.0088416196822143</v>
      </c>
      <c r="D40" s="2">
        <f>SUM(E12:E14)/SUM(D12:D14)</f>
        <v>1.0011273957158964</v>
      </c>
      <c r="E40" s="2">
        <f>SUM(F11:F13)/SUM(E11:E13)</f>
        <v>1.000247402276101</v>
      </c>
      <c r="F40" s="2">
        <f>SUM(G10:G12)/SUM(F10:F12)</f>
        <v>1.0001236705416769</v>
      </c>
      <c r="G40" s="2">
        <f>SUM(H9:H11)/SUM(G9:G11)</f>
        <v>1.000114995400184</v>
      </c>
      <c r="H40" s="2">
        <f>SUM(I8:I10)/SUM(H8:H10)</f>
        <v>1</v>
      </c>
      <c r="I40" s="2">
        <f>SUM(J8:J9)/SUM(I8:I9)</f>
        <v>0.99984697781178267</v>
      </c>
      <c r="J40" s="2">
        <f>SUM(K8)/SUM(J8)</f>
        <v>1</v>
      </c>
      <c r="K40" s="2"/>
      <c r="L40" s="2"/>
    </row>
    <row r="42" spans="1:12">
      <c r="A42" t="s">
        <v>8</v>
      </c>
    </row>
    <row r="43" spans="1:12">
      <c r="A43" s="4" t="s">
        <v>9</v>
      </c>
      <c r="B43" s="3">
        <f>PRODUCT(B25:B28)^0.25</f>
        <v>1.2625913770280632</v>
      </c>
      <c r="C43" s="3">
        <f>PRODUCT(C24:C27)^0.25</f>
        <v>1.0086543945484496</v>
      </c>
      <c r="D43" s="3">
        <f>PRODUCT(D23:D26)^0.25</f>
        <v>1.0011204768329944</v>
      </c>
      <c r="E43" s="3">
        <f>PRODUCT(E22:E25)^0.25</f>
        <v>1.0001834901837514</v>
      </c>
      <c r="F43" s="3">
        <f>PRODUCT(F21:F24)^0.25</f>
        <v>1.0000926827017691</v>
      </c>
      <c r="G43" s="3">
        <f>PRODUCT(G20:G23)^0.25</f>
        <v>1.0000907317525101</v>
      </c>
      <c r="H43" s="3">
        <f>PRODUCT(H20:H22)^(1/3)</f>
        <v>1</v>
      </c>
      <c r="I43" s="3">
        <f>PRODUCT(I20:I21)^(1/2)</f>
        <v>0.99984580988266991</v>
      </c>
      <c r="J43" s="3">
        <f>PRODUCT(J20)^(1/1)</f>
        <v>1</v>
      </c>
      <c r="K43" s="3"/>
      <c r="L43" s="3"/>
    </row>
    <row r="45" spans="1:12">
      <c r="B45" s="6" t="str">
        <f>B19</f>
        <v>6-12</v>
      </c>
      <c r="C45" s="17" t="str">
        <f t="shared" ref="C45:K45" si="17">C19</f>
        <v>12-18</v>
      </c>
      <c r="D45" s="17" t="str">
        <f t="shared" si="17"/>
        <v>18-24</v>
      </c>
      <c r="E45" s="17" t="str">
        <f t="shared" si="17"/>
        <v>24-30</v>
      </c>
      <c r="F45" s="17" t="str">
        <f t="shared" si="17"/>
        <v>30-36</v>
      </c>
      <c r="G45" s="17" t="str">
        <f t="shared" si="17"/>
        <v>36-42</v>
      </c>
      <c r="H45" s="17" t="str">
        <f t="shared" si="17"/>
        <v>42-48</v>
      </c>
      <c r="I45" s="17" t="str">
        <f t="shared" si="17"/>
        <v>48-54</v>
      </c>
      <c r="J45" s="17" t="str">
        <f t="shared" si="17"/>
        <v>54-60</v>
      </c>
      <c r="K45" s="17" t="str">
        <f t="shared" si="17"/>
        <v>60-Ult</v>
      </c>
      <c r="L45" s="7"/>
    </row>
    <row r="46" spans="1:12">
      <c r="A46" t="s">
        <v>10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</row>
    <row r="47" spans="1:12">
      <c r="A47" t="s">
        <v>11</v>
      </c>
      <c r="B47" s="18">
        <f>AVERAGE(B27,B25,B23)</f>
        <v>1.1825276939790774</v>
      </c>
      <c r="C47" s="2">
        <f t="shared" ref="C47:J47" si="18">C32</f>
        <v>1.0088564018441299</v>
      </c>
      <c r="D47" s="2">
        <f t="shared" si="18"/>
        <v>1.0011305155818564</v>
      </c>
      <c r="E47" s="2">
        <f t="shared" si="18"/>
        <v>1.0002446760291837</v>
      </c>
      <c r="F47" s="2">
        <f t="shared" si="18"/>
        <v>1.0001235941169202</v>
      </c>
      <c r="G47" s="2">
        <f t="shared" si="18"/>
        <v>1.0001209921355112</v>
      </c>
      <c r="H47" s="2">
        <f t="shared" si="18"/>
        <v>1</v>
      </c>
      <c r="I47" s="2">
        <f t="shared" si="18"/>
        <v>0.99984582176996606</v>
      </c>
      <c r="J47" s="2">
        <f t="shared" si="18"/>
        <v>1</v>
      </c>
      <c r="K47" s="2">
        <v>1</v>
      </c>
      <c r="L47" s="2"/>
    </row>
    <row r="48" spans="1:12">
      <c r="A48" t="s">
        <v>12</v>
      </c>
      <c r="B48" s="2">
        <f t="shared" ref="B48:J48" si="19">C48*B47</f>
        <v>1.1947495468829294</v>
      </c>
      <c r="C48" s="2">
        <f t="shared" si="19"/>
        <v>1.0103353629399805</v>
      </c>
      <c r="D48" s="2">
        <f t="shared" si="19"/>
        <v>1.0014659778072945</v>
      </c>
      <c r="E48" s="2">
        <f t="shared" si="19"/>
        <v>1.0003350834084237</v>
      </c>
      <c r="F48" s="2">
        <f t="shared" si="19"/>
        <v>1.0000903852641325</v>
      </c>
      <c r="G48" s="2">
        <f t="shared" si="19"/>
        <v>0.99996679525112397</v>
      </c>
      <c r="H48" s="2">
        <f t="shared" si="19"/>
        <v>0.99984582176996606</v>
      </c>
      <c r="I48" s="2">
        <f t="shared" si="19"/>
        <v>0.99984582176996606</v>
      </c>
      <c r="J48" s="2">
        <f t="shared" si="19"/>
        <v>1</v>
      </c>
      <c r="K48" s="2">
        <f>K47</f>
        <v>1</v>
      </c>
      <c r="L48" s="2"/>
    </row>
    <row r="49" spans="1:12">
      <c r="A49" t="s">
        <v>13</v>
      </c>
      <c r="B49" s="5">
        <f>1/B48</f>
        <v>0.83699550471391604</v>
      </c>
      <c r="C49" s="5">
        <f t="shared" ref="C49:K49" si="20">1/C48</f>
        <v>0.98977036406020125</v>
      </c>
      <c r="D49" s="5">
        <f t="shared" si="20"/>
        <v>0.99853616813772916</v>
      </c>
      <c r="E49" s="5">
        <f t="shared" si="20"/>
        <v>0.99966502883485608</v>
      </c>
      <c r="F49" s="5">
        <f t="shared" si="20"/>
        <v>0.99990962290462515</v>
      </c>
      <c r="G49" s="5">
        <f t="shared" si="20"/>
        <v>1.000033205851468</v>
      </c>
      <c r="H49" s="5">
        <f t="shared" si="20"/>
        <v>1.0001542020046261</v>
      </c>
      <c r="I49" s="5">
        <f t="shared" si="20"/>
        <v>1.0001542020046261</v>
      </c>
      <c r="J49" s="5">
        <f t="shared" si="20"/>
        <v>1</v>
      </c>
      <c r="K49" s="5">
        <f t="shared" si="20"/>
        <v>1</v>
      </c>
      <c r="L49" s="5"/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51"/>
  <sheetViews>
    <sheetView zoomScale="85" zoomScaleNormal="85" workbookViewId="0">
      <selection activeCell="A4" sqref="A4"/>
    </sheetView>
  </sheetViews>
  <sheetFormatPr defaultRowHeight="15"/>
  <cols>
    <col min="1" max="1" width="12.42578125" customWidth="1"/>
    <col min="2" max="11" width="11.5703125" bestFit="1" customWidth="1"/>
  </cols>
  <sheetData>
    <row r="1" spans="1:13">
      <c r="A1" t="s">
        <v>46</v>
      </c>
    </row>
    <row r="2" spans="1:13">
      <c r="A2" t="s">
        <v>67</v>
      </c>
    </row>
    <row r="3" spans="1:13">
      <c r="A3" t="s">
        <v>73</v>
      </c>
    </row>
    <row r="5" spans="1:13">
      <c r="A5" t="s">
        <v>0</v>
      </c>
    </row>
    <row r="7" spans="1:13">
      <c r="A7" t="s">
        <v>1</v>
      </c>
      <c r="B7" s="11">
        <v>6</v>
      </c>
      <c r="C7" s="11">
        <f>B7+6</f>
        <v>12</v>
      </c>
      <c r="D7" s="15">
        <f t="shared" ref="D7:K7" si="0">C7+6</f>
        <v>18</v>
      </c>
      <c r="E7" s="15">
        <f t="shared" si="0"/>
        <v>24</v>
      </c>
      <c r="F7" s="15">
        <f t="shared" si="0"/>
        <v>30</v>
      </c>
      <c r="G7" s="15">
        <f t="shared" si="0"/>
        <v>36</v>
      </c>
      <c r="H7" s="15">
        <f t="shared" si="0"/>
        <v>42</v>
      </c>
      <c r="I7" s="15">
        <f t="shared" si="0"/>
        <v>48</v>
      </c>
      <c r="J7" s="15">
        <f t="shared" si="0"/>
        <v>54</v>
      </c>
      <c r="K7" s="15">
        <f t="shared" si="0"/>
        <v>60</v>
      </c>
      <c r="L7" s="7"/>
      <c r="M7" s="7"/>
    </row>
    <row r="8" spans="1:13">
      <c r="A8" s="4" t="s">
        <v>36</v>
      </c>
      <c r="B8" s="1">
        <v>3556</v>
      </c>
      <c r="C8" s="1">
        <v>3314</v>
      </c>
      <c r="D8" s="1">
        <v>3301</v>
      </c>
      <c r="E8" s="1">
        <v>3299</v>
      </c>
      <c r="F8" s="1">
        <v>3295</v>
      </c>
      <c r="G8" s="1">
        <v>3294</v>
      </c>
      <c r="H8" s="1">
        <v>3293</v>
      </c>
      <c r="I8" s="1">
        <v>3293</v>
      </c>
      <c r="J8" s="1">
        <v>3293</v>
      </c>
      <c r="K8" s="1">
        <v>3292</v>
      </c>
      <c r="L8" s="1"/>
    </row>
    <row r="9" spans="1:13">
      <c r="A9" s="4" t="s">
        <v>37</v>
      </c>
      <c r="B9" s="1">
        <v>3492</v>
      </c>
      <c r="C9" s="1">
        <v>3262</v>
      </c>
      <c r="D9" s="1">
        <v>3250</v>
      </c>
      <c r="E9" s="1">
        <v>3247</v>
      </c>
      <c r="F9" s="1">
        <v>3247</v>
      </c>
      <c r="G9" s="1">
        <v>3245</v>
      </c>
      <c r="H9" s="1">
        <v>3245</v>
      </c>
      <c r="I9" s="1">
        <v>3244</v>
      </c>
      <c r="J9" s="1">
        <v>3243</v>
      </c>
      <c r="K9" s="1"/>
      <c r="L9" s="1"/>
    </row>
    <row r="10" spans="1:13">
      <c r="A10" s="4" t="s">
        <v>38</v>
      </c>
      <c r="B10" s="1">
        <v>2980</v>
      </c>
      <c r="C10" s="1">
        <v>2712</v>
      </c>
      <c r="D10" s="1">
        <v>2704</v>
      </c>
      <c r="E10" s="1">
        <v>2702</v>
      </c>
      <c r="F10" s="1">
        <v>2700</v>
      </c>
      <c r="G10" s="1">
        <v>2700</v>
      </c>
      <c r="H10" s="1">
        <v>2699</v>
      </c>
      <c r="I10" s="1">
        <v>2699</v>
      </c>
      <c r="J10" s="1"/>
      <c r="K10" s="1"/>
      <c r="L10" s="1"/>
    </row>
    <row r="11" spans="1:13">
      <c r="A11" s="4" t="s">
        <v>39</v>
      </c>
      <c r="B11" s="1">
        <v>2896</v>
      </c>
      <c r="C11" s="1">
        <v>2768</v>
      </c>
      <c r="D11" s="1">
        <v>2761</v>
      </c>
      <c r="E11" s="1">
        <v>2758</v>
      </c>
      <c r="F11" s="1">
        <v>2758</v>
      </c>
      <c r="G11" s="1">
        <v>2758</v>
      </c>
      <c r="H11" s="1">
        <v>2757</v>
      </c>
      <c r="I11" s="1"/>
      <c r="J11" s="1"/>
      <c r="K11" s="1"/>
      <c r="L11" s="1"/>
    </row>
    <row r="12" spans="1:13">
      <c r="A12" s="4" t="s">
        <v>40</v>
      </c>
      <c r="B12" s="1">
        <v>2814</v>
      </c>
      <c r="C12" s="1">
        <v>2650</v>
      </c>
      <c r="D12" s="1">
        <v>2640</v>
      </c>
      <c r="E12" s="1">
        <v>2639</v>
      </c>
      <c r="F12" s="1">
        <v>2638</v>
      </c>
      <c r="G12" s="1">
        <v>2636</v>
      </c>
      <c r="H12" s="1"/>
      <c r="I12" s="1"/>
      <c r="J12" s="1"/>
      <c r="K12" s="1"/>
      <c r="L12" s="1"/>
    </row>
    <row r="13" spans="1:13">
      <c r="A13" s="4" t="s">
        <v>41</v>
      </c>
      <c r="B13" s="1">
        <v>2808</v>
      </c>
      <c r="C13" s="1">
        <v>2712</v>
      </c>
      <c r="D13" s="1">
        <v>2704</v>
      </c>
      <c r="E13" s="1">
        <v>2701</v>
      </c>
      <c r="F13" s="1">
        <v>2700</v>
      </c>
      <c r="G13" s="1"/>
      <c r="H13" s="1"/>
      <c r="I13" s="1"/>
      <c r="J13" s="1"/>
      <c r="K13" s="1"/>
      <c r="L13" s="1"/>
    </row>
    <row r="14" spans="1:13">
      <c r="A14" s="4" t="s">
        <v>42</v>
      </c>
      <c r="B14" s="1">
        <v>2799</v>
      </c>
      <c r="C14" s="1">
        <v>2675</v>
      </c>
      <c r="D14" s="1">
        <v>2670</v>
      </c>
      <c r="E14" s="1">
        <v>2668</v>
      </c>
      <c r="F14" s="1"/>
      <c r="G14" s="1"/>
      <c r="H14" s="1"/>
      <c r="I14" s="1"/>
      <c r="J14" s="1"/>
      <c r="K14" s="1"/>
      <c r="L14" s="1"/>
    </row>
    <row r="15" spans="1:13">
      <c r="A15" s="4" t="s">
        <v>43</v>
      </c>
      <c r="B15" s="1">
        <v>2578</v>
      </c>
      <c r="C15" s="1">
        <v>2533</v>
      </c>
      <c r="D15" s="1">
        <v>2529</v>
      </c>
      <c r="E15" s="1"/>
      <c r="F15" s="1"/>
      <c r="G15" s="1"/>
      <c r="H15" s="1"/>
      <c r="I15" s="1"/>
      <c r="J15" s="1"/>
      <c r="K15" s="1"/>
      <c r="L15" s="1"/>
    </row>
    <row r="16" spans="1:13">
      <c r="A16" s="4" t="s">
        <v>44</v>
      </c>
      <c r="B16" s="1">
        <v>2791</v>
      </c>
      <c r="C16" s="1">
        <v>2778</v>
      </c>
      <c r="D16" s="1"/>
      <c r="E16" s="1"/>
      <c r="F16" s="1"/>
      <c r="G16" s="1"/>
      <c r="H16" s="1"/>
      <c r="I16" s="1"/>
      <c r="J16" s="1"/>
      <c r="K16" s="1"/>
      <c r="L16" s="1"/>
    </row>
    <row r="17" spans="1:12">
      <c r="A17" s="4" t="s">
        <v>45</v>
      </c>
      <c r="B17" s="1">
        <v>3139</v>
      </c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>
      <c r="L18" s="1"/>
    </row>
    <row r="19" spans="1:12">
      <c r="A19" t="s">
        <v>1</v>
      </c>
      <c r="B19" s="11" t="str">
        <f>B7&amp;"-"&amp;C7</f>
        <v>6-12</v>
      </c>
      <c r="C19" s="11" t="str">
        <f t="shared" ref="C19:J19" si="1">C7&amp;"-"&amp;D7</f>
        <v>12-18</v>
      </c>
      <c r="D19" s="11" t="str">
        <f t="shared" si="1"/>
        <v>18-24</v>
      </c>
      <c r="E19" s="11" t="str">
        <f t="shared" si="1"/>
        <v>24-30</v>
      </c>
      <c r="F19" s="11" t="str">
        <f t="shared" si="1"/>
        <v>30-36</v>
      </c>
      <c r="G19" s="11" t="str">
        <f t="shared" si="1"/>
        <v>36-42</v>
      </c>
      <c r="H19" s="11" t="str">
        <f t="shared" si="1"/>
        <v>42-48</v>
      </c>
      <c r="I19" s="11" t="str">
        <f t="shared" si="1"/>
        <v>48-54</v>
      </c>
      <c r="J19" s="11" t="str">
        <f t="shared" si="1"/>
        <v>54-60</v>
      </c>
      <c r="K19" s="17" t="s">
        <v>55</v>
      </c>
    </row>
    <row r="20" spans="1:12">
      <c r="A20" s="4" t="s">
        <v>36</v>
      </c>
      <c r="B20" s="2">
        <f t="shared" ref="B20:J27" si="2">C8/B8</f>
        <v>0.9319460067491564</v>
      </c>
      <c r="C20" s="2">
        <f t="shared" si="2"/>
        <v>0.99607724803862407</v>
      </c>
      <c r="D20" s="2">
        <f t="shared" si="2"/>
        <v>0.99939412299303243</v>
      </c>
      <c r="E20" s="2">
        <f t="shared" si="2"/>
        <v>0.99878751136708088</v>
      </c>
      <c r="F20" s="2">
        <f t="shared" si="2"/>
        <v>0.99969650986342939</v>
      </c>
      <c r="G20" s="2">
        <f t="shared" si="2"/>
        <v>0.99969641772920459</v>
      </c>
      <c r="H20" s="2">
        <f t="shared" si="2"/>
        <v>1</v>
      </c>
      <c r="I20" s="2">
        <f t="shared" si="2"/>
        <v>1</v>
      </c>
      <c r="J20" s="2">
        <f t="shared" si="2"/>
        <v>0.99969632553902221</v>
      </c>
      <c r="K20" s="2"/>
      <c r="L20" s="7"/>
    </row>
    <row r="21" spans="1:12">
      <c r="A21" s="4" t="s">
        <v>37</v>
      </c>
      <c r="B21" s="2">
        <f t="shared" si="2"/>
        <v>0.93413516609392899</v>
      </c>
      <c r="C21" s="2">
        <f t="shared" si="2"/>
        <v>0.99632127529123238</v>
      </c>
      <c r="D21" s="2">
        <f t="shared" si="2"/>
        <v>0.99907692307692308</v>
      </c>
      <c r="E21" s="2">
        <f t="shared" si="2"/>
        <v>1</v>
      </c>
      <c r="F21" s="2">
        <f t="shared" si="2"/>
        <v>0.99938404681244231</v>
      </c>
      <c r="G21" s="2">
        <f t="shared" si="2"/>
        <v>1</v>
      </c>
      <c r="H21" s="2">
        <f t="shared" si="2"/>
        <v>0.99969183359013869</v>
      </c>
      <c r="I21" s="2">
        <f t="shared" si="2"/>
        <v>0.99969173859432803</v>
      </c>
      <c r="J21" s="2"/>
      <c r="K21" s="2"/>
      <c r="L21" s="2"/>
    </row>
    <row r="22" spans="1:12">
      <c r="A22" s="4" t="s">
        <v>38</v>
      </c>
      <c r="B22" s="2">
        <f t="shared" si="2"/>
        <v>0.91006711409395968</v>
      </c>
      <c r="C22" s="2">
        <f t="shared" si="2"/>
        <v>0.99705014749262533</v>
      </c>
      <c r="D22" s="2">
        <f t="shared" si="2"/>
        <v>0.99926035502958577</v>
      </c>
      <c r="E22" s="2">
        <f t="shared" si="2"/>
        <v>0.99925980754996302</v>
      </c>
      <c r="F22" s="2">
        <f t="shared" si="2"/>
        <v>1</v>
      </c>
      <c r="G22" s="2">
        <f t="shared" si="2"/>
        <v>0.99962962962962965</v>
      </c>
      <c r="H22" s="2">
        <f t="shared" si="2"/>
        <v>1</v>
      </c>
      <c r="I22" s="2"/>
      <c r="J22" s="2"/>
      <c r="K22" s="2"/>
      <c r="L22" s="2"/>
    </row>
    <row r="23" spans="1:12">
      <c r="A23" s="4" t="s">
        <v>39</v>
      </c>
      <c r="B23" s="2">
        <f t="shared" si="2"/>
        <v>0.95580110497237569</v>
      </c>
      <c r="C23" s="2">
        <f t="shared" si="2"/>
        <v>0.99747109826589597</v>
      </c>
      <c r="D23" s="2">
        <f t="shared" si="2"/>
        <v>0.99891343716044911</v>
      </c>
      <c r="E23" s="2">
        <f t="shared" si="2"/>
        <v>1</v>
      </c>
      <c r="F23" s="2">
        <f t="shared" si="2"/>
        <v>1</v>
      </c>
      <c r="G23" s="2">
        <f t="shared" si="2"/>
        <v>0.99963741841914433</v>
      </c>
      <c r="H23" s="2"/>
      <c r="I23" s="2"/>
      <c r="J23" s="2"/>
      <c r="K23" s="2"/>
      <c r="L23" s="2"/>
    </row>
    <row r="24" spans="1:12">
      <c r="A24" s="4" t="s">
        <v>40</v>
      </c>
      <c r="B24" s="2">
        <f t="shared" si="2"/>
        <v>0.94171997157071785</v>
      </c>
      <c r="C24" s="2">
        <f t="shared" si="2"/>
        <v>0.99622641509433962</v>
      </c>
      <c r="D24" s="2">
        <f t="shared" si="2"/>
        <v>0.99962121212121213</v>
      </c>
      <c r="E24" s="2">
        <f t="shared" si="2"/>
        <v>0.99962106858658584</v>
      </c>
      <c r="F24" s="2">
        <f t="shared" si="2"/>
        <v>0.99924184988627751</v>
      </c>
      <c r="G24" s="2"/>
      <c r="H24" s="2"/>
      <c r="I24" s="2"/>
      <c r="J24" s="2"/>
      <c r="K24" s="2"/>
      <c r="L24" s="2"/>
    </row>
    <row r="25" spans="1:12">
      <c r="A25" s="4" t="s">
        <v>41</v>
      </c>
      <c r="B25" s="2">
        <f t="shared" si="2"/>
        <v>0.96581196581196582</v>
      </c>
      <c r="C25" s="2">
        <f t="shared" si="2"/>
        <v>0.99705014749262533</v>
      </c>
      <c r="D25" s="2">
        <f t="shared" si="2"/>
        <v>0.99889053254437865</v>
      </c>
      <c r="E25" s="2">
        <f t="shared" si="2"/>
        <v>0.99962976675305437</v>
      </c>
      <c r="F25" s="2"/>
      <c r="G25" s="2"/>
      <c r="H25" s="2"/>
      <c r="I25" s="2"/>
      <c r="J25" s="2"/>
      <c r="K25" s="2"/>
      <c r="L25" s="2"/>
    </row>
    <row r="26" spans="1:12">
      <c r="A26" s="4" t="s">
        <v>42</v>
      </c>
      <c r="B26" s="2">
        <f t="shared" si="2"/>
        <v>0.95569846373704892</v>
      </c>
      <c r="C26" s="2">
        <f t="shared" si="2"/>
        <v>0.9981308411214953</v>
      </c>
      <c r="D26" s="2">
        <f t="shared" si="2"/>
        <v>0.99925093632958806</v>
      </c>
      <c r="E26" s="2"/>
      <c r="F26" s="2"/>
      <c r="G26" s="2"/>
      <c r="H26" s="2"/>
      <c r="I26" s="2"/>
      <c r="J26" s="2"/>
      <c r="K26" s="2"/>
      <c r="L26" s="2"/>
    </row>
    <row r="27" spans="1:12">
      <c r="A27" s="4" t="s">
        <v>43</v>
      </c>
      <c r="B27" s="2">
        <f t="shared" si="2"/>
        <v>0.98254460822342904</v>
      </c>
      <c r="C27" s="2">
        <f t="shared" si="2"/>
        <v>0.99842084484800631</v>
      </c>
      <c r="D27" s="2"/>
      <c r="E27" s="2"/>
      <c r="F27" s="2"/>
      <c r="G27" s="2"/>
      <c r="H27" s="2"/>
      <c r="I27" s="2"/>
      <c r="J27" s="2"/>
      <c r="K27" s="2"/>
      <c r="L27" s="2"/>
    </row>
    <row r="28" spans="1:12">
      <c r="A28" s="4" t="s">
        <v>44</v>
      </c>
      <c r="B28" s="2">
        <f>C16/B16</f>
        <v>0.99534217126477964</v>
      </c>
      <c r="C28" s="2"/>
      <c r="D28" s="2"/>
      <c r="E28" s="2"/>
      <c r="F28" s="2"/>
      <c r="G28" s="2"/>
      <c r="H28" s="2"/>
      <c r="I28" s="2"/>
      <c r="J28" s="2"/>
      <c r="K28" s="2"/>
      <c r="L28" s="2"/>
    </row>
    <row r="29" spans="1:12">
      <c r="A29" s="4"/>
      <c r="B29" s="1"/>
      <c r="C29" s="1"/>
      <c r="D29" s="1"/>
      <c r="E29" s="1"/>
      <c r="F29" s="1"/>
      <c r="G29" s="1"/>
      <c r="H29" s="1"/>
      <c r="I29" s="1"/>
      <c r="J29" s="1"/>
      <c r="K29" s="1"/>
      <c r="L29" s="2"/>
    </row>
    <row r="30" spans="1:12">
      <c r="A30" t="s">
        <v>2</v>
      </c>
      <c r="L30" s="2"/>
    </row>
    <row r="31" spans="1:12">
      <c r="A31" s="4" t="s">
        <v>3</v>
      </c>
      <c r="B31" s="3">
        <f>AVERAGE(B24:B28)</f>
        <v>0.96822343612158834</v>
      </c>
      <c r="C31" s="3">
        <f>AVERAGE(C23:C27)</f>
        <v>0.99745986936447262</v>
      </c>
      <c r="D31" s="3">
        <f>AVERAGE(D22:D26)</f>
        <v>0.99918729463704281</v>
      </c>
      <c r="E31" s="3">
        <f>AVERAGE(E21:E25)</f>
        <v>0.99970212857792062</v>
      </c>
      <c r="F31" s="3">
        <f>AVERAGE(F20:F24)</f>
        <v>0.9996644813124298</v>
      </c>
      <c r="G31" s="3">
        <f>AVERAGE(G20:G23)</f>
        <v>0.99974086644449467</v>
      </c>
      <c r="H31" s="3">
        <f>AVERAGE(H20:H22)</f>
        <v>0.99989727786337956</v>
      </c>
      <c r="I31" s="3">
        <f>AVERAGE(I20:I21)</f>
        <v>0.99984586929716401</v>
      </c>
      <c r="J31" s="3">
        <f>AVERAGE(J20)</f>
        <v>0.99969632553902221</v>
      </c>
      <c r="K31" s="3"/>
      <c r="L31" s="1"/>
    </row>
    <row r="32" spans="1:12">
      <c r="A32" s="4" t="s">
        <v>4</v>
      </c>
      <c r="B32" s="3">
        <f>AVERAGE(B26:B28)</f>
        <v>0.9778617477417525</v>
      </c>
      <c r="C32" s="3">
        <f>AVERAGE(C25:C27)</f>
        <v>0.99786727782070894</v>
      </c>
      <c r="D32" s="3">
        <f>AVERAGE(D24:D26)</f>
        <v>0.99925422699839295</v>
      </c>
      <c r="E32" s="3">
        <f>AVERAGE(E23:E25)</f>
        <v>0.99975027844654674</v>
      </c>
      <c r="F32" s="3">
        <f>AVERAGE(F22:F24)</f>
        <v>0.99974728329542584</v>
      </c>
      <c r="G32" s="3">
        <f>AVERAGE(G21:G23)</f>
        <v>0.9997556826829247</v>
      </c>
      <c r="H32" s="3">
        <f>AVERAGE(H20:H22)</f>
        <v>0.99989727786337956</v>
      </c>
      <c r="I32" s="3">
        <f>I31</f>
        <v>0.99984586929716401</v>
      </c>
      <c r="J32" s="3">
        <f>J31</f>
        <v>0.99969632553902221</v>
      </c>
      <c r="K32" s="3"/>
    </row>
    <row r="33" spans="1:12">
      <c r="A33" s="4" t="s">
        <v>22</v>
      </c>
      <c r="B33" s="3">
        <f>AVERAGE(B27:B28)</f>
        <v>0.98894338974410434</v>
      </c>
      <c r="C33" s="3">
        <f>AVERAGE(C26:C27)</f>
        <v>0.99827584298475081</v>
      </c>
      <c r="D33" s="3">
        <f>AVERAGE(D25:D26)</f>
        <v>0.99907073443698335</v>
      </c>
      <c r="E33" s="3">
        <f>AVERAGE(E24:E25)</f>
        <v>0.99962541766982005</v>
      </c>
      <c r="F33" s="3">
        <f>AVERAGE(F23:F24)</f>
        <v>0.9996209249431387</v>
      </c>
      <c r="G33" s="3">
        <f>AVERAGE(G22:G23)</f>
        <v>0.99963352402438699</v>
      </c>
      <c r="H33" s="3">
        <f>AVERAGE(H21:H22)</f>
        <v>0.99984591679506929</v>
      </c>
      <c r="I33" s="3">
        <f>AVERAGE(I20:I21)</f>
        <v>0.99984586929716401</v>
      </c>
      <c r="J33" s="3">
        <f>J31</f>
        <v>0.99969632553902221</v>
      </c>
      <c r="K33" s="3"/>
      <c r="L33" s="3"/>
    </row>
    <row r="34" spans="1:12">
      <c r="L34" s="3"/>
    </row>
    <row r="35" spans="1:12">
      <c r="A35" t="s">
        <v>5</v>
      </c>
      <c r="L35" s="3"/>
    </row>
    <row r="36" spans="1:12">
      <c r="A36" s="4" t="s">
        <v>6</v>
      </c>
      <c r="B36" s="3">
        <f>(1/3)*(SUM(B24:B28)-MIN(B24:B28)-MAX(B24:B28))</f>
        <v>0.96801834592414793</v>
      </c>
      <c r="C36" s="3">
        <f>(1/3)*(SUM(C23:C27)-MIN(C23:C27)-MAX(C23:C27))</f>
        <v>0.99755069562667242</v>
      </c>
      <c r="D36" s="3">
        <f>(1/3)*(SUM(D22:D26)-MIN(D22:D26)-MAX(D22:D26))</f>
        <v>0.99914157617320776</v>
      </c>
      <c r="E36" s="3">
        <f>(1/3)*(SUM(E21:E25)-MIN(E21:E25)-MAX(E21:E25))</f>
        <v>0.99975027844654663</v>
      </c>
      <c r="F36" s="3">
        <f>(1/3)*(SUM(F20:F24)-MIN(F20:F24)-MAX(F20:F24))</f>
        <v>0.99969351889195723</v>
      </c>
      <c r="G36" s="3">
        <f>(1/2)*(SUM(G20:G23)-MIN(G20:G23)-MAX(G20:G23))</f>
        <v>0.9996669180741744</v>
      </c>
      <c r="H36" s="3">
        <f>(1/1)*(SUM(H20:H22)-MIN(H20:H22)-MAX(H20:H22))</f>
        <v>1</v>
      </c>
      <c r="I36" s="3">
        <f>I31</f>
        <v>0.99984586929716401</v>
      </c>
      <c r="J36" s="3">
        <f>J31</f>
        <v>0.99969632553902221</v>
      </c>
      <c r="K36" s="3"/>
    </row>
    <row r="38" spans="1:12">
      <c r="A38" t="s">
        <v>7</v>
      </c>
      <c r="L38" s="3"/>
    </row>
    <row r="39" spans="1:12">
      <c r="A39" s="4" t="s">
        <v>3</v>
      </c>
      <c r="B39" s="2">
        <f>SUM(C12:C16)/SUM(B12:B16)</f>
        <v>0.96794778825235683</v>
      </c>
      <c r="C39" s="2">
        <f>SUM(D11:D15)/SUM(C11:C15)</f>
        <v>0.99745089218773431</v>
      </c>
      <c r="D39" s="2">
        <f>SUM(E10:E14)/SUM(D10:D14)</f>
        <v>0.99918391572075083</v>
      </c>
      <c r="E39" s="2">
        <f>SUM(F9:F13)/SUM(E9:E13)</f>
        <v>0.99971524168861681</v>
      </c>
      <c r="F39" s="2">
        <f>SUM(G9:G13)/SUM(F9:F13)</f>
        <v>0.80744855087944167</v>
      </c>
      <c r="G39" s="2">
        <f>SUM(H8:H11)/SUM(G8:G11)</f>
        <v>0.99974993748437113</v>
      </c>
      <c r="H39" s="2">
        <f>SUM(I8:I10)/SUM(H8:H10)</f>
        <v>0.99989173974234058</v>
      </c>
      <c r="I39" s="2">
        <f>SUM(J8:J9)/SUM(I8:I9)</f>
        <v>0.99984702462903474</v>
      </c>
      <c r="J39" s="2">
        <f>SUM(K8)/SUM(J8)</f>
        <v>0.99969632553902221</v>
      </c>
      <c r="K39" s="2"/>
    </row>
    <row r="40" spans="1:12">
      <c r="A40" s="4" t="s">
        <v>4</v>
      </c>
      <c r="B40" s="2">
        <f>SUM(C14:C16)/SUM(B14:B16)</f>
        <v>0.97771792360430954</v>
      </c>
      <c r="C40" s="2">
        <f>SUM(D13:D15)/SUM(C13:C15)</f>
        <v>0.99785353535353538</v>
      </c>
      <c r="D40" s="2">
        <f>SUM(E12:E14)/SUM(D12:D14)</f>
        <v>0.99925131020713753</v>
      </c>
      <c r="E40" s="2">
        <f>SUM(F11:F13)/SUM(E11:E13)</f>
        <v>0.99975302543837985</v>
      </c>
      <c r="F40" s="2">
        <f>SUM(G10:G12)/SUM(F10:F12)</f>
        <v>0.99975296442687744</v>
      </c>
      <c r="G40" s="2">
        <f>SUM(H9:H11)/SUM(G9:G11)</f>
        <v>0.99977019418591295</v>
      </c>
      <c r="H40" s="2">
        <f>SUM(I8:I10)/SUM(H8:H10)</f>
        <v>0.99989173974234058</v>
      </c>
      <c r="I40" s="2">
        <f>SUM(J8:J9)/SUM(I8:I9)</f>
        <v>0.99984702462903474</v>
      </c>
      <c r="J40" s="2">
        <f>SUM(K8)/SUM(J8)</f>
        <v>0.99969632553902221</v>
      </c>
      <c r="K40" s="2"/>
    </row>
    <row r="41" spans="1:12">
      <c r="L41" s="2"/>
    </row>
    <row r="42" spans="1:12">
      <c r="A42" t="s">
        <v>8</v>
      </c>
      <c r="L42" s="2"/>
    </row>
    <row r="43" spans="1:12">
      <c r="A43" s="4" t="s">
        <v>9</v>
      </c>
      <c r="B43" s="3">
        <f>PRODUCT(B25:B28)^0.25</f>
        <v>0.97473045998876884</v>
      </c>
      <c r="C43" s="3">
        <f>PRODUCT(C24:C27)^0.25</f>
        <v>0.99745667823587814</v>
      </c>
      <c r="D43" s="3">
        <f>PRODUCT(D23:D26)^0.25</f>
        <v>0.99916898524843223</v>
      </c>
      <c r="E43" s="3">
        <f>PRODUCT(E22:E25)^0.25</f>
        <v>0.99962762645974712</v>
      </c>
      <c r="F43" s="3">
        <f>PRODUCT(F21:F24)^0.25</f>
        <v>0.99965641388435378</v>
      </c>
      <c r="G43" s="3">
        <f>PRODUCT(G20:G23)^0.25</f>
        <v>0.99974085491761722</v>
      </c>
      <c r="H43" s="3">
        <f>PRODUCT(H20:H22)^(1/3)</f>
        <v>0.99989726730973538</v>
      </c>
      <c r="I43" s="3">
        <f>PRODUCT(I20:I21)^(1/2)</f>
        <v>0.99984585741719612</v>
      </c>
      <c r="J43" s="3">
        <f>PRODUCT(J20)^(1/1)</f>
        <v>0.99969632553902221</v>
      </c>
      <c r="K43" s="3"/>
    </row>
    <row r="45" spans="1:12">
      <c r="B45" s="11" t="str">
        <f>B19</f>
        <v>6-12</v>
      </c>
      <c r="C45" s="17" t="str">
        <f t="shared" ref="C45:K45" si="3">C19</f>
        <v>12-18</v>
      </c>
      <c r="D45" s="17" t="str">
        <f t="shared" si="3"/>
        <v>18-24</v>
      </c>
      <c r="E45" s="17" t="str">
        <f t="shared" si="3"/>
        <v>24-30</v>
      </c>
      <c r="F45" s="17" t="str">
        <f t="shared" si="3"/>
        <v>30-36</v>
      </c>
      <c r="G45" s="17" t="str">
        <f t="shared" si="3"/>
        <v>36-42</v>
      </c>
      <c r="H45" s="17" t="str">
        <f t="shared" si="3"/>
        <v>42-48</v>
      </c>
      <c r="I45" s="17" t="str">
        <f t="shared" si="3"/>
        <v>48-54</v>
      </c>
      <c r="J45" s="17" t="str">
        <f t="shared" si="3"/>
        <v>54-60</v>
      </c>
      <c r="K45" s="17" t="str">
        <f t="shared" si="3"/>
        <v>60-Ult</v>
      </c>
      <c r="L45" s="3"/>
    </row>
    <row r="46" spans="1:12">
      <c r="A46" t="s">
        <v>10</v>
      </c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2">
      <c r="A47" t="s">
        <v>11</v>
      </c>
      <c r="B47" s="2">
        <f>B32</f>
        <v>0.9778617477417525</v>
      </c>
      <c r="C47" s="2">
        <f t="shared" ref="C47:J47" si="4">C32</f>
        <v>0.99786727782070894</v>
      </c>
      <c r="D47" s="2">
        <f t="shared" si="4"/>
        <v>0.99925422699839295</v>
      </c>
      <c r="E47" s="2">
        <f t="shared" si="4"/>
        <v>0.99975027844654674</v>
      </c>
      <c r="F47" s="2">
        <f t="shared" si="4"/>
        <v>0.99974728329542584</v>
      </c>
      <c r="G47" s="2">
        <f t="shared" si="4"/>
        <v>0.9997556826829247</v>
      </c>
      <c r="H47" s="2">
        <f t="shared" si="4"/>
        <v>0.99989727786337956</v>
      </c>
      <c r="I47" s="2">
        <f t="shared" si="4"/>
        <v>0.99984586929716401</v>
      </c>
      <c r="J47" s="2">
        <f t="shared" si="4"/>
        <v>0.99969632553902221</v>
      </c>
      <c r="K47" s="2">
        <v>1</v>
      </c>
      <c r="L47" s="7"/>
    </row>
    <row r="48" spans="1:12">
      <c r="A48" t="s">
        <v>12</v>
      </c>
      <c r="B48" s="2">
        <f t="shared" ref="B48:J48" si="5">C48*B47</f>
        <v>0.97377454913861028</v>
      </c>
      <c r="C48" s="2">
        <f t="shared" si="5"/>
        <v>0.9958202694679682</v>
      </c>
      <c r="D48" s="2">
        <f t="shared" si="5"/>
        <v>0.99794861661641887</v>
      </c>
      <c r="E48" s="2">
        <f t="shared" si="5"/>
        <v>0.99869341520235955</v>
      </c>
      <c r="F48" s="2">
        <f t="shared" si="5"/>
        <v>0.99894287276835836</v>
      </c>
      <c r="G48" s="2">
        <f t="shared" si="5"/>
        <v>0.99919538613356773</v>
      </c>
      <c r="H48" s="2">
        <f t="shared" si="5"/>
        <v>0.99943956652704047</v>
      </c>
      <c r="I48" s="2">
        <f t="shared" si="5"/>
        <v>0.99954224164174432</v>
      </c>
      <c r="J48" s="2">
        <f t="shared" si="5"/>
        <v>0.99969632553902221</v>
      </c>
      <c r="K48" s="2">
        <f>K47</f>
        <v>1</v>
      </c>
      <c r="L48" s="2"/>
    </row>
    <row r="49" spans="1:12">
      <c r="A49" t="s">
        <v>13</v>
      </c>
      <c r="B49" s="5">
        <f>1/B48</f>
        <v>1.0269317480977382</v>
      </c>
      <c r="C49" s="5">
        <f t="shared" ref="C49:K49" si="6">1/C48</f>
        <v>1.0041972740063474</v>
      </c>
      <c r="D49" s="5">
        <f t="shared" si="6"/>
        <v>1.0020556002076906</v>
      </c>
      <c r="E49" s="5">
        <f t="shared" si="6"/>
        <v>1.0013082941949465</v>
      </c>
      <c r="F49" s="5">
        <f t="shared" si="6"/>
        <v>1.0010582459322344</v>
      </c>
      <c r="G49" s="5">
        <f t="shared" si="6"/>
        <v>1.0008052617912355</v>
      </c>
      <c r="H49" s="5">
        <f t="shared" si="6"/>
        <v>1.00056074773476</v>
      </c>
      <c r="I49" s="5">
        <f t="shared" si="6"/>
        <v>1.0004579679969341</v>
      </c>
      <c r="J49" s="5">
        <f t="shared" si="6"/>
        <v>1.0003037667071688</v>
      </c>
      <c r="K49" s="5">
        <f t="shared" si="6"/>
        <v>1</v>
      </c>
      <c r="L49" s="2"/>
    </row>
    <row r="50" spans="1:12"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</row>
    <row r="51" spans="1:12"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51"/>
  <sheetViews>
    <sheetView zoomScale="85" zoomScaleNormal="85" workbookViewId="0"/>
  </sheetViews>
  <sheetFormatPr defaultRowHeight="15"/>
  <cols>
    <col min="1" max="1" width="12.42578125" customWidth="1"/>
    <col min="2" max="11" width="11.5703125" bestFit="1" customWidth="1"/>
  </cols>
  <sheetData>
    <row r="1" spans="1:13">
      <c r="A1" t="s">
        <v>46</v>
      </c>
    </row>
    <row r="2" spans="1:13">
      <c r="A2" t="s">
        <v>68</v>
      </c>
    </row>
    <row r="3" spans="1:13">
      <c r="A3" t="s">
        <v>51</v>
      </c>
    </row>
    <row r="5" spans="1:13">
      <c r="A5" t="s">
        <v>0</v>
      </c>
    </row>
    <row r="7" spans="1:13">
      <c r="A7" t="s">
        <v>1</v>
      </c>
      <c r="B7" s="15">
        <v>6</v>
      </c>
      <c r="C7" s="15">
        <f>B7+6</f>
        <v>12</v>
      </c>
      <c r="D7" s="15">
        <f t="shared" ref="D7:K7" si="0">C7+6</f>
        <v>18</v>
      </c>
      <c r="E7" s="15">
        <f t="shared" si="0"/>
        <v>24</v>
      </c>
      <c r="F7" s="15">
        <f t="shared" si="0"/>
        <v>30</v>
      </c>
      <c r="G7" s="15">
        <f t="shared" si="0"/>
        <v>36</v>
      </c>
      <c r="H7" s="15">
        <f t="shared" si="0"/>
        <v>42</v>
      </c>
      <c r="I7" s="15">
        <f t="shared" si="0"/>
        <v>48</v>
      </c>
      <c r="J7" s="15">
        <f t="shared" si="0"/>
        <v>54</v>
      </c>
      <c r="K7" s="15">
        <f t="shared" si="0"/>
        <v>60</v>
      </c>
      <c r="L7" s="15"/>
      <c r="M7" s="15"/>
    </row>
    <row r="8" spans="1:13">
      <c r="A8" s="4" t="s">
        <v>36</v>
      </c>
      <c r="B8" s="1">
        <v>14235000</v>
      </c>
      <c r="C8" s="1">
        <v>14960000</v>
      </c>
      <c r="D8" s="1">
        <v>14921000</v>
      </c>
      <c r="E8" s="1">
        <v>14911000</v>
      </c>
      <c r="F8" s="1">
        <v>14926000</v>
      </c>
      <c r="G8" s="1">
        <v>14864000</v>
      </c>
      <c r="H8" s="1">
        <v>14860000</v>
      </c>
      <c r="I8" s="1">
        <v>14854000</v>
      </c>
      <c r="J8" s="1">
        <v>14850000</v>
      </c>
      <c r="K8" s="1">
        <v>14847000</v>
      </c>
      <c r="L8" s="1"/>
    </row>
    <row r="9" spans="1:13">
      <c r="A9" s="4" t="s">
        <v>37</v>
      </c>
      <c r="B9" s="1">
        <v>14548000</v>
      </c>
      <c r="C9" s="1">
        <v>14674000</v>
      </c>
      <c r="D9" s="1">
        <v>14643000</v>
      </c>
      <c r="E9" s="1">
        <v>14626000</v>
      </c>
      <c r="F9" s="1">
        <v>14621000</v>
      </c>
      <c r="G9" s="1">
        <v>14610000</v>
      </c>
      <c r="H9" s="1">
        <v>14610000</v>
      </c>
      <c r="I9" s="1">
        <v>14611000</v>
      </c>
      <c r="J9" s="1">
        <v>14617000</v>
      </c>
      <c r="K9" s="1"/>
      <c r="L9" s="1"/>
    </row>
    <row r="10" spans="1:13">
      <c r="A10" s="4" t="s">
        <v>38</v>
      </c>
      <c r="B10" s="1">
        <v>12129000</v>
      </c>
      <c r="C10" s="1">
        <v>12576000</v>
      </c>
      <c r="D10" s="1">
        <v>12541000</v>
      </c>
      <c r="E10" s="1">
        <v>12531000</v>
      </c>
      <c r="F10" s="1">
        <v>12523000</v>
      </c>
      <c r="G10" s="1">
        <v>12523000</v>
      </c>
      <c r="H10" s="1">
        <v>12510000</v>
      </c>
      <c r="I10" s="1">
        <v>12502000</v>
      </c>
      <c r="J10" s="1"/>
      <c r="K10" s="1"/>
      <c r="L10" s="1"/>
    </row>
    <row r="11" spans="1:13">
      <c r="A11" s="4" t="s">
        <v>39</v>
      </c>
      <c r="B11" s="1">
        <v>11980000</v>
      </c>
      <c r="C11" s="1">
        <v>11921000</v>
      </c>
      <c r="D11" s="1">
        <v>11882000</v>
      </c>
      <c r="E11" s="1">
        <v>11862000</v>
      </c>
      <c r="F11" s="1">
        <v>11854000</v>
      </c>
      <c r="G11" s="1">
        <v>11844000</v>
      </c>
      <c r="H11" s="1">
        <v>11841000</v>
      </c>
      <c r="I11" s="1"/>
      <c r="J11" s="1"/>
      <c r="K11" s="1"/>
      <c r="L11" s="1"/>
    </row>
    <row r="12" spans="1:13">
      <c r="A12" s="4" t="s">
        <v>40</v>
      </c>
      <c r="B12" s="1">
        <v>11283000</v>
      </c>
      <c r="C12" s="1">
        <v>11843000</v>
      </c>
      <c r="D12" s="1">
        <v>11805000</v>
      </c>
      <c r="E12" s="1">
        <v>11789000</v>
      </c>
      <c r="F12" s="1">
        <v>11772000</v>
      </c>
      <c r="G12" s="1">
        <v>11770000</v>
      </c>
      <c r="H12" s="1"/>
      <c r="I12" s="1"/>
      <c r="J12" s="1"/>
      <c r="K12" s="1"/>
      <c r="L12" s="1"/>
    </row>
    <row r="13" spans="1:13">
      <c r="A13" s="4" t="s">
        <v>41</v>
      </c>
      <c r="B13" s="1">
        <v>11947000</v>
      </c>
      <c r="C13" s="1">
        <v>11856000</v>
      </c>
      <c r="D13" s="1">
        <v>11820000</v>
      </c>
      <c r="E13" s="1">
        <v>11772000</v>
      </c>
      <c r="F13" s="1">
        <v>11760000</v>
      </c>
      <c r="G13" s="1"/>
      <c r="H13" s="1"/>
      <c r="I13" s="1"/>
      <c r="J13" s="1"/>
      <c r="K13" s="1"/>
      <c r="L13" s="1"/>
    </row>
    <row r="14" spans="1:13">
      <c r="A14" s="4" t="s">
        <v>42</v>
      </c>
      <c r="B14" s="1">
        <v>12503000</v>
      </c>
      <c r="C14" s="1">
        <v>12762000</v>
      </c>
      <c r="D14" s="1">
        <v>12706000</v>
      </c>
      <c r="E14" s="1">
        <v>12697000</v>
      </c>
      <c r="F14" s="1"/>
      <c r="G14" s="1"/>
      <c r="H14" s="1"/>
      <c r="I14" s="1"/>
      <c r="J14" s="1"/>
      <c r="K14" s="1"/>
      <c r="L14" s="1"/>
    </row>
    <row r="15" spans="1:13">
      <c r="A15" s="4" t="s">
        <v>43</v>
      </c>
      <c r="B15" s="1">
        <v>11662000</v>
      </c>
      <c r="C15" s="1">
        <v>11523000</v>
      </c>
      <c r="D15" s="1">
        <v>11492000</v>
      </c>
      <c r="E15" s="1"/>
      <c r="F15" s="1"/>
      <c r="G15" s="1"/>
      <c r="H15" s="1"/>
      <c r="I15" s="1"/>
      <c r="J15" s="1"/>
      <c r="K15" s="1"/>
      <c r="L15" s="1"/>
    </row>
    <row r="16" spans="1:13">
      <c r="A16" s="4" t="s">
        <v>44</v>
      </c>
      <c r="B16" s="1">
        <v>12647000</v>
      </c>
      <c r="C16" s="1">
        <v>12854000</v>
      </c>
      <c r="D16" s="1"/>
      <c r="E16" s="1"/>
      <c r="F16" s="1"/>
      <c r="G16" s="1"/>
      <c r="H16" s="1"/>
      <c r="I16" s="1"/>
      <c r="J16" s="1"/>
      <c r="K16" s="1"/>
      <c r="L16" s="1"/>
    </row>
    <row r="17" spans="1:12">
      <c r="A17" s="4" t="s">
        <v>45</v>
      </c>
      <c r="B17" s="1">
        <v>14071000</v>
      </c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>
      <c r="L18" s="1"/>
    </row>
    <row r="19" spans="1:12">
      <c r="A19" t="s">
        <v>1</v>
      </c>
      <c r="B19" s="15" t="s">
        <v>56</v>
      </c>
      <c r="C19" s="15" t="s">
        <v>57</v>
      </c>
      <c r="D19" s="15" t="s">
        <v>58</v>
      </c>
      <c r="E19" s="15" t="s">
        <v>59</v>
      </c>
      <c r="F19" s="15" t="s">
        <v>60</v>
      </c>
      <c r="G19" s="15" t="s">
        <v>61</v>
      </c>
      <c r="H19" s="15" t="s">
        <v>62</v>
      </c>
      <c r="I19" s="15" t="s">
        <v>63</v>
      </c>
      <c r="J19" s="15" t="s">
        <v>64</v>
      </c>
      <c r="K19" s="15" t="s">
        <v>55</v>
      </c>
    </row>
    <row r="20" spans="1:12">
      <c r="A20" s="4" t="s">
        <v>36</v>
      </c>
      <c r="B20" s="2">
        <f t="shared" ref="B20:J27" si="1">C8/B8</f>
        <v>1.0509308043554619</v>
      </c>
      <c r="C20" s="2">
        <f t="shared" si="1"/>
        <v>0.99739304812834229</v>
      </c>
      <c r="D20" s="2">
        <f t="shared" si="1"/>
        <v>0.99932980363246426</v>
      </c>
      <c r="E20" s="2">
        <f t="shared" si="1"/>
        <v>1.0010059687479043</v>
      </c>
      <c r="F20" s="2">
        <f t="shared" si="1"/>
        <v>0.9958461744606727</v>
      </c>
      <c r="G20" s="2">
        <f t="shared" si="1"/>
        <v>0.99973089343379984</v>
      </c>
      <c r="H20" s="2">
        <f t="shared" si="1"/>
        <v>0.9995962314939435</v>
      </c>
      <c r="I20" s="2">
        <f t="shared" si="1"/>
        <v>0.99973071226605625</v>
      </c>
      <c r="J20" s="2">
        <f t="shared" si="1"/>
        <v>0.9997979797979798</v>
      </c>
      <c r="K20" s="2"/>
      <c r="L20" s="15"/>
    </row>
    <row r="21" spans="1:12">
      <c r="A21" s="4" t="s">
        <v>37</v>
      </c>
      <c r="B21" s="2">
        <f t="shared" si="1"/>
        <v>1.0086609843277425</v>
      </c>
      <c r="C21" s="2">
        <f t="shared" si="1"/>
        <v>0.9978874199264004</v>
      </c>
      <c r="D21" s="2">
        <f t="shared" si="1"/>
        <v>0.99883903571672472</v>
      </c>
      <c r="E21" s="2">
        <f t="shared" si="1"/>
        <v>0.99965814303295497</v>
      </c>
      <c r="F21" s="2">
        <f t="shared" si="1"/>
        <v>0.9992476574789686</v>
      </c>
      <c r="G21" s="2">
        <f t="shared" si="1"/>
        <v>1</v>
      </c>
      <c r="H21" s="2">
        <f t="shared" si="1"/>
        <v>1.0000684462696783</v>
      </c>
      <c r="I21" s="2">
        <f t="shared" si="1"/>
        <v>1.0004106495106426</v>
      </c>
      <c r="J21" s="2"/>
      <c r="K21" s="2"/>
      <c r="L21" s="2"/>
    </row>
    <row r="22" spans="1:12">
      <c r="A22" s="4" t="s">
        <v>38</v>
      </c>
      <c r="B22" s="2">
        <f t="shared" si="1"/>
        <v>1.0368538214197378</v>
      </c>
      <c r="C22" s="2">
        <f t="shared" si="1"/>
        <v>0.99721692111959293</v>
      </c>
      <c r="D22" s="2">
        <f t="shared" si="1"/>
        <v>0.99920261542141775</v>
      </c>
      <c r="E22" s="2">
        <f t="shared" si="1"/>
        <v>0.99936158327348179</v>
      </c>
      <c r="F22" s="2">
        <f t="shared" si="1"/>
        <v>1</v>
      </c>
      <c r="G22" s="2">
        <f t="shared" si="1"/>
        <v>0.99896191008544277</v>
      </c>
      <c r="H22" s="2">
        <f t="shared" si="1"/>
        <v>0.99936051159072736</v>
      </c>
      <c r="I22" s="2"/>
      <c r="J22" s="2"/>
      <c r="K22" s="2"/>
      <c r="L22" s="2"/>
    </row>
    <row r="23" spans="1:12">
      <c r="A23" s="4" t="s">
        <v>39</v>
      </c>
      <c r="B23" s="2">
        <f t="shared" si="1"/>
        <v>0.99507512520868113</v>
      </c>
      <c r="C23" s="2">
        <f t="shared" si="1"/>
        <v>0.99672846237731738</v>
      </c>
      <c r="D23" s="2">
        <f t="shared" si="1"/>
        <v>0.99831678168658478</v>
      </c>
      <c r="E23" s="2">
        <f t="shared" si="1"/>
        <v>0.99932557747428763</v>
      </c>
      <c r="F23" s="2">
        <f t="shared" si="1"/>
        <v>0.99915640290197405</v>
      </c>
      <c r="G23" s="2">
        <f t="shared" si="1"/>
        <v>0.99974670719351566</v>
      </c>
      <c r="H23" s="2"/>
      <c r="I23" s="2"/>
      <c r="J23" s="2"/>
      <c r="K23" s="2"/>
      <c r="L23" s="2"/>
    </row>
    <row r="24" spans="1:12">
      <c r="A24" s="4" t="s">
        <v>40</v>
      </c>
      <c r="B24" s="2">
        <f t="shared" si="1"/>
        <v>1.0496321900203847</v>
      </c>
      <c r="C24" s="2">
        <f t="shared" si="1"/>
        <v>0.99679135354217685</v>
      </c>
      <c r="D24" s="2">
        <f t="shared" si="1"/>
        <v>0.99864464210080472</v>
      </c>
      <c r="E24" s="2">
        <f t="shared" si="1"/>
        <v>0.99855797777589284</v>
      </c>
      <c r="F24" s="2">
        <f t="shared" si="1"/>
        <v>0.99983010533469252</v>
      </c>
      <c r="G24" s="2"/>
      <c r="H24" s="2"/>
      <c r="I24" s="2"/>
      <c r="J24" s="2"/>
      <c r="K24" s="2"/>
      <c r="L24" s="2"/>
    </row>
    <row r="25" spans="1:12">
      <c r="A25" s="4" t="s">
        <v>41</v>
      </c>
      <c r="B25" s="2">
        <f t="shared" si="1"/>
        <v>0.99238302502720344</v>
      </c>
      <c r="C25" s="2">
        <f t="shared" si="1"/>
        <v>0.99696356275303644</v>
      </c>
      <c r="D25" s="2">
        <f t="shared" si="1"/>
        <v>0.9959390862944163</v>
      </c>
      <c r="E25" s="2">
        <f t="shared" si="1"/>
        <v>0.9989806320081549</v>
      </c>
      <c r="F25" s="2"/>
      <c r="G25" s="2"/>
      <c r="H25" s="2"/>
      <c r="I25" s="2"/>
      <c r="J25" s="2"/>
      <c r="K25" s="2"/>
      <c r="L25" s="2"/>
    </row>
    <row r="26" spans="1:12">
      <c r="A26" s="4" t="s">
        <v>42</v>
      </c>
      <c r="B26" s="2">
        <f t="shared" si="1"/>
        <v>1.0207150283931856</v>
      </c>
      <c r="C26" s="2">
        <f t="shared" si="1"/>
        <v>0.99561197304497728</v>
      </c>
      <c r="D26" s="2">
        <f t="shared" si="1"/>
        <v>0.99929167322524792</v>
      </c>
      <c r="E26" s="2"/>
      <c r="F26" s="2"/>
      <c r="G26" s="2"/>
      <c r="H26" s="2"/>
      <c r="I26" s="2"/>
      <c r="J26" s="2"/>
      <c r="K26" s="2"/>
      <c r="L26" s="2"/>
    </row>
    <row r="27" spans="1:12">
      <c r="A27" s="4" t="s">
        <v>43</v>
      </c>
      <c r="B27" s="2">
        <f t="shared" si="1"/>
        <v>0.98808094666438007</v>
      </c>
      <c r="C27" s="2">
        <f t="shared" si="1"/>
        <v>0.99730972836934828</v>
      </c>
      <c r="D27" s="2"/>
      <c r="E27" s="2"/>
      <c r="F27" s="2"/>
      <c r="G27" s="2"/>
      <c r="H27" s="2"/>
      <c r="I27" s="2"/>
      <c r="J27" s="2"/>
      <c r="K27" s="2"/>
      <c r="L27" s="2"/>
    </row>
    <row r="28" spans="1:12">
      <c r="A28" s="4" t="s">
        <v>44</v>
      </c>
      <c r="B28" s="2">
        <f>C16/B16</f>
        <v>1.0163675179884557</v>
      </c>
      <c r="C28" s="2"/>
      <c r="D28" s="2"/>
      <c r="E28" s="2"/>
      <c r="F28" s="2"/>
      <c r="G28" s="2"/>
      <c r="H28" s="2"/>
      <c r="I28" s="2"/>
      <c r="J28" s="2"/>
      <c r="K28" s="2"/>
      <c r="L28" s="2"/>
    </row>
    <row r="29" spans="1:12">
      <c r="A29" s="4"/>
      <c r="B29" s="1"/>
      <c r="C29" s="1"/>
      <c r="D29" s="1"/>
      <c r="E29" s="1"/>
      <c r="F29" s="1"/>
      <c r="G29" s="1"/>
      <c r="H29" s="1"/>
      <c r="I29" s="1"/>
      <c r="J29" s="1"/>
      <c r="K29" s="1"/>
      <c r="L29" s="2"/>
    </row>
    <row r="30" spans="1:12">
      <c r="A30" t="s">
        <v>2</v>
      </c>
      <c r="L30" s="2"/>
    </row>
    <row r="31" spans="1:12">
      <c r="A31" s="4" t="s">
        <v>3</v>
      </c>
      <c r="B31" s="3">
        <f>AVERAGE(B24:B28)</f>
        <v>1.0134357416187219</v>
      </c>
      <c r="C31" s="3">
        <f>AVERAGE(C23:C27)</f>
        <v>0.99668101601737136</v>
      </c>
      <c r="D31" s="3">
        <f>AVERAGE(D22:D26)</f>
        <v>0.99827895974569425</v>
      </c>
      <c r="E31" s="3">
        <f>AVERAGE(E21:E25)</f>
        <v>0.99917678271295451</v>
      </c>
      <c r="F31" s="3">
        <f>AVERAGE(F20:F24)</f>
        <v>0.99881606803526157</v>
      </c>
      <c r="G31" s="3">
        <f>AVERAGE(G20:G23)</f>
        <v>0.99960987767818954</v>
      </c>
      <c r="H31" s="3">
        <f>AVERAGE(H20:H22)</f>
        <v>0.99967506311811638</v>
      </c>
      <c r="I31" s="3">
        <f>AVERAGE(I20:I21)</f>
        <v>1.0000706808883495</v>
      </c>
      <c r="J31" s="3">
        <f>AVERAGE(J20)</f>
        <v>0.9997979797979798</v>
      </c>
      <c r="K31" s="3"/>
      <c r="L31" s="1"/>
    </row>
    <row r="32" spans="1:12">
      <c r="A32" s="4" t="s">
        <v>4</v>
      </c>
      <c r="B32" s="3">
        <f>AVERAGE(B26:B28)</f>
        <v>1.0083878310153402</v>
      </c>
      <c r="C32" s="3">
        <f>AVERAGE(C25:C27)</f>
        <v>0.99662842138912067</v>
      </c>
      <c r="D32" s="3">
        <f>AVERAGE(D24:D26)</f>
        <v>0.99795846720682302</v>
      </c>
      <c r="E32" s="3">
        <f>AVERAGE(E23:E25)</f>
        <v>0.99895472908611183</v>
      </c>
      <c r="F32" s="3">
        <f>AVERAGE(F22:F24)</f>
        <v>0.99966216941222219</v>
      </c>
      <c r="G32" s="3">
        <f>AVERAGE(G21:G23)</f>
        <v>0.99956953909298607</v>
      </c>
      <c r="H32" s="3">
        <f>AVERAGE(H20:H22)</f>
        <v>0.99967506311811638</v>
      </c>
      <c r="I32" s="3">
        <f>I31</f>
        <v>1.0000706808883495</v>
      </c>
      <c r="J32" s="3">
        <f>J31</f>
        <v>0.9997979797979798</v>
      </c>
      <c r="K32" s="3"/>
    </row>
    <row r="33" spans="1:12">
      <c r="A33" s="4" t="s">
        <v>22</v>
      </c>
      <c r="B33" s="3">
        <f>AVERAGE(B27:B28)</f>
        <v>1.0022242323264179</v>
      </c>
      <c r="C33" s="3">
        <f>AVERAGE(C26:C27)</f>
        <v>0.99646085070716284</v>
      </c>
      <c r="D33" s="3">
        <f>AVERAGE(D25:D26)</f>
        <v>0.99761537975983217</v>
      </c>
      <c r="E33" s="3">
        <f>AVERAGE(E24:E25)</f>
        <v>0.99876930489202387</v>
      </c>
      <c r="F33" s="3">
        <f>AVERAGE(F23:F24)</f>
        <v>0.99949325411833323</v>
      </c>
      <c r="G33" s="3">
        <f>AVERAGE(G22:G23)</f>
        <v>0.99935430863947916</v>
      </c>
      <c r="H33" s="3">
        <f>AVERAGE(H21:H22)</f>
        <v>0.99971447893020282</v>
      </c>
      <c r="I33" s="3">
        <f>AVERAGE(I20:I21)</f>
        <v>1.0000706808883495</v>
      </c>
      <c r="J33" s="3">
        <f>J31</f>
        <v>0.9997979797979798</v>
      </c>
      <c r="K33" s="3"/>
      <c r="L33" s="3"/>
    </row>
    <row r="34" spans="1:12">
      <c r="L34" s="3"/>
    </row>
    <row r="35" spans="1:12">
      <c r="A35" t="s">
        <v>5</v>
      </c>
      <c r="L35" s="3"/>
    </row>
    <row r="36" spans="1:12">
      <c r="A36" s="4" t="s">
        <v>6</v>
      </c>
      <c r="B36" s="3">
        <f>(1/3)*(SUM(B24:B28)-MIN(B24:B28)-MAX(B24:B28))</f>
        <v>1.0098218571362814</v>
      </c>
      <c r="C36" s="3">
        <f>(1/3)*(SUM(C23:C27)-MIN(C23:C27)-MAX(C23:C27))</f>
        <v>0.99682779289084356</v>
      </c>
      <c r="D36" s="3">
        <f>(1/3)*(SUM(D22:D26)-MIN(D22:D26)-MAX(D22:D26))</f>
        <v>0.99872134640293564</v>
      </c>
      <c r="E36" s="3">
        <f>(1/3)*(SUM(E21:E25)-MIN(E21:E25)-MAX(E21:E25))</f>
        <v>0.99922259758530807</v>
      </c>
      <c r="F36" s="3">
        <f>(1/3)*(SUM(F20:F24)-MIN(F20:F24)-MAX(F20:F24))</f>
        <v>0.99941138857187828</v>
      </c>
      <c r="G36" s="3">
        <f>(1/2)*(SUM(G20:G23)-MIN(G20:G23)-MAX(G20:G23))</f>
        <v>0.9997388003136578</v>
      </c>
      <c r="H36" s="3">
        <f>(1/1)*(SUM(H20:H22)-MIN(H20:H22)-MAX(H20:H22))</f>
        <v>0.9995962314939435</v>
      </c>
      <c r="I36" s="3">
        <f>I31</f>
        <v>1.0000706808883495</v>
      </c>
      <c r="J36" s="3">
        <f>J31</f>
        <v>0.9997979797979798</v>
      </c>
      <c r="K36" s="3"/>
    </row>
    <row r="38" spans="1:12">
      <c r="A38" t="s">
        <v>7</v>
      </c>
      <c r="L38" s="3"/>
    </row>
    <row r="39" spans="1:12">
      <c r="A39" s="4" t="s">
        <v>3</v>
      </c>
      <c r="B39" s="2">
        <f>SUM(C12:C16)/SUM(B12:B16)</f>
        <v>1.0132573864961194</v>
      </c>
      <c r="C39" s="2">
        <f>SUM(D11:D15)/SUM(C11:C15)</f>
        <v>0.99666138051915532</v>
      </c>
      <c r="D39" s="2">
        <f>SUM(E10:E14)/SUM(D10:D14)</f>
        <v>0.99830463837771999</v>
      </c>
      <c r="E39" s="2">
        <f>SUM(F9:F13)/SUM(E9:E13)</f>
        <v>0.99920102269095556</v>
      </c>
      <c r="F39" s="2">
        <f>SUM(G9:G13)/SUM(F9:F13)</f>
        <v>0.81156245002398852</v>
      </c>
      <c r="G39" s="2">
        <f>SUM(H8:H11)/SUM(G8:G11)</f>
        <v>0.99962853587414791</v>
      </c>
      <c r="H39" s="2">
        <f>SUM(I8:I10)/SUM(H8:H10)</f>
        <v>0.9996903287279657</v>
      </c>
      <c r="I39" s="2">
        <f>SUM(J8:J9)/SUM(I8:I9)</f>
        <v>1.0000678771423723</v>
      </c>
      <c r="J39" s="2">
        <f>SUM(K8)/SUM(J8)</f>
        <v>0.9997979797979798</v>
      </c>
      <c r="K39" s="2"/>
    </row>
    <row r="40" spans="1:12">
      <c r="A40" s="4" t="s">
        <v>4</v>
      </c>
      <c r="B40" s="2">
        <f>SUM(C14:C16)/SUM(B14:B16)</f>
        <v>1.0088829729436053</v>
      </c>
      <c r="C40" s="2">
        <f>SUM(D13:D15)/SUM(C13:C15)</f>
        <v>0.9965966630696439</v>
      </c>
      <c r="D40" s="2">
        <f>SUM(E12:E14)/SUM(D12:D14)</f>
        <v>0.99799069665024365</v>
      </c>
      <c r="E40" s="2">
        <f>SUM(F11:F13)/SUM(E11:E13)</f>
        <v>0.99895548090223862</v>
      </c>
      <c r="F40" s="2">
        <f>SUM(G10:G12)/SUM(F10:F12)</f>
        <v>0.99966804060969872</v>
      </c>
      <c r="G40" s="2">
        <f>SUM(H9:H11)/SUM(G9:G11)</f>
        <v>0.9995895015008851</v>
      </c>
      <c r="H40" s="2">
        <f>SUM(I8:I10)/SUM(H8:H10)</f>
        <v>0.9996903287279657</v>
      </c>
      <c r="I40" s="2">
        <f>SUM(J8:J9)/SUM(I8:I9)</f>
        <v>1.0000678771423723</v>
      </c>
      <c r="J40" s="2">
        <f>SUM(K8)/SUM(J8)</f>
        <v>0.9997979797979798</v>
      </c>
      <c r="K40" s="2"/>
    </row>
    <row r="41" spans="1:12">
      <c r="L41" s="2"/>
    </row>
    <row r="42" spans="1:12">
      <c r="A42" t="s">
        <v>8</v>
      </c>
      <c r="L42" s="2"/>
    </row>
    <row r="43" spans="1:12">
      <c r="A43" s="4" t="s">
        <v>9</v>
      </c>
      <c r="B43" s="3">
        <f>PRODUCT(B25:B28)^0.25</f>
        <v>1.0042845568134682</v>
      </c>
      <c r="C43" s="3">
        <f>PRODUCT(C24:C27)^0.25</f>
        <v>0.99666894997474653</v>
      </c>
      <c r="D43" s="3">
        <f>PRODUCT(D23:D26)^0.25</f>
        <v>0.99804724084295682</v>
      </c>
      <c r="E43" s="3">
        <f>PRODUCT(E22:E25)^0.25</f>
        <v>0.99905639010716396</v>
      </c>
      <c r="F43" s="3">
        <f>PRODUCT(F21:F24)^0.25</f>
        <v>0.99955847552612198</v>
      </c>
      <c r="G43" s="3">
        <f>PRODUCT(G20:G23)^0.25</f>
        <v>0.99960980195319926</v>
      </c>
      <c r="H43" s="3">
        <f>PRODUCT(H20:H22)^(1/3)</f>
        <v>0.99967501978938933</v>
      </c>
      <c r="I43" s="3">
        <f>PRODUCT(I20:I21)^(1/2)</f>
        <v>1.0000706231031</v>
      </c>
      <c r="J43" s="3">
        <f>PRODUCT(J20)^(1/1)</f>
        <v>0.9997979797979798</v>
      </c>
      <c r="K43" s="3"/>
    </row>
    <row r="45" spans="1:12">
      <c r="B45" s="17" t="str">
        <f>B19</f>
        <v>6-12</v>
      </c>
      <c r="C45" s="17" t="str">
        <f t="shared" ref="C45:K45" si="2">C19</f>
        <v>12-18</v>
      </c>
      <c r="D45" s="17" t="str">
        <f t="shared" si="2"/>
        <v>18-24</v>
      </c>
      <c r="E45" s="17" t="str">
        <f t="shared" si="2"/>
        <v>24-30</v>
      </c>
      <c r="F45" s="17" t="str">
        <f t="shared" si="2"/>
        <v>30-36</v>
      </c>
      <c r="G45" s="17" t="str">
        <f t="shared" si="2"/>
        <v>36-42</v>
      </c>
      <c r="H45" s="17" t="str">
        <f t="shared" si="2"/>
        <v>42-48</v>
      </c>
      <c r="I45" s="17" t="str">
        <f t="shared" si="2"/>
        <v>48-54</v>
      </c>
      <c r="J45" s="17" t="str">
        <f t="shared" si="2"/>
        <v>54-60</v>
      </c>
      <c r="K45" s="17" t="str">
        <f t="shared" si="2"/>
        <v>60-Ult</v>
      </c>
      <c r="L45" s="3"/>
    </row>
    <row r="46" spans="1:12">
      <c r="A46" t="s">
        <v>10</v>
      </c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2">
      <c r="A47" t="s">
        <v>11</v>
      </c>
      <c r="B47" s="2">
        <f>B32</f>
        <v>1.0083878310153402</v>
      </c>
      <c r="C47" s="2">
        <f t="shared" ref="C47:J47" si="3">C32</f>
        <v>0.99662842138912067</v>
      </c>
      <c r="D47" s="2">
        <f t="shared" si="3"/>
        <v>0.99795846720682302</v>
      </c>
      <c r="E47" s="2">
        <f t="shared" si="3"/>
        <v>0.99895472908611183</v>
      </c>
      <c r="F47" s="2">
        <f t="shared" si="3"/>
        <v>0.99966216941222219</v>
      </c>
      <c r="G47" s="2">
        <f t="shared" si="3"/>
        <v>0.99956953909298607</v>
      </c>
      <c r="H47" s="2">
        <f t="shared" si="3"/>
        <v>0.99967506311811638</v>
      </c>
      <c r="I47" s="2">
        <f t="shared" si="3"/>
        <v>1.0000706808883495</v>
      </c>
      <c r="J47" s="2">
        <f t="shared" si="3"/>
        <v>0.9997979797979798</v>
      </c>
      <c r="K47" s="2">
        <v>1</v>
      </c>
      <c r="L47" s="15"/>
    </row>
    <row r="48" spans="1:12">
      <c r="A48" t="s">
        <v>12</v>
      </c>
      <c r="B48" s="2">
        <f t="shared" ref="B48:J48" si="4">C48*B47</f>
        <v>1.0006615618825077</v>
      </c>
      <c r="C48" s="2">
        <f t="shared" si="4"/>
        <v>0.99233799844147952</v>
      </c>
      <c r="D48" s="2">
        <f t="shared" si="4"/>
        <v>0.99569506261755902</v>
      </c>
      <c r="E48" s="2">
        <f t="shared" si="4"/>
        <v>0.99773196514319973</v>
      </c>
      <c r="F48" s="2">
        <f t="shared" si="4"/>
        <v>0.99877595660012464</v>
      </c>
      <c r="G48" s="2">
        <f t="shared" si="4"/>
        <v>0.99911348769692998</v>
      </c>
      <c r="H48" s="2">
        <f t="shared" si="4"/>
        <v>0.99954375220710512</v>
      </c>
      <c r="I48" s="2">
        <f t="shared" si="4"/>
        <v>0.99986864640736195</v>
      </c>
      <c r="J48" s="2">
        <f t="shared" si="4"/>
        <v>0.9997979797979798</v>
      </c>
      <c r="K48" s="2">
        <f>K47</f>
        <v>1</v>
      </c>
      <c r="L48" s="2"/>
    </row>
    <row r="49" spans="1:12">
      <c r="A49" t="s">
        <v>13</v>
      </c>
      <c r="B49" s="5">
        <f>1/B48</f>
        <v>0.9993388754922663</v>
      </c>
      <c r="C49" s="5">
        <f t="shared" ref="C49:K49" si="5">1/C48</f>
        <v>1.0077211611069556</v>
      </c>
      <c r="D49" s="5">
        <f t="shared" si="5"/>
        <v>1.004323549994437</v>
      </c>
      <c r="E49" s="5">
        <f t="shared" si="5"/>
        <v>1.0022731905321633</v>
      </c>
      <c r="F49" s="5">
        <f t="shared" si="5"/>
        <v>1.0012255435183302</v>
      </c>
      <c r="G49" s="5">
        <f t="shared" si="5"/>
        <v>1.0008872989044653</v>
      </c>
      <c r="H49" s="5">
        <f t="shared" si="5"/>
        <v>1.0004564560499603</v>
      </c>
      <c r="I49" s="5">
        <f t="shared" si="5"/>
        <v>1.000131370848671</v>
      </c>
      <c r="J49" s="5">
        <f t="shared" si="5"/>
        <v>1.0002020610224287</v>
      </c>
      <c r="K49" s="5">
        <f t="shared" si="5"/>
        <v>1</v>
      </c>
      <c r="L49" s="2"/>
    </row>
    <row r="50" spans="1:12"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</row>
    <row r="51" spans="1:12"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51"/>
  <sheetViews>
    <sheetView zoomScale="85" zoomScaleNormal="85" workbookViewId="0">
      <selection activeCell="A3" sqref="A3"/>
    </sheetView>
  </sheetViews>
  <sheetFormatPr defaultRowHeight="15"/>
  <cols>
    <col min="1" max="1" width="12.42578125" customWidth="1"/>
    <col min="2" max="11" width="11.5703125" bestFit="1" customWidth="1"/>
  </cols>
  <sheetData>
    <row r="1" spans="1:13">
      <c r="A1" t="s">
        <v>46</v>
      </c>
    </row>
    <row r="2" spans="1:13">
      <c r="A2" t="s">
        <v>69</v>
      </c>
    </row>
    <row r="3" spans="1:13">
      <c r="A3" t="s">
        <v>52</v>
      </c>
    </row>
    <row r="5" spans="1:13">
      <c r="A5" t="s">
        <v>0</v>
      </c>
    </row>
    <row r="7" spans="1:13">
      <c r="A7" t="s">
        <v>1</v>
      </c>
      <c r="B7" s="15">
        <v>6</v>
      </c>
      <c r="C7" s="15">
        <f>B7+6</f>
        <v>12</v>
      </c>
      <c r="D7" s="15">
        <f t="shared" ref="D7:K7" si="0">C7+6</f>
        <v>18</v>
      </c>
      <c r="E7" s="15">
        <f t="shared" si="0"/>
        <v>24</v>
      </c>
      <c r="F7" s="15">
        <f t="shared" si="0"/>
        <v>30</v>
      </c>
      <c r="G7" s="15">
        <f t="shared" si="0"/>
        <v>36</v>
      </c>
      <c r="H7" s="15">
        <f t="shared" si="0"/>
        <v>42</v>
      </c>
      <c r="I7" s="15">
        <f t="shared" si="0"/>
        <v>48</v>
      </c>
      <c r="J7" s="15">
        <f t="shared" si="0"/>
        <v>54</v>
      </c>
      <c r="K7" s="15">
        <f t="shared" si="0"/>
        <v>60</v>
      </c>
      <c r="L7" s="15"/>
      <c r="M7" s="15"/>
    </row>
    <row r="8" spans="1:13">
      <c r="A8" s="4" t="s">
        <v>36</v>
      </c>
      <c r="B8" s="1">
        <f>'Reported Claims'!B8/'Reported Counts'!B8</f>
        <v>4003.093363329584</v>
      </c>
      <c r="C8" s="1">
        <f>'Reported Claims'!C8/'Reported Counts'!C8</f>
        <v>4514.1822570911281</v>
      </c>
      <c r="D8" s="1">
        <f>'Reported Claims'!D8/'Reported Counts'!D8</f>
        <v>4520.1454104816721</v>
      </c>
      <c r="E8" s="1">
        <f>'Reported Claims'!E8/'Reported Counts'!E8</f>
        <v>4519.8545013640496</v>
      </c>
      <c r="F8" s="1">
        <f>'Reported Claims'!F8/'Reported Counts'!F8</f>
        <v>4529.8937784522004</v>
      </c>
      <c r="G8" s="1">
        <f>'Reported Claims'!G8/'Reported Counts'!G8</f>
        <v>4512.4468731026109</v>
      </c>
      <c r="H8" s="1">
        <f>'Reported Claims'!H8/'Reported Counts'!H8</f>
        <v>4512.60249013058</v>
      </c>
      <c r="I8" s="1">
        <f>'Reported Claims'!I8/'Reported Counts'!I8</f>
        <v>4510.7804433647134</v>
      </c>
      <c r="J8" s="1">
        <f>'Reported Claims'!J8/'Reported Counts'!J8</f>
        <v>4509.565745520802</v>
      </c>
      <c r="K8" s="1">
        <f>'Reported Claims'!K8/'Reported Counts'!K8</f>
        <v>4510.0243013365734</v>
      </c>
      <c r="L8" s="1"/>
    </row>
    <row r="9" spans="1:13">
      <c r="A9" s="4" t="s">
        <v>37</v>
      </c>
      <c r="B9" s="1">
        <f>'Reported Claims'!B9/'Reported Counts'!B9</f>
        <v>4166.0939289805265</v>
      </c>
      <c r="C9" s="1">
        <f>'Reported Claims'!C9/'Reported Counts'!C9</f>
        <v>4498.4671980380135</v>
      </c>
      <c r="D9" s="1">
        <f>'Reported Claims'!D9/'Reported Counts'!D9</f>
        <v>4505.5384615384619</v>
      </c>
      <c r="E9" s="1">
        <f>'Reported Claims'!E9/'Reported Counts'!E9</f>
        <v>4504.4656606097933</v>
      </c>
      <c r="F9" s="1">
        <f>'Reported Claims'!F9/'Reported Counts'!F9</f>
        <v>4502.9257776408995</v>
      </c>
      <c r="G9" s="1">
        <f>'Reported Claims'!G9/'Reported Counts'!G9</f>
        <v>4502.3112480739601</v>
      </c>
      <c r="H9" s="1">
        <f>'Reported Claims'!H9/'Reported Counts'!H9</f>
        <v>4502.3112480739601</v>
      </c>
      <c r="I9" s="1">
        <f>'Reported Claims'!I9/'Reported Counts'!I9</f>
        <v>4504.0073982737358</v>
      </c>
      <c r="J9" s="1">
        <f>'Reported Claims'!J9/'Reported Counts'!J9</f>
        <v>4507.246376811594</v>
      </c>
      <c r="K9" s="1"/>
      <c r="L9" s="1"/>
    </row>
    <row r="10" spans="1:13">
      <c r="A10" s="4" t="s">
        <v>38</v>
      </c>
      <c r="B10" s="1">
        <f>'Reported Claims'!B10/'Reported Counts'!B10</f>
        <v>4070.1342281879197</v>
      </c>
      <c r="C10" s="1">
        <f>'Reported Claims'!C10/'Reported Counts'!C10</f>
        <v>4637.1681415929206</v>
      </c>
      <c r="D10" s="1">
        <f>'Reported Claims'!D10/'Reported Counts'!D10</f>
        <v>4637.9437869822486</v>
      </c>
      <c r="E10" s="1">
        <f>'Reported Claims'!E10/'Reported Counts'!E10</f>
        <v>4637.6757957068839</v>
      </c>
      <c r="F10" s="1">
        <f>'Reported Claims'!F10/'Reported Counts'!F10</f>
        <v>4638.1481481481478</v>
      </c>
      <c r="G10" s="1">
        <f>'Reported Claims'!G10/'Reported Counts'!G10</f>
        <v>4638.1481481481478</v>
      </c>
      <c r="H10" s="1">
        <f>'Reported Claims'!H10/'Reported Counts'!H10</f>
        <v>4635.0500185253795</v>
      </c>
      <c r="I10" s="1">
        <f>'Reported Claims'!I10/'Reported Counts'!I10</f>
        <v>4632.0859577621341</v>
      </c>
      <c r="J10" s="1"/>
      <c r="K10" s="1"/>
      <c r="L10" s="1"/>
    </row>
    <row r="11" spans="1:13">
      <c r="A11" s="4" t="s">
        <v>39</v>
      </c>
      <c r="B11" s="1">
        <f>'Reported Claims'!B11/'Reported Counts'!B11</f>
        <v>4136.7403314917128</v>
      </c>
      <c r="C11" s="1">
        <f>'Reported Claims'!C11/'Reported Counts'!C11</f>
        <v>4306.7196531791906</v>
      </c>
      <c r="D11" s="1">
        <f>'Reported Claims'!D11/'Reported Counts'!D11</f>
        <v>4303.5132198478814</v>
      </c>
      <c r="E11" s="1">
        <f>'Reported Claims'!E11/'Reported Counts'!E11</f>
        <v>4300.9427121102244</v>
      </c>
      <c r="F11" s="1">
        <f>'Reported Claims'!F11/'Reported Counts'!F11</f>
        <v>4298.0420594633797</v>
      </c>
      <c r="G11" s="1">
        <f>'Reported Claims'!G11/'Reported Counts'!G11</f>
        <v>4294.4162436548222</v>
      </c>
      <c r="H11" s="1">
        <f>'Reported Claims'!H11/'Reported Counts'!H11</f>
        <v>4294.8857453754081</v>
      </c>
      <c r="I11" s="1"/>
      <c r="J11" s="1"/>
      <c r="K11" s="1"/>
      <c r="L11" s="1"/>
    </row>
    <row r="12" spans="1:13">
      <c r="A12" s="4" t="s">
        <v>40</v>
      </c>
      <c r="B12" s="1">
        <f>'Reported Claims'!B12/'Reported Counts'!B12</f>
        <v>4009.5948827292109</v>
      </c>
      <c r="C12" s="1">
        <f>'Reported Claims'!C12/'Reported Counts'!C12</f>
        <v>4469.0566037735853</v>
      </c>
      <c r="D12" s="1">
        <f>'Reported Claims'!D12/'Reported Counts'!D12</f>
        <v>4471.590909090909</v>
      </c>
      <c r="E12" s="1">
        <f>'Reported Claims'!E12/'Reported Counts'!E12</f>
        <v>4467.2224327396743</v>
      </c>
      <c r="F12" s="1">
        <f>'Reported Claims'!F12/'Reported Counts'!F12</f>
        <v>4462.4715693707358</v>
      </c>
      <c r="G12" s="1">
        <f>'Reported Claims'!G12/'Reported Counts'!G12</f>
        <v>4465.0986342943852</v>
      </c>
      <c r="H12" s="1"/>
      <c r="I12" s="1"/>
      <c r="J12" s="1"/>
      <c r="K12" s="1"/>
      <c r="L12" s="1"/>
    </row>
    <row r="13" spans="1:13">
      <c r="A13" s="4" t="s">
        <v>41</v>
      </c>
      <c r="B13" s="1">
        <f>'Reported Claims'!B13/'Reported Counts'!B13</f>
        <v>4254.6296296296296</v>
      </c>
      <c r="C13" s="1">
        <f>'Reported Claims'!C13/'Reported Counts'!C13</f>
        <v>4371.6814159292035</v>
      </c>
      <c r="D13" s="1">
        <f>'Reported Claims'!D13/'Reported Counts'!D13</f>
        <v>4371.3017751479292</v>
      </c>
      <c r="E13" s="1">
        <f>'Reported Claims'!E13/'Reported Counts'!E13</f>
        <v>4358.3857830433171</v>
      </c>
      <c r="F13" s="1">
        <f>'Reported Claims'!F13/'Reported Counts'!F13</f>
        <v>4355.5555555555557</v>
      </c>
      <c r="G13" s="1"/>
      <c r="H13" s="1"/>
      <c r="I13" s="1"/>
      <c r="J13" s="1"/>
      <c r="K13" s="1"/>
      <c r="L13" s="1"/>
    </row>
    <row r="14" spans="1:13">
      <c r="A14" s="4" t="s">
        <v>42</v>
      </c>
      <c r="B14" s="1">
        <f>'Reported Claims'!B14/'Reported Counts'!B14</f>
        <v>4466.9524830296532</v>
      </c>
      <c r="C14" s="1">
        <f>'Reported Claims'!C14/'Reported Counts'!C14</f>
        <v>4770.8411214953267</v>
      </c>
      <c r="D14" s="1">
        <f>'Reported Claims'!D14/'Reported Counts'!D14</f>
        <v>4758.8014981273409</v>
      </c>
      <c r="E14" s="1">
        <f>'Reported Claims'!E14/'Reported Counts'!E14</f>
        <v>4758.9955022488757</v>
      </c>
      <c r="F14" s="1"/>
      <c r="G14" s="1"/>
      <c r="H14" s="1"/>
      <c r="I14" s="1"/>
      <c r="J14" s="1"/>
      <c r="K14" s="1"/>
      <c r="L14" s="1"/>
    </row>
    <row r="15" spans="1:13">
      <c r="A15" s="4" t="s">
        <v>43</v>
      </c>
      <c r="B15" s="1">
        <f>'Reported Claims'!B15/'Reported Counts'!B15</f>
        <v>4523.6617532971295</v>
      </c>
      <c r="C15" s="1">
        <f>'Reported Claims'!C15/'Reported Counts'!C15</f>
        <v>4549.1512041058031</v>
      </c>
      <c r="D15" s="1">
        <f>'Reported Claims'!D15/'Reported Counts'!D15</f>
        <v>4544.088572558323</v>
      </c>
      <c r="E15" s="1"/>
      <c r="F15" s="1"/>
      <c r="G15" s="1"/>
      <c r="H15" s="1"/>
      <c r="I15" s="1"/>
      <c r="J15" s="1"/>
      <c r="K15" s="1"/>
      <c r="L15" s="1"/>
    </row>
    <row r="16" spans="1:13">
      <c r="A16" s="4" t="s">
        <v>44</v>
      </c>
      <c r="B16" s="1">
        <f>'Reported Claims'!B16/'Reported Counts'!B16</f>
        <v>4531.3507703332143</v>
      </c>
      <c r="C16" s="1">
        <f>'Reported Claims'!C16/'Reported Counts'!C16</f>
        <v>4627.069834413247</v>
      </c>
      <c r="D16" s="1"/>
      <c r="E16" s="1"/>
      <c r="F16" s="1"/>
      <c r="G16" s="1"/>
      <c r="H16" s="1"/>
      <c r="I16" s="1"/>
      <c r="J16" s="1"/>
      <c r="K16" s="1"/>
      <c r="L16" s="1"/>
    </row>
    <row r="17" spans="1:12">
      <c r="A17" s="4" t="s">
        <v>45</v>
      </c>
      <c r="B17" s="1">
        <f>'Reported Claims'!B17/'Reported Counts'!B17</f>
        <v>4482.6377827333545</v>
      </c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>
      <c r="L18" s="1"/>
    </row>
    <row r="19" spans="1:12">
      <c r="A19" t="s">
        <v>1</v>
      </c>
      <c r="B19" s="15" t="s">
        <v>56</v>
      </c>
      <c r="C19" s="15" t="s">
        <v>57</v>
      </c>
      <c r="D19" s="15" t="s">
        <v>58</v>
      </c>
      <c r="E19" s="15" t="s">
        <v>59</v>
      </c>
      <c r="F19" s="15" t="s">
        <v>60</v>
      </c>
      <c r="G19" s="15" t="s">
        <v>61</v>
      </c>
      <c r="H19" s="15" t="s">
        <v>62</v>
      </c>
      <c r="I19" s="15" t="s">
        <v>63</v>
      </c>
      <c r="J19" s="15" t="s">
        <v>64</v>
      </c>
      <c r="K19" s="15" t="s">
        <v>55</v>
      </c>
    </row>
    <row r="20" spans="1:12">
      <c r="A20" s="4" t="s">
        <v>36</v>
      </c>
      <c r="B20" s="2">
        <f t="shared" ref="B20:J27" si="1">C8/B8</f>
        <v>1.1276734883186548</v>
      </c>
      <c r="C20" s="2">
        <f t="shared" si="1"/>
        <v>1.0013209819743492</v>
      </c>
      <c r="D20" s="2">
        <f t="shared" si="1"/>
        <v>0.99993564164618509</v>
      </c>
      <c r="E20" s="2">
        <f t="shared" si="1"/>
        <v>1.0022211505005574</v>
      </c>
      <c r="F20" s="2">
        <f t="shared" si="1"/>
        <v>0.99614849570367836</v>
      </c>
      <c r="G20" s="2">
        <f t="shared" si="1"/>
        <v>1.0000344861739863</v>
      </c>
      <c r="H20" s="2">
        <f t="shared" si="1"/>
        <v>0.99959623149394361</v>
      </c>
      <c r="I20" s="2">
        <f t="shared" si="1"/>
        <v>0.99973071226605625</v>
      </c>
      <c r="J20" s="2">
        <f t="shared" si="1"/>
        <v>1.000101685138137</v>
      </c>
      <c r="K20" s="2"/>
      <c r="L20" s="15"/>
    </row>
    <row r="21" spans="1:12">
      <c r="A21" s="4" t="s">
        <v>37</v>
      </c>
      <c r="B21" s="2">
        <f t="shared" si="1"/>
        <v>1.079780550972556</v>
      </c>
      <c r="C21" s="2">
        <f t="shared" si="1"/>
        <v>1.0015719273230519</v>
      </c>
      <c r="D21" s="2">
        <f t="shared" si="1"/>
        <v>0.99976189284858474</v>
      </c>
      <c r="E21" s="2">
        <f t="shared" si="1"/>
        <v>0.99965814303295508</v>
      </c>
      <c r="F21" s="2">
        <f t="shared" si="1"/>
        <v>0.99986352660530387</v>
      </c>
      <c r="G21" s="2">
        <f t="shared" si="1"/>
        <v>1</v>
      </c>
      <c r="H21" s="2">
        <f t="shared" si="1"/>
        <v>1.0003767287746934</v>
      </c>
      <c r="I21" s="2">
        <f t="shared" si="1"/>
        <v>1.0007191325971401</v>
      </c>
      <c r="J21" s="2"/>
      <c r="K21" s="2"/>
      <c r="L21" s="2"/>
    </row>
    <row r="22" spans="1:12">
      <c r="A22" s="4" t="s">
        <v>38</v>
      </c>
      <c r="B22" s="2">
        <f t="shared" si="1"/>
        <v>1.1393157772237532</v>
      </c>
      <c r="C22" s="2">
        <f t="shared" si="1"/>
        <v>1.000167267040065</v>
      </c>
      <c r="D22" s="2">
        <f t="shared" si="1"/>
        <v>0.99994221765340996</v>
      </c>
      <c r="E22" s="2">
        <f t="shared" si="1"/>
        <v>1.0001018511129436</v>
      </c>
      <c r="F22" s="2">
        <f t="shared" si="1"/>
        <v>1</v>
      </c>
      <c r="G22" s="2">
        <f t="shared" si="1"/>
        <v>0.99933203306065044</v>
      </c>
      <c r="H22" s="2">
        <f t="shared" si="1"/>
        <v>0.99936051159072747</v>
      </c>
      <c r="I22" s="2"/>
      <c r="J22" s="2"/>
      <c r="K22" s="2"/>
      <c r="L22" s="2"/>
    </row>
    <row r="23" spans="1:12">
      <c r="A23" s="4" t="s">
        <v>39</v>
      </c>
      <c r="B23" s="2">
        <f t="shared" si="1"/>
        <v>1.0410901599004121</v>
      </c>
      <c r="C23" s="2">
        <f t="shared" si="1"/>
        <v>0.99925548129678188</v>
      </c>
      <c r="D23" s="2">
        <f t="shared" si="1"/>
        <v>0.99940269551728067</v>
      </c>
      <c r="E23" s="2">
        <f t="shared" si="1"/>
        <v>0.99932557747428785</v>
      </c>
      <c r="F23" s="2">
        <f t="shared" si="1"/>
        <v>0.99915640290197394</v>
      </c>
      <c r="G23" s="2">
        <f t="shared" si="1"/>
        <v>1.000109328414841</v>
      </c>
      <c r="H23" s="2"/>
      <c r="I23" s="2"/>
      <c r="J23" s="2"/>
      <c r="K23" s="2"/>
      <c r="L23" s="2"/>
    </row>
    <row r="24" spans="1:12">
      <c r="A24" s="4" t="s">
        <v>40</v>
      </c>
      <c r="B24" s="2">
        <f t="shared" si="1"/>
        <v>1.114590559515986</v>
      </c>
      <c r="C24" s="2">
        <f t="shared" si="1"/>
        <v>1.0005670783662002</v>
      </c>
      <c r="D24" s="2">
        <f t="shared" si="1"/>
        <v>0.99902305992653451</v>
      </c>
      <c r="E24" s="2">
        <f t="shared" si="1"/>
        <v>0.99893650619809748</v>
      </c>
      <c r="F24" s="2">
        <f t="shared" si="1"/>
        <v>1.0005887017727308</v>
      </c>
      <c r="G24" s="2"/>
      <c r="H24" s="2"/>
      <c r="I24" s="2"/>
      <c r="J24" s="2"/>
      <c r="K24" s="2"/>
      <c r="L24" s="2"/>
    </row>
    <row r="25" spans="1:12">
      <c r="A25" s="4" t="s">
        <v>41</v>
      </c>
      <c r="B25" s="2">
        <f t="shared" si="1"/>
        <v>1.0275116276830336</v>
      </c>
      <c r="C25" s="2">
        <f t="shared" si="1"/>
        <v>0.99991315909254253</v>
      </c>
      <c r="D25" s="2">
        <f t="shared" si="1"/>
        <v>0.99704527557945255</v>
      </c>
      <c r="E25" s="2">
        <f t="shared" si="1"/>
        <v>0.99935062483482473</v>
      </c>
      <c r="F25" s="2"/>
      <c r="G25" s="2"/>
      <c r="H25" s="2"/>
      <c r="I25" s="2"/>
      <c r="J25" s="2"/>
      <c r="K25" s="2"/>
      <c r="L25" s="2"/>
    </row>
    <row r="26" spans="1:12">
      <c r="A26" s="4" t="s">
        <v>42</v>
      </c>
      <c r="B26" s="2">
        <f t="shared" si="1"/>
        <v>1.0680304166252435</v>
      </c>
      <c r="C26" s="2">
        <f t="shared" si="1"/>
        <v>0.9974764149420654</v>
      </c>
      <c r="D26" s="2">
        <f t="shared" si="1"/>
        <v>1.0000407674330629</v>
      </c>
      <c r="E26" s="2"/>
      <c r="F26" s="2"/>
      <c r="G26" s="2"/>
      <c r="H26" s="2"/>
      <c r="I26" s="2"/>
      <c r="J26" s="2"/>
      <c r="K26" s="2"/>
      <c r="L26" s="2"/>
    </row>
    <row r="27" spans="1:12">
      <c r="A27" s="4" t="s">
        <v>43</v>
      </c>
      <c r="B27" s="2">
        <f t="shared" si="1"/>
        <v>1.0056346942363883</v>
      </c>
      <c r="C27" s="2">
        <f t="shared" si="1"/>
        <v>0.99888712612082209</v>
      </c>
      <c r="D27" s="2"/>
      <c r="E27" s="2"/>
      <c r="F27" s="2"/>
      <c r="G27" s="2"/>
      <c r="H27" s="2"/>
      <c r="I27" s="2"/>
      <c r="J27" s="2"/>
      <c r="K27" s="2"/>
      <c r="L27" s="2"/>
    </row>
    <row r="28" spans="1:12">
      <c r="A28" s="4" t="s">
        <v>44</v>
      </c>
      <c r="B28" s="2">
        <f>C16/B16</f>
        <v>1.0211237374750828</v>
      </c>
      <c r="C28" s="2"/>
      <c r="D28" s="2"/>
      <c r="E28" s="2"/>
      <c r="F28" s="2"/>
      <c r="G28" s="2"/>
      <c r="H28" s="2"/>
      <c r="I28" s="2"/>
      <c r="J28" s="2"/>
      <c r="K28" s="2"/>
      <c r="L28" s="2"/>
    </row>
    <row r="29" spans="1:12">
      <c r="A29" s="4"/>
      <c r="B29" s="1"/>
      <c r="C29" s="1"/>
      <c r="D29" s="1"/>
      <c r="E29" s="1"/>
      <c r="F29" s="1"/>
      <c r="G29" s="1"/>
      <c r="H29" s="1"/>
      <c r="I29" s="1"/>
      <c r="J29" s="1"/>
      <c r="K29" s="1"/>
      <c r="L29" s="2"/>
    </row>
    <row r="30" spans="1:12">
      <c r="A30" t="s">
        <v>2</v>
      </c>
      <c r="L30" s="2"/>
    </row>
    <row r="31" spans="1:12">
      <c r="A31" s="4" t="s">
        <v>3</v>
      </c>
      <c r="B31" s="3">
        <f>AVERAGE(B24:B28)</f>
        <v>1.0473782071071469</v>
      </c>
      <c r="C31" s="3">
        <f>AVERAGE(C23:C27)</f>
        <v>0.99921985196368246</v>
      </c>
      <c r="D31" s="3">
        <f>AVERAGE(D22:D26)</f>
        <v>0.9990908032219481</v>
      </c>
      <c r="E31" s="3">
        <f>AVERAGE(E21:E25)</f>
        <v>0.99947454053062168</v>
      </c>
      <c r="F31" s="3">
        <f>AVERAGE(F20:F24)</f>
        <v>0.9991514253967374</v>
      </c>
      <c r="G31" s="3">
        <f>AVERAGE(G20:G23)</f>
        <v>0.99986896191236951</v>
      </c>
      <c r="H31" s="3">
        <f>AVERAGE(H20:H22)</f>
        <v>0.99977782395312154</v>
      </c>
      <c r="I31" s="3">
        <f>AVERAGE(I20:I21)</f>
        <v>1.0002249224315982</v>
      </c>
      <c r="J31" s="3">
        <f>AVERAGE(J20)</f>
        <v>1.000101685138137</v>
      </c>
      <c r="K31" s="3"/>
      <c r="L31" s="1"/>
    </row>
    <row r="32" spans="1:12">
      <c r="A32" s="4" t="s">
        <v>4</v>
      </c>
      <c r="B32" s="3">
        <f>AVERAGE(B26:B28)</f>
        <v>1.0315962827789049</v>
      </c>
      <c r="C32" s="3">
        <f>AVERAGE(C25:C27)</f>
        <v>0.99875890005181001</v>
      </c>
      <c r="D32" s="3">
        <f>AVERAGE(D24:D26)</f>
        <v>0.99870303431301666</v>
      </c>
      <c r="E32" s="3">
        <f>AVERAGE(E23:E25)</f>
        <v>0.99920423616907017</v>
      </c>
      <c r="F32" s="3">
        <f>AVERAGE(F22:F24)</f>
        <v>0.9999150348915683</v>
      </c>
      <c r="G32" s="3">
        <f>AVERAGE(G21:G23)</f>
        <v>0.99981378715849711</v>
      </c>
      <c r="H32" s="3">
        <f>AVERAGE(H20:H22)</f>
        <v>0.99977782395312154</v>
      </c>
      <c r="I32" s="3">
        <f>I31</f>
        <v>1.0002249224315982</v>
      </c>
      <c r="J32" s="3">
        <f>J31</f>
        <v>1.000101685138137</v>
      </c>
      <c r="K32" s="3"/>
    </row>
    <row r="33" spans="1:12">
      <c r="A33" s="4" t="s">
        <v>22</v>
      </c>
      <c r="B33" s="3">
        <f>AVERAGE(B27:B28)</f>
        <v>1.0133792158557355</v>
      </c>
      <c r="C33" s="3">
        <f>AVERAGE(C26:C27)</f>
        <v>0.99818177053144375</v>
      </c>
      <c r="D33" s="3">
        <f>AVERAGE(D25:D26)</f>
        <v>0.99854302150625773</v>
      </c>
      <c r="E33" s="3">
        <f>AVERAGE(E24:E25)</f>
        <v>0.99914356551646111</v>
      </c>
      <c r="F33" s="3">
        <f>AVERAGE(F23:F24)</f>
        <v>0.99987255233735239</v>
      </c>
      <c r="G33" s="3">
        <f>AVERAGE(G22:G23)</f>
        <v>0.99972068073774567</v>
      </c>
      <c r="H33" s="3">
        <f>AVERAGE(H21:H22)</f>
        <v>0.9998686201827105</v>
      </c>
      <c r="I33" s="3">
        <f>AVERAGE(I20:I21)</f>
        <v>1.0002249224315982</v>
      </c>
      <c r="J33" s="3">
        <f>J31</f>
        <v>1.000101685138137</v>
      </c>
      <c r="K33" s="3"/>
      <c r="L33" s="3"/>
    </row>
    <row r="34" spans="1:12">
      <c r="L34" s="3"/>
    </row>
    <row r="35" spans="1:12">
      <c r="A35" t="s">
        <v>5</v>
      </c>
      <c r="L35" s="3"/>
    </row>
    <row r="36" spans="1:12">
      <c r="A36" s="4" t="s">
        <v>6</v>
      </c>
      <c r="B36" s="3">
        <f>(1/3)*(SUM(B24:B28)-MIN(B24:B28)-MAX(B24:B28))</f>
        <v>1.0388885939277865</v>
      </c>
      <c r="C36" s="3">
        <f>(1/3)*(SUM(C23:C27)-MIN(C23:C27)-MAX(C23:C27))</f>
        <v>0.99935192217004887</v>
      </c>
      <c r="D36" s="3">
        <f>(1/3)*(SUM(D22:D26)-MIN(D22:D26)-MAX(D22:D26))</f>
        <v>0.99945599103240834</v>
      </c>
      <c r="E36" s="3">
        <f>(1/3)*(SUM(E21:E25)-MIN(E21:E25)-MAX(E21:E25))</f>
        <v>0.99944478178068918</v>
      </c>
      <c r="F36" s="3">
        <f>(1/3)*(SUM(F20:F24)-MIN(F20:F24)-MAX(F20:F24))</f>
        <v>0.99967330983575931</v>
      </c>
      <c r="G36" s="3">
        <f>(1/2)*(SUM(G20:G23)-MIN(G20:G23)-MAX(G20:G23))</f>
        <v>1.0000172430869934</v>
      </c>
      <c r="H36" s="3">
        <f>(1/1)*(SUM(H20:H22)-MIN(H20:H22)-MAX(H20:H22))</f>
        <v>0.99959623149394372</v>
      </c>
      <c r="I36" s="3">
        <f>I31</f>
        <v>1.0002249224315982</v>
      </c>
      <c r="J36" s="3">
        <f>J31</f>
        <v>1.000101685138137</v>
      </c>
      <c r="K36" s="3"/>
    </row>
    <row r="38" spans="1:12">
      <c r="A38" t="s">
        <v>7</v>
      </c>
      <c r="L38" s="3"/>
    </row>
    <row r="39" spans="1:12">
      <c r="A39" s="4" t="s">
        <v>3</v>
      </c>
      <c r="B39" s="2">
        <f>SUM(C12:C16)/SUM(B12:B16)</f>
        <v>1.0459745684220707</v>
      </c>
      <c r="C39" s="2">
        <f>SUM(D11:D15)/SUM(C11:C15)</f>
        <v>0.99919198557415467</v>
      </c>
      <c r="D39" s="2">
        <f>SUM(E10:E14)/SUM(D10:D14)</f>
        <v>0.99911596372751643</v>
      </c>
      <c r="E39" s="2">
        <f>SUM(F9:F13)/SUM(E9:E13)</f>
        <v>0.99948136721133374</v>
      </c>
      <c r="F39" s="2">
        <f>SUM(G9:G13)/SUM(F9:F13)</f>
        <v>0.80423503526763196</v>
      </c>
      <c r="G39" s="2">
        <f>SUM(H8:H11)/SUM(G8:G11)</f>
        <v>0.9998622072527853</v>
      </c>
      <c r="H39" s="2">
        <f>SUM(I8:I10)/SUM(H8:H10)</f>
        <v>0.99977362889862509</v>
      </c>
      <c r="I39" s="2">
        <f>SUM(J8:J9)/SUM(I8:I9)</f>
        <v>1.0002245511186185</v>
      </c>
      <c r="J39" s="2">
        <f>SUM(K8)/SUM(J8)</f>
        <v>1.000101685138137</v>
      </c>
      <c r="K39" s="2"/>
    </row>
    <row r="40" spans="1:12">
      <c r="A40" s="4" t="s">
        <v>4</v>
      </c>
      <c r="B40" s="2">
        <f>SUM(C14:C16)/SUM(B14:B16)</f>
        <v>1.0314375279883512</v>
      </c>
      <c r="C40" s="2">
        <f>SUM(D13:D15)/SUM(C13:C15)</f>
        <v>0.99872317321996107</v>
      </c>
      <c r="D40" s="2">
        <f>SUM(E12:E14)/SUM(D12:D14)</f>
        <v>0.99874350473513296</v>
      </c>
      <c r="E40" s="2">
        <f>SUM(F11:F13)/SUM(E11:E13)</f>
        <v>0.99920148532839104</v>
      </c>
      <c r="F40" s="2">
        <f>SUM(G10:G12)/SUM(F10:F12)</f>
        <v>0.99992545890764839</v>
      </c>
      <c r="G40" s="2">
        <f>SUM(H9:H11)/SUM(G9:G11)</f>
        <v>0.99980434296731557</v>
      </c>
      <c r="H40" s="2">
        <f>SUM(I8:I10)/SUM(H8:H10)</f>
        <v>0.99977362889862509</v>
      </c>
      <c r="I40" s="2">
        <f>SUM(J8:J9)/SUM(I8:I9)</f>
        <v>1.0002245511186185</v>
      </c>
      <c r="J40" s="2">
        <f>SUM(K8)/SUM(J8)</f>
        <v>1.000101685138137</v>
      </c>
      <c r="K40" s="2"/>
    </row>
    <row r="41" spans="1:12">
      <c r="L41" s="2"/>
    </row>
    <row r="42" spans="1:12">
      <c r="A42" t="s">
        <v>8</v>
      </c>
      <c r="L42" s="2"/>
    </row>
    <row r="43" spans="1:12">
      <c r="A43" s="4" t="s">
        <v>9</v>
      </c>
      <c r="B43" s="3">
        <f>PRODUCT(B25:B28)^0.25</f>
        <v>1.0303202762587718</v>
      </c>
      <c r="C43" s="3">
        <f>PRODUCT(C24:C27)^0.25</f>
        <v>0.99921026318403638</v>
      </c>
      <c r="D43" s="3">
        <f>PRODUCT(D23:D26)^0.25</f>
        <v>0.99887732263307127</v>
      </c>
      <c r="E43" s="3">
        <f>PRODUCT(E22:E25)^0.25</f>
        <v>0.99942855085487559</v>
      </c>
      <c r="F43" s="3">
        <f>PRODUCT(F21:F24)^0.25</f>
        <v>0.99990202797994232</v>
      </c>
      <c r="G43" s="3">
        <f>PRODUCT(G20:G23)^0.25</f>
        <v>0.99986891306504755</v>
      </c>
      <c r="H43" s="3">
        <f>PRODUCT(H20:H22)^(1/3)</f>
        <v>0.99977772964522249</v>
      </c>
      <c r="I43" s="3">
        <f>PRODUCT(I20:I21)^(1/2)</f>
        <v>1.0002248003372085</v>
      </c>
      <c r="J43" s="3">
        <f>PRODUCT(J20)^(1/1)</f>
        <v>1.000101685138137</v>
      </c>
      <c r="K43" s="3"/>
    </row>
    <row r="45" spans="1:12">
      <c r="B45" s="15" t="str">
        <f>B19</f>
        <v>6-12</v>
      </c>
      <c r="C45" s="17" t="str">
        <f t="shared" ref="C45:K45" si="2">C19</f>
        <v>12-18</v>
      </c>
      <c r="D45" s="17" t="str">
        <f t="shared" si="2"/>
        <v>18-24</v>
      </c>
      <c r="E45" s="17" t="str">
        <f t="shared" si="2"/>
        <v>24-30</v>
      </c>
      <c r="F45" s="17" t="str">
        <f t="shared" si="2"/>
        <v>30-36</v>
      </c>
      <c r="G45" s="17" t="str">
        <f t="shared" si="2"/>
        <v>36-42</v>
      </c>
      <c r="H45" s="17" t="str">
        <f t="shared" si="2"/>
        <v>42-48</v>
      </c>
      <c r="I45" s="17" t="str">
        <f t="shared" si="2"/>
        <v>48-54</v>
      </c>
      <c r="J45" s="17" t="str">
        <f t="shared" si="2"/>
        <v>54-60</v>
      </c>
      <c r="K45" s="17" t="str">
        <f t="shared" si="2"/>
        <v>60-Ult</v>
      </c>
      <c r="L45" s="3"/>
    </row>
    <row r="46" spans="1:12">
      <c r="A46" t="s">
        <v>10</v>
      </c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2">
      <c r="A47" t="s">
        <v>11</v>
      </c>
      <c r="B47" s="2">
        <f>B36</f>
        <v>1.0388885939277865</v>
      </c>
      <c r="C47" s="2">
        <f t="shared" ref="C47:J47" si="3">C32</f>
        <v>0.99875890005181001</v>
      </c>
      <c r="D47" s="2">
        <f t="shared" si="3"/>
        <v>0.99870303431301666</v>
      </c>
      <c r="E47" s="2">
        <f t="shared" si="3"/>
        <v>0.99920423616907017</v>
      </c>
      <c r="F47" s="2">
        <f t="shared" si="3"/>
        <v>0.9999150348915683</v>
      </c>
      <c r="G47" s="2">
        <f t="shared" si="3"/>
        <v>0.99981378715849711</v>
      </c>
      <c r="H47" s="2">
        <f t="shared" si="3"/>
        <v>0.99977782395312154</v>
      </c>
      <c r="I47" s="2">
        <f t="shared" si="3"/>
        <v>1.0002249224315982</v>
      </c>
      <c r="J47" s="2">
        <f t="shared" si="3"/>
        <v>1.000101685138137</v>
      </c>
      <c r="K47" s="2">
        <v>1</v>
      </c>
      <c r="L47" s="15"/>
    </row>
    <row r="48" spans="1:12">
      <c r="A48" t="s">
        <v>12</v>
      </c>
      <c r="B48" s="2">
        <f t="shared" ref="B48:J48" si="4">C48*B47</f>
        <v>1.0352561672452216</v>
      </c>
      <c r="C48" s="2">
        <f t="shared" si="4"/>
        <v>0.99650354551604847</v>
      </c>
      <c r="D48" s="2">
        <f t="shared" si="4"/>
        <v>0.99774184286553591</v>
      </c>
      <c r="E48" s="2">
        <f t="shared" si="4"/>
        <v>0.99903756030125423</v>
      </c>
      <c r="F48" s="2">
        <f t="shared" si="4"/>
        <v>0.99983319139192706</v>
      </c>
      <c r="G48" s="2">
        <f t="shared" si="4"/>
        <v>0.99991814954592606</v>
      </c>
      <c r="H48" s="2">
        <f t="shared" si="4"/>
        <v>1.0001043818246651</v>
      </c>
      <c r="I48" s="2">
        <f t="shared" si="4"/>
        <v>1.0003266304410037</v>
      </c>
      <c r="J48" s="2">
        <f t="shared" si="4"/>
        <v>1.000101685138137</v>
      </c>
      <c r="K48" s="2">
        <f>K47</f>
        <v>1</v>
      </c>
      <c r="L48" s="2"/>
    </row>
    <row r="49" spans="1:12">
      <c r="A49" t="s">
        <v>13</v>
      </c>
      <c r="B49" s="5">
        <f>1/B48</f>
        <v>0.96594449918705916</v>
      </c>
      <c r="C49" s="5">
        <f t="shared" ref="C49:K49" si="5">1/C48</f>
        <v>1.0035087225727239</v>
      </c>
      <c r="D49" s="5">
        <f t="shared" si="5"/>
        <v>1.0022632679491306</v>
      </c>
      <c r="E49" s="5">
        <f t="shared" si="5"/>
        <v>1.0009633668812767</v>
      </c>
      <c r="F49" s="5">
        <f t="shared" si="5"/>
        <v>1.0001668364378269</v>
      </c>
      <c r="G49" s="5">
        <f t="shared" si="5"/>
        <v>1.0000818571541192</v>
      </c>
      <c r="H49" s="5">
        <f t="shared" si="5"/>
        <v>0.99989562906976304</v>
      </c>
      <c r="I49" s="5">
        <f t="shared" si="5"/>
        <v>0.99967347621160529</v>
      </c>
      <c r="J49" s="5">
        <f t="shared" si="5"/>
        <v>0.99989832520067901</v>
      </c>
      <c r="K49" s="5">
        <f t="shared" si="5"/>
        <v>1</v>
      </c>
      <c r="L49" s="2"/>
    </row>
    <row r="50" spans="1:12"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</row>
    <row r="51" spans="1:12"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51"/>
  <sheetViews>
    <sheetView zoomScale="85" zoomScaleNormal="85" workbookViewId="0"/>
  </sheetViews>
  <sheetFormatPr defaultRowHeight="15"/>
  <cols>
    <col min="1" max="1" width="12.42578125" customWidth="1"/>
    <col min="2" max="11" width="11.5703125" bestFit="1" customWidth="1"/>
  </cols>
  <sheetData>
    <row r="1" spans="1:13">
      <c r="A1" t="s">
        <v>46</v>
      </c>
    </row>
    <row r="2" spans="1:13">
      <c r="A2" t="s">
        <v>70</v>
      </c>
    </row>
    <row r="3" spans="1:13">
      <c r="A3" t="s">
        <v>50</v>
      </c>
    </row>
    <row r="5" spans="1:13">
      <c r="A5" t="s">
        <v>0</v>
      </c>
    </row>
    <row r="7" spans="1:13">
      <c r="A7" t="s">
        <v>1</v>
      </c>
      <c r="B7" s="15">
        <v>6</v>
      </c>
      <c r="C7" s="15">
        <f>B7+6</f>
        <v>12</v>
      </c>
      <c r="D7" s="15">
        <f t="shared" ref="D7:K7" si="0">C7+6</f>
        <v>18</v>
      </c>
      <c r="E7" s="15">
        <f t="shared" si="0"/>
        <v>24</v>
      </c>
      <c r="F7" s="15">
        <f t="shared" si="0"/>
        <v>30</v>
      </c>
      <c r="G7" s="15">
        <f t="shared" si="0"/>
        <v>36</v>
      </c>
      <c r="H7" s="15">
        <f t="shared" si="0"/>
        <v>42</v>
      </c>
      <c r="I7" s="15">
        <f t="shared" si="0"/>
        <v>48</v>
      </c>
      <c r="J7" s="15">
        <f t="shared" si="0"/>
        <v>54</v>
      </c>
      <c r="K7" s="15">
        <f t="shared" si="0"/>
        <v>60</v>
      </c>
      <c r="L7" s="15"/>
      <c r="M7" s="15"/>
    </row>
    <row r="8" spans="1:13">
      <c r="A8" s="4" t="s">
        <v>36</v>
      </c>
      <c r="B8" s="2">
        <f>'Closed Counts'!B8/'Reported Counts'!B8</f>
        <v>0.71625421822272217</v>
      </c>
      <c r="C8" s="2">
        <f>'Closed Counts'!C8/'Reported Counts'!C8</f>
        <v>0.98430899215449608</v>
      </c>
      <c r="D8" s="2">
        <f>'Closed Counts'!D8/'Reported Counts'!D8</f>
        <v>0.9957588609512269</v>
      </c>
      <c r="E8" s="2">
        <f>'Closed Counts'!E8/'Reported Counts'!E8</f>
        <v>0.99757502273416188</v>
      </c>
      <c r="F8" s="2">
        <f>'Closed Counts'!F8/'Reported Counts'!F8</f>
        <v>0.99908952959028829</v>
      </c>
      <c r="G8" s="2">
        <f>'Closed Counts'!G8/'Reported Counts'!G8</f>
        <v>0.99939283545840918</v>
      </c>
      <c r="H8" s="2">
        <f>'Closed Counts'!H8/'Reported Counts'!H8</f>
        <v>0.99969632553902221</v>
      </c>
      <c r="I8" s="2">
        <f>'Closed Counts'!I8/'Reported Counts'!I8</f>
        <v>0.99969632553902221</v>
      </c>
      <c r="J8" s="2">
        <f>'Closed Counts'!J8/'Reported Counts'!J8</f>
        <v>0.99969632553902221</v>
      </c>
      <c r="K8" s="2">
        <f>'Closed Counts'!K8/'Reported Counts'!K8</f>
        <v>1</v>
      </c>
      <c r="L8" s="1"/>
    </row>
    <row r="9" spans="1:13">
      <c r="A9" s="4" t="s">
        <v>37</v>
      </c>
      <c r="B9" s="2">
        <f>'Closed Counts'!B9/'Reported Counts'!B9</f>
        <v>0.79925544100801837</v>
      </c>
      <c r="C9" s="2">
        <f>'Closed Counts'!C9/'Reported Counts'!C9</f>
        <v>0.98620478234212139</v>
      </c>
      <c r="D9" s="2">
        <f>'Closed Counts'!D9/'Reported Counts'!D9</f>
        <v>0.99692307692307691</v>
      </c>
      <c r="E9" s="2">
        <f>'Closed Counts'!E9/'Reported Counts'!E9</f>
        <v>0.9984601170311056</v>
      </c>
      <c r="F9" s="2">
        <f>'Closed Counts'!F9/'Reported Counts'!F9</f>
        <v>0.9987680936248845</v>
      </c>
      <c r="G9" s="2">
        <f>'Closed Counts'!G9/'Reported Counts'!G9</f>
        <v>0.99938366718027738</v>
      </c>
      <c r="H9" s="2">
        <f>'Closed Counts'!H9/'Reported Counts'!H9</f>
        <v>0.99938366718027738</v>
      </c>
      <c r="I9" s="2">
        <f>'Closed Counts'!I9/'Reported Counts'!I9</f>
        <v>0.99969173859432803</v>
      </c>
      <c r="J9" s="2">
        <f>'Closed Counts'!J9/'Reported Counts'!J9</f>
        <v>0.99969164353993212</v>
      </c>
      <c r="K9" s="1"/>
      <c r="L9" s="1"/>
    </row>
    <row r="10" spans="1:13">
      <c r="A10" s="4" t="s">
        <v>38</v>
      </c>
      <c r="B10" s="2">
        <f>'Closed Counts'!B10/'Reported Counts'!B10</f>
        <v>0.70436241610738259</v>
      </c>
      <c r="C10" s="2">
        <f>'Closed Counts'!C10/'Reported Counts'!C10</f>
        <v>0.98709439528023601</v>
      </c>
      <c r="D10" s="2">
        <f>'Closed Counts'!D10/'Reported Counts'!D10</f>
        <v>0.99667159763313606</v>
      </c>
      <c r="E10" s="2">
        <f>'Closed Counts'!E10/'Reported Counts'!E10</f>
        <v>0.99814951887490744</v>
      </c>
      <c r="F10" s="2">
        <f>'Closed Counts'!F10/'Reported Counts'!F10</f>
        <v>0.99888888888888894</v>
      </c>
      <c r="G10" s="2">
        <f>'Closed Counts'!G10/'Reported Counts'!G10</f>
        <v>0.99925925925925929</v>
      </c>
      <c r="H10" s="2">
        <f>'Closed Counts'!H10/'Reported Counts'!H10</f>
        <v>0.99962949240459431</v>
      </c>
      <c r="I10" s="2">
        <f>'Closed Counts'!I10/'Reported Counts'!I10</f>
        <v>0.99962949240459431</v>
      </c>
      <c r="J10" s="1"/>
      <c r="K10" s="1"/>
      <c r="L10" s="1"/>
    </row>
    <row r="11" spans="1:13">
      <c r="A11" s="4" t="s">
        <v>39</v>
      </c>
      <c r="B11" s="2">
        <f>'Closed Counts'!B11/'Reported Counts'!B11</f>
        <v>0.8183701657458563</v>
      </c>
      <c r="C11" s="2">
        <f>'Closed Counts'!C11/'Reported Counts'!C11</f>
        <v>0.98807803468208089</v>
      </c>
      <c r="D11" s="2">
        <f>'Closed Counts'!D11/'Reported Counts'!D11</f>
        <v>0.99637812386816371</v>
      </c>
      <c r="E11" s="2">
        <f>'Closed Counts'!E11/'Reported Counts'!E11</f>
        <v>0.99854967367657721</v>
      </c>
      <c r="F11" s="2">
        <f>'Closed Counts'!F11/'Reported Counts'!F11</f>
        <v>0.99891225525743288</v>
      </c>
      <c r="G11" s="2">
        <f>'Closed Counts'!G11/'Reported Counts'!G11</f>
        <v>0.99891225525743288</v>
      </c>
      <c r="H11" s="2">
        <f>'Closed Counts'!H11/'Reported Counts'!H11</f>
        <v>0.99963728690605735</v>
      </c>
      <c r="I11" s="1"/>
      <c r="J11" s="1"/>
      <c r="K11" s="1"/>
      <c r="L11" s="1"/>
    </row>
    <row r="12" spans="1:13">
      <c r="A12" s="4" t="s">
        <v>40</v>
      </c>
      <c r="B12" s="2">
        <f>'Closed Counts'!B12/'Reported Counts'!B12</f>
        <v>0.69864960909737028</v>
      </c>
      <c r="C12" s="2">
        <f>'Closed Counts'!C12/'Reported Counts'!C12</f>
        <v>0.98452830188679241</v>
      </c>
      <c r="D12" s="2">
        <f>'Closed Counts'!D12/'Reported Counts'!D12</f>
        <v>0.99621212121212122</v>
      </c>
      <c r="E12" s="2">
        <f>'Closed Counts'!E12/'Reported Counts'!E12</f>
        <v>0.99810534293292918</v>
      </c>
      <c r="F12" s="2">
        <f>'Closed Counts'!F12/'Reported Counts'!F12</f>
        <v>0.99848369977255491</v>
      </c>
      <c r="G12" s="2">
        <f>'Closed Counts'!G12/'Reported Counts'!G12</f>
        <v>0.9992412746585736</v>
      </c>
      <c r="H12" s="1"/>
      <c r="I12" s="1"/>
      <c r="J12" s="1"/>
      <c r="K12" s="1"/>
      <c r="L12" s="1"/>
    </row>
    <row r="13" spans="1:13">
      <c r="A13" s="4" t="s">
        <v>41</v>
      </c>
      <c r="B13" s="2">
        <f>'Closed Counts'!B13/'Reported Counts'!B13</f>
        <v>0.80519943019943019</v>
      </c>
      <c r="C13" s="2">
        <f>'Closed Counts'!C13/'Reported Counts'!C13</f>
        <v>0.98488200589970498</v>
      </c>
      <c r="D13" s="2">
        <f>'Closed Counts'!D13/'Reported Counts'!D13</f>
        <v>0.99630177514792895</v>
      </c>
      <c r="E13" s="2">
        <f>'Closed Counts'!E13/'Reported Counts'!E13</f>
        <v>0.99814883376527208</v>
      </c>
      <c r="F13" s="2">
        <f>'Closed Counts'!F13/'Reported Counts'!F13</f>
        <v>0.99888888888888894</v>
      </c>
      <c r="G13" s="1"/>
      <c r="H13" s="1"/>
      <c r="I13" s="1"/>
      <c r="J13" s="1"/>
      <c r="K13" s="1"/>
      <c r="L13" s="1"/>
    </row>
    <row r="14" spans="1:13">
      <c r="A14" s="4" t="s">
        <v>42</v>
      </c>
      <c r="B14" s="2">
        <f>'Closed Counts'!B14/'Reported Counts'!B14</f>
        <v>0.69632011432654517</v>
      </c>
      <c r="C14" s="2">
        <f>'Closed Counts'!C14/'Reported Counts'!C14</f>
        <v>0.98579439252336454</v>
      </c>
      <c r="D14" s="2">
        <f>'Closed Counts'!D14/'Reported Counts'!D14</f>
        <v>0.99588014981273409</v>
      </c>
      <c r="E14" s="2">
        <f>'Closed Counts'!E14/'Reported Counts'!E14</f>
        <v>0.99775112443778113</v>
      </c>
      <c r="F14" s="1"/>
      <c r="G14" s="1"/>
      <c r="H14" s="1"/>
      <c r="I14" s="1"/>
      <c r="J14" s="1"/>
      <c r="K14" s="1"/>
      <c r="L14" s="1"/>
    </row>
    <row r="15" spans="1:13">
      <c r="A15" s="4" t="s">
        <v>43</v>
      </c>
      <c r="B15" s="2">
        <f>'Closed Counts'!B15/'Reported Counts'!B15</f>
        <v>0.79868114817688129</v>
      </c>
      <c r="C15" s="2">
        <f>'Closed Counts'!C15/'Reported Counts'!C15</f>
        <v>0.98539281484405838</v>
      </c>
      <c r="D15" s="2">
        <f>'Closed Counts'!D15/'Reported Counts'!D15</f>
        <v>0.99644128113879005</v>
      </c>
      <c r="E15" s="1"/>
      <c r="F15" s="1"/>
      <c r="G15" s="1"/>
      <c r="H15" s="1"/>
      <c r="I15" s="1"/>
      <c r="J15" s="1"/>
      <c r="K15" s="1"/>
      <c r="L15" s="1"/>
    </row>
    <row r="16" spans="1:13">
      <c r="A16" s="4" t="s">
        <v>44</v>
      </c>
      <c r="B16" s="2">
        <f>'Closed Counts'!B16/'Reported Counts'!B16</f>
        <v>0.74632748118953784</v>
      </c>
      <c r="C16" s="2">
        <f>'Closed Counts'!C16/'Reported Counts'!C16</f>
        <v>0.98344132469402445</v>
      </c>
      <c r="D16" s="1"/>
      <c r="E16" s="1"/>
      <c r="F16" s="1"/>
      <c r="G16" s="1"/>
      <c r="H16" s="1"/>
      <c r="I16" s="1"/>
      <c r="J16" s="1"/>
      <c r="K16" s="1"/>
      <c r="L16" s="1"/>
    </row>
    <row r="17" spans="1:12">
      <c r="A17" s="4" t="s">
        <v>45</v>
      </c>
      <c r="B17" s="2">
        <f>'Closed Counts'!B17/'Reported Counts'!B17</f>
        <v>0.80694488690665822</v>
      </c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>
      <c r="L18" s="1"/>
    </row>
    <row r="20" spans="1:12">
      <c r="A20" s="15"/>
    </row>
    <row r="21" spans="1:12">
      <c r="A21" s="2"/>
    </row>
    <row r="22" spans="1:12">
      <c r="A22" s="2"/>
    </row>
    <row r="23" spans="1:12">
      <c r="A23" s="2"/>
    </row>
    <row r="24" spans="1:12">
      <c r="A24" s="2"/>
    </row>
    <row r="25" spans="1:12">
      <c r="A25" s="2"/>
    </row>
    <row r="26" spans="1:12">
      <c r="A26" s="2"/>
    </row>
    <row r="27" spans="1:12">
      <c r="A27" s="2"/>
    </row>
    <row r="28" spans="1:12">
      <c r="A28" s="2"/>
    </row>
    <row r="29" spans="1:12">
      <c r="A29" s="2"/>
    </row>
    <row r="30" spans="1:12">
      <c r="A30" s="2"/>
    </row>
    <row r="31" spans="1:12">
      <c r="A31" s="1"/>
    </row>
    <row r="33" spans="1:1">
      <c r="A33" s="3"/>
    </row>
    <row r="34" spans="1:1">
      <c r="A34" s="3"/>
    </row>
    <row r="35" spans="1:1">
      <c r="A35" s="3"/>
    </row>
    <row r="38" spans="1:1">
      <c r="A38" s="3"/>
    </row>
    <row r="41" spans="1:1">
      <c r="A41" s="2"/>
    </row>
    <row r="42" spans="1:1">
      <c r="A42" s="2"/>
    </row>
    <row r="45" spans="1:1">
      <c r="A45" s="3"/>
    </row>
    <row r="47" spans="1:1">
      <c r="A47" s="15"/>
    </row>
    <row r="48" spans="1:1">
      <c r="A48" s="2"/>
    </row>
    <row r="49" spans="1:12">
      <c r="A49" s="2"/>
    </row>
    <row r="50" spans="1:12"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</row>
    <row r="51" spans="1:12"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O18"/>
  <sheetViews>
    <sheetView workbookViewId="0">
      <selection activeCell="I7" sqref="I7"/>
    </sheetView>
  </sheetViews>
  <sheetFormatPr defaultRowHeight="15"/>
  <cols>
    <col min="2" max="2" width="13.85546875" bestFit="1" customWidth="1"/>
    <col min="3" max="3" width="13.42578125" customWidth="1"/>
    <col min="4" max="4" width="14.28515625" bestFit="1" customWidth="1"/>
    <col min="7" max="7" width="14.28515625" bestFit="1" customWidth="1"/>
    <col min="8" max="8" width="15.28515625" bestFit="1" customWidth="1"/>
  </cols>
  <sheetData>
    <row r="1" spans="1:15">
      <c r="A1" t="s">
        <v>46</v>
      </c>
    </row>
    <row r="2" spans="1:15">
      <c r="A2" t="s">
        <v>71</v>
      </c>
    </row>
    <row r="3" spans="1:15">
      <c r="A3" t="s">
        <v>14</v>
      </c>
    </row>
    <row r="5" spans="1:15">
      <c r="A5" s="6"/>
      <c r="B5" s="6" t="s">
        <v>15</v>
      </c>
      <c r="C5" s="19" t="s">
        <v>48</v>
      </c>
      <c r="D5" s="19"/>
      <c r="E5" s="19" t="s">
        <v>12</v>
      </c>
      <c r="F5" s="19"/>
      <c r="G5" s="19" t="s">
        <v>20</v>
      </c>
      <c r="H5" s="19"/>
      <c r="I5" s="15" t="s">
        <v>30</v>
      </c>
      <c r="J5" s="6"/>
      <c r="K5" s="6"/>
      <c r="L5" s="6"/>
      <c r="M5" s="6"/>
      <c r="N5" s="6"/>
    </row>
    <row r="6" spans="1:15">
      <c r="A6" s="6" t="s">
        <v>1</v>
      </c>
      <c r="B6" s="6" t="s">
        <v>16</v>
      </c>
      <c r="C6" s="15" t="s">
        <v>47</v>
      </c>
      <c r="D6" s="15" t="s">
        <v>17</v>
      </c>
      <c r="E6" s="15" t="s">
        <v>47</v>
      </c>
      <c r="F6" s="15" t="s">
        <v>17</v>
      </c>
      <c r="G6" s="15" t="s">
        <v>47</v>
      </c>
      <c r="H6" s="15" t="s">
        <v>17</v>
      </c>
      <c r="I6" s="15" t="s">
        <v>49</v>
      </c>
      <c r="J6" s="6"/>
      <c r="K6" s="6"/>
      <c r="L6" s="6"/>
      <c r="M6" s="6"/>
      <c r="N6" s="6"/>
    </row>
    <row r="7" spans="1:15">
      <c r="A7" s="16" t="s">
        <v>36</v>
      </c>
      <c r="B7" s="15">
        <f t="shared" ref="B7:B14" si="0">B8+6</f>
        <v>60</v>
      </c>
      <c r="C7" s="1">
        <f>'Closed Counts'!$K$8</f>
        <v>3292</v>
      </c>
      <c r="D7" s="1">
        <f>'Reported Counts'!$K$8</f>
        <v>3292</v>
      </c>
      <c r="E7" s="2">
        <f>'Closed Counts'!$K$48</f>
        <v>1</v>
      </c>
      <c r="F7" s="2">
        <f>'Reported Counts'!$K$48</f>
        <v>1</v>
      </c>
      <c r="G7" s="9">
        <f t="shared" ref="G7:G16" si="1">C7*E7</f>
        <v>3292</v>
      </c>
      <c r="H7" s="9">
        <f t="shared" ref="H7:H16" si="2">D7*F7</f>
        <v>3292</v>
      </c>
      <c r="I7" s="13">
        <f>AVERAGE(G7:H7)</f>
        <v>3292</v>
      </c>
      <c r="J7" s="7"/>
      <c r="K7" s="7"/>
      <c r="L7" s="7"/>
      <c r="M7" s="7"/>
      <c r="N7" s="7"/>
    </row>
    <row r="8" spans="1:15" s="6" customFormat="1">
      <c r="A8" s="16" t="s">
        <v>37</v>
      </c>
      <c r="B8" s="15">
        <f t="shared" si="0"/>
        <v>54</v>
      </c>
      <c r="C8" s="1">
        <f>'Closed Counts'!$J$9</f>
        <v>3242</v>
      </c>
      <c r="D8" s="1">
        <f>'Reported Counts'!$J$9</f>
        <v>3243</v>
      </c>
      <c r="E8" s="2">
        <f>'Closed Counts'!$J$48</f>
        <v>1</v>
      </c>
      <c r="F8" s="2">
        <f>'Reported Counts'!$J$48</f>
        <v>0.99969632553902221</v>
      </c>
      <c r="G8" s="9">
        <f t="shared" si="1"/>
        <v>3242</v>
      </c>
      <c r="H8" s="9">
        <f t="shared" si="2"/>
        <v>3242.0151837230492</v>
      </c>
      <c r="I8" s="13">
        <f t="shared" ref="I8:I15" si="3">AVERAGE(G8:H8)</f>
        <v>3242.0075918615248</v>
      </c>
    </row>
    <row r="9" spans="1:15" s="6" customFormat="1">
      <c r="A9" s="16" t="s">
        <v>38</v>
      </c>
      <c r="B9" s="15">
        <f t="shared" si="0"/>
        <v>48</v>
      </c>
      <c r="C9" s="1">
        <f>'Closed Counts'!$I$10</f>
        <v>2698</v>
      </c>
      <c r="D9" s="1">
        <f>'Reported Counts'!$I$10</f>
        <v>2699</v>
      </c>
      <c r="E9" s="2">
        <f>'Closed Counts'!$I$48</f>
        <v>0.99984582176996606</v>
      </c>
      <c r="F9" s="2">
        <f>'Reported Counts'!$I$48</f>
        <v>0.99954224164174432</v>
      </c>
      <c r="G9" s="9">
        <f t="shared" si="1"/>
        <v>2697.5840271353686</v>
      </c>
      <c r="H9" s="9">
        <f t="shared" si="2"/>
        <v>2697.764510191068</v>
      </c>
      <c r="I9" s="13">
        <f t="shared" si="3"/>
        <v>2697.6742686632183</v>
      </c>
    </row>
    <row r="10" spans="1:15" s="6" customFormat="1">
      <c r="A10" s="16" t="s">
        <v>39</v>
      </c>
      <c r="B10" s="15">
        <f t="shared" si="0"/>
        <v>42</v>
      </c>
      <c r="C10" s="1">
        <f>'Closed Counts'!$H$11</f>
        <v>2756</v>
      </c>
      <c r="D10" s="1">
        <f>'Reported Counts'!$H$11</f>
        <v>2757</v>
      </c>
      <c r="E10" s="2">
        <f>'Closed Counts'!$H$48</f>
        <v>0.99984582176996606</v>
      </c>
      <c r="F10" s="2">
        <f>'Reported Counts'!$H$48</f>
        <v>0.99943956652704047</v>
      </c>
      <c r="G10" s="9">
        <f t="shared" si="1"/>
        <v>2755.5750847980266</v>
      </c>
      <c r="H10" s="9">
        <f t="shared" si="2"/>
        <v>2755.4548849150506</v>
      </c>
      <c r="I10" s="13">
        <f t="shared" si="3"/>
        <v>2755.5149848565388</v>
      </c>
    </row>
    <row r="11" spans="1:15" s="6" customFormat="1">
      <c r="A11" s="16" t="s">
        <v>40</v>
      </c>
      <c r="B11" s="15">
        <f t="shared" si="0"/>
        <v>36</v>
      </c>
      <c r="C11" s="1">
        <f>'Closed Counts'!$G$12</f>
        <v>2634</v>
      </c>
      <c r="D11" s="1">
        <f>'Reported Counts'!$G$12</f>
        <v>2636</v>
      </c>
      <c r="E11" s="2">
        <f>'Closed Counts'!$G$48</f>
        <v>0.99996679525112397</v>
      </c>
      <c r="F11" s="2">
        <f>'Reported Counts'!$G$48</f>
        <v>0.99919538613356773</v>
      </c>
      <c r="G11" s="9">
        <f t="shared" si="1"/>
        <v>2633.9125386914607</v>
      </c>
      <c r="H11" s="9">
        <f t="shared" si="2"/>
        <v>2633.8790378480844</v>
      </c>
      <c r="I11" s="13">
        <f t="shared" si="3"/>
        <v>2633.8957882697723</v>
      </c>
    </row>
    <row r="12" spans="1:15" s="6" customFormat="1">
      <c r="A12" s="16" t="s">
        <v>41</v>
      </c>
      <c r="B12" s="15">
        <f t="shared" si="0"/>
        <v>30</v>
      </c>
      <c r="C12" s="1">
        <f>'Closed Counts'!$F$13</f>
        <v>2697</v>
      </c>
      <c r="D12" s="1">
        <f>'Reported Counts'!$F$13</f>
        <v>2700</v>
      </c>
      <c r="E12" s="2">
        <f>'Closed Counts'!$F$48</f>
        <v>1.0000903852641325</v>
      </c>
      <c r="F12" s="2">
        <f>'Reported Counts'!$F$48</f>
        <v>0.99894287276835836</v>
      </c>
      <c r="G12" s="9">
        <f t="shared" si="1"/>
        <v>2697.2437690573656</v>
      </c>
      <c r="H12" s="9">
        <f t="shared" si="2"/>
        <v>2697.1457564745674</v>
      </c>
      <c r="I12" s="13">
        <f t="shared" si="3"/>
        <v>2697.1947627659665</v>
      </c>
    </row>
    <row r="13" spans="1:15" s="6" customFormat="1">
      <c r="A13" s="16" t="s">
        <v>42</v>
      </c>
      <c r="B13" s="15">
        <f t="shared" si="0"/>
        <v>24</v>
      </c>
      <c r="C13" s="1">
        <f>'Closed Counts'!$E$14</f>
        <v>2662</v>
      </c>
      <c r="D13" s="1">
        <f>'Reported Counts'!$E$14</f>
        <v>2668</v>
      </c>
      <c r="E13" s="2">
        <f>'Closed Counts'!$E$48</f>
        <v>1.0003350834084237</v>
      </c>
      <c r="F13" s="2">
        <f>'Reported Counts'!$E$48</f>
        <v>0.99869341520235955</v>
      </c>
      <c r="G13" s="9">
        <f t="shared" si="1"/>
        <v>2662.8919920332237</v>
      </c>
      <c r="H13" s="9">
        <f t="shared" si="2"/>
        <v>2664.5140317598953</v>
      </c>
      <c r="I13" s="13">
        <f t="shared" si="3"/>
        <v>2663.7030118965595</v>
      </c>
    </row>
    <row r="14" spans="1:15" s="6" customFormat="1">
      <c r="A14" s="16" t="s">
        <v>43</v>
      </c>
      <c r="B14" s="15">
        <f t="shared" si="0"/>
        <v>18</v>
      </c>
      <c r="C14" s="1">
        <f>'Closed Counts'!$D$15</f>
        <v>2520</v>
      </c>
      <c r="D14" s="1">
        <f>'Reported Counts'!$D$15</f>
        <v>2529</v>
      </c>
      <c r="E14" s="2">
        <f>'Closed Counts'!$D$48</f>
        <v>1.0014659778072945</v>
      </c>
      <c r="F14" s="2">
        <f>'Reported Counts'!$D$48</f>
        <v>0.99794861661641887</v>
      </c>
      <c r="G14" s="9">
        <f t="shared" si="1"/>
        <v>2523.6942640743823</v>
      </c>
      <c r="H14" s="9">
        <f t="shared" si="2"/>
        <v>2523.8120514229231</v>
      </c>
      <c r="I14" s="13">
        <f t="shared" si="3"/>
        <v>2523.7531577486525</v>
      </c>
    </row>
    <row r="15" spans="1:15" s="6" customFormat="1">
      <c r="A15" s="16" t="s">
        <v>44</v>
      </c>
      <c r="B15" s="6">
        <f>B16+6</f>
        <v>12</v>
      </c>
      <c r="C15" s="1">
        <f>'Closed Counts'!$C$16</f>
        <v>2732</v>
      </c>
      <c r="D15" s="1">
        <f>'Reported Counts'!$C$16</f>
        <v>2778</v>
      </c>
      <c r="E15" s="2">
        <f>'Closed Counts'!$C$48</f>
        <v>1.0103353629399805</v>
      </c>
      <c r="F15" s="2">
        <f>'Reported Counts'!$C$48</f>
        <v>0.9958202694679682</v>
      </c>
      <c r="G15" s="9">
        <f t="shared" si="1"/>
        <v>2760.2362115520268</v>
      </c>
      <c r="H15" s="9">
        <f t="shared" si="2"/>
        <v>2766.3887085820156</v>
      </c>
      <c r="I15" s="13">
        <f t="shared" si="3"/>
        <v>2763.3124600670212</v>
      </c>
    </row>
    <row r="16" spans="1:15" s="6" customFormat="1">
      <c r="A16" s="16" t="s">
        <v>45</v>
      </c>
      <c r="B16" s="6">
        <v>6</v>
      </c>
      <c r="C16" s="1">
        <f>'Closed Counts'!$B$17</f>
        <v>2533</v>
      </c>
      <c r="D16" s="1">
        <f>'Reported Counts'!$B$17</f>
        <v>3139</v>
      </c>
      <c r="E16" s="2">
        <f>'Closed Counts'!$B$48</f>
        <v>1.1947495468829294</v>
      </c>
      <c r="F16" s="2">
        <f>'Reported Counts'!$B$48</f>
        <v>0.97377454913861028</v>
      </c>
      <c r="G16" s="9">
        <f t="shared" si="1"/>
        <v>3026.3006022544605</v>
      </c>
      <c r="H16" s="9">
        <f t="shared" si="2"/>
        <v>3056.6783097460975</v>
      </c>
      <c r="I16" s="13">
        <f>H16</f>
        <v>3056.6783097460975</v>
      </c>
      <c r="O16"/>
    </row>
    <row r="17" spans="1:14" s="7" customFormat="1">
      <c r="C17" s="1"/>
      <c r="D17" s="1"/>
      <c r="E17" s="8"/>
      <c r="F17" s="8"/>
      <c r="G17" s="9"/>
      <c r="H17" s="9"/>
      <c r="N17"/>
    </row>
    <row r="18" spans="1:14">
      <c r="A18" s="6" t="s">
        <v>21</v>
      </c>
      <c r="C18" s="10">
        <f>SUM(C7:C16)</f>
        <v>27766</v>
      </c>
      <c r="D18" s="10">
        <f>SUM(D7:D16)</f>
        <v>28441</v>
      </c>
      <c r="G18" s="10">
        <f>SUM(G7:G16)</f>
        <v>28291.438489596316</v>
      </c>
      <c r="H18" s="10">
        <f>SUM(H7:H16)</f>
        <v>28329.652474662755</v>
      </c>
      <c r="I18" s="10">
        <f>SUM(I7:I16)</f>
        <v>28325.73433587535</v>
      </c>
    </row>
  </sheetData>
  <mergeCells count="3">
    <mergeCell ref="C5:D5"/>
    <mergeCell ref="E5:F5"/>
    <mergeCell ref="G5:H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L18"/>
  <sheetViews>
    <sheetView workbookViewId="0">
      <selection activeCell="C14" sqref="C14"/>
    </sheetView>
  </sheetViews>
  <sheetFormatPr defaultRowHeight="15"/>
  <cols>
    <col min="2" max="2" width="13.42578125" customWidth="1"/>
    <col min="3" max="4" width="14.28515625" bestFit="1" customWidth="1"/>
    <col min="5" max="5" width="15.28515625" bestFit="1" customWidth="1"/>
    <col min="6" max="10" width="11.5703125" bestFit="1" customWidth="1"/>
  </cols>
  <sheetData>
    <row r="1" spans="1:12">
      <c r="A1" t="s">
        <v>29</v>
      </c>
    </row>
    <row r="2" spans="1:12">
      <c r="A2" t="s">
        <v>65</v>
      </c>
    </row>
    <row r="3" spans="1:12">
      <c r="A3" t="s">
        <v>14</v>
      </c>
      <c r="G3" s="20" t="s">
        <v>28</v>
      </c>
      <c r="H3" s="20"/>
      <c r="I3" s="20"/>
      <c r="J3" s="20"/>
    </row>
    <row r="4" spans="1:12">
      <c r="G4" s="19" t="s">
        <v>25</v>
      </c>
      <c r="H4" s="19"/>
      <c r="I4" s="19" t="s">
        <v>27</v>
      </c>
      <c r="J4" s="19"/>
    </row>
    <row r="5" spans="1:12">
      <c r="A5" s="7"/>
      <c r="B5" s="19" t="s">
        <v>19</v>
      </c>
      <c r="C5" s="19"/>
      <c r="D5" s="19" t="s">
        <v>20</v>
      </c>
      <c r="E5" s="19"/>
      <c r="F5" s="7" t="s">
        <v>23</v>
      </c>
      <c r="G5" s="19" t="s">
        <v>26</v>
      </c>
      <c r="H5" s="19"/>
      <c r="I5" s="19" t="s">
        <v>26</v>
      </c>
      <c r="J5" s="19"/>
      <c r="K5" s="7"/>
    </row>
    <row r="6" spans="1:12">
      <c r="A6" s="7" t="s">
        <v>1</v>
      </c>
      <c r="B6" s="14" t="s">
        <v>17</v>
      </c>
      <c r="C6" s="14" t="s">
        <v>18</v>
      </c>
      <c r="D6" s="14" t="s">
        <v>17</v>
      </c>
      <c r="E6" s="14" t="s">
        <v>18</v>
      </c>
      <c r="F6" s="12" t="s">
        <v>24</v>
      </c>
      <c r="G6" s="14" t="s">
        <v>17</v>
      </c>
      <c r="H6" s="14" t="s">
        <v>18</v>
      </c>
      <c r="I6" s="14" t="s">
        <v>17</v>
      </c>
      <c r="J6" s="14" t="s">
        <v>18</v>
      </c>
      <c r="K6" s="7"/>
    </row>
    <row r="7" spans="1:12">
      <c r="A7" s="7">
        <v>1999</v>
      </c>
      <c r="B7" s="1">
        <f>'Dev Method'!C7</f>
        <v>3292</v>
      </c>
      <c r="C7" s="1">
        <f>'Dev Method'!D7</f>
        <v>3292</v>
      </c>
      <c r="D7" s="9">
        <f>'Dev Method'!G7</f>
        <v>3292</v>
      </c>
      <c r="E7" s="9">
        <f>'Dev Method'!H7</f>
        <v>3292</v>
      </c>
      <c r="F7" s="13">
        <f>B7-C7</f>
        <v>0</v>
      </c>
      <c r="G7" s="13">
        <f>D7-B7</f>
        <v>0</v>
      </c>
      <c r="H7" s="13">
        <f>E7-B7</f>
        <v>0</v>
      </c>
      <c r="I7" s="13">
        <f>F7+G7</f>
        <v>0</v>
      </c>
      <c r="J7" s="13">
        <f>F7+H7</f>
        <v>0</v>
      </c>
      <c r="K7" s="7"/>
    </row>
    <row r="8" spans="1:12" s="7" customFormat="1">
      <c r="A8" s="7">
        <v>1999</v>
      </c>
      <c r="B8" s="1">
        <f>'Dev Method'!C8</f>
        <v>3242</v>
      </c>
      <c r="C8" s="1">
        <f>'Dev Method'!D8</f>
        <v>3243</v>
      </c>
      <c r="D8" s="9">
        <f>'Dev Method'!G8</f>
        <v>3242</v>
      </c>
      <c r="E8" s="9">
        <f>'Dev Method'!H8</f>
        <v>3242.0151837230492</v>
      </c>
      <c r="F8" s="13">
        <f t="shared" ref="F8:F16" si="0">B8-C8</f>
        <v>-1</v>
      </c>
      <c r="G8" s="13">
        <f t="shared" ref="G8:G16" si="1">D8-B8</f>
        <v>0</v>
      </c>
      <c r="H8" s="13">
        <f t="shared" ref="H8:H16" si="2">E8-B8</f>
        <v>1.5183723049176479E-2</v>
      </c>
      <c r="I8" s="13">
        <f t="shared" ref="I8:I16" si="3">F8+G8</f>
        <v>-1</v>
      </c>
      <c r="J8" s="13">
        <f t="shared" ref="J8:J16" si="4">F8+H8</f>
        <v>-0.98481627695082352</v>
      </c>
    </row>
    <row r="9" spans="1:12" s="7" customFormat="1">
      <c r="A9" s="7">
        <f>A8+1</f>
        <v>2000</v>
      </c>
      <c r="B9" s="1">
        <f>'Dev Method'!C9</f>
        <v>2698</v>
      </c>
      <c r="C9" s="1">
        <f>'Dev Method'!D9</f>
        <v>2699</v>
      </c>
      <c r="D9" s="9">
        <f>'Dev Method'!G9</f>
        <v>2697.5840271353686</v>
      </c>
      <c r="E9" s="9">
        <f>'Dev Method'!H9</f>
        <v>2697.764510191068</v>
      </c>
      <c r="F9" s="13">
        <f t="shared" si="0"/>
        <v>-1</v>
      </c>
      <c r="G9" s="13">
        <f t="shared" si="1"/>
        <v>-0.41597286463138516</v>
      </c>
      <c r="H9" s="13">
        <f t="shared" si="2"/>
        <v>-0.23548980893201588</v>
      </c>
      <c r="I9" s="13">
        <f t="shared" si="3"/>
        <v>-1.4159728646313852</v>
      </c>
      <c r="J9" s="13">
        <f t="shared" si="4"/>
        <v>-1.2354898089320159</v>
      </c>
    </row>
    <row r="10" spans="1:12" s="7" customFormat="1">
      <c r="A10" s="7">
        <f t="shared" ref="A10:A16" si="5">A9+1</f>
        <v>2001</v>
      </c>
      <c r="B10" s="1">
        <f>'Dev Method'!C10</f>
        <v>2756</v>
      </c>
      <c r="C10" s="1">
        <f>'Dev Method'!D10</f>
        <v>2757</v>
      </c>
      <c r="D10" s="9">
        <f>'Dev Method'!G10</f>
        <v>2755.5750847980266</v>
      </c>
      <c r="E10" s="9">
        <f>'Dev Method'!H10</f>
        <v>2755.4548849150506</v>
      </c>
      <c r="F10" s="13">
        <f t="shared" si="0"/>
        <v>-1</v>
      </c>
      <c r="G10" s="13">
        <f t="shared" si="1"/>
        <v>-0.42491520197336285</v>
      </c>
      <c r="H10" s="13">
        <f t="shared" si="2"/>
        <v>-0.54511508494942973</v>
      </c>
      <c r="I10" s="13">
        <f t="shared" si="3"/>
        <v>-1.4249152019733629</v>
      </c>
      <c r="J10" s="13">
        <f t="shared" si="4"/>
        <v>-1.5451150849494297</v>
      </c>
    </row>
    <row r="11" spans="1:12" s="7" customFormat="1">
      <c r="A11" s="7">
        <f t="shared" si="5"/>
        <v>2002</v>
      </c>
      <c r="B11" s="1">
        <f>'Dev Method'!C11</f>
        <v>2634</v>
      </c>
      <c r="C11" s="1">
        <f>'Dev Method'!D11</f>
        <v>2636</v>
      </c>
      <c r="D11" s="9">
        <f>'Dev Method'!G11</f>
        <v>2633.9125386914607</v>
      </c>
      <c r="E11" s="9">
        <f>'Dev Method'!H11</f>
        <v>2633.8790378480844</v>
      </c>
      <c r="F11" s="13">
        <f t="shared" si="0"/>
        <v>-2</v>
      </c>
      <c r="G11" s="13">
        <f t="shared" si="1"/>
        <v>-8.7461308539332094E-2</v>
      </c>
      <c r="H11" s="13">
        <f t="shared" si="2"/>
        <v>-0.12096215191559168</v>
      </c>
      <c r="I11" s="13">
        <f t="shared" si="3"/>
        <v>-2.0874613085393321</v>
      </c>
      <c r="J11" s="13">
        <f t="shared" si="4"/>
        <v>-2.1209621519155917</v>
      </c>
    </row>
    <row r="12" spans="1:12" s="7" customFormat="1">
      <c r="A12" s="7">
        <f t="shared" si="5"/>
        <v>2003</v>
      </c>
      <c r="B12" s="1">
        <f>'Dev Method'!C12</f>
        <v>2697</v>
      </c>
      <c r="C12" s="1">
        <f>'Dev Method'!D12</f>
        <v>2700</v>
      </c>
      <c r="D12" s="9">
        <f>'Dev Method'!G12</f>
        <v>2697.2437690573656</v>
      </c>
      <c r="E12" s="9">
        <f>'Dev Method'!H12</f>
        <v>2697.1457564745674</v>
      </c>
      <c r="F12" s="13">
        <f t="shared" si="0"/>
        <v>-3</v>
      </c>
      <c r="G12" s="13">
        <f t="shared" si="1"/>
        <v>0.24376905736562549</v>
      </c>
      <c r="H12" s="13">
        <f t="shared" si="2"/>
        <v>0.14575647456740626</v>
      </c>
      <c r="I12" s="13">
        <f t="shared" si="3"/>
        <v>-2.7562309426343745</v>
      </c>
      <c r="J12" s="13">
        <f t="shared" si="4"/>
        <v>-2.8542435254325937</v>
      </c>
    </row>
    <row r="13" spans="1:12" s="7" customFormat="1">
      <c r="A13" s="7">
        <f t="shared" si="5"/>
        <v>2004</v>
      </c>
      <c r="B13" s="1">
        <f>'Dev Method'!C13</f>
        <v>2662</v>
      </c>
      <c r="C13" s="1">
        <f>'Dev Method'!D13</f>
        <v>2668</v>
      </c>
      <c r="D13" s="9">
        <f>'Dev Method'!G13</f>
        <v>2662.8919920332237</v>
      </c>
      <c r="E13" s="9">
        <f>'Dev Method'!H13</f>
        <v>2664.5140317598953</v>
      </c>
      <c r="F13" s="13">
        <f t="shared" si="0"/>
        <v>-6</v>
      </c>
      <c r="G13" s="13">
        <f t="shared" si="1"/>
        <v>0.89199203322368703</v>
      </c>
      <c r="H13" s="13">
        <f t="shared" si="2"/>
        <v>2.5140317598952606</v>
      </c>
      <c r="I13" s="13">
        <f t="shared" si="3"/>
        <v>-5.108007966776313</v>
      </c>
      <c r="J13" s="13">
        <f t="shared" si="4"/>
        <v>-3.4859682401047394</v>
      </c>
    </row>
    <row r="14" spans="1:12" s="7" customFormat="1">
      <c r="A14" s="7">
        <f t="shared" si="5"/>
        <v>2005</v>
      </c>
      <c r="B14" s="1">
        <f>'Dev Method'!C14</f>
        <v>2520</v>
      </c>
      <c r="C14" s="1">
        <f>'Dev Method'!D14</f>
        <v>2529</v>
      </c>
      <c r="D14" s="9">
        <f>'Dev Method'!G14</f>
        <v>2523.6942640743823</v>
      </c>
      <c r="E14" s="9">
        <f>'Dev Method'!H14</f>
        <v>2523.8120514229231</v>
      </c>
      <c r="F14" s="13">
        <f t="shared" si="0"/>
        <v>-9</v>
      </c>
      <c r="G14" s="13">
        <f t="shared" si="1"/>
        <v>3.6942640743823176</v>
      </c>
      <c r="H14" s="13">
        <f t="shared" si="2"/>
        <v>3.8120514229231048</v>
      </c>
      <c r="I14" s="13">
        <f t="shared" si="3"/>
        <v>-5.3057359256176824</v>
      </c>
      <c r="J14" s="13">
        <f t="shared" si="4"/>
        <v>-5.1879485770768952</v>
      </c>
    </row>
    <row r="15" spans="1:12" s="7" customFormat="1">
      <c r="A15" s="7">
        <f t="shared" si="5"/>
        <v>2006</v>
      </c>
      <c r="B15" s="1">
        <f>'Dev Method'!C15</f>
        <v>2732</v>
      </c>
      <c r="C15" s="1">
        <f>'Dev Method'!D15</f>
        <v>2778</v>
      </c>
      <c r="D15" s="9">
        <f>'Dev Method'!G15</f>
        <v>2760.2362115520268</v>
      </c>
      <c r="E15" s="9">
        <f>'Dev Method'!H15</f>
        <v>2766.3887085820156</v>
      </c>
      <c r="F15" s="13">
        <f t="shared" si="0"/>
        <v>-46</v>
      </c>
      <c r="G15" s="13">
        <f t="shared" si="1"/>
        <v>28.236211552026816</v>
      </c>
      <c r="H15" s="13">
        <f t="shared" si="2"/>
        <v>34.388708582015624</v>
      </c>
      <c r="I15" s="13">
        <f t="shared" si="3"/>
        <v>-17.763788447973184</v>
      </c>
      <c r="J15" s="13">
        <f t="shared" si="4"/>
        <v>-11.611291417984376</v>
      </c>
    </row>
    <row r="16" spans="1:12" s="7" customFormat="1">
      <c r="A16" s="7">
        <f t="shared" si="5"/>
        <v>2007</v>
      </c>
      <c r="B16" s="1">
        <f>'Dev Method'!C16</f>
        <v>2533</v>
      </c>
      <c r="C16" s="1">
        <f>'Dev Method'!D16</f>
        <v>3139</v>
      </c>
      <c r="D16" s="9">
        <f>'Dev Method'!G16</f>
        <v>3026.3006022544605</v>
      </c>
      <c r="E16" s="9">
        <f>'Dev Method'!H16</f>
        <v>3056.6783097460975</v>
      </c>
      <c r="F16" s="13">
        <f t="shared" si="0"/>
        <v>-606</v>
      </c>
      <c r="G16" s="13">
        <f t="shared" si="1"/>
        <v>493.3006022544605</v>
      </c>
      <c r="H16" s="13">
        <f t="shared" si="2"/>
        <v>523.67830974609751</v>
      </c>
      <c r="I16" s="13">
        <f t="shared" si="3"/>
        <v>-112.6993977455395</v>
      </c>
      <c r="J16" s="13">
        <f t="shared" si="4"/>
        <v>-82.321690253902489</v>
      </c>
      <c r="L16"/>
    </row>
    <row r="17" spans="1:11" s="7" customFormat="1">
      <c r="B17" s="1"/>
      <c r="C17" s="1"/>
      <c r="D17" s="9"/>
      <c r="E17" s="9"/>
      <c r="K17"/>
    </row>
    <row r="18" spans="1:11">
      <c r="A18" s="7" t="s">
        <v>21</v>
      </c>
      <c r="B18" s="10">
        <f t="shared" ref="B18:J18" si="6">SUM(B7:B16)</f>
        <v>27766</v>
      </c>
      <c r="C18" s="10">
        <f t="shared" si="6"/>
        <v>28441</v>
      </c>
      <c r="D18" s="10">
        <f t="shared" si="6"/>
        <v>28291.438489596316</v>
      </c>
      <c r="E18" s="10">
        <f t="shared" si="6"/>
        <v>28329.652474662755</v>
      </c>
      <c r="F18" s="10">
        <f t="shared" si="6"/>
        <v>-675</v>
      </c>
      <c r="G18" s="10">
        <f t="shared" si="6"/>
        <v>525.43848959631487</v>
      </c>
      <c r="H18" s="10">
        <f t="shared" si="6"/>
        <v>563.65247466275105</v>
      </c>
      <c r="I18" s="10">
        <f t="shared" si="6"/>
        <v>-149.56151040368513</v>
      </c>
      <c r="J18" s="10">
        <f t="shared" si="6"/>
        <v>-111.34752533724895</v>
      </c>
    </row>
  </sheetData>
  <mergeCells count="7">
    <mergeCell ref="G3:J3"/>
    <mergeCell ref="B5:C5"/>
    <mergeCell ref="D5:E5"/>
    <mergeCell ref="G4:H4"/>
    <mergeCell ref="G5:H5"/>
    <mergeCell ref="I4:J4"/>
    <mergeCell ref="I5:J5"/>
  </mergeCells>
  <pageMargins left="0.7" right="0.7" top="0.75" bottom="0.75" header="0.3" footer="0.3"/>
  <pageSetup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P19"/>
  <sheetViews>
    <sheetView workbookViewId="0">
      <selection activeCell="A8" sqref="A8"/>
    </sheetView>
  </sheetViews>
  <sheetFormatPr defaultRowHeight="15"/>
  <cols>
    <col min="2" max="2" width="13.85546875" bestFit="1" customWidth="1"/>
    <col min="3" max="4" width="13.85546875" customWidth="1"/>
    <col min="5" max="5" width="13.42578125" customWidth="1"/>
    <col min="6" max="6" width="14.28515625" bestFit="1" customWidth="1"/>
    <col min="7" max="8" width="9.5703125" bestFit="1" customWidth="1"/>
    <col min="9" max="9" width="14.28515625" bestFit="1" customWidth="1"/>
    <col min="10" max="10" width="15.28515625" bestFit="1" customWidth="1"/>
    <col min="11" max="11" width="10.5703125" bestFit="1" customWidth="1"/>
  </cols>
  <sheetData>
    <row r="1" spans="1:11">
      <c r="A1" t="s">
        <v>29</v>
      </c>
    </row>
    <row r="2" spans="1:11">
      <c r="A2" t="s">
        <v>72</v>
      </c>
    </row>
    <row r="3" spans="1:11">
      <c r="A3" t="s">
        <v>14</v>
      </c>
    </row>
    <row r="5" spans="1:11">
      <c r="A5" s="16"/>
      <c r="B5" s="16" t="s">
        <v>15</v>
      </c>
      <c r="C5" s="16" t="s">
        <v>17</v>
      </c>
      <c r="D5" s="16" t="s">
        <v>18</v>
      </c>
      <c r="E5" s="16" t="s">
        <v>17</v>
      </c>
      <c r="F5" s="16"/>
      <c r="G5" s="16" t="s">
        <v>35</v>
      </c>
      <c r="H5" s="16" t="s">
        <v>35</v>
      </c>
      <c r="I5" s="16" t="s">
        <v>35</v>
      </c>
    </row>
    <row r="6" spans="1:11">
      <c r="A6" s="16" t="s">
        <v>1</v>
      </c>
      <c r="B6" s="16" t="s">
        <v>16</v>
      </c>
      <c r="C6" s="16" t="s">
        <v>31</v>
      </c>
      <c r="D6" s="16" t="s">
        <v>31</v>
      </c>
      <c r="E6" s="16" t="s">
        <v>53</v>
      </c>
      <c r="F6" s="16" t="s">
        <v>34</v>
      </c>
      <c r="G6" s="16" t="s">
        <v>53</v>
      </c>
      <c r="H6" s="16" t="s">
        <v>54</v>
      </c>
      <c r="I6" s="16" t="s">
        <v>31</v>
      </c>
      <c r="J6" s="16" t="s">
        <v>32</v>
      </c>
      <c r="K6" s="16" t="s">
        <v>33</v>
      </c>
    </row>
    <row r="7" spans="1:11">
      <c r="A7" s="16" t="s">
        <v>36</v>
      </c>
      <c r="B7" s="16">
        <f t="shared" ref="B7:B14" si="0">B8+6</f>
        <v>60</v>
      </c>
      <c r="C7" s="1">
        <f>'Reported Claims'!K8</f>
        <v>14847000</v>
      </c>
      <c r="D7" s="9">
        <v>14846000</v>
      </c>
      <c r="E7" s="9">
        <f>'Reported Severity'!K8</f>
        <v>4510.0243013365734</v>
      </c>
      <c r="F7" s="2">
        <f>'Reported Severity'!K48</f>
        <v>1</v>
      </c>
      <c r="G7" s="9">
        <f>E7*F7</f>
        <v>4510.0243013365734</v>
      </c>
      <c r="H7" s="9">
        <f>'Dev Method'!I7</f>
        <v>3292</v>
      </c>
      <c r="I7" s="9">
        <f>G7*H7</f>
        <v>14847000</v>
      </c>
      <c r="J7" s="10">
        <f>I7-C7</f>
        <v>0</v>
      </c>
      <c r="K7" s="10">
        <f>I7-D7</f>
        <v>1000</v>
      </c>
    </row>
    <row r="8" spans="1:11" s="16" customFormat="1">
      <c r="A8" s="16" t="s">
        <v>37</v>
      </c>
      <c r="B8" s="16">
        <f t="shared" si="0"/>
        <v>54</v>
      </c>
      <c r="C8" s="1">
        <f>'Reported Claims'!J9</f>
        <v>14617000</v>
      </c>
      <c r="D8" s="9">
        <v>14614000</v>
      </c>
      <c r="E8" s="9">
        <f>'Reported Severity'!J9</f>
        <v>4507.246376811594</v>
      </c>
      <c r="F8" s="2">
        <f>'Reported Severity'!J48</f>
        <v>1.000101685138137</v>
      </c>
      <c r="G8" s="9">
        <f t="shared" ref="G8:G16" si="1">E8*F8</f>
        <v>4507.7046967820379</v>
      </c>
      <c r="H8" s="9">
        <f>'Dev Method'!I8</f>
        <v>3242.0075918615248</v>
      </c>
      <c r="I8" s="9">
        <f t="shared" ref="I8:I16" si="2">G8*H8</f>
        <v>14614012.848837219</v>
      </c>
      <c r="J8" s="10">
        <f t="shared" ref="J8:J16" si="3">I8-C8</f>
        <v>-2987.1511627808213</v>
      </c>
      <c r="K8" s="10">
        <f t="shared" ref="K8:K16" si="4">I8-D8</f>
        <v>12.848837219178677</v>
      </c>
    </row>
    <row r="9" spans="1:11" s="16" customFormat="1">
      <c r="A9" s="16" t="s">
        <v>38</v>
      </c>
      <c r="B9" s="16">
        <f t="shared" si="0"/>
        <v>48</v>
      </c>
      <c r="C9" s="1">
        <f>'Reported Claims'!I10</f>
        <v>12502000</v>
      </c>
      <c r="D9" s="9">
        <v>12502000</v>
      </c>
      <c r="E9" s="9">
        <f>'Reported Severity'!I10</f>
        <v>4632.0859577621341</v>
      </c>
      <c r="F9" s="2">
        <f>'Reported Severity'!I48</f>
        <v>1.0003266304410037</v>
      </c>
      <c r="G9" s="9">
        <f t="shared" si="1"/>
        <v>4633.5989380412848</v>
      </c>
      <c r="H9" s="9">
        <f>'Dev Method'!I9</f>
        <v>2697.6742686632183</v>
      </c>
      <c r="I9" s="9">
        <f t="shared" si="2"/>
        <v>12499940.626459189</v>
      </c>
      <c r="J9" s="10">
        <f t="shared" si="3"/>
        <v>-2059.3735408112407</v>
      </c>
      <c r="K9" s="10">
        <f t="shared" si="4"/>
        <v>-2059.3735408112407</v>
      </c>
    </row>
    <row r="10" spans="1:11" s="16" customFormat="1">
      <c r="A10" s="16" t="s">
        <v>39</v>
      </c>
      <c r="B10" s="16">
        <f t="shared" si="0"/>
        <v>42</v>
      </c>
      <c r="C10" s="1">
        <f>'Reported Claims'!H11</f>
        <v>11841000</v>
      </c>
      <c r="D10" s="9">
        <v>11840000</v>
      </c>
      <c r="E10" s="9">
        <f>'Reported Severity'!H11</f>
        <v>4294.8857453754081</v>
      </c>
      <c r="F10" s="2">
        <f>'Reported Severity'!H48</f>
        <v>1.0001043818246651</v>
      </c>
      <c r="G10" s="9">
        <f t="shared" si="1"/>
        <v>4295.3340533862383</v>
      </c>
      <c r="H10" s="9">
        <f>'Dev Method'!I10</f>
        <v>2755.5149848565388</v>
      </c>
      <c r="I10" s="9">
        <f t="shared" si="2"/>
        <v>11835857.349070355</v>
      </c>
      <c r="J10" s="10">
        <f t="shared" si="3"/>
        <v>-5142.6509296447039</v>
      </c>
      <c r="K10" s="10">
        <f t="shared" si="4"/>
        <v>-4142.6509296447039</v>
      </c>
    </row>
    <row r="11" spans="1:11" s="16" customFormat="1">
      <c r="A11" s="16" t="s">
        <v>40</v>
      </c>
      <c r="B11" s="16">
        <f t="shared" si="0"/>
        <v>36</v>
      </c>
      <c r="C11" s="1">
        <f>'Reported Claims'!G12</f>
        <v>11770000</v>
      </c>
      <c r="D11" s="9">
        <v>11765000</v>
      </c>
      <c r="E11" s="9">
        <f>'Reported Severity'!G12</f>
        <v>4465.0986342943852</v>
      </c>
      <c r="F11" s="2">
        <f>'Reported Severity'!G48</f>
        <v>0.99991814954592606</v>
      </c>
      <c r="G11" s="9">
        <f t="shared" si="1"/>
        <v>4464.7331639436834</v>
      </c>
      <c r="H11" s="9">
        <f>'Dev Method'!I11</f>
        <v>2633.8957882697723</v>
      </c>
      <c r="I11" s="9">
        <f t="shared" si="2"/>
        <v>11759641.876259642</v>
      </c>
      <c r="J11" s="10">
        <f t="shared" si="3"/>
        <v>-10358.123740358278</v>
      </c>
      <c r="K11" s="10">
        <f t="shared" si="4"/>
        <v>-5358.1237403582782</v>
      </c>
    </row>
    <row r="12" spans="1:11" s="16" customFormat="1">
      <c r="A12" s="16" t="s">
        <v>41</v>
      </c>
      <c r="B12" s="16">
        <f t="shared" si="0"/>
        <v>30</v>
      </c>
      <c r="C12" s="1">
        <f>'Reported Claims'!F13</f>
        <v>11760000</v>
      </c>
      <c r="D12" s="9">
        <v>11755000</v>
      </c>
      <c r="E12" s="9">
        <f>'Reported Severity'!F13</f>
        <v>4355.5555555555557</v>
      </c>
      <c r="F12" s="2">
        <f>'Reported Severity'!F48</f>
        <v>0.99983319139192706</v>
      </c>
      <c r="G12" s="9">
        <f t="shared" si="1"/>
        <v>4354.8290113959492</v>
      </c>
      <c r="H12" s="9">
        <f>'Dev Method'!I12</f>
        <v>2697.1947627659665</v>
      </c>
      <c r="I12" s="9">
        <f t="shared" si="2"/>
        <v>11745822.002278445</v>
      </c>
      <c r="J12" s="10">
        <f t="shared" si="3"/>
        <v>-14177.997721554711</v>
      </c>
      <c r="K12" s="10">
        <f t="shared" si="4"/>
        <v>-9177.9977215547115</v>
      </c>
    </row>
    <row r="13" spans="1:11" s="16" customFormat="1">
      <c r="A13" s="16" t="s">
        <v>42</v>
      </c>
      <c r="B13" s="16">
        <f t="shared" si="0"/>
        <v>24</v>
      </c>
      <c r="C13" s="1">
        <f>'Reported Claims'!E14</f>
        <v>12697000</v>
      </c>
      <c r="D13" s="9">
        <v>12679000</v>
      </c>
      <c r="E13" s="9">
        <f>'Reported Severity'!E14</f>
        <v>4758.9955022488757</v>
      </c>
      <c r="F13" s="2">
        <f>'Reported Severity'!E48</f>
        <v>0.99903756030125423</v>
      </c>
      <c r="G13" s="9">
        <f t="shared" si="1"/>
        <v>4754.4152560513585</v>
      </c>
      <c r="H13" s="9">
        <f>'Dev Method'!I13</f>
        <v>2663.7030118965595</v>
      </c>
      <c r="I13" s="9">
        <f t="shared" si="2"/>
        <v>12664350.237350956</v>
      </c>
      <c r="J13" s="10">
        <f t="shared" si="3"/>
        <v>-32649.762649044394</v>
      </c>
      <c r="K13" s="10">
        <f t="shared" si="4"/>
        <v>-14649.762649044394</v>
      </c>
    </row>
    <row r="14" spans="1:11" s="16" customFormat="1">
      <c r="A14" s="16" t="s">
        <v>43</v>
      </c>
      <c r="B14" s="16">
        <f t="shared" si="0"/>
        <v>18</v>
      </c>
      <c r="C14" s="1">
        <f>'Reported Claims'!D15</f>
        <v>11492000</v>
      </c>
      <c r="D14" s="9">
        <v>11406000</v>
      </c>
      <c r="E14" s="9">
        <f>'Reported Severity'!D15</f>
        <v>4544.088572558323</v>
      </c>
      <c r="F14" s="2">
        <f>'Reported Severity'!D48</f>
        <v>0.99774184286553591</v>
      </c>
      <c r="G14" s="9">
        <f t="shared" si="1"/>
        <v>4533.8273065285639</v>
      </c>
      <c r="H14" s="9">
        <f>'Dev Method'!I14</f>
        <v>2523.7531577486525</v>
      </c>
      <c r="I14" s="9">
        <f t="shared" si="2"/>
        <v>11442260.98153853</v>
      </c>
      <c r="J14" s="10">
        <f t="shared" si="3"/>
        <v>-49739.018461469561</v>
      </c>
      <c r="K14" s="10">
        <f t="shared" si="4"/>
        <v>36260.981538530439</v>
      </c>
    </row>
    <row r="15" spans="1:11" s="16" customFormat="1">
      <c r="A15" s="16" t="s">
        <v>44</v>
      </c>
      <c r="B15" s="16">
        <f>B16+6</f>
        <v>12</v>
      </c>
      <c r="C15" s="1">
        <f>'Reported Claims'!C16</f>
        <v>12854000</v>
      </c>
      <c r="D15" s="9">
        <v>12648000</v>
      </c>
      <c r="E15" s="9">
        <f>'Reported Severity'!C16</f>
        <v>4627.069834413247</v>
      </c>
      <c r="F15" s="2">
        <f>'Reported Severity'!C48</f>
        <v>0.99650354551604847</v>
      </c>
      <c r="G15" s="9">
        <f t="shared" si="1"/>
        <v>4610.8914953431558</v>
      </c>
      <c r="H15" s="9">
        <f>'Dev Method'!I15</f>
        <v>2763.3124600670212</v>
      </c>
      <c r="I15" s="9">
        <f t="shared" si="2"/>
        <v>12741333.921098802</v>
      </c>
      <c r="J15" s="10">
        <f t="shared" si="3"/>
        <v>-112666.07890119776</v>
      </c>
      <c r="K15" s="10">
        <f t="shared" si="4"/>
        <v>93333.921098802239</v>
      </c>
    </row>
    <row r="16" spans="1:11" s="16" customFormat="1">
      <c r="A16" s="16" t="s">
        <v>45</v>
      </c>
      <c r="B16" s="16">
        <v>6</v>
      </c>
      <c r="C16" s="1">
        <f>'Reported Claims'!B17</f>
        <v>14071000</v>
      </c>
      <c r="D16" s="9">
        <v>11833000</v>
      </c>
      <c r="E16" s="9">
        <f>'Reported Severity'!B17</f>
        <v>4482.6377827333545</v>
      </c>
      <c r="F16" s="2">
        <f>'Reported Severity'!B48</f>
        <v>1.0352561672452216</v>
      </c>
      <c r="G16" s="9">
        <f t="shared" si="1"/>
        <v>4640.6784101011508</v>
      </c>
      <c r="H16" s="9">
        <f>'Dev Method'!I16</f>
        <v>3056.6783097460975</v>
      </c>
      <c r="I16" s="9">
        <f t="shared" si="2"/>
        <v>14185061.038663194</v>
      </c>
      <c r="J16" s="10">
        <f t="shared" si="3"/>
        <v>114061.03866319358</v>
      </c>
      <c r="K16" s="10">
        <f t="shared" si="4"/>
        <v>2352061.0386631936</v>
      </c>
    </row>
    <row r="17" spans="1:16" s="16" customFormat="1">
      <c r="I17"/>
    </row>
    <row r="18" spans="1:16">
      <c r="A18" s="16" t="s">
        <v>21</v>
      </c>
      <c r="H18" s="10">
        <f>SUM(H7:H16)</f>
        <v>28325.73433587535</v>
      </c>
      <c r="I18" s="10">
        <f>SUM(I7:I16)</f>
        <v>128335280.88155633</v>
      </c>
      <c r="J18" s="10">
        <f>SUM(J7:J16)</f>
        <v>-115719.11844366789</v>
      </c>
      <c r="K18" s="10">
        <f>SUM(K7:K16)</f>
        <v>2447280.8815563321</v>
      </c>
      <c r="P18" s="16"/>
    </row>
    <row r="19" spans="1:16">
      <c r="O19" s="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Closed Counts</vt:lpstr>
      <vt:lpstr>Reported Counts</vt:lpstr>
      <vt:lpstr>Reported Claims</vt:lpstr>
      <vt:lpstr>Reported Severity</vt:lpstr>
      <vt:lpstr>Diagnostics</vt:lpstr>
      <vt:lpstr>Dev Method</vt:lpstr>
      <vt:lpstr>Dev Unpaid</vt:lpstr>
      <vt:lpstr>Proj FS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antisyst3m</dc:creator>
  <cp:lastModifiedBy>Rob Swiatek</cp:lastModifiedBy>
  <dcterms:created xsi:type="dcterms:W3CDTF">2009-06-08T21:29:53Z</dcterms:created>
  <dcterms:modified xsi:type="dcterms:W3CDTF">2009-09-11T19:48:30Z</dcterms:modified>
</cp:coreProperties>
</file>