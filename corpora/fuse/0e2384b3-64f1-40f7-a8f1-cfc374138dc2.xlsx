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30" yWindow="540" windowWidth="19320" windowHeight="11445"/>
  </bookViews>
  <sheets>
    <sheet name="GSA Forecast" sheetId="1" r:id="rId1"/>
    <sheet name="Forecast LEGEND" sheetId="2" r:id="rId2"/>
  </sheets>
  <externalReferences>
    <externalReference r:id="rId3"/>
    <externalReference r:id="rId4"/>
    <externalReference r:id="rId5"/>
    <externalReference r:id="rId6"/>
    <externalReference r:id="rId7"/>
  </externalReferences>
  <definedNames>
    <definedName name="_xlnm._FilterDatabase" localSheetId="0" hidden="1">'GSA Forecast'!$A$105:$X$997</definedName>
    <definedName name="_xlnm._FilterDatabase">'GSA Forecast'!$A$105:$X$105</definedName>
  </definedNames>
  <calcPr calcId="125725"/>
</workbook>
</file>

<file path=xl/calcChain.xml><?xml version="1.0" encoding="utf-8"?>
<calcChain xmlns="http://schemas.openxmlformats.org/spreadsheetml/2006/main">
  <c r="A82" i="2"/>
  <c r="A62"/>
  <c r="A59"/>
  <c r="A55"/>
  <c r="A53"/>
  <c r="A11"/>
  <c r="H104" i="1"/>
</calcChain>
</file>

<file path=xl/sharedStrings.xml><?xml version="1.0" encoding="utf-8"?>
<sst xmlns="http://schemas.openxmlformats.org/spreadsheetml/2006/main" count="17124" uniqueCount="2877">
  <si>
    <t>GSA Forecast of Contracting Opportunities</t>
  </si>
  <si>
    <t>PBS-Public Buildings Service</t>
  </si>
  <si>
    <t>R1-New England Region</t>
  </si>
  <si>
    <t>Awarded</t>
  </si>
  <si>
    <t>A-Research &amp; Development</t>
  </si>
  <si>
    <t>AL</t>
  </si>
  <si>
    <t>Not Determined</t>
  </si>
  <si>
    <t>Government-wide Agency Contract-GWAC</t>
  </si>
  <si>
    <t>Sole Source</t>
  </si>
  <si>
    <t>Yes</t>
  </si>
  <si>
    <t>1st Quarter</t>
  </si>
  <si>
    <t>Dewayne Carter, 703-605-2587, dewayne.carter@gsa.gov</t>
  </si>
  <si>
    <t>FAS-Federal Acquisition Service</t>
  </si>
  <si>
    <t>R2-Northeast and Caribbean Region</t>
  </si>
  <si>
    <t>Cancelled</t>
  </si>
  <si>
    <t>B-Special studies and analysis - not R&amp;D</t>
  </si>
  <si>
    <t>AK</t>
  </si>
  <si>
    <t>Section 8(a)</t>
  </si>
  <si>
    <t>Indefinite Delivery Contract-IDC</t>
  </si>
  <si>
    <t>Full and Open</t>
  </si>
  <si>
    <t>No</t>
  </si>
  <si>
    <t>2nd Quarter</t>
  </si>
  <si>
    <t>Gwen Anderson, 202-501-3455, gwen.anderson@gsa.gov</t>
  </si>
  <si>
    <t>OCAO-Office of the Chief Acquisition Officer</t>
  </si>
  <si>
    <t>R3-Mid-Atlantic Region</t>
  </si>
  <si>
    <t>Planned</t>
  </si>
  <si>
    <t>C-Architect and engineering services</t>
  </si>
  <si>
    <t>AS</t>
  </si>
  <si>
    <t>Small Business</t>
  </si>
  <si>
    <t>GSA Schedule</t>
  </si>
  <si>
    <t>A/E Procedures</t>
  </si>
  <si>
    <t>3rd Quarter</t>
  </si>
  <si>
    <t>Kevin Pope, 202-501-0246, kevin.pope@gsa.gov</t>
  </si>
  <si>
    <t>CBCA-Civilian Board of Contract Appeals</t>
  </si>
  <si>
    <t>R4-Southeast Sunbelt Region</t>
  </si>
  <si>
    <t>Solicitation</t>
  </si>
  <si>
    <t>D-Information technology services, including telecommunications services</t>
  </si>
  <si>
    <t>AZ</t>
  </si>
  <si>
    <t>Small Disadvantaged Business</t>
  </si>
  <si>
    <t>VA Federal Supply Schedule</t>
  </si>
  <si>
    <t>IDIQ</t>
  </si>
  <si>
    <t>4th Quarter</t>
  </si>
  <si>
    <t>Jerry Smith, 617-565-8102, jerry.smith@gsa.gov</t>
  </si>
  <si>
    <t>CFO-Chief Financial Officer</t>
  </si>
  <si>
    <t>R5-Great Lakes Region</t>
  </si>
  <si>
    <t>To Be Awarded</t>
  </si>
  <si>
    <t>E-Purchase of structures &amp; facilities</t>
  </si>
  <si>
    <t>AR</t>
  </si>
  <si>
    <t>Woman-Owned Small Business</t>
  </si>
  <si>
    <t>Basic Ordering Agreement</t>
  </si>
  <si>
    <t>Negotiated</t>
  </si>
  <si>
    <t>Janice Bracey, 212-264-1235 janice.bracey@gsa.gov</t>
  </si>
  <si>
    <t>CIA-Congressional &amp; Intergovernmental Affairs</t>
  </si>
  <si>
    <t>R6-The Heartland Region</t>
  </si>
  <si>
    <t>F-Natural resrouces &amp; conservation services</t>
  </si>
  <si>
    <t>CA</t>
  </si>
  <si>
    <t>HUBZone Small Business</t>
  </si>
  <si>
    <t>Blanket Purchase Agreement-BPA</t>
  </si>
  <si>
    <t>Sealed Bid</t>
  </si>
  <si>
    <t>Mari McNally, 215-446-4934, mari.mcnally@gsa.gov</t>
  </si>
  <si>
    <t>CIO-Office of the Chief Information Officer</t>
  </si>
  <si>
    <t>R7-Greater Southwest Region</t>
  </si>
  <si>
    <t>G-Social services</t>
  </si>
  <si>
    <t>CO</t>
  </si>
  <si>
    <t>Service Disabled Veteran-owned Small Business</t>
  </si>
  <si>
    <t>Multi-Agency Contract</t>
  </si>
  <si>
    <t>Millie Quinley, 404-331-1053, millie.quinley@gsa.gov</t>
  </si>
  <si>
    <t>CPO-Office of the Chief People Officer</t>
  </si>
  <si>
    <t>R8-Rocky Mountain Region</t>
  </si>
  <si>
    <t>H-Quality control, testing &amp; inspection services</t>
  </si>
  <si>
    <t>CT</t>
  </si>
  <si>
    <t>Other Than Small</t>
  </si>
  <si>
    <t>BPA Call</t>
  </si>
  <si>
    <t>Set-Aside</t>
  </si>
  <si>
    <t>Stephanie Wilson-Coleman, 312-886-8194, stephanie.wilson-coleman@gsa.gov</t>
  </si>
  <si>
    <t>OAS-Office of Administrative Services</t>
  </si>
  <si>
    <t>R9-Pacific Rim Region</t>
  </si>
  <si>
    <t>J-Maintenance, repair &amp; rebuilding of equipment</t>
  </si>
  <si>
    <t>DE</t>
  </si>
  <si>
    <t>Purchase Order</t>
  </si>
  <si>
    <t>To Be Determined (TBD)</t>
  </si>
  <si>
    <t>Darrel Davis, 816-926-7204, darrel.davis@gsa.gov</t>
  </si>
  <si>
    <t>OCR-Office of Civil Rights</t>
  </si>
  <si>
    <t>R10-Northwest Arctic Region</t>
  </si>
  <si>
    <t>K-Modification of equipment</t>
  </si>
  <si>
    <t>DC</t>
  </si>
  <si>
    <t>Delivery Order</t>
  </si>
  <si>
    <t>Partial Small Business Set-Aside</t>
  </si>
  <si>
    <t>Albert Garza, 817-978-2828, albert.garza@gsa.gov</t>
  </si>
  <si>
    <t>OCM-Office of Communications and Marketing</t>
  </si>
  <si>
    <t>NCR-National Capital Region</t>
  </si>
  <si>
    <t>L-Technical representative services</t>
  </si>
  <si>
    <t>FM</t>
  </si>
  <si>
    <t>Definitive Contract</t>
  </si>
  <si>
    <t>Pennie Estrada, 303-236-7409, pennie.estrada@gsa.gov</t>
  </si>
  <si>
    <t>OCSIT-Office of Citizen Services and Innovative Technologies</t>
  </si>
  <si>
    <t>Central Office</t>
  </si>
  <si>
    <t>M-Operation of Government-owned facilities</t>
  </si>
  <si>
    <t>FL</t>
  </si>
  <si>
    <t>Fixed Price Redetermination</t>
  </si>
  <si>
    <t>Pamela Smith-Cressel, 213-894-3210, pam.smith-cressel@gsa.gov</t>
  </si>
  <si>
    <t>OERR-Office of Emergency Response and Recovery</t>
  </si>
  <si>
    <t>N-Installation of equipment</t>
  </si>
  <si>
    <t>GA</t>
  </si>
  <si>
    <t>Fixed Price Level of Effort</t>
  </si>
  <si>
    <t>Kenyon Taylor, 253-931-7956, kenyon.taylor@gsa.gov</t>
  </si>
  <si>
    <t>OGC-Office of General Counsel</t>
  </si>
  <si>
    <t>P-Salvage services</t>
  </si>
  <si>
    <t>GU</t>
  </si>
  <si>
    <t>Firm Fixed Price</t>
  </si>
  <si>
    <t>Judith Stackhouse, 202-708-5804, judith.stackhouse@gsa.gov</t>
  </si>
  <si>
    <t>OGP-Office of Government-wide Policy</t>
  </si>
  <si>
    <t>Q-Medical services</t>
  </si>
  <si>
    <t>HI</t>
  </si>
  <si>
    <t>Fixed Price with Economic Price Adjustment</t>
  </si>
  <si>
    <t>OIG-Office of Inspector General</t>
  </si>
  <si>
    <t>R-Professional, administrative, and management support services</t>
  </si>
  <si>
    <t>ID</t>
  </si>
  <si>
    <t>Fixed Price Incentive</t>
  </si>
  <si>
    <t>OSBU-Office of Small Business Utilization</t>
  </si>
  <si>
    <t>S-Utilities and housekeeping services</t>
  </si>
  <si>
    <t>IL</t>
  </si>
  <si>
    <t>Fixed Price Award Fee</t>
  </si>
  <si>
    <t>T-Photographic, mapping, printing &amp; publication services</t>
  </si>
  <si>
    <t>IN</t>
  </si>
  <si>
    <t>Cost Plus Award Fee</t>
  </si>
  <si>
    <t>U-Education &amp; training services</t>
  </si>
  <si>
    <t>IA</t>
  </si>
  <si>
    <t>Cost No Fee</t>
  </si>
  <si>
    <t>W-Lease or Rental of equipment</t>
  </si>
  <si>
    <t>KS</t>
  </si>
  <si>
    <t>Cost Sharing</t>
  </si>
  <si>
    <t>X-Lease or rental of facilities</t>
  </si>
  <si>
    <t>KY</t>
  </si>
  <si>
    <t>Cost Plus Fixed Fee</t>
  </si>
  <si>
    <t>Y-Construction of structures and facilities</t>
  </si>
  <si>
    <t>LA</t>
  </si>
  <si>
    <t>Cost Plus Incentive Fee</t>
  </si>
  <si>
    <t>Z-Maintenance, repair, and alteration of real property</t>
  </si>
  <si>
    <t>ME</t>
  </si>
  <si>
    <t>Time and Materials</t>
  </si>
  <si>
    <t>10-Weapons</t>
  </si>
  <si>
    <t>MH</t>
  </si>
  <si>
    <t>Labor Hours</t>
  </si>
  <si>
    <t>11-Nuclear ordnance</t>
  </si>
  <si>
    <t>MD</t>
  </si>
  <si>
    <t>Order Dependent</t>
  </si>
  <si>
    <t>12-Fire control equipment</t>
  </si>
  <si>
    <t>MA</t>
  </si>
  <si>
    <t>Ability One</t>
  </si>
  <si>
    <t>13-Ammunition &amp; explosives</t>
  </si>
  <si>
    <t>MI</t>
  </si>
  <si>
    <t>14-Guided missiles</t>
  </si>
  <si>
    <t>MN</t>
  </si>
  <si>
    <t>15-Aircraft &amp; airframe  structural components</t>
  </si>
  <si>
    <t>MS</t>
  </si>
  <si>
    <t>16-Aircraft components &amp; accessories</t>
  </si>
  <si>
    <t>MO</t>
  </si>
  <si>
    <t>17-Aircraft launching, landing &amp; ground handling equipment</t>
  </si>
  <si>
    <t>MT</t>
  </si>
  <si>
    <t>18-Space vehicles</t>
  </si>
  <si>
    <t>NE</t>
  </si>
  <si>
    <t>19-Ships, small craft, pontoons &amp; floating docks</t>
  </si>
  <si>
    <t>NV</t>
  </si>
  <si>
    <t>20-Ship and marine equipment</t>
  </si>
  <si>
    <t>NH</t>
  </si>
  <si>
    <t>22-Railway equipment</t>
  </si>
  <si>
    <t>NJ</t>
  </si>
  <si>
    <t>23-Ground effects vehicles, motor vehicles, trailers &amp; cycles</t>
  </si>
  <si>
    <t>NM</t>
  </si>
  <si>
    <t>24-Tractors</t>
  </si>
  <si>
    <t>NY</t>
  </si>
  <si>
    <t>25-Vehicular equipment components</t>
  </si>
  <si>
    <t>NC</t>
  </si>
  <si>
    <t>26-Tires and tubes</t>
  </si>
  <si>
    <t>ND</t>
  </si>
  <si>
    <t>28-Engines, turbines &amp; components</t>
  </si>
  <si>
    <t>MP</t>
  </si>
  <si>
    <t>29-Engine accessories</t>
  </si>
  <si>
    <t>OH</t>
  </si>
  <si>
    <t>30-Mechanical power transmission equipment</t>
  </si>
  <si>
    <t>OK</t>
  </si>
  <si>
    <t>31-Bearings</t>
  </si>
  <si>
    <t>OR</t>
  </si>
  <si>
    <t>32-Woodworking machinery and equipment</t>
  </si>
  <si>
    <t>PW</t>
  </si>
  <si>
    <t>34-Metalworking machinery</t>
  </si>
  <si>
    <t>PA</t>
  </si>
  <si>
    <t>35-Service and trade equipment</t>
  </si>
  <si>
    <t>PR</t>
  </si>
  <si>
    <t>36-Special industry machinery</t>
  </si>
  <si>
    <t>RI</t>
  </si>
  <si>
    <t>37-Agricultural machinery &amp; equipment</t>
  </si>
  <si>
    <t>SC</t>
  </si>
  <si>
    <t>38-Construction, mining, excavating &amp; highway maintenance equipment</t>
  </si>
  <si>
    <t>SD</t>
  </si>
  <si>
    <t>39-Materials handling equipment</t>
  </si>
  <si>
    <t>TN</t>
  </si>
  <si>
    <t>40-Rope, cable, chain &amp; fittings</t>
  </si>
  <si>
    <t>TX</t>
  </si>
  <si>
    <t>41-Refrigeration, air-conditioning &amp; air circulating equipment</t>
  </si>
  <si>
    <t>UT</t>
  </si>
  <si>
    <t>42-Fire fighting, rescue &amp; safety equipment</t>
  </si>
  <si>
    <t>VT</t>
  </si>
  <si>
    <t>43-Pumps &amp; compressors</t>
  </si>
  <si>
    <t>VI</t>
  </si>
  <si>
    <t>44-Furnace, steam plant &amp; drying equipment; &amp; nuclear reactors</t>
  </si>
  <si>
    <t>VA</t>
  </si>
  <si>
    <t>45-Plumbing, heating, &amp; sanitation equipment</t>
  </si>
  <si>
    <t>WA</t>
  </si>
  <si>
    <t>46-Water purification &amp; sewage treatment equipment</t>
  </si>
  <si>
    <t>WV</t>
  </si>
  <si>
    <t>47-Pipe, tubing, hose &amp; fittings</t>
  </si>
  <si>
    <t>WI</t>
  </si>
  <si>
    <t>48-Valves</t>
  </si>
  <si>
    <t>WY</t>
  </si>
  <si>
    <t>49-Maintenance &amp; repair shop equipment</t>
  </si>
  <si>
    <t>VARIOUS LOCATIONS</t>
  </si>
  <si>
    <t>51-Hand tools</t>
  </si>
  <si>
    <t>NATIONWIDE</t>
  </si>
  <si>
    <t>52-Measuring tools</t>
  </si>
  <si>
    <t>53-Hardware &amp; abrasives</t>
  </si>
  <si>
    <t>54-Prefabricated structures and scaffolding</t>
  </si>
  <si>
    <t>55-Lumber, millwork, plywood &amp; veneer</t>
  </si>
  <si>
    <t>56-Construction &amp; building materials</t>
  </si>
  <si>
    <t>58-Communication, detection, &amp; coherent radiation equipment</t>
  </si>
  <si>
    <t>59-Electrical and electronic equipment components</t>
  </si>
  <si>
    <t>60-Fiber optics materials, components, assemblies &amp; accessories</t>
  </si>
  <si>
    <t>61-Electric wire &amp; power &amp; distribution equipment</t>
  </si>
  <si>
    <t>62-Lighting fixtures &amp; lamps</t>
  </si>
  <si>
    <t>63-Alarm, signal &amp; security detection equipment</t>
  </si>
  <si>
    <t>65-Medical, dental &amp; veterinary equipment &amp; supplies</t>
  </si>
  <si>
    <t>66-Instruments &amp; laboratory equipment</t>
  </si>
  <si>
    <t>67-Photographic equipment</t>
  </si>
  <si>
    <t>68-Chemicals &amp; chemical products</t>
  </si>
  <si>
    <t>69-Training aids &amp; devices</t>
  </si>
  <si>
    <t>70-General purpose information technology equipment</t>
  </si>
  <si>
    <t>71-Furniture</t>
  </si>
  <si>
    <t>72-Household &amp; commercial furnishings &amp; appliances</t>
  </si>
  <si>
    <t>73-Food preparation and serving equipment</t>
  </si>
  <si>
    <t>74-Office machines, text processing systems &amp; visible record equipment</t>
  </si>
  <si>
    <t>75-Office supplies and devices</t>
  </si>
  <si>
    <t>76-Books, maps &amp; other publications</t>
  </si>
  <si>
    <t>77-Musical instruments, phonographs &amp; home-type radios</t>
  </si>
  <si>
    <t>78-Recreational &amp; athletic equipment</t>
  </si>
  <si>
    <t>79-Cleaning equipment and supplies</t>
  </si>
  <si>
    <t>80-Brushes, paints, sealers &amp; adhesives</t>
  </si>
  <si>
    <t>81-Containers, packaging, &amp; packing supplies</t>
  </si>
  <si>
    <t>83-Textiles, leather, furs, apparel &amp; shoe findings, tents &amp; flags</t>
  </si>
  <si>
    <t>84-Clothing, individual equipment &amp; insignia</t>
  </si>
  <si>
    <t>85-Toiletries</t>
  </si>
  <si>
    <t>87-Agricultural supplies</t>
  </si>
  <si>
    <t>88-Live animals</t>
  </si>
  <si>
    <t>89-Subsistence</t>
  </si>
  <si>
    <t>91-Fuels, lubricants, oils &amp; waxes</t>
  </si>
  <si>
    <t>93-Nonmetallic fabricated materials</t>
  </si>
  <si>
    <t>94-Nonmetallic crude materials</t>
  </si>
  <si>
    <t>95-Metal bars, sheets &amp; shapes</t>
  </si>
  <si>
    <t>96-Ores, minerals &amp; their primary products</t>
  </si>
  <si>
    <t>99-Miscellaneous</t>
  </si>
  <si>
    <t>FY 2013</t>
  </si>
  <si>
    <t>GSA Organization</t>
  </si>
  <si>
    <t>Award Status</t>
  </si>
  <si>
    <t>Product or Service Description</t>
  </si>
  <si>
    <t>Procurement Classification Code</t>
  </si>
  <si>
    <t>Primary NAICS Code</t>
  </si>
  <si>
    <t>Socioeconomic Category</t>
  </si>
  <si>
    <t>Contract Type</t>
  </si>
  <si>
    <t>Acquisition Strategy</t>
  </si>
  <si>
    <t>Socioeconomic and Acquisition Strategy Rationale</t>
  </si>
  <si>
    <t>Is procurement under $25K?</t>
  </si>
  <si>
    <t>Incumbent Contractor Name</t>
  </si>
  <si>
    <t>New Requirement
or Exercise of Option</t>
  </si>
  <si>
    <t>Fiscal Year</t>
  </si>
  <si>
    <t>Regional Office of Small Business Utilization (OSBU)/Small Business Technical Advisor (SBTA)</t>
  </si>
  <si>
    <t>Additional Information</t>
  </si>
  <si>
    <t>(F&amp;LS)Emergency Exit Staircase for CHRP</t>
  </si>
  <si>
    <t>Washington</t>
  </si>
  <si>
    <t>N/A</t>
  </si>
  <si>
    <t>New Requirement</t>
  </si>
  <si>
    <t>FY2013</t>
  </si>
  <si>
    <t>Michael Albritton</t>
  </si>
  <si>
    <t>(202) 708-4983</t>
  </si>
  <si>
    <t>michael.albritton@gsa.gov</t>
  </si>
  <si>
    <t>(F&amp;LS)Foam extinguishing system for oil tanks</t>
  </si>
  <si>
    <t>Service Disabled Veteran-Owned Small Business</t>
  </si>
  <si>
    <t>To assist in meeting agency goals</t>
  </si>
  <si>
    <t>(F&amp;LS) Fire Sprinkler System Upgrade</t>
  </si>
  <si>
    <t>8(a)</t>
  </si>
  <si>
    <t>Repair sound attenuating ceiling and supports</t>
  </si>
  <si>
    <t>Steven Welp</t>
  </si>
  <si>
    <t>(202) 690-9736</t>
  </si>
  <si>
    <t>steven.welp@gsa.gov</t>
  </si>
  <si>
    <t>Exterior Building Wall Crack Repairs</t>
  </si>
  <si>
    <t>Impervious Concrete Floor in Fuel Oil Tank farm</t>
  </si>
  <si>
    <t>George Korvah</t>
  </si>
  <si>
    <t>(202) 690-9719</t>
  </si>
  <si>
    <t>george.korvah@gsa.gov</t>
  </si>
  <si>
    <t>PCU Cabinet Power Supply Replacement</t>
  </si>
  <si>
    <t>Atsibaha Gebremedhin</t>
  </si>
  <si>
    <t>(202) 708-5646</t>
  </si>
  <si>
    <t>atsibaha.gebremedhin@gsa.gov</t>
  </si>
  <si>
    <t>Repair to air pre- heater for boiler #6</t>
  </si>
  <si>
    <t>Nasir Wade</t>
  </si>
  <si>
    <t>(202) 708-5498</t>
  </si>
  <si>
    <t>nasir.wade@gsa.gov</t>
  </si>
  <si>
    <t>Trap return line replacement</t>
  </si>
  <si>
    <t>Dwayne Lloyd</t>
  </si>
  <si>
    <t>(202) 337-6233</t>
  </si>
  <si>
    <t>dwayne.lloyd@gsa.gov</t>
  </si>
  <si>
    <t>CHRP General Roof Repairs</t>
  </si>
  <si>
    <t>Gurdarshan Bhatti</t>
  </si>
  <si>
    <t>(202) 690-9709</t>
  </si>
  <si>
    <t>gurdarshan.bhatti@gsa.gov</t>
  </si>
  <si>
    <t>CHRP Exterior Enclosure and Structural Preservation</t>
  </si>
  <si>
    <t>Potable Water supply system with backflow preventers</t>
  </si>
  <si>
    <t>Natural Gas Leak Detection System</t>
  </si>
  <si>
    <t>Day Tank Controls Replacements</t>
  </si>
  <si>
    <t>Boiler Control Room(DCS) HVAC System Repair</t>
  </si>
  <si>
    <t>Boiler Water Level Fiber-Optic O/P to Control Room</t>
  </si>
  <si>
    <t>Boiler Plant Ventilation Repair</t>
  </si>
  <si>
    <t>Boiler # 4 FD &amp;ID Fans conversion  to Electric Driven</t>
  </si>
  <si>
    <t>VFD's for Cooling Tower motor and Chilled water pumps</t>
  </si>
  <si>
    <t>Y1AA</t>
  </si>
  <si>
    <t>8A</t>
  </si>
  <si>
    <t>NONE</t>
  </si>
  <si>
    <t>michael.vrobel@gsa.gov</t>
  </si>
  <si>
    <t>8a</t>
  </si>
  <si>
    <t>Concrete Floor Repairs</t>
  </si>
  <si>
    <t>Sole-Source</t>
  </si>
  <si>
    <t>Under the 8(a) competitive threshold</t>
  </si>
  <si>
    <t>TBD</t>
  </si>
  <si>
    <t>Cynthia Beckett</t>
  </si>
  <si>
    <t>202-208-0485</t>
  </si>
  <si>
    <t>cynthia.beckett@gsa.gov</t>
  </si>
  <si>
    <t>Carryover from FY12</t>
  </si>
  <si>
    <t>Sewage Lift Station Replacement</t>
  </si>
  <si>
    <t>Navy Dome Restoration Skylight</t>
  </si>
  <si>
    <t>Upton Studios</t>
  </si>
  <si>
    <t>Cooling Tower Catwalk Construction</t>
  </si>
  <si>
    <t>Potomac Restoration</t>
  </si>
  <si>
    <t>Robert Lawrence</t>
  </si>
  <si>
    <t>202-260-0331</t>
  </si>
  <si>
    <t>robert.lawrence@gsa.gov</t>
  </si>
  <si>
    <t>Lighting Alterations @ EEOB Café</t>
  </si>
  <si>
    <t>SDVOSB</t>
  </si>
  <si>
    <t>Competitive</t>
  </si>
  <si>
    <t>Anticipate two or more competent vendors</t>
  </si>
  <si>
    <t>Northeast Stairwell Restoration for EEOB</t>
  </si>
  <si>
    <t>Total Contracting</t>
  </si>
  <si>
    <t>Winder Building Foundation Waterproofing and Drainage</t>
  </si>
  <si>
    <t>Koppers Waterproofing</t>
  </si>
  <si>
    <t>QM from FY12</t>
  </si>
  <si>
    <t>White House Garage Rear Elevator Repairs</t>
  </si>
  <si>
    <t>Unauthorized Commitment</t>
  </si>
  <si>
    <t>Warfield and Sanford</t>
  </si>
  <si>
    <t>EW/WW/EEOB Cyclical Painting</t>
  </si>
  <si>
    <t>Only source that provides a specific color paint used in specific buildings</t>
  </si>
  <si>
    <t>Cypress Painting</t>
  </si>
  <si>
    <t>EW/WW/EEOB Cyclical Carpeting</t>
  </si>
  <si>
    <t>Only source that provides specific carpeting used in these buildings</t>
  </si>
  <si>
    <t>Carpet Plus</t>
  </si>
  <si>
    <t>Cyclical Carpeting and Painting (Various Buildings except EW/WW/EEOB)</t>
  </si>
  <si>
    <t>NEOB and JP First Impressions Lobby Design</t>
  </si>
  <si>
    <t>New Requirmenet</t>
  </si>
  <si>
    <t>JP HVAC System Upgrade</t>
  </si>
  <si>
    <t>RDS Exterior Settlement Correction Design</t>
  </si>
  <si>
    <t>VMF Exterior Painting</t>
  </si>
  <si>
    <t>NEOB Elevator No. 5 Repairs</t>
  </si>
  <si>
    <t>Winder HVAC Replacement</t>
  </si>
  <si>
    <t>Structural Repairs to Penthouse Floor Slab</t>
  </si>
  <si>
    <t>ZA22 -Maintenance, Repair, and alteratoin of real property</t>
  </si>
  <si>
    <t>None</t>
  </si>
  <si>
    <t>Tamara Brown</t>
  </si>
  <si>
    <t>202-708-7071</t>
  </si>
  <si>
    <t>tamara.brown@gsa.gov</t>
  </si>
  <si>
    <t>Parking Structure</t>
  </si>
  <si>
    <t>Exterior Waterproofing-façade</t>
  </si>
  <si>
    <t>New Custodial for FAA 10A/10B</t>
  </si>
  <si>
    <t>S201 - Custodial Services</t>
  </si>
  <si>
    <t>New Custodial for Bostetter Courthouse</t>
  </si>
  <si>
    <t>ELEVATOR SHAFT LIGHTING</t>
  </si>
  <si>
    <t>Steve Anderson</t>
  </si>
  <si>
    <t>(202) 205-6597</t>
  </si>
  <si>
    <t>stephen.anderson@gsa.gov</t>
  </si>
  <si>
    <t>WATERPROOF ELEVATOR PITS</t>
  </si>
  <si>
    <t>REPAIR TERRACOTTA TILES IN ELEVATOR SHAFTS</t>
  </si>
  <si>
    <t>REPLACE STEAM TUNNEL DOORS</t>
  </si>
  <si>
    <t>MITIGATE GROUND WATER INFILTRATION IN NORTH GARAGE AND PARKING APRON:</t>
  </si>
  <si>
    <t>Anthony Mondy</t>
  </si>
  <si>
    <t>(202) 205-5166</t>
  </si>
  <si>
    <t>anthony.mondy@gsa.gov</t>
  </si>
  <si>
    <t>REPAIR TILE DRAINAGE SYSTEM IN AREAWAY MOATS</t>
  </si>
  <si>
    <t>REPLACE STONE PAVERS IN COURT YARD 4</t>
  </si>
  <si>
    <t>TRANSFORMER ROOM LEAK REPAIRS</t>
  </si>
  <si>
    <t>(202) 708-6461</t>
  </si>
  <si>
    <t>rajnikant.mehta@gsa.gov</t>
  </si>
  <si>
    <t>ELEVATOR MODERNIZATION</t>
  </si>
  <si>
    <t>Nilesh Parikh</t>
  </si>
  <si>
    <t>nilesh.parikh@gsa.gov</t>
  </si>
  <si>
    <t>MURAL SCREEN COVER</t>
  </si>
  <si>
    <t>(202) 205-4010</t>
  </si>
  <si>
    <t>christine.ewing@gsa.gov</t>
  </si>
  <si>
    <t>ROOF AND EXTERIOR ENCLOSURE LEAK REPAIRS</t>
  </si>
  <si>
    <t>Thomas Jakubowski</t>
  </si>
  <si>
    <t>(202) 205-0330</t>
  </si>
  <si>
    <t>thomas.jakubowski@gsa.gov</t>
  </si>
  <si>
    <t>REFURBISH WINDOWS AND BALCONY DOORS</t>
  </si>
  <si>
    <t>Christopher Riggs</t>
  </si>
  <si>
    <t>(202) 260-4356</t>
  </si>
  <si>
    <t>christopher.riggs@gsa.gov</t>
  </si>
  <si>
    <t>WEST SIDE SANITARY DRAIN ALTERATION AND PUMP INSTALL.</t>
  </si>
  <si>
    <t>Maryellen Spears -</t>
  </si>
  <si>
    <t>(202) 401-4540</t>
  </si>
  <si>
    <t>maryellen.spears@gsa.gov</t>
  </si>
  <si>
    <t>Roof Renovations (CQM-Conservator)</t>
  </si>
  <si>
    <t>Douglas Alspach</t>
  </si>
  <si>
    <t>douglas.alsphach@gsa.gov</t>
  </si>
  <si>
    <t>LEAD STABILIZATION AND RESTORATION OF FINISHES  COMMON AREAS</t>
  </si>
  <si>
    <t>MISCELLANEOUS REPAIRS TO VARIOUS AHU'S</t>
  </si>
  <si>
    <t>(202) 358-2966</t>
  </si>
  <si>
    <t>rajeev.parasnis@gsa.gov</t>
  </si>
  <si>
    <t>UPGRADE FIRE ALARM SYSTEM</t>
  </si>
  <si>
    <t>Walter Mills</t>
  </si>
  <si>
    <t>(202) 401-8436</t>
  </si>
  <si>
    <t>walter.mills@gsa.gov</t>
  </si>
  <si>
    <t>REPAIR STAIRS #2, #3, #4 AND #5</t>
  </si>
  <si>
    <t>Replace Door Operators</t>
  </si>
  <si>
    <t>INSTALL CATWALKS AND LADDERS</t>
  </si>
  <si>
    <t>(301) 344-1261</t>
  </si>
  <si>
    <t>EMERGENCY REPAIRS TO NORTH ENTRANCE CANOPY</t>
  </si>
  <si>
    <t>UPGRADE BUILDING FIRE ALARM SYSTEM</t>
  </si>
  <si>
    <t>UPGRADE OUT BUILDING FIRE ALARM SYSTEMS</t>
  </si>
  <si>
    <t>LINK SEAL REPLACEMENT/REPAIR</t>
  </si>
  <si>
    <t>EARTHQUAKE BUILDING REPAIRS AT FOUR LOCATIONS. (DESIGN/BUILD)</t>
  </si>
  <si>
    <t>CHECK VALVE REPLACEMENT</t>
  </si>
  <si>
    <t>REPLACE HEAT PUMPS</t>
  </si>
  <si>
    <t>William King</t>
  </si>
  <si>
    <t>(301) 735-5998</t>
  </si>
  <si>
    <t>william.king@gsa.gov</t>
  </si>
  <si>
    <t>BROKEN ELEVATOR GLASS PANELS REPLACEMENT</t>
  </si>
  <si>
    <t>Replace Roof
Craig Frantz)</t>
  </si>
  <si>
    <t>Richland</t>
  </si>
  <si>
    <t>FY13</t>
  </si>
  <si>
    <t>Bill Reichert</t>
  </si>
  <si>
    <t>509-353-3277</t>
  </si>
  <si>
    <t>william.reichert@gsa.gov</t>
  </si>
  <si>
    <t>TI for U.S. Attorney
(Andy Andruzak)</t>
  </si>
  <si>
    <t>Spokane</t>
  </si>
  <si>
    <t>n/a</t>
  </si>
  <si>
    <t>Replace Sewage Ejector Pumps
(Kevin Meier)</t>
  </si>
  <si>
    <t>Biose</t>
  </si>
  <si>
    <t>Structural Repairs</t>
  </si>
  <si>
    <t>Auburn</t>
  </si>
  <si>
    <t>Fixed Price Task Order</t>
  </si>
  <si>
    <t>no</t>
  </si>
  <si>
    <t>Keith goodsell</t>
  </si>
  <si>
    <t>253-350-2951</t>
  </si>
  <si>
    <t>keith.goodsell@gsa.gov</t>
  </si>
  <si>
    <t>LPTA</t>
  </si>
  <si>
    <t>Fire Smoke Damper Drive Replacement</t>
  </si>
  <si>
    <t>Anchorage</t>
  </si>
  <si>
    <t>Task Order</t>
  </si>
  <si>
    <t>Northern Management Services</t>
  </si>
  <si>
    <t>Fire Alarm Upgrade -WA0120BN</t>
  </si>
  <si>
    <t>Blaine</t>
  </si>
  <si>
    <t>Design-Build</t>
  </si>
  <si>
    <t>New Requirements</t>
  </si>
  <si>
    <t>Trade Off</t>
  </si>
  <si>
    <t>Fire Alarm Upgade - WA0143BN</t>
  </si>
  <si>
    <t>Regrout/Clean Marble &amp; Reseal Parapets (Base Bid)</t>
  </si>
  <si>
    <t>Portland</t>
  </si>
  <si>
    <t>Judy Tomlinson</t>
  </si>
  <si>
    <t>253-931-7657</t>
  </si>
  <si>
    <t>judy.tomlinson@gsa.gov</t>
  </si>
  <si>
    <t>Past Performance</t>
  </si>
  <si>
    <t>Replace Fire Alarm System - CM Services</t>
  </si>
  <si>
    <t>Order</t>
  </si>
  <si>
    <t>BPA</t>
  </si>
  <si>
    <t>Chad O'Brien</t>
  </si>
  <si>
    <t>253-736-4677</t>
  </si>
  <si>
    <t>Chad.Obrien@gsa.gov</t>
  </si>
  <si>
    <t>Replace Fire Alarm System - Construction</t>
  </si>
  <si>
    <t>Other than price factors</t>
  </si>
  <si>
    <t>Insulate and reseal exterior shell</t>
  </si>
  <si>
    <t>z-Maintenance, repair, and alteration of real property</t>
  </si>
  <si>
    <t>Fire Alarm Renovation</t>
  </si>
  <si>
    <t>Fairbanks</t>
  </si>
  <si>
    <t>Roof Clean and Window Paint</t>
  </si>
  <si>
    <t>Port Angeles</t>
  </si>
  <si>
    <t>Jessica Campbell</t>
  </si>
  <si>
    <t>253-931-7298</t>
  </si>
  <si>
    <t>jessica.campbell@gsa.gov</t>
  </si>
  <si>
    <t>Truss Repairs</t>
  </si>
  <si>
    <t>TUS ADA door Closures</t>
  </si>
  <si>
    <t>Tacoma</t>
  </si>
  <si>
    <t>Replace cracked Septic Tank</t>
  </si>
  <si>
    <t>Lynden</t>
  </si>
  <si>
    <t>Potable water - Follow on from 2012 design (domestic water replacement)</t>
  </si>
  <si>
    <t>Daycare new flooring and wall finishes</t>
  </si>
  <si>
    <t>UST removal</t>
  </si>
  <si>
    <t>Seattle</t>
  </si>
  <si>
    <t>Replace Bridge</t>
  </si>
  <si>
    <t>Juneau</t>
  </si>
  <si>
    <t>Drew Wareham</t>
  </si>
  <si>
    <t>907-271-1549</t>
  </si>
  <si>
    <t>drew.wareham@gsa.gov</t>
  </si>
  <si>
    <t>Heat Pump Improvement</t>
  </si>
  <si>
    <t>Electrical Distribution System</t>
  </si>
  <si>
    <t>FY14</t>
  </si>
  <si>
    <t>ADA Compliant Bathrooms</t>
  </si>
  <si>
    <t>Senator Cantwell Office Paint</t>
  </si>
  <si>
    <t>Kevin McAteer</t>
  </si>
  <si>
    <t>206-220-5064</t>
  </si>
  <si>
    <t>kevin.mcateer@gsa.gov</t>
  </si>
  <si>
    <t>Repair Exterior Plaza Stonework</t>
  </si>
  <si>
    <t>Corridor Carpeting</t>
  </si>
  <si>
    <t>Third Floor Egress Retrofit</t>
  </si>
  <si>
    <t>Medford</t>
  </si>
  <si>
    <t>IDIQ (MATOC)</t>
  </si>
  <si>
    <t>Bill Birmingham</t>
  </si>
  <si>
    <t>503-326-6696</t>
  </si>
  <si>
    <t>bill.birmingham@gsa.gov</t>
  </si>
  <si>
    <t>Other than price related factors</t>
  </si>
  <si>
    <t>Installation of Roof Davits</t>
  </si>
  <si>
    <t>Upgrade Elevator - design</t>
  </si>
  <si>
    <t>Vancouver</t>
  </si>
  <si>
    <t>Lonnie Cummings</t>
  </si>
  <si>
    <t>503-326-4919</t>
  </si>
  <si>
    <t>lonnie.cummings@gsa.gov</t>
  </si>
  <si>
    <t>Megan Helm</t>
  </si>
  <si>
    <t>503-326-7268</t>
  </si>
  <si>
    <t>megan.helm@gsa.gov</t>
  </si>
  <si>
    <t>Replace Fire Alarm System - design</t>
  </si>
  <si>
    <t>Clean Exterior</t>
  </si>
  <si>
    <t>Repair Generator - Roof</t>
  </si>
  <si>
    <t>Operations &amp; Maintenance of Federal Buildings (multiple)</t>
  </si>
  <si>
    <t>Fixed Price - Task Order</t>
  </si>
  <si>
    <t>Jackie Jones</t>
  </si>
  <si>
    <t>253-931-7886</t>
  </si>
  <si>
    <t>jackie.jones@gsa.gov</t>
  </si>
  <si>
    <t>Non Price Factors to be used</t>
  </si>
  <si>
    <t>Various Seattle, Tacoma, Auburn</t>
  </si>
  <si>
    <t>Total Systems Services Inc</t>
  </si>
  <si>
    <t>Janitorial &amp; Mechanical Maintenance Federal Building</t>
  </si>
  <si>
    <t>Pt. Roberts</t>
  </si>
  <si>
    <t>Fixed Price</t>
  </si>
  <si>
    <t>SB Set-aside</t>
  </si>
  <si>
    <t>Rosa Martinez</t>
  </si>
  <si>
    <t>Tyease Fuller</t>
  </si>
  <si>
    <t>253-931-7618</t>
  </si>
  <si>
    <t>tyease.fuller@gsa.gov</t>
  </si>
  <si>
    <t>Skagway</t>
  </si>
  <si>
    <t>Tracy Mals</t>
  </si>
  <si>
    <t>253-931-7919</t>
  </si>
  <si>
    <t>tracy.mals@gsa.gov</t>
  </si>
  <si>
    <t>New Award</t>
  </si>
  <si>
    <t>Construction</t>
  </si>
  <si>
    <t>Space Renvoation</t>
  </si>
  <si>
    <t>Albany</t>
  </si>
  <si>
    <t>Negotiated Contract</t>
  </si>
  <si>
    <t>Solicit Small Business</t>
  </si>
  <si>
    <t>BA 80 Funds RWA</t>
  </si>
  <si>
    <t>Colleen Carey</t>
  </si>
  <si>
    <t>518-431-4197</t>
  </si>
  <si>
    <t>colleen.carey@gsa.gov</t>
  </si>
  <si>
    <t>Negotiate with 8a</t>
  </si>
  <si>
    <t>Solicit 8a</t>
  </si>
  <si>
    <t>BA80 Funds RWA</t>
  </si>
  <si>
    <t>Repair and Alterations</t>
  </si>
  <si>
    <t>Construction Services</t>
  </si>
  <si>
    <t>HUBZONE</t>
  </si>
  <si>
    <t>Set-aside</t>
  </si>
  <si>
    <t>Rochester</t>
  </si>
  <si>
    <t>Construction Services for the Restoration of Backfill Space</t>
  </si>
  <si>
    <t>New York</t>
  </si>
  <si>
    <t>New Contract</t>
  </si>
  <si>
    <t>Winnie Eng</t>
  </si>
  <si>
    <t>212-264-2575</t>
  </si>
  <si>
    <t>winnie.eng@gsa.gov</t>
  </si>
  <si>
    <t>support disadvantaged business</t>
  </si>
  <si>
    <t>Integrated Construction Services</t>
  </si>
  <si>
    <t>Pascal Jeambon</t>
  </si>
  <si>
    <t>212-264-4227</t>
  </si>
  <si>
    <t>pascal.jeambon@gsa.gov</t>
  </si>
  <si>
    <t>Administrative Services</t>
  </si>
  <si>
    <t>Newark</t>
  </si>
  <si>
    <t>Scott Fletcher</t>
  </si>
  <si>
    <t>973-645-3554</t>
  </si>
  <si>
    <t>scott.fletcher@gsa.gov</t>
  </si>
  <si>
    <t>Brooklyn,</t>
  </si>
  <si>
    <t>Roxanne Micca</t>
  </si>
  <si>
    <t>roxanne.micca@gsa.gov</t>
  </si>
  <si>
    <t>Brooklyn</t>
  </si>
  <si>
    <t>MOVING SERICES</t>
  </si>
  <si>
    <t>Long Island City</t>
  </si>
  <si>
    <t>Central Islip</t>
  </si>
  <si>
    <t>Hato Rey</t>
  </si>
  <si>
    <t>Olga Rodriguez</t>
  </si>
  <si>
    <t>787-766-6169</t>
  </si>
  <si>
    <t>olga.rodriguez@gsa.gov</t>
  </si>
  <si>
    <t>Design</t>
  </si>
  <si>
    <t>A&amp;E Services</t>
  </si>
  <si>
    <t>San Juan</t>
  </si>
  <si>
    <t>St. Croix</t>
  </si>
  <si>
    <t>St. Thomas</t>
  </si>
  <si>
    <t>none</t>
  </si>
  <si>
    <t>Pre-design/Design</t>
  </si>
  <si>
    <t>Guaynabo</t>
  </si>
  <si>
    <t>Bayamon</t>
  </si>
  <si>
    <t>Aguada</t>
  </si>
  <si>
    <t>Ponce</t>
  </si>
  <si>
    <t>Mechanical maintenance</t>
  </si>
  <si>
    <t>All sites</t>
  </si>
  <si>
    <t>Exercise of Option</t>
  </si>
  <si>
    <t>Janitorial Services</t>
  </si>
  <si>
    <t>NISH</t>
  </si>
  <si>
    <t>FedCap Rehabilitation Services Inc.</t>
  </si>
  <si>
    <t>All locations in Northern New Jersey</t>
  </si>
  <si>
    <t>Separate Award</t>
  </si>
  <si>
    <t>SDVOSB because of the agency's initiative to increase business with this group</t>
  </si>
  <si>
    <t>T. Pyramid</t>
  </si>
  <si>
    <t>Ralph Caiazzo</t>
  </si>
  <si>
    <t>ralph.caiazzo@gsa.gov</t>
  </si>
  <si>
    <t>Rochelle Powell</t>
  </si>
  <si>
    <t>973-645-3085</t>
  </si>
  <si>
    <t>rochelle.powell@gsa.gov</t>
  </si>
  <si>
    <t>Brenda Yates</t>
  </si>
  <si>
    <t>973-645-3706</t>
  </si>
  <si>
    <t>brenda.yates@gsa.gov</t>
  </si>
  <si>
    <t>MA, IDIQ Design/Build</t>
  </si>
  <si>
    <t>New Negotiated contract requirement</t>
  </si>
  <si>
    <t>Various 8(a) contractors</t>
  </si>
  <si>
    <t>New requirement</t>
  </si>
  <si>
    <t>Maintenance and repair</t>
  </si>
  <si>
    <t>Total Small Business Set-Aside</t>
  </si>
  <si>
    <t>Lydia Ortiz/Helen Washington</t>
  </si>
  <si>
    <t>718-254-7080</t>
  </si>
  <si>
    <t>Mechanical Maintenance</t>
  </si>
  <si>
    <t>Emergency Notification System</t>
  </si>
  <si>
    <t>NA</t>
  </si>
  <si>
    <t>Buffalo</t>
  </si>
  <si>
    <t>Phoenix Frontier</t>
  </si>
  <si>
    <t>Chuck Ferro</t>
  </si>
  <si>
    <t>315-448-0922</t>
  </si>
  <si>
    <t>charles.ferro@gsa.gov</t>
  </si>
  <si>
    <t>Elevator Service</t>
  </si>
  <si>
    <t>Kim Hallman</t>
  </si>
  <si>
    <t>315-448-0377</t>
  </si>
  <si>
    <t>kim.hallman@gsa.gov</t>
  </si>
  <si>
    <t>Advanced Metering Project</t>
  </si>
  <si>
    <t>David Cassert</t>
  </si>
  <si>
    <t>315-448-0967</t>
  </si>
  <si>
    <t>david.cassert@gsa.gov</t>
  </si>
  <si>
    <t>Wilson 5</t>
  </si>
  <si>
    <t>Construction - install UST</t>
  </si>
  <si>
    <t>Philadelphia</t>
  </si>
  <si>
    <t>SBA 8a</t>
  </si>
  <si>
    <t>BA54</t>
  </si>
  <si>
    <t>Trenton</t>
  </si>
  <si>
    <t>qualified small business contractors under small business term IDIQ</t>
  </si>
  <si>
    <t>Steam Plant / Boilers (SSA)</t>
  </si>
  <si>
    <t>market survey to be conducted</t>
  </si>
  <si>
    <t>BA80</t>
  </si>
  <si>
    <t>Lobby Painting (Customhouse)</t>
  </si>
  <si>
    <t>Leah DeCosta</t>
  </si>
  <si>
    <t>215-446-4994</t>
  </si>
  <si>
    <t>leah.decosta@gsa.gov</t>
  </si>
  <si>
    <t>AHU Replacement 1-4: Design/Build (Boggs)</t>
  </si>
  <si>
    <t>Wilmington</t>
  </si>
  <si>
    <t>Brenda Haywood</t>
  </si>
  <si>
    <t>302-573-6366</t>
  </si>
  <si>
    <t>brenda.haywood@gsa.gov</t>
  </si>
  <si>
    <t>BA61</t>
  </si>
  <si>
    <t>Dampers replacement (SSA)</t>
  </si>
  <si>
    <t>Regina Knox</t>
  </si>
  <si>
    <t>215-446-4612</t>
  </si>
  <si>
    <t>regina.knox@gsa.gov</t>
  </si>
  <si>
    <t>AHU Replacement for SSA</t>
  </si>
  <si>
    <t>Building Commissioning Study</t>
  </si>
  <si>
    <t>Breean Daley</t>
  </si>
  <si>
    <t>215-446-4533</t>
  </si>
  <si>
    <t>breean.daley@gsa.gov</t>
  </si>
  <si>
    <t>Moorhead ODAR Expansion</t>
  </si>
  <si>
    <t>Pittsburgh</t>
  </si>
  <si>
    <t>Michelle Donnelly</t>
  </si>
  <si>
    <t>215-446-4498</t>
  </si>
  <si>
    <t>michelle.donnelly@gsa.gov</t>
  </si>
  <si>
    <t>Waiting on RWA</t>
  </si>
  <si>
    <t>SSA Building Envelope</t>
  </si>
  <si>
    <t>Wilkes-Barre</t>
  </si>
  <si>
    <t>Requires market research to determine qualified contractors</t>
  </si>
  <si>
    <t>RWA</t>
  </si>
  <si>
    <t>Kim Desant</t>
  </si>
  <si>
    <t>215-446-4562</t>
  </si>
  <si>
    <t>kim.desant@gsa.gov</t>
  </si>
  <si>
    <t>Replace Fire Alarm Panel/AHU Controls</t>
  </si>
  <si>
    <t>Allentown</t>
  </si>
  <si>
    <t>requires market research to determine qualified contractors</t>
  </si>
  <si>
    <t>James Henry</t>
  </si>
  <si>
    <t>215-446-5756</t>
  </si>
  <si>
    <t>james.henry@gsa.gov</t>
  </si>
  <si>
    <t>Sprinkler Installation</t>
  </si>
  <si>
    <t>Williamsport</t>
  </si>
  <si>
    <t>1st quarter</t>
  </si>
  <si>
    <t>Building ISA design</t>
  </si>
  <si>
    <t>Erie</t>
  </si>
  <si>
    <t>Window/façade replacement/repair</t>
  </si>
  <si>
    <t>Facade Repairs:Clean Repoint</t>
  </si>
  <si>
    <t>Greenburg</t>
  </si>
  <si>
    <t>Loading Dock Repairs</t>
  </si>
  <si>
    <t>Jim Morris</t>
  </si>
  <si>
    <t>215-446-4581</t>
  </si>
  <si>
    <t>jim.morris@gsa.gov</t>
  </si>
  <si>
    <t>Replace capacitors</t>
  </si>
  <si>
    <t>4th Qtr/1st Qtr</t>
  </si>
  <si>
    <t>Diana McLain</t>
  </si>
  <si>
    <t>215-446-5776</t>
  </si>
  <si>
    <t>diana.mclain@gsa.gov</t>
  </si>
  <si>
    <t>Replacement of Doors</t>
  </si>
  <si>
    <t>Shelba Young</t>
  </si>
  <si>
    <t>215-446-4490</t>
  </si>
  <si>
    <t>shelba.young@gsa.gov</t>
  </si>
  <si>
    <t>Terrazo Flooring</t>
  </si>
  <si>
    <t>Rpr/Alt Vestibule</t>
  </si>
  <si>
    <t>USDC Room 1101, Remove Door and wall, install carpet, paint and 5 outlets</t>
  </si>
  <si>
    <t>Micro Term Contractor</t>
  </si>
  <si>
    <t>James MacBride</t>
  </si>
  <si>
    <t>Karen Sims</t>
  </si>
  <si>
    <t>215-861-1222</t>
  </si>
  <si>
    <t>karen.sims@gsa.gov</t>
  </si>
  <si>
    <t>USMS Install podium at poublic entranced</t>
  </si>
  <si>
    <t>Micro Tern Contractor</t>
  </si>
  <si>
    <t>Joseph Soboleski</t>
  </si>
  <si>
    <t>DHS space modofication upgrades, 13th floor</t>
  </si>
  <si>
    <t>Large Term Contractor</t>
  </si>
  <si>
    <t>Omega Construction Services</t>
  </si>
  <si>
    <t>Probation Reception Area Electrical</t>
  </si>
  <si>
    <t>Pride Enterprise</t>
  </si>
  <si>
    <t>Chiller #5 Repair</t>
  </si>
  <si>
    <t>R-Professional, admin, and management, Supplies, Svs</t>
  </si>
  <si>
    <t>O&amp;M</t>
  </si>
  <si>
    <t>Market survey revealed suitable project vendor matched to our O&amp;M contractor</t>
  </si>
  <si>
    <t>CTS-WW Contractor</t>
  </si>
  <si>
    <t>Ana Marrero</t>
  </si>
  <si>
    <t>(856) 757-5346</t>
  </si>
  <si>
    <t>ana.marrero@gsa.gov</t>
  </si>
  <si>
    <t>GSA office Cooling Coil</t>
  </si>
  <si>
    <t>Requires Market Research</t>
  </si>
  <si>
    <t>Ground Floor Painting</t>
  </si>
  <si>
    <t>Terms</t>
  </si>
  <si>
    <t>Gary Stern Electric</t>
  </si>
  <si>
    <t>Ext. Door Replacement</t>
  </si>
  <si>
    <t>Bridgeton</t>
  </si>
  <si>
    <t>Turtle Associates, Inc.</t>
  </si>
  <si>
    <t>Janitorial Svs @ Phila Int'l Airport</t>
  </si>
  <si>
    <t>S-Custodial Janitorial Svs.</t>
  </si>
  <si>
    <t>Watts Industries, Inc</t>
  </si>
  <si>
    <t>Camden</t>
  </si>
  <si>
    <t>Elevator Software Upgrade</t>
  </si>
  <si>
    <t>CMU wall repair</t>
  </si>
  <si>
    <t>Shannon Scureman</t>
  </si>
  <si>
    <t>412-395-4749</t>
  </si>
  <si>
    <t>shannon.scureman@gsa.gov</t>
  </si>
  <si>
    <t>CCTV State College</t>
  </si>
  <si>
    <t>Parking Lot Paving Project - CMS Headquarters Woodlawn</t>
  </si>
  <si>
    <t>Baltimore</t>
  </si>
  <si>
    <t>Market survey revealed suitable project-vendor match under 8(a) program</t>
  </si>
  <si>
    <t>4th Quarter (swing)</t>
  </si>
  <si>
    <t>Noel Willette</t>
  </si>
  <si>
    <t>215-446-4520</t>
  </si>
  <si>
    <t>noel.willette@gsa.gov</t>
  </si>
  <si>
    <t>Woodlawn</t>
  </si>
  <si>
    <t>Full &amp; Open</t>
  </si>
  <si>
    <t>Market survey revealed inadequate small business competition</t>
  </si>
  <si>
    <t>Chris Mullins</t>
  </si>
  <si>
    <t>215-446-4589</t>
  </si>
  <si>
    <t>christina.mullins@gsa.gov</t>
  </si>
  <si>
    <t>SSA OCC / ERCC Project</t>
  </si>
  <si>
    <t>Woodlawn R&amp;A IDIQ</t>
  </si>
  <si>
    <t>IDIQ Term Contract specifically set up for SSA Woodlawn Campus</t>
  </si>
  <si>
    <t>Rpr terra cotta roof, Powell Courthouse</t>
  </si>
  <si>
    <t>Richmond</t>
  </si>
  <si>
    <t>John Budesa</t>
  </si>
  <si>
    <t>215-446-4497</t>
  </si>
  <si>
    <t>john.budesa@gsa.gov</t>
  </si>
  <si>
    <t>Electrical Main Replacement</t>
  </si>
  <si>
    <t>Parkerburg</t>
  </si>
  <si>
    <t>qualified small business contractors under this NAICS Code</t>
  </si>
  <si>
    <t>Powell Electrical upgrades</t>
  </si>
  <si>
    <t>Annex Windows</t>
  </si>
  <si>
    <t>4th Quarter/Swing</t>
  </si>
  <si>
    <t>Powell Courthouse &amp; Annex Fire Alarm</t>
  </si>
  <si>
    <t>Mark Lewandowski</t>
  </si>
  <si>
    <t>215-446-4576</t>
  </si>
  <si>
    <t>mark.lewandowski@gsa.gov</t>
  </si>
  <si>
    <t>Richmond Federal Building Fire Alarm</t>
  </si>
  <si>
    <t>Parkersburg Facade Repair</t>
  </si>
  <si>
    <t>Swing</t>
  </si>
  <si>
    <t>Celeste Dow</t>
  </si>
  <si>
    <t>celeste.dow@gsa.gov</t>
  </si>
  <si>
    <t>Martinsburg Computing Center: Repair Sink Hole</t>
  </si>
  <si>
    <t>Martinsburg</t>
  </si>
  <si>
    <t>May be mod to prospectus</t>
  </si>
  <si>
    <t>Poff Retaining Wall R</t>
  </si>
  <si>
    <t>Roanoke</t>
  </si>
  <si>
    <t>More likely Q1 FY13</t>
  </si>
  <si>
    <t>Christie AHU Replacement</t>
  </si>
  <si>
    <t>Huntington</t>
  </si>
  <si>
    <t>Jesse Cohen</t>
  </si>
  <si>
    <t>jesse.cohen@gsa.gov</t>
  </si>
  <si>
    <t>MCC UST Monitoring System</t>
  </si>
  <si>
    <t>Powell OSC buildout</t>
  </si>
  <si>
    <t>Powell HVAC</t>
  </si>
  <si>
    <t>Elkins</t>
  </si>
  <si>
    <t>Powell Mech work AHU</t>
  </si>
  <si>
    <t>1,000,00.00</t>
  </si>
  <si>
    <t>Bryd FOB &amp; Crthse Plaza FireCleanup</t>
  </si>
  <si>
    <t>Beckley</t>
  </si>
  <si>
    <t>215 446 4565</t>
  </si>
  <si>
    <t>Powell Window Replacement</t>
  </si>
  <si>
    <t>Powell Mech Modernization</t>
  </si>
  <si>
    <t>Salisbury Fire Alarn System</t>
  </si>
  <si>
    <t>Salisbury</t>
  </si>
  <si>
    <t>Norfolk Cooling Tower replacement</t>
  </si>
  <si>
    <t>Norfolk</t>
  </si>
  <si>
    <t>Norfolk Space Backfill</t>
  </si>
  <si>
    <t>Norfolk ISA for USMS</t>
  </si>
  <si>
    <t>Kearneysville Fire Alarm Replacement</t>
  </si>
  <si>
    <t>Kearneysville</t>
  </si>
  <si>
    <t>Portsmouth Parking Lot (CM)</t>
  </si>
  <si>
    <t>Portsmouth</t>
  </si>
  <si>
    <t>Kearneysville Fire Alarm Replacement (CM)</t>
  </si>
  <si>
    <t>Norfolk Space Backfill (CM)</t>
  </si>
  <si>
    <t>Baltimore Re-keying</t>
  </si>
  <si>
    <t>Install New Security System</t>
  </si>
  <si>
    <t>X-Lease or residential facilities</t>
  </si>
  <si>
    <t>Lessor</t>
  </si>
  <si>
    <t>Only one source - lessor</t>
  </si>
  <si>
    <t>Leased space and lessor has right of first refusal</t>
  </si>
  <si>
    <t>Lindsay Gottschall</t>
  </si>
  <si>
    <t>410-962-3544</t>
  </si>
  <si>
    <t>lindsay.gottschall@gsa.gov</t>
  </si>
  <si>
    <t>Courtroom 1A Renovations</t>
  </si>
  <si>
    <t>market survey revealed suitable project-vendor match under 8(a) program</t>
  </si>
  <si>
    <t>CCTV Equipment Installation</t>
  </si>
  <si>
    <t>Garmatz 9th Floor Judges Corridor Carpet Replacement</t>
  </si>
  <si>
    <t>Office Space Renovation</t>
  </si>
  <si>
    <t>only one source - lessor</t>
  </si>
  <si>
    <t>Garmatz Emergency Lighting</t>
  </si>
  <si>
    <t>R- Professional, administrative, and management support services</t>
  </si>
  <si>
    <t>market survey revealed suitable project vendor match to our O&amp;M Contractor</t>
  </si>
  <si>
    <t>Fallon Garage Storefront Doors</t>
  </si>
  <si>
    <t>Replace Rooftop Glycol Unit</t>
  </si>
  <si>
    <t>Security Upgrades</t>
  </si>
  <si>
    <t>Frederick</t>
  </si>
  <si>
    <t>Leased space and lessor has first right of refusal</t>
  </si>
  <si>
    <t>Frederick Eagle Associates, LLC</t>
  </si>
  <si>
    <t>Matthew Lambert</t>
  </si>
  <si>
    <t>(304) 262-9715</t>
  </si>
  <si>
    <t>matthew.lambert@gsa.gov</t>
  </si>
  <si>
    <t>Warehouse Renovations</t>
  </si>
  <si>
    <t>85 South, LLC</t>
  </si>
  <si>
    <t>Brick Facade Repairs</t>
  </si>
  <si>
    <t>Blair Hayes</t>
  </si>
  <si>
    <t>(304) 347-5155</t>
  </si>
  <si>
    <t>blair.hayes@gsa.gov</t>
  </si>
  <si>
    <t>Sewer Pumps</t>
  </si>
  <si>
    <t>Cyclical Painting</t>
  </si>
  <si>
    <t>Sumersett Construction</t>
  </si>
  <si>
    <t>Chamber's Renovations</t>
  </si>
  <si>
    <t>Non-Price factors will be evaluated</t>
  </si>
  <si>
    <t>Services Admin Support</t>
  </si>
  <si>
    <t>Michael Williams</t>
  </si>
  <si>
    <t>404-215-8754</t>
  </si>
  <si>
    <t>michael.p.williams@gsa.gov</t>
  </si>
  <si>
    <t>HVAC Upgrades/Humidity Control</t>
  </si>
  <si>
    <t>Statesboro</t>
  </si>
  <si>
    <t>Bernice Jackson</t>
  </si>
  <si>
    <t>(404) 331-4616</t>
  </si>
  <si>
    <t>bernice.jackson@gsa.gov</t>
  </si>
  <si>
    <t>Budget Item: Elevator Renovations</t>
  </si>
  <si>
    <t>Savannah</t>
  </si>
  <si>
    <t>Structural (Non-Corbel)</t>
  </si>
  <si>
    <t>USPS Space Buildout</t>
  </si>
  <si>
    <t>CM  Roof Replacement</t>
  </si>
  <si>
    <t>ADA upgrades; sidewalks&amp; restrooms</t>
  </si>
  <si>
    <t>Chimney Repairs (Lightning)</t>
  </si>
  <si>
    <t>Third Floor Piggy Back Air Handler</t>
  </si>
  <si>
    <t>Automation Controls Repair</t>
  </si>
  <si>
    <t>Upgrade Fire Alarm Panel</t>
  </si>
  <si>
    <t>Basement Painting</t>
  </si>
  <si>
    <t>Switchgear</t>
  </si>
  <si>
    <t>Dublin</t>
  </si>
  <si>
    <t>4-pipe HVAC Overhaul</t>
  </si>
  <si>
    <t>Columbus</t>
  </si>
  <si>
    <t>Budget Line Item - FAS Alteration ATL-Central</t>
  </si>
  <si>
    <t>Atlanta</t>
  </si>
  <si>
    <t>Denise Butler</t>
  </si>
  <si>
    <t>(404) 331-4627</t>
  </si>
  <si>
    <t>Domestic Water Line ATL-Central</t>
  </si>
  <si>
    <t>Tuttle Courthouse Signage</t>
  </si>
  <si>
    <t>Tuttle Courthouse Ballistic Window</t>
  </si>
  <si>
    <t>Tuttle Courthouse Renovation 1st Floor</t>
  </si>
  <si>
    <t>Server Room 2nd Floor</t>
  </si>
  <si>
    <t>FBI Move</t>
  </si>
  <si>
    <t>HUD VSR Design, ECC &amp; M&amp;I ATL-North</t>
  </si>
  <si>
    <t>Victor Cannon</t>
  </si>
  <si>
    <t>(404) 224-2294</t>
  </si>
  <si>
    <t>victor.cannon@gsa.gov</t>
  </si>
  <si>
    <t>Exterior Repairs(Caulking, Skylights &amp; Windows) ATL-North</t>
  </si>
  <si>
    <t>Exterior Repairs CM ATL-North</t>
  </si>
  <si>
    <t>Four Windows Repair ATL-North</t>
  </si>
  <si>
    <t>3rd Floor Elevator Lobby ATL-North</t>
  </si>
  <si>
    <t>Replace Waterless Urinals 24th Floor ATL-North</t>
  </si>
  <si>
    <t>A/C Unit Summit Exchange ATL-North</t>
  </si>
  <si>
    <t>3rd Floor Balcony ATL-North</t>
  </si>
  <si>
    <t>Replace Terrazzo Floor ATL-North</t>
  </si>
  <si>
    <t>Replace Carpet Passenger Elevator ATL-North</t>
  </si>
  <si>
    <t>Replace Six Additional Roof Drains ATL-North</t>
  </si>
  <si>
    <t>Summit- Childcare Playground</t>
  </si>
  <si>
    <t>Victor C/Denise Butler</t>
  </si>
  <si>
    <t>Summit- Window Replacement/Repair Placeholder</t>
  </si>
  <si>
    <t>Summit - FAS Alterations</t>
  </si>
  <si>
    <t>Victor/Denise Butler</t>
  </si>
  <si>
    <t>Pedestrian Tunnel ATL-South</t>
  </si>
  <si>
    <t>Leslie Smalls</t>
  </si>
  <si>
    <t>(404) 224-2232</t>
  </si>
  <si>
    <t>leslie.smalls@gsa.gov</t>
  </si>
  <si>
    <t>Parapet Walls ATL-South</t>
  </si>
  <si>
    <t>Outdoor Lighting ATL-South</t>
  </si>
  <si>
    <t>Conference Center Dividing Partition ATL-South</t>
  </si>
  <si>
    <t>AFC-SSA VSR 24th Floor</t>
  </si>
  <si>
    <t>Leslie Smalls/Thomas Waller</t>
  </si>
  <si>
    <t>Ventilation Upgrade</t>
  </si>
  <si>
    <t>Birmingham</t>
  </si>
  <si>
    <t>Linda Lockett</t>
  </si>
  <si>
    <t>(404) 331-4624</t>
  </si>
  <si>
    <t>linda.Lockett@gsa.gov</t>
  </si>
  <si>
    <t>Placeholder</t>
  </si>
  <si>
    <t>Additional CM, Gutters &amp; Drains</t>
  </si>
  <si>
    <t>Install Fire Pump &amp; Hook up Sprinkler</t>
  </si>
  <si>
    <t>Greensboro</t>
  </si>
  <si>
    <t>William T. Peterson</t>
  </si>
  <si>
    <t>(704) 926-7071</t>
  </si>
  <si>
    <t>william.peterson@gsa.gov</t>
  </si>
  <si>
    <t>Replace 3rd Floor A/C Unit</t>
  </si>
  <si>
    <t>Greenville</t>
  </si>
  <si>
    <t>Mold Remediation</t>
  </si>
  <si>
    <t>Wilimington</t>
  </si>
  <si>
    <t>Repair/Replace Boiler Tubes</t>
  </si>
  <si>
    <t>Century Station Bankruptcy Court Backfill</t>
  </si>
  <si>
    <t>Charlotte</t>
  </si>
  <si>
    <t>VSR U.S. Bankruptcy   GPM  Shell   Design</t>
  </si>
  <si>
    <t>VSR U.S. Bankruptcy   GPM  TI   Design</t>
  </si>
  <si>
    <t>VSR, CNS 1st Floor</t>
  </si>
  <si>
    <t>Budget Item; Mold</t>
  </si>
  <si>
    <t>Judge Chamber</t>
  </si>
  <si>
    <t>Raleigh</t>
  </si>
  <si>
    <t>Sealing Windows &amp; Exterior Façade</t>
  </si>
  <si>
    <t>Columbia</t>
  </si>
  <si>
    <t>Mataya Robinson</t>
  </si>
  <si>
    <t>(919) 604-6761</t>
  </si>
  <si>
    <t>mataya.robinson@gsa.gov</t>
  </si>
  <si>
    <t>New Fire Alarm</t>
  </si>
  <si>
    <t>Columnbia</t>
  </si>
  <si>
    <t>Flood Repairs</t>
  </si>
  <si>
    <t>Fire Alarm</t>
  </si>
  <si>
    <t>Interior Renovations</t>
  </si>
  <si>
    <t>Landscaping</t>
  </si>
  <si>
    <t>Remodel Courthouse Space 6th Floor</t>
  </si>
  <si>
    <t>Install Catwalk above Courtroom</t>
  </si>
  <si>
    <t>Florence</t>
  </si>
  <si>
    <t>Budget Item: Mold</t>
  </si>
  <si>
    <t>VSR- CNS 1st Floor</t>
  </si>
  <si>
    <t>FWS (VSR)</t>
  </si>
  <si>
    <t>Louisville</t>
  </si>
  <si>
    <t>Wylene Bell</t>
  </si>
  <si>
    <t>(404) 331-4617</t>
  </si>
  <si>
    <t>wylene.bell@gsa.gov</t>
  </si>
  <si>
    <t>Lightwell Design/ECC/CM</t>
  </si>
  <si>
    <t>Corbels Project</t>
  </si>
  <si>
    <t>USCG Command Center VSR</t>
  </si>
  <si>
    <t>Basement Hallway, Floors &amp; Walls</t>
  </si>
  <si>
    <t>2nd/3rd Floor Hallway Paint</t>
  </si>
  <si>
    <t>Wallcovering Tile</t>
  </si>
  <si>
    <t>ADA Restroom Project</t>
  </si>
  <si>
    <t>Update Foot Flushes</t>
  </si>
  <si>
    <t>Rear PO Lot Re-Seal</t>
  </si>
  <si>
    <t>Budget Item - HSPD Security Upgrades</t>
  </si>
  <si>
    <t>Life Safety Alterations at Public Lobbies</t>
  </si>
  <si>
    <t>Gulfport</t>
  </si>
  <si>
    <t>Karen Drake/Mike Lanham</t>
  </si>
  <si>
    <t>(404) 331-0223</t>
  </si>
  <si>
    <t>Karen.Drake@gsa.gov</t>
  </si>
  <si>
    <t>Firesafety Upgrades</t>
  </si>
  <si>
    <t>Memphis</t>
  </si>
  <si>
    <t>Water Line replacement 4PT add</t>
  </si>
  <si>
    <t>Issac Storm Repair - Back build ( placeholder)</t>
  </si>
  <si>
    <t>FBI VSR ( placeholder)</t>
  </si>
  <si>
    <t>Cafeteria Fume Hood</t>
  </si>
  <si>
    <t>IRS VSR change order</t>
  </si>
  <si>
    <t>DOL VSR</t>
  </si>
  <si>
    <t>Waterproofing and Exterior Window Repairs - EKA add</t>
  </si>
  <si>
    <t>1st Floor Lobby</t>
  </si>
  <si>
    <t>Conference Rm ( 2)</t>
  </si>
  <si>
    <t>Carpet removal</t>
  </si>
  <si>
    <t>Refinish wood</t>
  </si>
  <si>
    <t>District Court Server Room AC Re-Design (CRAC)</t>
  </si>
  <si>
    <t>Jackson</t>
  </si>
  <si>
    <t>Karen Drake</t>
  </si>
  <si>
    <t>Sprinkler System</t>
  </si>
  <si>
    <t>Michael Lanham</t>
  </si>
  <si>
    <t>(404) 526-3163</t>
  </si>
  <si>
    <t>Michael.Lanham@gsa.gov</t>
  </si>
  <si>
    <t>Howard Baker Heat Pumps</t>
  </si>
  <si>
    <t>Nashville</t>
  </si>
  <si>
    <t>Dee Henderson</t>
  </si>
  <si>
    <t>(404) 331-9792</t>
  </si>
  <si>
    <t>Dee.Henderson@gsa.gov</t>
  </si>
  <si>
    <t>Chilled Water Piping Repair in Howard Baker</t>
  </si>
  <si>
    <t>Balcony Re-Grouting</t>
  </si>
  <si>
    <t>Elevator HVAC - Exhaust Fans for all Shafts</t>
  </si>
  <si>
    <t>OA Unit, Heat Wheel</t>
  </si>
  <si>
    <t>Miami</t>
  </si>
  <si>
    <t>Gerald Pimental</t>
  </si>
  <si>
    <t>(954) 356-7686</t>
  </si>
  <si>
    <t>gerald.pimental@gsa.gov</t>
  </si>
  <si>
    <t>Roof Drain &amp; Roof Repair</t>
  </si>
  <si>
    <t>Cooling Tower Repair</t>
  </si>
  <si>
    <t>Carpeting &amp; Painting of 2nd Floor</t>
  </si>
  <si>
    <t>Water Intrusion &amp; Repair Damaged Plaster Ceiling CTRMS</t>
  </si>
  <si>
    <t>Autec- Court of Appeals Expansion</t>
  </si>
  <si>
    <t>West Palm Beach</t>
  </si>
  <si>
    <t>Air Handler Replacements (11 Units)</t>
  </si>
  <si>
    <t>USMS Arraignment Courtroom Buildout</t>
  </si>
  <si>
    <t>Restroom Upgrades</t>
  </si>
  <si>
    <t>Oak Ridge</t>
  </si>
  <si>
    <t>Replace Chillers &amp; Refurbish Cooling Tower</t>
  </si>
  <si>
    <t>Tampa</t>
  </si>
  <si>
    <t>Sue Kaiser</t>
  </si>
  <si>
    <t>(561) 820-8165</t>
  </si>
  <si>
    <t>sue.kaiser@gsa.gov</t>
  </si>
  <si>
    <t>Annex CT Security Doors</t>
  </si>
  <si>
    <t>Install Vehicle Wedge</t>
  </si>
  <si>
    <t>Design-Replace Cooling Towers</t>
  </si>
  <si>
    <t>Repair Steps</t>
  </si>
  <si>
    <t>Basement Project (Paint, etc.)</t>
  </si>
  <si>
    <t>USMS Holding Cells</t>
  </si>
  <si>
    <t>Gibbons Courtroom 7th Floor</t>
  </si>
  <si>
    <t>Storefront Doors</t>
  </si>
  <si>
    <t>Orlando</t>
  </si>
  <si>
    <t>Timberlake-Chiller Repair</t>
  </si>
  <si>
    <t>Chiller Replacement</t>
  </si>
  <si>
    <t>Pensacola</t>
  </si>
  <si>
    <t>Combined Services</t>
  </si>
  <si>
    <t>Key West</t>
  </si>
  <si>
    <t>Wilson Five</t>
  </si>
  <si>
    <t>Tiffanie Reed</t>
  </si>
  <si>
    <t>404-331-5710</t>
  </si>
  <si>
    <t>tiffanie.reed@gsa.gov</t>
  </si>
  <si>
    <t>Operations and Maintenance</t>
  </si>
  <si>
    <t>WW Contractor's</t>
  </si>
  <si>
    <t>Mail Room Contract</t>
  </si>
  <si>
    <t>R Professional, Administrative and Management Support Services</t>
  </si>
  <si>
    <t>Shaga Consulting</t>
  </si>
  <si>
    <t>Brenda Dozier</t>
  </si>
  <si>
    <t>404-331-3246</t>
  </si>
  <si>
    <t>brenda.dozier@gsa.gov</t>
  </si>
  <si>
    <t>Source Selection Evaluation Board</t>
  </si>
  <si>
    <t>8(a) Competitive</t>
  </si>
  <si>
    <t>FedBizOps/ Competitive 8(a)</t>
  </si>
  <si>
    <t>Formerly Sole Source 8(a)...New contract Competitive 8(a)</t>
  </si>
  <si>
    <t>Karen Payne</t>
  </si>
  <si>
    <t>404-224-2293</t>
  </si>
  <si>
    <t>karen.payne@gsa.gov</t>
  </si>
  <si>
    <t>Office Relocation</t>
  </si>
  <si>
    <t>GSA Schedules with Small Business set aside</t>
  </si>
  <si>
    <t>Potentially</t>
  </si>
  <si>
    <t>Office Relocation/Protect and Cover/</t>
  </si>
  <si>
    <t>GSA Schedules</t>
  </si>
  <si>
    <t>Sole Source 8(a) w/justification</t>
  </si>
  <si>
    <t>Office Relocation/FAS</t>
  </si>
  <si>
    <t>FAS move from Summit to MLK</t>
  </si>
  <si>
    <t>Wesley Zehms</t>
  </si>
  <si>
    <t>404-331-0221</t>
  </si>
  <si>
    <t>wesley.zehms@gsa.gov</t>
  </si>
  <si>
    <t>Elevator Emergency Telephone Monitoring</t>
  </si>
  <si>
    <t>Courier Mail Service</t>
  </si>
  <si>
    <t>Georgia Messenger Service</t>
  </si>
  <si>
    <t>Chattanooga</t>
  </si>
  <si>
    <t>8(a) Sole Source</t>
  </si>
  <si>
    <t>CNV Service Company LLC</t>
  </si>
  <si>
    <t>Includes Winchester TN Federal Building</t>
  </si>
  <si>
    <t>Areawide Trash Removal</t>
  </si>
  <si>
    <t>Solid Waste Collection</t>
  </si>
  <si>
    <t>Floria Standifer</t>
  </si>
  <si>
    <t>404-331-8423</t>
  </si>
  <si>
    <t>flo.standifer@gsa.gov</t>
  </si>
  <si>
    <t>Combined Services - Operation and Maintenance and Janitorial Services</t>
  </si>
  <si>
    <t>BRCS</t>
  </si>
  <si>
    <t>Alecia Shelton</t>
  </si>
  <si>
    <t>404-331-5709</t>
  </si>
  <si>
    <t>alecia.shelton@gsa.gov</t>
  </si>
  <si>
    <t>Administrative Support Services</t>
  </si>
  <si>
    <t>R Professional Administrative and Management Support Services</t>
  </si>
  <si>
    <t>National Industries for the Blind</t>
  </si>
  <si>
    <t>VRS</t>
  </si>
  <si>
    <t>George Pollock</t>
  </si>
  <si>
    <t>404-224-2289</t>
  </si>
  <si>
    <t>george.pollock@gsa.gov</t>
  </si>
  <si>
    <t>Pest Control Services</t>
  </si>
  <si>
    <t>Copier Services</t>
  </si>
  <si>
    <t>W Lease &amp; Maintenance of Copie Equipment</t>
  </si>
  <si>
    <t>GA, FL, NC, MS, KY, AL, TN</t>
  </si>
  <si>
    <t>SHARP</t>
  </si>
  <si>
    <t>Eva Freeman</t>
  </si>
  <si>
    <t>404-331-3710</t>
  </si>
  <si>
    <t>eva.freeman@gsa.gov</t>
  </si>
  <si>
    <t>Satelite Communications</t>
  </si>
  <si>
    <t>R Professional Support CommunicationServices</t>
  </si>
  <si>
    <t>SATCOM Direct</t>
  </si>
  <si>
    <t>GSA Schdules</t>
  </si>
  <si>
    <t>XEROX</t>
  </si>
  <si>
    <t>Building Operation &amp; Mechanical Maintenance</t>
  </si>
  <si>
    <t>Z1AA - Maintenance of Office Buildings</t>
  </si>
  <si>
    <t>Huntsville and Tuscaloosa</t>
  </si>
  <si>
    <t>GSA/FSS Schedule</t>
  </si>
  <si>
    <t>Fedserv Industries</t>
  </si>
  <si>
    <t>Sandra E. Clark</t>
  </si>
  <si>
    <t>404-331-5845</t>
  </si>
  <si>
    <t>sandra.clark@gsa.gov</t>
  </si>
  <si>
    <t>Miramar Title Opinion</t>
  </si>
  <si>
    <t>B599 - Special Studies/Analysis-Other</t>
  </si>
  <si>
    <t>Miramar</t>
  </si>
  <si>
    <t>Small Business Set-aside</t>
  </si>
  <si>
    <t>Possible Sole Source (Pending)</t>
  </si>
  <si>
    <t>Current Contract Holder</t>
  </si>
  <si>
    <t>New Opportunity</t>
  </si>
  <si>
    <t>Kiersten Mathews</t>
  </si>
  <si>
    <t>404-526-3125</t>
  </si>
  <si>
    <t>kiersten.mathews@gsa.gov</t>
  </si>
  <si>
    <t>Lexington</t>
  </si>
  <si>
    <t>Set-aside to all small businesses</t>
  </si>
  <si>
    <t>A&amp;E services</t>
  </si>
  <si>
    <t>C-Architect and engineering services, R-Professional, administrative, and management support services, T-Photographic, mapping, printing &amp; publication services</t>
  </si>
  <si>
    <t>Firm Fixed Price-IDIQ</t>
  </si>
  <si>
    <t>Small Business Set Aside</t>
  </si>
  <si>
    <t>New Requirement, Base + 4 Year Options</t>
  </si>
  <si>
    <t>Devoping Sources Sought</t>
  </si>
  <si>
    <t>General Construction</t>
  </si>
  <si>
    <t>Set-aside for SDVOSBs'</t>
  </si>
  <si>
    <t>October 1 to September 30 (one fiscal year)</t>
  </si>
  <si>
    <t>Josef Thornton</t>
  </si>
  <si>
    <t>404-275-8583</t>
  </si>
  <si>
    <t>josef.thornton@gsa.gov</t>
  </si>
  <si>
    <t>A-E services for the state of Georgia (3)</t>
  </si>
  <si>
    <t>C211</t>
  </si>
  <si>
    <t>Corlis Moore</t>
  </si>
  <si>
    <t>404-313-3242</t>
  </si>
  <si>
    <t>corlis.moore@gsa.gov</t>
  </si>
  <si>
    <t>Open for proposal/solicitation submission</t>
  </si>
  <si>
    <t>Design Excellence Services for the New Mobile Courthouse</t>
  </si>
  <si>
    <t>Paula Mensah</t>
  </si>
  <si>
    <t>404-331-2748</t>
  </si>
  <si>
    <t>paulal.mensah@gsa.gov</t>
  </si>
  <si>
    <t>Design-Build Renovation for Security Improvements of the Frank M. Scarlett Federal Building in Brunswick, GA / option Boiler / Chiller replacement- will be open for proposal/solicitation submission</t>
  </si>
  <si>
    <t>Z2AA - Repair or Alteration of Office buildings</t>
  </si>
  <si>
    <t>Y- Construction of structure and facilities</t>
  </si>
  <si>
    <t>Brunswick</t>
  </si>
  <si>
    <t>Rosalind Cherry</t>
  </si>
  <si>
    <t>404-217-2164</t>
  </si>
  <si>
    <t>rosalind.cherry@gsa.gov</t>
  </si>
  <si>
    <t>Construction Manager as-agent for the Design-Build Renovation for Security Improvements of the Frank M. Scarlett Federal Building in Brunswick, GA / option Boiler / Chiller replacement- will be open for proposal/solicitation submission</t>
  </si>
  <si>
    <t>R499 Other Professional Services</t>
  </si>
  <si>
    <t>Security Services  for the Design-Build Renovation for Security Improvements of the Frank M. Scarlett Federal Building in Brunswick, GA / option Boiler / Chiller replacement- will be open for proposal/solicitation submission</t>
  </si>
  <si>
    <t>6350 Miscellaneous Alarm, Signal, Security Detection Systems</t>
  </si>
  <si>
    <t>63- Alarm, Signal and Detection Systems</t>
  </si>
  <si>
    <t>ADT</t>
  </si>
  <si>
    <t>Steam Condensate Heat Recovery</t>
  </si>
  <si>
    <t>Milwaukee</t>
  </si>
  <si>
    <t>Small</t>
  </si>
  <si>
    <t>Small Business set-aside</t>
  </si>
  <si>
    <t>Ron Sieben</t>
  </si>
  <si>
    <t>612-725-3018</t>
  </si>
  <si>
    <t>ronald.sieben@gsa.gov</t>
  </si>
  <si>
    <t>The solicitation will be posted on FBO.gov</t>
  </si>
  <si>
    <t>To be awarded</t>
  </si>
  <si>
    <t>Justin Costello</t>
  </si>
  <si>
    <t>justin.costello@gsa.gov</t>
  </si>
  <si>
    <t>Jesse Jones</t>
  </si>
  <si>
    <t>jesse.jones@gsa.gov</t>
  </si>
  <si>
    <t>debbie.ethell@gsa.gov</t>
  </si>
  <si>
    <t>Other than Small</t>
  </si>
  <si>
    <t>Brock Construction</t>
  </si>
  <si>
    <t>Mechanical and Maintenance Services</t>
  </si>
  <si>
    <t>Chicagoland</t>
  </si>
  <si>
    <t>All Business Concerns</t>
  </si>
  <si>
    <t>FSS</t>
  </si>
  <si>
    <t>Breanna Ackley</t>
  </si>
  <si>
    <t>(312) 353-5534</t>
  </si>
  <si>
    <t>breanna.ackley@gsa.gov</t>
  </si>
  <si>
    <t>FSS Procurement</t>
  </si>
  <si>
    <t>Chicagoland Repair &amp; Alterations IDIQ</t>
  </si>
  <si>
    <t>Catherine Dean</t>
  </si>
  <si>
    <t>(312) 353-7598</t>
  </si>
  <si>
    <t>Catherine.Dean@gsa.gov</t>
  </si>
  <si>
    <t>Small Business set-aside 8(A)</t>
  </si>
  <si>
    <t>Dakota Intertek</t>
  </si>
  <si>
    <t>Edgar Delgado</t>
  </si>
  <si>
    <t>(312) 353-8797</t>
  </si>
  <si>
    <t>Regionwide</t>
  </si>
  <si>
    <t>Multiple</t>
  </si>
  <si>
    <t>Various Locations</t>
  </si>
  <si>
    <t>Madison Services, Inc.</t>
  </si>
  <si>
    <t>IDIQ Repair and alterations</t>
  </si>
  <si>
    <t>Hamline Construction</t>
  </si>
  <si>
    <t>Rosemarie Buchalski</t>
  </si>
  <si>
    <t>612-725-3814</t>
  </si>
  <si>
    <t>rosemarie.buchalski@gsa.gov</t>
  </si>
  <si>
    <t>rosemarie Buchalski</t>
  </si>
  <si>
    <t>Twin Cities Metro Area, Including Eau Claire, WI</t>
  </si>
  <si>
    <t>Madison Services</t>
  </si>
  <si>
    <t>Michigan A/E Services IDIQ</t>
  </si>
  <si>
    <t>Miranda Webster</t>
  </si>
  <si>
    <t>313-317-9611</t>
  </si>
  <si>
    <t>miranda.webster@gsa.gov</t>
  </si>
  <si>
    <t>This notice is for informational purposes only and does not represent a new award opportunity this year.  GSA is evaluating offers.</t>
  </si>
  <si>
    <t>Operations &amp; Mechanical Maintenance Services</t>
  </si>
  <si>
    <t>Indianapolis</t>
  </si>
  <si>
    <t>indefinite Delivery Contract-IDC</t>
  </si>
  <si>
    <t>BHS Services</t>
  </si>
  <si>
    <t>217-492-4086</t>
  </si>
  <si>
    <t>This service will be procured through FSS</t>
  </si>
  <si>
    <t>Elevator Maintenance</t>
  </si>
  <si>
    <t>Schindler Elevator</t>
  </si>
  <si>
    <t>Debbie Ethell</t>
  </si>
  <si>
    <t>217-492-4573</t>
  </si>
  <si>
    <t>Janitorial &amp; Related Services</t>
  </si>
  <si>
    <t>Lafayette</t>
  </si>
  <si>
    <t>317.510.6907</t>
  </si>
  <si>
    <t>East St. Louis</t>
  </si>
  <si>
    <t>Martin Harris</t>
  </si>
  <si>
    <t>217-492-5041</t>
  </si>
  <si>
    <t>martin.harris@gsa.gov</t>
  </si>
  <si>
    <t>Thyssenkrupp</t>
  </si>
  <si>
    <t>O&amp;M Services</t>
  </si>
  <si>
    <t>Battle Creek</t>
  </si>
  <si>
    <t>Commercial Facilities Management</t>
  </si>
  <si>
    <t>Joslann Igoe</t>
  </si>
  <si>
    <t>616-458-5684</t>
  </si>
  <si>
    <t>joslann.igoe@gsa.gov</t>
  </si>
  <si>
    <t>FSS procurement</t>
  </si>
  <si>
    <t>Kone Inc</t>
  </si>
  <si>
    <t>Benton</t>
  </si>
  <si>
    <t>CMC &amp; Maintenance</t>
  </si>
  <si>
    <t>Benton, Mt. Vernon</t>
  </si>
  <si>
    <t>217-492-4290</t>
  </si>
  <si>
    <t>Peoria</t>
  </si>
  <si>
    <t>ThyssenKrupp</t>
  </si>
  <si>
    <t>Kalamazoo</t>
  </si>
  <si>
    <t>Joseph Daniero</t>
  </si>
  <si>
    <t>616-456-2695</t>
  </si>
  <si>
    <t>joseph.daniero@gsa.gov</t>
  </si>
  <si>
    <t>Lansing</t>
  </si>
  <si>
    <t>Aprili Miller</t>
  </si>
  <si>
    <t>313-317-9612</t>
  </si>
  <si>
    <t>aprili.miller@gsa.gov</t>
  </si>
  <si>
    <t>Detroit</t>
  </si>
  <si>
    <t>Aleshia Brooks</t>
  </si>
  <si>
    <t>313-317-9610</t>
  </si>
  <si>
    <t>aleshia.brooks@gsa.gov</t>
  </si>
  <si>
    <t>Repair of Sidewalk Elevator</t>
  </si>
  <si>
    <t>Cleveland</t>
  </si>
  <si>
    <t>Rhonda Booker</t>
  </si>
  <si>
    <t>216-522-4875</t>
  </si>
  <si>
    <t>rhonda.booker@gsa.gov</t>
  </si>
  <si>
    <t>The solicitation will be solicited via a multiple award IDIQ contract</t>
  </si>
  <si>
    <t>Mitigation of Cold Air Stratification in Lower Level AHUs</t>
  </si>
  <si>
    <t>Janitorial and Related Services</t>
  </si>
  <si>
    <t>Duluth</t>
  </si>
  <si>
    <t>Madison</t>
  </si>
  <si>
    <t>Della Ljungkull</t>
  </si>
  <si>
    <t>612-725-3288</t>
  </si>
  <si>
    <t>della.ljungkull@gsa.gov</t>
  </si>
  <si>
    <t>A/E Services</t>
  </si>
  <si>
    <t>Contract</t>
  </si>
  <si>
    <t>Will Chapman</t>
  </si>
  <si>
    <t>312.353.0868</t>
  </si>
  <si>
    <t>william.chapman@gsa.gov</t>
  </si>
  <si>
    <t>Regionwide A/E Services IDIQ</t>
  </si>
  <si>
    <t>Partial Small Business Set Aside</t>
  </si>
  <si>
    <t>Indefinite Delivery Contract - IDC</t>
  </si>
  <si>
    <t>Oana Oprean</t>
  </si>
  <si>
    <t>312.353.4001</t>
  </si>
  <si>
    <t>oana.oprean@gsa.gov</t>
  </si>
  <si>
    <t>CMc Services - Security Upgrade project</t>
  </si>
  <si>
    <t>Katie Musselman</t>
  </si>
  <si>
    <t>312.983.1811</t>
  </si>
  <si>
    <t>katie.musselman@gsa.gov</t>
  </si>
  <si>
    <t>CMa Services - Security Upgrade Project</t>
  </si>
  <si>
    <t>Unknown</t>
  </si>
  <si>
    <t>321.983.1811</t>
  </si>
  <si>
    <t>ODAR Office Renovation</t>
  </si>
  <si>
    <t>Danville</t>
  </si>
  <si>
    <t>Selena Haavig</t>
  </si>
  <si>
    <t>312-353-1607</t>
  </si>
  <si>
    <t>selena.haavig@gsa.gov</t>
  </si>
  <si>
    <t>R5 Environmental Services BPA</t>
  </si>
  <si>
    <t>Blanket Purchase Agreement</t>
  </si>
  <si>
    <t>Patricia Britten</t>
  </si>
  <si>
    <t>312.886-6921</t>
  </si>
  <si>
    <t>patricia.britten@gsa.gov</t>
  </si>
  <si>
    <t>Exercising Option</t>
  </si>
  <si>
    <t>Stephen Foley</t>
  </si>
  <si>
    <t>stephen.foley@gsa.gov</t>
  </si>
  <si>
    <t>Infiltration Repair</t>
  </si>
  <si>
    <t>Procurement to establish an IDIQ was not set aside for small buisness based on market research results. This decision was approved by the Office of Small Business Utilization. Fair Opportunity was provided to all IDIQ contract holders, and the apparent successful offeror for this Task Order is a Large Business.</t>
  </si>
  <si>
    <t>Hof Construction</t>
  </si>
  <si>
    <t>Kristin Stockman</t>
  </si>
  <si>
    <t>816-823-3431</t>
  </si>
  <si>
    <t>kristin.stockman@gsa.gov</t>
  </si>
  <si>
    <t>Insulation and Sealing</t>
  </si>
  <si>
    <t>Audra Harrison</t>
  </si>
  <si>
    <t>816-823-2591</t>
  </si>
  <si>
    <t>audra.harrison@gsa.gov</t>
  </si>
  <si>
    <t>Bolling Heaters</t>
  </si>
  <si>
    <t>Kansas City</t>
  </si>
  <si>
    <t>Potential small business set-aside pending market research</t>
  </si>
  <si>
    <t>Bolling Elevator Switch Gear</t>
  </si>
  <si>
    <t>Modify Heat Lamps and Bollard System Repair</t>
  </si>
  <si>
    <t>Chad Jasper</t>
  </si>
  <si>
    <t>816-823-2171</t>
  </si>
  <si>
    <t>chad.jasper@gsa.gov</t>
  </si>
  <si>
    <t>SSA 2nd Floor Renovation</t>
  </si>
  <si>
    <t>816-823-5804</t>
  </si>
  <si>
    <t>kanika.perkins@gsa.gov</t>
  </si>
  <si>
    <t>Hannibal</t>
  </si>
  <si>
    <t>Des Moines</t>
  </si>
  <si>
    <t>Sioux City</t>
  </si>
  <si>
    <t>Small Business Set-Aside</t>
  </si>
  <si>
    <t>Crystal Martin</t>
  </si>
  <si>
    <t>816-926-7571</t>
  </si>
  <si>
    <t>crystal.martin@gsa.gov</t>
  </si>
  <si>
    <t>Chiller solid state starter replacement</t>
  </si>
  <si>
    <t>Iowa City</t>
  </si>
  <si>
    <t>Kathy Routson Jones</t>
  </si>
  <si>
    <t>515-284-4043</t>
  </si>
  <si>
    <t>kathy.routsonjones@gsa.gov</t>
  </si>
  <si>
    <t>Fire Alarm System Remediation</t>
  </si>
  <si>
    <t>Davenport</t>
  </si>
  <si>
    <t>Stair releveling</t>
  </si>
  <si>
    <t>Install new fire sprinkler riser</t>
  </si>
  <si>
    <t>Eagles Loft Blast Resistent Window Film</t>
  </si>
  <si>
    <t>Ames</t>
  </si>
  <si>
    <t>Bathroom Install</t>
  </si>
  <si>
    <t>Sprinkler Head Repairs</t>
  </si>
  <si>
    <t>Window Wells</t>
  </si>
  <si>
    <t>Omaha</t>
  </si>
  <si>
    <t>Authorized by FAR/Statute</t>
  </si>
  <si>
    <t>LP Custodial &amp; Supply</t>
  </si>
  <si>
    <t>Shawn Starostka</t>
  </si>
  <si>
    <t>shawn.starostka@gsa.gov</t>
  </si>
  <si>
    <t>FWL Switchgear</t>
  </si>
  <si>
    <t>Grand Island</t>
  </si>
  <si>
    <t>Childcare Room Improvement</t>
  </si>
  <si>
    <t>Bollard System Upgrades - Traffic Controls</t>
  </si>
  <si>
    <t>Update Public Space Finishes</t>
  </si>
  <si>
    <t>Lincoln</t>
  </si>
  <si>
    <t>Exterior Wall Improvement</t>
  </si>
  <si>
    <t>Exterior Wall Sealants</t>
  </si>
  <si>
    <t>North Platte</t>
  </si>
  <si>
    <t>Repair of Switchgear B</t>
  </si>
  <si>
    <t>St. Louis</t>
  </si>
  <si>
    <t>Kris Hundsdorfer</t>
  </si>
  <si>
    <t>314-539-7305</t>
  </si>
  <si>
    <t>kris.hundsdorfer@gsa.gov</t>
  </si>
  <si>
    <t>MIC Fire Suppression Pipinng Replacement</t>
  </si>
  <si>
    <t>Carpet Replacement-2nd Floor</t>
  </si>
  <si>
    <t>Tom Yochim</t>
  </si>
  <si>
    <t>314-539-7316</t>
  </si>
  <si>
    <t>tom.yochim@gsa.gov</t>
  </si>
  <si>
    <t>Cyclical Interior Maintenance</t>
  </si>
  <si>
    <t>Condensate Pump-Station &amp; Mechanical Rreplacement</t>
  </si>
  <si>
    <t>Heat Exchanger Tube Bundle</t>
  </si>
  <si>
    <t>Nitrogen System Fire Suppression</t>
  </si>
  <si>
    <t>Water Sensors</t>
  </si>
  <si>
    <t>Fire Alarm Maintenance</t>
  </si>
  <si>
    <t>SimplexGrinnell</t>
  </si>
  <si>
    <t>Urban Maintenance</t>
  </si>
  <si>
    <t>DT St. Louis Partnership</t>
  </si>
  <si>
    <t>LaVerne Perkins</t>
  </si>
  <si>
    <t>816-823-4271</t>
  </si>
  <si>
    <t>LAVERNE.PERKINS@GSA.GOV</t>
  </si>
  <si>
    <t>O &amp; M</t>
  </si>
  <si>
    <t>Total Small Business</t>
  </si>
  <si>
    <t>Janitorial</t>
  </si>
  <si>
    <t>Mandatory Source - Ability One</t>
  </si>
  <si>
    <t>Learning Opportunities/Quality Works, Inc.</t>
  </si>
  <si>
    <t>New Procurement</t>
  </si>
  <si>
    <t>Stacie Welte</t>
  </si>
  <si>
    <t>816-823-3393</t>
  </si>
  <si>
    <t>stacie.welte@gsa.gov</t>
  </si>
  <si>
    <t>Goodwill Employment Services of Central Nebraska</t>
  </si>
  <si>
    <t>Federal Supply Schedule</t>
  </si>
  <si>
    <t>Wilson 5 Service Company, Inc.</t>
  </si>
  <si>
    <t>Christy Pearce</t>
  </si>
  <si>
    <t>christy.pearce@gsa.gov</t>
  </si>
  <si>
    <t>Goodwill Speciality</t>
  </si>
  <si>
    <t>816-823-2243</t>
  </si>
  <si>
    <t>Mail room services</t>
  </si>
  <si>
    <t>JobOne</t>
  </si>
  <si>
    <t>Elevator Inspection Services</t>
  </si>
  <si>
    <t>St. Louis Metro Area, Hannibal, Cape Girardeau</t>
  </si>
  <si>
    <t>National Elevator Inspection Services</t>
  </si>
  <si>
    <t>Operations and Maintenance Services</t>
  </si>
  <si>
    <t>LB&amp;B Associates, Inc.</t>
  </si>
  <si>
    <t>Snow Removal Services</t>
  </si>
  <si>
    <t>Konrady's Lawn and Landscape, Inc.</t>
  </si>
  <si>
    <t>Janitorial and Related Sevices</t>
  </si>
  <si>
    <t>MGI Sevices Corporation</t>
  </si>
  <si>
    <t>Hai H. Nguyen</t>
  </si>
  <si>
    <t>816-823-2212</t>
  </si>
  <si>
    <t>hai.nguyen@gsa.gov</t>
  </si>
  <si>
    <t>Community Improvement District Service</t>
  </si>
  <si>
    <t>Sole Source/Only One Source</t>
  </si>
  <si>
    <t>The St. Louis DownTown PartnerShip</t>
  </si>
  <si>
    <t>Peggy Cobb</t>
  </si>
  <si>
    <t>816-823-2206</t>
  </si>
  <si>
    <t>peggy.cobb@gsa.gov</t>
  </si>
  <si>
    <t>Wichita</t>
  </si>
  <si>
    <t>Cimmaron Electric</t>
  </si>
  <si>
    <t>Terrance Cowley</t>
  </si>
  <si>
    <t>816 926 6905</t>
  </si>
  <si>
    <t>terrance.cowley@gsa.gov</t>
  </si>
  <si>
    <t>Challenge Unlimited</t>
  </si>
  <si>
    <t>Shannon Thomas</t>
  </si>
  <si>
    <t>816.926.1885</t>
  </si>
  <si>
    <t>shannon.thomas@gsa.gov</t>
  </si>
  <si>
    <t>Urban Services Group</t>
  </si>
  <si>
    <t>Barry Howard</t>
  </si>
  <si>
    <t>314-538-4190</t>
  </si>
  <si>
    <t>barry.howard.gsa.gov</t>
  </si>
  <si>
    <t>new vendor availability</t>
  </si>
  <si>
    <t>Michael Gardner</t>
  </si>
  <si>
    <t>314-263-3614</t>
  </si>
  <si>
    <t>michael.gardner@gsa.gov</t>
  </si>
  <si>
    <t>HOT Water Upgrade B115 Goodfellow</t>
  </si>
  <si>
    <t>FIRE STOP MDD</t>
  </si>
  <si>
    <t>speciality, price</t>
  </si>
  <si>
    <t>EMS Front-end MDD</t>
  </si>
  <si>
    <t>Exterior painting/Goodfellow</t>
  </si>
  <si>
    <t>Fire Stop Bldg 109</t>
  </si>
  <si>
    <t>105 FSIS door to hallway</t>
  </si>
  <si>
    <t>Vestibule painting  105S, 104S,103S, 102E,etc</t>
  </si>
  <si>
    <t>104 C-Store renovations</t>
  </si>
  <si>
    <t>314-538-3614</t>
  </si>
  <si>
    <t>Eco Path Rugs for Building Lobby</t>
  </si>
  <si>
    <t>P Moore &amp; L. Wiliams, JV</t>
  </si>
  <si>
    <t>Stefanie Walters</t>
  </si>
  <si>
    <t>stefaine.walters@gsa.gov</t>
  </si>
  <si>
    <t>Labor to remove/replace vent line</t>
  </si>
  <si>
    <t>Aaron Starr</t>
  </si>
  <si>
    <t>aaron.starr@gsa.gov</t>
  </si>
  <si>
    <t>Install interior and exterior Veeder Roof overfill alarm monitor</t>
  </si>
  <si>
    <t>Gerry Wilson</t>
  </si>
  <si>
    <t>gerald.wilson@gsa.gov</t>
  </si>
  <si>
    <t>Provide and install all necessary compontents to bring EMS controls in Phase I &amp; II building standard.</t>
  </si>
  <si>
    <t>Replace and Replace Communication Catwallk</t>
  </si>
  <si>
    <t>Vazquez Commerical Contracting</t>
  </si>
  <si>
    <t>Exterior Improvements</t>
  </si>
  <si>
    <t>Resovle Infiration issues with louvers in East, West Fan Rooms</t>
  </si>
  <si>
    <t>Fy13</t>
  </si>
  <si>
    <t>Chiller End Bells Epoxy Coat</t>
  </si>
  <si>
    <t>Pete Castronuovo</t>
  </si>
  <si>
    <t>pete.castronuovo@gsa.gov</t>
  </si>
  <si>
    <t>Compressor Power</t>
  </si>
  <si>
    <t>Interior Improvements</t>
  </si>
  <si>
    <t>Ejector Pit Ventilation</t>
  </si>
  <si>
    <t>Various Plumbing Repairs</t>
  </si>
  <si>
    <t>Repair/Alterations</t>
  </si>
  <si>
    <t>Fort Worth</t>
  </si>
  <si>
    <t>Sherry Phillips</t>
  </si>
  <si>
    <t>817-978-0340</t>
  </si>
  <si>
    <t>schahresad.phillips@gsa.gov</t>
  </si>
  <si>
    <t>&lt;$25,000</t>
  </si>
  <si>
    <t>Midland</t>
  </si>
  <si>
    <t>IDIQ Construction - Repair/Alterations</t>
  </si>
  <si>
    <t>Undetermined</t>
  </si>
  <si>
    <t>Not determined</t>
  </si>
  <si>
    <t>Cagle Construction, Inc., Patton Contractors, Inc., Alpha Building Corp.</t>
  </si>
  <si>
    <t>Becky Clark</t>
  </si>
  <si>
    <t>817 978-7103</t>
  </si>
  <si>
    <t>Mapco, Inc., Blackhawk -Jamco, Hernandez Consulting, LLC, Unity Contractor Services, Inc.</t>
  </si>
  <si>
    <t>Facility Build, Inc., AIC General Construction /Greene Group, Ed A. Wilson, Inc., DWG &amp; Associates, Inc., SDV Construction</t>
  </si>
  <si>
    <t>Caddell &amp; Co, LLC, Diversified Construction of OK, FT Construction Co, Inc.</t>
  </si>
  <si>
    <t>Mirador Enterprises, Inc., Robles Service Group, V&amp;R Drywall, Inc., Triune Associates, Affiliated Western, Ed Parker, Inc., Dodson Construction, LLC, Patton Contractors, Inc., Ed A. Wilson, Inc, Amstar, Inc., Jamco Ventures, LLC</t>
  </si>
  <si>
    <t>J - Maintenance, Repair or Equipment</t>
  </si>
  <si>
    <t>Market Research</t>
  </si>
  <si>
    <t>LB&amp;B</t>
  </si>
  <si>
    <t>Stephen Carroll</t>
  </si>
  <si>
    <t>817-978-0609</t>
  </si>
  <si>
    <t>stephen.carroll@gsa.gov</t>
  </si>
  <si>
    <t>Custodial Services</t>
  </si>
  <si>
    <t>Austin</t>
  </si>
  <si>
    <t>AbilityOne</t>
  </si>
  <si>
    <t>GSA-AbilityOne Partnership Agreement</t>
  </si>
  <si>
    <t>N/A (new construction)</t>
  </si>
  <si>
    <t>Texas Deregulated Electric</t>
  </si>
  <si>
    <t>Reliant and Gexa</t>
  </si>
  <si>
    <t>Lucas Mann</t>
  </si>
  <si>
    <t>817-850-8181</t>
  </si>
  <si>
    <t>Lucas.Mann@gsa.gov</t>
  </si>
  <si>
    <t>Natalie.Holmes@gsa.gov</t>
  </si>
  <si>
    <t>Design Services</t>
  </si>
  <si>
    <t>Laredo</t>
  </si>
  <si>
    <t>A/E procedures</t>
  </si>
  <si>
    <t>Gensler</t>
  </si>
  <si>
    <t>Barbara Varley</t>
  </si>
  <si>
    <t>817-978-7086</t>
  </si>
  <si>
    <t>barbara.varley@gsa.gov</t>
  </si>
  <si>
    <t>Supplemental A/E Services</t>
  </si>
  <si>
    <t>All of Arkansas</t>
  </si>
  <si>
    <t>SAIC Energy, LLC</t>
  </si>
  <si>
    <t>Isaac Karto</t>
  </si>
  <si>
    <t>817-978-2198</t>
  </si>
  <si>
    <t>Isaac.karto@gsa.gov</t>
  </si>
  <si>
    <t>All of Louisiana</t>
  </si>
  <si>
    <t>Dewberry &amp; Davis</t>
  </si>
  <si>
    <t>All of Oklahoma</t>
  </si>
  <si>
    <t>Cyntergy</t>
  </si>
  <si>
    <t>Texas Zone II</t>
  </si>
  <si>
    <t>Huitt-Zollars</t>
  </si>
  <si>
    <t>Texas Zone IV</t>
  </si>
  <si>
    <t>Parkhill Cooper &amp; Smith</t>
  </si>
  <si>
    <t>Design-Build Construction Services</t>
  </si>
  <si>
    <t>Presidio</t>
  </si>
  <si>
    <t>Hunt Building Company</t>
  </si>
  <si>
    <t>Cornel (Dave) Codner</t>
  </si>
  <si>
    <t>817-978-7172</t>
  </si>
  <si>
    <t>cornel.codner@gsa.gov</t>
  </si>
  <si>
    <t>Design-Build Construction IDIQ</t>
  </si>
  <si>
    <t>Design-Build Construction IDIQ, 8(a)</t>
  </si>
  <si>
    <t>WA, ID, OR, AK</t>
  </si>
  <si>
    <t>Luetica Grant</t>
  </si>
  <si>
    <t>512-916-5612</t>
  </si>
  <si>
    <t>Chris LaRocque, 512-916-5063 chris.larocque@gsa.gov</t>
  </si>
  <si>
    <t>Don Green, 512-916-5064 donald.green@gsa.gov</t>
  </si>
  <si>
    <t>FY12</t>
  </si>
  <si>
    <t>Senthia Bruns</t>
  </si>
  <si>
    <t>817-978-0835</t>
  </si>
  <si>
    <t>senthia.bruns@gsa.gov</t>
  </si>
  <si>
    <t>San Antonio</t>
  </si>
  <si>
    <t>Houston</t>
  </si>
  <si>
    <t>M&amp;I Services</t>
  </si>
  <si>
    <t>C- Architect and Engineering Services</t>
  </si>
  <si>
    <t>Lubbock</t>
  </si>
  <si>
    <t>Parkhill Cooper and Smith</t>
  </si>
  <si>
    <t>Rita Hatley</t>
  </si>
  <si>
    <t>817-978-7076</t>
  </si>
  <si>
    <t>rita.hatley@gsa.gov</t>
  </si>
  <si>
    <t>Cleburne</t>
  </si>
  <si>
    <t>R-Support (Professional/Administrative/Management)</t>
  </si>
  <si>
    <t>Q2 Environmental Services JV</t>
  </si>
  <si>
    <t>Arlington</t>
  </si>
  <si>
    <t>Missoula</t>
  </si>
  <si>
    <t>Set Aside; Negotiated</t>
  </si>
  <si>
    <t>Bob Gantz</t>
  </si>
  <si>
    <t>robert.gantz@gsa.gov</t>
  </si>
  <si>
    <t>Construction - Office Space Downsize (US Attorneys)</t>
  </si>
  <si>
    <t>Butte</t>
  </si>
  <si>
    <t>Yes (Estimated)</t>
  </si>
  <si>
    <t>Lead Remediation</t>
  </si>
  <si>
    <t>Not Determined Yet</t>
  </si>
  <si>
    <t>Mike Rutter</t>
  </si>
  <si>
    <t>miked.rutter@gsa.gov</t>
  </si>
  <si>
    <t>Water Reduction/Savings Project</t>
  </si>
  <si>
    <t>Fire Pump Replacement</t>
  </si>
  <si>
    <t>Concrete Repair</t>
  </si>
  <si>
    <t>Mike Buhman</t>
  </si>
  <si>
    <t>michael.buhman@gsa.gov</t>
  </si>
  <si>
    <t>Paint office</t>
  </si>
  <si>
    <t>Mike LaForest</t>
  </si>
  <si>
    <t>605-348-1706</t>
  </si>
  <si>
    <t>mike.laforest@gsa.gov</t>
  </si>
  <si>
    <t>Remodel Grand Jury Room</t>
  </si>
  <si>
    <t>Tank Upgrade</t>
  </si>
  <si>
    <t>snow removal</t>
  </si>
  <si>
    <t>S</t>
  </si>
  <si>
    <t>fixed Price</t>
  </si>
  <si>
    <t>Pam Burley</t>
  </si>
  <si>
    <t>303-236-1103</t>
  </si>
  <si>
    <t>pam.burley@gsa.go</t>
  </si>
  <si>
    <t>O&amp;M/custodial</t>
  </si>
  <si>
    <t>carpet/paint</t>
  </si>
  <si>
    <t>Fargo</t>
  </si>
  <si>
    <t>replace asphalt with concrete</t>
  </si>
  <si>
    <t>Dunseith</t>
  </si>
  <si>
    <t>replace concrete</t>
  </si>
  <si>
    <t>Pembina</t>
  </si>
  <si>
    <t>repair crumbling facade</t>
  </si>
  <si>
    <t>Bismarck</t>
  </si>
  <si>
    <t>tuckpoint parapet</t>
  </si>
  <si>
    <t>Minot</t>
  </si>
  <si>
    <t>O&amp;M/Full Maintenance</t>
  </si>
  <si>
    <t>Turner</t>
  </si>
  <si>
    <t>Negotiated/Fixed Price</t>
  </si>
  <si>
    <t>Shawna Horvath</t>
  </si>
  <si>
    <t>406-441-1260 x2</t>
  </si>
  <si>
    <t>shawna.horvath@gsa.gov</t>
  </si>
  <si>
    <t>O&amp;M/Custodial (for TSA)</t>
  </si>
  <si>
    <t>Billings</t>
  </si>
  <si>
    <t>Trane Tracker</t>
  </si>
  <si>
    <t>Cheyenne</t>
  </si>
  <si>
    <t>Jennifer Canfield</t>
  </si>
  <si>
    <t>307-261-6427</t>
  </si>
  <si>
    <t>jennifer.canfield@gsa.gov</t>
  </si>
  <si>
    <t>Window Well Covers</t>
  </si>
  <si>
    <t>ADA Ramp</t>
  </si>
  <si>
    <t>Casper</t>
  </si>
  <si>
    <t>Restrooms Remodel</t>
  </si>
  <si>
    <t>Provo</t>
  </si>
  <si>
    <t>Not Yet Determined</t>
  </si>
  <si>
    <t>Jessica Pimentel</t>
  </si>
  <si>
    <t>801-524-3383</t>
  </si>
  <si>
    <t>Jessica.Pimentel@gsa.gov</t>
  </si>
  <si>
    <t>Roof Repairs</t>
  </si>
  <si>
    <t>Salt Lake City</t>
  </si>
  <si>
    <t>Fire Panel Replacement and Upgrade</t>
  </si>
  <si>
    <t>Sewer Ejector Pumps</t>
  </si>
  <si>
    <t>Ogden</t>
  </si>
  <si>
    <t>Huron</t>
  </si>
  <si>
    <t>Lee Davis</t>
  </si>
  <si>
    <t>303-236-2838</t>
  </si>
  <si>
    <t>lee.davis@gsa.gov</t>
  </si>
  <si>
    <t>Parking Lot Repairs</t>
  </si>
  <si>
    <t>Air Handler Control</t>
  </si>
  <si>
    <t>Gerald Silver</t>
  </si>
  <si>
    <t>303-236-1273</t>
  </si>
  <si>
    <t>gerald.silver@gsa.gov</t>
  </si>
  <si>
    <t>Playground Repair</t>
  </si>
  <si>
    <t/>
  </si>
  <si>
    <t>Elevator Replacement</t>
  </si>
  <si>
    <t>Ramp Replacement</t>
  </si>
  <si>
    <t>Parking Lot Repair</t>
  </si>
  <si>
    <t>Ceiling Tile ACM Abatement</t>
  </si>
  <si>
    <t>O&amp;M Maintenance</t>
  </si>
  <si>
    <t>J099-Maintenance/ Repair/Rebuilding of Equipment-Miscellaneous</t>
  </si>
  <si>
    <t>Shonita Mueller</t>
  </si>
  <si>
    <t>303-236-2556</t>
  </si>
  <si>
    <t>shonita.mueller@gsa.gov</t>
  </si>
  <si>
    <t>Replacement of 12 Ton AC unit</t>
  </si>
  <si>
    <t>Phoenix</t>
  </si>
  <si>
    <t>Annie Vellpradit</t>
  </si>
  <si>
    <t>602-514-7264</t>
  </si>
  <si>
    <t>annie.vellpradit@gsa.gov</t>
  </si>
  <si>
    <t>Judge Hurwitz Chamber Buildout- USDC</t>
  </si>
  <si>
    <t>Lynn Nixon</t>
  </si>
  <si>
    <t>602-514-7433</t>
  </si>
  <si>
    <t>lynn.nixon@gsa.gov</t>
  </si>
  <si>
    <t>Conversion of office space- USDC</t>
  </si>
  <si>
    <t>Secure Parking Lot- DHS</t>
  </si>
  <si>
    <t>Security &amp; IT Cabling- State Depart</t>
  </si>
  <si>
    <t>TI to TAC Lobby</t>
  </si>
  <si>
    <t>TI to Facilities &amp; Budget- USDC</t>
  </si>
  <si>
    <t>Grounds Maintenance</t>
  </si>
  <si>
    <t>San Francisco</t>
  </si>
  <si>
    <t>Jason Cawthorne</t>
  </si>
  <si>
    <t>415-436-7971</t>
  </si>
  <si>
    <t>jason.cawthorne@gsa.gov</t>
  </si>
  <si>
    <t>Various Construction Projects</t>
  </si>
  <si>
    <t>Yes/No</t>
  </si>
  <si>
    <t>Various IDIQ Contractors</t>
  </si>
  <si>
    <t>New Requirement for FY</t>
  </si>
  <si>
    <t>Regional IDIQ Contract</t>
  </si>
  <si>
    <t>Contingent on FY13 Congressional Funding</t>
  </si>
  <si>
    <t>Replace cooling towers</t>
  </si>
  <si>
    <t>Calexico</t>
  </si>
  <si>
    <t>Small Business - 100%</t>
  </si>
  <si>
    <t>Meet Small Business Goals</t>
  </si>
  <si>
    <t>Jason Kayne</t>
  </si>
  <si>
    <t>619-557-2632</t>
  </si>
  <si>
    <t>jason.kayne@gsa.gov</t>
  </si>
  <si>
    <t>Replace built-up roof with cool roof, 255 SQ</t>
  </si>
  <si>
    <t>Otay Mesa</t>
  </si>
  <si>
    <t>Replace built-up roofing, 450 SQ</t>
  </si>
  <si>
    <t>Repair/refinish/replace exterior windows</t>
  </si>
  <si>
    <t>San Diego</t>
  </si>
  <si>
    <t>Replace BAS</t>
  </si>
  <si>
    <t>Replace 10 ton HVAC unit</t>
  </si>
  <si>
    <t>Replace built-up roofing 220 SQ</t>
  </si>
  <si>
    <t>Replace HVAC, head house</t>
  </si>
  <si>
    <t>Roof repairs</t>
  </si>
  <si>
    <t>Paint corridors, refinishing and misc. repairs</t>
  </si>
  <si>
    <t>Honolulu</t>
  </si>
  <si>
    <t>KN Lawn Service Inc.</t>
  </si>
  <si>
    <t>Brian Tang</t>
  </si>
  <si>
    <t>415-522-3362</t>
  </si>
  <si>
    <t>brian.tang@gsa.gov</t>
  </si>
  <si>
    <t>Operations/Maintenance and Vertical Transportation</t>
  </si>
  <si>
    <t>Custodial and Grounds</t>
  </si>
  <si>
    <t>Los Angeles</t>
  </si>
  <si>
    <t>Cleanwell maintenance Corp.</t>
  </si>
  <si>
    <t>Cynthia Chen</t>
  </si>
  <si>
    <t>415-522-3371</t>
  </si>
  <si>
    <t>cynthia.chen@gsa.gov</t>
  </si>
  <si>
    <t>K&amp;C Building Service</t>
  </si>
  <si>
    <t>Santa Ana</t>
  </si>
  <si>
    <t>F&amp;O among SDVOSB</t>
  </si>
  <si>
    <t>at least 2 qualified and interested</t>
  </si>
  <si>
    <t>Meridian Management Corp</t>
  </si>
  <si>
    <t>Joe Lievois</t>
  </si>
  <si>
    <t>415-522-3395</t>
  </si>
  <si>
    <t>joseph.lievois@gsa.gov</t>
  </si>
  <si>
    <t>Custodial Grounds and related</t>
  </si>
  <si>
    <t>Laguna Niguel</t>
  </si>
  <si>
    <t>Procurement List</t>
  </si>
  <si>
    <t>Landmark Services, Inc</t>
  </si>
  <si>
    <t>Install force main sewer line and water supply line, Approximately 2,900 LF</t>
  </si>
  <si>
    <t>Todd Feltman</t>
  </si>
  <si>
    <t>619-446-3666</t>
  </si>
  <si>
    <t>todd.feltman@gsa.gov</t>
  </si>
  <si>
    <t>RVS, U.S. Marshals Service, 8th Floor</t>
  </si>
  <si>
    <t>Tucson</t>
  </si>
  <si>
    <t>Keith Hsiueh</t>
  </si>
  <si>
    <t>619-557-3620</t>
  </si>
  <si>
    <t>keith.hsiueh@gsa.gov</t>
  </si>
  <si>
    <t>Upgrade restrooms, accessibility</t>
  </si>
  <si>
    <t>Kory Swanson</t>
  </si>
  <si>
    <t>619-557-5202</t>
  </si>
  <si>
    <t>kory.swanson@gsa.gov</t>
  </si>
  <si>
    <t>Replace escalators with stairs in the lobby</t>
  </si>
  <si>
    <t>S201- Housekeeping- Custodial Janitorial</t>
  </si>
  <si>
    <t>617-565-6013</t>
  </si>
  <si>
    <t>kimberly.yates@gsa.gov</t>
  </si>
  <si>
    <t>J041-MAINT/REPAIR/REBUILD OF EQUIPMENT</t>
  </si>
  <si>
    <t>Award was set aside for small business based on market research</t>
  </si>
  <si>
    <t>Jerry Smith, 617-565-8100, Jerry.smith@gsa.gov</t>
  </si>
  <si>
    <t>Kimberly.yates@gsa.gov</t>
  </si>
  <si>
    <t>Janitorial and O&amp;M Services</t>
  </si>
  <si>
    <t>SDVOSB Set-Aside</t>
  </si>
  <si>
    <t>Springfield</t>
  </si>
  <si>
    <t>Lumus Construction, Inc</t>
  </si>
  <si>
    <t>Remove UST</t>
  </si>
  <si>
    <t>Burlington</t>
  </si>
  <si>
    <t>Simp. Acq.</t>
  </si>
  <si>
    <t>Marcy Beitel</t>
  </si>
  <si>
    <t>603-666-7582</t>
  </si>
  <si>
    <t>Marcy.Beitel@gsa.gov</t>
  </si>
  <si>
    <t>Replace Roof</t>
  </si>
  <si>
    <t>St. Albans</t>
  </si>
  <si>
    <t>Local</t>
  </si>
  <si>
    <t>Replace Boiler</t>
  </si>
  <si>
    <t>Evacuation Notification System</t>
  </si>
  <si>
    <t>Concord</t>
  </si>
  <si>
    <t>New Haven &amp; Bridgeport</t>
  </si>
  <si>
    <t>Northern Management</t>
  </si>
  <si>
    <t>Base with 4 one year options</t>
  </si>
  <si>
    <t>EFI Exterior Repairs &amp; Repointing</t>
  </si>
  <si>
    <t>EFI</t>
  </si>
  <si>
    <t>Donohue</t>
  </si>
  <si>
    <t>EFI DHS 5th Floor Expansion</t>
  </si>
  <si>
    <t>Ribicoff</t>
  </si>
  <si>
    <t>DHS ICE 5th Floor Expansion Design</t>
  </si>
  <si>
    <t>Asbestos Removal 3rd Floor</t>
  </si>
  <si>
    <t>M&amp;I</t>
  </si>
  <si>
    <t>McMahon</t>
  </si>
  <si>
    <t>Design 3rd Floor buildout</t>
  </si>
  <si>
    <t>Plaza Repairs</t>
  </si>
  <si>
    <t>PCCS</t>
  </si>
  <si>
    <t>Giaimo</t>
  </si>
  <si>
    <t>ISA Expansion Relocation</t>
  </si>
  <si>
    <t>Philibin</t>
  </si>
  <si>
    <t>Grand Jury Conversion</t>
  </si>
  <si>
    <t>OSHA BLS</t>
  </si>
  <si>
    <t>Cotter</t>
  </si>
  <si>
    <t>Custodial  and Mechanical Maintenance</t>
  </si>
  <si>
    <t>US Border Stations, Beecher Falls,Canaan,Norton, Bebee Plain,Derby Line RT 9, Derby Line RT 5, North Troy, Richford, East Richford and West Berkshire</t>
  </si>
  <si>
    <t>617-565-6012</t>
  </si>
  <si>
    <t>donna.maffeo@gsa.gov</t>
  </si>
  <si>
    <t>Contract is expected to be awarded in April 2013 with a start date of 05/31/2013</t>
  </si>
  <si>
    <t>Motivational Inc</t>
  </si>
  <si>
    <t>Elevator Services</t>
  </si>
  <si>
    <t>J039   MAINT/REPAIR/REBUILD OF EQUIPMENT- MATERIALS HANDLING EQUIPMENT</t>
  </si>
  <si>
    <t>Not a Set Aside</t>
  </si>
  <si>
    <t>Kone</t>
  </si>
  <si>
    <t>Base Year</t>
  </si>
  <si>
    <t>Donna Maffeo</t>
  </si>
  <si>
    <t>jerry Smith, 617-565-8100, Jerry.smith@gsa.gov</t>
  </si>
  <si>
    <t>Final Base Year expected to Award September 2013 with a start date of 10/01/2013</t>
  </si>
  <si>
    <t>Concrete Floor Deck Repair</t>
  </si>
  <si>
    <t>CW Resources</t>
  </si>
  <si>
    <t>1th Quarter</t>
  </si>
  <si>
    <t>Option Year 4 to be exercised in November 2012</t>
  </si>
  <si>
    <t>Springfield Federal Courthouse</t>
  </si>
  <si>
    <t>Goodwill Industries</t>
  </si>
  <si>
    <t>J041-Maintenance/Repair of Equipment</t>
  </si>
  <si>
    <t>Cleveland/Rudman</t>
  </si>
  <si>
    <t>John Sarnoski</t>
  </si>
  <si>
    <t>617-565-8615</t>
  </si>
  <si>
    <t>john.sarnoski@gsa.gov</t>
  </si>
  <si>
    <t>9 LPOEs in Northern Maine</t>
  </si>
  <si>
    <t>NVT Technologies</t>
  </si>
  <si>
    <t>Janitorial and Mechanical Maintenance</t>
  </si>
  <si>
    <t>WOSB</t>
  </si>
  <si>
    <t>Delta Building Services</t>
  </si>
  <si>
    <t>Done Right Building Services</t>
  </si>
  <si>
    <t>Extension of Contract</t>
  </si>
  <si>
    <t>Extension to 30 Nov 2012</t>
  </si>
  <si>
    <t>pBS-Public Buildings Service</t>
  </si>
  <si>
    <t>Z1AA-MAINTENANCE OF OFFICE BUILDINGS</t>
  </si>
  <si>
    <t>Wilson 5 (Highgate, Swanton, and Alburgh) Done Right Building Services (St. Albans)</t>
  </si>
  <si>
    <t>NH, MA</t>
  </si>
  <si>
    <t>GSA FORECAST OF CONTRACTING OPPORTUNITIES LEGEND</t>
  </si>
  <si>
    <t> </t>
  </si>
  <si>
    <t>FORECAST DATA ELEMENTS</t>
  </si>
  <si>
    <t>GSA Organization - office requesting the procurement</t>
  </si>
  <si>
    <t>Region - office location</t>
  </si>
  <si>
    <t>Award Status - awarded to a contractor, in the process of awarding, or open for proposal/solicitation submission</t>
  </si>
  <si>
    <t>Product or Service Description - type of product to be provided or service to be performed</t>
  </si>
  <si>
    <t>Procurement Classification Code - identifies specific work in an industry</t>
  </si>
  <si>
    <t>Place of Performance (City/State) - business location or where product is manufactured</t>
  </si>
  <si>
    <t>North American Industrial Classification Code - the standard used by Federal statistical agencies in classifying business establishments for the purpose of collecting, analyzing, and</t>
  </si>
  <si>
    <t>and publishing statistical data related to the U.S. business economy</t>
  </si>
  <si>
    <t>Contract Type - Type of procurement such as Firm Fixed Price, Fee, etc.</t>
  </si>
  <si>
    <t>Acquisition Strategy - Procurement type (set-aside, GSA Schedules, etc.)</t>
  </si>
  <si>
    <t>Socioeconomic and Acquisition Strategy Rationale – justification provided when small business not selected</t>
  </si>
  <si>
    <t>Estimated Contract Value (Minimum/Maximum) - cost based on work to be performed and price analysis</t>
  </si>
  <si>
    <t>Incumbent Contractor Name - current contract holder</t>
  </si>
  <si>
    <t>New Requirement or Exercise of Option - new opportunity or extending a previously awarded contract</t>
  </si>
  <si>
    <t>Quarter (for Initial procurement) – anticipated fiscal year quarter for award to be made</t>
  </si>
  <si>
    <t>Fiscal Year – October 1 to September 30 (one fiscal year)</t>
  </si>
  <si>
    <t>Point of Contact (name, phone number, email address) - Project/Program Manager, Contract Specialist, or Contracting Office</t>
  </si>
  <si>
    <t>Purchase Decision – factor on which the final decision will be based (best value etc.)</t>
  </si>
  <si>
    <t>ACRONYMS</t>
  </si>
  <si>
    <t>AAS - Assisted Acquisition Services</t>
  </si>
  <si>
    <t>CO - Contracting Officer</t>
  </si>
  <si>
    <t>IAE - Integrated Acquisition Environment</t>
  </si>
  <si>
    <t>IDIQ - Indefinite Delivery Indefinite Quantity</t>
  </si>
  <si>
    <t>LPTA - Low Price/Technically Acceptable</t>
  </si>
  <si>
    <t>REGIONAL BREAKDOWN</t>
  </si>
  <si>
    <t>R1  - Region 1 New England (Connecticut, Maine, Massachusetts, New Hampshire, Rhode Island, Vermont</t>
  </si>
  <si>
    <t>R2 - Region 2 Northeast and Caribbean (New York, New Jersey, US Virgin Islands, Commonwealth of Puerto Rico)</t>
  </si>
  <si>
    <t>R3 - Region 3 Mid-Atlantic (Pennsylvania, Delaware, West Virginia, Maryland (excluding Montgomery and Prince George’s Counties), New Jersey (southern), Virginian (excluding the cities</t>
  </si>
  <si>
    <t>of Falls Church and Alexandria and Fairfax, Arlington, Loudoun and Prince William counties), Europe, Africa and the Middle East)</t>
  </si>
  <si>
    <t>R4 - Region 4 Southeast Sunbelt (Alabama, Florida, Georgia, Kentucky, Mississippi, North Carolina, South Carolina, Tennessee)</t>
  </si>
  <si>
    <t>R5 - Region 5 Great Lakes(Illinois, Indiana, Michigan, Minnesota, Ohio, Wisconsin)</t>
  </si>
  <si>
    <t>R6 - Region 6 The Heartland (Kansas, Missouri, Iowa, Nebraska)</t>
  </si>
  <si>
    <t>R7 - Region 7 Greater Southwest (Texas, Arkansas, Louisiana, New Mexico, Oklahoma, Central and South America)</t>
  </si>
  <si>
    <t>R8 - Region 8 Rocky Mountain (Colorado, Montana, North Dakota, South Dakota, Utah, Wyoming)</t>
  </si>
  <si>
    <t>R9 - Region 9 Pacific Rim (Arizona, California, Hawaii, Nevada, American Samoa, Commonwealth of the Northern Mariana Islands, Diego Garcia, Guam, mainland Japan and Okinawa,</t>
  </si>
  <si>
    <t>the Republic of Korea, Saipan, Singapore)</t>
  </si>
  <si>
    <t>R10 - Region 10 Northwest/Arctic (Washington, Alaska, Idaho, Oregon)</t>
  </si>
  <si>
    <t>NCR – National Capital Region (District of Columbia and the nearby Metropolitan Areas of Maryland (Montgomery and Prince Georges Counties), Virginia (Cities of Alexandria, Fairfax,</t>
  </si>
  <si>
    <t>and Falls Church and Arlington, Fairfax, Loudoun, and Prince William Counties)</t>
  </si>
  <si>
    <t>CO - Central Office</t>
  </si>
  <si>
    <t>DEFINITION OF TERMS</t>
  </si>
  <si>
    <t>a small business owned and controlled by a socially and economically disadvantaged individual.</t>
  </si>
  <si>
    <t>(Historically Underutilized Business Zones) - a program that helps small businesses in urban and rural communities gain preferential access to federal procurement opportunities.</t>
  </si>
  <si>
    <t>These preferences go to small businesses that obtain HUBZone certification in part by employing staff who live in a HUBZone. The company must also maintain a "principal office"</t>
  </si>
  <si>
    <t>in one of these specially designated areas.</t>
  </si>
  <si>
    <t>(Woman Owned Small Business) - a firm must be at least 51% owned and controlled by one or more women, and primarily managed by one or more women.  The firm must be “small” in its</t>
  </si>
  <si>
    <t>primary industry in accordance with SBA’s size standards for that industry.</t>
  </si>
  <si>
    <t>(Service Disabled Veteran Owned Small Business) – an SDVOSB must have a service-connected disability that has been determined by the Department of Veterans Affairs or Department of</t>
  </si>
  <si>
    <t>Defense, business must be small under the North American Industry Classification System (NAICS) code assigned to the procurement, the SDV must unconditionally own 51% of the business,</t>
  </si>
  <si>
    <t>must control the management and daily operations of the SDVOSBC and the SDV must hold the highest officer position in the SDVOSBC.</t>
  </si>
  <si>
    <t>Firm Fixed Price - contract price is the price bid, with no incentives or fees added. Cost responsibility is placed wholly on the contractor. The preferred type when cost risk is minimal,</t>
  </si>
  <si>
    <t>or can be predicted with an acceptable degree of certainty.</t>
  </si>
  <si>
    <t>Blanket Purchase Agreement - used to fill anticipated repetitive needs for supplies and services.</t>
  </si>
  <si>
    <t>Fixed Price with Economic Price Adjustment - use is appropriate to protect both the Government and the contractor when there is serious doubt about the stability of labor or material prices</t>
  </si>
  <si>
    <t>during the life of the contract. Price adjustment provisions can provide for both upward and downward adjustments.</t>
  </si>
  <si>
    <t>Indefinite Delivery Contract - (IDC) is a vehicle that has been awarded to one or more vendors to facilitate the delivery of supply and service orders.</t>
  </si>
  <si>
    <t>Definitive Contract - a mutually binding legal relationship obligating the seller to furnish the supplies or services (including construction) and the buyer to pay for them.</t>
  </si>
  <si>
    <t>Set-aside - the reserving of an acquisition exclusively for participation by small business concerns who qualify under the appropriate North American Industry Classification System (NAICS) code</t>
  </si>
  <si>
    <t>Labor Hour - a variation of the time-and-materials contract, differing only in that materials are not supplied by the contractor</t>
  </si>
  <si>
    <t>Basic Ordering Agreement - a written instrument of understanding, negotiated between an agency, contracting activity, or contracting office and a contractor, that contains</t>
  </si>
  <si>
    <t>(1) terms and clauses applying to future contracts (orders) between the parties during its term, (2) a description, as specific as practicable, of supplies or services to be provided, and</t>
  </si>
  <si>
    <t>(3) methods for pricing, issuing, and delivering future orders under the basic ordering agreement.  A basic ordering agreement is not a contract.</t>
  </si>
  <si>
    <t>Negotiated – A contract awarded using other than sealed bidding procedures</t>
  </si>
  <si>
    <t>Sole Source - a contract for the purchase of supplies or services that is entered into or proposed to be entered into by an agency after soliciting and negotiating with only one source</t>
  </si>
  <si>
    <t>O&amp;M - Operation and Maintenance</t>
  </si>
  <si>
    <t>also known as Multiple Award Schedules, are indefinite delivery, indefinite quantity (IDIQ), long-term contracts under the General Services Administration's Multiple Award Schedule (MAS) Program</t>
  </si>
  <si>
    <t xml:space="preserve"> Region</t>
  </si>
  <si>
    <r>
      <t xml:space="preserve">Place of Performance
</t>
    </r>
    <r>
      <rPr>
        <sz val="10"/>
        <rFont val="Arial"/>
        <family val="2"/>
      </rPr>
      <t>(City)</t>
    </r>
  </si>
  <si>
    <r>
      <t xml:space="preserve">Place of Performance
</t>
    </r>
    <r>
      <rPr>
        <sz val="10"/>
        <rFont val="Arial"/>
        <family val="2"/>
      </rPr>
      <t>(State)</t>
    </r>
  </si>
  <si>
    <r>
      <t xml:space="preserve">Estimated Contract Value
</t>
    </r>
    <r>
      <rPr>
        <sz val="10"/>
        <rFont val="Arial"/>
        <family val="2"/>
      </rPr>
      <t>(Minimum)</t>
    </r>
  </si>
  <si>
    <r>
      <t xml:space="preserve">Estimated Contract Value
</t>
    </r>
    <r>
      <rPr>
        <sz val="10"/>
        <rFont val="Arial"/>
        <family val="2"/>
      </rPr>
      <t>(Maximum)</t>
    </r>
  </si>
  <si>
    <r>
      <t xml:space="preserve">Quarter
</t>
    </r>
    <r>
      <rPr>
        <sz val="10"/>
        <rFont val="Arial"/>
        <family val="2"/>
      </rPr>
      <t>(for initial procurement)</t>
    </r>
  </si>
  <si>
    <r>
      <t xml:space="preserve">Point of Contact
</t>
    </r>
    <r>
      <rPr>
        <sz val="10"/>
        <rFont val="Arial"/>
        <family val="2"/>
      </rPr>
      <t>(Name)</t>
    </r>
  </si>
  <si>
    <r>
      <t xml:space="preserve">Point of Contact
</t>
    </r>
    <r>
      <rPr>
        <sz val="10"/>
        <rFont val="Arial"/>
        <family val="2"/>
      </rPr>
      <t>(Phone Number)</t>
    </r>
  </si>
  <si>
    <r>
      <t xml:space="preserve">Point of Contact
</t>
    </r>
    <r>
      <rPr>
        <sz val="10"/>
        <rFont val="Arial"/>
        <family val="2"/>
      </rPr>
      <t>(Email Address)</t>
    </r>
  </si>
  <si>
    <t>Procurement Plan being developed</t>
  </si>
  <si>
    <t>Solicited</t>
  </si>
  <si>
    <t>Awarded 6/11/12</t>
  </si>
  <si>
    <t>Awarded 8/14/2012</t>
  </si>
  <si>
    <t>Awarded 3/21/12</t>
  </si>
  <si>
    <t>Awarded 6/4/12</t>
  </si>
  <si>
    <t>In Process</t>
  </si>
  <si>
    <t>Open</t>
  </si>
  <si>
    <t>Moving services</t>
  </si>
  <si>
    <t>AHUs</t>
  </si>
  <si>
    <t>Augusta</t>
  </si>
  <si>
    <t>E.S. Muskie Federal Building, Contracted expected to award November 2013 with a start date of 12/01/2013</t>
  </si>
  <si>
    <t>Montpelier and Burlington</t>
  </si>
  <si>
    <t>Ribicoff and Cotter</t>
  </si>
  <si>
    <t>Northern Maine</t>
  </si>
  <si>
    <t xml:space="preserve">Littleton </t>
  </si>
  <si>
    <t>SSA; Final Option Exercised Sep 2012</t>
  </si>
  <si>
    <t>U.S. Federal Buiding &amp; Customhouse in St. Abans, VT, U.S. Border Sation in Highgate Springs, VT, U.S. Border Patrol Sector in Swanton, VT, and the U.S. Border ; Contract Expected to be awarded Nov 2012 with a start date of 12/01/2012</t>
  </si>
  <si>
    <t>St. Abans, Highgate Springs, Swanton, Alburgh Springs</t>
  </si>
  <si>
    <t>T.J. McIntyre FB in Portsmouth and SSA Office in Haverhill, MA; Contract expected to be awarded in December 2012 with a start date of 01/01/2013</t>
  </si>
  <si>
    <t>Portsmouth, Haverhill</t>
  </si>
  <si>
    <t>Upstate Center</t>
  </si>
  <si>
    <t>Brooklyn, Manhattan, Long Island</t>
  </si>
  <si>
    <t>Queens</t>
  </si>
  <si>
    <t>New Jersey Service Center</t>
  </si>
  <si>
    <t>BQLI - Brooklyn</t>
  </si>
  <si>
    <t>BQLI - Islip</t>
  </si>
  <si>
    <t>Jamaica</t>
  </si>
  <si>
    <t>Caribbean Service Center</t>
  </si>
  <si>
    <t>Athens, Macon, Plains, Columbus, Valdosta, Albany</t>
  </si>
  <si>
    <t>Various Cities</t>
  </si>
  <si>
    <t>Whittaker USCH</t>
  </si>
  <si>
    <t>North Platte Federal Building</t>
  </si>
  <si>
    <t>Hannibal Federal Building</t>
  </si>
  <si>
    <t>Nationwide</t>
  </si>
  <si>
    <t xml:space="preserve">Butte </t>
  </si>
  <si>
    <t>Federal Bldg/Courthouse</t>
  </si>
  <si>
    <t>Federal Bldg/Post Office</t>
  </si>
  <si>
    <t xml:space="preserve">Piegan </t>
  </si>
  <si>
    <t>Port of Entry</t>
  </si>
  <si>
    <t>Raymond</t>
  </si>
  <si>
    <t>Federal Bldg</t>
  </si>
  <si>
    <t>Pierre</t>
  </si>
  <si>
    <t>Federal Bldg/Post Office/Courthouse</t>
  </si>
  <si>
    <t>Portal</t>
  </si>
  <si>
    <t>All GSA Ports of Entry</t>
  </si>
  <si>
    <t>Herbert C. Hoover Bldg.</t>
  </si>
  <si>
    <t>IRS Bldg.</t>
  </si>
  <si>
    <t>Liberty Loan</t>
  </si>
  <si>
    <t>Ariel Rios Federal Bldg.</t>
  </si>
  <si>
    <t>Sidney Yates (Auditors)</t>
  </si>
  <si>
    <t>EPA East</t>
  </si>
  <si>
    <t>EPA West</t>
  </si>
  <si>
    <t>Connecting Wing</t>
  </si>
  <si>
    <t>Dept. of Energy Daycare</t>
  </si>
  <si>
    <t>Germantown</t>
  </si>
  <si>
    <t>New Carrollton</t>
  </si>
  <si>
    <t>New Carollton Federal Bldg.</t>
  </si>
  <si>
    <t>Bowie</t>
  </si>
  <si>
    <t>Census Bureau Computer Center</t>
  </si>
  <si>
    <t>Dept. of Energy main bldg.</t>
  </si>
  <si>
    <t>Dept. of Energy auditorium</t>
  </si>
  <si>
    <t>Dept. of Energy Radio Bldg.</t>
  </si>
  <si>
    <t>Dept. of Energy old equipment shed</t>
  </si>
  <si>
    <t>Dept. of Energy new equipment shed</t>
  </si>
  <si>
    <t>Dept. of Energy GAR B'HS Bldg.</t>
  </si>
  <si>
    <t>Suitland</t>
  </si>
  <si>
    <t>NOAA Satellite Operations Facility</t>
  </si>
  <si>
    <t>Census Bureau Office Complex</t>
  </si>
  <si>
    <t>Suitland Daycare Center</t>
  </si>
  <si>
    <t>PR, VI</t>
  </si>
  <si>
    <t>AL, MS</t>
  </si>
  <si>
    <t>TN, KY</t>
  </si>
  <si>
    <t>NC, SC, FL</t>
  </si>
  <si>
    <t>St. Louis, Eagleton and Ray</t>
  </si>
  <si>
    <t>Construction services</t>
  </si>
  <si>
    <t>Small Disadvantaged Business, Woman-Owned Small Business</t>
  </si>
  <si>
    <t>Service Disabled Veteran-owned Small Business or Woman-Owned Small Business</t>
  </si>
  <si>
    <t>Women-Owned Small Business</t>
  </si>
  <si>
    <t>Service-Disabled Veteran owned Small Business</t>
  </si>
  <si>
    <t>Section 8(a), Woman-Owned Small Business</t>
  </si>
  <si>
    <t>Section 8(a) - Native American Owned</t>
  </si>
  <si>
    <t>FedBizOpps</t>
  </si>
  <si>
    <t>To Be Determined</t>
  </si>
  <si>
    <t>Firm Fixed Price - Design Build</t>
  </si>
  <si>
    <t>Firm Fixed Price - Task Order</t>
  </si>
  <si>
    <t>Indefinite Delivery Contract-IDC/ID-R</t>
  </si>
  <si>
    <t>To meet FY13 goal of awarding to SDVOSBs</t>
  </si>
  <si>
    <t>Speciality, price</t>
  </si>
  <si>
    <t>Set aside</t>
  </si>
  <si>
    <t>3rd or 4th Quarter</t>
  </si>
  <si>
    <t>4qtr Quarter</t>
  </si>
  <si>
    <t xml:space="preserve">3rd Quarter </t>
  </si>
  <si>
    <t>3/25/2013; October 1 to September 30 (one fiscal year)</t>
  </si>
  <si>
    <t>Kimberly Yates, Contracting Officer</t>
  </si>
  <si>
    <t xml:space="preserve">Laureene Jackson </t>
  </si>
  <si>
    <t>781-254-7132</t>
  </si>
  <si>
    <t>Kanika Perkins</t>
  </si>
  <si>
    <t>Michael Vrobel</t>
  </si>
  <si>
    <t>Rajnikant Mehta</t>
  </si>
  <si>
    <t>Christine Ewing</t>
  </si>
  <si>
    <t xml:space="preserve">Thomas Jakubowski </t>
  </si>
  <si>
    <t xml:space="preserve">Rajeev Parasnis </t>
  </si>
  <si>
    <t xml:space="preserve">Maryellen Spears </t>
  </si>
  <si>
    <t xml:space="preserve">Walter Mills </t>
  </si>
  <si>
    <t>718-596-4129</t>
  </si>
  <si>
    <t>402-221-2714</t>
  </si>
  <si>
    <t>816-426-3963</t>
  </si>
  <si>
    <t>816-512-5185</t>
  </si>
  <si>
    <t>(406) 441-1260 x4</t>
  </si>
  <si>
    <t>(406) 4329-3117</t>
  </si>
  <si>
    <t>(406) 329-3117</t>
  </si>
  <si>
    <t>(406) 247-7582</t>
  </si>
  <si>
    <t>(202) 273-4796</t>
  </si>
  <si>
    <t>(202) 260-0331</t>
  </si>
  <si>
    <t>(202) 205-5048</t>
  </si>
  <si>
    <t>(202) 205-5378</t>
  </si>
  <si>
    <t>Stephanie Wilson-Coleman, 
312-886-8194, 
stephanie.wilson-coleman@gsa.gov</t>
  </si>
  <si>
    <t>Lee Tittle, (816) 926-7016, lee.tittle@gsa.gov</t>
  </si>
  <si>
    <t>Pennie Estrada, 303-236-5328, pennie.estrada@gsa.gov</t>
  </si>
  <si>
    <t>Pamela Smith-Cressel,  
(213) 894-3210, 
pam.smith-cressel@gsa.gov</t>
  </si>
  <si>
    <t>Kenyon Taylor, (253) 931-7956, kenyon.taylor@gsa.gov</t>
  </si>
  <si>
    <t>Judith Stackhouse-Jordan, 
(202) 708-5804, judith.stackhouse@gsa.gov</t>
  </si>
  <si>
    <t>Strategic Communications, Customer Engagement and Communications Strategy, and web service support.</t>
  </si>
  <si>
    <t>Metro DC; Crystal City; Falls Church, VA; New York City (Region 2)</t>
  </si>
  <si>
    <t>Incumbent small business met all requirements to continue strategic communications support.</t>
  </si>
  <si>
    <t>Addx Corp, Deloitte</t>
  </si>
  <si>
    <t>Cloud Computing Services, Cloud Brokerage</t>
  </si>
  <si>
    <t>Fairfax, VA</t>
  </si>
  <si>
    <t>8a STARS II helps the govt fulfill small business contracting and IT requirements</t>
  </si>
  <si>
    <t>eGlobal Tech</t>
  </si>
  <si>
    <t>Jon Johnson, 
Sam Barksdale</t>
  </si>
  <si>
    <t>703-306-6481, 
703-306-6524</t>
  </si>
  <si>
    <t>jon.johnson@gsa.gov</t>
  </si>
  <si>
    <t>Federal Strategic Sourcing Initiative SmartBUY Microsoft software and services</t>
  </si>
  <si>
    <t>Other than small</t>
  </si>
  <si>
    <t>Limited sources competition amongst Microsoft resellers, however socioeconomic status will be an evaluation factor with preference begin given to small businesses.</t>
  </si>
  <si>
    <t>Justine Cole</t>
  </si>
  <si>
    <t>703-822-3904</t>
  </si>
  <si>
    <t>justine.cole@gsa.gov</t>
  </si>
  <si>
    <t>Non-Price Factors Used</t>
  </si>
  <si>
    <t>Legal Database Subscription</t>
  </si>
  <si>
    <t>Limited sources competition amongst legal database subscription providers; however, socioeconomic status was considered.</t>
  </si>
  <si>
    <t>LexisNexis</t>
  </si>
  <si>
    <t>Rose Rivera</t>
  </si>
  <si>
    <t>703-605-9029</t>
  </si>
  <si>
    <t>rose.rivera@gsa.gov</t>
  </si>
  <si>
    <t>Portal Support</t>
  </si>
  <si>
    <t>Information Experts, Inc.</t>
  </si>
  <si>
    <t>FPDS-NG Support</t>
  </si>
  <si>
    <t>Incumbent small business met all requirements to continue support.</t>
  </si>
  <si>
    <t>P3 Solutions, Inc.</t>
  </si>
  <si>
    <t>MAS SME for Courseware Development</t>
  </si>
  <si>
    <t>other than small</t>
  </si>
  <si>
    <t>Incumbent met all requirements to continue support</t>
  </si>
  <si>
    <t>ASI Government</t>
  </si>
  <si>
    <t>Internal Program Office  Acquisition Services and Requirements Development support contractor</t>
  </si>
  <si>
    <t>Full and Open - MAS Mobis schedule</t>
  </si>
  <si>
    <t>CACI, Inc</t>
  </si>
  <si>
    <t>Ben Reed</t>
  </si>
  <si>
    <t>703-306-6626</t>
  </si>
  <si>
    <t>ben.reed@gsa.gov</t>
  </si>
  <si>
    <t>GSA Step Newsletter</t>
  </si>
  <si>
    <t>Incumbent small buisiness met all the requirements to continue support</t>
  </si>
  <si>
    <t>Wild Onion Design, Inc.</t>
  </si>
  <si>
    <t>Continuous Monitoring FAS/ITS/SSD</t>
  </si>
  <si>
    <t>8(a) Directed set aside under $4 Million 8(a) Stars II GWAC</t>
  </si>
  <si>
    <t>NSS Plus, Inc.</t>
  </si>
  <si>
    <t>Administrative Support</t>
  </si>
  <si>
    <t>Aspen of DC</t>
  </si>
  <si>
    <t>User Guide Development</t>
  </si>
  <si>
    <t>d-Information technology services, including telecommunications services</t>
  </si>
  <si>
    <t>Elucid, Inc</t>
  </si>
  <si>
    <t>Cyber-security, Information Assurance and Prevention</t>
  </si>
  <si>
    <t>Full and Open - MAS 70 schedule</t>
  </si>
  <si>
    <t>Electrosoft, Inc.</t>
  </si>
  <si>
    <t>Support Services/Integrator Services'</t>
  </si>
  <si>
    <t>Grant Thornton</t>
  </si>
  <si>
    <t>Jasmine Carter</t>
  </si>
  <si>
    <t>703-306-7804</t>
  </si>
  <si>
    <t>jasmine.carter@gsa.gov</t>
  </si>
  <si>
    <t>HSPD-12 Shared Services Provider IV</t>
  </si>
  <si>
    <t>Renewal of EMC Support and maintenance licenses</t>
  </si>
  <si>
    <t>Open market</t>
  </si>
  <si>
    <t>License Renewal</t>
  </si>
  <si>
    <t>Sam Barksdale</t>
  </si>
  <si>
    <t>703-306-6524</t>
  </si>
  <si>
    <t>samuel.barksdale@gsa.gov</t>
  </si>
  <si>
    <t>Pathways to Success and New Contractor Orientation</t>
  </si>
  <si>
    <t>I-Link Solutions</t>
  </si>
  <si>
    <t>Release Notes</t>
  </si>
  <si>
    <t>Elucid Soluctions, Inc.</t>
  </si>
  <si>
    <t>Renewal of Safenet software licenses</t>
  </si>
  <si>
    <t>Licenses can be purchased on Schedule 70</t>
  </si>
  <si>
    <t>dewayne Carter, 703-605-2587, dewayne.carter@gsa.gov</t>
  </si>
  <si>
    <t>VAO Subscription</t>
  </si>
  <si>
    <t>Full and Open - MAS MOBIS schedule</t>
  </si>
  <si>
    <t>ASI Government, Inc.</t>
  </si>
  <si>
    <t>License renewal for Thales TSMC</t>
  </si>
  <si>
    <t>Sole Source Schedule 70 contractor</t>
  </si>
  <si>
    <t>Business Breakthrough Webinar</t>
  </si>
  <si>
    <t>Single Award BPA</t>
  </si>
  <si>
    <t>Sage Communications</t>
  </si>
  <si>
    <t>Subject Matter Specialist</t>
  </si>
  <si>
    <t>STARS II</t>
  </si>
  <si>
    <t>Business acquisition systems</t>
  </si>
  <si>
    <t>8a Program</t>
  </si>
  <si>
    <t>Support Services</t>
  </si>
  <si>
    <t>CI International, Inc.</t>
  </si>
  <si>
    <t>Lisa Yimbo</t>
  </si>
  <si>
    <t>703-306-6618</t>
  </si>
  <si>
    <t>lisa.yimbo@gsa.gov</t>
  </si>
  <si>
    <t>Information Technology Research Advisory Services</t>
  </si>
  <si>
    <t>Michael W. Hargrove</t>
  </si>
  <si>
    <t>703-306-7701</t>
  </si>
  <si>
    <t>michael.hargrove@gsa.gov</t>
  </si>
  <si>
    <t>NAV2SOW Best Practice Statement of Work Procurement</t>
  </si>
  <si>
    <t>Rodger Hoover/
Andrea Lane</t>
  </si>
  <si>
    <t>703-306-6825</t>
  </si>
  <si>
    <t>andrea.lane@gsa.gov</t>
  </si>
  <si>
    <t>Acquisition Support</t>
  </si>
  <si>
    <t>Veteran Owned Small Business</t>
  </si>
  <si>
    <t>Sasha Zaslavsky</t>
  </si>
  <si>
    <t>alexandra.zaslavsky@gsa.gov</t>
  </si>
  <si>
    <t>AAS Business Systems</t>
  </si>
  <si>
    <t>Small business</t>
  </si>
  <si>
    <t>TechFlow</t>
  </si>
  <si>
    <t>Greg Sizemore</t>
  </si>
  <si>
    <t>(703) 605-1810</t>
  </si>
  <si>
    <t>greg.sizemore@gsa.gov</t>
  </si>
  <si>
    <t>FAS Business Center of Excellence</t>
  </si>
  <si>
    <t>Enterprise Solutions</t>
  </si>
  <si>
    <t>Brooke Christofferson</t>
  </si>
  <si>
    <t>(703) 605-9471</t>
  </si>
  <si>
    <t>brooke.christofferson@gsa.gov</t>
  </si>
  <si>
    <t>FAS Business Objects Support Services</t>
  </si>
  <si>
    <t>Guident</t>
  </si>
  <si>
    <t>FAS Combined Licenses</t>
  </si>
  <si>
    <t>immixTechnology</t>
  </si>
  <si>
    <t>John Stephens</t>
  </si>
  <si>
    <t>(703) 589-2594</t>
  </si>
  <si>
    <t>john.stephens@gsa.gov</t>
  </si>
  <si>
    <t>Core Insight/Source Fire</t>
  </si>
  <si>
    <t>Iron Bow</t>
  </si>
  <si>
    <t>FAS Database Administration</t>
  </si>
  <si>
    <t>Unisys</t>
  </si>
  <si>
    <t>eCRM</t>
  </si>
  <si>
    <t>Citizant</t>
  </si>
  <si>
    <t>eSign Transactions</t>
  </si>
  <si>
    <t>Silanis Technology, Inc.</t>
  </si>
  <si>
    <t>FAME BPA</t>
  </si>
  <si>
    <t>Lockheed Martin</t>
  </si>
  <si>
    <t>Corey Nickens</t>
  </si>
  <si>
    <t>(703) 605-5771</t>
  </si>
  <si>
    <t>corey.nickens@gsa.gov</t>
  </si>
  <si>
    <t>FAS Networx Consolidated Help Desk</t>
  </si>
  <si>
    <t>Access Systems</t>
  </si>
  <si>
    <t>HP Security Software and Training</t>
  </si>
  <si>
    <t>Brand Name</t>
  </si>
  <si>
    <t>Alvarez and Associates</t>
  </si>
  <si>
    <t>InfoSec Engineering</t>
  </si>
  <si>
    <t>Computer Technology Associates</t>
  </si>
  <si>
    <t>JBOSS/Red Hat</t>
  </si>
  <si>
    <t>DLT Solutions</t>
  </si>
  <si>
    <t>Lotus Notes</t>
  </si>
  <si>
    <t>Orizon, Inc.</t>
  </si>
  <si>
    <t>Mainframe Hosting Services</t>
  </si>
  <si>
    <t>Mainframe Tech Refresh</t>
  </si>
  <si>
    <t>Managed Validation Services</t>
  </si>
  <si>
    <t>ORC</t>
  </si>
  <si>
    <t>Open Systems Hosting</t>
  </si>
  <si>
    <t>CSC</t>
  </si>
  <si>
    <t>OSH Disk Backup</t>
  </si>
  <si>
    <t>ThunderCat</t>
  </si>
  <si>
    <t>SAN Storage</t>
  </si>
  <si>
    <t>CDW-G</t>
  </si>
  <si>
    <t>SAP BusinessObjects Licenses</t>
  </si>
  <si>
    <t>Carahsoft Technology Corp.</t>
  </si>
  <si>
    <t>Security Operation Center</t>
  </si>
  <si>
    <t>Verizon</t>
  </si>
  <si>
    <t>Serena PVCS Concurrent License</t>
  </si>
  <si>
    <t>A&amp;A</t>
  </si>
  <si>
    <t>AO Contract Support</t>
  </si>
  <si>
    <t>Firm-Fixed</t>
  </si>
  <si>
    <t>Integrity Mgmt</t>
  </si>
  <si>
    <t>Bridgette Overbey</t>
  </si>
  <si>
    <t>(703) 605-2671</t>
  </si>
  <si>
    <t>bridgette.overbey@gsa.gov</t>
  </si>
  <si>
    <t>OASIS - Support</t>
  </si>
  <si>
    <t>AO Contract Support - Regions</t>
  </si>
  <si>
    <t>Cloud PMO Technical Support, Data Center Consolidation</t>
  </si>
  <si>
    <t>GSA Schedule - Firm Fixed Price</t>
  </si>
  <si>
    <t>eGlobalTech</t>
  </si>
  <si>
    <t>Lydia Dawson (CO)</t>
  </si>
  <si>
    <t>202-501-0357</t>
  </si>
  <si>
    <t>lydia.dawson@gsa.gov</t>
  </si>
  <si>
    <t>Search Program Support Services, Professional and Hosting Services</t>
  </si>
  <si>
    <t xml:space="preserve">Blue Beacon Consulting Inc.  </t>
  </si>
  <si>
    <t>Brenda Cockrell (CO)</t>
  </si>
  <si>
    <t>202-208-4706</t>
  </si>
  <si>
    <t>brenda.cockrell@gsa.gov</t>
  </si>
  <si>
    <t>FY13 Per Diem Rates (and potential option years)</t>
  </si>
  <si>
    <t>The very small number of potential businesses that do this kind of work have not been considered small businesses in the past.</t>
  </si>
  <si>
    <t>Smith Travel Research</t>
  </si>
  <si>
    <t>Jill Denning</t>
  </si>
  <si>
    <t>202-208-7642</t>
  </si>
  <si>
    <t>jill.denning@gsa.gov</t>
  </si>
  <si>
    <t>Acquisition Support Services for MVA</t>
  </si>
  <si>
    <t>Suzanne Winnard</t>
  </si>
  <si>
    <t>(202) 208-7279</t>
  </si>
  <si>
    <t>suzanne.winnard@gsa.gov</t>
  </si>
  <si>
    <t>Bonnie Hanger</t>
  </si>
  <si>
    <t>(202) 357-9635</t>
  </si>
  <si>
    <t>bonnie.hanger@gsa.gov</t>
  </si>
  <si>
    <t>Indexing, editing, proofreading services</t>
  </si>
  <si>
    <t>Preferred acquisition method in accordance with FAR</t>
  </si>
  <si>
    <t>LaTonya Ware</t>
  </si>
  <si>
    <t>(202) 694-2993-9635</t>
  </si>
  <si>
    <t>latonya.ware@gsa.gov</t>
  </si>
  <si>
    <t>Multiple Award Contract for Acquisition Workforce Curriculum Development</t>
  </si>
  <si>
    <t>Strategic sourcing initiative government-wide</t>
  </si>
  <si>
    <t>Multiple Award Contract for Acquisition Workforce Training Delivery</t>
  </si>
  <si>
    <t>Information Technology Service Management</t>
  </si>
  <si>
    <t>Acquisition Support Services for MVA (FPDS program support)</t>
  </si>
  <si>
    <t>202-208-7279</t>
  </si>
  <si>
    <t>FAIR Act Inventory Support</t>
  </si>
  <si>
    <t>LMI</t>
  </si>
  <si>
    <t>Annual Requirement</t>
  </si>
  <si>
    <t>Paul Boyle</t>
  </si>
  <si>
    <t>202-501-0324</t>
  </si>
  <si>
    <t>paul.boyle@gsa.gov</t>
  </si>
  <si>
    <t>PMR "eFile" application allowing customers to respond on action items directly into ICATs</t>
  </si>
  <si>
    <t>Gil Avanzado</t>
  </si>
  <si>
    <t>202-501-6742</t>
  </si>
  <si>
    <t>gil.avanzado@gsa.gov</t>
  </si>
  <si>
    <t>Group Training</t>
  </si>
  <si>
    <t>Virginia Huth</t>
  </si>
  <si>
    <t>202-208-5028</t>
  </si>
  <si>
    <t>virginia.huth@gsa.gov</t>
  </si>
  <si>
    <t>GSA Region 6 National Customer Service Center (NCSC) document conversion services on behalf of Western Distribution Center GSA, will be performed at Western Distribution Center</t>
  </si>
  <si>
    <t>French Camp</t>
  </si>
  <si>
    <t>Jerry Shead</t>
  </si>
  <si>
    <t>816-823-3282</t>
  </si>
  <si>
    <t>jerry.shead@gsa.gov</t>
  </si>
  <si>
    <t>GSA Region 6 NCSC Supply Chain Support, call center and customer service support, Kansas City, MO</t>
  </si>
  <si>
    <t>Leader Communications</t>
  </si>
  <si>
    <t>Carol Clark</t>
  </si>
  <si>
    <t>816-823-2135</t>
  </si>
  <si>
    <t>carol.clark@gsa.gov</t>
  </si>
  <si>
    <t>Awarded off of req'd National Contract</t>
  </si>
  <si>
    <t>Shellie Heislen</t>
  </si>
  <si>
    <t>816-823-2683</t>
  </si>
  <si>
    <t>shellie.heislen@gsa.gov</t>
  </si>
  <si>
    <t>Furniture Design and Planning Blanket Purchase Agreement, GSA Region 6 FAS</t>
  </si>
  <si>
    <t>Existing vehicle</t>
  </si>
  <si>
    <t>BNB  Design</t>
  </si>
  <si>
    <t>Strategy shift to meet Socio-economic goals</t>
  </si>
  <si>
    <t>Multiple Contractors</t>
  </si>
  <si>
    <t>Fleet Marshalling</t>
  </si>
  <si>
    <t>Auto Masters</t>
  </si>
  <si>
    <t>Ft. Leonard Wood</t>
  </si>
  <si>
    <t>Unique Auto</t>
  </si>
  <si>
    <t>Beneventi</t>
  </si>
  <si>
    <t>Vehicle Auctioning and Marshalling, GSA Region 6 Fleet, MO, KS, IA, and NE</t>
  </si>
  <si>
    <t>Social Security Administration, Auditiorium</t>
  </si>
  <si>
    <t>Defense Switch Network (DSN) Services</t>
  </si>
  <si>
    <t>VPN Infrastructure Replacement</t>
  </si>
  <si>
    <t>Limited Source Justification</t>
  </si>
  <si>
    <t>Small Business, Limited Source Justification</t>
  </si>
  <si>
    <t>Jim Leverso</t>
  </si>
  <si>
    <t>jim.leverso@gsa.gov</t>
  </si>
  <si>
    <t>Broadband BPA</t>
  </si>
  <si>
    <t>CLIN based on bandwidth options</t>
  </si>
  <si>
    <t>Networx</t>
  </si>
  <si>
    <t>Darnell Moore</t>
  </si>
  <si>
    <t>(202) 273-0857</t>
  </si>
  <si>
    <t>hdarnell.moore@gsa.gov</t>
  </si>
  <si>
    <t>Citrix Netscaler Replacement</t>
  </si>
  <si>
    <t>Gerard Bernard</t>
  </si>
  <si>
    <t>Secure64 DNS maintenance renewal</t>
  </si>
  <si>
    <t>Open competition</t>
  </si>
  <si>
    <t>Annual maintenance</t>
  </si>
  <si>
    <t>Charlie Ta</t>
  </si>
  <si>
    <t>202-501-2832</t>
  </si>
  <si>
    <t>charlie.ta@gsa.gov</t>
  </si>
  <si>
    <t>Conference Room and Workspace Reservation system</t>
  </si>
  <si>
    <t>Varies by CLIN</t>
  </si>
  <si>
    <t>CMA</t>
  </si>
  <si>
    <t>Recurring</t>
  </si>
  <si>
    <t>Mark Kaprow</t>
  </si>
  <si>
    <t>202-501-2886</t>
  </si>
  <si>
    <t>mark.kaprow@gsa.gov</t>
  </si>
  <si>
    <t>Web and Application Development &amp; Support</t>
  </si>
  <si>
    <t>Susie Kampans</t>
  </si>
  <si>
    <t>(202) 501-2510</t>
  </si>
  <si>
    <t>susie.kampans@gsa.gov</t>
  </si>
  <si>
    <t>Renew Zeus Traffic Manager Maintenance</t>
  </si>
  <si>
    <t>(202) 501-2886</t>
  </si>
  <si>
    <t>ACSI government website survey service and reporting</t>
  </si>
  <si>
    <t>Government Agency</t>
  </si>
  <si>
    <t>InterAgency Agreement</t>
  </si>
  <si>
    <t>EPHOX EditLive! License Renewal</t>
  </si>
  <si>
    <t>Renew Commvault Galaxy backup software</t>
  </si>
  <si>
    <t>Renew Webtrends Maintenance</t>
  </si>
  <si>
    <t>FedTek</t>
  </si>
  <si>
    <t>Renew Listserv</t>
  </si>
  <si>
    <t>L-Soft</t>
  </si>
  <si>
    <t>Renew RedHat Maintenace</t>
  </si>
  <si>
    <t>GTSI</t>
  </si>
  <si>
    <t>Cisco network equipment</t>
  </si>
  <si>
    <t>This action exercises Option Year 2 of the maintenance contract with GTSI.</t>
  </si>
  <si>
    <t>Cisco SmartNet Maintenance</t>
  </si>
  <si>
    <t>Primarily Washington, DC but also nationwide.</t>
  </si>
  <si>
    <t>617-565-5802</t>
  </si>
  <si>
    <t>857-246-6568</t>
  </si>
  <si>
    <t>gerard.bernard@gsa.gov</t>
  </si>
  <si>
    <t>Woman-Owned Small Business and Service Disabled Veteran-owned Small Business</t>
  </si>
  <si>
    <t>Data Systems Hardware, Inc.</t>
  </si>
  <si>
    <t>1 Base, 4 Option Years</t>
  </si>
  <si>
    <t>Call Center Services</t>
  </si>
  <si>
    <t>GDIT</t>
  </si>
  <si>
    <t>Option</t>
  </si>
  <si>
    <t>Kim Wallentine</t>
  </si>
  <si>
    <t>253-931-7183</t>
  </si>
  <si>
    <t>Alaska Warehouse</t>
  </si>
  <si>
    <t>253-931-7530</t>
  </si>
  <si>
    <t>Local Service Agreement Alaska</t>
  </si>
  <si>
    <t>Ak</t>
  </si>
  <si>
    <t>Alaska Communications</t>
  </si>
  <si>
    <t>PBX Maintenance</t>
  </si>
  <si>
    <t>GTRI</t>
  </si>
  <si>
    <t>Rectifier Repair</t>
  </si>
  <si>
    <t>Radwell (PLC Center)</t>
  </si>
  <si>
    <t>Tim Townsend</t>
  </si>
  <si>
    <t>253-931-7472</t>
  </si>
  <si>
    <t>Fleet Task Order Award</t>
  </si>
  <si>
    <t>V-Transportation, Travel, Relocation-Motor</t>
  </si>
  <si>
    <t>Alcoa</t>
  </si>
  <si>
    <t>Cassandra Jones</t>
  </si>
  <si>
    <t>(404) 331-5318</t>
  </si>
  <si>
    <t>cassandra.jones@gsa.gov</t>
  </si>
  <si>
    <t>Mildred Quinley, 404-331-1053, mildred.quinley@gsa.gov</t>
  </si>
  <si>
    <t>Leesville</t>
  </si>
  <si>
    <t>Pearl</t>
  </si>
  <si>
    <t>Sanford</t>
  </si>
  <si>
    <t>McNeal Professional Services</t>
  </si>
  <si>
    <t>Teresa Carrington</t>
  </si>
  <si>
    <t>(404) 215-8700</t>
  </si>
  <si>
    <t>teresa.carrington@gsa.gov</t>
  </si>
  <si>
    <t>TOPS (telecommunications)</t>
  </si>
  <si>
    <t>open-market</t>
  </si>
  <si>
    <t>David Wilson</t>
  </si>
  <si>
    <t>(404) 332-3512</t>
  </si>
  <si>
    <t>david.wilson@gsa.gov</t>
  </si>
  <si>
    <t>8(a) internal contract 
support</t>
  </si>
  <si>
    <t>Estimated Contract Value to be determined.</t>
  </si>
  <si>
    <t>Estimated Contract Value includes base plus 4 option years.</t>
  </si>
  <si>
    <t>An additional person is anticipated to be added to CLIN 0002, beginning in December 2012. The dollar amount given contains the additional estimated dollar amount for this.  Estimated Contract Vaue minimum is for the first option year. Estimated Contract Value maximum is for the entire contract with all options exercised.</t>
  </si>
  <si>
    <t>This solicitation and resultant contracts will be utilized government-wide as a strategic sourcing initiative.  Estimated Contract Value is per year for 5 years.</t>
  </si>
  <si>
    <t>This solicitation and resultant contracts will be utilized government-wide as a strategic sourcing initiative. There will be multiple places of performance, with primary principle place as the Washington, DC metropolitan area. Estimated Contract Value is per year for 5 years.</t>
  </si>
  <si>
    <t>Human Resources Line of Business support</t>
  </si>
  <si>
    <t>GSA Nationwide</t>
  </si>
  <si>
    <t>Neil Skidmore</t>
  </si>
  <si>
    <t>202-501-0620</t>
  </si>
  <si>
    <t>neil.skidmore@gsa.gov</t>
  </si>
  <si>
    <t>CPO-Chief People Officer</t>
  </si>
  <si>
    <t>Professional, administrative, and management support services</t>
  </si>
  <si>
    <t>Other Than Small Business</t>
  </si>
  <si>
    <t>Schedule BPA</t>
  </si>
  <si>
    <t>Noblis</t>
  </si>
  <si>
    <t>Exercise Option</t>
  </si>
  <si>
    <t>Daniel Howard</t>
  </si>
  <si>
    <t>202-205-8543</t>
  </si>
  <si>
    <t>daniel.howard@gsa.gov</t>
  </si>
  <si>
    <t>WITS-3 - GSQ0013NS3002</t>
  </si>
  <si>
    <t>NHC - GSQ0011NS0005</t>
  </si>
  <si>
    <t>Financial Management Services</t>
  </si>
  <si>
    <t>Washington DC</t>
  </si>
  <si>
    <t>Small Disadvantaged, Hub-zone business</t>
  </si>
  <si>
    <t>Incumbent small business met all the requirements to continue support</t>
  </si>
  <si>
    <t>Accurate Conceptions</t>
  </si>
  <si>
    <t>Alvin Armstrong</t>
  </si>
  <si>
    <t>202-260-1116</t>
  </si>
  <si>
    <t>Pamela.Brunson@gsa.gov</t>
  </si>
  <si>
    <t>Admin Records Support</t>
  </si>
  <si>
    <t>CTEC</t>
  </si>
  <si>
    <t>Acquisition Support Services</t>
  </si>
  <si>
    <t>B3 Solutions</t>
  </si>
  <si>
    <t>Warehouse Material Handling Support</t>
  </si>
  <si>
    <t>Logistics Systems Inc.</t>
  </si>
  <si>
    <t>Eve Goodman</t>
  </si>
  <si>
    <t>Lillicrap And Associates</t>
  </si>
  <si>
    <t>Pamela Brunson</t>
  </si>
  <si>
    <t>Maintenance Contract on the NCR Radio System</t>
  </si>
  <si>
    <t>Open Market Purchase Order</t>
  </si>
  <si>
    <t>Federal Radio, Inc.</t>
  </si>
  <si>
    <t>Derrick Dudley</t>
  </si>
  <si>
    <t>Commodity</t>
  </si>
  <si>
    <t>ComLabs</t>
  </si>
  <si>
    <t>Maintenance Support Services</t>
  </si>
  <si>
    <t>J-Maintenance Repair and Rebuilding of equipment</t>
  </si>
  <si>
    <t>Limited Competition among BPA holders</t>
  </si>
  <si>
    <t>Car Auctioning, transportation, vehicle maintenance, and internet sales Services</t>
  </si>
  <si>
    <t>Manheim Auction</t>
  </si>
  <si>
    <t>John Hampson</t>
  </si>
  <si>
    <t>202-619-8928</t>
  </si>
  <si>
    <t>john.hampson@gsa.gov</t>
  </si>
  <si>
    <t>In Design</t>
  </si>
  <si>
    <t>B50 Improvements for BLM - Infrastructure &amp; Mobility</t>
  </si>
  <si>
    <t>Lakewood</t>
  </si>
  <si>
    <t>Advertised on FBO</t>
  </si>
  <si>
    <t>Sarah Huddle</t>
  </si>
  <si>
    <t>303-236-2587</t>
  </si>
  <si>
    <t>sarah.huddle@gsa.gov</t>
  </si>
  <si>
    <t>Planning</t>
  </si>
  <si>
    <t>High Voltage Services</t>
  </si>
  <si>
    <t>J059- Mainenance, repair, and rebuilding of equipment- electrical and electronic equipment components</t>
  </si>
  <si>
    <t>Sturgeon Electric Company, Inc.</t>
  </si>
  <si>
    <t>Currently in last option</t>
  </si>
  <si>
    <t>Laura Magee</t>
  </si>
  <si>
    <t>303-236-2834</t>
  </si>
  <si>
    <t>laura.magee@gsa.gov</t>
  </si>
  <si>
    <t>One-year Base with 4 one-year options</t>
  </si>
  <si>
    <t>Custodial Services for Various Building</t>
  </si>
  <si>
    <t>AJ's Cleaning</t>
  </si>
  <si>
    <t>End of Bridge Contract</t>
  </si>
  <si>
    <t>Mire Whittenbug</t>
  </si>
  <si>
    <t>303-236-0967</t>
  </si>
  <si>
    <t>mire.whittenburg@gsa.gov</t>
  </si>
  <si>
    <t>Pest Control Services for the DFC</t>
  </si>
  <si>
    <t>S207 - Pest Control Services</t>
  </si>
  <si>
    <t>GSA Schedule Task Order</t>
  </si>
  <si>
    <t>Advertised on eBuy</t>
  </si>
  <si>
    <t>Terminix Pest Control</t>
  </si>
  <si>
    <t>Currently in last option year</t>
  </si>
  <si>
    <t>Susan Protho</t>
  </si>
  <si>
    <t>303-236-2570</t>
  </si>
  <si>
    <t>susan.protho@gsa.gov</t>
  </si>
  <si>
    <t>Grounds Maintenance and Snow Removal for the DFC</t>
  </si>
  <si>
    <t>S208 - Landscaping/Groundskeeping</t>
  </si>
  <si>
    <t>Joppa Maintenance Company, Inc.</t>
  </si>
  <si>
    <t>O&amp;M Servcies</t>
  </si>
  <si>
    <t>Aleut Facilities Support Servcies, LLC</t>
  </si>
  <si>
    <t>Jill Long</t>
  </si>
  <si>
    <t>303-236-2953</t>
  </si>
  <si>
    <t>jill.long@gsa.gov</t>
  </si>
  <si>
    <t>One-year Base with 5 one-year options</t>
  </si>
  <si>
    <t>(New) State of Alaska Local Service Agreement (SALSA)</t>
  </si>
  <si>
    <t>In progress, not yet determined.  Reviewing prior acquisition history, current market research.</t>
  </si>
  <si>
    <t>kimberlee.wallentine@gsa.gov</t>
  </si>
  <si>
    <t>Follow-on dial tone local service agreement for Alaska State; in preliminary development stages. Acquisition strategy not yet determined.</t>
  </si>
  <si>
    <t>Prior acquisition history, current market research, RFI via eBUY</t>
  </si>
  <si>
    <t>Awarded TO, not available for further competition</t>
  </si>
  <si>
    <t>Intent to solicit small business if availablility in Alaska dependent on Market Research and RFI via eBuy.</t>
  </si>
  <si>
    <t>Solicitation to be complete FY13, still pending final response/SOW from Troy Gruver</t>
  </si>
  <si>
    <t>Currently Awarded small business.  Intent to stay small business.</t>
  </si>
  <si>
    <t>Presolicitation</t>
  </si>
  <si>
    <t>Travis AFB VOIP Upgrade</t>
  </si>
  <si>
    <t>Travis AFB</t>
  </si>
  <si>
    <t>GWAC</t>
  </si>
  <si>
    <t>Intent to use Connections II, small business setaside, as it is determined to be the most appropriate vehicle for this requirement by market research and DoD justification</t>
  </si>
  <si>
    <t>Kayleen Huggart</t>
  </si>
  <si>
    <t>Documentation / Funding received</t>
  </si>
  <si>
    <t>Small Business Setaside under Connections II as it was determined to be the most appropriate vehicle by Market Research and RFI via eBUY</t>
  </si>
  <si>
    <t>awarded</t>
  </si>
  <si>
    <t>Consulting Services -- Strategic Communications and Change Management</t>
  </si>
  <si>
    <t>Consulting Services -- Continous Process Improvement</t>
  </si>
  <si>
    <t>Telecommuncations Services</t>
  </si>
  <si>
    <t>Telecommunication Audit Services</t>
  </si>
  <si>
    <t>Various cities through Arizona and Nevada</t>
  </si>
  <si>
    <t>AZ and NV</t>
  </si>
  <si>
    <t>T&amp;M</t>
  </si>
  <si>
    <t>Not Determined (Small Business Subcontracting Plan)</t>
  </si>
  <si>
    <t>Labor Hour</t>
  </si>
  <si>
    <t>Chris Matthews</t>
  </si>
  <si>
    <t>(415) 522-4522</t>
  </si>
  <si>
    <t>chris.matthews@gsa.gov</t>
  </si>
  <si>
    <t>2nd or 3rd Quarter</t>
  </si>
  <si>
    <t>This contract will be awarded to large telecommunications providers such as Verizon and AT&amp;T; they will be required to have Small Business Subcontracting plans.</t>
  </si>
  <si>
    <t>BA 80 Funds RWA_x000D_
RWA N0520030</t>
  </si>
  <si>
    <t>Marilyn Moore</t>
  </si>
  <si>
    <t>315-448-0973</t>
  </si>
  <si>
    <t>marilyn.moore@gsa.gov</t>
  </si>
  <si>
    <t>MGM Insulation</t>
  </si>
  <si>
    <t>Maintenance &amp; Repairs</t>
  </si>
  <si>
    <t>Repair and Alterations-Cooling Tower 2</t>
  </si>
  <si>
    <t>Cleaning Services</t>
  </si>
  <si>
    <t>David Monahan</t>
  </si>
  <si>
    <t>Steve Delia</t>
  </si>
  <si>
    <t>John Bellington</t>
  </si>
  <si>
    <t>Soliciation</t>
  </si>
  <si>
    <t>DX000</t>
  </si>
  <si>
    <t>SSA East Low Rise / East High Rise Fire Alarm</t>
  </si>
  <si>
    <t>Jeff Linskens</t>
  </si>
  <si>
    <t>215-446-4603</t>
  </si>
  <si>
    <t>jeffery.linskens@gsa.gov</t>
  </si>
  <si>
    <t>QA000</t>
  </si>
  <si>
    <t>Remove and relocate solar panels (N, S, C)</t>
  </si>
  <si>
    <t>Upgrade smoke detectors (Center)</t>
  </si>
  <si>
    <t>Replace two sets of double doors in cooling tower yard with louvered doors</t>
  </si>
  <si>
    <t>Exterior maintenance - paint railings, concrete repairs</t>
  </si>
  <si>
    <t>Replace cafeteria ceiling grid &amp; tiles</t>
  </si>
  <si>
    <t>Critical rooftop penthouse safety railings</t>
  </si>
  <si>
    <t>Re-rope and Re-Groove Elev #1</t>
  </si>
  <si>
    <t>CMS Paving - Phase 2</t>
  </si>
  <si>
    <t>Market research indicated capable 8(a), also holds SDVOSB designation</t>
  </si>
  <si>
    <t>new requirement</t>
  </si>
  <si>
    <t>2nd quarter</t>
  </si>
  <si>
    <t>(215) 446-4520</t>
  </si>
  <si>
    <t>CMS Digital Signage</t>
  </si>
  <si>
    <t>3rd quarter</t>
  </si>
  <si>
    <t>Mark Talarico</t>
  </si>
  <si>
    <t>(215) 446-4558</t>
  </si>
  <si>
    <t>mark.talarico@gsa.gov</t>
  </si>
  <si>
    <t>USDOJ 4th Floor Renovation - Fallon Federal Building</t>
  </si>
  <si>
    <t>Andrew Tulli</t>
  </si>
  <si>
    <t>(215) 446-4793</t>
  </si>
  <si>
    <t>andrew.tulli@gsa.gov</t>
  </si>
  <si>
    <t>MCC Switchboards</t>
  </si>
  <si>
    <t>PS000</t>
  </si>
  <si>
    <t>Joe Procopio</t>
  </si>
  <si>
    <t>215-446-4696</t>
  </si>
  <si>
    <t>joseph.procopio@gsa.gov</t>
  </si>
  <si>
    <t>Initial Space Alteration, International Trade Admin, William S. Moorhead Fed, Bld, Pittsburgh, PA</t>
  </si>
  <si>
    <t>HVAC &amp; Systems Upgrade</t>
  </si>
  <si>
    <t>2 Region Wide Full Service AE Term Contracts</t>
  </si>
  <si>
    <t>Region Wide  -North/South</t>
  </si>
  <si>
    <t>Various in Region 3</t>
  </si>
  <si>
    <t>Market research conducted determined Small Business set-aside</t>
  </si>
  <si>
    <t>MOL each contract $10,000,000.00</t>
  </si>
  <si>
    <t>215-446-5766</t>
  </si>
  <si>
    <t>Various</t>
  </si>
  <si>
    <t>AHU Replacement</t>
  </si>
  <si>
    <t>In Solicitation</t>
  </si>
  <si>
    <t>215-446-4996</t>
  </si>
  <si>
    <t>joe.procopio@gsa.gov</t>
  </si>
  <si>
    <t>BAS upgrade Phase 1 Alt.B 7th Fl.</t>
  </si>
  <si>
    <t>4TH</t>
  </si>
  <si>
    <t>REQUIRES RESEARCH</t>
  </si>
  <si>
    <t>AHU Controls &amp; Garage CO Detectors</t>
  </si>
  <si>
    <t>8A vendor</t>
  </si>
  <si>
    <t>Closed</t>
  </si>
  <si>
    <t>3PSNK</t>
  </si>
  <si>
    <t>State College</t>
  </si>
  <si>
    <t>Qualified small business contractors under NAICS code</t>
  </si>
  <si>
    <t>to Be Awarded</t>
  </si>
  <si>
    <t>HVAC 1st Floor Replacement</t>
  </si>
  <si>
    <t>NO</t>
  </si>
  <si>
    <t>Priscilla Bryant</t>
  </si>
  <si>
    <t>215-446-4559</t>
  </si>
  <si>
    <t>priscilla.bryant@gsa.gov</t>
  </si>
  <si>
    <t>Oliver Lester</t>
  </si>
  <si>
    <t>215-446-4626</t>
  </si>
  <si>
    <t>oliver.lester@gsa.gov</t>
  </si>
  <si>
    <t>QH000</t>
  </si>
  <si>
    <t>Awareded</t>
  </si>
  <si>
    <t>Price is estimated Base+2</t>
  </si>
  <si>
    <t>BAS Board replacement</t>
  </si>
  <si>
    <t>215 46 4565</t>
  </si>
  <si>
    <t>QN000</t>
  </si>
  <si>
    <t>yes</t>
  </si>
  <si>
    <t>Dumpster Area Replacement</t>
  </si>
  <si>
    <t>Set Aside</t>
  </si>
  <si>
    <t>$th Quarter</t>
  </si>
  <si>
    <t>Tony Hubbard</t>
  </si>
  <si>
    <t>215-446-4629</t>
  </si>
  <si>
    <t>tony.hubbard@gsa.gov</t>
  </si>
  <si>
    <t>4th quarter</t>
  </si>
  <si>
    <t>n/A</t>
  </si>
  <si>
    <t>section 8 (a)</t>
  </si>
  <si>
    <t>4th Quarter/1st Quarter</t>
  </si>
  <si>
    <t>2013/2014</t>
  </si>
  <si>
    <t>SWM Pond</t>
  </si>
  <si>
    <t>Brick Fascade</t>
  </si>
  <si>
    <t>Parking Lot sealing/Stripping/Pressure Washing</t>
  </si>
  <si>
    <t>Sidewalk Repairs</t>
  </si>
  <si>
    <t>Pressure Washing Building</t>
  </si>
  <si>
    <t>Charleston</t>
  </si>
  <si>
    <t>Custodial Term Contractor</t>
  </si>
  <si>
    <t>Historical Hallway Lighting</t>
  </si>
  <si>
    <t>Term Contractor</t>
  </si>
  <si>
    <t>Construction Term Contractor</t>
  </si>
  <si>
    <t>3rd Floor Restroom Renvovations</t>
  </si>
  <si>
    <t>ARRA Contractor</t>
  </si>
  <si>
    <t>Additional work added to the ARRA contractor working on site</t>
  </si>
  <si>
    <t>Multiple Award Construction IDIQ for citiers of Richmond and Norfolk and the surrounding counties</t>
  </si>
  <si>
    <t>Richmond, Norfolk</t>
  </si>
  <si>
    <t>Will look to target SDVOSB and SDB.  Possible Partial Set aside.</t>
  </si>
  <si>
    <t>$5,000,000/yr</t>
  </si>
  <si>
    <t>Ray Porter</t>
  </si>
  <si>
    <t>(215) 446-4664</t>
  </si>
  <si>
    <t>ray.porter@gsa.gov</t>
  </si>
  <si>
    <t>Replace cooling tower</t>
  </si>
  <si>
    <t>new Requirement</t>
  </si>
  <si>
    <t>(215) 446-4576</t>
  </si>
  <si>
    <t>Mechanical Modernization of the Powell courthouse annex</t>
  </si>
  <si>
    <t>part of Richmond IDIQ procurement</t>
  </si>
  <si>
    <t>Repair sinkhole, IRS computing Center</t>
  </si>
  <si>
    <t>Tony Teti</t>
  </si>
  <si>
    <t>(215)446-4544</t>
  </si>
  <si>
    <t>tony.teti@gsa.gov</t>
  </si>
  <si>
    <t>Plaza Fire Cleanup, Robert C. Byrd Federal Building &amp; Courthouse</t>
  </si>
  <si>
    <t>(215)446-4565</t>
  </si>
  <si>
    <t>Replace Windows North, Powell Courthouse Annex</t>
  </si>
  <si>
    <t>tony Teti</t>
  </si>
  <si>
    <t>Pipe Insulation on Cooling towers</t>
  </si>
  <si>
    <t>Compete</t>
  </si>
  <si>
    <t>Chiller Insulations</t>
  </si>
  <si>
    <t>CHW Secondary Pump</t>
  </si>
  <si>
    <t>Elevator 6,8 door Operators NJ0088ZZ</t>
  </si>
  <si>
    <t>Elevator 6,8 door Operators NJ5002ZZ</t>
  </si>
  <si>
    <t>ACM removal/tiles in FO</t>
  </si>
  <si>
    <t>Section 8 (a)</t>
  </si>
  <si>
    <t>Cooling Tower Repair Trenton</t>
  </si>
  <si>
    <t>VFD Install for Chiller 3</t>
  </si>
  <si>
    <t>856) 757-5346</t>
  </si>
  <si>
    <t>Condensate Pumps</t>
  </si>
  <si>
    <t>Scranton</t>
  </si>
  <si>
    <t>4th Quarter/1stQuarter</t>
  </si>
  <si>
    <t>Roof Replacement</t>
  </si>
  <si>
    <t>Harrisburg</t>
  </si>
  <si>
    <t>to Be Determined</t>
  </si>
  <si>
    <t>FY12 carryover; awaiting revised SOW</t>
  </si>
  <si>
    <t>No PR</t>
  </si>
  <si>
    <t>dequilla.burnett@gsa.gov</t>
  </si>
  <si>
    <t>No PR/Information</t>
  </si>
  <si>
    <t>Acquisition Plan under reveiw</t>
  </si>
  <si>
    <t>PR/Market Research</t>
  </si>
  <si>
    <t>Selma</t>
  </si>
  <si>
    <t>Yes/4PC1MN-12-0247</t>
  </si>
  <si>
    <t>Yes/4PC1MN-12-0237</t>
  </si>
  <si>
    <t>8(a) sole source</t>
  </si>
  <si>
    <t>unknown</t>
  </si>
  <si>
    <t>NO PR</t>
  </si>
  <si>
    <t>8(a) Sole source</t>
  </si>
  <si>
    <t>no information to report</t>
  </si>
  <si>
    <t>firm Fixed Price Award</t>
  </si>
  <si>
    <t>Partition IDIQ</t>
  </si>
  <si>
    <t>Firm Fixed Price Award</t>
  </si>
  <si>
    <t>No information to report</t>
  </si>
  <si>
    <t>8(a) sole sorce</t>
  </si>
  <si>
    <t>Freeland Constrcution</t>
  </si>
  <si>
    <t>Bid currently under review as of 1/10/2013</t>
  </si>
  <si>
    <t>Design is in progress 35% design to be approved by courts Jan 2013</t>
  </si>
  <si>
    <t>London, KY not Louisville, KY waiting for A/E IDIQ contracts to be awarded</t>
  </si>
  <si>
    <t>waiting for A/E IDIQ contracts to be awarded and additional RWA funds</t>
  </si>
  <si>
    <t>need to do study waiting for 61 money to be approved</t>
  </si>
  <si>
    <t>Kentucky service center project</t>
  </si>
  <si>
    <t>kentucky service center project</t>
  </si>
  <si>
    <t>IDIQ Tribal Set Aside 8(a)</t>
  </si>
  <si>
    <t>small dollar</t>
  </si>
  <si>
    <t>1st Qtr</t>
  </si>
  <si>
    <t>Contract awarded 12/14/12.</t>
  </si>
  <si>
    <t>Unknown project. Building numbers would be helpful</t>
  </si>
  <si>
    <t>Unknown.  Micahel is just heard today (01/09/13) about water line replacement in Hattiesburg MS. No PR package; Not in  Memphis TN</t>
  </si>
  <si>
    <t>Gulfport Dan Russell SC project, Gulfport MS; not Memphis TN</t>
  </si>
  <si>
    <t>Gulfport Dan Russell ANNEX building SC project.  Gulfport MS; not Memphis TN</t>
  </si>
  <si>
    <t>Unknown. Probable SC project</t>
  </si>
  <si>
    <t>Unknown.  Probable SC project</t>
  </si>
  <si>
    <t>Unknown.  We have a pending IRS VSR change order in Hattiesburg MS, not Memphis TN.</t>
  </si>
  <si>
    <t>Unknown.  Have only heard of a requirement for waterproofing in Natchez MS, not Memphis.</t>
  </si>
  <si>
    <t>SC is planning to build conference room in basement in Memphis TN.</t>
  </si>
  <si>
    <t>Unknow.  Probable SC project</t>
  </si>
  <si>
    <t>Solicitation issued 12/11/12.  Bids due 01/11/13.  Expect award by 01/31/13</t>
  </si>
  <si>
    <t>Pre-solicitation was issued 1/3/13 on FEDBIZOPS, Anticipate Solicitation being issued on or about 1/28/13.</t>
  </si>
  <si>
    <t>/</t>
  </si>
  <si>
    <t>Knoxville</t>
  </si>
  <si>
    <t>Acquisition Plan being prepared. Scope of Work along with IGE received.   Waiting on PR.</t>
  </si>
  <si>
    <t>Purchase Request dated 12/14/12.  Acquisition Plan will be prepared.  Will use IDIQ Partition.</t>
  </si>
  <si>
    <t>No information received 1/9/13</t>
  </si>
  <si>
    <t>Contract awarded effective 12/1/2012 - Small Business</t>
  </si>
  <si>
    <t>J's Associates</t>
  </si>
  <si>
    <t>Awarded 21NOV2012:  Woman Owned 8(a).  Start Date 01/01/2013</t>
  </si>
  <si>
    <t>Transportation, Delivery and Reolocation Services</t>
  </si>
  <si>
    <t>Young Moving and Storage</t>
  </si>
  <si>
    <t>MLK Move within the building</t>
  </si>
  <si>
    <t>COA...Cover and protect during hydrostatic testing</t>
  </si>
  <si>
    <t>B&amp;B Movers</t>
  </si>
  <si>
    <t>US Marshalls Move</t>
  </si>
  <si>
    <t>Need new contract effective 4/1/2013</t>
  </si>
  <si>
    <t>FedBizOps</t>
  </si>
  <si>
    <t>Awarded SDVOSB</t>
  </si>
  <si>
    <t>FSS Lease renewal</t>
  </si>
  <si>
    <t>SATCOM</t>
  </si>
  <si>
    <t>Contract has been awarded, effective start date 11/1/2012</t>
  </si>
  <si>
    <t>Requirement may no longer be needed.</t>
  </si>
  <si>
    <t>Design-Build Project for Security Improvments</t>
  </si>
  <si>
    <t>Capital Security Project - Currently open for proposal/solicitation submission; 883 days in length of the project; approximately 2.5 years (crossing three fiscal years)</t>
  </si>
  <si>
    <t>FOR CMa - Capital Security Project - Currently open for proposal/solicitation submission; 883 days in length of the project; approximately 2.5 years (crossing three fiscal years)</t>
  </si>
  <si>
    <t>Savannah Service Center: Current Contract will be extended for 6 months.  New Contract period of performance 8/1/2013 - 07/31/2018</t>
  </si>
  <si>
    <t>New contract effective 12/1/12.</t>
  </si>
  <si>
    <t>IDIQ for AE Services</t>
  </si>
  <si>
    <t>Small Business Set-aside/Brooks Act</t>
  </si>
  <si>
    <t>Takisha Brown</t>
  </si>
  <si>
    <t>404-788-0719</t>
  </si>
  <si>
    <t>takisha.brown@gsa.gov</t>
  </si>
  <si>
    <t>In with contract review board. Expected review completion by 01/25/13.</t>
  </si>
  <si>
    <t>In with contract review board. Expected review completion by 01/18/13.</t>
  </si>
  <si>
    <t>Contract being reviewed by CRB. Award will be accomplished upon completion of review.</t>
  </si>
  <si>
    <t>Mobile</t>
  </si>
  <si>
    <t>Illinois</t>
  </si>
  <si>
    <t>Great Lakes Region</t>
  </si>
  <si>
    <t>Small Business 8(A)</t>
  </si>
  <si>
    <t>Edgar.Delgado@gsa.gov</t>
  </si>
  <si>
    <t>Danville &amp; Urbana</t>
  </si>
  <si>
    <t>Indiana</t>
  </si>
  <si>
    <t>BPA was awarded on December 11, 2012 to Murphy Elevator Company</t>
  </si>
  <si>
    <t>Brittany Morrow</t>
  </si>
  <si>
    <t>brittany.morrow@gsa.gov</t>
  </si>
  <si>
    <t>BPA was awarded on November 26, 2012 to Commercial Facilities Management, Inc.</t>
  </si>
  <si>
    <t>Duluth/Superior Metro Area</t>
  </si>
  <si>
    <t>MN/WI</t>
  </si>
  <si>
    <t>Solicitiation posted on FBO 12/10/12; proposals due 1/11/2013; This is one solicitation combined to cover various zones in MN and WI</t>
  </si>
  <si>
    <t>So. IL/IN</t>
  </si>
  <si>
    <t>SE Wisconsin, Including Madison</t>
  </si>
  <si>
    <t>Madison Area Rehabilitation Centers</t>
  </si>
  <si>
    <t>price, experience, past performance</t>
  </si>
  <si>
    <t>Sidewalk Replacement</t>
  </si>
  <si>
    <t>Minneapolis</t>
  </si>
  <si>
    <t>Firm Fixed</t>
  </si>
  <si>
    <t>Cafeteria Upgrades</t>
  </si>
  <si>
    <t>The solicitation will be posted on FBO.gov.  There will be a base and one option.</t>
  </si>
  <si>
    <t>Exterior Painting-South Elevation</t>
  </si>
  <si>
    <t>The solicitation will be posted on FBO.gov.</t>
  </si>
  <si>
    <t>VHE Motors/VFD Drives</t>
  </si>
  <si>
    <t>Fort Wayne</t>
  </si>
  <si>
    <t>317-510-6907</t>
  </si>
  <si>
    <t>Elevator Repairs</t>
  </si>
  <si>
    <t>This one-time service will be procured through FSS.</t>
  </si>
  <si>
    <t>AHU Replacement/Retrofit Design Changes</t>
  </si>
  <si>
    <t>New Albany</t>
  </si>
  <si>
    <t>Entry Door Project/Hallway Repair</t>
  </si>
  <si>
    <t>Anthony Filipiak</t>
  </si>
  <si>
    <t>217-492-4597</t>
  </si>
  <si>
    <t>anthony.filipiak@gsa.gov</t>
  </si>
  <si>
    <t>Dry Dock Fire Sprinkler Pipe Replacement</t>
  </si>
  <si>
    <t>New Requiremenet</t>
  </si>
  <si>
    <t>The soliciation will be posted on FBO.gov</t>
  </si>
  <si>
    <t>Parking Lot Resurfacing &amp; Drive Ramp to Lower Level Parking</t>
  </si>
  <si>
    <t>Jason Gietl</t>
  </si>
  <si>
    <t>217-492-4088</t>
  </si>
  <si>
    <t>jason.gietl@gsa.gov</t>
  </si>
  <si>
    <t>Replace Curbing Leading Down to Judge's Area Parking</t>
  </si>
  <si>
    <t>Urbana</t>
  </si>
  <si>
    <t>Parapet Repairs</t>
  </si>
  <si>
    <t>Exterior Door Renovations</t>
  </si>
  <si>
    <t>Frieght Elevator Upgrades</t>
  </si>
  <si>
    <t>Window Replacement</t>
  </si>
  <si>
    <t>Quincy</t>
  </si>
  <si>
    <t>Elevator Preventive Maintenance</t>
  </si>
  <si>
    <t>Benton &amp; Mt. Vernon</t>
  </si>
  <si>
    <t>Kone, Inc.</t>
  </si>
  <si>
    <t>Elevator &amp; Escalator Maintenance</t>
  </si>
  <si>
    <t>THYSSENKRUPP ELEVATOR, INC</t>
  </si>
  <si>
    <t>Susan J. Williams</t>
  </si>
  <si>
    <t>414-297-1023</t>
  </si>
  <si>
    <t>susan.williams@gsa.gov</t>
  </si>
  <si>
    <t>Section 8(a)/Hub Zone Setaside</t>
  </si>
  <si>
    <t>Hub Zone Setaside</t>
  </si>
  <si>
    <t>4th Quater</t>
  </si>
  <si>
    <t>2nd Quater</t>
  </si>
  <si>
    <t>Cyclical Site Work (Page or MDD?)</t>
  </si>
  <si>
    <t>pending final BA54 snapshot to determine if this proejct will occur</t>
  </si>
  <si>
    <t>Main Entrance Prevedel ( guard shack?)</t>
  </si>
  <si>
    <t>Richard Koehler</t>
  </si>
  <si>
    <t>314-302-3223</t>
  </si>
  <si>
    <t>richard.koehler@gsa.gov</t>
  </si>
  <si>
    <t>Cyclical Lanscaping Site Work ALL Bldgs (Page or MDD?)</t>
  </si>
  <si>
    <t>Build-Up Existing Parapet &amp; Fall Protection</t>
  </si>
  <si>
    <t>Negotiated / IDIQ</t>
  </si>
  <si>
    <t>DB contract utilized-0% design</t>
  </si>
  <si>
    <t>MATOC</t>
  </si>
  <si>
    <t>Rand Construction</t>
  </si>
  <si>
    <t>Awarded. Can be deleted</t>
  </si>
  <si>
    <t>laverne.perkins@gsa.gov</t>
  </si>
  <si>
    <t>A urgent and compelling contract was done with NISH.  The new 5yr contract will start in April.</t>
  </si>
  <si>
    <t>Protested, but resolved in GSA's favor.</t>
  </si>
  <si>
    <t>Parking Lot Restoration - C Lot?</t>
  </si>
  <si>
    <t>Masonary GoodfellowB105 Goodfellow - penthouses</t>
  </si>
  <si>
    <t>RO award - not sure</t>
  </si>
  <si>
    <t>Tarlton</t>
  </si>
  <si>
    <t>Perry Boeschen</t>
  </si>
  <si>
    <t>perry.boeschen@gsa.gov</t>
  </si>
  <si>
    <t>completed - added in to RO chiller project in order to shut off boiler as part of project install / connections</t>
  </si>
  <si>
    <t>Door Replacements MDD - man doors</t>
  </si>
  <si>
    <t>Interior Brick Restoration - stairwells at GF</t>
  </si>
  <si>
    <t>Goodfellow 104 refinish hallway floor</t>
  </si>
  <si>
    <t>Refinish wood trim etc in cafeteria</t>
  </si>
  <si>
    <t>will occur in 2013 as part of the cafeteria resoration after the recent mech malfunction that lead to water damage</t>
  </si>
  <si>
    <t>will occur in 2nd Qtr FY13</t>
  </si>
  <si>
    <t>2nd Quarter / 3rd Quarter</t>
  </si>
  <si>
    <t>will occur in 2nd Qtr and 3rd Qtr FY13</t>
  </si>
  <si>
    <t>becky.clark@gsa.gov</t>
  </si>
  <si>
    <t>BPA for Environmental Services</t>
  </si>
  <si>
    <t>Blanket Purchase Agreements</t>
  </si>
  <si>
    <t>Trevor Simon</t>
  </si>
  <si>
    <t>817-978-0122</t>
  </si>
  <si>
    <t>trevor.simon@gsa.gov</t>
  </si>
  <si>
    <t>Presidio, TX</t>
  </si>
  <si>
    <t>Texas Zone I</t>
  </si>
  <si>
    <t>Deregulated areas of the State of Texas</t>
  </si>
  <si>
    <t>josefina.mcghee@gsa.gov</t>
  </si>
  <si>
    <t>roderick.blouin@gsa.gov</t>
  </si>
  <si>
    <t>Administering CO: John Davis, johne.davis@gsa.gov</t>
  </si>
  <si>
    <t>Construction Management Services</t>
  </si>
  <si>
    <t>qualified small business contractors regional IDIQ</t>
  </si>
  <si>
    <t>Monique Tucny</t>
  </si>
  <si>
    <t>303-236-2800</t>
  </si>
  <si>
    <t>monique.tucny@gsa.gov</t>
  </si>
  <si>
    <t>lease location went to lessor not SBA</t>
  </si>
  <si>
    <t>3rdQuarter</t>
  </si>
  <si>
    <t>Alameda / Santa Rosa</t>
  </si>
  <si>
    <t>B&amp;W contract Services, Inc.</t>
  </si>
  <si>
    <t>Clevester Hines</t>
  </si>
  <si>
    <t>415-522-3296</t>
  </si>
  <si>
    <t>clevester.hines@gsa.gov</t>
  </si>
  <si>
    <t>Glycole removal ice storage</t>
  </si>
  <si>
    <t>R-Professional, Admin, and Management, Supplies, Svs</t>
  </si>
  <si>
    <t>Mari McNally, 215-446-4934,Mari.mcnally@gsa.gov</t>
  </si>
  <si>
    <t>AWARDED</t>
  </si>
  <si>
    <t>Proposals Received</t>
  </si>
  <si>
    <t>Design/Build MATOC Renewal</t>
  </si>
  <si>
    <t>Alaska</t>
  </si>
  <si>
    <t>New Requirement\</t>
  </si>
  <si>
    <t>Sue Saucier</t>
  </si>
  <si>
    <t>253-931-7127</t>
  </si>
  <si>
    <t>sue.saucier@gsa.gov</t>
  </si>
  <si>
    <t>AE IDIQ</t>
  </si>
  <si>
    <t>Line Item (Construction) IDIQ</t>
  </si>
  <si>
    <t>Oregon</t>
  </si>
  <si>
    <t>253-931-7775</t>
  </si>
  <si>
    <t>253-931-7157</t>
  </si>
  <si>
    <t>Eastern WA</t>
  </si>
  <si>
    <t>Construction Management Services MATOC</t>
  </si>
  <si>
    <t>Environmental Studies MATOC</t>
  </si>
  <si>
    <t>Puget Sound Area</t>
  </si>
  <si>
    <t>Jeanne Cassidy</t>
  </si>
  <si>
    <t>253-931-7134</t>
  </si>
  <si>
    <t>jeanne.cassidy@gsa.gov</t>
  </si>
  <si>
    <t>Workplace Solutions IDIQ</t>
  </si>
  <si>
    <t>Preservation/Conservation IDIQ</t>
  </si>
  <si>
    <t>Don't have project yet so cannot provide dates</t>
  </si>
  <si>
    <t>LaToya Coates</t>
  </si>
  <si>
    <t>202-690-9498</t>
  </si>
  <si>
    <t>latoya.coates@gsa.gov</t>
  </si>
  <si>
    <t>2nd</t>
  </si>
  <si>
    <t>3rd</t>
  </si>
  <si>
    <t>Asher Construction,Inc</t>
  </si>
  <si>
    <t>Ronald Scott</t>
  </si>
  <si>
    <t>ronald.scott@gsa.gov</t>
  </si>
  <si>
    <t>Lee Tittle, 816-926-7016, lee.tittle@gsa.gov</t>
  </si>
  <si>
    <t>Small Business Subcontracting plan</t>
  </si>
  <si>
    <t>kayleen.huggart@gsa.gov</t>
  </si>
  <si>
    <t>Both procurements (Centrex/Alaska Statewide) will be combined as SALSA during FY13.  Alaska Statewide Opt 3 to be extended 6 months in March, with final award in September</t>
  </si>
  <si>
    <t>tim.townsend@gsa.gov</t>
  </si>
  <si>
    <t>IVV Support Services</t>
  </si>
  <si>
    <t>8(a) Small Business</t>
  </si>
  <si>
    <t>8(a)Small Business Set Aside</t>
  </si>
  <si>
    <t>Solicit 8(a) Small Business</t>
  </si>
  <si>
    <t>Chugach</t>
  </si>
  <si>
    <t>New</t>
  </si>
  <si>
    <t>1st</t>
  </si>
  <si>
    <t>Wayne Smedley</t>
  </si>
  <si>
    <t>(202)501-9135</t>
  </si>
  <si>
    <t>Wayne.Smedley@gsa.gov</t>
  </si>
  <si>
    <t>GSA internal</t>
  </si>
  <si>
    <t>ePM Meridian Software Recompete</t>
  </si>
  <si>
    <t xml:space="preserve">Meridian </t>
  </si>
  <si>
    <t>Marie Johnston</t>
  </si>
  <si>
    <t>(202)460-2657</t>
  </si>
  <si>
    <t>marie.johnston@gsa.gov</t>
  </si>
  <si>
    <t>ePM Services Recompete</t>
  </si>
  <si>
    <t>4th</t>
  </si>
  <si>
    <t>Program Management Support for PBS CIO</t>
  </si>
  <si>
    <t>3T International, Inc</t>
  </si>
  <si>
    <t>Will Johnson</t>
  </si>
  <si>
    <t>william.k.johnson@gsa.gov</t>
  </si>
  <si>
    <t>IT Services Support BPA</t>
  </si>
  <si>
    <t>Partial Small Business</t>
  </si>
  <si>
    <t>PartialSmall Business Set Aside</t>
  </si>
  <si>
    <t>Unisys, Comtech, Quintiq, MTI</t>
  </si>
  <si>
    <t>Reggie Gavett</t>
  </si>
  <si>
    <t>Reggie.Gavett@gsa.gov</t>
  </si>
  <si>
    <t>Real Property Sales &amp; Support (BPA)</t>
  </si>
  <si>
    <t>Co-Star Recompete</t>
  </si>
  <si>
    <t>BPA - National Environemental Support Services</t>
  </si>
</sst>
</file>

<file path=xl/styles.xml><?xml version="1.0" encoding="utf-8"?>
<styleSheet xmlns="http://schemas.openxmlformats.org/spreadsheetml/2006/main">
  <numFmts count="6">
    <numFmt numFmtId="8" formatCode="&quot;$&quot;#,##0.00_);[Red]\(&quot;$&quot;#,##0.00\)"/>
    <numFmt numFmtId="44" formatCode="_(&quot;$&quot;* #,##0.00_);_(&quot;$&quot;* \(#,##0.00\);_(&quot;$&quot;* &quot;-&quot;??_);_(@_)"/>
    <numFmt numFmtId="43" formatCode="_(* #,##0.00_);_(* \(#,##0.00\);_(* &quot;-&quot;??_);_(@_)"/>
    <numFmt numFmtId="164" formatCode="m/d/yyyy;@"/>
    <numFmt numFmtId="165" formatCode="&quot;$&quot;#,##0.00"/>
    <numFmt numFmtId="166" formatCode="mm/yyyy"/>
  </numFmts>
  <fonts count="34">
    <font>
      <sz val="10"/>
      <color rgb="FF000000"/>
      <name val="Arial"/>
    </font>
    <font>
      <sz val="10"/>
      <color rgb="FF000000"/>
      <name val="Arial"/>
      <family val="2"/>
    </font>
    <font>
      <sz val="10"/>
      <color rgb="FF000000"/>
      <name val="Arial"/>
      <family val="2"/>
    </font>
    <font>
      <sz val="11"/>
      <color rgb="FF000000"/>
      <name val="Calibri"/>
      <family val="2"/>
    </font>
    <font>
      <sz val="10"/>
      <color rgb="FF000000"/>
      <name val="Arial"/>
      <family val="2"/>
    </font>
    <font>
      <b/>
      <sz val="24"/>
      <color rgb="FF000000"/>
      <name val="Arial"/>
      <family val="2"/>
    </font>
    <font>
      <b/>
      <sz val="11"/>
      <color rgb="FF000000"/>
      <name val="Calibri"/>
      <family val="2"/>
    </font>
    <font>
      <sz val="10"/>
      <color rgb="FF000000"/>
      <name val="Arial"/>
      <family val="2"/>
    </font>
    <font>
      <sz val="10"/>
      <color rgb="FF000000"/>
      <name val="Arial"/>
      <family val="2"/>
    </font>
    <font>
      <b/>
      <sz val="11"/>
      <color rgb="FFC00000"/>
      <name val="Calibri"/>
      <family val="2"/>
    </font>
    <font>
      <b/>
      <sz val="24"/>
      <color rgb="FFC00000"/>
      <name val="Arial"/>
      <family val="2"/>
    </font>
    <font>
      <b/>
      <u/>
      <sz val="10"/>
      <color rgb="FF0000FF"/>
      <name val="Arial"/>
      <family val="2"/>
    </font>
    <font>
      <sz val="10"/>
      <color rgb="FF000000"/>
      <name val="Arial"/>
      <family val="2"/>
    </font>
    <font>
      <sz val="10"/>
      <color rgb="FF000000"/>
      <name val="Arial"/>
      <family val="2"/>
    </font>
    <font>
      <u/>
      <sz val="10"/>
      <color rgb="FF0000FF"/>
      <name val="Arial"/>
      <family val="2"/>
    </font>
    <font>
      <b/>
      <u/>
      <sz val="10"/>
      <color rgb="FF0000FF"/>
      <name val="Arial"/>
      <family val="2"/>
    </font>
    <font>
      <sz val="10"/>
      <color rgb="FF000000"/>
      <name val="Arial"/>
      <family val="2"/>
    </font>
    <font>
      <sz val="10"/>
      <color rgb="FF000000"/>
      <name val="Arial"/>
      <family val="2"/>
    </font>
    <font>
      <b/>
      <u/>
      <sz val="10"/>
      <color rgb="FF0000FF"/>
      <name val="Arial"/>
      <family val="2"/>
    </font>
    <font>
      <sz val="10"/>
      <color rgb="FF000000"/>
      <name val="Arial"/>
      <family val="2"/>
    </font>
    <font>
      <b/>
      <sz val="14"/>
      <color rgb="FF000000"/>
      <name val="Calibri"/>
      <family val="2"/>
    </font>
    <font>
      <b/>
      <sz val="10"/>
      <name val="Arial"/>
      <family val="2"/>
    </font>
    <font>
      <sz val="10"/>
      <name val="Arial"/>
      <family val="2"/>
    </font>
    <font>
      <sz val="10"/>
      <color theme="1"/>
      <name val="Arial"/>
      <family val="2"/>
    </font>
    <font>
      <u/>
      <sz val="10"/>
      <color theme="10"/>
      <name val="Arial"/>
      <family val="2"/>
    </font>
    <font>
      <u/>
      <sz val="10"/>
      <color rgb="FF000000"/>
      <name val="Arial"/>
      <family val="2"/>
    </font>
    <font>
      <u/>
      <sz val="10"/>
      <color theme="10"/>
      <name val="Arial"/>
      <family val="2"/>
    </font>
    <font>
      <sz val="10"/>
      <color rgb="FF000000"/>
      <name val="Arial"/>
      <family val="2"/>
    </font>
    <font>
      <u/>
      <sz val="10"/>
      <color rgb="FF0000FF"/>
      <name val="Arial"/>
      <family val="2"/>
    </font>
    <font>
      <sz val="10"/>
      <color indexed="8"/>
      <name val="Arial"/>
      <family val="2"/>
    </font>
    <font>
      <sz val="10"/>
      <color rgb="FF000000"/>
      <name val="Arial"/>
      <family val="2"/>
    </font>
    <font>
      <u/>
      <sz val="10"/>
      <color rgb="FF0000FF"/>
      <name val="Arial"/>
      <family val="2"/>
    </font>
    <font>
      <u/>
      <sz val="10"/>
      <name val="Arial"/>
      <family val="2"/>
    </font>
    <font>
      <sz val="10"/>
      <color rgb="FF000000"/>
      <name val="Arial"/>
      <family val="2"/>
    </font>
  </fonts>
  <fills count="6">
    <fill>
      <patternFill patternType="none"/>
    </fill>
    <fill>
      <patternFill patternType="gray125"/>
    </fill>
    <fill>
      <patternFill patternType="solid">
        <fgColor rgb="FFFFFF99"/>
        <bgColor indexed="64"/>
      </patternFill>
    </fill>
    <fill>
      <patternFill patternType="solid">
        <fgColor indexed="43"/>
        <bgColor indexed="64"/>
      </patternFill>
    </fill>
    <fill>
      <patternFill patternType="solid">
        <fgColor rgb="FFFFFFFF"/>
        <bgColor indexed="64"/>
      </patternFill>
    </fill>
    <fill>
      <patternFill patternType="solid">
        <fgColor rgb="FFC00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top style="thin">
        <color rgb="FF000000"/>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rgb="FF000000"/>
      </left>
      <right/>
      <top style="thin">
        <color rgb="FF000000"/>
      </top>
      <bottom style="thin">
        <color rgb="FF000000"/>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4">
    <xf numFmtId="0" fontId="0" fillId="0" borderId="0"/>
    <xf numFmtId="0" fontId="24" fillId="0" borderId="0" applyNumberFormat="0" applyFill="0" applyBorder="0" applyAlignment="0" applyProtection="0">
      <alignment vertical="top"/>
      <protection locked="0"/>
    </xf>
    <xf numFmtId="43" fontId="27" fillId="0" borderId="0" applyFont="0" applyFill="0" applyBorder="0" applyAlignment="0" applyProtection="0"/>
    <xf numFmtId="44" fontId="33" fillId="0" borderId="0" applyFont="0" applyFill="0" applyBorder="0" applyAlignment="0" applyProtection="0"/>
  </cellStyleXfs>
  <cellXfs count="315">
    <xf numFmtId="0" fontId="0" fillId="0" borderId="0" xfId="0" applyAlignment="1">
      <alignment wrapText="1"/>
    </xf>
    <xf numFmtId="0" fontId="2" fillId="0" borderId="0" xfId="0" applyFont="1" applyAlignment="1">
      <alignment horizontal="center" vertical="center"/>
    </xf>
    <xf numFmtId="0" fontId="3" fillId="0" borderId="0" xfId="0" applyFont="1" applyAlignment="1">
      <alignment vertical="center"/>
    </xf>
    <xf numFmtId="0" fontId="4" fillId="0" borderId="0" xfId="0" applyFont="1" applyAlignment="1">
      <alignment vertical="center" wrapText="1"/>
    </xf>
    <xf numFmtId="0" fontId="6" fillId="0" borderId="0" xfId="0" applyFont="1" applyAlignment="1">
      <alignment vertical="center"/>
    </xf>
    <xf numFmtId="0" fontId="9" fillId="0" borderId="0" xfId="0" applyFont="1" applyAlignment="1">
      <alignment vertical="center"/>
    </xf>
    <xf numFmtId="0" fontId="12" fillId="0" borderId="0" xfId="0" applyFont="1" applyAlignment="1">
      <alignment horizontal="left" wrapText="1"/>
    </xf>
    <xf numFmtId="0" fontId="13" fillId="0" borderId="0" xfId="0" applyFont="1" applyAlignment="1">
      <alignment wrapText="1"/>
    </xf>
    <xf numFmtId="0" fontId="15" fillId="0" borderId="0" xfId="0" applyFont="1"/>
    <xf numFmtId="0" fontId="17" fillId="0" borderId="0" xfId="0" applyFont="1" applyAlignment="1">
      <alignment horizont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horizontal="left" vertical="center"/>
    </xf>
    <xf numFmtId="0" fontId="0" fillId="0" borderId="0" xfId="0" applyFill="1" applyAlignment="1">
      <alignment wrapText="1"/>
    </xf>
    <xf numFmtId="0" fontId="22" fillId="0" borderId="1" xfId="0" applyFont="1" applyFill="1" applyBorder="1" applyAlignment="1">
      <alignment wrapText="1"/>
    </xf>
    <xf numFmtId="0" fontId="13" fillId="0" borderId="0" xfId="0" applyFont="1" applyFill="1" applyAlignment="1">
      <alignment wrapText="1"/>
    </xf>
    <xf numFmtId="0" fontId="19" fillId="0" borderId="0" xfId="0" applyFont="1" applyFill="1" applyAlignment="1">
      <alignment vertical="center"/>
    </xf>
    <xf numFmtId="0" fontId="0" fillId="0" borderId="1" xfId="0" applyBorder="1" applyAlignment="1">
      <alignment wrapText="1"/>
    </xf>
    <xf numFmtId="0" fontId="0" fillId="0" borderId="1" xfId="0" applyFill="1" applyBorder="1" applyAlignment="1">
      <alignment wrapText="1"/>
    </xf>
    <xf numFmtId="165" fontId="0" fillId="0" borderId="1" xfId="0" applyNumberFormat="1" applyFill="1" applyBorder="1" applyAlignment="1">
      <alignment horizontal="right" wrapText="1"/>
    </xf>
    <xf numFmtId="0" fontId="1" fillId="0" borderId="1" xfId="0" applyFont="1" applyBorder="1" applyAlignment="1">
      <alignment wrapText="1"/>
    </xf>
    <xf numFmtId="0" fontId="1" fillId="0" borderId="1" xfId="0" applyFont="1" applyFill="1" applyBorder="1" applyAlignment="1">
      <alignment wrapText="1"/>
    </xf>
    <xf numFmtId="165" fontId="1" fillId="0" borderId="1" xfId="0" applyNumberFormat="1" applyFont="1" applyFill="1" applyBorder="1" applyAlignment="1">
      <alignment horizontal="right" wrapText="1"/>
    </xf>
    <xf numFmtId="165" fontId="1" fillId="0" borderId="1" xfId="0" applyNumberFormat="1" applyFont="1" applyBorder="1" applyAlignment="1">
      <alignment horizontal="right" wrapText="1"/>
    </xf>
    <xf numFmtId="0" fontId="1" fillId="0" borderId="1" xfId="0" applyFont="1" applyBorder="1" applyAlignment="1">
      <alignment horizontal="center" wrapText="1"/>
    </xf>
    <xf numFmtId="0" fontId="14" fillId="0" borderId="1" xfId="0" applyFont="1" applyBorder="1" applyAlignment="1">
      <alignment wrapText="1"/>
    </xf>
    <xf numFmtId="0" fontId="1" fillId="0" borderId="1" xfId="0" applyFont="1" applyFill="1" applyBorder="1" applyAlignment="1">
      <alignment horizontal="left" wrapText="1"/>
    </xf>
    <xf numFmtId="0" fontId="22" fillId="0" borderId="1" xfId="0" applyFont="1" applyBorder="1" applyAlignment="1">
      <alignment wrapText="1"/>
    </xf>
    <xf numFmtId="0" fontId="1" fillId="0" borderId="1" xfId="0" applyFont="1" applyBorder="1" applyAlignment="1">
      <alignment horizontal="left" wrapText="1"/>
    </xf>
    <xf numFmtId="0" fontId="23" fillId="0" borderId="1" xfId="0" applyFont="1" applyBorder="1" applyAlignment="1">
      <alignment wrapText="1"/>
    </xf>
    <xf numFmtId="0" fontId="0" fillId="0" borderId="0" xfId="0" applyAlignment="1">
      <alignment wrapText="1"/>
    </xf>
    <xf numFmtId="0" fontId="1" fillId="0" borderId="0" xfId="0" applyFont="1"/>
    <xf numFmtId="0" fontId="1" fillId="0" borderId="1" xfId="0" applyFont="1" applyBorder="1" applyAlignment="1">
      <alignment horizontal="right" wrapText="1"/>
    </xf>
    <xf numFmtId="0" fontId="1" fillId="0" borderId="1" xfId="0" applyFont="1" applyBorder="1"/>
    <xf numFmtId="165" fontId="1" fillId="0" borderId="1" xfId="0" applyNumberFormat="1" applyFont="1" applyBorder="1" applyAlignment="1">
      <alignment wrapText="1"/>
    </xf>
    <xf numFmtId="0" fontId="1" fillId="0" borderId="1" xfId="0" applyFont="1" applyBorder="1" applyAlignment="1">
      <alignment vertical="center"/>
    </xf>
    <xf numFmtId="0" fontId="1" fillId="0" borderId="0" xfId="0" applyFont="1" applyAlignment="1">
      <alignment vertical="center"/>
    </xf>
    <xf numFmtId="0" fontId="1" fillId="0" borderId="1" xfId="0" applyFont="1" applyBorder="1" applyAlignment="1"/>
    <xf numFmtId="0" fontId="1" fillId="0" borderId="1" xfId="0" applyFont="1" applyBorder="1" applyAlignment="1">
      <alignment horizontal="left"/>
    </xf>
    <xf numFmtId="0" fontId="1" fillId="0" borderId="1" xfId="0" applyFont="1" applyBorder="1" applyAlignment="1">
      <alignment vertical="center" wrapText="1"/>
    </xf>
    <xf numFmtId="0" fontId="1" fillId="4" borderId="1" xfId="0" applyFont="1" applyFill="1" applyBorder="1" applyAlignment="1">
      <alignment horizontal="right" wrapText="1"/>
    </xf>
    <xf numFmtId="0" fontId="1" fillId="4" borderId="1" xfId="0" applyFont="1" applyFill="1" applyBorder="1" applyAlignment="1">
      <alignment horizontal="left" wrapText="1"/>
    </xf>
    <xf numFmtId="0" fontId="14" fillId="0" borderId="1" xfId="0" applyFont="1" applyBorder="1" applyAlignment="1"/>
    <xf numFmtId="0" fontId="0" fillId="0" borderId="1" xfId="0" applyBorder="1" applyAlignment="1">
      <alignment horizontal="left" wrapText="1"/>
    </xf>
    <xf numFmtId="0" fontId="0" fillId="4" borderId="1" xfId="0" applyFill="1" applyBorder="1" applyAlignment="1">
      <alignment horizontal="left" wrapText="1"/>
    </xf>
    <xf numFmtId="0" fontId="25" fillId="0" borderId="1" xfId="0" applyFont="1" applyBorder="1" applyAlignment="1">
      <alignment wrapText="1"/>
    </xf>
    <xf numFmtId="0" fontId="22" fillId="0" borderId="1" xfId="0" applyFont="1" applyFill="1" applyBorder="1"/>
    <xf numFmtId="165" fontId="22" fillId="0" borderId="5" xfId="0" applyNumberFormat="1" applyFont="1" applyFill="1" applyBorder="1"/>
    <xf numFmtId="165" fontId="22" fillId="0" borderId="1" xfId="0" applyNumberFormat="1" applyFont="1" applyFill="1" applyBorder="1"/>
    <xf numFmtId="0" fontId="22" fillId="0" borderId="1" xfId="0" applyFont="1" applyFill="1" applyBorder="1" applyAlignment="1">
      <alignment horizontal="center"/>
    </xf>
    <xf numFmtId="0" fontId="26" fillId="0" borderId="1" xfId="1" applyFont="1" applyFill="1" applyBorder="1" applyAlignment="1" applyProtection="1">
      <alignment wrapText="1"/>
    </xf>
    <xf numFmtId="0" fontId="22" fillId="0" borderId="0" xfId="0" applyFont="1" applyFill="1"/>
    <xf numFmtId="0" fontId="22" fillId="0" borderId="1" xfId="0" applyFont="1" applyFill="1" applyBorder="1" applyAlignment="1">
      <alignment horizontal="right" wrapText="1"/>
    </xf>
    <xf numFmtId="0" fontId="22" fillId="0" borderId="1" xfId="0" applyFont="1" applyFill="1" applyBorder="1" applyAlignment="1">
      <alignment vertical="top" wrapText="1"/>
    </xf>
    <xf numFmtId="165" fontId="22" fillId="0" borderId="5" xfId="0" applyNumberFormat="1" applyFont="1" applyFill="1" applyBorder="1" applyAlignment="1">
      <alignment wrapText="1"/>
    </xf>
    <xf numFmtId="165" fontId="22" fillId="0" borderId="1" xfId="0" applyNumberFormat="1" applyFont="1" applyFill="1" applyBorder="1" applyAlignment="1">
      <alignment wrapText="1"/>
    </xf>
    <xf numFmtId="0" fontId="22" fillId="0" borderId="1" xfId="0" applyFont="1" applyFill="1" applyBorder="1" applyAlignment="1"/>
    <xf numFmtId="0" fontId="27" fillId="0" borderId="1" xfId="0" applyFont="1" applyBorder="1" applyAlignment="1">
      <alignment wrapText="1"/>
    </xf>
    <xf numFmtId="0" fontId="27" fillId="0" borderId="1" xfId="0" applyFont="1" applyBorder="1"/>
    <xf numFmtId="165" fontId="27" fillId="0" borderId="1" xfId="0" applyNumberFormat="1" applyFont="1" applyBorder="1"/>
    <xf numFmtId="0" fontId="27" fillId="0" borderId="1" xfId="0" applyFont="1" applyBorder="1" applyAlignment="1">
      <alignment horizontal="center"/>
    </xf>
    <xf numFmtId="0" fontId="28" fillId="0" borderId="1" xfId="0" applyFont="1" applyBorder="1" applyAlignment="1">
      <alignment wrapText="1"/>
    </xf>
    <xf numFmtId="165" fontId="27" fillId="0" borderId="1" xfId="0" applyNumberFormat="1" applyFont="1" applyBorder="1" applyAlignment="1">
      <alignment wrapText="1"/>
    </xf>
    <xf numFmtId="0" fontId="27" fillId="0" borderId="1" xfId="0" applyFont="1" applyFill="1" applyBorder="1" applyAlignment="1">
      <alignment wrapText="1"/>
    </xf>
    <xf numFmtId="0" fontId="27" fillId="0" borderId="1" xfId="0" applyFont="1" applyBorder="1" applyAlignment="1">
      <alignment horizontal="left" wrapText="1"/>
    </xf>
    <xf numFmtId="0" fontId="29" fillId="0" borderId="1" xfId="0" applyNumberFormat="1" applyFont="1" applyFill="1" applyBorder="1" applyAlignment="1">
      <alignment wrapText="1"/>
    </xf>
    <xf numFmtId="0" fontId="29" fillId="0" borderId="4" xfId="0" applyNumberFormat="1" applyFont="1" applyFill="1" applyBorder="1" applyAlignment="1"/>
    <xf numFmtId="0" fontId="29" fillId="0" borderId="4" xfId="0" applyNumberFormat="1" applyFont="1" applyFill="1" applyBorder="1" applyAlignment="1">
      <alignment wrapText="1"/>
    </xf>
    <xf numFmtId="0" fontId="29" fillId="0" borderId="1" xfId="0" applyNumberFormat="1" applyFont="1" applyFill="1" applyBorder="1" applyAlignment="1"/>
    <xf numFmtId="0" fontId="22" fillId="0" borderId="1" xfId="0" applyNumberFormat="1" applyFont="1" applyFill="1" applyBorder="1" applyAlignment="1">
      <alignment wrapText="1"/>
    </xf>
    <xf numFmtId="0" fontId="0" fillId="0" borderId="1" xfId="0" applyFill="1" applyBorder="1" applyAlignment="1">
      <alignment vertical="top" wrapText="1"/>
    </xf>
    <xf numFmtId="0" fontId="1" fillId="0" borderId="1" xfId="0" applyFont="1" applyFill="1" applyBorder="1"/>
    <xf numFmtId="165" fontId="1" fillId="0" borderId="1" xfId="0" applyNumberFormat="1" applyFont="1" applyFill="1" applyBorder="1"/>
    <xf numFmtId="0" fontId="1" fillId="0" borderId="1" xfId="0" applyFont="1" applyFill="1" applyBorder="1" applyAlignment="1">
      <alignment horizontal="left"/>
    </xf>
    <xf numFmtId="0" fontId="1" fillId="0" borderId="1" xfId="0" applyFont="1" applyFill="1" applyBorder="1" applyAlignment="1">
      <alignment horizontal="center" wrapText="1"/>
    </xf>
    <xf numFmtId="0" fontId="14" fillId="0" borderId="1" xfId="0" applyFont="1" applyFill="1" applyBorder="1" applyAlignment="1">
      <alignment wrapText="1"/>
    </xf>
    <xf numFmtId="0" fontId="1" fillId="0" borderId="4" xfId="0" applyFont="1" applyFill="1" applyBorder="1" applyAlignment="1">
      <alignment wrapText="1"/>
    </xf>
    <xf numFmtId="0" fontId="1" fillId="0" borderId="4" xfId="0" applyFont="1" applyFill="1" applyBorder="1" applyAlignment="1">
      <alignment horizontal="left" wrapText="1"/>
    </xf>
    <xf numFmtId="0" fontId="1" fillId="0" borderId="4" xfId="0" applyFont="1" applyFill="1" applyBorder="1" applyAlignment="1">
      <alignment horizontal="right" wrapText="1"/>
    </xf>
    <xf numFmtId="0" fontId="1" fillId="0" borderId="4" xfId="0" applyFont="1" applyFill="1" applyBorder="1"/>
    <xf numFmtId="165" fontId="1" fillId="0" borderId="4" xfId="0" applyNumberFormat="1" applyFont="1" applyFill="1" applyBorder="1" applyAlignment="1">
      <alignment horizontal="right" wrapText="1"/>
    </xf>
    <xf numFmtId="165" fontId="1" fillId="0" borderId="4" xfId="0" applyNumberFormat="1" applyFont="1" applyFill="1" applyBorder="1" applyAlignment="1">
      <alignment wrapText="1"/>
    </xf>
    <xf numFmtId="0" fontId="1" fillId="0" borderId="4" xfId="0" applyFont="1" applyFill="1" applyBorder="1" applyAlignment="1">
      <alignment horizontal="center" wrapText="1"/>
    </xf>
    <xf numFmtId="0" fontId="14" fillId="0" borderId="4" xfId="0" applyFont="1" applyFill="1" applyBorder="1" applyAlignment="1">
      <alignment wrapText="1"/>
    </xf>
    <xf numFmtId="0" fontId="1" fillId="0" borderId="0" xfId="0" applyFont="1" applyFill="1"/>
    <xf numFmtId="0" fontId="1" fillId="0" borderId="1" xfId="0" applyFont="1" applyFill="1" applyBorder="1" applyAlignment="1">
      <alignment horizontal="right" wrapText="1"/>
    </xf>
    <xf numFmtId="165" fontId="1" fillId="0" borderId="1" xfId="0" applyNumberFormat="1" applyFont="1" applyFill="1" applyBorder="1" applyAlignment="1">
      <alignment wrapText="1"/>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0" xfId="0" applyFont="1" applyFill="1" applyAlignment="1">
      <alignment vertical="center"/>
    </xf>
    <xf numFmtId="0" fontId="1" fillId="0" borderId="1" xfId="0" applyFont="1" applyFill="1" applyBorder="1" applyAlignment="1"/>
    <xf numFmtId="0" fontId="0" fillId="0" borderId="0" xfId="0" applyBorder="1" applyAlignment="1">
      <alignment wrapText="1"/>
    </xf>
    <xf numFmtId="0" fontId="0" fillId="0" borderId="1" xfId="0" applyNumberFormat="1" applyFont="1" applyFill="1" applyBorder="1" applyAlignment="1">
      <alignment wrapText="1"/>
    </xf>
    <xf numFmtId="0" fontId="0" fillId="0" borderId="0" xfId="0" applyFont="1" applyFill="1" applyAlignment="1">
      <alignment vertical="center"/>
    </xf>
    <xf numFmtId="0" fontId="1" fillId="0" borderId="6" xfId="0" applyFont="1" applyBorder="1" applyAlignment="1">
      <alignment wrapText="1"/>
    </xf>
    <xf numFmtId="0" fontId="1" fillId="0" borderId="6" xfId="0" applyFont="1" applyFill="1" applyBorder="1" applyAlignment="1">
      <alignment wrapText="1"/>
    </xf>
    <xf numFmtId="0" fontId="1" fillId="0" borderId="6" xfId="0" applyFont="1" applyBorder="1" applyAlignment="1">
      <alignment vertical="center" wrapText="1"/>
    </xf>
    <xf numFmtId="0" fontId="27" fillId="0" borderId="6" xfId="0" applyFont="1" applyBorder="1" applyAlignment="1">
      <alignment wrapText="1"/>
    </xf>
    <xf numFmtId="0" fontId="1" fillId="0" borderId="18" xfId="0" applyFont="1" applyFill="1" applyBorder="1"/>
    <xf numFmtId="0" fontId="22" fillId="0" borderId="0" xfId="0" applyFont="1" applyFill="1" applyBorder="1"/>
    <xf numFmtId="0" fontId="0" fillId="0" borderId="0" xfId="0" applyFill="1" applyBorder="1" applyAlignment="1">
      <alignment vertical="center"/>
    </xf>
    <xf numFmtId="0" fontId="1" fillId="0" borderId="0" xfId="0" applyFont="1" applyFill="1" applyBorder="1"/>
    <xf numFmtId="0" fontId="1" fillId="0" borderId="0" xfId="0" applyFont="1" applyFill="1" applyBorder="1" applyAlignment="1">
      <alignment vertical="center"/>
    </xf>
    <xf numFmtId="0" fontId="1" fillId="0" borderId="0" xfId="0" applyFont="1" applyBorder="1" applyAlignment="1">
      <alignment vertical="center"/>
    </xf>
    <xf numFmtId="0" fontId="1" fillId="0" borderId="0" xfId="0" applyFont="1" applyBorder="1"/>
    <xf numFmtId="0" fontId="22" fillId="0" borderId="6" xfId="0" applyFont="1" applyFill="1" applyBorder="1" applyAlignment="1">
      <alignment wrapText="1"/>
    </xf>
    <xf numFmtId="0" fontId="0" fillId="0" borderId="6" xfId="0" applyFill="1" applyBorder="1" applyAlignment="1">
      <alignment wrapText="1"/>
    </xf>
    <xf numFmtId="0" fontId="1" fillId="0" borderId="17" xfId="0" applyFont="1" applyFill="1" applyBorder="1" applyAlignment="1">
      <alignment wrapText="1"/>
    </xf>
    <xf numFmtId="0" fontId="8" fillId="0" borderId="0" xfId="0" applyFont="1" applyBorder="1" applyAlignment="1">
      <alignment wrapText="1"/>
    </xf>
    <xf numFmtId="0" fontId="16" fillId="0" borderId="0" xfId="0" applyFont="1" applyBorder="1" applyAlignment="1">
      <alignment horizontal="left" wrapText="1"/>
    </xf>
    <xf numFmtId="0" fontId="8" fillId="0" borderId="0" xfId="0" applyFont="1" applyFill="1" applyBorder="1" applyAlignment="1">
      <alignment wrapText="1"/>
    </xf>
    <xf numFmtId="0" fontId="11" fillId="0" borderId="0" xfId="0" applyFont="1" applyBorder="1" applyAlignment="1">
      <alignment horizontal="center" wrapText="1"/>
    </xf>
    <xf numFmtId="0" fontId="7" fillId="0" borderId="0" xfId="0" applyFont="1" applyBorder="1" applyAlignment="1">
      <alignment horizontal="center" wrapText="1"/>
    </xf>
    <xf numFmtId="0" fontId="0" fillId="0" borderId="4" xfId="0" applyFill="1" applyBorder="1" applyAlignment="1">
      <alignment wrapText="1"/>
    </xf>
    <xf numFmtId="0" fontId="21" fillId="3" borderId="19" xfId="0" applyFont="1" applyFill="1" applyBorder="1" applyAlignment="1">
      <alignment horizontal="center" vertical="center" textRotation="90"/>
    </xf>
    <xf numFmtId="0" fontId="21" fillId="3" borderId="20" xfId="0" applyFont="1" applyFill="1" applyBorder="1" applyAlignment="1">
      <alignment horizontal="center" vertical="center" textRotation="90"/>
    </xf>
    <xf numFmtId="0" fontId="21" fillId="3" borderId="20" xfId="0" applyFont="1" applyFill="1" applyBorder="1" applyAlignment="1">
      <alignment horizontal="center" vertical="center" textRotation="90" wrapText="1"/>
    </xf>
    <xf numFmtId="0" fontId="21" fillId="2" borderId="20" xfId="0" applyFont="1" applyFill="1" applyBorder="1" applyAlignment="1">
      <alignment horizontal="center" vertical="center" textRotation="90" wrapText="1"/>
    </xf>
    <xf numFmtId="0" fontId="21" fillId="3" borderId="21" xfId="0" applyFont="1" applyFill="1" applyBorder="1" applyAlignment="1">
      <alignment horizontal="center" vertical="center" textRotation="90" wrapText="1"/>
    </xf>
    <xf numFmtId="0" fontId="27" fillId="0" borderId="1" xfId="0" applyFont="1" applyFill="1" applyBorder="1"/>
    <xf numFmtId="165" fontId="27" fillId="0" borderId="1" xfId="0" applyNumberFormat="1" applyFont="1" applyFill="1" applyBorder="1"/>
    <xf numFmtId="0" fontId="27" fillId="0" borderId="1" xfId="0" applyFont="1" applyFill="1" applyBorder="1" applyAlignment="1">
      <alignment horizontal="center"/>
    </xf>
    <xf numFmtId="0" fontId="28" fillId="0" borderId="1" xfId="0" applyFont="1" applyFill="1" applyBorder="1" applyAlignment="1">
      <alignment wrapText="1"/>
    </xf>
    <xf numFmtId="0" fontId="27" fillId="0" borderId="6" xfId="0" applyFont="1" applyFill="1" applyBorder="1" applyAlignment="1">
      <alignment wrapText="1"/>
    </xf>
    <xf numFmtId="0" fontId="0" fillId="0" borderId="0" xfId="0" applyFill="1" applyBorder="1" applyAlignment="1">
      <alignment wrapText="1"/>
    </xf>
    <xf numFmtId="0" fontId="1" fillId="0" borderId="7" xfId="0" applyFont="1" applyFill="1" applyBorder="1" applyAlignment="1">
      <alignment wrapText="1"/>
    </xf>
    <xf numFmtId="0" fontId="1" fillId="0" borderId="7" xfId="0" applyFont="1" applyFill="1" applyBorder="1"/>
    <xf numFmtId="165" fontId="1" fillId="0" borderId="7" xfId="0" applyNumberFormat="1" applyFont="1" applyFill="1" applyBorder="1"/>
    <xf numFmtId="0" fontId="1" fillId="0" borderId="7" xfId="0" applyFont="1" applyFill="1" applyBorder="1" applyAlignment="1">
      <alignment horizontal="center"/>
    </xf>
    <xf numFmtId="0" fontId="14" fillId="0" borderId="7" xfId="0" applyFont="1" applyFill="1" applyBorder="1" applyAlignment="1">
      <alignment wrapText="1"/>
    </xf>
    <xf numFmtId="0" fontId="1" fillId="0" borderId="0" xfId="0" applyFont="1" applyFill="1" applyBorder="1" applyAlignment="1">
      <alignment wrapText="1"/>
    </xf>
    <xf numFmtId="0" fontId="1" fillId="0" borderId="0" xfId="0" applyFont="1" applyFill="1" applyAlignment="1">
      <alignment wrapText="1"/>
    </xf>
    <xf numFmtId="0" fontId="26" fillId="0" borderId="7" xfId="1" applyFont="1" applyFill="1" applyBorder="1" applyAlignment="1" applyProtection="1">
      <alignment wrapText="1"/>
    </xf>
    <xf numFmtId="0" fontId="1" fillId="0" borderId="8" xfId="0" applyFont="1" applyFill="1" applyBorder="1" applyAlignment="1">
      <alignment wrapText="1"/>
    </xf>
    <xf numFmtId="0" fontId="1" fillId="0" borderId="8" xfId="0" applyFont="1" applyFill="1" applyBorder="1"/>
    <xf numFmtId="165" fontId="1" fillId="0" borderId="8" xfId="0" applyNumberFormat="1" applyFont="1" applyFill="1" applyBorder="1"/>
    <xf numFmtId="0" fontId="1" fillId="0" borderId="8" xfId="0" applyFont="1" applyFill="1" applyBorder="1" applyAlignment="1">
      <alignment horizontal="center"/>
    </xf>
    <xf numFmtId="0" fontId="14" fillId="0" borderId="8" xfId="0" applyFont="1" applyFill="1" applyBorder="1" applyAlignment="1">
      <alignment wrapText="1"/>
    </xf>
    <xf numFmtId="0" fontId="1" fillId="0" borderId="9" xfId="0" applyFont="1" applyFill="1" applyBorder="1"/>
    <xf numFmtId="0" fontId="1" fillId="0" borderId="10" xfId="0" applyFont="1" applyFill="1" applyBorder="1" applyAlignment="1">
      <alignment wrapText="1"/>
    </xf>
    <xf numFmtId="0" fontId="1" fillId="0" borderId="11" xfId="0" applyFont="1" applyFill="1" applyBorder="1" applyAlignment="1">
      <alignment wrapText="1"/>
    </xf>
    <xf numFmtId="0" fontId="1" fillId="0" borderId="12" xfId="0" applyFont="1" applyFill="1" applyBorder="1" applyAlignment="1">
      <alignment wrapText="1"/>
    </xf>
    <xf numFmtId="0" fontId="1" fillId="0" borderId="13" xfId="0" applyFont="1" applyFill="1" applyBorder="1" applyAlignment="1">
      <alignment wrapText="1"/>
    </xf>
    <xf numFmtId="0" fontId="1" fillId="0" borderId="14" xfId="0" applyFont="1" applyFill="1" applyBorder="1" applyAlignment="1">
      <alignment wrapText="1"/>
    </xf>
    <xf numFmtId="0" fontId="1" fillId="0" borderId="14" xfId="0" applyFont="1" applyFill="1" applyBorder="1"/>
    <xf numFmtId="0" fontId="1" fillId="0" borderId="11" xfId="0" applyFont="1" applyFill="1" applyBorder="1"/>
    <xf numFmtId="0" fontId="1" fillId="0" borderId="10" xfId="0" applyFont="1" applyFill="1" applyBorder="1"/>
    <xf numFmtId="165" fontId="1" fillId="0" borderId="14" xfId="0" applyNumberFormat="1" applyFont="1" applyFill="1" applyBorder="1"/>
    <xf numFmtId="0" fontId="1" fillId="0" borderId="15" xfId="0" applyFont="1" applyFill="1" applyBorder="1" applyAlignment="1">
      <alignment wrapText="1"/>
    </xf>
    <xf numFmtId="0" fontId="1" fillId="0" borderId="14" xfId="0" applyFont="1" applyFill="1" applyBorder="1" applyAlignment="1">
      <alignment horizontal="center"/>
    </xf>
    <xf numFmtId="0" fontId="23" fillId="0" borderId="1" xfId="0" applyFont="1" applyBorder="1"/>
    <xf numFmtId="165" fontId="23" fillId="0" borderId="1" xfId="0" applyNumberFormat="1" applyFont="1" applyBorder="1"/>
    <xf numFmtId="0" fontId="23" fillId="0" borderId="1" xfId="0" applyFont="1" applyBorder="1" applyAlignment="1">
      <alignment horizontal="center"/>
    </xf>
    <xf numFmtId="0" fontId="23" fillId="0" borderId="1" xfId="0" applyFont="1" applyFill="1" applyBorder="1" applyAlignment="1">
      <alignment wrapText="1"/>
    </xf>
    <xf numFmtId="0" fontId="22" fillId="0" borderId="3" xfId="0" applyFont="1" applyFill="1" applyBorder="1" applyAlignment="1">
      <alignment wrapText="1"/>
    </xf>
    <xf numFmtId="0" fontId="22" fillId="0" borderId="3" xfId="0" applyFont="1" applyFill="1" applyBorder="1"/>
    <xf numFmtId="0" fontId="22" fillId="0" borderId="3" xfId="0" applyNumberFormat="1" applyFont="1" applyFill="1" applyBorder="1" applyAlignment="1">
      <alignment wrapText="1"/>
    </xf>
    <xf numFmtId="0" fontId="29" fillId="0" borderId="3" xfId="0" applyNumberFormat="1" applyFont="1" applyFill="1" applyBorder="1" applyAlignment="1"/>
    <xf numFmtId="0" fontId="29" fillId="0" borderId="3" xfId="0" applyNumberFormat="1" applyFont="1" applyFill="1" applyBorder="1" applyAlignment="1">
      <alignment wrapText="1"/>
    </xf>
    <xf numFmtId="165" fontId="22" fillId="0" borderId="3" xfId="0" applyNumberFormat="1" applyFont="1" applyFill="1" applyBorder="1"/>
    <xf numFmtId="0" fontId="22" fillId="0" borderId="3" xfId="0" applyFont="1" applyFill="1" applyBorder="1" applyAlignment="1">
      <alignment horizontal="center"/>
    </xf>
    <xf numFmtId="0" fontId="23" fillId="0" borderId="4" xfId="0" applyFont="1" applyBorder="1" applyAlignment="1">
      <alignment wrapText="1"/>
    </xf>
    <xf numFmtId="0" fontId="23" fillId="0" borderId="4" xfId="0" applyFont="1" applyBorder="1"/>
    <xf numFmtId="0" fontId="23" fillId="0" borderId="4" xfId="0" applyFont="1" applyBorder="1" applyAlignment="1">
      <alignment horizontal="center"/>
    </xf>
    <xf numFmtId="0" fontId="21" fillId="2" borderId="21" xfId="0" applyFont="1" applyFill="1" applyBorder="1" applyAlignment="1">
      <alignment horizontal="center" vertical="center" textRotation="90" wrapText="1"/>
    </xf>
    <xf numFmtId="0" fontId="21" fillId="2" borderId="19" xfId="0" applyFont="1" applyFill="1" applyBorder="1" applyAlignment="1">
      <alignment horizontal="center" vertical="center" textRotation="90" wrapText="1"/>
    </xf>
    <xf numFmtId="0" fontId="30" fillId="0" borderId="1" xfId="0" applyFont="1" applyFill="1" applyBorder="1" applyAlignment="1">
      <alignment vertical="center"/>
    </xf>
    <xf numFmtId="0" fontId="30" fillId="0" borderId="1" xfId="0" applyFont="1" applyFill="1" applyBorder="1" applyAlignment="1"/>
    <xf numFmtId="0" fontId="0" fillId="0" borderId="1" xfId="0" applyFill="1" applyBorder="1" applyAlignment="1">
      <alignment horizontal="left" wrapText="1"/>
    </xf>
    <xf numFmtId="0" fontId="30" fillId="0" borderId="1" xfId="0" applyFont="1" applyFill="1" applyBorder="1" applyAlignment="1">
      <alignment wrapText="1"/>
    </xf>
    <xf numFmtId="165" fontId="30" fillId="0" borderId="1" xfId="0" applyNumberFormat="1" applyFont="1" applyFill="1" applyBorder="1" applyAlignment="1"/>
    <xf numFmtId="0" fontId="0" fillId="0" borderId="1" xfId="0" applyFill="1" applyBorder="1" applyAlignment="1">
      <alignment horizontal="center" wrapText="1"/>
    </xf>
    <xf numFmtId="165" fontId="30" fillId="0" borderId="1" xfId="0" applyNumberFormat="1" applyFont="1" applyFill="1" applyBorder="1" applyAlignment="1">
      <alignment horizontal="right"/>
    </xf>
    <xf numFmtId="0" fontId="30" fillId="0" borderId="1" xfId="0" applyFont="1" applyFill="1" applyBorder="1" applyAlignment="1">
      <alignment horizontal="left"/>
    </xf>
    <xf numFmtId="0" fontId="30" fillId="0" borderId="1" xfId="0" applyFont="1" applyFill="1" applyBorder="1" applyAlignment="1">
      <alignment horizontal="center"/>
    </xf>
    <xf numFmtId="0" fontId="31" fillId="0" borderId="1" xfId="0" applyFont="1" applyFill="1" applyBorder="1" applyAlignment="1"/>
    <xf numFmtId="0" fontId="30" fillId="0" borderId="0" xfId="0" applyFont="1" applyFill="1" applyAlignment="1">
      <alignment vertical="center"/>
    </xf>
    <xf numFmtId="165" fontId="27" fillId="0" borderId="1" xfId="0" applyNumberFormat="1" applyFont="1" applyFill="1" applyBorder="1" applyAlignment="1">
      <alignment horizontal="right" wrapText="1"/>
    </xf>
    <xf numFmtId="0" fontId="27" fillId="0" borderId="3" xfId="0" applyFont="1" applyFill="1" applyBorder="1" applyAlignment="1">
      <alignment wrapText="1"/>
    </xf>
    <xf numFmtId="0" fontId="1" fillId="0" borderId="23" xfId="0" applyFont="1" applyFill="1" applyBorder="1"/>
    <xf numFmtId="0" fontId="1" fillId="0" borderId="24" xfId="0" applyFont="1" applyFill="1" applyBorder="1"/>
    <xf numFmtId="0" fontId="1" fillId="0" borderId="25" xfId="0" applyFont="1" applyFill="1" applyBorder="1"/>
    <xf numFmtId="0" fontId="1" fillId="0" borderId="3" xfId="0" applyFont="1" applyFill="1" applyBorder="1" applyAlignment="1">
      <alignment wrapText="1"/>
    </xf>
    <xf numFmtId="0" fontId="1" fillId="0" borderId="26" xfId="0" applyFont="1" applyFill="1" applyBorder="1"/>
    <xf numFmtId="165" fontId="1" fillId="0" borderId="24" xfId="0" applyNumberFormat="1" applyFont="1" applyFill="1" applyBorder="1"/>
    <xf numFmtId="0" fontId="1" fillId="0" borderId="24" xfId="0" applyFont="1" applyFill="1" applyBorder="1" applyAlignment="1">
      <alignment horizontal="center"/>
    </xf>
    <xf numFmtId="0" fontId="1" fillId="0" borderId="0" xfId="0" applyFont="1" applyBorder="1" applyAlignment="1">
      <alignment wrapText="1"/>
    </xf>
    <xf numFmtId="165" fontId="22" fillId="0" borderId="1" xfId="0" applyNumberFormat="1" applyFont="1" applyFill="1" applyBorder="1" applyAlignment="1">
      <alignment horizontal="right"/>
    </xf>
    <xf numFmtId="0" fontId="1" fillId="0" borderId="27" xfId="0" applyFont="1" applyFill="1" applyBorder="1" applyAlignment="1">
      <alignment wrapText="1"/>
    </xf>
    <xf numFmtId="0" fontId="14" fillId="0" borderId="27" xfId="0" applyFont="1" applyFill="1" applyBorder="1" applyAlignment="1">
      <alignment wrapText="1"/>
    </xf>
    <xf numFmtId="0" fontId="14" fillId="0" borderId="6" xfId="0" applyFont="1" applyFill="1" applyBorder="1" applyAlignment="1">
      <alignment wrapText="1"/>
    </xf>
    <xf numFmtId="165" fontId="29" fillId="0" borderId="3" xfId="0" applyNumberFormat="1" applyFont="1" applyFill="1" applyBorder="1" applyAlignment="1"/>
    <xf numFmtId="0" fontId="29" fillId="0" borderId="3" xfId="0" applyNumberFormat="1" applyFont="1" applyFill="1" applyBorder="1" applyAlignment="1">
      <alignment horizontal="center"/>
    </xf>
    <xf numFmtId="0" fontId="29" fillId="0" borderId="16" xfId="0" applyNumberFormat="1" applyFont="1" applyFill="1" applyBorder="1" applyAlignment="1">
      <alignment wrapText="1"/>
    </xf>
    <xf numFmtId="0" fontId="24" fillId="0" borderId="3" xfId="1" applyNumberFormat="1" applyFill="1" applyBorder="1" applyAlignment="1" applyProtection="1">
      <alignment wrapText="1"/>
    </xf>
    <xf numFmtId="0" fontId="0" fillId="0" borderId="5" xfId="0" applyFont="1" applyFill="1" applyBorder="1" applyAlignment="1">
      <alignment vertical="center"/>
    </xf>
    <xf numFmtId="0" fontId="22" fillId="0" borderId="1" xfId="0" applyFont="1" applyFill="1" applyBorder="1" applyAlignment="1">
      <alignment horizontal="left" wrapText="1"/>
    </xf>
    <xf numFmtId="0" fontId="22" fillId="0" borderId="1" xfId="0" applyFont="1" applyFill="1" applyBorder="1" applyAlignment="1">
      <alignment horizontal="left"/>
    </xf>
    <xf numFmtId="165" fontId="22" fillId="0" borderId="1" xfId="0" applyNumberFormat="1" applyFont="1" applyFill="1" applyBorder="1" applyAlignment="1"/>
    <xf numFmtId="165" fontId="22" fillId="0" borderId="1" xfId="0" applyNumberFormat="1" applyFont="1" applyFill="1" applyBorder="1" applyAlignment="1">
      <alignment vertical="center"/>
    </xf>
    <xf numFmtId="0" fontId="22" fillId="0" borderId="1" xfId="0" applyFont="1" applyFill="1" applyBorder="1" applyAlignment="1">
      <alignment horizontal="center" vertical="center" wrapText="1"/>
    </xf>
    <xf numFmtId="0" fontId="32" fillId="0" borderId="1" xfId="0" applyFont="1" applyFill="1" applyBorder="1" applyAlignment="1"/>
    <xf numFmtId="0" fontId="22" fillId="0" borderId="22" xfId="0" applyFont="1" applyFill="1" applyBorder="1" applyAlignment="1">
      <alignment vertical="center"/>
    </xf>
    <xf numFmtId="0" fontId="22" fillId="0" borderId="0" xfId="0" applyFont="1" applyFill="1" applyAlignment="1">
      <alignment vertical="center"/>
    </xf>
    <xf numFmtId="0" fontId="22" fillId="0" borderId="0" xfId="0" applyFont="1" applyFill="1" applyAlignment="1">
      <alignment wrapText="1"/>
    </xf>
    <xf numFmtId="0" fontId="27" fillId="0" borderId="1" xfId="0" applyFont="1" applyFill="1" applyBorder="1" applyAlignment="1">
      <alignment horizontal="left"/>
    </xf>
    <xf numFmtId="0" fontId="27" fillId="0" borderId="1" xfId="0" applyFont="1" applyFill="1" applyBorder="1" applyAlignment="1">
      <alignment horizontal="left" wrapText="1"/>
    </xf>
    <xf numFmtId="0" fontId="27" fillId="0" borderId="1" xfId="0" applyFont="1" applyBorder="1" applyAlignment="1">
      <alignment horizontal="left"/>
    </xf>
    <xf numFmtId="0" fontId="1" fillId="0" borderId="7" xfId="0" applyFont="1" applyFill="1" applyBorder="1" applyAlignment="1">
      <alignment horizontal="left"/>
    </xf>
    <xf numFmtId="0" fontId="24" fillId="0" borderId="1" xfId="1" applyBorder="1" applyAlignment="1" applyProtection="1">
      <alignment wrapText="1"/>
    </xf>
    <xf numFmtId="0" fontId="0" fillId="0" borderId="0" xfId="0" applyAlignment="1">
      <alignment wrapText="1"/>
    </xf>
    <xf numFmtId="165" fontId="23" fillId="0" borderId="1" xfId="0" applyNumberFormat="1" applyFont="1" applyFill="1" applyBorder="1"/>
    <xf numFmtId="0" fontId="23" fillId="0" borderId="1" xfId="0" applyFont="1" applyFill="1" applyBorder="1"/>
    <xf numFmtId="0" fontId="23" fillId="0" borderId="1" xfId="0" applyFont="1" applyFill="1" applyBorder="1" applyAlignment="1">
      <alignment horizontal="center"/>
    </xf>
    <xf numFmtId="0" fontId="24" fillId="0" borderId="1" xfId="1" applyFill="1" applyBorder="1" applyAlignment="1" applyProtection="1">
      <alignment wrapText="1"/>
    </xf>
    <xf numFmtId="0" fontId="21" fillId="3" borderId="28" xfId="0" applyFont="1" applyFill="1" applyBorder="1" applyAlignment="1">
      <alignment horizontal="center" vertical="center" textRotation="90" wrapText="1"/>
    </xf>
    <xf numFmtId="0" fontId="23" fillId="0" borderId="4" xfId="0" applyFont="1" applyFill="1" applyBorder="1" applyAlignment="1">
      <alignment wrapText="1"/>
    </xf>
    <xf numFmtId="165" fontId="23" fillId="0" borderId="4" xfId="0" applyNumberFormat="1" applyFont="1" applyFill="1" applyBorder="1"/>
    <xf numFmtId="0" fontId="22" fillId="0" borderId="1" xfId="0" applyFont="1" applyBorder="1"/>
    <xf numFmtId="165" fontId="22" fillId="0" borderId="1" xfId="0" applyNumberFormat="1" applyFont="1" applyBorder="1"/>
    <xf numFmtId="165" fontId="22" fillId="0" borderId="1" xfId="0" applyNumberFormat="1" applyFont="1" applyBorder="1" applyAlignment="1">
      <alignment horizontal="right"/>
    </xf>
    <xf numFmtId="0" fontId="22" fillId="0" borderId="29" xfId="0" applyFont="1" applyFill="1" applyBorder="1" applyAlignment="1">
      <alignment wrapText="1"/>
    </xf>
    <xf numFmtId="0" fontId="22" fillId="0" borderId="1" xfId="0" applyFont="1" applyBorder="1" applyAlignment="1">
      <alignment horizontal="right" wrapText="1"/>
    </xf>
    <xf numFmtId="0" fontId="22" fillId="0" borderId="1" xfId="0" applyFont="1" applyBorder="1" applyAlignment="1">
      <alignment horizontal="center"/>
    </xf>
    <xf numFmtId="0" fontId="32" fillId="0" borderId="1" xfId="0" applyFont="1" applyBorder="1" applyAlignment="1">
      <alignment wrapText="1"/>
    </xf>
    <xf numFmtId="0" fontId="1" fillId="0" borderId="7" xfId="0" applyFont="1" applyBorder="1" applyAlignment="1">
      <alignment wrapText="1"/>
    </xf>
    <xf numFmtId="0" fontId="1" fillId="0" borderId="7" xfId="0" applyFont="1" applyBorder="1"/>
    <xf numFmtId="165" fontId="1" fillId="0" borderId="7" xfId="0" applyNumberFormat="1" applyFont="1" applyBorder="1"/>
    <xf numFmtId="0" fontId="1" fillId="0" borderId="7" xfId="0" applyFont="1" applyBorder="1" applyAlignment="1">
      <alignment horizontal="center"/>
    </xf>
    <xf numFmtId="0" fontId="14" fillId="0" borderId="7" xfId="0" applyFont="1" applyBorder="1" applyAlignment="1">
      <alignment wrapText="1"/>
    </xf>
    <xf numFmtId="0" fontId="1" fillId="0" borderId="30" xfId="0" applyFont="1" applyBorder="1" applyAlignment="1">
      <alignment wrapText="1"/>
    </xf>
    <xf numFmtId="0" fontId="22" fillId="0" borderId="0" xfId="0" applyFont="1" applyFill="1" applyBorder="1" applyAlignment="1">
      <alignment vertical="center"/>
    </xf>
    <xf numFmtId="8" fontId="23" fillId="0" borderId="4" xfId="0" applyNumberFormat="1" applyFont="1" applyBorder="1"/>
    <xf numFmtId="8" fontId="23" fillId="0" borderId="1" xfId="0" applyNumberFormat="1" applyFont="1" applyBorder="1"/>
    <xf numFmtId="0" fontId="24" fillId="0" borderId="4" xfId="1" applyFont="1" applyBorder="1" applyAlignment="1" applyProtection="1">
      <alignment wrapText="1"/>
    </xf>
    <xf numFmtId="0" fontId="22" fillId="0" borderId="4" xfId="0" applyFont="1" applyFill="1" applyBorder="1" applyAlignment="1">
      <alignment wrapText="1"/>
    </xf>
    <xf numFmtId="0" fontId="0" fillId="0" borderId="4" xfId="0" applyBorder="1"/>
    <xf numFmtId="0" fontId="24" fillId="0" borderId="1" xfId="1" applyFont="1" applyBorder="1" applyAlignment="1" applyProtection="1">
      <alignment wrapText="1"/>
    </xf>
    <xf numFmtId="0" fontId="0" fillId="0" borderId="1" xfId="0" applyBorder="1"/>
    <xf numFmtId="0" fontId="1" fillId="0" borderId="23" xfId="0" applyFont="1" applyBorder="1" applyAlignment="1">
      <alignment wrapText="1"/>
    </xf>
    <xf numFmtId="0" fontId="1" fillId="0" borderId="23" xfId="0" applyFont="1" applyBorder="1"/>
    <xf numFmtId="0" fontId="22" fillId="0" borderId="0" xfId="0" applyFont="1" applyFill="1" applyBorder="1" applyAlignment="1">
      <alignment wrapText="1"/>
    </xf>
    <xf numFmtId="0" fontId="22" fillId="0" borderId="18" xfId="0" applyFont="1" applyFill="1" applyBorder="1" applyAlignment="1">
      <alignment wrapText="1"/>
    </xf>
    <xf numFmtId="0" fontId="0" fillId="0" borderId="18" xfId="0" applyFill="1" applyBorder="1" applyAlignment="1">
      <alignment wrapText="1"/>
    </xf>
    <xf numFmtId="166" fontId="22" fillId="0" borderId="0" xfId="0" applyNumberFormat="1" applyFont="1" applyFill="1" applyBorder="1" applyAlignment="1">
      <alignment wrapText="1"/>
    </xf>
    <xf numFmtId="14" fontId="0" fillId="0" borderId="0" xfId="0" applyNumberFormat="1" applyFill="1" applyBorder="1" applyAlignment="1">
      <alignment wrapText="1"/>
    </xf>
    <xf numFmtId="0" fontId="1" fillId="0" borderId="1" xfId="0" applyFont="1" applyFill="1" applyBorder="1" applyAlignment="1">
      <alignment vertical="center" wrapText="1"/>
    </xf>
    <xf numFmtId="17" fontId="0" fillId="0" borderId="0" xfId="0" applyNumberFormat="1" applyFill="1" applyBorder="1" applyAlignment="1">
      <alignment wrapText="1"/>
    </xf>
    <xf numFmtId="22" fontId="0" fillId="0" borderId="0" xfId="0" applyNumberFormat="1" applyFill="1" applyBorder="1" applyAlignment="1">
      <alignment wrapText="1"/>
    </xf>
    <xf numFmtId="164" fontId="1" fillId="0" borderId="1" xfId="0" applyNumberFormat="1" applyFont="1" applyFill="1" applyBorder="1" applyAlignment="1">
      <alignment wrapText="1"/>
    </xf>
    <xf numFmtId="165" fontId="22" fillId="0" borderId="1" xfId="0" applyNumberFormat="1" applyFont="1" applyFill="1" applyBorder="1" applyAlignment="1">
      <alignment horizontal="right" wrapText="1"/>
    </xf>
    <xf numFmtId="165" fontId="1" fillId="0" borderId="16" xfId="0" applyNumberFormat="1" applyFont="1" applyFill="1" applyBorder="1" applyAlignment="1">
      <alignment wrapText="1"/>
    </xf>
    <xf numFmtId="165" fontId="1" fillId="0" borderId="33" xfId="0" applyNumberFormat="1" applyFont="1" applyFill="1" applyBorder="1" applyAlignment="1">
      <alignment wrapText="1"/>
    </xf>
    <xf numFmtId="0" fontId="1" fillId="0" borderId="33" xfId="0" applyFont="1" applyFill="1" applyBorder="1" applyAlignment="1">
      <alignment wrapText="1"/>
    </xf>
    <xf numFmtId="0" fontId="1" fillId="0" borderId="34" xfId="0" applyFont="1" applyFill="1" applyBorder="1" applyAlignment="1">
      <alignment wrapText="1"/>
    </xf>
    <xf numFmtId="0" fontId="1" fillId="0" borderId="16" xfId="0" applyFont="1" applyFill="1" applyBorder="1" applyAlignment="1">
      <alignment wrapText="1"/>
    </xf>
    <xf numFmtId="0" fontId="1" fillId="0" borderId="32" xfId="0" applyFont="1" applyFill="1" applyBorder="1" applyAlignment="1">
      <alignment wrapText="1"/>
    </xf>
    <xf numFmtId="165" fontId="1" fillId="0" borderId="22" xfId="0" applyNumberFormat="1" applyFont="1" applyFill="1" applyBorder="1" applyAlignment="1">
      <alignment wrapText="1"/>
    </xf>
    <xf numFmtId="165" fontId="1" fillId="0" borderId="0" xfId="0" applyNumberFormat="1" applyFont="1" applyFill="1" applyAlignment="1">
      <alignment wrapText="1"/>
    </xf>
    <xf numFmtId="0" fontId="1" fillId="0" borderId="31" xfId="0" applyFont="1" applyFill="1" applyBorder="1" applyAlignment="1">
      <alignment wrapText="1"/>
    </xf>
    <xf numFmtId="0" fontId="1" fillId="0" borderId="16" xfId="0" applyFont="1" applyFill="1" applyBorder="1"/>
    <xf numFmtId="0" fontId="1" fillId="0" borderId="22" xfId="0" applyFont="1" applyFill="1" applyBorder="1"/>
    <xf numFmtId="0" fontId="1" fillId="0" borderId="29" xfId="0" applyFont="1" applyFill="1" applyBorder="1" applyAlignment="1">
      <alignment wrapText="1"/>
    </xf>
    <xf numFmtId="165" fontId="1" fillId="0" borderId="29" xfId="0" applyNumberFormat="1" applyFont="1" applyFill="1" applyBorder="1" applyAlignment="1">
      <alignment horizontal="right" wrapText="1"/>
    </xf>
    <xf numFmtId="0" fontId="1" fillId="0" borderId="29" xfId="0" applyFont="1" applyFill="1" applyBorder="1" applyAlignment="1">
      <alignment horizontal="center" wrapText="1"/>
    </xf>
    <xf numFmtId="0" fontId="1" fillId="0" borderId="35" xfId="0" applyFont="1" applyFill="1" applyBorder="1" applyAlignment="1">
      <alignment wrapText="1"/>
    </xf>
    <xf numFmtId="0" fontId="1" fillId="0" borderId="18" xfId="0" applyFont="1" applyFill="1" applyBorder="1" applyAlignment="1">
      <alignment wrapText="1"/>
    </xf>
    <xf numFmtId="164" fontId="1" fillId="0" borderId="0" xfId="0" applyNumberFormat="1" applyFont="1" applyFill="1" applyBorder="1" applyAlignment="1">
      <alignment wrapText="1"/>
    </xf>
    <xf numFmtId="165" fontId="1" fillId="5" borderId="7" xfId="0" applyNumberFormat="1" applyFont="1" applyFill="1" applyBorder="1" applyAlignment="1">
      <alignment wrapText="1"/>
    </xf>
    <xf numFmtId="165" fontId="1" fillId="0" borderId="7" xfId="0" applyNumberFormat="1" applyFont="1" applyFill="1" applyBorder="1" applyAlignment="1">
      <alignment wrapText="1"/>
    </xf>
    <xf numFmtId="0" fontId="1" fillId="0" borderId="7" xfId="0" applyFont="1" applyFill="1" applyBorder="1" applyAlignment="1">
      <alignment horizontal="center" wrapText="1"/>
    </xf>
    <xf numFmtId="0" fontId="1" fillId="0" borderId="30" xfId="0" applyFont="1" applyFill="1" applyBorder="1" applyAlignment="1">
      <alignment wrapText="1"/>
    </xf>
    <xf numFmtId="0" fontId="0" fillId="0" borderId="30" xfId="0" applyFill="1" applyBorder="1" applyAlignment="1">
      <alignment wrapText="1"/>
    </xf>
    <xf numFmtId="0" fontId="0" fillId="0" borderId="37" xfId="0" applyFill="1" applyBorder="1" applyAlignment="1">
      <alignment wrapText="1"/>
    </xf>
    <xf numFmtId="0" fontId="0" fillId="0" borderId="36" xfId="0" applyFill="1" applyBorder="1" applyAlignment="1">
      <alignment wrapText="1"/>
    </xf>
    <xf numFmtId="0" fontId="0" fillId="0" borderId="7" xfId="0" applyFill="1" applyBorder="1" applyAlignment="1">
      <alignment wrapText="1"/>
    </xf>
    <xf numFmtId="165" fontId="0" fillId="0" borderId="7" xfId="0" applyNumberFormat="1" applyFill="1" applyBorder="1" applyAlignment="1">
      <alignment wrapText="1"/>
    </xf>
    <xf numFmtId="10" fontId="1" fillId="0" borderId="7" xfId="0" applyNumberFormat="1" applyFont="1" applyFill="1" applyBorder="1" applyAlignment="1">
      <alignment wrapText="1"/>
    </xf>
    <xf numFmtId="165" fontId="1" fillId="0" borderId="0" xfId="0" applyNumberFormat="1" applyFont="1" applyFill="1" applyAlignment="1">
      <alignment horizontal="right" wrapText="1"/>
    </xf>
    <xf numFmtId="0" fontId="1" fillId="0" borderId="2" xfId="0" applyFont="1" applyFill="1" applyBorder="1" applyAlignment="1">
      <alignment wrapText="1"/>
    </xf>
    <xf numFmtId="165" fontId="1" fillId="0" borderId="2" xfId="0" applyNumberFormat="1" applyFont="1" applyFill="1" applyBorder="1" applyAlignment="1">
      <alignment horizontal="right" wrapText="1"/>
    </xf>
    <xf numFmtId="164" fontId="0" fillId="0" borderId="0" xfId="0" applyNumberFormat="1" applyFill="1" applyBorder="1" applyAlignment="1">
      <alignment wrapText="1"/>
    </xf>
    <xf numFmtId="0" fontId="1" fillId="0" borderId="37" xfId="0" applyFont="1" applyFill="1" applyBorder="1" applyAlignment="1">
      <alignment wrapText="1"/>
    </xf>
    <xf numFmtId="0" fontId="1" fillId="0" borderId="1" xfId="0" applyFont="1" applyFill="1" applyBorder="1" applyAlignment="1">
      <alignment vertical="top" wrapText="1"/>
    </xf>
    <xf numFmtId="165" fontId="1" fillId="0" borderId="6" xfId="0" applyNumberFormat="1" applyFont="1" applyFill="1" applyBorder="1" applyAlignment="1">
      <alignment horizontal="right" wrapText="1"/>
    </xf>
    <xf numFmtId="0" fontId="0" fillId="0" borderId="32" xfId="0" applyFill="1" applyBorder="1" applyAlignment="1">
      <alignment wrapText="1"/>
    </xf>
    <xf numFmtId="0" fontId="22" fillId="0" borderId="32" xfId="0" applyFont="1" applyFill="1" applyBorder="1" applyAlignment="1">
      <alignment wrapText="1"/>
    </xf>
    <xf numFmtId="0" fontId="22" fillId="0" borderId="35" xfId="0" applyFont="1" applyFill="1" applyBorder="1" applyAlignment="1">
      <alignment wrapText="1"/>
    </xf>
    <xf numFmtId="0" fontId="22" fillId="0" borderId="38" xfId="0" applyFont="1" applyFill="1" applyBorder="1" applyAlignment="1">
      <alignment wrapText="1"/>
    </xf>
    <xf numFmtId="0" fontId="22" fillId="0" borderId="39" xfId="0" applyFont="1" applyFill="1" applyBorder="1" applyAlignment="1">
      <alignment wrapText="1"/>
    </xf>
    <xf numFmtId="165" fontId="22" fillId="0" borderId="29" xfId="0" applyNumberFormat="1" applyFont="1" applyFill="1" applyBorder="1" applyAlignment="1">
      <alignment horizontal="right" wrapText="1"/>
    </xf>
    <xf numFmtId="0" fontId="22" fillId="0" borderId="29" xfId="0" applyFont="1" applyFill="1" applyBorder="1" applyAlignment="1">
      <alignment horizontal="center" wrapText="1"/>
    </xf>
    <xf numFmtId="0" fontId="32" fillId="0" borderId="29" xfId="0" applyFont="1" applyFill="1" applyBorder="1" applyAlignment="1">
      <alignment wrapText="1"/>
    </xf>
    <xf numFmtId="0" fontId="22" fillId="0" borderId="1" xfId="0" applyFont="1" applyFill="1" applyBorder="1" applyAlignment="1">
      <alignment horizontal="center" wrapText="1"/>
    </xf>
    <xf numFmtId="0" fontId="32" fillId="0" borderId="1" xfId="0" applyFont="1" applyFill="1" applyBorder="1" applyAlignment="1">
      <alignment wrapText="1"/>
    </xf>
    <xf numFmtId="0" fontId="22" fillId="0" borderId="20" xfId="0" applyFont="1" applyFill="1" applyBorder="1" applyAlignment="1">
      <alignment wrapText="1"/>
    </xf>
    <xf numFmtId="0" fontId="32" fillId="0" borderId="1" xfId="1" applyFont="1" applyFill="1" applyBorder="1" applyAlignment="1" applyProtection="1">
      <alignment wrapText="1"/>
    </xf>
    <xf numFmtId="0" fontId="10" fillId="0" borderId="0" xfId="0" applyFont="1" applyAlignment="1">
      <alignment horizontal="center" vertical="center"/>
    </xf>
    <xf numFmtId="0" fontId="24" fillId="0" borderId="1" xfId="1" applyNumberFormat="1" applyFont="1" applyFill="1" applyBorder="1" applyAlignment="1" applyProtection="1">
      <alignment wrapText="1"/>
    </xf>
    <xf numFmtId="0" fontId="24" fillId="0" borderId="1" xfId="1" applyFont="1" applyFill="1" applyBorder="1" applyAlignment="1" applyProtection="1">
      <alignment wrapText="1"/>
    </xf>
    <xf numFmtId="0" fontId="24" fillId="0" borderId="3" xfId="1" applyNumberFormat="1" applyFont="1" applyFill="1" applyBorder="1" applyAlignment="1" applyProtection="1">
      <alignment wrapText="1"/>
    </xf>
    <xf numFmtId="0" fontId="22" fillId="0" borderId="1" xfId="0" applyFont="1" applyBorder="1" applyAlignment="1">
      <alignment horizontal="left"/>
    </xf>
    <xf numFmtId="44" fontId="22" fillId="0" borderId="1" xfId="3" applyFont="1" applyFill="1" applyBorder="1" applyAlignment="1">
      <alignment wrapText="1"/>
    </xf>
    <xf numFmtId="1" fontId="22" fillId="0" borderId="1" xfId="2" applyNumberFormat="1" applyFont="1" applyBorder="1" applyAlignment="1">
      <alignment horizontal="center"/>
    </xf>
    <xf numFmtId="0" fontId="23" fillId="0" borderId="4" xfId="0" applyFont="1" applyFill="1" applyBorder="1"/>
    <xf numFmtId="0" fontId="23" fillId="0" borderId="4" xfId="0" applyFont="1" applyFill="1" applyBorder="1" applyAlignment="1">
      <alignment horizontal="right" wrapText="1"/>
    </xf>
    <xf numFmtId="165" fontId="23" fillId="0" borderId="4" xfId="0" applyNumberFormat="1" applyFont="1" applyFill="1" applyBorder="1" applyAlignment="1">
      <alignment horizontal="right"/>
    </xf>
    <xf numFmtId="0" fontId="23" fillId="0" borderId="4" xfId="0" applyFont="1" applyFill="1" applyBorder="1" applyAlignment="1">
      <alignment horizontal="center"/>
    </xf>
    <xf numFmtId="0" fontId="23" fillId="0" borderId="1" xfId="0" applyFont="1" applyFill="1" applyBorder="1" applyAlignment="1">
      <alignment horizontal="right" wrapText="1"/>
    </xf>
    <xf numFmtId="0" fontId="26" fillId="0" borderId="0" xfId="1" applyFont="1" applyFill="1" applyBorder="1" applyAlignment="1" applyProtection="1">
      <alignment wrapText="1"/>
    </xf>
    <xf numFmtId="0" fontId="5" fillId="0" borderId="0" xfId="0" applyFont="1" applyAlignment="1">
      <alignment horizontal="left" wrapText="1"/>
    </xf>
    <xf numFmtId="0" fontId="0" fillId="0" borderId="0" xfId="0" applyAlignment="1">
      <alignment wrapText="1"/>
    </xf>
    <xf numFmtId="0" fontId="0" fillId="0" borderId="29" xfId="0" applyFill="1" applyBorder="1" applyAlignment="1">
      <alignment wrapText="1"/>
    </xf>
    <xf numFmtId="8" fontId="1" fillId="0" borderId="1" xfId="0" applyNumberFormat="1" applyFont="1" applyFill="1" applyBorder="1" applyAlignment="1">
      <alignment wrapText="1"/>
    </xf>
    <xf numFmtId="4" fontId="1" fillId="0" borderId="1" xfId="0" applyNumberFormat="1" applyFont="1" applyFill="1" applyBorder="1" applyAlignment="1">
      <alignment wrapText="1"/>
    </xf>
  </cellXfs>
  <cellStyles count="4">
    <cellStyle name="Comma" xfId="2" builtinId="3"/>
    <cellStyle name="Currency" xfId="3" builtinId="4"/>
    <cellStyle name="Hyperlink" xfId="1" builtinId="8"/>
    <cellStyle name="Normal" xfId="0" builtinId="0"/>
  </cellStyles>
  <dxfs count="0"/>
  <tableStyles count="0" defaultTableStyle="TableStyleMedium9" defaultPivotStyle="PivotStyleLight16"/>
  <colors>
    <mruColors>
      <color rgb="FFCCFF99"/>
      <color rgb="FF99FF99"/>
      <color rgb="FFFFFF99"/>
    </mru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ydiaydomenech\Downloads\PBS%20R5%202013%20Forecast%20Submital%20Jan1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ydiaydomenech\Downloads\fy2013%20pbs%20forecast%20worksheet-2nd%20qtr%20master%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lydiaydomenech\Downloads\FY2013%20PBS%20Forecast,%20R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yolandagjohnson\My%20Documents\Downloads\FY%202012-2013%20forecast%20spreadsheet%20-%20MV%20-%2010-24-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S%20National%20Office%20-%20fy2012-2013%20forecast%20spreadshee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5"/>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BS Region 4"/>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GSA Forecast"/>
      <sheetName val="Forecast LEGEND"/>
    </sheetNames>
    <sheetDataSet>
      <sheetData sheetId="0"/>
      <sheetData sheetId="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GSA Forecast"/>
      <sheetName val="Forecast LEGEND"/>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susan.protho@gsa.gov" TargetMode="External"/><Relationship Id="rId18" Type="http://schemas.openxmlformats.org/officeDocument/2006/relationships/hyperlink" Target="mailto:sue.saucier@gsa.gov" TargetMode="External"/><Relationship Id="rId26" Type="http://schemas.openxmlformats.org/officeDocument/2006/relationships/hyperlink" Target="mailto:judy.tomlinson@gsa.gov" TargetMode="External"/><Relationship Id="rId39" Type="http://schemas.openxmlformats.org/officeDocument/2006/relationships/hyperlink" Target="mailto:jerry.shead@gsa.gov" TargetMode="External"/><Relationship Id="rId3" Type="http://schemas.openxmlformats.org/officeDocument/2006/relationships/hyperlink" Target="mailto:jill.denning@gsa.gov" TargetMode="External"/><Relationship Id="rId21" Type="http://schemas.openxmlformats.org/officeDocument/2006/relationships/hyperlink" Target="mailto:Chad.Obrien@gsa.gov" TargetMode="External"/><Relationship Id="rId34" Type="http://schemas.openxmlformats.org/officeDocument/2006/relationships/hyperlink" Target="mailto:carol.clark@gsa.gov" TargetMode="External"/><Relationship Id="rId42" Type="http://schemas.openxmlformats.org/officeDocument/2006/relationships/hyperlink" Target="mailto:chris.matthews@gsa.gov" TargetMode="External"/><Relationship Id="rId47" Type="http://schemas.openxmlformats.org/officeDocument/2006/relationships/hyperlink" Target="mailto:Reggie.Gavett@gsa.gov" TargetMode="External"/><Relationship Id="rId7" Type="http://schemas.openxmlformats.org/officeDocument/2006/relationships/hyperlink" Target="mailto:susie.kampans@gsa.gov" TargetMode="External"/><Relationship Id="rId12" Type="http://schemas.openxmlformats.org/officeDocument/2006/relationships/hyperlink" Target="mailto:mire.whittenburg@gsa.gov" TargetMode="External"/><Relationship Id="rId17" Type="http://schemas.openxmlformats.org/officeDocument/2006/relationships/hyperlink" Target="mailto:sue.saucier@gsa.gov" TargetMode="External"/><Relationship Id="rId25" Type="http://schemas.openxmlformats.org/officeDocument/2006/relationships/hyperlink" Target="mailto:jeanne.cassidy@gsa.gov" TargetMode="External"/><Relationship Id="rId33" Type="http://schemas.openxmlformats.org/officeDocument/2006/relationships/hyperlink" Target="mailto:carol.clark@gsa.gov" TargetMode="External"/><Relationship Id="rId38" Type="http://schemas.openxmlformats.org/officeDocument/2006/relationships/hyperlink" Target="mailto:jerry.shead@gsa.gov" TargetMode="External"/><Relationship Id="rId46" Type="http://schemas.openxmlformats.org/officeDocument/2006/relationships/hyperlink" Target="mailto:marie.johnston@gsa.gov" TargetMode="External"/><Relationship Id="rId2" Type="http://schemas.openxmlformats.org/officeDocument/2006/relationships/hyperlink" Target="mailto:brenda.cockrell@gsa.gov" TargetMode="External"/><Relationship Id="rId16" Type="http://schemas.openxmlformats.org/officeDocument/2006/relationships/hyperlink" Target="mailto:celeste.dow@gsa.gov" TargetMode="External"/><Relationship Id="rId20" Type="http://schemas.openxmlformats.org/officeDocument/2006/relationships/hyperlink" Target="mailto:Chad.Obrien@gsa.gov" TargetMode="External"/><Relationship Id="rId29" Type="http://schemas.openxmlformats.org/officeDocument/2006/relationships/hyperlink" Target="mailto:carol.clark@gsa.gov" TargetMode="External"/><Relationship Id="rId41" Type="http://schemas.openxmlformats.org/officeDocument/2006/relationships/hyperlink" Target="mailto:chris.matthews@gsa.gov" TargetMode="External"/><Relationship Id="rId1" Type="http://schemas.openxmlformats.org/officeDocument/2006/relationships/hyperlink" Target="mailto:lydia.dawson@gsa.gov" TargetMode="External"/><Relationship Id="rId6" Type="http://schemas.openxmlformats.org/officeDocument/2006/relationships/hyperlink" Target="mailto:susie.kampans@gsa.gov" TargetMode="External"/><Relationship Id="rId11" Type="http://schemas.openxmlformats.org/officeDocument/2006/relationships/hyperlink" Target="mailto:laura.magee@gsa.gov" TargetMode="External"/><Relationship Id="rId24" Type="http://schemas.openxmlformats.org/officeDocument/2006/relationships/hyperlink" Target="mailto:sue.saucier@gsa.gov" TargetMode="External"/><Relationship Id="rId32" Type="http://schemas.openxmlformats.org/officeDocument/2006/relationships/hyperlink" Target="mailto:carol.clark@gsa.gov" TargetMode="External"/><Relationship Id="rId37" Type="http://schemas.openxmlformats.org/officeDocument/2006/relationships/hyperlink" Target="mailto:jerry.shead@gsa.gov" TargetMode="External"/><Relationship Id="rId40" Type="http://schemas.openxmlformats.org/officeDocument/2006/relationships/hyperlink" Target="mailto:chris.matthews@gsa.gov" TargetMode="External"/><Relationship Id="rId45" Type="http://schemas.openxmlformats.org/officeDocument/2006/relationships/hyperlink" Target="mailto:marie.johnston@gsa.gov" TargetMode="External"/><Relationship Id="rId5" Type="http://schemas.openxmlformats.org/officeDocument/2006/relationships/hyperlink" Target="mailto:hdarnell.moore@gsa.gov" TargetMode="External"/><Relationship Id="rId15" Type="http://schemas.openxmlformats.org/officeDocument/2006/relationships/hyperlink" Target="mailto:jill.long@gsa.gov" TargetMode="External"/><Relationship Id="rId23" Type="http://schemas.openxmlformats.org/officeDocument/2006/relationships/hyperlink" Target="mailto:keith.goodsell@gsa.gov" TargetMode="External"/><Relationship Id="rId28" Type="http://schemas.openxmlformats.org/officeDocument/2006/relationships/hyperlink" Target="mailto:sue.saucier@gsa.gov" TargetMode="External"/><Relationship Id="rId36" Type="http://schemas.openxmlformats.org/officeDocument/2006/relationships/hyperlink" Target="mailto:shellie.heislen@gsa.gov" TargetMode="External"/><Relationship Id="rId49" Type="http://schemas.openxmlformats.org/officeDocument/2006/relationships/printerSettings" Target="../printerSettings/printerSettings1.bin"/><Relationship Id="rId10" Type="http://schemas.openxmlformats.org/officeDocument/2006/relationships/hyperlink" Target="mailto:sarah.huddle@gsa.gov" TargetMode="External"/><Relationship Id="rId19" Type="http://schemas.openxmlformats.org/officeDocument/2006/relationships/hyperlink" Target="mailto:keith.goodsell@gsa.gov" TargetMode="External"/><Relationship Id="rId31" Type="http://schemas.openxmlformats.org/officeDocument/2006/relationships/hyperlink" Target="mailto:carol.clark@gsa.gov" TargetMode="External"/><Relationship Id="rId44" Type="http://schemas.openxmlformats.org/officeDocument/2006/relationships/hyperlink" Target="mailto:kimberlee.wallentine@gsa.gov" TargetMode="External"/><Relationship Id="rId4" Type="http://schemas.openxmlformats.org/officeDocument/2006/relationships/hyperlink" Target="mailto:gerard.bernard@gsa.gov" TargetMode="External"/><Relationship Id="rId9" Type="http://schemas.openxmlformats.org/officeDocument/2006/relationships/hyperlink" Target="mailto:monique.tucny@gsa.gov" TargetMode="External"/><Relationship Id="rId14" Type="http://schemas.openxmlformats.org/officeDocument/2006/relationships/hyperlink" Target="mailto:sarah.huddle@gsa.gov" TargetMode="External"/><Relationship Id="rId22" Type="http://schemas.openxmlformats.org/officeDocument/2006/relationships/hyperlink" Target="mailto:Chad.Obrien@gsa.gov" TargetMode="External"/><Relationship Id="rId27" Type="http://schemas.openxmlformats.org/officeDocument/2006/relationships/hyperlink" Target="mailto:judy.tomlinson@gsa.gov" TargetMode="External"/><Relationship Id="rId30" Type="http://schemas.openxmlformats.org/officeDocument/2006/relationships/hyperlink" Target="mailto:jerry.shead@gsa.gov" TargetMode="External"/><Relationship Id="rId35" Type="http://schemas.openxmlformats.org/officeDocument/2006/relationships/hyperlink" Target="mailto:shellie.heislen@gsa.gov" TargetMode="External"/><Relationship Id="rId43" Type="http://schemas.openxmlformats.org/officeDocument/2006/relationships/hyperlink" Target="mailto:chris.matthews@gsa.gov" TargetMode="External"/><Relationship Id="rId48" Type="http://schemas.openxmlformats.org/officeDocument/2006/relationships/hyperlink" Target="mailto:Wayne.Smedley@gsa.gov" TargetMode="External"/><Relationship Id="rId8" Type="http://schemas.openxmlformats.org/officeDocument/2006/relationships/hyperlink" Target="mailto:monique.tucny@gsa.gov" TargetMode="External"/></Relationships>
</file>

<file path=xl/worksheets/sheet1.xml><?xml version="1.0" encoding="utf-8"?>
<worksheet xmlns="http://schemas.openxmlformats.org/spreadsheetml/2006/main" xmlns:r="http://schemas.openxmlformats.org/officeDocument/2006/relationships">
  <dimension ref="A1:MCD997"/>
  <sheetViews>
    <sheetView tabSelected="1" zoomScaleNormal="100" workbookViewId="0">
      <selection sqref="A1:W1"/>
    </sheetView>
  </sheetViews>
  <sheetFormatPr defaultColWidth="9.140625" defaultRowHeight="12.75" customHeight="1"/>
  <cols>
    <col min="1" max="1" width="17.85546875" customWidth="1"/>
    <col min="2" max="2" width="19.85546875" customWidth="1"/>
    <col min="3" max="3" width="18" customWidth="1"/>
    <col min="4" max="4" width="24.42578125" customWidth="1"/>
    <col min="5" max="5" width="27.28515625" customWidth="1"/>
    <col min="6" max="6" width="20.28515625" customWidth="1"/>
    <col min="7" max="7" width="20.28515625" style="13" customWidth="1"/>
    <col min="8" max="8" width="30" customWidth="1"/>
    <col min="9" max="10" width="27.140625" customWidth="1"/>
    <col min="11" max="11" width="23.42578125" customWidth="1"/>
    <col min="12" max="12" width="27.140625" customWidth="1"/>
    <col min="13" max="13" width="23.5703125" style="13" customWidth="1"/>
    <col min="14" max="15" width="23.5703125" customWidth="1"/>
    <col min="16" max="16" width="20.85546875" customWidth="1"/>
    <col min="17" max="17" width="17.42578125" customWidth="1"/>
    <col min="18" max="19" width="14.7109375" customWidth="1"/>
    <col min="20" max="20" width="19.140625" customWidth="1"/>
    <col min="21" max="21" width="19.140625" style="13" customWidth="1"/>
    <col min="22" max="22" width="30.85546875" customWidth="1"/>
    <col min="23" max="23" width="31.42578125" customWidth="1"/>
    <col min="24" max="24" width="22.140625" customWidth="1"/>
    <col min="25" max="94" width="9.140625" style="91"/>
  </cols>
  <sheetData>
    <row r="1" spans="1:23" ht="30" customHeight="1">
      <c r="A1" s="310" t="s">
        <v>0</v>
      </c>
      <c r="B1" s="311"/>
      <c r="C1" s="311"/>
      <c r="D1" s="311"/>
      <c r="E1" s="311"/>
      <c r="F1" s="311"/>
      <c r="G1" s="311"/>
      <c r="H1" s="311"/>
      <c r="I1" s="311"/>
      <c r="J1" s="311"/>
      <c r="K1" s="311"/>
      <c r="L1" s="311"/>
      <c r="M1" s="311"/>
      <c r="N1" s="311"/>
      <c r="O1" s="311"/>
      <c r="P1" s="311"/>
      <c r="Q1" s="311"/>
      <c r="R1" s="311"/>
      <c r="S1" s="311"/>
      <c r="T1" s="311"/>
      <c r="U1" s="311"/>
      <c r="V1" s="311"/>
      <c r="W1" s="311"/>
    </row>
    <row r="2" spans="1:23" ht="12.75" hidden="1" customHeight="1">
      <c r="A2" s="9" t="s">
        <v>1</v>
      </c>
      <c r="B2" s="9" t="s">
        <v>2</v>
      </c>
      <c r="C2" s="7" t="s">
        <v>3</v>
      </c>
      <c r="E2" s="7" t="s">
        <v>4</v>
      </c>
      <c r="G2" s="15" t="s">
        <v>5</v>
      </c>
      <c r="I2" s="7" t="s">
        <v>6</v>
      </c>
      <c r="J2" s="7" t="s">
        <v>7</v>
      </c>
      <c r="K2" s="7" t="s">
        <v>8</v>
      </c>
      <c r="O2" s="11" t="s">
        <v>9</v>
      </c>
      <c r="R2" s="7" t="s">
        <v>10</v>
      </c>
      <c r="S2" s="1">
        <v>2013</v>
      </c>
      <c r="W2" s="3" t="s">
        <v>11</v>
      </c>
    </row>
    <row r="3" spans="1:23" ht="12.75" hidden="1" customHeight="1">
      <c r="A3" s="9" t="s">
        <v>12</v>
      </c>
      <c r="B3" s="9" t="s">
        <v>13</v>
      </c>
      <c r="C3" s="7" t="s">
        <v>14</v>
      </c>
      <c r="E3" s="7" t="s">
        <v>15</v>
      </c>
      <c r="G3" s="15" t="s">
        <v>16</v>
      </c>
      <c r="I3" s="7" t="s">
        <v>17</v>
      </c>
      <c r="J3" s="7" t="s">
        <v>18</v>
      </c>
      <c r="K3" s="7" t="s">
        <v>19</v>
      </c>
      <c r="O3" s="11" t="s">
        <v>20</v>
      </c>
      <c r="R3" s="7" t="s">
        <v>21</v>
      </c>
      <c r="W3" s="3" t="s">
        <v>22</v>
      </c>
    </row>
    <row r="4" spans="1:23" ht="12.75" hidden="1" customHeight="1">
      <c r="A4" s="9" t="s">
        <v>23</v>
      </c>
      <c r="B4" s="9" t="s">
        <v>24</v>
      </c>
      <c r="C4" s="11" t="s">
        <v>25</v>
      </c>
      <c r="E4" s="7" t="s">
        <v>26</v>
      </c>
      <c r="G4" s="15" t="s">
        <v>27</v>
      </c>
      <c r="I4" s="7" t="s">
        <v>28</v>
      </c>
      <c r="J4" s="7" t="s">
        <v>29</v>
      </c>
      <c r="K4" s="7" t="s">
        <v>30</v>
      </c>
      <c r="O4" s="11" t="s">
        <v>6</v>
      </c>
      <c r="R4" s="7" t="s">
        <v>31</v>
      </c>
      <c r="W4" s="3" t="s">
        <v>32</v>
      </c>
    </row>
    <row r="5" spans="1:23" ht="12.75" hidden="1" customHeight="1">
      <c r="A5" s="9" t="s">
        <v>33</v>
      </c>
      <c r="B5" s="9" t="s">
        <v>34</v>
      </c>
      <c r="C5" s="7" t="s">
        <v>35</v>
      </c>
      <c r="E5" s="7" t="s">
        <v>36</v>
      </c>
      <c r="G5" s="15" t="s">
        <v>37</v>
      </c>
      <c r="I5" s="7" t="s">
        <v>38</v>
      </c>
      <c r="J5" s="7" t="s">
        <v>39</v>
      </c>
      <c r="K5" s="7" t="s">
        <v>40</v>
      </c>
      <c r="R5" s="7" t="s">
        <v>41</v>
      </c>
      <c r="W5" s="3" t="s">
        <v>42</v>
      </c>
    </row>
    <row r="6" spans="1:23" ht="12.75" hidden="1" customHeight="1">
      <c r="A6" s="9" t="s">
        <v>43</v>
      </c>
      <c r="B6" s="9" t="s">
        <v>44</v>
      </c>
      <c r="C6" s="11" t="s">
        <v>45</v>
      </c>
      <c r="E6" s="7" t="s">
        <v>46</v>
      </c>
      <c r="G6" s="15" t="s">
        <v>47</v>
      </c>
      <c r="I6" s="7" t="s">
        <v>48</v>
      </c>
      <c r="J6" s="7" t="s">
        <v>49</v>
      </c>
      <c r="K6" s="7" t="s">
        <v>50</v>
      </c>
      <c r="R6" s="7" t="s">
        <v>6</v>
      </c>
      <c r="W6" s="3" t="s">
        <v>51</v>
      </c>
    </row>
    <row r="7" spans="1:23" ht="12.75" hidden="1" customHeight="1">
      <c r="A7" s="9" t="s">
        <v>52</v>
      </c>
      <c r="B7" s="9" t="s">
        <v>53</v>
      </c>
      <c r="E7" s="7" t="s">
        <v>54</v>
      </c>
      <c r="G7" s="15" t="s">
        <v>55</v>
      </c>
      <c r="I7" s="7" t="s">
        <v>56</v>
      </c>
      <c r="J7" s="7" t="s">
        <v>57</v>
      </c>
      <c r="K7" s="7" t="s">
        <v>58</v>
      </c>
      <c r="W7" s="3" t="s">
        <v>59</v>
      </c>
    </row>
    <row r="8" spans="1:23" ht="12.75" hidden="1" customHeight="1">
      <c r="A8" s="9" t="s">
        <v>60</v>
      </c>
      <c r="B8" s="9" t="s">
        <v>61</v>
      </c>
      <c r="E8" s="7" t="s">
        <v>62</v>
      </c>
      <c r="G8" s="15" t="s">
        <v>63</v>
      </c>
      <c r="I8" s="7" t="s">
        <v>64</v>
      </c>
      <c r="J8" s="7" t="s">
        <v>65</v>
      </c>
      <c r="K8" s="7" t="s">
        <v>29</v>
      </c>
      <c r="W8" s="3" t="s">
        <v>66</v>
      </c>
    </row>
    <row r="9" spans="1:23" ht="12.75" hidden="1" customHeight="1">
      <c r="A9" s="9" t="s">
        <v>67</v>
      </c>
      <c r="B9" s="9" t="s">
        <v>68</v>
      </c>
      <c r="E9" s="7" t="s">
        <v>69</v>
      </c>
      <c r="G9" s="15" t="s">
        <v>70</v>
      </c>
      <c r="I9" s="7" t="s">
        <v>71</v>
      </c>
      <c r="J9" s="7" t="s">
        <v>72</v>
      </c>
      <c r="K9" s="7" t="s">
        <v>73</v>
      </c>
      <c r="W9" s="3" t="s">
        <v>74</v>
      </c>
    </row>
    <row r="10" spans="1:23" ht="12.75" hidden="1" customHeight="1">
      <c r="A10" s="9" t="s">
        <v>75</v>
      </c>
      <c r="B10" s="9" t="s">
        <v>76</v>
      </c>
      <c r="E10" s="7" t="s">
        <v>77</v>
      </c>
      <c r="G10" s="15" t="s">
        <v>78</v>
      </c>
      <c r="J10" s="7" t="s">
        <v>79</v>
      </c>
      <c r="K10" s="7" t="s">
        <v>80</v>
      </c>
      <c r="W10" s="3" t="s">
        <v>81</v>
      </c>
    </row>
    <row r="11" spans="1:23" ht="12.75" hidden="1" customHeight="1">
      <c r="A11" s="9" t="s">
        <v>82</v>
      </c>
      <c r="B11" s="9" t="s">
        <v>83</v>
      </c>
      <c r="E11" s="6" t="s">
        <v>84</v>
      </c>
      <c r="G11" s="15" t="s">
        <v>85</v>
      </c>
      <c r="J11" s="7" t="s">
        <v>86</v>
      </c>
      <c r="K11" s="7" t="s">
        <v>87</v>
      </c>
      <c r="W11" s="3" t="s">
        <v>88</v>
      </c>
    </row>
    <row r="12" spans="1:23" ht="12.75" hidden="1" customHeight="1">
      <c r="A12" s="9" t="s">
        <v>89</v>
      </c>
      <c r="B12" s="9" t="s">
        <v>90</v>
      </c>
      <c r="E12" s="6" t="s">
        <v>91</v>
      </c>
      <c r="G12" s="15" t="s">
        <v>92</v>
      </c>
      <c r="J12" s="7" t="s">
        <v>93</v>
      </c>
      <c r="W12" s="3" t="s">
        <v>94</v>
      </c>
    </row>
    <row r="13" spans="1:23" ht="12.75" hidden="1" customHeight="1">
      <c r="A13" s="9" t="s">
        <v>95</v>
      </c>
      <c r="B13" s="9" t="s">
        <v>96</v>
      </c>
      <c r="E13" s="6" t="s">
        <v>97</v>
      </c>
      <c r="G13" s="15" t="s">
        <v>98</v>
      </c>
      <c r="J13" s="7" t="s">
        <v>99</v>
      </c>
      <c r="W13" s="3" t="s">
        <v>100</v>
      </c>
    </row>
    <row r="14" spans="1:23" ht="12.75" hidden="1" customHeight="1">
      <c r="A14" s="9" t="s">
        <v>101</v>
      </c>
      <c r="E14" s="6" t="s">
        <v>102</v>
      </c>
      <c r="G14" s="15" t="s">
        <v>103</v>
      </c>
      <c r="J14" s="7" t="s">
        <v>104</v>
      </c>
      <c r="W14" s="3" t="s">
        <v>105</v>
      </c>
    </row>
    <row r="15" spans="1:23" ht="12.75" hidden="1" customHeight="1">
      <c r="A15" s="9" t="s">
        <v>106</v>
      </c>
      <c r="E15" s="6" t="s">
        <v>107</v>
      </c>
      <c r="G15" s="15" t="s">
        <v>108</v>
      </c>
      <c r="J15" s="7" t="s">
        <v>109</v>
      </c>
      <c r="W15" s="3" t="s">
        <v>110</v>
      </c>
    </row>
    <row r="16" spans="1:23" ht="12.75" hidden="1" customHeight="1">
      <c r="A16" s="9" t="s">
        <v>111</v>
      </c>
      <c r="E16" s="6" t="s">
        <v>112</v>
      </c>
      <c r="G16" s="15" t="s">
        <v>113</v>
      </c>
      <c r="J16" s="7" t="s">
        <v>114</v>
      </c>
    </row>
    <row r="17" spans="1:10" ht="12.75" hidden="1" customHeight="1">
      <c r="A17" s="9" t="s">
        <v>115</v>
      </c>
      <c r="E17" s="6" t="s">
        <v>116</v>
      </c>
      <c r="G17" s="15" t="s">
        <v>117</v>
      </c>
      <c r="J17" s="7" t="s">
        <v>118</v>
      </c>
    </row>
    <row r="18" spans="1:10" ht="12.75" hidden="1" customHeight="1">
      <c r="A18" s="9" t="s">
        <v>119</v>
      </c>
      <c r="E18" s="6" t="s">
        <v>120</v>
      </c>
      <c r="G18" s="15" t="s">
        <v>121</v>
      </c>
      <c r="J18" s="7" t="s">
        <v>122</v>
      </c>
    </row>
    <row r="19" spans="1:10" ht="12.75" hidden="1" customHeight="1">
      <c r="E19" s="6" t="s">
        <v>123</v>
      </c>
      <c r="G19" s="15" t="s">
        <v>124</v>
      </c>
      <c r="J19" s="7" t="s">
        <v>125</v>
      </c>
    </row>
    <row r="20" spans="1:10" ht="12.75" hidden="1" customHeight="1">
      <c r="E20" s="6" t="s">
        <v>126</v>
      </c>
      <c r="G20" s="15" t="s">
        <v>127</v>
      </c>
      <c r="J20" s="7" t="s">
        <v>128</v>
      </c>
    </row>
    <row r="21" spans="1:10" ht="12.75" hidden="1" customHeight="1">
      <c r="E21" s="6" t="s">
        <v>129</v>
      </c>
      <c r="G21" s="15" t="s">
        <v>130</v>
      </c>
      <c r="J21" s="7" t="s">
        <v>131</v>
      </c>
    </row>
    <row r="22" spans="1:10" ht="12.75" hidden="1" customHeight="1">
      <c r="E22" s="6" t="s">
        <v>132</v>
      </c>
      <c r="G22" s="15" t="s">
        <v>133</v>
      </c>
      <c r="J22" s="7" t="s">
        <v>134</v>
      </c>
    </row>
    <row r="23" spans="1:10" ht="12.75" hidden="1" customHeight="1">
      <c r="E23" s="6" t="s">
        <v>135</v>
      </c>
      <c r="G23" s="15" t="s">
        <v>136</v>
      </c>
      <c r="J23" s="7" t="s">
        <v>137</v>
      </c>
    </row>
    <row r="24" spans="1:10" ht="12.75" hidden="1" customHeight="1">
      <c r="E24" s="6" t="s">
        <v>138</v>
      </c>
      <c r="G24" s="15" t="s">
        <v>139</v>
      </c>
      <c r="J24" s="7" t="s">
        <v>140</v>
      </c>
    </row>
    <row r="25" spans="1:10" hidden="1">
      <c r="E25" s="6" t="s">
        <v>141</v>
      </c>
      <c r="G25" s="15" t="s">
        <v>142</v>
      </c>
      <c r="J25" s="7" t="s">
        <v>143</v>
      </c>
    </row>
    <row r="26" spans="1:10" hidden="1">
      <c r="E26" s="6" t="s">
        <v>144</v>
      </c>
      <c r="G26" s="15" t="s">
        <v>145</v>
      </c>
      <c r="J26" s="7" t="s">
        <v>146</v>
      </c>
    </row>
    <row r="27" spans="1:10" hidden="1">
      <c r="E27" s="6" t="s">
        <v>147</v>
      </c>
      <c r="G27" s="15" t="s">
        <v>148</v>
      </c>
      <c r="J27" s="11" t="s">
        <v>149</v>
      </c>
    </row>
    <row r="28" spans="1:10" ht="12.75" hidden="1" customHeight="1">
      <c r="E28" s="6" t="s">
        <v>150</v>
      </c>
      <c r="G28" s="15" t="s">
        <v>151</v>
      </c>
    </row>
    <row r="29" spans="1:10" hidden="1">
      <c r="E29" s="6" t="s">
        <v>152</v>
      </c>
      <c r="G29" s="15" t="s">
        <v>153</v>
      </c>
    </row>
    <row r="30" spans="1:10" ht="12.75" hidden="1" customHeight="1">
      <c r="E30" s="6" t="s">
        <v>154</v>
      </c>
      <c r="G30" s="15" t="s">
        <v>155</v>
      </c>
    </row>
    <row r="31" spans="1:10" ht="12.75" hidden="1" customHeight="1">
      <c r="E31" s="6" t="s">
        <v>156</v>
      </c>
      <c r="G31" s="15" t="s">
        <v>157</v>
      </c>
    </row>
    <row r="32" spans="1:10" ht="12.75" hidden="1" customHeight="1">
      <c r="E32" s="6" t="s">
        <v>158</v>
      </c>
      <c r="G32" s="15" t="s">
        <v>159</v>
      </c>
    </row>
    <row r="33" spans="5:7" hidden="1">
      <c r="E33" s="6" t="s">
        <v>160</v>
      </c>
      <c r="G33" s="15" t="s">
        <v>161</v>
      </c>
    </row>
    <row r="34" spans="5:7" ht="12.75" hidden="1" customHeight="1">
      <c r="E34" s="6" t="s">
        <v>162</v>
      </c>
      <c r="G34" s="15" t="s">
        <v>163</v>
      </c>
    </row>
    <row r="35" spans="5:7" ht="12.75" hidden="1" customHeight="1">
      <c r="E35" s="6" t="s">
        <v>164</v>
      </c>
      <c r="G35" s="15" t="s">
        <v>165</v>
      </c>
    </row>
    <row r="36" spans="5:7" hidden="1">
      <c r="E36" s="6" t="s">
        <v>166</v>
      </c>
      <c r="G36" s="15" t="s">
        <v>167</v>
      </c>
    </row>
    <row r="37" spans="5:7" ht="12.75" hidden="1" customHeight="1">
      <c r="E37" s="6" t="s">
        <v>168</v>
      </c>
      <c r="G37" s="15" t="s">
        <v>169</v>
      </c>
    </row>
    <row r="38" spans="5:7" hidden="1">
      <c r="E38" s="6" t="s">
        <v>170</v>
      </c>
      <c r="G38" s="15" t="s">
        <v>171</v>
      </c>
    </row>
    <row r="39" spans="5:7" ht="12.75" hidden="1" customHeight="1">
      <c r="E39" s="6" t="s">
        <v>172</v>
      </c>
      <c r="G39" s="15" t="s">
        <v>173</v>
      </c>
    </row>
    <row r="40" spans="5:7" hidden="1">
      <c r="E40" s="6" t="s">
        <v>174</v>
      </c>
      <c r="G40" s="15" t="s">
        <v>175</v>
      </c>
    </row>
    <row r="41" spans="5:7" ht="12.75" hidden="1" customHeight="1">
      <c r="E41" s="6" t="s">
        <v>176</v>
      </c>
      <c r="G41" s="15" t="s">
        <v>177</v>
      </c>
    </row>
    <row r="42" spans="5:7" hidden="1">
      <c r="E42" s="6" t="s">
        <v>178</v>
      </c>
      <c r="G42" s="15" t="s">
        <v>179</v>
      </c>
    </row>
    <row r="43" spans="5:7" ht="12.75" hidden="1" customHeight="1">
      <c r="E43" s="6" t="s">
        <v>180</v>
      </c>
      <c r="G43" s="15" t="s">
        <v>181</v>
      </c>
    </row>
    <row r="44" spans="5:7" hidden="1">
      <c r="E44" s="6" t="s">
        <v>182</v>
      </c>
      <c r="G44" s="15" t="s">
        <v>183</v>
      </c>
    </row>
    <row r="45" spans="5:7" ht="12.75" hidden="1" customHeight="1">
      <c r="E45" s="6" t="s">
        <v>184</v>
      </c>
      <c r="G45" s="15" t="s">
        <v>185</v>
      </c>
    </row>
    <row r="46" spans="5:7" ht="12.75" hidden="1" customHeight="1">
      <c r="E46" s="6" t="s">
        <v>186</v>
      </c>
      <c r="G46" s="15" t="s">
        <v>187</v>
      </c>
    </row>
    <row r="47" spans="5:7" ht="12.75" hidden="1" customHeight="1">
      <c r="E47" s="6" t="s">
        <v>188</v>
      </c>
      <c r="G47" s="15" t="s">
        <v>189</v>
      </c>
    </row>
    <row r="48" spans="5:7" ht="12.75" hidden="1" customHeight="1">
      <c r="E48" s="6" t="s">
        <v>190</v>
      </c>
      <c r="G48" s="15" t="s">
        <v>191</v>
      </c>
    </row>
    <row r="49" spans="5:7" ht="12.75" hidden="1" customHeight="1">
      <c r="E49" s="6" t="s">
        <v>192</v>
      </c>
      <c r="G49" s="15" t="s">
        <v>193</v>
      </c>
    </row>
    <row r="50" spans="5:7" ht="12.75" hidden="1" customHeight="1">
      <c r="E50" s="6" t="s">
        <v>194</v>
      </c>
      <c r="G50" s="15" t="s">
        <v>195</v>
      </c>
    </row>
    <row r="51" spans="5:7" ht="12.75" hidden="1" customHeight="1">
      <c r="E51" s="6" t="s">
        <v>196</v>
      </c>
      <c r="G51" s="15" t="s">
        <v>197</v>
      </c>
    </row>
    <row r="52" spans="5:7" ht="12.75" hidden="1" customHeight="1">
      <c r="E52" s="6" t="s">
        <v>198</v>
      </c>
      <c r="G52" s="15" t="s">
        <v>199</v>
      </c>
    </row>
    <row r="53" spans="5:7" ht="12.75" hidden="1" customHeight="1">
      <c r="E53" s="6" t="s">
        <v>200</v>
      </c>
      <c r="G53" s="15" t="s">
        <v>201</v>
      </c>
    </row>
    <row r="54" spans="5:7" ht="12.75" hidden="1" customHeight="1">
      <c r="E54" s="6" t="s">
        <v>202</v>
      </c>
      <c r="G54" s="15" t="s">
        <v>203</v>
      </c>
    </row>
    <row r="55" spans="5:7" ht="12.75" hidden="1" customHeight="1">
      <c r="E55" s="6" t="s">
        <v>204</v>
      </c>
      <c r="G55" s="15" t="s">
        <v>205</v>
      </c>
    </row>
    <row r="56" spans="5:7" ht="12.75" hidden="1" customHeight="1">
      <c r="E56" s="6" t="s">
        <v>206</v>
      </c>
      <c r="G56" s="15" t="s">
        <v>207</v>
      </c>
    </row>
    <row r="57" spans="5:7" ht="12.75" hidden="1" customHeight="1">
      <c r="E57" s="6" t="s">
        <v>208</v>
      </c>
      <c r="G57" s="15" t="s">
        <v>209</v>
      </c>
    </row>
    <row r="58" spans="5:7" ht="12.75" hidden="1" customHeight="1">
      <c r="E58" s="6" t="s">
        <v>210</v>
      </c>
      <c r="G58" s="15" t="s">
        <v>211</v>
      </c>
    </row>
    <row r="59" spans="5:7" ht="12.75" hidden="1" customHeight="1">
      <c r="E59" s="6" t="s">
        <v>212</v>
      </c>
      <c r="G59" s="15" t="s">
        <v>213</v>
      </c>
    </row>
    <row r="60" spans="5:7" hidden="1">
      <c r="E60" s="6" t="s">
        <v>214</v>
      </c>
      <c r="G60" s="15" t="s">
        <v>215</v>
      </c>
    </row>
    <row r="61" spans="5:7" ht="12.75" hidden="1" customHeight="1">
      <c r="E61" s="6" t="s">
        <v>216</v>
      </c>
      <c r="G61" s="15" t="s">
        <v>217</v>
      </c>
    </row>
    <row r="62" spans="5:7" hidden="1">
      <c r="E62" s="6" t="s">
        <v>218</v>
      </c>
      <c r="G62" s="16" t="s">
        <v>219</v>
      </c>
    </row>
    <row r="63" spans="5:7" hidden="1">
      <c r="E63" s="6" t="s">
        <v>220</v>
      </c>
    </row>
    <row r="64" spans="5:7" hidden="1">
      <c r="E64" s="6" t="s">
        <v>221</v>
      </c>
    </row>
    <row r="65" spans="5:5" ht="12.75" hidden="1" customHeight="1">
      <c r="E65" s="6" t="s">
        <v>222</v>
      </c>
    </row>
    <row r="66" spans="5:5" ht="12.75" hidden="1" customHeight="1">
      <c r="E66" s="6" t="s">
        <v>223</v>
      </c>
    </row>
    <row r="67" spans="5:5" ht="12.75" hidden="1" customHeight="1">
      <c r="E67" s="6" t="s">
        <v>224</v>
      </c>
    </row>
    <row r="68" spans="5:5" ht="12.75" hidden="1" customHeight="1">
      <c r="E68" s="6" t="s">
        <v>225</v>
      </c>
    </row>
    <row r="69" spans="5:5" ht="12.75" hidden="1" customHeight="1">
      <c r="E69" s="6" t="s">
        <v>226</v>
      </c>
    </row>
    <row r="70" spans="5:5" ht="12.75" hidden="1" customHeight="1">
      <c r="E70" s="6" t="s">
        <v>227</v>
      </c>
    </row>
    <row r="71" spans="5:5" ht="12.75" hidden="1" customHeight="1">
      <c r="E71" s="6" t="s">
        <v>228</v>
      </c>
    </row>
    <row r="72" spans="5:5" ht="12.75" hidden="1" customHeight="1">
      <c r="E72" s="6" t="s">
        <v>229</v>
      </c>
    </row>
    <row r="73" spans="5:5" ht="12.75" hidden="1" customHeight="1">
      <c r="E73" s="6" t="s">
        <v>230</v>
      </c>
    </row>
    <row r="74" spans="5:5" ht="12.75" hidden="1" customHeight="1">
      <c r="E74" s="6" t="s">
        <v>231</v>
      </c>
    </row>
    <row r="75" spans="5:5" ht="12.75" hidden="1" customHeight="1">
      <c r="E75" s="6" t="s">
        <v>232</v>
      </c>
    </row>
    <row r="76" spans="5:5" ht="12.75" hidden="1" customHeight="1">
      <c r="E76" s="6" t="s">
        <v>233</v>
      </c>
    </row>
    <row r="77" spans="5:5" ht="12.75" hidden="1" customHeight="1">
      <c r="E77" s="6" t="s">
        <v>234</v>
      </c>
    </row>
    <row r="78" spans="5:5" ht="12.75" hidden="1" customHeight="1">
      <c r="E78" s="6" t="s">
        <v>235</v>
      </c>
    </row>
    <row r="79" spans="5:5" ht="12.75" hidden="1" customHeight="1">
      <c r="E79" s="6" t="s">
        <v>236</v>
      </c>
    </row>
    <row r="80" spans="5:5" hidden="1">
      <c r="E80" s="6" t="s">
        <v>237</v>
      </c>
    </row>
    <row r="81" spans="5:5" ht="12.75" hidden="1" customHeight="1">
      <c r="E81" s="6" t="s">
        <v>238</v>
      </c>
    </row>
    <row r="82" spans="5:5" ht="12.75" hidden="1" customHeight="1">
      <c r="E82" s="6" t="s">
        <v>239</v>
      </c>
    </row>
    <row r="83" spans="5:5" ht="12.75" hidden="1" customHeight="1">
      <c r="E83" s="6" t="s">
        <v>240</v>
      </c>
    </row>
    <row r="84" spans="5:5" ht="12.75" hidden="1" customHeight="1">
      <c r="E84" s="6" t="s">
        <v>241</v>
      </c>
    </row>
    <row r="85" spans="5:5" ht="12.75" hidden="1" customHeight="1">
      <c r="E85" s="6" t="s">
        <v>242</v>
      </c>
    </row>
    <row r="86" spans="5:5" ht="12.75" hidden="1" customHeight="1">
      <c r="E86" s="6" t="s">
        <v>243</v>
      </c>
    </row>
    <row r="87" spans="5:5" ht="12.75" hidden="1" customHeight="1">
      <c r="E87" s="6" t="s">
        <v>244</v>
      </c>
    </row>
    <row r="88" spans="5:5" ht="12.75" hidden="1" customHeight="1">
      <c r="E88" s="6" t="s">
        <v>245</v>
      </c>
    </row>
    <row r="89" spans="5:5" ht="12.75" hidden="1" customHeight="1">
      <c r="E89" s="6" t="s">
        <v>246</v>
      </c>
    </row>
    <row r="90" spans="5:5" ht="12.75" hidden="1" customHeight="1">
      <c r="E90" s="6" t="s">
        <v>247</v>
      </c>
    </row>
    <row r="91" spans="5:5" ht="12.75" hidden="1" customHeight="1">
      <c r="E91" s="6" t="s">
        <v>248</v>
      </c>
    </row>
    <row r="92" spans="5:5" ht="12.75" hidden="1" customHeight="1">
      <c r="E92" s="6" t="s">
        <v>249</v>
      </c>
    </row>
    <row r="93" spans="5:5" hidden="1">
      <c r="E93" s="6" t="s">
        <v>250</v>
      </c>
    </row>
    <row r="94" spans="5:5" hidden="1">
      <c r="E94" s="6" t="s">
        <v>251</v>
      </c>
    </row>
    <row r="95" spans="5:5" hidden="1">
      <c r="E95" s="6" t="s">
        <v>252</v>
      </c>
    </row>
    <row r="96" spans="5:5" hidden="1">
      <c r="E96" s="6" t="s">
        <v>253</v>
      </c>
    </row>
    <row r="97" spans="1:256" ht="12.75" hidden="1" customHeight="1">
      <c r="E97" s="6" t="s">
        <v>254</v>
      </c>
    </row>
    <row r="98" spans="1:256" ht="12.75" hidden="1" customHeight="1">
      <c r="E98" s="6" t="s">
        <v>255</v>
      </c>
    </row>
    <row r="99" spans="1:256" ht="12.75" hidden="1" customHeight="1">
      <c r="E99" s="6" t="s">
        <v>256</v>
      </c>
    </row>
    <row r="100" spans="1:256" ht="12.75" hidden="1" customHeight="1">
      <c r="E100" s="6" t="s">
        <v>257</v>
      </c>
    </row>
    <row r="101" spans="1:256" ht="12.75" hidden="1" customHeight="1">
      <c r="E101" s="6" t="s">
        <v>258</v>
      </c>
    </row>
    <row r="102" spans="1:256" hidden="1">
      <c r="E102" s="6" t="s">
        <v>259</v>
      </c>
    </row>
    <row r="103" spans="1:256" ht="30" customHeight="1">
      <c r="A103" s="297" t="s">
        <v>260</v>
      </c>
      <c r="B103" s="297"/>
      <c r="C103" s="297"/>
      <c r="D103" s="297"/>
      <c r="E103" s="297"/>
      <c r="F103" s="297"/>
      <c r="G103" s="297"/>
      <c r="H103" s="297"/>
      <c r="I103" s="210"/>
      <c r="J103" s="210"/>
      <c r="K103" s="210"/>
      <c r="L103" s="210"/>
      <c r="M103" s="210"/>
      <c r="N103" s="210"/>
      <c r="O103" s="210"/>
      <c r="P103" s="210"/>
      <c r="Q103" s="210"/>
      <c r="R103" s="210"/>
      <c r="S103" s="210"/>
      <c r="T103" s="210"/>
      <c r="U103" s="210"/>
      <c r="V103" s="210"/>
      <c r="W103" s="210"/>
    </row>
    <row r="104" spans="1:256" ht="13.5" customHeight="1" thickBot="1">
      <c r="A104" s="108"/>
      <c r="B104" s="109"/>
      <c r="C104" s="108"/>
      <c r="D104" s="108"/>
      <c r="E104" s="108"/>
      <c r="F104" s="108"/>
      <c r="G104" s="110"/>
      <c r="H104" s="111" t="str">
        <f>HYPERLINK("http://www.census.gov/eos/www/naics/","NAICS Search")</f>
        <v>NAICS Search</v>
      </c>
      <c r="I104" s="108"/>
      <c r="J104" s="108"/>
      <c r="K104" s="108"/>
      <c r="L104" s="108"/>
      <c r="M104" s="110"/>
      <c r="N104" s="108"/>
      <c r="O104" s="108"/>
      <c r="P104" s="108"/>
      <c r="Q104" s="108"/>
      <c r="R104" s="108"/>
      <c r="S104" s="112"/>
      <c r="T104" s="108"/>
      <c r="U104" s="110"/>
      <c r="V104" s="108"/>
      <c r="W104" s="111"/>
      <c r="X104" s="108"/>
    </row>
    <row r="105" spans="1:256" ht="259.5" customHeight="1" thickBot="1">
      <c r="A105" s="114" t="s">
        <v>261</v>
      </c>
      <c r="B105" s="115" t="s">
        <v>1882</v>
      </c>
      <c r="C105" s="115" t="s">
        <v>262</v>
      </c>
      <c r="D105" s="115" t="s">
        <v>263</v>
      </c>
      <c r="E105" s="116" t="s">
        <v>264</v>
      </c>
      <c r="F105" s="116" t="s">
        <v>1883</v>
      </c>
      <c r="G105" s="117" t="s">
        <v>1884</v>
      </c>
      <c r="H105" s="115" t="s">
        <v>265</v>
      </c>
      <c r="I105" s="115" t="s">
        <v>266</v>
      </c>
      <c r="J105" s="115" t="s">
        <v>267</v>
      </c>
      <c r="K105" s="115" t="s">
        <v>268</v>
      </c>
      <c r="L105" s="116" t="s">
        <v>269</v>
      </c>
      <c r="M105" s="117" t="s">
        <v>1885</v>
      </c>
      <c r="N105" s="116" t="s">
        <v>1886</v>
      </c>
      <c r="O105" s="116" t="s">
        <v>270</v>
      </c>
      <c r="P105" s="115" t="s">
        <v>271</v>
      </c>
      <c r="Q105" s="116" t="s">
        <v>272</v>
      </c>
      <c r="R105" s="116" t="s">
        <v>1887</v>
      </c>
      <c r="S105" s="115" t="s">
        <v>273</v>
      </c>
      <c r="T105" s="116" t="s">
        <v>1888</v>
      </c>
      <c r="U105" s="164" t="s">
        <v>1889</v>
      </c>
      <c r="V105" s="165" t="s">
        <v>1890</v>
      </c>
      <c r="W105" s="118" t="s">
        <v>274</v>
      </c>
      <c r="X105" s="215" t="s">
        <v>275</v>
      </c>
    </row>
    <row r="106" spans="1:256" s="13" customFormat="1" ht="37.5" customHeight="1">
      <c r="A106" s="14" t="s">
        <v>12</v>
      </c>
      <c r="B106" s="14" t="s">
        <v>34</v>
      </c>
      <c r="C106" s="167" t="s">
        <v>3</v>
      </c>
      <c r="D106" s="168" t="s">
        <v>2326</v>
      </c>
      <c r="E106" s="169" t="s">
        <v>2327</v>
      </c>
      <c r="F106" s="167" t="s">
        <v>2328</v>
      </c>
      <c r="G106" s="167" t="s">
        <v>197</v>
      </c>
      <c r="H106" s="167">
        <v>425120</v>
      </c>
      <c r="I106" s="169" t="s">
        <v>48</v>
      </c>
      <c r="J106" s="14" t="s">
        <v>109</v>
      </c>
      <c r="K106" s="167" t="s">
        <v>29</v>
      </c>
      <c r="L106" s="167" t="s">
        <v>462</v>
      </c>
      <c r="M106" s="170">
        <v>509609</v>
      </c>
      <c r="N106" s="170">
        <v>509609</v>
      </c>
      <c r="O106" s="170" t="s">
        <v>20</v>
      </c>
      <c r="P106" s="171"/>
      <c r="Q106" s="173" t="s">
        <v>279</v>
      </c>
      <c r="R106" s="174" t="s">
        <v>10</v>
      </c>
      <c r="S106" s="174">
        <v>2013</v>
      </c>
      <c r="T106" s="168" t="s">
        <v>2329</v>
      </c>
      <c r="U106" s="173" t="s">
        <v>2330</v>
      </c>
      <c r="V106" s="175" t="s">
        <v>2331</v>
      </c>
      <c r="W106" s="169" t="s">
        <v>2332</v>
      </c>
      <c r="X106" s="166"/>
      <c r="Y106" s="99"/>
      <c r="Z106" s="99"/>
      <c r="AA106" s="99"/>
      <c r="AB106" s="99"/>
      <c r="AC106" s="176"/>
      <c r="AD106" s="176"/>
      <c r="AE106" s="176"/>
      <c r="AF106" s="176"/>
      <c r="AG106" s="176"/>
      <c r="AH106" s="176"/>
      <c r="AI106" s="176"/>
      <c r="AJ106" s="176"/>
      <c r="AK106" s="176"/>
      <c r="AL106" s="176"/>
      <c r="AM106" s="176"/>
      <c r="AN106" s="176"/>
      <c r="AO106" s="176"/>
      <c r="AP106" s="176"/>
      <c r="AQ106" s="176"/>
      <c r="AR106" s="176"/>
      <c r="AS106" s="176"/>
      <c r="AT106" s="176"/>
      <c r="AU106" s="176"/>
      <c r="AV106" s="176"/>
      <c r="AW106" s="176"/>
      <c r="AX106" s="176"/>
      <c r="AY106" s="176"/>
      <c r="AZ106" s="176"/>
      <c r="BA106" s="176"/>
      <c r="BB106" s="176"/>
      <c r="BC106" s="176"/>
      <c r="BD106" s="176"/>
      <c r="BE106" s="176"/>
      <c r="BF106" s="176"/>
      <c r="BG106" s="176"/>
      <c r="BH106" s="176"/>
      <c r="BI106" s="176"/>
      <c r="BJ106" s="176"/>
      <c r="BK106" s="176"/>
      <c r="BL106" s="176"/>
      <c r="BM106" s="176"/>
      <c r="BN106" s="176"/>
      <c r="BO106" s="176"/>
      <c r="BP106" s="176"/>
      <c r="BQ106" s="176"/>
      <c r="BR106" s="176"/>
      <c r="BS106" s="176"/>
      <c r="BT106" s="176"/>
      <c r="BU106" s="176"/>
      <c r="BV106" s="176"/>
      <c r="BW106" s="176"/>
      <c r="BX106" s="176"/>
      <c r="BY106" s="176"/>
      <c r="BZ106" s="176"/>
      <c r="CA106" s="176"/>
      <c r="CB106" s="176"/>
      <c r="CC106" s="176"/>
      <c r="CD106" s="176"/>
      <c r="CE106" s="176"/>
      <c r="CF106" s="176"/>
      <c r="CG106" s="176"/>
      <c r="CH106" s="176"/>
      <c r="CI106" s="176"/>
      <c r="CJ106" s="176"/>
      <c r="CK106" s="176"/>
      <c r="CL106" s="176"/>
      <c r="CM106" s="176"/>
      <c r="CN106" s="176"/>
      <c r="CO106" s="176"/>
      <c r="CP106" s="176"/>
      <c r="CQ106" s="176"/>
      <c r="CR106" s="176"/>
      <c r="CS106" s="176"/>
      <c r="CT106" s="176"/>
      <c r="CU106" s="176"/>
      <c r="CV106" s="176"/>
      <c r="CW106" s="176"/>
      <c r="CX106" s="176"/>
      <c r="CY106" s="176"/>
      <c r="CZ106" s="176"/>
      <c r="DA106" s="176"/>
      <c r="DB106" s="176"/>
      <c r="DC106" s="176"/>
      <c r="DD106" s="176"/>
      <c r="DE106" s="176"/>
      <c r="DF106" s="176"/>
      <c r="DG106" s="176"/>
      <c r="DH106" s="176"/>
      <c r="DI106" s="176"/>
      <c r="DJ106" s="176"/>
      <c r="DK106" s="176"/>
      <c r="DL106" s="176"/>
      <c r="DM106" s="176"/>
      <c r="DN106" s="176"/>
      <c r="DO106" s="176"/>
      <c r="DP106" s="176"/>
      <c r="DQ106" s="176"/>
      <c r="DR106" s="176"/>
      <c r="DS106" s="176"/>
      <c r="DT106" s="176"/>
      <c r="DU106" s="176"/>
      <c r="DV106" s="176"/>
      <c r="DW106" s="176"/>
      <c r="DX106" s="176"/>
      <c r="DY106" s="176"/>
      <c r="DZ106" s="176"/>
      <c r="EA106" s="176"/>
      <c r="EB106" s="176"/>
      <c r="EC106" s="176"/>
      <c r="ED106" s="176"/>
      <c r="EE106" s="176"/>
      <c r="EF106" s="176"/>
      <c r="EG106" s="176"/>
      <c r="EH106" s="176"/>
      <c r="EI106" s="176"/>
      <c r="EJ106" s="176"/>
      <c r="EK106" s="176"/>
      <c r="EL106" s="176"/>
      <c r="EM106" s="176"/>
      <c r="EN106" s="176"/>
      <c r="EO106" s="176"/>
      <c r="EP106" s="176"/>
      <c r="EQ106" s="176"/>
      <c r="ER106" s="176"/>
      <c r="ES106" s="176"/>
      <c r="ET106" s="176"/>
      <c r="EU106" s="176"/>
      <c r="EV106" s="176"/>
      <c r="EW106" s="176"/>
      <c r="EX106" s="176"/>
      <c r="EY106" s="176"/>
      <c r="EZ106" s="176"/>
      <c r="FA106" s="176"/>
      <c r="FB106" s="176"/>
      <c r="FC106" s="176"/>
      <c r="FD106" s="176"/>
      <c r="FE106" s="176"/>
      <c r="FF106" s="176"/>
      <c r="FG106" s="176"/>
      <c r="FH106" s="176"/>
      <c r="FI106" s="176"/>
      <c r="FJ106" s="176"/>
      <c r="FK106" s="176"/>
      <c r="FL106" s="176"/>
      <c r="FM106" s="176"/>
      <c r="FN106" s="176"/>
      <c r="FO106" s="176"/>
      <c r="FP106" s="176"/>
      <c r="FQ106" s="176"/>
      <c r="FR106" s="176"/>
      <c r="FS106" s="176"/>
      <c r="FT106" s="176"/>
      <c r="FU106" s="176"/>
      <c r="FV106" s="176"/>
      <c r="FW106" s="176"/>
      <c r="FX106" s="176"/>
      <c r="FY106" s="176"/>
      <c r="FZ106" s="176"/>
      <c r="GA106" s="176"/>
      <c r="GB106" s="176"/>
      <c r="GC106" s="176"/>
      <c r="GD106" s="176"/>
      <c r="GE106" s="176"/>
      <c r="GF106" s="176"/>
      <c r="GG106" s="176"/>
      <c r="GH106" s="176"/>
      <c r="GI106" s="176"/>
      <c r="GJ106" s="176"/>
      <c r="GK106" s="176"/>
      <c r="GL106" s="176"/>
      <c r="GM106" s="176"/>
      <c r="GN106" s="176"/>
      <c r="GO106" s="176"/>
      <c r="GP106" s="176"/>
      <c r="GQ106" s="176"/>
      <c r="GR106" s="176"/>
      <c r="GS106" s="176"/>
      <c r="GT106" s="176"/>
      <c r="GU106" s="176"/>
      <c r="GV106" s="176"/>
      <c r="GW106" s="176"/>
      <c r="GX106" s="176"/>
      <c r="GY106" s="176"/>
      <c r="GZ106" s="176"/>
      <c r="HA106" s="176"/>
      <c r="HB106" s="176"/>
      <c r="HC106" s="176"/>
      <c r="HD106" s="176"/>
      <c r="HE106" s="176"/>
      <c r="HF106" s="176"/>
      <c r="HG106" s="176"/>
      <c r="HH106" s="176"/>
      <c r="HI106" s="176"/>
      <c r="HJ106" s="176"/>
      <c r="HK106" s="176"/>
      <c r="HL106" s="176"/>
      <c r="HM106" s="176"/>
      <c r="HN106" s="176"/>
      <c r="HO106" s="176"/>
      <c r="HP106" s="176"/>
      <c r="HQ106" s="176"/>
      <c r="HR106" s="176"/>
      <c r="HS106" s="176"/>
      <c r="HT106" s="176"/>
      <c r="HU106" s="176"/>
      <c r="HV106" s="176"/>
      <c r="HW106" s="176"/>
      <c r="HX106" s="176"/>
      <c r="HY106" s="176"/>
      <c r="HZ106" s="176"/>
      <c r="IA106" s="176"/>
      <c r="IB106" s="176"/>
      <c r="IC106" s="176"/>
      <c r="ID106" s="176"/>
      <c r="IE106" s="176"/>
      <c r="IF106" s="176"/>
      <c r="IG106" s="176"/>
      <c r="IH106" s="176"/>
      <c r="II106" s="176"/>
      <c r="IJ106" s="176"/>
      <c r="IK106" s="176"/>
      <c r="IL106" s="176"/>
      <c r="IM106" s="176"/>
      <c r="IN106" s="176"/>
      <c r="IO106" s="176"/>
      <c r="IP106" s="176"/>
      <c r="IQ106" s="176"/>
      <c r="IR106" s="176"/>
      <c r="IS106" s="176"/>
      <c r="IT106" s="176"/>
      <c r="IU106" s="176"/>
      <c r="IV106" s="176"/>
    </row>
    <row r="107" spans="1:256" s="13" customFormat="1" ht="37.5" customHeight="1">
      <c r="A107" s="14" t="s">
        <v>12</v>
      </c>
      <c r="B107" s="14" t="s">
        <v>34</v>
      </c>
      <c r="C107" s="167" t="s">
        <v>3</v>
      </c>
      <c r="D107" s="168" t="s">
        <v>2326</v>
      </c>
      <c r="E107" s="169" t="s">
        <v>2327</v>
      </c>
      <c r="F107" s="167" t="s">
        <v>947</v>
      </c>
      <c r="G107" s="167" t="s">
        <v>173</v>
      </c>
      <c r="H107" s="167">
        <v>425120</v>
      </c>
      <c r="I107" s="21" t="s">
        <v>28</v>
      </c>
      <c r="J107" s="14" t="s">
        <v>109</v>
      </c>
      <c r="K107" s="167" t="s">
        <v>29</v>
      </c>
      <c r="L107" s="167" t="s">
        <v>462</v>
      </c>
      <c r="M107" s="170">
        <v>617280</v>
      </c>
      <c r="N107" s="170">
        <v>6172870</v>
      </c>
      <c r="O107" s="170" t="s">
        <v>20</v>
      </c>
      <c r="P107" s="171"/>
      <c r="Q107" s="173" t="s">
        <v>279</v>
      </c>
      <c r="R107" s="174" t="s">
        <v>10</v>
      </c>
      <c r="S107" s="174">
        <v>2013</v>
      </c>
      <c r="T107" s="168" t="s">
        <v>2329</v>
      </c>
      <c r="U107" s="173" t="s">
        <v>2330</v>
      </c>
      <c r="V107" s="175" t="s">
        <v>2331</v>
      </c>
      <c r="W107" s="169" t="s">
        <v>2332</v>
      </c>
      <c r="X107" s="166"/>
      <c r="Y107" s="99"/>
      <c r="Z107" s="99"/>
      <c r="AA107" s="99"/>
      <c r="AB107" s="99"/>
      <c r="AC107" s="176"/>
      <c r="AD107" s="176"/>
      <c r="AE107" s="176"/>
      <c r="AF107" s="176"/>
      <c r="AG107" s="176"/>
      <c r="AH107" s="176"/>
      <c r="AI107" s="176"/>
      <c r="AJ107" s="176"/>
      <c r="AK107" s="176"/>
      <c r="AL107" s="176"/>
      <c r="AM107" s="176"/>
      <c r="AN107" s="176"/>
      <c r="AO107" s="176"/>
      <c r="AP107" s="176"/>
      <c r="AQ107" s="176"/>
      <c r="AR107" s="176"/>
      <c r="AS107" s="176"/>
      <c r="AT107" s="176"/>
      <c r="AU107" s="176"/>
      <c r="AV107" s="176"/>
      <c r="AW107" s="176"/>
      <c r="AX107" s="176"/>
      <c r="AY107" s="176"/>
      <c r="AZ107" s="176"/>
      <c r="BA107" s="176"/>
      <c r="BB107" s="176"/>
      <c r="BC107" s="176"/>
      <c r="BD107" s="176"/>
      <c r="BE107" s="176"/>
      <c r="BF107" s="176"/>
      <c r="BG107" s="176"/>
      <c r="BH107" s="176"/>
      <c r="BI107" s="176"/>
      <c r="BJ107" s="176"/>
      <c r="BK107" s="176"/>
      <c r="BL107" s="176"/>
      <c r="BM107" s="176"/>
      <c r="BN107" s="176"/>
      <c r="BO107" s="176"/>
      <c r="BP107" s="176"/>
      <c r="BQ107" s="176"/>
      <c r="BR107" s="176"/>
      <c r="BS107" s="176"/>
      <c r="BT107" s="176"/>
      <c r="BU107" s="176"/>
      <c r="BV107" s="176"/>
      <c r="BW107" s="176"/>
      <c r="BX107" s="176"/>
      <c r="BY107" s="176"/>
      <c r="BZ107" s="176"/>
      <c r="CA107" s="176"/>
      <c r="CB107" s="176"/>
      <c r="CC107" s="176"/>
      <c r="CD107" s="176"/>
      <c r="CE107" s="176"/>
      <c r="CF107" s="176"/>
      <c r="CG107" s="176"/>
      <c r="CH107" s="176"/>
      <c r="CI107" s="176"/>
      <c r="CJ107" s="176"/>
      <c r="CK107" s="176"/>
      <c r="CL107" s="176"/>
      <c r="CM107" s="176"/>
      <c r="CN107" s="176"/>
      <c r="CO107" s="176"/>
      <c r="CP107" s="176"/>
      <c r="CQ107" s="176"/>
      <c r="CR107" s="176"/>
      <c r="CS107" s="176"/>
      <c r="CT107" s="176"/>
      <c r="CU107" s="176"/>
      <c r="CV107" s="176"/>
      <c r="CW107" s="176"/>
      <c r="CX107" s="176"/>
      <c r="CY107" s="176"/>
      <c r="CZ107" s="176"/>
      <c r="DA107" s="176"/>
      <c r="DB107" s="176"/>
      <c r="DC107" s="176"/>
      <c r="DD107" s="176"/>
      <c r="DE107" s="176"/>
      <c r="DF107" s="176"/>
      <c r="DG107" s="176"/>
      <c r="DH107" s="176"/>
      <c r="DI107" s="176"/>
      <c r="DJ107" s="176"/>
      <c r="DK107" s="176"/>
      <c r="DL107" s="176"/>
      <c r="DM107" s="176"/>
      <c r="DN107" s="176"/>
      <c r="DO107" s="176"/>
      <c r="DP107" s="176"/>
      <c r="DQ107" s="176"/>
      <c r="DR107" s="176"/>
      <c r="DS107" s="176"/>
      <c r="DT107" s="176"/>
      <c r="DU107" s="176"/>
      <c r="DV107" s="176"/>
      <c r="DW107" s="176"/>
      <c r="DX107" s="176"/>
      <c r="DY107" s="176"/>
      <c r="DZ107" s="176"/>
      <c r="EA107" s="176"/>
      <c r="EB107" s="176"/>
      <c r="EC107" s="176"/>
      <c r="ED107" s="176"/>
      <c r="EE107" s="176"/>
      <c r="EF107" s="176"/>
      <c r="EG107" s="176"/>
      <c r="EH107" s="176"/>
      <c r="EI107" s="176"/>
      <c r="EJ107" s="176"/>
      <c r="EK107" s="176"/>
      <c r="EL107" s="176"/>
      <c r="EM107" s="176"/>
      <c r="EN107" s="176"/>
      <c r="EO107" s="176"/>
      <c r="EP107" s="176"/>
      <c r="EQ107" s="176"/>
      <c r="ER107" s="176"/>
      <c r="ES107" s="176"/>
      <c r="ET107" s="176"/>
      <c r="EU107" s="176"/>
      <c r="EV107" s="176"/>
      <c r="EW107" s="176"/>
      <c r="EX107" s="176"/>
      <c r="EY107" s="176"/>
      <c r="EZ107" s="176"/>
      <c r="FA107" s="176"/>
      <c r="FB107" s="176"/>
      <c r="FC107" s="176"/>
      <c r="FD107" s="176"/>
      <c r="FE107" s="176"/>
      <c r="FF107" s="176"/>
      <c r="FG107" s="176"/>
      <c r="FH107" s="176"/>
      <c r="FI107" s="176"/>
      <c r="FJ107" s="176"/>
      <c r="FK107" s="176"/>
      <c r="FL107" s="176"/>
      <c r="FM107" s="176"/>
      <c r="FN107" s="176"/>
      <c r="FO107" s="176"/>
      <c r="FP107" s="176"/>
      <c r="FQ107" s="176"/>
      <c r="FR107" s="176"/>
      <c r="FS107" s="176"/>
      <c r="FT107" s="176"/>
      <c r="FU107" s="176"/>
      <c r="FV107" s="176"/>
      <c r="FW107" s="176"/>
      <c r="FX107" s="176"/>
      <c r="FY107" s="176"/>
      <c r="FZ107" s="176"/>
      <c r="GA107" s="176"/>
      <c r="GB107" s="176"/>
      <c r="GC107" s="176"/>
      <c r="GD107" s="176"/>
      <c r="GE107" s="176"/>
      <c r="GF107" s="176"/>
      <c r="GG107" s="176"/>
      <c r="GH107" s="176"/>
      <c r="GI107" s="176"/>
      <c r="GJ107" s="176"/>
      <c r="GK107" s="176"/>
      <c r="GL107" s="176"/>
      <c r="GM107" s="176"/>
      <c r="GN107" s="176"/>
      <c r="GO107" s="176"/>
      <c r="GP107" s="176"/>
      <c r="GQ107" s="176"/>
      <c r="GR107" s="176"/>
      <c r="GS107" s="176"/>
      <c r="GT107" s="176"/>
      <c r="GU107" s="176"/>
      <c r="GV107" s="176"/>
      <c r="GW107" s="176"/>
      <c r="GX107" s="176"/>
      <c r="GY107" s="176"/>
      <c r="GZ107" s="176"/>
      <c r="HA107" s="176"/>
      <c r="HB107" s="176"/>
      <c r="HC107" s="176"/>
      <c r="HD107" s="176"/>
      <c r="HE107" s="176"/>
      <c r="HF107" s="176"/>
      <c r="HG107" s="176"/>
      <c r="HH107" s="176"/>
      <c r="HI107" s="176"/>
      <c r="HJ107" s="176"/>
      <c r="HK107" s="176"/>
      <c r="HL107" s="176"/>
      <c r="HM107" s="176"/>
      <c r="HN107" s="176"/>
      <c r="HO107" s="176"/>
      <c r="HP107" s="176"/>
      <c r="HQ107" s="176"/>
      <c r="HR107" s="176"/>
      <c r="HS107" s="176"/>
      <c r="HT107" s="176"/>
      <c r="HU107" s="176"/>
      <c r="HV107" s="176"/>
      <c r="HW107" s="176"/>
      <c r="HX107" s="176"/>
      <c r="HY107" s="176"/>
      <c r="HZ107" s="176"/>
      <c r="IA107" s="176"/>
      <c r="IB107" s="176"/>
      <c r="IC107" s="176"/>
      <c r="ID107" s="176"/>
      <c r="IE107" s="176"/>
      <c r="IF107" s="176"/>
      <c r="IG107" s="176"/>
      <c r="IH107" s="176"/>
      <c r="II107" s="176"/>
      <c r="IJ107" s="176"/>
      <c r="IK107" s="176"/>
      <c r="IL107" s="176"/>
      <c r="IM107" s="176"/>
      <c r="IN107" s="176"/>
      <c r="IO107" s="176"/>
      <c r="IP107" s="176"/>
      <c r="IQ107" s="176"/>
      <c r="IR107" s="176"/>
      <c r="IS107" s="176"/>
      <c r="IT107" s="176"/>
      <c r="IU107" s="176"/>
      <c r="IV107" s="176"/>
    </row>
    <row r="108" spans="1:256" s="13" customFormat="1" ht="37.5" customHeight="1">
      <c r="A108" s="14" t="s">
        <v>12</v>
      </c>
      <c r="B108" s="14" t="s">
        <v>34</v>
      </c>
      <c r="C108" s="167" t="s">
        <v>3</v>
      </c>
      <c r="D108" s="168" t="s">
        <v>2326</v>
      </c>
      <c r="E108" s="169" t="s">
        <v>2327</v>
      </c>
      <c r="F108" s="167" t="s">
        <v>2333</v>
      </c>
      <c r="G108" s="167" t="s">
        <v>193</v>
      </c>
      <c r="H108" s="167">
        <v>425120</v>
      </c>
      <c r="I108" s="21" t="s">
        <v>28</v>
      </c>
      <c r="J108" s="14" t="s">
        <v>109</v>
      </c>
      <c r="K108" s="167" t="s">
        <v>29</v>
      </c>
      <c r="L108" s="167" t="s">
        <v>462</v>
      </c>
      <c r="M108" s="170">
        <v>578602</v>
      </c>
      <c r="N108" s="170">
        <v>578602</v>
      </c>
      <c r="O108" s="170" t="s">
        <v>20</v>
      </c>
      <c r="P108" s="171"/>
      <c r="Q108" s="173" t="s">
        <v>279</v>
      </c>
      <c r="R108" s="174" t="s">
        <v>10</v>
      </c>
      <c r="S108" s="174">
        <v>2013</v>
      </c>
      <c r="T108" s="168" t="s">
        <v>2329</v>
      </c>
      <c r="U108" s="173" t="s">
        <v>2330</v>
      </c>
      <c r="V108" s="175" t="s">
        <v>2331</v>
      </c>
      <c r="W108" s="169" t="s">
        <v>2332</v>
      </c>
      <c r="X108" s="166"/>
      <c r="Y108" s="100"/>
      <c r="Z108" s="100"/>
      <c r="AA108" s="100"/>
      <c r="AB108" s="100"/>
      <c r="AC108" s="176"/>
      <c r="AD108" s="176"/>
      <c r="AE108" s="176"/>
      <c r="AF108" s="176"/>
      <c r="AG108" s="176"/>
      <c r="AH108" s="176"/>
      <c r="AI108" s="176"/>
      <c r="AJ108" s="176"/>
      <c r="AK108" s="176"/>
      <c r="AL108" s="176"/>
      <c r="AM108" s="176"/>
      <c r="AN108" s="176"/>
      <c r="AO108" s="176"/>
      <c r="AP108" s="176"/>
      <c r="AQ108" s="176"/>
      <c r="AR108" s="176"/>
      <c r="AS108" s="176"/>
      <c r="AT108" s="176"/>
      <c r="AU108" s="176"/>
      <c r="AV108" s="176"/>
      <c r="AW108" s="176"/>
      <c r="AX108" s="176"/>
      <c r="AY108" s="176"/>
      <c r="AZ108" s="176"/>
      <c r="BA108" s="176"/>
      <c r="BB108" s="176"/>
      <c r="BC108" s="176"/>
      <c r="BD108" s="176"/>
      <c r="BE108" s="176"/>
      <c r="BF108" s="176"/>
      <c r="BG108" s="176"/>
      <c r="BH108" s="176"/>
      <c r="BI108" s="176"/>
      <c r="BJ108" s="176"/>
      <c r="BK108" s="176"/>
      <c r="BL108" s="176"/>
      <c r="BM108" s="176"/>
      <c r="BN108" s="176"/>
      <c r="BO108" s="176"/>
      <c r="BP108" s="176"/>
      <c r="BQ108" s="176"/>
      <c r="BR108" s="176"/>
      <c r="BS108" s="176"/>
      <c r="BT108" s="176"/>
      <c r="BU108" s="176"/>
      <c r="BV108" s="176"/>
      <c r="BW108" s="176"/>
      <c r="BX108" s="176"/>
      <c r="BY108" s="176"/>
      <c r="BZ108" s="176"/>
      <c r="CA108" s="176"/>
      <c r="CB108" s="176"/>
      <c r="CC108" s="176"/>
      <c r="CD108" s="176"/>
      <c r="CE108" s="176"/>
      <c r="CF108" s="176"/>
      <c r="CG108" s="176"/>
      <c r="CH108" s="176"/>
      <c r="CI108" s="176"/>
      <c r="CJ108" s="176"/>
      <c r="CK108" s="176"/>
      <c r="CL108" s="176"/>
      <c r="CM108" s="176"/>
      <c r="CN108" s="176"/>
      <c r="CO108" s="176"/>
      <c r="CP108" s="176"/>
      <c r="CQ108" s="176"/>
      <c r="CR108" s="176"/>
      <c r="CS108" s="176"/>
      <c r="CT108" s="176"/>
      <c r="CU108" s="176"/>
      <c r="CV108" s="176"/>
      <c r="CW108" s="176"/>
      <c r="CX108" s="176"/>
      <c r="CY108" s="176"/>
      <c r="CZ108" s="176"/>
      <c r="DA108" s="176"/>
      <c r="DB108" s="176"/>
      <c r="DC108" s="176"/>
      <c r="DD108" s="176"/>
      <c r="DE108" s="176"/>
      <c r="DF108" s="176"/>
      <c r="DG108" s="176"/>
      <c r="DH108" s="176"/>
      <c r="DI108" s="176"/>
      <c r="DJ108" s="176"/>
      <c r="DK108" s="176"/>
      <c r="DL108" s="176"/>
      <c r="DM108" s="176"/>
      <c r="DN108" s="176"/>
      <c r="DO108" s="176"/>
      <c r="DP108" s="176"/>
      <c r="DQ108" s="176"/>
      <c r="DR108" s="176"/>
      <c r="DS108" s="176"/>
      <c r="DT108" s="176"/>
      <c r="DU108" s="176"/>
      <c r="DV108" s="176"/>
      <c r="DW108" s="176"/>
      <c r="DX108" s="176"/>
      <c r="DY108" s="176"/>
      <c r="DZ108" s="176"/>
      <c r="EA108" s="176"/>
      <c r="EB108" s="176"/>
      <c r="EC108" s="176"/>
      <c r="ED108" s="176"/>
      <c r="EE108" s="176"/>
      <c r="EF108" s="176"/>
      <c r="EG108" s="176"/>
      <c r="EH108" s="176"/>
      <c r="EI108" s="176"/>
      <c r="EJ108" s="176"/>
      <c r="EK108" s="176"/>
      <c r="EL108" s="176"/>
      <c r="EM108" s="176"/>
      <c r="EN108" s="176"/>
      <c r="EO108" s="176"/>
      <c r="EP108" s="176"/>
      <c r="EQ108" s="176"/>
      <c r="ER108" s="176"/>
      <c r="ES108" s="176"/>
      <c r="ET108" s="176"/>
      <c r="EU108" s="176"/>
      <c r="EV108" s="176"/>
      <c r="EW108" s="176"/>
      <c r="EX108" s="176"/>
      <c r="EY108" s="176"/>
      <c r="EZ108" s="176"/>
      <c r="FA108" s="176"/>
      <c r="FB108" s="176"/>
      <c r="FC108" s="176"/>
      <c r="FD108" s="176"/>
      <c r="FE108" s="176"/>
      <c r="FF108" s="176"/>
      <c r="FG108" s="176"/>
      <c r="FH108" s="176"/>
      <c r="FI108" s="176"/>
      <c r="FJ108" s="176"/>
      <c r="FK108" s="176"/>
      <c r="FL108" s="176"/>
      <c r="FM108" s="176"/>
      <c r="FN108" s="176"/>
      <c r="FO108" s="176"/>
      <c r="FP108" s="176"/>
      <c r="FQ108" s="176"/>
      <c r="FR108" s="176"/>
      <c r="FS108" s="176"/>
      <c r="FT108" s="176"/>
      <c r="FU108" s="176"/>
      <c r="FV108" s="176"/>
      <c r="FW108" s="176"/>
      <c r="FX108" s="176"/>
      <c r="FY108" s="176"/>
      <c r="FZ108" s="176"/>
      <c r="GA108" s="176"/>
      <c r="GB108" s="176"/>
      <c r="GC108" s="176"/>
      <c r="GD108" s="176"/>
      <c r="GE108" s="176"/>
      <c r="GF108" s="176"/>
      <c r="GG108" s="176"/>
      <c r="GH108" s="176"/>
      <c r="GI108" s="176"/>
      <c r="GJ108" s="176"/>
      <c r="GK108" s="176"/>
      <c r="GL108" s="176"/>
      <c r="GM108" s="176"/>
      <c r="GN108" s="176"/>
      <c r="GO108" s="176"/>
      <c r="GP108" s="176"/>
      <c r="GQ108" s="176"/>
      <c r="GR108" s="176"/>
      <c r="GS108" s="176"/>
      <c r="GT108" s="176"/>
      <c r="GU108" s="176"/>
      <c r="GV108" s="176"/>
      <c r="GW108" s="176"/>
      <c r="GX108" s="176"/>
      <c r="GY108" s="176"/>
      <c r="GZ108" s="176"/>
      <c r="HA108" s="176"/>
      <c r="HB108" s="176"/>
      <c r="HC108" s="176"/>
      <c r="HD108" s="176"/>
      <c r="HE108" s="176"/>
      <c r="HF108" s="176"/>
      <c r="HG108" s="176"/>
      <c r="HH108" s="176"/>
      <c r="HI108" s="176"/>
      <c r="HJ108" s="176"/>
      <c r="HK108" s="176"/>
      <c r="HL108" s="176"/>
      <c r="HM108" s="176"/>
      <c r="HN108" s="176"/>
      <c r="HO108" s="176"/>
      <c r="HP108" s="176"/>
      <c r="HQ108" s="176"/>
      <c r="HR108" s="176"/>
      <c r="HS108" s="176"/>
      <c r="HT108" s="176"/>
      <c r="HU108" s="176"/>
      <c r="HV108" s="176"/>
      <c r="HW108" s="176"/>
      <c r="HX108" s="176"/>
      <c r="HY108" s="176"/>
      <c r="HZ108" s="176"/>
      <c r="IA108" s="176"/>
      <c r="IB108" s="176"/>
      <c r="IC108" s="176"/>
      <c r="ID108" s="176"/>
      <c r="IE108" s="176"/>
      <c r="IF108" s="176"/>
      <c r="IG108" s="176"/>
      <c r="IH108" s="176"/>
      <c r="II108" s="176"/>
      <c r="IJ108" s="176"/>
      <c r="IK108" s="176"/>
      <c r="IL108" s="176"/>
      <c r="IM108" s="176"/>
      <c r="IN108" s="176"/>
      <c r="IO108" s="176"/>
      <c r="IP108" s="176"/>
      <c r="IQ108" s="176"/>
      <c r="IR108" s="176"/>
      <c r="IS108" s="176"/>
      <c r="IT108" s="176"/>
      <c r="IU108" s="176"/>
      <c r="IV108" s="176"/>
    </row>
    <row r="109" spans="1:256" s="13" customFormat="1" ht="37.5" customHeight="1">
      <c r="A109" s="14" t="s">
        <v>12</v>
      </c>
      <c r="B109" s="14" t="s">
        <v>34</v>
      </c>
      <c r="C109" s="167" t="s">
        <v>3</v>
      </c>
      <c r="D109" s="168" t="s">
        <v>2326</v>
      </c>
      <c r="E109" s="169" t="s">
        <v>2327</v>
      </c>
      <c r="F109" s="167" t="s">
        <v>996</v>
      </c>
      <c r="G109" s="167" t="s">
        <v>197</v>
      </c>
      <c r="H109" s="167">
        <v>425120</v>
      </c>
      <c r="I109" s="21" t="s">
        <v>28</v>
      </c>
      <c r="J109" s="14" t="s">
        <v>109</v>
      </c>
      <c r="K109" s="167" t="s">
        <v>29</v>
      </c>
      <c r="L109" s="167" t="s">
        <v>462</v>
      </c>
      <c r="M109" s="170">
        <v>503337</v>
      </c>
      <c r="N109" s="170">
        <v>503337</v>
      </c>
      <c r="O109" s="170" t="s">
        <v>20</v>
      </c>
      <c r="P109" s="171"/>
      <c r="Q109" s="173" t="s">
        <v>279</v>
      </c>
      <c r="R109" s="174" t="s">
        <v>10</v>
      </c>
      <c r="S109" s="174">
        <v>2013</v>
      </c>
      <c r="T109" s="168" t="s">
        <v>2329</v>
      </c>
      <c r="U109" s="173" t="s">
        <v>2330</v>
      </c>
      <c r="V109" s="175" t="s">
        <v>2331</v>
      </c>
      <c r="W109" s="169" t="s">
        <v>2332</v>
      </c>
      <c r="X109" s="166"/>
      <c r="Y109" s="100"/>
      <c r="Z109" s="100"/>
      <c r="AA109" s="100"/>
      <c r="AB109" s="100"/>
      <c r="AC109" s="176"/>
      <c r="AD109" s="176"/>
      <c r="AE109" s="176"/>
      <c r="AF109" s="176"/>
      <c r="AG109" s="176"/>
      <c r="AH109" s="176"/>
      <c r="AI109" s="176"/>
      <c r="AJ109" s="176"/>
      <c r="AK109" s="176"/>
      <c r="AL109" s="176"/>
      <c r="AM109" s="176"/>
      <c r="AN109" s="176"/>
      <c r="AO109" s="176"/>
      <c r="AP109" s="176"/>
      <c r="AQ109" s="176"/>
      <c r="AR109" s="176"/>
      <c r="AS109" s="176"/>
      <c r="AT109" s="176"/>
      <c r="AU109" s="176"/>
      <c r="AV109" s="176"/>
      <c r="AW109" s="176"/>
      <c r="AX109" s="176"/>
      <c r="AY109" s="176"/>
      <c r="AZ109" s="176"/>
      <c r="BA109" s="176"/>
      <c r="BB109" s="176"/>
      <c r="BC109" s="176"/>
      <c r="BD109" s="176"/>
      <c r="BE109" s="176"/>
      <c r="BF109" s="176"/>
      <c r="BG109" s="176"/>
      <c r="BH109" s="176"/>
      <c r="BI109" s="176"/>
      <c r="BJ109" s="176"/>
      <c r="BK109" s="176"/>
      <c r="BL109" s="176"/>
      <c r="BM109" s="176"/>
      <c r="BN109" s="176"/>
      <c r="BO109" s="176"/>
      <c r="BP109" s="176"/>
      <c r="BQ109" s="176"/>
      <c r="BR109" s="176"/>
      <c r="BS109" s="176"/>
      <c r="BT109" s="176"/>
      <c r="BU109" s="176"/>
      <c r="BV109" s="176"/>
      <c r="BW109" s="176"/>
      <c r="BX109" s="176"/>
      <c r="BY109" s="176"/>
      <c r="BZ109" s="176"/>
      <c r="CA109" s="176"/>
      <c r="CB109" s="176"/>
      <c r="CC109" s="176"/>
      <c r="CD109" s="176"/>
      <c r="CE109" s="176"/>
      <c r="CF109" s="176"/>
      <c r="CG109" s="176"/>
      <c r="CH109" s="176"/>
      <c r="CI109" s="176"/>
      <c r="CJ109" s="176"/>
      <c r="CK109" s="176"/>
      <c r="CL109" s="176"/>
      <c r="CM109" s="176"/>
      <c r="CN109" s="176"/>
      <c r="CO109" s="176"/>
      <c r="CP109" s="176"/>
      <c r="CQ109" s="176"/>
      <c r="CR109" s="176"/>
      <c r="CS109" s="176"/>
      <c r="CT109" s="176"/>
      <c r="CU109" s="176"/>
      <c r="CV109" s="176"/>
      <c r="CW109" s="176"/>
      <c r="CX109" s="176"/>
      <c r="CY109" s="176"/>
      <c r="CZ109" s="176"/>
      <c r="DA109" s="176"/>
      <c r="DB109" s="176"/>
      <c r="DC109" s="176"/>
      <c r="DD109" s="176"/>
      <c r="DE109" s="176"/>
      <c r="DF109" s="176"/>
      <c r="DG109" s="176"/>
      <c r="DH109" s="176"/>
      <c r="DI109" s="176"/>
      <c r="DJ109" s="176"/>
      <c r="DK109" s="176"/>
      <c r="DL109" s="176"/>
      <c r="DM109" s="176"/>
      <c r="DN109" s="176"/>
      <c r="DO109" s="176"/>
      <c r="DP109" s="176"/>
      <c r="DQ109" s="176"/>
      <c r="DR109" s="176"/>
      <c r="DS109" s="176"/>
      <c r="DT109" s="176"/>
      <c r="DU109" s="176"/>
      <c r="DV109" s="176"/>
      <c r="DW109" s="176"/>
      <c r="DX109" s="176"/>
      <c r="DY109" s="176"/>
      <c r="DZ109" s="176"/>
      <c r="EA109" s="176"/>
      <c r="EB109" s="176"/>
      <c r="EC109" s="176"/>
      <c r="ED109" s="176"/>
      <c r="EE109" s="176"/>
      <c r="EF109" s="176"/>
      <c r="EG109" s="176"/>
      <c r="EH109" s="176"/>
      <c r="EI109" s="176"/>
      <c r="EJ109" s="176"/>
      <c r="EK109" s="176"/>
      <c r="EL109" s="176"/>
      <c r="EM109" s="176"/>
      <c r="EN109" s="176"/>
      <c r="EO109" s="176"/>
      <c r="EP109" s="176"/>
      <c r="EQ109" s="176"/>
      <c r="ER109" s="176"/>
      <c r="ES109" s="176"/>
      <c r="ET109" s="176"/>
      <c r="EU109" s="176"/>
      <c r="EV109" s="176"/>
      <c r="EW109" s="176"/>
      <c r="EX109" s="176"/>
      <c r="EY109" s="176"/>
      <c r="EZ109" s="176"/>
      <c r="FA109" s="176"/>
      <c r="FB109" s="176"/>
      <c r="FC109" s="176"/>
      <c r="FD109" s="176"/>
      <c r="FE109" s="176"/>
      <c r="FF109" s="176"/>
      <c r="FG109" s="176"/>
      <c r="FH109" s="176"/>
      <c r="FI109" s="176"/>
      <c r="FJ109" s="176"/>
      <c r="FK109" s="176"/>
      <c r="FL109" s="176"/>
      <c r="FM109" s="176"/>
      <c r="FN109" s="176"/>
      <c r="FO109" s="176"/>
      <c r="FP109" s="176"/>
      <c r="FQ109" s="176"/>
      <c r="FR109" s="176"/>
      <c r="FS109" s="176"/>
      <c r="FT109" s="176"/>
      <c r="FU109" s="176"/>
      <c r="FV109" s="176"/>
      <c r="FW109" s="176"/>
      <c r="FX109" s="176"/>
      <c r="FY109" s="176"/>
      <c r="FZ109" s="176"/>
      <c r="GA109" s="176"/>
      <c r="GB109" s="176"/>
      <c r="GC109" s="176"/>
      <c r="GD109" s="176"/>
      <c r="GE109" s="176"/>
      <c r="GF109" s="176"/>
      <c r="GG109" s="176"/>
      <c r="GH109" s="176"/>
      <c r="GI109" s="176"/>
      <c r="GJ109" s="176"/>
      <c r="GK109" s="176"/>
      <c r="GL109" s="176"/>
      <c r="GM109" s="176"/>
      <c r="GN109" s="176"/>
      <c r="GO109" s="176"/>
      <c r="GP109" s="176"/>
      <c r="GQ109" s="176"/>
      <c r="GR109" s="176"/>
      <c r="GS109" s="176"/>
      <c r="GT109" s="176"/>
      <c r="GU109" s="176"/>
      <c r="GV109" s="176"/>
      <c r="GW109" s="176"/>
      <c r="GX109" s="176"/>
      <c r="GY109" s="176"/>
      <c r="GZ109" s="176"/>
      <c r="HA109" s="176"/>
      <c r="HB109" s="176"/>
      <c r="HC109" s="176"/>
      <c r="HD109" s="176"/>
      <c r="HE109" s="176"/>
      <c r="HF109" s="176"/>
      <c r="HG109" s="176"/>
      <c r="HH109" s="176"/>
      <c r="HI109" s="176"/>
      <c r="HJ109" s="176"/>
      <c r="HK109" s="176"/>
      <c r="HL109" s="176"/>
      <c r="HM109" s="176"/>
      <c r="HN109" s="176"/>
      <c r="HO109" s="176"/>
      <c r="HP109" s="176"/>
      <c r="HQ109" s="176"/>
      <c r="HR109" s="176"/>
      <c r="HS109" s="176"/>
      <c r="HT109" s="176"/>
      <c r="HU109" s="176"/>
      <c r="HV109" s="176"/>
      <c r="HW109" s="176"/>
      <c r="HX109" s="176"/>
      <c r="HY109" s="176"/>
      <c r="HZ109" s="176"/>
      <c r="IA109" s="176"/>
      <c r="IB109" s="176"/>
      <c r="IC109" s="176"/>
      <c r="ID109" s="176"/>
      <c r="IE109" s="176"/>
      <c r="IF109" s="176"/>
      <c r="IG109" s="176"/>
      <c r="IH109" s="176"/>
      <c r="II109" s="176"/>
      <c r="IJ109" s="176"/>
      <c r="IK109" s="176"/>
      <c r="IL109" s="176"/>
      <c r="IM109" s="176"/>
      <c r="IN109" s="176"/>
      <c r="IO109" s="176"/>
      <c r="IP109" s="176"/>
      <c r="IQ109" s="176"/>
      <c r="IR109" s="176"/>
      <c r="IS109" s="176"/>
      <c r="IT109" s="176"/>
      <c r="IU109" s="176"/>
      <c r="IV109" s="176"/>
    </row>
    <row r="110" spans="1:256" s="13" customFormat="1" ht="37.5" customHeight="1">
      <c r="A110" s="14" t="s">
        <v>12</v>
      </c>
      <c r="B110" s="14" t="s">
        <v>34</v>
      </c>
      <c r="C110" s="167" t="s">
        <v>3</v>
      </c>
      <c r="D110" s="168" t="s">
        <v>2326</v>
      </c>
      <c r="E110" s="169" t="s">
        <v>2327</v>
      </c>
      <c r="F110" s="167" t="s">
        <v>2334</v>
      </c>
      <c r="G110" s="167" t="s">
        <v>155</v>
      </c>
      <c r="H110" s="167">
        <v>425120</v>
      </c>
      <c r="I110" s="21" t="s">
        <v>28</v>
      </c>
      <c r="J110" s="14" t="s">
        <v>109</v>
      </c>
      <c r="K110" s="167" t="s">
        <v>29</v>
      </c>
      <c r="L110" s="167" t="s">
        <v>462</v>
      </c>
      <c r="M110" s="170">
        <v>682092</v>
      </c>
      <c r="N110" s="170">
        <v>682092</v>
      </c>
      <c r="O110" s="170" t="s">
        <v>20</v>
      </c>
      <c r="P110" s="171"/>
      <c r="Q110" s="173" t="s">
        <v>279</v>
      </c>
      <c r="R110" s="174" t="s">
        <v>10</v>
      </c>
      <c r="S110" s="174">
        <v>2013</v>
      </c>
      <c r="T110" s="168" t="s">
        <v>2329</v>
      </c>
      <c r="U110" s="173" t="s">
        <v>2330</v>
      </c>
      <c r="V110" s="175" t="s">
        <v>2331</v>
      </c>
      <c r="W110" s="169" t="s">
        <v>2332</v>
      </c>
      <c r="X110" s="166"/>
      <c r="Y110" s="100"/>
      <c r="Z110" s="100"/>
      <c r="AA110" s="100"/>
      <c r="AB110" s="100"/>
      <c r="AC110" s="176"/>
      <c r="AD110" s="176"/>
      <c r="AE110" s="176"/>
      <c r="AF110" s="176"/>
      <c r="AG110" s="176"/>
      <c r="AH110" s="176"/>
      <c r="AI110" s="176"/>
      <c r="AJ110" s="176"/>
      <c r="AK110" s="176"/>
      <c r="AL110" s="176"/>
      <c r="AM110" s="176"/>
      <c r="AN110" s="176"/>
      <c r="AO110" s="176"/>
      <c r="AP110" s="176"/>
      <c r="AQ110" s="176"/>
      <c r="AR110" s="176"/>
      <c r="AS110" s="176"/>
      <c r="AT110" s="176"/>
      <c r="AU110" s="176"/>
      <c r="AV110" s="176"/>
      <c r="AW110" s="176"/>
      <c r="AX110" s="176"/>
      <c r="AY110" s="176"/>
      <c r="AZ110" s="176"/>
      <c r="BA110" s="176"/>
      <c r="BB110" s="176"/>
      <c r="BC110" s="176"/>
      <c r="BD110" s="176"/>
      <c r="BE110" s="176"/>
      <c r="BF110" s="176"/>
      <c r="BG110" s="176"/>
      <c r="BH110" s="176"/>
      <c r="BI110" s="176"/>
      <c r="BJ110" s="176"/>
      <c r="BK110" s="176"/>
      <c r="BL110" s="176"/>
      <c r="BM110" s="176"/>
      <c r="BN110" s="176"/>
      <c r="BO110" s="176"/>
      <c r="BP110" s="176"/>
      <c r="BQ110" s="176"/>
      <c r="BR110" s="176"/>
      <c r="BS110" s="176"/>
      <c r="BT110" s="176"/>
      <c r="BU110" s="176"/>
      <c r="BV110" s="176"/>
      <c r="BW110" s="176"/>
      <c r="BX110" s="176"/>
      <c r="BY110" s="176"/>
      <c r="BZ110" s="176"/>
      <c r="CA110" s="176"/>
      <c r="CB110" s="176"/>
      <c r="CC110" s="176"/>
      <c r="CD110" s="176"/>
      <c r="CE110" s="176"/>
      <c r="CF110" s="176"/>
      <c r="CG110" s="176"/>
      <c r="CH110" s="176"/>
      <c r="CI110" s="176"/>
      <c r="CJ110" s="176"/>
      <c r="CK110" s="176"/>
      <c r="CL110" s="176"/>
      <c r="CM110" s="176"/>
      <c r="CN110" s="176"/>
      <c r="CO110" s="176"/>
      <c r="CP110" s="176"/>
      <c r="CQ110" s="176"/>
      <c r="CR110" s="176"/>
      <c r="CS110" s="176"/>
      <c r="CT110" s="176"/>
      <c r="CU110" s="176"/>
      <c r="CV110" s="176"/>
      <c r="CW110" s="176"/>
      <c r="CX110" s="176"/>
      <c r="CY110" s="176"/>
      <c r="CZ110" s="176"/>
      <c r="DA110" s="176"/>
      <c r="DB110" s="176"/>
      <c r="DC110" s="176"/>
      <c r="DD110" s="176"/>
      <c r="DE110" s="176"/>
      <c r="DF110" s="176"/>
      <c r="DG110" s="176"/>
      <c r="DH110" s="176"/>
      <c r="DI110" s="176"/>
      <c r="DJ110" s="176"/>
      <c r="DK110" s="176"/>
      <c r="DL110" s="176"/>
      <c r="DM110" s="176"/>
      <c r="DN110" s="176"/>
      <c r="DO110" s="176"/>
      <c r="DP110" s="176"/>
      <c r="DQ110" s="176"/>
      <c r="DR110" s="176"/>
      <c r="DS110" s="176"/>
      <c r="DT110" s="176"/>
      <c r="DU110" s="176"/>
      <c r="DV110" s="176"/>
      <c r="DW110" s="176"/>
      <c r="DX110" s="176"/>
      <c r="DY110" s="176"/>
      <c r="DZ110" s="176"/>
      <c r="EA110" s="176"/>
      <c r="EB110" s="176"/>
      <c r="EC110" s="176"/>
      <c r="ED110" s="176"/>
      <c r="EE110" s="176"/>
      <c r="EF110" s="176"/>
      <c r="EG110" s="176"/>
      <c r="EH110" s="176"/>
      <c r="EI110" s="176"/>
      <c r="EJ110" s="176"/>
      <c r="EK110" s="176"/>
      <c r="EL110" s="176"/>
      <c r="EM110" s="176"/>
      <c r="EN110" s="176"/>
      <c r="EO110" s="176"/>
      <c r="EP110" s="176"/>
      <c r="EQ110" s="176"/>
      <c r="ER110" s="176"/>
      <c r="ES110" s="176"/>
      <c r="ET110" s="176"/>
      <c r="EU110" s="176"/>
      <c r="EV110" s="176"/>
      <c r="EW110" s="176"/>
      <c r="EX110" s="176"/>
      <c r="EY110" s="176"/>
      <c r="EZ110" s="176"/>
      <c r="FA110" s="176"/>
      <c r="FB110" s="176"/>
      <c r="FC110" s="176"/>
      <c r="FD110" s="176"/>
      <c r="FE110" s="176"/>
      <c r="FF110" s="176"/>
      <c r="FG110" s="176"/>
      <c r="FH110" s="176"/>
      <c r="FI110" s="176"/>
      <c r="FJ110" s="176"/>
      <c r="FK110" s="176"/>
      <c r="FL110" s="176"/>
      <c r="FM110" s="176"/>
      <c r="FN110" s="176"/>
      <c r="FO110" s="176"/>
      <c r="FP110" s="176"/>
      <c r="FQ110" s="176"/>
      <c r="FR110" s="176"/>
      <c r="FS110" s="176"/>
      <c r="FT110" s="176"/>
      <c r="FU110" s="176"/>
      <c r="FV110" s="176"/>
      <c r="FW110" s="176"/>
      <c r="FX110" s="176"/>
      <c r="FY110" s="176"/>
      <c r="FZ110" s="176"/>
      <c r="GA110" s="176"/>
      <c r="GB110" s="176"/>
      <c r="GC110" s="176"/>
      <c r="GD110" s="176"/>
      <c r="GE110" s="176"/>
      <c r="GF110" s="176"/>
      <c r="GG110" s="176"/>
      <c r="GH110" s="176"/>
      <c r="GI110" s="176"/>
      <c r="GJ110" s="176"/>
      <c r="GK110" s="176"/>
      <c r="GL110" s="176"/>
      <c r="GM110" s="176"/>
      <c r="GN110" s="176"/>
      <c r="GO110" s="176"/>
      <c r="GP110" s="176"/>
      <c r="GQ110" s="176"/>
      <c r="GR110" s="176"/>
      <c r="GS110" s="176"/>
      <c r="GT110" s="176"/>
      <c r="GU110" s="176"/>
      <c r="GV110" s="176"/>
      <c r="GW110" s="176"/>
      <c r="GX110" s="176"/>
      <c r="GY110" s="176"/>
      <c r="GZ110" s="176"/>
      <c r="HA110" s="176"/>
      <c r="HB110" s="176"/>
      <c r="HC110" s="176"/>
      <c r="HD110" s="176"/>
      <c r="HE110" s="176"/>
      <c r="HF110" s="176"/>
      <c r="HG110" s="176"/>
      <c r="HH110" s="176"/>
      <c r="HI110" s="176"/>
      <c r="HJ110" s="176"/>
      <c r="HK110" s="176"/>
      <c r="HL110" s="176"/>
      <c r="HM110" s="176"/>
      <c r="HN110" s="176"/>
      <c r="HO110" s="176"/>
      <c r="HP110" s="176"/>
      <c r="HQ110" s="176"/>
      <c r="HR110" s="176"/>
      <c r="HS110" s="176"/>
      <c r="HT110" s="176"/>
      <c r="HU110" s="176"/>
      <c r="HV110" s="176"/>
      <c r="HW110" s="176"/>
      <c r="HX110" s="176"/>
      <c r="HY110" s="176"/>
      <c r="HZ110" s="176"/>
      <c r="IA110" s="176"/>
      <c r="IB110" s="176"/>
      <c r="IC110" s="176"/>
      <c r="ID110" s="176"/>
      <c r="IE110" s="176"/>
      <c r="IF110" s="176"/>
      <c r="IG110" s="176"/>
      <c r="IH110" s="176"/>
      <c r="II110" s="176"/>
      <c r="IJ110" s="176"/>
      <c r="IK110" s="176"/>
      <c r="IL110" s="176"/>
      <c r="IM110" s="176"/>
      <c r="IN110" s="176"/>
      <c r="IO110" s="176"/>
      <c r="IP110" s="176"/>
      <c r="IQ110" s="176"/>
      <c r="IR110" s="176"/>
      <c r="IS110" s="176"/>
      <c r="IT110" s="176"/>
      <c r="IU110" s="176"/>
      <c r="IV110" s="176"/>
    </row>
    <row r="111" spans="1:256" s="13" customFormat="1" ht="37.5" customHeight="1">
      <c r="A111" s="14" t="s">
        <v>12</v>
      </c>
      <c r="B111" s="14" t="s">
        <v>34</v>
      </c>
      <c r="C111" s="167" t="s">
        <v>3</v>
      </c>
      <c r="D111" s="168" t="s">
        <v>2326</v>
      </c>
      <c r="E111" s="169" t="s">
        <v>2327</v>
      </c>
      <c r="F111" s="167" t="s">
        <v>2335</v>
      </c>
      <c r="G111" s="167" t="s">
        <v>98</v>
      </c>
      <c r="H111" s="167">
        <v>425120</v>
      </c>
      <c r="I111" s="21" t="s">
        <v>28</v>
      </c>
      <c r="J111" s="14" t="s">
        <v>109</v>
      </c>
      <c r="K111" s="167" t="s">
        <v>29</v>
      </c>
      <c r="L111" s="167" t="s">
        <v>462</v>
      </c>
      <c r="M111" s="170">
        <v>608027</v>
      </c>
      <c r="N111" s="170">
        <v>608027</v>
      </c>
      <c r="O111" s="170" t="s">
        <v>20</v>
      </c>
      <c r="P111" s="171"/>
      <c r="Q111" s="173" t="s">
        <v>279</v>
      </c>
      <c r="R111" s="174" t="s">
        <v>10</v>
      </c>
      <c r="S111" s="174">
        <v>2013</v>
      </c>
      <c r="T111" s="168" t="s">
        <v>2329</v>
      </c>
      <c r="U111" s="173" t="s">
        <v>2330</v>
      </c>
      <c r="V111" s="175" t="s">
        <v>2331</v>
      </c>
      <c r="W111" s="169" t="s">
        <v>2332</v>
      </c>
      <c r="X111" s="166"/>
      <c r="Y111" s="100"/>
      <c r="Z111" s="100"/>
      <c r="AA111" s="100"/>
      <c r="AB111" s="100"/>
      <c r="AC111" s="176"/>
      <c r="AD111" s="176"/>
      <c r="AE111" s="176"/>
      <c r="AF111" s="176"/>
      <c r="AG111" s="176"/>
      <c r="AH111" s="176"/>
      <c r="AI111" s="176"/>
      <c r="AJ111" s="176"/>
      <c r="AK111" s="176"/>
      <c r="AL111" s="176"/>
      <c r="AM111" s="176"/>
      <c r="AN111" s="176"/>
      <c r="AO111" s="176"/>
      <c r="AP111" s="176"/>
      <c r="AQ111" s="176"/>
      <c r="AR111" s="176"/>
      <c r="AS111" s="176"/>
      <c r="AT111" s="176"/>
      <c r="AU111" s="176"/>
      <c r="AV111" s="176"/>
      <c r="AW111" s="176"/>
      <c r="AX111" s="176"/>
      <c r="AY111" s="176"/>
      <c r="AZ111" s="176"/>
      <c r="BA111" s="176"/>
      <c r="BB111" s="176"/>
      <c r="BC111" s="176"/>
      <c r="BD111" s="176"/>
      <c r="BE111" s="176"/>
      <c r="BF111" s="176"/>
      <c r="BG111" s="176"/>
      <c r="BH111" s="176"/>
      <c r="BI111" s="176"/>
      <c r="BJ111" s="176"/>
      <c r="BK111" s="176"/>
      <c r="BL111" s="176"/>
      <c r="BM111" s="176"/>
      <c r="BN111" s="176"/>
      <c r="BO111" s="176"/>
      <c r="BP111" s="176"/>
      <c r="BQ111" s="176"/>
      <c r="BR111" s="176"/>
      <c r="BS111" s="176"/>
      <c r="BT111" s="176"/>
      <c r="BU111" s="176"/>
      <c r="BV111" s="176"/>
      <c r="BW111" s="176"/>
      <c r="BX111" s="176"/>
      <c r="BY111" s="176"/>
      <c r="BZ111" s="176"/>
      <c r="CA111" s="176"/>
      <c r="CB111" s="176"/>
      <c r="CC111" s="176"/>
      <c r="CD111" s="176"/>
      <c r="CE111" s="176"/>
      <c r="CF111" s="176"/>
      <c r="CG111" s="176"/>
      <c r="CH111" s="176"/>
      <c r="CI111" s="176"/>
      <c r="CJ111" s="176"/>
      <c r="CK111" s="176"/>
      <c r="CL111" s="176"/>
      <c r="CM111" s="176"/>
      <c r="CN111" s="176"/>
      <c r="CO111" s="176"/>
      <c r="CP111" s="176"/>
      <c r="CQ111" s="176"/>
      <c r="CR111" s="176"/>
      <c r="CS111" s="176"/>
      <c r="CT111" s="176"/>
      <c r="CU111" s="176"/>
      <c r="CV111" s="176"/>
      <c r="CW111" s="176"/>
      <c r="CX111" s="176"/>
      <c r="CY111" s="176"/>
      <c r="CZ111" s="176"/>
      <c r="DA111" s="176"/>
      <c r="DB111" s="176"/>
      <c r="DC111" s="176"/>
      <c r="DD111" s="176"/>
      <c r="DE111" s="176"/>
      <c r="DF111" s="176"/>
      <c r="DG111" s="176"/>
      <c r="DH111" s="176"/>
      <c r="DI111" s="176"/>
      <c r="DJ111" s="176"/>
      <c r="DK111" s="176"/>
      <c r="DL111" s="176"/>
      <c r="DM111" s="176"/>
      <c r="DN111" s="176"/>
      <c r="DO111" s="176"/>
      <c r="DP111" s="176"/>
      <c r="DQ111" s="176"/>
      <c r="DR111" s="176"/>
      <c r="DS111" s="176"/>
      <c r="DT111" s="176"/>
      <c r="DU111" s="176"/>
      <c r="DV111" s="176"/>
      <c r="DW111" s="176"/>
      <c r="DX111" s="176"/>
      <c r="DY111" s="176"/>
      <c r="DZ111" s="176"/>
      <c r="EA111" s="176"/>
      <c r="EB111" s="176"/>
      <c r="EC111" s="176"/>
      <c r="ED111" s="176"/>
      <c r="EE111" s="176"/>
      <c r="EF111" s="176"/>
      <c r="EG111" s="176"/>
      <c r="EH111" s="176"/>
      <c r="EI111" s="176"/>
      <c r="EJ111" s="176"/>
      <c r="EK111" s="176"/>
      <c r="EL111" s="176"/>
      <c r="EM111" s="176"/>
      <c r="EN111" s="176"/>
      <c r="EO111" s="176"/>
      <c r="EP111" s="176"/>
      <c r="EQ111" s="176"/>
      <c r="ER111" s="176"/>
      <c r="ES111" s="176"/>
      <c r="ET111" s="176"/>
      <c r="EU111" s="176"/>
      <c r="EV111" s="176"/>
      <c r="EW111" s="176"/>
      <c r="EX111" s="176"/>
      <c r="EY111" s="176"/>
      <c r="EZ111" s="176"/>
      <c r="FA111" s="176"/>
      <c r="FB111" s="176"/>
      <c r="FC111" s="176"/>
      <c r="FD111" s="176"/>
      <c r="FE111" s="176"/>
      <c r="FF111" s="176"/>
      <c r="FG111" s="176"/>
      <c r="FH111" s="176"/>
      <c r="FI111" s="176"/>
      <c r="FJ111" s="176"/>
      <c r="FK111" s="176"/>
      <c r="FL111" s="176"/>
      <c r="FM111" s="176"/>
      <c r="FN111" s="176"/>
      <c r="FO111" s="176"/>
      <c r="FP111" s="176"/>
      <c r="FQ111" s="176"/>
      <c r="FR111" s="176"/>
      <c r="FS111" s="176"/>
      <c r="FT111" s="176"/>
      <c r="FU111" s="176"/>
      <c r="FV111" s="176"/>
      <c r="FW111" s="176"/>
      <c r="FX111" s="176"/>
      <c r="FY111" s="176"/>
      <c r="FZ111" s="176"/>
      <c r="GA111" s="176"/>
      <c r="GB111" s="176"/>
      <c r="GC111" s="176"/>
      <c r="GD111" s="176"/>
      <c r="GE111" s="176"/>
      <c r="GF111" s="176"/>
      <c r="GG111" s="176"/>
      <c r="GH111" s="176"/>
      <c r="GI111" s="176"/>
      <c r="GJ111" s="176"/>
      <c r="GK111" s="176"/>
      <c r="GL111" s="176"/>
      <c r="GM111" s="176"/>
      <c r="GN111" s="176"/>
      <c r="GO111" s="176"/>
      <c r="GP111" s="176"/>
      <c r="GQ111" s="176"/>
      <c r="GR111" s="176"/>
      <c r="GS111" s="176"/>
      <c r="GT111" s="176"/>
      <c r="GU111" s="176"/>
      <c r="GV111" s="176"/>
      <c r="GW111" s="176"/>
      <c r="GX111" s="176"/>
      <c r="GY111" s="176"/>
      <c r="GZ111" s="176"/>
      <c r="HA111" s="176"/>
      <c r="HB111" s="176"/>
      <c r="HC111" s="176"/>
      <c r="HD111" s="176"/>
      <c r="HE111" s="176"/>
      <c r="HF111" s="176"/>
      <c r="HG111" s="176"/>
      <c r="HH111" s="176"/>
      <c r="HI111" s="176"/>
      <c r="HJ111" s="176"/>
      <c r="HK111" s="176"/>
      <c r="HL111" s="176"/>
      <c r="HM111" s="176"/>
      <c r="HN111" s="176"/>
      <c r="HO111" s="176"/>
      <c r="HP111" s="176"/>
      <c r="HQ111" s="176"/>
      <c r="HR111" s="176"/>
      <c r="HS111" s="176"/>
      <c r="HT111" s="176"/>
      <c r="HU111" s="176"/>
      <c r="HV111" s="176"/>
      <c r="HW111" s="176"/>
      <c r="HX111" s="176"/>
      <c r="HY111" s="176"/>
      <c r="HZ111" s="176"/>
      <c r="IA111" s="176"/>
      <c r="IB111" s="176"/>
      <c r="IC111" s="176"/>
      <c r="ID111" s="176"/>
      <c r="IE111" s="176"/>
      <c r="IF111" s="176"/>
      <c r="IG111" s="176"/>
      <c r="IH111" s="176"/>
      <c r="II111" s="176"/>
      <c r="IJ111" s="176"/>
      <c r="IK111" s="176"/>
      <c r="IL111" s="176"/>
      <c r="IM111" s="176"/>
      <c r="IN111" s="176"/>
      <c r="IO111" s="176"/>
      <c r="IP111" s="176"/>
      <c r="IQ111" s="176"/>
      <c r="IR111" s="176"/>
      <c r="IS111" s="176"/>
      <c r="IT111" s="176"/>
      <c r="IU111" s="176"/>
      <c r="IV111" s="176"/>
    </row>
    <row r="112" spans="1:256" s="13" customFormat="1" ht="37.5" customHeight="1">
      <c r="A112" s="14" t="s">
        <v>12</v>
      </c>
      <c r="B112" s="14" t="s">
        <v>34</v>
      </c>
      <c r="C112" s="167" t="s">
        <v>25</v>
      </c>
      <c r="D112" s="26" t="s">
        <v>2345</v>
      </c>
      <c r="E112" s="169" t="s">
        <v>116</v>
      </c>
      <c r="F112" s="167" t="s">
        <v>897</v>
      </c>
      <c r="G112" s="167" t="s">
        <v>103</v>
      </c>
      <c r="H112" s="167">
        <v>561320</v>
      </c>
      <c r="I112" s="14" t="s">
        <v>17</v>
      </c>
      <c r="J112" s="14" t="s">
        <v>109</v>
      </c>
      <c r="K112" s="167" t="s">
        <v>29</v>
      </c>
      <c r="L112" s="167" t="s">
        <v>1313</v>
      </c>
      <c r="M112" s="172">
        <v>1308487</v>
      </c>
      <c r="N112" s="172">
        <v>1308487</v>
      </c>
      <c r="O112" s="170" t="s">
        <v>20</v>
      </c>
      <c r="P112" s="168" t="s">
        <v>2336</v>
      </c>
      <c r="Q112" s="173" t="s">
        <v>614</v>
      </c>
      <c r="R112" s="174" t="s">
        <v>31</v>
      </c>
      <c r="S112" s="174">
        <v>2013</v>
      </c>
      <c r="T112" s="168" t="s">
        <v>2337</v>
      </c>
      <c r="U112" s="173" t="s">
        <v>2338</v>
      </c>
      <c r="V112" s="175" t="s">
        <v>2339</v>
      </c>
      <c r="W112" s="169" t="s">
        <v>2332</v>
      </c>
      <c r="X112" s="21"/>
      <c r="Y112" s="100"/>
      <c r="Z112" s="100"/>
      <c r="AA112" s="100"/>
      <c r="AB112" s="100"/>
      <c r="AC112" s="176"/>
      <c r="AD112" s="176"/>
      <c r="AE112" s="176"/>
      <c r="AF112" s="176"/>
      <c r="AG112" s="176"/>
      <c r="AH112" s="176"/>
      <c r="AI112" s="176"/>
      <c r="AJ112" s="176"/>
      <c r="AK112" s="176"/>
      <c r="AL112" s="176"/>
      <c r="AM112" s="176"/>
      <c r="AN112" s="176"/>
      <c r="AO112" s="176"/>
      <c r="AP112" s="176"/>
      <c r="AQ112" s="176"/>
      <c r="AR112" s="176"/>
      <c r="AS112" s="176"/>
      <c r="AT112" s="176"/>
      <c r="AU112" s="176"/>
      <c r="AV112" s="176"/>
      <c r="AW112" s="176"/>
      <c r="AX112" s="176"/>
      <c r="AY112" s="176"/>
      <c r="AZ112" s="176"/>
      <c r="BA112" s="176"/>
      <c r="BB112" s="176"/>
      <c r="BC112" s="176"/>
      <c r="BD112" s="176"/>
      <c r="BE112" s="176"/>
      <c r="BF112" s="176"/>
      <c r="BG112" s="176"/>
      <c r="BH112" s="176"/>
      <c r="BI112" s="176"/>
      <c r="BJ112" s="176"/>
      <c r="BK112" s="176"/>
      <c r="BL112" s="176"/>
      <c r="BM112" s="176"/>
      <c r="BN112" s="176"/>
      <c r="BO112" s="176"/>
      <c r="BP112" s="176"/>
      <c r="BQ112" s="176"/>
      <c r="BR112" s="176"/>
      <c r="BS112" s="176"/>
      <c r="BT112" s="176"/>
      <c r="BU112" s="176"/>
      <c r="BV112" s="176"/>
      <c r="BW112" s="176"/>
      <c r="BX112" s="176"/>
      <c r="BY112" s="176"/>
      <c r="BZ112" s="176"/>
      <c r="CA112" s="176"/>
      <c r="CB112" s="176"/>
      <c r="CC112" s="176"/>
      <c r="CD112" s="176"/>
      <c r="CE112" s="176"/>
      <c r="CF112" s="176"/>
      <c r="CG112" s="176"/>
      <c r="CH112" s="176"/>
      <c r="CI112" s="176"/>
      <c r="CJ112" s="176"/>
      <c r="CK112" s="176"/>
      <c r="CL112" s="176"/>
      <c r="CM112" s="176"/>
      <c r="CN112" s="176"/>
      <c r="CO112" s="176"/>
      <c r="CP112" s="176"/>
      <c r="CQ112" s="176"/>
      <c r="CR112" s="176"/>
      <c r="CS112" s="176"/>
      <c r="CT112" s="176"/>
      <c r="CU112" s="176"/>
      <c r="CV112" s="176"/>
      <c r="CW112" s="176"/>
      <c r="CX112" s="176"/>
      <c r="CY112" s="176"/>
      <c r="CZ112" s="176"/>
      <c r="DA112" s="176"/>
      <c r="DB112" s="176"/>
      <c r="DC112" s="176"/>
      <c r="DD112" s="176"/>
      <c r="DE112" s="176"/>
      <c r="DF112" s="176"/>
      <c r="DG112" s="176"/>
      <c r="DH112" s="176"/>
      <c r="DI112" s="176"/>
      <c r="DJ112" s="176"/>
      <c r="DK112" s="176"/>
      <c r="DL112" s="176"/>
      <c r="DM112" s="176"/>
      <c r="DN112" s="176"/>
      <c r="DO112" s="176"/>
      <c r="DP112" s="176"/>
      <c r="DQ112" s="176"/>
      <c r="DR112" s="176"/>
      <c r="DS112" s="176"/>
      <c r="DT112" s="176"/>
      <c r="DU112" s="176"/>
      <c r="DV112" s="176"/>
      <c r="DW112" s="176"/>
      <c r="DX112" s="176"/>
      <c r="DY112" s="176"/>
      <c r="DZ112" s="176"/>
      <c r="EA112" s="176"/>
      <c r="EB112" s="176"/>
      <c r="EC112" s="176"/>
      <c r="ED112" s="176"/>
      <c r="EE112" s="176"/>
      <c r="EF112" s="176"/>
      <c r="EG112" s="176"/>
      <c r="EH112" s="176"/>
      <c r="EI112" s="176"/>
      <c r="EJ112" s="176"/>
      <c r="EK112" s="176"/>
      <c r="EL112" s="176"/>
      <c r="EM112" s="176"/>
      <c r="EN112" s="176"/>
      <c r="EO112" s="176"/>
      <c r="EP112" s="176"/>
      <c r="EQ112" s="176"/>
      <c r="ER112" s="176"/>
      <c r="ES112" s="176"/>
      <c r="ET112" s="176"/>
      <c r="EU112" s="176"/>
      <c r="EV112" s="176"/>
      <c r="EW112" s="176"/>
      <c r="EX112" s="176"/>
      <c r="EY112" s="176"/>
      <c r="EZ112" s="176"/>
      <c r="FA112" s="176"/>
      <c r="FB112" s="176"/>
      <c r="FC112" s="176"/>
      <c r="FD112" s="176"/>
      <c r="FE112" s="176"/>
      <c r="FF112" s="176"/>
      <c r="FG112" s="176"/>
      <c r="FH112" s="176"/>
      <c r="FI112" s="176"/>
      <c r="FJ112" s="176"/>
      <c r="FK112" s="176"/>
      <c r="FL112" s="176"/>
      <c r="FM112" s="176"/>
      <c r="FN112" s="176"/>
      <c r="FO112" s="176"/>
      <c r="FP112" s="176"/>
      <c r="FQ112" s="176"/>
      <c r="FR112" s="176"/>
      <c r="FS112" s="176"/>
      <c r="FT112" s="176"/>
      <c r="FU112" s="176"/>
      <c r="FV112" s="176"/>
      <c r="FW112" s="176"/>
      <c r="FX112" s="176"/>
      <c r="FY112" s="176"/>
      <c r="FZ112" s="176"/>
      <c r="GA112" s="176"/>
      <c r="GB112" s="176"/>
      <c r="GC112" s="176"/>
      <c r="GD112" s="176"/>
      <c r="GE112" s="176"/>
      <c r="GF112" s="176"/>
      <c r="GG112" s="176"/>
      <c r="GH112" s="176"/>
      <c r="GI112" s="176"/>
      <c r="GJ112" s="176"/>
      <c r="GK112" s="176"/>
      <c r="GL112" s="176"/>
      <c r="GM112" s="176"/>
      <c r="GN112" s="176"/>
      <c r="GO112" s="176"/>
      <c r="GP112" s="176"/>
      <c r="GQ112" s="176"/>
      <c r="GR112" s="176"/>
      <c r="GS112" s="176"/>
      <c r="GT112" s="176"/>
      <c r="GU112" s="176"/>
      <c r="GV112" s="176"/>
      <c r="GW112" s="176"/>
      <c r="GX112" s="176"/>
      <c r="GY112" s="176"/>
      <c r="GZ112" s="176"/>
      <c r="HA112" s="176"/>
      <c r="HB112" s="176"/>
      <c r="HC112" s="176"/>
      <c r="HD112" s="176"/>
      <c r="HE112" s="176"/>
      <c r="HF112" s="176"/>
      <c r="HG112" s="176"/>
      <c r="HH112" s="176"/>
      <c r="HI112" s="176"/>
      <c r="HJ112" s="176"/>
      <c r="HK112" s="176"/>
      <c r="HL112" s="176"/>
      <c r="HM112" s="176"/>
      <c r="HN112" s="176"/>
      <c r="HO112" s="176"/>
      <c r="HP112" s="176"/>
      <c r="HQ112" s="176"/>
      <c r="HR112" s="176"/>
      <c r="HS112" s="176"/>
      <c r="HT112" s="176"/>
      <c r="HU112" s="176"/>
      <c r="HV112" s="176"/>
      <c r="HW112" s="176"/>
      <c r="HX112" s="176"/>
      <c r="HY112" s="176"/>
      <c r="HZ112" s="176"/>
      <c r="IA112" s="176"/>
      <c r="IB112" s="176"/>
      <c r="IC112" s="176"/>
      <c r="ID112" s="176"/>
      <c r="IE112" s="176"/>
      <c r="IF112" s="176"/>
      <c r="IG112" s="176"/>
      <c r="IH112" s="176"/>
      <c r="II112" s="176"/>
      <c r="IJ112" s="176"/>
      <c r="IK112" s="176"/>
      <c r="IL112" s="176"/>
      <c r="IM112" s="176"/>
      <c r="IN112" s="176"/>
      <c r="IO112" s="176"/>
      <c r="IP112" s="176"/>
      <c r="IQ112" s="176"/>
      <c r="IR112" s="176"/>
      <c r="IS112" s="176"/>
      <c r="IT112" s="176"/>
      <c r="IU112" s="176"/>
      <c r="IV112" s="176"/>
    </row>
    <row r="113" spans="1:256" s="13" customFormat="1" ht="37.5" customHeight="1">
      <c r="A113" s="14" t="s">
        <v>12</v>
      </c>
      <c r="B113" s="14" t="s">
        <v>34</v>
      </c>
      <c r="C113" s="167" t="s">
        <v>3</v>
      </c>
      <c r="D113" s="168" t="s">
        <v>2340</v>
      </c>
      <c r="E113" s="169" t="s">
        <v>116</v>
      </c>
      <c r="F113" s="167" t="s">
        <v>897</v>
      </c>
      <c r="G113" s="167" t="s">
        <v>103</v>
      </c>
      <c r="H113" s="167">
        <v>561320</v>
      </c>
      <c r="I113" s="14" t="s">
        <v>17</v>
      </c>
      <c r="J113" s="14" t="s">
        <v>109</v>
      </c>
      <c r="K113" s="167" t="s">
        <v>2341</v>
      </c>
      <c r="L113" s="90" t="s">
        <v>279</v>
      </c>
      <c r="M113" s="170">
        <v>461000</v>
      </c>
      <c r="N113" s="170">
        <v>2495080</v>
      </c>
      <c r="O113" s="170" t="s">
        <v>20</v>
      </c>
      <c r="P113" s="171"/>
      <c r="Q113" s="173" t="s">
        <v>279</v>
      </c>
      <c r="R113" s="174" t="s">
        <v>10</v>
      </c>
      <c r="S113" s="174">
        <v>2013</v>
      </c>
      <c r="T113" s="168" t="s">
        <v>2342</v>
      </c>
      <c r="U113" s="173" t="s">
        <v>2343</v>
      </c>
      <c r="V113" s="175" t="s">
        <v>2344</v>
      </c>
      <c r="W113" s="169" t="s">
        <v>2332</v>
      </c>
      <c r="X113" s="166"/>
      <c r="Y113" s="100"/>
      <c r="Z113" s="100"/>
      <c r="AA113" s="100"/>
      <c r="AB113" s="100"/>
      <c r="AC113" s="176"/>
      <c r="AD113" s="176"/>
      <c r="AE113" s="176"/>
      <c r="AF113" s="176"/>
      <c r="AG113" s="176"/>
      <c r="AH113" s="176"/>
      <c r="AI113" s="176"/>
      <c r="AJ113" s="176"/>
      <c r="AK113" s="176"/>
      <c r="AL113" s="176"/>
      <c r="AM113" s="176"/>
      <c r="AN113" s="176"/>
      <c r="AO113" s="176"/>
      <c r="AP113" s="176"/>
      <c r="AQ113" s="176"/>
      <c r="AR113" s="176"/>
      <c r="AS113" s="176"/>
      <c r="AT113" s="176"/>
      <c r="AU113" s="176"/>
      <c r="AV113" s="176"/>
      <c r="AW113" s="176"/>
      <c r="AX113" s="176"/>
      <c r="AY113" s="176"/>
      <c r="AZ113" s="176"/>
      <c r="BA113" s="176"/>
      <c r="BB113" s="176"/>
      <c r="BC113" s="176"/>
      <c r="BD113" s="176"/>
      <c r="BE113" s="176"/>
      <c r="BF113" s="176"/>
      <c r="BG113" s="176"/>
      <c r="BH113" s="176"/>
      <c r="BI113" s="176"/>
      <c r="BJ113" s="176"/>
      <c r="BK113" s="176"/>
      <c r="BL113" s="176"/>
      <c r="BM113" s="176"/>
      <c r="BN113" s="176"/>
      <c r="BO113" s="176"/>
      <c r="BP113" s="176"/>
      <c r="BQ113" s="176"/>
      <c r="BR113" s="176"/>
      <c r="BS113" s="176"/>
      <c r="BT113" s="176"/>
      <c r="BU113" s="176"/>
      <c r="BV113" s="176"/>
      <c r="BW113" s="176"/>
      <c r="BX113" s="176"/>
      <c r="BY113" s="176"/>
      <c r="BZ113" s="176"/>
      <c r="CA113" s="176"/>
      <c r="CB113" s="176"/>
      <c r="CC113" s="176"/>
      <c r="CD113" s="176"/>
      <c r="CE113" s="176"/>
      <c r="CF113" s="176"/>
      <c r="CG113" s="176"/>
      <c r="CH113" s="176"/>
      <c r="CI113" s="176"/>
      <c r="CJ113" s="176"/>
      <c r="CK113" s="176"/>
      <c r="CL113" s="176"/>
      <c r="CM113" s="176"/>
      <c r="CN113" s="176"/>
      <c r="CO113" s="176"/>
      <c r="CP113" s="176"/>
      <c r="CQ113" s="176"/>
      <c r="CR113" s="176"/>
      <c r="CS113" s="176"/>
      <c r="CT113" s="176"/>
      <c r="CU113" s="176"/>
      <c r="CV113" s="176"/>
      <c r="CW113" s="176"/>
      <c r="CX113" s="176"/>
      <c r="CY113" s="176"/>
      <c r="CZ113" s="176"/>
      <c r="DA113" s="176"/>
      <c r="DB113" s="176"/>
      <c r="DC113" s="176"/>
      <c r="DD113" s="176"/>
      <c r="DE113" s="176"/>
      <c r="DF113" s="176"/>
      <c r="DG113" s="176"/>
      <c r="DH113" s="176"/>
      <c r="DI113" s="176"/>
      <c r="DJ113" s="176"/>
      <c r="DK113" s="176"/>
      <c r="DL113" s="176"/>
      <c r="DM113" s="176"/>
      <c r="DN113" s="176"/>
      <c r="DO113" s="176"/>
      <c r="DP113" s="176"/>
      <c r="DQ113" s="176"/>
      <c r="DR113" s="176"/>
      <c r="DS113" s="176"/>
      <c r="DT113" s="176"/>
      <c r="DU113" s="176"/>
      <c r="DV113" s="176"/>
      <c r="DW113" s="176"/>
      <c r="DX113" s="176"/>
      <c r="DY113" s="176"/>
      <c r="DZ113" s="176"/>
      <c r="EA113" s="176"/>
      <c r="EB113" s="176"/>
      <c r="EC113" s="176"/>
      <c r="ED113" s="176"/>
      <c r="EE113" s="176"/>
      <c r="EF113" s="176"/>
      <c r="EG113" s="176"/>
      <c r="EH113" s="176"/>
      <c r="EI113" s="176"/>
      <c r="EJ113" s="176"/>
      <c r="EK113" s="176"/>
      <c r="EL113" s="176"/>
      <c r="EM113" s="176"/>
      <c r="EN113" s="176"/>
      <c r="EO113" s="176"/>
      <c r="EP113" s="176"/>
      <c r="EQ113" s="176"/>
      <c r="ER113" s="176"/>
      <c r="ES113" s="176"/>
      <c r="ET113" s="176"/>
      <c r="EU113" s="176"/>
      <c r="EV113" s="176"/>
      <c r="EW113" s="176"/>
      <c r="EX113" s="176"/>
      <c r="EY113" s="176"/>
      <c r="EZ113" s="176"/>
      <c r="FA113" s="176"/>
      <c r="FB113" s="176"/>
      <c r="FC113" s="176"/>
      <c r="FD113" s="176"/>
      <c r="FE113" s="176"/>
      <c r="FF113" s="176"/>
      <c r="FG113" s="176"/>
      <c r="FH113" s="176"/>
      <c r="FI113" s="176"/>
      <c r="FJ113" s="176"/>
      <c r="FK113" s="176"/>
      <c r="FL113" s="176"/>
      <c r="FM113" s="176"/>
      <c r="FN113" s="176"/>
      <c r="FO113" s="176"/>
      <c r="FP113" s="176"/>
      <c r="FQ113" s="176"/>
      <c r="FR113" s="176"/>
      <c r="FS113" s="176"/>
      <c r="FT113" s="176"/>
      <c r="FU113" s="176"/>
      <c r="FV113" s="176"/>
      <c r="FW113" s="176"/>
      <c r="FX113" s="176"/>
      <c r="FY113" s="176"/>
      <c r="FZ113" s="176"/>
      <c r="GA113" s="176"/>
      <c r="GB113" s="176"/>
      <c r="GC113" s="176"/>
      <c r="GD113" s="176"/>
      <c r="GE113" s="176"/>
      <c r="GF113" s="176"/>
      <c r="GG113" s="176"/>
      <c r="GH113" s="176"/>
      <c r="GI113" s="176"/>
      <c r="GJ113" s="176"/>
      <c r="GK113" s="176"/>
      <c r="GL113" s="176"/>
      <c r="GM113" s="176"/>
      <c r="GN113" s="176"/>
      <c r="GO113" s="176"/>
      <c r="GP113" s="176"/>
      <c r="GQ113" s="176"/>
      <c r="GR113" s="176"/>
      <c r="GS113" s="176"/>
      <c r="GT113" s="176"/>
      <c r="GU113" s="176"/>
      <c r="GV113" s="176"/>
      <c r="GW113" s="176"/>
      <c r="GX113" s="176"/>
      <c r="GY113" s="176"/>
      <c r="GZ113" s="176"/>
      <c r="HA113" s="176"/>
      <c r="HB113" s="176"/>
      <c r="HC113" s="176"/>
      <c r="HD113" s="176"/>
      <c r="HE113" s="176"/>
      <c r="HF113" s="176"/>
      <c r="HG113" s="176"/>
      <c r="HH113" s="176"/>
      <c r="HI113" s="176"/>
      <c r="HJ113" s="176"/>
      <c r="HK113" s="176"/>
      <c r="HL113" s="176"/>
      <c r="HM113" s="176"/>
      <c r="HN113" s="176"/>
      <c r="HO113" s="176"/>
      <c r="HP113" s="176"/>
      <c r="HQ113" s="176"/>
      <c r="HR113" s="176"/>
      <c r="HS113" s="176"/>
      <c r="HT113" s="176"/>
      <c r="HU113" s="176"/>
      <c r="HV113" s="176"/>
      <c r="HW113" s="176"/>
      <c r="HX113" s="176"/>
      <c r="HY113" s="176"/>
      <c r="HZ113" s="176"/>
      <c r="IA113" s="176"/>
      <c r="IB113" s="176"/>
      <c r="IC113" s="176"/>
      <c r="ID113" s="176"/>
      <c r="IE113" s="176"/>
      <c r="IF113" s="176"/>
      <c r="IG113" s="176"/>
      <c r="IH113" s="176"/>
      <c r="II113" s="176"/>
      <c r="IJ113" s="176"/>
      <c r="IK113" s="176"/>
      <c r="IL113" s="176"/>
      <c r="IM113" s="176"/>
      <c r="IN113" s="176"/>
      <c r="IO113" s="176"/>
      <c r="IP113" s="176"/>
      <c r="IQ113" s="176"/>
      <c r="IR113" s="176"/>
      <c r="IS113" s="176"/>
      <c r="IT113" s="176"/>
      <c r="IU113" s="176"/>
      <c r="IV113" s="176"/>
    </row>
    <row r="114" spans="1:256" s="71" customFormat="1" ht="37.5" customHeight="1">
      <c r="A114" s="21" t="s">
        <v>12</v>
      </c>
      <c r="B114" s="21" t="s">
        <v>96</v>
      </c>
      <c r="C114" s="21" t="s">
        <v>45</v>
      </c>
      <c r="D114" s="26" t="s">
        <v>2014</v>
      </c>
      <c r="E114" s="21" t="s">
        <v>116</v>
      </c>
      <c r="F114" s="21" t="s">
        <v>2015</v>
      </c>
      <c r="G114" s="21" t="s">
        <v>85</v>
      </c>
      <c r="H114" s="21">
        <v>541611</v>
      </c>
      <c r="I114" s="21" t="s">
        <v>64</v>
      </c>
      <c r="J114" s="21" t="s">
        <v>140</v>
      </c>
      <c r="K114" s="71" t="s">
        <v>87</v>
      </c>
      <c r="L114" s="21" t="s">
        <v>2016</v>
      </c>
      <c r="M114" s="22">
        <v>1000000</v>
      </c>
      <c r="N114" s="22">
        <v>1500000</v>
      </c>
      <c r="O114" s="72" t="s">
        <v>20</v>
      </c>
      <c r="P114" s="73" t="s">
        <v>2017</v>
      </c>
      <c r="Q114" s="71" t="s">
        <v>279</v>
      </c>
      <c r="R114" s="71" t="s">
        <v>10</v>
      </c>
      <c r="S114" s="74">
        <v>2013</v>
      </c>
      <c r="T114" s="26"/>
      <c r="U114" s="26"/>
      <c r="V114" s="75"/>
      <c r="W114" s="95" t="s">
        <v>11</v>
      </c>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c r="BG114" s="101"/>
      <c r="BH114" s="101"/>
      <c r="BI114" s="101"/>
      <c r="BJ114" s="101"/>
      <c r="BK114" s="101"/>
      <c r="BL114" s="101"/>
      <c r="BM114" s="101"/>
      <c r="BN114" s="101"/>
      <c r="BO114" s="101"/>
      <c r="BP114" s="101"/>
      <c r="BQ114" s="101"/>
      <c r="BR114" s="101"/>
      <c r="BS114" s="101"/>
      <c r="BT114" s="101"/>
      <c r="BU114" s="101"/>
      <c r="BV114" s="101"/>
      <c r="BW114" s="101"/>
      <c r="BX114" s="101"/>
      <c r="BY114" s="101"/>
      <c r="BZ114" s="101"/>
      <c r="CA114" s="101"/>
      <c r="CB114" s="101"/>
      <c r="CC114" s="101"/>
      <c r="CD114" s="101"/>
      <c r="CE114" s="101"/>
      <c r="CF114" s="101"/>
      <c r="CG114" s="101"/>
      <c r="CH114" s="101"/>
      <c r="CI114" s="101"/>
      <c r="CJ114" s="101"/>
      <c r="CK114" s="101"/>
      <c r="CL114" s="101"/>
      <c r="CM114" s="101"/>
      <c r="CN114" s="101"/>
      <c r="CO114" s="101"/>
      <c r="CP114" s="101"/>
      <c r="CQ114" s="98"/>
    </row>
    <row r="115" spans="1:256" s="84" customFormat="1" ht="37.5" customHeight="1">
      <c r="A115" s="76" t="s">
        <v>12</v>
      </c>
      <c r="B115" s="76" t="s">
        <v>96</v>
      </c>
      <c r="C115" s="76" t="s">
        <v>25</v>
      </c>
      <c r="D115" s="77" t="s">
        <v>2018</v>
      </c>
      <c r="E115" s="76" t="s">
        <v>116</v>
      </c>
      <c r="F115" s="76" t="s">
        <v>2019</v>
      </c>
      <c r="G115" s="76" t="s">
        <v>207</v>
      </c>
      <c r="H115" s="78"/>
      <c r="I115" s="76" t="s">
        <v>17</v>
      </c>
      <c r="J115" s="76" t="s">
        <v>143</v>
      </c>
      <c r="K115" s="79" t="s">
        <v>73</v>
      </c>
      <c r="L115" s="76" t="s">
        <v>2020</v>
      </c>
      <c r="M115" s="80">
        <v>0</v>
      </c>
      <c r="N115" s="80">
        <v>5400000</v>
      </c>
      <c r="O115" s="81" t="s">
        <v>20</v>
      </c>
      <c r="P115" s="77" t="s">
        <v>2021</v>
      </c>
      <c r="Q115" s="79" t="s">
        <v>279</v>
      </c>
      <c r="R115" s="79" t="s">
        <v>10</v>
      </c>
      <c r="S115" s="82">
        <v>2013</v>
      </c>
      <c r="T115" s="77" t="s">
        <v>2022</v>
      </c>
      <c r="U115" s="77" t="s">
        <v>2023</v>
      </c>
      <c r="V115" s="83" t="s">
        <v>2024</v>
      </c>
      <c r="W115" s="107" t="s">
        <v>11</v>
      </c>
      <c r="X115" s="7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c r="BG115" s="101"/>
      <c r="BH115" s="101"/>
      <c r="BI115" s="101"/>
      <c r="BJ115" s="101"/>
      <c r="BK115" s="101"/>
      <c r="BL115" s="101"/>
      <c r="BM115" s="101"/>
      <c r="BN115" s="101"/>
      <c r="BO115" s="101"/>
      <c r="BP115" s="101"/>
      <c r="BQ115" s="101"/>
      <c r="BR115" s="101"/>
      <c r="BS115" s="101"/>
      <c r="BT115" s="101"/>
      <c r="BU115" s="101"/>
      <c r="BV115" s="101"/>
      <c r="BW115" s="101"/>
      <c r="BX115" s="101"/>
      <c r="BY115" s="101"/>
      <c r="BZ115" s="101"/>
      <c r="CA115" s="101"/>
      <c r="CB115" s="101"/>
      <c r="CC115" s="101"/>
      <c r="CD115" s="101"/>
      <c r="CE115" s="101"/>
      <c r="CF115" s="101"/>
      <c r="CG115" s="101"/>
      <c r="CH115" s="101"/>
      <c r="CI115" s="101"/>
      <c r="CJ115" s="101"/>
      <c r="CK115" s="101"/>
      <c r="CL115" s="101"/>
      <c r="CM115" s="101"/>
      <c r="CN115" s="101"/>
      <c r="CO115" s="101"/>
      <c r="CP115" s="101"/>
    </row>
    <row r="116" spans="1:256" s="84" customFormat="1" ht="37.5" customHeight="1">
      <c r="A116" s="21" t="s">
        <v>12</v>
      </c>
      <c r="B116" s="21" t="s">
        <v>96</v>
      </c>
      <c r="C116" s="21" t="s">
        <v>35</v>
      </c>
      <c r="D116" s="26" t="s">
        <v>2025</v>
      </c>
      <c r="E116" s="21" t="s">
        <v>36</v>
      </c>
      <c r="F116" s="21" t="s">
        <v>2019</v>
      </c>
      <c r="G116" s="21" t="s">
        <v>207</v>
      </c>
      <c r="H116" s="85">
        <v>511210</v>
      </c>
      <c r="I116" s="21" t="s">
        <v>2026</v>
      </c>
      <c r="J116" s="21" t="s">
        <v>57</v>
      </c>
      <c r="K116" s="71" t="s">
        <v>29</v>
      </c>
      <c r="L116" s="21" t="s">
        <v>2027</v>
      </c>
      <c r="M116" s="22">
        <v>0</v>
      </c>
      <c r="N116" s="22">
        <v>5000000</v>
      </c>
      <c r="O116" s="86" t="s">
        <v>20</v>
      </c>
      <c r="P116" s="26" t="s">
        <v>278</v>
      </c>
      <c r="Q116" s="71" t="s">
        <v>279</v>
      </c>
      <c r="R116" s="71" t="s">
        <v>10</v>
      </c>
      <c r="S116" s="74">
        <v>2013</v>
      </c>
      <c r="T116" s="26" t="s">
        <v>2028</v>
      </c>
      <c r="U116" s="26" t="s">
        <v>2029</v>
      </c>
      <c r="V116" s="75" t="s">
        <v>2030</v>
      </c>
      <c r="W116" s="95" t="s">
        <v>11</v>
      </c>
      <c r="X116" s="71" t="s">
        <v>2031</v>
      </c>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c r="BG116" s="101"/>
      <c r="BH116" s="101"/>
      <c r="BI116" s="101"/>
      <c r="BJ116" s="101"/>
      <c r="BK116" s="101"/>
      <c r="BL116" s="101"/>
      <c r="BM116" s="101"/>
      <c r="BN116" s="101"/>
      <c r="BO116" s="101"/>
      <c r="BP116" s="101"/>
      <c r="BQ116" s="101"/>
      <c r="BR116" s="101"/>
      <c r="BS116" s="101"/>
      <c r="BT116" s="101"/>
      <c r="BU116" s="101"/>
      <c r="BV116" s="101"/>
      <c r="BW116" s="101"/>
      <c r="BX116" s="101"/>
      <c r="BY116" s="101"/>
      <c r="BZ116" s="101"/>
      <c r="CA116" s="101"/>
      <c r="CB116" s="101"/>
      <c r="CC116" s="101"/>
      <c r="CD116" s="101"/>
      <c r="CE116" s="101"/>
      <c r="CF116" s="101"/>
      <c r="CG116" s="101"/>
      <c r="CH116" s="101"/>
      <c r="CI116" s="101"/>
      <c r="CJ116" s="101"/>
      <c r="CK116" s="101"/>
      <c r="CL116" s="101"/>
      <c r="CM116" s="101"/>
      <c r="CN116" s="101"/>
      <c r="CO116" s="101"/>
      <c r="CP116" s="101"/>
    </row>
    <row r="117" spans="1:256" s="84" customFormat="1" ht="37.5" customHeight="1">
      <c r="A117" s="21" t="s">
        <v>12</v>
      </c>
      <c r="B117" s="21" t="s">
        <v>96</v>
      </c>
      <c r="C117" s="21" t="s">
        <v>3</v>
      </c>
      <c r="D117" s="26" t="s">
        <v>2032</v>
      </c>
      <c r="E117" s="21" t="s">
        <v>259</v>
      </c>
      <c r="F117" s="21" t="s">
        <v>1564</v>
      </c>
      <c r="G117" s="21" t="s">
        <v>207</v>
      </c>
      <c r="H117" s="85">
        <v>541490</v>
      </c>
      <c r="I117" s="21" t="s">
        <v>2026</v>
      </c>
      <c r="J117" s="21" t="s">
        <v>109</v>
      </c>
      <c r="K117" s="71" t="s">
        <v>29</v>
      </c>
      <c r="L117" s="21" t="s">
        <v>2033</v>
      </c>
      <c r="M117" s="22">
        <v>4900</v>
      </c>
      <c r="N117" s="22">
        <v>12000</v>
      </c>
      <c r="O117" s="86" t="s">
        <v>9</v>
      </c>
      <c r="P117" s="26" t="s">
        <v>2034</v>
      </c>
      <c r="Q117" s="71" t="s">
        <v>614</v>
      </c>
      <c r="R117" s="71" t="s">
        <v>10</v>
      </c>
      <c r="S117" s="74">
        <v>2013</v>
      </c>
      <c r="T117" s="26" t="s">
        <v>2035</v>
      </c>
      <c r="U117" s="26" t="s">
        <v>2036</v>
      </c>
      <c r="V117" s="75" t="s">
        <v>2037</v>
      </c>
      <c r="W117" s="95" t="s">
        <v>11</v>
      </c>
      <c r="X117" s="71"/>
      <c r="Y117" s="102"/>
      <c r="Z117" s="102"/>
      <c r="AA117" s="102"/>
      <c r="AB117" s="102"/>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c r="BN117" s="101"/>
      <c r="BO117" s="101"/>
      <c r="BP117" s="101"/>
      <c r="BQ117" s="101"/>
      <c r="BR117" s="101"/>
      <c r="BS117" s="101"/>
      <c r="BT117" s="101"/>
      <c r="BU117" s="101"/>
      <c r="BV117" s="101"/>
      <c r="BW117" s="101"/>
      <c r="BX117" s="101"/>
      <c r="BY117" s="101"/>
      <c r="BZ117" s="101"/>
      <c r="CA117" s="101"/>
      <c r="CB117" s="101"/>
      <c r="CC117" s="101"/>
      <c r="CD117" s="101"/>
      <c r="CE117" s="101"/>
      <c r="CF117" s="101"/>
      <c r="CG117" s="101"/>
      <c r="CH117" s="101"/>
      <c r="CI117" s="101"/>
      <c r="CJ117" s="101"/>
      <c r="CK117" s="101"/>
      <c r="CL117" s="101"/>
      <c r="CM117" s="101"/>
      <c r="CN117" s="101"/>
      <c r="CO117" s="101"/>
      <c r="CP117" s="101"/>
    </row>
    <row r="118" spans="1:256" s="84" customFormat="1" ht="37.5" customHeight="1">
      <c r="A118" s="21" t="s">
        <v>12</v>
      </c>
      <c r="B118" s="21" t="s">
        <v>96</v>
      </c>
      <c r="C118" s="21" t="s">
        <v>3</v>
      </c>
      <c r="D118" s="26" t="s">
        <v>2038</v>
      </c>
      <c r="E118" s="21" t="s">
        <v>36</v>
      </c>
      <c r="F118" s="21" t="s">
        <v>1564</v>
      </c>
      <c r="G118" s="21" t="s">
        <v>207</v>
      </c>
      <c r="H118" s="85">
        <v>541430</v>
      </c>
      <c r="I118" s="21" t="s">
        <v>38</v>
      </c>
      <c r="J118" s="21" t="s">
        <v>109</v>
      </c>
      <c r="K118" s="71" t="s">
        <v>29</v>
      </c>
      <c r="L118" s="21" t="s">
        <v>2020</v>
      </c>
      <c r="M118" s="22">
        <v>106000</v>
      </c>
      <c r="N118" s="22">
        <v>267860</v>
      </c>
      <c r="O118" s="86" t="s">
        <v>20</v>
      </c>
      <c r="P118" s="26" t="s">
        <v>2039</v>
      </c>
      <c r="Q118" s="71" t="s">
        <v>614</v>
      </c>
      <c r="R118" s="71" t="s">
        <v>10</v>
      </c>
      <c r="S118" s="74">
        <v>2013</v>
      </c>
      <c r="T118" s="26" t="s">
        <v>2035</v>
      </c>
      <c r="U118" s="26" t="s">
        <v>2036</v>
      </c>
      <c r="V118" s="75" t="s">
        <v>2037</v>
      </c>
      <c r="W118" s="95" t="s">
        <v>11</v>
      </c>
      <c r="X118" s="71"/>
      <c r="Y118" s="102"/>
      <c r="Z118" s="102"/>
      <c r="AA118" s="102"/>
      <c r="AB118" s="102"/>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c r="BN118" s="101"/>
      <c r="BO118" s="101"/>
      <c r="BP118" s="101"/>
      <c r="BQ118" s="101"/>
      <c r="BR118" s="101"/>
      <c r="BS118" s="101"/>
      <c r="BT118" s="101"/>
      <c r="BU118" s="101"/>
      <c r="BV118" s="101"/>
      <c r="BW118" s="101"/>
      <c r="BX118" s="101"/>
      <c r="BY118" s="101"/>
      <c r="BZ118" s="101"/>
      <c r="CA118" s="101"/>
      <c r="CB118" s="101"/>
      <c r="CC118" s="101"/>
      <c r="CD118" s="101"/>
      <c r="CE118" s="101"/>
      <c r="CF118" s="101"/>
      <c r="CG118" s="101"/>
      <c r="CH118" s="101"/>
      <c r="CI118" s="101"/>
      <c r="CJ118" s="101"/>
      <c r="CK118" s="101"/>
      <c r="CL118" s="101"/>
      <c r="CM118" s="101"/>
      <c r="CN118" s="101"/>
      <c r="CO118" s="101"/>
      <c r="CP118" s="101"/>
    </row>
    <row r="119" spans="1:256" s="84" customFormat="1" ht="37.5" customHeight="1">
      <c r="A119" s="21" t="s">
        <v>12</v>
      </c>
      <c r="B119" s="21" t="s">
        <v>96</v>
      </c>
      <c r="C119" s="21" t="s">
        <v>3</v>
      </c>
      <c r="D119" s="26" t="s">
        <v>2040</v>
      </c>
      <c r="E119" s="21" t="s">
        <v>15</v>
      </c>
      <c r="F119" s="21" t="s">
        <v>1564</v>
      </c>
      <c r="G119" s="21" t="s">
        <v>207</v>
      </c>
      <c r="H119" s="85">
        <v>541519</v>
      </c>
      <c r="I119" s="21" t="s">
        <v>28</v>
      </c>
      <c r="J119" s="21" t="s">
        <v>109</v>
      </c>
      <c r="K119" s="71" t="s">
        <v>29</v>
      </c>
      <c r="L119" s="21" t="s">
        <v>2041</v>
      </c>
      <c r="M119" s="22">
        <v>2162696</v>
      </c>
      <c r="N119" s="22">
        <v>496292</v>
      </c>
      <c r="O119" s="86" t="s">
        <v>20</v>
      </c>
      <c r="P119" s="26" t="s">
        <v>2042</v>
      </c>
      <c r="Q119" s="71" t="s">
        <v>614</v>
      </c>
      <c r="R119" s="71" t="s">
        <v>10</v>
      </c>
      <c r="S119" s="74">
        <v>2013</v>
      </c>
      <c r="T119" s="26" t="s">
        <v>2035</v>
      </c>
      <c r="U119" s="26" t="s">
        <v>2036</v>
      </c>
      <c r="V119" s="75" t="s">
        <v>2037</v>
      </c>
      <c r="W119" s="95" t="s">
        <v>11</v>
      </c>
      <c r="X119" s="71"/>
      <c r="Y119" s="102"/>
      <c r="Z119" s="102"/>
      <c r="AA119" s="102"/>
      <c r="AB119" s="102"/>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c r="BG119" s="101"/>
      <c r="BH119" s="101"/>
      <c r="BI119" s="101"/>
      <c r="BJ119" s="101"/>
      <c r="BK119" s="101"/>
      <c r="BL119" s="101"/>
      <c r="BM119" s="101"/>
      <c r="BN119" s="101"/>
      <c r="BO119" s="101"/>
      <c r="BP119" s="101"/>
      <c r="BQ119" s="101"/>
      <c r="BR119" s="101"/>
      <c r="BS119" s="101"/>
      <c r="BT119" s="101"/>
      <c r="BU119" s="101"/>
      <c r="BV119" s="101"/>
      <c r="BW119" s="101"/>
      <c r="BX119" s="101"/>
      <c r="BY119" s="101"/>
      <c r="BZ119" s="101"/>
      <c r="CA119" s="101"/>
      <c r="CB119" s="101"/>
      <c r="CC119" s="101"/>
      <c r="CD119" s="101"/>
      <c r="CE119" s="101"/>
      <c r="CF119" s="101"/>
      <c r="CG119" s="101"/>
      <c r="CH119" s="101"/>
      <c r="CI119" s="101"/>
      <c r="CJ119" s="101"/>
      <c r="CK119" s="101"/>
      <c r="CL119" s="101"/>
      <c r="CM119" s="101"/>
      <c r="CN119" s="101"/>
      <c r="CO119" s="101"/>
      <c r="CP119" s="101"/>
    </row>
    <row r="120" spans="1:256" s="84" customFormat="1" ht="37.5" customHeight="1">
      <c r="A120" s="21" t="s">
        <v>12</v>
      </c>
      <c r="B120" s="21" t="s">
        <v>96</v>
      </c>
      <c r="C120" s="21" t="s">
        <v>3</v>
      </c>
      <c r="D120" s="26" t="s">
        <v>2043</v>
      </c>
      <c r="E120" s="21" t="s">
        <v>15</v>
      </c>
      <c r="F120" s="21" t="s">
        <v>1564</v>
      </c>
      <c r="G120" s="21" t="s">
        <v>207</v>
      </c>
      <c r="H120" s="85">
        <v>541620</v>
      </c>
      <c r="I120" s="21" t="s">
        <v>2044</v>
      </c>
      <c r="J120" s="21" t="s">
        <v>143</v>
      </c>
      <c r="K120" s="71" t="s">
        <v>50</v>
      </c>
      <c r="L120" s="21" t="s">
        <v>2045</v>
      </c>
      <c r="M120" s="22">
        <v>347000</v>
      </c>
      <c r="N120" s="22">
        <v>898000</v>
      </c>
      <c r="O120" s="86" t="s">
        <v>20</v>
      </c>
      <c r="P120" s="26" t="s">
        <v>2046</v>
      </c>
      <c r="Q120" s="71" t="s">
        <v>614</v>
      </c>
      <c r="R120" s="71" t="s">
        <v>10</v>
      </c>
      <c r="S120" s="74">
        <v>2013</v>
      </c>
      <c r="T120" s="26" t="s">
        <v>2035</v>
      </c>
      <c r="U120" s="26" t="s">
        <v>2036</v>
      </c>
      <c r="V120" s="75" t="s">
        <v>2037</v>
      </c>
      <c r="W120" s="95" t="s">
        <v>11</v>
      </c>
      <c r="X120" s="71"/>
      <c r="Y120" s="102"/>
      <c r="Z120" s="102"/>
      <c r="AA120" s="102"/>
      <c r="AB120" s="102"/>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c r="BH120" s="101"/>
      <c r="BI120" s="101"/>
      <c r="BJ120" s="101"/>
      <c r="BK120" s="101"/>
      <c r="BL120" s="101"/>
      <c r="BM120" s="101"/>
      <c r="BN120" s="101"/>
      <c r="BO120" s="101"/>
      <c r="BP120" s="101"/>
      <c r="BQ120" s="101"/>
      <c r="BR120" s="101"/>
      <c r="BS120" s="101"/>
      <c r="BT120" s="101"/>
      <c r="BU120" s="101"/>
      <c r="BV120" s="101"/>
      <c r="BW120" s="101"/>
      <c r="BX120" s="101"/>
      <c r="BY120" s="101"/>
      <c r="BZ120" s="101"/>
      <c r="CA120" s="101"/>
      <c r="CB120" s="101"/>
      <c r="CC120" s="101"/>
      <c r="CD120" s="101"/>
      <c r="CE120" s="101"/>
      <c r="CF120" s="101"/>
      <c r="CG120" s="101"/>
      <c r="CH120" s="101"/>
      <c r="CI120" s="101"/>
      <c r="CJ120" s="101"/>
      <c r="CK120" s="101"/>
      <c r="CL120" s="101"/>
      <c r="CM120" s="101"/>
      <c r="CN120" s="101"/>
      <c r="CO120" s="101"/>
      <c r="CP120" s="101"/>
    </row>
    <row r="121" spans="1:256" s="84" customFormat="1" ht="37.5" customHeight="1">
      <c r="A121" s="21" t="s">
        <v>12</v>
      </c>
      <c r="B121" s="21" t="s">
        <v>96</v>
      </c>
      <c r="C121" s="21" t="s">
        <v>3</v>
      </c>
      <c r="D121" s="26" t="s">
        <v>2047</v>
      </c>
      <c r="E121" s="21" t="s">
        <v>36</v>
      </c>
      <c r="F121" s="21" t="s">
        <v>1564</v>
      </c>
      <c r="G121" s="21" t="s">
        <v>207</v>
      </c>
      <c r="H121" s="21">
        <v>541519</v>
      </c>
      <c r="I121" s="21" t="s">
        <v>71</v>
      </c>
      <c r="J121" s="21" t="s">
        <v>29</v>
      </c>
      <c r="K121" s="71" t="s">
        <v>29</v>
      </c>
      <c r="L121" s="21" t="s">
        <v>2048</v>
      </c>
      <c r="M121" s="22">
        <v>795543</v>
      </c>
      <c r="N121" s="22">
        <v>795543</v>
      </c>
      <c r="O121" s="86" t="s">
        <v>20</v>
      </c>
      <c r="P121" s="26" t="s">
        <v>2049</v>
      </c>
      <c r="Q121" s="71" t="s">
        <v>614</v>
      </c>
      <c r="R121" s="71" t="s">
        <v>10</v>
      </c>
      <c r="S121" s="74">
        <v>2013</v>
      </c>
      <c r="T121" s="26" t="s">
        <v>2050</v>
      </c>
      <c r="U121" s="26" t="s">
        <v>2051</v>
      </c>
      <c r="V121" s="75" t="s">
        <v>2052</v>
      </c>
      <c r="W121" s="95" t="s">
        <v>11</v>
      </c>
      <c r="X121" s="71"/>
      <c r="Y121" s="102"/>
      <c r="Z121" s="102"/>
      <c r="AA121" s="102"/>
      <c r="AB121" s="102"/>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c r="BH121" s="101"/>
      <c r="BI121" s="101"/>
      <c r="BJ121" s="101"/>
      <c r="BK121" s="101"/>
      <c r="BL121" s="101"/>
      <c r="BM121" s="101"/>
      <c r="BN121" s="101"/>
      <c r="BO121" s="101"/>
      <c r="BP121" s="101"/>
      <c r="BQ121" s="101"/>
      <c r="BR121" s="101"/>
      <c r="BS121" s="101"/>
      <c r="BT121" s="101"/>
      <c r="BU121" s="101"/>
      <c r="BV121" s="101"/>
      <c r="BW121" s="101"/>
      <c r="BX121" s="101"/>
      <c r="BY121" s="101"/>
      <c r="BZ121" s="101"/>
      <c r="CA121" s="101"/>
      <c r="CB121" s="101"/>
      <c r="CC121" s="101"/>
      <c r="CD121" s="101"/>
      <c r="CE121" s="101"/>
      <c r="CF121" s="101"/>
      <c r="CG121" s="101"/>
      <c r="CH121" s="101"/>
      <c r="CI121" s="101"/>
      <c r="CJ121" s="101"/>
      <c r="CK121" s="101"/>
      <c r="CL121" s="101"/>
      <c r="CM121" s="101"/>
      <c r="CN121" s="101"/>
      <c r="CO121" s="101"/>
      <c r="CP121" s="101"/>
    </row>
    <row r="122" spans="1:256" s="84" customFormat="1" ht="37.5" customHeight="1">
      <c r="A122" s="21" t="s">
        <v>12</v>
      </c>
      <c r="B122" s="21" t="s">
        <v>96</v>
      </c>
      <c r="C122" s="21" t="s">
        <v>3</v>
      </c>
      <c r="D122" s="26" t="s">
        <v>2053</v>
      </c>
      <c r="E122" s="21" t="s">
        <v>36</v>
      </c>
      <c r="F122" s="21" t="s">
        <v>1564</v>
      </c>
      <c r="G122" s="21" t="s">
        <v>207</v>
      </c>
      <c r="H122" s="85">
        <v>541430</v>
      </c>
      <c r="I122" s="21" t="s">
        <v>48</v>
      </c>
      <c r="J122" s="21" t="s">
        <v>29</v>
      </c>
      <c r="K122" s="71" t="s">
        <v>29</v>
      </c>
      <c r="L122" s="21" t="s">
        <v>2054</v>
      </c>
      <c r="M122" s="22">
        <v>9600</v>
      </c>
      <c r="N122" s="22">
        <v>32000</v>
      </c>
      <c r="O122" s="86" t="s">
        <v>20</v>
      </c>
      <c r="P122" s="26" t="s">
        <v>2055</v>
      </c>
      <c r="Q122" s="71" t="s">
        <v>614</v>
      </c>
      <c r="R122" s="71" t="s">
        <v>10</v>
      </c>
      <c r="S122" s="74">
        <v>2013</v>
      </c>
      <c r="T122" s="26" t="s">
        <v>2035</v>
      </c>
      <c r="U122" s="26" t="s">
        <v>2036</v>
      </c>
      <c r="V122" s="75" t="s">
        <v>2037</v>
      </c>
      <c r="W122" s="95" t="s">
        <v>11</v>
      </c>
      <c r="X122" s="71"/>
      <c r="Y122" s="102"/>
      <c r="Z122" s="102"/>
      <c r="AA122" s="102"/>
      <c r="AB122" s="102"/>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c r="BG122" s="101"/>
      <c r="BH122" s="101"/>
      <c r="BI122" s="101"/>
      <c r="BJ122" s="101"/>
      <c r="BK122" s="101"/>
      <c r="BL122" s="101"/>
      <c r="BM122" s="101"/>
      <c r="BN122" s="101"/>
      <c r="BO122" s="101"/>
      <c r="BP122" s="101"/>
      <c r="BQ122" s="101"/>
      <c r="BR122" s="101"/>
      <c r="BS122" s="101"/>
      <c r="BT122" s="101"/>
      <c r="BU122" s="101"/>
      <c r="BV122" s="101"/>
      <c r="BW122" s="101"/>
      <c r="BX122" s="101"/>
      <c r="BY122" s="101"/>
      <c r="BZ122" s="101"/>
      <c r="CA122" s="101"/>
      <c r="CB122" s="101"/>
      <c r="CC122" s="101"/>
      <c r="CD122" s="101"/>
      <c r="CE122" s="101"/>
      <c r="CF122" s="101"/>
      <c r="CG122" s="101"/>
      <c r="CH122" s="101"/>
      <c r="CI122" s="101"/>
      <c r="CJ122" s="101"/>
      <c r="CK122" s="101"/>
      <c r="CL122" s="101"/>
      <c r="CM122" s="101"/>
      <c r="CN122" s="101"/>
      <c r="CO122" s="101"/>
      <c r="CP122" s="101"/>
    </row>
    <row r="123" spans="1:256" s="84" customFormat="1" ht="37.5" customHeight="1">
      <c r="A123" s="21" t="s">
        <v>12</v>
      </c>
      <c r="B123" s="21" t="s">
        <v>96</v>
      </c>
      <c r="C123" s="21" t="s">
        <v>3</v>
      </c>
      <c r="D123" s="26" t="s">
        <v>2056</v>
      </c>
      <c r="E123" s="21" t="s">
        <v>36</v>
      </c>
      <c r="F123" s="21" t="s">
        <v>1564</v>
      </c>
      <c r="G123" s="21" t="s">
        <v>207</v>
      </c>
      <c r="H123" s="21">
        <v>541519</v>
      </c>
      <c r="I123" s="21" t="s">
        <v>17</v>
      </c>
      <c r="J123" s="21" t="s">
        <v>7</v>
      </c>
      <c r="K123" s="71" t="s">
        <v>8</v>
      </c>
      <c r="L123" s="21" t="s">
        <v>2057</v>
      </c>
      <c r="M123" s="22">
        <v>2451537.56</v>
      </c>
      <c r="N123" s="22">
        <v>2451537.56</v>
      </c>
      <c r="O123" s="86" t="s">
        <v>20</v>
      </c>
      <c r="P123" s="26" t="s">
        <v>2058</v>
      </c>
      <c r="Q123" s="71" t="s">
        <v>614</v>
      </c>
      <c r="R123" s="71" t="s">
        <v>21</v>
      </c>
      <c r="S123" s="74">
        <v>2013</v>
      </c>
      <c r="T123" s="26" t="s">
        <v>2050</v>
      </c>
      <c r="U123" s="26" t="s">
        <v>2051</v>
      </c>
      <c r="V123" s="75" t="s">
        <v>2052</v>
      </c>
      <c r="W123" s="95" t="s">
        <v>11</v>
      </c>
      <c r="X123" s="71"/>
      <c r="Y123" s="102"/>
      <c r="Z123" s="102"/>
      <c r="AA123" s="102"/>
      <c r="AB123" s="102"/>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1"/>
      <c r="BZ123" s="101"/>
      <c r="CA123" s="101"/>
      <c r="CB123" s="101"/>
      <c r="CC123" s="101"/>
      <c r="CD123" s="101"/>
      <c r="CE123" s="101"/>
      <c r="CF123" s="101"/>
      <c r="CG123" s="101"/>
      <c r="CH123" s="101"/>
      <c r="CI123" s="101"/>
      <c r="CJ123" s="101"/>
      <c r="CK123" s="101"/>
      <c r="CL123" s="101"/>
      <c r="CM123" s="101"/>
      <c r="CN123" s="101"/>
      <c r="CO123" s="101"/>
      <c r="CP123" s="101"/>
    </row>
    <row r="124" spans="1:256" s="84" customFormat="1" ht="37.5" customHeight="1">
      <c r="A124" s="21" t="s">
        <v>12</v>
      </c>
      <c r="B124" s="21" t="s">
        <v>96</v>
      </c>
      <c r="C124" s="21" t="s">
        <v>3</v>
      </c>
      <c r="D124" s="26" t="s">
        <v>2059</v>
      </c>
      <c r="E124" s="21" t="s">
        <v>259</v>
      </c>
      <c r="F124" s="21" t="s">
        <v>1564</v>
      </c>
      <c r="G124" s="21" t="s">
        <v>207</v>
      </c>
      <c r="H124" s="85">
        <v>561110</v>
      </c>
      <c r="I124" s="21" t="s">
        <v>17</v>
      </c>
      <c r="J124" s="21" t="s">
        <v>109</v>
      </c>
      <c r="K124" s="71" t="s">
        <v>73</v>
      </c>
      <c r="L124" s="21" t="s">
        <v>2054</v>
      </c>
      <c r="M124" s="22">
        <v>63321</v>
      </c>
      <c r="N124" s="22">
        <v>336182</v>
      </c>
      <c r="O124" s="86" t="s">
        <v>20</v>
      </c>
      <c r="P124" s="26" t="s">
        <v>2060</v>
      </c>
      <c r="Q124" s="71" t="s">
        <v>614</v>
      </c>
      <c r="R124" s="71" t="s">
        <v>10</v>
      </c>
      <c r="S124" s="74">
        <v>2013</v>
      </c>
      <c r="T124" s="26" t="s">
        <v>2035</v>
      </c>
      <c r="U124" s="26" t="s">
        <v>2036</v>
      </c>
      <c r="V124" s="75" t="s">
        <v>2037</v>
      </c>
      <c r="W124" s="95" t="s">
        <v>11</v>
      </c>
      <c r="X124" s="71"/>
      <c r="Y124" s="102"/>
      <c r="Z124" s="102"/>
      <c r="AA124" s="102"/>
      <c r="AB124" s="102"/>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c r="BG124" s="101"/>
      <c r="BH124" s="101"/>
      <c r="BI124" s="101"/>
      <c r="BJ124" s="101"/>
      <c r="BK124" s="101"/>
      <c r="BL124" s="101"/>
      <c r="BM124" s="101"/>
      <c r="BN124" s="101"/>
      <c r="BO124" s="101"/>
      <c r="BP124" s="101"/>
      <c r="BQ124" s="101"/>
      <c r="BR124" s="101"/>
      <c r="BS124" s="101"/>
      <c r="BT124" s="101"/>
      <c r="BU124" s="101"/>
      <c r="BV124" s="101"/>
      <c r="BW124" s="101"/>
      <c r="BX124" s="101"/>
      <c r="BY124" s="101"/>
      <c r="BZ124" s="101"/>
      <c r="CA124" s="101"/>
      <c r="CB124" s="101"/>
      <c r="CC124" s="101"/>
      <c r="CD124" s="101"/>
      <c r="CE124" s="101"/>
      <c r="CF124" s="101"/>
      <c r="CG124" s="101"/>
      <c r="CH124" s="101"/>
      <c r="CI124" s="101"/>
      <c r="CJ124" s="101"/>
      <c r="CK124" s="101"/>
      <c r="CL124" s="101"/>
      <c r="CM124" s="101"/>
      <c r="CN124" s="101"/>
      <c r="CO124" s="101"/>
      <c r="CP124" s="101"/>
    </row>
    <row r="125" spans="1:256" s="88" customFormat="1" ht="38.25" customHeight="1">
      <c r="A125" s="21" t="s">
        <v>12</v>
      </c>
      <c r="B125" s="21" t="s">
        <v>96</v>
      </c>
      <c r="C125" s="21" t="s">
        <v>3</v>
      </c>
      <c r="D125" s="26" t="s">
        <v>2061</v>
      </c>
      <c r="E125" s="21" t="s">
        <v>2062</v>
      </c>
      <c r="F125" s="21" t="s">
        <v>1564</v>
      </c>
      <c r="G125" s="21" t="s">
        <v>207</v>
      </c>
      <c r="H125" s="85">
        <v>611710</v>
      </c>
      <c r="I125" s="21" t="s">
        <v>28</v>
      </c>
      <c r="J125" s="21" t="s">
        <v>143</v>
      </c>
      <c r="K125" s="71" t="s">
        <v>29</v>
      </c>
      <c r="L125" s="21" t="s">
        <v>2054</v>
      </c>
      <c r="M125" s="22">
        <v>351000</v>
      </c>
      <c r="N125" s="22">
        <v>351000</v>
      </c>
      <c r="O125" s="86" t="s">
        <v>20</v>
      </c>
      <c r="P125" s="26" t="s">
        <v>2063</v>
      </c>
      <c r="Q125" s="71" t="s">
        <v>614</v>
      </c>
      <c r="R125" s="71" t="s">
        <v>10</v>
      </c>
      <c r="S125" s="74">
        <v>2013</v>
      </c>
      <c r="T125" s="26" t="s">
        <v>2035</v>
      </c>
      <c r="U125" s="26" t="s">
        <v>2036</v>
      </c>
      <c r="V125" s="75" t="s">
        <v>2037</v>
      </c>
      <c r="W125" s="95" t="s">
        <v>11</v>
      </c>
      <c r="X125" s="87"/>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c r="CB125" s="102"/>
      <c r="CC125" s="102"/>
      <c r="CD125" s="102"/>
      <c r="CE125" s="102"/>
      <c r="CF125" s="102"/>
      <c r="CG125" s="102"/>
      <c r="CH125" s="102"/>
      <c r="CI125" s="102"/>
      <c r="CJ125" s="102"/>
      <c r="CK125" s="102"/>
      <c r="CL125" s="102"/>
      <c r="CM125" s="102"/>
      <c r="CN125" s="102"/>
      <c r="CO125" s="102"/>
      <c r="CP125" s="102"/>
    </row>
    <row r="126" spans="1:256" s="89" customFormat="1" ht="38.25" customHeight="1">
      <c r="A126" s="21" t="s">
        <v>12</v>
      </c>
      <c r="B126" s="21" t="s">
        <v>96</v>
      </c>
      <c r="C126" s="21" t="s">
        <v>3</v>
      </c>
      <c r="D126" s="26" t="s">
        <v>2064</v>
      </c>
      <c r="E126" s="21" t="s">
        <v>36</v>
      </c>
      <c r="F126" s="21" t="s">
        <v>1564</v>
      </c>
      <c r="G126" s="21" t="s">
        <v>207</v>
      </c>
      <c r="H126" s="21">
        <v>541519</v>
      </c>
      <c r="I126" s="21" t="s">
        <v>38</v>
      </c>
      <c r="J126" s="21" t="s">
        <v>29</v>
      </c>
      <c r="K126" s="87" t="s">
        <v>29</v>
      </c>
      <c r="L126" s="21" t="s">
        <v>2065</v>
      </c>
      <c r="M126" s="22">
        <v>670450</v>
      </c>
      <c r="N126" s="22">
        <v>670450</v>
      </c>
      <c r="O126" s="86" t="s">
        <v>20</v>
      </c>
      <c r="P126" s="26" t="s">
        <v>2066</v>
      </c>
      <c r="Q126" s="71" t="s">
        <v>614</v>
      </c>
      <c r="R126" s="21" t="s">
        <v>41</v>
      </c>
      <c r="S126" s="74">
        <v>2013</v>
      </c>
      <c r="T126" s="26" t="s">
        <v>2050</v>
      </c>
      <c r="U126" s="26" t="s">
        <v>2051</v>
      </c>
      <c r="V126" s="75" t="s">
        <v>2052</v>
      </c>
      <c r="W126" s="95" t="s">
        <v>11</v>
      </c>
      <c r="X126" s="87"/>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c r="CB126" s="102"/>
      <c r="CC126" s="102"/>
      <c r="CD126" s="102"/>
      <c r="CE126" s="102"/>
      <c r="CF126" s="102"/>
      <c r="CG126" s="102"/>
      <c r="CH126" s="102"/>
      <c r="CI126" s="102"/>
      <c r="CJ126" s="102"/>
      <c r="CK126" s="102"/>
      <c r="CL126" s="102"/>
      <c r="CM126" s="102"/>
      <c r="CN126" s="102"/>
      <c r="CO126" s="102"/>
      <c r="CP126" s="102"/>
    </row>
    <row r="127" spans="1:256" s="89" customFormat="1" ht="38.25" customHeight="1">
      <c r="A127" s="21" t="s">
        <v>12</v>
      </c>
      <c r="B127" s="21" t="s">
        <v>96</v>
      </c>
      <c r="C127" s="21" t="s">
        <v>25</v>
      </c>
      <c r="D127" s="26" t="s">
        <v>2067</v>
      </c>
      <c r="E127" s="21" t="s">
        <v>116</v>
      </c>
      <c r="F127" s="21"/>
      <c r="G127" s="21" t="s">
        <v>207</v>
      </c>
      <c r="H127" s="21"/>
      <c r="I127" s="21" t="s">
        <v>6</v>
      </c>
      <c r="J127" s="21" t="s">
        <v>143</v>
      </c>
      <c r="K127" s="87" t="s">
        <v>29</v>
      </c>
      <c r="L127" s="21"/>
      <c r="M127" s="22">
        <v>3000000</v>
      </c>
      <c r="N127" s="22" t="s">
        <v>1301</v>
      </c>
      <c r="O127" s="86" t="s">
        <v>20</v>
      </c>
      <c r="P127" s="26" t="s">
        <v>2068</v>
      </c>
      <c r="Q127" s="90" t="s">
        <v>279</v>
      </c>
      <c r="R127" s="21" t="s">
        <v>21</v>
      </c>
      <c r="S127" s="74">
        <v>2013</v>
      </c>
      <c r="T127" s="26" t="s">
        <v>2069</v>
      </c>
      <c r="U127" s="26" t="s">
        <v>2070</v>
      </c>
      <c r="V127" s="75" t="s">
        <v>2071</v>
      </c>
      <c r="W127" s="95" t="s">
        <v>11</v>
      </c>
      <c r="X127" s="87"/>
      <c r="Y127" s="103"/>
      <c r="Z127" s="103"/>
      <c r="AA127" s="103"/>
      <c r="AB127" s="103"/>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c r="CB127" s="102"/>
      <c r="CC127" s="102"/>
      <c r="CD127" s="102"/>
      <c r="CE127" s="102"/>
      <c r="CF127" s="102"/>
      <c r="CG127" s="102"/>
      <c r="CH127" s="102"/>
      <c r="CI127" s="102"/>
      <c r="CJ127" s="102"/>
      <c r="CK127" s="102"/>
      <c r="CL127" s="102"/>
      <c r="CM127" s="102"/>
      <c r="CN127" s="102"/>
      <c r="CO127" s="102"/>
      <c r="CP127" s="102"/>
    </row>
    <row r="128" spans="1:256" s="89" customFormat="1" ht="38.25" customHeight="1">
      <c r="A128" s="21" t="s">
        <v>12</v>
      </c>
      <c r="B128" s="21" t="s">
        <v>96</v>
      </c>
      <c r="C128" s="21" t="s">
        <v>25</v>
      </c>
      <c r="D128" s="26" t="s">
        <v>2072</v>
      </c>
      <c r="E128" s="21" t="s">
        <v>36</v>
      </c>
      <c r="F128" s="21"/>
      <c r="G128" s="21" t="s">
        <v>207</v>
      </c>
      <c r="H128" s="21"/>
      <c r="I128" s="21" t="s">
        <v>71</v>
      </c>
      <c r="J128" s="21"/>
      <c r="K128" s="87"/>
      <c r="L128" s="21"/>
      <c r="M128" s="22"/>
      <c r="N128" s="22"/>
      <c r="O128" s="86"/>
      <c r="P128" s="26"/>
      <c r="Q128" s="90"/>
      <c r="R128" s="21"/>
      <c r="S128" s="74"/>
      <c r="T128" s="26"/>
      <c r="U128" s="26"/>
      <c r="V128" s="75"/>
      <c r="W128" s="95" t="s">
        <v>11</v>
      </c>
      <c r="X128" s="87"/>
      <c r="Y128" s="103"/>
      <c r="Z128" s="103"/>
      <c r="AA128" s="103"/>
      <c r="AB128" s="103"/>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102"/>
      <c r="CL128" s="102"/>
      <c r="CM128" s="102"/>
      <c r="CN128" s="102"/>
      <c r="CO128" s="102"/>
      <c r="CP128" s="102"/>
    </row>
    <row r="129" spans="1:94" s="89" customFormat="1" ht="38.25" customHeight="1">
      <c r="A129" s="21" t="s">
        <v>12</v>
      </c>
      <c r="B129" s="21" t="s">
        <v>96</v>
      </c>
      <c r="C129" s="21" t="s">
        <v>45</v>
      </c>
      <c r="D129" s="26" t="s">
        <v>2073</v>
      </c>
      <c r="E129" s="21" t="s">
        <v>36</v>
      </c>
      <c r="F129" s="21"/>
      <c r="G129" s="21" t="s">
        <v>207</v>
      </c>
      <c r="H129" s="21"/>
      <c r="I129" s="21" t="s">
        <v>28</v>
      </c>
      <c r="J129" s="21" t="s">
        <v>109</v>
      </c>
      <c r="K129" s="87" t="s">
        <v>80</v>
      </c>
      <c r="L129" s="21" t="s">
        <v>2074</v>
      </c>
      <c r="M129" s="22">
        <v>23000</v>
      </c>
      <c r="N129" s="22">
        <v>23000</v>
      </c>
      <c r="O129" s="86" t="s">
        <v>9</v>
      </c>
      <c r="P129" s="26"/>
      <c r="Q129" s="90" t="s">
        <v>2075</v>
      </c>
      <c r="R129" s="21" t="s">
        <v>10</v>
      </c>
      <c r="S129" s="74">
        <v>2013</v>
      </c>
      <c r="T129" s="26" t="s">
        <v>2076</v>
      </c>
      <c r="U129" s="26" t="s">
        <v>2077</v>
      </c>
      <c r="V129" s="75" t="s">
        <v>2078</v>
      </c>
      <c r="W129" s="95" t="s">
        <v>11</v>
      </c>
      <c r="X129" s="87"/>
      <c r="Y129" s="103"/>
      <c r="Z129" s="103"/>
      <c r="AA129" s="103"/>
      <c r="AB129" s="103"/>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102"/>
      <c r="CL129" s="102"/>
      <c r="CM129" s="102"/>
      <c r="CN129" s="102"/>
      <c r="CO129" s="102"/>
      <c r="CP129" s="102"/>
    </row>
    <row r="130" spans="1:94" s="89" customFormat="1" ht="38.25" customHeight="1">
      <c r="A130" s="21" t="s">
        <v>12</v>
      </c>
      <c r="B130" s="21" t="s">
        <v>96</v>
      </c>
      <c r="C130" s="21" t="s">
        <v>3</v>
      </c>
      <c r="D130" s="26" t="s">
        <v>2079</v>
      </c>
      <c r="E130" s="21" t="s">
        <v>36</v>
      </c>
      <c r="F130" s="21" t="s">
        <v>1564</v>
      </c>
      <c r="G130" s="21" t="s">
        <v>207</v>
      </c>
      <c r="H130" s="85">
        <v>611710</v>
      </c>
      <c r="I130" s="21" t="s">
        <v>28</v>
      </c>
      <c r="J130" s="21" t="s">
        <v>143</v>
      </c>
      <c r="K130" s="71" t="s">
        <v>73</v>
      </c>
      <c r="L130" s="21" t="s">
        <v>2054</v>
      </c>
      <c r="M130" s="22">
        <v>291243</v>
      </c>
      <c r="N130" s="22">
        <v>488733</v>
      </c>
      <c r="O130" s="86" t="s">
        <v>20</v>
      </c>
      <c r="P130" s="26" t="s">
        <v>2080</v>
      </c>
      <c r="Q130" s="90" t="s">
        <v>614</v>
      </c>
      <c r="R130" s="21" t="s">
        <v>10</v>
      </c>
      <c r="S130" s="74">
        <v>2013</v>
      </c>
      <c r="T130" s="26" t="s">
        <v>2035</v>
      </c>
      <c r="U130" s="26" t="s">
        <v>2036</v>
      </c>
      <c r="V130" s="75" t="s">
        <v>2037</v>
      </c>
      <c r="W130" s="95" t="s">
        <v>11</v>
      </c>
      <c r="X130" s="87"/>
      <c r="Y130" s="103"/>
      <c r="Z130" s="103"/>
      <c r="AA130" s="103"/>
      <c r="AB130" s="103"/>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102"/>
      <c r="CL130" s="102"/>
      <c r="CM130" s="102"/>
      <c r="CN130" s="102"/>
      <c r="CO130" s="102"/>
      <c r="CP130" s="102"/>
    </row>
    <row r="131" spans="1:94" s="89" customFormat="1" ht="38.25" customHeight="1">
      <c r="A131" s="21" t="s">
        <v>12</v>
      </c>
      <c r="B131" s="21" t="s">
        <v>96</v>
      </c>
      <c r="C131" s="21" t="s">
        <v>3</v>
      </c>
      <c r="D131" s="26" t="s">
        <v>2081</v>
      </c>
      <c r="E131" s="21" t="s">
        <v>36</v>
      </c>
      <c r="F131" s="21" t="s">
        <v>1564</v>
      </c>
      <c r="G131" s="21" t="s">
        <v>207</v>
      </c>
      <c r="H131" s="85">
        <v>611710</v>
      </c>
      <c r="I131" s="21" t="s">
        <v>28</v>
      </c>
      <c r="J131" s="21" t="s">
        <v>109</v>
      </c>
      <c r="K131" s="71" t="s">
        <v>29</v>
      </c>
      <c r="L131" s="21" t="s">
        <v>2065</v>
      </c>
      <c r="M131" s="22">
        <v>104000</v>
      </c>
      <c r="N131" s="22">
        <v>527800</v>
      </c>
      <c r="O131" s="86" t="s">
        <v>20</v>
      </c>
      <c r="P131" s="26" t="s">
        <v>2082</v>
      </c>
      <c r="Q131" s="90" t="s">
        <v>614</v>
      </c>
      <c r="R131" s="21" t="s">
        <v>10</v>
      </c>
      <c r="S131" s="74">
        <v>2013</v>
      </c>
      <c r="T131" s="26" t="s">
        <v>2035</v>
      </c>
      <c r="U131" s="26" t="s">
        <v>2036</v>
      </c>
      <c r="V131" s="75" t="s">
        <v>2037</v>
      </c>
      <c r="W131" s="95" t="s">
        <v>11</v>
      </c>
      <c r="X131" s="87"/>
      <c r="Y131" s="103"/>
      <c r="Z131" s="103"/>
      <c r="AA131" s="103"/>
      <c r="AB131" s="103"/>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102"/>
      <c r="CL131" s="102"/>
      <c r="CM131" s="102"/>
      <c r="CN131" s="102"/>
      <c r="CO131" s="102"/>
      <c r="CP131" s="102"/>
    </row>
    <row r="132" spans="1:94" s="89" customFormat="1" ht="38.25" customHeight="1">
      <c r="A132" s="21" t="s">
        <v>12</v>
      </c>
      <c r="B132" s="21" t="s">
        <v>96</v>
      </c>
      <c r="C132" s="21" t="s">
        <v>45</v>
      </c>
      <c r="D132" s="26" t="s">
        <v>2083</v>
      </c>
      <c r="E132" s="21" t="s">
        <v>36</v>
      </c>
      <c r="F132" s="21"/>
      <c r="G132" s="21" t="s">
        <v>207</v>
      </c>
      <c r="H132" s="21"/>
      <c r="I132" s="21" t="s">
        <v>28</v>
      </c>
      <c r="J132" s="21" t="s">
        <v>29</v>
      </c>
      <c r="K132" s="87" t="s">
        <v>29</v>
      </c>
      <c r="L132" s="21" t="s">
        <v>2084</v>
      </c>
      <c r="M132" s="22">
        <v>23000</v>
      </c>
      <c r="N132" s="22">
        <v>23000</v>
      </c>
      <c r="O132" s="86" t="s">
        <v>9</v>
      </c>
      <c r="P132" s="26"/>
      <c r="Q132" s="90" t="s">
        <v>2075</v>
      </c>
      <c r="R132" s="21" t="s">
        <v>10</v>
      </c>
      <c r="S132" s="74">
        <v>2013</v>
      </c>
      <c r="T132" s="26" t="s">
        <v>2076</v>
      </c>
      <c r="U132" s="26" t="s">
        <v>2077</v>
      </c>
      <c r="V132" s="21" t="s">
        <v>2078</v>
      </c>
      <c r="W132" s="95" t="s">
        <v>2085</v>
      </c>
      <c r="X132" s="21"/>
      <c r="Y132" s="103"/>
      <c r="Z132" s="103"/>
      <c r="AA132" s="103"/>
      <c r="AB132" s="103"/>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102"/>
      <c r="CL132" s="102"/>
      <c r="CM132" s="102"/>
      <c r="CN132" s="102"/>
      <c r="CO132" s="102"/>
      <c r="CP132" s="102"/>
    </row>
    <row r="133" spans="1:94" s="89" customFormat="1" ht="38.25" customHeight="1">
      <c r="A133" s="21" t="s">
        <v>12</v>
      </c>
      <c r="B133" s="21" t="s">
        <v>96</v>
      </c>
      <c r="C133" s="21" t="s">
        <v>3</v>
      </c>
      <c r="D133" s="26" t="s">
        <v>2086</v>
      </c>
      <c r="E133" s="21" t="s">
        <v>259</v>
      </c>
      <c r="F133" s="71" t="s">
        <v>1564</v>
      </c>
      <c r="G133" s="71" t="s">
        <v>207</v>
      </c>
      <c r="H133" s="85">
        <v>561110</v>
      </c>
      <c r="I133" s="21" t="s">
        <v>71</v>
      </c>
      <c r="J133" s="21" t="s">
        <v>109</v>
      </c>
      <c r="K133" s="71" t="s">
        <v>29</v>
      </c>
      <c r="L133" s="21" t="s">
        <v>2087</v>
      </c>
      <c r="M133" s="22">
        <v>139000</v>
      </c>
      <c r="N133" s="22">
        <v>800000</v>
      </c>
      <c r="O133" s="86" t="s">
        <v>20</v>
      </c>
      <c r="P133" s="26" t="s">
        <v>2088</v>
      </c>
      <c r="Q133" s="90" t="s">
        <v>614</v>
      </c>
      <c r="R133" s="21" t="s">
        <v>10</v>
      </c>
      <c r="S133" s="74">
        <v>2013</v>
      </c>
      <c r="T133" s="26" t="s">
        <v>2035</v>
      </c>
      <c r="U133" s="26" t="s">
        <v>2036</v>
      </c>
      <c r="V133" s="75" t="s">
        <v>2037</v>
      </c>
      <c r="W133" s="95" t="s">
        <v>11</v>
      </c>
      <c r="X133" s="87"/>
      <c r="Y133" s="103"/>
      <c r="Z133" s="103"/>
      <c r="AA133" s="103"/>
      <c r="AB133" s="103"/>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row>
    <row r="134" spans="1:94" s="89" customFormat="1" ht="38.25" customHeight="1">
      <c r="A134" s="21" t="s">
        <v>12</v>
      </c>
      <c r="B134" s="21" t="s">
        <v>96</v>
      </c>
      <c r="C134" s="21" t="s">
        <v>45</v>
      </c>
      <c r="D134" s="26" t="s">
        <v>2089</v>
      </c>
      <c r="E134" s="21" t="s">
        <v>36</v>
      </c>
      <c r="F134" s="87"/>
      <c r="G134" s="87" t="s">
        <v>207</v>
      </c>
      <c r="H134" s="21"/>
      <c r="I134" s="21" t="s">
        <v>28</v>
      </c>
      <c r="J134" s="21" t="s">
        <v>29</v>
      </c>
      <c r="K134" s="87" t="s">
        <v>29</v>
      </c>
      <c r="L134" s="21" t="s">
        <v>2090</v>
      </c>
      <c r="M134" s="22">
        <v>9500</v>
      </c>
      <c r="N134" s="22">
        <v>9500</v>
      </c>
      <c r="O134" s="86" t="s">
        <v>9</v>
      </c>
      <c r="P134" s="26"/>
      <c r="Q134" s="90" t="s">
        <v>2075</v>
      </c>
      <c r="R134" s="21"/>
      <c r="S134" s="74">
        <v>2013</v>
      </c>
      <c r="T134" s="26" t="s">
        <v>2076</v>
      </c>
      <c r="U134" s="26" t="s">
        <v>2077</v>
      </c>
      <c r="V134" s="21" t="s">
        <v>2078</v>
      </c>
      <c r="W134" s="95" t="s">
        <v>11</v>
      </c>
      <c r="X134" s="21"/>
      <c r="Y134" s="103"/>
      <c r="Z134" s="103"/>
      <c r="AA134" s="103"/>
      <c r="AB134" s="103"/>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102"/>
      <c r="CL134" s="102"/>
      <c r="CM134" s="102"/>
      <c r="CN134" s="102"/>
      <c r="CO134" s="102"/>
      <c r="CP134" s="102"/>
    </row>
    <row r="135" spans="1:94" s="36" customFormat="1" ht="38.25" customHeight="1">
      <c r="A135" s="20" t="s">
        <v>12</v>
      </c>
      <c r="B135" s="20" t="s">
        <v>96</v>
      </c>
      <c r="C135" s="20" t="s">
        <v>25</v>
      </c>
      <c r="D135" s="28" t="s">
        <v>2086</v>
      </c>
      <c r="E135" s="20" t="s">
        <v>116</v>
      </c>
      <c r="F135" s="33" t="s">
        <v>1564</v>
      </c>
      <c r="G135" s="33" t="s">
        <v>207</v>
      </c>
      <c r="H135" s="32">
        <v>561110</v>
      </c>
      <c r="I135" s="20" t="s">
        <v>71</v>
      </c>
      <c r="J135" s="20" t="s">
        <v>109</v>
      </c>
      <c r="K135" s="33" t="s">
        <v>29</v>
      </c>
      <c r="L135" s="20" t="s">
        <v>2065</v>
      </c>
      <c r="M135" s="23">
        <v>99750</v>
      </c>
      <c r="N135" s="23">
        <v>99750</v>
      </c>
      <c r="O135" s="34" t="s">
        <v>20</v>
      </c>
      <c r="P135" s="28" t="s">
        <v>2088</v>
      </c>
      <c r="Q135" s="37" t="s">
        <v>279</v>
      </c>
      <c r="R135" s="20" t="s">
        <v>31</v>
      </c>
      <c r="S135" s="24">
        <v>2013</v>
      </c>
      <c r="T135" s="28" t="s">
        <v>2050</v>
      </c>
      <c r="U135" s="28" t="s">
        <v>2051</v>
      </c>
      <c r="V135" s="25" t="s">
        <v>2052</v>
      </c>
      <c r="W135" s="94" t="s">
        <v>11</v>
      </c>
      <c r="X135" s="20"/>
      <c r="Y135" s="103"/>
      <c r="Z135" s="103"/>
      <c r="AA135" s="103"/>
      <c r="AB135" s="103"/>
      <c r="AC135" s="103"/>
      <c r="AD135" s="103"/>
      <c r="AE135" s="103"/>
      <c r="AF135" s="103"/>
      <c r="AG135" s="103"/>
      <c r="AH135" s="103"/>
      <c r="AI135" s="103"/>
      <c r="AJ135" s="103"/>
      <c r="AK135" s="103"/>
      <c r="AL135" s="103"/>
      <c r="AM135" s="103"/>
      <c r="AN135" s="103"/>
      <c r="AO135" s="103"/>
      <c r="AP135" s="103"/>
      <c r="AQ135" s="103"/>
      <c r="AR135" s="103"/>
      <c r="AS135" s="103"/>
      <c r="AT135" s="103"/>
      <c r="AU135" s="103"/>
      <c r="AV135" s="103"/>
      <c r="AW135" s="103"/>
      <c r="AX135" s="103"/>
      <c r="AY135" s="103"/>
      <c r="AZ135" s="103"/>
      <c r="BA135" s="103"/>
      <c r="BB135" s="103"/>
      <c r="BC135" s="103"/>
      <c r="BD135" s="103"/>
      <c r="BE135" s="103"/>
      <c r="BF135" s="103"/>
      <c r="BG135" s="103"/>
      <c r="BH135" s="103"/>
      <c r="BI135" s="103"/>
      <c r="BJ135" s="103"/>
      <c r="BK135" s="103"/>
      <c r="BL135" s="103"/>
      <c r="BM135" s="103"/>
      <c r="BN135" s="103"/>
      <c r="BO135" s="103"/>
      <c r="BP135" s="103"/>
      <c r="BQ135" s="103"/>
      <c r="BR135" s="103"/>
      <c r="BS135" s="103"/>
      <c r="BT135" s="103"/>
      <c r="BU135" s="103"/>
      <c r="BV135" s="103"/>
      <c r="BW135" s="103"/>
      <c r="BX135" s="103"/>
      <c r="BY135" s="103"/>
      <c r="BZ135" s="103"/>
      <c r="CA135" s="103"/>
      <c r="CB135" s="103"/>
      <c r="CC135" s="103"/>
      <c r="CD135" s="103"/>
      <c r="CE135" s="103"/>
      <c r="CF135" s="103"/>
      <c r="CG135" s="103"/>
      <c r="CH135" s="103"/>
      <c r="CI135" s="103"/>
      <c r="CJ135" s="103"/>
      <c r="CK135" s="103"/>
      <c r="CL135" s="103"/>
      <c r="CM135" s="103"/>
      <c r="CN135" s="103"/>
      <c r="CO135" s="103"/>
      <c r="CP135" s="103"/>
    </row>
    <row r="136" spans="1:94" s="36" customFormat="1" ht="38.25" customHeight="1">
      <c r="A136" s="20" t="s">
        <v>12</v>
      </c>
      <c r="B136" s="20" t="s">
        <v>96</v>
      </c>
      <c r="C136" s="20" t="s">
        <v>3</v>
      </c>
      <c r="D136" s="28" t="s">
        <v>2091</v>
      </c>
      <c r="E136" s="20" t="s">
        <v>126</v>
      </c>
      <c r="F136" s="33" t="s">
        <v>1564</v>
      </c>
      <c r="G136" s="33" t="s">
        <v>207</v>
      </c>
      <c r="H136" s="32">
        <v>561110</v>
      </c>
      <c r="I136" s="20" t="s">
        <v>71</v>
      </c>
      <c r="J136" s="20" t="s">
        <v>143</v>
      </c>
      <c r="K136" s="33" t="s">
        <v>29</v>
      </c>
      <c r="L136" s="20" t="s">
        <v>2092</v>
      </c>
      <c r="M136" s="23">
        <v>248704</v>
      </c>
      <c r="N136" s="23">
        <v>248704</v>
      </c>
      <c r="O136" s="34" t="s">
        <v>20</v>
      </c>
      <c r="P136" s="28" t="s">
        <v>2093</v>
      </c>
      <c r="Q136" s="37" t="s">
        <v>614</v>
      </c>
      <c r="R136" s="20" t="s">
        <v>21</v>
      </c>
      <c r="S136" s="24">
        <v>2013</v>
      </c>
      <c r="T136" s="28" t="s">
        <v>2035</v>
      </c>
      <c r="U136" s="28" t="s">
        <v>2036</v>
      </c>
      <c r="V136" s="25" t="s">
        <v>2037</v>
      </c>
      <c r="W136" s="94" t="s">
        <v>11</v>
      </c>
      <c r="X136" s="35"/>
      <c r="Y136" s="103"/>
      <c r="Z136" s="103"/>
      <c r="AA136" s="103"/>
      <c r="AB136" s="103"/>
      <c r="AC136" s="103"/>
      <c r="AD136" s="103"/>
      <c r="AE136" s="103"/>
      <c r="AF136" s="103"/>
      <c r="AG136" s="103"/>
      <c r="AH136" s="103"/>
      <c r="AI136" s="103"/>
      <c r="AJ136" s="103"/>
      <c r="AK136" s="103"/>
      <c r="AL136" s="103"/>
      <c r="AM136" s="103"/>
      <c r="AN136" s="103"/>
      <c r="AO136" s="103"/>
      <c r="AP136" s="103"/>
      <c r="AQ136" s="103"/>
      <c r="AR136" s="103"/>
      <c r="AS136" s="103"/>
      <c r="AT136" s="103"/>
      <c r="AU136" s="103"/>
      <c r="AV136" s="103"/>
      <c r="AW136" s="103"/>
      <c r="AX136" s="103"/>
      <c r="AY136" s="103"/>
      <c r="AZ136" s="103"/>
      <c r="BA136" s="103"/>
      <c r="BB136" s="103"/>
      <c r="BC136" s="103"/>
      <c r="BD136" s="103"/>
      <c r="BE136" s="103"/>
      <c r="BF136" s="103"/>
      <c r="BG136" s="103"/>
      <c r="BH136" s="103"/>
      <c r="BI136" s="103"/>
      <c r="BJ136" s="103"/>
      <c r="BK136" s="103"/>
      <c r="BL136" s="103"/>
      <c r="BM136" s="103"/>
      <c r="BN136" s="103"/>
      <c r="BO136" s="103"/>
      <c r="BP136" s="103"/>
      <c r="BQ136" s="103"/>
      <c r="BR136" s="103"/>
      <c r="BS136" s="103"/>
      <c r="BT136" s="103"/>
      <c r="BU136" s="103"/>
      <c r="BV136" s="103"/>
      <c r="BW136" s="103"/>
      <c r="BX136" s="103"/>
      <c r="BY136" s="103"/>
      <c r="BZ136" s="103"/>
      <c r="CA136" s="103"/>
      <c r="CB136" s="103"/>
      <c r="CC136" s="103"/>
      <c r="CD136" s="103"/>
      <c r="CE136" s="103"/>
      <c r="CF136" s="103"/>
      <c r="CG136" s="103"/>
      <c r="CH136" s="103"/>
      <c r="CI136" s="103"/>
      <c r="CJ136" s="103"/>
      <c r="CK136" s="103"/>
      <c r="CL136" s="103"/>
      <c r="CM136" s="103"/>
      <c r="CN136" s="103"/>
      <c r="CO136" s="103"/>
      <c r="CP136" s="103"/>
    </row>
    <row r="137" spans="1:94" s="36" customFormat="1" ht="38.25" customHeight="1">
      <c r="A137" s="20" t="s">
        <v>12</v>
      </c>
      <c r="B137" s="20" t="s">
        <v>96</v>
      </c>
      <c r="C137" s="20" t="s">
        <v>25</v>
      </c>
      <c r="D137" s="28" t="s">
        <v>2094</v>
      </c>
      <c r="E137" s="20" t="s">
        <v>15</v>
      </c>
      <c r="F137" s="33" t="s">
        <v>1564</v>
      </c>
      <c r="G137" s="33" t="s">
        <v>207</v>
      </c>
      <c r="H137" s="32">
        <v>541490</v>
      </c>
      <c r="I137" s="20" t="s">
        <v>6</v>
      </c>
      <c r="J137" s="20" t="s">
        <v>109</v>
      </c>
      <c r="K137" s="33" t="s">
        <v>29</v>
      </c>
      <c r="L137" s="20" t="s">
        <v>2095</v>
      </c>
      <c r="M137" s="23">
        <v>223000</v>
      </c>
      <c r="N137" s="23">
        <v>45359</v>
      </c>
      <c r="O137" s="34" t="s">
        <v>20</v>
      </c>
      <c r="P137" s="28"/>
      <c r="Q137" s="37" t="s">
        <v>279</v>
      </c>
      <c r="R137" s="20" t="s">
        <v>31</v>
      </c>
      <c r="S137" s="24">
        <v>2013</v>
      </c>
      <c r="T137" s="28" t="s">
        <v>2035</v>
      </c>
      <c r="U137" s="28" t="s">
        <v>2036</v>
      </c>
      <c r="V137" s="25" t="s">
        <v>2037</v>
      </c>
      <c r="W137" s="94" t="s">
        <v>11</v>
      </c>
      <c r="X137" s="35"/>
      <c r="Y137" s="103"/>
      <c r="Z137" s="103"/>
      <c r="AA137" s="103"/>
      <c r="AB137" s="103"/>
      <c r="AC137" s="103"/>
      <c r="AD137" s="103"/>
      <c r="AE137" s="103"/>
      <c r="AF137" s="103"/>
      <c r="AG137" s="103"/>
      <c r="AH137" s="103"/>
      <c r="AI137" s="103"/>
      <c r="AJ137" s="103"/>
      <c r="AK137" s="103"/>
      <c r="AL137" s="103"/>
      <c r="AM137" s="103"/>
      <c r="AN137" s="103"/>
      <c r="AO137" s="103"/>
      <c r="AP137" s="103"/>
      <c r="AQ137" s="103"/>
      <c r="AR137" s="103"/>
      <c r="AS137" s="103"/>
      <c r="AT137" s="103"/>
      <c r="AU137" s="103"/>
      <c r="AV137" s="103"/>
      <c r="AW137" s="103"/>
      <c r="AX137" s="103"/>
      <c r="AY137" s="103"/>
      <c r="AZ137" s="103"/>
      <c r="BA137" s="103"/>
      <c r="BB137" s="103"/>
      <c r="BC137" s="103"/>
      <c r="BD137" s="103"/>
      <c r="BE137" s="103"/>
      <c r="BF137" s="103"/>
      <c r="BG137" s="103"/>
      <c r="BH137" s="103"/>
      <c r="BI137" s="103"/>
      <c r="BJ137" s="103"/>
      <c r="BK137" s="103"/>
      <c r="BL137" s="103"/>
      <c r="BM137" s="103"/>
      <c r="BN137" s="103"/>
      <c r="BO137" s="103"/>
      <c r="BP137" s="103"/>
      <c r="BQ137" s="103"/>
      <c r="BR137" s="103"/>
      <c r="BS137" s="103"/>
      <c r="BT137" s="103"/>
      <c r="BU137" s="103"/>
      <c r="BV137" s="103"/>
      <c r="BW137" s="103"/>
      <c r="BX137" s="103"/>
      <c r="BY137" s="103"/>
      <c r="BZ137" s="103"/>
      <c r="CA137" s="103"/>
      <c r="CB137" s="103"/>
      <c r="CC137" s="103"/>
      <c r="CD137" s="103"/>
      <c r="CE137" s="103"/>
      <c r="CF137" s="103"/>
      <c r="CG137" s="103"/>
      <c r="CH137" s="103"/>
      <c r="CI137" s="103"/>
      <c r="CJ137" s="103"/>
      <c r="CK137" s="103"/>
      <c r="CL137" s="103"/>
      <c r="CM137" s="103"/>
      <c r="CN137" s="103"/>
      <c r="CO137" s="103"/>
      <c r="CP137" s="103"/>
    </row>
    <row r="138" spans="1:94" s="36" customFormat="1" ht="38.25" customHeight="1">
      <c r="A138" s="20" t="s">
        <v>12</v>
      </c>
      <c r="B138" s="20" t="s">
        <v>96</v>
      </c>
      <c r="C138" s="20" t="s">
        <v>25</v>
      </c>
      <c r="D138" s="28" t="s">
        <v>2096</v>
      </c>
      <c r="E138" s="20" t="s">
        <v>15</v>
      </c>
      <c r="F138" s="33" t="s">
        <v>1564</v>
      </c>
      <c r="G138" s="33" t="s">
        <v>207</v>
      </c>
      <c r="H138" s="32">
        <v>541490</v>
      </c>
      <c r="I138" s="20" t="s">
        <v>6</v>
      </c>
      <c r="J138" s="20" t="s">
        <v>109</v>
      </c>
      <c r="K138" s="33" t="s">
        <v>29</v>
      </c>
      <c r="L138" s="20" t="s">
        <v>2097</v>
      </c>
      <c r="M138" s="23">
        <v>349000</v>
      </c>
      <c r="N138" s="23">
        <v>1823760</v>
      </c>
      <c r="O138" s="34" t="s">
        <v>20</v>
      </c>
      <c r="P138" s="28"/>
      <c r="Q138" s="37" t="s">
        <v>279</v>
      </c>
      <c r="R138" s="20" t="s">
        <v>10</v>
      </c>
      <c r="S138" s="24">
        <v>2013</v>
      </c>
      <c r="T138" s="28" t="s">
        <v>2035</v>
      </c>
      <c r="U138" s="28" t="s">
        <v>2036</v>
      </c>
      <c r="V138" s="25" t="s">
        <v>2037</v>
      </c>
      <c r="W138" s="94" t="s">
        <v>11</v>
      </c>
      <c r="X138" s="35"/>
      <c r="Y138" s="103"/>
      <c r="Z138" s="103"/>
      <c r="AA138" s="103"/>
      <c r="AB138" s="103"/>
      <c r="AC138" s="103"/>
      <c r="AD138" s="103"/>
      <c r="AE138" s="103"/>
      <c r="AF138" s="103"/>
      <c r="AG138" s="103"/>
      <c r="AH138" s="103"/>
      <c r="AI138" s="103"/>
      <c r="AJ138" s="103"/>
      <c r="AK138" s="103"/>
      <c r="AL138" s="103"/>
      <c r="AM138" s="103"/>
      <c r="AN138" s="103"/>
      <c r="AO138" s="103"/>
      <c r="AP138" s="103"/>
      <c r="AQ138" s="103"/>
      <c r="AR138" s="103"/>
      <c r="AS138" s="103"/>
      <c r="AT138" s="103"/>
      <c r="AU138" s="103"/>
      <c r="AV138" s="103"/>
      <c r="AW138" s="103"/>
      <c r="AX138" s="103"/>
      <c r="AY138" s="103"/>
      <c r="AZ138" s="103"/>
      <c r="BA138" s="103"/>
      <c r="BB138" s="103"/>
      <c r="BC138" s="103"/>
      <c r="BD138" s="103"/>
      <c r="BE138" s="103"/>
      <c r="BF138" s="103"/>
      <c r="BG138" s="103"/>
      <c r="BH138" s="103"/>
      <c r="BI138" s="103"/>
      <c r="BJ138" s="103"/>
      <c r="BK138" s="103"/>
      <c r="BL138" s="103"/>
      <c r="BM138" s="103"/>
      <c r="BN138" s="103"/>
      <c r="BO138" s="103"/>
      <c r="BP138" s="103"/>
      <c r="BQ138" s="103"/>
      <c r="BR138" s="103"/>
      <c r="BS138" s="103"/>
      <c r="BT138" s="103"/>
      <c r="BU138" s="103"/>
      <c r="BV138" s="103"/>
      <c r="BW138" s="103"/>
      <c r="BX138" s="103"/>
      <c r="BY138" s="103"/>
      <c r="BZ138" s="103"/>
      <c r="CA138" s="103"/>
      <c r="CB138" s="103"/>
      <c r="CC138" s="103"/>
      <c r="CD138" s="103"/>
      <c r="CE138" s="103"/>
      <c r="CF138" s="103"/>
      <c r="CG138" s="103"/>
      <c r="CH138" s="103"/>
      <c r="CI138" s="103"/>
      <c r="CJ138" s="103"/>
      <c r="CK138" s="103"/>
      <c r="CL138" s="103"/>
      <c r="CM138" s="103"/>
      <c r="CN138" s="103"/>
      <c r="CO138" s="103"/>
      <c r="CP138" s="103"/>
    </row>
    <row r="139" spans="1:94" s="36" customFormat="1" ht="38.25" customHeight="1">
      <c r="A139" s="20" t="s">
        <v>12</v>
      </c>
      <c r="B139" s="20" t="s">
        <v>96</v>
      </c>
      <c r="C139" s="20" t="s">
        <v>3</v>
      </c>
      <c r="D139" s="28" t="s">
        <v>2098</v>
      </c>
      <c r="E139" s="20" t="s">
        <v>116</v>
      </c>
      <c r="F139" s="35"/>
      <c r="G139" s="20" t="s">
        <v>63</v>
      </c>
      <c r="H139" s="20"/>
      <c r="I139" s="20" t="s">
        <v>6</v>
      </c>
      <c r="J139" s="20" t="s">
        <v>143</v>
      </c>
      <c r="K139" s="35" t="s">
        <v>29</v>
      </c>
      <c r="L139" s="20" t="s">
        <v>2092</v>
      </c>
      <c r="M139" s="23">
        <v>52139.54</v>
      </c>
      <c r="N139" s="23"/>
      <c r="O139" s="34" t="s">
        <v>20</v>
      </c>
      <c r="P139" s="28" t="s">
        <v>2099</v>
      </c>
      <c r="Q139" s="37" t="s">
        <v>279</v>
      </c>
      <c r="R139" s="20" t="s">
        <v>10</v>
      </c>
      <c r="S139" s="24">
        <v>2013</v>
      </c>
      <c r="T139" s="28" t="s">
        <v>2100</v>
      </c>
      <c r="U139" s="28" t="s">
        <v>2101</v>
      </c>
      <c r="V139" s="20" t="s">
        <v>2102</v>
      </c>
      <c r="W139" s="94" t="s">
        <v>11</v>
      </c>
      <c r="X139" s="20"/>
      <c r="Y139" s="103"/>
      <c r="Z139" s="103"/>
      <c r="AA139" s="103"/>
      <c r="AB139" s="103"/>
      <c r="AC139" s="103"/>
      <c r="AD139" s="103"/>
      <c r="AE139" s="103"/>
      <c r="AF139" s="103"/>
      <c r="AG139" s="103"/>
      <c r="AH139" s="103"/>
      <c r="AI139" s="103"/>
      <c r="AJ139" s="103"/>
      <c r="AK139" s="103"/>
      <c r="AL139" s="103"/>
      <c r="AM139" s="103"/>
      <c r="AN139" s="103"/>
      <c r="AO139" s="103"/>
      <c r="AP139" s="103"/>
      <c r="AQ139" s="103"/>
      <c r="AR139" s="103"/>
      <c r="AS139" s="103"/>
      <c r="AT139" s="103"/>
      <c r="AU139" s="103"/>
      <c r="AV139" s="103"/>
      <c r="AW139" s="103"/>
      <c r="AX139" s="103"/>
      <c r="AY139" s="103"/>
      <c r="AZ139" s="103"/>
      <c r="BA139" s="103"/>
      <c r="BB139" s="103"/>
      <c r="BC139" s="103"/>
      <c r="BD139" s="103"/>
      <c r="BE139" s="103"/>
      <c r="BF139" s="103"/>
      <c r="BG139" s="103"/>
      <c r="BH139" s="103"/>
      <c r="BI139" s="103"/>
      <c r="BJ139" s="103"/>
      <c r="BK139" s="103"/>
      <c r="BL139" s="103"/>
      <c r="BM139" s="103"/>
      <c r="BN139" s="103"/>
      <c r="BO139" s="103"/>
      <c r="BP139" s="103"/>
      <c r="BQ139" s="103"/>
      <c r="BR139" s="103"/>
      <c r="BS139" s="103"/>
      <c r="BT139" s="103"/>
      <c r="BU139" s="103"/>
      <c r="BV139" s="103"/>
      <c r="BW139" s="103"/>
      <c r="BX139" s="103"/>
      <c r="BY139" s="103"/>
      <c r="BZ139" s="103"/>
      <c r="CA139" s="103"/>
      <c r="CB139" s="103"/>
      <c r="CC139" s="103"/>
      <c r="CD139" s="103"/>
      <c r="CE139" s="103"/>
      <c r="CF139" s="103"/>
      <c r="CG139" s="103"/>
      <c r="CH139" s="103"/>
      <c r="CI139" s="103"/>
      <c r="CJ139" s="103"/>
      <c r="CK139" s="103"/>
      <c r="CL139" s="103"/>
      <c r="CM139" s="103"/>
      <c r="CN139" s="103"/>
      <c r="CO139" s="103"/>
      <c r="CP139" s="103"/>
    </row>
    <row r="140" spans="1:94" s="36" customFormat="1" ht="38.25" customHeight="1">
      <c r="A140" s="20" t="s">
        <v>12</v>
      </c>
      <c r="B140" s="20" t="s">
        <v>96</v>
      </c>
      <c r="C140" s="20" t="s">
        <v>25</v>
      </c>
      <c r="D140" s="28" t="s">
        <v>2103</v>
      </c>
      <c r="E140" s="20" t="s">
        <v>36</v>
      </c>
      <c r="F140" s="20"/>
      <c r="G140" s="20" t="s">
        <v>207</v>
      </c>
      <c r="H140" s="20">
        <v>541519</v>
      </c>
      <c r="I140" s="20" t="s">
        <v>6</v>
      </c>
      <c r="J140" s="20" t="s">
        <v>109</v>
      </c>
      <c r="K140" s="35" t="s">
        <v>29</v>
      </c>
      <c r="L140" s="37" t="s">
        <v>2092</v>
      </c>
      <c r="M140" s="23">
        <v>4122999</v>
      </c>
      <c r="N140" s="23">
        <v>21933364</v>
      </c>
      <c r="O140" s="34" t="s">
        <v>20</v>
      </c>
      <c r="P140" s="38" t="s">
        <v>372</v>
      </c>
      <c r="Q140" s="37" t="s">
        <v>279</v>
      </c>
      <c r="R140" s="20" t="s">
        <v>21</v>
      </c>
      <c r="S140" s="24">
        <v>2013</v>
      </c>
      <c r="T140" s="28" t="s">
        <v>2104</v>
      </c>
      <c r="U140" s="28" t="s">
        <v>2105</v>
      </c>
      <c r="V140" s="37" t="s">
        <v>2106</v>
      </c>
      <c r="W140" s="94" t="s">
        <v>11</v>
      </c>
      <c r="X140" s="35"/>
      <c r="Y140" s="103"/>
      <c r="Z140" s="103"/>
      <c r="AA140" s="103"/>
      <c r="AB140" s="103"/>
      <c r="AC140" s="103"/>
      <c r="AD140" s="103"/>
      <c r="AE140" s="103"/>
      <c r="AF140" s="103"/>
      <c r="AG140" s="103"/>
      <c r="AH140" s="103"/>
      <c r="AI140" s="103"/>
      <c r="AJ140" s="103"/>
      <c r="AK140" s="103"/>
      <c r="AL140" s="103"/>
      <c r="AM140" s="103"/>
      <c r="AN140" s="103"/>
      <c r="AO140" s="103"/>
      <c r="AP140" s="103"/>
      <c r="AQ140" s="103"/>
      <c r="AR140" s="103"/>
      <c r="AS140" s="103"/>
      <c r="AT140" s="103"/>
      <c r="AU140" s="103"/>
      <c r="AV140" s="103"/>
      <c r="AW140" s="103"/>
      <c r="AX140" s="103"/>
      <c r="AY140" s="103"/>
      <c r="AZ140" s="103"/>
      <c r="BA140" s="103"/>
      <c r="BB140" s="103"/>
      <c r="BC140" s="103"/>
      <c r="BD140" s="103"/>
      <c r="BE140" s="103"/>
      <c r="BF140" s="103"/>
      <c r="BG140" s="103"/>
      <c r="BH140" s="103"/>
      <c r="BI140" s="103"/>
      <c r="BJ140" s="103"/>
      <c r="BK140" s="103"/>
      <c r="BL140" s="103"/>
      <c r="BM140" s="103"/>
      <c r="BN140" s="103"/>
      <c r="BO140" s="103"/>
      <c r="BP140" s="103"/>
      <c r="BQ140" s="103"/>
      <c r="BR140" s="103"/>
      <c r="BS140" s="103"/>
      <c r="BT140" s="103"/>
      <c r="BU140" s="103"/>
      <c r="BV140" s="103"/>
      <c r="BW140" s="103"/>
      <c r="BX140" s="103"/>
      <c r="BY140" s="103"/>
      <c r="BZ140" s="103"/>
      <c r="CA140" s="103"/>
      <c r="CB140" s="103"/>
      <c r="CC140" s="103"/>
      <c r="CD140" s="103"/>
      <c r="CE140" s="103"/>
      <c r="CF140" s="103"/>
      <c r="CG140" s="103"/>
      <c r="CH140" s="103"/>
      <c r="CI140" s="103"/>
      <c r="CJ140" s="103"/>
      <c r="CK140" s="103"/>
      <c r="CL140" s="103"/>
      <c r="CM140" s="103"/>
      <c r="CN140" s="103"/>
      <c r="CO140" s="103"/>
      <c r="CP140" s="103"/>
    </row>
    <row r="141" spans="1:94" s="36" customFormat="1" ht="38.25" customHeight="1">
      <c r="A141" s="20" t="s">
        <v>12</v>
      </c>
      <c r="B141" s="20" t="s">
        <v>96</v>
      </c>
      <c r="C141" s="20" t="s">
        <v>25</v>
      </c>
      <c r="D141" s="28" t="s">
        <v>2107</v>
      </c>
      <c r="E141" s="20" t="s">
        <v>36</v>
      </c>
      <c r="F141" s="20"/>
      <c r="G141" s="20" t="s">
        <v>207</v>
      </c>
      <c r="H141" s="32">
        <v>611710</v>
      </c>
      <c r="I141" s="20" t="s">
        <v>28</v>
      </c>
      <c r="J141" s="20" t="s">
        <v>109</v>
      </c>
      <c r="K141" s="33" t="s">
        <v>29</v>
      </c>
      <c r="L141" s="37" t="s">
        <v>572</v>
      </c>
      <c r="M141" s="23">
        <v>38000</v>
      </c>
      <c r="N141" s="23">
        <v>40000</v>
      </c>
      <c r="O141" s="34"/>
      <c r="P141" s="38" t="s">
        <v>372</v>
      </c>
      <c r="Q141" s="37" t="s">
        <v>279</v>
      </c>
      <c r="R141" s="20" t="s">
        <v>41</v>
      </c>
      <c r="S141" s="24"/>
      <c r="T141" s="28" t="s">
        <v>2108</v>
      </c>
      <c r="U141" s="28" t="s">
        <v>2109</v>
      </c>
      <c r="V141" s="37" t="s">
        <v>2110</v>
      </c>
      <c r="W141" s="94" t="s">
        <v>11</v>
      </c>
      <c r="X141" s="35"/>
      <c r="Y141" s="103"/>
      <c r="Z141" s="103"/>
      <c r="AA141" s="103"/>
      <c r="AB141" s="103"/>
      <c r="AC141" s="103"/>
      <c r="AD141" s="103"/>
      <c r="AE141" s="103"/>
      <c r="AF141" s="103"/>
      <c r="AG141" s="103"/>
      <c r="AH141" s="103"/>
      <c r="AI141" s="103"/>
      <c r="AJ141" s="103"/>
      <c r="AK141" s="103"/>
      <c r="AL141" s="103"/>
      <c r="AM141" s="103"/>
      <c r="AN141" s="103"/>
      <c r="AO141" s="103"/>
      <c r="AP141" s="103"/>
      <c r="AQ141" s="103"/>
      <c r="AR141" s="103"/>
      <c r="AS141" s="103"/>
      <c r="AT141" s="103"/>
      <c r="AU141" s="103"/>
      <c r="AV141" s="103"/>
      <c r="AW141" s="103"/>
      <c r="AX141" s="103"/>
      <c r="AY141" s="103"/>
      <c r="AZ141" s="103"/>
      <c r="BA141" s="103"/>
      <c r="BB141" s="103"/>
      <c r="BC141" s="103"/>
      <c r="BD141" s="103"/>
      <c r="BE141" s="103"/>
      <c r="BF141" s="103"/>
      <c r="BG141" s="103"/>
      <c r="BH141" s="103"/>
      <c r="BI141" s="103"/>
      <c r="BJ141" s="103"/>
      <c r="BK141" s="103"/>
      <c r="BL141" s="103"/>
      <c r="BM141" s="103"/>
      <c r="BN141" s="103"/>
      <c r="BO141" s="103"/>
      <c r="BP141" s="103"/>
      <c r="BQ141" s="103"/>
      <c r="BR141" s="103"/>
      <c r="BS141" s="103"/>
      <c r="BT141" s="103"/>
      <c r="BU141" s="103"/>
      <c r="BV141" s="103"/>
      <c r="BW141" s="103"/>
      <c r="BX141" s="103"/>
      <c r="BY141" s="103"/>
      <c r="BZ141" s="103"/>
      <c r="CA141" s="103"/>
      <c r="CB141" s="103"/>
      <c r="CC141" s="103"/>
      <c r="CD141" s="103"/>
      <c r="CE141" s="103"/>
      <c r="CF141" s="103"/>
      <c r="CG141" s="103"/>
      <c r="CH141" s="103"/>
      <c r="CI141" s="103"/>
      <c r="CJ141" s="103"/>
      <c r="CK141" s="103"/>
      <c r="CL141" s="103"/>
      <c r="CM141" s="103"/>
      <c r="CN141" s="103"/>
      <c r="CO141" s="103"/>
      <c r="CP141" s="103"/>
    </row>
    <row r="142" spans="1:94" s="36" customFormat="1" ht="38.25" customHeight="1">
      <c r="A142" s="20" t="s">
        <v>12</v>
      </c>
      <c r="B142" s="20" t="s">
        <v>96</v>
      </c>
      <c r="C142" s="20" t="s">
        <v>25</v>
      </c>
      <c r="D142" s="28" t="s">
        <v>2111</v>
      </c>
      <c r="E142" s="20" t="s">
        <v>259</v>
      </c>
      <c r="F142" s="20"/>
      <c r="G142" s="20" t="s">
        <v>207</v>
      </c>
      <c r="H142" s="20"/>
      <c r="I142" s="20" t="s">
        <v>28</v>
      </c>
      <c r="J142" s="20" t="s">
        <v>109</v>
      </c>
      <c r="K142" s="35" t="s">
        <v>29</v>
      </c>
      <c r="L142" s="37" t="s">
        <v>2112</v>
      </c>
      <c r="M142" s="23"/>
      <c r="N142" s="23"/>
      <c r="O142" s="34" t="s">
        <v>20</v>
      </c>
      <c r="P142" s="38"/>
      <c r="Q142" s="37"/>
      <c r="R142" s="20"/>
      <c r="S142" s="24"/>
      <c r="T142" s="28" t="s">
        <v>2113</v>
      </c>
      <c r="U142" s="28">
        <v>7033066452</v>
      </c>
      <c r="V142" s="37" t="s">
        <v>2114</v>
      </c>
      <c r="W142" s="94" t="s">
        <v>11</v>
      </c>
      <c r="X142" s="35"/>
      <c r="Y142" s="104"/>
      <c r="Z142" s="104"/>
      <c r="AA142" s="104"/>
      <c r="AB142" s="104"/>
      <c r="AC142" s="103"/>
      <c r="AD142" s="103"/>
      <c r="AE142" s="103"/>
      <c r="AF142" s="103"/>
      <c r="AG142" s="103"/>
      <c r="AH142" s="103"/>
      <c r="AI142" s="103"/>
      <c r="AJ142" s="103"/>
      <c r="AK142" s="103"/>
      <c r="AL142" s="103"/>
      <c r="AM142" s="103"/>
      <c r="AN142" s="103"/>
      <c r="AO142" s="103"/>
      <c r="AP142" s="103"/>
      <c r="AQ142" s="103"/>
      <c r="AR142" s="103"/>
      <c r="AS142" s="103"/>
      <c r="AT142" s="103"/>
      <c r="AU142" s="103"/>
      <c r="AV142" s="103"/>
      <c r="AW142" s="103"/>
      <c r="AX142" s="103"/>
      <c r="AY142" s="103"/>
      <c r="AZ142" s="103"/>
      <c r="BA142" s="103"/>
      <c r="BB142" s="103"/>
      <c r="BC142" s="103"/>
      <c r="BD142" s="103"/>
      <c r="BE142" s="103"/>
      <c r="BF142" s="103"/>
      <c r="BG142" s="103"/>
      <c r="BH142" s="103"/>
      <c r="BI142" s="103"/>
      <c r="BJ142" s="103"/>
      <c r="BK142" s="103"/>
      <c r="BL142" s="103"/>
      <c r="BM142" s="103"/>
      <c r="BN142" s="103"/>
      <c r="BO142" s="103"/>
      <c r="BP142" s="103"/>
      <c r="BQ142" s="103"/>
      <c r="BR142" s="103"/>
      <c r="BS142" s="103"/>
      <c r="BT142" s="103"/>
      <c r="BU142" s="103"/>
      <c r="BV142" s="103"/>
      <c r="BW142" s="103"/>
      <c r="BX142" s="103"/>
      <c r="BY142" s="103"/>
      <c r="BZ142" s="103"/>
      <c r="CA142" s="103"/>
      <c r="CB142" s="103"/>
      <c r="CC142" s="103"/>
      <c r="CD142" s="103"/>
      <c r="CE142" s="103"/>
      <c r="CF142" s="103"/>
      <c r="CG142" s="103"/>
      <c r="CH142" s="103"/>
      <c r="CI142" s="103"/>
      <c r="CJ142" s="103"/>
      <c r="CK142" s="103"/>
      <c r="CL142" s="103"/>
      <c r="CM142" s="103"/>
      <c r="CN142" s="103"/>
      <c r="CO142" s="103"/>
      <c r="CP142" s="103"/>
    </row>
    <row r="143" spans="1:94" s="36" customFormat="1" ht="38.25" customHeight="1">
      <c r="A143" s="20" t="s">
        <v>12</v>
      </c>
      <c r="B143" s="20" t="s">
        <v>96</v>
      </c>
      <c r="C143" s="20" t="s">
        <v>3</v>
      </c>
      <c r="D143" s="28" t="s">
        <v>2115</v>
      </c>
      <c r="E143" s="39" t="s">
        <v>36</v>
      </c>
      <c r="F143" s="20" t="s">
        <v>1564</v>
      </c>
      <c r="G143" s="20" t="s">
        <v>207</v>
      </c>
      <c r="H143" s="40">
        <v>541512</v>
      </c>
      <c r="I143" s="20" t="s">
        <v>2116</v>
      </c>
      <c r="J143" s="20" t="s">
        <v>7</v>
      </c>
      <c r="K143" s="35" t="s">
        <v>50</v>
      </c>
      <c r="L143" s="37" t="s">
        <v>1313</v>
      </c>
      <c r="M143" s="23">
        <v>102595063</v>
      </c>
      <c r="N143" s="23">
        <v>102595063</v>
      </c>
      <c r="O143" s="34" t="s">
        <v>20</v>
      </c>
      <c r="P143" s="38" t="s">
        <v>2117</v>
      </c>
      <c r="Q143" s="17" t="s">
        <v>614</v>
      </c>
      <c r="R143" s="20" t="s">
        <v>10</v>
      </c>
      <c r="S143" s="24">
        <v>2013</v>
      </c>
      <c r="T143" s="41" t="s">
        <v>2118</v>
      </c>
      <c r="U143" s="28" t="s">
        <v>2119</v>
      </c>
      <c r="V143" s="25" t="s">
        <v>2120</v>
      </c>
      <c r="W143" s="96" t="s">
        <v>11</v>
      </c>
      <c r="X143" s="35"/>
      <c r="Y143" s="104"/>
      <c r="Z143" s="104"/>
      <c r="AA143" s="104"/>
      <c r="AB143" s="104"/>
      <c r="AC143" s="103"/>
      <c r="AD143" s="103"/>
      <c r="AE143" s="103"/>
      <c r="AF143" s="103"/>
      <c r="AG143" s="103"/>
      <c r="AH143" s="103"/>
      <c r="AI143" s="103"/>
      <c r="AJ143" s="103"/>
      <c r="AK143" s="103"/>
      <c r="AL143" s="103"/>
      <c r="AM143" s="103"/>
      <c r="AN143" s="103"/>
      <c r="AO143" s="103"/>
      <c r="AP143" s="103"/>
      <c r="AQ143" s="103"/>
      <c r="AR143" s="103"/>
      <c r="AS143" s="103"/>
      <c r="AT143" s="103"/>
      <c r="AU143" s="103"/>
      <c r="AV143" s="103"/>
      <c r="AW143" s="103"/>
      <c r="AX143" s="103"/>
      <c r="AY143" s="103"/>
      <c r="AZ143" s="103"/>
      <c r="BA143" s="103"/>
      <c r="BB143" s="103"/>
      <c r="BC143" s="103"/>
      <c r="BD143" s="103"/>
      <c r="BE143" s="103"/>
      <c r="BF143" s="103"/>
      <c r="BG143" s="103"/>
      <c r="BH143" s="103"/>
      <c r="BI143" s="103"/>
      <c r="BJ143" s="103"/>
      <c r="BK143" s="103"/>
      <c r="BL143" s="103"/>
      <c r="BM143" s="103"/>
      <c r="BN143" s="103"/>
      <c r="BO143" s="103"/>
      <c r="BP143" s="103"/>
      <c r="BQ143" s="103"/>
      <c r="BR143" s="103"/>
      <c r="BS143" s="103"/>
      <c r="BT143" s="103"/>
      <c r="BU143" s="103"/>
      <c r="BV143" s="103"/>
      <c r="BW143" s="103"/>
      <c r="BX143" s="103"/>
      <c r="BY143" s="103"/>
      <c r="BZ143" s="103"/>
      <c r="CA143" s="103"/>
      <c r="CB143" s="103"/>
      <c r="CC143" s="103"/>
      <c r="CD143" s="103"/>
      <c r="CE143" s="103"/>
      <c r="CF143" s="103"/>
      <c r="CG143" s="103"/>
      <c r="CH143" s="103"/>
      <c r="CI143" s="103"/>
      <c r="CJ143" s="103"/>
      <c r="CK143" s="103"/>
      <c r="CL143" s="103"/>
      <c r="CM143" s="103"/>
      <c r="CN143" s="103"/>
      <c r="CO143" s="103"/>
      <c r="CP143" s="103"/>
    </row>
    <row r="144" spans="1:94" s="36" customFormat="1" ht="38.25" customHeight="1">
      <c r="A144" s="20" t="s">
        <v>12</v>
      </c>
      <c r="B144" s="20" t="s">
        <v>96</v>
      </c>
      <c r="C144" s="20" t="s">
        <v>3</v>
      </c>
      <c r="D144" s="28" t="s">
        <v>2121</v>
      </c>
      <c r="E144" s="39" t="s">
        <v>36</v>
      </c>
      <c r="F144" s="20" t="s">
        <v>1564</v>
      </c>
      <c r="G144" s="20" t="s">
        <v>207</v>
      </c>
      <c r="H144" s="40">
        <v>541512</v>
      </c>
      <c r="I144" s="20" t="s">
        <v>17</v>
      </c>
      <c r="J144" s="20" t="s">
        <v>7</v>
      </c>
      <c r="K144" s="35" t="s">
        <v>50</v>
      </c>
      <c r="L144" s="37" t="s">
        <v>1313</v>
      </c>
      <c r="M144" s="23">
        <v>6075228.21</v>
      </c>
      <c r="N144" s="23">
        <v>6075228.21</v>
      </c>
      <c r="O144" s="34" t="s">
        <v>20</v>
      </c>
      <c r="P144" s="38" t="s">
        <v>2122</v>
      </c>
      <c r="Q144" s="37" t="s">
        <v>614</v>
      </c>
      <c r="R144" s="20" t="s">
        <v>10</v>
      </c>
      <c r="S144" s="24">
        <v>2013</v>
      </c>
      <c r="T144" s="28" t="s">
        <v>2123</v>
      </c>
      <c r="U144" s="28" t="s">
        <v>2124</v>
      </c>
      <c r="V144" s="42" t="s">
        <v>2125</v>
      </c>
      <c r="W144" s="96" t="s">
        <v>11</v>
      </c>
      <c r="X144" s="35"/>
      <c r="Y144" s="91"/>
      <c r="Z144" s="91"/>
      <c r="AA144" s="91"/>
      <c r="AB144" s="91"/>
      <c r="AC144" s="103"/>
      <c r="AD144" s="103"/>
      <c r="AE144" s="103"/>
      <c r="AF144" s="103"/>
      <c r="AG144" s="103"/>
      <c r="AH144" s="103"/>
      <c r="AI144" s="103"/>
      <c r="AJ144" s="103"/>
      <c r="AK144" s="103"/>
      <c r="AL144" s="103"/>
      <c r="AM144" s="103"/>
      <c r="AN144" s="103"/>
      <c r="AO144" s="103"/>
      <c r="AP144" s="103"/>
      <c r="AQ144" s="103"/>
      <c r="AR144" s="103"/>
      <c r="AS144" s="103"/>
      <c r="AT144" s="103"/>
      <c r="AU144" s="103"/>
      <c r="AV144" s="103"/>
      <c r="AW144" s="103"/>
      <c r="AX144" s="103"/>
      <c r="AY144" s="103"/>
      <c r="AZ144" s="103"/>
      <c r="BA144" s="103"/>
      <c r="BB144" s="103"/>
      <c r="BC144" s="103"/>
      <c r="BD144" s="103"/>
      <c r="BE144" s="103"/>
      <c r="BF144" s="103"/>
      <c r="BG144" s="103"/>
      <c r="BH144" s="103"/>
      <c r="BI144" s="103"/>
      <c r="BJ144" s="103"/>
      <c r="BK144" s="103"/>
      <c r="BL144" s="103"/>
      <c r="BM144" s="103"/>
      <c r="BN144" s="103"/>
      <c r="BO144" s="103"/>
      <c r="BP144" s="103"/>
      <c r="BQ144" s="103"/>
      <c r="BR144" s="103"/>
      <c r="BS144" s="103"/>
      <c r="BT144" s="103"/>
      <c r="BU144" s="103"/>
      <c r="BV144" s="103"/>
      <c r="BW144" s="103"/>
      <c r="BX144" s="103"/>
      <c r="BY144" s="103"/>
      <c r="BZ144" s="103"/>
      <c r="CA144" s="103"/>
      <c r="CB144" s="103"/>
      <c r="CC144" s="103"/>
      <c r="CD144" s="103"/>
      <c r="CE144" s="103"/>
      <c r="CF144" s="103"/>
      <c r="CG144" s="103"/>
      <c r="CH144" s="103"/>
      <c r="CI144" s="103"/>
      <c r="CJ144" s="103"/>
      <c r="CK144" s="103"/>
      <c r="CL144" s="103"/>
      <c r="CM144" s="103"/>
      <c r="CN144" s="103"/>
      <c r="CO144" s="103"/>
      <c r="CP144" s="103"/>
    </row>
    <row r="145" spans="1:94" s="36" customFormat="1" ht="38.25" customHeight="1">
      <c r="A145" s="20" t="s">
        <v>12</v>
      </c>
      <c r="B145" s="20" t="s">
        <v>96</v>
      </c>
      <c r="C145" s="20" t="s">
        <v>3</v>
      </c>
      <c r="D145" s="28" t="s">
        <v>2126</v>
      </c>
      <c r="E145" s="39" t="s">
        <v>36</v>
      </c>
      <c r="F145" s="20" t="s">
        <v>1564</v>
      </c>
      <c r="G145" s="20" t="s">
        <v>207</v>
      </c>
      <c r="H145" s="20">
        <v>541512</v>
      </c>
      <c r="I145" s="20" t="s">
        <v>38</v>
      </c>
      <c r="J145" s="20" t="s">
        <v>109</v>
      </c>
      <c r="K145" s="35" t="s">
        <v>29</v>
      </c>
      <c r="L145" s="37" t="s">
        <v>1313</v>
      </c>
      <c r="M145" s="23">
        <v>21004420</v>
      </c>
      <c r="N145" s="23">
        <v>21004420</v>
      </c>
      <c r="O145" s="34" t="s">
        <v>20</v>
      </c>
      <c r="P145" s="38" t="s">
        <v>2127</v>
      </c>
      <c r="Q145" s="37" t="s">
        <v>614</v>
      </c>
      <c r="R145" s="20" t="s">
        <v>10</v>
      </c>
      <c r="S145" s="24">
        <v>2013</v>
      </c>
      <c r="T145" s="28" t="s">
        <v>2123</v>
      </c>
      <c r="U145" s="28" t="s">
        <v>2124</v>
      </c>
      <c r="V145" s="42" t="s">
        <v>2125</v>
      </c>
      <c r="W145" s="96" t="s">
        <v>11</v>
      </c>
      <c r="X145" s="35"/>
      <c r="Y145" s="91"/>
      <c r="Z145" s="91"/>
      <c r="AA145" s="91"/>
      <c r="AB145" s="91"/>
      <c r="AC145" s="103"/>
      <c r="AD145" s="103"/>
      <c r="AE145" s="103"/>
      <c r="AF145" s="103"/>
      <c r="AG145" s="103"/>
      <c r="AH145" s="103"/>
      <c r="AI145" s="103"/>
      <c r="AJ145" s="103"/>
      <c r="AK145" s="103"/>
      <c r="AL145" s="103"/>
      <c r="AM145" s="103"/>
      <c r="AN145" s="103"/>
      <c r="AO145" s="103"/>
      <c r="AP145" s="103"/>
      <c r="AQ145" s="103"/>
      <c r="AR145" s="103"/>
      <c r="AS145" s="103"/>
      <c r="AT145" s="103"/>
      <c r="AU145" s="103"/>
      <c r="AV145" s="103"/>
      <c r="AW145" s="103"/>
      <c r="AX145" s="103"/>
      <c r="AY145" s="103"/>
      <c r="AZ145" s="103"/>
      <c r="BA145" s="103"/>
      <c r="BB145" s="103"/>
      <c r="BC145" s="103"/>
      <c r="BD145" s="103"/>
      <c r="BE145" s="103"/>
      <c r="BF145" s="103"/>
      <c r="BG145" s="103"/>
      <c r="BH145" s="103"/>
      <c r="BI145" s="103"/>
      <c r="BJ145" s="103"/>
      <c r="BK145" s="103"/>
      <c r="BL145" s="103"/>
      <c r="BM145" s="103"/>
      <c r="BN145" s="103"/>
      <c r="BO145" s="103"/>
      <c r="BP145" s="103"/>
      <c r="BQ145" s="103"/>
      <c r="BR145" s="103"/>
      <c r="BS145" s="103"/>
      <c r="BT145" s="103"/>
      <c r="BU145" s="103"/>
      <c r="BV145" s="103"/>
      <c r="BW145" s="103"/>
      <c r="BX145" s="103"/>
      <c r="BY145" s="103"/>
      <c r="BZ145" s="103"/>
      <c r="CA145" s="103"/>
      <c r="CB145" s="103"/>
      <c r="CC145" s="103"/>
      <c r="CD145" s="103"/>
      <c r="CE145" s="103"/>
      <c r="CF145" s="103"/>
      <c r="CG145" s="103"/>
      <c r="CH145" s="103"/>
      <c r="CI145" s="103"/>
      <c r="CJ145" s="103"/>
      <c r="CK145" s="103"/>
      <c r="CL145" s="103"/>
      <c r="CM145" s="103"/>
      <c r="CN145" s="103"/>
      <c r="CO145" s="103"/>
      <c r="CP145" s="103"/>
    </row>
    <row r="146" spans="1:94" s="36" customFormat="1" ht="38.25" customHeight="1">
      <c r="A146" s="20" t="s">
        <v>12</v>
      </c>
      <c r="B146" s="20" t="s">
        <v>96</v>
      </c>
      <c r="C146" s="20" t="s">
        <v>3</v>
      </c>
      <c r="D146" s="28" t="s">
        <v>2128</v>
      </c>
      <c r="E146" s="39" t="s">
        <v>36</v>
      </c>
      <c r="F146" s="20" t="s">
        <v>1564</v>
      </c>
      <c r="G146" s="20" t="s">
        <v>207</v>
      </c>
      <c r="H146" s="20">
        <v>541512</v>
      </c>
      <c r="I146" s="20" t="s">
        <v>28</v>
      </c>
      <c r="J146" s="20" t="s">
        <v>7</v>
      </c>
      <c r="K146" s="35" t="s">
        <v>50</v>
      </c>
      <c r="L146" s="37" t="s">
        <v>1313</v>
      </c>
      <c r="M146" s="23">
        <v>4578837.5199999996</v>
      </c>
      <c r="N146" s="23">
        <v>4578837.5199999996</v>
      </c>
      <c r="O146" s="34" t="s">
        <v>20</v>
      </c>
      <c r="P146" s="38" t="s">
        <v>2129</v>
      </c>
      <c r="Q146" s="37" t="s">
        <v>614</v>
      </c>
      <c r="R146" s="20" t="s">
        <v>10</v>
      </c>
      <c r="S146" s="24">
        <v>2013</v>
      </c>
      <c r="T146" s="28" t="s">
        <v>2130</v>
      </c>
      <c r="U146" s="28" t="s">
        <v>2131</v>
      </c>
      <c r="V146" s="42" t="s">
        <v>2132</v>
      </c>
      <c r="W146" s="96" t="s">
        <v>11</v>
      </c>
      <c r="X146" s="35"/>
      <c r="Y146" s="91"/>
      <c r="Z146" s="91"/>
      <c r="AA146" s="91"/>
      <c r="AB146" s="91"/>
      <c r="AC146" s="103"/>
      <c r="AD146" s="103"/>
      <c r="AE146" s="103"/>
      <c r="AF146" s="103"/>
      <c r="AG146" s="103"/>
      <c r="AH146" s="103"/>
      <c r="AI146" s="103"/>
      <c r="AJ146" s="103"/>
      <c r="AK146" s="103"/>
      <c r="AL146" s="103"/>
      <c r="AM146" s="103"/>
      <c r="AN146" s="103"/>
      <c r="AO146" s="103"/>
      <c r="AP146" s="103"/>
      <c r="AQ146" s="103"/>
      <c r="AR146" s="103"/>
      <c r="AS146" s="103"/>
      <c r="AT146" s="103"/>
      <c r="AU146" s="103"/>
      <c r="AV146" s="103"/>
      <c r="AW146" s="103"/>
      <c r="AX146" s="103"/>
      <c r="AY146" s="103"/>
      <c r="AZ146" s="103"/>
      <c r="BA146" s="103"/>
      <c r="BB146" s="103"/>
      <c r="BC146" s="103"/>
      <c r="BD146" s="103"/>
      <c r="BE146" s="103"/>
      <c r="BF146" s="103"/>
      <c r="BG146" s="103"/>
      <c r="BH146" s="103"/>
      <c r="BI146" s="103"/>
      <c r="BJ146" s="103"/>
      <c r="BK146" s="103"/>
      <c r="BL146" s="103"/>
      <c r="BM146" s="103"/>
      <c r="BN146" s="103"/>
      <c r="BO146" s="103"/>
      <c r="BP146" s="103"/>
      <c r="BQ146" s="103"/>
      <c r="BR146" s="103"/>
      <c r="BS146" s="103"/>
      <c r="BT146" s="103"/>
      <c r="BU146" s="103"/>
      <c r="BV146" s="103"/>
      <c r="BW146" s="103"/>
      <c r="BX146" s="103"/>
      <c r="BY146" s="103"/>
      <c r="BZ146" s="103"/>
      <c r="CA146" s="103"/>
      <c r="CB146" s="103"/>
      <c r="CC146" s="103"/>
      <c r="CD146" s="103"/>
      <c r="CE146" s="103"/>
      <c r="CF146" s="103"/>
      <c r="CG146" s="103"/>
      <c r="CH146" s="103"/>
      <c r="CI146" s="103"/>
      <c r="CJ146" s="103"/>
      <c r="CK146" s="103"/>
      <c r="CL146" s="103"/>
      <c r="CM146" s="103"/>
      <c r="CN146" s="103"/>
      <c r="CO146" s="103"/>
      <c r="CP146" s="103"/>
    </row>
    <row r="147" spans="1:94" s="36" customFormat="1" ht="38.25" customHeight="1">
      <c r="A147" s="20" t="s">
        <v>12</v>
      </c>
      <c r="B147" s="20" t="s">
        <v>96</v>
      </c>
      <c r="C147" s="20" t="s">
        <v>3</v>
      </c>
      <c r="D147" s="28" t="s">
        <v>2133</v>
      </c>
      <c r="E147" s="39" t="s">
        <v>36</v>
      </c>
      <c r="F147" s="20" t="s">
        <v>1564</v>
      </c>
      <c r="G147" s="20" t="s">
        <v>207</v>
      </c>
      <c r="H147" s="20">
        <v>541512</v>
      </c>
      <c r="I147" s="20"/>
      <c r="J147" s="20" t="s">
        <v>7</v>
      </c>
      <c r="K147" s="35" t="s">
        <v>50</v>
      </c>
      <c r="L147" s="37" t="s">
        <v>1313</v>
      </c>
      <c r="M147" s="23">
        <v>458755.17</v>
      </c>
      <c r="N147" s="23">
        <v>458755.17</v>
      </c>
      <c r="O147" s="34" t="s">
        <v>20</v>
      </c>
      <c r="P147" s="38" t="s">
        <v>2134</v>
      </c>
      <c r="Q147" s="37" t="s">
        <v>614</v>
      </c>
      <c r="R147" s="20" t="s">
        <v>10</v>
      </c>
      <c r="S147" s="24">
        <v>2013</v>
      </c>
      <c r="T147" s="28" t="s">
        <v>2130</v>
      </c>
      <c r="U147" s="28" t="s">
        <v>2131</v>
      </c>
      <c r="V147" s="42" t="s">
        <v>2132</v>
      </c>
      <c r="W147" s="96" t="s">
        <v>11</v>
      </c>
      <c r="X147" s="35"/>
      <c r="Y147" s="91"/>
      <c r="Z147" s="91"/>
      <c r="AA147" s="91"/>
      <c r="AB147" s="91"/>
      <c r="AC147" s="103"/>
      <c r="AD147" s="103"/>
      <c r="AE147" s="103"/>
      <c r="AF147" s="103"/>
      <c r="AG147" s="103"/>
      <c r="AH147" s="103"/>
      <c r="AI147" s="103"/>
      <c r="AJ147" s="103"/>
      <c r="AK147" s="103"/>
      <c r="AL147" s="103"/>
      <c r="AM147" s="103"/>
      <c r="AN147" s="103"/>
      <c r="AO147" s="103"/>
      <c r="AP147" s="103"/>
      <c r="AQ147" s="103"/>
      <c r="AR147" s="103"/>
      <c r="AS147" s="103"/>
      <c r="AT147" s="103"/>
      <c r="AU147" s="103"/>
      <c r="AV147" s="103"/>
      <c r="AW147" s="103"/>
      <c r="AX147" s="103"/>
      <c r="AY147" s="103"/>
      <c r="AZ147" s="103"/>
      <c r="BA147" s="103"/>
      <c r="BB147" s="103"/>
      <c r="BC147" s="103"/>
      <c r="BD147" s="103"/>
      <c r="BE147" s="103"/>
      <c r="BF147" s="103"/>
      <c r="BG147" s="103"/>
      <c r="BH147" s="103"/>
      <c r="BI147" s="103"/>
      <c r="BJ147" s="103"/>
      <c r="BK147" s="103"/>
      <c r="BL147" s="103"/>
      <c r="BM147" s="103"/>
      <c r="BN147" s="103"/>
      <c r="BO147" s="103"/>
      <c r="BP147" s="103"/>
      <c r="BQ147" s="103"/>
      <c r="BR147" s="103"/>
      <c r="BS147" s="103"/>
      <c r="BT147" s="103"/>
      <c r="BU147" s="103"/>
      <c r="BV147" s="103"/>
      <c r="BW147" s="103"/>
      <c r="BX147" s="103"/>
      <c r="BY147" s="103"/>
      <c r="BZ147" s="103"/>
      <c r="CA147" s="103"/>
      <c r="CB147" s="103"/>
      <c r="CC147" s="103"/>
      <c r="CD147" s="103"/>
      <c r="CE147" s="103"/>
      <c r="CF147" s="103"/>
      <c r="CG147" s="103"/>
      <c r="CH147" s="103"/>
      <c r="CI147" s="103"/>
      <c r="CJ147" s="103"/>
      <c r="CK147" s="103"/>
      <c r="CL147" s="103"/>
      <c r="CM147" s="103"/>
      <c r="CN147" s="103"/>
      <c r="CO147" s="103"/>
      <c r="CP147" s="103"/>
    </row>
    <row r="148" spans="1:94" s="36" customFormat="1" ht="37.5" customHeight="1">
      <c r="A148" s="20" t="s">
        <v>12</v>
      </c>
      <c r="B148" s="20" t="s">
        <v>96</v>
      </c>
      <c r="C148" s="20" t="s">
        <v>3</v>
      </c>
      <c r="D148" s="43" t="s">
        <v>2135</v>
      </c>
      <c r="E148" s="39" t="s">
        <v>36</v>
      </c>
      <c r="F148" s="20" t="s">
        <v>1564</v>
      </c>
      <c r="G148" s="20" t="s">
        <v>207</v>
      </c>
      <c r="H148" s="20">
        <v>541512</v>
      </c>
      <c r="I148" s="20" t="s">
        <v>71</v>
      </c>
      <c r="J148" s="20" t="s">
        <v>7</v>
      </c>
      <c r="K148" s="35" t="s">
        <v>50</v>
      </c>
      <c r="L148" s="37" t="s">
        <v>1313</v>
      </c>
      <c r="M148" s="23">
        <v>28652889.120000001</v>
      </c>
      <c r="N148" s="23">
        <v>28652889.120000001</v>
      </c>
      <c r="O148" s="34" t="s">
        <v>20</v>
      </c>
      <c r="P148" s="43" t="s">
        <v>2136</v>
      </c>
      <c r="Q148" s="37" t="s">
        <v>614</v>
      </c>
      <c r="R148" s="20" t="s">
        <v>10</v>
      </c>
      <c r="S148" s="24">
        <v>2013</v>
      </c>
      <c r="T148" s="43" t="s">
        <v>2123</v>
      </c>
      <c r="U148" s="28" t="s">
        <v>2124</v>
      </c>
      <c r="V148" s="42" t="s">
        <v>2125</v>
      </c>
      <c r="W148" s="96" t="s">
        <v>11</v>
      </c>
      <c r="X148" s="35"/>
      <c r="Y148" s="91"/>
      <c r="Z148" s="91"/>
      <c r="AA148" s="91"/>
      <c r="AB148" s="91"/>
      <c r="AC148" s="103"/>
      <c r="AD148" s="103"/>
      <c r="AE148" s="103"/>
      <c r="AF148" s="103"/>
      <c r="AG148" s="103"/>
      <c r="AH148" s="103"/>
      <c r="AI148" s="103"/>
      <c r="AJ148" s="103"/>
      <c r="AK148" s="103"/>
      <c r="AL148" s="103"/>
      <c r="AM148" s="103"/>
      <c r="AN148" s="103"/>
      <c r="AO148" s="103"/>
      <c r="AP148" s="103"/>
      <c r="AQ148" s="103"/>
      <c r="AR148" s="103"/>
      <c r="AS148" s="103"/>
      <c r="AT148" s="103"/>
      <c r="AU148" s="103"/>
      <c r="AV148" s="103"/>
      <c r="AW148" s="103"/>
      <c r="AX148" s="103"/>
      <c r="AY148" s="103"/>
      <c r="AZ148" s="103"/>
      <c r="BA148" s="103"/>
      <c r="BB148" s="103"/>
      <c r="BC148" s="103"/>
      <c r="BD148" s="103"/>
      <c r="BE148" s="103"/>
      <c r="BF148" s="103"/>
      <c r="BG148" s="103"/>
      <c r="BH148" s="103"/>
      <c r="BI148" s="103"/>
      <c r="BJ148" s="103"/>
      <c r="BK148" s="103"/>
      <c r="BL148" s="103"/>
      <c r="BM148" s="103"/>
      <c r="BN148" s="103"/>
      <c r="BO148" s="103"/>
      <c r="BP148" s="103"/>
      <c r="BQ148" s="103"/>
      <c r="BR148" s="103"/>
      <c r="BS148" s="103"/>
      <c r="BT148" s="103"/>
      <c r="BU148" s="103"/>
      <c r="BV148" s="103"/>
      <c r="BW148" s="103"/>
      <c r="BX148" s="103"/>
      <c r="BY148" s="103"/>
      <c r="BZ148" s="103"/>
      <c r="CA148" s="103"/>
      <c r="CB148" s="103"/>
      <c r="CC148" s="103"/>
      <c r="CD148" s="103"/>
      <c r="CE148" s="103"/>
      <c r="CF148" s="103"/>
      <c r="CG148" s="103"/>
      <c r="CH148" s="103"/>
      <c r="CI148" s="103"/>
      <c r="CJ148" s="103"/>
      <c r="CK148" s="103"/>
      <c r="CL148" s="103"/>
      <c r="CM148" s="103"/>
      <c r="CN148" s="103"/>
      <c r="CO148" s="103"/>
      <c r="CP148" s="103"/>
    </row>
    <row r="149" spans="1:94" s="36" customFormat="1" ht="38.25" customHeight="1">
      <c r="A149" s="20" t="s">
        <v>12</v>
      </c>
      <c r="B149" s="20" t="s">
        <v>96</v>
      </c>
      <c r="C149" s="20" t="s">
        <v>3</v>
      </c>
      <c r="D149" s="43" t="s">
        <v>2137</v>
      </c>
      <c r="E149" s="39" t="s">
        <v>36</v>
      </c>
      <c r="F149" s="20" t="s">
        <v>1564</v>
      </c>
      <c r="G149" s="20" t="s">
        <v>207</v>
      </c>
      <c r="H149" s="20">
        <v>541512</v>
      </c>
      <c r="I149" s="20" t="s">
        <v>17</v>
      </c>
      <c r="J149" s="20" t="s">
        <v>7</v>
      </c>
      <c r="K149" s="35" t="s">
        <v>50</v>
      </c>
      <c r="L149" s="37" t="s">
        <v>1313</v>
      </c>
      <c r="M149" s="23">
        <v>4221021</v>
      </c>
      <c r="N149" s="23">
        <v>4221021</v>
      </c>
      <c r="O149" s="34" t="s">
        <v>20</v>
      </c>
      <c r="P149" s="43" t="s">
        <v>2138</v>
      </c>
      <c r="Q149" s="37" t="s">
        <v>614</v>
      </c>
      <c r="R149" s="20" t="s">
        <v>10</v>
      </c>
      <c r="S149" s="24">
        <v>2013</v>
      </c>
      <c r="T149" s="43" t="s">
        <v>2118</v>
      </c>
      <c r="U149" s="28" t="s">
        <v>2119</v>
      </c>
      <c r="V149" s="25" t="s">
        <v>2120</v>
      </c>
      <c r="W149" s="96" t="s">
        <v>11</v>
      </c>
      <c r="X149" s="39"/>
      <c r="Y149" s="91"/>
      <c r="Z149" s="91"/>
      <c r="AA149" s="91"/>
      <c r="AB149" s="91"/>
      <c r="AC149" s="103"/>
      <c r="AD149" s="103"/>
      <c r="AE149" s="103"/>
      <c r="AF149" s="103"/>
      <c r="AG149" s="103"/>
      <c r="AH149" s="103"/>
      <c r="AI149" s="103"/>
      <c r="AJ149" s="103"/>
      <c r="AK149" s="103"/>
      <c r="AL149" s="103"/>
      <c r="AM149" s="103"/>
      <c r="AN149" s="103"/>
      <c r="AO149" s="103"/>
      <c r="AP149" s="103"/>
      <c r="AQ149" s="103"/>
      <c r="AR149" s="103"/>
      <c r="AS149" s="103"/>
      <c r="AT149" s="103"/>
      <c r="AU149" s="103"/>
      <c r="AV149" s="103"/>
      <c r="AW149" s="103"/>
      <c r="AX149" s="103"/>
      <c r="AY149" s="103"/>
      <c r="AZ149" s="103"/>
      <c r="BA149" s="103"/>
      <c r="BB149" s="103"/>
      <c r="BC149" s="103"/>
      <c r="BD149" s="103"/>
      <c r="BE149" s="103"/>
      <c r="BF149" s="103"/>
      <c r="BG149" s="103"/>
      <c r="BH149" s="103"/>
      <c r="BI149" s="103"/>
      <c r="BJ149" s="103"/>
      <c r="BK149" s="103"/>
      <c r="BL149" s="103"/>
      <c r="BM149" s="103"/>
      <c r="BN149" s="103"/>
      <c r="BO149" s="103"/>
      <c r="BP149" s="103"/>
      <c r="BQ149" s="103"/>
      <c r="BR149" s="103"/>
      <c r="BS149" s="103"/>
      <c r="BT149" s="103"/>
      <c r="BU149" s="103"/>
      <c r="BV149" s="103"/>
      <c r="BW149" s="103"/>
      <c r="BX149" s="103"/>
      <c r="BY149" s="103"/>
      <c r="BZ149" s="103"/>
      <c r="CA149" s="103"/>
      <c r="CB149" s="103"/>
      <c r="CC149" s="103"/>
      <c r="CD149" s="103"/>
      <c r="CE149" s="103"/>
      <c r="CF149" s="103"/>
      <c r="CG149" s="103"/>
      <c r="CH149" s="103"/>
      <c r="CI149" s="103"/>
      <c r="CJ149" s="103"/>
      <c r="CK149" s="103"/>
      <c r="CL149" s="103"/>
      <c r="CM149" s="103"/>
      <c r="CN149" s="103"/>
      <c r="CO149" s="103"/>
      <c r="CP149" s="103"/>
    </row>
    <row r="150" spans="1:94" s="31" customFormat="1" ht="37.5" customHeight="1">
      <c r="A150" s="20" t="s">
        <v>12</v>
      </c>
      <c r="B150" s="20" t="s">
        <v>96</v>
      </c>
      <c r="C150" s="20" t="s">
        <v>3</v>
      </c>
      <c r="D150" s="43" t="s">
        <v>2139</v>
      </c>
      <c r="E150" s="39" t="s">
        <v>36</v>
      </c>
      <c r="F150" s="20" t="s">
        <v>1564</v>
      </c>
      <c r="G150" s="20" t="s">
        <v>207</v>
      </c>
      <c r="H150" s="20">
        <v>541512</v>
      </c>
      <c r="I150" s="20" t="s">
        <v>71</v>
      </c>
      <c r="J150" s="20" t="s">
        <v>29</v>
      </c>
      <c r="K150" s="35" t="s">
        <v>8</v>
      </c>
      <c r="L150" s="37" t="s">
        <v>2090</v>
      </c>
      <c r="M150" s="23">
        <v>702093.14</v>
      </c>
      <c r="N150" s="23">
        <v>702093.14</v>
      </c>
      <c r="O150" s="34" t="s">
        <v>20</v>
      </c>
      <c r="P150" s="43" t="s">
        <v>2140</v>
      </c>
      <c r="Q150" s="37"/>
      <c r="R150" s="20" t="s">
        <v>10</v>
      </c>
      <c r="S150" s="24">
        <v>2013</v>
      </c>
      <c r="T150" s="43" t="s">
        <v>2130</v>
      </c>
      <c r="U150" s="28" t="s">
        <v>2131</v>
      </c>
      <c r="V150" s="42" t="s">
        <v>2132</v>
      </c>
      <c r="W150" s="96" t="s">
        <v>11</v>
      </c>
      <c r="X150" s="35"/>
      <c r="Y150" s="91"/>
      <c r="Z150" s="91"/>
      <c r="AA150" s="91"/>
      <c r="AB150" s="91"/>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c r="CM150" s="104"/>
      <c r="CN150" s="104"/>
      <c r="CO150" s="104"/>
      <c r="CP150" s="104"/>
    </row>
    <row r="151" spans="1:94" s="31" customFormat="1" ht="37.5" customHeight="1">
      <c r="A151" s="20" t="s">
        <v>12</v>
      </c>
      <c r="B151" s="20" t="s">
        <v>96</v>
      </c>
      <c r="C151" s="20" t="s">
        <v>3</v>
      </c>
      <c r="D151" s="44" t="s">
        <v>2141</v>
      </c>
      <c r="E151" s="39" t="s">
        <v>36</v>
      </c>
      <c r="F151" s="20" t="s">
        <v>1564</v>
      </c>
      <c r="G151" s="20" t="s">
        <v>207</v>
      </c>
      <c r="H151" s="20">
        <v>541512</v>
      </c>
      <c r="I151" s="20" t="s">
        <v>71</v>
      </c>
      <c r="J151" s="20" t="s">
        <v>57</v>
      </c>
      <c r="K151" s="35" t="s">
        <v>50</v>
      </c>
      <c r="L151" s="37" t="s">
        <v>1313</v>
      </c>
      <c r="M151" s="23">
        <v>400000000</v>
      </c>
      <c r="N151" s="23">
        <v>400000000</v>
      </c>
      <c r="O151" s="34" t="s">
        <v>20</v>
      </c>
      <c r="P151" s="28" t="s">
        <v>2142</v>
      </c>
      <c r="Q151" s="37" t="s">
        <v>614</v>
      </c>
      <c r="R151" s="20" t="s">
        <v>10</v>
      </c>
      <c r="S151" s="24">
        <v>2013</v>
      </c>
      <c r="T151" s="28" t="s">
        <v>2143</v>
      </c>
      <c r="U151" s="28" t="s">
        <v>2144</v>
      </c>
      <c r="V151" s="45" t="s">
        <v>2145</v>
      </c>
      <c r="W151" s="96" t="s">
        <v>11</v>
      </c>
      <c r="X151" s="35"/>
      <c r="Y151" s="91"/>
      <c r="Z151" s="91"/>
      <c r="AA151" s="91"/>
      <c r="AB151" s="91"/>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c r="CM151" s="104"/>
      <c r="CN151" s="104"/>
      <c r="CO151" s="104"/>
      <c r="CP151" s="104"/>
    </row>
    <row r="152" spans="1:94" s="30" customFormat="1" ht="37.5" customHeight="1">
      <c r="A152" s="20" t="s">
        <v>12</v>
      </c>
      <c r="B152" s="20" t="s">
        <v>96</v>
      </c>
      <c r="C152" s="20" t="s">
        <v>3</v>
      </c>
      <c r="D152" s="43" t="s">
        <v>2146</v>
      </c>
      <c r="E152" s="39" t="s">
        <v>36</v>
      </c>
      <c r="F152" s="20" t="s">
        <v>1564</v>
      </c>
      <c r="G152" s="20" t="s">
        <v>207</v>
      </c>
      <c r="H152" s="20">
        <v>541512</v>
      </c>
      <c r="I152" s="20" t="s">
        <v>17</v>
      </c>
      <c r="J152" s="20" t="s">
        <v>7</v>
      </c>
      <c r="K152" s="35" t="s">
        <v>50</v>
      </c>
      <c r="L152" s="37" t="s">
        <v>1313</v>
      </c>
      <c r="M152" s="23">
        <v>3463243</v>
      </c>
      <c r="N152" s="23">
        <v>3463243</v>
      </c>
      <c r="O152" s="34" t="s">
        <v>20</v>
      </c>
      <c r="P152" s="43" t="s">
        <v>2147</v>
      </c>
      <c r="Q152" s="37" t="s">
        <v>614</v>
      </c>
      <c r="R152" s="20" t="s">
        <v>10</v>
      </c>
      <c r="S152" s="24">
        <v>2013</v>
      </c>
      <c r="T152" s="44" t="s">
        <v>2118</v>
      </c>
      <c r="U152" s="28" t="s">
        <v>2119</v>
      </c>
      <c r="V152" s="25" t="s">
        <v>2120</v>
      </c>
      <c r="W152" s="96" t="s">
        <v>11</v>
      </c>
      <c r="X152" s="35"/>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c r="CM152" s="91"/>
      <c r="CN152" s="91"/>
      <c r="CO152" s="91"/>
      <c r="CP152" s="91"/>
    </row>
    <row r="153" spans="1:94" s="30" customFormat="1" ht="37.5" customHeight="1">
      <c r="A153" s="20" t="s">
        <v>12</v>
      </c>
      <c r="B153" s="20" t="s">
        <v>96</v>
      </c>
      <c r="C153" s="20" t="s">
        <v>3</v>
      </c>
      <c r="D153" s="43" t="s">
        <v>2148</v>
      </c>
      <c r="E153" s="39" t="s">
        <v>36</v>
      </c>
      <c r="F153" s="20" t="s">
        <v>1564</v>
      </c>
      <c r="G153" s="20" t="s">
        <v>207</v>
      </c>
      <c r="H153" s="20">
        <v>541512</v>
      </c>
      <c r="I153" s="20"/>
      <c r="J153" s="20" t="s">
        <v>7</v>
      </c>
      <c r="K153" s="35" t="s">
        <v>2149</v>
      </c>
      <c r="L153" s="37" t="s">
        <v>1313</v>
      </c>
      <c r="M153" s="23">
        <v>765475.83</v>
      </c>
      <c r="N153" s="23">
        <v>765475.83</v>
      </c>
      <c r="O153" s="34" t="s">
        <v>20</v>
      </c>
      <c r="P153" s="43" t="s">
        <v>2150</v>
      </c>
      <c r="Q153" s="37" t="s">
        <v>614</v>
      </c>
      <c r="R153" s="20" t="s">
        <v>10</v>
      </c>
      <c r="S153" s="24">
        <v>2013</v>
      </c>
      <c r="T153" s="44" t="s">
        <v>2130</v>
      </c>
      <c r="U153" s="28" t="s">
        <v>2131</v>
      </c>
      <c r="V153" s="42" t="s">
        <v>2132</v>
      </c>
      <c r="W153" s="96" t="s">
        <v>11</v>
      </c>
      <c r="X153" s="35"/>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c r="CM153" s="91"/>
      <c r="CN153" s="91"/>
      <c r="CO153" s="91"/>
      <c r="CP153" s="91"/>
    </row>
    <row r="154" spans="1:94" s="30" customFormat="1" ht="37.5" customHeight="1">
      <c r="A154" s="20" t="s">
        <v>12</v>
      </c>
      <c r="B154" s="20" t="s">
        <v>96</v>
      </c>
      <c r="C154" s="20" t="s">
        <v>3</v>
      </c>
      <c r="D154" s="43" t="s">
        <v>2151</v>
      </c>
      <c r="E154" s="39" t="s">
        <v>36</v>
      </c>
      <c r="F154" s="20" t="s">
        <v>1564</v>
      </c>
      <c r="G154" s="20" t="s">
        <v>207</v>
      </c>
      <c r="H154" s="20">
        <v>541512</v>
      </c>
      <c r="I154" s="20" t="s">
        <v>2026</v>
      </c>
      <c r="J154" s="20" t="s">
        <v>29</v>
      </c>
      <c r="K154" s="35" t="s">
        <v>50</v>
      </c>
      <c r="L154" s="37" t="s">
        <v>1313</v>
      </c>
      <c r="M154" s="23">
        <v>11558509.800000001</v>
      </c>
      <c r="N154" s="23">
        <v>11558509.800000001</v>
      </c>
      <c r="O154" s="34" t="s">
        <v>20</v>
      </c>
      <c r="P154" s="43" t="s">
        <v>2152</v>
      </c>
      <c r="Q154" s="37" t="s">
        <v>614</v>
      </c>
      <c r="R154" s="20" t="s">
        <v>10</v>
      </c>
      <c r="S154" s="24">
        <v>2013</v>
      </c>
      <c r="T154" s="44" t="s">
        <v>2118</v>
      </c>
      <c r="U154" s="28" t="s">
        <v>2119</v>
      </c>
      <c r="V154" s="25" t="s">
        <v>2120</v>
      </c>
      <c r="W154" s="96" t="s">
        <v>11</v>
      </c>
      <c r="X154" s="35"/>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c r="CM154" s="91"/>
      <c r="CN154" s="91"/>
      <c r="CO154" s="91"/>
      <c r="CP154" s="91"/>
    </row>
    <row r="155" spans="1:94" s="30" customFormat="1" ht="37.5" customHeight="1">
      <c r="A155" s="20" t="s">
        <v>12</v>
      </c>
      <c r="B155" s="20" t="s">
        <v>96</v>
      </c>
      <c r="C155" s="20" t="s">
        <v>3</v>
      </c>
      <c r="D155" s="43" t="s">
        <v>2153</v>
      </c>
      <c r="E155" s="39" t="s">
        <v>36</v>
      </c>
      <c r="F155" s="20" t="s">
        <v>1564</v>
      </c>
      <c r="G155" s="20" t="s">
        <v>207</v>
      </c>
      <c r="H155" s="20">
        <v>541512</v>
      </c>
      <c r="I155" s="20"/>
      <c r="J155" s="20" t="s">
        <v>7</v>
      </c>
      <c r="K155" s="35" t="s">
        <v>2149</v>
      </c>
      <c r="L155" s="37" t="s">
        <v>1313</v>
      </c>
      <c r="M155" s="23">
        <v>249686.44</v>
      </c>
      <c r="N155" s="23">
        <v>249686.44</v>
      </c>
      <c r="O155" s="34" t="s">
        <v>20</v>
      </c>
      <c r="P155" s="43" t="s">
        <v>2154</v>
      </c>
      <c r="Q155" s="37" t="s">
        <v>614</v>
      </c>
      <c r="R155" s="20" t="s">
        <v>10</v>
      </c>
      <c r="S155" s="24">
        <v>2013</v>
      </c>
      <c r="T155" s="44" t="s">
        <v>2130</v>
      </c>
      <c r="U155" s="28" t="s">
        <v>2131</v>
      </c>
      <c r="V155" s="42" t="s">
        <v>2132</v>
      </c>
      <c r="W155" s="96" t="s">
        <v>11</v>
      </c>
      <c r="X155" s="35"/>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c r="CM155" s="91"/>
      <c r="CN155" s="91"/>
      <c r="CO155" s="91"/>
      <c r="CP155" s="91"/>
    </row>
    <row r="156" spans="1:94" s="30" customFormat="1" ht="37.5" customHeight="1">
      <c r="A156" s="20" t="s">
        <v>12</v>
      </c>
      <c r="B156" s="20" t="s">
        <v>96</v>
      </c>
      <c r="C156" s="20" t="s">
        <v>3</v>
      </c>
      <c r="D156" s="43" t="s">
        <v>2155</v>
      </c>
      <c r="E156" s="39" t="s">
        <v>36</v>
      </c>
      <c r="F156" s="20" t="s">
        <v>1564</v>
      </c>
      <c r="G156" s="20" t="s">
        <v>207</v>
      </c>
      <c r="H156" s="20">
        <v>541512</v>
      </c>
      <c r="I156" s="20" t="s">
        <v>17</v>
      </c>
      <c r="J156" s="20" t="s">
        <v>7</v>
      </c>
      <c r="K156" s="35" t="s">
        <v>50</v>
      </c>
      <c r="L156" s="37" t="s">
        <v>1313</v>
      </c>
      <c r="M156" s="23">
        <v>7466252</v>
      </c>
      <c r="N156" s="23">
        <v>7466252</v>
      </c>
      <c r="O156" s="34" t="s">
        <v>20</v>
      </c>
      <c r="P156" s="43" t="s">
        <v>2156</v>
      </c>
      <c r="Q156" s="37" t="s">
        <v>614</v>
      </c>
      <c r="R156" s="20" t="s">
        <v>10</v>
      </c>
      <c r="S156" s="24">
        <v>2013</v>
      </c>
      <c r="T156" s="44" t="s">
        <v>2118</v>
      </c>
      <c r="U156" s="28" t="s">
        <v>2119</v>
      </c>
      <c r="V156" s="25" t="s">
        <v>2120</v>
      </c>
      <c r="W156" s="96" t="s">
        <v>11</v>
      </c>
      <c r="X156" s="35"/>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c r="CM156" s="91"/>
      <c r="CN156" s="91"/>
      <c r="CO156" s="91"/>
      <c r="CP156" s="91"/>
    </row>
    <row r="157" spans="1:94" s="30" customFormat="1" ht="37.5" customHeight="1">
      <c r="A157" s="20" t="s">
        <v>12</v>
      </c>
      <c r="B157" s="20" t="s">
        <v>96</v>
      </c>
      <c r="C157" s="20" t="s">
        <v>3</v>
      </c>
      <c r="D157" s="43" t="s">
        <v>2157</v>
      </c>
      <c r="E157" s="39" t="s">
        <v>36</v>
      </c>
      <c r="F157" s="20" t="s">
        <v>1564</v>
      </c>
      <c r="G157" s="20" t="s">
        <v>207</v>
      </c>
      <c r="H157" s="20">
        <v>541512</v>
      </c>
      <c r="I157" s="20" t="s">
        <v>2026</v>
      </c>
      <c r="J157" s="20" t="s">
        <v>109</v>
      </c>
      <c r="K157" s="35" t="s">
        <v>50</v>
      </c>
      <c r="L157" s="37" t="s">
        <v>1313</v>
      </c>
      <c r="M157" s="23">
        <v>24090043</v>
      </c>
      <c r="N157" s="23">
        <v>24090043</v>
      </c>
      <c r="O157" s="34" t="s">
        <v>20</v>
      </c>
      <c r="P157" s="43" t="s">
        <v>2136</v>
      </c>
      <c r="Q157" s="37" t="s">
        <v>614</v>
      </c>
      <c r="R157" s="20" t="s">
        <v>10</v>
      </c>
      <c r="S157" s="24">
        <v>2013</v>
      </c>
      <c r="T157" s="44" t="s">
        <v>2123</v>
      </c>
      <c r="U157" s="28" t="s">
        <v>2124</v>
      </c>
      <c r="V157" s="42" t="s">
        <v>2125</v>
      </c>
      <c r="W157" s="96" t="s">
        <v>11</v>
      </c>
      <c r="X157" s="35"/>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c r="CM157" s="91"/>
      <c r="CN157" s="91"/>
      <c r="CO157" s="91"/>
      <c r="CP157" s="91"/>
    </row>
    <row r="158" spans="1:94" s="30" customFormat="1" ht="37.5" customHeight="1">
      <c r="A158" s="20" t="s">
        <v>12</v>
      </c>
      <c r="B158" s="20" t="s">
        <v>96</v>
      </c>
      <c r="C158" s="20" t="s">
        <v>3</v>
      </c>
      <c r="D158" s="43" t="s">
        <v>2158</v>
      </c>
      <c r="E158" s="39" t="s">
        <v>36</v>
      </c>
      <c r="F158" s="20" t="s">
        <v>1564</v>
      </c>
      <c r="G158" s="20" t="s">
        <v>207</v>
      </c>
      <c r="H158" s="20">
        <v>541512</v>
      </c>
      <c r="I158" s="20" t="s">
        <v>2026</v>
      </c>
      <c r="J158" s="20" t="s">
        <v>7</v>
      </c>
      <c r="K158" s="35" t="s">
        <v>8</v>
      </c>
      <c r="L158" s="37" t="s">
        <v>1313</v>
      </c>
      <c r="M158" s="23">
        <v>22205635.579999998</v>
      </c>
      <c r="N158" s="23">
        <v>22205635.579999998</v>
      </c>
      <c r="O158" s="34" t="s">
        <v>20</v>
      </c>
      <c r="P158" s="43" t="s">
        <v>2136</v>
      </c>
      <c r="Q158" s="37" t="s">
        <v>614</v>
      </c>
      <c r="R158" s="20" t="s">
        <v>10</v>
      </c>
      <c r="S158" s="24">
        <v>2013</v>
      </c>
      <c r="T158" s="44" t="s">
        <v>2130</v>
      </c>
      <c r="U158" s="28" t="s">
        <v>2131</v>
      </c>
      <c r="V158" s="42" t="s">
        <v>2132</v>
      </c>
      <c r="W158" s="96" t="s">
        <v>11</v>
      </c>
      <c r="X158" s="35"/>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c r="CM158" s="91"/>
      <c r="CN158" s="91"/>
      <c r="CO158" s="91"/>
      <c r="CP158" s="91"/>
    </row>
    <row r="159" spans="1:94" s="30" customFormat="1" ht="37.5" customHeight="1">
      <c r="A159" s="20" t="s">
        <v>12</v>
      </c>
      <c r="B159" s="20" t="s">
        <v>96</v>
      </c>
      <c r="C159" s="20" t="s">
        <v>3</v>
      </c>
      <c r="D159" s="43" t="s">
        <v>2159</v>
      </c>
      <c r="E159" s="39" t="s">
        <v>36</v>
      </c>
      <c r="F159" s="20" t="s">
        <v>1564</v>
      </c>
      <c r="G159" s="20" t="s">
        <v>207</v>
      </c>
      <c r="H159" s="20">
        <v>541512</v>
      </c>
      <c r="I159" s="20"/>
      <c r="J159" s="20" t="s">
        <v>29</v>
      </c>
      <c r="K159" s="35" t="s">
        <v>50</v>
      </c>
      <c r="L159" s="37" t="s">
        <v>1313</v>
      </c>
      <c r="M159" s="23">
        <v>918400</v>
      </c>
      <c r="N159" s="23">
        <v>918400</v>
      </c>
      <c r="O159" s="34" t="s">
        <v>20</v>
      </c>
      <c r="P159" s="43" t="s">
        <v>2160</v>
      </c>
      <c r="Q159" s="37" t="s">
        <v>614</v>
      </c>
      <c r="R159" s="20" t="s">
        <v>10</v>
      </c>
      <c r="S159" s="24">
        <v>2013</v>
      </c>
      <c r="T159" s="44" t="s">
        <v>2143</v>
      </c>
      <c r="U159" s="28" t="s">
        <v>2144</v>
      </c>
      <c r="V159" s="45" t="s">
        <v>2145</v>
      </c>
      <c r="W159" s="96" t="s">
        <v>11</v>
      </c>
      <c r="X159" s="35"/>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c r="CM159" s="91"/>
      <c r="CN159" s="91"/>
      <c r="CO159" s="91"/>
      <c r="CP159" s="91"/>
    </row>
    <row r="160" spans="1:94" s="30" customFormat="1" ht="37.5" customHeight="1">
      <c r="A160" s="20" t="s">
        <v>12</v>
      </c>
      <c r="B160" s="20" t="s">
        <v>96</v>
      </c>
      <c r="C160" s="20" t="s">
        <v>3</v>
      </c>
      <c r="D160" s="43" t="s">
        <v>2161</v>
      </c>
      <c r="E160" s="39" t="s">
        <v>36</v>
      </c>
      <c r="F160" s="20" t="s">
        <v>1564</v>
      </c>
      <c r="G160" s="20" t="s">
        <v>207</v>
      </c>
      <c r="H160" s="20">
        <v>541512</v>
      </c>
      <c r="I160" s="20" t="s">
        <v>2026</v>
      </c>
      <c r="J160" s="20" t="s">
        <v>7</v>
      </c>
      <c r="K160" s="35" t="s">
        <v>50</v>
      </c>
      <c r="L160" s="37" t="s">
        <v>1313</v>
      </c>
      <c r="M160" s="23">
        <v>44776428.560000002</v>
      </c>
      <c r="N160" s="23">
        <v>44776428.560000002</v>
      </c>
      <c r="O160" s="34" t="s">
        <v>20</v>
      </c>
      <c r="P160" s="43" t="s">
        <v>2162</v>
      </c>
      <c r="Q160" s="37" t="s">
        <v>614</v>
      </c>
      <c r="R160" s="20" t="s">
        <v>10</v>
      </c>
      <c r="S160" s="24">
        <v>2013</v>
      </c>
      <c r="T160" s="44" t="s">
        <v>2143</v>
      </c>
      <c r="U160" s="28" t="s">
        <v>2144</v>
      </c>
      <c r="V160" s="45" t="s">
        <v>2145</v>
      </c>
      <c r="W160" s="96" t="s">
        <v>11</v>
      </c>
      <c r="X160" s="35"/>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c r="CM160" s="91"/>
      <c r="CN160" s="91"/>
      <c r="CO160" s="91"/>
      <c r="CP160" s="91"/>
    </row>
    <row r="161" spans="1:256" s="30" customFormat="1" ht="37.5" customHeight="1">
      <c r="A161" s="20" t="s">
        <v>12</v>
      </c>
      <c r="B161" s="20" t="s">
        <v>96</v>
      </c>
      <c r="C161" s="20" t="s">
        <v>3</v>
      </c>
      <c r="D161" s="43" t="s">
        <v>2163</v>
      </c>
      <c r="E161" s="39" t="s">
        <v>36</v>
      </c>
      <c r="F161" s="20" t="s">
        <v>1564</v>
      </c>
      <c r="G161" s="20" t="s">
        <v>207</v>
      </c>
      <c r="H161" s="20">
        <v>541512</v>
      </c>
      <c r="I161" s="20"/>
      <c r="J161" s="20" t="s">
        <v>7</v>
      </c>
      <c r="K161" s="35" t="s">
        <v>50</v>
      </c>
      <c r="L161" s="37" t="s">
        <v>633</v>
      </c>
      <c r="M161" s="23">
        <v>876699.95</v>
      </c>
      <c r="N161" s="23">
        <v>876699.95</v>
      </c>
      <c r="O161" s="34" t="s">
        <v>20</v>
      </c>
      <c r="P161" s="43" t="s">
        <v>2164</v>
      </c>
      <c r="Q161" s="37"/>
      <c r="R161" s="20" t="s">
        <v>10</v>
      </c>
      <c r="S161" s="24">
        <v>2013</v>
      </c>
      <c r="T161" s="44" t="s">
        <v>2130</v>
      </c>
      <c r="U161" s="28" t="s">
        <v>2131</v>
      </c>
      <c r="V161" s="42" t="s">
        <v>2132</v>
      </c>
      <c r="W161" s="96" t="s">
        <v>11</v>
      </c>
      <c r="X161" s="35"/>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c r="CM161" s="91"/>
      <c r="CN161" s="91"/>
      <c r="CO161" s="91"/>
      <c r="CP161" s="91"/>
    </row>
    <row r="162" spans="1:256" s="30" customFormat="1" ht="37.5" customHeight="1">
      <c r="A162" s="20" t="s">
        <v>12</v>
      </c>
      <c r="B162" s="20" t="s">
        <v>96</v>
      </c>
      <c r="C162" s="20" t="s">
        <v>3</v>
      </c>
      <c r="D162" s="44" t="s">
        <v>2165</v>
      </c>
      <c r="E162" s="39" t="s">
        <v>36</v>
      </c>
      <c r="F162" s="20" t="s">
        <v>1564</v>
      </c>
      <c r="G162" s="20" t="s">
        <v>207</v>
      </c>
      <c r="H162" s="20">
        <v>541512</v>
      </c>
      <c r="I162" s="20"/>
      <c r="J162" s="20" t="s">
        <v>7</v>
      </c>
      <c r="K162" s="35"/>
      <c r="L162" s="37" t="s">
        <v>1313</v>
      </c>
      <c r="M162" s="23">
        <v>334507.93</v>
      </c>
      <c r="N162" s="23">
        <v>334507.93</v>
      </c>
      <c r="O162" s="34" t="s">
        <v>20</v>
      </c>
      <c r="P162" s="44" t="s">
        <v>2166</v>
      </c>
      <c r="Q162" s="37" t="s">
        <v>614</v>
      </c>
      <c r="R162" s="20" t="s">
        <v>10</v>
      </c>
      <c r="S162" s="24">
        <v>2013</v>
      </c>
      <c r="T162" s="44" t="s">
        <v>2143</v>
      </c>
      <c r="U162" s="28" t="s">
        <v>2144</v>
      </c>
      <c r="V162" s="45" t="s">
        <v>2145</v>
      </c>
      <c r="W162" s="96" t="s">
        <v>11</v>
      </c>
      <c r="X162" s="35"/>
      <c r="Y162" s="202"/>
      <c r="Z162" s="203"/>
      <c r="AA162" s="203"/>
      <c r="AB162" s="203"/>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c r="CM162" s="91"/>
      <c r="CN162" s="91"/>
      <c r="CO162" s="91"/>
      <c r="CP162" s="91"/>
    </row>
    <row r="163" spans="1:256" s="30" customFormat="1" ht="37.5" customHeight="1">
      <c r="A163" s="20" t="s">
        <v>12</v>
      </c>
      <c r="B163" s="20" t="s">
        <v>96</v>
      </c>
      <c r="C163" s="20" t="s">
        <v>3</v>
      </c>
      <c r="D163" s="43" t="s">
        <v>2167</v>
      </c>
      <c r="E163" s="39" t="s">
        <v>36</v>
      </c>
      <c r="F163" s="20" t="s">
        <v>1564</v>
      </c>
      <c r="G163" s="20" t="s">
        <v>207</v>
      </c>
      <c r="H163" s="20">
        <v>541512</v>
      </c>
      <c r="I163" s="20" t="s">
        <v>28</v>
      </c>
      <c r="J163" s="20" t="s">
        <v>29</v>
      </c>
      <c r="K163" s="35" t="s">
        <v>2149</v>
      </c>
      <c r="L163" s="37" t="s">
        <v>1313</v>
      </c>
      <c r="M163" s="23">
        <v>4884916.8899999997</v>
      </c>
      <c r="N163" s="23">
        <v>4884916.8899999997</v>
      </c>
      <c r="O163" s="34" t="s">
        <v>20</v>
      </c>
      <c r="P163" s="44" t="s">
        <v>2168</v>
      </c>
      <c r="Q163" s="37" t="s">
        <v>614</v>
      </c>
      <c r="R163" s="20" t="s">
        <v>10</v>
      </c>
      <c r="S163" s="24">
        <v>2013</v>
      </c>
      <c r="T163" s="44" t="s">
        <v>2130</v>
      </c>
      <c r="U163" s="28" t="s">
        <v>2131</v>
      </c>
      <c r="V163" s="42" t="s">
        <v>2132</v>
      </c>
      <c r="W163" s="96" t="s">
        <v>11</v>
      </c>
      <c r="X163" s="35"/>
      <c r="Y163" s="202"/>
      <c r="Z163" s="203"/>
      <c r="AA163" s="203"/>
      <c r="AB163" s="203"/>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c r="CM163" s="91"/>
      <c r="CN163" s="91"/>
      <c r="CO163" s="91"/>
      <c r="CP163" s="91"/>
    </row>
    <row r="164" spans="1:256" s="30" customFormat="1" ht="37.5" customHeight="1">
      <c r="A164" s="20" t="s">
        <v>12</v>
      </c>
      <c r="B164" s="20" t="s">
        <v>96</v>
      </c>
      <c r="C164" s="20" t="s">
        <v>3</v>
      </c>
      <c r="D164" s="44" t="s">
        <v>2169</v>
      </c>
      <c r="E164" s="39" t="s">
        <v>36</v>
      </c>
      <c r="F164" s="20" t="s">
        <v>1564</v>
      </c>
      <c r="G164" s="20" t="s">
        <v>207</v>
      </c>
      <c r="H164" s="20">
        <v>541512</v>
      </c>
      <c r="I164" s="20" t="s">
        <v>2026</v>
      </c>
      <c r="J164" s="20" t="s">
        <v>65</v>
      </c>
      <c r="K164" s="35" t="s">
        <v>50</v>
      </c>
      <c r="L164" s="37" t="s">
        <v>1313</v>
      </c>
      <c r="M164" s="23">
        <v>4872530</v>
      </c>
      <c r="N164" s="23">
        <v>4872530</v>
      </c>
      <c r="O164" s="34" t="s">
        <v>20</v>
      </c>
      <c r="P164" s="44" t="s">
        <v>2170</v>
      </c>
      <c r="Q164" s="37" t="s">
        <v>614</v>
      </c>
      <c r="R164" s="20" t="s">
        <v>10</v>
      </c>
      <c r="S164" s="24">
        <v>2013</v>
      </c>
      <c r="T164" s="44" t="s">
        <v>2130</v>
      </c>
      <c r="U164" s="28" t="s">
        <v>2131</v>
      </c>
      <c r="V164" s="42" t="s">
        <v>2132</v>
      </c>
      <c r="W164" s="96" t="s">
        <v>11</v>
      </c>
      <c r="X164" s="35"/>
      <c r="Y164" s="202"/>
      <c r="Z164" s="203"/>
      <c r="AA164" s="203"/>
      <c r="AB164" s="203"/>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c r="CM164" s="91"/>
      <c r="CN164" s="91"/>
      <c r="CO164" s="91"/>
      <c r="CP164" s="91"/>
    </row>
    <row r="165" spans="1:256" s="30" customFormat="1" ht="37.5" customHeight="1">
      <c r="A165" s="20" t="s">
        <v>12</v>
      </c>
      <c r="B165" s="20" t="s">
        <v>96</v>
      </c>
      <c r="C165" s="20" t="s">
        <v>3</v>
      </c>
      <c r="D165" s="43" t="s">
        <v>2171</v>
      </c>
      <c r="E165" s="39" t="s">
        <v>36</v>
      </c>
      <c r="F165" s="20" t="s">
        <v>1564</v>
      </c>
      <c r="G165" s="20" t="s">
        <v>207</v>
      </c>
      <c r="H165" s="20">
        <v>541512</v>
      </c>
      <c r="I165" s="20" t="s">
        <v>28</v>
      </c>
      <c r="J165" s="20" t="s">
        <v>29</v>
      </c>
      <c r="K165" s="35" t="s">
        <v>2149</v>
      </c>
      <c r="L165" s="37" t="s">
        <v>1313</v>
      </c>
      <c r="M165" s="23">
        <v>378965.56</v>
      </c>
      <c r="N165" s="23">
        <v>378965.56</v>
      </c>
      <c r="O165" s="34" t="s">
        <v>20</v>
      </c>
      <c r="P165" s="43" t="s">
        <v>2129</v>
      </c>
      <c r="Q165" s="37" t="s">
        <v>614</v>
      </c>
      <c r="R165" s="20" t="s">
        <v>10</v>
      </c>
      <c r="S165" s="24">
        <v>2013</v>
      </c>
      <c r="T165" s="44" t="s">
        <v>2130</v>
      </c>
      <c r="U165" s="28" t="s">
        <v>2131</v>
      </c>
      <c r="V165" s="42" t="s">
        <v>2132</v>
      </c>
      <c r="W165" s="96" t="s">
        <v>11</v>
      </c>
      <c r="X165" s="35"/>
      <c r="Y165" s="202"/>
      <c r="Z165" s="203"/>
      <c r="AA165" s="203"/>
      <c r="AB165" s="203"/>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c r="CM165" s="91"/>
      <c r="CN165" s="91"/>
      <c r="CO165" s="91"/>
      <c r="CP165" s="91"/>
    </row>
    <row r="166" spans="1:256" s="30" customFormat="1" ht="37.5" customHeight="1">
      <c r="A166" s="20" t="s">
        <v>12</v>
      </c>
      <c r="B166" s="20" t="s">
        <v>96</v>
      </c>
      <c r="C166" s="20" t="s">
        <v>25</v>
      </c>
      <c r="D166" s="43" t="s">
        <v>2172</v>
      </c>
      <c r="E166" s="39" t="s">
        <v>36</v>
      </c>
      <c r="F166" s="20" t="s">
        <v>1564</v>
      </c>
      <c r="G166" s="20" t="s">
        <v>207</v>
      </c>
      <c r="H166" s="20">
        <v>541512</v>
      </c>
      <c r="I166" s="20"/>
      <c r="J166" s="20"/>
      <c r="K166" s="35"/>
      <c r="L166" s="37" t="s">
        <v>633</v>
      </c>
      <c r="M166" s="23">
        <v>4418881.26</v>
      </c>
      <c r="N166" s="23">
        <v>4418881.26</v>
      </c>
      <c r="O166" s="34" t="s">
        <v>20</v>
      </c>
      <c r="P166" s="28" t="s">
        <v>278</v>
      </c>
      <c r="Q166" s="37" t="s">
        <v>279</v>
      </c>
      <c r="R166" s="20" t="s">
        <v>10</v>
      </c>
      <c r="S166" s="24">
        <v>2013</v>
      </c>
      <c r="T166" s="44" t="s">
        <v>2123</v>
      </c>
      <c r="U166" s="28" t="s">
        <v>2124</v>
      </c>
      <c r="V166" s="42" t="s">
        <v>2125</v>
      </c>
      <c r="W166" s="96" t="s">
        <v>11</v>
      </c>
      <c r="X166" s="35"/>
      <c r="Y166" s="202"/>
      <c r="Z166" s="203"/>
      <c r="AA166" s="203"/>
      <c r="AB166" s="203"/>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c r="CM166" s="91"/>
      <c r="CN166" s="91"/>
      <c r="CO166" s="91"/>
      <c r="CP166" s="91"/>
    </row>
    <row r="167" spans="1:256" s="30" customFormat="1" ht="37.5" customHeight="1">
      <c r="A167" s="20" t="s">
        <v>12</v>
      </c>
      <c r="B167" s="20" t="s">
        <v>96</v>
      </c>
      <c r="C167" s="20" t="s">
        <v>3</v>
      </c>
      <c r="D167" s="43" t="s">
        <v>2173</v>
      </c>
      <c r="E167" s="39" t="s">
        <v>116</v>
      </c>
      <c r="F167" s="20" t="s">
        <v>1564</v>
      </c>
      <c r="G167" s="20" t="s">
        <v>207</v>
      </c>
      <c r="H167" s="20">
        <v>54199</v>
      </c>
      <c r="I167" s="20" t="s">
        <v>48</v>
      </c>
      <c r="J167" s="20" t="s">
        <v>2174</v>
      </c>
      <c r="K167" s="35" t="s">
        <v>29</v>
      </c>
      <c r="L167" s="37" t="s">
        <v>1313</v>
      </c>
      <c r="M167" s="23">
        <v>52600.06</v>
      </c>
      <c r="N167" s="23">
        <v>52600.06</v>
      </c>
      <c r="O167" s="34" t="s">
        <v>20</v>
      </c>
      <c r="P167" s="43" t="s">
        <v>2175</v>
      </c>
      <c r="Q167" s="37" t="s">
        <v>614</v>
      </c>
      <c r="R167" s="20" t="s">
        <v>10</v>
      </c>
      <c r="S167" s="24">
        <v>2013</v>
      </c>
      <c r="T167" s="28" t="s">
        <v>2176</v>
      </c>
      <c r="U167" s="44" t="s">
        <v>2177</v>
      </c>
      <c r="V167" s="38" t="s">
        <v>2178</v>
      </c>
      <c r="W167" s="96" t="s">
        <v>11</v>
      </c>
      <c r="X167" s="35"/>
      <c r="Y167" s="202"/>
      <c r="Z167" s="203"/>
      <c r="AA167" s="203"/>
      <c r="AB167" s="203"/>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c r="CM167" s="91"/>
      <c r="CN167" s="91"/>
      <c r="CO167" s="91"/>
      <c r="CP167" s="91"/>
    </row>
    <row r="168" spans="1:256" s="30" customFormat="1" ht="37.5" customHeight="1">
      <c r="A168" s="20" t="s">
        <v>12</v>
      </c>
      <c r="B168" s="20" t="s">
        <v>96</v>
      </c>
      <c r="C168" s="20" t="s">
        <v>3</v>
      </c>
      <c r="D168" s="43" t="s">
        <v>2179</v>
      </c>
      <c r="E168" s="39" t="s">
        <v>116</v>
      </c>
      <c r="F168" s="20" t="s">
        <v>1564</v>
      </c>
      <c r="G168" s="20" t="s">
        <v>207</v>
      </c>
      <c r="H168" s="20">
        <v>54199</v>
      </c>
      <c r="I168" s="20" t="s">
        <v>48</v>
      </c>
      <c r="J168" s="20" t="s">
        <v>2174</v>
      </c>
      <c r="K168" s="35" t="s">
        <v>29</v>
      </c>
      <c r="L168" s="37" t="s">
        <v>1313</v>
      </c>
      <c r="M168" s="23">
        <v>186049.28</v>
      </c>
      <c r="N168" s="23">
        <v>186049.28</v>
      </c>
      <c r="O168" s="34" t="s">
        <v>20</v>
      </c>
      <c r="P168" s="43" t="s">
        <v>2175</v>
      </c>
      <c r="Q168" s="37" t="s">
        <v>614</v>
      </c>
      <c r="R168" s="20" t="s">
        <v>10</v>
      </c>
      <c r="S168" s="24">
        <v>2013</v>
      </c>
      <c r="T168" s="28" t="s">
        <v>2176</v>
      </c>
      <c r="U168" s="44" t="s">
        <v>2177</v>
      </c>
      <c r="V168" s="38" t="s">
        <v>2178</v>
      </c>
      <c r="W168" s="96" t="s">
        <v>11</v>
      </c>
      <c r="X168" s="35"/>
      <c r="Y168" s="202"/>
      <c r="Z168" s="203"/>
      <c r="AA168" s="203"/>
      <c r="AB168" s="203"/>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c r="CM168" s="91"/>
      <c r="CN168" s="91"/>
      <c r="CO168" s="91"/>
      <c r="CP168" s="91"/>
    </row>
    <row r="169" spans="1:256" s="30" customFormat="1" ht="37.5" customHeight="1">
      <c r="A169" s="20" t="s">
        <v>12</v>
      </c>
      <c r="B169" s="20" t="s">
        <v>96</v>
      </c>
      <c r="C169" s="20" t="s">
        <v>3</v>
      </c>
      <c r="D169" s="43" t="s">
        <v>2180</v>
      </c>
      <c r="E169" s="39" t="s">
        <v>116</v>
      </c>
      <c r="F169" s="20" t="s">
        <v>1564</v>
      </c>
      <c r="G169" s="20" t="s">
        <v>207</v>
      </c>
      <c r="H169" s="20">
        <v>54199</v>
      </c>
      <c r="I169" s="20" t="s">
        <v>48</v>
      </c>
      <c r="J169" s="20" t="s">
        <v>2174</v>
      </c>
      <c r="K169" s="35" t="s">
        <v>29</v>
      </c>
      <c r="L169" s="37" t="s">
        <v>1313</v>
      </c>
      <c r="M169" s="23">
        <v>1730577.27</v>
      </c>
      <c r="N169" s="23">
        <v>1730577.27</v>
      </c>
      <c r="O169" s="34" t="s">
        <v>20</v>
      </c>
      <c r="P169" s="43" t="s">
        <v>2175</v>
      </c>
      <c r="Q169" s="37" t="s">
        <v>614</v>
      </c>
      <c r="R169" s="20" t="s">
        <v>10</v>
      </c>
      <c r="S169" s="24">
        <v>2013</v>
      </c>
      <c r="T169" s="28" t="s">
        <v>2176</v>
      </c>
      <c r="U169" s="44" t="s">
        <v>2177</v>
      </c>
      <c r="V169" s="38" t="s">
        <v>2178</v>
      </c>
      <c r="W169" s="96" t="s">
        <v>11</v>
      </c>
      <c r="X169" s="35"/>
      <c r="Y169" s="202"/>
      <c r="Z169" s="203"/>
      <c r="AA169" s="203"/>
      <c r="AB169" s="203"/>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c r="CM169" s="91"/>
      <c r="CN169" s="91"/>
      <c r="CO169" s="91"/>
      <c r="CP169" s="91"/>
    </row>
    <row r="170" spans="1:256" s="204" customFormat="1" ht="37.5" customHeight="1">
      <c r="A170" s="14" t="s">
        <v>12</v>
      </c>
      <c r="B170" s="14" t="s">
        <v>90</v>
      </c>
      <c r="C170" s="56" t="s">
        <v>3</v>
      </c>
      <c r="D170" s="196" t="s">
        <v>2357</v>
      </c>
      <c r="E170" s="14" t="s">
        <v>116</v>
      </c>
      <c r="F170" s="56"/>
      <c r="G170" s="56" t="s">
        <v>207</v>
      </c>
      <c r="H170" s="197">
        <v>541330</v>
      </c>
      <c r="I170" s="196" t="s">
        <v>2358</v>
      </c>
      <c r="J170" s="14" t="s">
        <v>143</v>
      </c>
      <c r="K170" s="56" t="s">
        <v>29</v>
      </c>
      <c r="L170" s="56" t="s">
        <v>2359</v>
      </c>
      <c r="M170" s="198">
        <v>0</v>
      </c>
      <c r="N170" s="198">
        <v>1422788</v>
      </c>
      <c r="O170" s="199" t="s">
        <v>20</v>
      </c>
      <c r="P170" s="200" t="s">
        <v>2360</v>
      </c>
      <c r="Q170" s="56" t="s">
        <v>2361</v>
      </c>
      <c r="R170" s="56" t="s">
        <v>10</v>
      </c>
      <c r="S170" s="49">
        <v>2013</v>
      </c>
      <c r="T170" s="196" t="s">
        <v>2362</v>
      </c>
      <c r="U170" s="197" t="s">
        <v>2363</v>
      </c>
      <c r="V170" s="201" t="s">
        <v>2364</v>
      </c>
      <c r="W170" s="14" t="s">
        <v>11</v>
      </c>
      <c r="X170" s="14" t="s">
        <v>2365</v>
      </c>
      <c r="Y170" s="202"/>
      <c r="Z170" s="203"/>
      <c r="AA170" s="203"/>
      <c r="AB170" s="203"/>
      <c r="AC170" s="203"/>
      <c r="AD170" s="203"/>
      <c r="AE170" s="203"/>
      <c r="AF170" s="203"/>
      <c r="AG170" s="203"/>
      <c r="AH170" s="203"/>
      <c r="AI170" s="203"/>
      <c r="AJ170" s="203"/>
      <c r="AK170" s="203"/>
      <c r="AL170" s="203"/>
      <c r="AM170" s="203"/>
      <c r="AN170" s="203"/>
      <c r="AO170" s="203"/>
      <c r="AP170" s="203"/>
      <c r="AQ170" s="203"/>
      <c r="AR170" s="203"/>
      <c r="AS170" s="203"/>
      <c r="AT170" s="203"/>
      <c r="AU170" s="203"/>
      <c r="AV170" s="203"/>
      <c r="AW170" s="203"/>
      <c r="AX170" s="203"/>
      <c r="AY170" s="203"/>
      <c r="AZ170" s="203"/>
      <c r="BA170" s="203"/>
      <c r="BB170" s="203"/>
      <c r="BC170" s="203"/>
      <c r="BD170" s="203"/>
      <c r="BE170" s="203"/>
      <c r="BF170" s="203"/>
      <c r="BG170" s="203"/>
      <c r="BH170" s="203"/>
      <c r="BI170" s="203"/>
      <c r="BJ170" s="203"/>
      <c r="BK170" s="203"/>
      <c r="BL170" s="203"/>
      <c r="BM170" s="203"/>
      <c r="BN170" s="203"/>
      <c r="BO170" s="203"/>
      <c r="BP170" s="203"/>
      <c r="BQ170" s="203"/>
      <c r="BR170" s="203"/>
      <c r="BS170" s="203"/>
      <c r="BT170" s="203"/>
      <c r="BU170" s="203"/>
      <c r="BV170" s="203"/>
      <c r="BW170" s="203"/>
      <c r="BX170" s="203"/>
      <c r="BY170" s="203"/>
      <c r="BZ170" s="203"/>
      <c r="CA170" s="203"/>
      <c r="CB170" s="203"/>
      <c r="CC170" s="203"/>
      <c r="CD170" s="203"/>
      <c r="CE170" s="203"/>
      <c r="CF170" s="203"/>
      <c r="CG170" s="203"/>
      <c r="CH170" s="203"/>
      <c r="CI170" s="203"/>
      <c r="CJ170" s="203"/>
      <c r="CK170" s="203"/>
      <c r="CL170" s="203"/>
      <c r="CM170" s="203"/>
      <c r="CN170" s="203"/>
      <c r="CO170" s="203"/>
      <c r="CP170" s="203"/>
      <c r="CQ170" s="203"/>
      <c r="CR170" s="203"/>
      <c r="CS170" s="203"/>
      <c r="CT170" s="203"/>
      <c r="CU170" s="203"/>
      <c r="CV170" s="203"/>
      <c r="CW170" s="203"/>
      <c r="CX170" s="203"/>
      <c r="CY170" s="203"/>
      <c r="CZ170" s="203"/>
      <c r="DA170" s="203"/>
      <c r="DB170" s="203"/>
      <c r="DC170" s="203"/>
      <c r="DD170" s="203"/>
      <c r="DE170" s="203"/>
      <c r="DF170" s="203"/>
      <c r="DG170" s="203"/>
      <c r="DH170" s="203"/>
      <c r="DI170" s="203"/>
      <c r="DJ170" s="203"/>
      <c r="DK170" s="203"/>
      <c r="DL170" s="203"/>
      <c r="DM170" s="203"/>
      <c r="DN170" s="203"/>
      <c r="DO170" s="203"/>
      <c r="DP170" s="203"/>
      <c r="DQ170" s="203"/>
      <c r="DR170" s="203"/>
      <c r="DS170" s="203"/>
      <c r="DT170" s="203"/>
      <c r="DU170" s="203"/>
      <c r="DV170" s="203"/>
      <c r="DW170" s="203"/>
      <c r="DX170" s="203"/>
      <c r="DY170" s="203"/>
      <c r="DZ170" s="203"/>
      <c r="EA170" s="203"/>
      <c r="EB170" s="203"/>
      <c r="EC170" s="203"/>
      <c r="ED170" s="203"/>
      <c r="EE170" s="203"/>
      <c r="EF170" s="203"/>
      <c r="EG170" s="203"/>
      <c r="EH170" s="203"/>
      <c r="EI170" s="203"/>
      <c r="EJ170" s="203"/>
      <c r="EK170" s="203"/>
      <c r="EL170" s="203"/>
      <c r="EM170" s="203"/>
      <c r="EN170" s="203"/>
      <c r="EO170" s="203"/>
      <c r="EP170" s="203"/>
      <c r="EQ170" s="203"/>
      <c r="ER170" s="203"/>
      <c r="ES170" s="203"/>
      <c r="ET170" s="203"/>
      <c r="EU170" s="203"/>
      <c r="EV170" s="203"/>
      <c r="EW170" s="203"/>
      <c r="EX170" s="203"/>
      <c r="EY170" s="203"/>
      <c r="EZ170" s="203"/>
      <c r="FA170" s="203"/>
      <c r="FB170" s="203"/>
      <c r="FC170" s="203"/>
      <c r="FD170" s="203"/>
      <c r="FE170" s="203"/>
      <c r="FF170" s="203"/>
      <c r="FG170" s="203"/>
      <c r="FH170" s="203"/>
      <c r="FI170" s="203"/>
      <c r="FJ170" s="203"/>
      <c r="FK170" s="203"/>
      <c r="FL170" s="203"/>
      <c r="FM170" s="203"/>
      <c r="FN170" s="203"/>
      <c r="FO170" s="203"/>
      <c r="FP170" s="203"/>
      <c r="FQ170" s="203"/>
      <c r="FR170" s="203"/>
      <c r="FS170" s="203"/>
      <c r="FT170" s="203"/>
      <c r="FU170" s="203"/>
      <c r="FV170" s="203"/>
      <c r="FW170" s="203"/>
      <c r="FX170" s="203"/>
      <c r="FY170" s="203"/>
      <c r="FZ170" s="203"/>
      <c r="GA170" s="203"/>
      <c r="GB170" s="203"/>
      <c r="GC170" s="203"/>
      <c r="GD170" s="203"/>
      <c r="GE170" s="203"/>
      <c r="GF170" s="203"/>
      <c r="GG170" s="203"/>
      <c r="GH170" s="203"/>
      <c r="GI170" s="203"/>
      <c r="GJ170" s="203"/>
      <c r="GK170" s="203"/>
      <c r="GL170" s="203"/>
      <c r="GM170" s="203"/>
      <c r="GN170" s="203"/>
      <c r="GO170" s="203"/>
      <c r="GP170" s="203"/>
      <c r="GQ170" s="203"/>
      <c r="GR170" s="203"/>
      <c r="GS170" s="203"/>
      <c r="GT170" s="203"/>
      <c r="GU170" s="203"/>
      <c r="GV170" s="203"/>
      <c r="GW170" s="203"/>
      <c r="GX170" s="203"/>
      <c r="GY170" s="203"/>
      <c r="GZ170" s="203"/>
      <c r="HA170" s="203"/>
      <c r="HB170" s="203"/>
      <c r="HC170" s="203"/>
      <c r="HD170" s="203"/>
      <c r="HE170" s="203"/>
      <c r="HF170" s="203"/>
      <c r="HG170" s="203"/>
      <c r="HH170" s="203"/>
      <c r="HI170" s="203"/>
      <c r="HJ170" s="203"/>
      <c r="HK170" s="203"/>
      <c r="HL170" s="203"/>
      <c r="HM170" s="203"/>
      <c r="HN170" s="203"/>
      <c r="HO170" s="203"/>
      <c r="HP170" s="203"/>
      <c r="HQ170" s="203"/>
      <c r="HR170" s="203"/>
      <c r="HS170" s="203"/>
      <c r="HT170" s="203"/>
      <c r="HU170" s="203"/>
      <c r="HV170" s="203"/>
      <c r="HW170" s="203"/>
      <c r="HX170" s="203"/>
      <c r="HY170" s="203"/>
      <c r="HZ170" s="203"/>
      <c r="IA170" s="203"/>
      <c r="IB170" s="203"/>
      <c r="IC170" s="203"/>
      <c r="ID170" s="203"/>
      <c r="IE170" s="203"/>
      <c r="IF170" s="203"/>
      <c r="IG170" s="203"/>
      <c r="IH170" s="203"/>
      <c r="II170" s="203"/>
      <c r="IJ170" s="203"/>
      <c r="IK170" s="203"/>
      <c r="IL170" s="203"/>
      <c r="IM170" s="203"/>
      <c r="IN170" s="203"/>
      <c r="IO170" s="203"/>
      <c r="IP170" s="203"/>
      <c r="IQ170" s="203"/>
      <c r="IR170" s="203"/>
      <c r="IS170" s="203"/>
      <c r="IT170" s="203"/>
      <c r="IU170" s="203"/>
      <c r="IV170" s="203"/>
    </row>
    <row r="171" spans="1:256" s="204" customFormat="1" ht="37.5" customHeight="1">
      <c r="A171" s="14" t="s">
        <v>12</v>
      </c>
      <c r="B171" s="14" t="s">
        <v>90</v>
      </c>
      <c r="C171" s="56" t="s">
        <v>3</v>
      </c>
      <c r="D171" s="196" t="s">
        <v>2357</v>
      </c>
      <c r="E171" s="14" t="s">
        <v>116</v>
      </c>
      <c r="F171" s="56"/>
      <c r="G171" s="56" t="s">
        <v>207</v>
      </c>
      <c r="H171" s="197">
        <v>541330</v>
      </c>
      <c r="I171" s="196" t="s">
        <v>2358</v>
      </c>
      <c r="J171" s="14" t="s">
        <v>143</v>
      </c>
      <c r="K171" s="56" t="s">
        <v>29</v>
      </c>
      <c r="L171" s="56" t="s">
        <v>2359</v>
      </c>
      <c r="M171" s="198">
        <v>0</v>
      </c>
      <c r="N171" s="198">
        <v>4741440</v>
      </c>
      <c r="O171" s="199" t="s">
        <v>20</v>
      </c>
      <c r="P171" s="200" t="s">
        <v>278</v>
      </c>
      <c r="Q171" s="56" t="s">
        <v>633</v>
      </c>
      <c r="R171" s="56" t="s">
        <v>21</v>
      </c>
      <c r="S171" s="49">
        <v>2013</v>
      </c>
      <c r="T171" s="196" t="s">
        <v>2362</v>
      </c>
      <c r="U171" s="197" t="s">
        <v>2363</v>
      </c>
      <c r="V171" s="201" t="s">
        <v>2364</v>
      </c>
      <c r="W171" s="14" t="s">
        <v>11</v>
      </c>
      <c r="X171" s="56"/>
      <c r="Y171" s="202"/>
      <c r="Z171" s="203"/>
      <c r="AA171" s="203"/>
      <c r="AB171" s="203"/>
      <c r="AC171" s="203"/>
      <c r="AD171" s="203"/>
      <c r="AE171" s="203"/>
      <c r="AF171" s="203"/>
      <c r="AG171" s="203"/>
      <c r="AH171" s="203"/>
      <c r="AI171" s="203"/>
      <c r="AJ171" s="203"/>
      <c r="AK171" s="203"/>
      <c r="AL171" s="203"/>
      <c r="AM171" s="203"/>
      <c r="AN171" s="203"/>
      <c r="AO171" s="203"/>
      <c r="AP171" s="203"/>
      <c r="AQ171" s="203"/>
      <c r="AR171" s="203"/>
      <c r="AS171" s="203"/>
      <c r="AT171" s="203"/>
      <c r="AU171" s="203"/>
      <c r="AV171" s="203"/>
      <c r="AW171" s="203"/>
      <c r="AX171" s="203"/>
      <c r="AY171" s="203"/>
      <c r="AZ171" s="203"/>
      <c r="BA171" s="203"/>
      <c r="BB171" s="203"/>
      <c r="BC171" s="203"/>
      <c r="BD171" s="203"/>
      <c r="BE171" s="203"/>
      <c r="BF171" s="203"/>
      <c r="BG171" s="203"/>
      <c r="BH171" s="203"/>
      <c r="BI171" s="203"/>
      <c r="BJ171" s="203"/>
      <c r="BK171" s="203"/>
      <c r="BL171" s="203"/>
      <c r="BM171" s="203"/>
      <c r="BN171" s="203"/>
      <c r="BO171" s="203"/>
      <c r="BP171" s="203"/>
      <c r="BQ171" s="203"/>
      <c r="BR171" s="203"/>
      <c r="BS171" s="203"/>
      <c r="BT171" s="203"/>
      <c r="BU171" s="203"/>
      <c r="BV171" s="203"/>
      <c r="BW171" s="203"/>
      <c r="BX171" s="203"/>
      <c r="BY171" s="203"/>
      <c r="BZ171" s="203"/>
      <c r="CA171" s="203"/>
      <c r="CB171" s="203"/>
      <c r="CC171" s="203"/>
      <c r="CD171" s="203"/>
      <c r="CE171" s="203"/>
      <c r="CF171" s="203"/>
      <c r="CG171" s="203"/>
      <c r="CH171" s="203"/>
      <c r="CI171" s="203"/>
      <c r="CJ171" s="203"/>
      <c r="CK171" s="203"/>
      <c r="CL171" s="203"/>
      <c r="CM171" s="203"/>
      <c r="CN171" s="203"/>
      <c r="CO171" s="203"/>
      <c r="CP171" s="203"/>
      <c r="CQ171" s="203"/>
      <c r="CR171" s="203"/>
      <c r="CS171" s="203"/>
      <c r="CT171" s="203"/>
      <c r="CU171" s="203"/>
      <c r="CV171" s="203"/>
      <c r="CW171" s="203"/>
      <c r="CX171" s="203"/>
      <c r="CY171" s="203"/>
      <c r="CZ171" s="203"/>
      <c r="DA171" s="203"/>
      <c r="DB171" s="203"/>
      <c r="DC171" s="203"/>
      <c r="DD171" s="203"/>
      <c r="DE171" s="203"/>
      <c r="DF171" s="203"/>
      <c r="DG171" s="203"/>
      <c r="DH171" s="203"/>
      <c r="DI171" s="203"/>
      <c r="DJ171" s="203"/>
      <c r="DK171" s="203"/>
      <c r="DL171" s="203"/>
      <c r="DM171" s="203"/>
      <c r="DN171" s="203"/>
      <c r="DO171" s="203"/>
      <c r="DP171" s="203"/>
      <c r="DQ171" s="203"/>
      <c r="DR171" s="203"/>
      <c r="DS171" s="203"/>
      <c r="DT171" s="203"/>
      <c r="DU171" s="203"/>
      <c r="DV171" s="203"/>
      <c r="DW171" s="203"/>
      <c r="DX171" s="203"/>
      <c r="DY171" s="203"/>
      <c r="DZ171" s="203"/>
      <c r="EA171" s="203"/>
      <c r="EB171" s="203"/>
      <c r="EC171" s="203"/>
      <c r="ED171" s="203"/>
      <c r="EE171" s="203"/>
      <c r="EF171" s="203"/>
      <c r="EG171" s="203"/>
      <c r="EH171" s="203"/>
      <c r="EI171" s="203"/>
      <c r="EJ171" s="203"/>
      <c r="EK171" s="203"/>
      <c r="EL171" s="203"/>
      <c r="EM171" s="203"/>
      <c r="EN171" s="203"/>
      <c r="EO171" s="203"/>
      <c r="EP171" s="203"/>
      <c r="EQ171" s="203"/>
      <c r="ER171" s="203"/>
      <c r="ES171" s="203"/>
      <c r="ET171" s="203"/>
      <c r="EU171" s="203"/>
      <c r="EV171" s="203"/>
      <c r="EW171" s="203"/>
      <c r="EX171" s="203"/>
      <c r="EY171" s="203"/>
      <c r="EZ171" s="203"/>
      <c r="FA171" s="203"/>
      <c r="FB171" s="203"/>
      <c r="FC171" s="203"/>
      <c r="FD171" s="203"/>
      <c r="FE171" s="203"/>
      <c r="FF171" s="203"/>
      <c r="FG171" s="203"/>
      <c r="FH171" s="203"/>
      <c r="FI171" s="203"/>
      <c r="FJ171" s="203"/>
      <c r="FK171" s="203"/>
      <c r="FL171" s="203"/>
      <c r="FM171" s="203"/>
      <c r="FN171" s="203"/>
      <c r="FO171" s="203"/>
      <c r="FP171" s="203"/>
      <c r="FQ171" s="203"/>
      <c r="FR171" s="203"/>
      <c r="FS171" s="203"/>
      <c r="FT171" s="203"/>
      <c r="FU171" s="203"/>
      <c r="FV171" s="203"/>
      <c r="FW171" s="203"/>
      <c r="FX171" s="203"/>
      <c r="FY171" s="203"/>
      <c r="FZ171" s="203"/>
      <c r="GA171" s="203"/>
      <c r="GB171" s="203"/>
      <c r="GC171" s="203"/>
      <c r="GD171" s="203"/>
      <c r="GE171" s="203"/>
      <c r="GF171" s="203"/>
      <c r="GG171" s="203"/>
      <c r="GH171" s="203"/>
      <c r="GI171" s="203"/>
      <c r="GJ171" s="203"/>
      <c r="GK171" s="203"/>
      <c r="GL171" s="203"/>
      <c r="GM171" s="203"/>
      <c r="GN171" s="203"/>
      <c r="GO171" s="203"/>
      <c r="GP171" s="203"/>
      <c r="GQ171" s="203"/>
      <c r="GR171" s="203"/>
      <c r="GS171" s="203"/>
      <c r="GT171" s="203"/>
      <c r="GU171" s="203"/>
      <c r="GV171" s="203"/>
      <c r="GW171" s="203"/>
      <c r="GX171" s="203"/>
      <c r="GY171" s="203"/>
      <c r="GZ171" s="203"/>
      <c r="HA171" s="203"/>
      <c r="HB171" s="203"/>
      <c r="HC171" s="203"/>
      <c r="HD171" s="203"/>
      <c r="HE171" s="203"/>
      <c r="HF171" s="203"/>
      <c r="HG171" s="203"/>
      <c r="HH171" s="203"/>
      <c r="HI171" s="203"/>
      <c r="HJ171" s="203"/>
      <c r="HK171" s="203"/>
      <c r="HL171" s="203"/>
      <c r="HM171" s="203"/>
      <c r="HN171" s="203"/>
      <c r="HO171" s="203"/>
      <c r="HP171" s="203"/>
      <c r="HQ171" s="203"/>
      <c r="HR171" s="203"/>
      <c r="HS171" s="203"/>
      <c r="HT171" s="203"/>
      <c r="HU171" s="203"/>
      <c r="HV171" s="203"/>
      <c r="HW171" s="203"/>
      <c r="HX171" s="203"/>
      <c r="HY171" s="203"/>
      <c r="HZ171" s="203"/>
      <c r="IA171" s="203"/>
      <c r="IB171" s="203"/>
      <c r="IC171" s="203"/>
      <c r="ID171" s="203"/>
      <c r="IE171" s="203"/>
      <c r="IF171" s="203"/>
      <c r="IG171" s="203"/>
      <c r="IH171" s="203"/>
      <c r="II171" s="203"/>
      <c r="IJ171" s="203"/>
      <c r="IK171" s="203"/>
      <c r="IL171" s="203"/>
      <c r="IM171" s="203"/>
      <c r="IN171" s="203"/>
      <c r="IO171" s="203"/>
      <c r="IP171" s="203"/>
      <c r="IQ171" s="203"/>
      <c r="IR171" s="203"/>
      <c r="IS171" s="203"/>
      <c r="IT171" s="203"/>
      <c r="IU171" s="203"/>
      <c r="IV171" s="203"/>
    </row>
    <row r="172" spans="1:256" s="204" customFormat="1" ht="37.5" customHeight="1">
      <c r="A172" s="14" t="s">
        <v>12</v>
      </c>
      <c r="B172" s="14" t="s">
        <v>90</v>
      </c>
      <c r="C172" s="56" t="s">
        <v>3</v>
      </c>
      <c r="D172" s="196" t="s">
        <v>2357</v>
      </c>
      <c r="E172" s="14" t="s">
        <v>138</v>
      </c>
      <c r="F172" s="56"/>
      <c r="G172" s="56" t="s">
        <v>207</v>
      </c>
      <c r="H172" s="197">
        <v>541330</v>
      </c>
      <c r="I172" s="196" t="s">
        <v>2358</v>
      </c>
      <c r="J172" s="14" t="s">
        <v>29</v>
      </c>
      <c r="K172" s="56" t="s">
        <v>8</v>
      </c>
      <c r="L172" s="56" t="s">
        <v>2359</v>
      </c>
      <c r="M172" s="198">
        <v>0</v>
      </c>
      <c r="N172" s="198">
        <v>35764654.140000001</v>
      </c>
      <c r="O172" s="198" t="s">
        <v>20</v>
      </c>
      <c r="P172" s="196" t="s">
        <v>2360</v>
      </c>
      <c r="Q172" s="56" t="s">
        <v>2361</v>
      </c>
      <c r="R172" s="56" t="s">
        <v>21</v>
      </c>
      <c r="S172" s="49"/>
      <c r="T172" s="196" t="s">
        <v>2362</v>
      </c>
      <c r="U172" s="197" t="s">
        <v>2363</v>
      </c>
      <c r="V172" s="201" t="s">
        <v>2364</v>
      </c>
      <c r="W172" s="14" t="s">
        <v>11</v>
      </c>
      <c r="X172" s="56" t="s">
        <v>2366</v>
      </c>
      <c r="Y172" s="202"/>
      <c r="Z172" s="203"/>
      <c r="AA172" s="203"/>
      <c r="AB172" s="203"/>
      <c r="AC172" s="203"/>
      <c r="AD172" s="203"/>
      <c r="AE172" s="203"/>
      <c r="AF172" s="203"/>
      <c r="AG172" s="203"/>
      <c r="AH172" s="203"/>
      <c r="AI172" s="203"/>
      <c r="AJ172" s="203"/>
      <c r="AK172" s="203"/>
      <c r="AL172" s="203"/>
      <c r="AM172" s="203"/>
      <c r="AN172" s="203"/>
      <c r="AO172" s="203"/>
      <c r="AP172" s="203"/>
      <c r="AQ172" s="203"/>
      <c r="AR172" s="203"/>
      <c r="AS172" s="203"/>
      <c r="AT172" s="203"/>
      <c r="AU172" s="203"/>
      <c r="AV172" s="203"/>
      <c r="AW172" s="203"/>
      <c r="AX172" s="203"/>
      <c r="AY172" s="203"/>
      <c r="AZ172" s="203"/>
      <c r="BA172" s="203"/>
      <c r="BB172" s="203"/>
      <c r="BC172" s="203"/>
      <c r="BD172" s="203"/>
      <c r="BE172" s="203"/>
      <c r="BF172" s="203"/>
      <c r="BG172" s="203"/>
      <c r="BH172" s="203"/>
      <c r="BI172" s="203"/>
      <c r="BJ172" s="203"/>
      <c r="BK172" s="203"/>
      <c r="BL172" s="203"/>
      <c r="BM172" s="203"/>
      <c r="BN172" s="203"/>
      <c r="BO172" s="203"/>
      <c r="BP172" s="203"/>
      <c r="BQ172" s="203"/>
      <c r="BR172" s="203"/>
      <c r="BS172" s="203"/>
      <c r="BT172" s="203"/>
      <c r="BU172" s="203"/>
      <c r="BV172" s="203"/>
      <c r="BW172" s="203"/>
      <c r="BX172" s="203"/>
      <c r="BY172" s="203"/>
      <c r="BZ172" s="203"/>
      <c r="CA172" s="203"/>
      <c r="CB172" s="203"/>
      <c r="CC172" s="203"/>
      <c r="CD172" s="203"/>
      <c r="CE172" s="203"/>
      <c r="CF172" s="203"/>
      <c r="CG172" s="203"/>
      <c r="CH172" s="203"/>
      <c r="CI172" s="203"/>
      <c r="CJ172" s="203"/>
      <c r="CK172" s="203"/>
      <c r="CL172" s="203"/>
      <c r="CM172" s="203"/>
      <c r="CN172" s="203"/>
      <c r="CO172" s="203"/>
      <c r="CP172" s="203"/>
      <c r="CQ172" s="203"/>
      <c r="CR172" s="203"/>
      <c r="CS172" s="203"/>
      <c r="CT172" s="203"/>
      <c r="CU172" s="203"/>
      <c r="CV172" s="203"/>
      <c r="CW172" s="203"/>
      <c r="CX172" s="203"/>
      <c r="CY172" s="203"/>
      <c r="CZ172" s="203"/>
      <c r="DA172" s="203"/>
      <c r="DB172" s="203"/>
      <c r="DC172" s="203"/>
      <c r="DD172" s="203"/>
      <c r="DE172" s="203"/>
      <c r="DF172" s="203"/>
      <c r="DG172" s="203"/>
      <c r="DH172" s="203"/>
      <c r="DI172" s="203"/>
      <c r="DJ172" s="203"/>
      <c r="DK172" s="203"/>
      <c r="DL172" s="203"/>
      <c r="DM172" s="203"/>
      <c r="DN172" s="203"/>
      <c r="DO172" s="203"/>
      <c r="DP172" s="203"/>
      <c r="DQ172" s="203"/>
      <c r="DR172" s="203"/>
      <c r="DS172" s="203"/>
      <c r="DT172" s="203"/>
      <c r="DU172" s="203"/>
      <c r="DV172" s="203"/>
      <c r="DW172" s="203"/>
      <c r="DX172" s="203"/>
      <c r="DY172" s="203"/>
      <c r="DZ172" s="203"/>
      <c r="EA172" s="203"/>
      <c r="EB172" s="203"/>
      <c r="EC172" s="203"/>
      <c r="ED172" s="203"/>
      <c r="EE172" s="203"/>
      <c r="EF172" s="203"/>
      <c r="EG172" s="203"/>
      <c r="EH172" s="203"/>
      <c r="EI172" s="203"/>
      <c r="EJ172" s="203"/>
      <c r="EK172" s="203"/>
      <c r="EL172" s="203"/>
      <c r="EM172" s="203"/>
      <c r="EN172" s="203"/>
      <c r="EO172" s="203"/>
      <c r="EP172" s="203"/>
      <c r="EQ172" s="203"/>
      <c r="ER172" s="203"/>
      <c r="ES172" s="203"/>
      <c r="ET172" s="203"/>
      <c r="EU172" s="203"/>
      <c r="EV172" s="203"/>
      <c r="EW172" s="203"/>
      <c r="EX172" s="203"/>
      <c r="EY172" s="203"/>
      <c r="EZ172" s="203"/>
      <c r="FA172" s="203"/>
      <c r="FB172" s="203"/>
      <c r="FC172" s="203"/>
      <c r="FD172" s="203"/>
      <c r="FE172" s="203"/>
      <c r="FF172" s="203"/>
      <c r="FG172" s="203"/>
      <c r="FH172" s="203"/>
      <c r="FI172" s="203"/>
      <c r="FJ172" s="203"/>
      <c r="FK172" s="203"/>
      <c r="FL172" s="203"/>
      <c r="FM172" s="203"/>
      <c r="FN172" s="203"/>
      <c r="FO172" s="203"/>
      <c r="FP172" s="203"/>
      <c r="FQ172" s="203"/>
      <c r="FR172" s="203"/>
      <c r="FS172" s="203"/>
      <c r="FT172" s="203"/>
      <c r="FU172" s="203"/>
      <c r="FV172" s="203"/>
      <c r="FW172" s="203"/>
      <c r="FX172" s="203"/>
      <c r="FY172" s="203"/>
      <c r="FZ172" s="203"/>
      <c r="GA172" s="203"/>
      <c r="GB172" s="203"/>
      <c r="GC172" s="203"/>
      <c r="GD172" s="203"/>
      <c r="GE172" s="203"/>
      <c r="GF172" s="203"/>
      <c r="GG172" s="203"/>
      <c r="GH172" s="203"/>
      <c r="GI172" s="203"/>
      <c r="GJ172" s="203"/>
      <c r="GK172" s="203"/>
      <c r="GL172" s="203"/>
      <c r="GM172" s="203"/>
      <c r="GN172" s="203"/>
      <c r="GO172" s="203"/>
      <c r="GP172" s="203"/>
      <c r="GQ172" s="203"/>
      <c r="GR172" s="203"/>
      <c r="GS172" s="203"/>
      <c r="GT172" s="203"/>
      <c r="GU172" s="203"/>
      <c r="GV172" s="203"/>
      <c r="GW172" s="203"/>
      <c r="GX172" s="203"/>
      <c r="GY172" s="203"/>
      <c r="GZ172" s="203"/>
      <c r="HA172" s="203"/>
      <c r="HB172" s="203"/>
      <c r="HC172" s="203"/>
      <c r="HD172" s="203"/>
      <c r="HE172" s="203"/>
      <c r="HF172" s="203"/>
      <c r="HG172" s="203"/>
      <c r="HH172" s="203"/>
      <c r="HI172" s="203"/>
      <c r="HJ172" s="203"/>
      <c r="HK172" s="203"/>
      <c r="HL172" s="203"/>
      <c r="HM172" s="203"/>
      <c r="HN172" s="203"/>
      <c r="HO172" s="203"/>
      <c r="HP172" s="203"/>
      <c r="HQ172" s="203"/>
      <c r="HR172" s="203"/>
      <c r="HS172" s="203"/>
      <c r="HT172" s="203"/>
      <c r="HU172" s="203"/>
      <c r="HV172" s="203"/>
      <c r="HW172" s="203"/>
      <c r="HX172" s="203"/>
      <c r="HY172" s="203"/>
      <c r="HZ172" s="203"/>
      <c r="IA172" s="203"/>
      <c r="IB172" s="203"/>
      <c r="IC172" s="203"/>
      <c r="ID172" s="203"/>
      <c r="IE172" s="203"/>
      <c r="IF172" s="203"/>
      <c r="IG172" s="203"/>
      <c r="IH172" s="203"/>
      <c r="II172" s="203"/>
      <c r="IJ172" s="203"/>
      <c r="IK172" s="203"/>
      <c r="IL172" s="203"/>
      <c r="IM172" s="203"/>
      <c r="IN172" s="203"/>
      <c r="IO172" s="203"/>
      <c r="IP172" s="203"/>
      <c r="IQ172" s="203"/>
      <c r="IR172" s="203"/>
      <c r="IS172" s="203"/>
      <c r="IT172" s="203"/>
      <c r="IU172" s="203"/>
      <c r="IV172" s="203"/>
    </row>
    <row r="173" spans="1:256" s="204" customFormat="1" ht="37.5" customHeight="1">
      <c r="A173" s="14" t="s">
        <v>12</v>
      </c>
      <c r="B173" s="14" t="s">
        <v>90</v>
      </c>
      <c r="C173" s="56" t="s">
        <v>3</v>
      </c>
      <c r="D173" s="196" t="s">
        <v>2367</v>
      </c>
      <c r="E173" s="14" t="s">
        <v>116</v>
      </c>
      <c r="F173" s="56" t="s">
        <v>2368</v>
      </c>
      <c r="G173" s="56" t="s">
        <v>85</v>
      </c>
      <c r="H173" s="197">
        <v>541611</v>
      </c>
      <c r="I173" s="196" t="s">
        <v>2369</v>
      </c>
      <c r="J173" s="14" t="s">
        <v>143</v>
      </c>
      <c r="K173" s="56" t="s">
        <v>50</v>
      </c>
      <c r="L173" s="14" t="s">
        <v>2370</v>
      </c>
      <c r="M173" s="198">
        <v>1929306</v>
      </c>
      <c r="N173" s="198">
        <v>1929306</v>
      </c>
      <c r="O173" s="198" t="s">
        <v>20</v>
      </c>
      <c r="P173" s="196" t="s">
        <v>2371</v>
      </c>
      <c r="Q173" s="56" t="s">
        <v>2312</v>
      </c>
      <c r="R173" s="56" t="s">
        <v>21</v>
      </c>
      <c r="S173" s="49">
        <v>2013</v>
      </c>
      <c r="T173" s="196" t="s">
        <v>2372</v>
      </c>
      <c r="U173" s="197" t="s">
        <v>2373</v>
      </c>
      <c r="V173" s="201" t="s">
        <v>2374</v>
      </c>
      <c r="W173" s="14" t="s">
        <v>110</v>
      </c>
      <c r="X173" s="56"/>
      <c r="Y173" s="202"/>
      <c r="Z173" s="203"/>
      <c r="AA173" s="203"/>
      <c r="AB173" s="203"/>
      <c r="AC173" s="203"/>
      <c r="AD173" s="203"/>
      <c r="AE173" s="203"/>
      <c r="AF173" s="203"/>
      <c r="AG173" s="203"/>
      <c r="AH173" s="203"/>
      <c r="AI173" s="203"/>
      <c r="AJ173" s="203"/>
      <c r="AK173" s="203"/>
      <c r="AL173" s="203"/>
      <c r="AM173" s="203"/>
      <c r="AN173" s="203"/>
      <c r="AO173" s="203"/>
      <c r="AP173" s="203"/>
      <c r="AQ173" s="203"/>
      <c r="AR173" s="203"/>
      <c r="AS173" s="203"/>
      <c r="AT173" s="203"/>
      <c r="AU173" s="203"/>
      <c r="AV173" s="203"/>
      <c r="AW173" s="203"/>
      <c r="AX173" s="203"/>
      <c r="AY173" s="203"/>
      <c r="AZ173" s="203"/>
      <c r="BA173" s="203"/>
      <c r="BB173" s="203"/>
      <c r="BC173" s="203"/>
      <c r="BD173" s="203"/>
      <c r="BE173" s="203"/>
      <c r="BF173" s="203"/>
      <c r="BG173" s="203"/>
      <c r="BH173" s="203"/>
      <c r="BI173" s="203"/>
      <c r="BJ173" s="203"/>
      <c r="BK173" s="203"/>
      <c r="BL173" s="203"/>
      <c r="BM173" s="203"/>
      <c r="BN173" s="203"/>
      <c r="BO173" s="203"/>
      <c r="BP173" s="203"/>
      <c r="BQ173" s="203"/>
      <c r="BR173" s="203"/>
      <c r="BS173" s="203"/>
      <c r="BT173" s="203"/>
      <c r="BU173" s="203"/>
      <c r="BV173" s="203"/>
      <c r="BW173" s="203"/>
      <c r="BX173" s="203"/>
      <c r="BY173" s="203"/>
      <c r="BZ173" s="203"/>
      <c r="CA173" s="203"/>
      <c r="CB173" s="203"/>
      <c r="CC173" s="203"/>
      <c r="CD173" s="203"/>
      <c r="CE173" s="203"/>
      <c r="CF173" s="203"/>
      <c r="CG173" s="203"/>
      <c r="CH173" s="203"/>
      <c r="CI173" s="203"/>
      <c r="CJ173" s="203"/>
      <c r="CK173" s="203"/>
      <c r="CL173" s="203"/>
      <c r="CM173" s="203"/>
      <c r="CN173" s="203"/>
      <c r="CO173" s="203"/>
      <c r="CP173" s="203"/>
      <c r="CQ173" s="203"/>
      <c r="CR173" s="203"/>
      <c r="CS173" s="203"/>
      <c r="CT173" s="203"/>
      <c r="CU173" s="203"/>
      <c r="CV173" s="203"/>
      <c r="CW173" s="203"/>
      <c r="CX173" s="203"/>
      <c r="CY173" s="203"/>
      <c r="CZ173" s="203"/>
      <c r="DA173" s="203"/>
      <c r="DB173" s="203"/>
      <c r="DC173" s="203"/>
      <c r="DD173" s="203"/>
      <c r="DE173" s="203"/>
      <c r="DF173" s="203"/>
      <c r="DG173" s="203"/>
      <c r="DH173" s="203"/>
      <c r="DI173" s="203"/>
      <c r="DJ173" s="203"/>
      <c r="DK173" s="203"/>
      <c r="DL173" s="203"/>
      <c r="DM173" s="203"/>
      <c r="DN173" s="203"/>
      <c r="DO173" s="203"/>
      <c r="DP173" s="203"/>
      <c r="DQ173" s="203"/>
      <c r="DR173" s="203"/>
      <c r="DS173" s="203"/>
      <c r="DT173" s="203"/>
      <c r="DU173" s="203"/>
      <c r="DV173" s="203"/>
      <c r="DW173" s="203"/>
      <c r="DX173" s="203"/>
      <c r="DY173" s="203"/>
      <c r="DZ173" s="203"/>
      <c r="EA173" s="203"/>
      <c r="EB173" s="203"/>
      <c r="EC173" s="203"/>
      <c r="ED173" s="203"/>
      <c r="EE173" s="203"/>
      <c r="EF173" s="203"/>
      <c r="EG173" s="203"/>
      <c r="EH173" s="203"/>
      <c r="EI173" s="203"/>
      <c r="EJ173" s="203"/>
      <c r="EK173" s="203"/>
      <c r="EL173" s="203"/>
      <c r="EM173" s="203"/>
      <c r="EN173" s="203"/>
      <c r="EO173" s="203"/>
      <c r="EP173" s="203"/>
      <c r="EQ173" s="203"/>
      <c r="ER173" s="203"/>
      <c r="ES173" s="203"/>
      <c r="ET173" s="203"/>
      <c r="EU173" s="203"/>
      <c r="EV173" s="203"/>
      <c r="EW173" s="203"/>
      <c r="EX173" s="203"/>
      <c r="EY173" s="203"/>
      <c r="EZ173" s="203"/>
      <c r="FA173" s="203"/>
      <c r="FB173" s="203"/>
      <c r="FC173" s="203"/>
      <c r="FD173" s="203"/>
      <c r="FE173" s="203"/>
      <c r="FF173" s="203"/>
      <c r="FG173" s="203"/>
      <c r="FH173" s="203"/>
      <c r="FI173" s="203"/>
      <c r="FJ173" s="203"/>
      <c r="FK173" s="203"/>
      <c r="FL173" s="203"/>
      <c r="FM173" s="203"/>
      <c r="FN173" s="203"/>
      <c r="FO173" s="203"/>
      <c r="FP173" s="203"/>
      <c r="FQ173" s="203"/>
      <c r="FR173" s="203"/>
      <c r="FS173" s="203"/>
      <c r="FT173" s="203"/>
      <c r="FU173" s="203"/>
      <c r="FV173" s="203"/>
      <c r="FW173" s="203"/>
      <c r="FX173" s="203"/>
      <c r="FY173" s="203"/>
      <c r="FZ173" s="203"/>
      <c r="GA173" s="203"/>
      <c r="GB173" s="203"/>
      <c r="GC173" s="203"/>
      <c r="GD173" s="203"/>
      <c r="GE173" s="203"/>
      <c r="GF173" s="203"/>
      <c r="GG173" s="203"/>
      <c r="GH173" s="203"/>
      <c r="GI173" s="203"/>
      <c r="GJ173" s="203"/>
      <c r="GK173" s="203"/>
      <c r="GL173" s="203"/>
      <c r="GM173" s="203"/>
      <c r="GN173" s="203"/>
      <c r="GO173" s="203"/>
      <c r="GP173" s="203"/>
      <c r="GQ173" s="203"/>
      <c r="GR173" s="203"/>
      <c r="GS173" s="203"/>
      <c r="GT173" s="203"/>
      <c r="GU173" s="203"/>
      <c r="GV173" s="203"/>
      <c r="GW173" s="203"/>
      <c r="GX173" s="203"/>
      <c r="GY173" s="203"/>
      <c r="GZ173" s="203"/>
      <c r="HA173" s="203"/>
      <c r="HB173" s="203"/>
      <c r="HC173" s="203"/>
      <c r="HD173" s="203"/>
      <c r="HE173" s="203"/>
      <c r="HF173" s="203"/>
      <c r="HG173" s="203"/>
      <c r="HH173" s="203"/>
      <c r="HI173" s="203"/>
      <c r="HJ173" s="203"/>
      <c r="HK173" s="203"/>
      <c r="HL173" s="203"/>
      <c r="HM173" s="203"/>
      <c r="HN173" s="203"/>
      <c r="HO173" s="203"/>
      <c r="HP173" s="203"/>
      <c r="HQ173" s="203"/>
      <c r="HR173" s="203"/>
      <c r="HS173" s="203"/>
      <c r="HT173" s="203"/>
      <c r="HU173" s="203"/>
      <c r="HV173" s="203"/>
      <c r="HW173" s="203"/>
      <c r="HX173" s="203"/>
      <c r="HY173" s="203"/>
      <c r="HZ173" s="203"/>
      <c r="IA173" s="203"/>
      <c r="IB173" s="203"/>
      <c r="IC173" s="203"/>
      <c r="ID173" s="203"/>
      <c r="IE173" s="203"/>
      <c r="IF173" s="203"/>
      <c r="IG173" s="203"/>
      <c r="IH173" s="203"/>
      <c r="II173" s="203"/>
      <c r="IJ173" s="203"/>
      <c r="IK173" s="203"/>
      <c r="IL173" s="203"/>
      <c r="IM173" s="203"/>
      <c r="IN173" s="203"/>
      <c r="IO173" s="203"/>
      <c r="IP173" s="203"/>
      <c r="IQ173" s="203"/>
      <c r="IR173" s="203"/>
      <c r="IS173" s="203"/>
      <c r="IT173" s="203"/>
      <c r="IU173" s="203"/>
      <c r="IV173" s="203"/>
    </row>
    <row r="174" spans="1:256" s="204" customFormat="1" ht="39.950000000000003" customHeight="1">
      <c r="A174" s="14" t="s">
        <v>12</v>
      </c>
      <c r="B174" s="14" t="s">
        <v>90</v>
      </c>
      <c r="C174" s="56" t="s">
        <v>3</v>
      </c>
      <c r="D174" s="196" t="s">
        <v>2375</v>
      </c>
      <c r="E174" s="14" t="s">
        <v>116</v>
      </c>
      <c r="F174" s="14" t="s">
        <v>2368</v>
      </c>
      <c r="G174" s="14" t="s">
        <v>85</v>
      </c>
      <c r="H174" s="197">
        <v>541611</v>
      </c>
      <c r="I174" s="196" t="s">
        <v>2112</v>
      </c>
      <c r="J174" s="14" t="s">
        <v>143</v>
      </c>
      <c r="K174" s="56" t="s">
        <v>73</v>
      </c>
      <c r="L174" s="14" t="s">
        <v>2370</v>
      </c>
      <c r="M174" s="198">
        <v>2136000</v>
      </c>
      <c r="N174" s="198">
        <v>2136000</v>
      </c>
      <c r="O174" s="198" t="s">
        <v>20</v>
      </c>
      <c r="P174" s="196" t="s">
        <v>2376</v>
      </c>
      <c r="Q174" s="56" t="s">
        <v>2312</v>
      </c>
      <c r="R174" s="56" t="s">
        <v>41</v>
      </c>
      <c r="S174" s="49">
        <v>2013</v>
      </c>
      <c r="T174" s="196" t="s">
        <v>2372</v>
      </c>
      <c r="U174" s="197" t="s">
        <v>2373</v>
      </c>
      <c r="V174" s="201" t="s">
        <v>2374</v>
      </c>
      <c r="W174" s="14" t="s">
        <v>110</v>
      </c>
      <c r="X174" s="56"/>
      <c r="Y174" s="202"/>
      <c r="Z174" s="203"/>
      <c r="AA174" s="203"/>
      <c r="AB174" s="203"/>
      <c r="AC174" s="203"/>
      <c r="AD174" s="203"/>
      <c r="AE174" s="203"/>
      <c r="AF174" s="203"/>
      <c r="AG174" s="203"/>
      <c r="AH174" s="203"/>
      <c r="AI174" s="203"/>
      <c r="AJ174" s="203"/>
      <c r="AK174" s="203"/>
      <c r="AL174" s="203"/>
      <c r="AM174" s="203"/>
      <c r="AN174" s="203"/>
      <c r="AO174" s="203"/>
      <c r="AP174" s="203"/>
      <c r="AQ174" s="203"/>
      <c r="AR174" s="203"/>
      <c r="AS174" s="203"/>
      <c r="AT174" s="203"/>
      <c r="AU174" s="203"/>
      <c r="AV174" s="203"/>
      <c r="AW174" s="203"/>
      <c r="AX174" s="203"/>
      <c r="AY174" s="203"/>
      <c r="AZ174" s="203"/>
      <c r="BA174" s="203"/>
      <c r="BB174" s="203"/>
      <c r="BC174" s="203"/>
      <c r="BD174" s="203"/>
      <c r="BE174" s="203"/>
      <c r="BF174" s="203"/>
      <c r="BG174" s="203"/>
      <c r="BH174" s="203"/>
      <c r="BI174" s="203"/>
      <c r="BJ174" s="203"/>
      <c r="BK174" s="203"/>
      <c r="BL174" s="203"/>
      <c r="BM174" s="203"/>
      <c r="BN174" s="203"/>
      <c r="BO174" s="203"/>
      <c r="BP174" s="203"/>
      <c r="BQ174" s="203"/>
      <c r="BR174" s="203"/>
      <c r="BS174" s="203"/>
      <c r="BT174" s="203"/>
      <c r="BU174" s="203"/>
      <c r="BV174" s="203"/>
      <c r="BW174" s="203"/>
      <c r="BX174" s="203"/>
      <c r="BY174" s="203"/>
      <c r="BZ174" s="203"/>
      <c r="CA174" s="203"/>
      <c r="CB174" s="203"/>
      <c r="CC174" s="203"/>
      <c r="CD174" s="203"/>
      <c r="CE174" s="203"/>
      <c r="CF174" s="203"/>
      <c r="CG174" s="203"/>
      <c r="CH174" s="203"/>
      <c r="CI174" s="203"/>
      <c r="CJ174" s="203"/>
      <c r="CK174" s="203"/>
      <c r="CL174" s="203"/>
      <c r="CM174" s="203"/>
      <c r="CN174" s="203"/>
      <c r="CO174" s="203"/>
      <c r="CP174" s="203"/>
      <c r="CQ174" s="203"/>
      <c r="CR174" s="203"/>
      <c r="CS174" s="203"/>
      <c r="CT174" s="203"/>
      <c r="CU174" s="203"/>
      <c r="CV174" s="203"/>
      <c r="CW174" s="203"/>
      <c r="CX174" s="203"/>
      <c r="CY174" s="203"/>
      <c r="CZ174" s="203"/>
      <c r="DA174" s="203"/>
      <c r="DB174" s="203"/>
      <c r="DC174" s="203"/>
      <c r="DD174" s="203"/>
      <c r="DE174" s="203"/>
      <c r="DF174" s="203"/>
      <c r="DG174" s="203"/>
      <c r="DH174" s="203"/>
      <c r="DI174" s="203"/>
      <c r="DJ174" s="203"/>
      <c r="DK174" s="203"/>
      <c r="DL174" s="203"/>
      <c r="DM174" s="203"/>
      <c r="DN174" s="203"/>
      <c r="DO174" s="203"/>
      <c r="DP174" s="203"/>
      <c r="DQ174" s="203"/>
      <c r="DR174" s="203"/>
      <c r="DS174" s="203"/>
      <c r="DT174" s="203"/>
      <c r="DU174" s="203"/>
      <c r="DV174" s="203"/>
      <c r="DW174" s="203"/>
      <c r="DX174" s="203"/>
      <c r="DY174" s="203"/>
      <c r="DZ174" s="203"/>
      <c r="EA174" s="203"/>
      <c r="EB174" s="203"/>
      <c r="EC174" s="203"/>
      <c r="ED174" s="203"/>
      <c r="EE174" s="203"/>
      <c r="EF174" s="203"/>
      <c r="EG174" s="203"/>
      <c r="EH174" s="203"/>
      <c r="EI174" s="203"/>
      <c r="EJ174" s="203"/>
      <c r="EK174" s="203"/>
      <c r="EL174" s="203"/>
      <c r="EM174" s="203"/>
      <c r="EN174" s="203"/>
      <c r="EO174" s="203"/>
      <c r="EP174" s="203"/>
      <c r="EQ174" s="203"/>
      <c r="ER174" s="203"/>
      <c r="ES174" s="203"/>
      <c r="ET174" s="203"/>
      <c r="EU174" s="203"/>
      <c r="EV174" s="203"/>
      <c r="EW174" s="203"/>
      <c r="EX174" s="203"/>
      <c r="EY174" s="203"/>
      <c r="EZ174" s="203"/>
      <c r="FA174" s="203"/>
      <c r="FB174" s="203"/>
      <c r="FC174" s="203"/>
      <c r="FD174" s="203"/>
      <c r="FE174" s="203"/>
      <c r="FF174" s="203"/>
      <c r="FG174" s="203"/>
      <c r="FH174" s="203"/>
      <c r="FI174" s="203"/>
      <c r="FJ174" s="203"/>
      <c r="FK174" s="203"/>
      <c r="FL174" s="203"/>
      <c r="FM174" s="203"/>
      <c r="FN174" s="203"/>
      <c r="FO174" s="203"/>
      <c r="FP174" s="203"/>
      <c r="FQ174" s="203"/>
      <c r="FR174" s="203"/>
      <c r="FS174" s="203"/>
      <c r="FT174" s="203"/>
      <c r="FU174" s="203"/>
      <c r="FV174" s="203"/>
      <c r="FW174" s="203"/>
      <c r="FX174" s="203"/>
      <c r="FY174" s="203"/>
      <c r="FZ174" s="203"/>
      <c r="GA174" s="203"/>
      <c r="GB174" s="203"/>
      <c r="GC174" s="203"/>
      <c r="GD174" s="203"/>
      <c r="GE174" s="203"/>
      <c r="GF174" s="203"/>
      <c r="GG174" s="203"/>
      <c r="GH174" s="203"/>
      <c r="GI174" s="203"/>
      <c r="GJ174" s="203"/>
      <c r="GK174" s="203"/>
      <c r="GL174" s="203"/>
      <c r="GM174" s="203"/>
      <c r="GN174" s="203"/>
      <c r="GO174" s="203"/>
      <c r="GP174" s="203"/>
      <c r="GQ174" s="203"/>
      <c r="GR174" s="203"/>
      <c r="GS174" s="203"/>
      <c r="GT174" s="203"/>
      <c r="GU174" s="203"/>
      <c r="GV174" s="203"/>
      <c r="GW174" s="203"/>
      <c r="GX174" s="203"/>
      <c r="GY174" s="203"/>
      <c r="GZ174" s="203"/>
      <c r="HA174" s="203"/>
      <c r="HB174" s="203"/>
      <c r="HC174" s="203"/>
      <c r="HD174" s="203"/>
      <c r="HE174" s="203"/>
      <c r="HF174" s="203"/>
      <c r="HG174" s="203"/>
      <c r="HH174" s="203"/>
      <c r="HI174" s="203"/>
      <c r="HJ174" s="203"/>
      <c r="HK174" s="203"/>
      <c r="HL174" s="203"/>
      <c r="HM174" s="203"/>
      <c r="HN174" s="203"/>
      <c r="HO174" s="203"/>
      <c r="HP174" s="203"/>
      <c r="HQ174" s="203"/>
      <c r="HR174" s="203"/>
      <c r="HS174" s="203"/>
      <c r="HT174" s="203"/>
      <c r="HU174" s="203"/>
      <c r="HV174" s="203"/>
      <c r="HW174" s="203"/>
      <c r="HX174" s="203"/>
      <c r="HY174" s="203"/>
      <c r="HZ174" s="203"/>
      <c r="IA174" s="203"/>
      <c r="IB174" s="203"/>
      <c r="IC174" s="203"/>
      <c r="ID174" s="203"/>
      <c r="IE174" s="203"/>
      <c r="IF174" s="203"/>
      <c r="IG174" s="203"/>
      <c r="IH174" s="203"/>
      <c r="II174" s="203"/>
      <c r="IJ174" s="203"/>
      <c r="IK174" s="203"/>
      <c r="IL174" s="203"/>
      <c r="IM174" s="203"/>
      <c r="IN174" s="203"/>
      <c r="IO174" s="203"/>
      <c r="IP174" s="203"/>
      <c r="IQ174" s="203"/>
      <c r="IR174" s="203"/>
      <c r="IS174" s="203"/>
      <c r="IT174" s="203"/>
      <c r="IU174" s="203"/>
      <c r="IV174" s="203"/>
    </row>
    <row r="175" spans="1:256" s="204" customFormat="1" ht="39.950000000000003" customHeight="1">
      <c r="A175" s="14" t="s">
        <v>12</v>
      </c>
      <c r="B175" s="14" t="s">
        <v>90</v>
      </c>
      <c r="C175" s="56" t="s">
        <v>3</v>
      </c>
      <c r="D175" s="196" t="s">
        <v>2377</v>
      </c>
      <c r="E175" s="14" t="s">
        <v>116</v>
      </c>
      <c r="F175" s="14" t="s">
        <v>2368</v>
      </c>
      <c r="G175" s="14" t="s">
        <v>85</v>
      </c>
      <c r="H175" s="197">
        <v>541611</v>
      </c>
      <c r="I175" s="196" t="s">
        <v>64</v>
      </c>
      <c r="J175" s="14" t="s">
        <v>143</v>
      </c>
      <c r="K175" s="56" t="s">
        <v>50</v>
      </c>
      <c r="L175" s="14" t="s">
        <v>2370</v>
      </c>
      <c r="M175" s="198">
        <v>3999687</v>
      </c>
      <c r="N175" s="198">
        <v>3999687</v>
      </c>
      <c r="O175" s="198" t="s">
        <v>20</v>
      </c>
      <c r="P175" s="196" t="s">
        <v>2378</v>
      </c>
      <c r="Q175" s="56" t="s">
        <v>2312</v>
      </c>
      <c r="R175" s="56" t="s">
        <v>31</v>
      </c>
      <c r="S175" s="49">
        <v>2013</v>
      </c>
      <c r="T175" s="196" t="s">
        <v>2372</v>
      </c>
      <c r="U175" s="197" t="s">
        <v>2373</v>
      </c>
      <c r="V175" s="201" t="s">
        <v>2374</v>
      </c>
      <c r="W175" s="14" t="s">
        <v>110</v>
      </c>
      <c r="X175" s="56"/>
      <c r="Y175" s="99"/>
      <c r="Z175" s="99"/>
      <c r="AA175" s="99"/>
      <c r="AB175" s="99"/>
      <c r="AC175" s="203"/>
      <c r="AD175" s="203"/>
      <c r="AE175" s="203"/>
      <c r="AF175" s="203"/>
      <c r="AG175" s="203"/>
      <c r="AH175" s="203"/>
      <c r="AI175" s="203"/>
      <c r="AJ175" s="203"/>
      <c r="AK175" s="203"/>
      <c r="AL175" s="203"/>
      <c r="AM175" s="203"/>
      <c r="AN175" s="203"/>
      <c r="AO175" s="203"/>
      <c r="AP175" s="203"/>
      <c r="AQ175" s="203"/>
      <c r="AR175" s="203"/>
      <c r="AS175" s="203"/>
      <c r="AT175" s="203"/>
      <c r="AU175" s="203"/>
      <c r="AV175" s="203"/>
      <c r="AW175" s="203"/>
      <c r="AX175" s="203"/>
      <c r="AY175" s="203"/>
      <c r="AZ175" s="203"/>
      <c r="BA175" s="203"/>
      <c r="BB175" s="203"/>
      <c r="BC175" s="203"/>
      <c r="BD175" s="203"/>
      <c r="BE175" s="203"/>
      <c r="BF175" s="203"/>
      <c r="BG175" s="203"/>
      <c r="BH175" s="203"/>
      <c r="BI175" s="203"/>
      <c r="BJ175" s="203"/>
      <c r="BK175" s="203"/>
      <c r="BL175" s="203"/>
      <c r="BM175" s="203"/>
      <c r="BN175" s="203"/>
      <c r="BO175" s="203"/>
      <c r="BP175" s="203"/>
      <c r="BQ175" s="203"/>
      <c r="BR175" s="203"/>
      <c r="BS175" s="203"/>
      <c r="BT175" s="203"/>
      <c r="BU175" s="203"/>
      <c r="BV175" s="203"/>
      <c r="BW175" s="203"/>
      <c r="BX175" s="203"/>
      <c r="BY175" s="203"/>
      <c r="BZ175" s="203"/>
      <c r="CA175" s="203"/>
      <c r="CB175" s="203"/>
      <c r="CC175" s="203"/>
      <c r="CD175" s="203"/>
      <c r="CE175" s="203"/>
      <c r="CF175" s="203"/>
      <c r="CG175" s="203"/>
      <c r="CH175" s="203"/>
      <c r="CI175" s="203"/>
      <c r="CJ175" s="203"/>
      <c r="CK175" s="203"/>
      <c r="CL175" s="203"/>
      <c r="CM175" s="203"/>
      <c r="CN175" s="203"/>
      <c r="CO175" s="203"/>
      <c r="CP175" s="203"/>
      <c r="CQ175" s="203"/>
      <c r="CR175" s="203"/>
      <c r="CS175" s="203"/>
      <c r="CT175" s="203"/>
      <c r="CU175" s="203"/>
      <c r="CV175" s="203"/>
      <c r="CW175" s="203"/>
      <c r="CX175" s="203"/>
      <c r="CY175" s="203"/>
      <c r="CZ175" s="203"/>
      <c r="DA175" s="203"/>
      <c r="DB175" s="203"/>
      <c r="DC175" s="203"/>
      <c r="DD175" s="203"/>
      <c r="DE175" s="203"/>
      <c r="DF175" s="203"/>
      <c r="DG175" s="203"/>
      <c r="DH175" s="203"/>
      <c r="DI175" s="203"/>
      <c r="DJ175" s="203"/>
      <c r="DK175" s="203"/>
      <c r="DL175" s="203"/>
      <c r="DM175" s="203"/>
      <c r="DN175" s="203"/>
      <c r="DO175" s="203"/>
      <c r="DP175" s="203"/>
      <c r="DQ175" s="203"/>
      <c r="DR175" s="203"/>
      <c r="DS175" s="203"/>
      <c r="DT175" s="203"/>
      <c r="DU175" s="203"/>
      <c r="DV175" s="203"/>
      <c r="DW175" s="203"/>
      <c r="DX175" s="203"/>
      <c r="DY175" s="203"/>
      <c r="DZ175" s="203"/>
      <c r="EA175" s="203"/>
      <c r="EB175" s="203"/>
      <c r="EC175" s="203"/>
      <c r="ED175" s="203"/>
      <c r="EE175" s="203"/>
      <c r="EF175" s="203"/>
      <c r="EG175" s="203"/>
      <c r="EH175" s="203"/>
      <c r="EI175" s="203"/>
      <c r="EJ175" s="203"/>
      <c r="EK175" s="203"/>
      <c r="EL175" s="203"/>
      <c r="EM175" s="203"/>
      <c r="EN175" s="203"/>
      <c r="EO175" s="203"/>
      <c r="EP175" s="203"/>
      <c r="EQ175" s="203"/>
      <c r="ER175" s="203"/>
      <c r="ES175" s="203"/>
      <c r="ET175" s="203"/>
      <c r="EU175" s="203"/>
      <c r="EV175" s="203"/>
      <c r="EW175" s="203"/>
      <c r="EX175" s="203"/>
      <c r="EY175" s="203"/>
      <c r="EZ175" s="203"/>
      <c r="FA175" s="203"/>
      <c r="FB175" s="203"/>
      <c r="FC175" s="203"/>
      <c r="FD175" s="203"/>
      <c r="FE175" s="203"/>
      <c r="FF175" s="203"/>
      <c r="FG175" s="203"/>
      <c r="FH175" s="203"/>
      <c r="FI175" s="203"/>
      <c r="FJ175" s="203"/>
      <c r="FK175" s="203"/>
      <c r="FL175" s="203"/>
      <c r="FM175" s="203"/>
      <c r="FN175" s="203"/>
      <c r="FO175" s="203"/>
      <c r="FP175" s="203"/>
      <c r="FQ175" s="203"/>
      <c r="FR175" s="203"/>
      <c r="FS175" s="203"/>
      <c r="FT175" s="203"/>
      <c r="FU175" s="203"/>
      <c r="FV175" s="203"/>
      <c r="FW175" s="203"/>
      <c r="FX175" s="203"/>
      <c r="FY175" s="203"/>
      <c r="FZ175" s="203"/>
      <c r="GA175" s="203"/>
      <c r="GB175" s="203"/>
      <c r="GC175" s="203"/>
      <c r="GD175" s="203"/>
      <c r="GE175" s="203"/>
      <c r="GF175" s="203"/>
      <c r="GG175" s="203"/>
      <c r="GH175" s="203"/>
      <c r="GI175" s="203"/>
      <c r="GJ175" s="203"/>
      <c r="GK175" s="203"/>
      <c r="GL175" s="203"/>
      <c r="GM175" s="203"/>
      <c r="GN175" s="203"/>
      <c r="GO175" s="203"/>
      <c r="GP175" s="203"/>
      <c r="GQ175" s="203"/>
      <c r="GR175" s="203"/>
      <c r="GS175" s="203"/>
      <c r="GT175" s="203"/>
      <c r="GU175" s="203"/>
      <c r="GV175" s="203"/>
      <c r="GW175" s="203"/>
      <c r="GX175" s="203"/>
      <c r="GY175" s="203"/>
      <c r="GZ175" s="203"/>
      <c r="HA175" s="203"/>
      <c r="HB175" s="203"/>
      <c r="HC175" s="203"/>
      <c r="HD175" s="203"/>
      <c r="HE175" s="203"/>
      <c r="HF175" s="203"/>
      <c r="HG175" s="203"/>
      <c r="HH175" s="203"/>
      <c r="HI175" s="203"/>
      <c r="HJ175" s="203"/>
      <c r="HK175" s="203"/>
      <c r="HL175" s="203"/>
      <c r="HM175" s="203"/>
      <c r="HN175" s="203"/>
      <c r="HO175" s="203"/>
      <c r="HP175" s="203"/>
      <c r="HQ175" s="203"/>
      <c r="HR175" s="203"/>
      <c r="HS175" s="203"/>
      <c r="HT175" s="203"/>
      <c r="HU175" s="203"/>
      <c r="HV175" s="203"/>
      <c r="HW175" s="203"/>
      <c r="HX175" s="203"/>
      <c r="HY175" s="203"/>
      <c r="HZ175" s="203"/>
      <c r="IA175" s="203"/>
      <c r="IB175" s="203"/>
      <c r="IC175" s="203"/>
      <c r="ID175" s="203"/>
      <c r="IE175" s="203"/>
      <c r="IF175" s="203"/>
      <c r="IG175" s="203"/>
      <c r="IH175" s="203"/>
      <c r="II175" s="203"/>
      <c r="IJ175" s="203"/>
      <c r="IK175" s="203"/>
      <c r="IL175" s="203"/>
      <c r="IM175" s="203"/>
      <c r="IN175" s="203"/>
      <c r="IO175" s="203"/>
      <c r="IP175" s="203"/>
      <c r="IQ175" s="203"/>
      <c r="IR175" s="203"/>
      <c r="IS175" s="203"/>
      <c r="IT175" s="203"/>
      <c r="IU175" s="203"/>
      <c r="IV175" s="203"/>
    </row>
    <row r="176" spans="1:256" s="204" customFormat="1" ht="39.950000000000003" customHeight="1">
      <c r="A176" s="14" t="s">
        <v>12</v>
      </c>
      <c r="B176" s="14" t="s">
        <v>90</v>
      </c>
      <c r="C176" s="56" t="s">
        <v>3</v>
      </c>
      <c r="D176" s="196" t="s">
        <v>2379</v>
      </c>
      <c r="E176" s="14" t="s">
        <v>116</v>
      </c>
      <c r="F176" s="14" t="s">
        <v>2368</v>
      </c>
      <c r="G176" s="14" t="s">
        <v>85</v>
      </c>
      <c r="H176" s="197">
        <v>493110</v>
      </c>
      <c r="I176" s="196" t="s">
        <v>38</v>
      </c>
      <c r="J176" s="14" t="s">
        <v>109</v>
      </c>
      <c r="K176" s="56" t="s">
        <v>50</v>
      </c>
      <c r="L176" s="14" t="s">
        <v>2370</v>
      </c>
      <c r="M176" s="198">
        <v>3869401</v>
      </c>
      <c r="N176" s="198">
        <v>3869401</v>
      </c>
      <c r="O176" s="198" t="s">
        <v>20</v>
      </c>
      <c r="P176" s="196" t="s">
        <v>2380</v>
      </c>
      <c r="Q176" s="56" t="s">
        <v>2312</v>
      </c>
      <c r="R176" s="56" t="s">
        <v>21</v>
      </c>
      <c r="S176" s="49">
        <v>2013</v>
      </c>
      <c r="T176" s="196" t="s">
        <v>2381</v>
      </c>
      <c r="U176" s="197" t="s">
        <v>2373</v>
      </c>
      <c r="V176" s="201" t="s">
        <v>2374</v>
      </c>
      <c r="W176" s="14" t="s">
        <v>110</v>
      </c>
      <c r="X176" s="56"/>
      <c r="Y176" s="99"/>
      <c r="Z176" s="99"/>
      <c r="AA176" s="99"/>
      <c r="AB176" s="99"/>
      <c r="AC176" s="203"/>
      <c r="AD176" s="203"/>
      <c r="AE176" s="203"/>
      <c r="AF176" s="203"/>
      <c r="AG176" s="203"/>
      <c r="AH176" s="203"/>
      <c r="AI176" s="203"/>
      <c r="AJ176" s="203"/>
      <c r="AK176" s="203"/>
      <c r="AL176" s="203"/>
      <c r="AM176" s="203"/>
      <c r="AN176" s="203"/>
      <c r="AO176" s="203"/>
      <c r="AP176" s="203"/>
      <c r="AQ176" s="203"/>
      <c r="AR176" s="203"/>
      <c r="AS176" s="203"/>
      <c r="AT176" s="203"/>
      <c r="AU176" s="203"/>
      <c r="AV176" s="203"/>
      <c r="AW176" s="203"/>
      <c r="AX176" s="203"/>
      <c r="AY176" s="203"/>
      <c r="AZ176" s="203"/>
      <c r="BA176" s="203"/>
      <c r="BB176" s="203"/>
      <c r="BC176" s="203"/>
      <c r="BD176" s="203"/>
      <c r="BE176" s="203"/>
      <c r="BF176" s="203"/>
      <c r="BG176" s="203"/>
      <c r="BH176" s="203"/>
      <c r="BI176" s="203"/>
      <c r="BJ176" s="203"/>
      <c r="BK176" s="203"/>
      <c r="BL176" s="203"/>
      <c r="BM176" s="203"/>
      <c r="BN176" s="203"/>
      <c r="BO176" s="203"/>
      <c r="BP176" s="203"/>
      <c r="BQ176" s="203"/>
      <c r="BR176" s="203"/>
      <c r="BS176" s="203"/>
      <c r="BT176" s="203"/>
      <c r="BU176" s="203"/>
      <c r="BV176" s="203"/>
      <c r="BW176" s="203"/>
      <c r="BX176" s="203"/>
      <c r="BY176" s="203"/>
      <c r="BZ176" s="203"/>
      <c r="CA176" s="203"/>
      <c r="CB176" s="203"/>
      <c r="CC176" s="203"/>
      <c r="CD176" s="203"/>
      <c r="CE176" s="203"/>
      <c r="CF176" s="203"/>
      <c r="CG176" s="203"/>
      <c r="CH176" s="203"/>
      <c r="CI176" s="203"/>
      <c r="CJ176" s="203"/>
      <c r="CK176" s="203"/>
      <c r="CL176" s="203"/>
      <c r="CM176" s="203"/>
      <c r="CN176" s="203"/>
      <c r="CO176" s="203"/>
      <c r="CP176" s="203"/>
      <c r="CQ176" s="203"/>
      <c r="CR176" s="203"/>
      <c r="CS176" s="203"/>
      <c r="CT176" s="203"/>
      <c r="CU176" s="203"/>
      <c r="CV176" s="203"/>
      <c r="CW176" s="203"/>
      <c r="CX176" s="203"/>
      <c r="CY176" s="203"/>
      <c r="CZ176" s="203"/>
      <c r="DA176" s="203"/>
      <c r="DB176" s="203"/>
      <c r="DC176" s="203"/>
      <c r="DD176" s="203"/>
      <c r="DE176" s="203"/>
      <c r="DF176" s="203"/>
      <c r="DG176" s="203"/>
      <c r="DH176" s="203"/>
      <c r="DI176" s="203"/>
      <c r="DJ176" s="203"/>
      <c r="DK176" s="203"/>
      <c r="DL176" s="203"/>
      <c r="DM176" s="203"/>
      <c r="DN176" s="203"/>
      <c r="DO176" s="203"/>
      <c r="DP176" s="203"/>
      <c r="DQ176" s="203"/>
      <c r="DR176" s="203"/>
      <c r="DS176" s="203"/>
      <c r="DT176" s="203"/>
      <c r="DU176" s="203"/>
      <c r="DV176" s="203"/>
      <c r="DW176" s="203"/>
      <c r="DX176" s="203"/>
      <c r="DY176" s="203"/>
      <c r="DZ176" s="203"/>
      <c r="EA176" s="203"/>
      <c r="EB176" s="203"/>
      <c r="EC176" s="203"/>
      <c r="ED176" s="203"/>
      <c r="EE176" s="203"/>
      <c r="EF176" s="203"/>
      <c r="EG176" s="203"/>
      <c r="EH176" s="203"/>
      <c r="EI176" s="203"/>
      <c r="EJ176" s="203"/>
      <c r="EK176" s="203"/>
      <c r="EL176" s="203"/>
      <c r="EM176" s="203"/>
      <c r="EN176" s="203"/>
      <c r="EO176" s="203"/>
      <c r="EP176" s="203"/>
      <c r="EQ176" s="203"/>
      <c r="ER176" s="203"/>
      <c r="ES176" s="203"/>
      <c r="ET176" s="203"/>
      <c r="EU176" s="203"/>
      <c r="EV176" s="203"/>
      <c r="EW176" s="203"/>
      <c r="EX176" s="203"/>
      <c r="EY176" s="203"/>
      <c r="EZ176" s="203"/>
      <c r="FA176" s="203"/>
      <c r="FB176" s="203"/>
      <c r="FC176" s="203"/>
      <c r="FD176" s="203"/>
      <c r="FE176" s="203"/>
      <c r="FF176" s="203"/>
      <c r="FG176" s="203"/>
      <c r="FH176" s="203"/>
      <c r="FI176" s="203"/>
      <c r="FJ176" s="203"/>
      <c r="FK176" s="203"/>
      <c r="FL176" s="203"/>
      <c r="FM176" s="203"/>
      <c r="FN176" s="203"/>
      <c r="FO176" s="203"/>
      <c r="FP176" s="203"/>
      <c r="FQ176" s="203"/>
      <c r="FR176" s="203"/>
      <c r="FS176" s="203"/>
      <c r="FT176" s="203"/>
      <c r="FU176" s="203"/>
      <c r="FV176" s="203"/>
      <c r="FW176" s="203"/>
      <c r="FX176" s="203"/>
      <c r="FY176" s="203"/>
      <c r="FZ176" s="203"/>
      <c r="GA176" s="203"/>
      <c r="GB176" s="203"/>
      <c r="GC176" s="203"/>
      <c r="GD176" s="203"/>
      <c r="GE176" s="203"/>
      <c r="GF176" s="203"/>
      <c r="GG176" s="203"/>
      <c r="GH176" s="203"/>
      <c r="GI176" s="203"/>
      <c r="GJ176" s="203"/>
      <c r="GK176" s="203"/>
      <c r="GL176" s="203"/>
      <c r="GM176" s="203"/>
      <c r="GN176" s="203"/>
      <c r="GO176" s="203"/>
      <c r="GP176" s="203"/>
      <c r="GQ176" s="203"/>
      <c r="GR176" s="203"/>
      <c r="GS176" s="203"/>
      <c r="GT176" s="203"/>
      <c r="GU176" s="203"/>
      <c r="GV176" s="203"/>
      <c r="GW176" s="203"/>
      <c r="GX176" s="203"/>
      <c r="GY176" s="203"/>
      <c r="GZ176" s="203"/>
      <c r="HA176" s="203"/>
      <c r="HB176" s="203"/>
      <c r="HC176" s="203"/>
      <c r="HD176" s="203"/>
      <c r="HE176" s="203"/>
      <c r="HF176" s="203"/>
      <c r="HG176" s="203"/>
      <c r="HH176" s="203"/>
      <c r="HI176" s="203"/>
      <c r="HJ176" s="203"/>
      <c r="HK176" s="203"/>
      <c r="HL176" s="203"/>
      <c r="HM176" s="203"/>
      <c r="HN176" s="203"/>
      <c r="HO176" s="203"/>
      <c r="HP176" s="203"/>
      <c r="HQ176" s="203"/>
      <c r="HR176" s="203"/>
      <c r="HS176" s="203"/>
      <c r="HT176" s="203"/>
      <c r="HU176" s="203"/>
      <c r="HV176" s="203"/>
      <c r="HW176" s="203"/>
      <c r="HX176" s="203"/>
      <c r="HY176" s="203"/>
      <c r="HZ176" s="203"/>
      <c r="IA176" s="203"/>
      <c r="IB176" s="203"/>
      <c r="IC176" s="203"/>
      <c r="ID176" s="203"/>
      <c r="IE176" s="203"/>
      <c r="IF176" s="203"/>
      <c r="IG176" s="203"/>
      <c r="IH176" s="203"/>
      <c r="II176" s="203"/>
      <c r="IJ176" s="203"/>
      <c r="IK176" s="203"/>
      <c r="IL176" s="203"/>
      <c r="IM176" s="203"/>
      <c r="IN176" s="203"/>
      <c r="IO176" s="203"/>
      <c r="IP176" s="203"/>
      <c r="IQ176" s="203"/>
      <c r="IR176" s="203"/>
      <c r="IS176" s="203"/>
      <c r="IT176" s="203"/>
      <c r="IU176" s="203"/>
      <c r="IV176" s="203"/>
    </row>
    <row r="177" spans="1:256" s="204" customFormat="1" ht="39.950000000000003" customHeight="1">
      <c r="A177" s="14" t="s">
        <v>12</v>
      </c>
      <c r="B177" s="14" t="s">
        <v>90</v>
      </c>
      <c r="C177" s="56" t="s">
        <v>3</v>
      </c>
      <c r="D177" s="196" t="s">
        <v>2377</v>
      </c>
      <c r="E177" s="14" t="s">
        <v>116</v>
      </c>
      <c r="F177" s="14" t="s">
        <v>2368</v>
      </c>
      <c r="G177" s="14" t="s">
        <v>85</v>
      </c>
      <c r="H177" s="197">
        <v>541611</v>
      </c>
      <c r="I177" s="196" t="s">
        <v>48</v>
      </c>
      <c r="J177" s="14" t="s">
        <v>109</v>
      </c>
      <c r="K177" s="56" t="s">
        <v>50</v>
      </c>
      <c r="L177" s="14" t="s">
        <v>2370</v>
      </c>
      <c r="M177" s="198">
        <v>1579500</v>
      </c>
      <c r="N177" s="198">
        <v>1579500</v>
      </c>
      <c r="O177" s="198" t="s">
        <v>20</v>
      </c>
      <c r="P177" s="196" t="s">
        <v>2382</v>
      </c>
      <c r="Q177" s="56" t="s">
        <v>2312</v>
      </c>
      <c r="R177" s="56" t="s">
        <v>31</v>
      </c>
      <c r="S177" s="49">
        <v>2013</v>
      </c>
      <c r="T177" s="196" t="s">
        <v>2383</v>
      </c>
      <c r="U177" s="197" t="s">
        <v>2373</v>
      </c>
      <c r="V177" s="201" t="s">
        <v>2374</v>
      </c>
      <c r="W177" s="14" t="s">
        <v>110</v>
      </c>
      <c r="X177" s="56"/>
      <c r="Y177" s="99"/>
      <c r="Z177" s="99"/>
      <c r="AA177" s="99"/>
      <c r="AB177" s="99"/>
      <c r="AC177" s="203"/>
      <c r="AD177" s="203"/>
      <c r="AE177" s="203"/>
      <c r="AF177" s="203"/>
      <c r="AG177" s="203"/>
      <c r="AH177" s="203"/>
      <c r="AI177" s="203"/>
      <c r="AJ177" s="203"/>
      <c r="AK177" s="203"/>
      <c r="AL177" s="203"/>
      <c r="AM177" s="203"/>
      <c r="AN177" s="203"/>
      <c r="AO177" s="203"/>
      <c r="AP177" s="203"/>
      <c r="AQ177" s="203"/>
      <c r="AR177" s="203"/>
      <c r="AS177" s="203"/>
      <c r="AT177" s="203"/>
      <c r="AU177" s="203"/>
      <c r="AV177" s="203"/>
      <c r="AW177" s="203"/>
      <c r="AX177" s="203"/>
      <c r="AY177" s="203"/>
      <c r="AZ177" s="203"/>
      <c r="BA177" s="203"/>
      <c r="BB177" s="203"/>
      <c r="BC177" s="203"/>
      <c r="BD177" s="203"/>
      <c r="BE177" s="203"/>
      <c r="BF177" s="203"/>
      <c r="BG177" s="203"/>
      <c r="BH177" s="203"/>
      <c r="BI177" s="203"/>
      <c r="BJ177" s="203"/>
      <c r="BK177" s="203"/>
      <c r="BL177" s="203"/>
      <c r="BM177" s="203"/>
      <c r="BN177" s="203"/>
      <c r="BO177" s="203"/>
      <c r="BP177" s="203"/>
      <c r="BQ177" s="203"/>
      <c r="BR177" s="203"/>
      <c r="BS177" s="203"/>
      <c r="BT177" s="203"/>
      <c r="BU177" s="203"/>
      <c r="BV177" s="203"/>
      <c r="BW177" s="203"/>
      <c r="BX177" s="203"/>
      <c r="BY177" s="203"/>
      <c r="BZ177" s="203"/>
      <c r="CA177" s="203"/>
      <c r="CB177" s="203"/>
      <c r="CC177" s="203"/>
      <c r="CD177" s="203"/>
      <c r="CE177" s="203"/>
      <c r="CF177" s="203"/>
      <c r="CG177" s="203"/>
      <c r="CH177" s="203"/>
      <c r="CI177" s="203"/>
      <c r="CJ177" s="203"/>
      <c r="CK177" s="203"/>
      <c r="CL177" s="203"/>
      <c r="CM177" s="203"/>
      <c r="CN177" s="203"/>
      <c r="CO177" s="203"/>
      <c r="CP177" s="203"/>
      <c r="CQ177" s="203"/>
      <c r="CR177" s="203"/>
      <c r="CS177" s="203"/>
      <c r="CT177" s="203"/>
      <c r="CU177" s="203"/>
      <c r="CV177" s="203"/>
      <c r="CW177" s="203"/>
      <c r="CX177" s="203"/>
      <c r="CY177" s="203"/>
      <c r="CZ177" s="203"/>
      <c r="DA177" s="203"/>
      <c r="DB177" s="203"/>
      <c r="DC177" s="203"/>
      <c r="DD177" s="203"/>
      <c r="DE177" s="203"/>
      <c r="DF177" s="203"/>
      <c r="DG177" s="203"/>
      <c r="DH177" s="203"/>
      <c r="DI177" s="203"/>
      <c r="DJ177" s="203"/>
      <c r="DK177" s="203"/>
      <c r="DL177" s="203"/>
      <c r="DM177" s="203"/>
      <c r="DN177" s="203"/>
      <c r="DO177" s="203"/>
      <c r="DP177" s="203"/>
      <c r="DQ177" s="203"/>
      <c r="DR177" s="203"/>
      <c r="DS177" s="203"/>
      <c r="DT177" s="203"/>
      <c r="DU177" s="203"/>
      <c r="DV177" s="203"/>
      <c r="DW177" s="203"/>
      <c r="DX177" s="203"/>
      <c r="DY177" s="203"/>
      <c r="DZ177" s="203"/>
      <c r="EA177" s="203"/>
      <c r="EB177" s="203"/>
      <c r="EC177" s="203"/>
      <c r="ED177" s="203"/>
      <c r="EE177" s="203"/>
      <c r="EF177" s="203"/>
      <c r="EG177" s="203"/>
      <c r="EH177" s="203"/>
      <c r="EI177" s="203"/>
      <c r="EJ177" s="203"/>
      <c r="EK177" s="203"/>
      <c r="EL177" s="203"/>
      <c r="EM177" s="203"/>
      <c r="EN177" s="203"/>
      <c r="EO177" s="203"/>
      <c r="EP177" s="203"/>
      <c r="EQ177" s="203"/>
      <c r="ER177" s="203"/>
      <c r="ES177" s="203"/>
      <c r="ET177" s="203"/>
      <c r="EU177" s="203"/>
      <c r="EV177" s="203"/>
      <c r="EW177" s="203"/>
      <c r="EX177" s="203"/>
      <c r="EY177" s="203"/>
      <c r="EZ177" s="203"/>
      <c r="FA177" s="203"/>
      <c r="FB177" s="203"/>
      <c r="FC177" s="203"/>
      <c r="FD177" s="203"/>
      <c r="FE177" s="203"/>
      <c r="FF177" s="203"/>
      <c r="FG177" s="203"/>
      <c r="FH177" s="203"/>
      <c r="FI177" s="203"/>
      <c r="FJ177" s="203"/>
      <c r="FK177" s="203"/>
      <c r="FL177" s="203"/>
      <c r="FM177" s="203"/>
      <c r="FN177" s="203"/>
      <c r="FO177" s="203"/>
      <c r="FP177" s="203"/>
      <c r="FQ177" s="203"/>
      <c r="FR177" s="203"/>
      <c r="FS177" s="203"/>
      <c r="FT177" s="203"/>
      <c r="FU177" s="203"/>
      <c r="FV177" s="203"/>
      <c r="FW177" s="203"/>
      <c r="FX177" s="203"/>
      <c r="FY177" s="203"/>
      <c r="FZ177" s="203"/>
      <c r="GA177" s="203"/>
      <c r="GB177" s="203"/>
      <c r="GC177" s="203"/>
      <c r="GD177" s="203"/>
      <c r="GE177" s="203"/>
      <c r="GF177" s="203"/>
      <c r="GG177" s="203"/>
      <c r="GH177" s="203"/>
      <c r="GI177" s="203"/>
      <c r="GJ177" s="203"/>
      <c r="GK177" s="203"/>
      <c r="GL177" s="203"/>
      <c r="GM177" s="203"/>
      <c r="GN177" s="203"/>
      <c r="GO177" s="203"/>
      <c r="GP177" s="203"/>
      <c r="GQ177" s="203"/>
      <c r="GR177" s="203"/>
      <c r="GS177" s="203"/>
      <c r="GT177" s="203"/>
      <c r="GU177" s="203"/>
      <c r="GV177" s="203"/>
      <c r="GW177" s="203"/>
      <c r="GX177" s="203"/>
      <c r="GY177" s="203"/>
      <c r="GZ177" s="203"/>
      <c r="HA177" s="203"/>
      <c r="HB177" s="203"/>
      <c r="HC177" s="203"/>
      <c r="HD177" s="203"/>
      <c r="HE177" s="203"/>
      <c r="HF177" s="203"/>
      <c r="HG177" s="203"/>
      <c r="HH177" s="203"/>
      <c r="HI177" s="203"/>
      <c r="HJ177" s="203"/>
      <c r="HK177" s="203"/>
      <c r="HL177" s="203"/>
      <c r="HM177" s="203"/>
      <c r="HN177" s="203"/>
      <c r="HO177" s="203"/>
      <c r="HP177" s="203"/>
      <c r="HQ177" s="203"/>
      <c r="HR177" s="203"/>
      <c r="HS177" s="203"/>
      <c r="HT177" s="203"/>
      <c r="HU177" s="203"/>
      <c r="HV177" s="203"/>
      <c r="HW177" s="203"/>
      <c r="HX177" s="203"/>
      <c r="HY177" s="203"/>
      <c r="HZ177" s="203"/>
      <c r="IA177" s="203"/>
      <c r="IB177" s="203"/>
      <c r="IC177" s="203"/>
      <c r="ID177" s="203"/>
      <c r="IE177" s="203"/>
      <c r="IF177" s="203"/>
      <c r="IG177" s="203"/>
      <c r="IH177" s="203"/>
      <c r="II177" s="203"/>
      <c r="IJ177" s="203"/>
      <c r="IK177" s="203"/>
      <c r="IL177" s="203"/>
      <c r="IM177" s="203"/>
      <c r="IN177" s="203"/>
      <c r="IO177" s="203"/>
      <c r="IP177" s="203"/>
      <c r="IQ177" s="203"/>
      <c r="IR177" s="203"/>
      <c r="IS177" s="203"/>
      <c r="IT177" s="203"/>
      <c r="IU177" s="203"/>
      <c r="IV177" s="203"/>
    </row>
    <row r="178" spans="1:256" s="204" customFormat="1" ht="39.950000000000003" customHeight="1">
      <c r="A178" s="14" t="s">
        <v>12</v>
      </c>
      <c r="B178" s="14" t="s">
        <v>90</v>
      </c>
      <c r="C178" s="56" t="s">
        <v>3</v>
      </c>
      <c r="D178" s="196" t="s">
        <v>2384</v>
      </c>
      <c r="E178" s="14" t="s">
        <v>226</v>
      </c>
      <c r="F178" s="14" t="s">
        <v>2368</v>
      </c>
      <c r="G178" s="14" t="s">
        <v>85</v>
      </c>
      <c r="H178" s="197">
        <v>517110</v>
      </c>
      <c r="I178" s="196" t="s">
        <v>2358</v>
      </c>
      <c r="J178" s="14" t="s">
        <v>109</v>
      </c>
      <c r="K178" s="56" t="s">
        <v>50</v>
      </c>
      <c r="L178" s="14" t="s">
        <v>2385</v>
      </c>
      <c r="M178" s="198">
        <v>8357</v>
      </c>
      <c r="N178" s="198">
        <v>8357</v>
      </c>
      <c r="O178" s="198" t="s">
        <v>9</v>
      </c>
      <c r="P178" s="196" t="s">
        <v>2386</v>
      </c>
      <c r="Q178" s="56" t="s">
        <v>633</v>
      </c>
      <c r="R178" s="56" t="s">
        <v>41</v>
      </c>
      <c r="S178" s="49">
        <v>2013</v>
      </c>
      <c r="T178" s="196" t="s">
        <v>2387</v>
      </c>
      <c r="U178" s="197" t="s">
        <v>2373</v>
      </c>
      <c r="V178" s="201" t="s">
        <v>2374</v>
      </c>
      <c r="W178" s="14" t="s">
        <v>110</v>
      </c>
      <c r="X178" s="56"/>
      <c r="Y178" s="124"/>
      <c r="Z178" s="124"/>
      <c r="AA178" s="124"/>
      <c r="AB178" s="124"/>
      <c r="AC178" s="203"/>
      <c r="AD178" s="203"/>
      <c r="AE178" s="203"/>
      <c r="AF178" s="203"/>
      <c r="AG178" s="203"/>
      <c r="AH178" s="203"/>
      <c r="AI178" s="203"/>
      <c r="AJ178" s="203"/>
      <c r="AK178" s="203"/>
      <c r="AL178" s="203"/>
      <c r="AM178" s="203"/>
      <c r="AN178" s="203"/>
      <c r="AO178" s="203"/>
      <c r="AP178" s="203"/>
      <c r="AQ178" s="203"/>
      <c r="AR178" s="203"/>
      <c r="AS178" s="203"/>
      <c r="AT178" s="203"/>
      <c r="AU178" s="203"/>
      <c r="AV178" s="203"/>
      <c r="AW178" s="203"/>
      <c r="AX178" s="203"/>
      <c r="AY178" s="203"/>
      <c r="AZ178" s="203"/>
      <c r="BA178" s="203"/>
      <c r="BB178" s="203"/>
      <c r="BC178" s="203"/>
      <c r="BD178" s="203"/>
      <c r="BE178" s="203"/>
      <c r="BF178" s="203"/>
      <c r="BG178" s="203"/>
      <c r="BH178" s="203"/>
      <c r="BI178" s="203"/>
      <c r="BJ178" s="203"/>
      <c r="BK178" s="203"/>
      <c r="BL178" s="203"/>
      <c r="BM178" s="203"/>
      <c r="BN178" s="203"/>
      <c r="BO178" s="203"/>
      <c r="BP178" s="203"/>
      <c r="BQ178" s="203"/>
      <c r="BR178" s="203"/>
      <c r="BS178" s="203"/>
      <c r="BT178" s="203"/>
      <c r="BU178" s="203"/>
      <c r="BV178" s="203"/>
      <c r="BW178" s="203"/>
      <c r="BX178" s="203"/>
      <c r="BY178" s="203"/>
      <c r="BZ178" s="203"/>
      <c r="CA178" s="203"/>
      <c r="CB178" s="203"/>
      <c r="CC178" s="203"/>
      <c r="CD178" s="203"/>
      <c r="CE178" s="203"/>
      <c r="CF178" s="203"/>
      <c r="CG178" s="203"/>
      <c r="CH178" s="203"/>
      <c r="CI178" s="203"/>
      <c r="CJ178" s="203"/>
      <c r="CK178" s="203"/>
      <c r="CL178" s="203"/>
      <c r="CM178" s="203"/>
      <c r="CN178" s="203"/>
      <c r="CO178" s="203"/>
      <c r="CP178" s="203"/>
      <c r="CQ178" s="203"/>
      <c r="CR178" s="203"/>
      <c r="CS178" s="203"/>
      <c r="CT178" s="203"/>
      <c r="CU178" s="203"/>
      <c r="CV178" s="203"/>
      <c r="CW178" s="203"/>
      <c r="CX178" s="203"/>
      <c r="CY178" s="203"/>
      <c r="CZ178" s="203"/>
      <c r="DA178" s="203"/>
      <c r="DB178" s="203"/>
      <c r="DC178" s="203"/>
      <c r="DD178" s="203"/>
      <c r="DE178" s="203"/>
      <c r="DF178" s="203"/>
      <c r="DG178" s="203"/>
      <c r="DH178" s="203"/>
      <c r="DI178" s="203"/>
      <c r="DJ178" s="203"/>
      <c r="DK178" s="203"/>
      <c r="DL178" s="203"/>
      <c r="DM178" s="203"/>
      <c r="DN178" s="203"/>
      <c r="DO178" s="203"/>
      <c r="DP178" s="203"/>
      <c r="DQ178" s="203"/>
      <c r="DR178" s="203"/>
      <c r="DS178" s="203"/>
      <c r="DT178" s="203"/>
      <c r="DU178" s="203"/>
      <c r="DV178" s="203"/>
      <c r="DW178" s="203"/>
      <c r="DX178" s="203"/>
      <c r="DY178" s="203"/>
      <c r="DZ178" s="203"/>
      <c r="EA178" s="203"/>
      <c r="EB178" s="203"/>
      <c r="EC178" s="203"/>
      <c r="ED178" s="203"/>
      <c r="EE178" s="203"/>
      <c r="EF178" s="203"/>
      <c r="EG178" s="203"/>
      <c r="EH178" s="203"/>
      <c r="EI178" s="203"/>
      <c r="EJ178" s="203"/>
      <c r="EK178" s="203"/>
      <c r="EL178" s="203"/>
      <c r="EM178" s="203"/>
      <c r="EN178" s="203"/>
      <c r="EO178" s="203"/>
      <c r="EP178" s="203"/>
      <c r="EQ178" s="203"/>
      <c r="ER178" s="203"/>
      <c r="ES178" s="203"/>
      <c r="ET178" s="203"/>
      <c r="EU178" s="203"/>
      <c r="EV178" s="203"/>
      <c r="EW178" s="203"/>
      <c r="EX178" s="203"/>
      <c r="EY178" s="203"/>
      <c r="EZ178" s="203"/>
      <c r="FA178" s="203"/>
      <c r="FB178" s="203"/>
      <c r="FC178" s="203"/>
      <c r="FD178" s="203"/>
      <c r="FE178" s="203"/>
      <c r="FF178" s="203"/>
      <c r="FG178" s="203"/>
      <c r="FH178" s="203"/>
      <c r="FI178" s="203"/>
      <c r="FJ178" s="203"/>
      <c r="FK178" s="203"/>
      <c r="FL178" s="203"/>
      <c r="FM178" s="203"/>
      <c r="FN178" s="203"/>
      <c r="FO178" s="203"/>
      <c r="FP178" s="203"/>
      <c r="FQ178" s="203"/>
      <c r="FR178" s="203"/>
      <c r="FS178" s="203"/>
      <c r="FT178" s="203"/>
      <c r="FU178" s="203"/>
      <c r="FV178" s="203"/>
      <c r="FW178" s="203"/>
      <c r="FX178" s="203"/>
      <c r="FY178" s="203"/>
      <c r="FZ178" s="203"/>
      <c r="GA178" s="203"/>
      <c r="GB178" s="203"/>
      <c r="GC178" s="203"/>
      <c r="GD178" s="203"/>
      <c r="GE178" s="203"/>
      <c r="GF178" s="203"/>
      <c r="GG178" s="203"/>
      <c r="GH178" s="203"/>
      <c r="GI178" s="203"/>
      <c r="GJ178" s="203"/>
      <c r="GK178" s="203"/>
      <c r="GL178" s="203"/>
      <c r="GM178" s="203"/>
      <c r="GN178" s="203"/>
      <c r="GO178" s="203"/>
      <c r="GP178" s="203"/>
      <c r="GQ178" s="203"/>
      <c r="GR178" s="203"/>
      <c r="GS178" s="203"/>
      <c r="GT178" s="203"/>
      <c r="GU178" s="203"/>
      <c r="GV178" s="203"/>
      <c r="GW178" s="203"/>
      <c r="GX178" s="203"/>
      <c r="GY178" s="203"/>
      <c r="GZ178" s="203"/>
      <c r="HA178" s="203"/>
      <c r="HB178" s="203"/>
      <c r="HC178" s="203"/>
      <c r="HD178" s="203"/>
      <c r="HE178" s="203"/>
      <c r="HF178" s="203"/>
      <c r="HG178" s="203"/>
      <c r="HH178" s="203"/>
      <c r="HI178" s="203"/>
      <c r="HJ178" s="203"/>
      <c r="HK178" s="203"/>
      <c r="HL178" s="203"/>
      <c r="HM178" s="203"/>
      <c r="HN178" s="203"/>
      <c r="HO178" s="203"/>
      <c r="HP178" s="203"/>
      <c r="HQ178" s="203"/>
      <c r="HR178" s="203"/>
      <c r="HS178" s="203"/>
      <c r="HT178" s="203"/>
      <c r="HU178" s="203"/>
      <c r="HV178" s="203"/>
      <c r="HW178" s="203"/>
      <c r="HX178" s="203"/>
      <c r="HY178" s="203"/>
      <c r="HZ178" s="203"/>
      <c r="IA178" s="203"/>
      <c r="IB178" s="203"/>
      <c r="IC178" s="203"/>
      <c r="ID178" s="203"/>
      <c r="IE178" s="203"/>
      <c r="IF178" s="203"/>
      <c r="IG178" s="203"/>
      <c r="IH178" s="203"/>
      <c r="II178" s="203"/>
      <c r="IJ178" s="203"/>
      <c r="IK178" s="203"/>
      <c r="IL178" s="203"/>
      <c r="IM178" s="203"/>
      <c r="IN178" s="203"/>
      <c r="IO178" s="203"/>
      <c r="IP178" s="203"/>
      <c r="IQ178" s="203"/>
      <c r="IR178" s="203"/>
      <c r="IS178" s="203"/>
      <c r="IT178" s="203"/>
      <c r="IU178" s="203"/>
      <c r="IV178" s="203"/>
    </row>
    <row r="179" spans="1:256" s="204" customFormat="1" ht="39.950000000000003" customHeight="1">
      <c r="A179" s="14" t="s">
        <v>12</v>
      </c>
      <c r="B179" s="14" t="s">
        <v>90</v>
      </c>
      <c r="C179" s="56" t="s">
        <v>3</v>
      </c>
      <c r="D179" s="196" t="s">
        <v>2388</v>
      </c>
      <c r="E179" s="14" t="s">
        <v>226</v>
      </c>
      <c r="F179" s="14" t="s">
        <v>2368</v>
      </c>
      <c r="G179" s="14" t="s">
        <v>85</v>
      </c>
      <c r="H179" s="197">
        <v>517919</v>
      </c>
      <c r="I179" s="196" t="s">
        <v>28</v>
      </c>
      <c r="J179" s="14" t="s">
        <v>109</v>
      </c>
      <c r="K179" s="56" t="s">
        <v>73</v>
      </c>
      <c r="L179" s="14" t="s">
        <v>2385</v>
      </c>
      <c r="M179" s="198">
        <v>1700</v>
      </c>
      <c r="N179" s="198">
        <v>1700</v>
      </c>
      <c r="O179" s="198" t="s">
        <v>9</v>
      </c>
      <c r="P179" s="196" t="s">
        <v>2389</v>
      </c>
      <c r="Q179" s="56" t="s">
        <v>279</v>
      </c>
      <c r="R179" s="56" t="s">
        <v>31</v>
      </c>
      <c r="S179" s="49">
        <v>2013</v>
      </c>
      <c r="T179" s="196" t="s">
        <v>2387</v>
      </c>
      <c r="U179" s="197" t="s">
        <v>2373</v>
      </c>
      <c r="V179" s="201" t="s">
        <v>2374</v>
      </c>
      <c r="W179" s="14" t="s">
        <v>110</v>
      </c>
      <c r="X179" s="56"/>
      <c r="Y179" s="91"/>
      <c r="Z179" s="91"/>
      <c r="AA179" s="91"/>
      <c r="AB179" s="91"/>
      <c r="AC179" s="203"/>
      <c r="AD179" s="203"/>
      <c r="AE179" s="203"/>
      <c r="AF179" s="203"/>
      <c r="AG179" s="203"/>
      <c r="AH179" s="203"/>
      <c r="AI179" s="203"/>
      <c r="AJ179" s="203"/>
      <c r="AK179" s="203"/>
      <c r="AL179" s="203"/>
      <c r="AM179" s="203"/>
      <c r="AN179" s="203"/>
      <c r="AO179" s="203"/>
      <c r="AP179" s="203"/>
      <c r="AQ179" s="203"/>
      <c r="AR179" s="203"/>
      <c r="AS179" s="203"/>
      <c r="AT179" s="203"/>
      <c r="AU179" s="203"/>
      <c r="AV179" s="203"/>
      <c r="AW179" s="203"/>
      <c r="AX179" s="203"/>
      <c r="AY179" s="203"/>
      <c r="AZ179" s="203"/>
      <c r="BA179" s="203"/>
      <c r="BB179" s="203"/>
      <c r="BC179" s="203"/>
      <c r="BD179" s="203"/>
      <c r="BE179" s="203"/>
      <c r="BF179" s="203"/>
      <c r="BG179" s="203"/>
      <c r="BH179" s="203"/>
      <c r="BI179" s="203"/>
      <c r="BJ179" s="203"/>
      <c r="BK179" s="203"/>
      <c r="BL179" s="203"/>
      <c r="BM179" s="203"/>
      <c r="BN179" s="203"/>
      <c r="BO179" s="203"/>
      <c r="BP179" s="203"/>
      <c r="BQ179" s="203"/>
      <c r="BR179" s="203"/>
      <c r="BS179" s="203"/>
      <c r="BT179" s="203"/>
      <c r="BU179" s="203"/>
      <c r="BV179" s="203"/>
      <c r="BW179" s="203"/>
      <c r="BX179" s="203"/>
      <c r="BY179" s="203"/>
      <c r="BZ179" s="203"/>
      <c r="CA179" s="203"/>
      <c r="CB179" s="203"/>
      <c r="CC179" s="203"/>
      <c r="CD179" s="203"/>
      <c r="CE179" s="203"/>
      <c r="CF179" s="203"/>
      <c r="CG179" s="203"/>
      <c r="CH179" s="203"/>
      <c r="CI179" s="203"/>
      <c r="CJ179" s="203"/>
      <c r="CK179" s="203"/>
      <c r="CL179" s="203"/>
      <c r="CM179" s="203"/>
      <c r="CN179" s="203"/>
      <c r="CO179" s="203"/>
      <c r="CP179" s="203"/>
      <c r="CQ179" s="203"/>
      <c r="CR179" s="203"/>
      <c r="CS179" s="203"/>
      <c r="CT179" s="203"/>
      <c r="CU179" s="203"/>
      <c r="CV179" s="203"/>
      <c r="CW179" s="203"/>
      <c r="CX179" s="203"/>
      <c r="CY179" s="203"/>
      <c r="CZ179" s="203"/>
      <c r="DA179" s="203"/>
      <c r="DB179" s="203"/>
      <c r="DC179" s="203"/>
      <c r="DD179" s="203"/>
      <c r="DE179" s="203"/>
      <c r="DF179" s="203"/>
      <c r="DG179" s="203"/>
      <c r="DH179" s="203"/>
      <c r="DI179" s="203"/>
      <c r="DJ179" s="203"/>
      <c r="DK179" s="203"/>
      <c r="DL179" s="203"/>
      <c r="DM179" s="203"/>
      <c r="DN179" s="203"/>
      <c r="DO179" s="203"/>
      <c r="DP179" s="203"/>
      <c r="DQ179" s="203"/>
      <c r="DR179" s="203"/>
      <c r="DS179" s="203"/>
      <c r="DT179" s="203"/>
      <c r="DU179" s="203"/>
      <c r="DV179" s="203"/>
      <c r="DW179" s="203"/>
      <c r="DX179" s="203"/>
      <c r="DY179" s="203"/>
      <c r="DZ179" s="203"/>
      <c r="EA179" s="203"/>
      <c r="EB179" s="203"/>
      <c r="EC179" s="203"/>
      <c r="ED179" s="203"/>
      <c r="EE179" s="203"/>
      <c r="EF179" s="203"/>
      <c r="EG179" s="203"/>
      <c r="EH179" s="203"/>
      <c r="EI179" s="203"/>
      <c r="EJ179" s="203"/>
      <c r="EK179" s="203"/>
      <c r="EL179" s="203"/>
      <c r="EM179" s="203"/>
      <c r="EN179" s="203"/>
      <c r="EO179" s="203"/>
      <c r="EP179" s="203"/>
      <c r="EQ179" s="203"/>
      <c r="ER179" s="203"/>
      <c r="ES179" s="203"/>
      <c r="ET179" s="203"/>
      <c r="EU179" s="203"/>
      <c r="EV179" s="203"/>
      <c r="EW179" s="203"/>
      <c r="EX179" s="203"/>
      <c r="EY179" s="203"/>
      <c r="EZ179" s="203"/>
      <c r="FA179" s="203"/>
      <c r="FB179" s="203"/>
      <c r="FC179" s="203"/>
      <c r="FD179" s="203"/>
      <c r="FE179" s="203"/>
      <c r="FF179" s="203"/>
      <c r="FG179" s="203"/>
      <c r="FH179" s="203"/>
      <c r="FI179" s="203"/>
      <c r="FJ179" s="203"/>
      <c r="FK179" s="203"/>
      <c r="FL179" s="203"/>
      <c r="FM179" s="203"/>
      <c r="FN179" s="203"/>
      <c r="FO179" s="203"/>
      <c r="FP179" s="203"/>
      <c r="FQ179" s="203"/>
      <c r="FR179" s="203"/>
      <c r="FS179" s="203"/>
      <c r="FT179" s="203"/>
      <c r="FU179" s="203"/>
      <c r="FV179" s="203"/>
      <c r="FW179" s="203"/>
      <c r="FX179" s="203"/>
      <c r="FY179" s="203"/>
      <c r="FZ179" s="203"/>
      <c r="GA179" s="203"/>
      <c r="GB179" s="203"/>
      <c r="GC179" s="203"/>
      <c r="GD179" s="203"/>
      <c r="GE179" s="203"/>
      <c r="GF179" s="203"/>
      <c r="GG179" s="203"/>
      <c r="GH179" s="203"/>
      <c r="GI179" s="203"/>
      <c r="GJ179" s="203"/>
      <c r="GK179" s="203"/>
      <c r="GL179" s="203"/>
      <c r="GM179" s="203"/>
      <c r="GN179" s="203"/>
      <c r="GO179" s="203"/>
      <c r="GP179" s="203"/>
      <c r="GQ179" s="203"/>
      <c r="GR179" s="203"/>
      <c r="GS179" s="203"/>
      <c r="GT179" s="203"/>
      <c r="GU179" s="203"/>
      <c r="GV179" s="203"/>
      <c r="GW179" s="203"/>
      <c r="GX179" s="203"/>
      <c r="GY179" s="203"/>
      <c r="GZ179" s="203"/>
      <c r="HA179" s="203"/>
      <c r="HB179" s="203"/>
      <c r="HC179" s="203"/>
      <c r="HD179" s="203"/>
      <c r="HE179" s="203"/>
      <c r="HF179" s="203"/>
      <c r="HG179" s="203"/>
      <c r="HH179" s="203"/>
      <c r="HI179" s="203"/>
      <c r="HJ179" s="203"/>
      <c r="HK179" s="203"/>
      <c r="HL179" s="203"/>
      <c r="HM179" s="203"/>
      <c r="HN179" s="203"/>
      <c r="HO179" s="203"/>
      <c r="HP179" s="203"/>
      <c r="HQ179" s="203"/>
      <c r="HR179" s="203"/>
      <c r="HS179" s="203"/>
      <c r="HT179" s="203"/>
      <c r="HU179" s="203"/>
      <c r="HV179" s="203"/>
      <c r="HW179" s="203"/>
      <c r="HX179" s="203"/>
      <c r="HY179" s="203"/>
      <c r="HZ179" s="203"/>
      <c r="IA179" s="203"/>
      <c r="IB179" s="203"/>
      <c r="IC179" s="203"/>
      <c r="ID179" s="203"/>
      <c r="IE179" s="203"/>
      <c r="IF179" s="203"/>
      <c r="IG179" s="203"/>
      <c r="IH179" s="203"/>
      <c r="II179" s="203"/>
      <c r="IJ179" s="203"/>
      <c r="IK179" s="203"/>
      <c r="IL179" s="203"/>
      <c r="IM179" s="203"/>
      <c r="IN179" s="203"/>
      <c r="IO179" s="203"/>
      <c r="IP179" s="203"/>
      <c r="IQ179" s="203"/>
      <c r="IR179" s="203"/>
      <c r="IS179" s="203"/>
      <c r="IT179" s="203"/>
      <c r="IU179" s="203"/>
      <c r="IV179" s="203"/>
    </row>
    <row r="180" spans="1:256" s="204" customFormat="1" ht="39.950000000000003" customHeight="1">
      <c r="A180" s="14" t="s">
        <v>12</v>
      </c>
      <c r="B180" s="14" t="s">
        <v>90</v>
      </c>
      <c r="C180" s="56" t="s">
        <v>3</v>
      </c>
      <c r="D180" s="196" t="s">
        <v>2388</v>
      </c>
      <c r="E180" s="14" t="s">
        <v>226</v>
      </c>
      <c r="F180" s="14" t="s">
        <v>2368</v>
      </c>
      <c r="G180" s="14" t="s">
        <v>85</v>
      </c>
      <c r="H180" s="197">
        <v>335911</v>
      </c>
      <c r="I180" s="196" t="s">
        <v>2358</v>
      </c>
      <c r="J180" s="14" t="s">
        <v>109</v>
      </c>
      <c r="K180" s="56" t="s">
        <v>50</v>
      </c>
      <c r="L180" s="14" t="s">
        <v>2385</v>
      </c>
      <c r="M180" s="198">
        <v>4000</v>
      </c>
      <c r="N180" s="198">
        <v>4000</v>
      </c>
      <c r="O180" s="198" t="s">
        <v>9</v>
      </c>
      <c r="P180" s="196" t="s">
        <v>2386</v>
      </c>
      <c r="Q180" s="56" t="s">
        <v>279</v>
      </c>
      <c r="R180" s="56" t="s">
        <v>31</v>
      </c>
      <c r="S180" s="49">
        <v>2013</v>
      </c>
      <c r="T180" s="196" t="s">
        <v>2387</v>
      </c>
      <c r="U180" s="197" t="s">
        <v>2373</v>
      </c>
      <c r="V180" s="201" t="s">
        <v>2374</v>
      </c>
      <c r="W180" s="14" t="s">
        <v>110</v>
      </c>
      <c r="X180" s="56"/>
      <c r="Y180" s="91"/>
      <c r="Z180" s="91"/>
      <c r="AA180" s="91"/>
      <c r="AB180" s="91"/>
      <c r="AC180" s="203"/>
      <c r="AD180" s="203"/>
      <c r="AE180" s="203"/>
      <c r="AF180" s="203"/>
      <c r="AG180" s="203"/>
      <c r="AH180" s="203"/>
      <c r="AI180" s="203"/>
      <c r="AJ180" s="203"/>
      <c r="AK180" s="203"/>
      <c r="AL180" s="203"/>
      <c r="AM180" s="203"/>
      <c r="AN180" s="203"/>
      <c r="AO180" s="203"/>
      <c r="AP180" s="203"/>
      <c r="AQ180" s="203"/>
      <c r="AR180" s="203"/>
      <c r="AS180" s="203"/>
      <c r="AT180" s="203"/>
      <c r="AU180" s="203"/>
      <c r="AV180" s="203"/>
      <c r="AW180" s="203"/>
      <c r="AX180" s="203"/>
      <c r="AY180" s="203"/>
      <c r="AZ180" s="203"/>
      <c r="BA180" s="203"/>
      <c r="BB180" s="203"/>
      <c r="BC180" s="203"/>
      <c r="BD180" s="203"/>
      <c r="BE180" s="203"/>
      <c r="BF180" s="203"/>
      <c r="BG180" s="203"/>
      <c r="BH180" s="203"/>
      <c r="BI180" s="203"/>
      <c r="BJ180" s="203"/>
      <c r="BK180" s="203"/>
      <c r="BL180" s="203"/>
      <c r="BM180" s="203"/>
      <c r="BN180" s="203"/>
      <c r="BO180" s="203"/>
      <c r="BP180" s="203"/>
      <c r="BQ180" s="203"/>
      <c r="BR180" s="203"/>
      <c r="BS180" s="203"/>
      <c r="BT180" s="203"/>
      <c r="BU180" s="203"/>
      <c r="BV180" s="203"/>
      <c r="BW180" s="203"/>
      <c r="BX180" s="203"/>
      <c r="BY180" s="203"/>
      <c r="BZ180" s="203"/>
      <c r="CA180" s="203"/>
      <c r="CB180" s="203"/>
      <c r="CC180" s="203"/>
      <c r="CD180" s="203"/>
      <c r="CE180" s="203"/>
      <c r="CF180" s="203"/>
      <c r="CG180" s="203"/>
      <c r="CH180" s="203"/>
      <c r="CI180" s="203"/>
      <c r="CJ180" s="203"/>
      <c r="CK180" s="203"/>
      <c r="CL180" s="203"/>
      <c r="CM180" s="203"/>
      <c r="CN180" s="203"/>
      <c r="CO180" s="203"/>
      <c r="CP180" s="203"/>
      <c r="CQ180" s="203"/>
      <c r="CR180" s="203"/>
      <c r="CS180" s="203"/>
      <c r="CT180" s="203"/>
      <c r="CU180" s="203"/>
      <c r="CV180" s="203"/>
      <c r="CW180" s="203"/>
      <c r="CX180" s="203"/>
      <c r="CY180" s="203"/>
      <c r="CZ180" s="203"/>
      <c r="DA180" s="203"/>
      <c r="DB180" s="203"/>
      <c r="DC180" s="203"/>
      <c r="DD180" s="203"/>
      <c r="DE180" s="203"/>
      <c r="DF180" s="203"/>
      <c r="DG180" s="203"/>
      <c r="DH180" s="203"/>
      <c r="DI180" s="203"/>
      <c r="DJ180" s="203"/>
      <c r="DK180" s="203"/>
      <c r="DL180" s="203"/>
      <c r="DM180" s="203"/>
      <c r="DN180" s="203"/>
      <c r="DO180" s="203"/>
      <c r="DP180" s="203"/>
      <c r="DQ180" s="203"/>
      <c r="DR180" s="203"/>
      <c r="DS180" s="203"/>
      <c r="DT180" s="203"/>
      <c r="DU180" s="203"/>
      <c r="DV180" s="203"/>
      <c r="DW180" s="203"/>
      <c r="DX180" s="203"/>
      <c r="DY180" s="203"/>
      <c r="DZ180" s="203"/>
      <c r="EA180" s="203"/>
      <c r="EB180" s="203"/>
      <c r="EC180" s="203"/>
      <c r="ED180" s="203"/>
      <c r="EE180" s="203"/>
      <c r="EF180" s="203"/>
      <c r="EG180" s="203"/>
      <c r="EH180" s="203"/>
      <c r="EI180" s="203"/>
      <c r="EJ180" s="203"/>
      <c r="EK180" s="203"/>
      <c r="EL180" s="203"/>
      <c r="EM180" s="203"/>
      <c r="EN180" s="203"/>
      <c r="EO180" s="203"/>
      <c r="EP180" s="203"/>
      <c r="EQ180" s="203"/>
      <c r="ER180" s="203"/>
      <c r="ES180" s="203"/>
      <c r="ET180" s="203"/>
      <c r="EU180" s="203"/>
      <c r="EV180" s="203"/>
      <c r="EW180" s="203"/>
      <c r="EX180" s="203"/>
      <c r="EY180" s="203"/>
      <c r="EZ180" s="203"/>
      <c r="FA180" s="203"/>
      <c r="FB180" s="203"/>
      <c r="FC180" s="203"/>
      <c r="FD180" s="203"/>
      <c r="FE180" s="203"/>
      <c r="FF180" s="203"/>
      <c r="FG180" s="203"/>
      <c r="FH180" s="203"/>
      <c r="FI180" s="203"/>
      <c r="FJ180" s="203"/>
      <c r="FK180" s="203"/>
      <c r="FL180" s="203"/>
      <c r="FM180" s="203"/>
      <c r="FN180" s="203"/>
      <c r="FO180" s="203"/>
      <c r="FP180" s="203"/>
      <c r="FQ180" s="203"/>
      <c r="FR180" s="203"/>
      <c r="FS180" s="203"/>
      <c r="FT180" s="203"/>
      <c r="FU180" s="203"/>
      <c r="FV180" s="203"/>
      <c r="FW180" s="203"/>
      <c r="FX180" s="203"/>
      <c r="FY180" s="203"/>
      <c r="FZ180" s="203"/>
      <c r="GA180" s="203"/>
      <c r="GB180" s="203"/>
      <c r="GC180" s="203"/>
      <c r="GD180" s="203"/>
      <c r="GE180" s="203"/>
      <c r="GF180" s="203"/>
      <c r="GG180" s="203"/>
      <c r="GH180" s="203"/>
      <c r="GI180" s="203"/>
      <c r="GJ180" s="203"/>
      <c r="GK180" s="203"/>
      <c r="GL180" s="203"/>
      <c r="GM180" s="203"/>
      <c r="GN180" s="203"/>
      <c r="GO180" s="203"/>
      <c r="GP180" s="203"/>
      <c r="GQ180" s="203"/>
      <c r="GR180" s="203"/>
      <c r="GS180" s="203"/>
      <c r="GT180" s="203"/>
      <c r="GU180" s="203"/>
      <c r="GV180" s="203"/>
      <c r="GW180" s="203"/>
      <c r="GX180" s="203"/>
      <c r="GY180" s="203"/>
      <c r="GZ180" s="203"/>
      <c r="HA180" s="203"/>
      <c r="HB180" s="203"/>
      <c r="HC180" s="203"/>
      <c r="HD180" s="203"/>
      <c r="HE180" s="203"/>
      <c r="HF180" s="203"/>
      <c r="HG180" s="203"/>
      <c r="HH180" s="203"/>
      <c r="HI180" s="203"/>
      <c r="HJ180" s="203"/>
      <c r="HK180" s="203"/>
      <c r="HL180" s="203"/>
      <c r="HM180" s="203"/>
      <c r="HN180" s="203"/>
      <c r="HO180" s="203"/>
      <c r="HP180" s="203"/>
      <c r="HQ180" s="203"/>
      <c r="HR180" s="203"/>
      <c r="HS180" s="203"/>
      <c r="HT180" s="203"/>
      <c r="HU180" s="203"/>
      <c r="HV180" s="203"/>
      <c r="HW180" s="203"/>
      <c r="HX180" s="203"/>
      <c r="HY180" s="203"/>
      <c r="HZ180" s="203"/>
      <c r="IA180" s="203"/>
      <c r="IB180" s="203"/>
      <c r="IC180" s="203"/>
      <c r="ID180" s="203"/>
      <c r="IE180" s="203"/>
      <c r="IF180" s="203"/>
      <c r="IG180" s="203"/>
      <c r="IH180" s="203"/>
      <c r="II180" s="203"/>
      <c r="IJ180" s="203"/>
      <c r="IK180" s="203"/>
      <c r="IL180" s="203"/>
      <c r="IM180" s="203"/>
      <c r="IN180" s="203"/>
      <c r="IO180" s="203"/>
      <c r="IP180" s="203"/>
      <c r="IQ180" s="203"/>
      <c r="IR180" s="203"/>
      <c r="IS180" s="203"/>
      <c r="IT180" s="203"/>
      <c r="IU180" s="203"/>
      <c r="IV180" s="203"/>
    </row>
    <row r="181" spans="1:256" s="204" customFormat="1" ht="39.950000000000003" customHeight="1">
      <c r="A181" s="14" t="s">
        <v>12</v>
      </c>
      <c r="B181" s="14" t="s">
        <v>90</v>
      </c>
      <c r="C181" s="56" t="s">
        <v>25</v>
      </c>
      <c r="D181" s="196" t="s">
        <v>2390</v>
      </c>
      <c r="E181" s="14" t="s">
        <v>2391</v>
      </c>
      <c r="F181" s="14" t="s">
        <v>2368</v>
      </c>
      <c r="G181" s="14" t="s">
        <v>85</v>
      </c>
      <c r="H181" s="197">
        <v>811213</v>
      </c>
      <c r="I181" s="196" t="s">
        <v>6</v>
      </c>
      <c r="J181" s="14" t="s">
        <v>109</v>
      </c>
      <c r="K181" s="56" t="s">
        <v>29</v>
      </c>
      <c r="L181" s="14" t="s">
        <v>2392</v>
      </c>
      <c r="M181" s="198">
        <v>48700</v>
      </c>
      <c r="N181" s="198">
        <v>48700</v>
      </c>
      <c r="O181" s="198" t="s">
        <v>20</v>
      </c>
      <c r="P181" s="196" t="s">
        <v>331</v>
      </c>
      <c r="Q181" s="56" t="s">
        <v>279</v>
      </c>
      <c r="R181" s="56" t="s">
        <v>21</v>
      </c>
      <c r="S181" s="49">
        <v>2013</v>
      </c>
      <c r="T181" s="196" t="s">
        <v>2387</v>
      </c>
      <c r="U181" s="197" t="s">
        <v>2373</v>
      </c>
      <c r="V181" s="201" t="s">
        <v>2374</v>
      </c>
      <c r="W181" s="14" t="s">
        <v>110</v>
      </c>
      <c r="X181" s="56"/>
      <c r="Y181" s="124"/>
      <c r="Z181" s="124"/>
      <c r="AA181" s="124"/>
      <c r="AB181" s="124"/>
      <c r="AC181" s="203"/>
      <c r="AD181" s="203"/>
      <c r="AE181" s="203"/>
      <c r="AF181" s="203"/>
      <c r="AG181" s="203"/>
      <c r="AH181" s="203"/>
      <c r="AI181" s="203"/>
      <c r="AJ181" s="203"/>
      <c r="AK181" s="203"/>
      <c r="AL181" s="203"/>
      <c r="AM181" s="203"/>
      <c r="AN181" s="203"/>
      <c r="AO181" s="203"/>
      <c r="AP181" s="203"/>
      <c r="AQ181" s="203"/>
      <c r="AR181" s="203"/>
      <c r="AS181" s="203"/>
      <c r="AT181" s="203"/>
      <c r="AU181" s="203"/>
      <c r="AV181" s="203"/>
      <c r="AW181" s="203"/>
      <c r="AX181" s="203"/>
      <c r="AY181" s="203"/>
      <c r="AZ181" s="203"/>
      <c r="BA181" s="203"/>
      <c r="BB181" s="203"/>
      <c r="BC181" s="203"/>
      <c r="BD181" s="203"/>
      <c r="BE181" s="203"/>
      <c r="BF181" s="203"/>
      <c r="BG181" s="203"/>
      <c r="BH181" s="203"/>
      <c r="BI181" s="203"/>
      <c r="BJ181" s="203"/>
      <c r="BK181" s="203"/>
      <c r="BL181" s="203"/>
      <c r="BM181" s="203"/>
      <c r="BN181" s="203"/>
      <c r="BO181" s="203"/>
      <c r="BP181" s="203"/>
      <c r="BQ181" s="203"/>
      <c r="BR181" s="203"/>
      <c r="BS181" s="203"/>
      <c r="BT181" s="203"/>
      <c r="BU181" s="203"/>
      <c r="BV181" s="203"/>
      <c r="BW181" s="203"/>
      <c r="BX181" s="203"/>
      <c r="BY181" s="203"/>
      <c r="BZ181" s="203"/>
      <c r="CA181" s="203"/>
      <c r="CB181" s="203"/>
      <c r="CC181" s="203"/>
      <c r="CD181" s="203"/>
      <c r="CE181" s="203"/>
      <c r="CF181" s="203"/>
      <c r="CG181" s="203"/>
      <c r="CH181" s="203"/>
      <c r="CI181" s="203"/>
      <c r="CJ181" s="203"/>
      <c r="CK181" s="203"/>
      <c r="CL181" s="203"/>
      <c r="CM181" s="203"/>
      <c r="CN181" s="203"/>
      <c r="CO181" s="203"/>
      <c r="CP181" s="203"/>
      <c r="CQ181" s="203"/>
      <c r="CR181" s="203"/>
      <c r="CS181" s="203"/>
      <c r="CT181" s="203"/>
      <c r="CU181" s="203"/>
      <c r="CV181" s="203"/>
      <c r="CW181" s="203"/>
      <c r="CX181" s="203"/>
      <c r="CY181" s="203"/>
      <c r="CZ181" s="203"/>
      <c r="DA181" s="203"/>
      <c r="DB181" s="203"/>
      <c r="DC181" s="203"/>
      <c r="DD181" s="203"/>
      <c r="DE181" s="203"/>
      <c r="DF181" s="203"/>
      <c r="DG181" s="203"/>
      <c r="DH181" s="203"/>
      <c r="DI181" s="203"/>
      <c r="DJ181" s="203"/>
      <c r="DK181" s="203"/>
      <c r="DL181" s="203"/>
      <c r="DM181" s="203"/>
      <c r="DN181" s="203"/>
      <c r="DO181" s="203"/>
      <c r="DP181" s="203"/>
      <c r="DQ181" s="203"/>
      <c r="DR181" s="203"/>
      <c r="DS181" s="203"/>
      <c r="DT181" s="203"/>
      <c r="DU181" s="203"/>
      <c r="DV181" s="203"/>
      <c r="DW181" s="203"/>
      <c r="DX181" s="203"/>
      <c r="DY181" s="203"/>
      <c r="DZ181" s="203"/>
      <c r="EA181" s="203"/>
      <c r="EB181" s="203"/>
      <c r="EC181" s="203"/>
      <c r="ED181" s="203"/>
      <c r="EE181" s="203"/>
      <c r="EF181" s="203"/>
      <c r="EG181" s="203"/>
      <c r="EH181" s="203"/>
      <c r="EI181" s="203"/>
      <c r="EJ181" s="203"/>
      <c r="EK181" s="203"/>
      <c r="EL181" s="203"/>
      <c r="EM181" s="203"/>
      <c r="EN181" s="203"/>
      <c r="EO181" s="203"/>
      <c r="EP181" s="203"/>
      <c r="EQ181" s="203"/>
      <c r="ER181" s="203"/>
      <c r="ES181" s="203"/>
      <c r="ET181" s="203"/>
      <c r="EU181" s="203"/>
      <c r="EV181" s="203"/>
      <c r="EW181" s="203"/>
      <c r="EX181" s="203"/>
      <c r="EY181" s="203"/>
      <c r="EZ181" s="203"/>
      <c r="FA181" s="203"/>
      <c r="FB181" s="203"/>
      <c r="FC181" s="203"/>
      <c r="FD181" s="203"/>
      <c r="FE181" s="203"/>
      <c r="FF181" s="203"/>
      <c r="FG181" s="203"/>
      <c r="FH181" s="203"/>
      <c r="FI181" s="203"/>
      <c r="FJ181" s="203"/>
      <c r="FK181" s="203"/>
      <c r="FL181" s="203"/>
      <c r="FM181" s="203"/>
      <c r="FN181" s="203"/>
      <c r="FO181" s="203"/>
      <c r="FP181" s="203"/>
      <c r="FQ181" s="203"/>
      <c r="FR181" s="203"/>
      <c r="FS181" s="203"/>
      <c r="FT181" s="203"/>
      <c r="FU181" s="203"/>
      <c r="FV181" s="203"/>
      <c r="FW181" s="203"/>
      <c r="FX181" s="203"/>
      <c r="FY181" s="203"/>
      <c r="FZ181" s="203"/>
      <c r="GA181" s="203"/>
      <c r="GB181" s="203"/>
      <c r="GC181" s="203"/>
      <c r="GD181" s="203"/>
      <c r="GE181" s="203"/>
      <c r="GF181" s="203"/>
      <c r="GG181" s="203"/>
      <c r="GH181" s="203"/>
      <c r="GI181" s="203"/>
      <c r="GJ181" s="203"/>
      <c r="GK181" s="203"/>
      <c r="GL181" s="203"/>
      <c r="GM181" s="203"/>
      <c r="GN181" s="203"/>
      <c r="GO181" s="203"/>
      <c r="GP181" s="203"/>
      <c r="GQ181" s="203"/>
      <c r="GR181" s="203"/>
      <c r="GS181" s="203"/>
      <c r="GT181" s="203"/>
      <c r="GU181" s="203"/>
      <c r="GV181" s="203"/>
      <c r="GW181" s="203"/>
      <c r="GX181" s="203"/>
      <c r="GY181" s="203"/>
      <c r="GZ181" s="203"/>
      <c r="HA181" s="203"/>
      <c r="HB181" s="203"/>
      <c r="HC181" s="203"/>
      <c r="HD181" s="203"/>
      <c r="HE181" s="203"/>
      <c r="HF181" s="203"/>
      <c r="HG181" s="203"/>
      <c r="HH181" s="203"/>
      <c r="HI181" s="203"/>
      <c r="HJ181" s="203"/>
      <c r="HK181" s="203"/>
      <c r="HL181" s="203"/>
      <c r="HM181" s="203"/>
      <c r="HN181" s="203"/>
      <c r="HO181" s="203"/>
      <c r="HP181" s="203"/>
      <c r="HQ181" s="203"/>
      <c r="HR181" s="203"/>
      <c r="HS181" s="203"/>
      <c r="HT181" s="203"/>
      <c r="HU181" s="203"/>
      <c r="HV181" s="203"/>
      <c r="HW181" s="203"/>
      <c r="HX181" s="203"/>
      <c r="HY181" s="203"/>
      <c r="HZ181" s="203"/>
      <c r="IA181" s="203"/>
      <c r="IB181" s="203"/>
      <c r="IC181" s="203"/>
      <c r="ID181" s="203"/>
      <c r="IE181" s="203"/>
      <c r="IF181" s="203"/>
      <c r="IG181" s="203"/>
      <c r="IH181" s="203"/>
      <c r="II181" s="203"/>
      <c r="IJ181" s="203"/>
      <c r="IK181" s="203"/>
      <c r="IL181" s="203"/>
      <c r="IM181" s="203"/>
      <c r="IN181" s="203"/>
      <c r="IO181" s="203"/>
      <c r="IP181" s="203"/>
      <c r="IQ181" s="203"/>
      <c r="IR181" s="203"/>
      <c r="IS181" s="203"/>
      <c r="IT181" s="203"/>
      <c r="IU181" s="203"/>
      <c r="IV181" s="203"/>
    </row>
    <row r="182" spans="1:256" s="204" customFormat="1" ht="51.95" customHeight="1">
      <c r="A182" s="14" t="s">
        <v>12</v>
      </c>
      <c r="B182" s="14" t="s">
        <v>90</v>
      </c>
      <c r="C182" s="56" t="s">
        <v>3</v>
      </c>
      <c r="D182" s="196" t="s">
        <v>2393</v>
      </c>
      <c r="E182" s="14" t="s">
        <v>138</v>
      </c>
      <c r="F182" s="14" t="s">
        <v>2368</v>
      </c>
      <c r="G182" s="14" t="s">
        <v>85</v>
      </c>
      <c r="H182" s="197">
        <v>423110</v>
      </c>
      <c r="I182" s="196" t="s">
        <v>6</v>
      </c>
      <c r="J182" s="14" t="s">
        <v>109</v>
      </c>
      <c r="K182" s="56" t="s">
        <v>29</v>
      </c>
      <c r="L182" s="14" t="s">
        <v>2370</v>
      </c>
      <c r="M182" s="198">
        <v>1610353</v>
      </c>
      <c r="N182" s="198">
        <v>1610353</v>
      </c>
      <c r="O182" s="198" t="s">
        <v>20</v>
      </c>
      <c r="P182" s="196" t="s">
        <v>2394</v>
      </c>
      <c r="Q182" s="56" t="s">
        <v>2312</v>
      </c>
      <c r="R182" s="56" t="s">
        <v>21</v>
      </c>
      <c r="S182" s="49">
        <v>2013</v>
      </c>
      <c r="T182" s="196" t="s">
        <v>2395</v>
      </c>
      <c r="U182" s="197" t="s">
        <v>2396</v>
      </c>
      <c r="V182" s="201" t="s">
        <v>2397</v>
      </c>
      <c r="W182" s="14" t="s">
        <v>110</v>
      </c>
      <c r="X182" s="56"/>
      <c r="Y182" s="124"/>
      <c r="Z182" s="124"/>
      <c r="AA182" s="124"/>
      <c r="AB182" s="124"/>
      <c r="AC182" s="231"/>
      <c r="AD182" s="203"/>
      <c r="AE182" s="203"/>
      <c r="AF182" s="203"/>
      <c r="AG182" s="203"/>
      <c r="AH182" s="203"/>
      <c r="AI182" s="203"/>
      <c r="AJ182" s="203"/>
      <c r="AK182" s="203"/>
      <c r="AL182" s="203"/>
      <c r="AM182" s="203"/>
      <c r="AN182" s="203"/>
      <c r="AO182" s="203"/>
      <c r="AP182" s="203"/>
      <c r="AQ182" s="203"/>
      <c r="AR182" s="203"/>
      <c r="AS182" s="203"/>
      <c r="AT182" s="203"/>
      <c r="AU182" s="203"/>
      <c r="AV182" s="203"/>
      <c r="AW182" s="203"/>
      <c r="AX182" s="203"/>
      <c r="AY182" s="203"/>
      <c r="AZ182" s="203"/>
      <c r="BA182" s="203"/>
      <c r="BB182" s="203"/>
      <c r="BC182" s="203"/>
      <c r="BD182" s="203"/>
      <c r="BE182" s="203"/>
      <c r="BF182" s="203"/>
      <c r="BG182" s="203"/>
      <c r="BH182" s="203"/>
      <c r="BI182" s="203"/>
      <c r="BJ182" s="203"/>
      <c r="BK182" s="203"/>
      <c r="BL182" s="203"/>
      <c r="BM182" s="203"/>
      <c r="BN182" s="203"/>
      <c r="BO182" s="203"/>
      <c r="BP182" s="203"/>
      <c r="BQ182" s="203"/>
      <c r="BR182" s="203"/>
      <c r="BS182" s="203"/>
      <c r="BT182" s="203"/>
      <c r="BU182" s="203"/>
      <c r="BV182" s="203"/>
      <c r="BW182" s="203"/>
      <c r="BX182" s="203"/>
      <c r="BY182" s="203"/>
      <c r="BZ182" s="203"/>
      <c r="CA182" s="203"/>
      <c r="CB182" s="203"/>
      <c r="CC182" s="203"/>
      <c r="CD182" s="203"/>
      <c r="CE182" s="203"/>
      <c r="CF182" s="203"/>
      <c r="CG182" s="203"/>
      <c r="CH182" s="203"/>
      <c r="CI182" s="203"/>
      <c r="CJ182" s="203"/>
      <c r="CK182" s="203"/>
      <c r="CL182" s="203"/>
      <c r="CM182" s="203"/>
      <c r="CN182" s="203"/>
      <c r="CO182" s="203"/>
      <c r="CP182" s="203"/>
      <c r="CQ182" s="203"/>
      <c r="CR182" s="203"/>
      <c r="CS182" s="203"/>
      <c r="CT182" s="203"/>
      <c r="CU182" s="203"/>
      <c r="CV182" s="203"/>
      <c r="CW182" s="203"/>
      <c r="CX182" s="203"/>
      <c r="CY182" s="203"/>
      <c r="CZ182" s="203"/>
      <c r="DA182" s="203"/>
      <c r="DB182" s="203"/>
      <c r="DC182" s="203"/>
      <c r="DD182" s="203"/>
      <c r="DE182" s="203"/>
      <c r="DF182" s="203"/>
      <c r="DG182" s="203"/>
      <c r="DH182" s="203"/>
      <c r="DI182" s="203"/>
      <c r="DJ182" s="203"/>
      <c r="DK182" s="203"/>
      <c r="DL182" s="203"/>
      <c r="DM182" s="203"/>
      <c r="DN182" s="203"/>
      <c r="DO182" s="203"/>
      <c r="DP182" s="203"/>
      <c r="DQ182" s="203"/>
      <c r="DR182" s="203"/>
      <c r="DS182" s="203"/>
      <c r="DT182" s="203"/>
      <c r="DU182" s="203"/>
      <c r="DV182" s="203"/>
      <c r="DW182" s="203"/>
      <c r="DX182" s="203"/>
      <c r="DY182" s="203"/>
      <c r="DZ182" s="203"/>
      <c r="EA182" s="203"/>
      <c r="EB182" s="203"/>
      <c r="EC182" s="203"/>
      <c r="ED182" s="203"/>
      <c r="EE182" s="203"/>
      <c r="EF182" s="203"/>
      <c r="EG182" s="203"/>
      <c r="EH182" s="203"/>
      <c r="EI182" s="203"/>
      <c r="EJ182" s="203"/>
      <c r="EK182" s="203"/>
      <c r="EL182" s="203"/>
      <c r="EM182" s="203"/>
      <c r="EN182" s="203"/>
      <c r="EO182" s="203"/>
      <c r="EP182" s="203"/>
      <c r="EQ182" s="203"/>
      <c r="ER182" s="203"/>
      <c r="ES182" s="203"/>
      <c r="ET182" s="203"/>
      <c r="EU182" s="203"/>
      <c r="EV182" s="203"/>
      <c r="EW182" s="203"/>
      <c r="EX182" s="203"/>
      <c r="EY182" s="203"/>
      <c r="EZ182" s="203"/>
      <c r="FA182" s="203"/>
      <c r="FB182" s="203"/>
      <c r="FC182" s="203"/>
      <c r="FD182" s="203"/>
      <c r="FE182" s="203"/>
      <c r="FF182" s="203"/>
      <c r="FG182" s="203"/>
      <c r="FH182" s="203"/>
      <c r="FI182" s="203"/>
      <c r="FJ182" s="203"/>
      <c r="FK182" s="203"/>
      <c r="FL182" s="203"/>
      <c r="FM182" s="203"/>
      <c r="FN182" s="203"/>
      <c r="FO182" s="203"/>
      <c r="FP182" s="203"/>
      <c r="FQ182" s="203"/>
      <c r="FR182" s="203"/>
      <c r="FS182" s="203"/>
      <c r="FT182" s="203"/>
      <c r="FU182" s="203"/>
      <c r="FV182" s="203"/>
      <c r="FW182" s="203"/>
      <c r="FX182" s="203"/>
      <c r="FY182" s="203"/>
      <c r="FZ182" s="203"/>
      <c r="GA182" s="203"/>
      <c r="GB182" s="203"/>
      <c r="GC182" s="203"/>
      <c r="GD182" s="203"/>
      <c r="GE182" s="203"/>
      <c r="GF182" s="203"/>
      <c r="GG182" s="203"/>
      <c r="GH182" s="203"/>
      <c r="GI182" s="203"/>
      <c r="GJ182" s="203"/>
      <c r="GK182" s="203"/>
      <c r="GL182" s="203"/>
      <c r="GM182" s="203"/>
      <c r="GN182" s="203"/>
      <c r="GO182" s="203"/>
      <c r="GP182" s="203"/>
      <c r="GQ182" s="203"/>
      <c r="GR182" s="203"/>
      <c r="GS182" s="203"/>
      <c r="GT182" s="203"/>
      <c r="GU182" s="203"/>
      <c r="GV182" s="203"/>
      <c r="GW182" s="203"/>
      <c r="GX182" s="203"/>
      <c r="GY182" s="203"/>
      <c r="GZ182" s="203"/>
      <c r="HA182" s="203"/>
      <c r="HB182" s="203"/>
      <c r="HC182" s="203"/>
      <c r="HD182" s="203"/>
      <c r="HE182" s="203"/>
      <c r="HF182" s="203"/>
      <c r="HG182" s="203"/>
      <c r="HH182" s="203"/>
      <c r="HI182" s="203"/>
      <c r="HJ182" s="203"/>
      <c r="HK182" s="203"/>
      <c r="HL182" s="203"/>
      <c r="HM182" s="203"/>
      <c r="HN182" s="203"/>
      <c r="HO182" s="203"/>
      <c r="HP182" s="203"/>
      <c r="HQ182" s="203"/>
      <c r="HR182" s="203"/>
      <c r="HS182" s="203"/>
      <c r="HT182" s="203"/>
      <c r="HU182" s="203"/>
      <c r="HV182" s="203"/>
      <c r="HW182" s="203"/>
      <c r="HX182" s="203"/>
      <c r="HY182" s="203"/>
      <c r="HZ182" s="203"/>
      <c r="IA182" s="203"/>
      <c r="IB182" s="203"/>
      <c r="IC182" s="203"/>
      <c r="ID182" s="203"/>
      <c r="IE182" s="203"/>
      <c r="IF182" s="203"/>
      <c r="IG182" s="203"/>
      <c r="IH182" s="203"/>
      <c r="II182" s="203"/>
      <c r="IJ182" s="203"/>
      <c r="IK182" s="203"/>
      <c r="IL182" s="203"/>
      <c r="IM182" s="203"/>
      <c r="IN182" s="203"/>
      <c r="IO182" s="203"/>
      <c r="IP182" s="203"/>
      <c r="IQ182" s="203"/>
      <c r="IR182" s="203"/>
      <c r="IS182" s="203"/>
      <c r="IT182" s="203"/>
      <c r="IU182" s="203"/>
      <c r="IV182" s="203"/>
    </row>
    <row r="183" spans="1:256" s="51" customFormat="1" ht="38.1" customHeight="1">
      <c r="A183" s="14" t="s">
        <v>95</v>
      </c>
      <c r="B183" s="14" t="s">
        <v>96</v>
      </c>
      <c r="C183" s="46" t="s">
        <v>25</v>
      </c>
      <c r="D183" s="14" t="s">
        <v>2181</v>
      </c>
      <c r="E183" s="14" t="s">
        <v>116</v>
      </c>
      <c r="F183" s="46" t="s">
        <v>277</v>
      </c>
      <c r="G183" s="46" t="s">
        <v>85</v>
      </c>
      <c r="H183" s="197">
        <v>541519</v>
      </c>
      <c r="I183" s="14" t="s">
        <v>28</v>
      </c>
      <c r="J183" s="14" t="s">
        <v>109</v>
      </c>
      <c r="K183" s="46" t="s">
        <v>29</v>
      </c>
      <c r="L183" s="14" t="s">
        <v>2182</v>
      </c>
      <c r="M183" s="47">
        <v>560000</v>
      </c>
      <c r="N183" s="47">
        <v>560000</v>
      </c>
      <c r="O183" s="48" t="s">
        <v>20</v>
      </c>
      <c r="P183" s="14" t="s">
        <v>2183</v>
      </c>
      <c r="Q183" s="46" t="s">
        <v>279</v>
      </c>
      <c r="R183" s="46" t="s">
        <v>10</v>
      </c>
      <c r="S183" s="49">
        <v>2013</v>
      </c>
      <c r="T183" s="14" t="s">
        <v>2184</v>
      </c>
      <c r="U183" s="14" t="s">
        <v>2185</v>
      </c>
      <c r="V183" s="50" t="s">
        <v>2186</v>
      </c>
      <c r="W183" s="105" t="s">
        <v>32</v>
      </c>
      <c r="X183" s="46"/>
      <c r="Y183" s="91"/>
      <c r="Z183" s="91"/>
      <c r="AA183" s="91"/>
      <c r="AB183" s="91"/>
      <c r="AC183" s="99"/>
      <c r="AD183" s="99"/>
      <c r="AE183" s="99"/>
      <c r="AF183" s="99"/>
      <c r="AG183" s="99"/>
      <c r="AH183" s="99"/>
      <c r="AI183" s="99"/>
      <c r="AJ183" s="99"/>
      <c r="AK183" s="99"/>
      <c r="AL183" s="99"/>
      <c r="AM183" s="99"/>
      <c r="AN183" s="99"/>
      <c r="AO183" s="99"/>
      <c r="AP183" s="99"/>
      <c r="AQ183" s="99"/>
      <c r="AR183" s="99"/>
      <c r="AS183" s="99"/>
      <c r="AT183" s="99"/>
      <c r="AU183" s="99"/>
      <c r="AV183" s="99"/>
      <c r="AW183" s="99"/>
      <c r="AX183" s="99"/>
      <c r="AY183" s="99"/>
      <c r="AZ183" s="99"/>
      <c r="BA183" s="99"/>
      <c r="BB183" s="99"/>
      <c r="BC183" s="99"/>
      <c r="BD183" s="99"/>
      <c r="BE183" s="99"/>
      <c r="BF183" s="99"/>
      <c r="BG183" s="99"/>
      <c r="BH183" s="99"/>
      <c r="BI183" s="99"/>
      <c r="BJ183" s="99"/>
      <c r="BK183" s="99"/>
      <c r="BL183" s="99"/>
      <c r="BM183" s="99"/>
      <c r="BN183" s="99"/>
      <c r="BO183" s="99"/>
      <c r="BP183" s="99"/>
      <c r="BQ183" s="99"/>
      <c r="BR183" s="99"/>
      <c r="BS183" s="99"/>
      <c r="BT183" s="99"/>
      <c r="BU183" s="99"/>
      <c r="BV183" s="99"/>
      <c r="BW183" s="99"/>
      <c r="BX183" s="99"/>
      <c r="BY183" s="99"/>
      <c r="BZ183" s="99"/>
      <c r="CA183" s="99"/>
      <c r="CB183" s="99"/>
      <c r="CC183" s="99"/>
      <c r="CD183" s="99"/>
      <c r="CE183" s="99"/>
      <c r="CF183" s="99"/>
      <c r="CG183" s="99"/>
      <c r="CH183" s="99"/>
      <c r="CI183" s="99"/>
      <c r="CJ183" s="99"/>
      <c r="CK183" s="99"/>
      <c r="CL183" s="99"/>
      <c r="CM183" s="99"/>
      <c r="CN183" s="99"/>
      <c r="CO183" s="99"/>
      <c r="CP183" s="99"/>
    </row>
    <row r="184" spans="1:256" s="51" customFormat="1" ht="38.1" customHeight="1">
      <c r="A184" s="14" t="s">
        <v>95</v>
      </c>
      <c r="B184" s="14" t="s">
        <v>96</v>
      </c>
      <c r="C184" s="46" t="s">
        <v>25</v>
      </c>
      <c r="D184" s="14" t="s">
        <v>2187</v>
      </c>
      <c r="E184" s="14" t="s">
        <v>116</v>
      </c>
      <c r="F184" s="46" t="s">
        <v>277</v>
      </c>
      <c r="G184" s="46" t="s">
        <v>85</v>
      </c>
      <c r="H184" s="196">
        <v>541512</v>
      </c>
      <c r="I184" s="14" t="s">
        <v>28</v>
      </c>
      <c r="J184" s="14" t="s">
        <v>109</v>
      </c>
      <c r="K184" s="46" t="s">
        <v>29</v>
      </c>
      <c r="L184" s="14" t="s">
        <v>2182</v>
      </c>
      <c r="M184" s="48">
        <v>229717</v>
      </c>
      <c r="N184" s="48">
        <v>229717</v>
      </c>
      <c r="O184" s="48" t="s">
        <v>20</v>
      </c>
      <c r="P184" s="14" t="s">
        <v>2188</v>
      </c>
      <c r="Q184" s="46" t="s">
        <v>279</v>
      </c>
      <c r="R184" s="46" t="s">
        <v>10</v>
      </c>
      <c r="S184" s="49">
        <v>2013</v>
      </c>
      <c r="T184" s="14" t="s">
        <v>2189</v>
      </c>
      <c r="U184" s="14" t="s">
        <v>2190</v>
      </c>
      <c r="V184" s="50" t="s">
        <v>2191</v>
      </c>
      <c r="W184" s="105" t="s">
        <v>32</v>
      </c>
      <c r="X184" s="46"/>
      <c r="Y184" s="124"/>
      <c r="Z184" s="124"/>
      <c r="AA184" s="124"/>
      <c r="AB184" s="124"/>
      <c r="AC184" s="99"/>
      <c r="AD184" s="99"/>
      <c r="AE184" s="99"/>
      <c r="AF184" s="99"/>
      <c r="AG184" s="99"/>
      <c r="AH184" s="99"/>
      <c r="AI184" s="99"/>
      <c r="AJ184" s="99"/>
      <c r="AK184" s="99"/>
      <c r="AL184" s="99"/>
      <c r="AM184" s="99"/>
      <c r="AN184" s="99"/>
      <c r="AO184" s="99"/>
      <c r="AP184" s="99"/>
      <c r="AQ184" s="99"/>
      <c r="AR184" s="99"/>
      <c r="AS184" s="99"/>
      <c r="AT184" s="99"/>
      <c r="AU184" s="99"/>
      <c r="AV184" s="99"/>
      <c r="AW184" s="99"/>
      <c r="AX184" s="99"/>
      <c r="AY184" s="99"/>
      <c r="AZ184" s="99"/>
      <c r="BA184" s="99"/>
      <c r="BB184" s="99"/>
      <c r="BC184" s="99"/>
      <c r="BD184" s="99"/>
      <c r="BE184" s="99"/>
      <c r="BF184" s="99"/>
      <c r="BG184" s="99"/>
      <c r="BH184" s="99"/>
      <c r="BI184" s="99"/>
      <c r="BJ184" s="99"/>
      <c r="BK184" s="99"/>
      <c r="BL184" s="99"/>
      <c r="BM184" s="99"/>
      <c r="BN184" s="99"/>
      <c r="BO184" s="99"/>
      <c r="BP184" s="99"/>
      <c r="BQ184" s="99"/>
      <c r="BR184" s="99"/>
      <c r="BS184" s="99"/>
      <c r="BT184" s="99"/>
      <c r="BU184" s="99"/>
      <c r="BV184" s="99"/>
      <c r="BW184" s="99"/>
      <c r="BX184" s="99"/>
      <c r="BY184" s="99"/>
      <c r="BZ184" s="99"/>
      <c r="CA184" s="99"/>
      <c r="CB184" s="99"/>
      <c r="CC184" s="99"/>
      <c r="CD184" s="99"/>
      <c r="CE184" s="99"/>
      <c r="CF184" s="99"/>
      <c r="CG184" s="99"/>
      <c r="CH184" s="99"/>
      <c r="CI184" s="99"/>
      <c r="CJ184" s="99"/>
      <c r="CK184" s="99"/>
      <c r="CL184" s="99"/>
      <c r="CM184" s="99"/>
      <c r="CN184" s="99"/>
      <c r="CO184" s="99"/>
      <c r="CP184" s="99"/>
    </row>
    <row r="185" spans="1:256" s="51" customFormat="1" ht="65.099999999999994" customHeight="1">
      <c r="A185" s="14" t="s">
        <v>111</v>
      </c>
      <c r="B185" s="46" t="s">
        <v>96</v>
      </c>
      <c r="C185" s="46" t="s">
        <v>25</v>
      </c>
      <c r="D185" s="14" t="s">
        <v>2192</v>
      </c>
      <c r="E185" s="14" t="s">
        <v>116</v>
      </c>
      <c r="F185" s="46" t="s">
        <v>277</v>
      </c>
      <c r="G185" s="46" t="s">
        <v>85</v>
      </c>
      <c r="H185" s="197"/>
      <c r="I185" s="14" t="s">
        <v>71</v>
      </c>
      <c r="J185" s="14" t="s">
        <v>109</v>
      </c>
      <c r="K185" s="46" t="s">
        <v>29</v>
      </c>
      <c r="L185" s="53" t="s">
        <v>2193</v>
      </c>
      <c r="M185" s="54">
        <v>3400000</v>
      </c>
      <c r="N185" s="55">
        <v>3700000</v>
      </c>
      <c r="O185" s="48" t="s">
        <v>20</v>
      </c>
      <c r="P185" s="14" t="s">
        <v>2194</v>
      </c>
      <c r="Q185" s="14" t="s">
        <v>279</v>
      </c>
      <c r="R185" s="56" t="s">
        <v>31</v>
      </c>
      <c r="S185" s="49">
        <v>2013</v>
      </c>
      <c r="T185" s="14" t="s">
        <v>2195</v>
      </c>
      <c r="U185" s="14" t="s">
        <v>2196</v>
      </c>
      <c r="V185" s="50" t="s">
        <v>2197</v>
      </c>
      <c r="W185" s="105" t="s">
        <v>32</v>
      </c>
      <c r="X185" s="14" t="s">
        <v>2347</v>
      </c>
      <c r="Y185" s="124"/>
      <c r="Z185" s="124"/>
      <c r="AA185" s="124"/>
      <c r="AB185" s="124"/>
      <c r="AC185" s="99"/>
      <c r="AD185" s="99"/>
      <c r="AE185" s="99"/>
      <c r="AF185" s="99"/>
      <c r="AG185" s="99"/>
      <c r="AH185" s="99"/>
      <c r="AI185" s="99"/>
      <c r="AJ185" s="99"/>
      <c r="AK185" s="99"/>
      <c r="AL185" s="99"/>
      <c r="AM185" s="99"/>
      <c r="AN185" s="99"/>
      <c r="AO185" s="99"/>
      <c r="AP185" s="99"/>
      <c r="AQ185" s="99"/>
      <c r="AR185" s="99"/>
      <c r="AS185" s="99"/>
      <c r="AT185" s="99"/>
      <c r="AU185" s="99"/>
      <c r="AV185" s="99"/>
      <c r="AW185" s="99"/>
      <c r="AX185" s="99"/>
      <c r="AY185" s="99"/>
      <c r="AZ185" s="99"/>
      <c r="BA185" s="99"/>
      <c r="BB185" s="99"/>
      <c r="BC185" s="99"/>
      <c r="BD185" s="99"/>
      <c r="BE185" s="99"/>
      <c r="BF185" s="99"/>
      <c r="BG185" s="99"/>
      <c r="BH185" s="99"/>
      <c r="BI185" s="99"/>
      <c r="BJ185" s="99"/>
      <c r="BK185" s="99"/>
      <c r="BL185" s="99"/>
      <c r="BM185" s="99"/>
      <c r="BN185" s="99"/>
      <c r="BO185" s="99"/>
      <c r="BP185" s="99"/>
      <c r="BQ185" s="99"/>
      <c r="BR185" s="99"/>
      <c r="BS185" s="99"/>
      <c r="BT185" s="99"/>
      <c r="BU185" s="99"/>
      <c r="BV185" s="99"/>
      <c r="BW185" s="99"/>
      <c r="BX185" s="99"/>
      <c r="BY185" s="99"/>
      <c r="BZ185" s="99"/>
      <c r="CA185" s="99"/>
      <c r="CB185" s="99"/>
      <c r="CC185" s="99"/>
      <c r="CD185" s="99"/>
      <c r="CE185" s="99"/>
      <c r="CF185" s="99"/>
      <c r="CG185" s="99"/>
      <c r="CH185" s="99"/>
      <c r="CI185" s="99"/>
      <c r="CJ185" s="99"/>
      <c r="CK185" s="99"/>
      <c r="CL185" s="99"/>
      <c r="CM185" s="99"/>
      <c r="CN185" s="99"/>
      <c r="CO185" s="99"/>
      <c r="CP185" s="99"/>
    </row>
    <row r="186" spans="1:256" s="13" customFormat="1" ht="180" customHeight="1">
      <c r="A186" s="63" t="s">
        <v>23</v>
      </c>
      <c r="B186" s="63" t="s">
        <v>96</v>
      </c>
      <c r="C186" s="63" t="s">
        <v>3</v>
      </c>
      <c r="D186" s="63" t="s">
        <v>2198</v>
      </c>
      <c r="E186" s="63" t="s">
        <v>116</v>
      </c>
      <c r="F186" s="63" t="s">
        <v>277</v>
      </c>
      <c r="G186" s="119" t="s">
        <v>85</v>
      </c>
      <c r="H186" s="205">
        <v>541611</v>
      </c>
      <c r="I186" s="63" t="s">
        <v>17</v>
      </c>
      <c r="J186" s="63" t="s">
        <v>109</v>
      </c>
      <c r="K186" s="63" t="s">
        <v>8</v>
      </c>
      <c r="L186" s="63"/>
      <c r="M186" s="72">
        <v>1471180.4</v>
      </c>
      <c r="N186" s="22">
        <v>3424320</v>
      </c>
      <c r="O186" s="120" t="s">
        <v>20</v>
      </c>
      <c r="P186" s="119"/>
      <c r="Q186" s="119" t="s">
        <v>614</v>
      </c>
      <c r="R186" s="119" t="s">
        <v>41</v>
      </c>
      <c r="S186" s="121">
        <v>2013</v>
      </c>
      <c r="T186" s="63" t="s">
        <v>2199</v>
      </c>
      <c r="U186" s="63" t="s">
        <v>2200</v>
      </c>
      <c r="V186" s="122" t="s">
        <v>2201</v>
      </c>
      <c r="W186" s="123" t="s">
        <v>32</v>
      </c>
      <c r="X186" s="21" t="s">
        <v>2348</v>
      </c>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c r="BY186" s="124"/>
      <c r="BZ186" s="124"/>
      <c r="CA186" s="124"/>
      <c r="CB186" s="124"/>
      <c r="CC186" s="124"/>
      <c r="CD186" s="124"/>
      <c r="CE186" s="124"/>
      <c r="CF186" s="124"/>
      <c r="CG186" s="124"/>
      <c r="CH186" s="124"/>
      <c r="CI186" s="124"/>
      <c r="CJ186" s="124"/>
      <c r="CK186" s="124"/>
      <c r="CL186" s="124"/>
      <c r="CM186" s="124"/>
      <c r="CN186" s="124"/>
      <c r="CO186" s="124"/>
      <c r="CP186" s="124"/>
    </row>
    <row r="187" spans="1:256" ht="38.1" customHeight="1">
      <c r="A187" s="57" t="s">
        <v>23</v>
      </c>
      <c r="B187" s="57" t="s">
        <v>96</v>
      </c>
      <c r="C187" s="57" t="s">
        <v>25</v>
      </c>
      <c r="D187" s="57" t="s">
        <v>2205</v>
      </c>
      <c r="E187" s="57" t="s">
        <v>116</v>
      </c>
      <c r="F187" s="57" t="s">
        <v>277</v>
      </c>
      <c r="G187" s="58" t="s">
        <v>85</v>
      </c>
      <c r="H187" s="64">
        <v>611430</v>
      </c>
      <c r="I187" s="57" t="s">
        <v>71</v>
      </c>
      <c r="J187" s="57" t="s">
        <v>109</v>
      </c>
      <c r="K187" s="57" t="s">
        <v>29</v>
      </c>
      <c r="L187" s="57" t="s">
        <v>2206</v>
      </c>
      <c r="M187" s="59">
        <v>100000</v>
      </c>
      <c r="N187" s="62">
        <v>500000</v>
      </c>
      <c r="O187" s="59" t="s">
        <v>20</v>
      </c>
      <c r="P187" s="57"/>
      <c r="Q187" s="58" t="s">
        <v>279</v>
      </c>
      <c r="R187" s="58" t="s">
        <v>21</v>
      </c>
      <c r="S187" s="60">
        <v>2013</v>
      </c>
      <c r="T187" s="57" t="s">
        <v>2207</v>
      </c>
      <c r="U187" s="57" t="s">
        <v>2208</v>
      </c>
      <c r="V187" s="61" t="s">
        <v>2209</v>
      </c>
      <c r="W187" s="97" t="s">
        <v>32</v>
      </c>
      <c r="X187" s="57"/>
      <c r="Y187" s="124"/>
      <c r="Z187" s="124"/>
      <c r="AA187" s="124"/>
      <c r="AB187" s="124"/>
    </row>
    <row r="188" spans="1:256" s="13" customFormat="1" ht="90" customHeight="1">
      <c r="A188" s="63" t="s">
        <v>23</v>
      </c>
      <c r="B188" s="63" t="s">
        <v>96</v>
      </c>
      <c r="C188" s="63" t="s">
        <v>25</v>
      </c>
      <c r="D188" s="63" t="s">
        <v>2210</v>
      </c>
      <c r="E188" s="63" t="s">
        <v>116</v>
      </c>
      <c r="F188" s="63" t="s">
        <v>277</v>
      </c>
      <c r="G188" s="119" t="s">
        <v>85</v>
      </c>
      <c r="H188" s="206">
        <v>541690</v>
      </c>
      <c r="I188" s="63" t="s">
        <v>71</v>
      </c>
      <c r="J188" s="63" t="s">
        <v>143</v>
      </c>
      <c r="K188" s="63" t="s">
        <v>19</v>
      </c>
      <c r="L188" s="63" t="s">
        <v>2211</v>
      </c>
      <c r="M188" s="22">
        <v>2000000</v>
      </c>
      <c r="N188" s="22" t="s">
        <v>331</v>
      </c>
      <c r="O188" s="120" t="s">
        <v>20</v>
      </c>
      <c r="P188" s="63"/>
      <c r="Q188" s="119" t="s">
        <v>279</v>
      </c>
      <c r="R188" s="119" t="s">
        <v>31</v>
      </c>
      <c r="S188" s="121">
        <v>2013</v>
      </c>
      <c r="T188" s="63" t="s">
        <v>2202</v>
      </c>
      <c r="U188" s="63" t="s">
        <v>2203</v>
      </c>
      <c r="V188" s="122" t="s">
        <v>2204</v>
      </c>
      <c r="W188" s="123" t="s">
        <v>32</v>
      </c>
      <c r="X188" s="21" t="s">
        <v>2349</v>
      </c>
      <c r="Y188" s="130"/>
      <c r="Z188" s="130"/>
      <c r="AA188" s="130"/>
      <c r="AB188" s="130"/>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c r="BY188" s="124"/>
      <c r="BZ188" s="124"/>
      <c r="CA188" s="124"/>
      <c r="CB188" s="124"/>
      <c r="CC188" s="124"/>
      <c r="CD188" s="124"/>
      <c r="CE188" s="124"/>
      <c r="CF188" s="124"/>
      <c r="CG188" s="124"/>
      <c r="CH188" s="124"/>
      <c r="CI188" s="124"/>
      <c r="CJ188" s="124"/>
      <c r="CK188" s="124"/>
      <c r="CL188" s="124"/>
      <c r="CM188" s="124"/>
      <c r="CN188" s="124"/>
      <c r="CO188" s="124"/>
      <c r="CP188" s="124"/>
    </row>
    <row r="189" spans="1:256" s="13" customFormat="1" ht="155.1" customHeight="1">
      <c r="A189" s="63" t="s">
        <v>23</v>
      </c>
      <c r="B189" s="63" t="s">
        <v>96</v>
      </c>
      <c r="C189" s="63" t="s">
        <v>25</v>
      </c>
      <c r="D189" s="63" t="s">
        <v>2212</v>
      </c>
      <c r="E189" s="63" t="s">
        <v>116</v>
      </c>
      <c r="F189" s="21" t="s">
        <v>277</v>
      </c>
      <c r="G189" s="119" t="s">
        <v>85</v>
      </c>
      <c r="H189" s="206">
        <v>611430</v>
      </c>
      <c r="I189" s="63" t="s">
        <v>71</v>
      </c>
      <c r="J189" s="63" t="s">
        <v>109</v>
      </c>
      <c r="K189" s="63" t="s">
        <v>87</v>
      </c>
      <c r="L189" s="63" t="s">
        <v>2211</v>
      </c>
      <c r="M189" s="177">
        <v>3000000</v>
      </c>
      <c r="N189" s="22" t="s">
        <v>331</v>
      </c>
      <c r="O189" s="120" t="s">
        <v>20</v>
      </c>
      <c r="P189" s="63"/>
      <c r="Q189" s="119" t="s">
        <v>279</v>
      </c>
      <c r="R189" s="119" t="s">
        <v>21</v>
      </c>
      <c r="S189" s="121">
        <v>2013</v>
      </c>
      <c r="T189" s="63" t="s">
        <v>2202</v>
      </c>
      <c r="U189" s="63" t="s">
        <v>2203</v>
      </c>
      <c r="V189" s="122" t="s">
        <v>2204</v>
      </c>
      <c r="W189" s="123" t="s">
        <v>32</v>
      </c>
      <c r="X189" s="21" t="s">
        <v>2350</v>
      </c>
      <c r="Y189" s="130"/>
      <c r="Z189" s="130"/>
      <c r="AA189" s="130"/>
      <c r="AB189" s="130"/>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c r="BY189" s="124"/>
      <c r="BZ189" s="124"/>
      <c r="CA189" s="124"/>
      <c r="CB189" s="124"/>
      <c r="CC189" s="124"/>
      <c r="CD189" s="124"/>
      <c r="CE189" s="124"/>
      <c r="CF189" s="124"/>
      <c r="CG189" s="124"/>
      <c r="CH189" s="124"/>
      <c r="CI189" s="124"/>
      <c r="CJ189" s="124"/>
      <c r="CK189" s="124"/>
      <c r="CL189" s="124"/>
      <c r="CM189" s="124"/>
      <c r="CN189" s="124"/>
      <c r="CO189" s="124"/>
      <c r="CP189" s="124"/>
    </row>
    <row r="190" spans="1:256" ht="38.1" customHeight="1">
      <c r="A190" s="57" t="s">
        <v>23</v>
      </c>
      <c r="B190" s="57" t="s">
        <v>96</v>
      </c>
      <c r="C190" s="57" t="s">
        <v>25</v>
      </c>
      <c r="D190" s="64" t="s">
        <v>2213</v>
      </c>
      <c r="E190" s="57" t="s">
        <v>36</v>
      </c>
      <c r="F190" s="57" t="s">
        <v>277</v>
      </c>
      <c r="G190" s="58" t="s">
        <v>85</v>
      </c>
      <c r="H190" s="207">
        <v>541519</v>
      </c>
      <c r="I190" s="57" t="s">
        <v>71</v>
      </c>
      <c r="J190" s="57" t="s">
        <v>29</v>
      </c>
      <c r="K190" s="57" t="s">
        <v>29</v>
      </c>
      <c r="L190" s="57" t="s">
        <v>2206</v>
      </c>
      <c r="M190" s="59">
        <v>242000</v>
      </c>
      <c r="N190" s="59">
        <v>520000</v>
      </c>
      <c r="O190" s="59" t="s">
        <v>20</v>
      </c>
      <c r="P190" s="57"/>
      <c r="Q190" s="58" t="s">
        <v>279</v>
      </c>
      <c r="R190" s="58" t="s">
        <v>10</v>
      </c>
      <c r="S190" s="60">
        <v>2013</v>
      </c>
      <c r="T190" s="57" t="s">
        <v>2202</v>
      </c>
      <c r="U190" s="57" t="s">
        <v>2203</v>
      </c>
      <c r="V190" s="61" t="s">
        <v>2204</v>
      </c>
      <c r="W190" s="97" t="s">
        <v>32</v>
      </c>
      <c r="X190" s="57"/>
      <c r="Y190" s="130"/>
      <c r="Z190" s="130"/>
      <c r="AA190" s="130"/>
      <c r="AB190" s="130"/>
    </row>
    <row r="191" spans="1:256" s="13" customFormat="1" ht="38.1" customHeight="1">
      <c r="A191" s="63" t="s">
        <v>23</v>
      </c>
      <c r="B191" s="63" t="s">
        <v>96</v>
      </c>
      <c r="C191" s="63" t="s">
        <v>25</v>
      </c>
      <c r="D191" s="63" t="s">
        <v>2214</v>
      </c>
      <c r="E191" s="63" t="s">
        <v>36</v>
      </c>
      <c r="F191" s="63" t="s">
        <v>277</v>
      </c>
      <c r="G191" s="119" t="s">
        <v>85</v>
      </c>
      <c r="H191" s="205"/>
      <c r="I191" s="21" t="s">
        <v>64</v>
      </c>
      <c r="J191" s="63" t="s">
        <v>29</v>
      </c>
      <c r="K191" s="63" t="s">
        <v>29</v>
      </c>
      <c r="L191" s="63" t="s">
        <v>345</v>
      </c>
      <c r="M191" s="120">
        <v>150000</v>
      </c>
      <c r="N191" s="120"/>
      <c r="O191" s="120" t="s">
        <v>20</v>
      </c>
      <c r="P191" s="63" t="s">
        <v>20</v>
      </c>
      <c r="Q191" s="119" t="s">
        <v>279</v>
      </c>
      <c r="R191" s="119" t="s">
        <v>10</v>
      </c>
      <c r="S191" s="121">
        <v>2013</v>
      </c>
      <c r="T191" s="63" t="s">
        <v>2199</v>
      </c>
      <c r="U191" s="63" t="s">
        <v>2215</v>
      </c>
      <c r="V191" s="122" t="s">
        <v>2201</v>
      </c>
      <c r="W191" s="106" t="s">
        <v>32</v>
      </c>
      <c r="X191" s="63"/>
      <c r="Y191" s="130"/>
      <c r="Z191" s="130"/>
      <c r="AA191" s="130"/>
      <c r="AB191" s="130"/>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c r="BY191" s="124"/>
      <c r="BZ191" s="124"/>
      <c r="CA191" s="124"/>
      <c r="CB191" s="124"/>
      <c r="CC191" s="124"/>
      <c r="CD191" s="124"/>
      <c r="CE191" s="124"/>
      <c r="CF191" s="124"/>
      <c r="CG191" s="124"/>
      <c r="CH191" s="124"/>
      <c r="CI191" s="124"/>
      <c r="CJ191" s="124"/>
      <c r="CK191" s="124"/>
      <c r="CL191" s="124"/>
      <c r="CM191" s="124"/>
      <c r="CN191" s="124"/>
      <c r="CO191" s="124"/>
      <c r="CP191" s="124"/>
    </row>
    <row r="192" spans="1:256" s="13" customFormat="1" ht="38.1" customHeight="1">
      <c r="A192" s="63" t="s">
        <v>23</v>
      </c>
      <c r="B192" s="63" t="s">
        <v>96</v>
      </c>
      <c r="C192" s="63" t="s">
        <v>25</v>
      </c>
      <c r="D192" s="63" t="s">
        <v>2216</v>
      </c>
      <c r="E192" s="63" t="s">
        <v>116</v>
      </c>
      <c r="F192" s="63" t="s">
        <v>277</v>
      </c>
      <c r="G192" s="119" t="s">
        <v>85</v>
      </c>
      <c r="H192" s="205">
        <v>541611</v>
      </c>
      <c r="I192" s="63"/>
      <c r="J192" s="63"/>
      <c r="K192" s="63"/>
      <c r="L192" s="63"/>
      <c r="M192" s="120">
        <v>100000</v>
      </c>
      <c r="N192" s="120">
        <v>135000</v>
      </c>
      <c r="O192" s="120" t="s">
        <v>20</v>
      </c>
      <c r="P192" s="63" t="s">
        <v>2217</v>
      </c>
      <c r="Q192" s="119" t="s">
        <v>2218</v>
      </c>
      <c r="R192" s="119" t="s">
        <v>21</v>
      </c>
      <c r="S192" s="121">
        <v>2013</v>
      </c>
      <c r="T192" s="63" t="s">
        <v>2219</v>
      </c>
      <c r="U192" s="63" t="s">
        <v>2220</v>
      </c>
      <c r="V192" s="122" t="s">
        <v>2221</v>
      </c>
      <c r="W192" s="123" t="s">
        <v>32</v>
      </c>
      <c r="X192" s="63"/>
      <c r="Y192" s="130"/>
      <c r="Z192" s="130"/>
      <c r="AA192" s="130"/>
      <c r="AB192" s="130"/>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c r="BY192" s="124"/>
      <c r="BZ192" s="124"/>
      <c r="CA192" s="124"/>
      <c r="CB192" s="124"/>
      <c r="CC192" s="124"/>
      <c r="CD192" s="124"/>
      <c r="CE192" s="124"/>
      <c r="CF192" s="124"/>
      <c r="CG192" s="124"/>
      <c r="CH192" s="124"/>
      <c r="CI192" s="124"/>
      <c r="CJ192" s="124"/>
      <c r="CK192" s="124"/>
      <c r="CL192" s="124"/>
      <c r="CM192" s="124"/>
      <c r="CN192" s="124"/>
      <c r="CO192" s="124"/>
      <c r="CP192" s="124"/>
    </row>
    <row r="193" spans="1:94" s="13" customFormat="1" ht="38.1" customHeight="1">
      <c r="A193" s="63" t="s">
        <v>23</v>
      </c>
      <c r="B193" s="63" t="s">
        <v>96</v>
      </c>
      <c r="C193" s="63" t="s">
        <v>25</v>
      </c>
      <c r="D193" s="63" t="s">
        <v>2222</v>
      </c>
      <c r="E193" s="63" t="s">
        <v>36</v>
      </c>
      <c r="F193" s="63" t="s">
        <v>277</v>
      </c>
      <c r="G193" s="119" t="s">
        <v>85</v>
      </c>
      <c r="H193" s="205">
        <v>541511</v>
      </c>
      <c r="I193" s="63" t="s">
        <v>28</v>
      </c>
      <c r="J193" s="63"/>
      <c r="K193" s="63" t="s">
        <v>29</v>
      </c>
      <c r="L193" s="63"/>
      <c r="M193" s="120">
        <v>116000</v>
      </c>
      <c r="N193" s="120">
        <v>116000</v>
      </c>
      <c r="O193" s="120" t="s">
        <v>20</v>
      </c>
      <c r="P193" s="63" t="s">
        <v>9</v>
      </c>
      <c r="Q193" s="119" t="s">
        <v>279</v>
      </c>
      <c r="R193" s="119" t="s">
        <v>31</v>
      </c>
      <c r="S193" s="121">
        <v>2013</v>
      </c>
      <c r="T193" s="63" t="s">
        <v>2223</v>
      </c>
      <c r="U193" s="63" t="s">
        <v>2224</v>
      </c>
      <c r="V193" s="122" t="s">
        <v>2225</v>
      </c>
      <c r="W193" s="123" t="s">
        <v>32</v>
      </c>
      <c r="X193" s="63"/>
      <c r="Y193" s="130"/>
      <c r="Z193" s="130"/>
      <c r="AA193" s="130"/>
      <c r="AB193" s="130"/>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c r="BY193" s="124"/>
      <c r="BZ193" s="124"/>
      <c r="CA193" s="124"/>
      <c r="CB193" s="124"/>
      <c r="CC193" s="124"/>
      <c r="CD193" s="124"/>
      <c r="CE193" s="124"/>
      <c r="CF193" s="124"/>
      <c r="CG193" s="124"/>
      <c r="CH193" s="124"/>
      <c r="CI193" s="124"/>
      <c r="CJ193" s="124"/>
      <c r="CK193" s="124"/>
      <c r="CL193" s="124"/>
      <c r="CM193" s="124"/>
      <c r="CN193" s="124"/>
      <c r="CO193" s="124"/>
      <c r="CP193" s="124"/>
    </row>
    <row r="194" spans="1:94" s="13" customFormat="1" ht="38.1" customHeight="1">
      <c r="A194" s="63" t="s">
        <v>23</v>
      </c>
      <c r="B194" s="63" t="s">
        <v>96</v>
      </c>
      <c r="C194" s="63" t="s">
        <v>25</v>
      </c>
      <c r="D194" s="63" t="s">
        <v>2226</v>
      </c>
      <c r="E194" s="63" t="s">
        <v>116</v>
      </c>
      <c r="F194" s="63" t="s">
        <v>277</v>
      </c>
      <c r="G194" s="119" t="s">
        <v>85</v>
      </c>
      <c r="H194" s="205">
        <v>611430</v>
      </c>
      <c r="I194" s="63"/>
      <c r="J194" s="63"/>
      <c r="K194" s="63"/>
      <c r="L194" s="63"/>
      <c r="M194" s="120">
        <v>30000</v>
      </c>
      <c r="N194" s="120">
        <v>30000</v>
      </c>
      <c r="O194" s="120" t="s">
        <v>20</v>
      </c>
      <c r="P194" s="63" t="s">
        <v>20</v>
      </c>
      <c r="Q194" s="119" t="s">
        <v>279</v>
      </c>
      <c r="R194" s="119" t="s">
        <v>21</v>
      </c>
      <c r="S194" s="121">
        <v>2013</v>
      </c>
      <c r="T194" s="63" t="s">
        <v>2227</v>
      </c>
      <c r="U194" s="63" t="s">
        <v>2228</v>
      </c>
      <c r="V194" s="122" t="s">
        <v>2229</v>
      </c>
      <c r="W194" s="123" t="s">
        <v>32</v>
      </c>
      <c r="X194" s="63"/>
      <c r="Y194" s="130"/>
      <c r="Z194" s="130"/>
      <c r="AA194" s="130"/>
      <c r="AB194" s="130"/>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c r="BY194" s="124"/>
      <c r="BZ194" s="124"/>
      <c r="CA194" s="124"/>
      <c r="CB194" s="124"/>
      <c r="CC194" s="124"/>
      <c r="CD194" s="124"/>
      <c r="CE194" s="124"/>
      <c r="CF194" s="124"/>
      <c r="CG194" s="124"/>
      <c r="CH194" s="124"/>
      <c r="CI194" s="124"/>
      <c r="CJ194" s="124"/>
      <c r="CK194" s="124"/>
      <c r="CL194" s="124"/>
      <c r="CM194" s="124"/>
      <c r="CN194" s="124"/>
      <c r="CO194" s="124"/>
      <c r="CP194" s="124"/>
    </row>
    <row r="195" spans="1:94" s="131" customFormat="1" ht="38.1" customHeight="1">
      <c r="A195" s="14" t="s">
        <v>60</v>
      </c>
      <c r="B195" s="63" t="s">
        <v>96</v>
      </c>
      <c r="C195" s="125" t="s">
        <v>45</v>
      </c>
      <c r="D195" s="125" t="s">
        <v>2257</v>
      </c>
      <c r="E195" s="125" t="s">
        <v>1301</v>
      </c>
      <c r="F195" s="125" t="s">
        <v>277</v>
      </c>
      <c r="G195" s="126" t="s">
        <v>85</v>
      </c>
      <c r="H195" s="126" t="s">
        <v>1301</v>
      </c>
      <c r="I195" s="125" t="s">
        <v>28</v>
      </c>
      <c r="J195" s="125" t="s">
        <v>109</v>
      </c>
      <c r="K195" s="125" t="s">
        <v>2258</v>
      </c>
      <c r="L195" s="125" t="s">
        <v>2259</v>
      </c>
      <c r="M195" s="127">
        <v>580000</v>
      </c>
      <c r="N195" s="127">
        <v>650000</v>
      </c>
      <c r="O195" s="125" t="s">
        <v>331</v>
      </c>
      <c r="P195" s="126"/>
      <c r="Q195" s="126" t="s">
        <v>279</v>
      </c>
      <c r="R195" s="126" t="s">
        <v>10</v>
      </c>
      <c r="S195" s="128">
        <v>2013</v>
      </c>
      <c r="T195" s="125" t="s">
        <v>2260</v>
      </c>
      <c r="U195" s="125" t="s">
        <v>2304</v>
      </c>
      <c r="V195" s="129" t="s">
        <v>2261</v>
      </c>
      <c r="W195" s="123" t="s">
        <v>32</v>
      </c>
      <c r="X195" s="21"/>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c r="BB195" s="130"/>
      <c r="BC195" s="130"/>
      <c r="BD195" s="130"/>
      <c r="BE195" s="130"/>
      <c r="BF195" s="130"/>
      <c r="BG195" s="130"/>
      <c r="BH195" s="130"/>
      <c r="BI195" s="130"/>
      <c r="BJ195" s="130"/>
      <c r="BK195" s="130"/>
      <c r="BL195" s="130"/>
      <c r="BM195" s="130"/>
      <c r="BN195" s="130"/>
      <c r="BO195" s="130"/>
      <c r="BP195" s="130"/>
      <c r="BQ195" s="130"/>
      <c r="BR195" s="130"/>
      <c r="BS195" s="130"/>
      <c r="BT195" s="130"/>
      <c r="BU195" s="130"/>
      <c r="BV195" s="130"/>
      <c r="BW195" s="130"/>
      <c r="BX195" s="130"/>
      <c r="BY195" s="130"/>
      <c r="BZ195" s="130"/>
      <c r="CA195" s="130"/>
      <c r="CB195" s="130"/>
      <c r="CC195" s="130"/>
      <c r="CD195" s="130"/>
      <c r="CE195" s="130"/>
      <c r="CF195" s="130"/>
      <c r="CG195" s="130"/>
      <c r="CH195" s="130"/>
      <c r="CI195" s="130"/>
      <c r="CJ195" s="130"/>
      <c r="CK195" s="130"/>
      <c r="CL195" s="130"/>
      <c r="CM195" s="130"/>
      <c r="CN195" s="130"/>
      <c r="CO195" s="130"/>
      <c r="CP195" s="130"/>
    </row>
    <row r="196" spans="1:94" s="131" customFormat="1" ht="38.1" customHeight="1">
      <c r="A196" s="14" t="s">
        <v>60</v>
      </c>
      <c r="B196" s="63" t="s">
        <v>96</v>
      </c>
      <c r="C196" s="125" t="s">
        <v>45</v>
      </c>
      <c r="D196" s="125" t="s">
        <v>2262</v>
      </c>
      <c r="E196" s="125" t="s">
        <v>1301</v>
      </c>
      <c r="F196" s="126" t="s">
        <v>277</v>
      </c>
      <c r="G196" s="126" t="s">
        <v>85</v>
      </c>
      <c r="H196" s="126" t="s">
        <v>1301</v>
      </c>
      <c r="I196" s="125" t="s">
        <v>28</v>
      </c>
      <c r="J196" s="125" t="s">
        <v>2263</v>
      </c>
      <c r="K196" s="126" t="s">
        <v>19</v>
      </c>
      <c r="L196" s="125" t="s">
        <v>2259</v>
      </c>
      <c r="M196" s="127">
        <v>300000</v>
      </c>
      <c r="N196" s="127">
        <v>500000</v>
      </c>
      <c r="O196" s="125" t="s">
        <v>2264</v>
      </c>
      <c r="P196" s="126"/>
      <c r="Q196" s="126" t="s">
        <v>279</v>
      </c>
      <c r="R196" s="126" t="s">
        <v>21</v>
      </c>
      <c r="S196" s="128">
        <v>2013</v>
      </c>
      <c r="T196" s="125" t="s">
        <v>2265</v>
      </c>
      <c r="U196" s="125" t="s">
        <v>2266</v>
      </c>
      <c r="V196" s="132" t="s">
        <v>2267</v>
      </c>
      <c r="W196" s="123" t="s">
        <v>32</v>
      </c>
      <c r="X196" s="21"/>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c r="AZ196" s="130"/>
      <c r="BA196" s="130"/>
      <c r="BB196" s="130"/>
      <c r="BC196" s="130"/>
      <c r="BD196" s="130"/>
      <c r="BE196" s="130"/>
      <c r="BF196" s="130"/>
      <c r="BG196" s="130"/>
      <c r="BH196" s="130"/>
      <c r="BI196" s="130"/>
      <c r="BJ196" s="130"/>
      <c r="BK196" s="130"/>
      <c r="BL196" s="130"/>
      <c r="BM196" s="130"/>
      <c r="BN196" s="130"/>
      <c r="BO196" s="130"/>
      <c r="BP196" s="130"/>
      <c r="BQ196" s="130"/>
      <c r="BR196" s="130"/>
      <c r="BS196" s="130"/>
      <c r="BT196" s="130"/>
      <c r="BU196" s="130"/>
      <c r="BV196" s="130"/>
      <c r="BW196" s="130"/>
      <c r="BX196" s="130"/>
      <c r="BY196" s="130"/>
      <c r="BZ196" s="130"/>
      <c r="CA196" s="130"/>
      <c r="CB196" s="130"/>
      <c r="CC196" s="130"/>
      <c r="CD196" s="130"/>
      <c r="CE196" s="130"/>
      <c r="CF196" s="130"/>
      <c r="CG196" s="130"/>
      <c r="CH196" s="130"/>
      <c r="CI196" s="130"/>
      <c r="CJ196" s="130"/>
      <c r="CK196" s="130"/>
      <c r="CL196" s="130"/>
      <c r="CM196" s="130"/>
      <c r="CN196" s="130"/>
      <c r="CO196" s="130"/>
      <c r="CP196" s="130"/>
    </row>
    <row r="197" spans="1:94" s="131" customFormat="1" ht="38.1" customHeight="1">
      <c r="A197" s="14" t="s">
        <v>60</v>
      </c>
      <c r="B197" s="63" t="s">
        <v>96</v>
      </c>
      <c r="C197" s="126" t="s">
        <v>45</v>
      </c>
      <c r="D197" s="125" t="s">
        <v>2268</v>
      </c>
      <c r="E197" s="125" t="s">
        <v>1301</v>
      </c>
      <c r="F197" s="126" t="s">
        <v>277</v>
      </c>
      <c r="G197" s="126" t="s">
        <v>85</v>
      </c>
      <c r="H197" s="126" t="s">
        <v>1301</v>
      </c>
      <c r="I197" s="125" t="s">
        <v>2307</v>
      </c>
      <c r="J197" s="125" t="s">
        <v>109</v>
      </c>
      <c r="K197" s="126" t="s">
        <v>2258</v>
      </c>
      <c r="L197" s="125" t="s">
        <v>2259</v>
      </c>
      <c r="M197" s="127">
        <v>230000</v>
      </c>
      <c r="N197" s="127">
        <v>250000</v>
      </c>
      <c r="O197" s="125"/>
      <c r="P197" s="126"/>
      <c r="Q197" s="126" t="s">
        <v>279</v>
      </c>
      <c r="R197" s="126" t="s">
        <v>10</v>
      </c>
      <c r="S197" s="128">
        <v>2013</v>
      </c>
      <c r="T197" s="125" t="s">
        <v>2269</v>
      </c>
      <c r="U197" s="125" t="s">
        <v>2305</v>
      </c>
      <c r="V197" s="309" t="s">
        <v>2306</v>
      </c>
      <c r="W197" s="123" t="s">
        <v>32</v>
      </c>
      <c r="X197" s="21"/>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130"/>
      <c r="AV197" s="130"/>
      <c r="AW197" s="130"/>
      <c r="AX197" s="130"/>
      <c r="AY197" s="130"/>
      <c r="AZ197" s="130"/>
      <c r="BA197" s="130"/>
      <c r="BB197" s="130"/>
      <c r="BC197" s="130"/>
      <c r="BD197" s="130"/>
      <c r="BE197" s="130"/>
      <c r="BF197" s="130"/>
      <c r="BG197" s="130"/>
      <c r="BH197" s="130"/>
      <c r="BI197" s="130"/>
      <c r="BJ197" s="130"/>
      <c r="BK197" s="130"/>
      <c r="BL197" s="130"/>
      <c r="BM197" s="130"/>
      <c r="BN197" s="130"/>
      <c r="BO197" s="130"/>
      <c r="BP197" s="130"/>
      <c r="BQ197" s="130"/>
      <c r="BR197" s="130"/>
      <c r="BS197" s="130"/>
      <c r="BT197" s="130"/>
      <c r="BU197" s="130"/>
      <c r="BV197" s="130"/>
      <c r="BW197" s="130"/>
      <c r="BX197" s="130"/>
      <c r="BY197" s="130"/>
      <c r="BZ197" s="130"/>
      <c r="CA197" s="130"/>
      <c r="CB197" s="130"/>
      <c r="CC197" s="130"/>
      <c r="CD197" s="130"/>
      <c r="CE197" s="130"/>
      <c r="CF197" s="130"/>
      <c r="CG197" s="130"/>
      <c r="CH197" s="130"/>
      <c r="CI197" s="130"/>
      <c r="CJ197" s="130"/>
      <c r="CK197" s="130"/>
      <c r="CL197" s="130"/>
      <c r="CM197" s="130"/>
      <c r="CN197" s="130"/>
      <c r="CO197" s="130"/>
      <c r="CP197" s="130"/>
    </row>
    <row r="198" spans="1:94" s="131" customFormat="1" ht="38.1" customHeight="1">
      <c r="A198" s="14" t="s">
        <v>60</v>
      </c>
      <c r="B198" s="63" t="s">
        <v>96</v>
      </c>
      <c r="C198" s="126" t="s">
        <v>45</v>
      </c>
      <c r="D198" s="125" t="s">
        <v>2270</v>
      </c>
      <c r="E198" s="125" t="s">
        <v>1301</v>
      </c>
      <c r="F198" s="126" t="s">
        <v>277</v>
      </c>
      <c r="G198" s="126" t="s">
        <v>85</v>
      </c>
      <c r="H198" s="208">
        <v>541511</v>
      </c>
      <c r="I198" s="125" t="s">
        <v>28</v>
      </c>
      <c r="J198" s="125" t="s">
        <v>109</v>
      </c>
      <c r="K198" s="21" t="s">
        <v>29</v>
      </c>
      <c r="L198" s="125" t="s">
        <v>2271</v>
      </c>
      <c r="M198" s="127">
        <v>15000</v>
      </c>
      <c r="N198" s="127">
        <v>20000</v>
      </c>
      <c r="O198" s="125" t="s">
        <v>331</v>
      </c>
      <c r="P198" s="126"/>
      <c r="Q198" s="125" t="s">
        <v>2272</v>
      </c>
      <c r="R198" s="126" t="s">
        <v>10</v>
      </c>
      <c r="S198" s="128">
        <v>2013</v>
      </c>
      <c r="T198" s="125" t="s">
        <v>2273</v>
      </c>
      <c r="U198" s="125" t="s">
        <v>2274</v>
      </c>
      <c r="V198" s="129" t="s">
        <v>2275</v>
      </c>
      <c r="W198" s="123" t="s">
        <v>32</v>
      </c>
      <c r="X198" s="21"/>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130"/>
      <c r="AV198" s="130"/>
      <c r="AW198" s="130"/>
      <c r="AX198" s="130"/>
      <c r="AY198" s="130"/>
      <c r="AZ198" s="130"/>
      <c r="BA198" s="130"/>
      <c r="BB198" s="130"/>
      <c r="BC198" s="130"/>
      <c r="BD198" s="130"/>
      <c r="BE198" s="130"/>
      <c r="BF198" s="130"/>
      <c r="BG198" s="130"/>
      <c r="BH198" s="130"/>
      <c r="BI198" s="130"/>
      <c r="BJ198" s="130"/>
      <c r="BK198" s="130"/>
      <c r="BL198" s="130"/>
      <c r="BM198" s="130"/>
      <c r="BN198" s="130"/>
      <c r="BO198" s="130"/>
      <c r="BP198" s="130"/>
      <c r="BQ198" s="130"/>
      <c r="BR198" s="130"/>
      <c r="BS198" s="130"/>
      <c r="BT198" s="130"/>
      <c r="BU198" s="130"/>
      <c r="BV198" s="130"/>
      <c r="BW198" s="130"/>
      <c r="BX198" s="130"/>
      <c r="BY198" s="130"/>
      <c r="BZ198" s="130"/>
      <c r="CA198" s="130"/>
      <c r="CB198" s="130"/>
      <c r="CC198" s="130"/>
      <c r="CD198" s="130"/>
      <c r="CE198" s="130"/>
      <c r="CF198" s="130"/>
      <c r="CG198" s="130"/>
      <c r="CH198" s="130"/>
      <c r="CI198" s="130"/>
      <c r="CJ198" s="130"/>
      <c r="CK198" s="130"/>
      <c r="CL198" s="130"/>
      <c r="CM198" s="130"/>
      <c r="CN198" s="130"/>
      <c r="CO198" s="130"/>
      <c r="CP198" s="130"/>
    </row>
    <row r="199" spans="1:94" s="131" customFormat="1" ht="38.1" customHeight="1">
      <c r="A199" s="14" t="s">
        <v>60</v>
      </c>
      <c r="B199" s="63" t="s">
        <v>96</v>
      </c>
      <c r="C199" s="126" t="s">
        <v>45</v>
      </c>
      <c r="D199" s="133" t="s">
        <v>2276</v>
      </c>
      <c r="E199" s="125" t="s">
        <v>1301</v>
      </c>
      <c r="F199" s="134" t="s">
        <v>277</v>
      </c>
      <c r="G199" s="134" t="s">
        <v>85</v>
      </c>
      <c r="H199" s="126" t="s">
        <v>1301</v>
      </c>
      <c r="I199" s="133" t="s">
        <v>28</v>
      </c>
      <c r="J199" s="133" t="s">
        <v>2277</v>
      </c>
      <c r="K199" s="21" t="s">
        <v>29</v>
      </c>
      <c r="L199" s="133" t="s">
        <v>2259</v>
      </c>
      <c r="M199" s="135">
        <v>250000</v>
      </c>
      <c r="N199" s="135">
        <v>500000</v>
      </c>
      <c r="O199" s="133" t="s">
        <v>2278</v>
      </c>
      <c r="P199" s="134"/>
      <c r="Q199" s="134" t="s">
        <v>2279</v>
      </c>
      <c r="R199" s="134" t="s">
        <v>21</v>
      </c>
      <c r="S199" s="136">
        <v>2013</v>
      </c>
      <c r="T199" s="133" t="s">
        <v>2280</v>
      </c>
      <c r="U199" s="133" t="s">
        <v>2281</v>
      </c>
      <c r="V199" s="137" t="s">
        <v>2282</v>
      </c>
      <c r="W199" s="123" t="s">
        <v>32</v>
      </c>
      <c r="X199" s="21" t="s">
        <v>2303</v>
      </c>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c r="AZ199" s="130"/>
      <c r="BA199" s="130"/>
      <c r="BB199" s="130"/>
      <c r="BC199" s="130"/>
      <c r="BD199" s="130"/>
      <c r="BE199" s="130"/>
      <c r="BF199" s="130"/>
      <c r="BG199" s="130"/>
      <c r="BH199" s="130"/>
      <c r="BI199" s="130"/>
      <c r="BJ199" s="130"/>
      <c r="BK199" s="130"/>
      <c r="BL199" s="130"/>
      <c r="BM199" s="130"/>
      <c r="BN199" s="130"/>
      <c r="BO199" s="130"/>
      <c r="BP199" s="130"/>
      <c r="BQ199" s="130"/>
      <c r="BR199" s="130"/>
      <c r="BS199" s="130"/>
      <c r="BT199" s="130"/>
      <c r="BU199" s="130"/>
      <c r="BV199" s="130"/>
      <c r="BW199" s="130"/>
      <c r="BX199" s="130"/>
      <c r="BY199" s="130"/>
      <c r="BZ199" s="130"/>
      <c r="CA199" s="130"/>
      <c r="CB199" s="130"/>
      <c r="CC199" s="130"/>
      <c r="CD199" s="130"/>
      <c r="CE199" s="130"/>
      <c r="CF199" s="130"/>
      <c r="CG199" s="130"/>
      <c r="CH199" s="130"/>
      <c r="CI199" s="130"/>
      <c r="CJ199" s="130"/>
      <c r="CK199" s="130"/>
      <c r="CL199" s="130"/>
      <c r="CM199" s="130"/>
      <c r="CN199" s="130"/>
      <c r="CO199" s="130"/>
      <c r="CP199" s="130"/>
    </row>
    <row r="200" spans="1:94" s="131" customFormat="1" ht="38.1" customHeight="1">
      <c r="A200" s="14" t="s">
        <v>60</v>
      </c>
      <c r="B200" s="63" t="s">
        <v>96</v>
      </c>
      <c r="C200" s="138" t="s">
        <v>3</v>
      </c>
      <c r="D200" s="139" t="s">
        <v>2283</v>
      </c>
      <c r="E200" s="125" t="s">
        <v>1301</v>
      </c>
      <c r="F200" s="140" t="s">
        <v>277</v>
      </c>
      <c r="G200" s="21" t="s">
        <v>85</v>
      </c>
      <c r="H200" s="26">
        <v>541511</v>
      </c>
      <c r="I200" s="21" t="s">
        <v>28</v>
      </c>
      <c r="J200" s="21" t="s">
        <v>109</v>
      </c>
      <c r="K200" s="21" t="s">
        <v>29</v>
      </c>
      <c r="L200" s="21"/>
      <c r="M200" s="86">
        <v>2200000</v>
      </c>
      <c r="N200" s="86">
        <v>2200000</v>
      </c>
      <c r="O200" s="21"/>
      <c r="P200" s="21"/>
      <c r="Q200" s="21" t="s">
        <v>2309</v>
      </c>
      <c r="R200" s="21" t="s">
        <v>21</v>
      </c>
      <c r="S200" s="74">
        <v>2013</v>
      </c>
      <c r="T200" s="21" t="s">
        <v>2284</v>
      </c>
      <c r="U200" s="21" t="s">
        <v>2285</v>
      </c>
      <c r="V200" s="50" t="s">
        <v>2286</v>
      </c>
      <c r="W200" s="123" t="s">
        <v>32</v>
      </c>
      <c r="X200" s="21"/>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c r="AZ200" s="130"/>
      <c r="BA200" s="130"/>
      <c r="BB200" s="130"/>
      <c r="BC200" s="130"/>
      <c r="BD200" s="130"/>
      <c r="BE200" s="130"/>
      <c r="BF200" s="130"/>
      <c r="BG200" s="130"/>
      <c r="BH200" s="130"/>
      <c r="BI200" s="130"/>
      <c r="BJ200" s="130"/>
      <c r="BK200" s="130"/>
      <c r="BL200" s="130"/>
      <c r="BM200" s="130"/>
      <c r="BN200" s="130"/>
      <c r="BO200" s="130"/>
      <c r="BP200" s="130"/>
      <c r="BQ200" s="130"/>
      <c r="BR200" s="130"/>
      <c r="BS200" s="130"/>
      <c r="BT200" s="130"/>
      <c r="BU200" s="130"/>
      <c r="BV200" s="130"/>
      <c r="BW200" s="130"/>
      <c r="BX200" s="130"/>
      <c r="BY200" s="130"/>
      <c r="BZ200" s="130"/>
      <c r="CA200" s="130"/>
      <c r="CB200" s="130"/>
      <c r="CC200" s="130"/>
      <c r="CD200" s="130"/>
      <c r="CE200" s="130"/>
      <c r="CF200" s="130"/>
      <c r="CG200" s="130"/>
      <c r="CH200" s="130"/>
      <c r="CI200" s="130"/>
      <c r="CJ200" s="130"/>
      <c r="CK200" s="130"/>
      <c r="CL200" s="130"/>
      <c r="CM200" s="130"/>
      <c r="CN200" s="130"/>
      <c r="CO200" s="130"/>
      <c r="CP200" s="130"/>
    </row>
    <row r="201" spans="1:94" s="131" customFormat="1" ht="38.1" customHeight="1">
      <c r="A201" s="14" t="s">
        <v>60</v>
      </c>
      <c r="B201" s="63" t="s">
        <v>96</v>
      </c>
      <c r="C201" s="138" t="s">
        <v>45</v>
      </c>
      <c r="D201" s="21" t="s">
        <v>2287</v>
      </c>
      <c r="E201" s="141"/>
      <c r="F201" s="21" t="s">
        <v>277</v>
      </c>
      <c r="G201" s="21" t="s">
        <v>85</v>
      </c>
      <c r="H201" s="26">
        <v>511210</v>
      </c>
      <c r="I201" s="21" t="s">
        <v>28</v>
      </c>
      <c r="J201" s="21" t="s">
        <v>29</v>
      </c>
      <c r="K201" s="21" t="s">
        <v>29</v>
      </c>
      <c r="L201" s="21"/>
      <c r="M201" s="86">
        <v>25000</v>
      </c>
      <c r="N201" s="86">
        <v>28654</v>
      </c>
      <c r="O201" s="21" t="s">
        <v>2308</v>
      </c>
      <c r="P201" s="21"/>
      <c r="Q201" s="21" t="s">
        <v>2272</v>
      </c>
      <c r="R201" s="21" t="s">
        <v>10</v>
      </c>
      <c r="S201" s="74">
        <v>2013</v>
      </c>
      <c r="T201" s="21" t="s">
        <v>2280</v>
      </c>
      <c r="U201" s="21" t="s">
        <v>2288</v>
      </c>
      <c r="V201" s="21"/>
      <c r="W201" s="123" t="s">
        <v>32</v>
      </c>
      <c r="X201" s="21"/>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c r="AZ201" s="130"/>
      <c r="BA201" s="130"/>
      <c r="BB201" s="130"/>
      <c r="BC201" s="130"/>
      <c r="BD201" s="130"/>
      <c r="BE201" s="130"/>
      <c r="BF201" s="130"/>
      <c r="BG201" s="130"/>
      <c r="BH201" s="130"/>
      <c r="BI201" s="130"/>
      <c r="BJ201" s="130"/>
      <c r="BK201" s="130"/>
      <c r="BL201" s="130"/>
      <c r="BM201" s="130"/>
      <c r="BN201" s="130"/>
      <c r="BO201" s="130"/>
      <c r="BP201" s="130"/>
      <c r="BQ201" s="130"/>
      <c r="BR201" s="130"/>
      <c r="BS201" s="130"/>
      <c r="BT201" s="130"/>
      <c r="BU201" s="130"/>
      <c r="BV201" s="130"/>
      <c r="BW201" s="130"/>
      <c r="BX201" s="130"/>
      <c r="BY201" s="130"/>
      <c r="BZ201" s="130"/>
      <c r="CA201" s="130"/>
      <c r="CB201" s="130"/>
      <c r="CC201" s="130"/>
      <c r="CD201" s="130"/>
      <c r="CE201" s="130"/>
      <c r="CF201" s="130"/>
      <c r="CG201" s="130"/>
      <c r="CH201" s="130"/>
      <c r="CI201" s="130"/>
      <c r="CJ201" s="130"/>
      <c r="CK201" s="130"/>
      <c r="CL201" s="130"/>
      <c r="CM201" s="130"/>
      <c r="CN201" s="130"/>
      <c r="CO201" s="130"/>
      <c r="CP201" s="130"/>
    </row>
    <row r="202" spans="1:94" s="131" customFormat="1" ht="38.1" customHeight="1">
      <c r="A202" s="14" t="s">
        <v>60</v>
      </c>
      <c r="B202" s="63" t="s">
        <v>96</v>
      </c>
      <c r="C202" s="138" t="s">
        <v>3</v>
      </c>
      <c r="D202" s="21" t="s">
        <v>2289</v>
      </c>
      <c r="E202" s="21"/>
      <c r="F202" s="21" t="s">
        <v>277</v>
      </c>
      <c r="G202" s="21" t="s">
        <v>85</v>
      </c>
      <c r="H202" s="26"/>
      <c r="I202" s="21" t="s">
        <v>2290</v>
      </c>
      <c r="J202" s="21" t="s">
        <v>2291</v>
      </c>
      <c r="K202" s="21"/>
      <c r="L202" s="21"/>
      <c r="M202" s="86">
        <v>41000</v>
      </c>
      <c r="N202" s="86"/>
      <c r="O202" s="21"/>
      <c r="P202" s="21"/>
      <c r="Q202" s="21"/>
      <c r="R202" s="21" t="s">
        <v>10</v>
      </c>
      <c r="S202" s="74">
        <v>2013</v>
      </c>
      <c r="T202" s="21" t="s">
        <v>2284</v>
      </c>
      <c r="U202" s="21" t="s">
        <v>2285</v>
      </c>
      <c r="V202" s="50" t="s">
        <v>2286</v>
      </c>
      <c r="W202" s="123" t="s">
        <v>32</v>
      </c>
      <c r="X202" s="21"/>
      <c r="Y202" s="93"/>
      <c r="Z202" s="93"/>
      <c r="AA202" s="93"/>
      <c r="AB202" s="93"/>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c r="BA202" s="130"/>
      <c r="BB202" s="130"/>
      <c r="BC202" s="130"/>
      <c r="BD202" s="130"/>
      <c r="BE202" s="130"/>
      <c r="BF202" s="130"/>
      <c r="BG202" s="130"/>
      <c r="BH202" s="130"/>
      <c r="BI202" s="130"/>
      <c r="BJ202" s="130"/>
      <c r="BK202" s="130"/>
      <c r="BL202" s="130"/>
      <c r="BM202" s="130"/>
      <c r="BN202" s="130"/>
      <c r="BO202" s="130"/>
      <c r="BP202" s="130"/>
      <c r="BQ202" s="130"/>
      <c r="BR202" s="130"/>
      <c r="BS202" s="130"/>
      <c r="BT202" s="130"/>
      <c r="BU202" s="130"/>
      <c r="BV202" s="130"/>
      <c r="BW202" s="130"/>
      <c r="BX202" s="130"/>
      <c r="BY202" s="130"/>
      <c r="BZ202" s="130"/>
      <c r="CA202" s="130"/>
      <c r="CB202" s="130"/>
      <c r="CC202" s="130"/>
      <c r="CD202" s="130"/>
      <c r="CE202" s="130"/>
      <c r="CF202" s="130"/>
      <c r="CG202" s="130"/>
      <c r="CH202" s="130"/>
      <c r="CI202" s="130"/>
      <c r="CJ202" s="130"/>
      <c r="CK202" s="130"/>
      <c r="CL202" s="130"/>
      <c r="CM202" s="130"/>
      <c r="CN202" s="130"/>
      <c r="CO202" s="130"/>
      <c r="CP202" s="130"/>
    </row>
    <row r="203" spans="1:94" s="131" customFormat="1" ht="38.1" customHeight="1">
      <c r="A203" s="14" t="s">
        <v>60</v>
      </c>
      <c r="B203" s="63" t="s">
        <v>96</v>
      </c>
      <c r="C203" s="138" t="s">
        <v>45</v>
      </c>
      <c r="D203" s="21" t="s">
        <v>2292</v>
      </c>
      <c r="E203" s="21"/>
      <c r="F203" s="21" t="s">
        <v>277</v>
      </c>
      <c r="G203" s="21" t="s">
        <v>85</v>
      </c>
      <c r="H203" s="26">
        <v>541511</v>
      </c>
      <c r="I203" s="21"/>
      <c r="J203" s="21"/>
      <c r="K203" s="21"/>
      <c r="L203" s="21"/>
      <c r="M203" s="86">
        <v>15190</v>
      </c>
      <c r="N203" s="86"/>
      <c r="O203" s="21"/>
      <c r="P203" s="21"/>
      <c r="Q203" s="21"/>
      <c r="R203" s="21" t="s">
        <v>31</v>
      </c>
      <c r="S203" s="74">
        <v>2013</v>
      </c>
      <c r="T203" s="21" t="s">
        <v>2280</v>
      </c>
      <c r="U203" s="21" t="s">
        <v>2288</v>
      </c>
      <c r="V203" s="21"/>
      <c r="W203" s="123" t="s">
        <v>32</v>
      </c>
      <c r="X203" s="21"/>
      <c r="Y203" s="186"/>
      <c r="Z203" s="186"/>
      <c r="AA203" s="186"/>
      <c r="AB203" s="186"/>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c r="AZ203" s="130"/>
      <c r="BA203" s="130"/>
      <c r="BB203" s="130"/>
      <c r="BC203" s="130"/>
      <c r="BD203" s="130"/>
      <c r="BE203" s="130"/>
      <c r="BF203" s="130"/>
      <c r="BG203" s="130"/>
      <c r="BH203" s="130"/>
      <c r="BI203" s="130"/>
      <c r="BJ203" s="130"/>
      <c r="BK203" s="130"/>
      <c r="BL203" s="130"/>
      <c r="BM203" s="130"/>
      <c r="BN203" s="130"/>
      <c r="BO203" s="130"/>
      <c r="BP203" s="130"/>
      <c r="BQ203" s="130"/>
      <c r="BR203" s="130"/>
      <c r="BS203" s="130"/>
      <c r="BT203" s="130"/>
      <c r="BU203" s="130"/>
      <c r="BV203" s="130"/>
      <c r="BW203" s="130"/>
      <c r="BX203" s="130"/>
      <c r="BY203" s="130"/>
      <c r="BZ203" s="130"/>
      <c r="CA203" s="130"/>
      <c r="CB203" s="130"/>
      <c r="CC203" s="130"/>
      <c r="CD203" s="130"/>
      <c r="CE203" s="130"/>
      <c r="CF203" s="130"/>
      <c r="CG203" s="130"/>
      <c r="CH203" s="130"/>
      <c r="CI203" s="130"/>
      <c r="CJ203" s="130"/>
      <c r="CK203" s="130"/>
      <c r="CL203" s="130"/>
      <c r="CM203" s="130"/>
      <c r="CN203" s="130"/>
      <c r="CO203" s="130"/>
      <c r="CP203" s="130"/>
    </row>
    <row r="204" spans="1:94" s="131" customFormat="1" ht="38.1" customHeight="1">
      <c r="A204" s="14" t="s">
        <v>60</v>
      </c>
      <c r="B204" s="63" t="s">
        <v>96</v>
      </c>
      <c r="C204" s="138" t="s">
        <v>45</v>
      </c>
      <c r="D204" s="21" t="s">
        <v>2293</v>
      </c>
      <c r="E204" s="21"/>
      <c r="F204" s="21" t="s">
        <v>277</v>
      </c>
      <c r="G204" s="21" t="s">
        <v>85</v>
      </c>
      <c r="H204" s="21"/>
      <c r="I204" s="21"/>
      <c r="J204" s="21"/>
      <c r="K204" s="21"/>
      <c r="L204" s="21"/>
      <c r="M204" s="86">
        <v>46000</v>
      </c>
      <c r="N204" s="86"/>
      <c r="O204" s="21"/>
      <c r="P204" s="21"/>
      <c r="Q204" s="21"/>
      <c r="R204" s="21"/>
      <c r="S204" s="74"/>
      <c r="T204" s="21"/>
      <c r="U204" s="21"/>
      <c r="V204" s="21"/>
      <c r="W204" s="123" t="s">
        <v>32</v>
      </c>
      <c r="X204" s="21"/>
      <c r="Y204" s="91"/>
      <c r="Z204" s="91"/>
      <c r="AA204" s="91"/>
      <c r="AB204" s="91"/>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c r="AZ204" s="130"/>
      <c r="BA204" s="130"/>
      <c r="BB204" s="130"/>
      <c r="BC204" s="130"/>
      <c r="BD204" s="130"/>
      <c r="BE204" s="130"/>
      <c r="BF204" s="130"/>
      <c r="BG204" s="130"/>
      <c r="BH204" s="130"/>
      <c r="BI204" s="130"/>
      <c r="BJ204" s="130"/>
      <c r="BK204" s="130"/>
      <c r="BL204" s="130"/>
      <c r="BM204" s="130"/>
      <c r="BN204" s="130"/>
      <c r="BO204" s="130"/>
      <c r="BP204" s="130"/>
      <c r="BQ204" s="130"/>
      <c r="BR204" s="130"/>
      <c r="BS204" s="130"/>
      <c r="BT204" s="130"/>
      <c r="BU204" s="130"/>
      <c r="BV204" s="130"/>
      <c r="BW204" s="130"/>
      <c r="BX204" s="130"/>
      <c r="BY204" s="130"/>
      <c r="BZ204" s="130"/>
      <c r="CA204" s="130"/>
      <c r="CB204" s="130"/>
      <c r="CC204" s="130"/>
      <c r="CD204" s="130"/>
      <c r="CE204" s="130"/>
      <c r="CF204" s="130"/>
      <c r="CG204" s="130"/>
      <c r="CH204" s="130"/>
      <c r="CI204" s="130"/>
      <c r="CJ204" s="130"/>
      <c r="CK204" s="130"/>
      <c r="CL204" s="130"/>
      <c r="CM204" s="130"/>
      <c r="CN204" s="130"/>
      <c r="CO204" s="130"/>
      <c r="CP204" s="130"/>
    </row>
    <row r="205" spans="1:94" s="131" customFormat="1" ht="38.1" customHeight="1">
      <c r="A205" s="14" t="s">
        <v>60</v>
      </c>
      <c r="B205" s="63" t="s">
        <v>96</v>
      </c>
      <c r="C205" s="138"/>
      <c r="D205" s="21" t="s">
        <v>2294</v>
      </c>
      <c r="E205" s="21"/>
      <c r="F205" s="21" t="s">
        <v>277</v>
      </c>
      <c r="G205" s="21" t="s">
        <v>85</v>
      </c>
      <c r="H205" s="26">
        <v>511210</v>
      </c>
      <c r="I205" s="21"/>
      <c r="J205" s="21" t="s">
        <v>109</v>
      </c>
      <c r="K205" s="21" t="s">
        <v>29</v>
      </c>
      <c r="L205" s="21"/>
      <c r="M205" s="86">
        <v>20000</v>
      </c>
      <c r="N205" s="86">
        <v>54000</v>
      </c>
      <c r="O205" s="21" t="s">
        <v>2295</v>
      </c>
      <c r="P205" s="21"/>
      <c r="Q205" s="21"/>
      <c r="R205" s="134" t="s">
        <v>21</v>
      </c>
      <c r="S205" s="74">
        <v>2013</v>
      </c>
      <c r="T205" s="21"/>
      <c r="U205" s="21"/>
      <c r="V205" s="21"/>
      <c r="W205" s="123" t="s">
        <v>32</v>
      </c>
      <c r="X205" s="21"/>
      <c r="Y205" s="91"/>
      <c r="Z205" s="91"/>
      <c r="AA205" s="91"/>
      <c r="AB205" s="91"/>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c r="AZ205" s="130"/>
      <c r="BA205" s="130"/>
      <c r="BB205" s="130"/>
      <c r="BC205" s="130"/>
      <c r="BD205" s="130"/>
      <c r="BE205" s="130"/>
      <c r="BF205" s="130"/>
      <c r="BG205" s="130"/>
      <c r="BH205" s="130"/>
      <c r="BI205" s="130"/>
      <c r="BJ205" s="130"/>
      <c r="BK205" s="130"/>
      <c r="BL205" s="130"/>
      <c r="BM205" s="130"/>
      <c r="BN205" s="130"/>
      <c r="BO205" s="130"/>
      <c r="BP205" s="130"/>
      <c r="BQ205" s="130"/>
      <c r="BR205" s="130"/>
      <c r="BS205" s="130"/>
      <c r="BT205" s="130"/>
      <c r="BU205" s="130"/>
      <c r="BV205" s="130"/>
      <c r="BW205" s="130"/>
      <c r="BX205" s="130"/>
      <c r="BY205" s="130"/>
      <c r="BZ205" s="130"/>
      <c r="CA205" s="130"/>
      <c r="CB205" s="130"/>
      <c r="CC205" s="130"/>
      <c r="CD205" s="130"/>
      <c r="CE205" s="130"/>
      <c r="CF205" s="130"/>
      <c r="CG205" s="130"/>
      <c r="CH205" s="130"/>
      <c r="CI205" s="130"/>
      <c r="CJ205" s="130"/>
      <c r="CK205" s="130"/>
      <c r="CL205" s="130"/>
      <c r="CM205" s="130"/>
      <c r="CN205" s="130"/>
      <c r="CO205" s="130"/>
      <c r="CP205" s="130"/>
    </row>
    <row r="206" spans="1:94" s="131" customFormat="1" ht="38.1" customHeight="1">
      <c r="A206" s="14" t="s">
        <v>60</v>
      </c>
      <c r="B206" s="63" t="s">
        <v>96</v>
      </c>
      <c r="C206" s="138"/>
      <c r="D206" s="21" t="s">
        <v>2296</v>
      </c>
      <c r="E206" s="21"/>
      <c r="F206" s="21" t="s">
        <v>277</v>
      </c>
      <c r="G206" s="21" t="s">
        <v>85</v>
      </c>
      <c r="H206" s="21"/>
      <c r="I206" s="21"/>
      <c r="J206" s="21" t="s">
        <v>109</v>
      </c>
      <c r="K206" s="21"/>
      <c r="L206" s="21"/>
      <c r="M206" s="86">
        <v>4000</v>
      </c>
      <c r="N206" s="86">
        <v>4000</v>
      </c>
      <c r="O206" s="21" t="s">
        <v>2297</v>
      </c>
      <c r="P206" s="21"/>
      <c r="Q206" s="21"/>
      <c r="R206" s="21" t="s">
        <v>21</v>
      </c>
      <c r="S206" s="74"/>
      <c r="T206" s="21" t="s">
        <v>2280</v>
      </c>
      <c r="U206" s="21"/>
      <c r="V206" s="21"/>
      <c r="W206" s="123" t="s">
        <v>32</v>
      </c>
      <c r="X206" s="21"/>
      <c r="Y206" s="91"/>
      <c r="Z206" s="91"/>
      <c r="AA206" s="91"/>
      <c r="AB206" s="91"/>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c r="AZ206" s="130"/>
      <c r="BA206" s="130"/>
      <c r="BB206" s="130"/>
      <c r="BC206" s="130"/>
      <c r="BD206" s="130"/>
      <c r="BE206" s="130"/>
      <c r="BF206" s="130"/>
      <c r="BG206" s="130"/>
      <c r="BH206" s="130"/>
      <c r="BI206" s="130"/>
      <c r="BJ206" s="130"/>
      <c r="BK206" s="130"/>
      <c r="BL206" s="130"/>
      <c r="BM206" s="130"/>
      <c r="BN206" s="130"/>
      <c r="BO206" s="130"/>
      <c r="BP206" s="130"/>
      <c r="BQ206" s="130"/>
      <c r="BR206" s="130"/>
      <c r="BS206" s="130"/>
      <c r="BT206" s="130"/>
      <c r="BU206" s="130"/>
      <c r="BV206" s="130"/>
      <c r="BW206" s="130"/>
      <c r="BX206" s="130"/>
      <c r="BY206" s="130"/>
      <c r="BZ206" s="130"/>
      <c r="CA206" s="130"/>
      <c r="CB206" s="130"/>
      <c r="CC206" s="130"/>
      <c r="CD206" s="130"/>
      <c r="CE206" s="130"/>
      <c r="CF206" s="130"/>
      <c r="CG206" s="130"/>
      <c r="CH206" s="130"/>
      <c r="CI206" s="130"/>
      <c r="CJ206" s="130"/>
      <c r="CK206" s="130"/>
      <c r="CL206" s="130"/>
      <c r="CM206" s="130"/>
      <c r="CN206" s="130"/>
      <c r="CO206" s="130"/>
      <c r="CP206" s="130"/>
    </row>
    <row r="207" spans="1:94" s="131" customFormat="1" ht="38.1" customHeight="1">
      <c r="A207" s="14" t="s">
        <v>60</v>
      </c>
      <c r="B207" s="63" t="s">
        <v>96</v>
      </c>
      <c r="C207" s="138"/>
      <c r="D207" s="21" t="s">
        <v>2298</v>
      </c>
      <c r="E207" s="21"/>
      <c r="F207" s="21" t="s">
        <v>277</v>
      </c>
      <c r="G207" s="21" t="s">
        <v>85</v>
      </c>
      <c r="H207" s="21"/>
      <c r="I207" s="21"/>
      <c r="J207" s="21"/>
      <c r="K207" s="21"/>
      <c r="L207" s="21"/>
      <c r="M207" s="86">
        <v>2379</v>
      </c>
      <c r="N207" s="86"/>
      <c r="O207" s="21"/>
      <c r="P207" s="21"/>
      <c r="Q207" s="21"/>
      <c r="R207" s="142"/>
      <c r="S207" s="74"/>
      <c r="T207" s="21" t="s">
        <v>2280</v>
      </c>
      <c r="U207" s="142"/>
      <c r="V207" s="142"/>
      <c r="W207" s="123" t="s">
        <v>32</v>
      </c>
      <c r="X207" s="21"/>
      <c r="Y207" s="91"/>
      <c r="Z207" s="91"/>
      <c r="AA207" s="91"/>
      <c r="AB207" s="91"/>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c r="AZ207" s="130"/>
      <c r="BA207" s="130"/>
      <c r="BB207" s="130"/>
      <c r="BC207" s="130"/>
      <c r="BD207" s="130"/>
      <c r="BE207" s="130"/>
      <c r="BF207" s="130"/>
      <c r="BG207" s="130"/>
      <c r="BH207" s="130"/>
      <c r="BI207" s="130"/>
      <c r="BJ207" s="130"/>
      <c r="BK207" s="130"/>
      <c r="BL207" s="130"/>
      <c r="BM207" s="130"/>
      <c r="BN207" s="130"/>
      <c r="BO207" s="130"/>
      <c r="BP207" s="130"/>
      <c r="BQ207" s="130"/>
      <c r="BR207" s="130"/>
      <c r="BS207" s="130"/>
      <c r="BT207" s="130"/>
      <c r="BU207" s="130"/>
      <c r="BV207" s="130"/>
      <c r="BW207" s="130"/>
      <c r="BX207" s="130"/>
      <c r="BY207" s="130"/>
      <c r="BZ207" s="130"/>
      <c r="CA207" s="130"/>
      <c r="CB207" s="130"/>
      <c r="CC207" s="130"/>
      <c r="CD207" s="130"/>
      <c r="CE207" s="130"/>
      <c r="CF207" s="130"/>
      <c r="CG207" s="130"/>
      <c r="CH207" s="130"/>
      <c r="CI207" s="130"/>
      <c r="CJ207" s="130"/>
      <c r="CK207" s="130"/>
      <c r="CL207" s="130"/>
      <c r="CM207" s="130"/>
      <c r="CN207" s="130"/>
      <c r="CO207" s="130"/>
      <c r="CP207" s="130"/>
    </row>
    <row r="208" spans="1:94" s="131" customFormat="1" ht="51.95" customHeight="1">
      <c r="A208" s="14" t="s">
        <v>60</v>
      </c>
      <c r="B208" s="63" t="s">
        <v>96</v>
      </c>
      <c r="C208" s="126" t="s">
        <v>45</v>
      </c>
      <c r="D208" s="143" t="s">
        <v>2302</v>
      </c>
      <c r="E208" s="144"/>
      <c r="F208" s="144" t="s">
        <v>277</v>
      </c>
      <c r="G208" s="144" t="s">
        <v>85</v>
      </c>
      <c r="H208" s="144"/>
      <c r="I208" s="145"/>
      <c r="J208" s="21" t="s">
        <v>109</v>
      </c>
      <c r="K208" s="146"/>
      <c r="L208" s="144"/>
      <c r="M208" s="147">
        <v>3700000</v>
      </c>
      <c r="N208" s="147">
        <v>3800000</v>
      </c>
      <c r="O208" s="145" t="s">
        <v>2299</v>
      </c>
      <c r="P208" s="148"/>
      <c r="Q208" s="148" t="s">
        <v>2272</v>
      </c>
      <c r="R208" s="126" t="s">
        <v>10</v>
      </c>
      <c r="S208" s="149">
        <v>2013</v>
      </c>
      <c r="T208" s="144" t="s">
        <v>2273</v>
      </c>
      <c r="U208" s="125" t="s">
        <v>2274</v>
      </c>
      <c r="V208" s="189" t="s">
        <v>2275</v>
      </c>
      <c r="W208" s="63" t="s">
        <v>32</v>
      </c>
      <c r="X208" s="21" t="s">
        <v>2301</v>
      </c>
      <c r="Y208" s="91"/>
      <c r="Z208" s="91"/>
      <c r="AA208" s="91"/>
      <c r="AB208" s="91"/>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c r="AZ208" s="130"/>
      <c r="BA208" s="130"/>
      <c r="BB208" s="130"/>
      <c r="BC208" s="130"/>
      <c r="BD208" s="130"/>
      <c r="BE208" s="130"/>
      <c r="BF208" s="130"/>
      <c r="BG208" s="130"/>
      <c r="BH208" s="130"/>
      <c r="BI208" s="130"/>
      <c r="BJ208" s="130"/>
      <c r="BK208" s="130"/>
      <c r="BL208" s="130"/>
      <c r="BM208" s="130"/>
      <c r="BN208" s="130"/>
      <c r="BO208" s="130"/>
      <c r="BP208" s="130"/>
      <c r="BQ208" s="130"/>
      <c r="BR208" s="130"/>
      <c r="BS208" s="130"/>
      <c r="BT208" s="130"/>
      <c r="BU208" s="130"/>
      <c r="BV208" s="130"/>
      <c r="BW208" s="130"/>
      <c r="BX208" s="130"/>
      <c r="BY208" s="130"/>
      <c r="BZ208" s="130"/>
      <c r="CA208" s="130"/>
      <c r="CB208" s="130"/>
      <c r="CC208" s="130"/>
      <c r="CD208" s="130"/>
      <c r="CE208" s="130"/>
      <c r="CF208" s="130"/>
      <c r="CG208" s="130"/>
      <c r="CH208" s="130"/>
      <c r="CI208" s="130"/>
      <c r="CJ208" s="130"/>
      <c r="CK208" s="130"/>
      <c r="CL208" s="130"/>
      <c r="CM208" s="130"/>
      <c r="CN208" s="130"/>
      <c r="CO208" s="130"/>
      <c r="CP208" s="130"/>
    </row>
    <row r="209" spans="1:94" s="131" customFormat="1" ht="39.950000000000003" customHeight="1">
      <c r="A209" s="154" t="s">
        <v>60</v>
      </c>
      <c r="B209" s="178" t="s">
        <v>96</v>
      </c>
      <c r="C209" s="179" t="s">
        <v>45</v>
      </c>
      <c r="D209" s="180" t="s">
        <v>2300</v>
      </c>
      <c r="E209" s="180"/>
      <c r="F209" s="180" t="s">
        <v>277</v>
      </c>
      <c r="G209" s="180" t="s">
        <v>85</v>
      </c>
      <c r="H209" s="180"/>
      <c r="I209" s="181"/>
      <c r="J209" s="182" t="s">
        <v>109</v>
      </c>
      <c r="K209" s="182" t="s">
        <v>29</v>
      </c>
      <c r="L209" s="183"/>
      <c r="M209" s="184">
        <v>400000</v>
      </c>
      <c r="N209" s="184">
        <v>500000</v>
      </c>
      <c r="O209" s="180" t="s">
        <v>331</v>
      </c>
      <c r="P209" s="179"/>
      <c r="Q209" s="179" t="s">
        <v>633</v>
      </c>
      <c r="R209" s="179" t="s">
        <v>10</v>
      </c>
      <c r="S209" s="185">
        <v>2013</v>
      </c>
      <c r="T209" s="180" t="s">
        <v>2273</v>
      </c>
      <c r="U209" s="188" t="s">
        <v>2274</v>
      </c>
      <c r="V209" s="190" t="s">
        <v>2275</v>
      </c>
      <c r="W209" s="63" t="s">
        <v>32</v>
      </c>
      <c r="X209" s="21"/>
      <c r="Y209" s="91"/>
      <c r="Z209" s="91"/>
      <c r="AA209" s="91"/>
      <c r="AB209" s="91"/>
      <c r="AC209" s="130"/>
      <c r="AD209" s="130"/>
      <c r="AE209" s="130"/>
      <c r="AF209" s="130"/>
      <c r="AG209" s="130"/>
      <c r="AH209" s="130"/>
      <c r="AI209" s="130"/>
      <c r="AJ209" s="130"/>
      <c r="AK209" s="130"/>
      <c r="AL209" s="130"/>
      <c r="AM209" s="130"/>
      <c r="AN209" s="130"/>
      <c r="AO209" s="130"/>
      <c r="AP209" s="130"/>
      <c r="AQ209" s="130"/>
      <c r="AR209" s="130"/>
      <c r="AS209" s="130"/>
      <c r="AT209" s="130"/>
      <c r="AU209" s="130"/>
      <c r="AV209" s="130"/>
      <c r="AW209" s="130"/>
      <c r="AX209" s="130"/>
      <c r="AY209" s="130"/>
      <c r="AZ209" s="130"/>
      <c r="BA209" s="130"/>
      <c r="BB209" s="130"/>
      <c r="BC209" s="130"/>
      <c r="BD209" s="130"/>
      <c r="BE209" s="130"/>
      <c r="BF209" s="130"/>
      <c r="BG209" s="130"/>
      <c r="BH209" s="130"/>
      <c r="BI209" s="130"/>
      <c r="BJ209" s="130"/>
      <c r="BK209" s="130"/>
      <c r="BL209" s="130"/>
      <c r="BM209" s="130"/>
      <c r="BN209" s="130"/>
      <c r="BO209" s="130"/>
      <c r="BP209" s="130"/>
      <c r="BQ209" s="130"/>
      <c r="BR209" s="130"/>
      <c r="BS209" s="130"/>
      <c r="BT209" s="130"/>
      <c r="BU209" s="130"/>
      <c r="BV209" s="130"/>
      <c r="BW209" s="130"/>
      <c r="BX209" s="130"/>
      <c r="BY209" s="130"/>
      <c r="BZ209" s="130"/>
      <c r="CA209" s="130"/>
      <c r="CB209" s="130"/>
      <c r="CC209" s="130"/>
      <c r="CD209" s="130"/>
      <c r="CE209" s="130"/>
      <c r="CF209" s="130"/>
      <c r="CG209" s="130"/>
      <c r="CH209" s="130"/>
      <c r="CI209" s="130"/>
      <c r="CJ209" s="130"/>
      <c r="CK209" s="130"/>
      <c r="CL209" s="130"/>
      <c r="CM209" s="130"/>
      <c r="CN209" s="130"/>
      <c r="CO209" s="130"/>
      <c r="CP209" s="130"/>
    </row>
    <row r="210" spans="1:94" s="93" customFormat="1" ht="38.1" customHeight="1">
      <c r="A210" s="158" t="s">
        <v>2356</v>
      </c>
      <c r="B210" s="178" t="s">
        <v>96</v>
      </c>
      <c r="C210" s="157" t="s">
        <v>45</v>
      </c>
      <c r="D210" s="158" t="s">
        <v>2351</v>
      </c>
      <c r="E210" s="158"/>
      <c r="F210" s="157" t="s">
        <v>2352</v>
      </c>
      <c r="G210" s="157" t="s">
        <v>2352</v>
      </c>
      <c r="H210" s="157"/>
      <c r="I210" s="158" t="s">
        <v>1974</v>
      </c>
      <c r="J210" s="158" t="s">
        <v>1974</v>
      </c>
      <c r="K210" s="158" t="s">
        <v>1974</v>
      </c>
      <c r="L210" s="158"/>
      <c r="M210" s="191">
        <v>6000000</v>
      </c>
      <c r="N210" s="191"/>
      <c r="O210" s="158"/>
      <c r="P210" s="157"/>
      <c r="Q210" s="157"/>
      <c r="R210" s="192"/>
      <c r="S210" s="192">
        <v>2013</v>
      </c>
      <c r="T210" s="158" t="s">
        <v>2353</v>
      </c>
      <c r="U210" s="193" t="s">
        <v>2354</v>
      </c>
      <c r="V210" s="194" t="s">
        <v>2355</v>
      </c>
      <c r="W210" s="195"/>
      <c r="Y210" s="91"/>
      <c r="Z210" s="91"/>
      <c r="AA210" s="91"/>
      <c r="AB210" s="91"/>
    </row>
    <row r="211" spans="1:94" s="210" customFormat="1" ht="38.1" customHeight="1">
      <c r="A211" s="225" t="s">
        <v>60</v>
      </c>
      <c r="B211" s="225" t="s">
        <v>96</v>
      </c>
      <c r="C211" s="226" t="s">
        <v>45</v>
      </c>
      <c r="D211" s="226" t="s">
        <v>2300</v>
      </c>
      <c r="E211" s="226"/>
      <c r="F211" s="226" t="s">
        <v>277</v>
      </c>
      <c r="G211" s="226" t="s">
        <v>85</v>
      </c>
      <c r="H211" s="226"/>
      <c r="I211" s="226"/>
      <c r="J211" s="225" t="s">
        <v>109</v>
      </c>
      <c r="K211" s="225" t="s">
        <v>29</v>
      </c>
      <c r="L211" s="226"/>
      <c r="M211" s="227">
        <v>400000</v>
      </c>
      <c r="N211" s="227">
        <v>550000</v>
      </c>
      <c r="O211" s="226" t="s">
        <v>331</v>
      </c>
      <c r="P211" s="226"/>
      <c r="Q211" s="218" t="s">
        <v>279</v>
      </c>
      <c r="R211" s="225" t="s">
        <v>21</v>
      </c>
      <c r="S211" s="228">
        <v>2013</v>
      </c>
      <c r="T211" s="226" t="s">
        <v>2273</v>
      </c>
      <c r="U211" s="225" t="s">
        <v>2274</v>
      </c>
      <c r="V211" s="229" t="s">
        <v>2275</v>
      </c>
      <c r="W211" s="230" t="s">
        <v>32</v>
      </c>
      <c r="X211" s="20"/>
      <c r="Y211" s="186"/>
      <c r="Z211" s="186"/>
      <c r="AA211" s="186"/>
      <c r="AB211" s="186"/>
      <c r="AC211" s="186"/>
    </row>
    <row r="212" spans="1:94" s="210" customFormat="1" ht="38.1" customHeight="1">
      <c r="A212" s="225" t="s">
        <v>60</v>
      </c>
      <c r="B212" s="225" t="s">
        <v>96</v>
      </c>
      <c r="C212" s="226" t="s">
        <v>45</v>
      </c>
      <c r="D212" s="226" t="s">
        <v>2300</v>
      </c>
      <c r="E212" s="226"/>
      <c r="F212" s="226" t="s">
        <v>277</v>
      </c>
      <c r="G212" s="226" t="s">
        <v>85</v>
      </c>
      <c r="H212" s="226"/>
      <c r="I212" s="226"/>
      <c r="J212" s="225" t="s">
        <v>109</v>
      </c>
      <c r="K212" s="225" t="s">
        <v>29</v>
      </c>
      <c r="L212" s="226"/>
      <c r="M212" s="227">
        <v>400000</v>
      </c>
      <c r="N212" s="227">
        <v>450000</v>
      </c>
      <c r="O212" s="226" t="s">
        <v>331</v>
      </c>
      <c r="P212" s="226"/>
      <c r="Q212" s="218" t="s">
        <v>279</v>
      </c>
      <c r="R212" s="225" t="s">
        <v>21</v>
      </c>
      <c r="S212" s="228">
        <v>2013</v>
      </c>
      <c r="T212" s="226" t="s">
        <v>2273</v>
      </c>
      <c r="U212" s="225" t="s">
        <v>2274</v>
      </c>
      <c r="V212" s="229" t="s">
        <v>2275</v>
      </c>
      <c r="W212" s="230" t="s">
        <v>32</v>
      </c>
      <c r="X212" s="20"/>
      <c r="Y212" s="186"/>
      <c r="Z212" s="186"/>
      <c r="AA212" s="186"/>
      <c r="AB212" s="186"/>
      <c r="AC212" s="186"/>
    </row>
    <row r="213" spans="1:94" s="210" customFormat="1" ht="38.1" customHeight="1">
      <c r="A213" s="225" t="s">
        <v>60</v>
      </c>
      <c r="B213" s="225" t="s">
        <v>96</v>
      </c>
      <c r="C213" s="226" t="s">
        <v>45</v>
      </c>
      <c r="D213" s="226" t="s">
        <v>2300</v>
      </c>
      <c r="E213" s="226"/>
      <c r="F213" s="226" t="s">
        <v>277</v>
      </c>
      <c r="G213" s="226" t="s">
        <v>85</v>
      </c>
      <c r="H213" s="226"/>
      <c r="I213" s="226"/>
      <c r="J213" s="225" t="s">
        <v>109</v>
      </c>
      <c r="K213" s="225" t="s">
        <v>29</v>
      </c>
      <c r="L213" s="226"/>
      <c r="M213" s="227">
        <v>400000</v>
      </c>
      <c r="N213" s="227">
        <v>420000</v>
      </c>
      <c r="O213" s="226" t="s">
        <v>331</v>
      </c>
      <c r="P213" s="226"/>
      <c r="Q213" s="218" t="s">
        <v>279</v>
      </c>
      <c r="R213" s="225" t="s">
        <v>21</v>
      </c>
      <c r="S213" s="228">
        <v>2013</v>
      </c>
      <c r="T213" s="226" t="s">
        <v>2273</v>
      </c>
      <c r="U213" s="225" t="s">
        <v>2274</v>
      </c>
      <c r="V213" s="229" t="s">
        <v>2275</v>
      </c>
      <c r="W213" s="230" t="s">
        <v>32</v>
      </c>
      <c r="X213" s="20"/>
      <c r="Y213" s="186"/>
      <c r="Z213" s="186"/>
      <c r="AA213" s="186"/>
      <c r="AB213" s="186"/>
      <c r="AC213" s="186"/>
    </row>
    <row r="214" spans="1:94" s="210" customFormat="1" ht="38.1" customHeight="1">
      <c r="A214" s="225" t="s">
        <v>60</v>
      </c>
      <c r="B214" s="225" t="s">
        <v>96</v>
      </c>
      <c r="C214" s="226" t="s">
        <v>45</v>
      </c>
      <c r="D214" s="226" t="s">
        <v>2300</v>
      </c>
      <c r="E214" s="226"/>
      <c r="F214" s="226" t="s">
        <v>277</v>
      </c>
      <c r="G214" s="226" t="s">
        <v>85</v>
      </c>
      <c r="H214" s="226"/>
      <c r="I214" s="226"/>
      <c r="J214" s="225" t="s">
        <v>109</v>
      </c>
      <c r="K214" s="225" t="s">
        <v>29</v>
      </c>
      <c r="L214" s="226"/>
      <c r="M214" s="227">
        <v>200000</v>
      </c>
      <c r="N214" s="227">
        <v>250000</v>
      </c>
      <c r="O214" s="226" t="s">
        <v>331</v>
      </c>
      <c r="P214" s="226"/>
      <c r="Q214" s="218" t="s">
        <v>279</v>
      </c>
      <c r="R214" s="225" t="s">
        <v>21</v>
      </c>
      <c r="S214" s="228">
        <v>2013</v>
      </c>
      <c r="T214" s="226" t="s">
        <v>2273</v>
      </c>
      <c r="U214" s="225" t="s">
        <v>2274</v>
      </c>
      <c r="V214" s="229" t="s">
        <v>2275</v>
      </c>
      <c r="W214" s="230" t="s">
        <v>32</v>
      </c>
      <c r="X214" s="20"/>
      <c r="Y214" s="186"/>
      <c r="Z214" s="186"/>
      <c r="AA214" s="186"/>
      <c r="AB214" s="186"/>
      <c r="AC214" s="186"/>
    </row>
    <row r="215" spans="1:94" s="210" customFormat="1" ht="38.1" customHeight="1">
      <c r="A215" s="239" t="s">
        <v>60</v>
      </c>
      <c r="B215" s="239" t="s">
        <v>96</v>
      </c>
      <c r="C215" s="240" t="s">
        <v>45</v>
      </c>
      <c r="D215" s="240" t="s">
        <v>2300</v>
      </c>
      <c r="E215" s="240"/>
      <c r="F215" s="240" t="s">
        <v>277</v>
      </c>
      <c r="G215" s="240" t="s">
        <v>85</v>
      </c>
      <c r="H215" s="226"/>
      <c r="I215" s="226"/>
      <c r="J215" s="225" t="s">
        <v>109</v>
      </c>
      <c r="K215" s="225" t="s">
        <v>29</v>
      </c>
      <c r="L215" s="226"/>
      <c r="M215" s="227">
        <v>100000</v>
      </c>
      <c r="N215" s="227">
        <v>150000</v>
      </c>
      <c r="O215" s="226" t="s">
        <v>331</v>
      </c>
      <c r="P215" s="226"/>
      <c r="Q215" s="218" t="s">
        <v>279</v>
      </c>
      <c r="R215" s="225" t="s">
        <v>21</v>
      </c>
      <c r="S215" s="228">
        <v>2013</v>
      </c>
      <c r="T215" s="226" t="s">
        <v>2273</v>
      </c>
      <c r="U215" s="225" t="s">
        <v>2274</v>
      </c>
      <c r="V215" s="229" t="s">
        <v>2275</v>
      </c>
      <c r="W215" s="230" t="s">
        <v>32</v>
      </c>
      <c r="X215" s="20"/>
      <c r="Y215" s="186"/>
      <c r="Z215" s="186"/>
      <c r="AA215" s="186"/>
      <c r="AB215" s="186"/>
      <c r="AC215" s="186"/>
    </row>
    <row r="216" spans="1:94" s="13" customFormat="1" ht="38.25" customHeight="1">
      <c r="A216" s="18" t="s">
        <v>1</v>
      </c>
      <c r="B216" s="18" t="s">
        <v>2</v>
      </c>
      <c r="C216" s="18" t="s">
        <v>35</v>
      </c>
      <c r="D216" s="18" t="s">
        <v>638</v>
      </c>
      <c r="E216" s="18" t="s">
        <v>1735</v>
      </c>
      <c r="F216" s="18" t="s">
        <v>1741</v>
      </c>
      <c r="G216" s="18" t="s">
        <v>148</v>
      </c>
      <c r="H216" s="18">
        <v>238220</v>
      </c>
      <c r="I216" s="18" t="s">
        <v>6</v>
      </c>
      <c r="J216" s="21" t="s">
        <v>109</v>
      </c>
      <c r="K216" s="18" t="s">
        <v>1340</v>
      </c>
      <c r="L216" s="18" t="s">
        <v>1736</v>
      </c>
      <c r="M216" s="19">
        <v>230000</v>
      </c>
      <c r="N216" s="19">
        <v>1185000</v>
      </c>
      <c r="O216" s="18" t="s">
        <v>20</v>
      </c>
      <c r="P216" s="18" t="s">
        <v>1742</v>
      </c>
      <c r="Q216" s="18" t="s">
        <v>279</v>
      </c>
      <c r="R216" s="18" t="s">
        <v>10</v>
      </c>
      <c r="S216" s="171">
        <v>2013</v>
      </c>
      <c r="T216" s="18" t="s">
        <v>1985</v>
      </c>
      <c r="U216" s="21" t="s">
        <v>1733</v>
      </c>
      <c r="V216" s="18" t="s">
        <v>1738</v>
      </c>
      <c r="W216" s="18" t="s">
        <v>1737</v>
      </c>
      <c r="X216" s="14"/>
      <c r="Y216" s="241"/>
      <c r="Z216" s="244"/>
      <c r="AA216" s="244"/>
      <c r="AB216" s="244"/>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c r="BY216" s="124"/>
      <c r="BZ216" s="124"/>
      <c r="CA216" s="124"/>
      <c r="CB216" s="124"/>
      <c r="CC216" s="124"/>
      <c r="CD216" s="124"/>
      <c r="CE216" s="124"/>
      <c r="CF216" s="124"/>
      <c r="CG216" s="124"/>
      <c r="CH216" s="124"/>
      <c r="CI216" s="124"/>
      <c r="CJ216" s="124"/>
      <c r="CK216" s="124"/>
      <c r="CL216" s="124"/>
      <c r="CM216" s="124"/>
      <c r="CN216" s="124"/>
      <c r="CO216" s="124"/>
      <c r="CP216" s="124"/>
    </row>
    <row r="217" spans="1:94" s="13" customFormat="1" ht="38.25" customHeight="1">
      <c r="A217" s="18" t="s">
        <v>1</v>
      </c>
      <c r="B217" s="18" t="s">
        <v>2</v>
      </c>
      <c r="C217" s="18" t="s">
        <v>25</v>
      </c>
      <c r="D217" s="18" t="s">
        <v>1743</v>
      </c>
      <c r="E217" s="18"/>
      <c r="F217" s="18" t="s">
        <v>1744</v>
      </c>
      <c r="G217" s="18" t="s">
        <v>203</v>
      </c>
      <c r="H217" s="18"/>
      <c r="I217" s="18" t="s">
        <v>28</v>
      </c>
      <c r="J217" s="21" t="s">
        <v>773</v>
      </c>
      <c r="K217" s="18" t="s">
        <v>1340</v>
      </c>
      <c r="L217" s="18" t="s">
        <v>1745</v>
      </c>
      <c r="M217" s="19">
        <v>25000</v>
      </c>
      <c r="N217" s="19">
        <v>75000</v>
      </c>
      <c r="O217" s="18" t="s">
        <v>20</v>
      </c>
      <c r="P217" s="21" t="s">
        <v>278</v>
      </c>
      <c r="Q217" s="18" t="s">
        <v>279</v>
      </c>
      <c r="R217" s="18" t="s">
        <v>31</v>
      </c>
      <c r="S217" s="171">
        <v>2013</v>
      </c>
      <c r="T217" s="18" t="s">
        <v>1746</v>
      </c>
      <c r="U217" s="18" t="s">
        <v>1747</v>
      </c>
      <c r="V217" s="18" t="s">
        <v>1748</v>
      </c>
      <c r="W217" s="21" t="s">
        <v>1737</v>
      </c>
      <c r="X217" s="18"/>
      <c r="Y217" s="241"/>
      <c r="Z217" s="241"/>
      <c r="AA217" s="241"/>
      <c r="AB217" s="241"/>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c r="BY217" s="124"/>
      <c r="BZ217" s="124"/>
      <c r="CA217" s="124"/>
      <c r="CB217" s="124"/>
      <c r="CC217" s="124"/>
      <c r="CD217" s="124"/>
      <c r="CE217" s="124"/>
      <c r="CF217" s="124"/>
      <c r="CG217" s="124"/>
      <c r="CH217" s="124"/>
      <c r="CI217" s="124"/>
      <c r="CJ217" s="124"/>
      <c r="CK217" s="124"/>
      <c r="CL217" s="124"/>
      <c r="CM217" s="124"/>
      <c r="CN217" s="124"/>
      <c r="CO217" s="124"/>
      <c r="CP217" s="124"/>
    </row>
    <row r="218" spans="1:94" s="13" customFormat="1" ht="38.25" customHeight="1">
      <c r="A218" s="18" t="s">
        <v>1</v>
      </c>
      <c r="B218" s="18" t="s">
        <v>2</v>
      </c>
      <c r="C218" s="18" t="s">
        <v>25</v>
      </c>
      <c r="D218" s="18" t="s">
        <v>1749</v>
      </c>
      <c r="E218" s="18"/>
      <c r="F218" s="18" t="s">
        <v>1750</v>
      </c>
      <c r="G218" s="18" t="s">
        <v>203</v>
      </c>
      <c r="H218" s="18"/>
      <c r="I218" s="18" t="s">
        <v>28</v>
      </c>
      <c r="J218" s="18" t="s">
        <v>1751</v>
      </c>
      <c r="K218" s="18" t="s">
        <v>1340</v>
      </c>
      <c r="L218" s="18" t="s">
        <v>1745</v>
      </c>
      <c r="M218" s="19">
        <v>10000</v>
      </c>
      <c r="N218" s="19">
        <v>25000</v>
      </c>
      <c r="O218" s="18" t="s">
        <v>9</v>
      </c>
      <c r="P218" s="21" t="s">
        <v>278</v>
      </c>
      <c r="Q218" s="18" t="s">
        <v>279</v>
      </c>
      <c r="R218" s="18" t="s">
        <v>31</v>
      </c>
      <c r="S218" s="171">
        <v>2013</v>
      </c>
      <c r="T218" s="18" t="s">
        <v>1746</v>
      </c>
      <c r="U218" s="18" t="s">
        <v>1747</v>
      </c>
      <c r="V218" s="18" t="s">
        <v>1748</v>
      </c>
      <c r="W218" s="18" t="s">
        <v>1737</v>
      </c>
      <c r="X218" s="18"/>
      <c r="Y218" s="241"/>
      <c r="Z218" s="241"/>
      <c r="AA218" s="241"/>
      <c r="AB218" s="241"/>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c r="BY218" s="124"/>
      <c r="BZ218" s="124"/>
      <c r="CA218" s="124"/>
      <c r="CB218" s="124"/>
      <c r="CC218" s="124"/>
      <c r="CD218" s="124"/>
      <c r="CE218" s="124"/>
      <c r="CF218" s="124"/>
      <c r="CG218" s="124"/>
      <c r="CH218" s="124"/>
      <c r="CI218" s="124"/>
      <c r="CJ218" s="124"/>
      <c r="CK218" s="124"/>
      <c r="CL218" s="124"/>
      <c r="CM218" s="124"/>
      <c r="CN218" s="124"/>
      <c r="CO218" s="124"/>
      <c r="CP218" s="124"/>
    </row>
    <row r="219" spans="1:94" s="13" customFormat="1" ht="38.25" customHeight="1">
      <c r="A219" s="18" t="s">
        <v>1</v>
      </c>
      <c r="B219" s="18" t="s">
        <v>2</v>
      </c>
      <c r="C219" s="18" t="s">
        <v>25</v>
      </c>
      <c r="D219" s="18" t="s">
        <v>1752</v>
      </c>
      <c r="E219" s="18"/>
      <c r="F219" s="18" t="s">
        <v>1750</v>
      </c>
      <c r="G219" s="18" t="s">
        <v>203</v>
      </c>
      <c r="H219" s="18"/>
      <c r="I219" s="18" t="s">
        <v>28</v>
      </c>
      <c r="J219" s="18" t="s">
        <v>773</v>
      </c>
      <c r="K219" s="18" t="s">
        <v>1340</v>
      </c>
      <c r="L219" s="18" t="s">
        <v>1745</v>
      </c>
      <c r="M219" s="19">
        <v>50000</v>
      </c>
      <c r="N219" s="19">
        <v>100000</v>
      </c>
      <c r="O219" s="18" t="s">
        <v>20</v>
      </c>
      <c r="P219" s="21" t="s">
        <v>278</v>
      </c>
      <c r="Q219" s="18" t="s">
        <v>279</v>
      </c>
      <c r="R219" s="18" t="s">
        <v>31</v>
      </c>
      <c r="S219" s="171">
        <v>2013</v>
      </c>
      <c r="T219" s="18" t="s">
        <v>1746</v>
      </c>
      <c r="U219" s="18" t="s">
        <v>1747</v>
      </c>
      <c r="V219" s="18" t="s">
        <v>1748</v>
      </c>
      <c r="W219" s="18" t="s">
        <v>1737</v>
      </c>
      <c r="X219" s="18"/>
      <c r="Y219" s="241"/>
      <c r="Z219" s="241"/>
      <c r="AA219" s="241"/>
      <c r="AB219" s="241"/>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c r="BY219" s="124"/>
      <c r="BZ219" s="124"/>
      <c r="CA219" s="124"/>
      <c r="CB219" s="124"/>
      <c r="CC219" s="124"/>
      <c r="CD219" s="124"/>
      <c r="CE219" s="124"/>
      <c r="CF219" s="124"/>
      <c r="CG219" s="124"/>
      <c r="CH219" s="124"/>
      <c r="CI219" s="124"/>
      <c r="CJ219" s="124"/>
      <c r="CK219" s="124"/>
      <c r="CL219" s="124"/>
      <c r="CM219" s="124"/>
      <c r="CN219" s="124"/>
      <c r="CO219" s="124"/>
      <c r="CP219" s="124"/>
    </row>
    <row r="220" spans="1:94" s="13" customFormat="1" ht="38.25" customHeight="1">
      <c r="A220" s="18" t="s">
        <v>1</v>
      </c>
      <c r="B220" s="18" t="s">
        <v>2</v>
      </c>
      <c r="C220" s="18" t="s">
        <v>25</v>
      </c>
      <c r="D220" s="18" t="s">
        <v>1753</v>
      </c>
      <c r="E220" s="18"/>
      <c r="F220" s="18" t="s">
        <v>1754</v>
      </c>
      <c r="G220" s="18" t="s">
        <v>165</v>
      </c>
      <c r="H220" s="18"/>
      <c r="I220" s="18" t="s">
        <v>28</v>
      </c>
      <c r="J220" s="18" t="s">
        <v>1751</v>
      </c>
      <c r="K220" s="18" t="s">
        <v>1340</v>
      </c>
      <c r="L220" s="18" t="s">
        <v>1745</v>
      </c>
      <c r="M220" s="19">
        <v>10000</v>
      </c>
      <c r="N220" s="19">
        <v>25000</v>
      </c>
      <c r="O220" s="18" t="s">
        <v>9</v>
      </c>
      <c r="P220" s="21" t="s">
        <v>278</v>
      </c>
      <c r="Q220" s="18" t="s">
        <v>279</v>
      </c>
      <c r="R220" s="18" t="s">
        <v>41</v>
      </c>
      <c r="S220" s="171">
        <v>2013</v>
      </c>
      <c r="T220" s="18" t="s">
        <v>1746</v>
      </c>
      <c r="U220" s="18" t="s">
        <v>1747</v>
      </c>
      <c r="V220" s="18" t="s">
        <v>1748</v>
      </c>
      <c r="W220" s="18" t="s">
        <v>1737</v>
      </c>
      <c r="X220" s="18"/>
      <c r="Y220" s="241"/>
      <c r="Z220" s="241"/>
      <c r="AA220" s="241"/>
      <c r="AB220" s="241"/>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c r="BY220" s="124"/>
      <c r="BZ220" s="124"/>
      <c r="CA220" s="124"/>
      <c r="CB220" s="124"/>
      <c r="CC220" s="124"/>
      <c r="CD220" s="124"/>
      <c r="CE220" s="124"/>
      <c r="CF220" s="124"/>
      <c r="CG220" s="124"/>
      <c r="CH220" s="124"/>
      <c r="CI220" s="124"/>
      <c r="CJ220" s="124"/>
      <c r="CK220" s="124"/>
      <c r="CL220" s="124"/>
      <c r="CM220" s="124"/>
      <c r="CN220" s="124"/>
      <c r="CO220" s="124"/>
      <c r="CP220" s="124"/>
    </row>
    <row r="221" spans="1:94" s="13" customFormat="1" ht="38.25" customHeight="1">
      <c r="A221" s="18" t="s">
        <v>1</v>
      </c>
      <c r="B221" s="18" t="s">
        <v>2</v>
      </c>
      <c r="C221" s="18" t="s">
        <v>35</v>
      </c>
      <c r="D221" s="18" t="s">
        <v>1739</v>
      </c>
      <c r="E221" s="18" t="s">
        <v>1735</v>
      </c>
      <c r="F221" s="18" t="s">
        <v>1755</v>
      </c>
      <c r="G221" s="18" t="s">
        <v>70</v>
      </c>
      <c r="H221" s="18">
        <v>561210</v>
      </c>
      <c r="I221" s="18" t="s">
        <v>28</v>
      </c>
      <c r="J221" s="21" t="s">
        <v>109</v>
      </c>
      <c r="K221" s="18" t="s">
        <v>1340</v>
      </c>
      <c r="L221" s="18" t="s">
        <v>1736</v>
      </c>
      <c r="M221" s="19"/>
      <c r="N221" s="19">
        <v>960000</v>
      </c>
      <c r="O221" s="18" t="s">
        <v>20</v>
      </c>
      <c r="P221" s="18" t="s">
        <v>1756</v>
      </c>
      <c r="Q221" s="18" t="s">
        <v>279</v>
      </c>
      <c r="R221" s="18" t="s">
        <v>10</v>
      </c>
      <c r="S221" s="171">
        <v>2013</v>
      </c>
      <c r="T221" s="18" t="s">
        <v>1985</v>
      </c>
      <c r="U221" s="18" t="s">
        <v>1733</v>
      </c>
      <c r="V221" s="18" t="s">
        <v>1738</v>
      </c>
      <c r="W221" s="18" t="s">
        <v>1737</v>
      </c>
      <c r="X221" s="18" t="s">
        <v>1757</v>
      </c>
      <c r="Y221" s="241"/>
      <c r="Z221" s="241"/>
      <c r="AA221" s="241"/>
      <c r="AB221" s="241"/>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c r="BY221" s="124"/>
      <c r="BZ221" s="124"/>
      <c r="CA221" s="124"/>
      <c r="CB221" s="124"/>
      <c r="CC221" s="124"/>
      <c r="CD221" s="124"/>
      <c r="CE221" s="124"/>
      <c r="CF221" s="124"/>
      <c r="CG221" s="124"/>
      <c r="CH221" s="124"/>
      <c r="CI221" s="124"/>
      <c r="CJ221" s="124"/>
      <c r="CK221" s="124"/>
      <c r="CL221" s="124"/>
      <c r="CM221" s="124"/>
      <c r="CN221" s="124"/>
      <c r="CO221" s="124"/>
      <c r="CP221" s="124"/>
    </row>
    <row r="222" spans="1:94" s="13" customFormat="1" ht="38.25" customHeight="1">
      <c r="A222" s="18" t="s">
        <v>1</v>
      </c>
      <c r="B222" s="18" t="s">
        <v>2</v>
      </c>
      <c r="C222" s="18" t="s">
        <v>25</v>
      </c>
      <c r="D222" s="18" t="s">
        <v>1758</v>
      </c>
      <c r="E222" s="18" t="s">
        <v>1759</v>
      </c>
      <c r="F222" s="18" t="s">
        <v>1760</v>
      </c>
      <c r="G222" s="18" t="s">
        <v>148</v>
      </c>
      <c r="H222" s="18"/>
      <c r="I222" s="18" t="s">
        <v>28</v>
      </c>
      <c r="J222" s="21" t="s">
        <v>109</v>
      </c>
      <c r="K222" s="18" t="s">
        <v>1340</v>
      </c>
      <c r="L222" s="18" t="s">
        <v>40</v>
      </c>
      <c r="M222" s="19">
        <v>25000</v>
      </c>
      <c r="N222" s="19">
        <v>50000</v>
      </c>
      <c r="O222" s="18" t="s">
        <v>20</v>
      </c>
      <c r="P222" s="18" t="s">
        <v>278</v>
      </c>
      <c r="Q222" s="18" t="s">
        <v>279</v>
      </c>
      <c r="R222" s="18" t="s">
        <v>21</v>
      </c>
      <c r="S222" s="171">
        <v>2013</v>
      </c>
      <c r="T222" s="18" t="s">
        <v>1985</v>
      </c>
      <c r="U222" s="18" t="s">
        <v>1733</v>
      </c>
      <c r="V222" s="18" t="s">
        <v>1738</v>
      </c>
      <c r="W222" s="18" t="s">
        <v>1737</v>
      </c>
      <c r="X222" s="18"/>
      <c r="Y222" s="241"/>
      <c r="Z222" s="241"/>
      <c r="AA222" s="241"/>
      <c r="AB222" s="241"/>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c r="BY222" s="124"/>
      <c r="BZ222" s="124"/>
      <c r="CA222" s="124"/>
      <c r="CB222" s="124"/>
      <c r="CC222" s="124"/>
      <c r="CD222" s="124"/>
      <c r="CE222" s="124"/>
      <c r="CF222" s="124"/>
      <c r="CG222" s="124"/>
      <c r="CH222" s="124"/>
      <c r="CI222" s="124"/>
      <c r="CJ222" s="124"/>
      <c r="CK222" s="124"/>
      <c r="CL222" s="124"/>
      <c r="CM222" s="124"/>
      <c r="CN222" s="124"/>
      <c r="CO222" s="124"/>
      <c r="CP222" s="124"/>
    </row>
    <row r="223" spans="1:94" s="13" customFormat="1" ht="38.25" customHeight="1">
      <c r="A223" s="18" t="s">
        <v>1</v>
      </c>
      <c r="B223" s="18" t="s">
        <v>2</v>
      </c>
      <c r="C223" s="18" t="s">
        <v>25</v>
      </c>
      <c r="D223" s="18" t="s">
        <v>1761</v>
      </c>
      <c r="E223" s="18" t="s">
        <v>1759</v>
      </c>
      <c r="F223" s="18" t="s">
        <v>1762</v>
      </c>
      <c r="G223" s="18" t="s">
        <v>70</v>
      </c>
      <c r="H223" s="18"/>
      <c r="I223" s="18" t="s">
        <v>28</v>
      </c>
      <c r="J223" s="21" t="s">
        <v>109</v>
      </c>
      <c r="K223" s="18" t="s">
        <v>1340</v>
      </c>
      <c r="L223" s="18" t="s">
        <v>40</v>
      </c>
      <c r="M223" s="19">
        <v>10000</v>
      </c>
      <c r="N223" s="19">
        <v>25000</v>
      </c>
      <c r="O223" s="18" t="s">
        <v>9</v>
      </c>
      <c r="P223" s="18" t="s">
        <v>278</v>
      </c>
      <c r="Q223" s="18" t="s">
        <v>279</v>
      </c>
      <c r="R223" s="18" t="s">
        <v>10</v>
      </c>
      <c r="S223" s="171">
        <v>2013</v>
      </c>
      <c r="T223" s="18" t="s">
        <v>1985</v>
      </c>
      <c r="U223" s="18" t="s">
        <v>1733</v>
      </c>
      <c r="V223" s="18" t="s">
        <v>1738</v>
      </c>
      <c r="W223" s="18" t="s">
        <v>1737</v>
      </c>
      <c r="X223" s="18"/>
      <c r="Y223" s="241"/>
      <c r="Z223" s="241"/>
      <c r="AA223" s="241"/>
      <c r="AB223" s="241"/>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c r="BY223" s="124"/>
      <c r="BZ223" s="124"/>
      <c r="CA223" s="124"/>
      <c r="CB223" s="124"/>
      <c r="CC223" s="124"/>
      <c r="CD223" s="124"/>
      <c r="CE223" s="124"/>
      <c r="CF223" s="124"/>
      <c r="CG223" s="124"/>
      <c r="CH223" s="124"/>
      <c r="CI223" s="124"/>
      <c r="CJ223" s="124"/>
      <c r="CK223" s="124"/>
      <c r="CL223" s="124"/>
      <c r="CM223" s="124"/>
      <c r="CN223" s="124"/>
      <c r="CO223" s="124"/>
      <c r="CP223" s="124"/>
    </row>
    <row r="224" spans="1:94" s="13" customFormat="1" ht="38.25" customHeight="1">
      <c r="A224" s="18" t="s">
        <v>1</v>
      </c>
      <c r="B224" s="18" t="s">
        <v>2</v>
      </c>
      <c r="C224" s="18" t="s">
        <v>25</v>
      </c>
      <c r="D224" s="18" t="s">
        <v>1763</v>
      </c>
      <c r="E224" s="18" t="s">
        <v>601</v>
      </c>
      <c r="F224" s="18" t="s">
        <v>1762</v>
      </c>
      <c r="G224" s="18" t="s">
        <v>70</v>
      </c>
      <c r="H224" s="18"/>
      <c r="I224" s="18" t="s">
        <v>28</v>
      </c>
      <c r="J224" s="21" t="s">
        <v>109</v>
      </c>
      <c r="K224" s="18" t="s">
        <v>1340</v>
      </c>
      <c r="L224" s="18" t="s">
        <v>40</v>
      </c>
      <c r="M224" s="19">
        <v>25000</v>
      </c>
      <c r="N224" s="19">
        <v>75000</v>
      </c>
      <c r="O224" s="18" t="s">
        <v>20</v>
      </c>
      <c r="P224" s="18" t="s">
        <v>278</v>
      </c>
      <c r="Q224" s="18" t="s">
        <v>279</v>
      </c>
      <c r="R224" s="18" t="s">
        <v>10</v>
      </c>
      <c r="S224" s="171">
        <v>2013</v>
      </c>
      <c r="T224" s="18" t="s">
        <v>1985</v>
      </c>
      <c r="U224" s="18" t="s">
        <v>1733</v>
      </c>
      <c r="V224" s="18" t="s">
        <v>1738</v>
      </c>
      <c r="W224" s="18" t="s">
        <v>1737</v>
      </c>
      <c r="X224" s="18"/>
      <c r="Y224" s="241"/>
      <c r="Z224" s="241"/>
      <c r="AA224" s="241"/>
      <c r="AB224" s="241"/>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c r="BY224" s="124"/>
      <c r="BZ224" s="124"/>
      <c r="CA224" s="124"/>
      <c r="CB224" s="124"/>
      <c r="CC224" s="124"/>
      <c r="CD224" s="124"/>
      <c r="CE224" s="124"/>
      <c r="CF224" s="124"/>
      <c r="CG224" s="124"/>
      <c r="CH224" s="124"/>
      <c r="CI224" s="124"/>
      <c r="CJ224" s="124"/>
      <c r="CK224" s="124"/>
      <c r="CL224" s="124"/>
      <c r="CM224" s="124"/>
      <c r="CN224" s="124"/>
      <c r="CO224" s="124"/>
      <c r="CP224" s="124"/>
    </row>
    <row r="225" spans="1:94" s="13" customFormat="1" ht="38.25" customHeight="1">
      <c r="A225" s="18" t="s">
        <v>1</v>
      </c>
      <c r="B225" s="18" t="s">
        <v>2</v>
      </c>
      <c r="C225" s="18" t="s">
        <v>25</v>
      </c>
      <c r="D225" s="18" t="s">
        <v>1764</v>
      </c>
      <c r="E225" s="18" t="s">
        <v>1765</v>
      </c>
      <c r="F225" s="18" t="s">
        <v>1766</v>
      </c>
      <c r="G225" s="18" t="s">
        <v>70</v>
      </c>
      <c r="H225" s="18"/>
      <c r="I225" s="18" t="s">
        <v>28</v>
      </c>
      <c r="J225" s="21" t="s">
        <v>109</v>
      </c>
      <c r="K225" s="18" t="s">
        <v>1340</v>
      </c>
      <c r="L225" s="18" t="s">
        <v>40</v>
      </c>
      <c r="M225" s="19">
        <v>10000</v>
      </c>
      <c r="N225" s="19">
        <v>25000</v>
      </c>
      <c r="O225" s="18" t="s">
        <v>9</v>
      </c>
      <c r="P225" s="18" t="s">
        <v>278</v>
      </c>
      <c r="Q225" s="18" t="s">
        <v>279</v>
      </c>
      <c r="R225" s="18" t="s">
        <v>21</v>
      </c>
      <c r="S225" s="171">
        <v>2013</v>
      </c>
      <c r="T225" s="18" t="s">
        <v>1985</v>
      </c>
      <c r="U225" s="18" t="s">
        <v>1733</v>
      </c>
      <c r="V225" s="18" t="s">
        <v>1738</v>
      </c>
      <c r="W225" s="18" t="s">
        <v>1737</v>
      </c>
      <c r="X225" s="18"/>
      <c r="Y225" s="241"/>
      <c r="Z225" s="241"/>
      <c r="AA225" s="241"/>
      <c r="AB225" s="241"/>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c r="BY225" s="124"/>
      <c r="BZ225" s="124"/>
      <c r="CA225" s="124"/>
      <c r="CB225" s="124"/>
      <c r="CC225" s="124"/>
      <c r="CD225" s="124"/>
      <c r="CE225" s="124"/>
      <c r="CF225" s="124"/>
      <c r="CG225" s="124"/>
      <c r="CH225" s="124"/>
      <c r="CI225" s="124"/>
      <c r="CJ225" s="124"/>
      <c r="CK225" s="124"/>
      <c r="CL225" s="124"/>
      <c r="CM225" s="124"/>
      <c r="CN225" s="124"/>
      <c r="CO225" s="124"/>
      <c r="CP225" s="124"/>
    </row>
    <row r="226" spans="1:94" s="13" customFormat="1" ht="38.25" customHeight="1">
      <c r="A226" s="18" t="s">
        <v>1</v>
      </c>
      <c r="B226" s="18" t="s">
        <v>2</v>
      </c>
      <c r="C226" s="18" t="s">
        <v>25</v>
      </c>
      <c r="D226" s="18" t="s">
        <v>1767</v>
      </c>
      <c r="E226" s="18" t="s">
        <v>601</v>
      </c>
      <c r="F226" s="18" t="s">
        <v>1766</v>
      </c>
      <c r="G226" s="18" t="s">
        <v>70</v>
      </c>
      <c r="H226" s="18"/>
      <c r="I226" s="18" t="s">
        <v>28</v>
      </c>
      <c r="J226" s="21" t="s">
        <v>109</v>
      </c>
      <c r="K226" s="18" t="s">
        <v>1340</v>
      </c>
      <c r="L226" s="18" t="s">
        <v>40</v>
      </c>
      <c r="M226" s="19">
        <v>10000</v>
      </c>
      <c r="N226" s="19">
        <v>25000</v>
      </c>
      <c r="O226" s="18" t="s">
        <v>9</v>
      </c>
      <c r="P226" s="18" t="s">
        <v>278</v>
      </c>
      <c r="Q226" s="18" t="s">
        <v>279</v>
      </c>
      <c r="R226" s="18" t="s">
        <v>21</v>
      </c>
      <c r="S226" s="171">
        <v>2013</v>
      </c>
      <c r="T226" s="18" t="s">
        <v>1985</v>
      </c>
      <c r="U226" s="18" t="s">
        <v>1733</v>
      </c>
      <c r="V226" s="18" t="s">
        <v>1738</v>
      </c>
      <c r="W226" s="18" t="s">
        <v>1737</v>
      </c>
      <c r="X226" s="18"/>
      <c r="Y226" s="241"/>
      <c r="Z226" s="241"/>
      <c r="AA226" s="241"/>
      <c r="AB226" s="241"/>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c r="BY226" s="124"/>
      <c r="BZ226" s="124"/>
      <c r="CA226" s="124"/>
      <c r="CB226" s="124"/>
      <c r="CC226" s="124"/>
      <c r="CD226" s="124"/>
      <c r="CE226" s="124"/>
      <c r="CF226" s="124"/>
      <c r="CG226" s="124"/>
      <c r="CH226" s="124"/>
      <c r="CI226" s="124"/>
      <c r="CJ226" s="124"/>
      <c r="CK226" s="124"/>
      <c r="CL226" s="124"/>
      <c r="CM226" s="124"/>
      <c r="CN226" s="124"/>
      <c r="CO226" s="124"/>
      <c r="CP226" s="124"/>
    </row>
    <row r="227" spans="1:94" s="13" customFormat="1" ht="38.25" customHeight="1">
      <c r="A227" s="18" t="s">
        <v>1</v>
      </c>
      <c r="B227" s="18" t="s">
        <v>2</v>
      </c>
      <c r="C227" s="18" t="s">
        <v>25</v>
      </c>
      <c r="D227" s="18" t="s">
        <v>1764</v>
      </c>
      <c r="E227" s="18" t="s">
        <v>1765</v>
      </c>
      <c r="F227" s="18" t="s">
        <v>1766</v>
      </c>
      <c r="G227" s="18" t="s">
        <v>70</v>
      </c>
      <c r="H227" s="18"/>
      <c r="I227" s="18" t="s">
        <v>28</v>
      </c>
      <c r="J227" s="21" t="s">
        <v>109</v>
      </c>
      <c r="K227" s="18" t="s">
        <v>1340</v>
      </c>
      <c r="L227" s="18" t="s">
        <v>40</v>
      </c>
      <c r="M227" s="19">
        <v>50000</v>
      </c>
      <c r="N227" s="19">
        <v>100000</v>
      </c>
      <c r="O227" s="18" t="s">
        <v>20</v>
      </c>
      <c r="P227" s="18" t="s">
        <v>278</v>
      </c>
      <c r="Q227" s="18" t="s">
        <v>279</v>
      </c>
      <c r="R227" s="18" t="s">
        <v>10</v>
      </c>
      <c r="S227" s="171">
        <v>2013</v>
      </c>
      <c r="T227" s="18" t="s">
        <v>1985</v>
      </c>
      <c r="U227" s="18" t="s">
        <v>1733</v>
      </c>
      <c r="V227" s="18" t="s">
        <v>1738</v>
      </c>
      <c r="W227" s="18" t="s">
        <v>1737</v>
      </c>
      <c r="X227" s="18"/>
      <c r="Y227" s="241"/>
      <c r="Z227" s="241"/>
      <c r="AA227" s="241"/>
      <c r="AB227" s="241"/>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c r="BY227" s="124"/>
      <c r="BZ227" s="124"/>
      <c r="CA227" s="124"/>
      <c r="CB227" s="124"/>
      <c r="CC227" s="124"/>
      <c r="CD227" s="124"/>
      <c r="CE227" s="124"/>
      <c r="CF227" s="124"/>
      <c r="CG227" s="124"/>
      <c r="CH227" s="124"/>
      <c r="CI227" s="124"/>
      <c r="CJ227" s="124"/>
      <c r="CK227" s="124"/>
      <c r="CL227" s="124"/>
      <c r="CM227" s="124"/>
      <c r="CN227" s="124"/>
      <c r="CO227" s="124"/>
      <c r="CP227" s="124"/>
    </row>
    <row r="228" spans="1:94" s="13" customFormat="1" ht="38.25" customHeight="1">
      <c r="A228" s="18" t="s">
        <v>1</v>
      </c>
      <c r="B228" s="18" t="s">
        <v>2</v>
      </c>
      <c r="C228" s="18" t="s">
        <v>25</v>
      </c>
      <c r="D228" s="18" t="s">
        <v>1768</v>
      </c>
      <c r="E228" s="18" t="s">
        <v>1769</v>
      </c>
      <c r="F228" s="18" t="s">
        <v>1770</v>
      </c>
      <c r="G228" s="18" t="s">
        <v>70</v>
      </c>
      <c r="H228" s="18"/>
      <c r="I228" s="18" t="s">
        <v>28</v>
      </c>
      <c r="J228" s="21" t="s">
        <v>109</v>
      </c>
      <c r="K228" s="18" t="s">
        <v>1340</v>
      </c>
      <c r="L228" s="18" t="s">
        <v>40</v>
      </c>
      <c r="M228" s="19">
        <v>10000</v>
      </c>
      <c r="N228" s="19">
        <v>25000</v>
      </c>
      <c r="O228" s="18" t="s">
        <v>9</v>
      </c>
      <c r="P228" s="18" t="s">
        <v>278</v>
      </c>
      <c r="Q228" s="18" t="s">
        <v>279</v>
      </c>
      <c r="R228" s="18" t="s">
        <v>10</v>
      </c>
      <c r="S228" s="171">
        <v>2013</v>
      </c>
      <c r="T228" s="18" t="s">
        <v>1985</v>
      </c>
      <c r="U228" s="18" t="s">
        <v>1733</v>
      </c>
      <c r="V228" s="18" t="s">
        <v>1738</v>
      </c>
      <c r="W228" s="18" t="s">
        <v>1737</v>
      </c>
      <c r="X228" s="18"/>
      <c r="Y228" s="241"/>
      <c r="Z228" s="241"/>
      <c r="AA228" s="241"/>
      <c r="AB228" s="241"/>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c r="BY228" s="124"/>
      <c r="BZ228" s="124"/>
      <c r="CA228" s="124"/>
      <c r="CB228" s="124"/>
      <c r="CC228" s="124"/>
      <c r="CD228" s="124"/>
      <c r="CE228" s="124"/>
      <c r="CF228" s="124"/>
      <c r="CG228" s="124"/>
      <c r="CH228" s="124"/>
      <c r="CI228" s="124"/>
      <c r="CJ228" s="124"/>
      <c r="CK228" s="124"/>
      <c r="CL228" s="124"/>
      <c r="CM228" s="124"/>
      <c r="CN228" s="124"/>
      <c r="CO228" s="124"/>
      <c r="CP228" s="124"/>
    </row>
    <row r="229" spans="1:94" s="13" customFormat="1" ht="38.25" customHeight="1">
      <c r="A229" s="18" t="s">
        <v>1</v>
      </c>
      <c r="B229" s="18" t="s">
        <v>2</v>
      </c>
      <c r="C229" s="18" t="s">
        <v>25</v>
      </c>
      <c r="D229" s="18" t="s">
        <v>1771</v>
      </c>
      <c r="E229" s="18" t="s">
        <v>1759</v>
      </c>
      <c r="F229" s="18" t="s">
        <v>1772</v>
      </c>
      <c r="G229" s="18" t="s">
        <v>148</v>
      </c>
      <c r="H229" s="18"/>
      <c r="I229" s="18" t="s">
        <v>28</v>
      </c>
      <c r="J229" s="21" t="s">
        <v>109</v>
      </c>
      <c r="K229" s="18" t="s">
        <v>1340</v>
      </c>
      <c r="L229" s="18" t="s">
        <v>40</v>
      </c>
      <c r="M229" s="19">
        <v>10000</v>
      </c>
      <c r="N229" s="19">
        <v>25000</v>
      </c>
      <c r="O229" s="18" t="s">
        <v>9</v>
      </c>
      <c r="P229" s="18" t="s">
        <v>278</v>
      </c>
      <c r="Q229" s="18" t="s">
        <v>279</v>
      </c>
      <c r="R229" s="18" t="s">
        <v>10</v>
      </c>
      <c r="S229" s="171">
        <v>2013</v>
      </c>
      <c r="T229" s="18" t="s">
        <v>1985</v>
      </c>
      <c r="U229" s="18" t="s">
        <v>1733</v>
      </c>
      <c r="V229" s="18" t="s">
        <v>1738</v>
      </c>
      <c r="W229" s="18" t="s">
        <v>1737</v>
      </c>
      <c r="X229" s="18"/>
      <c r="Y229" s="241"/>
      <c r="Z229" s="241"/>
      <c r="AA229" s="241"/>
      <c r="AB229" s="241"/>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c r="BY229" s="124"/>
      <c r="BZ229" s="124"/>
      <c r="CA229" s="124"/>
      <c r="CB229" s="124"/>
      <c r="CC229" s="124"/>
      <c r="CD229" s="124"/>
      <c r="CE229" s="124"/>
      <c r="CF229" s="124"/>
      <c r="CG229" s="124"/>
      <c r="CH229" s="124"/>
      <c r="CI229" s="124"/>
      <c r="CJ229" s="124"/>
      <c r="CK229" s="124"/>
      <c r="CL229" s="124"/>
      <c r="CM229" s="124"/>
      <c r="CN229" s="124"/>
      <c r="CO229" s="124"/>
      <c r="CP229" s="124"/>
    </row>
    <row r="230" spans="1:94" s="13" customFormat="1" ht="38.25" customHeight="1">
      <c r="A230" s="18" t="s">
        <v>1</v>
      </c>
      <c r="B230" s="18" t="s">
        <v>2</v>
      </c>
      <c r="C230" s="18" t="s">
        <v>25</v>
      </c>
      <c r="D230" s="18" t="s">
        <v>1771</v>
      </c>
      <c r="E230" s="18" t="s">
        <v>601</v>
      </c>
      <c r="F230" s="18" t="s">
        <v>1772</v>
      </c>
      <c r="G230" s="18" t="s">
        <v>148</v>
      </c>
      <c r="H230" s="18"/>
      <c r="I230" s="18" t="s">
        <v>28</v>
      </c>
      <c r="J230" s="21" t="s">
        <v>109</v>
      </c>
      <c r="K230" s="18" t="s">
        <v>1340</v>
      </c>
      <c r="L230" s="18" t="s">
        <v>40</v>
      </c>
      <c r="M230" s="19">
        <v>25000</v>
      </c>
      <c r="N230" s="19">
        <v>75000</v>
      </c>
      <c r="O230" s="18" t="s">
        <v>20</v>
      </c>
      <c r="P230" s="18" t="s">
        <v>278</v>
      </c>
      <c r="Q230" s="18" t="s">
        <v>279</v>
      </c>
      <c r="R230" s="18" t="s">
        <v>10</v>
      </c>
      <c r="S230" s="171">
        <v>2013</v>
      </c>
      <c r="T230" s="18" t="s">
        <v>1985</v>
      </c>
      <c r="U230" s="18" t="s">
        <v>1733</v>
      </c>
      <c r="V230" s="18" t="s">
        <v>1738</v>
      </c>
      <c r="W230" s="18" t="s">
        <v>1737</v>
      </c>
      <c r="X230" s="18"/>
      <c r="Y230" s="241"/>
      <c r="Z230" s="241"/>
      <c r="AA230" s="241"/>
      <c r="AB230" s="241"/>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c r="BY230" s="124"/>
      <c r="BZ230" s="124"/>
      <c r="CA230" s="124"/>
      <c r="CB230" s="124"/>
      <c r="CC230" s="124"/>
      <c r="CD230" s="124"/>
      <c r="CE230" s="124"/>
      <c r="CF230" s="124"/>
      <c r="CG230" s="124"/>
      <c r="CH230" s="124"/>
      <c r="CI230" s="124"/>
      <c r="CJ230" s="124"/>
      <c r="CK230" s="124"/>
      <c r="CL230" s="124"/>
      <c r="CM230" s="124"/>
      <c r="CN230" s="124"/>
      <c r="CO230" s="124"/>
      <c r="CP230" s="124"/>
    </row>
    <row r="231" spans="1:94" s="13" customFormat="1" ht="38.25" customHeight="1">
      <c r="A231" s="18" t="s">
        <v>1</v>
      </c>
      <c r="B231" s="18" t="s">
        <v>2</v>
      </c>
      <c r="C231" s="18" t="s">
        <v>25</v>
      </c>
      <c r="D231" s="18" t="s">
        <v>1771</v>
      </c>
      <c r="E231" s="18" t="s">
        <v>557</v>
      </c>
      <c r="F231" s="18" t="s">
        <v>1772</v>
      </c>
      <c r="G231" s="18" t="s">
        <v>148</v>
      </c>
      <c r="H231" s="18"/>
      <c r="I231" s="18" t="s">
        <v>28</v>
      </c>
      <c r="J231" s="21" t="s">
        <v>109</v>
      </c>
      <c r="K231" s="18" t="s">
        <v>1340</v>
      </c>
      <c r="L231" s="18" t="s">
        <v>40</v>
      </c>
      <c r="M231" s="19">
        <v>1000000</v>
      </c>
      <c r="N231" s="19">
        <v>1500000</v>
      </c>
      <c r="O231" s="18" t="s">
        <v>20</v>
      </c>
      <c r="P231" s="18" t="s">
        <v>278</v>
      </c>
      <c r="Q231" s="18" t="s">
        <v>279</v>
      </c>
      <c r="R231" s="18" t="s">
        <v>21</v>
      </c>
      <c r="S231" s="171">
        <v>2013</v>
      </c>
      <c r="T231" s="18" t="s">
        <v>1985</v>
      </c>
      <c r="U231" s="18" t="s">
        <v>1733</v>
      </c>
      <c r="V231" s="18" t="s">
        <v>1738</v>
      </c>
      <c r="W231" s="18" t="s">
        <v>1737</v>
      </c>
      <c r="X231" s="18"/>
      <c r="Y231" s="241"/>
      <c r="Z231" s="244"/>
      <c r="AA231" s="244"/>
      <c r="AB231" s="244"/>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c r="BY231" s="124"/>
      <c r="BZ231" s="124"/>
      <c r="CA231" s="124"/>
      <c r="CB231" s="124"/>
      <c r="CC231" s="124"/>
      <c r="CD231" s="124"/>
      <c r="CE231" s="124"/>
      <c r="CF231" s="124"/>
      <c r="CG231" s="124"/>
      <c r="CH231" s="124"/>
      <c r="CI231" s="124"/>
      <c r="CJ231" s="124"/>
      <c r="CK231" s="124"/>
      <c r="CL231" s="124"/>
      <c r="CM231" s="124"/>
      <c r="CN231" s="124"/>
      <c r="CO231" s="124"/>
      <c r="CP231" s="124"/>
    </row>
    <row r="232" spans="1:94" s="13" customFormat="1" ht="38.25" customHeight="1">
      <c r="A232" s="18" t="s">
        <v>1</v>
      </c>
      <c r="B232" s="18" t="s">
        <v>2</v>
      </c>
      <c r="C232" s="18" t="s">
        <v>25</v>
      </c>
      <c r="D232" s="18" t="s">
        <v>1773</v>
      </c>
      <c r="E232" s="18" t="s">
        <v>557</v>
      </c>
      <c r="F232" s="18" t="s">
        <v>1770</v>
      </c>
      <c r="G232" s="18" t="s">
        <v>70</v>
      </c>
      <c r="H232" s="18"/>
      <c r="I232" s="18" t="s">
        <v>28</v>
      </c>
      <c r="J232" s="21" t="s">
        <v>109</v>
      </c>
      <c r="K232" s="18" t="s">
        <v>1340</v>
      </c>
      <c r="L232" s="18" t="s">
        <v>40</v>
      </c>
      <c r="M232" s="19">
        <v>25000</v>
      </c>
      <c r="N232" s="19">
        <v>75000</v>
      </c>
      <c r="O232" s="18" t="s">
        <v>20</v>
      </c>
      <c r="P232" s="18" t="s">
        <v>278</v>
      </c>
      <c r="Q232" s="18" t="s">
        <v>279</v>
      </c>
      <c r="R232" s="18" t="s">
        <v>10</v>
      </c>
      <c r="S232" s="171">
        <v>2013</v>
      </c>
      <c r="T232" s="18" t="s">
        <v>1985</v>
      </c>
      <c r="U232" s="18" t="s">
        <v>1733</v>
      </c>
      <c r="V232" s="18" t="s">
        <v>1738</v>
      </c>
      <c r="W232" s="18" t="s">
        <v>1737</v>
      </c>
      <c r="X232" s="18"/>
      <c r="Y232" s="241"/>
      <c r="Z232" s="241"/>
      <c r="AA232" s="241"/>
      <c r="AB232" s="241"/>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c r="BY232" s="124"/>
      <c r="BZ232" s="124"/>
      <c r="CA232" s="124"/>
      <c r="CB232" s="124"/>
      <c r="CC232" s="124"/>
      <c r="CD232" s="124"/>
      <c r="CE232" s="124"/>
      <c r="CF232" s="124"/>
      <c r="CG232" s="124"/>
      <c r="CH232" s="124"/>
      <c r="CI232" s="124"/>
      <c r="CJ232" s="124"/>
      <c r="CK232" s="124"/>
      <c r="CL232" s="124"/>
      <c r="CM232" s="124"/>
      <c r="CN232" s="124"/>
      <c r="CO232" s="124"/>
      <c r="CP232" s="124"/>
    </row>
    <row r="233" spans="1:94" s="13" customFormat="1" ht="38.25" customHeight="1">
      <c r="A233" s="18" t="s">
        <v>1</v>
      </c>
      <c r="B233" s="18" t="s">
        <v>2</v>
      </c>
      <c r="C233" s="18" t="s">
        <v>25</v>
      </c>
      <c r="D233" s="18" t="s">
        <v>1774</v>
      </c>
      <c r="E233" s="18" t="s">
        <v>557</v>
      </c>
      <c r="F233" s="18" t="s">
        <v>1775</v>
      </c>
      <c r="G233" s="18" t="s">
        <v>70</v>
      </c>
      <c r="H233" s="18"/>
      <c r="I233" s="18" t="s">
        <v>28</v>
      </c>
      <c r="J233" s="21" t="s">
        <v>109</v>
      </c>
      <c r="K233" s="18" t="s">
        <v>1340</v>
      </c>
      <c r="L233" s="18" t="s">
        <v>40</v>
      </c>
      <c r="M233" s="19">
        <v>1000</v>
      </c>
      <c r="N233" s="19">
        <v>10000</v>
      </c>
      <c r="O233" s="18" t="s">
        <v>9</v>
      </c>
      <c r="P233" s="18" t="s">
        <v>278</v>
      </c>
      <c r="Q233" s="18" t="s">
        <v>279</v>
      </c>
      <c r="R233" s="18" t="s">
        <v>10</v>
      </c>
      <c r="S233" s="171">
        <v>2013</v>
      </c>
      <c r="T233" s="18" t="s">
        <v>1985</v>
      </c>
      <c r="U233" s="18" t="s">
        <v>1733</v>
      </c>
      <c r="V233" s="18" t="s">
        <v>1738</v>
      </c>
      <c r="W233" s="18" t="s">
        <v>1737</v>
      </c>
      <c r="X233" s="18"/>
      <c r="Y233" s="241"/>
      <c r="Z233" s="241"/>
      <c r="AA233" s="241"/>
      <c r="AB233" s="241"/>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c r="BY233" s="124"/>
      <c r="BZ233" s="124"/>
      <c r="CA233" s="124"/>
      <c r="CB233" s="124"/>
      <c r="CC233" s="124"/>
      <c r="CD233" s="124"/>
      <c r="CE233" s="124"/>
      <c r="CF233" s="124"/>
      <c r="CG233" s="124"/>
      <c r="CH233" s="124"/>
      <c r="CI233" s="124"/>
      <c r="CJ233" s="124"/>
      <c r="CK233" s="124"/>
      <c r="CL233" s="124"/>
      <c r="CM233" s="124"/>
      <c r="CN233" s="124"/>
      <c r="CO233" s="124"/>
      <c r="CP233" s="124"/>
    </row>
    <row r="234" spans="1:94" s="13" customFormat="1" ht="38.25" customHeight="1">
      <c r="A234" s="18" t="s">
        <v>1</v>
      </c>
      <c r="B234" s="18" t="s">
        <v>2</v>
      </c>
      <c r="C234" s="18" t="s">
        <v>25</v>
      </c>
      <c r="D234" s="18" t="s">
        <v>1776</v>
      </c>
      <c r="E234" s="18" t="s">
        <v>1735</v>
      </c>
      <c r="F234" s="18" t="s">
        <v>1777</v>
      </c>
      <c r="G234" s="18" t="s">
        <v>203</v>
      </c>
      <c r="H234" s="18">
        <v>561720</v>
      </c>
      <c r="I234" s="18" t="s">
        <v>28</v>
      </c>
      <c r="J234" s="18" t="s">
        <v>773</v>
      </c>
      <c r="K234" s="18" t="s">
        <v>1340</v>
      </c>
      <c r="L234" s="18" t="s">
        <v>1745</v>
      </c>
      <c r="M234" s="19">
        <v>2910293</v>
      </c>
      <c r="N234" s="19"/>
      <c r="O234" s="21" t="s">
        <v>20</v>
      </c>
      <c r="P234" s="18" t="s">
        <v>278</v>
      </c>
      <c r="Q234" s="18" t="s">
        <v>279</v>
      </c>
      <c r="R234" s="18" t="s">
        <v>21</v>
      </c>
      <c r="S234" s="171">
        <v>2013</v>
      </c>
      <c r="T234" s="18" t="s">
        <v>1787</v>
      </c>
      <c r="U234" s="18" t="s">
        <v>1778</v>
      </c>
      <c r="V234" s="18" t="s">
        <v>1779</v>
      </c>
      <c r="W234" s="18" t="s">
        <v>1737</v>
      </c>
      <c r="X234" s="18" t="s">
        <v>1780</v>
      </c>
      <c r="Y234" s="241"/>
      <c r="Z234" s="241"/>
      <c r="AA234" s="245"/>
      <c r="AB234" s="241"/>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c r="BY234" s="124"/>
      <c r="BZ234" s="124"/>
      <c r="CA234" s="124"/>
      <c r="CB234" s="124"/>
      <c r="CC234" s="124"/>
      <c r="CD234" s="124"/>
      <c r="CE234" s="124"/>
      <c r="CF234" s="124"/>
      <c r="CG234" s="124"/>
      <c r="CH234" s="124"/>
      <c r="CI234" s="124"/>
      <c r="CJ234" s="124"/>
      <c r="CK234" s="124"/>
      <c r="CL234" s="124"/>
      <c r="CM234" s="124"/>
      <c r="CN234" s="124"/>
      <c r="CO234" s="124"/>
      <c r="CP234" s="124"/>
    </row>
    <row r="235" spans="1:94" s="13" customFormat="1" ht="38.25" customHeight="1">
      <c r="A235" s="18" t="s">
        <v>1</v>
      </c>
      <c r="B235" s="18" t="s">
        <v>2</v>
      </c>
      <c r="C235" s="18" t="s">
        <v>3</v>
      </c>
      <c r="D235" s="18" t="s">
        <v>615</v>
      </c>
      <c r="E235" s="18" t="s">
        <v>1732</v>
      </c>
      <c r="F235" s="21" t="s">
        <v>1901</v>
      </c>
      <c r="G235" s="18" t="s">
        <v>139</v>
      </c>
      <c r="H235" s="18">
        <v>561720</v>
      </c>
      <c r="I235" s="18" t="s">
        <v>616</v>
      </c>
      <c r="J235" s="21" t="s">
        <v>109</v>
      </c>
      <c r="K235" s="18" t="s">
        <v>8</v>
      </c>
      <c r="L235" s="18"/>
      <c r="M235" s="19">
        <v>129951</v>
      </c>
      <c r="N235" s="19">
        <v>129951</v>
      </c>
      <c r="O235" s="18" t="s">
        <v>20</v>
      </c>
      <c r="P235" s="18" t="s">
        <v>1781</v>
      </c>
      <c r="Q235" s="18" t="s">
        <v>279</v>
      </c>
      <c r="R235" s="18" t="s">
        <v>10</v>
      </c>
      <c r="S235" s="171">
        <v>2013</v>
      </c>
      <c r="T235" s="18" t="s">
        <v>1787</v>
      </c>
      <c r="U235" s="18" t="s">
        <v>1778</v>
      </c>
      <c r="V235" s="18" t="s">
        <v>1779</v>
      </c>
      <c r="W235" s="18" t="s">
        <v>1737</v>
      </c>
      <c r="X235" s="21" t="s">
        <v>1902</v>
      </c>
      <c r="Y235" s="241"/>
      <c r="Z235" s="241"/>
      <c r="AA235" s="245"/>
      <c r="AB235" s="241"/>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c r="BY235" s="124"/>
      <c r="BZ235" s="124"/>
      <c r="CA235" s="124"/>
      <c r="CB235" s="124"/>
      <c r="CC235" s="124"/>
      <c r="CD235" s="124"/>
      <c r="CE235" s="124"/>
      <c r="CF235" s="124"/>
      <c r="CG235" s="124"/>
      <c r="CH235" s="124"/>
      <c r="CI235" s="124"/>
      <c r="CJ235" s="124"/>
      <c r="CK235" s="124"/>
      <c r="CL235" s="124"/>
      <c r="CM235" s="124"/>
      <c r="CN235" s="124"/>
      <c r="CO235" s="124"/>
      <c r="CP235" s="124"/>
    </row>
    <row r="236" spans="1:94" s="13" customFormat="1" ht="38.25" customHeight="1">
      <c r="A236" s="18" t="s">
        <v>1</v>
      </c>
      <c r="B236" s="18" t="s">
        <v>2</v>
      </c>
      <c r="C236" s="18" t="s">
        <v>3</v>
      </c>
      <c r="D236" s="18" t="s">
        <v>1782</v>
      </c>
      <c r="E236" s="18" t="s">
        <v>1783</v>
      </c>
      <c r="F236" s="21" t="s">
        <v>1903</v>
      </c>
      <c r="G236" s="18" t="s">
        <v>203</v>
      </c>
      <c r="H236" s="18">
        <v>238290</v>
      </c>
      <c r="I236" s="21" t="s">
        <v>71</v>
      </c>
      <c r="J236" s="21" t="s">
        <v>109</v>
      </c>
      <c r="K236" s="18" t="s">
        <v>1784</v>
      </c>
      <c r="L236" s="18"/>
      <c r="M236" s="19">
        <v>18960</v>
      </c>
      <c r="N236" s="19">
        <v>18960</v>
      </c>
      <c r="O236" s="18" t="s">
        <v>20</v>
      </c>
      <c r="P236" s="18" t="s">
        <v>1785</v>
      </c>
      <c r="Q236" s="18" t="s">
        <v>1786</v>
      </c>
      <c r="R236" s="18" t="s">
        <v>41</v>
      </c>
      <c r="S236" s="171">
        <v>2013</v>
      </c>
      <c r="T236" s="18" t="s">
        <v>1787</v>
      </c>
      <c r="U236" s="18" t="s">
        <v>1778</v>
      </c>
      <c r="V236" s="18" t="s">
        <v>1779</v>
      </c>
      <c r="W236" s="18" t="s">
        <v>1788</v>
      </c>
      <c r="X236" s="18" t="s">
        <v>1789</v>
      </c>
      <c r="Y236" s="241"/>
      <c r="Z236" s="241"/>
      <c r="AA236" s="245"/>
      <c r="AB236" s="241"/>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c r="BY236" s="124"/>
      <c r="BZ236" s="124"/>
      <c r="CA236" s="124"/>
      <c r="CB236" s="124"/>
      <c r="CC236" s="124"/>
      <c r="CD236" s="124"/>
      <c r="CE236" s="124"/>
      <c r="CF236" s="124"/>
      <c r="CG236" s="124"/>
      <c r="CH236" s="124"/>
      <c r="CI236" s="124"/>
      <c r="CJ236" s="124"/>
      <c r="CK236" s="124"/>
      <c r="CL236" s="124"/>
      <c r="CM236" s="124"/>
      <c r="CN236" s="124"/>
      <c r="CO236" s="124"/>
      <c r="CP236" s="124"/>
    </row>
    <row r="237" spans="1:94" s="13" customFormat="1" ht="38.25" customHeight="1">
      <c r="A237" s="18" t="s">
        <v>1</v>
      </c>
      <c r="B237" s="18" t="s">
        <v>2</v>
      </c>
      <c r="C237" s="18" t="s">
        <v>25</v>
      </c>
      <c r="D237" s="18" t="s">
        <v>1790</v>
      </c>
      <c r="E237" s="18"/>
      <c r="F237" s="18"/>
      <c r="G237" s="18"/>
      <c r="H237" s="18"/>
      <c r="I237" s="18"/>
      <c r="J237" s="18"/>
      <c r="K237" s="18"/>
      <c r="L237" s="18"/>
      <c r="M237" s="19"/>
      <c r="N237" s="19"/>
      <c r="O237" s="18"/>
      <c r="P237" s="18"/>
      <c r="Q237" s="18"/>
      <c r="R237" s="18"/>
      <c r="S237" s="171"/>
      <c r="T237" s="18"/>
      <c r="U237" s="18"/>
      <c r="V237" s="18"/>
      <c r="W237" s="18" t="s">
        <v>1737</v>
      </c>
      <c r="X237" s="18"/>
      <c r="Y237" s="241"/>
      <c r="Z237" s="241"/>
      <c r="AA237" s="241"/>
      <c r="AB237" s="241"/>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c r="BY237" s="124"/>
      <c r="BZ237" s="124"/>
      <c r="CA237" s="124"/>
      <c r="CB237" s="124"/>
      <c r="CC237" s="124"/>
      <c r="CD237" s="124"/>
      <c r="CE237" s="124"/>
      <c r="CF237" s="124"/>
      <c r="CG237" s="124"/>
      <c r="CH237" s="124"/>
      <c r="CI237" s="124"/>
      <c r="CJ237" s="124"/>
      <c r="CK237" s="124"/>
      <c r="CL237" s="124"/>
      <c r="CM237" s="124"/>
      <c r="CN237" s="124"/>
      <c r="CO237" s="124"/>
      <c r="CP237" s="124"/>
    </row>
    <row r="238" spans="1:94" s="13" customFormat="1" ht="38.25" customHeight="1">
      <c r="A238" s="18" t="s">
        <v>1</v>
      </c>
      <c r="B238" s="18" t="s">
        <v>2</v>
      </c>
      <c r="C238" s="18" t="s">
        <v>3</v>
      </c>
      <c r="D238" s="18" t="s">
        <v>615</v>
      </c>
      <c r="E238" s="18" t="s">
        <v>1732</v>
      </c>
      <c r="F238" s="21" t="s">
        <v>1904</v>
      </c>
      <c r="G238" s="18" t="s">
        <v>70</v>
      </c>
      <c r="H238" s="18">
        <v>561720</v>
      </c>
      <c r="I238" s="18" t="s">
        <v>616</v>
      </c>
      <c r="J238" s="21" t="s">
        <v>109</v>
      </c>
      <c r="K238" s="18" t="s">
        <v>8</v>
      </c>
      <c r="L238" s="18"/>
      <c r="M238" s="19"/>
      <c r="N238" s="19">
        <v>995000</v>
      </c>
      <c r="O238" s="18" t="s">
        <v>20</v>
      </c>
      <c r="P238" s="18" t="s">
        <v>1791</v>
      </c>
      <c r="Q238" s="18" t="s">
        <v>279</v>
      </c>
      <c r="R238" s="18" t="s">
        <v>1792</v>
      </c>
      <c r="S238" s="171">
        <v>2013</v>
      </c>
      <c r="T238" s="18" t="s">
        <v>1985</v>
      </c>
      <c r="U238" s="18" t="s">
        <v>1733</v>
      </c>
      <c r="V238" s="18" t="s">
        <v>1734</v>
      </c>
      <c r="W238" s="18" t="s">
        <v>1737</v>
      </c>
      <c r="X238" s="18" t="s">
        <v>1793</v>
      </c>
      <c r="Y238" s="241"/>
      <c r="Z238" s="241"/>
      <c r="AA238" s="241"/>
      <c r="AB238" s="241"/>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c r="BY238" s="124"/>
      <c r="BZ238" s="124"/>
      <c r="CA238" s="124"/>
      <c r="CB238" s="124"/>
      <c r="CC238" s="124"/>
      <c r="CD238" s="124"/>
      <c r="CE238" s="124"/>
      <c r="CF238" s="124"/>
      <c r="CG238" s="124"/>
      <c r="CH238" s="124"/>
      <c r="CI238" s="124"/>
      <c r="CJ238" s="124"/>
      <c r="CK238" s="124"/>
      <c r="CL238" s="124"/>
      <c r="CM238" s="124"/>
      <c r="CN238" s="124"/>
      <c r="CO238" s="124"/>
      <c r="CP238" s="124"/>
    </row>
    <row r="239" spans="1:94" s="13" customFormat="1" ht="38.25" customHeight="1">
      <c r="A239" s="18" t="s">
        <v>1</v>
      </c>
      <c r="B239" s="18" t="s">
        <v>2</v>
      </c>
      <c r="C239" s="18" t="s">
        <v>25</v>
      </c>
      <c r="D239" s="18" t="s">
        <v>615</v>
      </c>
      <c r="E239" s="18" t="s">
        <v>1732</v>
      </c>
      <c r="F239" s="21" t="s">
        <v>1741</v>
      </c>
      <c r="G239" s="21" t="s">
        <v>148</v>
      </c>
      <c r="H239" s="18">
        <v>561720</v>
      </c>
      <c r="I239" s="18" t="s">
        <v>616</v>
      </c>
      <c r="J239" s="21" t="s">
        <v>109</v>
      </c>
      <c r="K239" s="18" t="s">
        <v>8</v>
      </c>
      <c r="L239" s="18"/>
      <c r="M239" s="19"/>
      <c r="N239" s="19"/>
      <c r="O239" s="18" t="s">
        <v>20</v>
      </c>
      <c r="P239" s="18" t="s">
        <v>1795</v>
      </c>
      <c r="Q239" s="18" t="s">
        <v>279</v>
      </c>
      <c r="R239" s="18" t="s">
        <v>31</v>
      </c>
      <c r="S239" s="171">
        <v>2013</v>
      </c>
      <c r="T239" s="18" t="s">
        <v>1985</v>
      </c>
      <c r="U239" s="18" t="s">
        <v>1733</v>
      </c>
      <c r="V239" s="18" t="s">
        <v>1734</v>
      </c>
      <c r="W239" s="18" t="s">
        <v>1737</v>
      </c>
      <c r="X239" s="18" t="s">
        <v>1794</v>
      </c>
      <c r="Y239" s="241"/>
      <c r="Z239" s="241"/>
      <c r="AA239" s="241"/>
      <c r="AB239" s="241"/>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c r="BY239" s="124"/>
      <c r="BZ239" s="124"/>
      <c r="CA239" s="124"/>
      <c r="CB239" s="124"/>
      <c r="CC239" s="124"/>
      <c r="CD239" s="124"/>
      <c r="CE239" s="124"/>
      <c r="CF239" s="124"/>
      <c r="CG239" s="124"/>
      <c r="CH239" s="124"/>
      <c r="CI239" s="124"/>
      <c r="CJ239" s="124"/>
      <c r="CK239" s="124"/>
      <c r="CL239" s="124"/>
      <c r="CM239" s="124"/>
      <c r="CN239" s="124"/>
      <c r="CO239" s="124"/>
      <c r="CP239" s="124"/>
    </row>
    <row r="240" spans="1:94" s="13" customFormat="1" ht="38.25" customHeight="1">
      <c r="A240" s="18" t="s">
        <v>1</v>
      </c>
      <c r="B240" s="18" t="s">
        <v>2</v>
      </c>
      <c r="C240" s="18" t="s">
        <v>25</v>
      </c>
      <c r="D240" s="18" t="s">
        <v>638</v>
      </c>
      <c r="E240" s="18" t="s">
        <v>1796</v>
      </c>
      <c r="F240" s="18" t="s">
        <v>1797</v>
      </c>
      <c r="G240" s="18" t="s">
        <v>165</v>
      </c>
      <c r="H240" s="18">
        <v>238220</v>
      </c>
      <c r="I240" s="18" t="s">
        <v>28</v>
      </c>
      <c r="J240" s="21" t="s">
        <v>109</v>
      </c>
      <c r="K240" s="18" t="s">
        <v>1340</v>
      </c>
      <c r="L240" s="18"/>
      <c r="M240" s="19">
        <v>152000</v>
      </c>
      <c r="N240" s="19">
        <v>1590000</v>
      </c>
      <c r="O240" s="18" t="s">
        <v>20</v>
      </c>
      <c r="P240" s="18" t="s">
        <v>654</v>
      </c>
      <c r="Q240" s="18" t="s">
        <v>279</v>
      </c>
      <c r="R240" s="18" t="s">
        <v>41</v>
      </c>
      <c r="S240" s="171">
        <v>2013</v>
      </c>
      <c r="T240" s="18" t="s">
        <v>1798</v>
      </c>
      <c r="U240" s="18" t="s">
        <v>1799</v>
      </c>
      <c r="V240" s="18" t="s">
        <v>1800</v>
      </c>
      <c r="W240" s="18" t="s">
        <v>1737</v>
      </c>
      <c r="X240" s="18"/>
      <c r="Y240" s="124"/>
      <c r="Z240" s="124"/>
      <c r="AA240" s="245"/>
      <c r="AB240" s="245"/>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c r="BY240" s="124"/>
      <c r="BZ240" s="124"/>
      <c r="CA240" s="124"/>
      <c r="CB240" s="124"/>
      <c r="CC240" s="124"/>
      <c r="CD240" s="124"/>
      <c r="CE240" s="124"/>
      <c r="CF240" s="124"/>
      <c r="CG240" s="124"/>
      <c r="CH240" s="124"/>
      <c r="CI240" s="124"/>
      <c r="CJ240" s="124"/>
      <c r="CK240" s="124"/>
      <c r="CL240" s="124"/>
      <c r="CM240" s="124"/>
      <c r="CN240" s="124"/>
      <c r="CO240" s="124"/>
      <c r="CP240" s="124"/>
    </row>
    <row r="241" spans="1:94" s="13" customFormat="1" ht="38.25" customHeight="1">
      <c r="A241" s="18" t="s">
        <v>1</v>
      </c>
      <c r="B241" s="18" t="s">
        <v>2</v>
      </c>
      <c r="C241" s="18" t="s">
        <v>25</v>
      </c>
      <c r="D241" s="18" t="s">
        <v>1246</v>
      </c>
      <c r="E241" s="18" t="s">
        <v>1732</v>
      </c>
      <c r="F241" s="21" t="s">
        <v>1905</v>
      </c>
      <c r="G241" s="18" t="s">
        <v>139</v>
      </c>
      <c r="H241" s="18">
        <v>561210</v>
      </c>
      <c r="I241" s="18" t="s">
        <v>28</v>
      </c>
      <c r="J241" s="21" t="s">
        <v>109</v>
      </c>
      <c r="K241" s="18" t="s">
        <v>346</v>
      </c>
      <c r="L241" s="18"/>
      <c r="M241" s="19">
        <v>736000</v>
      </c>
      <c r="N241" s="19">
        <v>758000</v>
      </c>
      <c r="O241" s="18" t="s">
        <v>20</v>
      </c>
      <c r="P241" s="18" t="s">
        <v>1802</v>
      </c>
      <c r="Q241" s="18" t="s">
        <v>556</v>
      </c>
      <c r="R241" s="18" t="s">
        <v>10</v>
      </c>
      <c r="S241" s="171">
        <v>2013</v>
      </c>
      <c r="T241" s="18" t="s">
        <v>1798</v>
      </c>
      <c r="U241" s="18" t="s">
        <v>1799</v>
      </c>
      <c r="V241" s="18" t="s">
        <v>1800</v>
      </c>
      <c r="W241" s="18" t="s">
        <v>1737</v>
      </c>
      <c r="X241" s="21" t="s">
        <v>1801</v>
      </c>
      <c r="Y241" s="124"/>
      <c r="Z241" s="124"/>
      <c r="AA241" s="245"/>
      <c r="AB241" s="245"/>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c r="BY241" s="124"/>
      <c r="BZ241" s="124"/>
      <c r="CA241" s="124"/>
      <c r="CB241" s="124"/>
      <c r="CC241" s="124"/>
      <c r="CD241" s="124"/>
      <c r="CE241" s="124"/>
      <c r="CF241" s="124"/>
      <c r="CG241" s="124"/>
      <c r="CH241" s="124"/>
      <c r="CI241" s="124"/>
      <c r="CJ241" s="124"/>
      <c r="CK241" s="124"/>
      <c r="CL241" s="124"/>
      <c r="CM241" s="124"/>
      <c r="CN241" s="124"/>
      <c r="CO241" s="124"/>
      <c r="CP241" s="124"/>
    </row>
    <row r="242" spans="1:94" s="13" customFormat="1" ht="38.25" customHeight="1">
      <c r="A242" s="18" t="s">
        <v>1</v>
      </c>
      <c r="B242" s="18" t="s">
        <v>2</v>
      </c>
      <c r="C242" s="18" t="s">
        <v>25</v>
      </c>
      <c r="D242" s="18" t="s">
        <v>1803</v>
      </c>
      <c r="E242" s="18" t="s">
        <v>1796</v>
      </c>
      <c r="F242" s="21" t="s">
        <v>1906</v>
      </c>
      <c r="G242" s="18" t="s">
        <v>165</v>
      </c>
      <c r="H242" s="18">
        <v>561720</v>
      </c>
      <c r="I242" s="18" t="s">
        <v>1804</v>
      </c>
      <c r="J242" s="21" t="s">
        <v>109</v>
      </c>
      <c r="K242" s="18" t="s">
        <v>1147</v>
      </c>
      <c r="L242" s="18"/>
      <c r="M242" s="19">
        <v>186000</v>
      </c>
      <c r="N242" s="19">
        <v>310000</v>
      </c>
      <c r="O242" s="18" t="s">
        <v>20</v>
      </c>
      <c r="P242" s="18" t="s">
        <v>1805</v>
      </c>
      <c r="Q242" s="18" t="s">
        <v>279</v>
      </c>
      <c r="R242" s="18" t="s">
        <v>41</v>
      </c>
      <c r="S242" s="171">
        <v>2013</v>
      </c>
      <c r="T242" s="18" t="s">
        <v>1798</v>
      </c>
      <c r="U242" s="18" t="s">
        <v>1799</v>
      </c>
      <c r="V242" s="18" t="s">
        <v>1800</v>
      </c>
      <c r="W242" s="18" t="s">
        <v>1737</v>
      </c>
      <c r="X242" s="21" t="s">
        <v>1907</v>
      </c>
      <c r="Y242" s="124"/>
      <c r="Z242" s="124"/>
      <c r="AA242" s="245"/>
      <c r="AB242" s="245"/>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c r="BY242" s="124"/>
      <c r="BZ242" s="124"/>
      <c r="CA242" s="124"/>
      <c r="CB242" s="124"/>
      <c r="CC242" s="124"/>
      <c r="CD242" s="124"/>
      <c r="CE242" s="124"/>
      <c r="CF242" s="124"/>
      <c r="CG242" s="124"/>
      <c r="CH242" s="124"/>
      <c r="CI242" s="124"/>
      <c r="CJ242" s="124"/>
      <c r="CK242" s="124"/>
      <c r="CL242" s="124"/>
      <c r="CM242" s="124"/>
      <c r="CN242" s="124"/>
      <c r="CO242" s="124"/>
      <c r="CP242" s="124"/>
    </row>
    <row r="243" spans="1:94" s="13" customFormat="1" ht="38.25" customHeight="1">
      <c r="A243" s="18" t="s">
        <v>1</v>
      </c>
      <c r="B243" s="18" t="s">
        <v>2</v>
      </c>
      <c r="C243" s="18" t="s">
        <v>3</v>
      </c>
      <c r="D243" s="18" t="s">
        <v>1803</v>
      </c>
      <c r="E243" s="18" t="s">
        <v>1796</v>
      </c>
      <c r="F243" s="21" t="s">
        <v>1750</v>
      </c>
      <c r="G243" s="18" t="s">
        <v>203</v>
      </c>
      <c r="H243" s="18">
        <v>561720</v>
      </c>
      <c r="I243" s="18" t="s">
        <v>28</v>
      </c>
      <c r="J243" s="21" t="s">
        <v>109</v>
      </c>
      <c r="K243" s="18" t="s">
        <v>1340</v>
      </c>
      <c r="L243" s="18"/>
      <c r="M243" s="19">
        <v>106800</v>
      </c>
      <c r="N243" s="19">
        <v>110000</v>
      </c>
      <c r="O243" s="18" t="s">
        <v>20</v>
      </c>
      <c r="P243" s="18" t="s">
        <v>1806</v>
      </c>
      <c r="Q243" s="18" t="s">
        <v>1807</v>
      </c>
      <c r="R243" s="18" t="s">
        <v>10</v>
      </c>
      <c r="S243" s="171">
        <v>2013</v>
      </c>
      <c r="T243" s="18" t="s">
        <v>1798</v>
      </c>
      <c r="U243" s="18" t="s">
        <v>1799</v>
      </c>
      <c r="V243" s="18" t="s">
        <v>1800</v>
      </c>
      <c r="W243" s="18" t="s">
        <v>1737</v>
      </c>
      <c r="X243" s="18" t="s">
        <v>1808</v>
      </c>
      <c r="Y243" s="124"/>
      <c r="Z243" s="124"/>
      <c r="AA243" s="245"/>
      <c r="AB243" s="245"/>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c r="BY243" s="124"/>
      <c r="BZ243" s="124"/>
      <c r="CA243" s="124"/>
      <c r="CB243" s="124"/>
      <c r="CC243" s="124"/>
      <c r="CD243" s="124"/>
      <c r="CE243" s="124"/>
      <c r="CF243" s="124"/>
      <c r="CG243" s="124"/>
      <c r="CH243" s="124"/>
      <c r="CI243" s="124"/>
      <c r="CJ243" s="124"/>
      <c r="CK243" s="124"/>
      <c r="CL243" s="124"/>
      <c r="CM243" s="124"/>
      <c r="CN243" s="124"/>
      <c r="CO243" s="124"/>
      <c r="CP243" s="124"/>
    </row>
    <row r="244" spans="1:94" s="13" customFormat="1" ht="38.25" customHeight="1">
      <c r="A244" s="21" t="s">
        <v>1</v>
      </c>
      <c r="B244" s="18" t="s">
        <v>2</v>
      </c>
      <c r="C244" s="18" t="s">
        <v>25</v>
      </c>
      <c r="D244" s="18" t="s">
        <v>1803</v>
      </c>
      <c r="E244" s="18" t="s">
        <v>1810</v>
      </c>
      <c r="F244" s="21" t="s">
        <v>1909</v>
      </c>
      <c r="G244" s="18" t="s">
        <v>203</v>
      </c>
      <c r="H244" s="18">
        <v>561210</v>
      </c>
      <c r="I244" s="18" t="s">
        <v>28</v>
      </c>
      <c r="J244" s="21" t="s">
        <v>109</v>
      </c>
      <c r="K244" s="18" t="s">
        <v>1340</v>
      </c>
      <c r="L244" s="18"/>
      <c r="M244" s="19">
        <v>942000</v>
      </c>
      <c r="N244" s="19">
        <v>1200000</v>
      </c>
      <c r="O244" s="18" t="s">
        <v>20</v>
      </c>
      <c r="P244" s="18" t="s">
        <v>1811</v>
      </c>
      <c r="Q244" s="18" t="s">
        <v>279</v>
      </c>
      <c r="R244" s="18" t="s">
        <v>10</v>
      </c>
      <c r="S244" s="171">
        <v>2013</v>
      </c>
      <c r="T244" s="18" t="s">
        <v>1787</v>
      </c>
      <c r="U244" s="18" t="s">
        <v>1778</v>
      </c>
      <c r="V244" s="18" t="s">
        <v>1779</v>
      </c>
      <c r="W244" s="18" t="s">
        <v>1788</v>
      </c>
      <c r="X244" s="21" t="s">
        <v>1908</v>
      </c>
      <c r="Y244" s="124"/>
      <c r="Z244" s="245"/>
      <c r="AA244" s="245"/>
      <c r="AB244" s="245"/>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c r="BY244" s="124"/>
      <c r="BZ244" s="124"/>
      <c r="CA244" s="124"/>
      <c r="CB244" s="124"/>
      <c r="CC244" s="124"/>
      <c r="CD244" s="124"/>
      <c r="CE244" s="124"/>
      <c r="CF244" s="124"/>
      <c r="CG244" s="124"/>
      <c r="CH244" s="124"/>
      <c r="CI244" s="124"/>
      <c r="CJ244" s="124"/>
      <c r="CK244" s="124"/>
      <c r="CL244" s="124"/>
      <c r="CM244" s="124"/>
      <c r="CN244" s="124"/>
      <c r="CO244" s="124"/>
      <c r="CP244" s="124"/>
    </row>
    <row r="245" spans="1:94" s="13" customFormat="1" ht="38.25" customHeight="1">
      <c r="A245" s="21" t="s">
        <v>1</v>
      </c>
      <c r="B245" s="21" t="s">
        <v>2</v>
      </c>
      <c r="C245" s="18" t="s">
        <v>25</v>
      </c>
      <c r="D245" s="18" t="s">
        <v>1803</v>
      </c>
      <c r="E245" s="18" t="s">
        <v>1732</v>
      </c>
      <c r="F245" s="21" t="s">
        <v>1911</v>
      </c>
      <c r="G245" s="18" t="s">
        <v>1812</v>
      </c>
      <c r="H245" s="18">
        <v>561720</v>
      </c>
      <c r="I245" s="18" t="s">
        <v>28</v>
      </c>
      <c r="J245" s="21" t="s">
        <v>109</v>
      </c>
      <c r="K245" s="18" t="s">
        <v>1340</v>
      </c>
      <c r="L245" s="18"/>
      <c r="M245" s="19">
        <v>420000</v>
      </c>
      <c r="N245" s="19">
        <v>423000</v>
      </c>
      <c r="O245" s="18" t="s">
        <v>20</v>
      </c>
      <c r="P245" s="18" t="s">
        <v>1806</v>
      </c>
      <c r="Q245" s="21" t="s">
        <v>279</v>
      </c>
      <c r="R245" s="18" t="s">
        <v>10</v>
      </c>
      <c r="S245" s="171">
        <v>2013</v>
      </c>
      <c r="T245" s="18" t="s">
        <v>1787</v>
      </c>
      <c r="U245" s="18" t="s">
        <v>1778</v>
      </c>
      <c r="V245" s="18" t="s">
        <v>1779</v>
      </c>
      <c r="W245" s="18" t="s">
        <v>1788</v>
      </c>
      <c r="X245" s="21" t="s">
        <v>1910</v>
      </c>
      <c r="Y245" s="241"/>
      <c r="Z245" s="124"/>
      <c r="AA245" s="245"/>
      <c r="AB245" s="124"/>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c r="BY245" s="124"/>
      <c r="BZ245" s="124"/>
      <c r="CA245" s="124"/>
      <c r="CB245" s="124"/>
      <c r="CC245" s="124"/>
      <c r="CD245" s="124"/>
      <c r="CE245" s="124"/>
      <c r="CF245" s="124"/>
      <c r="CG245" s="124"/>
      <c r="CH245" s="124"/>
      <c r="CI245" s="124"/>
      <c r="CJ245" s="124"/>
      <c r="CK245" s="124"/>
      <c r="CL245" s="124"/>
      <c r="CM245" s="124"/>
      <c r="CN245" s="124"/>
      <c r="CO245" s="124"/>
      <c r="CP245" s="124"/>
    </row>
    <row r="246" spans="1:94" s="13" customFormat="1" ht="38.25" customHeight="1">
      <c r="A246" s="235" t="s">
        <v>1</v>
      </c>
      <c r="B246" s="76" t="s">
        <v>13</v>
      </c>
      <c r="C246" s="76" t="s">
        <v>1891</v>
      </c>
      <c r="D246" s="76" t="s">
        <v>557</v>
      </c>
      <c r="E246" s="76" t="s">
        <v>570</v>
      </c>
      <c r="F246" s="76" t="s">
        <v>610</v>
      </c>
      <c r="G246" s="76" t="s">
        <v>189</v>
      </c>
      <c r="H246" s="76">
        <v>236220</v>
      </c>
      <c r="I246" s="76" t="s">
        <v>28</v>
      </c>
      <c r="J246" s="76"/>
      <c r="K246" s="76"/>
      <c r="L246" s="76" t="s">
        <v>561</v>
      </c>
      <c r="M246" s="80"/>
      <c r="N246" s="80">
        <v>63878.8</v>
      </c>
      <c r="O246" s="76" t="s">
        <v>20</v>
      </c>
      <c r="P246" s="76" t="s">
        <v>556</v>
      </c>
      <c r="Q246" s="76" t="s">
        <v>562</v>
      </c>
      <c r="R246" s="113" t="s">
        <v>21</v>
      </c>
      <c r="S246" s="82">
        <v>2013</v>
      </c>
      <c r="T246" s="76" t="s">
        <v>598</v>
      </c>
      <c r="U246" s="76" t="s">
        <v>599</v>
      </c>
      <c r="V246" s="76" t="s">
        <v>600</v>
      </c>
      <c r="W246" s="107" t="s">
        <v>51</v>
      </c>
      <c r="X246" s="21" t="s">
        <v>1919</v>
      </c>
      <c r="Y246" s="124"/>
      <c r="Z246" s="124"/>
      <c r="AA246" s="245"/>
      <c r="AB246" s="245"/>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c r="BY246" s="124"/>
      <c r="BZ246" s="124"/>
      <c r="CA246" s="124"/>
      <c r="CB246" s="124"/>
      <c r="CC246" s="124"/>
      <c r="CD246" s="124"/>
      <c r="CE246" s="124"/>
      <c r="CF246" s="124"/>
      <c r="CG246" s="124"/>
      <c r="CH246" s="124"/>
      <c r="CI246" s="124"/>
      <c r="CJ246" s="124"/>
      <c r="CK246" s="124"/>
      <c r="CL246" s="124"/>
      <c r="CM246" s="124"/>
      <c r="CN246" s="124"/>
      <c r="CO246" s="124"/>
      <c r="CP246" s="124"/>
    </row>
    <row r="247" spans="1:94" s="13" customFormat="1" ht="38.25" customHeight="1">
      <c r="A247" s="21" t="s">
        <v>1</v>
      </c>
      <c r="B247" s="21" t="s">
        <v>13</v>
      </c>
      <c r="C247" s="21" t="s">
        <v>556</v>
      </c>
      <c r="D247" s="21" t="s">
        <v>557</v>
      </c>
      <c r="E247" s="21" t="s">
        <v>558</v>
      </c>
      <c r="F247" s="21" t="s">
        <v>559</v>
      </c>
      <c r="G247" s="21" t="s">
        <v>171</v>
      </c>
      <c r="H247" s="21">
        <v>236220</v>
      </c>
      <c r="I247" s="18" t="s">
        <v>28</v>
      </c>
      <c r="J247" s="21" t="s">
        <v>1973</v>
      </c>
      <c r="K247" s="21" t="s">
        <v>560</v>
      </c>
      <c r="L247" s="21" t="s">
        <v>561</v>
      </c>
      <c r="M247" s="22">
        <v>34000</v>
      </c>
      <c r="N247" s="22">
        <v>34000</v>
      </c>
      <c r="O247" s="21" t="s">
        <v>20</v>
      </c>
      <c r="P247" s="21" t="s">
        <v>556</v>
      </c>
      <c r="Q247" s="21" t="s">
        <v>562</v>
      </c>
      <c r="R247" s="18" t="s">
        <v>21</v>
      </c>
      <c r="S247" s="74">
        <v>2013</v>
      </c>
      <c r="T247" s="21" t="s">
        <v>563</v>
      </c>
      <c r="U247" s="21" t="s">
        <v>564</v>
      </c>
      <c r="V247" s="21" t="s">
        <v>565</v>
      </c>
      <c r="W247" s="95" t="s">
        <v>51</v>
      </c>
      <c r="X247" s="21" t="s">
        <v>1912</v>
      </c>
      <c r="Y247" s="124"/>
      <c r="Z247" s="245"/>
      <c r="AA247" s="245"/>
      <c r="AB247" s="245"/>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c r="BY247" s="124"/>
      <c r="BZ247" s="124"/>
      <c r="CA247" s="124"/>
      <c r="CB247" s="124"/>
      <c r="CC247" s="124"/>
      <c r="CD247" s="124"/>
      <c r="CE247" s="124"/>
      <c r="CF247" s="124"/>
      <c r="CG247" s="124"/>
      <c r="CH247" s="124"/>
      <c r="CI247" s="124"/>
      <c r="CJ247" s="124"/>
      <c r="CK247" s="124"/>
      <c r="CL247" s="124"/>
      <c r="CM247" s="124"/>
      <c r="CN247" s="124"/>
      <c r="CO247" s="124"/>
      <c r="CP247" s="124"/>
    </row>
    <row r="248" spans="1:94" s="13" customFormat="1" ht="38.25" customHeight="1">
      <c r="A248" s="21" t="s">
        <v>1</v>
      </c>
      <c r="B248" s="21" t="s">
        <v>13</v>
      </c>
      <c r="C248" s="21" t="s">
        <v>556</v>
      </c>
      <c r="D248" s="21" t="s">
        <v>557</v>
      </c>
      <c r="E248" s="21" t="s">
        <v>558</v>
      </c>
      <c r="F248" s="21" t="s">
        <v>559</v>
      </c>
      <c r="G248" s="21" t="s">
        <v>171</v>
      </c>
      <c r="H248" s="21">
        <v>236220</v>
      </c>
      <c r="I248" s="21" t="s">
        <v>17</v>
      </c>
      <c r="J248" s="21" t="s">
        <v>566</v>
      </c>
      <c r="K248" s="21" t="s">
        <v>567</v>
      </c>
      <c r="L248" s="21" t="s">
        <v>327</v>
      </c>
      <c r="M248" s="22">
        <v>16746</v>
      </c>
      <c r="N248" s="22">
        <v>16746</v>
      </c>
      <c r="O248" s="21" t="s">
        <v>20</v>
      </c>
      <c r="P248" s="21" t="s">
        <v>556</v>
      </c>
      <c r="Q248" s="21" t="s">
        <v>562</v>
      </c>
      <c r="R248" s="18" t="s">
        <v>21</v>
      </c>
      <c r="S248" s="74">
        <v>2013</v>
      </c>
      <c r="T248" s="21" t="s">
        <v>563</v>
      </c>
      <c r="U248" s="21" t="s">
        <v>564</v>
      </c>
      <c r="V248" s="21" t="s">
        <v>565</v>
      </c>
      <c r="W248" s="95" t="s">
        <v>51</v>
      </c>
      <c r="X248" s="21" t="s">
        <v>1912</v>
      </c>
      <c r="Y248" s="124"/>
      <c r="Z248" s="245"/>
      <c r="AA248" s="245"/>
      <c r="AB248" s="245"/>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c r="BY248" s="124"/>
      <c r="BZ248" s="124"/>
      <c r="CA248" s="124"/>
      <c r="CB248" s="124"/>
      <c r="CC248" s="124"/>
      <c r="CD248" s="124"/>
      <c r="CE248" s="124"/>
      <c r="CF248" s="124"/>
      <c r="CG248" s="124"/>
      <c r="CH248" s="124"/>
      <c r="CI248" s="124"/>
      <c r="CJ248" s="124"/>
      <c r="CK248" s="124"/>
      <c r="CL248" s="124"/>
      <c r="CM248" s="124"/>
      <c r="CN248" s="124"/>
      <c r="CO248" s="124"/>
      <c r="CP248" s="124"/>
    </row>
    <row r="249" spans="1:94" s="13" customFormat="1" ht="38.25" customHeight="1">
      <c r="A249" s="21" t="s">
        <v>1</v>
      </c>
      <c r="B249" s="21" t="s">
        <v>13</v>
      </c>
      <c r="C249" s="21" t="s">
        <v>556</v>
      </c>
      <c r="D249" s="21" t="s">
        <v>557</v>
      </c>
      <c r="E249" s="21" t="s">
        <v>558</v>
      </c>
      <c r="F249" s="21" t="s">
        <v>559</v>
      </c>
      <c r="G249" s="21" t="s">
        <v>171</v>
      </c>
      <c r="H249" s="21">
        <v>236220</v>
      </c>
      <c r="I249" s="21" t="s">
        <v>28</v>
      </c>
      <c r="J249" s="21" t="s">
        <v>1973</v>
      </c>
      <c r="K249" s="21" t="s">
        <v>560</v>
      </c>
      <c r="L249" s="21" t="s">
        <v>561</v>
      </c>
      <c r="M249" s="22">
        <v>37008</v>
      </c>
      <c r="N249" s="22">
        <v>37008</v>
      </c>
      <c r="O249" s="21" t="s">
        <v>20</v>
      </c>
      <c r="P249" s="21" t="s">
        <v>556</v>
      </c>
      <c r="Q249" s="21" t="s">
        <v>2470</v>
      </c>
      <c r="R249" s="18" t="s">
        <v>21</v>
      </c>
      <c r="S249" s="74">
        <v>2013</v>
      </c>
      <c r="T249" s="21" t="s">
        <v>563</v>
      </c>
      <c r="U249" s="21" t="s">
        <v>564</v>
      </c>
      <c r="V249" s="21" t="s">
        <v>565</v>
      </c>
      <c r="W249" s="95" t="s">
        <v>51</v>
      </c>
      <c r="X249" s="21" t="s">
        <v>1912</v>
      </c>
      <c r="Y249" s="124"/>
      <c r="Z249" s="245"/>
      <c r="AA249" s="245"/>
      <c r="AB249" s="245"/>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c r="BY249" s="124"/>
      <c r="BZ249" s="124"/>
      <c r="CA249" s="124"/>
      <c r="CB249" s="124"/>
      <c r="CC249" s="124"/>
      <c r="CD249" s="124"/>
      <c r="CE249" s="124"/>
      <c r="CF249" s="124"/>
      <c r="CG249" s="124"/>
      <c r="CH249" s="124"/>
      <c r="CI249" s="124"/>
      <c r="CJ249" s="124"/>
      <c r="CK249" s="124"/>
      <c r="CL249" s="124"/>
      <c r="CM249" s="124"/>
      <c r="CN249" s="124"/>
      <c r="CO249" s="124"/>
      <c r="CP249" s="124"/>
    </row>
    <row r="250" spans="1:94" s="13" customFormat="1" ht="38.25" customHeight="1">
      <c r="A250" s="21" t="s">
        <v>1</v>
      </c>
      <c r="B250" s="21" t="s">
        <v>13</v>
      </c>
      <c r="C250" s="21" t="s">
        <v>556</v>
      </c>
      <c r="D250" s="21" t="s">
        <v>557</v>
      </c>
      <c r="E250" s="21" t="s">
        <v>558</v>
      </c>
      <c r="F250" s="21" t="s">
        <v>559</v>
      </c>
      <c r="G250" s="21" t="s">
        <v>171</v>
      </c>
      <c r="H250" s="21">
        <v>236220</v>
      </c>
      <c r="I250" s="18" t="s">
        <v>28</v>
      </c>
      <c r="J250" s="21" t="s">
        <v>1973</v>
      </c>
      <c r="K250" s="18" t="s">
        <v>560</v>
      </c>
      <c r="L250" s="18" t="s">
        <v>561</v>
      </c>
      <c r="M250" s="22">
        <v>20711</v>
      </c>
      <c r="N250" s="22">
        <v>20711</v>
      </c>
      <c r="O250" s="21" t="s">
        <v>20</v>
      </c>
      <c r="P250" s="21" t="s">
        <v>556</v>
      </c>
      <c r="Q250" s="21" t="s">
        <v>568</v>
      </c>
      <c r="R250" s="18" t="s">
        <v>21</v>
      </c>
      <c r="S250" s="74">
        <v>2013</v>
      </c>
      <c r="T250" s="21" t="s">
        <v>563</v>
      </c>
      <c r="U250" s="21" t="s">
        <v>564</v>
      </c>
      <c r="V250" s="21" t="s">
        <v>565</v>
      </c>
      <c r="W250" s="95" t="s">
        <v>51</v>
      </c>
      <c r="X250" s="21" t="s">
        <v>1912</v>
      </c>
      <c r="Y250" s="124"/>
      <c r="Z250" s="245"/>
      <c r="AA250" s="245"/>
      <c r="AB250" s="245"/>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c r="BY250" s="124"/>
      <c r="BZ250" s="124"/>
      <c r="CA250" s="124"/>
      <c r="CB250" s="124"/>
      <c r="CC250" s="124"/>
      <c r="CD250" s="124"/>
      <c r="CE250" s="124"/>
      <c r="CF250" s="124"/>
      <c r="CG250" s="124"/>
      <c r="CH250" s="124"/>
      <c r="CI250" s="124"/>
      <c r="CJ250" s="124"/>
      <c r="CK250" s="124"/>
      <c r="CL250" s="124"/>
      <c r="CM250" s="124"/>
      <c r="CN250" s="124"/>
      <c r="CO250" s="124"/>
      <c r="CP250" s="124"/>
    </row>
    <row r="251" spans="1:94" s="13" customFormat="1" ht="38.25" customHeight="1">
      <c r="A251" s="21" t="s">
        <v>1</v>
      </c>
      <c r="B251" s="21" t="s">
        <v>13</v>
      </c>
      <c r="C251" s="21" t="s">
        <v>556</v>
      </c>
      <c r="D251" s="21" t="s">
        <v>569</v>
      </c>
      <c r="E251" s="21" t="s">
        <v>570</v>
      </c>
      <c r="F251" s="21" t="s">
        <v>559</v>
      </c>
      <c r="G251" s="21" t="s">
        <v>171</v>
      </c>
      <c r="H251" s="21">
        <v>236220</v>
      </c>
      <c r="I251" s="21" t="s">
        <v>28</v>
      </c>
      <c r="J251" s="21" t="s">
        <v>571</v>
      </c>
      <c r="K251" s="21" t="s">
        <v>572</v>
      </c>
      <c r="L251" s="21"/>
      <c r="M251" s="22">
        <v>800000</v>
      </c>
      <c r="N251" s="22">
        <v>800000</v>
      </c>
      <c r="O251" s="21" t="s">
        <v>20</v>
      </c>
      <c r="P251" s="21" t="s">
        <v>331</v>
      </c>
      <c r="Q251" s="21" t="s">
        <v>279</v>
      </c>
      <c r="R251" s="21" t="s">
        <v>41</v>
      </c>
      <c r="S251" s="74">
        <v>2013</v>
      </c>
      <c r="T251" s="21" t="s">
        <v>2471</v>
      </c>
      <c r="U251" s="21" t="s">
        <v>2472</v>
      </c>
      <c r="V251" s="21" t="s">
        <v>2473</v>
      </c>
      <c r="W251" s="95" t="s">
        <v>51</v>
      </c>
      <c r="X251" s="21" t="s">
        <v>1912</v>
      </c>
      <c r="Y251" s="124"/>
      <c r="Z251" s="247"/>
      <c r="AA251" s="247"/>
      <c r="AB251" s="247"/>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c r="BY251" s="124"/>
      <c r="BZ251" s="124"/>
      <c r="CA251" s="124"/>
      <c r="CB251" s="124"/>
      <c r="CC251" s="124"/>
      <c r="CD251" s="124"/>
      <c r="CE251" s="124"/>
      <c r="CF251" s="124"/>
      <c r="CG251" s="124"/>
      <c r="CH251" s="124"/>
      <c r="CI251" s="124"/>
      <c r="CJ251" s="124"/>
      <c r="CK251" s="124"/>
      <c r="CL251" s="124"/>
      <c r="CM251" s="124"/>
      <c r="CN251" s="124"/>
      <c r="CO251" s="124"/>
      <c r="CP251" s="124"/>
    </row>
    <row r="252" spans="1:94" s="13" customFormat="1" ht="38.25" customHeight="1">
      <c r="A252" s="21" t="s">
        <v>1</v>
      </c>
      <c r="B252" s="21" t="s">
        <v>13</v>
      </c>
      <c r="C252" s="21" t="s">
        <v>556</v>
      </c>
      <c r="D252" s="21" t="s">
        <v>569</v>
      </c>
      <c r="E252" s="21" t="s">
        <v>570</v>
      </c>
      <c r="F252" s="21" t="s">
        <v>559</v>
      </c>
      <c r="G252" s="21" t="s">
        <v>171</v>
      </c>
      <c r="H252" s="21">
        <v>236220</v>
      </c>
      <c r="I252" s="21" t="s">
        <v>28</v>
      </c>
      <c r="J252" s="21" t="s">
        <v>571</v>
      </c>
      <c r="K252" s="21" t="s">
        <v>572</v>
      </c>
      <c r="L252" s="21"/>
      <c r="M252" s="22">
        <v>300000</v>
      </c>
      <c r="N252" s="22">
        <v>300000</v>
      </c>
      <c r="O252" s="21" t="s">
        <v>455</v>
      </c>
      <c r="P252" s="21" t="s">
        <v>2474</v>
      </c>
      <c r="Q252" s="21" t="s">
        <v>279</v>
      </c>
      <c r="R252" s="21" t="s">
        <v>10</v>
      </c>
      <c r="S252" s="74">
        <v>2013</v>
      </c>
      <c r="T252" s="21" t="s">
        <v>2471</v>
      </c>
      <c r="U252" s="21" t="s">
        <v>2472</v>
      </c>
      <c r="V252" s="21" t="s">
        <v>2473</v>
      </c>
      <c r="W252" s="95" t="s">
        <v>51</v>
      </c>
      <c r="X252" s="21" t="s">
        <v>1912</v>
      </c>
      <c r="Y252" s="124"/>
      <c r="Z252" s="247"/>
      <c r="AA252" s="247"/>
      <c r="AB252" s="247"/>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c r="BY252" s="124"/>
      <c r="BZ252" s="124"/>
      <c r="CA252" s="124"/>
      <c r="CB252" s="124"/>
      <c r="CC252" s="124"/>
      <c r="CD252" s="124"/>
      <c r="CE252" s="124"/>
      <c r="CF252" s="124"/>
      <c r="CG252" s="124"/>
      <c r="CH252" s="124"/>
      <c r="CI252" s="124"/>
      <c r="CJ252" s="124"/>
      <c r="CK252" s="124"/>
      <c r="CL252" s="124"/>
      <c r="CM252" s="124"/>
      <c r="CN252" s="124"/>
      <c r="CO252" s="124"/>
      <c r="CP252" s="124"/>
    </row>
    <row r="253" spans="1:94" s="13" customFormat="1" ht="38.25" customHeight="1">
      <c r="A253" s="21" t="s">
        <v>1</v>
      </c>
      <c r="B253" s="21" t="s">
        <v>13</v>
      </c>
      <c r="C253" s="21" t="s">
        <v>556</v>
      </c>
      <c r="D253" s="21" t="s">
        <v>638</v>
      </c>
      <c r="E253" s="21" t="s">
        <v>634</v>
      </c>
      <c r="F253" s="21" t="s">
        <v>559</v>
      </c>
      <c r="G253" s="21" t="s">
        <v>171</v>
      </c>
      <c r="H253" s="21">
        <v>238220</v>
      </c>
      <c r="I253" s="21"/>
      <c r="J253" s="21" t="s">
        <v>29</v>
      </c>
      <c r="K253" s="21" t="s">
        <v>560</v>
      </c>
      <c r="L253" s="21"/>
      <c r="M253" s="22">
        <v>348328</v>
      </c>
      <c r="N253" s="22">
        <v>348328</v>
      </c>
      <c r="O253" s="21" t="s">
        <v>20</v>
      </c>
      <c r="P253" s="21"/>
      <c r="Q253" s="21" t="s">
        <v>279</v>
      </c>
      <c r="R253" s="21" t="s">
        <v>21</v>
      </c>
      <c r="S253" s="74">
        <v>2013</v>
      </c>
      <c r="T253" s="21" t="s">
        <v>563</v>
      </c>
      <c r="U253" s="21" t="s">
        <v>564</v>
      </c>
      <c r="V253" s="21" t="s">
        <v>565</v>
      </c>
      <c r="W253" s="95" t="s">
        <v>51</v>
      </c>
      <c r="X253" s="21" t="s">
        <v>1912</v>
      </c>
      <c r="Y253" s="124"/>
      <c r="Z253" s="124"/>
      <c r="AA253" s="124"/>
      <c r="AB253" s="124"/>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c r="BY253" s="124"/>
      <c r="BZ253" s="124"/>
      <c r="CA253" s="124"/>
      <c r="CB253" s="124"/>
      <c r="CC253" s="124"/>
      <c r="CD253" s="124"/>
      <c r="CE253" s="124"/>
      <c r="CF253" s="124"/>
      <c r="CG253" s="124"/>
      <c r="CH253" s="124"/>
      <c r="CI253" s="124"/>
      <c r="CJ253" s="124"/>
      <c r="CK253" s="124"/>
      <c r="CL253" s="124"/>
      <c r="CM253" s="124"/>
      <c r="CN253" s="124"/>
      <c r="CO253" s="124"/>
      <c r="CP253" s="124"/>
    </row>
    <row r="254" spans="1:94" s="13" customFormat="1" ht="38.25" customHeight="1">
      <c r="A254" s="21" t="s">
        <v>1</v>
      </c>
      <c r="B254" s="21" t="s">
        <v>13</v>
      </c>
      <c r="C254" s="21" t="s">
        <v>556</v>
      </c>
      <c r="D254" s="21" t="s">
        <v>612</v>
      </c>
      <c r="E254" s="21" t="s">
        <v>634</v>
      </c>
      <c r="F254" s="21" t="s">
        <v>618</v>
      </c>
      <c r="G254" s="21" t="s">
        <v>167</v>
      </c>
      <c r="H254" s="21">
        <v>236220</v>
      </c>
      <c r="I254" s="21" t="s">
        <v>372</v>
      </c>
      <c r="J254" s="21" t="s">
        <v>149</v>
      </c>
      <c r="K254" s="21" t="s">
        <v>631</v>
      </c>
      <c r="L254" s="21" t="s">
        <v>372</v>
      </c>
      <c r="M254" s="22">
        <v>4000000</v>
      </c>
      <c r="N254" s="22">
        <v>4500000</v>
      </c>
      <c r="O254" s="21" t="s">
        <v>20</v>
      </c>
      <c r="P254" s="21" t="s">
        <v>617</v>
      </c>
      <c r="Q254" s="21" t="s">
        <v>633</v>
      </c>
      <c r="R254" s="21" t="s">
        <v>41</v>
      </c>
      <c r="S254" s="74">
        <v>2013</v>
      </c>
      <c r="T254" s="21" t="s">
        <v>627</v>
      </c>
      <c r="U254" s="21" t="s">
        <v>628</v>
      </c>
      <c r="V254" s="21" t="s">
        <v>629</v>
      </c>
      <c r="W254" s="95" t="s">
        <v>51</v>
      </c>
      <c r="X254" s="21" t="s">
        <v>1915</v>
      </c>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c r="BY254" s="124"/>
      <c r="BZ254" s="124"/>
      <c r="CA254" s="124"/>
      <c r="CB254" s="124"/>
      <c r="CC254" s="124"/>
      <c r="CD254" s="124"/>
      <c r="CE254" s="124"/>
      <c r="CF254" s="124"/>
      <c r="CG254" s="124"/>
      <c r="CH254" s="124"/>
      <c r="CI254" s="124"/>
      <c r="CJ254" s="124"/>
      <c r="CK254" s="124"/>
      <c r="CL254" s="124"/>
      <c r="CM254" s="124"/>
      <c r="CN254" s="124"/>
      <c r="CO254" s="124"/>
      <c r="CP254" s="124"/>
    </row>
    <row r="255" spans="1:94" s="13" customFormat="1" ht="38.25" customHeight="1">
      <c r="A255" s="21" t="s">
        <v>1</v>
      </c>
      <c r="B255" s="21" t="s">
        <v>13</v>
      </c>
      <c r="C255" s="21" t="s">
        <v>556</v>
      </c>
      <c r="D255" s="21" t="s">
        <v>569</v>
      </c>
      <c r="E255" s="21" t="s">
        <v>570</v>
      </c>
      <c r="F255" s="21" t="s">
        <v>618</v>
      </c>
      <c r="G255" s="21" t="s">
        <v>167</v>
      </c>
      <c r="H255" s="21">
        <v>236220</v>
      </c>
      <c r="I255" s="21" t="s">
        <v>64</v>
      </c>
      <c r="J255" s="21" t="s">
        <v>619</v>
      </c>
      <c r="K255" s="21" t="s">
        <v>572</v>
      </c>
      <c r="L255" s="21" t="s">
        <v>620</v>
      </c>
      <c r="M255" s="19">
        <v>500000</v>
      </c>
      <c r="N255" s="19">
        <v>600000</v>
      </c>
      <c r="O255" s="21" t="s">
        <v>20</v>
      </c>
      <c r="P255" s="21" t="s">
        <v>621</v>
      </c>
      <c r="Q255" s="21" t="s">
        <v>279</v>
      </c>
      <c r="R255" s="21" t="s">
        <v>1981</v>
      </c>
      <c r="S255" s="74">
        <v>2013</v>
      </c>
      <c r="T255" s="21" t="s">
        <v>622</v>
      </c>
      <c r="U255" s="21"/>
      <c r="V255" s="21" t="s">
        <v>623</v>
      </c>
      <c r="W255" s="95" t="s">
        <v>51</v>
      </c>
      <c r="X255" s="21" t="s">
        <v>1915</v>
      </c>
      <c r="Y255" s="124"/>
      <c r="Z255" s="124"/>
      <c r="AA255" s="124"/>
      <c r="AB255" s="124"/>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c r="BY255" s="124"/>
      <c r="BZ255" s="124"/>
      <c r="CA255" s="124"/>
      <c r="CB255" s="124"/>
      <c r="CC255" s="124"/>
      <c r="CD255" s="124"/>
      <c r="CE255" s="124"/>
      <c r="CF255" s="124"/>
      <c r="CG255" s="124"/>
      <c r="CH255" s="124"/>
      <c r="CI255" s="124"/>
      <c r="CJ255" s="124"/>
      <c r="CK255" s="124"/>
      <c r="CL255" s="124"/>
      <c r="CM255" s="124"/>
      <c r="CN255" s="124"/>
      <c r="CO255" s="124"/>
      <c r="CP255" s="124"/>
    </row>
    <row r="256" spans="1:94" s="13" customFormat="1" ht="38.25" customHeight="1">
      <c r="A256" s="21" t="s">
        <v>1</v>
      </c>
      <c r="B256" s="21" t="s">
        <v>13</v>
      </c>
      <c r="C256" s="21" t="s">
        <v>556</v>
      </c>
      <c r="D256" s="21" t="s">
        <v>630</v>
      </c>
      <c r="E256" s="21" t="s">
        <v>570</v>
      </c>
      <c r="F256" s="21" t="s">
        <v>618</v>
      </c>
      <c r="G256" s="21" t="s">
        <v>167</v>
      </c>
      <c r="H256" s="21">
        <v>236220</v>
      </c>
      <c r="I256" s="21" t="s">
        <v>17</v>
      </c>
      <c r="J256" s="21" t="s">
        <v>40</v>
      </c>
      <c r="K256" s="21" t="s">
        <v>631</v>
      </c>
      <c r="L256" s="21" t="s">
        <v>372</v>
      </c>
      <c r="M256" s="22"/>
      <c r="N256" s="22"/>
      <c r="O256" s="21" t="s">
        <v>20</v>
      </c>
      <c r="P256" s="21" t="s">
        <v>632</v>
      </c>
      <c r="Q256" s="21" t="s">
        <v>633</v>
      </c>
      <c r="R256" s="21" t="s">
        <v>31</v>
      </c>
      <c r="S256" s="74">
        <v>2013</v>
      </c>
      <c r="T256" s="21" t="s">
        <v>624</v>
      </c>
      <c r="U256" s="21" t="s">
        <v>625</v>
      </c>
      <c r="V256" s="21" t="s">
        <v>626</v>
      </c>
      <c r="W256" s="95" t="s">
        <v>51</v>
      </c>
      <c r="X256" s="21" t="s">
        <v>1915</v>
      </c>
      <c r="Y256" s="124"/>
      <c r="Z256" s="245"/>
      <c r="AA256" s="245"/>
      <c r="AB256" s="245"/>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c r="BY256" s="124"/>
      <c r="BZ256" s="124"/>
      <c r="CA256" s="124"/>
      <c r="CB256" s="124"/>
      <c r="CC256" s="124"/>
      <c r="CD256" s="124"/>
      <c r="CE256" s="124"/>
      <c r="CF256" s="124"/>
      <c r="CG256" s="124"/>
      <c r="CH256" s="124"/>
      <c r="CI256" s="124"/>
      <c r="CJ256" s="124"/>
      <c r="CK256" s="124"/>
      <c r="CL256" s="124"/>
      <c r="CM256" s="124"/>
      <c r="CN256" s="124"/>
      <c r="CO256" s="124"/>
      <c r="CP256" s="124"/>
    </row>
    <row r="257" spans="1:94" s="13" customFormat="1" ht="38.25" customHeight="1">
      <c r="A257" s="21" t="s">
        <v>1</v>
      </c>
      <c r="B257" s="21" t="s">
        <v>13</v>
      </c>
      <c r="C257" s="21" t="s">
        <v>1891</v>
      </c>
      <c r="D257" s="21" t="s">
        <v>612</v>
      </c>
      <c r="E257" s="21" t="s">
        <v>2475</v>
      </c>
      <c r="F257" s="21" t="s">
        <v>613</v>
      </c>
      <c r="G257" s="21" t="s">
        <v>1961</v>
      </c>
      <c r="H257" s="21">
        <v>238220</v>
      </c>
      <c r="I257" s="21" t="s">
        <v>28</v>
      </c>
      <c r="J257" s="21"/>
      <c r="K257" s="21"/>
      <c r="L257" s="21" t="s">
        <v>561</v>
      </c>
      <c r="M257" s="22"/>
      <c r="N257" s="22">
        <v>29000000</v>
      </c>
      <c r="O257" s="21" t="s">
        <v>20</v>
      </c>
      <c r="P257" s="18" t="s">
        <v>556</v>
      </c>
      <c r="Q257" s="18"/>
      <c r="R257" s="18" t="s">
        <v>41</v>
      </c>
      <c r="S257" s="74">
        <v>2013</v>
      </c>
      <c r="T257" s="21" t="s">
        <v>598</v>
      </c>
      <c r="U257" s="21" t="s">
        <v>599</v>
      </c>
      <c r="V257" s="18" t="s">
        <v>600</v>
      </c>
      <c r="W257" s="95" t="s">
        <v>51</v>
      </c>
      <c r="X257" s="21" t="s">
        <v>1919</v>
      </c>
      <c r="Y257" s="124"/>
      <c r="Z257" s="124"/>
      <c r="AA257" s="245"/>
      <c r="AB257" s="245"/>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c r="BY257" s="124"/>
      <c r="BZ257" s="124"/>
      <c r="CA257" s="124"/>
      <c r="CB257" s="124"/>
      <c r="CC257" s="124"/>
      <c r="CD257" s="124"/>
      <c r="CE257" s="124"/>
      <c r="CF257" s="124"/>
      <c r="CG257" s="124"/>
      <c r="CH257" s="124"/>
      <c r="CI257" s="124"/>
      <c r="CJ257" s="124"/>
      <c r="CK257" s="124"/>
      <c r="CL257" s="124"/>
      <c r="CM257" s="124"/>
      <c r="CN257" s="124"/>
      <c r="CO257" s="124"/>
      <c r="CP257" s="124"/>
    </row>
    <row r="258" spans="1:94" s="13" customFormat="1" ht="38.25" customHeight="1">
      <c r="A258" s="21" t="s">
        <v>1</v>
      </c>
      <c r="B258" s="21" t="s">
        <v>13</v>
      </c>
      <c r="C258" s="21" t="s">
        <v>1891</v>
      </c>
      <c r="D258" s="21" t="s">
        <v>557</v>
      </c>
      <c r="E258" s="21" t="s">
        <v>570</v>
      </c>
      <c r="F258" s="21" t="s">
        <v>609</v>
      </c>
      <c r="G258" s="21" t="s">
        <v>189</v>
      </c>
      <c r="H258" s="21">
        <v>236220</v>
      </c>
      <c r="I258" s="18" t="s">
        <v>28</v>
      </c>
      <c r="J258" s="21"/>
      <c r="K258" s="21"/>
      <c r="L258" s="18" t="s">
        <v>561</v>
      </c>
      <c r="M258" s="22"/>
      <c r="N258" s="22">
        <v>311047.21000000002</v>
      </c>
      <c r="O258" s="21" t="s">
        <v>20</v>
      </c>
      <c r="P258" s="18" t="s">
        <v>556</v>
      </c>
      <c r="Q258" s="21" t="s">
        <v>562</v>
      </c>
      <c r="R258" s="21" t="s">
        <v>41</v>
      </c>
      <c r="S258" s="74">
        <v>2013</v>
      </c>
      <c r="T258" s="21" t="s">
        <v>598</v>
      </c>
      <c r="U258" s="21" t="s">
        <v>599</v>
      </c>
      <c r="V258" s="21" t="s">
        <v>600</v>
      </c>
      <c r="W258" s="95" t="s">
        <v>51</v>
      </c>
      <c r="X258" s="21" t="s">
        <v>1919</v>
      </c>
      <c r="Y258" s="124"/>
      <c r="Z258" s="124"/>
      <c r="AA258" s="245"/>
      <c r="AB258" s="245"/>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c r="BY258" s="124"/>
      <c r="BZ258" s="124"/>
      <c r="CA258" s="124"/>
      <c r="CB258" s="124"/>
      <c r="CC258" s="124"/>
      <c r="CD258" s="124"/>
      <c r="CE258" s="124"/>
      <c r="CF258" s="124"/>
      <c r="CG258" s="124"/>
      <c r="CH258" s="124"/>
      <c r="CI258" s="124"/>
      <c r="CJ258" s="124"/>
      <c r="CK258" s="124"/>
      <c r="CL258" s="124"/>
      <c r="CM258" s="124"/>
      <c r="CN258" s="124"/>
      <c r="CO258" s="124"/>
      <c r="CP258" s="124"/>
    </row>
    <row r="259" spans="1:94" s="13" customFormat="1" ht="38.25" customHeight="1">
      <c r="A259" s="21" t="s">
        <v>1</v>
      </c>
      <c r="B259" s="21" t="s">
        <v>13</v>
      </c>
      <c r="C259" s="21" t="s">
        <v>1891</v>
      </c>
      <c r="D259" s="21" t="s">
        <v>569</v>
      </c>
      <c r="E259" s="18" t="s">
        <v>570</v>
      </c>
      <c r="F259" s="21" t="s">
        <v>593</v>
      </c>
      <c r="G259" s="21" t="s">
        <v>171</v>
      </c>
      <c r="H259" s="21">
        <v>238220</v>
      </c>
      <c r="I259" s="21" t="s">
        <v>17</v>
      </c>
      <c r="J259" s="21" t="s">
        <v>1973</v>
      </c>
      <c r="K259" s="21" t="s">
        <v>560</v>
      </c>
      <c r="L259" s="21" t="s">
        <v>580</v>
      </c>
      <c r="M259" s="22"/>
      <c r="N259" s="22">
        <v>100000</v>
      </c>
      <c r="O259" s="21" t="s">
        <v>20</v>
      </c>
      <c r="P259" s="21" t="s">
        <v>556</v>
      </c>
      <c r="Q259" s="21" t="s">
        <v>279</v>
      </c>
      <c r="R259" s="18" t="s">
        <v>21</v>
      </c>
      <c r="S259" s="171">
        <v>2013</v>
      </c>
      <c r="T259" s="21" t="s">
        <v>591</v>
      </c>
      <c r="U259" s="18" t="s">
        <v>1996</v>
      </c>
      <c r="V259" s="18" t="s">
        <v>592</v>
      </c>
      <c r="W259" s="95" t="s">
        <v>51</v>
      </c>
      <c r="X259" s="21" t="s">
        <v>1916</v>
      </c>
      <c r="Y259" s="124"/>
      <c r="Z259" s="245"/>
      <c r="AA259" s="245"/>
      <c r="AB259" s="245"/>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c r="BY259" s="124"/>
      <c r="BZ259" s="124"/>
      <c r="CA259" s="124"/>
      <c r="CB259" s="124"/>
      <c r="CC259" s="124"/>
      <c r="CD259" s="124"/>
      <c r="CE259" s="124"/>
      <c r="CF259" s="124"/>
      <c r="CG259" s="124"/>
      <c r="CH259" s="124"/>
      <c r="CI259" s="124"/>
      <c r="CJ259" s="124"/>
      <c r="CK259" s="124"/>
      <c r="CL259" s="124"/>
      <c r="CM259" s="124"/>
      <c r="CN259" s="124"/>
      <c r="CO259" s="124"/>
      <c r="CP259" s="124"/>
    </row>
    <row r="260" spans="1:94" s="13" customFormat="1" ht="38.25" customHeight="1">
      <c r="A260" s="21" t="s">
        <v>1</v>
      </c>
      <c r="B260" s="21" t="s">
        <v>13</v>
      </c>
      <c r="C260" s="18" t="s">
        <v>1891</v>
      </c>
      <c r="D260" s="21" t="s">
        <v>569</v>
      </c>
      <c r="E260" s="21" t="s">
        <v>570</v>
      </c>
      <c r="F260" s="21" t="s">
        <v>593</v>
      </c>
      <c r="G260" s="21" t="s">
        <v>171</v>
      </c>
      <c r="H260" s="21">
        <v>238220</v>
      </c>
      <c r="I260" s="21" t="s">
        <v>17</v>
      </c>
      <c r="J260" s="21" t="s">
        <v>1973</v>
      </c>
      <c r="K260" s="21" t="s">
        <v>560</v>
      </c>
      <c r="L260" s="21" t="s">
        <v>580</v>
      </c>
      <c r="M260" s="22"/>
      <c r="N260" s="22">
        <v>150000</v>
      </c>
      <c r="O260" s="21" t="s">
        <v>20</v>
      </c>
      <c r="P260" s="21" t="s">
        <v>556</v>
      </c>
      <c r="Q260" s="21" t="s">
        <v>279</v>
      </c>
      <c r="R260" s="21" t="s">
        <v>21</v>
      </c>
      <c r="S260" s="74">
        <v>2013</v>
      </c>
      <c r="T260" s="21" t="s">
        <v>591</v>
      </c>
      <c r="U260" s="21" t="s">
        <v>1996</v>
      </c>
      <c r="V260" s="21" t="s">
        <v>592</v>
      </c>
      <c r="W260" s="95" t="s">
        <v>51</v>
      </c>
      <c r="X260" s="21" t="s">
        <v>1916</v>
      </c>
      <c r="Y260" s="124"/>
      <c r="Z260" s="245"/>
      <c r="AA260" s="245"/>
      <c r="AB260" s="245"/>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c r="BY260" s="124"/>
      <c r="BZ260" s="124"/>
      <c r="CA260" s="124"/>
      <c r="CB260" s="124"/>
      <c r="CC260" s="124"/>
      <c r="CD260" s="124"/>
      <c r="CE260" s="124"/>
      <c r="CF260" s="124"/>
      <c r="CG260" s="124"/>
      <c r="CH260" s="124"/>
      <c r="CI260" s="124"/>
      <c r="CJ260" s="124"/>
      <c r="CK260" s="124"/>
      <c r="CL260" s="124"/>
      <c r="CM260" s="124"/>
      <c r="CN260" s="124"/>
      <c r="CO260" s="124"/>
      <c r="CP260" s="124"/>
    </row>
    <row r="261" spans="1:94" s="13" customFormat="1" ht="38.25" customHeight="1">
      <c r="A261" s="21" t="s">
        <v>1</v>
      </c>
      <c r="B261" s="21" t="s">
        <v>13</v>
      </c>
      <c r="C261" s="18" t="s">
        <v>1892</v>
      </c>
      <c r="D261" s="21" t="s">
        <v>569</v>
      </c>
      <c r="E261" s="21" t="s">
        <v>570</v>
      </c>
      <c r="F261" s="21" t="s">
        <v>593</v>
      </c>
      <c r="G261" s="21" t="s">
        <v>171</v>
      </c>
      <c r="H261" s="21">
        <v>238220</v>
      </c>
      <c r="I261" s="21" t="s">
        <v>38</v>
      </c>
      <c r="J261" s="21" t="s">
        <v>1973</v>
      </c>
      <c r="K261" s="21" t="s">
        <v>560</v>
      </c>
      <c r="L261" s="21" t="s">
        <v>580</v>
      </c>
      <c r="M261" s="22"/>
      <c r="N261" s="22">
        <v>124000</v>
      </c>
      <c r="O261" s="21" t="s">
        <v>20</v>
      </c>
      <c r="P261" s="21" t="s">
        <v>556</v>
      </c>
      <c r="Q261" s="21" t="s">
        <v>279</v>
      </c>
      <c r="R261" s="21" t="s">
        <v>10</v>
      </c>
      <c r="S261" s="74">
        <v>2013</v>
      </c>
      <c r="T261" s="21" t="s">
        <v>591</v>
      </c>
      <c r="U261" s="21" t="s">
        <v>1996</v>
      </c>
      <c r="V261" s="21" t="s">
        <v>592</v>
      </c>
      <c r="W261" s="95" t="s">
        <v>51</v>
      </c>
      <c r="X261" s="21" t="s">
        <v>1916</v>
      </c>
      <c r="Y261" s="124"/>
      <c r="Z261" s="245"/>
      <c r="AA261" s="124"/>
      <c r="AB261" s="245"/>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c r="BY261" s="124"/>
      <c r="BZ261" s="124"/>
      <c r="CA261" s="124"/>
      <c r="CB261" s="124"/>
      <c r="CC261" s="124"/>
      <c r="CD261" s="124"/>
      <c r="CE261" s="124"/>
      <c r="CF261" s="124"/>
      <c r="CG261" s="124"/>
      <c r="CH261" s="124"/>
      <c r="CI261" s="124"/>
      <c r="CJ261" s="124"/>
      <c r="CK261" s="124"/>
      <c r="CL261" s="124"/>
      <c r="CM261" s="124"/>
      <c r="CN261" s="124"/>
      <c r="CO261" s="124"/>
      <c r="CP261" s="124"/>
    </row>
    <row r="262" spans="1:94" s="13" customFormat="1" ht="38.25" customHeight="1">
      <c r="A262" s="21" t="s">
        <v>1</v>
      </c>
      <c r="B262" s="21" t="s">
        <v>13</v>
      </c>
      <c r="C262" s="18" t="s">
        <v>1891</v>
      </c>
      <c r="D262" s="21" t="s">
        <v>569</v>
      </c>
      <c r="E262" s="21" t="s">
        <v>570</v>
      </c>
      <c r="F262" s="21" t="s">
        <v>593</v>
      </c>
      <c r="G262" s="21" t="s">
        <v>171</v>
      </c>
      <c r="H262" s="21">
        <v>238220</v>
      </c>
      <c r="I262" s="21" t="s">
        <v>17</v>
      </c>
      <c r="J262" s="21" t="s">
        <v>1973</v>
      </c>
      <c r="K262" s="21" t="s">
        <v>560</v>
      </c>
      <c r="L262" s="21" t="s">
        <v>580</v>
      </c>
      <c r="M262" s="22"/>
      <c r="N262" s="22">
        <v>150000</v>
      </c>
      <c r="O262" s="21" t="s">
        <v>20</v>
      </c>
      <c r="P262" s="21" t="s">
        <v>556</v>
      </c>
      <c r="Q262" s="21" t="s">
        <v>279</v>
      </c>
      <c r="R262" s="21" t="s">
        <v>21</v>
      </c>
      <c r="S262" s="74">
        <v>2013</v>
      </c>
      <c r="T262" s="21" t="s">
        <v>591</v>
      </c>
      <c r="U262" s="21" t="s">
        <v>1996</v>
      </c>
      <c r="V262" s="21" t="s">
        <v>592</v>
      </c>
      <c r="W262" s="95" t="s">
        <v>51</v>
      </c>
      <c r="X262" s="21" t="s">
        <v>1916</v>
      </c>
      <c r="Y262" s="124"/>
      <c r="Z262" s="245"/>
      <c r="AA262" s="245"/>
      <c r="AB262" s="245"/>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c r="BY262" s="124"/>
      <c r="BZ262" s="124"/>
      <c r="CA262" s="124"/>
      <c r="CB262" s="124"/>
      <c r="CC262" s="124"/>
      <c r="CD262" s="124"/>
      <c r="CE262" s="124"/>
      <c r="CF262" s="124"/>
      <c r="CG262" s="124"/>
      <c r="CH262" s="124"/>
      <c r="CI262" s="124"/>
      <c r="CJ262" s="124"/>
      <c r="CK262" s="124"/>
      <c r="CL262" s="124"/>
      <c r="CM262" s="124"/>
      <c r="CN262" s="124"/>
      <c r="CO262" s="124"/>
      <c r="CP262" s="124"/>
    </row>
    <row r="263" spans="1:94" s="13" customFormat="1" ht="38.25" customHeight="1">
      <c r="A263" s="21" t="s">
        <v>1</v>
      </c>
      <c r="B263" s="21" t="s">
        <v>13</v>
      </c>
      <c r="C263" s="21" t="s">
        <v>1891</v>
      </c>
      <c r="D263" s="21" t="s">
        <v>569</v>
      </c>
      <c r="E263" s="21" t="s">
        <v>570</v>
      </c>
      <c r="F263" s="21" t="s">
        <v>593</v>
      </c>
      <c r="G263" s="21" t="s">
        <v>171</v>
      </c>
      <c r="H263" s="21">
        <v>238220</v>
      </c>
      <c r="I263" s="18" t="s">
        <v>17</v>
      </c>
      <c r="J263" s="21" t="s">
        <v>8</v>
      </c>
      <c r="K263" s="21" t="s">
        <v>560</v>
      </c>
      <c r="L263" s="18" t="s">
        <v>580</v>
      </c>
      <c r="M263" s="22"/>
      <c r="N263" s="22">
        <v>30000</v>
      </c>
      <c r="O263" s="18" t="s">
        <v>20</v>
      </c>
      <c r="P263" s="18" t="s">
        <v>556</v>
      </c>
      <c r="Q263" s="18" t="s">
        <v>279</v>
      </c>
      <c r="R263" s="18" t="s">
        <v>41</v>
      </c>
      <c r="S263" s="171">
        <v>2013</v>
      </c>
      <c r="T263" s="18" t="s">
        <v>591</v>
      </c>
      <c r="U263" s="18" t="s">
        <v>1996</v>
      </c>
      <c r="V263" s="18" t="s">
        <v>592</v>
      </c>
      <c r="W263" s="95" t="s">
        <v>51</v>
      </c>
      <c r="X263" s="21" t="s">
        <v>1916</v>
      </c>
      <c r="Y263" s="124"/>
      <c r="Z263" s="245"/>
      <c r="AA263" s="245"/>
      <c r="AB263" s="245"/>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c r="BY263" s="124"/>
      <c r="BZ263" s="124"/>
      <c r="CA263" s="124"/>
      <c r="CB263" s="124"/>
      <c r="CC263" s="124"/>
      <c r="CD263" s="124"/>
      <c r="CE263" s="124"/>
      <c r="CF263" s="124"/>
      <c r="CG263" s="124"/>
      <c r="CH263" s="124"/>
      <c r="CI263" s="124"/>
      <c r="CJ263" s="124"/>
      <c r="CK263" s="124"/>
      <c r="CL263" s="124"/>
      <c r="CM263" s="124"/>
      <c r="CN263" s="124"/>
      <c r="CO263" s="124"/>
      <c r="CP263" s="124"/>
    </row>
    <row r="264" spans="1:94" s="13" customFormat="1" ht="38.25" customHeight="1">
      <c r="A264" s="21" t="s">
        <v>1</v>
      </c>
      <c r="B264" s="21" t="s">
        <v>13</v>
      </c>
      <c r="C264" s="18" t="s">
        <v>1891</v>
      </c>
      <c r="D264" s="21" t="s">
        <v>2476</v>
      </c>
      <c r="E264" s="18" t="s">
        <v>570</v>
      </c>
      <c r="F264" s="21" t="s">
        <v>593</v>
      </c>
      <c r="G264" s="21" t="s">
        <v>171</v>
      </c>
      <c r="H264" s="21">
        <v>238220</v>
      </c>
      <c r="I264" s="21" t="s">
        <v>17</v>
      </c>
      <c r="J264" s="21" t="s">
        <v>8</v>
      </c>
      <c r="K264" s="21" t="s">
        <v>560</v>
      </c>
      <c r="L264" s="18" t="s">
        <v>580</v>
      </c>
      <c r="M264" s="22"/>
      <c r="N264" s="22">
        <v>14000</v>
      </c>
      <c r="O264" s="21" t="s">
        <v>9</v>
      </c>
      <c r="P264" s="21" t="s">
        <v>556</v>
      </c>
      <c r="Q264" s="21" t="s">
        <v>279</v>
      </c>
      <c r="R264" s="21" t="s">
        <v>10</v>
      </c>
      <c r="S264" s="74">
        <v>2013</v>
      </c>
      <c r="T264" s="21" t="s">
        <v>591</v>
      </c>
      <c r="U264" s="21" t="s">
        <v>1996</v>
      </c>
      <c r="V264" s="21" t="s">
        <v>592</v>
      </c>
      <c r="W264" s="95" t="s">
        <v>51</v>
      </c>
      <c r="X264" s="21" t="s">
        <v>1916</v>
      </c>
      <c r="Y264" s="124"/>
      <c r="Z264" s="245"/>
      <c r="AA264" s="245"/>
      <c r="AB264" s="245"/>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c r="BY264" s="124"/>
      <c r="BZ264" s="124"/>
      <c r="CA264" s="124"/>
      <c r="CB264" s="124"/>
      <c r="CC264" s="124"/>
      <c r="CD264" s="124"/>
      <c r="CE264" s="124"/>
      <c r="CF264" s="124"/>
      <c r="CG264" s="124"/>
      <c r="CH264" s="124"/>
      <c r="CI264" s="124"/>
      <c r="CJ264" s="124"/>
      <c r="CK264" s="124"/>
      <c r="CL264" s="124"/>
      <c r="CM264" s="124"/>
      <c r="CN264" s="124"/>
      <c r="CO264" s="124"/>
      <c r="CP264" s="124"/>
    </row>
    <row r="265" spans="1:94" s="13" customFormat="1" ht="38.25" customHeight="1">
      <c r="A265" s="21" t="s">
        <v>1</v>
      </c>
      <c r="B265" s="21" t="s">
        <v>13</v>
      </c>
      <c r="C265" s="21" t="s">
        <v>1891</v>
      </c>
      <c r="D265" s="21" t="s">
        <v>569</v>
      </c>
      <c r="E265" s="21" t="s">
        <v>570</v>
      </c>
      <c r="F265" s="21" t="s">
        <v>593</v>
      </c>
      <c r="G265" s="21" t="s">
        <v>171</v>
      </c>
      <c r="H265" s="21">
        <v>238220</v>
      </c>
      <c r="I265" s="21" t="s">
        <v>17</v>
      </c>
      <c r="J265" s="21" t="s">
        <v>1973</v>
      </c>
      <c r="K265" s="21" t="s">
        <v>560</v>
      </c>
      <c r="L265" s="18" t="s">
        <v>580</v>
      </c>
      <c r="M265" s="22"/>
      <c r="N265" s="22">
        <v>100000</v>
      </c>
      <c r="O265" s="21" t="s">
        <v>20</v>
      </c>
      <c r="P265" s="18" t="s">
        <v>556</v>
      </c>
      <c r="Q265" s="21" t="s">
        <v>279</v>
      </c>
      <c r="R265" s="21" t="s">
        <v>21</v>
      </c>
      <c r="S265" s="74">
        <v>2013</v>
      </c>
      <c r="T265" s="21" t="s">
        <v>591</v>
      </c>
      <c r="U265" s="21" t="s">
        <v>1996</v>
      </c>
      <c r="V265" s="21" t="s">
        <v>592</v>
      </c>
      <c r="W265" s="95" t="s">
        <v>51</v>
      </c>
      <c r="X265" s="21" t="s">
        <v>1916</v>
      </c>
      <c r="Y265" s="124"/>
      <c r="Z265" s="245"/>
      <c r="AA265" s="245"/>
      <c r="AB265" s="245"/>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c r="BY265" s="124"/>
      <c r="BZ265" s="124"/>
      <c r="CA265" s="124"/>
      <c r="CB265" s="124"/>
      <c r="CC265" s="124"/>
      <c r="CD265" s="124"/>
      <c r="CE265" s="124"/>
      <c r="CF265" s="124"/>
      <c r="CG265" s="124"/>
      <c r="CH265" s="124"/>
      <c r="CI265" s="124"/>
      <c r="CJ265" s="124"/>
      <c r="CK265" s="124"/>
      <c r="CL265" s="124"/>
      <c r="CM265" s="124"/>
      <c r="CN265" s="124"/>
      <c r="CO265" s="124"/>
      <c r="CP265" s="124"/>
    </row>
    <row r="266" spans="1:94" s="13" customFormat="1" ht="38.25" customHeight="1">
      <c r="A266" s="21" t="s">
        <v>1</v>
      </c>
      <c r="B266" s="21" t="s">
        <v>13</v>
      </c>
      <c r="C266" s="21" t="s">
        <v>556</v>
      </c>
      <c r="D266" s="21" t="s">
        <v>557</v>
      </c>
      <c r="E266" s="21" t="s">
        <v>558</v>
      </c>
      <c r="F266" s="21" t="s">
        <v>590</v>
      </c>
      <c r="G266" s="21" t="s">
        <v>171</v>
      </c>
      <c r="H266" s="18">
        <v>236220</v>
      </c>
      <c r="I266" s="21"/>
      <c r="J266" s="21" t="s">
        <v>40</v>
      </c>
      <c r="K266" s="21" t="s">
        <v>40</v>
      </c>
      <c r="L266" s="18"/>
      <c r="M266" s="22"/>
      <c r="N266" s="22">
        <v>20000</v>
      </c>
      <c r="O266" s="21" t="s">
        <v>9</v>
      </c>
      <c r="P266" s="18" t="s">
        <v>556</v>
      </c>
      <c r="Q266" s="21" t="s">
        <v>279</v>
      </c>
      <c r="R266" s="21" t="s">
        <v>10</v>
      </c>
      <c r="S266" s="74">
        <v>2013</v>
      </c>
      <c r="T266" s="21" t="s">
        <v>591</v>
      </c>
      <c r="U266" s="21" t="s">
        <v>1996</v>
      </c>
      <c r="V266" s="21" t="s">
        <v>592</v>
      </c>
      <c r="W266" s="95" t="s">
        <v>51</v>
      </c>
      <c r="X266" s="21" t="s">
        <v>1916</v>
      </c>
      <c r="Y266" s="124"/>
      <c r="Z266" s="245"/>
      <c r="AA266" s="245"/>
      <c r="AB266" s="245"/>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c r="BY266" s="124"/>
      <c r="BZ266" s="124"/>
      <c r="CA266" s="124"/>
      <c r="CB266" s="124"/>
      <c r="CC266" s="124"/>
      <c r="CD266" s="124"/>
      <c r="CE266" s="124"/>
      <c r="CF266" s="124"/>
      <c r="CG266" s="124"/>
      <c r="CH266" s="124"/>
      <c r="CI266" s="124"/>
      <c r="CJ266" s="124"/>
      <c r="CK266" s="124"/>
      <c r="CL266" s="124"/>
      <c r="CM266" s="124"/>
      <c r="CN266" s="124"/>
      <c r="CO266" s="124"/>
      <c r="CP266" s="124"/>
    </row>
    <row r="267" spans="1:94" s="13" customFormat="1" ht="38.25" customHeight="1">
      <c r="A267" s="21" t="s">
        <v>1</v>
      </c>
      <c r="B267" s="21" t="s">
        <v>13</v>
      </c>
      <c r="C267" s="21" t="s">
        <v>556</v>
      </c>
      <c r="D267" s="21" t="s">
        <v>569</v>
      </c>
      <c r="E267" s="21" t="s">
        <v>570</v>
      </c>
      <c r="F267" s="21" t="s">
        <v>1913</v>
      </c>
      <c r="G267" s="21" t="s">
        <v>171</v>
      </c>
      <c r="H267" s="21">
        <v>236220</v>
      </c>
      <c r="I267" s="21" t="s">
        <v>635</v>
      </c>
      <c r="J267" s="18" t="s">
        <v>40</v>
      </c>
      <c r="K267" s="21" t="s">
        <v>631</v>
      </c>
      <c r="L267" s="18" t="s">
        <v>372</v>
      </c>
      <c r="M267" s="22">
        <v>10000000</v>
      </c>
      <c r="N267" s="22">
        <v>20000000</v>
      </c>
      <c r="O267" s="21" t="s">
        <v>20</v>
      </c>
      <c r="P267" s="18"/>
      <c r="Q267" s="21"/>
      <c r="R267" s="18"/>
      <c r="S267" s="74">
        <v>2013</v>
      </c>
      <c r="T267" s="21" t="s">
        <v>636</v>
      </c>
      <c r="U267" s="21" t="s">
        <v>637</v>
      </c>
      <c r="V267" s="21"/>
      <c r="W267" s="95" t="s">
        <v>51</v>
      </c>
      <c r="X267" s="21" t="s">
        <v>1912</v>
      </c>
      <c r="Y267" s="124"/>
      <c r="Z267" s="124"/>
      <c r="AA267" s="124"/>
      <c r="AB267" s="124"/>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c r="BY267" s="124"/>
      <c r="BZ267" s="124"/>
      <c r="CA267" s="124"/>
      <c r="CB267" s="124"/>
      <c r="CC267" s="124"/>
      <c r="CD267" s="124"/>
      <c r="CE267" s="124"/>
      <c r="CF267" s="124"/>
      <c r="CG267" s="124"/>
      <c r="CH267" s="124"/>
      <c r="CI267" s="124"/>
      <c r="CJ267" s="124"/>
      <c r="CK267" s="124"/>
      <c r="CL267" s="124"/>
      <c r="CM267" s="124"/>
      <c r="CN267" s="124"/>
      <c r="CO267" s="124"/>
      <c r="CP267" s="124"/>
    </row>
    <row r="268" spans="1:94" s="13" customFormat="1" ht="38.25" customHeight="1">
      <c r="A268" s="21" t="s">
        <v>1</v>
      </c>
      <c r="B268" s="21" t="s">
        <v>13</v>
      </c>
      <c r="C268" s="21" t="s">
        <v>556</v>
      </c>
      <c r="D268" s="21" t="s">
        <v>585</v>
      </c>
      <c r="E268" s="18"/>
      <c r="F268" s="21" t="s">
        <v>641</v>
      </c>
      <c r="G268" s="21" t="s">
        <v>171</v>
      </c>
      <c r="H268" s="21">
        <v>561110</v>
      </c>
      <c r="I268" s="21" t="s">
        <v>28</v>
      </c>
      <c r="J268" s="21" t="s">
        <v>29</v>
      </c>
      <c r="K268" s="21" t="s">
        <v>29</v>
      </c>
      <c r="L268" s="21" t="s">
        <v>372</v>
      </c>
      <c r="M268" s="22">
        <v>65000</v>
      </c>
      <c r="N268" s="22">
        <v>65000</v>
      </c>
      <c r="O268" s="21" t="s">
        <v>20</v>
      </c>
      <c r="P268" s="18"/>
      <c r="Q268" s="21" t="s">
        <v>279</v>
      </c>
      <c r="R268" s="21" t="s">
        <v>41</v>
      </c>
      <c r="S268" s="74">
        <v>2013</v>
      </c>
      <c r="T268" s="21" t="s">
        <v>647</v>
      </c>
      <c r="U268" s="21" t="s">
        <v>648</v>
      </c>
      <c r="V268" s="21" t="s">
        <v>649</v>
      </c>
      <c r="W268" s="95" t="s">
        <v>51</v>
      </c>
      <c r="X268" s="21" t="s">
        <v>1912</v>
      </c>
      <c r="Y268" s="124"/>
      <c r="Z268" s="124"/>
      <c r="AA268" s="124"/>
      <c r="AB268" s="124"/>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c r="BY268" s="124"/>
      <c r="BZ268" s="124"/>
      <c r="CA268" s="124"/>
      <c r="CB268" s="124"/>
      <c r="CC268" s="124"/>
      <c r="CD268" s="124"/>
      <c r="CE268" s="124"/>
      <c r="CF268" s="124"/>
      <c r="CG268" s="124"/>
      <c r="CH268" s="124"/>
      <c r="CI268" s="124"/>
      <c r="CJ268" s="124"/>
      <c r="CK268" s="124"/>
      <c r="CL268" s="124"/>
      <c r="CM268" s="124"/>
      <c r="CN268" s="124"/>
      <c r="CO268" s="124"/>
      <c r="CP268" s="124"/>
    </row>
    <row r="269" spans="1:94" s="13" customFormat="1" ht="38.25" customHeight="1">
      <c r="A269" s="21" t="s">
        <v>1</v>
      </c>
      <c r="B269" s="21" t="s">
        <v>13</v>
      </c>
      <c r="C269" s="18" t="s">
        <v>556</v>
      </c>
      <c r="D269" s="21" t="s">
        <v>646</v>
      </c>
      <c r="E269" s="21" t="s">
        <v>634</v>
      </c>
      <c r="F269" s="21" t="s">
        <v>641</v>
      </c>
      <c r="G269" s="21" t="s">
        <v>171</v>
      </c>
      <c r="H269" s="21">
        <v>333921</v>
      </c>
      <c r="I269" s="21" t="s">
        <v>372</v>
      </c>
      <c r="J269" s="18" t="s">
        <v>1973</v>
      </c>
      <c r="K269" s="21" t="s">
        <v>631</v>
      </c>
      <c r="L269" s="18"/>
      <c r="M269" s="22">
        <v>60000</v>
      </c>
      <c r="N269" s="22">
        <v>60000</v>
      </c>
      <c r="O269" s="21" t="s">
        <v>20</v>
      </c>
      <c r="P269" s="21"/>
      <c r="Q269" s="18" t="s">
        <v>279</v>
      </c>
      <c r="R269" s="21" t="s">
        <v>10</v>
      </c>
      <c r="S269" s="74">
        <v>2013</v>
      </c>
      <c r="T269" s="21" t="s">
        <v>647</v>
      </c>
      <c r="U269" s="21" t="s">
        <v>648</v>
      </c>
      <c r="V269" s="21" t="s">
        <v>649</v>
      </c>
      <c r="W269" s="95" t="s">
        <v>51</v>
      </c>
      <c r="X269" s="21" t="s">
        <v>1912</v>
      </c>
      <c r="Y269" s="124"/>
      <c r="Z269" s="247"/>
      <c r="AA269" s="247"/>
      <c r="AB269" s="247"/>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c r="BY269" s="124"/>
      <c r="BZ269" s="124"/>
      <c r="CA269" s="124"/>
      <c r="CB269" s="124"/>
      <c r="CC269" s="124"/>
      <c r="CD269" s="124"/>
      <c r="CE269" s="124"/>
      <c r="CF269" s="124"/>
      <c r="CG269" s="124"/>
      <c r="CH269" s="124"/>
      <c r="CI269" s="124"/>
      <c r="CJ269" s="124"/>
      <c r="CK269" s="124"/>
      <c r="CL269" s="124"/>
      <c r="CM269" s="124"/>
      <c r="CN269" s="124"/>
      <c r="CO269" s="124"/>
      <c r="CP269" s="124"/>
    </row>
    <row r="270" spans="1:94" s="13" customFormat="1" ht="38.25" customHeight="1">
      <c r="A270" s="21" t="s">
        <v>1</v>
      </c>
      <c r="B270" s="21" t="s">
        <v>13</v>
      </c>
      <c r="C270" s="18" t="s">
        <v>556</v>
      </c>
      <c r="D270" s="21" t="s">
        <v>569</v>
      </c>
      <c r="E270" s="21" t="s">
        <v>634</v>
      </c>
      <c r="F270" s="21" t="s">
        <v>641</v>
      </c>
      <c r="G270" s="21" t="s">
        <v>171</v>
      </c>
      <c r="H270" s="21">
        <v>238220</v>
      </c>
      <c r="I270" s="21" t="s">
        <v>372</v>
      </c>
      <c r="J270" s="18"/>
      <c r="K270" s="21" t="s">
        <v>631</v>
      </c>
      <c r="L270" s="18"/>
      <c r="M270" s="22">
        <v>30000</v>
      </c>
      <c r="N270" s="22">
        <v>30000</v>
      </c>
      <c r="O270" s="21" t="s">
        <v>20</v>
      </c>
      <c r="P270" s="21"/>
      <c r="Q270" s="18" t="s">
        <v>279</v>
      </c>
      <c r="R270" s="21"/>
      <c r="S270" s="74">
        <v>2013</v>
      </c>
      <c r="T270" s="21" t="s">
        <v>647</v>
      </c>
      <c r="U270" s="21" t="s">
        <v>648</v>
      </c>
      <c r="V270" s="21" t="s">
        <v>649</v>
      </c>
      <c r="W270" s="95" t="s">
        <v>51</v>
      </c>
      <c r="X270" s="21" t="s">
        <v>1912</v>
      </c>
      <c r="Y270" s="124"/>
      <c r="Z270" s="247"/>
      <c r="AA270" s="247"/>
      <c r="AB270" s="247"/>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c r="BY270" s="124"/>
      <c r="BZ270" s="124"/>
      <c r="CA270" s="124"/>
      <c r="CB270" s="124"/>
      <c r="CC270" s="124"/>
      <c r="CD270" s="124"/>
      <c r="CE270" s="124"/>
      <c r="CF270" s="124"/>
      <c r="CG270" s="124"/>
      <c r="CH270" s="124"/>
      <c r="CI270" s="124"/>
      <c r="CJ270" s="124"/>
      <c r="CK270" s="124"/>
      <c r="CL270" s="124"/>
      <c r="CM270" s="124"/>
      <c r="CN270" s="124"/>
      <c r="CO270" s="124"/>
      <c r="CP270" s="124"/>
    </row>
    <row r="271" spans="1:94" s="13" customFormat="1" ht="38.25" customHeight="1">
      <c r="A271" s="21" t="s">
        <v>1</v>
      </c>
      <c r="B271" s="21" t="s">
        <v>13</v>
      </c>
      <c r="C271" s="21" t="s">
        <v>556</v>
      </c>
      <c r="D271" s="21" t="s">
        <v>650</v>
      </c>
      <c r="E271" s="18" t="s">
        <v>634</v>
      </c>
      <c r="F271" s="21" t="s">
        <v>641</v>
      </c>
      <c r="G271" s="21" t="s">
        <v>171</v>
      </c>
      <c r="H271" s="21"/>
      <c r="I271" s="21" t="s">
        <v>372</v>
      </c>
      <c r="J271" s="18" t="s">
        <v>29</v>
      </c>
      <c r="K271" s="18" t="s">
        <v>29</v>
      </c>
      <c r="L271" s="18"/>
      <c r="M271" s="22">
        <v>130000</v>
      </c>
      <c r="N271" s="19">
        <v>130000</v>
      </c>
      <c r="O271" s="18" t="s">
        <v>20</v>
      </c>
      <c r="P271" s="18"/>
      <c r="Q271" s="18" t="s">
        <v>279</v>
      </c>
      <c r="R271" s="18" t="s">
        <v>10</v>
      </c>
      <c r="S271" s="171">
        <v>2013</v>
      </c>
      <c r="T271" s="18" t="s">
        <v>643</v>
      </c>
      <c r="U271" s="18" t="s">
        <v>644</v>
      </c>
      <c r="V271" s="18" t="s">
        <v>645</v>
      </c>
      <c r="W271" s="95" t="s">
        <v>51</v>
      </c>
      <c r="X271" s="21" t="s">
        <v>1912</v>
      </c>
      <c r="Y271" s="124"/>
      <c r="Z271" s="124"/>
      <c r="AA271" s="124"/>
      <c r="AB271" s="124"/>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c r="BY271" s="124"/>
      <c r="BZ271" s="124"/>
      <c r="CA271" s="124"/>
      <c r="CB271" s="124"/>
      <c r="CC271" s="124"/>
      <c r="CD271" s="124"/>
      <c r="CE271" s="124"/>
      <c r="CF271" s="124"/>
      <c r="CG271" s="124"/>
      <c r="CH271" s="124"/>
      <c r="CI271" s="124"/>
      <c r="CJ271" s="124"/>
      <c r="CK271" s="124"/>
      <c r="CL271" s="124"/>
      <c r="CM271" s="124"/>
      <c r="CN271" s="124"/>
      <c r="CO271" s="124"/>
      <c r="CP271" s="124"/>
    </row>
    <row r="272" spans="1:94" s="13" customFormat="1" ht="38.25" customHeight="1">
      <c r="A272" s="21" t="s">
        <v>1</v>
      </c>
      <c r="B272" s="21" t="s">
        <v>13</v>
      </c>
      <c r="C272" s="21" t="s">
        <v>556</v>
      </c>
      <c r="D272" s="21" t="s">
        <v>615</v>
      </c>
      <c r="E272" s="21" t="s">
        <v>2477</v>
      </c>
      <c r="F272" s="21" t="s">
        <v>641</v>
      </c>
      <c r="G272" s="21" t="s">
        <v>171</v>
      </c>
      <c r="H272" s="246">
        <v>561720</v>
      </c>
      <c r="I272" s="21" t="s">
        <v>372</v>
      </c>
      <c r="J272" s="21" t="s">
        <v>616</v>
      </c>
      <c r="K272" s="21" t="s">
        <v>631</v>
      </c>
      <c r="L272" s="18" t="s">
        <v>372</v>
      </c>
      <c r="M272" s="22">
        <v>250</v>
      </c>
      <c r="N272" s="19">
        <v>600000</v>
      </c>
      <c r="O272" s="18" t="s">
        <v>20</v>
      </c>
      <c r="P272" s="18" t="s">
        <v>642</v>
      </c>
      <c r="Q272" s="21" t="s">
        <v>279</v>
      </c>
      <c r="R272" s="21" t="s">
        <v>10</v>
      </c>
      <c r="S272" s="171">
        <v>2013</v>
      </c>
      <c r="T272" s="18" t="s">
        <v>651</v>
      </c>
      <c r="U272" s="18" t="s">
        <v>652</v>
      </c>
      <c r="V272" s="18" t="s">
        <v>653</v>
      </c>
      <c r="W272" s="95" t="s">
        <v>51</v>
      </c>
      <c r="X272" s="21" t="s">
        <v>1912</v>
      </c>
      <c r="Y272" s="124"/>
      <c r="Z272" s="124"/>
      <c r="AA272" s="124"/>
      <c r="AB272" s="124"/>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c r="BY272" s="124"/>
      <c r="BZ272" s="124"/>
      <c r="CA272" s="124"/>
      <c r="CB272" s="124"/>
      <c r="CC272" s="124"/>
      <c r="CD272" s="124"/>
      <c r="CE272" s="124"/>
      <c r="CF272" s="124"/>
      <c r="CG272" s="124"/>
      <c r="CH272" s="124"/>
      <c r="CI272" s="124"/>
      <c r="CJ272" s="124"/>
      <c r="CK272" s="124"/>
      <c r="CL272" s="124"/>
      <c r="CM272" s="124"/>
      <c r="CN272" s="124"/>
      <c r="CO272" s="124"/>
      <c r="CP272" s="124"/>
    </row>
    <row r="273" spans="1:94" s="13" customFormat="1" ht="38.25" customHeight="1">
      <c r="A273" s="21" t="s">
        <v>1</v>
      </c>
      <c r="B273" s="21" t="s">
        <v>13</v>
      </c>
      <c r="C273" s="21" t="s">
        <v>556</v>
      </c>
      <c r="D273" s="21" t="s">
        <v>638</v>
      </c>
      <c r="E273" s="21" t="s">
        <v>634</v>
      </c>
      <c r="F273" s="21" t="s">
        <v>596</v>
      </c>
      <c r="G273" s="21" t="s">
        <v>171</v>
      </c>
      <c r="H273" s="21">
        <v>238220</v>
      </c>
      <c r="I273" s="21"/>
      <c r="J273" s="21" t="s">
        <v>29</v>
      </c>
      <c r="K273" s="21" t="s">
        <v>560</v>
      </c>
      <c r="L273" s="18"/>
      <c r="M273" s="22">
        <v>4500000</v>
      </c>
      <c r="N273" s="19"/>
      <c r="O273" s="18"/>
      <c r="P273" s="18"/>
      <c r="Q273" s="21"/>
      <c r="R273" s="21"/>
      <c r="S273" s="171">
        <v>2013</v>
      </c>
      <c r="T273" s="18" t="s">
        <v>2478</v>
      </c>
      <c r="U273" s="18"/>
      <c r="V273" s="18"/>
      <c r="W273" s="95" t="s">
        <v>51</v>
      </c>
      <c r="X273" s="21" t="s">
        <v>1912</v>
      </c>
      <c r="Y273" s="124"/>
      <c r="Z273" s="124"/>
      <c r="AA273" s="124"/>
      <c r="AB273" s="124"/>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c r="BY273" s="124"/>
      <c r="BZ273" s="124"/>
      <c r="CA273" s="124"/>
      <c r="CB273" s="124"/>
      <c r="CC273" s="124"/>
      <c r="CD273" s="124"/>
      <c r="CE273" s="124"/>
      <c r="CF273" s="124"/>
      <c r="CG273" s="124"/>
      <c r="CH273" s="124"/>
      <c r="CI273" s="124"/>
      <c r="CJ273" s="124"/>
      <c r="CK273" s="124"/>
      <c r="CL273" s="124"/>
      <c r="CM273" s="124"/>
      <c r="CN273" s="124"/>
      <c r="CO273" s="124"/>
      <c r="CP273" s="124"/>
    </row>
    <row r="274" spans="1:94" s="13" customFormat="1" ht="38.25" customHeight="1">
      <c r="A274" s="21" t="s">
        <v>1</v>
      </c>
      <c r="B274" s="21" t="s">
        <v>13</v>
      </c>
      <c r="C274" s="21" t="s">
        <v>556</v>
      </c>
      <c r="D274" s="21" t="s">
        <v>569</v>
      </c>
      <c r="E274" s="21" t="s">
        <v>570</v>
      </c>
      <c r="F274" s="21" t="s">
        <v>596</v>
      </c>
      <c r="G274" s="21" t="s">
        <v>171</v>
      </c>
      <c r="H274" s="21">
        <v>237990</v>
      </c>
      <c r="I274" s="21" t="s">
        <v>17</v>
      </c>
      <c r="J274" s="21" t="s">
        <v>8</v>
      </c>
      <c r="K274" s="21" t="s">
        <v>560</v>
      </c>
      <c r="L274" s="21" t="s">
        <v>580</v>
      </c>
      <c r="M274" s="19">
        <v>325000</v>
      </c>
      <c r="N274" s="22"/>
      <c r="O274" s="21" t="s">
        <v>20</v>
      </c>
      <c r="P274" s="21" t="s">
        <v>372</v>
      </c>
      <c r="Q274" s="21" t="s">
        <v>20</v>
      </c>
      <c r="R274" s="21" t="s">
        <v>1982</v>
      </c>
      <c r="S274" s="74">
        <v>2013</v>
      </c>
      <c r="T274" s="21" t="s">
        <v>2479</v>
      </c>
      <c r="U274" s="21"/>
      <c r="V274" s="21"/>
      <c r="W274" s="95" t="s">
        <v>51</v>
      </c>
      <c r="X274" s="21" t="s">
        <v>1917</v>
      </c>
      <c r="Y274" s="124"/>
      <c r="Z274" s="124"/>
      <c r="AA274" s="124"/>
      <c r="AB274" s="124"/>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c r="BY274" s="124"/>
      <c r="BZ274" s="124"/>
      <c r="CA274" s="124"/>
      <c r="CB274" s="124"/>
      <c r="CC274" s="124"/>
      <c r="CD274" s="124"/>
      <c r="CE274" s="124"/>
      <c r="CF274" s="124"/>
      <c r="CG274" s="124"/>
      <c r="CH274" s="124"/>
      <c r="CI274" s="124"/>
      <c r="CJ274" s="124"/>
      <c r="CK274" s="124"/>
      <c r="CL274" s="124"/>
      <c r="CM274" s="124"/>
      <c r="CN274" s="124"/>
      <c r="CO274" s="124"/>
      <c r="CP274" s="124"/>
    </row>
    <row r="275" spans="1:94" s="13" customFormat="1" ht="38.25" customHeight="1">
      <c r="A275" s="21" t="s">
        <v>1</v>
      </c>
      <c r="B275" s="21" t="s">
        <v>13</v>
      </c>
      <c r="C275" s="21" t="s">
        <v>3</v>
      </c>
      <c r="D275" s="21" t="s">
        <v>557</v>
      </c>
      <c r="E275" s="21" t="s">
        <v>570</v>
      </c>
      <c r="F275" s="21" t="s">
        <v>597</v>
      </c>
      <c r="G275" s="21" t="s">
        <v>189</v>
      </c>
      <c r="H275" s="18">
        <v>236220</v>
      </c>
      <c r="I275" s="21" t="s">
        <v>28</v>
      </c>
      <c r="J275" s="21" t="s">
        <v>40</v>
      </c>
      <c r="K275" s="21" t="s">
        <v>40</v>
      </c>
      <c r="L275" s="21" t="s">
        <v>606</v>
      </c>
      <c r="M275" s="22"/>
      <c r="N275" s="22">
        <v>47853.599999999999</v>
      </c>
      <c r="O275" s="21" t="s">
        <v>20</v>
      </c>
      <c r="P275" s="21" t="s">
        <v>556</v>
      </c>
      <c r="Q275" s="21" t="s">
        <v>562</v>
      </c>
      <c r="R275" s="21" t="s">
        <v>10</v>
      </c>
      <c r="S275" s="74">
        <v>2013</v>
      </c>
      <c r="T275" s="21" t="s">
        <v>598</v>
      </c>
      <c r="U275" s="21" t="s">
        <v>599</v>
      </c>
      <c r="V275" s="21" t="s">
        <v>600</v>
      </c>
      <c r="W275" s="95" t="s">
        <v>51</v>
      </c>
      <c r="X275" s="21" t="s">
        <v>1919</v>
      </c>
      <c r="Y275" s="124"/>
      <c r="Z275" s="124"/>
      <c r="AA275" s="124"/>
      <c r="AB275" s="245"/>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c r="BY275" s="124"/>
      <c r="BZ275" s="124"/>
      <c r="CA275" s="124"/>
      <c r="CB275" s="124"/>
      <c r="CC275" s="124"/>
      <c r="CD275" s="124"/>
      <c r="CE275" s="124"/>
      <c r="CF275" s="124"/>
      <c r="CG275" s="124"/>
      <c r="CH275" s="124"/>
      <c r="CI275" s="124"/>
      <c r="CJ275" s="124"/>
      <c r="CK275" s="124"/>
      <c r="CL275" s="124"/>
      <c r="CM275" s="124"/>
      <c r="CN275" s="124"/>
      <c r="CO275" s="124"/>
      <c r="CP275" s="124"/>
    </row>
    <row r="276" spans="1:94" s="13" customFormat="1" ht="38.25" customHeight="1">
      <c r="A276" s="21" t="s">
        <v>1</v>
      </c>
      <c r="B276" s="21" t="s">
        <v>13</v>
      </c>
      <c r="C276" s="21" t="s">
        <v>556</v>
      </c>
      <c r="D276" s="21" t="s">
        <v>569</v>
      </c>
      <c r="E276" s="21" t="s">
        <v>570</v>
      </c>
      <c r="F276" s="21" t="s">
        <v>597</v>
      </c>
      <c r="G276" s="21" t="s">
        <v>189</v>
      </c>
      <c r="H276" s="21"/>
      <c r="I276" s="18" t="s">
        <v>17</v>
      </c>
      <c r="J276" s="21" t="s">
        <v>8</v>
      </c>
      <c r="K276" s="21" t="s">
        <v>572</v>
      </c>
      <c r="L276" s="18" t="s">
        <v>580</v>
      </c>
      <c r="M276" s="19">
        <v>1800000</v>
      </c>
      <c r="N276" s="22">
        <v>2200000</v>
      </c>
      <c r="O276" s="21" t="s">
        <v>455</v>
      </c>
      <c r="P276" s="21" t="s">
        <v>581</v>
      </c>
      <c r="Q276" s="21" t="s">
        <v>279</v>
      </c>
      <c r="R276" s="21" t="s">
        <v>41</v>
      </c>
      <c r="S276" s="74">
        <v>2013</v>
      </c>
      <c r="T276" s="21" t="s">
        <v>582</v>
      </c>
      <c r="U276" s="21" t="s">
        <v>583</v>
      </c>
      <c r="V276" s="21" t="s">
        <v>584</v>
      </c>
      <c r="W276" s="95" t="s">
        <v>51</v>
      </c>
      <c r="X276" s="21"/>
      <c r="Y276" s="124"/>
      <c r="Z276" s="124"/>
      <c r="AA276" s="124"/>
      <c r="AB276" s="124"/>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c r="BY276" s="124"/>
      <c r="BZ276" s="124"/>
      <c r="CA276" s="124"/>
      <c r="CB276" s="124"/>
      <c r="CC276" s="124"/>
      <c r="CD276" s="124"/>
      <c r="CE276" s="124"/>
      <c r="CF276" s="124"/>
      <c r="CG276" s="124"/>
      <c r="CH276" s="124"/>
      <c r="CI276" s="124"/>
      <c r="CJ276" s="124"/>
      <c r="CK276" s="124"/>
      <c r="CL276" s="124"/>
      <c r="CM276" s="124"/>
      <c r="CN276" s="124"/>
      <c r="CO276" s="124"/>
      <c r="CP276" s="124"/>
    </row>
    <row r="277" spans="1:94" s="13" customFormat="1" ht="38.25" customHeight="1">
      <c r="A277" s="21" t="s">
        <v>1</v>
      </c>
      <c r="B277" s="21" t="s">
        <v>13</v>
      </c>
      <c r="C277" s="18" t="s">
        <v>556</v>
      </c>
      <c r="D277" s="21" t="s">
        <v>569</v>
      </c>
      <c r="E277" s="21" t="s">
        <v>570</v>
      </c>
      <c r="F277" s="21" t="s">
        <v>1918</v>
      </c>
      <c r="G277" s="21" t="s">
        <v>171</v>
      </c>
      <c r="H277" s="21">
        <v>236220</v>
      </c>
      <c r="I277" s="21" t="s">
        <v>17</v>
      </c>
      <c r="J277" s="21" t="s">
        <v>8</v>
      </c>
      <c r="K277" s="21" t="s">
        <v>560</v>
      </c>
      <c r="L277" s="21" t="s">
        <v>580</v>
      </c>
      <c r="M277" s="19">
        <v>30000</v>
      </c>
      <c r="N277" s="22"/>
      <c r="O277" s="21" t="s">
        <v>20</v>
      </c>
      <c r="P277" s="21" t="s">
        <v>372</v>
      </c>
      <c r="Q277" s="21" t="s">
        <v>279</v>
      </c>
      <c r="R277" s="21" t="s">
        <v>10</v>
      </c>
      <c r="S277" s="74">
        <v>2013</v>
      </c>
      <c r="T277" s="21" t="s">
        <v>2479</v>
      </c>
      <c r="U277" s="21"/>
      <c r="V277" s="21"/>
      <c r="W277" s="95" t="s">
        <v>51</v>
      </c>
      <c r="X277" s="21" t="s">
        <v>1917</v>
      </c>
      <c r="Y277" s="124"/>
      <c r="Z277" s="124"/>
      <c r="AA277" s="124"/>
      <c r="AB277" s="124"/>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c r="BY277" s="124"/>
      <c r="BZ277" s="124"/>
      <c r="CA277" s="124"/>
      <c r="CB277" s="124"/>
      <c r="CC277" s="124"/>
      <c r="CD277" s="124"/>
      <c r="CE277" s="124"/>
      <c r="CF277" s="124"/>
      <c r="CG277" s="124"/>
      <c r="CH277" s="124"/>
      <c r="CI277" s="124"/>
      <c r="CJ277" s="124"/>
      <c r="CK277" s="124"/>
      <c r="CL277" s="124"/>
      <c r="CM277" s="124"/>
      <c r="CN277" s="124"/>
      <c r="CO277" s="124"/>
      <c r="CP277" s="124"/>
    </row>
    <row r="278" spans="1:94" s="13" customFormat="1" ht="38.25" customHeight="1">
      <c r="A278" s="21" t="s">
        <v>1</v>
      </c>
      <c r="B278" s="21" t="s">
        <v>13</v>
      </c>
      <c r="C278" s="18" t="s">
        <v>556</v>
      </c>
      <c r="D278" s="21" t="s">
        <v>569</v>
      </c>
      <c r="E278" s="21" t="s">
        <v>570</v>
      </c>
      <c r="F278" s="21" t="s">
        <v>1918</v>
      </c>
      <c r="G278" s="21" t="s">
        <v>171</v>
      </c>
      <c r="H278" s="21">
        <v>236220</v>
      </c>
      <c r="I278" s="21" t="s">
        <v>17</v>
      </c>
      <c r="J278" s="21" t="s">
        <v>8</v>
      </c>
      <c r="K278" s="21" t="s">
        <v>560</v>
      </c>
      <c r="L278" s="21" t="s">
        <v>580</v>
      </c>
      <c r="M278" s="19">
        <v>10000</v>
      </c>
      <c r="N278" s="22"/>
      <c r="O278" s="21" t="s">
        <v>9</v>
      </c>
      <c r="P278" s="21" t="s">
        <v>372</v>
      </c>
      <c r="Q278" s="21" t="s">
        <v>279</v>
      </c>
      <c r="R278" s="21" t="s">
        <v>10</v>
      </c>
      <c r="S278" s="74">
        <v>2013</v>
      </c>
      <c r="T278" s="21" t="s">
        <v>2479</v>
      </c>
      <c r="U278" s="21"/>
      <c r="V278" s="21"/>
      <c r="W278" s="95" t="s">
        <v>51</v>
      </c>
      <c r="X278" s="21" t="s">
        <v>1917</v>
      </c>
      <c r="Y278" s="124"/>
      <c r="Z278" s="124"/>
      <c r="AA278" s="124"/>
      <c r="AB278" s="124"/>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c r="BY278" s="124"/>
      <c r="BZ278" s="124"/>
      <c r="CA278" s="124"/>
      <c r="CB278" s="124"/>
      <c r="CC278" s="124"/>
      <c r="CD278" s="124"/>
      <c r="CE278" s="124"/>
      <c r="CF278" s="124"/>
      <c r="CG278" s="124"/>
      <c r="CH278" s="124"/>
      <c r="CI278" s="124"/>
      <c r="CJ278" s="124"/>
      <c r="CK278" s="124"/>
      <c r="CL278" s="124"/>
      <c r="CM278" s="124"/>
      <c r="CN278" s="124"/>
      <c r="CO278" s="124"/>
      <c r="CP278" s="124"/>
    </row>
    <row r="279" spans="1:94" s="13" customFormat="1" ht="38.25" customHeight="1">
      <c r="A279" s="21" t="s">
        <v>1</v>
      </c>
      <c r="B279" s="21" t="s">
        <v>13</v>
      </c>
      <c r="C279" s="18" t="s">
        <v>556</v>
      </c>
      <c r="D279" s="21" t="s">
        <v>1899</v>
      </c>
      <c r="E279" s="21" t="s">
        <v>594</v>
      </c>
      <c r="F279" s="21" t="s">
        <v>595</v>
      </c>
      <c r="G279" s="21" t="s">
        <v>171</v>
      </c>
      <c r="H279" s="21">
        <v>484110</v>
      </c>
      <c r="I279" s="21" t="s">
        <v>17</v>
      </c>
      <c r="J279" s="21" t="s">
        <v>8</v>
      </c>
      <c r="K279" s="21" t="s">
        <v>560</v>
      </c>
      <c r="L279" s="21" t="s">
        <v>580</v>
      </c>
      <c r="M279" s="19">
        <v>80000</v>
      </c>
      <c r="N279" s="22"/>
      <c r="O279" s="21" t="s">
        <v>20</v>
      </c>
      <c r="P279" s="21" t="s">
        <v>372</v>
      </c>
      <c r="Q279" s="21" t="s">
        <v>279</v>
      </c>
      <c r="R279" s="21" t="s">
        <v>10</v>
      </c>
      <c r="S279" s="74">
        <v>2013</v>
      </c>
      <c r="T279" s="21" t="s">
        <v>2479</v>
      </c>
      <c r="U279" s="21"/>
      <c r="V279" s="21"/>
      <c r="W279" s="95" t="s">
        <v>51</v>
      </c>
      <c r="X279" s="21" t="s">
        <v>1917</v>
      </c>
      <c r="Y279" s="124"/>
      <c r="Z279" s="124"/>
      <c r="AA279" s="124"/>
      <c r="AB279" s="124"/>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c r="BY279" s="124"/>
      <c r="BZ279" s="124"/>
      <c r="CA279" s="124"/>
      <c r="CB279" s="124"/>
      <c r="CC279" s="124"/>
      <c r="CD279" s="124"/>
      <c r="CE279" s="124"/>
      <c r="CF279" s="124"/>
      <c r="CG279" s="124"/>
      <c r="CH279" s="124"/>
      <c r="CI279" s="124"/>
      <c r="CJ279" s="124"/>
      <c r="CK279" s="124"/>
      <c r="CL279" s="124"/>
      <c r="CM279" s="124"/>
      <c r="CN279" s="124"/>
      <c r="CO279" s="124"/>
      <c r="CP279" s="124"/>
    </row>
    <row r="280" spans="1:94" s="13" customFormat="1" ht="38.25" customHeight="1">
      <c r="A280" s="21" t="s">
        <v>1</v>
      </c>
      <c r="B280" s="21" t="s">
        <v>13</v>
      </c>
      <c r="C280" s="18" t="s">
        <v>556</v>
      </c>
      <c r="D280" s="21" t="s">
        <v>574</v>
      </c>
      <c r="E280" s="21" t="s">
        <v>570</v>
      </c>
      <c r="F280" s="21" t="s">
        <v>575</v>
      </c>
      <c r="G280" s="21" t="s">
        <v>171</v>
      </c>
      <c r="H280" s="21">
        <v>236220</v>
      </c>
      <c r="I280" s="21" t="s">
        <v>28</v>
      </c>
      <c r="J280" s="21" t="s">
        <v>556</v>
      </c>
      <c r="K280" s="21" t="s">
        <v>576</v>
      </c>
      <c r="L280" s="21" t="s">
        <v>28</v>
      </c>
      <c r="M280" s="19"/>
      <c r="N280" s="22">
        <v>9000000</v>
      </c>
      <c r="O280" s="21" t="s">
        <v>20</v>
      </c>
      <c r="P280" s="21" t="s">
        <v>278</v>
      </c>
      <c r="Q280" s="21" t="s">
        <v>279</v>
      </c>
      <c r="R280" s="21" t="s">
        <v>10</v>
      </c>
      <c r="S280" s="74">
        <v>2013</v>
      </c>
      <c r="T280" s="21" t="s">
        <v>577</v>
      </c>
      <c r="U280" s="21" t="s">
        <v>578</v>
      </c>
      <c r="V280" s="21" t="s">
        <v>579</v>
      </c>
      <c r="W280" s="95" t="s">
        <v>51</v>
      </c>
      <c r="X280" s="21"/>
      <c r="Y280" s="124"/>
      <c r="Z280" s="245"/>
      <c r="AA280" s="247"/>
      <c r="AB280" s="247"/>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c r="BY280" s="124"/>
      <c r="BZ280" s="124"/>
      <c r="CA280" s="124"/>
      <c r="CB280" s="124"/>
      <c r="CC280" s="124"/>
      <c r="CD280" s="124"/>
      <c r="CE280" s="124"/>
      <c r="CF280" s="124"/>
      <c r="CG280" s="124"/>
      <c r="CH280" s="124"/>
      <c r="CI280" s="124"/>
      <c r="CJ280" s="124"/>
      <c r="CK280" s="124"/>
      <c r="CL280" s="124"/>
      <c r="CM280" s="124"/>
      <c r="CN280" s="124"/>
      <c r="CO280" s="124"/>
      <c r="CP280" s="124"/>
    </row>
    <row r="281" spans="1:94" s="13" customFormat="1" ht="38.25" customHeight="1">
      <c r="A281" s="21" t="s">
        <v>1</v>
      </c>
      <c r="B281" s="21" t="s">
        <v>13</v>
      </c>
      <c r="C281" s="21" t="s">
        <v>556</v>
      </c>
      <c r="D281" s="21" t="s">
        <v>585</v>
      </c>
      <c r="E281" s="21"/>
      <c r="F281" s="21" t="s">
        <v>586</v>
      </c>
      <c r="G281" s="21" t="s">
        <v>167</v>
      </c>
      <c r="H281" s="21">
        <v>561110</v>
      </c>
      <c r="I281" s="21"/>
      <c r="J281" s="21" t="s">
        <v>29</v>
      </c>
      <c r="K281" s="21" t="s">
        <v>29</v>
      </c>
      <c r="L281" s="21" t="s">
        <v>372</v>
      </c>
      <c r="M281" s="22"/>
      <c r="N281" s="22">
        <v>77313.600000000006</v>
      </c>
      <c r="O281" s="21" t="s">
        <v>20</v>
      </c>
      <c r="P281" s="21"/>
      <c r="Q281" s="21" t="s">
        <v>279</v>
      </c>
      <c r="R281" s="21" t="s">
        <v>10</v>
      </c>
      <c r="S281" s="74">
        <v>2013</v>
      </c>
      <c r="T281" s="18" t="s">
        <v>587</v>
      </c>
      <c r="U281" s="18" t="s">
        <v>588</v>
      </c>
      <c r="V281" s="18" t="s">
        <v>589</v>
      </c>
      <c r="W281" s="95" t="s">
        <v>51</v>
      </c>
      <c r="X281" s="21" t="s">
        <v>1915</v>
      </c>
      <c r="Y281" s="124"/>
      <c r="Z281" s="245"/>
      <c r="AA281" s="245"/>
      <c r="AB281" s="245"/>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c r="BY281" s="124"/>
      <c r="BZ281" s="124"/>
      <c r="CA281" s="124"/>
      <c r="CB281" s="124"/>
      <c r="CC281" s="124"/>
      <c r="CD281" s="124"/>
      <c r="CE281" s="124"/>
      <c r="CF281" s="124"/>
      <c r="CG281" s="124"/>
      <c r="CH281" s="124"/>
      <c r="CI281" s="124"/>
      <c r="CJ281" s="124"/>
      <c r="CK281" s="124"/>
      <c r="CL281" s="124"/>
      <c r="CM281" s="124"/>
      <c r="CN281" s="124"/>
      <c r="CO281" s="124"/>
      <c r="CP281" s="124"/>
    </row>
    <row r="282" spans="1:94" s="13" customFormat="1" ht="38.25" customHeight="1">
      <c r="A282" s="21" t="s">
        <v>1</v>
      </c>
      <c r="B282" s="21" t="s">
        <v>13</v>
      </c>
      <c r="C282" s="21" t="s">
        <v>1891</v>
      </c>
      <c r="D282" s="21" t="s">
        <v>557</v>
      </c>
      <c r="E282" s="21" t="s">
        <v>570</v>
      </c>
      <c r="F282" s="21" t="s">
        <v>611</v>
      </c>
      <c r="G282" s="21" t="s">
        <v>189</v>
      </c>
      <c r="H282" s="21">
        <v>236220</v>
      </c>
      <c r="I282" s="21" t="s">
        <v>28</v>
      </c>
      <c r="J282" s="21"/>
      <c r="K282" s="21"/>
      <c r="L282" s="21" t="s">
        <v>561</v>
      </c>
      <c r="M282" s="22"/>
      <c r="N282" s="22">
        <v>67555.64</v>
      </c>
      <c r="O282" s="21" t="s">
        <v>20</v>
      </c>
      <c r="P282" s="21" t="s">
        <v>556</v>
      </c>
      <c r="Q282" s="21" t="s">
        <v>562</v>
      </c>
      <c r="R282" s="21" t="s">
        <v>21</v>
      </c>
      <c r="S282" s="74">
        <v>2013</v>
      </c>
      <c r="T282" s="18" t="s">
        <v>598</v>
      </c>
      <c r="U282" s="18" t="s">
        <v>599</v>
      </c>
      <c r="V282" s="18" t="s">
        <v>600</v>
      </c>
      <c r="W282" s="95" t="s">
        <v>51</v>
      </c>
      <c r="X282" s="21" t="s">
        <v>1919</v>
      </c>
      <c r="Y282" s="124"/>
      <c r="Z282" s="124"/>
      <c r="AA282" s="245"/>
      <c r="AB282" s="245"/>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c r="BY282" s="124"/>
      <c r="BZ282" s="124"/>
      <c r="CA282" s="124"/>
      <c r="CB282" s="124"/>
      <c r="CC282" s="124"/>
      <c r="CD282" s="124"/>
      <c r="CE282" s="124"/>
      <c r="CF282" s="124"/>
      <c r="CG282" s="124"/>
      <c r="CH282" s="124"/>
      <c r="CI282" s="124"/>
      <c r="CJ282" s="124"/>
      <c r="CK282" s="124"/>
      <c r="CL282" s="124"/>
      <c r="CM282" s="124"/>
      <c r="CN282" s="124"/>
      <c r="CO282" s="124"/>
      <c r="CP282" s="124"/>
    </row>
    <row r="283" spans="1:94" s="13" customFormat="1" ht="38.25" customHeight="1">
      <c r="A283" s="21" t="s">
        <v>1</v>
      </c>
      <c r="B283" s="21" t="s">
        <v>13</v>
      </c>
      <c r="C283" s="21" t="s">
        <v>556</v>
      </c>
      <c r="D283" s="21" t="s">
        <v>655</v>
      </c>
      <c r="E283" s="21"/>
      <c r="F283" s="21" t="s">
        <v>1914</v>
      </c>
      <c r="G283" s="21" t="s">
        <v>171</v>
      </c>
      <c r="H283" s="21">
        <v>236</v>
      </c>
      <c r="I283" s="21" t="s">
        <v>64</v>
      </c>
      <c r="J283" s="21"/>
      <c r="K283" s="21"/>
      <c r="L283" s="21"/>
      <c r="M283" s="22">
        <v>800000</v>
      </c>
      <c r="N283" s="19"/>
      <c r="O283" s="21"/>
      <c r="P283" s="21"/>
      <c r="Q283" s="21"/>
      <c r="R283" s="21"/>
      <c r="S283" s="74"/>
      <c r="T283" s="18" t="s">
        <v>2480</v>
      </c>
      <c r="U283" s="18"/>
      <c r="V283" s="18"/>
      <c r="W283" s="95" t="s">
        <v>51</v>
      </c>
      <c r="X283" s="21"/>
      <c r="Y283" s="124"/>
      <c r="Z283" s="124"/>
      <c r="AA283" s="124"/>
      <c r="AB283" s="124"/>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c r="BY283" s="124"/>
      <c r="BZ283" s="124"/>
      <c r="CA283" s="124"/>
      <c r="CB283" s="124"/>
      <c r="CC283" s="124"/>
      <c r="CD283" s="124"/>
      <c r="CE283" s="124"/>
      <c r="CF283" s="124"/>
      <c r="CG283" s="124"/>
      <c r="CH283" s="124"/>
      <c r="CI283" s="124"/>
      <c r="CJ283" s="124"/>
      <c r="CK283" s="124"/>
      <c r="CL283" s="124"/>
      <c r="CM283" s="124"/>
      <c r="CN283" s="124"/>
      <c r="CO283" s="124"/>
      <c r="CP283" s="124"/>
    </row>
    <row r="284" spans="1:94" s="13" customFormat="1" ht="38.25" customHeight="1">
      <c r="A284" s="21" t="s">
        <v>1</v>
      </c>
      <c r="B284" s="21" t="s">
        <v>13</v>
      </c>
      <c r="C284" s="18" t="s">
        <v>556</v>
      </c>
      <c r="D284" s="21" t="s">
        <v>639</v>
      </c>
      <c r="E284" s="21"/>
      <c r="F284" s="21" t="s">
        <v>1914</v>
      </c>
      <c r="G284" s="18" t="s">
        <v>171</v>
      </c>
      <c r="H284" s="21">
        <v>238210</v>
      </c>
      <c r="I284" s="21" t="s">
        <v>17</v>
      </c>
      <c r="J284" s="21" t="s">
        <v>8</v>
      </c>
      <c r="K284" s="21" t="s">
        <v>560</v>
      </c>
      <c r="L284" s="21" t="s">
        <v>372</v>
      </c>
      <c r="M284" s="19">
        <v>230000</v>
      </c>
      <c r="N284" s="22"/>
      <c r="O284" s="21" t="s">
        <v>20</v>
      </c>
      <c r="P284" s="21" t="s">
        <v>278</v>
      </c>
      <c r="Q284" s="21" t="s">
        <v>279</v>
      </c>
      <c r="R284" s="21"/>
      <c r="S284" s="74"/>
      <c r="T284" s="21" t="s">
        <v>1986</v>
      </c>
      <c r="U284" s="21" t="s">
        <v>1987</v>
      </c>
      <c r="V284" s="21"/>
      <c r="W284" s="95" t="s">
        <v>51</v>
      </c>
      <c r="X284" s="21" t="s">
        <v>1912</v>
      </c>
      <c r="Y284" s="124"/>
      <c r="Z284" s="124"/>
      <c r="AA284" s="124"/>
      <c r="AB284" s="124"/>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c r="BY284" s="124"/>
      <c r="BZ284" s="124"/>
      <c r="CA284" s="124"/>
      <c r="CB284" s="124"/>
      <c r="CC284" s="124"/>
      <c r="CD284" s="124"/>
      <c r="CE284" s="124"/>
      <c r="CF284" s="124"/>
      <c r="CG284" s="124"/>
      <c r="CH284" s="124"/>
      <c r="CI284" s="124"/>
      <c r="CJ284" s="124"/>
      <c r="CK284" s="124"/>
      <c r="CL284" s="124"/>
      <c r="CM284" s="124"/>
      <c r="CN284" s="124"/>
      <c r="CO284" s="124"/>
      <c r="CP284" s="124"/>
    </row>
    <row r="285" spans="1:94" s="13" customFormat="1" ht="38.25" customHeight="1">
      <c r="A285" s="21" t="s">
        <v>1</v>
      </c>
      <c r="B285" s="21" t="s">
        <v>13</v>
      </c>
      <c r="C285" s="18" t="s">
        <v>556</v>
      </c>
      <c r="D285" s="21" t="s">
        <v>569</v>
      </c>
      <c r="E285" s="21" t="s">
        <v>570</v>
      </c>
      <c r="F285" s="21" t="s">
        <v>573</v>
      </c>
      <c r="G285" s="21" t="s">
        <v>171</v>
      </c>
      <c r="H285" s="21">
        <v>236220</v>
      </c>
      <c r="I285" s="21"/>
      <c r="J285" s="21"/>
      <c r="K285" s="21"/>
      <c r="L285" s="21"/>
      <c r="M285" s="19"/>
      <c r="N285" s="22"/>
      <c r="O285" s="21"/>
      <c r="P285" s="21"/>
      <c r="Q285" s="21" t="s">
        <v>279</v>
      </c>
      <c r="R285" s="21" t="s">
        <v>31</v>
      </c>
      <c r="S285" s="74"/>
      <c r="T285" s="21" t="s">
        <v>2478</v>
      </c>
      <c r="U285" s="21"/>
      <c r="V285" s="21"/>
      <c r="W285" s="95" t="s">
        <v>51</v>
      </c>
      <c r="X285" s="21" t="s">
        <v>1966</v>
      </c>
      <c r="Y285" s="124"/>
      <c r="Z285" s="124"/>
      <c r="AA285" s="124"/>
      <c r="AB285" s="124"/>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c r="BY285" s="124"/>
      <c r="BZ285" s="124"/>
      <c r="CA285" s="124"/>
      <c r="CB285" s="124"/>
      <c r="CC285" s="124"/>
      <c r="CD285" s="124"/>
      <c r="CE285" s="124"/>
      <c r="CF285" s="124"/>
      <c r="CG285" s="124"/>
      <c r="CH285" s="124"/>
      <c r="CI285" s="124"/>
      <c r="CJ285" s="124"/>
      <c r="CK285" s="124"/>
      <c r="CL285" s="124"/>
      <c r="CM285" s="124"/>
      <c r="CN285" s="124"/>
      <c r="CO285" s="124"/>
      <c r="CP285" s="124"/>
    </row>
    <row r="286" spans="1:94" s="13" customFormat="1" ht="38.25" customHeight="1">
      <c r="A286" s="21" t="s">
        <v>1</v>
      </c>
      <c r="B286" s="21" t="s">
        <v>13</v>
      </c>
      <c r="C286" s="18" t="s">
        <v>1891</v>
      </c>
      <c r="D286" s="21" t="s">
        <v>601</v>
      </c>
      <c r="E286" s="21" t="s">
        <v>602</v>
      </c>
      <c r="F286" s="21" t="s">
        <v>603</v>
      </c>
      <c r="G286" s="21" t="s">
        <v>189</v>
      </c>
      <c r="H286" s="21">
        <v>541330</v>
      </c>
      <c r="I286" s="21" t="s">
        <v>1967</v>
      </c>
      <c r="J286" s="18" t="s">
        <v>40</v>
      </c>
      <c r="K286" s="18" t="s">
        <v>40</v>
      </c>
      <c r="L286" s="21" t="s">
        <v>28</v>
      </c>
      <c r="M286" s="19"/>
      <c r="N286" s="22">
        <v>127000</v>
      </c>
      <c r="O286" s="21" t="s">
        <v>20</v>
      </c>
      <c r="P286" s="21" t="s">
        <v>556</v>
      </c>
      <c r="Q286" s="21" t="s">
        <v>279</v>
      </c>
      <c r="R286" s="21" t="s">
        <v>21</v>
      </c>
      <c r="S286" s="74">
        <v>2013</v>
      </c>
      <c r="T286" s="21" t="s">
        <v>598</v>
      </c>
      <c r="U286" s="21" t="s">
        <v>599</v>
      </c>
      <c r="V286" s="21" t="s">
        <v>600</v>
      </c>
      <c r="W286" s="95" t="s">
        <v>51</v>
      </c>
      <c r="X286" s="21" t="s">
        <v>1919</v>
      </c>
      <c r="Y286" s="124"/>
      <c r="Z286" s="124"/>
      <c r="AA286" s="245"/>
      <c r="AB286" s="245"/>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c r="BY286" s="124"/>
      <c r="BZ286" s="124"/>
      <c r="CA286" s="124"/>
      <c r="CB286" s="124"/>
      <c r="CC286" s="124"/>
      <c r="CD286" s="124"/>
      <c r="CE286" s="124"/>
      <c r="CF286" s="124"/>
      <c r="CG286" s="124"/>
      <c r="CH286" s="124"/>
      <c r="CI286" s="124"/>
      <c r="CJ286" s="124"/>
      <c r="CK286" s="124"/>
      <c r="CL286" s="124"/>
      <c r="CM286" s="124"/>
      <c r="CN286" s="124"/>
      <c r="CO286" s="124"/>
      <c r="CP286" s="124"/>
    </row>
    <row r="287" spans="1:94" s="13" customFormat="1" ht="38.25" customHeight="1">
      <c r="A287" s="21" t="s">
        <v>1</v>
      </c>
      <c r="B287" s="21" t="s">
        <v>13</v>
      </c>
      <c r="C287" s="18" t="s">
        <v>1891</v>
      </c>
      <c r="D287" s="21" t="s">
        <v>601</v>
      </c>
      <c r="E287" s="21" t="s">
        <v>602</v>
      </c>
      <c r="F287" s="21" t="s">
        <v>604</v>
      </c>
      <c r="G287" s="21" t="s">
        <v>205</v>
      </c>
      <c r="H287" s="21">
        <v>541330</v>
      </c>
      <c r="I287" s="21" t="s">
        <v>1967</v>
      </c>
      <c r="J287" s="21" t="s">
        <v>40</v>
      </c>
      <c r="K287" s="21" t="s">
        <v>40</v>
      </c>
      <c r="L287" s="21" t="s">
        <v>28</v>
      </c>
      <c r="M287" s="19"/>
      <c r="N287" s="22">
        <v>130000</v>
      </c>
      <c r="O287" s="21" t="s">
        <v>20</v>
      </c>
      <c r="P287" s="21" t="s">
        <v>556</v>
      </c>
      <c r="Q287" s="21" t="s">
        <v>279</v>
      </c>
      <c r="R287" s="21" t="s">
        <v>21</v>
      </c>
      <c r="S287" s="74">
        <v>2013</v>
      </c>
      <c r="T287" s="21" t="s">
        <v>598</v>
      </c>
      <c r="U287" s="21" t="s">
        <v>599</v>
      </c>
      <c r="V287" s="21" t="s">
        <v>600</v>
      </c>
      <c r="W287" s="95" t="s">
        <v>51</v>
      </c>
      <c r="X287" s="21" t="s">
        <v>1919</v>
      </c>
      <c r="Y287" s="124"/>
      <c r="Z287" s="124"/>
      <c r="AA287" s="245"/>
      <c r="AB287" s="245"/>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c r="BY287" s="124"/>
      <c r="BZ287" s="124"/>
      <c r="CA287" s="124"/>
      <c r="CB287" s="124"/>
      <c r="CC287" s="124"/>
      <c r="CD287" s="124"/>
      <c r="CE287" s="124"/>
      <c r="CF287" s="124"/>
      <c r="CG287" s="124"/>
      <c r="CH287" s="124"/>
      <c r="CI287" s="124"/>
      <c r="CJ287" s="124"/>
      <c r="CK287" s="124"/>
      <c r="CL287" s="124"/>
      <c r="CM287" s="124"/>
      <c r="CN287" s="124"/>
      <c r="CO287" s="124"/>
      <c r="CP287" s="124"/>
    </row>
    <row r="288" spans="1:94" s="13" customFormat="1" ht="38.25" customHeight="1">
      <c r="A288" s="21" t="s">
        <v>1</v>
      </c>
      <c r="B288" s="21" t="s">
        <v>13</v>
      </c>
      <c r="C288" s="18" t="s">
        <v>1891</v>
      </c>
      <c r="D288" s="21" t="s">
        <v>601</v>
      </c>
      <c r="E288" s="21" t="s">
        <v>602</v>
      </c>
      <c r="F288" s="21" t="s">
        <v>604</v>
      </c>
      <c r="G288" s="21" t="s">
        <v>205</v>
      </c>
      <c r="H288" s="21">
        <v>541330</v>
      </c>
      <c r="I288" s="21" t="s">
        <v>1967</v>
      </c>
      <c r="J288" s="21" t="s">
        <v>40</v>
      </c>
      <c r="K288" s="21" t="s">
        <v>40</v>
      </c>
      <c r="L288" s="21" t="s">
        <v>606</v>
      </c>
      <c r="M288" s="19"/>
      <c r="N288" s="22">
        <v>90000</v>
      </c>
      <c r="O288" s="21" t="s">
        <v>20</v>
      </c>
      <c r="P288" s="21" t="s">
        <v>556</v>
      </c>
      <c r="Q288" s="21" t="s">
        <v>279</v>
      </c>
      <c r="R288" s="21" t="s">
        <v>21</v>
      </c>
      <c r="S288" s="74">
        <v>2013</v>
      </c>
      <c r="T288" s="21" t="s">
        <v>598</v>
      </c>
      <c r="U288" s="21" t="s">
        <v>599</v>
      </c>
      <c r="V288" s="21" t="s">
        <v>600</v>
      </c>
      <c r="W288" s="95" t="s">
        <v>51</v>
      </c>
      <c r="X288" s="21" t="s">
        <v>1919</v>
      </c>
      <c r="Y288" s="124"/>
      <c r="Z288" s="124"/>
      <c r="AA288" s="245"/>
      <c r="AB288" s="245"/>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c r="BY288" s="124"/>
      <c r="BZ288" s="124"/>
      <c r="CA288" s="124"/>
      <c r="CB288" s="124"/>
      <c r="CC288" s="124"/>
      <c r="CD288" s="124"/>
      <c r="CE288" s="124"/>
      <c r="CF288" s="124"/>
      <c r="CG288" s="124"/>
      <c r="CH288" s="124"/>
      <c r="CI288" s="124"/>
      <c r="CJ288" s="124"/>
      <c r="CK288" s="124"/>
      <c r="CL288" s="124"/>
      <c r="CM288" s="124"/>
      <c r="CN288" s="124"/>
      <c r="CO288" s="124"/>
      <c r="CP288" s="124"/>
    </row>
    <row r="289" spans="1:94" s="13" customFormat="1" ht="38.25" customHeight="1">
      <c r="A289" s="21" t="s">
        <v>1</v>
      </c>
      <c r="B289" s="21" t="s">
        <v>13</v>
      </c>
      <c r="C289" s="18" t="s">
        <v>1891</v>
      </c>
      <c r="D289" s="21" t="s">
        <v>557</v>
      </c>
      <c r="E289" s="21"/>
      <c r="F289" s="21" t="s">
        <v>604</v>
      </c>
      <c r="G289" s="18" t="s">
        <v>205</v>
      </c>
      <c r="H289" s="21">
        <v>236220</v>
      </c>
      <c r="I289" s="21"/>
      <c r="J289" s="21"/>
      <c r="K289" s="21"/>
      <c r="L289" s="21"/>
      <c r="M289" s="19"/>
      <c r="N289" s="22">
        <v>105000</v>
      </c>
      <c r="O289" s="21" t="s">
        <v>20</v>
      </c>
      <c r="P289" s="21" t="s">
        <v>556</v>
      </c>
      <c r="Q289" s="21" t="s">
        <v>279</v>
      </c>
      <c r="R289" s="21" t="s">
        <v>41</v>
      </c>
      <c r="S289" s="74">
        <v>2013</v>
      </c>
      <c r="T289" s="21" t="s">
        <v>598</v>
      </c>
      <c r="U289" s="21" t="s">
        <v>599</v>
      </c>
      <c r="V289" s="21" t="s">
        <v>600</v>
      </c>
      <c r="W289" s="95" t="s">
        <v>51</v>
      </c>
      <c r="X289" s="21" t="s">
        <v>1919</v>
      </c>
      <c r="Y289" s="124"/>
      <c r="Z289" s="124"/>
      <c r="AA289" s="245"/>
      <c r="AB289" s="245"/>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c r="BY289" s="124"/>
      <c r="BZ289" s="124"/>
      <c r="CA289" s="124"/>
      <c r="CB289" s="124"/>
      <c r="CC289" s="124"/>
      <c r="CD289" s="124"/>
      <c r="CE289" s="124"/>
      <c r="CF289" s="124"/>
      <c r="CG289" s="124"/>
      <c r="CH289" s="124"/>
      <c r="CI289" s="124"/>
      <c r="CJ289" s="124"/>
      <c r="CK289" s="124"/>
      <c r="CL289" s="124"/>
      <c r="CM289" s="124"/>
      <c r="CN289" s="124"/>
      <c r="CO289" s="124"/>
      <c r="CP289" s="124"/>
    </row>
    <row r="290" spans="1:94" s="13" customFormat="1" ht="38.25" customHeight="1">
      <c r="A290" s="21" t="s">
        <v>1</v>
      </c>
      <c r="B290" s="21" t="s">
        <v>13</v>
      </c>
      <c r="C290" s="18" t="s">
        <v>1891</v>
      </c>
      <c r="D290" s="21" t="s">
        <v>557</v>
      </c>
      <c r="E290" s="21" t="s">
        <v>570</v>
      </c>
      <c r="F290" s="21" t="s">
        <v>605</v>
      </c>
      <c r="G290" s="18" t="s">
        <v>205</v>
      </c>
      <c r="H290" s="21">
        <v>236220</v>
      </c>
      <c r="I290" s="21" t="s">
        <v>28</v>
      </c>
      <c r="J290" s="21"/>
      <c r="K290" s="21"/>
      <c r="L290" s="21" t="s">
        <v>561</v>
      </c>
      <c r="M290" s="19"/>
      <c r="N290" s="22">
        <v>100000</v>
      </c>
      <c r="O290" s="21" t="s">
        <v>20</v>
      </c>
      <c r="P290" s="21" t="s">
        <v>556</v>
      </c>
      <c r="Q290" s="21" t="s">
        <v>279</v>
      </c>
      <c r="R290" s="21" t="s">
        <v>41</v>
      </c>
      <c r="S290" s="74">
        <v>2013</v>
      </c>
      <c r="T290" s="21" t="s">
        <v>598</v>
      </c>
      <c r="U290" s="21" t="s">
        <v>599</v>
      </c>
      <c r="V290" s="21" t="s">
        <v>600</v>
      </c>
      <c r="W290" s="95" t="s">
        <v>51</v>
      </c>
      <c r="X290" s="21" t="s">
        <v>1919</v>
      </c>
      <c r="Y290" s="124"/>
      <c r="Z290" s="124"/>
      <c r="AA290" s="245"/>
      <c r="AB290" s="245"/>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c r="BY290" s="124"/>
      <c r="BZ290" s="124"/>
      <c r="CA290" s="124"/>
      <c r="CB290" s="124"/>
      <c r="CC290" s="124"/>
      <c r="CD290" s="124"/>
      <c r="CE290" s="124"/>
      <c r="CF290" s="124"/>
      <c r="CG290" s="124"/>
      <c r="CH290" s="124"/>
      <c r="CI290" s="124"/>
      <c r="CJ290" s="124"/>
      <c r="CK290" s="124"/>
      <c r="CL290" s="124"/>
      <c r="CM290" s="124"/>
      <c r="CN290" s="124"/>
      <c r="CO290" s="124"/>
      <c r="CP290" s="124"/>
    </row>
    <row r="291" spans="1:94" s="13" customFormat="1" ht="38.25" customHeight="1">
      <c r="A291" s="21" t="s">
        <v>1</v>
      </c>
      <c r="B291" s="21" t="s">
        <v>13</v>
      </c>
      <c r="C291" s="18" t="s">
        <v>1891</v>
      </c>
      <c r="D291" s="21" t="s">
        <v>601</v>
      </c>
      <c r="E291" s="18" t="s">
        <v>602</v>
      </c>
      <c r="F291" s="21" t="s">
        <v>605</v>
      </c>
      <c r="G291" s="21" t="s">
        <v>205</v>
      </c>
      <c r="H291" s="21">
        <v>541330</v>
      </c>
      <c r="I291" s="18" t="s">
        <v>1967</v>
      </c>
      <c r="J291" s="18" t="s">
        <v>40</v>
      </c>
      <c r="K291" s="18" t="s">
        <v>40</v>
      </c>
      <c r="L291" s="18" t="s">
        <v>606</v>
      </c>
      <c r="M291" s="19"/>
      <c r="N291" s="22">
        <v>90000</v>
      </c>
      <c r="O291" s="21" t="s">
        <v>20</v>
      </c>
      <c r="P291" s="21" t="s">
        <v>556</v>
      </c>
      <c r="Q291" s="21" t="s">
        <v>279</v>
      </c>
      <c r="R291" s="21" t="s">
        <v>21</v>
      </c>
      <c r="S291" s="74">
        <v>2013</v>
      </c>
      <c r="T291" s="21" t="s">
        <v>598</v>
      </c>
      <c r="U291" s="21" t="s">
        <v>599</v>
      </c>
      <c r="V291" s="21" t="s">
        <v>600</v>
      </c>
      <c r="W291" s="95" t="s">
        <v>51</v>
      </c>
      <c r="X291" s="21" t="s">
        <v>1919</v>
      </c>
      <c r="Y291" s="124"/>
      <c r="Z291" s="124"/>
      <c r="AA291" s="245"/>
      <c r="AB291" s="245"/>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c r="BY291" s="124"/>
      <c r="BZ291" s="124"/>
      <c r="CA291" s="124"/>
      <c r="CB291" s="124"/>
      <c r="CC291" s="124"/>
      <c r="CD291" s="124"/>
      <c r="CE291" s="124"/>
      <c r="CF291" s="124"/>
      <c r="CG291" s="124"/>
      <c r="CH291" s="124"/>
      <c r="CI291" s="124"/>
      <c r="CJ291" s="124"/>
      <c r="CK291" s="124"/>
      <c r="CL291" s="124"/>
      <c r="CM291" s="124"/>
      <c r="CN291" s="124"/>
      <c r="CO291" s="124"/>
      <c r="CP291" s="124"/>
    </row>
    <row r="292" spans="1:94" s="13" customFormat="1" ht="38.25" customHeight="1">
      <c r="A292" s="21" t="s">
        <v>1</v>
      </c>
      <c r="B292" s="21" t="s">
        <v>13</v>
      </c>
      <c r="C292" s="18" t="s">
        <v>1891</v>
      </c>
      <c r="D292" s="21" t="s">
        <v>557</v>
      </c>
      <c r="E292" s="21" t="s">
        <v>570</v>
      </c>
      <c r="F292" s="21" t="s">
        <v>605</v>
      </c>
      <c r="G292" s="21" t="s">
        <v>205</v>
      </c>
      <c r="H292" s="21">
        <v>236220</v>
      </c>
      <c r="I292" s="21" t="s">
        <v>28</v>
      </c>
      <c r="J292" s="21"/>
      <c r="K292" s="21"/>
      <c r="L292" s="21" t="s">
        <v>561</v>
      </c>
      <c r="M292" s="19"/>
      <c r="N292" s="22">
        <v>129000</v>
      </c>
      <c r="O292" s="21" t="s">
        <v>20</v>
      </c>
      <c r="P292" s="21" t="s">
        <v>556</v>
      </c>
      <c r="Q292" s="21" t="s">
        <v>279</v>
      </c>
      <c r="R292" s="21" t="s">
        <v>31</v>
      </c>
      <c r="S292" s="74">
        <v>2013</v>
      </c>
      <c r="T292" s="21" t="s">
        <v>598</v>
      </c>
      <c r="U292" s="21" t="s">
        <v>599</v>
      </c>
      <c r="V292" s="21" t="s">
        <v>600</v>
      </c>
      <c r="W292" s="95" t="s">
        <v>51</v>
      </c>
      <c r="X292" s="21" t="s">
        <v>1919</v>
      </c>
      <c r="Y292" s="124"/>
      <c r="Z292" s="124"/>
      <c r="AA292" s="245"/>
      <c r="AB292" s="245"/>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c r="BY292" s="124"/>
      <c r="BZ292" s="124"/>
      <c r="CA292" s="124"/>
      <c r="CB292" s="124"/>
      <c r="CC292" s="124"/>
      <c r="CD292" s="124"/>
      <c r="CE292" s="124"/>
      <c r="CF292" s="124"/>
      <c r="CG292" s="124"/>
      <c r="CH292" s="124"/>
      <c r="CI292" s="124"/>
      <c r="CJ292" s="124"/>
      <c r="CK292" s="124"/>
      <c r="CL292" s="124"/>
      <c r="CM292" s="124"/>
      <c r="CN292" s="124"/>
      <c r="CO292" s="124"/>
      <c r="CP292" s="124"/>
    </row>
    <row r="293" spans="1:94" s="13" customFormat="1" ht="38.25" customHeight="1">
      <c r="A293" s="21" t="s">
        <v>1</v>
      </c>
      <c r="B293" s="21" t="s">
        <v>13</v>
      </c>
      <c r="C293" s="18" t="s">
        <v>1891</v>
      </c>
      <c r="D293" s="21" t="s">
        <v>557</v>
      </c>
      <c r="E293" s="21" t="s">
        <v>570</v>
      </c>
      <c r="F293" s="21" t="s">
        <v>605</v>
      </c>
      <c r="G293" s="21" t="s">
        <v>205</v>
      </c>
      <c r="H293" s="21">
        <v>236220</v>
      </c>
      <c r="I293" s="21" t="s">
        <v>28</v>
      </c>
      <c r="J293" s="18"/>
      <c r="K293" s="18"/>
      <c r="L293" s="21" t="s">
        <v>561</v>
      </c>
      <c r="M293" s="19"/>
      <c r="N293" s="22">
        <v>32000</v>
      </c>
      <c r="O293" s="21" t="s">
        <v>20</v>
      </c>
      <c r="P293" s="21" t="s">
        <v>556</v>
      </c>
      <c r="Q293" s="21" t="s">
        <v>279</v>
      </c>
      <c r="R293" s="21" t="s">
        <v>21</v>
      </c>
      <c r="S293" s="74">
        <v>2013</v>
      </c>
      <c r="T293" s="21" t="s">
        <v>598</v>
      </c>
      <c r="U293" s="21" t="s">
        <v>599</v>
      </c>
      <c r="V293" s="21" t="s">
        <v>600</v>
      </c>
      <c r="W293" s="95" t="s">
        <v>51</v>
      </c>
      <c r="X293" s="21" t="s">
        <v>1919</v>
      </c>
      <c r="Y293" s="124"/>
      <c r="Z293" s="124"/>
      <c r="AA293" s="245"/>
      <c r="AB293" s="245"/>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c r="BY293" s="124"/>
      <c r="BZ293" s="124"/>
      <c r="CA293" s="124"/>
      <c r="CB293" s="124"/>
      <c r="CC293" s="124"/>
      <c r="CD293" s="124"/>
      <c r="CE293" s="124"/>
      <c r="CF293" s="124"/>
      <c r="CG293" s="124"/>
      <c r="CH293" s="124"/>
      <c r="CI293" s="124"/>
      <c r="CJ293" s="124"/>
      <c r="CK293" s="124"/>
      <c r="CL293" s="124"/>
      <c r="CM293" s="124"/>
      <c r="CN293" s="124"/>
      <c r="CO293" s="124"/>
      <c r="CP293" s="124"/>
    </row>
    <row r="294" spans="1:94" s="13" customFormat="1" ht="38.25" customHeight="1">
      <c r="A294" s="21" t="s">
        <v>1</v>
      </c>
      <c r="B294" s="21" t="s">
        <v>13</v>
      </c>
      <c r="C294" s="18" t="s">
        <v>1891</v>
      </c>
      <c r="D294" s="21" t="s">
        <v>557</v>
      </c>
      <c r="E294" s="21" t="s">
        <v>570</v>
      </c>
      <c r="F294" s="21" t="s">
        <v>610</v>
      </c>
      <c r="G294" s="21" t="s">
        <v>189</v>
      </c>
      <c r="H294" s="21">
        <v>567430.52599999995</v>
      </c>
      <c r="I294" s="21" t="s">
        <v>28</v>
      </c>
      <c r="J294" s="18"/>
      <c r="K294" s="18"/>
      <c r="L294" s="21" t="s">
        <v>561</v>
      </c>
      <c r="M294" s="19"/>
      <c r="N294" s="22">
        <v>508900.43300000002</v>
      </c>
      <c r="O294" s="21" t="s">
        <v>20</v>
      </c>
      <c r="P294" s="21" t="s">
        <v>556</v>
      </c>
      <c r="Q294" s="21" t="s">
        <v>562</v>
      </c>
      <c r="R294" s="21" t="s">
        <v>21</v>
      </c>
      <c r="S294" s="74">
        <v>2013</v>
      </c>
      <c r="T294" s="21" t="s">
        <v>598</v>
      </c>
      <c r="U294" s="21" t="s">
        <v>599</v>
      </c>
      <c r="V294" s="21" t="s">
        <v>600</v>
      </c>
      <c r="W294" s="95" t="s">
        <v>51</v>
      </c>
      <c r="X294" s="21" t="s">
        <v>1919</v>
      </c>
      <c r="Y294" s="124"/>
      <c r="Z294" s="124"/>
      <c r="AA294" s="248"/>
      <c r="AB294" s="248"/>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c r="BY294" s="124"/>
      <c r="BZ294" s="124"/>
      <c r="CA294" s="124"/>
      <c r="CB294" s="124"/>
      <c r="CC294" s="124"/>
      <c r="CD294" s="124"/>
      <c r="CE294" s="124"/>
      <c r="CF294" s="124"/>
      <c r="CG294" s="124"/>
      <c r="CH294" s="124"/>
      <c r="CI294" s="124"/>
      <c r="CJ294" s="124"/>
      <c r="CK294" s="124"/>
      <c r="CL294" s="124"/>
      <c r="CM294" s="124"/>
      <c r="CN294" s="124"/>
      <c r="CO294" s="124"/>
      <c r="CP294" s="124"/>
    </row>
    <row r="295" spans="1:94" s="13" customFormat="1" ht="38.25" customHeight="1">
      <c r="A295" s="21" t="s">
        <v>1</v>
      </c>
      <c r="B295" s="21" t="s">
        <v>13</v>
      </c>
      <c r="C295" s="18" t="s">
        <v>1891</v>
      </c>
      <c r="D295" s="21" t="s">
        <v>607</v>
      </c>
      <c r="E295" s="21" t="s">
        <v>602</v>
      </c>
      <c r="F295" s="21" t="s">
        <v>603</v>
      </c>
      <c r="G295" s="18" t="s">
        <v>189</v>
      </c>
      <c r="H295" s="21">
        <v>541330</v>
      </c>
      <c r="I295" s="21" t="s">
        <v>28</v>
      </c>
      <c r="J295" s="18"/>
      <c r="K295" s="18"/>
      <c r="L295" s="21" t="s">
        <v>561</v>
      </c>
      <c r="M295" s="19"/>
      <c r="N295" s="22">
        <v>105000</v>
      </c>
      <c r="O295" s="21" t="s">
        <v>20</v>
      </c>
      <c r="P295" s="21" t="s">
        <v>556</v>
      </c>
      <c r="Q295" s="21" t="s">
        <v>279</v>
      </c>
      <c r="R295" s="21" t="s">
        <v>10</v>
      </c>
      <c r="S295" s="74">
        <v>2013</v>
      </c>
      <c r="T295" s="21" t="s">
        <v>598</v>
      </c>
      <c r="U295" s="21" t="s">
        <v>599</v>
      </c>
      <c r="V295" s="21" t="s">
        <v>600</v>
      </c>
      <c r="W295" s="95" t="s">
        <v>51</v>
      </c>
      <c r="X295" s="21" t="s">
        <v>1919</v>
      </c>
      <c r="Y295" s="124"/>
      <c r="Z295" s="124"/>
      <c r="AA295" s="124"/>
      <c r="AB295" s="124"/>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c r="BY295" s="124"/>
      <c r="BZ295" s="124"/>
      <c r="CA295" s="124"/>
      <c r="CB295" s="124"/>
      <c r="CC295" s="124"/>
      <c r="CD295" s="124"/>
      <c r="CE295" s="124"/>
      <c r="CF295" s="124"/>
      <c r="CG295" s="124"/>
      <c r="CH295" s="124"/>
      <c r="CI295" s="124"/>
      <c r="CJ295" s="124"/>
      <c r="CK295" s="124"/>
      <c r="CL295" s="124"/>
      <c r="CM295" s="124"/>
      <c r="CN295" s="124"/>
      <c r="CO295" s="124"/>
      <c r="CP295" s="124"/>
    </row>
    <row r="296" spans="1:94" s="13" customFormat="1" ht="38.25" customHeight="1">
      <c r="A296" s="21" t="s">
        <v>1</v>
      </c>
      <c r="B296" s="21" t="s">
        <v>13</v>
      </c>
      <c r="C296" s="18" t="s">
        <v>1891</v>
      </c>
      <c r="D296" s="21" t="s">
        <v>601</v>
      </c>
      <c r="E296" s="21" t="s">
        <v>602</v>
      </c>
      <c r="F296" s="21" t="s">
        <v>604</v>
      </c>
      <c r="G296" s="21" t="s">
        <v>205</v>
      </c>
      <c r="H296" s="21">
        <v>541330</v>
      </c>
      <c r="I296" s="21" t="s">
        <v>1967</v>
      </c>
      <c r="J296" s="21" t="s">
        <v>40</v>
      </c>
      <c r="K296" s="21" t="s">
        <v>40</v>
      </c>
      <c r="L296" s="21" t="s">
        <v>606</v>
      </c>
      <c r="M296" s="19"/>
      <c r="N296" s="22">
        <v>45000</v>
      </c>
      <c r="O296" s="21" t="s">
        <v>20</v>
      </c>
      <c r="P296" s="21" t="s">
        <v>556</v>
      </c>
      <c r="Q296" s="21" t="s">
        <v>279</v>
      </c>
      <c r="R296" s="21" t="s">
        <v>10</v>
      </c>
      <c r="S296" s="74">
        <v>2013</v>
      </c>
      <c r="T296" s="21" t="s">
        <v>598</v>
      </c>
      <c r="U296" s="21" t="s">
        <v>599</v>
      </c>
      <c r="V296" s="21" t="s">
        <v>600</v>
      </c>
      <c r="W296" s="95" t="s">
        <v>51</v>
      </c>
      <c r="X296" s="21" t="s">
        <v>1919</v>
      </c>
      <c r="Y296" s="124"/>
      <c r="Z296" s="124"/>
      <c r="AA296" s="124"/>
      <c r="AB296" s="124"/>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c r="BY296" s="124"/>
      <c r="BZ296" s="124"/>
      <c r="CA296" s="124"/>
      <c r="CB296" s="124"/>
      <c r="CC296" s="124"/>
      <c r="CD296" s="124"/>
      <c r="CE296" s="124"/>
      <c r="CF296" s="124"/>
      <c r="CG296" s="124"/>
      <c r="CH296" s="124"/>
      <c r="CI296" s="124"/>
      <c r="CJ296" s="124"/>
      <c r="CK296" s="124"/>
      <c r="CL296" s="124"/>
      <c r="CM296" s="124"/>
      <c r="CN296" s="124"/>
      <c r="CO296" s="124"/>
      <c r="CP296" s="124"/>
    </row>
    <row r="297" spans="1:94" s="13" customFormat="1" ht="38.25" customHeight="1">
      <c r="A297" s="21" t="s">
        <v>1</v>
      </c>
      <c r="B297" s="21" t="s">
        <v>13</v>
      </c>
      <c r="C297" s="18" t="s">
        <v>1891</v>
      </c>
      <c r="D297" s="21" t="s">
        <v>557</v>
      </c>
      <c r="E297" s="21" t="s">
        <v>570</v>
      </c>
      <c r="F297" s="21" t="s">
        <v>605</v>
      </c>
      <c r="G297" s="21" t="s">
        <v>205</v>
      </c>
      <c r="H297" s="21">
        <v>236220</v>
      </c>
      <c r="I297" s="21" t="s">
        <v>28</v>
      </c>
      <c r="J297" s="18"/>
      <c r="K297" s="18"/>
      <c r="L297" s="21" t="s">
        <v>561</v>
      </c>
      <c r="M297" s="19"/>
      <c r="N297" s="22">
        <v>711880</v>
      </c>
      <c r="O297" s="21" t="s">
        <v>20</v>
      </c>
      <c r="P297" s="21" t="s">
        <v>556</v>
      </c>
      <c r="Q297" s="21" t="s">
        <v>279</v>
      </c>
      <c r="R297" s="21" t="s">
        <v>10</v>
      </c>
      <c r="S297" s="74">
        <v>2013</v>
      </c>
      <c r="T297" s="21" t="s">
        <v>598</v>
      </c>
      <c r="U297" s="21" t="s">
        <v>599</v>
      </c>
      <c r="V297" s="21" t="s">
        <v>600</v>
      </c>
      <c r="W297" s="95" t="s">
        <v>51</v>
      </c>
      <c r="X297" s="21" t="s">
        <v>1919</v>
      </c>
      <c r="Y297" s="124"/>
      <c r="Z297" s="124"/>
      <c r="AA297" s="124"/>
      <c r="AB297" s="124"/>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c r="BY297" s="124"/>
      <c r="BZ297" s="124"/>
      <c r="CA297" s="124"/>
      <c r="CB297" s="124"/>
      <c r="CC297" s="124"/>
      <c r="CD297" s="124"/>
      <c r="CE297" s="124"/>
      <c r="CF297" s="124"/>
      <c r="CG297" s="124"/>
      <c r="CH297" s="124"/>
      <c r="CI297" s="124"/>
      <c r="CJ297" s="124"/>
      <c r="CK297" s="124"/>
      <c r="CL297" s="124"/>
      <c r="CM297" s="124"/>
      <c r="CN297" s="124"/>
      <c r="CO297" s="124"/>
      <c r="CP297" s="124"/>
    </row>
    <row r="298" spans="1:94" s="13" customFormat="1" ht="38.25" customHeight="1">
      <c r="A298" s="21" t="s">
        <v>1</v>
      </c>
      <c r="B298" s="21" t="s">
        <v>13</v>
      </c>
      <c r="C298" s="18" t="s">
        <v>1891</v>
      </c>
      <c r="D298" s="21" t="s">
        <v>557</v>
      </c>
      <c r="E298" s="21" t="s">
        <v>570</v>
      </c>
      <c r="F298" s="21" t="s">
        <v>605</v>
      </c>
      <c r="G298" s="21" t="s">
        <v>205</v>
      </c>
      <c r="H298" s="21">
        <v>236220</v>
      </c>
      <c r="I298" s="21" t="s">
        <v>28</v>
      </c>
      <c r="J298" s="18"/>
      <c r="K298" s="18"/>
      <c r="L298" s="21" t="s">
        <v>561</v>
      </c>
      <c r="M298" s="19"/>
      <c r="N298" s="22">
        <v>245000</v>
      </c>
      <c r="O298" s="21" t="s">
        <v>20</v>
      </c>
      <c r="P298" s="21" t="s">
        <v>556</v>
      </c>
      <c r="Q298" s="21" t="s">
        <v>279</v>
      </c>
      <c r="R298" s="21" t="s">
        <v>31</v>
      </c>
      <c r="S298" s="74">
        <v>2013</v>
      </c>
      <c r="T298" s="21" t="s">
        <v>598</v>
      </c>
      <c r="U298" s="21" t="s">
        <v>599</v>
      </c>
      <c r="V298" s="21" t="s">
        <v>600</v>
      </c>
      <c r="W298" s="95" t="s">
        <v>51</v>
      </c>
      <c r="X298" s="21" t="s">
        <v>1919</v>
      </c>
      <c r="Y298" s="124"/>
      <c r="Z298" s="124"/>
      <c r="AA298" s="124"/>
      <c r="AB298" s="124"/>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c r="BY298" s="124"/>
      <c r="BZ298" s="124"/>
      <c r="CA298" s="124"/>
      <c r="CB298" s="124"/>
      <c r="CC298" s="124"/>
      <c r="CD298" s="124"/>
      <c r="CE298" s="124"/>
      <c r="CF298" s="124"/>
      <c r="CG298" s="124"/>
      <c r="CH298" s="124"/>
      <c r="CI298" s="124"/>
      <c r="CJ298" s="124"/>
      <c r="CK298" s="124"/>
      <c r="CL298" s="124"/>
      <c r="CM298" s="124"/>
      <c r="CN298" s="124"/>
      <c r="CO298" s="124"/>
      <c r="CP298" s="124"/>
    </row>
    <row r="299" spans="1:94" s="13" customFormat="1" ht="38.25" customHeight="1">
      <c r="A299" s="21" t="s">
        <v>1</v>
      </c>
      <c r="B299" s="21" t="s">
        <v>13</v>
      </c>
      <c r="C299" s="18" t="s">
        <v>1891</v>
      </c>
      <c r="D299" s="21" t="s">
        <v>601</v>
      </c>
      <c r="E299" s="21" t="s">
        <v>602</v>
      </c>
      <c r="F299" s="21" t="s">
        <v>604</v>
      </c>
      <c r="G299" s="21" t="s">
        <v>205</v>
      </c>
      <c r="H299" s="21">
        <v>541330</v>
      </c>
      <c r="I299" s="21" t="s">
        <v>28</v>
      </c>
      <c r="J299" s="21" t="s">
        <v>40</v>
      </c>
      <c r="K299" s="21" t="s">
        <v>40</v>
      </c>
      <c r="L299" s="21" t="s">
        <v>606</v>
      </c>
      <c r="M299" s="19"/>
      <c r="N299" s="22">
        <v>40000</v>
      </c>
      <c r="O299" s="21" t="s">
        <v>20</v>
      </c>
      <c r="P299" s="21" t="s">
        <v>556</v>
      </c>
      <c r="Q299" s="21" t="s">
        <v>279</v>
      </c>
      <c r="R299" s="21" t="s">
        <v>10</v>
      </c>
      <c r="S299" s="74">
        <v>2013</v>
      </c>
      <c r="T299" s="21" t="s">
        <v>598</v>
      </c>
      <c r="U299" s="21" t="s">
        <v>599</v>
      </c>
      <c r="V299" s="21" t="s">
        <v>600</v>
      </c>
      <c r="W299" s="95" t="s">
        <v>51</v>
      </c>
      <c r="X299" s="21" t="s">
        <v>1919</v>
      </c>
      <c r="Y299" s="124"/>
      <c r="Z299" s="124"/>
      <c r="AA299" s="124"/>
      <c r="AB299" s="124"/>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c r="BY299" s="124"/>
      <c r="BZ299" s="124"/>
      <c r="CA299" s="124"/>
      <c r="CB299" s="124"/>
      <c r="CC299" s="124"/>
      <c r="CD299" s="124"/>
      <c r="CE299" s="124"/>
      <c r="CF299" s="124"/>
      <c r="CG299" s="124"/>
      <c r="CH299" s="124"/>
      <c r="CI299" s="124"/>
      <c r="CJ299" s="124"/>
      <c r="CK299" s="124"/>
      <c r="CL299" s="124"/>
      <c r="CM299" s="124"/>
      <c r="CN299" s="124"/>
      <c r="CO299" s="124"/>
      <c r="CP299" s="124"/>
    </row>
    <row r="300" spans="1:94" s="13" customFormat="1" ht="38.25" customHeight="1">
      <c r="A300" s="21" t="s">
        <v>1</v>
      </c>
      <c r="B300" s="21" t="s">
        <v>13</v>
      </c>
      <c r="C300" s="18" t="s">
        <v>1891</v>
      </c>
      <c r="D300" s="21" t="s">
        <v>557</v>
      </c>
      <c r="E300" s="21" t="s">
        <v>570</v>
      </c>
      <c r="F300" s="21" t="s">
        <v>604</v>
      </c>
      <c r="G300" s="21" t="s">
        <v>205</v>
      </c>
      <c r="H300" s="21">
        <v>236220</v>
      </c>
      <c r="I300" s="21" t="s">
        <v>28</v>
      </c>
      <c r="J300" s="18"/>
      <c r="K300" s="18"/>
      <c r="L300" s="21" t="s">
        <v>561</v>
      </c>
      <c r="M300" s="19"/>
      <c r="N300" s="22">
        <v>150000</v>
      </c>
      <c r="O300" s="21" t="s">
        <v>20</v>
      </c>
      <c r="P300" s="21" t="s">
        <v>556</v>
      </c>
      <c r="Q300" s="21" t="s">
        <v>279</v>
      </c>
      <c r="R300" s="21" t="s">
        <v>21</v>
      </c>
      <c r="S300" s="74">
        <v>2013</v>
      </c>
      <c r="T300" s="21" t="s">
        <v>598</v>
      </c>
      <c r="U300" s="21" t="s">
        <v>599</v>
      </c>
      <c r="V300" s="21" t="s">
        <v>600</v>
      </c>
      <c r="W300" s="95" t="s">
        <v>51</v>
      </c>
      <c r="X300" s="21" t="s">
        <v>1919</v>
      </c>
      <c r="Y300" s="124"/>
      <c r="Z300" s="124"/>
      <c r="AA300" s="124"/>
      <c r="AB300" s="124"/>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c r="BY300" s="124"/>
      <c r="BZ300" s="124"/>
      <c r="CA300" s="124"/>
      <c r="CB300" s="124"/>
      <c r="CC300" s="124"/>
      <c r="CD300" s="124"/>
      <c r="CE300" s="124"/>
      <c r="CF300" s="124"/>
      <c r="CG300" s="124"/>
      <c r="CH300" s="124"/>
      <c r="CI300" s="124"/>
      <c r="CJ300" s="124"/>
      <c r="CK300" s="124"/>
      <c r="CL300" s="124"/>
      <c r="CM300" s="124"/>
      <c r="CN300" s="124"/>
      <c r="CO300" s="124"/>
      <c r="CP300" s="124"/>
    </row>
    <row r="301" spans="1:94" s="13" customFormat="1" ht="38.25" customHeight="1">
      <c r="A301" s="21" t="s">
        <v>1</v>
      </c>
      <c r="B301" s="21" t="s">
        <v>13</v>
      </c>
      <c r="C301" s="18" t="s">
        <v>1891</v>
      </c>
      <c r="D301" s="21" t="s">
        <v>601</v>
      </c>
      <c r="E301" s="21" t="s">
        <v>602</v>
      </c>
      <c r="F301" s="21" t="s">
        <v>597</v>
      </c>
      <c r="G301" s="18" t="s">
        <v>189</v>
      </c>
      <c r="H301" s="21">
        <v>541330</v>
      </c>
      <c r="I301" s="21" t="s">
        <v>28</v>
      </c>
      <c r="J301" s="21" t="s">
        <v>40</v>
      </c>
      <c r="K301" s="21" t="s">
        <v>40</v>
      </c>
      <c r="L301" s="21" t="s">
        <v>606</v>
      </c>
      <c r="M301" s="19"/>
      <c r="N301" s="22">
        <v>50000</v>
      </c>
      <c r="O301" s="21" t="s">
        <v>20</v>
      </c>
      <c r="P301" s="21" t="s">
        <v>556</v>
      </c>
      <c r="Q301" s="21" t="s">
        <v>279</v>
      </c>
      <c r="R301" s="21" t="s">
        <v>10</v>
      </c>
      <c r="S301" s="74">
        <v>2013</v>
      </c>
      <c r="T301" s="21" t="s">
        <v>598</v>
      </c>
      <c r="U301" s="21" t="s">
        <v>599</v>
      </c>
      <c r="V301" s="21" t="s">
        <v>600</v>
      </c>
      <c r="W301" s="95" t="s">
        <v>51</v>
      </c>
      <c r="X301" s="21" t="s">
        <v>1919</v>
      </c>
      <c r="Y301" s="124"/>
      <c r="Z301" s="124"/>
      <c r="AA301" s="124"/>
      <c r="AB301" s="124"/>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c r="BY301" s="124"/>
      <c r="BZ301" s="124"/>
      <c r="CA301" s="124"/>
      <c r="CB301" s="124"/>
      <c r="CC301" s="124"/>
      <c r="CD301" s="124"/>
      <c r="CE301" s="124"/>
      <c r="CF301" s="124"/>
      <c r="CG301" s="124"/>
      <c r="CH301" s="124"/>
      <c r="CI301" s="124"/>
      <c r="CJ301" s="124"/>
      <c r="CK301" s="124"/>
      <c r="CL301" s="124"/>
      <c r="CM301" s="124"/>
      <c r="CN301" s="124"/>
      <c r="CO301" s="124"/>
      <c r="CP301" s="124"/>
    </row>
    <row r="302" spans="1:94" s="13" customFormat="1" ht="38.25" customHeight="1">
      <c r="A302" s="21" t="s">
        <v>1</v>
      </c>
      <c r="B302" s="21" t="s">
        <v>13</v>
      </c>
      <c r="C302" s="18" t="s">
        <v>1891</v>
      </c>
      <c r="D302" s="21" t="s">
        <v>557</v>
      </c>
      <c r="E302" s="21" t="s">
        <v>570</v>
      </c>
      <c r="F302" s="21" t="s">
        <v>604</v>
      </c>
      <c r="G302" s="21" t="s">
        <v>205</v>
      </c>
      <c r="H302" s="21">
        <v>236220</v>
      </c>
      <c r="I302" s="21" t="s">
        <v>28</v>
      </c>
      <c r="J302" s="18"/>
      <c r="K302" s="18"/>
      <c r="L302" s="21" t="s">
        <v>561</v>
      </c>
      <c r="M302" s="19"/>
      <c r="N302" s="22">
        <v>25000</v>
      </c>
      <c r="O302" s="21" t="s">
        <v>9</v>
      </c>
      <c r="P302" s="21" t="s">
        <v>556</v>
      </c>
      <c r="Q302" s="21" t="s">
        <v>279</v>
      </c>
      <c r="R302" s="21" t="s">
        <v>10</v>
      </c>
      <c r="S302" s="74">
        <v>2013</v>
      </c>
      <c r="T302" s="21" t="s">
        <v>598</v>
      </c>
      <c r="U302" s="21" t="s">
        <v>599</v>
      </c>
      <c r="V302" s="21" t="s">
        <v>600</v>
      </c>
      <c r="W302" s="95" t="s">
        <v>51</v>
      </c>
      <c r="X302" s="21" t="s">
        <v>1919</v>
      </c>
      <c r="Y302" s="124"/>
      <c r="Z302" s="124"/>
      <c r="AA302" s="124"/>
      <c r="AB302" s="124"/>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c r="BY302" s="124"/>
      <c r="BZ302" s="124"/>
      <c r="CA302" s="124"/>
      <c r="CB302" s="124"/>
      <c r="CC302" s="124"/>
      <c r="CD302" s="124"/>
      <c r="CE302" s="124"/>
      <c r="CF302" s="124"/>
      <c r="CG302" s="124"/>
      <c r="CH302" s="124"/>
      <c r="CI302" s="124"/>
      <c r="CJ302" s="124"/>
      <c r="CK302" s="124"/>
      <c r="CL302" s="124"/>
      <c r="CM302" s="124"/>
      <c r="CN302" s="124"/>
      <c r="CO302" s="124"/>
      <c r="CP302" s="124"/>
    </row>
    <row r="303" spans="1:94" s="13" customFormat="1" ht="38.25" customHeight="1">
      <c r="A303" s="21" t="s">
        <v>1</v>
      </c>
      <c r="B303" s="21" t="s">
        <v>13</v>
      </c>
      <c r="C303" s="18" t="s">
        <v>1891</v>
      </c>
      <c r="D303" s="21" t="s">
        <v>557</v>
      </c>
      <c r="E303" s="21" t="s">
        <v>570</v>
      </c>
      <c r="F303" s="21" t="s">
        <v>603</v>
      </c>
      <c r="G303" s="18" t="s">
        <v>189</v>
      </c>
      <c r="H303" s="21">
        <v>236220</v>
      </c>
      <c r="I303" s="21" t="s">
        <v>28</v>
      </c>
      <c r="J303" s="18"/>
      <c r="K303" s="18"/>
      <c r="L303" s="21" t="s">
        <v>561</v>
      </c>
      <c r="M303" s="19"/>
      <c r="N303" s="22">
        <v>190000</v>
      </c>
      <c r="O303" s="21" t="s">
        <v>20</v>
      </c>
      <c r="P303" s="21" t="s">
        <v>556</v>
      </c>
      <c r="Q303" s="21" t="s">
        <v>279</v>
      </c>
      <c r="R303" s="21" t="s">
        <v>21</v>
      </c>
      <c r="S303" s="74">
        <v>2013</v>
      </c>
      <c r="T303" s="21" t="s">
        <v>598</v>
      </c>
      <c r="U303" s="21" t="s">
        <v>599</v>
      </c>
      <c r="V303" s="21" t="s">
        <v>600</v>
      </c>
      <c r="W303" s="95" t="s">
        <v>51</v>
      </c>
      <c r="X303" s="21" t="s">
        <v>1919</v>
      </c>
      <c r="Y303" s="124"/>
      <c r="Z303" s="124"/>
      <c r="AA303" s="124"/>
      <c r="AB303" s="124"/>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c r="BY303" s="124"/>
      <c r="BZ303" s="124"/>
      <c r="CA303" s="124"/>
      <c r="CB303" s="124"/>
      <c r="CC303" s="124"/>
      <c r="CD303" s="124"/>
      <c r="CE303" s="124"/>
      <c r="CF303" s="124"/>
      <c r="CG303" s="124"/>
      <c r="CH303" s="124"/>
      <c r="CI303" s="124"/>
      <c r="CJ303" s="124"/>
      <c r="CK303" s="124"/>
      <c r="CL303" s="124"/>
      <c r="CM303" s="124"/>
      <c r="CN303" s="124"/>
      <c r="CO303" s="124"/>
      <c r="CP303" s="124"/>
    </row>
    <row r="304" spans="1:94" s="13" customFormat="1" ht="38.25" customHeight="1">
      <c r="A304" s="21" t="s">
        <v>1</v>
      </c>
      <c r="B304" s="21" t="s">
        <v>13</v>
      </c>
      <c r="C304" s="18" t="s">
        <v>1891</v>
      </c>
      <c r="D304" s="21" t="s">
        <v>557</v>
      </c>
      <c r="E304" s="21" t="s">
        <v>570</v>
      </c>
      <c r="F304" s="21" t="s">
        <v>608</v>
      </c>
      <c r="G304" s="18" t="s">
        <v>189</v>
      </c>
      <c r="H304" s="21">
        <v>236220</v>
      </c>
      <c r="I304" s="21" t="s">
        <v>28</v>
      </c>
      <c r="J304" s="18"/>
      <c r="K304" s="18"/>
      <c r="L304" s="21" t="s">
        <v>561</v>
      </c>
      <c r="M304" s="19"/>
      <c r="N304" s="22">
        <v>100000</v>
      </c>
      <c r="O304" s="21" t="s">
        <v>20</v>
      </c>
      <c r="P304" s="21" t="s">
        <v>556</v>
      </c>
      <c r="Q304" s="21" t="s">
        <v>279</v>
      </c>
      <c r="R304" s="21" t="s">
        <v>21</v>
      </c>
      <c r="S304" s="74">
        <v>2013</v>
      </c>
      <c r="T304" s="21" t="s">
        <v>598</v>
      </c>
      <c r="U304" s="21" t="s">
        <v>599</v>
      </c>
      <c r="V304" s="21" t="s">
        <v>600</v>
      </c>
      <c r="W304" s="95" t="s">
        <v>51</v>
      </c>
      <c r="X304" s="21" t="s">
        <v>1919</v>
      </c>
      <c r="Y304" s="124"/>
      <c r="Z304" s="124"/>
      <c r="AA304" s="124"/>
      <c r="AB304" s="124"/>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c r="BY304" s="124"/>
      <c r="BZ304" s="124"/>
      <c r="CA304" s="124"/>
      <c r="CB304" s="124"/>
      <c r="CC304" s="124"/>
      <c r="CD304" s="124"/>
      <c r="CE304" s="124"/>
      <c r="CF304" s="124"/>
      <c r="CG304" s="124"/>
      <c r="CH304" s="124"/>
      <c r="CI304" s="124"/>
      <c r="CJ304" s="124"/>
      <c r="CK304" s="124"/>
      <c r="CL304" s="124"/>
      <c r="CM304" s="124"/>
      <c r="CN304" s="124"/>
      <c r="CO304" s="124"/>
      <c r="CP304" s="124"/>
    </row>
    <row r="305" spans="1:94" s="13" customFormat="1" ht="38.25" customHeight="1">
      <c r="A305" s="21" t="s">
        <v>1</v>
      </c>
      <c r="B305" s="21" t="s">
        <v>13</v>
      </c>
      <c r="C305" s="18" t="s">
        <v>1891</v>
      </c>
      <c r="D305" s="21" t="s">
        <v>557</v>
      </c>
      <c r="E305" s="21" t="s">
        <v>570</v>
      </c>
      <c r="F305" s="21" t="s">
        <v>605</v>
      </c>
      <c r="G305" s="21" t="s">
        <v>205</v>
      </c>
      <c r="H305" s="21">
        <v>236220</v>
      </c>
      <c r="I305" s="21" t="s">
        <v>28</v>
      </c>
      <c r="J305" s="18"/>
      <c r="K305" s="18"/>
      <c r="L305" s="21" t="s">
        <v>561</v>
      </c>
      <c r="M305" s="19"/>
      <c r="N305" s="22">
        <v>90000</v>
      </c>
      <c r="O305" s="21" t="s">
        <v>20</v>
      </c>
      <c r="P305" s="21" t="s">
        <v>556</v>
      </c>
      <c r="Q305" s="21" t="s">
        <v>279</v>
      </c>
      <c r="R305" s="21" t="s">
        <v>31</v>
      </c>
      <c r="S305" s="74">
        <v>2013</v>
      </c>
      <c r="T305" s="21" t="s">
        <v>598</v>
      </c>
      <c r="U305" s="21" t="s">
        <v>599</v>
      </c>
      <c r="V305" s="21" t="s">
        <v>600</v>
      </c>
      <c r="W305" s="95" t="s">
        <v>51</v>
      </c>
      <c r="X305" s="21" t="s">
        <v>1919</v>
      </c>
      <c r="Y305" s="124"/>
      <c r="Z305" s="124"/>
      <c r="AA305" s="124"/>
      <c r="AB305" s="124"/>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c r="BY305" s="124"/>
      <c r="BZ305" s="124"/>
      <c r="CA305" s="124"/>
      <c r="CB305" s="124"/>
      <c r="CC305" s="124"/>
      <c r="CD305" s="124"/>
      <c r="CE305" s="124"/>
      <c r="CF305" s="124"/>
      <c r="CG305" s="124"/>
      <c r="CH305" s="124"/>
      <c r="CI305" s="124"/>
      <c r="CJ305" s="124"/>
      <c r="CK305" s="124"/>
      <c r="CL305" s="124"/>
      <c r="CM305" s="124"/>
      <c r="CN305" s="124"/>
      <c r="CO305" s="124"/>
      <c r="CP305" s="124"/>
    </row>
    <row r="306" spans="1:94" s="13" customFormat="1" ht="38.25" customHeight="1">
      <c r="A306" s="21" t="s">
        <v>1</v>
      </c>
      <c r="B306" s="21" t="s">
        <v>13</v>
      </c>
      <c r="C306" s="18" t="s">
        <v>1891</v>
      </c>
      <c r="D306" s="21" t="s">
        <v>557</v>
      </c>
      <c r="E306" s="21" t="s">
        <v>570</v>
      </c>
      <c r="F306" s="21" t="s">
        <v>609</v>
      </c>
      <c r="G306" s="18" t="s">
        <v>189</v>
      </c>
      <c r="H306" s="21">
        <v>236220</v>
      </c>
      <c r="I306" s="21" t="s">
        <v>28</v>
      </c>
      <c r="J306" s="18"/>
      <c r="K306" s="18"/>
      <c r="L306" s="21" t="s">
        <v>561</v>
      </c>
      <c r="M306" s="19"/>
      <c r="N306" s="22">
        <v>311047.21000000002</v>
      </c>
      <c r="O306" s="21" t="s">
        <v>20</v>
      </c>
      <c r="P306" s="18"/>
      <c r="Q306" s="21" t="s">
        <v>562</v>
      </c>
      <c r="R306" s="21" t="s">
        <v>10</v>
      </c>
      <c r="S306" s="74">
        <v>2013</v>
      </c>
      <c r="T306" s="21" t="s">
        <v>598</v>
      </c>
      <c r="U306" s="21" t="s">
        <v>599</v>
      </c>
      <c r="V306" s="21" t="s">
        <v>600</v>
      </c>
      <c r="W306" s="95" t="s">
        <v>51</v>
      </c>
      <c r="X306" s="21" t="s">
        <v>1919</v>
      </c>
      <c r="Y306" s="124"/>
      <c r="Z306" s="124"/>
      <c r="AA306" s="124"/>
      <c r="AB306" s="124"/>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c r="BY306" s="124"/>
      <c r="BZ306" s="124"/>
      <c r="CA306" s="124"/>
      <c r="CB306" s="124"/>
      <c r="CC306" s="124"/>
      <c r="CD306" s="124"/>
      <c r="CE306" s="124"/>
      <c r="CF306" s="124"/>
      <c r="CG306" s="124"/>
      <c r="CH306" s="124"/>
      <c r="CI306" s="124"/>
      <c r="CJ306" s="124"/>
      <c r="CK306" s="124"/>
      <c r="CL306" s="124"/>
      <c r="CM306" s="124"/>
      <c r="CN306" s="124"/>
      <c r="CO306" s="124"/>
      <c r="CP306" s="124"/>
    </row>
    <row r="307" spans="1:94" s="13" customFormat="1" ht="38.25" customHeight="1">
      <c r="A307" s="21" t="s">
        <v>1</v>
      </c>
      <c r="B307" s="21" t="s">
        <v>13</v>
      </c>
      <c r="C307" s="18" t="s">
        <v>1891</v>
      </c>
      <c r="D307" s="21" t="s">
        <v>557</v>
      </c>
      <c r="E307" s="21" t="s">
        <v>570</v>
      </c>
      <c r="F307" s="21" t="s">
        <v>597</v>
      </c>
      <c r="G307" s="18" t="s">
        <v>189</v>
      </c>
      <c r="H307" s="21">
        <v>236220</v>
      </c>
      <c r="I307" s="21" t="s">
        <v>28</v>
      </c>
      <c r="J307" s="21" t="s">
        <v>40</v>
      </c>
      <c r="K307" s="21" t="s">
        <v>40</v>
      </c>
      <c r="L307" s="21" t="s">
        <v>606</v>
      </c>
      <c r="M307" s="19"/>
      <c r="N307" s="22">
        <v>47853.599999999999</v>
      </c>
      <c r="O307" s="21" t="s">
        <v>20</v>
      </c>
      <c r="P307" s="18"/>
      <c r="Q307" s="21" t="s">
        <v>562</v>
      </c>
      <c r="R307" s="21" t="s">
        <v>10</v>
      </c>
      <c r="S307" s="74">
        <v>2013</v>
      </c>
      <c r="T307" s="21" t="s">
        <v>598</v>
      </c>
      <c r="U307" s="21" t="s">
        <v>599</v>
      </c>
      <c r="V307" s="21" t="s">
        <v>600</v>
      </c>
      <c r="W307" s="95" t="s">
        <v>51</v>
      </c>
      <c r="X307" s="21" t="s">
        <v>1919</v>
      </c>
      <c r="Y307" s="124"/>
      <c r="Z307" s="124"/>
      <c r="AA307" s="124"/>
      <c r="AB307" s="124"/>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c r="BY307" s="124"/>
      <c r="BZ307" s="124"/>
      <c r="CA307" s="124"/>
      <c r="CB307" s="124"/>
      <c r="CC307" s="124"/>
      <c r="CD307" s="124"/>
      <c r="CE307" s="124"/>
      <c r="CF307" s="124"/>
      <c r="CG307" s="124"/>
      <c r="CH307" s="124"/>
      <c r="CI307" s="124"/>
      <c r="CJ307" s="124"/>
      <c r="CK307" s="124"/>
      <c r="CL307" s="124"/>
      <c r="CM307" s="124"/>
      <c r="CN307" s="124"/>
      <c r="CO307" s="124"/>
      <c r="CP307" s="124"/>
    </row>
    <row r="308" spans="1:94" s="13" customFormat="1" ht="38.25" customHeight="1">
      <c r="A308" s="21" t="s">
        <v>1</v>
      </c>
      <c r="B308" s="21" t="s">
        <v>13</v>
      </c>
      <c r="C308" s="18" t="s">
        <v>1891</v>
      </c>
      <c r="D308" s="21" t="s">
        <v>557</v>
      </c>
      <c r="E308" s="21" t="s">
        <v>570</v>
      </c>
      <c r="F308" s="21" t="s">
        <v>610</v>
      </c>
      <c r="G308" s="18" t="s">
        <v>189</v>
      </c>
      <c r="H308" s="21">
        <v>236220</v>
      </c>
      <c r="I308" s="21" t="s">
        <v>28</v>
      </c>
      <c r="J308" s="18"/>
      <c r="K308" s="18"/>
      <c r="L308" s="21" t="s">
        <v>561</v>
      </c>
      <c r="M308" s="19"/>
      <c r="N308" s="22">
        <v>63878.8</v>
      </c>
      <c r="O308" s="21" t="s">
        <v>20</v>
      </c>
      <c r="P308" s="18"/>
      <c r="Q308" s="21" t="s">
        <v>562</v>
      </c>
      <c r="R308" s="21" t="s">
        <v>10</v>
      </c>
      <c r="S308" s="74">
        <v>2013</v>
      </c>
      <c r="T308" s="21" t="s">
        <v>598</v>
      </c>
      <c r="U308" s="21" t="s">
        <v>599</v>
      </c>
      <c r="V308" s="21" t="s">
        <v>600</v>
      </c>
      <c r="W308" s="95" t="s">
        <v>51</v>
      </c>
      <c r="X308" s="21" t="s">
        <v>1919</v>
      </c>
      <c r="Y308" s="124"/>
      <c r="Z308" s="124"/>
      <c r="AA308" s="124"/>
      <c r="AB308" s="124"/>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c r="BY308" s="124"/>
      <c r="BZ308" s="124"/>
      <c r="CA308" s="124"/>
      <c r="CB308" s="124"/>
      <c r="CC308" s="124"/>
      <c r="CD308" s="124"/>
      <c r="CE308" s="124"/>
      <c r="CF308" s="124"/>
      <c r="CG308" s="124"/>
      <c r="CH308" s="124"/>
      <c r="CI308" s="124"/>
      <c r="CJ308" s="124"/>
      <c r="CK308" s="124"/>
      <c r="CL308" s="124"/>
      <c r="CM308" s="124"/>
      <c r="CN308" s="124"/>
      <c r="CO308" s="124"/>
      <c r="CP308" s="124"/>
    </row>
    <row r="309" spans="1:94" s="13" customFormat="1" ht="38.25" customHeight="1">
      <c r="A309" s="21" t="s">
        <v>1</v>
      </c>
      <c r="B309" s="21" t="s">
        <v>13</v>
      </c>
      <c r="C309" s="18" t="s">
        <v>1891</v>
      </c>
      <c r="D309" s="21" t="s">
        <v>557</v>
      </c>
      <c r="E309" s="21" t="s">
        <v>570</v>
      </c>
      <c r="F309" s="21" t="s">
        <v>611</v>
      </c>
      <c r="G309" s="18" t="s">
        <v>189</v>
      </c>
      <c r="H309" s="21">
        <v>236220</v>
      </c>
      <c r="I309" s="21" t="s">
        <v>28</v>
      </c>
      <c r="J309" s="18"/>
      <c r="K309" s="18"/>
      <c r="L309" s="21" t="s">
        <v>561</v>
      </c>
      <c r="M309" s="19"/>
      <c r="N309" s="22">
        <v>67555.64</v>
      </c>
      <c r="O309" s="21" t="s">
        <v>20</v>
      </c>
      <c r="P309" s="18"/>
      <c r="Q309" s="21" t="s">
        <v>562</v>
      </c>
      <c r="R309" s="21" t="s">
        <v>10</v>
      </c>
      <c r="S309" s="74">
        <v>2013</v>
      </c>
      <c r="T309" s="21" t="s">
        <v>598</v>
      </c>
      <c r="U309" s="21" t="s">
        <v>599</v>
      </c>
      <c r="V309" s="21" t="s">
        <v>600</v>
      </c>
      <c r="W309" s="95" t="s">
        <v>51</v>
      </c>
      <c r="X309" s="21" t="s">
        <v>1919</v>
      </c>
      <c r="Y309" s="124"/>
      <c r="Z309" s="124"/>
      <c r="AA309" s="124"/>
      <c r="AB309" s="124"/>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c r="BY309" s="124"/>
      <c r="BZ309" s="124"/>
      <c r="CA309" s="124"/>
      <c r="CB309" s="124"/>
      <c r="CC309" s="124"/>
      <c r="CD309" s="124"/>
      <c r="CE309" s="124"/>
      <c r="CF309" s="124"/>
      <c r="CG309" s="124"/>
      <c r="CH309" s="124"/>
      <c r="CI309" s="124"/>
      <c r="CJ309" s="124"/>
      <c r="CK309" s="124"/>
      <c r="CL309" s="124"/>
      <c r="CM309" s="124"/>
      <c r="CN309" s="124"/>
      <c r="CO309" s="124"/>
      <c r="CP309" s="124"/>
    </row>
    <row r="310" spans="1:94" s="13" customFormat="1" ht="38.25" customHeight="1" thickBot="1">
      <c r="A310" s="21" t="s">
        <v>1</v>
      </c>
      <c r="B310" s="21" t="s">
        <v>13</v>
      </c>
      <c r="C310" s="18" t="s">
        <v>1891</v>
      </c>
      <c r="D310" s="21" t="s">
        <v>612</v>
      </c>
      <c r="E310" s="18"/>
      <c r="F310" s="21" t="s">
        <v>613</v>
      </c>
      <c r="G310" s="18" t="s">
        <v>1961</v>
      </c>
      <c r="H310" s="18"/>
      <c r="I310" s="21" t="s">
        <v>28</v>
      </c>
      <c r="J310" s="18"/>
      <c r="K310" s="18"/>
      <c r="L310" s="21" t="s">
        <v>561</v>
      </c>
      <c r="M310" s="19"/>
      <c r="N310" s="22">
        <v>18000000</v>
      </c>
      <c r="O310" s="21" t="s">
        <v>20</v>
      </c>
      <c r="P310" s="18"/>
      <c r="Q310" s="18"/>
      <c r="R310" s="21" t="s">
        <v>21</v>
      </c>
      <c r="S310" s="74">
        <v>2013</v>
      </c>
      <c r="T310" s="182" t="s">
        <v>598</v>
      </c>
      <c r="U310" s="182" t="s">
        <v>599</v>
      </c>
      <c r="V310" s="182" t="s">
        <v>600</v>
      </c>
      <c r="W310" s="255" t="s">
        <v>51</v>
      </c>
      <c r="X310" s="182" t="s">
        <v>1919</v>
      </c>
      <c r="Y310" s="124"/>
      <c r="Z310" s="124"/>
      <c r="AA310" s="124"/>
      <c r="AB310" s="124"/>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c r="BY310" s="124"/>
      <c r="BZ310" s="124"/>
      <c r="CA310" s="124"/>
      <c r="CB310" s="124"/>
      <c r="CC310" s="124"/>
      <c r="CD310" s="124"/>
      <c r="CE310" s="124"/>
      <c r="CF310" s="124"/>
      <c r="CG310" s="124"/>
      <c r="CH310" s="124"/>
      <c r="CI310" s="124"/>
      <c r="CJ310" s="124"/>
      <c r="CK310" s="124"/>
      <c r="CL310" s="124"/>
      <c r="CM310" s="124"/>
      <c r="CN310" s="124"/>
      <c r="CO310" s="124"/>
      <c r="CP310" s="124"/>
    </row>
    <row r="311" spans="1:94" s="131" customFormat="1" ht="38.25" customHeight="1">
      <c r="A311" s="262" t="s">
        <v>1</v>
      </c>
      <c r="B311" s="262" t="s">
        <v>24</v>
      </c>
      <c r="C311" s="262" t="s">
        <v>2481</v>
      </c>
      <c r="D311" s="262" t="s">
        <v>778</v>
      </c>
      <c r="E311" s="262" t="s">
        <v>485</v>
      </c>
      <c r="F311" s="262" t="s">
        <v>772</v>
      </c>
      <c r="G311" s="262" t="s">
        <v>145</v>
      </c>
      <c r="H311" s="262">
        <v>238210</v>
      </c>
      <c r="I311" s="262" t="s">
        <v>71</v>
      </c>
      <c r="J311" s="262" t="s">
        <v>779</v>
      </c>
      <c r="K311" s="262" t="s">
        <v>780</v>
      </c>
      <c r="L311" s="263">
        <v>10000000</v>
      </c>
      <c r="M311" s="263">
        <v>12000000</v>
      </c>
      <c r="N311" s="262"/>
      <c r="O311" s="262" t="s">
        <v>278</v>
      </c>
      <c r="P311" s="262" t="s">
        <v>279</v>
      </c>
      <c r="Q311" s="262" t="s">
        <v>10</v>
      </c>
      <c r="R311" s="264">
        <v>2013</v>
      </c>
      <c r="S311" s="265" t="s">
        <v>775</v>
      </c>
      <c r="T311" s="21" t="s">
        <v>776</v>
      </c>
      <c r="U311" s="21" t="s">
        <v>777</v>
      </c>
      <c r="V311" s="21" t="s">
        <v>59</v>
      </c>
      <c r="W311" s="21" t="s">
        <v>692</v>
      </c>
      <c r="X311" s="21" t="s">
        <v>2482</v>
      </c>
      <c r="Y311" s="267"/>
      <c r="Z311" s="267"/>
      <c r="AA311" s="267"/>
      <c r="AB311" s="130"/>
    </row>
    <row r="312" spans="1:94" s="131" customFormat="1" ht="38.25" customHeight="1">
      <c r="A312" s="21" t="s">
        <v>1</v>
      </c>
      <c r="B312" s="21" t="s">
        <v>24</v>
      </c>
      <c r="C312" s="21" t="s">
        <v>2481</v>
      </c>
      <c r="D312" s="21" t="s">
        <v>2483</v>
      </c>
      <c r="E312" s="21" t="s">
        <v>485</v>
      </c>
      <c r="F312" s="21" t="s">
        <v>772</v>
      </c>
      <c r="G312" s="21" t="s">
        <v>145</v>
      </c>
      <c r="H312" s="21">
        <v>238220</v>
      </c>
      <c r="I312" s="21" t="s">
        <v>71</v>
      </c>
      <c r="J312" s="21" t="s">
        <v>773</v>
      </c>
      <c r="K312" s="21" t="s">
        <v>774</v>
      </c>
      <c r="L312" s="22">
        <v>1000000</v>
      </c>
      <c r="M312" s="22">
        <v>4000000</v>
      </c>
      <c r="N312" s="21"/>
      <c r="O312" s="21" t="s">
        <v>278</v>
      </c>
      <c r="P312" s="21" t="s">
        <v>279</v>
      </c>
      <c r="Q312" s="21" t="s">
        <v>21</v>
      </c>
      <c r="R312" s="74">
        <v>2013</v>
      </c>
      <c r="S312" s="95" t="s">
        <v>2484</v>
      </c>
      <c r="T312" s="21" t="s">
        <v>2485</v>
      </c>
      <c r="U312" s="21" t="s">
        <v>2486</v>
      </c>
      <c r="V312" s="21" t="s">
        <v>59</v>
      </c>
      <c r="W312" s="21" t="s">
        <v>692</v>
      </c>
      <c r="X312" s="21" t="s">
        <v>2482</v>
      </c>
      <c r="Y312" s="267"/>
      <c r="Z312" s="267"/>
      <c r="AA312" s="267"/>
      <c r="AB312" s="130"/>
    </row>
    <row r="313" spans="1:94" s="131" customFormat="1" ht="38.25" customHeight="1">
      <c r="A313" s="21" t="s">
        <v>1</v>
      </c>
      <c r="B313" s="21" t="s">
        <v>24</v>
      </c>
      <c r="C313" s="21"/>
      <c r="D313" s="21" t="s">
        <v>845</v>
      </c>
      <c r="E313" s="21" t="s">
        <v>836</v>
      </c>
      <c r="F313" s="21" t="s">
        <v>772</v>
      </c>
      <c r="G313" s="21" t="s">
        <v>145</v>
      </c>
      <c r="H313" s="21">
        <v>531120</v>
      </c>
      <c r="I313" s="21" t="s">
        <v>837</v>
      </c>
      <c r="J313" s="21" t="s">
        <v>838</v>
      </c>
      <c r="K313" s="21" t="s">
        <v>839</v>
      </c>
      <c r="L313" s="22">
        <v>25000</v>
      </c>
      <c r="M313" s="22">
        <v>100000</v>
      </c>
      <c r="N313" s="21"/>
      <c r="O313" s="21" t="s">
        <v>278</v>
      </c>
      <c r="P313" s="21" t="s">
        <v>279</v>
      </c>
      <c r="Q313" s="21" t="s">
        <v>31</v>
      </c>
      <c r="R313" s="74">
        <v>2013</v>
      </c>
      <c r="S313" s="95" t="s">
        <v>840</v>
      </c>
      <c r="T313" s="21" t="s">
        <v>841</v>
      </c>
      <c r="U313" s="21" t="s">
        <v>842</v>
      </c>
      <c r="V313" s="21" t="s">
        <v>59</v>
      </c>
      <c r="W313" s="21" t="s">
        <v>663</v>
      </c>
      <c r="X313" s="21" t="s">
        <v>2487</v>
      </c>
      <c r="Y313" s="267"/>
      <c r="Z313" s="267"/>
      <c r="AA313" s="267"/>
      <c r="AB313" s="130"/>
    </row>
    <row r="314" spans="1:94" s="131" customFormat="1" ht="38.25" customHeight="1">
      <c r="A314" s="21" t="s">
        <v>1</v>
      </c>
      <c r="B314" s="21" t="s">
        <v>24</v>
      </c>
      <c r="C314" s="21"/>
      <c r="D314" s="21" t="s">
        <v>2488</v>
      </c>
      <c r="E314" s="21" t="s">
        <v>850</v>
      </c>
      <c r="F314" s="21" t="s">
        <v>772</v>
      </c>
      <c r="G314" s="21" t="s">
        <v>145</v>
      </c>
      <c r="H314" s="21">
        <v>561210</v>
      </c>
      <c r="I314" s="21" t="s">
        <v>28</v>
      </c>
      <c r="J314" s="21" t="s">
        <v>40</v>
      </c>
      <c r="K314" s="21" t="s">
        <v>851</v>
      </c>
      <c r="L314" s="22">
        <v>25000</v>
      </c>
      <c r="M314" s="22">
        <v>100000</v>
      </c>
      <c r="N314" s="21"/>
      <c r="O314" s="21" t="s">
        <v>278</v>
      </c>
      <c r="P314" s="21" t="s">
        <v>279</v>
      </c>
      <c r="Q314" s="21" t="s">
        <v>21</v>
      </c>
      <c r="R314" s="74">
        <v>2013</v>
      </c>
      <c r="S314" s="95" t="s">
        <v>840</v>
      </c>
      <c r="T314" s="21" t="s">
        <v>841</v>
      </c>
      <c r="U314" s="21" t="s">
        <v>842</v>
      </c>
      <c r="V314" s="21" t="s">
        <v>59</v>
      </c>
      <c r="W314" s="21" t="s">
        <v>658</v>
      </c>
      <c r="X314" s="21" t="s">
        <v>2487</v>
      </c>
      <c r="Y314" s="267"/>
      <c r="Z314" s="267"/>
      <c r="AA314" s="267"/>
      <c r="AB314" s="130"/>
    </row>
    <row r="315" spans="1:94" s="131" customFormat="1" ht="38.25" customHeight="1">
      <c r="A315" s="21" t="s">
        <v>1</v>
      </c>
      <c r="B315" s="21" t="s">
        <v>24</v>
      </c>
      <c r="C315" s="21"/>
      <c r="D315" s="21" t="s">
        <v>2489</v>
      </c>
      <c r="E315" s="21" t="s">
        <v>850</v>
      </c>
      <c r="F315" s="21" t="s">
        <v>772</v>
      </c>
      <c r="G315" s="21" t="s">
        <v>145</v>
      </c>
      <c r="H315" s="21">
        <v>561210</v>
      </c>
      <c r="I315" s="21" t="s">
        <v>28</v>
      </c>
      <c r="J315" s="21" t="s">
        <v>40</v>
      </c>
      <c r="K315" s="21" t="s">
        <v>851</v>
      </c>
      <c r="L315" s="22">
        <v>25000</v>
      </c>
      <c r="M315" s="22">
        <v>100000</v>
      </c>
      <c r="N315" s="21"/>
      <c r="O315" s="21" t="s">
        <v>278</v>
      </c>
      <c r="P315" s="21" t="s">
        <v>279</v>
      </c>
      <c r="Q315" s="21" t="s">
        <v>21</v>
      </c>
      <c r="R315" s="74">
        <v>2013</v>
      </c>
      <c r="S315" s="95" t="s">
        <v>840</v>
      </c>
      <c r="T315" s="21" t="s">
        <v>841</v>
      </c>
      <c r="U315" s="21" t="s">
        <v>842</v>
      </c>
      <c r="V315" s="21" t="s">
        <v>59</v>
      </c>
      <c r="W315" s="21" t="s">
        <v>658</v>
      </c>
      <c r="X315" s="21" t="s">
        <v>2487</v>
      </c>
      <c r="Y315" s="267"/>
      <c r="Z315" s="267"/>
      <c r="AA315" s="267"/>
      <c r="AB315" s="130"/>
    </row>
    <row r="316" spans="1:94" s="131" customFormat="1" ht="38.25" customHeight="1">
      <c r="A316" s="21" t="s">
        <v>1</v>
      </c>
      <c r="B316" s="21" t="s">
        <v>24</v>
      </c>
      <c r="C316" s="21"/>
      <c r="D316" s="21" t="s">
        <v>2490</v>
      </c>
      <c r="E316" s="21" t="s">
        <v>138</v>
      </c>
      <c r="F316" s="21" t="s">
        <v>772</v>
      </c>
      <c r="G316" s="21" t="s">
        <v>145</v>
      </c>
      <c r="H316" s="21">
        <v>236220</v>
      </c>
      <c r="I316" s="21" t="s">
        <v>17</v>
      </c>
      <c r="J316" s="21" t="s">
        <v>329</v>
      </c>
      <c r="K316" s="21" t="s">
        <v>844</v>
      </c>
      <c r="L316" s="22">
        <v>25000</v>
      </c>
      <c r="M316" s="22">
        <v>100000</v>
      </c>
      <c r="N316" s="21"/>
      <c r="O316" s="21" t="s">
        <v>278</v>
      </c>
      <c r="P316" s="21" t="s">
        <v>279</v>
      </c>
      <c r="Q316" s="21" t="s">
        <v>21</v>
      </c>
      <c r="R316" s="74">
        <v>2013</v>
      </c>
      <c r="S316" s="95" t="s">
        <v>840</v>
      </c>
      <c r="T316" s="21" t="s">
        <v>841</v>
      </c>
      <c r="U316" s="21" t="s">
        <v>842</v>
      </c>
      <c r="V316" s="21" t="s">
        <v>59</v>
      </c>
      <c r="W316" s="21" t="s">
        <v>658</v>
      </c>
      <c r="X316" s="21" t="s">
        <v>2487</v>
      </c>
      <c r="Y316" s="267"/>
      <c r="Z316" s="267"/>
      <c r="AA316" s="267"/>
      <c r="AB316" s="130"/>
    </row>
    <row r="317" spans="1:94" s="131" customFormat="1" ht="38.25" customHeight="1">
      <c r="A317" s="21" t="s">
        <v>1</v>
      </c>
      <c r="B317" s="21" t="s">
        <v>24</v>
      </c>
      <c r="C317" s="21"/>
      <c r="D317" s="21" t="s">
        <v>2491</v>
      </c>
      <c r="E317" s="21" t="s">
        <v>138</v>
      </c>
      <c r="F317" s="21" t="s">
        <v>772</v>
      </c>
      <c r="G317" s="21" t="s">
        <v>145</v>
      </c>
      <c r="H317" s="21">
        <v>236220</v>
      </c>
      <c r="I317" s="21" t="s">
        <v>17</v>
      </c>
      <c r="J317" s="21" t="s">
        <v>329</v>
      </c>
      <c r="K317" s="21" t="s">
        <v>844</v>
      </c>
      <c r="L317" s="22">
        <v>25000</v>
      </c>
      <c r="M317" s="22">
        <v>100000</v>
      </c>
      <c r="N317" s="21"/>
      <c r="O317" s="21" t="s">
        <v>278</v>
      </c>
      <c r="P317" s="21" t="s">
        <v>279</v>
      </c>
      <c r="Q317" s="21" t="s">
        <v>21</v>
      </c>
      <c r="R317" s="74">
        <v>2013</v>
      </c>
      <c r="S317" s="95" t="s">
        <v>840</v>
      </c>
      <c r="T317" s="21" t="s">
        <v>841</v>
      </c>
      <c r="U317" s="21" t="s">
        <v>842</v>
      </c>
      <c r="V317" s="21" t="s">
        <v>59</v>
      </c>
      <c r="W317" s="21" t="s">
        <v>658</v>
      </c>
      <c r="X317" s="21" t="s">
        <v>2487</v>
      </c>
      <c r="Y317" s="267"/>
      <c r="Z317" s="267"/>
      <c r="AA317" s="267"/>
      <c r="AB317" s="130"/>
    </row>
    <row r="318" spans="1:94" s="131" customFormat="1" ht="38.25" customHeight="1">
      <c r="A318" s="21" t="s">
        <v>1</v>
      </c>
      <c r="B318" s="21" t="s">
        <v>24</v>
      </c>
      <c r="C318" s="21"/>
      <c r="D318" s="21" t="s">
        <v>2492</v>
      </c>
      <c r="E318" s="21" t="s">
        <v>138</v>
      </c>
      <c r="F318" s="21" t="s">
        <v>772</v>
      </c>
      <c r="G318" s="21" t="s">
        <v>145</v>
      </c>
      <c r="H318" s="21">
        <v>236220</v>
      </c>
      <c r="I318" s="21" t="s">
        <v>17</v>
      </c>
      <c r="J318" s="21" t="s">
        <v>329</v>
      </c>
      <c r="K318" s="21" t="s">
        <v>844</v>
      </c>
      <c r="L318" s="22">
        <v>25000</v>
      </c>
      <c r="M318" s="22">
        <v>100000</v>
      </c>
      <c r="N318" s="21"/>
      <c r="O318" s="21" t="s">
        <v>278</v>
      </c>
      <c r="P318" s="21" t="s">
        <v>279</v>
      </c>
      <c r="Q318" s="21" t="s">
        <v>21</v>
      </c>
      <c r="R318" s="74">
        <v>2013</v>
      </c>
      <c r="S318" s="95" t="s">
        <v>840</v>
      </c>
      <c r="T318" s="21" t="s">
        <v>841</v>
      </c>
      <c r="U318" s="21" t="s">
        <v>842</v>
      </c>
      <c r="V318" s="21" t="s">
        <v>59</v>
      </c>
      <c r="W318" s="21" t="s">
        <v>658</v>
      </c>
      <c r="X318" s="21" t="s">
        <v>2487</v>
      </c>
      <c r="Y318" s="267"/>
      <c r="Z318" s="267"/>
      <c r="AA318" s="267"/>
      <c r="AB318" s="130"/>
    </row>
    <row r="319" spans="1:94" s="131" customFormat="1" ht="38.25" customHeight="1">
      <c r="A319" s="21" t="s">
        <v>1</v>
      </c>
      <c r="B319" s="21" t="s">
        <v>24</v>
      </c>
      <c r="C319" s="21"/>
      <c r="D319" s="21" t="s">
        <v>2493</v>
      </c>
      <c r="E319" s="21" t="s">
        <v>138</v>
      </c>
      <c r="F319" s="21" t="s">
        <v>772</v>
      </c>
      <c r="G319" s="21" t="s">
        <v>145</v>
      </c>
      <c r="H319" s="21">
        <v>236220</v>
      </c>
      <c r="I319" s="21" t="s">
        <v>17</v>
      </c>
      <c r="J319" s="21" t="s">
        <v>329</v>
      </c>
      <c r="K319" s="21" t="s">
        <v>844</v>
      </c>
      <c r="L319" s="22">
        <v>25000</v>
      </c>
      <c r="M319" s="22">
        <v>100000</v>
      </c>
      <c r="N319" s="21"/>
      <c r="O319" s="21" t="s">
        <v>278</v>
      </c>
      <c r="P319" s="21" t="s">
        <v>279</v>
      </c>
      <c r="Q319" s="21" t="s">
        <v>21</v>
      </c>
      <c r="R319" s="74">
        <v>2013</v>
      </c>
      <c r="S319" s="95" t="s">
        <v>840</v>
      </c>
      <c r="T319" s="21" t="s">
        <v>841</v>
      </c>
      <c r="U319" s="21" t="s">
        <v>842</v>
      </c>
      <c r="V319" s="21" t="s">
        <v>59</v>
      </c>
      <c r="W319" s="21" t="s">
        <v>658</v>
      </c>
      <c r="X319" s="21" t="s">
        <v>2487</v>
      </c>
      <c r="Y319" s="267"/>
      <c r="Z319" s="267"/>
      <c r="AA319" s="267"/>
      <c r="AB319" s="130"/>
    </row>
    <row r="320" spans="1:94" s="131" customFormat="1" ht="38.25" customHeight="1">
      <c r="A320" s="21" t="s">
        <v>1</v>
      </c>
      <c r="B320" s="21" t="s">
        <v>24</v>
      </c>
      <c r="C320" s="21"/>
      <c r="D320" s="21" t="s">
        <v>2494</v>
      </c>
      <c r="E320" s="21" t="s">
        <v>850</v>
      </c>
      <c r="F320" s="21" t="s">
        <v>766</v>
      </c>
      <c r="G320" s="21" t="s">
        <v>145</v>
      </c>
      <c r="H320" s="21">
        <v>561210</v>
      </c>
      <c r="I320" s="21" t="s">
        <v>28</v>
      </c>
      <c r="J320" s="21" t="s">
        <v>40</v>
      </c>
      <c r="K320" s="21" t="s">
        <v>851</v>
      </c>
      <c r="L320" s="22">
        <v>25000</v>
      </c>
      <c r="M320" s="22">
        <v>100000</v>
      </c>
      <c r="N320" s="21"/>
      <c r="O320" s="21" t="s">
        <v>278</v>
      </c>
      <c r="P320" s="21" t="s">
        <v>279</v>
      </c>
      <c r="Q320" s="21" t="s">
        <v>21</v>
      </c>
      <c r="R320" s="74">
        <v>2013</v>
      </c>
      <c r="S320" s="95" t="s">
        <v>840</v>
      </c>
      <c r="T320" s="21" t="s">
        <v>841</v>
      </c>
      <c r="U320" s="21" t="s">
        <v>842</v>
      </c>
      <c r="V320" s="21" t="s">
        <v>59</v>
      </c>
      <c r="W320" s="21" t="s">
        <v>658</v>
      </c>
      <c r="X320" s="21" t="s">
        <v>2487</v>
      </c>
      <c r="Y320" s="267"/>
      <c r="Z320" s="267"/>
      <c r="AA320" s="267"/>
      <c r="AB320" s="130"/>
    </row>
    <row r="321" spans="1:28" s="131" customFormat="1" ht="38.25" customHeight="1">
      <c r="A321" s="21" t="s">
        <v>1</v>
      </c>
      <c r="B321" s="21" t="s">
        <v>24</v>
      </c>
      <c r="C321" s="21"/>
      <c r="D321" s="21" t="s">
        <v>2495</v>
      </c>
      <c r="E321" s="21" t="s">
        <v>138</v>
      </c>
      <c r="F321" s="21" t="s">
        <v>772</v>
      </c>
      <c r="G321" s="21" t="s">
        <v>145</v>
      </c>
      <c r="H321" s="21">
        <v>236220</v>
      </c>
      <c r="I321" s="21" t="s">
        <v>28</v>
      </c>
      <c r="J321" s="21" t="s">
        <v>73</v>
      </c>
      <c r="K321" s="21" t="s">
        <v>2496</v>
      </c>
      <c r="L321" s="22">
        <v>1500000</v>
      </c>
      <c r="M321" s="22">
        <v>2500000</v>
      </c>
      <c r="N321" s="21" t="s">
        <v>455</v>
      </c>
      <c r="O321" s="21" t="s">
        <v>449</v>
      </c>
      <c r="P321" s="21" t="s">
        <v>2497</v>
      </c>
      <c r="Q321" s="21" t="s">
        <v>2498</v>
      </c>
      <c r="R321" s="74">
        <v>2013</v>
      </c>
      <c r="S321" s="95" t="s">
        <v>769</v>
      </c>
      <c r="T321" s="21" t="s">
        <v>2499</v>
      </c>
      <c r="U321" s="21" t="s">
        <v>771</v>
      </c>
      <c r="V321" s="21" t="s">
        <v>59</v>
      </c>
      <c r="W321" s="21"/>
      <c r="X321" s="21" t="s">
        <v>2482</v>
      </c>
      <c r="Y321" s="267"/>
      <c r="Z321" s="267"/>
      <c r="AA321" s="267"/>
      <c r="AB321" s="130"/>
    </row>
    <row r="322" spans="1:28" s="131" customFormat="1" ht="38.25" customHeight="1">
      <c r="A322" s="21" t="s">
        <v>1</v>
      </c>
      <c r="B322" s="21" t="s">
        <v>24</v>
      </c>
      <c r="C322" s="21"/>
      <c r="D322" s="21" t="s">
        <v>2500</v>
      </c>
      <c r="E322" s="21" t="s">
        <v>485</v>
      </c>
      <c r="F322" s="21" t="s">
        <v>772</v>
      </c>
      <c r="G322" s="21" t="s">
        <v>145</v>
      </c>
      <c r="H322" s="21">
        <v>236220</v>
      </c>
      <c r="I322" s="21" t="s">
        <v>6</v>
      </c>
      <c r="J322" s="21"/>
      <c r="K322" s="21"/>
      <c r="L322" s="22">
        <v>100000</v>
      </c>
      <c r="M322" s="22">
        <v>500000</v>
      </c>
      <c r="N322" s="21"/>
      <c r="O322" s="21"/>
      <c r="P322" s="21" t="s">
        <v>2497</v>
      </c>
      <c r="Q322" s="21" t="s">
        <v>2501</v>
      </c>
      <c r="R322" s="74">
        <v>2013</v>
      </c>
      <c r="S322" s="95" t="s">
        <v>2502</v>
      </c>
      <c r="T322" s="21" t="s">
        <v>2503</v>
      </c>
      <c r="U322" s="21" t="s">
        <v>2504</v>
      </c>
      <c r="V322" s="21" t="s">
        <v>59</v>
      </c>
      <c r="W322" s="21" t="s">
        <v>692</v>
      </c>
      <c r="X322" s="21" t="s">
        <v>2482</v>
      </c>
      <c r="Y322" s="267"/>
      <c r="Z322" s="267"/>
      <c r="AA322" s="267"/>
      <c r="AB322" s="130"/>
    </row>
    <row r="323" spans="1:28" s="131" customFormat="1" ht="38.25" customHeight="1">
      <c r="A323" s="21" t="s">
        <v>1</v>
      </c>
      <c r="B323" s="21" t="s">
        <v>24</v>
      </c>
      <c r="C323" s="21"/>
      <c r="D323" s="21" t="s">
        <v>2505</v>
      </c>
      <c r="E323" s="21" t="s">
        <v>485</v>
      </c>
      <c r="F323" s="21" t="s">
        <v>766</v>
      </c>
      <c r="G323" s="21" t="s">
        <v>145</v>
      </c>
      <c r="H323" s="21">
        <v>236220</v>
      </c>
      <c r="I323" s="21" t="s">
        <v>28</v>
      </c>
      <c r="J323" s="21" t="s">
        <v>73</v>
      </c>
      <c r="K323" s="21" t="s">
        <v>657</v>
      </c>
      <c r="L323" s="22">
        <v>50000</v>
      </c>
      <c r="M323" s="22">
        <v>150000</v>
      </c>
      <c r="N323" s="21"/>
      <c r="O323" s="21" t="s">
        <v>449</v>
      </c>
      <c r="P323" s="21" t="s">
        <v>2497</v>
      </c>
      <c r="Q323" s="21" t="s">
        <v>2498</v>
      </c>
      <c r="R323" s="74">
        <v>2013</v>
      </c>
      <c r="S323" s="95" t="s">
        <v>2506</v>
      </c>
      <c r="T323" s="21" t="s">
        <v>2507</v>
      </c>
      <c r="U323" s="21" t="s">
        <v>2508</v>
      </c>
      <c r="V323" s="21" t="s">
        <v>59</v>
      </c>
      <c r="W323" s="21" t="s">
        <v>692</v>
      </c>
      <c r="X323" s="21" t="s">
        <v>2482</v>
      </c>
      <c r="Y323" s="267"/>
      <c r="Z323" s="267"/>
      <c r="AA323" s="267"/>
      <c r="AB323" s="130"/>
    </row>
    <row r="324" spans="1:28" s="131" customFormat="1" ht="38.25" customHeight="1">
      <c r="A324" s="21" t="s">
        <v>1</v>
      </c>
      <c r="B324" s="21" t="s">
        <v>24</v>
      </c>
      <c r="C324" s="21" t="s">
        <v>3</v>
      </c>
      <c r="D324" s="21" t="s">
        <v>668</v>
      </c>
      <c r="E324" s="21" t="s">
        <v>138</v>
      </c>
      <c r="F324" s="21" t="s">
        <v>669</v>
      </c>
      <c r="G324" s="21" t="s">
        <v>78</v>
      </c>
      <c r="H324" s="21">
        <v>236220</v>
      </c>
      <c r="I324" s="21" t="s">
        <v>28</v>
      </c>
      <c r="J324" s="21" t="s">
        <v>50</v>
      </c>
      <c r="K324" s="21" t="s">
        <v>657</v>
      </c>
      <c r="L324" s="22">
        <v>1000000</v>
      </c>
      <c r="M324" s="22">
        <v>1200000</v>
      </c>
      <c r="N324" s="21"/>
      <c r="O324" s="21" t="s">
        <v>278</v>
      </c>
      <c r="P324" s="21" t="s">
        <v>3</v>
      </c>
      <c r="Q324" s="21" t="s">
        <v>10</v>
      </c>
      <c r="R324" s="74">
        <v>2013</v>
      </c>
      <c r="S324" s="95" t="s">
        <v>670</v>
      </c>
      <c r="T324" s="21" t="s">
        <v>671</v>
      </c>
      <c r="U324" s="21" t="s">
        <v>672</v>
      </c>
      <c r="V324" s="21" t="s">
        <v>59</v>
      </c>
      <c r="W324" s="21" t="s">
        <v>658</v>
      </c>
      <c r="X324" s="21" t="s">
        <v>2482</v>
      </c>
      <c r="Y324" s="130"/>
      <c r="Z324" s="267"/>
      <c r="AA324" s="267"/>
      <c r="AB324" s="130"/>
    </row>
    <row r="325" spans="1:28" s="131" customFormat="1" ht="38.25" customHeight="1">
      <c r="A325" s="21" t="s">
        <v>1</v>
      </c>
      <c r="B325" s="21" t="s">
        <v>24</v>
      </c>
      <c r="C325" s="21" t="s">
        <v>45</v>
      </c>
      <c r="D325" s="21" t="s">
        <v>2509</v>
      </c>
      <c r="E325" s="21" t="s">
        <v>138</v>
      </c>
      <c r="F325" s="21" t="s">
        <v>669</v>
      </c>
      <c r="G325" s="21" t="s">
        <v>78</v>
      </c>
      <c r="H325" s="21">
        <v>236220</v>
      </c>
      <c r="I325" s="21" t="s">
        <v>28</v>
      </c>
      <c r="J325" s="21" t="s">
        <v>40</v>
      </c>
      <c r="K325" s="21" t="s">
        <v>660</v>
      </c>
      <c r="L325" s="22">
        <v>250000</v>
      </c>
      <c r="M325" s="22">
        <v>500000</v>
      </c>
      <c r="N325" s="21"/>
      <c r="O325" s="21" t="s">
        <v>278</v>
      </c>
      <c r="P325" s="21" t="s">
        <v>279</v>
      </c>
      <c r="Q325" s="21" t="s">
        <v>31</v>
      </c>
      <c r="R325" s="74">
        <v>2013</v>
      </c>
      <c r="S325" s="95" t="s">
        <v>670</v>
      </c>
      <c r="T325" s="21" t="s">
        <v>671</v>
      </c>
      <c r="U325" s="21" t="s">
        <v>672</v>
      </c>
      <c r="V325" s="21" t="s">
        <v>59</v>
      </c>
      <c r="W325" s="21" t="s">
        <v>658</v>
      </c>
      <c r="X325" s="21" t="s">
        <v>2482</v>
      </c>
      <c r="Y325" s="267"/>
      <c r="Z325" s="267"/>
      <c r="AA325" s="267"/>
      <c r="AB325" s="130"/>
    </row>
    <row r="326" spans="1:28" s="131" customFormat="1" ht="38.25" customHeight="1">
      <c r="A326" s="21" t="s">
        <v>1</v>
      </c>
      <c r="B326" s="21" t="s">
        <v>24</v>
      </c>
      <c r="C326" s="21" t="s">
        <v>3</v>
      </c>
      <c r="D326" s="21" t="s">
        <v>749</v>
      </c>
      <c r="E326" s="21" t="s">
        <v>138</v>
      </c>
      <c r="F326" s="21" t="s">
        <v>669</v>
      </c>
      <c r="G326" s="21" t="s">
        <v>78</v>
      </c>
      <c r="H326" s="21">
        <v>236220</v>
      </c>
      <c r="I326" s="21" t="s">
        <v>6</v>
      </c>
      <c r="J326" s="21" t="s">
        <v>750</v>
      </c>
      <c r="K326" s="21" t="s">
        <v>748</v>
      </c>
      <c r="L326" s="22">
        <v>6045.77</v>
      </c>
      <c r="M326" s="22">
        <v>6045.77</v>
      </c>
      <c r="N326" s="21"/>
      <c r="O326" s="21" t="s">
        <v>751</v>
      </c>
      <c r="P326" s="21" t="s">
        <v>3</v>
      </c>
      <c r="Q326" s="21" t="s">
        <v>41</v>
      </c>
      <c r="R326" s="74">
        <v>2012</v>
      </c>
      <c r="S326" s="95" t="s">
        <v>744</v>
      </c>
      <c r="T326" s="21" t="s">
        <v>745</v>
      </c>
      <c r="U326" s="21" t="s">
        <v>746</v>
      </c>
      <c r="V326" s="21" t="s">
        <v>59</v>
      </c>
      <c r="W326" s="21"/>
      <c r="X326" s="21" t="s">
        <v>2510</v>
      </c>
      <c r="Y326" s="267"/>
      <c r="Z326" s="267"/>
      <c r="AA326" s="267"/>
      <c r="AB326" s="130"/>
    </row>
    <row r="327" spans="1:28" s="131" customFormat="1" ht="38.25" customHeight="1">
      <c r="A327" s="21" t="s">
        <v>1</v>
      </c>
      <c r="B327" s="21" t="s">
        <v>24</v>
      </c>
      <c r="C327" s="21" t="s">
        <v>45</v>
      </c>
      <c r="D327" s="21" t="s">
        <v>702</v>
      </c>
      <c r="E327" s="21" t="s">
        <v>26</v>
      </c>
      <c r="F327" s="21" t="s">
        <v>703</v>
      </c>
      <c r="G327" s="21" t="s">
        <v>187</v>
      </c>
      <c r="H327" s="21">
        <v>541330</v>
      </c>
      <c r="I327" s="21" t="s">
        <v>6</v>
      </c>
      <c r="J327" s="21" t="s">
        <v>40</v>
      </c>
      <c r="K327" s="21" t="s">
        <v>449</v>
      </c>
      <c r="L327" s="22">
        <v>65000</v>
      </c>
      <c r="M327" s="22">
        <v>65000</v>
      </c>
      <c r="N327" s="21"/>
      <c r="O327" s="21" t="s">
        <v>278</v>
      </c>
      <c r="P327" s="21" t="s">
        <v>279</v>
      </c>
      <c r="Q327" s="21" t="s">
        <v>21</v>
      </c>
      <c r="R327" s="74">
        <v>2013</v>
      </c>
      <c r="S327" s="95" t="s">
        <v>2511</v>
      </c>
      <c r="T327" s="21" t="s">
        <v>2512</v>
      </c>
      <c r="U327" s="21" t="s">
        <v>2513</v>
      </c>
      <c r="V327" s="21" t="s">
        <v>59</v>
      </c>
      <c r="W327" s="21" t="s">
        <v>658</v>
      </c>
      <c r="X327" s="21" t="s">
        <v>2482</v>
      </c>
      <c r="Y327" s="267"/>
      <c r="Z327" s="267"/>
      <c r="AA327" s="267"/>
      <c r="AB327" s="130"/>
    </row>
    <row r="328" spans="1:28" s="131" customFormat="1" ht="38.25" customHeight="1">
      <c r="A328" s="21" t="s">
        <v>1</v>
      </c>
      <c r="B328" s="21" t="s">
        <v>24</v>
      </c>
      <c r="C328" s="21" t="s">
        <v>45</v>
      </c>
      <c r="D328" s="21" t="s">
        <v>707</v>
      </c>
      <c r="E328" s="21" t="s">
        <v>26</v>
      </c>
      <c r="F328" s="21" t="s">
        <v>703</v>
      </c>
      <c r="G328" s="21" t="s">
        <v>187</v>
      </c>
      <c r="H328" s="21">
        <v>541330</v>
      </c>
      <c r="I328" s="21" t="s">
        <v>6</v>
      </c>
      <c r="J328" s="21" t="s">
        <v>40</v>
      </c>
      <c r="K328" s="21" t="s">
        <v>449</v>
      </c>
      <c r="L328" s="22">
        <v>75000</v>
      </c>
      <c r="M328" s="22">
        <v>75000</v>
      </c>
      <c r="N328" s="21"/>
      <c r="O328" s="21" t="s">
        <v>278</v>
      </c>
      <c r="P328" s="21" t="s">
        <v>279</v>
      </c>
      <c r="Q328" s="21" t="s">
        <v>21</v>
      </c>
      <c r="R328" s="74">
        <v>2013</v>
      </c>
      <c r="S328" s="95" t="s">
        <v>2511</v>
      </c>
      <c r="T328" s="21" t="s">
        <v>2512</v>
      </c>
      <c r="U328" s="21" t="s">
        <v>2513</v>
      </c>
      <c r="V328" s="21" t="s">
        <v>59</v>
      </c>
      <c r="W328" s="21" t="s">
        <v>658</v>
      </c>
      <c r="X328" s="21" t="s">
        <v>2482</v>
      </c>
      <c r="Y328" s="267"/>
      <c r="Z328" s="267"/>
      <c r="AA328" s="267"/>
      <c r="AB328" s="130"/>
    </row>
    <row r="329" spans="1:28" s="131" customFormat="1" ht="38.25" customHeight="1">
      <c r="A329" s="21" t="s">
        <v>1</v>
      </c>
      <c r="B329" s="21" t="s">
        <v>24</v>
      </c>
      <c r="C329" s="21" t="s">
        <v>45</v>
      </c>
      <c r="D329" s="21" t="s">
        <v>2514</v>
      </c>
      <c r="E329" s="21" t="s">
        <v>26</v>
      </c>
      <c r="F329" s="21" t="s">
        <v>684</v>
      </c>
      <c r="G329" s="21" t="s">
        <v>187</v>
      </c>
      <c r="H329" s="21">
        <v>541330</v>
      </c>
      <c r="I329" s="21" t="s">
        <v>6</v>
      </c>
      <c r="J329" s="21" t="s">
        <v>40</v>
      </c>
      <c r="K329" s="21" t="s">
        <v>449</v>
      </c>
      <c r="L329" s="22">
        <v>40000</v>
      </c>
      <c r="M329" s="22">
        <v>40000</v>
      </c>
      <c r="N329" s="21"/>
      <c r="O329" s="21" t="s">
        <v>278</v>
      </c>
      <c r="P329" s="21" t="s">
        <v>279</v>
      </c>
      <c r="Q329" s="21" t="s">
        <v>31</v>
      </c>
      <c r="R329" s="74">
        <v>2013</v>
      </c>
      <c r="S329" s="95" t="s">
        <v>2511</v>
      </c>
      <c r="T329" s="21" t="s">
        <v>2512</v>
      </c>
      <c r="U329" s="21" t="s">
        <v>2513</v>
      </c>
      <c r="V329" s="21" t="s">
        <v>59</v>
      </c>
      <c r="W329" s="21" t="s">
        <v>658</v>
      </c>
      <c r="X329" s="21" t="s">
        <v>2482</v>
      </c>
      <c r="Y329" s="267"/>
      <c r="Z329" s="267"/>
      <c r="AA329" s="267"/>
      <c r="AB329" s="130"/>
    </row>
    <row r="330" spans="1:28" s="131" customFormat="1" ht="38.25" customHeight="1">
      <c r="A330" s="21" t="s">
        <v>1</v>
      </c>
      <c r="B330" s="21" t="s">
        <v>24</v>
      </c>
      <c r="C330" s="21" t="s">
        <v>45</v>
      </c>
      <c r="D330" s="21" t="s">
        <v>689</v>
      </c>
      <c r="E330" s="21" t="s">
        <v>138</v>
      </c>
      <c r="F330" s="21" t="s">
        <v>690</v>
      </c>
      <c r="G330" s="21" t="s">
        <v>187</v>
      </c>
      <c r="H330" s="21">
        <v>236220</v>
      </c>
      <c r="I330" s="21" t="s">
        <v>6</v>
      </c>
      <c r="J330" s="21" t="s">
        <v>73</v>
      </c>
      <c r="K330" s="21" t="s">
        <v>691</v>
      </c>
      <c r="L330" s="22">
        <v>300000</v>
      </c>
      <c r="M330" s="22">
        <v>300000</v>
      </c>
      <c r="N330" s="21"/>
      <c r="O330" s="21" t="s">
        <v>278</v>
      </c>
      <c r="P330" s="21" t="s">
        <v>279</v>
      </c>
      <c r="Q330" s="21" t="s">
        <v>6</v>
      </c>
      <c r="R330" s="74">
        <v>2014</v>
      </c>
      <c r="S330" s="95" t="s">
        <v>685</v>
      </c>
      <c r="T330" s="21" t="s">
        <v>686</v>
      </c>
      <c r="U330" s="21" t="s">
        <v>687</v>
      </c>
      <c r="V330" s="21" t="s">
        <v>59</v>
      </c>
      <c r="W330" s="21" t="s">
        <v>692</v>
      </c>
      <c r="X330" s="21" t="s">
        <v>2482</v>
      </c>
      <c r="Y330" s="130"/>
      <c r="Z330" s="130"/>
      <c r="AA330" s="130"/>
      <c r="AB330" s="130"/>
    </row>
    <row r="331" spans="1:28" s="131" customFormat="1" ht="38.25" customHeight="1">
      <c r="A331" s="21" t="s">
        <v>1</v>
      </c>
      <c r="B331" s="21" t="s">
        <v>24</v>
      </c>
      <c r="C331" s="21" t="s">
        <v>45</v>
      </c>
      <c r="D331" s="21" t="s">
        <v>2515</v>
      </c>
      <c r="E331" s="21" t="s">
        <v>138</v>
      </c>
      <c r="F331" s="21" t="s">
        <v>690</v>
      </c>
      <c r="G331" s="21" t="s">
        <v>187</v>
      </c>
      <c r="H331" s="21">
        <v>236220</v>
      </c>
      <c r="I331" s="21" t="s">
        <v>331</v>
      </c>
      <c r="J331" s="21" t="s">
        <v>331</v>
      </c>
      <c r="K331" s="21" t="s">
        <v>691</v>
      </c>
      <c r="L331" s="22">
        <v>8800000</v>
      </c>
      <c r="M331" s="22">
        <v>8800000</v>
      </c>
      <c r="N331" s="21"/>
      <c r="O331" s="21" t="s">
        <v>278</v>
      </c>
      <c r="P331" s="21" t="s">
        <v>279</v>
      </c>
      <c r="Q331" s="21" t="s">
        <v>21</v>
      </c>
      <c r="R331" s="74">
        <v>2014</v>
      </c>
      <c r="S331" s="95" t="s">
        <v>693</v>
      </c>
      <c r="T331" s="21" t="s">
        <v>694</v>
      </c>
      <c r="U331" s="21" t="s">
        <v>695</v>
      </c>
      <c r="V331" s="21" t="s">
        <v>59</v>
      </c>
      <c r="W331" s="21" t="s">
        <v>692</v>
      </c>
      <c r="X331" s="21" t="s">
        <v>2482</v>
      </c>
      <c r="Y331" s="130"/>
      <c r="Z331" s="130"/>
      <c r="AA331" s="130"/>
      <c r="AB331" s="130"/>
    </row>
    <row r="332" spans="1:28" s="131" customFormat="1" ht="38.25" customHeight="1">
      <c r="A332" s="21" t="s">
        <v>1</v>
      </c>
      <c r="B332" s="21" t="s">
        <v>24</v>
      </c>
      <c r="C332" s="21" t="s">
        <v>45</v>
      </c>
      <c r="D332" s="21" t="s">
        <v>719</v>
      </c>
      <c r="E332" s="21" t="s">
        <v>138</v>
      </c>
      <c r="F332" s="21" t="s">
        <v>690</v>
      </c>
      <c r="G332" s="21" t="s">
        <v>187</v>
      </c>
      <c r="H332" s="21">
        <v>236220</v>
      </c>
      <c r="I332" s="21" t="s">
        <v>6</v>
      </c>
      <c r="J332" s="21" t="s">
        <v>73</v>
      </c>
      <c r="K332" s="21" t="s">
        <v>691</v>
      </c>
      <c r="L332" s="22">
        <v>300000</v>
      </c>
      <c r="M332" s="22">
        <v>300000</v>
      </c>
      <c r="N332" s="21"/>
      <c r="O332" s="21" t="s">
        <v>278</v>
      </c>
      <c r="P332" s="21" t="s">
        <v>279</v>
      </c>
      <c r="Q332" s="21" t="s">
        <v>31</v>
      </c>
      <c r="R332" s="74">
        <v>2013</v>
      </c>
      <c r="S332" s="95" t="s">
        <v>720</v>
      </c>
      <c r="T332" s="21" t="s">
        <v>721</v>
      </c>
      <c r="U332" s="21" t="s">
        <v>722</v>
      </c>
      <c r="V332" s="21" t="s">
        <v>59</v>
      </c>
      <c r="W332" s="21" t="s">
        <v>692</v>
      </c>
      <c r="X332" s="21" t="s">
        <v>2482</v>
      </c>
      <c r="Y332" s="267"/>
      <c r="Z332" s="267"/>
      <c r="AA332" s="267"/>
      <c r="AB332" s="130"/>
    </row>
    <row r="333" spans="1:28" s="131" customFormat="1" ht="38.25" customHeight="1">
      <c r="A333" s="21" t="s">
        <v>1</v>
      </c>
      <c r="B333" s="21" t="s">
        <v>24</v>
      </c>
      <c r="C333" s="21" t="s">
        <v>45</v>
      </c>
      <c r="D333" s="21" t="s">
        <v>723</v>
      </c>
      <c r="E333" s="21" t="s">
        <v>138</v>
      </c>
      <c r="F333" s="21" t="s">
        <v>690</v>
      </c>
      <c r="G333" s="21" t="s">
        <v>187</v>
      </c>
      <c r="H333" s="21">
        <v>236220</v>
      </c>
      <c r="I333" s="21" t="s">
        <v>6</v>
      </c>
      <c r="J333" s="21" t="s">
        <v>73</v>
      </c>
      <c r="K333" s="21" t="s">
        <v>691</v>
      </c>
      <c r="L333" s="22">
        <v>150000</v>
      </c>
      <c r="M333" s="22">
        <v>150000</v>
      </c>
      <c r="N333" s="21"/>
      <c r="O333" s="21" t="s">
        <v>278</v>
      </c>
      <c r="P333" s="21" t="s">
        <v>279</v>
      </c>
      <c r="Q333" s="21" t="s">
        <v>31</v>
      </c>
      <c r="R333" s="74">
        <v>2013</v>
      </c>
      <c r="S333" s="95" t="s">
        <v>720</v>
      </c>
      <c r="T333" s="21" t="s">
        <v>721</v>
      </c>
      <c r="U333" s="21" t="s">
        <v>722</v>
      </c>
      <c r="V333" s="21" t="s">
        <v>59</v>
      </c>
      <c r="W333" s="21" t="s">
        <v>692</v>
      </c>
      <c r="X333" s="21" t="s">
        <v>2482</v>
      </c>
      <c r="Y333" s="267"/>
      <c r="Z333" s="267"/>
      <c r="AA333" s="267"/>
      <c r="AB333" s="130"/>
    </row>
    <row r="334" spans="1:28" s="131" customFormat="1" ht="38.25" customHeight="1">
      <c r="A334" s="21" t="s">
        <v>1</v>
      </c>
      <c r="B334" s="21" t="s">
        <v>24</v>
      </c>
      <c r="C334" s="21" t="s">
        <v>45</v>
      </c>
      <c r="D334" s="21" t="s">
        <v>724</v>
      </c>
      <c r="E334" s="21" t="s">
        <v>138</v>
      </c>
      <c r="F334" s="21" t="s">
        <v>690</v>
      </c>
      <c r="G334" s="21" t="s">
        <v>187</v>
      </c>
      <c r="H334" s="21">
        <v>236220</v>
      </c>
      <c r="I334" s="21" t="s">
        <v>6</v>
      </c>
      <c r="J334" s="21" t="s">
        <v>73</v>
      </c>
      <c r="K334" s="21" t="s">
        <v>691</v>
      </c>
      <c r="L334" s="22">
        <v>241862</v>
      </c>
      <c r="M334" s="22">
        <v>241862</v>
      </c>
      <c r="N334" s="21"/>
      <c r="O334" s="21" t="s">
        <v>278</v>
      </c>
      <c r="P334" s="21" t="s">
        <v>279</v>
      </c>
      <c r="Q334" s="21" t="s">
        <v>31</v>
      </c>
      <c r="R334" s="74">
        <v>2013</v>
      </c>
      <c r="S334" s="95" t="s">
        <v>720</v>
      </c>
      <c r="T334" s="21" t="s">
        <v>721</v>
      </c>
      <c r="U334" s="21" t="s">
        <v>722</v>
      </c>
      <c r="V334" s="21" t="s">
        <v>59</v>
      </c>
      <c r="W334" s="21" t="s">
        <v>692</v>
      </c>
      <c r="X334" s="21" t="s">
        <v>2482</v>
      </c>
      <c r="Y334" s="267"/>
      <c r="Z334" s="267"/>
      <c r="AA334" s="267"/>
      <c r="AB334" s="130"/>
    </row>
    <row r="335" spans="1:28" s="131" customFormat="1" ht="38.25" customHeight="1">
      <c r="A335" s="21" t="s">
        <v>1</v>
      </c>
      <c r="B335" s="21" t="s">
        <v>24</v>
      </c>
      <c r="C335" s="21" t="s">
        <v>45</v>
      </c>
      <c r="D335" s="21" t="s">
        <v>2516</v>
      </c>
      <c r="E335" s="21" t="s">
        <v>26</v>
      </c>
      <c r="F335" s="21" t="s">
        <v>2517</v>
      </c>
      <c r="G335" s="21" t="s">
        <v>2518</v>
      </c>
      <c r="H335" s="21">
        <v>541330</v>
      </c>
      <c r="I335" s="21" t="s">
        <v>28</v>
      </c>
      <c r="J335" s="21" t="s">
        <v>73</v>
      </c>
      <c r="K335" s="21" t="s">
        <v>2519</v>
      </c>
      <c r="L335" s="22" t="s">
        <v>2520</v>
      </c>
      <c r="M335" s="22" t="s">
        <v>2520</v>
      </c>
      <c r="N335" s="21"/>
      <c r="O335" s="21" t="s">
        <v>278</v>
      </c>
      <c r="P335" s="21" t="s">
        <v>279</v>
      </c>
      <c r="Q335" s="21" t="s">
        <v>31</v>
      </c>
      <c r="R335" s="74">
        <v>2013</v>
      </c>
      <c r="S335" s="95" t="s">
        <v>809</v>
      </c>
      <c r="T335" s="21" t="s">
        <v>2521</v>
      </c>
      <c r="U335" s="75" t="s">
        <v>810</v>
      </c>
      <c r="V335" s="21" t="s">
        <v>59</v>
      </c>
      <c r="W335" s="21" t="s">
        <v>2522</v>
      </c>
      <c r="X335" s="21" t="s">
        <v>2482</v>
      </c>
      <c r="Y335" s="130"/>
      <c r="Z335" s="267"/>
      <c r="AA335" s="267"/>
      <c r="AB335" s="130"/>
    </row>
    <row r="336" spans="1:28" s="131" customFormat="1" ht="38.25" customHeight="1">
      <c r="A336" s="21" t="s">
        <v>1</v>
      </c>
      <c r="B336" s="21" t="s">
        <v>24</v>
      </c>
      <c r="C336" s="21" t="s">
        <v>45</v>
      </c>
      <c r="D336" s="21" t="s">
        <v>2523</v>
      </c>
      <c r="E336" s="21" t="s">
        <v>138</v>
      </c>
      <c r="F336" s="21" t="s">
        <v>659</v>
      </c>
      <c r="G336" s="21" t="s">
        <v>167</v>
      </c>
      <c r="H336" s="21">
        <v>236220</v>
      </c>
      <c r="I336" s="21" t="s">
        <v>28</v>
      </c>
      <c r="J336" s="21" t="s">
        <v>50</v>
      </c>
      <c r="K336" s="21" t="s">
        <v>657</v>
      </c>
      <c r="L336" s="22">
        <v>500000</v>
      </c>
      <c r="M336" s="22">
        <v>1000000</v>
      </c>
      <c r="N336" s="21" t="s">
        <v>20</v>
      </c>
      <c r="O336" s="21" t="s">
        <v>278</v>
      </c>
      <c r="P336" s="21" t="s">
        <v>2524</v>
      </c>
      <c r="Q336" s="21" t="s">
        <v>21</v>
      </c>
      <c r="R336" s="74">
        <v>2013</v>
      </c>
      <c r="S336" s="95" t="s">
        <v>2511</v>
      </c>
      <c r="T336" s="21" t="s">
        <v>2525</v>
      </c>
      <c r="U336" s="21" t="s">
        <v>2526</v>
      </c>
      <c r="V336" s="21" t="s">
        <v>59</v>
      </c>
      <c r="W336" s="21" t="s">
        <v>658</v>
      </c>
      <c r="X336" s="21" t="s">
        <v>2482</v>
      </c>
      <c r="Y336" s="267"/>
      <c r="Z336" s="267"/>
      <c r="AA336" s="267"/>
      <c r="AB336" s="130"/>
    </row>
    <row r="337" spans="1:28" s="131" customFormat="1" ht="38.25" customHeight="1">
      <c r="A337" s="21" t="s">
        <v>1</v>
      </c>
      <c r="B337" s="21" t="s">
        <v>24</v>
      </c>
      <c r="C337" s="21"/>
      <c r="D337" s="21" t="s">
        <v>747</v>
      </c>
      <c r="E337" s="21" t="s">
        <v>740</v>
      </c>
      <c r="F337" s="21" t="s">
        <v>659</v>
      </c>
      <c r="G337" s="21" t="s">
        <v>167</v>
      </c>
      <c r="H337" s="21"/>
      <c r="I337" s="21" t="s">
        <v>6</v>
      </c>
      <c r="J337" s="21" t="s">
        <v>741</v>
      </c>
      <c r="K337" s="21" t="s">
        <v>742</v>
      </c>
      <c r="L337" s="22">
        <v>20000</v>
      </c>
      <c r="M337" s="22">
        <v>20000</v>
      </c>
      <c r="N337" s="21"/>
      <c r="O337" s="21"/>
      <c r="P337" s="21"/>
      <c r="Q337" s="21" t="s">
        <v>21</v>
      </c>
      <c r="R337" s="74">
        <v>2012</v>
      </c>
      <c r="S337" s="95" t="s">
        <v>744</v>
      </c>
      <c r="T337" s="21" t="s">
        <v>745</v>
      </c>
      <c r="U337" s="21" t="s">
        <v>746</v>
      </c>
      <c r="V337" s="21" t="s">
        <v>59</v>
      </c>
      <c r="W337" s="21"/>
      <c r="X337" s="21" t="s">
        <v>2510</v>
      </c>
      <c r="Y337" s="267"/>
      <c r="Z337" s="267"/>
      <c r="AA337" s="267"/>
      <c r="AB337" s="130"/>
    </row>
    <row r="338" spans="1:28" s="131" customFormat="1" ht="38.25" customHeight="1">
      <c r="A338" s="21" t="s">
        <v>1</v>
      </c>
      <c r="B338" s="21" t="s">
        <v>24</v>
      </c>
      <c r="C338" s="21" t="s">
        <v>3</v>
      </c>
      <c r="D338" s="21" t="s">
        <v>2527</v>
      </c>
      <c r="E338" s="21" t="s">
        <v>740</v>
      </c>
      <c r="F338" s="21" t="s">
        <v>659</v>
      </c>
      <c r="G338" s="21" t="s">
        <v>167</v>
      </c>
      <c r="H338" s="21">
        <v>561210</v>
      </c>
      <c r="I338" s="21" t="s">
        <v>6</v>
      </c>
      <c r="J338" s="21" t="s">
        <v>741</v>
      </c>
      <c r="K338" s="21" t="s">
        <v>742</v>
      </c>
      <c r="L338" s="22">
        <v>62575.7</v>
      </c>
      <c r="M338" s="22">
        <v>62575.7</v>
      </c>
      <c r="N338" s="21" t="s">
        <v>9</v>
      </c>
      <c r="O338" s="21" t="s">
        <v>743</v>
      </c>
      <c r="P338" s="21" t="s">
        <v>279</v>
      </c>
      <c r="Q338" s="21" t="s">
        <v>41</v>
      </c>
      <c r="R338" s="74">
        <v>2012</v>
      </c>
      <c r="S338" s="95" t="s">
        <v>744</v>
      </c>
      <c r="T338" s="21" t="s">
        <v>745</v>
      </c>
      <c r="U338" s="21" t="s">
        <v>746</v>
      </c>
      <c r="V338" s="21" t="s">
        <v>59</v>
      </c>
      <c r="W338" s="21"/>
      <c r="X338" s="21" t="s">
        <v>2510</v>
      </c>
      <c r="Y338" s="267"/>
      <c r="Z338" s="267"/>
      <c r="AA338" s="267"/>
      <c r="AB338" s="130"/>
    </row>
    <row r="339" spans="1:28" s="131" customFormat="1" ht="38.25" customHeight="1">
      <c r="A339" s="21" t="s">
        <v>1</v>
      </c>
      <c r="B339" s="21" t="s">
        <v>24</v>
      </c>
      <c r="C339" s="21"/>
      <c r="D339" s="21" t="s">
        <v>759</v>
      </c>
      <c r="E339" s="21" t="s">
        <v>740</v>
      </c>
      <c r="F339" s="21" t="s">
        <v>659</v>
      </c>
      <c r="G339" s="21" t="s">
        <v>167</v>
      </c>
      <c r="H339" s="21">
        <v>561212</v>
      </c>
      <c r="I339" s="21" t="s">
        <v>6</v>
      </c>
      <c r="J339" s="21" t="s">
        <v>741</v>
      </c>
      <c r="K339" s="21" t="s">
        <v>742</v>
      </c>
      <c r="L339" s="22">
        <v>26818</v>
      </c>
      <c r="M339" s="22">
        <v>26818</v>
      </c>
      <c r="N339" s="21" t="s">
        <v>20</v>
      </c>
      <c r="O339" s="21" t="s">
        <v>743</v>
      </c>
      <c r="P339" s="21" t="s">
        <v>279</v>
      </c>
      <c r="Q339" s="21" t="s">
        <v>31</v>
      </c>
      <c r="R339" s="74">
        <v>2012</v>
      </c>
      <c r="S339" s="95" t="s">
        <v>744</v>
      </c>
      <c r="T339" s="21" t="s">
        <v>745</v>
      </c>
      <c r="U339" s="21" t="s">
        <v>746</v>
      </c>
      <c r="V339" s="21" t="s">
        <v>59</v>
      </c>
      <c r="W339" s="21"/>
      <c r="X339" s="21" t="s">
        <v>2510</v>
      </c>
      <c r="Y339" s="267"/>
      <c r="Z339" s="267"/>
      <c r="AA339" s="267"/>
      <c r="AB339" s="130"/>
    </row>
    <row r="340" spans="1:28" s="131" customFormat="1" ht="38.25" customHeight="1">
      <c r="A340" s="21" t="s">
        <v>1</v>
      </c>
      <c r="B340" s="21" t="s">
        <v>24</v>
      </c>
      <c r="C340" s="21"/>
      <c r="D340" s="21" t="s">
        <v>822</v>
      </c>
      <c r="E340" s="21" t="s">
        <v>138</v>
      </c>
      <c r="F340" s="21" t="s">
        <v>823</v>
      </c>
      <c r="G340" s="21" t="s">
        <v>145</v>
      </c>
      <c r="H340" s="21">
        <v>236220</v>
      </c>
      <c r="I340" s="21" t="s">
        <v>28</v>
      </c>
      <c r="J340" s="21" t="s">
        <v>50</v>
      </c>
      <c r="K340" s="21" t="s">
        <v>691</v>
      </c>
      <c r="L340" s="22">
        <v>200000</v>
      </c>
      <c r="M340" s="22">
        <v>200000</v>
      </c>
      <c r="N340" s="21"/>
      <c r="O340" s="21" t="s">
        <v>278</v>
      </c>
      <c r="P340" s="21" t="s">
        <v>279</v>
      </c>
      <c r="Q340" s="21" t="s">
        <v>31</v>
      </c>
      <c r="R340" s="74">
        <v>2013</v>
      </c>
      <c r="S340" s="95" t="s">
        <v>793</v>
      </c>
      <c r="T340" s="21" t="s">
        <v>794</v>
      </c>
      <c r="U340" s="21" t="s">
        <v>795</v>
      </c>
      <c r="V340" s="21" t="s">
        <v>59</v>
      </c>
      <c r="W340" s="21"/>
      <c r="X340" s="21" t="s">
        <v>2482</v>
      </c>
      <c r="Y340" s="267"/>
      <c r="Z340" s="267"/>
      <c r="AA340" s="267"/>
      <c r="AB340" s="130"/>
    </row>
    <row r="341" spans="1:28" s="131" customFormat="1" ht="38.25" customHeight="1">
      <c r="A341" s="21" t="s">
        <v>1</v>
      </c>
      <c r="B341" s="21" t="s">
        <v>24</v>
      </c>
      <c r="C341" s="21"/>
      <c r="D341" s="21" t="s">
        <v>804</v>
      </c>
      <c r="E341" s="21" t="s">
        <v>138</v>
      </c>
      <c r="F341" s="21" t="s">
        <v>805</v>
      </c>
      <c r="G341" s="21" t="s">
        <v>207</v>
      </c>
      <c r="H341" s="21">
        <v>238220</v>
      </c>
      <c r="I341" s="21" t="s">
        <v>6</v>
      </c>
      <c r="J341" s="21"/>
      <c r="K341" s="21" t="s">
        <v>691</v>
      </c>
      <c r="L341" s="22">
        <v>576000</v>
      </c>
      <c r="M341" s="22">
        <v>576000</v>
      </c>
      <c r="N341" s="21"/>
      <c r="O341" s="21" t="s">
        <v>278</v>
      </c>
      <c r="P341" s="21" t="s">
        <v>279</v>
      </c>
      <c r="Q341" s="21" t="s">
        <v>798</v>
      </c>
      <c r="R341" s="74">
        <v>2012</v>
      </c>
      <c r="S341" s="95" t="s">
        <v>793</v>
      </c>
      <c r="T341" s="21" t="s">
        <v>794</v>
      </c>
      <c r="U341" s="21" t="s">
        <v>795</v>
      </c>
      <c r="V341" s="21" t="s">
        <v>59</v>
      </c>
      <c r="W341" s="21" t="s">
        <v>806</v>
      </c>
      <c r="X341" s="21" t="s">
        <v>2482</v>
      </c>
      <c r="Y341" s="267"/>
      <c r="Z341" s="267"/>
      <c r="AA341" s="267"/>
      <c r="AB341" s="130"/>
    </row>
    <row r="342" spans="1:28" s="131" customFormat="1" ht="38.25" customHeight="1">
      <c r="A342" s="21" t="s">
        <v>1</v>
      </c>
      <c r="B342" s="21" t="s">
        <v>24</v>
      </c>
      <c r="C342" s="21" t="s">
        <v>45</v>
      </c>
      <c r="D342" s="21" t="s">
        <v>781</v>
      </c>
      <c r="E342" s="21" t="s">
        <v>138</v>
      </c>
      <c r="F342" s="21" t="s">
        <v>782</v>
      </c>
      <c r="G342" s="21" t="s">
        <v>207</v>
      </c>
      <c r="H342" s="21">
        <v>238160</v>
      </c>
      <c r="I342" s="21" t="s">
        <v>6</v>
      </c>
      <c r="J342" s="21" t="s">
        <v>73</v>
      </c>
      <c r="K342" s="21" t="s">
        <v>691</v>
      </c>
      <c r="L342" s="22">
        <v>400000</v>
      </c>
      <c r="M342" s="22">
        <v>400000</v>
      </c>
      <c r="N342" s="21"/>
      <c r="O342" s="21" t="s">
        <v>278</v>
      </c>
      <c r="P342" s="21" t="s">
        <v>279</v>
      </c>
      <c r="Q342" s="21" t="s">
        <v>10</v>
      </c>
      <c r="R342" s="74">
        <v>2012</v>
      </c>
      <c r="S342" s="95" t="s">
        <v>783</v>
      </c>
      <c r="T342" s="21" t="s">
        <v>784</v>
      </c>
      <c r="U342" s="21" t="s">
        <v>785</v>
      </c>
      <c r="V342" s="21" t="s">
        <v>59</v>
      </c>
      <c r="W342" s="21"/>
      <c r="X342" s="21" t="s">
        <v>2482</v>
      </c>
      <c r="Y342" s="130"/>
      <c r="Z342" s="130"/>
      <c r="AA342" s="267"/>
      <c r="AB342" s="130"/>
    </row>
    <row r="343" spans="1:28" s="131" customFormat="1" ht="38.25" customHeight="1">
      <c r="A343" s="21" t="s">
        <v>1</v>
      </c>
      <c r="B343" s="21" t="s">
        <v>24</v>
      </c>
      <c r="C343" s="21"/>
      <c r="D343" s="21" t="s">
        <v>789</v>
      </c>
      <c r="E343" s="21" t="s">
        <v>138</v>
      </c>
      <c r="F343" s="21" t="s">
        <v>782</v>
      </c>
      <c r="G343" s="21" t="s">
        <v>207</v>
      </c>
      <c r="H343" s="21">
        <v>238310</v>
      </c>
      <c r="I343" s="21" t="s">
        <v>17</v>
      </c>
      <c r="J343" s="21" t="s">
        <v>73</v>
      </c>
      <c r="K343" s="21" t="s">
        <v>788</v>
      </c>
      <c r="L343" s="22">
        <v>493000</v>
      </c>
      <c r="M343" s="22">
        <v>1131000</v>
      </c>
      <c r="N343" s="21"/>
      <c r="O343" s="21" t="s">
        <v>278</v>
      </c>
      <c r="P343" s="21" t="s">
        <v>279</v>
      </c>
      <c r="Q343" s="21" t="s">
        <v>31</v>
      </c>
      <c r="R343" s="74">
        <v>2012</v>
      </c>
      <c r="S343" s="95" t="s">
        <v>783</v>
      </c>
      <c r="T343" s="21" t="s">
        <v>784</v>
      </c>
      <c r="U343" s="21" t="s">
        <v>785</v>
      </c>
      <c r="V343" s="21" t="s">
        <v>59</v>
      </c>
      <c r="W343" s="21"/>
      <c r="X343" s="21" t="s">
        <v>2482</v>
      </c>
      <c r="Y343" s="130"/>
      <c r="Z343" s="130"/>
      <c r="AA343" s="267"/>
      <c r="AB343" s="130"/>
    </row>
    <row r="344" spans="1:28" s="131" customFormat="1" ht="38.25" customHeight="1">
      <c r="A344" s="21" t="s">
        <v>1</v>
      </c>
      <c r="B344" s="21" t="s">
        <v>24</v>
      </c>
      <c r="C344" s="21"/>
      <c r="D344" s="21" t="s">
        <v>790</v>
      </c>
      <c r="E344" s="21" t="s">
        <v>138</v>
      </c>
      <c r="F344" s="21" t="s">
        <v>782</v>
      </c>
      <c r="G344" s="21" t="s">
        <v>207</v>
      </c>
      <c r="H344" s="21">
        <v>238220</v>
      </c>
      <c r="I344" s="21" t="s">
        <v>6</v>
      </c>
      <c r="J344" s="21"/>
      <c r="K344" s="21" t="s">
        <v>691</v>
      </c>
      <c r="L344" s="22">
        <v>580000</v>
      </c>
      <c r="M344" s="22">
        <v>580000</v>
      </c>
      <c r="N344" s="21"/>
      <c r="O344" s="21" t="s">
        <v>278</v>
      </c>
      <c r="P344" s="21" t="s">
        <v>279</v>
      </c>
      <c r="Q344" s="21" t="s">
        <v>791</v>
      </c>
      <c r="R344" s="74">
        <v>2012</v>
      </c>
      <c r="S344" s="95" t="s">
        <v>783</v>
      </c>
      <c r="T344" s="21" t="s">
        <v>784</v>
      </c>
      <c r="U344" s="21" t="s">
        <v>785</v>
      </c>
      <c r="V344" s="21" t="s">
        <v>59</v>
      </c>
      <c r="W344" s="21"/>
      <c r="X344" s="21" t="s">
        <v>2482</v>
      </c>
      <c r="Y344" s="130"/>
      <c r="Z344" s="130"/>
      <c r="AA344" s="130"/>
      <c r="AB344" s="130"/>
    </row>
    <row r="345" spans="1:28" s="131" customFormat="1" ht="38.25" customHeight="1">
      <c r="A345" s="21" t="s">
        <v>1</v>
      </c>
      <c r="B345" s="21" t="s">
        <v>24</v>
      </c>
      <c r="C345" s="21"/>
      <c r="D345" s="21" t="s">
        <v>792</v>
      </c>
      <c r="E345" s="21" t="s">
        <v>138</v>
      </c>
      <c r="F345" s="21" t="s">
        <v>782</v>
      </c>
      <c r="G345" s="21" t="s">
        <v>207</v>
      </c>
      <c r="H345" s="21">
        <v>238220</v>
      </c>
      <c r="I345" s="21" t="s">
        <v>6</v>
      </c>
      <c r="J345" s="21"/>
      <c r="K345" s="21" t="s">
        <v>691</v>
      </c>
      <c r="L345" s="22">
        <v>250000</v>
      </c>
      <c r="M345" s="22">
        <v>250000</v>
      </c>
      <c r="N345" s="21"/>
      <c r="O345" s="21" t="s">
        <v>278</v>
      </c>
      <c r="P345" s="21" t="s">
        <v>279</v>
      </c>
      <c r="Q345" s="21" t="s">
        <v>31</v>
      </c>
      <c r="R345" s="74">
        <v>2013</v>
      </c>
      <c r="S345" s="95" t="s">
        <v>793</v>
      </c>
      <c r="T345" s="21" t="s">
        <v>794</v>
      </c>
      <c r="U345" s="21" t="s">
        <v>795</v>
      </c>
      <c r="V345" s="21" t="s">
        <v>59</v>
      </c>
      <c r="W345" s="21"/>
      <c r="X345" s="21" t="s">
        <v>2482</v>
      </c>
      <c r="Y345" s="267"/>
      <c r="Z345" s="267"/>
      <c r="AA345" s="267"/>
      <c r="AB345" s="130"/>
    </row>
    <row r="346" spans="1:28" s="131" customFormat="1" ht="38.25" customHeight="1">
      <c r="A346" s="21" t="s">
        <v>1</v>
      </c>
      <c r="B346" s="21" t="s">
        <v>24</v>
      </c>
      <c r="C346" s="21"/>
      <c r="D346" s="21" t="s">
        <v>796</v>
      </c>
      <c r="E346" s="21" t="s">
        <v>138</v>
      </c>
      <c r="F346" s="21" t="s">
        <v>782</v>
      </c>
      <c r="G346" s="21" t="s">
        <v>207</v>
      </c>
      <c r="H346" s="21">
        <v>238220</v>
      </c>
      <c r="I346" s="21" t="s">
        <v>6</v>
      </c>
      <c r="J346" s="21"/>
      <c r="K346" s="21" t="s">
        <v>691</v>
      </c>
      <c r="L346" s="22">
        <v>400000</v>
      </c>
      <c r="M346" s="22">
        <v>400000</v>
      </c>
      <c r="N346" s="21"/>
      <c r="O346" s="21" t="s">
        <v>278</v>
      </c>
      <c r="P346" s="21" t="s">
        <v>279</v>
      </c>
      <c r="Q346" s="21" t="s">
        <v>31</v>
      </c>
      <c r="R346" s="74">
        <v>2013</v>
      </c>
      <c r="S346" s="95" t="s">
        <v>793</v>
      </c>
      <c r="T346" s="21" t="s">
        <v>794</v>
      </c>
      <c r="U346" s="21" t="s">
        <v>795</v>
      </c>
      <c r="V346" s="21" t="s">
        <v>59</v>
      </c>
      <c r="W346" s="21"/>
      <c r="X346" s="21" t="s">
        <v>2482</v>
      </c>
      <c r="Y346" s="267"/>
      <c r="Z346" s="267"/>
      <c r="AA346" s="267"/>
      <c r="AB346" s="130"/>
    </row>
    <row r="347" spans="1:28" s="131" customFormat="1" ht="38.25" customHeight="1">
      <c r="A347" s="21" t="s">
        <v>1</v>
      </c>
      <c r="B347" s="21" t="s">
        <v>24</v>
      </c>
      <c r="C347" s="21"/>
      <c r="D347" s="21" t="s">
        <v>812</v>
      </c>
      <c r="E347" s="21" t="s">
        <v>138</v>
      </c>
      <c r="F347" s="21" t="s">
        <v>782</v>
      </c>
      <c r="G347" s="21" t="s">
        <v>207</v>
      </c>
      <c r="H347" s="21">
        <v>238220</v>
      </c>
      <c r="I347" s="21" t="s">
        <v>6</v>
      </c>
      <c r="J347" s="21"/>
      <c r="K347" s="21" t="s">
        <v>691</v>
      </c>
      <c r="L347" s="22">
        <v>2300000</v>
      </c>
      <c r="M347" s="22">
        <v>2300000</v>
      </c>
      <c r="N347" s="21"/>
      <c r="O347" s="21" t="s">
        <v>278</v>
      </c>
      <c r="P347" s="21" t="s">
        <v>279</v>
      </c>
      <c r="Q347" s="21" t="s">
        <v>2528</v>
      </c>
      <c r="R347" s="74">
        <v>2013</v>
      </c>
      <c r="S347" s="95" t="s">
        <v>793</v>
      </c>
      <c r="T347" s="21" t="s">
        <v>794</v>
      </c>
      <c r="U347" s="21" t="s">
        <v>795</v>
      </c>
      <c r="V347" s="21" t="s">
        <v>59</v>
      </c>
      <c r="W347" s="21"/>
      <c r="X347" s="21" t="s">
        <v>2482</v>
      </c>
      <c r="Y347" s="267"/>
      <c r="Z347" s="267"/>
      <c r="AA347" s="267"/>
      <c r="AB347" s="130"/>
    </row>
    <row r="348" spans="1:28" s="131" customFormat="1" ht="38.25" customHeight="1">
      <c r="A348" s="21" t="s">
        <v>1</v>
      </c>
      <c r="B348" s="21" t="s">
        <v>24</v>
      </c>
      <c r="C348" s="21"/>
      <c r="D348" s="21" t="s">
        <v>813</v>
      </c>
      <c r="E348" s="21" t="s">
        <v>138</v>
      </c>
      <c r="F348" s="21" t="s">
        <v>782</v>
      </c>
      <c r="G348" s="21" t="s">
        <v>207</v>
      </c>
      <c r="H348" s="21">
        <v>238220</v>
      </c>
      <c r="I348" s="21" t="s">
        <v>6</v>
      </c>
      <c r="J348" s="21"/>
      <c r="K348" s="21" t="s">
        <v>691</v>
      </c>
      <c r="L348" s="22">
        <v>1700000</v>
      </c>
      <c r="M348" s="22">
        <v>1700000</v>
      </c>
      <c r="N348" s="21"/>
      <c r="O348" s="21" t="s">
        <v>278</v>
      </c>
      <c r="P348" s="21" t="s">
        <v>279</v>
      </c>
      <c r="Q348" s="21" t="s">
        <v>21</v>
      </c>
      <c r="R348" s="74">
        <v>2013</v>
      </c>
      <c r="S348" s="95" t="s">
        <v>783</v>
      </c>
      <c r="T348" s="21" t="s">
        <v>784</v>
      </c>
      <c r="U348" s="21" t="s">
        <v>785</v>
      </c>
      <c r="V348" s="21" t="s">
        <v>59</v>
      </c>
      <c r="W348" s="21"/>
      <c r="X348" s="21" t="s">
        <v>2482</v>
      </c>
      <c r="Y348" s="267"/>
      <c r="Z348" s="267"/>
      <c r="AA348" s="267"/>
      <c r="AB348" s="130"/>
    </row>
    <row r="349" spans="1:28" s="131" customFormat="1" ht="38.25" customHeight="1">
      <c r="A349" s="21" t="s">
        <v>1</v>
      </c>
      <c r="B349" s="21" t="s">
        <v>24</v>
      </c>
      <c r="C349" s="21"/>
      <c r="D349" s="21" t="s">
        <v>815</v>
      </c>
      <c r="E349" s="21" t="s">
        <v>138</v>
      </c>
      <c r="F349" s="21" t="s">
        <v>782</v>
      </c>
      <c r="G349" s="21" t="s">
        <v>207</v>
      </c>
      <c r="H349" s="21">
        <v>236220</v>
      </c>
      <c r="I349" s="21" t="s">
        <v>6</v>
      </c>
      <c r="J349" s="21" t="s">
        <v>50</v>
      </c>
      <c r="K349" s="21" t="s">
        <v>691</v>
      </c>
      <c r="L349" s="22">
        <v>1000000</v>
      </c>
      <c r="M349" s="22" t="s">
        <v>816</v>
      </c>
      <c r="N349" s="21"/>
      <c r="O349" s="21" t="s">
        <v>278</v>
      </c>
      <c r="P349" s="21" t="s">
        <v>279</v>
      </c>
      <c r="Q349" s="21" t="s">
        <v>21</v>
      </c>
      <c r="R349" s="74">
        <v>2013</v>
      </c>
      <c r="S349" s="95" t="s">
        <v>783</v>
      </c>
      <c r="T349" s="21" t="s">
        <v>784</v>
      </c>
      <c r="U349" s="21" t="s">
        <v>785</v>
      </c>
      <c r="V349" s="21" t="s">
        <v>59</v>
      </c>
      <c r="W349" s="21"/>
      <c r="X349" s="21" t="s">
        <v>2482</v>
      </c>
      <c r="Y349" s="267"/>
      <c r="Z349" s="267"/>
      <c r="AA349" s="267"/>
      <c r="AB349" s="130"/>
    </row>
    <row r="350" spans="1:28" s="131" customFormat="1" ht="38.25" customHeight="1">
      <c r="A350" s="21" t="s">
        <v>1</v>
      </c>
      <c r="B350" s="21" t="s">
        <v>24</v>
      </c>
      <c r="C350" s="21"/>
      <c r="D350" s="21" t="s">
        <v>820</v>
      </c>
      <c r="E350" s="21" t="s">
        <v>138</v>
      </c>
      <c r="F350" s="21" t="s">
        <v>782</v>
      </c>
      <c r="G350" s="21" t="s">
        <v>207</v>
      </c>
      <c r="H350" s="21">
        <v>236220</v>
      </c>
      <c r="I350" s="21" t="s">
        <v>28</v>
      </c>
      <c r="J350" s="21" t="s">
        <v>50</v>
      </c>
      <c r="K350" s="21" t="s">
        <v>691</v>
      </c>
      <c r="L350" s="22">
        <v>100000</v>
      </c>
      <c r="M350" s="22">
        <v>100000</v>
      </c>
      <c r="N350" s="21"/>
      <c r="O350" s="21" t="s">
        <v>278</v>
      </c>
      <c r="P350" s="21" t="s">
        <v>279</v>
      </c>
      <c r="Q350" s="21" t="s">
        <v>21</v>
      </c>
      <c r="R350" s="74">
        <v>2013</v>
      </c>
      <c r="S350" s="95" t="s">
        <v>793</v>
      </c>
      <c r="T350" s="21" t="s">
        <v>794</v>
      </c>
      <c r="U350" s="21" t="s">
        <v>795</v>
      </c>
      <c r="V350" s="21" t="s">
        <v>59</v>
      </c>
      <c r="W350" s="21"/>
      <c r="X350" s="21" t="s">
        <v>2482</v>
      </c>
      <c r="Y350" s="267"/>
      <c r="Z350" s="267"/>
      <c r="AA350" s="267"/>
      <c r="AB350" s="130"/>
    </row>
    <row r="351" spans="1:28" s="131" customFormat="1" ht="38.25" customHeight="1">
      <c r="A351" s="21" t="s">
        <v>1</v>
      </c>
      <c r="B351" s="21" t="s">
        <v>24</v>
      </c>
      <c r="C351" s="21"/>
      <c r="D351" s="21" t="s">
        <v>821</v>
      </c>
      <c r="E351" s="21" t="s">
        <v>138</v>
      </c>
      <c r="F351" s="21" t="s">
        <v>782</v>
      </c>
      <c r="G351" s="21" t="s">
        <v>207</v>
      </c>
      <c r="H351" s="21">
        <v>236220</v>
      </c>
      <c r="I351" s="21" t="s">
        <v>28</v>
      </c>
      <c r="J351" s="21" t="s">
        <v>50</v>
      </c>
      <c r="K351" s="21" t="s">
        <v>691</v>
      </c>
      <c r="L351" s="22">
        <v>800000</v>
      </c>
      <c r="M351" s="22">
        <v>800000</v>
      </c>
      <c r="N351" s="21"/>
      <c r="O351" s="21" t="s">
        <v>278</v>
      </c>
      <c r="P351" s="21" t="s">
        <v>279</v>
      </c>
      <c r="Q351" s="21" t="s">
        <v>21</v>
      </c>
      <c r="R351" s="74">
        <v>2013</v>
      </c>
      <c r="S351" s="95" t="s">
        <v>783</v>
      </c>
      <c r="T351" s="21" t="s">
        <v>784</v>
      </c>
      <c r="U351" s="21" t="s">
        <v>785</v>
      </c>
      <c r="V351" s="21" t="s">
        <v>59</v>
      </c>
      <c r="W351" s="21"/>
      <c r="X351" s="21" t="s">
        <v>2482</v>
      </c>
      <c r="Y351" s="267"/>
      <c r="Z351" s="267"/>
      <c r="AA351" s="267"/>
      <c r="AB351" s="130"/>
    </row>
    <row r="352" spans="1:28" s="131" customFormat="1" ht="38.25" customHeight="1">
      <c r="A352" s="21" t="s">
        <v>1</v>
      </c>
      <c r="B352" s="21" t="s">
        <v>24</v>
      </c>
      <c r="C352" s="21"/>
      <c r="D352" s="21" t="s">
        <v>830</v>
      </c>
      <c r="E352" s="21" t="s">
        <v>138</v>
      </c>
      <c r="F352" s="21" t="s">
        <v>831</v>
      </c>
      <c r="G352" s="21" t="s">
        <v>207</v>
      </c>
      <c r="H352" s="21">
        <v>236220</v>
      </c>
      <c r="I352" s="21" t="s">
        <v>28</v>
      </c>
      <c r="J352" s="21" t="s">
        <v>50</v>
      </c>
      <c r="K352" s="21" t="s">
        <v>698</v>
      </c>
      <c r="L352" s="22">
        <v>15000</v>
      </c>
      <c r="M352" s="22">
        <v>15000</v>
      </c>
      <c r="N352" s="21"/>
      <c r="O352" s="21" t="s">
        <v>278</v>
      </c>
      <c r="P352" s="21" t="s">
        <v>279</v>
      </c>
      <c r="Q352" s="21" t="s">
        <v>41</v>
      </c>
      <c r="R352" s="74">
        <v>2013</v>
      </c>
      <c r="S352" s="95" t="s">
        <v>793</v>
      </c>
      <c r="T352" s="21" t="s">
        <v>794</v>
      </c>
      <c r="U352" s="21" t="s">
        <v>795</v>
      </c>
      <c r="V352" s="21" t="s">
        <v>59</v>
      </c>
      <c r="W352" s="21"/>
      <c r="X352" s="21" t="s">
        <v>2482</v>
      </c>
      <c r="Y352" s="267"/>
      <c r="Z352" s="267"/>
      <c r="AA352" s="267"/>
      <c r="AB352" s="130"/>
    </row>
    <row r="353" spans="1:28" s="131" customFormat="1" ht="38.25" customHeight="1">
      <c r="A353" s="21" t="s">
        <v>1</v>
      </c>
      <c r="B353" s="21" t="s">
        <v>24</v>
      </c>
      <c r="C353" s="21" t="s">
        <v>45</v>
      </c>
      <c r="D353" s="21" t="s">
        <v>683</v>
      </c>
      <c r="E353" s="21" t="s">
        <v>138</v>
      </c>
      <c r="F353" s="21" t="s">
        <v>684</v>
      </c>
      <c r="G353" s="21" t="s">
        <v>187</v>
      </c>
      <c r="H353" s="21">
        <v>236220</v>
      </c>
      <c r="I353" s="21" t="s">
        <v>6</v>
      </c>
      <c r="J353" s="21" t="s">
        <v>40</v>
      </c>
      <c r="K353" s="21" t="s">
        <v>2529</v>
      </c>
      <c r="L353" s="22">
        <v>600000</v>
      </c>
      <c r="M353" s="22">
        <v>600000</v>
      </c>
      <c r="N353" s="21"/>
      <c r="O353" s="21" t="s">
        <v>278</v>
      </c>
      <c r="P353" s="21" t="s">
        <v>279</v>
      </c>
      <c r="Q353" s="21" t="s">
        <v>31</v>
      </c>
      <c r="R353" s="74">
        <v>2013</v>
      </c>
      <c r="S353" s="95" t="s">
        <v>685</v>
      </c>
      <c r="T353" s="21" t="s">
        <v>686</v>
      </c>
      <c r="U353" s="21" t="s">
        <v>687</v>
      </c>
      <c r="V353" s="21" t="s">
        <v>59</v>
      </c>
      <c r="W353" s="21" t="s">
        <v>688</v>
      </c>
      <c r="X353" s="21" t="s">
        <v>2482</v>
      </c>
      <c r="Y353" s="130"/>
      <c r="Z353" s="130"/>
      <c r="AA353" s="130"/>
      <c r="AB353" s="130"/>
    </row>
    <row r="354" spans="1:28" s="131" customFormat="1" ht="38.25" customHeight="1">
      <c r="A354" s="21" t="s">
        <v>1</v>
      </c>
      <c r="B354" s="21" t="s">
        <v>24</v>
      </c>
      <c r="C354" s="21" t="s">
        <v>35</v>
      </c>
      <c r="D354" s="21" t="s">
        <v>710</v>
      </c>
      <c r="E354" s="21" t="s">
        <v>138</v>
      </c>
      <c r="F354" s="21" t="s">
        <v>684</v>
      </c>
      <c r="G354" s="21" t="s">
        <v>187</v>
      </c>
      <c r="H354" s="21">
        <v>236220</v>
      </c>
      <c r="I354" s="21" t="s">
        <v>6</v>
      </c>
      <c r="J354" s="21" t="s">
        <v>73</v>
      </c>
      <c r="K354" s="21" t="s">
        <v>691</v>
      </c>
      <c r="L354" s="22">
        <v>830000</v>
      </c>
      <c r="M354" s="22">
        <v>830000</v>
      </c>
      <c r="N354" s="21"/>
      <c r="O354" s="21" t="s">
        <v>278</v>
      </c>
      <c r="P354" s="21" t="s">
        <v>279</v>
      </c>
      <c r="Q354" s="21" t="s">
        <v>41</v>
      </c>
      <c r="R354" s="74">
        <v>2013</v>
      </c>
      <c r="S354" s="95" t="s">
        <v>711</v>
      </c>
      <c r="T354" s="21" t="s">
        <v>712</v>
      </c>
      <c r="U354" s="21" t="s">
        <v>713</v>
      </c>
      <c r="V354" s="21" t="s">
        <v>59</v>
      </c>
      <c r="W354" s="21" t="s">
        <v>658</v>
      </c>
      <c r="X354" s="21" t="s">
        <v>2482</v>
      </c>
      <c r="Y354" s="267"/>
      <c r="Z354" s="267"/>
      <c r="AA354" s="267"/>
      <c r="AB354" s="130"/>
    </row>
    <row r="355" spans="1:28" s="131" customFormat="1" ht="38.25" customHeight="1">
      <c r="A355" s="21" t="s">
        <v>1</v>
      </c>
      <c r="B355" s="21" t="s">
        <v>24</v>
      </c>
      <c r="C355" s="21" t="s">
        <v>3</v>
      </c>
      <c r="D355" s="21" t="s">
        <v>714</v>
      </c>
      <c r="E355" s="21" t="s">
        <v>138</v>
      </c>
      <c r="F355" s="21" t="s">
        <v>684</v>
      </c>
      <c r="G355" s="21" t="s">
        <v>187</v>
      </c>
      <c r="H355" s="21">
        <v>236220</v>
      </c>
      <c r="I355" s="21" t="s">
        <v>64</v>
      </c>
      <c r="J355" s="21" t="s">
        <v>73</v>
      </c>
      <c r="K355" s="21" t="s">
        <v>691</v>
      </c>
      <c r="L355" s="22">
        <v>400000</v>
      </c>
      <c r="M355" s="22">
        <v>400000</v>
      </c>
      <c r="N355" s="21"/>
      <c r="O355" s="21" t="s">
        <v>278</v>
      </c>
      <c r="P355" s="21" t="s">
        <v>279</v>
      </c>
      <c r="Q355" s="21" t="s">
        <v>715</v>
      </c>
      <c r="R355" s="74">
        <v>2012</v>
      </c>
      <c r="S355" s="95" t="s">
        <v>716</v>
      </c>
      <c r="T355" s="21" t="s">
        <v>717</v>
      </c>
      <c r="U355" s="21" t="s">
        <v>718</v>
      </c>
      <c r="V355" s="21" t="s">
        <v>59</v>
      </c>
      <c r="W355" s="21"/>
      <c r="X355" s="21" t="s">
        <v>2482</v>
      </c>
      <c r="Y355" s="130"/>
      <c r="Z355" s="267"/>
      <c r="AA355" s="267"/>
      <c r="AB355" s="130"/>
    </row>
    <row r="356" spans="1:28" s="131" customFormat="1" ht="38.25" customHeight="1">
      <c r="A356" s="21" t="s">
        <v>1</v>
      </c>
      <c r="B356" s="21" t="s">
        <v>24</v>
      </c>
      <c r="C356" s="21" t="s">
        <v>45</v>
      </c>
      <c r="D356" s="21" t="s">
        <v>2530</v>
      </c>
      <c r="E356" s="21" t="s">
        <v>138</v>
      </c>
      <c r="F356" s="21" t="s">
        <v>697</v>
      </c>
      <c r="G356" s="21" t="s">
        <v>187</v>
      </c>
      <c r="H356" s="21">
        <v>236220</v>
      </c>
      <c r="I356" s="21" t="s">
        <v>6</v>
      </c>
      <c r="J356" s="21" t="s">
        <v>331</v>
      </c>
      <c r="K356" s="21" t="s">
        <v>691</v>
      </c>
      <c r="L356" s="22">
        <v>1250000</v>
      </c>
      <c r="M356" s="22">
        <v>1250000</v>
      </c>
      <c r="N356" s="21"/>
      <c r="O356" s="21" t="s">
        <v>278</v>
      </c>
      <c r="P356" s="21" t="s">
        <v>279</v>
      </c>
      <c r="Q356" s="21" t="s">
        <v>31</v>
      </c>
      <c r="R356" s="74">
        <v>2013</v>
      </c>
      <c r="S356" s="95" t="s">
        <v>699</v>
      </c>
      <c r="T356" s="21" t="s">
        <v>700</v>
      </c>
      <c r="U356" s="21" t="s">
        <v>701</v>
      </c>
      <c r="V356" s="21" t="s">
        <v>59</v>
      </c>
      <c r="W356" s="21" t="s">
        <v>658</v>
      </c>
      <c r="X356" s="21" t="s">
        <v>2482</v>
      </c>
      <c r="Y356" s="267"/>
      <c r="Z356" s="267"/>
      <c r="AA356" s="267"/>
      <c r="AB356" s="130"/>
    </row>
    <row r="357" spans="1:28" s="131" customFormat="1" ht="38.25" customHeight="1">
      <c r="A357" s="21" t="s">
        <v>1</v>
      </c>
      <c r="B357" s="21" t="s">
        <v>24</v>
      </c>
      <c r="C357" s="21" t="s">
        <v>3</v>
      </c>
      <c r="D357" s="21" t="s">
        <v>760</v>
      </c>
      <c r="E357" s="21" t="s">
        <v>138</v>
      </c>
      <c r="F357" s="21" t="s">
        <v>684</v>
      </c>
      <c r="G357" s="21" t="s">
        <v>187</v>
      </c>
      <c r="H357" s="21">
        <v>236220</v>
      </c>
      <c r="I357" s="21" t="s">
        <v>324</v>
      </c>
      <c r="J357" s="21" t="s">
        <v>73</v>
      </c>
      <c r="K357" s="21" t="s">
        <v>2531</v>
      </c>
      <c r="L357" s="22">
        <v>53427</v>
      </c>
      <c r="M357" s="22">
        <v>53427</v>
      </c>
      <c r="N357" s="21" t="s">
        <v>20</v>
      </c>
      <c r="O357" s="21" t="s">
        <v>278</v>
      </c>
      <c r="P357" s="21" t="s">
        <v>279</v>
      </c>
      <c r="Q357" s="21" t="s">
        <v>10</v>
      </c>
      <c r="R357" s="74">
        <v>2013</v>
      </c>
      <c r="S357" s="95" t="s">
        <v>761</v>
      </c>
      <c r="T357" s="21" t="s">
        <v>762</v>
      </c>
      <c r="U357" s="21" t="s">
        <v>763</v>
      </c>
      <c r="V357" s="21" t="s">
        <v>59</v>
      </c>
      <c r="W357" s="21" t="s">
        <v>2532</v>
      </c>
      <c r="X357" s="21" t="s">
        <v>2533</v>
      </c>
      <c r="Y357" s="267"/>
      <c r="Z357" s="267"/>
      <c r="AA357" s="267"/>
      <c r="AB357" s="130"/>
    </row>
    <row r="358" spans="1:28" s="131" customFormat="1" ht="38.25" customHeight="1">
      <c r="A358" s="21" t="s">
        <v>1</v>
      </c>
      <c r="B358" s="21" t="s">
        <v>24</v>
      </c>
      <c r="C358" s="21" t="s">
        <v>3</v>
      </c>
      <c r="D358" s="21" t="s">
        <v>764</v>
      </c>
      <c r="E358" s="21" t="s">
        <v>138</v>
      </c>
      <c r="F358" s="21" t="s">
        <v>2534</v>
      </c>
      <c r="G358" s="21" t="s">
        <v>187</v>
      </c>
      <c r="H358" s="21">
        <v>484210</v>
      </c>
      <c r="I358" s="21" t="s">
        <v>28</v>
      </c>
      <c r="J358" s="21" t="s">
        <v>73</v>
      </c>
      <c r="K358" s="21" t="s">
        <v>2535</v>
      </c>
      <c r="L358" s="22">
        <v>16863.810000000001</v>
      </c>
      <c r="M358" s="22">
        <v>16863.810000000001</v>
      </c>
      <c r="N358" s="21" t="s">
        <v>9</v>
      </c>
      <c r="O358" s="21" t="s">
        <v>278</v>
      </c>
      <c r="P358" s="21" t="s">
        <v>279</v>
      </c>
      <c r="Q358" s="21" t="s">
        <v>10</v>
      </c>
      <c r="R358" s="74">
        <v>2012</v>
      </c>
      <c r="S358" s="95" t="s">
        <v>761</v>
      </c>
      <c r="T358" s="21" t="s">
        <v>762</v>
      </c>
      <c r="U358" s="21" t="s">
        <v>763</v>
      </c>
      <c r="V358" s="21" t="s">
        <v>59</v>
      </c>
      <c r="W358" s="21" t="s">
        <v>2532</v>
      </c>
      <c r="X358" s="21" t="s">
        <v>2533</v>
      </c>
      <c r="Y358" s="267"/>
      <c r="Z358" s="267"/>
      <c r="AA358" s="267"/>
      <c r="AB358" s="130"/>
    </row>
    <row r="359" spans="1:28" s="131" customFormat="1" ht="38.25" customHeight="1">
      <c r="A359" s="21" t="s">
        <v>1</v>
      </c>
      <c r="B359" s="21" t="s">
        <v>24</v>
      </c>
      <c r="C359" s="21" t="s">
        <v>2536</v>
      </c>
      <c r="D359" s="21" t="s">
        <v>2537</v>
      </c>
      <c r="E359" s="21" t="s">
        <v>138</v>
      </c>
      <c r="F359" s="21" t="s">
        <v>656</v>
      </c>
      <c r="G359" s="21" t="s">
        <v>187</v>
      </c>
      <c r="H359" s="21">
        <v>236220</v>
      </c>
      <c r="I359" s="21" t="s">
        <v>28</v>
      </c>
      <c r="J359" s="21" t="s">
        <v>40</v>
      </c>
      <c r="K359" s="21" t="s">
        <v>660</v>
      </c>
      <c r="L359" s="22">
        <v>700000</v>
      </c>
      <c r="M359" s="22">
        <v>1000000</v>
      </c>
      <c r="N359" s="21" t="s">
        <v>2538</v>
      </c>
      <c r="O359" s="21" t="s">
        <v>278</v>
      </c>
      <c r="P359" s="21" t="s">
        <v>2524</v>
      </c>
      <c r="Q359" s="21" t="s">
        <v>21</v>
      </c>
      <c r="R359" s="74">
        <v>2013</v>
      </c>
      <c r="S359" s="95" t="s">
        <v>2539</v>
      </c>
      <c r="T359" s="21" t="s">
        <v>2540</v>
      </c>
      <c r="U359" s="21" t="s">
        <v>2541</v>
      </c>
      <c r="V359" s="21" t="s">
        <v>59</v>
      </c>
      <c r="W359" s="21" t="s">
        <v>658</v>
      </c>
      <c r="X359" s="21" t="s">
        <v>2482</v>
      </c>
      <c r="Y359" s="267"/>
      <c r="Z359" s="267"/>
      <c r="AA359" s="267"/>
      <c r="AB359" s="130"/>
    </row>
    <row r="360" spans="1:28" s="131" customFormat="1" ht="38.25" customHeight="1">
      <c r="A360" s="21" t="s">
        <v>1</v>
      </c>
      <c r="B360" s="21" t="s">
        <v>24</v>
      </c>
      <c r="C360" s="21" t="s">
        <v>45</v>
      </c>
      <c r="D360" s="21" t="s">
        <v>661</v>
      </c>
      <c r="E360" s="21" t="s">
        <v>138</v>
      </c>
      <c r="F360" s="21" t="s">
        <v>656</v>
      </c>
      <c r="G360" s="21" t="s">
        <v>187</v>
      </c>
      <c r="H360" s="21">
        <v>238220</v>
      </c>
      <c r="I360" s="21" t="s">
        <v>6</v>
      </c>
      <c r="J360" s="21" t="s">
        <v>80</v>
      </c>
      <c r="K360" s="21" t="s">
        <v>662</v>
      </c>
      <c r="L360" s="22">
        <v>1400000</v>
      </c>
      <c r="M360" s="22">
        <v>1800000</v>
      </c>
      <c r="N360" s="21"/>
      <c r="O360" s="21" t="s">
        <v>278</v>
      </c>
      <c r="P360" s="21" t="s">
        <v>279</v>
      </c>
      <c r="Q360" s="21" t="s">
        <v>41</v>
      </c>
      <c r="R360" s="74">
        <v>2013</v>
      </c>
      <c r="S360" s="95" t="s">
        <v>2542</v>
      </c>
      <c r="T360" s="21" t="s">
        <v>2543</v>
      </c>
      <c r="U360" s="21" t="s">
        <v>2544</v>
      </c>
      <c r="V360" s="21" t="s">
        <v>59</v>
      </c>
      <c r="W360" s="21" t="s">
        <v>663</v>
      </c>
      <c r="X360" s="21" t="s">
        <v>2482</v>
      </c>
      <c r="Y360" s="267"/>
      <c r="Z360" s="267"/>
      <c r="AA360" s="267"/>
      <c r="AB360" s="130"/>
    </row>
    <row r="361" spans="1:28" s="131" customFormat="1" ht="38.25" customHeight="1">
      <c r="A361" s="21" t="s">
        <v>1</v>
      </c>
      <c r="B361" s="21" t="s">
        <v>24</v>
      </c>
      <c r="C361" s="21" t="s">
        <v>3</v>
      </c>
      <c r="D361" s="21" t="s">
        <v>664</v>
      </c>
      <c r="E361" s="21" t="s">
        <v>138</v>
      </c>
      <c r="F361" s="21" t="s">
        <v>656</v>
      </c>
      <c r="G361" s="21" t="s">
        <v>187</v>
      </c>
      <c r="H361" s="21">
        <v>236220</v>
      </c>
      <c r="I361" s="21" t="s">
        <v>28</v>
      </c>
      <c r="J361" s="21" t="s">
        <v>40</v>
      </c>
      <c r="K361" s="21" t="s">
        <v>660</v>
      </c>
      <c r="L361" s="22">
        <v>300000</v>
      </c>
      <c r="M361" s="22">
        <v>300000</v>
      </c>
      <c r="N361" s="21"/>
      <c r="O361" s="21" t="s">
        <v>278</v>
      </c>
      <c r="P361" s="21" t="s">
        <v>3</v>
      </c>
      <c r="Q361" s="21" t="s">
        <v>21</v>
      </c>
      <c r="R361" s="74">
        <v>2012</v>
      </c>
      <c r="S361" s="95" t="s">
        <v>665</v>
      </c>
      <c r="T361" s="21" t="s">
        <v>666</v>
      </c>
      <c r="U361" s="21" t="s">
        <v>667</v>
      </c>
      <c r="V361" s="21" t="s">
        <v>59</v>
      </c>
      <c r="W361" s="21" t="s">
        <v>658</v>
      </c>
      <c r="X361" s="21" t="s">
        <v>2482</v>
      </c>
      <c r="Y361" s="130"/>
      <c r="Z361" s="130"/>
      <c r="AA361" s="130"/>
      <c r="AB361" s="130"/>
    </row>
    <row r="362" spans="1:28" s="131" customFormat="1" ht="38.25" customHeight="1">
      <c r="A362" s="21" t="s">
        <v>1</v>
      </c>
      <c r="B362" s="21" t="s">
        <v>24</v>
      </c>
      <c r="C362" s="21" t="s">
        <v>3</v>
      </c>
      <c r="D362" s="21" t="s">
        <v>674</v>
      </c>
      <c r="E362" s="21" t="s">
        <v>138</v>
      </c>
      <c r="F362" s="21" t="s">
        <v>656</v>
      </c>
      <c r="G362" s="21" t="s">
        <v>187</v>
      </c>
      <c r="H362" s="21">
        <v>236220</v>
      </c>
      <c r="I362" s="21" t="s">
        <v>28</v>
      </c>
      <c r="J362" s="21" t="s">
        <v>50</v>
      </c>
      <c r="K362" s="21" t="s">
        <v>657</v>
      </c>
      <c r="L362" s="22">
        <v>50000</v>
      </c>
      <c r="M362" s="22">
        <v>100000</v>
      </c>
      <c r="N362" s="21"/>
      <c r="O362" s="21" t="s">
        <v>278</v>
      </c>
      <c r="P362" s="21" t="s">
        <v>3</v>
      </c>
      <c r="Q362" s="21" t="s">
        <v>31</v>
      </c>
      <c r="R362" s="74">
        <v>2012</v>
      </c>
      <c r="S362" s="95" t="s">
        <v>675</v>
      </c>
      <c r="T362" s="21" t="s">
        <v>676</v>
      </c>
      <c r="U362" s="21" t="s">
        <v>677</v>
      </c>
      <c r="V362" s="21" t="s">
        <v>59</v>
      </c>
      <c r="W362" s="21" t="s">
        <v>663</v>
      </c>
      <c r="X362" s="21" t="s">
        <v>2482</v>
      </c>
      <c r="Y362" s="130"/>
      <c r="Z362" s="267"/>
      <c r="AA362" s="267"/>
      <c r="AB362" s="130"/>
    </row>
    <row r="363" spans="1:28" s="131" customFormat="1" ht="38.25" customHeight="1">
      <c r="A363" s="21" t="s">
        <v>1</v>
      </c>
      <c r="B363" s="21" t="s">
        <v>24</v>
      </c>
      <c r="C363" s="21" t="s">
        <v>45</v>
      </c>
      <c r="D363" s="21" t="s">
        <v>678</v>
      </c>
      <c r="E363" s="21" t="s">
        <v>138</v>
      </c>
      <c r="F363" s="21" t="s">
        <v>656</v>
      </c>
      <c r="G363" s="21" t="s">
        <v>187</v>
      </c>
      <c r="H363" s="21">
        <v>236220</v>
      </c>
      <c r="I363" s="21" t="s">
        <v>28</v>
      </c>
      <c r="J363" s="21" t="s">
        <v>50</v>
      </c>
      <c r="K363" s="21" t="s">
        <v>657</v>
      </c>
      <c r="L363" s="22">
        <v>100000</v>
      </c>
      <c r="M363" s="22">
        <v>500000</v>
      </c>
      <c r="N363" s="21"/>
      <c r="O363" s="21" t="s">
        <v>278</v>
      </c>
      <c r="P363" s="21" t="s">
        <v>279</v>
      </c>
      <c r="Q363" s="21" t="s">
        <v>41</v>
      </c>
      <c r="R363" s="74">
        <v>2013</v>
      </c>
      <c r="S363" s="95" t="s">
        <v>680</v>
      </c>
      <c r="T363" s="21" t="s">
        <v>681</v>
      </c>
      <c r="U363" s="21" t="s">
        <v>682</v>
      </c>
      <c r="V363" s="21" t="s">
        <v>59</v>
      </c>
      <c r="W363" s="21" t="s">
        <v>663</v>
      </c>
      <c r="X363" s="21" t="s">
        <v>2482</v>
      </c>
      <c r="Y363" s="267"/>
      <c r="Z363" s="267"/>
      <c r="AA363" s="267"/>
      <c r="AB363" s="130"/>
    </row>
    <row r="364" spans="1:28" s="131" customFormat="1" ht="38.25" customHeight="1">
      <c r="A364" s="21" t="s">
        <v>1</v>
      </c>
      <c r="B364" s="21" t="s">
        <v>24</v>
      </c>
      <c r="C364" s="21" t="s">
        <v>3</v>
      </c>
      <c r="D364" s="21" t="s">
        <v>679</v>
      </c>
      <c r="E364" s="21" t="s">
        <v>26</v>
      </c>
      <c r="F364" s="21" t="s">
        <v>656</v>
      </c>
      <c r="G364" s="21" t="s">
        <v>187</v>
      </c>
      <c r="H364" s="21">
        <v>541330</v>
      </c>
      <c r="I364" s="21" t="s">
        <v>28</v>
      </c>
      <c r="J364" s="21" t="s">
        <v>40</v>
      </c>
      <c r="K364" s="21" t="s">
        <v>278</v>
      </c>
      <c r="L364" s="22">
        <v>100000</v>
      </c>
      <c r="M364" s="22">
        <v>500000</v>
      </c>
      <c r="N364" s="21"/>
      <c r="O364" s="21" t="s">
        <v>278</v>
      </c>
      <c r="P364" s="21" t="s">
        <v>3</v>
      </c>
      <c r="Q364" s="21" t="s">
        <v>41</v>
      </c>
      <c r="R364" s="74">
        <v>2012</v>
      </c>
      <c r="S364" s="95" t="s">
        <v>680</v>
      </c>
      <c r="T364" s="21" t="s">
        <v>681</v>
      </c>
      <c r="U364" s="21" t="s">
        <v>682</v>
      </c>
      <c r="V364" s="21" t="s">
        <v>59</v>
      </c>
      <c r="W364" s="21" t="s">
        <v>673</v>
      </c>
      <c r="X364" s="21" t="s">
        <v>2482</v>
      </c>
      <c r="Y364" s="130"/>
      <c r="Z364" s="267"/>
      <c r="AA364" s="267"/>
      <c r="AB364" s="130"/>
    </row>
    <row r="365" spans="1:28" s="131" customFormat="1" ht="38.25" customHeight="1">
      <c r="A365" s="21" t="s">
        <v>1</v>
      </c>
      <c r="B365" s="21" t="s">
        <v>24</v>
      </c>
      <c r="C365" s="21" t="s">
        <v>3</v>
      </c>
      <c r="D365" s="21" t="s">
        <v>725</v>
      </c>
      <c r="E365" s="21" t="s">
        <v>138</v>
      </c>
      <c r="F365" s="21" t="s">
        <v>656</v>
      </c>
      <c r="G365" s="21" t="s">
        <v>187</v>
      </c>
      <c r="H365" s="21">
        <v>236220</v>
      </c>
      <c r="I365" s="21" t="s">
        <v>1968</v>
      </c>
      <c r="J365" s="21" t="s">
        <v>726</v>
      </c>
      <c r="K365" s="21" t="s">
        <v>691</v>
      </c>
      <c r="L365" s="22">
        <v>7200</v>
      </c>
      <c r="M365" s="22">
        <v>7200</v>
      </c>
      <c r="N365" s="21"/>
      <c r="O365" s="21" t="s">
        <v>727</v>
      </c>
      <c r="P365" s="21" t="s">
        <v>279</v>
      </c>
      <c r="Q365" s="21" t="s">
        <v>21</v>
      </c>
      <c r="R365" s="74">
        <v>2012</v>
      </c>
      <c r="S365" s="95" t="s">
        <v>728</v>
      </c>
      <c r="T365" s="21" t="s">
        <v>729</v>
      </c>
      <c r="U365" s="21" t="s">
        <v>730</v>
      </c>
      <c r="V365" s="21" t="s">
        <v>59</v>
      </c>
      <c r="W365" s="21" t="s">
        <v>1893</v>
      </c>
      <c r="X365" s="21" t="s">
        <v>2545</v>
      </c>
      <c r="Y365" s="130"/>
      <c r="Z365" s="267"/>
      <c r="AA365" s="267"/>
      <c r="AB365" s="130"/>
    </row>
    <row r="366" spans="1:28" s="131" customFormat="1" ht="38.25" customHeight="1">
      <c r="A366" s="21" t="s">
        <v>1</v>
      </c>
      <c r="B366" s="21" t="s">
        <v>24</v>
      </c>
      <c r="C366" s="21" t="s">
        <v>3</v>
      </c>
      <c r="D366" s="21" t="s">
        <v>731</v>
      </c>
      <c r="E366" s="21" t="s">
        <v>138</v>
      </c>
      <c r="F366" s="21" t="s">
        <v>656</v>
      </c>
      <c r="G366" s="21" t="s">
        <v>187</v>
      </c>
      <c r="H366" s="21">
        <v>236220</v>
      </c>
      <c r="I366" s="21" t="s">
        <v>1968</v>
      </c>
      <c r="J366" s="21" t="s">
        <v>732</v>
      </c>
      <c r="K366" s="21" t="s">
        <v>691</v>
      </c>
      <c r="L366" s="22">
        <v>1944.8</v>
      </c>
      <c r="M366" s="22">
        <v>1944.8</v>
      </c>
      <c r="N366" s="21"/>
      <c r="O366" s="21" t="s">
        <v>733</v>
      </c>
      <c r="P366" s="21" t="s">
        <v>279</v>
      </c>
      <c r="Q366" s="21" t="s">
        <v>31</v>
      </c>
      <c r="R366" s="74">
        <v>2012</v>
      </c>
      <c r="S366" s="95" t="s">
        <v>728</v>
      </c>
      <c r="T366" s="21" t="s">
        <v>729</v>
      </c>
      <c r="U366" s="21" t="s">
        <v>730</v>
      </c>
      <c r="V366" s="21" t="s">
        <v>59</v>
      </c>
      <c r="W366" s="21" t="s">
        <v>1894</v>
      </c>
      <c r="X366" s="21" t="s">
        <v>2545</v>
      </c>
      <c r="Y366" s="130"/>
      <c r="Z366" s="267"/>
      <c r="AA366" s="267"/>
      <c r="AB366" s="130"/>
    </row>
    <row r="367" spans="1:28" s="131" customFormat="1" ht="38.25" customHeight="1">
      <c r="A367" s="21" t="s">
        <v>1</v>
      </c>
      <c r="B367" s="21" t="s">
        <v>24</v>
      </c>
      <c r="C367" s="21" t="s">
        <v>3</v>
      </c>
      <c r="D367" s="21" t="s">
        <v>734</v>
      </c>
      <c r="E367" s="21" t="s">
        <v>138</v>
      </c>
      <c r="F367" s="21" t="s">
        <v>656</v>
      </c>
      <c r="G367" s="21" t="s">
        <v>187</v>
      </c>
      <c r="H367" s="21">
        <v>236220</v>
      </c>
      <c r="I367" s="21" t="s">
        <v>1968</v>
      </c>
      <c r="J367" s="21" t="s">
        <v>735</v>
      </c>
      <c r="K367" s="21" t="s">
        <v>691</v>
      </c>
      <c r="L367" s="22">
        <v>40840.76</v>
      </c>
      <c r="M367" s="22">
        <v>40840.76</v>
      </c>
      <c r="N367" s="21"/>
      <c r="O367" s="21" t="s">
        <v>736</v>
      </c>
      <c r="P367" s="21" t="s">
        <v>279</v>
      </c>
      <c r="Q367" s="21" t="s">
        <v>10</v>
      </c>
      <c r="R367" s="74">
        <v>2012</v>
      </c>
      <c r="S367" s="95" t="s">
        <v>728</v>
      </c>
      <c r="T367" s="21" t="s">
        <v>729</v>
      </c>
      <c r="U367" s="21" t="s">
        <v>730</v>
      </c>
      <c r="V367" s="21" t="s">
        <v>59</v>
      </c>
      <c r="W367" s="21" t="s">
        <v>1895</v>
      </c>
      <c r="X367" s="21" t="s">
        <v>2545</v>
      </c>
      <c r="Y367" s="130"/>
      <c r="Z367" s="267"/>
      <c r="AA367" s="267"/>
      <c r="AB367" s="130"/>
    </row>
    <row r="368" spans="1:28" s="131" customFormat="1" ht="38.25" customHeight="1">
      <c r="A368" s="21" t="s">
        <v>1</v>
      </c>
      <c r="B368" s="21" t="s">
        <v>24</v>
      </c>
      <c r="C368" s="21" t="s">
        <v>3</v>
      </c>
      <c r="D368" s="21" t="s">
        <v>737</v>
      </c>
      <c r="E368" s="21" t="s">
        <v>138</v>
      </c>
      <c r="F368" s="21" t="s">
        <v>656</v>
      </c>
      <c r="G368" s="21" t="s">
        <v>187</v>
      </c>
      <c r="H368" s="21">
        <v>236220</v>
      </c>
      <c r="I368" s="21" t="s">
        <v>1968</v>
      </c>
      <c r="J368" s="21" t="s">
        <v>735</v>
      </c>
      <c r="K368" s="21" t="s">
        <v>691</v>
      </c>
      <c r="L368" s="22">
        <v>3572.98</v>
      </c>
      <c r="M368" s="22">
        <v>3572.98</v>
      </c>
      <c r="N368" s="21"/>
      <c r="O368" s="21" t="s">
        <v>738</v>
      </c>
      <c r="P368" s="21" t="s">
        <v>279</v>
      </c>
      <c r="Q368" s="21" t="s">
        <v>21</v>
      </c>
      <c r="R368" s="74">
        <v>2012</v>
      </c>
      <c r="S368" s="95" t="s">
        <v>728</v>
      </c>
      <c r="T368" s="21" t="s">
        <v>729</v>
      </c>
      <c r="U368" s="21" t="s">
        <v>730</v>
      </c>
      <c r="V368" s="21" t="s">
        <v>59</v>
      </c>
      <c r="W368" s="21" t="s">
        <v>1896</v>
      </c>
      <c r="X368" s="21" t="s">
        <v>2545</v>
      </c>
      <c r="Y368" s="130"/>
      <c r="Z368" s="267"/>
      <c r="AA368" s="267"/>
      <c r="AB368" s="130"/>
    </row>
    <row r="369" spans="1:28" s="131" customFormat="1" ht="38.25" customHeight="1">
      <c r="A369" s="21" t="s">
        <v>1</v>
      </c>
      <c r="B369" s="21" t="s">
        <v>24</v>
      </c>
      <c r="C369" s="21" t="s">
        <v>2546</v>
      </c>
      <c r="D369" s="21" t="s">
        <v>739</v>
      </c>
      <c r="E369" s="21" t="s">
        <v>740</v>
      </c>
      <c r="F369" s="21" t="s">
        <v>656</v>
      </c>
      <c r="G369" s="21" t="s">
        <v>187</v>
      </c>
      <c r="H369" s="21">
        <v>561210</v>
      </c>
      <c r="I369" s="21" t="s">
        <v>6</v>
      </c>
      <c r="J369" s="21" t="s">
        <v>741</v>
      </c>
      <c r="K369" s="21" t="s">
        <v>742</v>
      </c>
      <c r="L369" s="22">
        <v>51370</v>
      </c>
      <c r="M369" s="22">
        <v>51370</v>
      </c>
      <c r="N369" s="21" t="s">
        <v>20</v>
      </c>
      <c r="O369" s="21" t="s">
        <v>743</v>
      </c>
      <c r="P369" s="21" t="s">
        <v>279</v>
      </c>
      <c r="Q369" s="21" t="s">
        <v>21</v>
      </c>
      <c r="R369" s="74">
        <v>2012</v>
      </c>
      <c r="S369" s="95" t="s">
        <v>744</v>
      </c>
      <c r="T369" s="21" t="s">
        <v>745</v>
      </c>
      <c r="U369" s="21" t="s">
        <v>746</v>
      </c>
      <c r="V369" s="21" t="s">
        <v>59</v>
      </c>
      <c r="W369" s="21"/>
      <c r="X369" s="21" t="s">
        <v>2510</v>
      </c>
      <c r="Y369" s="267"/>
      <c r="Z369" s="267"/>
      <c r="AA369" s="267"/>
      <c r="AB369" s="130"/>
    </row>
    <row r="370" spans="1:28" s="131" customFormat="1" ht="38.25" customHeight="1">
      <c r="A370" s="21" t="s">
        <v>1</v>
      </c>
      <c r="B370" s="21" t="s">
        <v>24</v>
      </c>
      <c r="C370" s="21" t="s">
        <v>3</v>
      </c>
      <c r="D370" s="21" t="s">
        <v>755</v>
      </c>
      <c r="E370" s="21" t="s">
        <v>756</v>
      </c>
      <c r="F370" s="21" t="s">
        <v>656</v>
      </c>
      <c r="G370" s="21" t="s">
        <v>187</v>
      </c>
      <c r="H370" s="21">
        <v>561720</v>
      </c>
      <c r="I370" s="21" t="s">
        <v>17</v>
      </c>
      <c r="J370" s="21" t="s">
        <v>329</v>
      </c>
      <c r="K370" s="21" t="s">
        <v>17</v>
      </c>
      <c r="L370" s="22">
        <v>185787.72</v>
      </c>
      <c r="M370" s="22">
        <v>185787.72</v>
      </c>
      <c r="N370" s="21" t="s">
        <v>20</v>
      </c>
      <c r="O370" s="21" t="s">
        <v>757</v>
      </c>
      <c r="P370" s="21"/>
      <c r="Q370" s="21" t="s">
        <v>31</v>
      </c>
      <c r="R370" s="74">
        <v>2012</v>
      </c>
      <c r="S370" s="95" t="s">
        <v>744</v>
      </c>
      <c r="T370" s="21" t="s">
        <v>745</v>
      </c>
      <c r="U370" s="21" t="s">
        <v>746</v>
      </c>
      <c r="V370" s="21" t="s">
        <v>59</v>
      </c>
      <c r="W370" s="21" t="s">
        <v>2547</v>
      </c>
      <c r="X370" s="21" t="s">
        <v>2510</v>
      </c>
      <c r="Y370" s="267"/>
      <c r="Z370" s="267"/>
      <c r="AA370" s="267"/>
      <c r="AB370" s="130"/>
    </row>
    <row r="371" spans="1:28" s="131" customFormat="1" ht="38.25" customHeight="1">
      <c r="A371" s="21" t="s">
        <v>1</v>
      </c>
      <c r="B371" s="21" t="s">
        <v>24</v>
      </c>
      <c r="C371" s="21" t="s">
        <v>3</v>
      </c>
      <c r="D371" s="21" t="s">
        <v>2548</v>
      </c>
      <c r="E371" s="21" t="s">
        <v>740</v>
      </c>
      <c r="F371" s="21" t="s">
        <v>656</v>
      </c>
      <c r="G371" s="21" t="s">
        <v>187</v>
      </c>
      <c r="H371" s="21">
        <v>561210</v>
      </c>
      <c r="I371" s="21"/>
      <c r="J371" s="21"/>
      <c r="K371" s="21" t="s">
        <v>742</v>
      </c>
      <c r="L371" s="22">
        <v>131846</v>
      </c>
      <c r="M371" s="22">
        <v>131846</v>
      </c>
      <c r="N371" s="21" t="s">
        <v>20</v>
      </c>
      <c r="O371" s="21" t="s">
        <v>743</v>
      </c>
      <c r="P371" s="21" t="s">
        <v>279</v>
      </c>
      <c r="Q371" s="21" t="s">
        <v>31</v>
      </c>
      <c r="R371" s="74">
        <v>2012</v>
      </c>
      <c r="S371" s="95" t="s">
        <v>744</v>
      </c>
      <c r="T371" s="21" t="s">
        <v>745</v>
      </c>
      <c r="U371" s="21" t="s">
        <v>746</v>
      </c>
      <c r="V371" s="21" t="s">
        <v>59</v>
      </c>
      <c r="W371" s="21"/>
      <c r="X371" s="21" t="s">
        <v>2510</v>
      </c>
      <c r="Y371" s="267"/>
      <c r="Z371" s="267"/>
      <c r="AA371" s="267"/>
      <c r="AB371" s="130"/>
    </row>
    <row r="372" spans="1:28" s="131" customFormat="1" ht="38.25" customHeight="1">
      <c r="A372" s="21" t="s">
        <v>1</v>
      </c>
      <c r="B372" s="21" t="s">
        <v>24</v>
      </c>
      <c r="C372" s="21"/>
      <c r="D372" s="21" t="s">
        <v>2807</v>
      </c>
      <c r="E372" s="21" t="s">
        <v>2808</v>
      </c>
      <c r="F372" s="21" t="s">
        <v>656</v>
      </c>
      <c r="G372" s="21" t="s">
        <v>187</v>
      </c>
      <c r="H372" s="21">
        <v>561210</v>
      </c>
      <c r="I372" s="21" t="s">
        <v>6</v>
      </c>
      <c r="J372" s="21" t="s">
        <v>741</v>
      </c>
      <c r="K372" s="21" t="s">
        <v>742</v>
      </c>
      <c r="L372" s="22">
        <v>30000</v>
      </c>
      <c r="M372" s="22">
        <v>30000</v>
      </c>
      <c r="N372" s="21" t="s">
        <v>20</v>
      </c>
      <c r="O372" s="21" t="s">
        <v>743</v>
      </c>
      <c r="P372" s="21" t="s">
        <v>279</v>
      </c>
      <c r="Q372" s="21" t="s">
        <v>21</v>
      </c>
      <c r="R372" s="74">
        <v>2013</v>
      </c>
      <c r="S372" s="21" t="s">
        <v>744</v>
      </c>
      <c r="T372" s="21" t="s">
        <v>745</v>
      </c>
      <c r="U372" s="21" t="s">
        <v>746</v>
      </c>
      <c r="V372" s="21" t="s">
        <v>2809</v>
      </c>
      <c r="W372" s="21"/>
      <c r="X372" s="21" t="s">
        <v>2510</v>
      </c>
      <c r="Y372" s="267"/>
      <c r="Z372" s="267"/>
      <c r="AA372" s="267"/>
      <c r="AB372" s="130"/>
    </row>
    <row r="373" spans="1:28" s="131" customFormat="1" ht="38.25" customHeight="1">
      <c r="A373" s="21" t="s">
        <v>1</v>
      </c>
      <c r="B373" s="21" t="s">
        <v>24</v>
      </c>
      <c r="C373" s="21" t="s">
        <v>45</v>
      </c>
      <c r="D373" s="21" t="s">
        <v>786</v>
      </c>
      <c r="E373" s="21" t="s">
        <v>138</v>
      </c>
      <c r="F373" s="21" t="s">
        <v>787</v>
      </c>
      <c r="G373" s="21" t="s">
        <v>211</v>
      </c>
      <c r="H373" s="21">
        <v>238210</v>
      </c>
      <c r="I373" s="21" t="s">
        <v>28</v>
      </c>
      <c r="J373" s="21" t="s">
        <v>73</v>
      </c>
      <c r="K373" s="21" t="s">
        <v>788</v>
      </c>
      <c r="L373" s="22">
        <v>1500000</v>
      </c>
      <c r="M373" s="22">
        <v>1500000</v>
      </c>
      <c r="N373" s="21"/>
      <c r="O373" s="21" t="s">
        <v>278</v>
      </c>
      <c r="P373" s="21" t="s">
        <v>279</v>
      </c>
      <c r="Q373" s="21" t="s">
        <v>41</v>
      </c>
      <c r="R373" s="74">
        <v>2012</v>
      </c>
      <c r="S373" s="95" t="s">
        <v>799</v>
      </c>
      <c r="T373" s="21" t="s">
        <v>819</v>
      </c>
      <c r="U373" s="214" t="s">
        <v>800</v>
      </c>
      <c r="V373" s="21" t="s">
        <v>59</v>
      </c>
      <c r="W373" s="21"/>
      <c r="X373" s="21" t="s">
        <v>2482</v>
      </c>
      <c r="Y373" s="267"/>
      <c r="Z373" s="267"/>
      <c r="AA373" s="267"/>
      <c r="AB373" s="130"/>
    </row>
    <row r="374" spans="1:28" s="131" customFormat="1" ht="38.25" customHeight="1">
      <c r="A374" s="21" t="s">
        <v>1</v>
      </c>
      <c r="B374" s="21" t="s">
        <v>24</v>
      </c>
      <c r="C374" s="21"/>
      <c r="D374" s="21" t="s">
        <v>797</v>
      </c>
      <c r="E374" s="21" t="s">
        <v>138</v>
      </c>
      <c r="F374" s="21" t="s">
        <v>787</v>
      </c>
      <c r="G374" s="21" t="s">
        <v>211</v>
      </c>
      <c r="H374" s="21">
        <v>238220</v>
      </c>
      <c r="I374" s="21" t="s">
        <v>6</v>
      </c>
      <c r="J374" s="21"/>
      <c r="K374" s="21" t="s">
        <v>691</v>
      </c>
      <c r="L374" s="22">
        <v>600000</v>
      </c>
      <c r="M374" s="22">
        <v>600000</v>
      </c>
      <c r="N374" s="21"/>
      <c r="O374" s="21" t="s">
        <v>278</v>
      </c>
      <c r="P374" s="21" t="s">
        <v>279</v>
      </c>
      <c r="Q374" s="21" t="s">
        <v>798</v>
      </c>
      <c r="R374" s="74">
        <v>2012</v>
      </c>
      <c r="S374" s="95" t="s">
        <v>799</v>
      </c>
      <c r="T374" s="21" t="s">
        <v>2549</v>
      </c>
      <c r="U374" s="21" t="s">
        <v>800</v>
      </c>
      <c r="V374" s="21" t="s">
        <v>59</v>
      </c>
      <c r="W374" s="21"/>
      <c r="X374" s="21" t="s">
        <v>2482</v>
      </c>
      <c r="Y374" s="130"/>
      <c r="Z374" s="267"/>
      <c r="AA374" s="267"/>
      <c r="AB374" s="130"/>
    </row>
    <row r="375" spans="1:28" s="131" customFormat="1" ht="38.25" customHeight="1">
      <c r="A375" s="21" t="s">
        <v>1</v>
      </c>
      <c r="B375" s="21" t="s">
        <v>24</v>
      </c>
      <c r="C375" s="21"/>
      <c r="D375" s="21" t="s">
        <v>824</v>
      </c>
      <c r="E375" s="21" t="s">
        <v>138</v>
      </c>
      <c r="F375" s="21" t="s">
        <v>825</v>
      </c>
      <c r="G375" s="21" t="s">
        <v>207</v>
      </c>
      <c r="H375" s="21">
        <v>236220</v>
      </c>
      <c r="I375" s="21" t="s">
        <v>28</v>
      </c>
      <c r="J375" s="21" t="s">
        <v>50</v>
      </c>
      <c r="K375" s="21" t="s">
        <v>698</v>
      </c>
      <c r="L375" s="22">
        <v>500000</v>
      </c>
      <c r="M375" s="22">
        <v>500000</v>
      </c>
      <c r="N375" s="21"/>
      <c r="O375" s="21" t="s">
        <v>278</v>
      </c>
      <c r="P375" s="21" t="s">
        <v>279</v>
      </c>
      <c r="Q375" s="21" t="s">
        <v>41</v>
      </c>
      <c r="R375" s="74">
        <v>2013</v>
      </c>
      <c r="S375" s="95" t="s">
        <v>793</v>
      </c>
      <c r="T375" s="21" t="s">
        <v>794</v>
      </c>
      <c r="U375" s="21" t="s">
        <v>795</v>
      </c>
      <c r="V375" s="21" t="s">
        <v>59</v>
      </c>
      <c r="W375" s="21"/>
      <c r="X375" s="21" t="s">
        <v>2482</v>
      </c>
      <c r="Y375" s="267"/>
      <c r="Z375" s="267"/>
      <c r="AA375" s="267"/>
      <c r="AB375" s="130"/>
    </row>
    <row r="376" spans="1:28" s="131" customFormat="1" ht="38.25" customHeight="1">
      <c r="A376" s="21" t="s">
        <v>1</v>
      </c>
      <c r="B376" s="21" t="s">
        <v>24</v>
      </c>
      <c r="C376" s="21"/>
      <c r="D376" s="21" t="s">
        <v>826</v>
      </c>
      <c r="E376" s="21" t="s">
        <v>138</v>
      </c>
      <c r="F376" s="21" t="s">
        <v>825</v>
      </c>
      <c r="G376" s="21" t="s">
        <v>207</v>
      </c>
      <c r="H376" s="21">
        <v>236220</v>
      </c>
      <c r="I376" s="21" t="s">
        <v>28</v>
      </c>
      <c r="J376" s="21" t="s">
        <v>50</v>
      </c>
      <c r="K376" s="21" t="s">
        <v>698</v>
      </c>
      <c r="L376" s="22">
        <v>750000</v>
      </c>
      <c r="M376" s="22">
        <v>750000</v>
      </c>
      <c r="N376" s="21"/>
      <c r="O376" s="21" t="s">
        <v>278</v>
      </c>
      <c r="P376" s="21" t="s">
        <v>279</v>
      </c>
      <c r="Q376" s="21" t="s">
        <v>41</v>
      </c>
      <c r="R376" s="74">
        <v>2013</v>
      </c>
      <c r="S376" s="95" t="s">
        <v>793</v>
      </c>
      <c r="T376" s="21" t="s">
        <v>794</v>
      </c>
      <c r="U376" s="21" t="s">
        <v>795</v>
      </c>
      <c r="V376" s="21" t="s">
        <v>59</v>
      </c>
      <c r="W376" s="21"/>
      <c r="X376" s="21" t="s">
        <v>2482</v>
      </c>
      <c r="Y376" s="267"/>
      <c r="Z376" s="267"/>
      <c r="AA376" s="267"/>
      <c r="AB376" s="130"/>
    </row>
    <row r="377" spans="1:28" s="131" customFormat="1" ht="38.25" customHeight="1">
      <c r="A377" s="21" t="s">
        <v>1</v>
      </c>
      <c r="B377" s="21" t="s">
        <v>24</v>
      </c>
      <c r="C377" s="21"/>
      <c r="D377" s="21" t="s">
        <v>827</v>
      </c>
      <c r="E377" s="21" t="s">
        <v>138</v>
      </c>
      <c r="F377" s="21" t="s">
        <v>825</v>
      </c>
      <c r="G377" s="21" t="s">
        <v>207</v>
      </c>
      <c r="H377" s="21">
        <v>236220</v>
      </c>
      <c r="I377" s="21" t="s">
        <v>28</v>
      </c>
      <c r="J377" s="21" t="s">
        <v>50</v>
      </c>
      <c r="K377" s="21" t="s">
        <v>698</v>
      </c>
      <c r="L377" s="22">
        <v>82000</v>
      </c>
      <c r="M377" s="22">
        <v>82000</v>
      </c>
      <c r="N377" s="21"/>
      <c r="O377" s="21" t="s">
        <v>278</v>
      </c>
      <c r="P377" s="21" t="s">
        <v>279</v>
      </c>
      <c r="Q377" s="21" t="s">
        <v>41</v>
      </c>
      <c r="R377" s="74">
        <v>2013</v>
      </c>
      <c r="S377" s="95" t="s">
        <v>793</v>
      </c>
      <c r="T377" s="21" t="s">
        <v>794</v>
      </c>
      <c r="U377" s="21" t="s">
        <v>795</v>
      </c>
      <c r="V377" s="21" t="s">
        <v>59</v>
      </c>
      <c r="W377" s="21"/>
      <c r="X377" s="21" t="s">
        <v>2482</v>
      </c>
      <c r="Y377" s="267"/>
      <c r="Z377" s="267"/>
      <c r="AA377" s="267"/>
      <c r="AB377" s="130"/>
    </row>
    <row r="378" spans="1:28" s="131" customFormat="1" ht="38.25" customHeight="1">
      <c r="A378" s="21" t="s">
        <v>1</v>
      </c>
      <c r="B378" s="21" t="s">
        <v>24</v>
      </c>
      <c r="C378" s="21"/>
      <c r="D378" s="21" t="s">
        <v>833</v>
      </c>
      <c r="E378" s="21" t="s">
        <v>138</v>
      </c>
      <c r="F378" s="21" t="s">
        <v>825</v>
      </c>
      <c r="G378" s="21" t="s">
        <v>207</v>
      </c>
      <c r="H378" s="21">
        <v>236220</v>
      </c>
      <c r="I378" s="21" t="s">
        <v>28</v>
      </c>
      <c r="J378" s="21" t="s">
        <v>50</v>
      </c>
      <c r="K378" s="21" t="s">
        <v>698</v>
      </c>
      <c r="L378" s="22">
        <v>75000</v>
      </c>
      <c r="M378" s="22">
        <v>75000</v>
      </c>
      <c r="N378" s="21"/>
      <c r="O378" s="21" t="s">
        <v>278</v>
      </c>
      <c r="P378" s="21" t="s">
        <v>279</v>
      </c>
      <c r="Q378" s="21" t="s">
        <v>41</v>
      </c>
      <c r="R378" s="74">
        <v>2013</v>
      </c>
      <c r="S378" s="95" t="s">
        <v>793</v>
      </c>
      <c r="T378" s="21" t="s">
        <v>794</v>
      </c>
      <c r="U378" s="21" t="s">
        <v>795</v>
      </c>
      <c r="V378" s="21" t="s">
        <v>59</v>
      </c>
      <c r="W378" s="21"/>
      <c r="X378" s="21" t="s">
        <v>2482</v>
      </c>
      <c r="Y378" s="267"/>
      <c r="Z378" s="267"/>
      <c r="AA378" s="267"/>
      <c r="AB378" s="130"/>
    </row>
    <row r="379" spans="1:28" s="131" customFormat="1" ht="38.25" customHeight="1">
      <c r="A379" s="21" t="s">
        <v>1</v>
      </c>
      <c r="B379" s="21" t="s">
        <v>24</v>
      </c>
      <c r="C379" s="21"/>
      <c r="D379" s="21" t="s">
        <v>801</v>
      </c>
      <c r="E379" s="21" t="s">
        <v>138</v>
      </c>
      <c r="F379" s="21" t="s">
        <v>802</v>
      </c>
      <c r="G379" s="21" t="s">
        <v>211</v>
      </c>
      <c r="H379" s="21">
        <v>238220</v>
      </c>
      <c r="I379" s="21" t="s">
        <v>6</v>
      </c>
      <c r="J379" s="21" t="s">
        <v>50</v>
      </c>
      <c r="K379" s="21" t="s">
        <v>691</v>
      </c>
      <c r="L379" s="22">
        <v>130000</v>
      </c>
      <c r="M379" s="22">
        <v>130000</v>
      </c>
      <c r="N379" s="21"/>
      <c r="O379" s="21" t="s">
        <v>278</v>
      </c>
      <c r="P379" s="21" t="s">
        <v>279</v>
      </c>
      <c r="Q379" s="21" t="s">
        <v>21</v>
      </c>
      <c r="R379" s="74">
        <v>2013</v>
      </c>
      <c r="S379" s="95" t="s">
        <v>783</v>
      </c>
      <c r="T379" s="21" t="s">
        <v>784</v>
      </c>
      <c r="U379" s="21" t="s">
        <v>785</v>
      </c>
      <c r="V379" s="21" t="s">
        <v>59</v>
      </c>
      <c r="W379" s="21" t="s">
        <v>803</v>
      </c>
      <c r="X379" s="21" t="s">
        <v>2482</v>
      </c>
      <c r="Y379" s="267"/>
      <c r="Z379" s="267"/>
      <c r="AA379" s="267"/>
      <c r="AB379" s="130"/>
    </row>
    <row r="380" spans="1:28" s="131" customFormat="1" ht="38.25" customHeight="1">
      <c r="A380" s="21" t="s">
        <v>1</v>
      </c>
      <c r="B380" s="21" t="s">
        <v>24</v>
      </c>
      <c r="C380" s="21"/>
      <c r="D380" s="21" t="s">
        <v>811</v>
      </c>
      <c r="E380" s="21" t="s">
        <v>138</v>
      </c>
      <c r="F380" s="21" t="s">
        <v>802</v>
      </c>
      <c r="G380" s="21" t="s">
        <v>211</v>
      </c>
      <c r="H380" s="21">
        <v>238220</v>
      </c>
      <c r="I380" s="21" t="s">
        <v>6</v>
      </c>
      <c r="J380" s="21" t="s">
        <v>50</v>
      </c>
      <c r="K380" s="21" t="s">
        <v>691</v>
      </c>
      <c r="L380" s="22">
        <v>450000</v>
      </c>
      <c r="M380" s="22">
        <v>450000</v>
      </c>
      <c r="N380" s="21"/>
      <c r="O380" s="21" t="s">
        <v>278</v>
      </c>
      <c r="P380" s="21" t="s">
        <v>279</v>
      </c>
      <c r="Q380" s="21" t="s">
        <v>798</v>
      </c>
      <c r="R380" s="74">
        <v>2012</v>
      </c>
      <c r="S380" s="95" t="s">
        <v>783</v>
      </c>
      <c r="T380" s="21" t="s">
        <v>784</v>
      </c>
      <c r="U380" s="21" t="s">
        <v>785</v>
      </c>
      <c r="V380" s="21" t="s">
        <v>59</v>
      </c>
      <c r="W380" s="21" t="s">
        <v>803</v>
      </c>
      <c r="X380" s="21" t="s">
        <v>2482</v>
      </c>
      <c r="Y380" s="130"/>
      <c r="Z380" s="130"/>
      <c r="AA380" s="130"/>
      <c r="AB380" s="130"/>
    </row>
    <row r="381" spans="1:28" s="131" customFormat="1" ht="38.25" customHeight="1">
      <c r="A381" s="21" t="s">
        <v>1</v>
      </c>
      <c r="B381" s="21" t="s">
        <v>24</v>
      </c>
      <c r="C381" s="21" t="s">
        <v>45</v>
      </c>
      <c r="D381" s="21" t="s">
        <v>863</v>
      </c>
      <c r="E381" s="21" t="s">
        <v>138</v>
      </c>
      <c r="F381" s="21" t="s">
        <v>802</v>
      </c>
      <c r="G381" s="21" t="s">
        <v>211</v>
      </c>
      <c r="H381" s="21">
        <v>236220</v>
      </c>
      <c r="I381" s="21" t="s">
        <v>17</v>
      </c>
      <c r="J381" s="21" t="s">
        <v>73</v>
      </c>
      <c r="K381" s="21" t="s">
        <v>767</v>
      </c>
      <c r="L381" s="22">
        <v>25000</v>
      </c>
      <c r="M381" s="22">
        <v>30000</v>
      </c>
      <c r="N381" s="21"/>
      <c r="O381" s="21"/>
      <c r="P381" s="21" t="s">
        <v>279</v>
      </c>
      <c r="Q381" s="21" t="s">
        <v>31</v>
      </c>
      <c r="R381" s="74">
        <v>2013</v>
      </c>
      <c r="S381" s="95" t="s">
        <v>864</v>
      </c>
      <c r="T381" s="21" t="s">
        <v>865</v>
      </c>
      <c r="U381" s="21" t="s">
        <v>866</v>
      </c>
      <c r="V381" s="21" t="s">
        <v>59</v>
      </c>
      <c r="W381" s="21"/>
      <c r="X381" s="21" t="s">
        <v>2550</v>
      </c>
      <c r="Y381" s="267"/>
      <c r="Z381" s="267"/>
      <c r="AA381" s="267"/>
      <c r="AB381" s="130"/>
    </row>
    <row r="382" spans="1:28" s="131" customFormat="1" ht="38.25" customHeight="1">
      <c r="A382" s="21" t="s">
        <v>1</v>
      </c>
      <c r="B382" s="21" t="s">
        <v>24</v>
      </c>
      <c r="C382" s="21" t="s">
        <v>45</v>
      </c>
      <c r="D382" s="21" t="s">
        <v>867</v>
      </c>
      <c r="E382" s="21" t="s">
        <v>138</v>
      </c>
      <c r="F382" s="21" t="s">
        <v>802</v>
      </c>
      <c r="G382" s="21" t="s">
        <v>211</v>
      </c>
      <c r="H382" s="21">
        <v>238220</v>
      </c>
      <c r="I382" s="21" t="s">
        <v>17</v>
      </c>
      <c r="J382" s="21" t="s">
        <v>73</v>
      </c>
      <c r="K382" s="21" t="s">
        <v>767</v>
      </c>
      <c r="L382" s="22">
        <v>100000</v>
      </c>
      <c r="M382" s="22">
        <v>105000</v>
      </c>
      <c r="N382" s="21"/>
      <c r="O382" s="21"/>
      <c r="P382" s="21" t="s">
        <v>279</v>
      </c>
      <c r="Q382" s="21" t="s">
        <v>31</v>
      </c>
      <c r="R382" s="74">
        <v>2013</v>
      </c>
      <c r="S382" s="95" t="s">
        <v>864</v>
      </c>
      <c r="T382" s="21" t="s">
        <v>865</v>
      </c>
      <c r="U382" s="21" t="s">
        <v>866</v>
      </c>
      <c r="V382" s="21" t="s">
        <v>59</v>
      </c>
      <c r="W382" s="21"/>
      <c r="X382" s="21" t="s">
        <v>2550</v>
      </c>
      <c r="Y382" s="267"/>
      <c r="Z382" s="267"/>
      <c r="AA382" s="267"/>
      <c r="AB382" s="130"/>
    </row>
    <row r="383" spans="1:28" s="131" customFormat="1" ht="38.25" customHeight="1">
      <c r="A383" s="21" t="s">
        <v>1</v>
      </c>
      <c r="B383" s="21" t="s">
        <v>24</v>
      </c>
      <c r="C383" s="21" t="s">
        <v>45</v>
      </c>
      <c r="D383" s="21" t="s">
        <v>868</v>
      </c>
      <c r="E383" s="21" t="s">
        <v>138</v>
      </c>
      <c r="F383" s="21" t="s">
        <v>802</v>
      </c>
      <c r="G383" s="21" t="s">
        <v>211</v>
      </c>
      <c r="H383" s="21">
        <v>238320</v>
      </c>
      <c r="I383" s="21" t="s">
        <v>17</v>
      </c>
      <c r="J383" s="21" t="s">
        <v>73</v>
      </c>
      <c r="K383" s="21" t="s">
        <v>767</v>
      </c>
      <c r="L383" s="22">
        <v>15000</v>
      </c>
      <c r="M383" s="22">
        <v>20000</v>
      </c>
      <c r="N383" s="21" t="s">
        <v>2551</v>
      </c>
      <c r="O383" s="21" t="s">
        <v>869</v>
      </c>
      <c r="P383" s="21" t="s">
        <v>279</v>
      </c>
      <c r="Q383" s="21" t="s">
        <v>21</v>
      </c>
      <c r="R383" s="74">
        <v>2012</v>
      </c>
      <c r="S383" s="95" t="s">
        <v>864</v>
      </c>
      <c r="T383" s="21" t="s">
        <v>865</v>
      </c>
      <c r="U383" s="21" t="s">
        <v>866</v>
      </c>
      <c r="V383" s="21" t="s">
        <v>59</v>
      </c>
      <c r="W383" s="21"/>
      <c r="X383" s="21" t="s">
        <v>2550</v>
      </c>
      <c r="Y383" s="267"/>
      <c r="Z383" s="267"/>
      <c r="AA383" s="267"/>
      <c r="AB383" s="130"/>
    </row>
    <row r="384" spans="1:28" s="131" customFormat="1" ht="38.25" customHeight="1">
      <c r="A384" s="21" t="s">
        <v>1</v>
      </c>
      <c r="B384" s="21" t="s">
        <v>24</v>
      </c>
      <c r="C384" s="21" t="s">
        <v>45</v>
      </c>
      <c r="D384" s="21" t="s">
        <v>870</v>
      </c>
      <c r="E384" s="21" t="s">
        <v>138</v>
      </c>
      <c r="F384" s="21" t="s">
        <v>802</v>
      </c>
      <c r="G384" s="21" t="s">
        <v>211</v>
      </c>
      <c r="H384" s="21">
        <v>236220</v>
      </c>
      <c r="I384" s="21" t="s">
        <v>17</v>
      </c>
      <c r="J384" s="21" t="s">
        <v>73</v>
      </c>
      <c r="K384" s="21" t="s">
        <v>767</v>
      </c>
      <c r="L384" s="22">
        <v>140000</v>
      </c>
      <c r="M384" s="22">
        <v>155000</v>
      </c>
      <c r="N384" s="21" t="s">
        <v>455</v>
      </c>
      <c r="O384" s="21" t="s">
        <v>869</v>
      </c>
      <c r="P384" s="21" t="s">
        <v>279</v>
      </c>
      <c r="Q384" s="21" t="s">
        <v>10</v>
      </c>
      <c r="R384" s="74">
        <v>2012</v>
      </c>
      <c r="S384" s="95" t="s">
        <v>864</v>
      </c>
      <c r="T384" s="21" t="s">
        <v>865</v>
      </c>
      <c r="U384" s="21" t="s">
        <v>866</v>
      </c>
      <c r="V384" s="21" t="s">
        <v>59</v>
      </c>
      <c r="W384" s="21" t="s">
        <v>871</v>
      </c>
      <c r="X384" s="21" t="s">
        <v>2550</v>
      </c>
      <c r="Y384" s="267"/>
      <c r="Z384" s="267"/>
      <c r="AA384" s="267"/>
      <c r="AB384" s="130"/>
    </row>
    <row r="385" spans="1:28" s="131" customFormat="1" ht="38.25" customHeight="1">
      <c r="A385" s="21" t="s">
        <v>1</v>
      </c>
      <c r="B385" s="21" t="s">
        <v>24</v>
      </c>
      <c r="C385" s="21" t="s">
        <v>45</v>
      </c>
      <c r="D385" s="21" t="s">
        <v>2552</v>
      </c>
      <c r="E385" s="21" t="s">
        <v>138</v>
      </c>
      <c r="F385" s="21" t="s">
        <v>802</v>
      </c>
      <c r="G385" s="21" t="s">
        <v>211</v>
      </c>
      <c r="H385" s="21">
        <v>25401</v>
      </c>
      <c r="I385" s="21" t="s">
        <v>28</v>
      </c>
      <c r="J385" s="21" t="s">
        <v>2553</v>
      </c>
      <c r="K385" s="21" t="s">
        <v>698</v>
      </c>
      <c r="L385" s="22">
        <v>25000</v>
      </c>
      <c r="M385" s="22">
        <v>30000</v>
      </c>
      <c r="N385" s="21" t="s">
        <v>455</v>
      </c>
      <c r="O385" s="21" t="s">
        <v>449</v>
      </c>
      <c r="P385" s="21" t="s">
        <v>2497</v>
      </c>
      <c r="Q385" s="21" t="s">
        <v>41</v>
      </c>
      <c r="R385" s="74">
        <v>2013</v>
      </c>
      <c r="S385" s="95" t="s">
        <v>864</v>
      </c>
      <c r="T385" s="21" t="s">
        <v>865</v>
      </c>
      <c r="U385" s="21" t="s">
        <v>866</v>
      </c>
      <c r="V385" s="21" t="s">
        <v>59</v>
      </c>
      <c r="W385" s="21"/>
      <c r="X385" s="21" t="s">
        <v>2550</v>
      </c>
      <c r="Y385" s="267"/>
      <c r="Z385" s="267"/>
      <c r="AA385" s="267"/>
      <c r="AB385" s="130"/>
    </row>
    <row r="386" spans="1:28" s="131" customFormat="1" ht="38.25" customHeight="1">
      <c r="A386" s="21" t="s">
        <v>1</v>
      </c>
      <c r="B386" s="21" t="s">
        <v>24</v>
      </c>
      <c r="C386" s="21" t="s">
        <v>45</v>
      </c>
      <c r="D386" s="21" t="s">
        <v>2552</v>
      </c>
      <c r="E386" s="21" t="s">
        <v>138</v>
      </c>
      <c r="F386" s="21" t="s">
        <v>802</v>
      </c>
      <c r="G386" s="21" t="s">
        <v>211</v>
      </c>
      <c r="H386" s="21">
        <v>25401</v>
      </c>
      <c r="I386" s="21" t="s">
        <v>28</v>
      </c>
      <c r="J386" s="21" t="s">
        <v>2553</v>
      </c>
      <c r="K386" s="21" t="s">
        <v>698</v>
      </c>
      <c r="L386" s="22">
        <v>75000</v>
      </c>
      <c r="M386" s="22">
        <v>80000</v>
      </c>
      <c r="N386" s="21" t="s">
        <v>455</v>
      </c>
      <c r="O386" s="21" t="s">
        <v>449</v>
      </c>
      <c r="P386" s="21" t="s">
        <v>279</v>
      </c>
      <c r="Q386" s="21" t="s">
        <v>31</v>
      </c>
      <c r="R386" s="74">
        <v>2013</v>
      </c>
      <c r="S386" s="95" t="s">
        <v>864</v>
      </c>
      <c r="T386" s="21" t="s">
        <v>865</v>
      </c>
      <c r="U386" s="21" t="s">
        <v>866</v>
      </c>
      <c r="V386" s="21" t="s">
        <v>59</v>
      </c>
      <c r="W386" s="21"/>
      <c r="X386" s="21" t="s">
        <v>2550</v>
      </c>
      <c r="Y386" s="267"/>
      <c r="Z386" s="267"/>
      <c r="AA386" s="267"/>
      <c r="AB386" s="130"/>
    </row>
    <row r="387" spans="1:28" s="131" customFormat="1" ht="38.25" customHeight="1">
      <c r="A387" s="21" t="s">
        <v>1</v>
      </c>
      <c r="B387" s="21" t="s">
        <v>24</v>
      </c>
      <c r="C387" s="21" t="s">
        <v>45</v>
      </c>
      <c r="D387" s="21" t="s">
        <v>2552</v>
      </c>
      <c r="E387" s="21" t="s">
        <v>138</v>
      </c>
      <c r="F387" s="21" t="s">
        <v>802</v>
      </c>
      <c r="G387" s="21" t="s">
        <v>211</v>
      </c>
      <c r="H387" s="21">
        <v>25401</v>
      </c>
      <c r="I387" s="21" t="s">
        <v>17</v>
      </c>
      <c r="J387" s="21" t="s">
        <v>73</v>
      </c>
      <c r="K387" s="21" t="s">
        <v>767</v>
      </c>
      <c r="L387" s="22">
        <v>25000</v>
      </c>
      <c r="M387" s="22">
        <v>35000</v>
      </c>
      <c r="N387" s="21" t="s">
        <v>455</v>
      </c>
      <c r="O387" s="21" t="s">
        <v>869</v>
      </c>
      <c r="P387" s="21" t="s">
        <v>279</v>
      </c>
      <c r="Q387" s="21" t="s">
        <v>31</v>
      </c>
      <c r="R387" s="74">
        <v>2013</v>
      </c>
      <c r="S387" s="95" t="s">
        <v>864</v>
      </c>
      <c r="T387" s="21" t="s">
        <v>865</v>
      </c>
      <c r="U387" s="21" t="s">
        <v>866</v>
      </c>
      <c r="V387" s="21" t="s">
        <v>59</v>
      </c>
      <c r="W387" s="21"/>
      <c r="X387" s="21" t="s">
        <v>2550</v>
      </c>
      <c r="Y387" s="267"/>
      <c r="Z387" s="267"/>
      <c r="AA387" s="267"/>
      <c r="AB387" s="130"/>
    </row>
    <row r="388" spans="1:28" s="131" customFormat="1" ht="38.25" customHeight="1">
      <c r="A388" s="21" t="s">
        <v>1</v>
      </c>
      <c r="B388" s="21" t="s">
        <v>24</v>
      </c>
      <c r="C388" s="21" t="s">
        <v>45</v>
      </c>
      <c r="D388" s="21" t="s">
        <v>2552</v>
      </c>
      <c r="E388" s="21" t="s">
        <v>138</v>
      </c>
      <c r="F388" s="21" t="s">
        <v>802</v>
      </c>
      <c r="G388" s="21" t="s">
        <v>211</v>
      </c>
      <c r="H388" s="21">
        <v>25401</v>
      </c>
      <c r="I388" s="21" t="s">
        <v>17</v>
      </c>
      <c r="J388" s="21" t="s">
        <v>73</v>
      </c>
      <c r="K388" s="21" t="s">
        <v>767</v>
      </c>
      <c r="L388" s="22">
        <v>25000</v>
      </c>
      <c r="M388" s="22">
        <v>35000</v>
      </c>
      <c r="N388" s="21" t="s">
        <v>455</v>
      </c>
      <c r="O388" s="21" t="s">
        <v>869</v>
      </c>
      <c r="P388" s="21" t="s">
        <v>279</v>
      </c>
      <c r="Q388" s="21" t="s">
        <v>2554</v>
      </c>
      <c r="R388" s="74">
        <v>2013</v>
      </c>
      <c r="S388" s="95" t="s">
        <v>864</v>
      </c>
      <c r="T388" s="21" t="s">
        <v>865</v>
      </c>
      <c r="U388" s="21" t="s">
        <v>866</v>
      </c>
      <c r="V388" s="21" t="s">
        <v>59</v>
      </c>
      <c r="W388" s="21"/>
      <c r="X388" s="21" t="s">
        <v>2550</v>
      </c>
      <c r="Y388" s="267"/>
      <c r="Z388" s="267"/>
      <c r="AA388" s="267"/>
      <c r="AB388" s="130"/>
    </row>
    <row r="389" spans="1:28" s="131" customFormat="1" ht="38.25" customHeight="1">
      <c r="A389" s="21" t="s">
        <v>1</v>
      </c>
      <c r="B389" s="21" t="s">
        <v>24</v>
      </c>
      <c r="C389" s="21"/>
      <c r="D389" s="21" t="s">
        <v>828</v>
      </c>
      <c r="E389" s="21" t="s">
        <v>138</v>
      </c>
      <c r="F389" s="21" t="s">
        <v>829</v>
      </c>
      <c r="G389" s="21" t="s">
        <v>211</v>
      </c>
      <c r="H389" s="21">
        <v>236220</v>
      </c>
      <c r="I389" s="21" t="s">
        <v>28</v>
      </c>
      <c r="J389" s="21" t="s">
        <v>50</v>
      </c>
      <c r="K389" s="21" t="s">
        <v>698</v>
      </c>
      <c r="L389" s="22">
        <v>400000</v>
      </c>
      <c r="M389" s="22">
        <v>400000</v>
      </c>
      <c r="N389" s="21"/>
      <c r="O389" s="21" t="s">
        <v>278</v>
      </c>
      <c r="P389" s="21" t="s">
        <v>279</v>
      </c>
      <c r="Q389" s="21" t="s">
        <v>41</v>
      </c>
      <c r="R389" s="74">
        <v>2013</v>
      </c>
      <c r="S389" s="95" t="s">
        <v>793</v>
      </c>
      <c r="T389" s="21" t="s">
        <v>794</v>
      </c>
      <c r="U389" s="21" t="s">
        <v>795</v>
      </c>
      <c r="V389" s="21" t="s">
        <v>59</v>
      </c>
      <c r="W389" s="21"/>
      <c r="X389" s="21" t="s">
        <v>2482</v>
      </c>
      <c r="Y389" s="267"/>
      <c r="Z389" s="267"/>
      <c r="AA389" s="267"/>
      <c r="AB389" s="130"/>
    </row>
    <row r="390" spans="1:28" s="131" customFormat="1" ht="38.25" customHeight="1">
      <c r="A390" s="21" t="s">
        <v>1</v>
      </c>
      <c r="B390" s="21" t="s">
        <v>24</v>
      </c>
      <c r="C390" s="21"/>
      <c r="D390" s="21" t="s">
        <v>832</v>
      </c>
      <c r="E390" s="21" t="s">
        <v>138</v>
      </c>
      <c r="F390" s="21" t="s">
        <v>829</v>
      </c>
      <c r="G390" s="21" t="s">
        <v>211</v>
      </c>
      <c r="H390" s="21">
        <v>236220</v>
      </c>
      <c r="I390" s="21" t="s">
        <v>28</v>
      </c>
      <c r="J390" s="21" t="s">
        <v>50</v>
      </c>
      <c r="K390" s="21" t="s">
        <v>698</v>
      </c>
      <c r="L390" s="22">
        <v>24000</v>
      </c>
      <c r="M390" s="22">
        <v>24000</v>
      </c>
      <c r="N390" s="21"/>
      <c r="O390" s="21" t="s">
        <v>278</v>
      </c>
      <c r="P390" s="21" t="s">
        <v>279</v>
      </c>
      <c r="Q390" s="21" t="s">
        <v>41</v>
      </c>
      <c r="R390" s="74">
        <v>2013</v>
      </c>
      <c r="S390" s="95" t="s">
        <v>793</v>
      </c>
      <c r="T390" s="21" t="s">
        <v>794</v>
      </c>
      <c r="U390" s="21" t="s">
        <v>795</v>
      </c>
      <c r="V390" s="21" t="s">
        <v>59</v>
      </c>
      <c r="W390" s="21"/>
      <c r="X390" s="21" t="s">
        <v>2482</v>
      </c>
      <c r="Y390" s="267"/>
      <c r="Z390" s="267"/>
      <c r="AA390" s="267"/>
      <c r="AB390" s="130"/>
    </row>
    <row r="391" spans="1:28" s="131" customFormat="1" ht="38.25" customHeight="1">
      <c r="A391" s="21" t="s">
        <v>1</v>
      </c>
      <c r="B391" s="21" t="s">
        <v>24</v>
      </c>
      <c r="C391" s="21"/>
      <c r="D391" s="21" t="s">
        <v>807</v>
      </c>
      <c r="E391" s="21" t="s">
        <v>138</v>
      </c>
      <c r="F391" s="21" t="s">
        <v>808</v>
      </c>
      <c r="G391" s="21" t="s">
        <v>211</v>
      </c>
      <c r="H391" s="21">
        <v>238220</v>
      </c>
      <c r="I391" s="21" t="s">
        <v>6</v>
      </c>
      <c r="J391" s="21"/>
      <c r="K391" s="21" t="s">
        <v>691</v>
      </c>
      <c r="L391" s="22">
        <v>600000</v>
      </c>
      <c r="M391" s="22">
        <v>600000</v>
      </c>
      <c r="N391" s="21"/>
      <c r="O391" s="21" t="s">
        <v>278</v>
      </c>
      <c r="P391" s="21" t="s">
        <v>279</v>
      </c>
      <c r="Q391" s="21" t="s">
        <v>21</v>
      </c>
      <c r="R391" s="74">
        <v>2013</v>
      </c>
      <c r="S391" s="95" t="s">
        <v>809</v>
      </c>
      <c r="T391" s="21"/>
      <c r="U391" s="21" t="s">
        <v>810</v>
      </c>
      <c r="V391" s="21" t="s">
        <v>59</v>
      </c>
      <c r="W391" s="21"/>
      <c r="X391" s="21" t="s">
        <v>2482</v>
      </c>
      <c r="Y391" s="267"/>
      <c r="Z391" s="267"/>
      <c r="AA391" s="267"/>
      <c r="AB391" s="130"/>
    </row>
    <row r="392" spans="1:28" s="131" customFormat="1" ht="38.25" customHeight="1">
      <c r="A392" s="21" t="s">
        <v>1</v>
      </c>
      <c r="B392" s="21" t="s">
        <v>24</v>
      </c>
      <c r="C392" s="21" t="s">
        <v>35</v>
      </c>
      <c r="D392" s="21" t="s">
        <v>708</v>
      </c>
      <c r="E392" s="21" t="s">
        <v>138</v>
      </c>
      <c r="F392" s="21" t="s">
        <v>709</v>
      </c>
      <c r="G392" s="21" t="s">
        <v>187</v>
      </c>
      <c r="H392" s="21">
        <v>236220</v>
      </c>
      <c r="I392" s="21" t="s">
        <v>6</v>
      </c>
      <c r="J392" s="21" t="s">
        <v>73</v>
      </c>
      <c r="K392" s="21" t="s">
        <v>691</v>
      </c>
      <c r="L392" s="22">
        <v>300000</v>
      </c>
      <c r="M392" s="22">
        <v>300000</v>
      </c>
      <c r="N392" s="21"/>
      <c r="O392" s="21" t="s">
        <v>278</v>
      </c>
      <c r="P392" s="21" t="s">
        <v>279</v>
      </c>
      <c r="Q392" s="21" t="s">
        <v>31</v>
      </c>
      <c r="R392" s="74">
        <v>2013</v>
      </c>
      <c r="S392" s="95" t="s">
        <v>2555</v>
      </c>
      <c r="T392" s="21" t="s">
        <v>2556</v>
      </c>
      <c r="U392" s="21" t="s">
        <v>2557</v>
      </c>
      <c r="V392" s="21" t="s">
        <v>59</v>
      </c>
      <c r="W392" s="21" t="s">
        <v>658</v>
      </c>
      <c r="X392" s="21" t="s">
        <v>2482</v>
      </c>
      <c r="Y392" s="267"/>
      <c r="Z392" s="267"/>
      <c r="AA392" s="267"/>
      <c r="AB392" s="130"/>
    </row>
    <row r="393" spans="1:28" s="131" customFormat="1" ht="38.25" customHeight="1">
      <c r="A393" s="21" t="s">
        <v>1</v>
      </c>
      <c r="B393" s="21" t="s">
        <v>24</v>
      </c>
      <c r="C393" s="21" t="s">
        <v>45</v>
      </c>
      <c r="D393" s="21" t="s">
        <v>854</v>
      </c>
      <c r="E393" s="21" t="s">
        <v>138</v>
      </c>
      <c r="F393" s="21" t="s">
        <v>855</v>
      </c>
      <c r="G393" s="21" t="s">
        <v>145</v>
      </c>
      <c r="H393" s="21">
        <v>561621</v>
      </c>
      <c r="I393" s="21" t="s">
        <v>837</v>
      </c>
      <c r="J393" s="21"/>
      <c r="K393" s="21" t="s">
        <v>856</v>
      </c>
      <c r="L393" s="22">
        <v>30000</v>
      </c>
      <c r="M393" s="22">
        <v>35000</v>
      </c>
      <c r="N393" s="21"/>
      <c r="O393" s="21" t="s">
        <v>857</v>
      </c>
      <c r="P393" s="21" t="s">
        <v>279</v>
      </c>
      <c r="Q393" s="21" t="s">
        <v>2558</v>
      </c>
      <c r="R393" s="74">
        <v>2011</v>
      </c>
      <c r="S393" s="95" t="s">
        <v>858</v>
      </c>
      <c r="T393" s="21" t="s">
        <v>859</v>
      </c>
      <c r="U393" s="21" t="s">
        <v>860</v>
      </c>
      <c r="V393" s="21" t="s">
        <v>59</v>
      </c>
      <c r="W393" s="21"/>
      <c r="X393" s="21" t="s">
        <v>2550</v>
      </c>
      <c r="Y393" s="267"/>
      <c r="Z393" s="267"/>
      <c r="AA393" s="267"/>
      <c r="AB393" s="130"/>
    </row>
    <row r="394" spans="1:28" s="131" customFormat="1" ht="38.25" customHeight="1">
      <c r="A394" s="21" t="s">
        <v>1</v>
      </c>
      <c r="B394" s="21" t="s">
        <v>24</v>
      </c>
      <c r="C394" s="21" t="s">
        <v>45</v>
      </c>
      <c r="D394" s="21" t="s">
        <v>861</v>
      </c>
      <c r="E394" s="21" t="s">
        <v>138</v>
      </c>
      <c r="F394" s="21" t="s">
        <v>855</v>
      </c>
      <c r="G394" s="21" t="s">
        <v>145</v>
      </c>
      <c r="H394" s="21">
        <v>236220</v>
      </c>
      <c r="I394" s="21" t="s">
        <v>837</v>
      </c>
      <c r="J394" s="21"/>
      <c r="K394" s="21" t="s">
        <v>856</v>
      </c>
      <c r="L394" s="22">
        <v>100000</v>
      </c>
      <c r="M394" s="22">
        <v>110000</v>
      </c>
      <c r="N394" s="21"/>
      <c r="O394" s="21" t="s">
        <v>862</v>
      </c>
      <c r="P394" s="21" t="s">
        <v>279</v>
      </c>
      <c r="Q394" s="21" t="s">
        <v>10</v>
      </c>
      <c r="R394" s="74">
        <v>2012</v>
      </c>
      <c r="S394" s="95" t="s">
        <v>858</v>
      </c>
      <c r="T394" s="21" t="s">
        <v>859</v>
      </c>
      <c r="U394" s="21" t="s">
        <v>860</v>
      </c>
      <c r="V394" s="21" t="s">
        <v>59</v>
      </c>
      <c r="W394" s="21"/>
      <c r="X394" s="21" t="s">
        <v>2550</v>
      </c>
      <c r="Y394" s="267"/>
      <c r="Z394" s="267"/>
      <c r="AA394" s="267"/>
      <c r="AB394" s="130"/>
    </row>
    <row r="395" spans="1:28" s="131" customFormat="1" ht="38.25" customHeight="1">
      <c r="A395" s="21" t="s">
        <v>1</v>
      </c>
      <c r="B395" s="21" t="s">
        <v>24</v>
      </c>
      <c r="C395" s="21" t="s">
        <v>45</v>
      </c>
      <c r="D395" s="21" t="s">
        <v>705</v>
      </c>
      <c r="E395" s="21" t="s">
        <v>26</v>
      </c>
      <c r="F395" s="21" t="s">
        <v>706</v>
      </c>
      <c r="G395" s="21" t="s">
        <v>187</v>
      </c>
      <c r="H395" s="21">
        <v>541330</v>
      </c>
      <c r="I395" s="21" t="s">
        <v>6</v>
      </c>
      <c r="J395" s="21" t="s">
        <v>40</v>
      </c>
      <c r="K395" s="21" t="s">
        <v>449</v>
      </c>
      <c r="L395" s="22">
        <v>75000</v>
      </c>
      <c r="M395" s="22">
        <v>75000</v>
      </c>
      <c r="N395" s="21"/>
      <c r="O395" s="21" t="s">
        <v>278</v>
      </c>
      <c r="P395" s="21" t="s">
        <v>279</v>
      </c>
      <c r="Q395" s="21" t="s">
        <v>31</v>
      </c>
      <c r="R395" s="74">
        <v>2013</v>
      </c>
      <c r="S395" s="95" t="s">
        <v>720</v>
      </c>
      <c r="T395" s="21" t="s">
        <v>721</v>
      </c>
      <c r="U395" s="21" t="s">
        <v>722</v>
      </c>
      <c r="V395" s="21" t="s">
        <v>59</v>
      </c>
      <c r="W395" s="21" t="s">
        <v>658</v>
      </c>
      <c r="X395" s="21" t="s">
        <v>2482</v>
      </c>
      <c r="Y395" s="267"/>
      <c r="Z395" s="267"/>
      <c r="AA395" s="267"/>
      <c r="AB395" s="130"/>
    </row>
    <row r="396" spans="1:28" s="131" customFormat="1" ht="38.25" customHeight="1">
      <c r="A396" s="21" t="s">
        <v>1</v>
      </c>
      <c r="B396" s="21" t="s">
        <v>24</v>
      </c>
      <c r="C396" s="21" t="s">
        <v>45</v>
      </c>
      <c r="D396" s="21" t="s">
        <v>2552</v>
      </c>
      <c r="E396" s="21" t="s">
        <v>138</v>
      </c>
      <c r="F396" s="21" t="s">
        <v>802</v>
      </c>
      <c r="G396" s="21" t="s">
        <v>211</v>
      </c>
      <c r="H396" s="21">
        <v>25401</v>
      </c>
      <c r="I396" s="21" t="s">
        <v>28</v>
      </c>
      <c r="J396" s="21" t="s">
        <v>2553</v>
      </c>
      <c r="K396" s="21" t="s">
        <v>698</v>
      </c>
      <c r="L396" s="22">
        <v>25000</v>
      </c>
      <c r="M396" s="22">
        <v>30000</v>
      </c>
      <c r="N396" s="21" t="s">
        <v>455</v>
      </c>
      <c r="O396" s="21" t="s">
        <v>2559</v>
      </c>
      <c r="P396" s="21" t="s">
        <v>279</v>
      </c>
      <c r="Q396" s="21" t="s">
        <v>31</v>
      </c>
      <c r="R396" s="74">
        <v>2013</v>
      </c>
      <c r="S396" s="95" t="s">
        <v>864</v>
      </c>
      <c r="T396" s="21" t="s">
        <v>865</v>
      </c>
      <c r="U396" s="21" t="s">
        <v>866</v>
      </c>
      <c r="V396" s="21" t="s">
        <v>59</v>
      </c>
      <c r="W396" s="21"/>
      <c r="X396" s="21" t="s">
        <v>2550</v>
      </c>
      <c r="Y396" s="267"/>
      <c r="Z396" s="267"/>
      <c r="AA396" s="267"/>
      <c r="AB396" s="130"/>
    </row>
    <row r="397" spans="1:28" s="131" customFormat="1" ht="38.25" customHeight="1">
      <c r="A397" s="21" t="s">
        <v>1</v>
      </c>
      <c r="B397" s="21" t="s">
        <v>24</v>
      </c>
      <c r="C397" s="21" t="s">
        <v>3</v>
      </c>
      <c r="D397" s="21" t="s">
        <v>752</v>
      </c>
      <c r="E397" s="21" t="s">
        <v>138</v>
      </c>
      <c r="F397" s="21" t="s">
        <v>753</v>
      </c>
      <c r="G397" s="21" t="s">
        <v>167</v>
      </c>
      <c r="H397" s="21">
        <v>236220</v>
      </c>
      <c r="I397" s="21" t="s">
        <v>2560</v>
      </c>
      <c r="J397" s="21" t="s">
        <v>329</v>
      </c>
      <c r="K397" s="21" t="s">
        <v>748</v>
      </c>
      <c r="L397" s="22">
        <v>61618.86</v>
      </c>
      <c r="M397" s="22">
        <v>61818.86</v>
      </c>
      <c r="N397" s="21" t="s">
        <v>20</v>
      </c>
      <c r="O397" s="21" t="s">
        <v>754</v>
      </c>
      <c r="P397" s="21"/>
      <c r="Q397" s="21" t="s">
        <v>41</v>
      </c>
      <c r="R397" s="74">
        <v>2012</v>
      </c>
      <c r="S397" s="95" t="s">
        <v>744</v>
      </c>
      <c r="T397" s="21" t="s">
        <v>745</v>
      </c>
      <c r="U397" s="21" t="s">
        <v>746</v>
      </c>
      <c r="V397" s="21" t="s">
        <v>59</v>
      </c>
      <c r="W397" s="21"/>
      <c r="X397" s="21" t="s">
        <v>2510</v>
      </c>
      <c r="Y397" s="267"/>
      <c r="Z397" s="267"/>
      <c r="AA397" s="267"/>
      <c r="AB397" s="130"/>
    </row>
    <row r="398" spans="1:28" s="131" customFormat="1" ht="38.25" customHeight="1">
      <c r="A398" s="21" t="s">
        <v>1</v>
      </c>
      <c r="B398" s="21" t="s">
        <v>24</v>
      </c>
      <c r="C398" s="21"/>
      <c r="D398" s="21" t="s">
        <v>817</v>
      </c>
      <c r="E398" s="21" t="s">
        <v>138</v>
      </c>
      <c r="F398" s="21" t="s">
        <v>818</v>
      </c>
      <c r="G398" s="21" t="s">
        <v>211</v>
      </c>
      <c r="H398" s="21">
        <v>236220</v>
      </c>
      <c r="I398" s="21" t="s">
        <v>28</v>
      </c>
      <c r="J398" s="21" t="s">
        <v>50</v>
      </c>
      <c r="K398" s="21" t="s">
        <v>691</v>
      </c>
      <c r="L398" s="22">
        <v>350000</v>
      </c>
      <c r="M398" s="22">
        <v>350000</v>
      </c>
      <c r="N398" s="21"/>
      <c r="O398" s="21" t="s">
        <v>278</v>
      </c>
      <c r="P398" s="21" t="s">
        <v>279</v>
      </c>
      <c r="Q398" s="21" t="s">
        <v>21</v>
      </c>
      <c r="R398" s="74">
        <v>2013</v>
      </c>
      <c r="S398" s="95" t="s">
        <v>799</v>
      </c>
      <c r="T398" s="21" t="s">
        <v>819</v>
      </c>
      <c r="U398" s="21" t="s">
        <v>800</v>
      </c>
      <c r="V398" s="21" t="s">
        <v>59</v>
      </c>
      <c r="W398" s="21"/>
      <c r="X398" s="21" t="s">
        <v>2482</v>
      </c>
      <c r="Y398" s="267"/>
      <c r="Z398" s="267"/>
      <c r="AA398" s="267"/>
      <c r="AB398" s="130"/>
    </row>
    <row r="399" spans="1:28" s="131" customFormat="1" ht="38.25" customHeight="1">
      <c r="A399" s="21" t="s">
        <v>1</v>
      </c>
      <c r="B399" s="21" t="s">
        <v>24</v>
      </c>
      <c r="C399" s="21" t="s">
        <v>35</v>
      </c>
      <c r="D399" s="21" t="s">
        <v>765</v>
      </c>
      <c r="E399" s="21" t="s">
        <v>138</v>
      </c>
      <c r="F399" s="21" t="s">
        <v>766</v>
      </c>
      <c r="G399" s="21" t="s">
        <v>145</v>
      </c>
      <c r="H399" s="21">
        <v>238210</v>
      </c>
      <c r="I399" s="21" t="s">
        <v>17</v>
      </c>
      <c r="J399" s="21" t="s">
        <v>73</v>
      </c>
      <c r="K399" s="21" t="s">
        <v>767</v>
      </c>
      <c r="L399" s="22">
        <v>500000</v>
      </c>
      <c r="M399" s="22">
        <v>1000000</v>
      </c>
      <c r="N399" s="21"/>
      <c r="O399" s="21" t="s">
        <v>278</v>
      </c>
      <c r="P399" s="21" t="s">
        <v>279</v>
      </c>
      <c r="Q399" s="21" t="s">
        <v>768</v>
      </c>
      <c r="R399" s="74">
        <v>2012</v>
      </c>
      <c r="S399" s="95" t="s">
        <v>769</v>
      </c>
      <c r="T399" s="21" t="s">
        <v>770</v>
      </c>
      <c r="U399" s="21" t="s">
        <v>771</v>
      </c>
      <c r="V399" s="21" t="s">
        <v>59</v>
      </c>
      <c r="W399" s="21" t="s">
        <v>658</v>
      </c>
      <c r="X399" s="21" t="s">
        <v>2482</v>
      </c>
      <c r="Y399" s="267"/>
      <c r="Z399" s="267"/>
      <c r="AA399" s="267"/>
      <c r="AB399" s="130"/>
    </row>
    <row r="400" spans="1:28" s="131" customFormat="1" ht="38.25" customHeight="1">
      <c r="A400" s="21" t="s">
        <v>1</v>
      </c>
      <c r="B400" s="21" t="s">
        <v>24</v>
      </c>
      <c r="C400" s="21"/>
      <c r="D400" s="21" t="s">
        <v>834</v>
      </c>
      <c r="E400" s="21" t="s">
        <v>138</v>
      </c>
      <c r="F400" s="21" t="s">
        <v>766</v>
      </c>
      <c r="G400" s="21" t="s">
        <v>145</v>
      </c>
      <c r="H400" s="21">
        <v>236220</v>
      </c>
      <c r="I400" s="21" t="s">
        <v>28</v>
      </c>
      <c r="J400" s="21" t="s">
        <v>50</v>
      </c>
      <c r="K400" s="21" t="s">
        <v>698</v>
      </c>
      <c r="L400" s="22">
        <v>20000</v>
      </c>
      <c r="M400" s="22">
        <v>20000</v>
      </c>
      <c r="N400" s="21"/>
      <c r="O400" s="21" t="s">
        <v>278</v>
      </c>
      <c r="P400" s="21" t="s">
        <v>279</v>
      </c>
      <c r="Q400" s="21" t="s">
        <v>41</v>
      </c>
      <c r="R400" s="74">
        <v>2013</v>
      </c>
      <c r="S400" s="95" t="s">
        <v>793</v>
      </c>
      <c r="T400" s="21" t="s">
        <v>794</v>
      </c>
      <c r="U400" s="21" t="s">
        <v>795</v>
      </c>
      <c r="V400" s="21" t="s">
        <v>59</v>
      </c>
      <c r="W400" s="21"/>
      <c r="X400" s="21" t="s">
        <v>2482</v>
      </c>
      <c r="Y400" s="267"/>
      <c r="Z400" s="267"/>
      <c r="AA400" s="267"/>
      <c r="AB400" s="130"/>
    </row>
    <row r="401" spans="1:28" s="131" customFormat="1" ht="38.25" customHeight="1">
      <c r="A401" s="21" t="s">
        <v>1</v>
      </c>
      <c r="B401" s="21" t="s">
        <v>24</v>
      </c>
      <c r="C401" s="21" t="s">
        <v>45</v>
      </c>
      <c r="D401" s="21" t="s">
        <v>835</v>
      </c>
      <c r="E401" s="21" t="s">
        <v>836</v>
      </c>
      <c r="F401" s="21" t="s">
        <v>766</v>
      </c>
      <c r="G401" s="21" t="s">
        <v>145</v>
      </c>
      <c r="H401" s="21">
        <v>531120</v>
      </c>
      <c r="I401" s="21" t="s">
        <v>837</v>
      </c>
      <c r="J401" s="21" t="s">
        <v>838</v>
      </c>
      <c r="K401" s="21" t="s">
        <v>839</v>
      </c>
      <c r="L401" s="22">
        <v>25000</v>
      </c>
      <c r="M401" s="22"/>
      <c r="N401" s="21"/>
      <c r="O401" s="21" t="s">
        <v>278</v>
      </c>
      <c r="P401" s="21" t="s">
        <v>279</v>
      </c>
      <c r="Q401" s="21" t="s">
        <v>41</v>
      </c>
      <c r="R401" s="74">
        <v>2012</v>
      </c>
      <c r="S401" s="95" t="s">
        <v>840</v>
      </c>
      <c r="T401" s="21" t="s">
        <v>841</v>
      </c>
      <c r="U401" s="21" t="s">
        <v>842</v>
      </c>
      <c r="V401" s="21" t="s">
        <v>59</v>
      </c>
      <c r="W401" s="21" t="s">
        <v>663</v>
      </c>
      <c r="X401" s="21" t="s">
        <v>2487</v>
      </c>
      <c r="Y401" s="130"/>
      <c r="Z401" s="130"/>
      <c r="AA401" s="267"/>
      <c r="AB401" s="130"/>
    </row>
    <row r="402" spans="1:28" s="131" customFormat="1" ht="38.25" customHeight="1">
      <c r="A402" s="21" t="s">
        <v>1</v>
      </c>
      <c r="B402" s="21" t="s">
        <v>24</v>
      </c>
      <c r="C402" s="21"/>
      <c r="D402" s="21" t="s">
        <v>843</v>
      </c>
      <c r="E402" s="21" t="s">
        <v>138</v>
      </c>
      <c r="F402" s="21" t="s">
        <v>766</v>
      </c>
      <c r="G402" s="21" t="s">
        <v>145</v>
      </c>
      <c r="H402" s="21">
        <v>236220</v>
      </c>
      <c r="I402" s="21" t="s">
        <v>17</v>
      </c>
      <c r="J402" s="21" t="s">
        <v>329</v>
      </c>
      <c r="K402" s="21" t="s">
        <v>767</v>
      </c>
      <c r="L402" s="22">
        <v>20000</v>
      </c>
      <c r="M402" s="22"/>
      <c r="N402" s="21"/>
      <c r="O402" s="21" t="s">
        <v>278</v>
      </c>
      <c r="P402" s="21" t="s">
        <v>279</v>
      </c>
      <c r="Q402" s="21" t="s">
        <v>41</v>
      </c>
      <c r="R402" s="74">
        <v>2012</v>
      </c>
      <c r="S402" s="95" t="s">
        <v>840</v>
      </c>
      <c r="T402" s="21" t="s">
        <v>841</v>
      </c>
      <c r="U402" s="21" t="s">
        <v>842</v>
      </c>
      <c r="V402" s="21" t="s">
        <v>59</v>
      </c>
      <c r="W402" s="21" t="s">
        <v>663</v>
      </c>
      <c r="X402" s="21" t="s">
        <v>2487</v>
      </c>
      <c r="Y402" s="130"/>
      <c r="Z402" s="130"/>
      <c r="AA402" s="267"/>
      <c r="AB402" s="130"/>
    </row>
    <row r="403" spans="1:28" s="131" customFormat="1" ht="38.25" customHeight="1">
      <c r="A403" s="21" t="s">
        <v>1</v>
      </c>
      <c r="B403" s="21" t="s">
        <v>24</v>
      </c>
      <c r="C403" s="21"/>
      <c r="D403" s="21" t="s">
        <v>846</v>
      </c>
      <c r="E403" s="21" t="s">
        <v>138</v>
      </c>
      <c r="F403" s="21" t="s">
        <v>766</v>
      </c>
      <c r="G403" s="21" t="s">
        <v>145</v>
      </c>
      <c r="H403" s="21">
        <v>238330</v>
      </c>
      <c r="I403" s="21" t="s">
        <v>17</v>
      </c>
      <c r="J403" s="21" t="s">
        <v>329</v>
      </c>
      <c r="K403" s="21" t="s">
        <v>844</v>
      </c>
      <c r="L403" s="22">
        <v>20000</v>
      </c>
      <c r="M403" s="22"/>
      <c r="N403" s="21"/>
      <c r="O403" s="21" t="s">
        <v>278</v>
      </c>
      <c r="P403" s="21" t="s">
        <v>279</v>
      </c>
      <c r="Q403" s="21" t="s">
        <v>10</v>
      </c>
      <c r="R403" s="74">
        <v>2013</v>
      </c>
      <c r="S403" s="95" t="s">
        <v>840</v>
      </c>
      <c r="T403" s="21" t="s">
        <v>841</v>
      </c>
      <c r="U403" s="21" t="s">
        <v>842</v>
      </c>
      <c r="V403" s="21" t="s">
        <v>59</v>
      </c>
      <c r="W403" s="21" t="s">
        <v>663</v>
      </c>
      <c r="X403" s="21" t="s">
        <v>2487</v>
      </c>
      <c r="Y403" s="130"/>
      <c r="Z403" s="130"/>
      <c r="AA403" s="267"/>
      <c r="AB403" s="130"/>
    </row>
    <row r="404" spans="1:28" s="131" customFormat="1" ht="38.25" customHeight="1">
      <c r="A404" s="21" t="s">
        <v>1</v>
      </c>
      <c r="B404" s="21" t="s">
        <v>24</v>
      </c>
      <c r="C404" s="21"/>
      <c r="D404" s="21" t="s">
        <v>847</v>
      </c>
      <c r="E404" s="21" t="s">
        <v>836</v>
      </c>
      <c r="F404" s="21" t="s">
        <v>766</v>
      </c>
      <c r="G404" s="21" t="s">
        <v>145</v>
      </c>
      <c r="H404" s="21">
        <v>531120</v>
      </c>
      <c r="I404" s="21" t="s">
        <v>837</v>
      </c>
      <c r="J404" s="21" t="s">
        <v>848</v>
      </c>
      <c r="K404" s="21" t="s">
        <v>839</v>
      </c>
      <c r="L404" s="22">
        <v>20000</v>
      </c>
      <c r="M404" s="22"/>
      <c r="N404" s="21"/>
      <c r="O404" s="21" t="s">
        <v>278</v>
      </c>
      <c r="P404" s="21" t="s">
        <v>279</v>
      </c>
      <c r="Q404" s="21" t="s">
        <v>31</v>
      </c>
      <c r="R404" s="74">
        <v>2012</v>
      </c>
      <c r="S404" s="95" t="s">
        <v>840</v>
      </c>
      <c r="T404" s="21" t="s">
        <v>841</v>
      </c>
      <c r="U404" s="21" t="s">
        <v>842</v>
      </c>
      <c r="V404" s="21" t="s">
        <v>59</v>
      </c>
      <c r="W404" s="21" t="s">
        <v>663</v>
      </c>
      <c r="X404" s="21" t="s">
        <v>2487</v>
      </c>
      <c r="Y404" s="130"/>
      <c r="Z404" s="130"/>
      <c r="AA404" s="267"/>
      <c r="AB404" s="130"/>
    </row>
    <row r="405" spans="1:28" s="131" customFormat="1" ht="38.25" customHeight="1">
      <c r="A405" s="21" t="s">
        <v>1</v>
      </c>
      <c r="B405" s="21" t="s">
        <v>24</v>
      </c>
      <c r="C405" s="21"/>
      <c r="D405" s="21" t="s">
        <v>849</v>
      </c>
      <c r="E405" s="21" t="s">
        <v>138</v>
      </c>
      <c r="F405" s="21" t="s">
        <v>766</v>
      </c>
      <c r="G405" s="21" t="s">
        <v>145</v>
      </c>
      <c r="H405" s="21">
        <v>238210</v>
      </c>
      <c r="I405" s="21" t="s">
        <v>17</v>
      </c>
      <c r="J405" s="21" t="s">
        <v>329</v>
      </c>
      <c r="K405" s="21" t="s">
        <v>844</v>
      </c>
      <c r="L405" s="22">
        <v>20000</v>
      </c>
      <c r="M405" s="22"/>
      <c r="N405" s="21"/>
      <c r="O405" s="21" t="s">
        <v>278</v>
      </c>
      <c r="P405" s="21" t="s">
        <v>279</v>
      </c>
      <c r="Q405" s="21" t="s">
        <v>31</v>
      </c>
      <c r="R405" s="74">
        <v>2012</v>
      </c>
      <c r="S405" s="95" t="s">
        <v>840</v>
      </c>
      <c r="T405" s="21" t="s">
        <v>841</v>
      </c>
      <c r="U405" s="21" t="s">
        <v>842</v>
      </c>
      <c r="V405" s="21" t="s">
        <v>59</v>
      </c>
      <c r="W405" s="21" t="s">
        <v>663</v>
      </c>
      <c r="X405" s="21" t="s">
        <v>2487</v>
      </c>
      <c r="Y405" s="130"/>
      <c r="Z405" s="130"/>
      <c r="AA405" s="267"/>
      <c r="AB405" s="130"/>
    </row>
    <row r="406" spans="1:28" s="131" customFormat="1" ht="38.25" customHeight="1">
      <c r="A406" s="21" t="s">
        <v>1</v>
      </c>
      <c r="B406" s="21" t="s">
        <v>24</v>
      </c>
      <c r="C406" s="21"/>
      <c r="D406" s="21" t="s">
        <v>852</v>
      </c>
      <c r="E406" s="21" t="s">
        <v>138</v>
      </c>
      <c r="F406" s="21" t="s">
        <v>766</v>
      </c>
      <c r="G406" s="21" t="s">
        <v>145</v>
      </c>
      <c r="H406" s="21">
        <v>236220</v>
      </c>
      <c r="I406" s="21" t="s">
        <v>6</v>
      </c>
      <c r="J406" s="21"/>
      <c r="K406" s="21"/>
      <c r="L406" s="22">
        <v>20000</v>
      </c>
      <c r="M406" s="22"/>
      <c r="N406" s="21"/>
      <c r="O406" s="21" t="s">
        <v>278</v>
      </c>
      <c r="P406" s="21" t="s">
        <v>279</v>
      </c>
      <c r="Q406" s="21" t="s">
        <v>10</v>
      </c>
      <c r="R406" s="74">
        <v>2013</v>
      </c>
      <c r="S406" s="95" t="s">
        <v>840</v>
      </c>
      <c r="T406" s="21" t="s">
        <v>841</v>
      </c>
      <c r="U406" s="21" t="s">
        <v>842</v>
      </c>
      <c r="V406" s="21" t="s">
        <v>59</v>
      </c>
      <c r="W406" s="21" t="s">
        <v>658</v>
      </c>
      <c r="X406" s="21" t="s">
        <v>2487</v>
      </c>
      <c r="Y406" s="130"/>
      <c r="Z406" s="130"/>
      <c r="AA406" s="267"/>
      <c r="AB406" s="130"/>
    </row>
    <row r="407" spans="1:28" s="131" customFormat="1" ht="38.25" customHeight="1">
      <c r="A407" s="21" t="s">
        <v>1</v>
      </c>
      <c r="B407" s="21" t="s">
        <v>24</v>
      </c>
      <c r="C407" s="21"/>
      <c r="D407" s="21" t="s">
        <v>853</v>
      </c>
      <c r="E407" s="21" t="s">
        <v>138</v>
      </c>
      <c r="F407" s="21" t="s">
        <v>766</v>
      </c>
      <c r="G407" s="21" t="s">
        <v>145</v>
      </c>
      <c r="H407" s="74" t="s">
        <v>1974</v>
      </c>
      <c r="I407" s="21" t="s">
        <v>6</v>
      </c>
      <c r="J407" s="21" t="s">
        <v>1974</v>
      </c>
      <c r="K407" s="21" t="s">
        <v>1974</v>
      </c>
      <c r="L407" s="22">
        <v>20000</v>
      </c>
      <c r="M407" s="22"/>
      <c r="N407" s="21"/>
      <c r="O407" s="21" t="s">
        <v>278</v>
      </c>
      <c r="P407" s="21" t="s">
        <v>279</v>
      </c>
      <c r="Q407" s="21" t="s">
        <v>21</v>
      </c>
      <c r="R407" s="74">
        <v>2013</v>
      </c>
      <c r="S407" s="95" t="s">
        <v>840</v>
      </c>
      <c r="T407" s="21" t="s">
        <v>841</v>
      </c>
      <c r="U407" s="21" t="s">
        <v>842</v>
      </c>
      <c r="V407" s="21" t="s">
        <v>59</v>
      </c>
      <c r="W407" s="21" t="s">
        <v>658</v>
      </c>
      <c r="X407" s="21" t="s">
        <v>2487</v>
      </c>
      <c r="Y407" s="267"/>
      <c r="Z407" s="267"/>
      <c r="AA407" s="267"/>
      <c r="AB407" s="130"/>
    </row>
    <row r="408" spans="1:28" s="131" customFormat="1" ht="38.25" customHeight="1">
      <c r="A408" s="21" t="s">
        <v>1</v>
      </c>
      <c r="B408" s="21" t="s">
        <v>24</v>
      </c>
      <c r="C408" s="21" t="s">
        <v>45</v>
      </c>
      <c r="D408" s="21" t="s">
        <v>696</v>
      </c>
      <c r="E408" s="21" t="s">
        <v>485</v>
      </c>
      <c r="F408" s="21" t="s">
        <v>697</v>
      </c>
      <c r="G408" s="21" t="s">
        <v>187</v>
      </c>
      <c r="H408" s="21">
        <v>236220</v>
      </c>
      <c r="I408" s="21" t="s">
        <v>6</v>
      </c>
      <c r="J408" s="21" t="s">
        <v>73</v>
      </c>
      <c r="K408" s="21" t="s">
        <v>698</v>
      </c>
      <c r="L408" s="22">
        <v>550000</v>
      </c>
      <c r="M408" s="22">
        <v>550000</v>
      </c>
      <c r="N408" s="21"/>
      <c r="O408" s="21" t="s">
        <v>278</v>
      </c>
      <c r="P408" s="21" t="s">
        <v>279</v>
      </c>
      <c r="Q408" s="21" t="s">
        <v>2561</v>
      </c>
      <c r="R408" s="74" t="s">
        <v>2562</v>
      </c>
      <c r="S408" s="95" t="s">
        <v>699</v>
      </c>
      <c r="T408" s="21" t="s">
        <v>700</v>
      </c>
      <c r="U408" s="21" t="s">
        <v>701</v>
      </c>
      <c r="V408" s="21" t="s">
        <v>59</v>
      </c>
      <c r="W408" s="21" t="s">
        <v>658</v>
      </c>
      <c r="X408" s="21" t="s">
        <v>2482</v>
      </c>
      <c r="Y408" s="130"/>
      <c r="Z408" s="130"/>
      <c r="AA408" s="130"/>
      <c r="AB408" s="130"/>
    </row>
    <row r="409" spans="1:28" s="131" customFormat="1" ht="38.25" customHeight="1">
      <c r="A409" s="21" t="s">
        <v>1</v>
      </c>
      <c r="B409" s="21" t="s">
        <v>24</v>
      </c>
      <c r="C409" s="21" t="s">
        <v>45</v>
      </c>
      <c r="D409" s="21" t="s">
        <v>2552</v>
      </c>
      <c r="E409" s="21" t="s">
        <v>138</v>
      </c>
      <c r="F409" s="21" t="s">
        <v>802</v>
      </c>
      <c r="G409" s="21" t="s">
        <v>211</v>
      </c>
      <c r="H409" s="21">
        <v>25401</v>
      </c>
      <c r="I409" s="21" t="s">
        <v>28</v>
      </c>
      <c r="J409" s="21" t="s">
        <v>2553</v>
      </c>
      <c r="K409" s="21" t="s">
        <v>698</v>
      </c>
      <c r="L409" s="22">
        <v>25000</v>
      </c>
      <c r="M409" s="22">
        <v>30000</v>
      </c>
      <c r="N409" s="21" t="s">
        <v>455</v>
      </c>
      <c r="O409" s="21" t="s">
        <v>2559</v>
      </c>
      <c r="P409" s="21" t="s">
        <v>279</v>
      </c>
      <c r="Q409" s="21" t="s">
        <v>31</v>
      </c>
      <c r="R409" s="74">
        <v>2013</v>
      </c>
      <c r="S409" s="95" t="s">
        <v>864</v>
      </c>
      <c r="T409" s="21" t="s">
        <v>865</v>
      </c>
      <c r="U409" s="21" t="s">
        <v>866</v>
      </c>
      <c r="V409" s="21" t="s">
        <v>59</v>
      </c>
      <c r="W409" s="21"/>
      <c r="X409" s="21" t="s">
        <v>2550</v>
      </c>
      <c r="Y409" s="267"/>
      <c r="Z409" s="267"/>
      <c r="AA409" s="267"/>
      <c r="AB409" s="130"/>
    </row>
    <row r="410" spans="1:28" s="131" customFormat="1" ht="38.25" customHeight="1">
      <c r="A410" s="21" t="s">
        <v>1</v>
      </c>
      <c r="B410" s="21" t="s">
        <v>24</v>
      </c>
      <c r="C410" s="21" t="s">
        <v>45</v>
      </c>
      <c r="D410" s="21" t="s">
        <v>2563</v>
      </c>
      <c r="E410" s="21" t="s">
        <v>138</v>
      </c>
      <c r="F410" s="21" t="s">
        <v>802</v>
      </c>
      <c r="G410" s="21" t="s">
        <v>211</v>
      </c>
      <c r="H410" s="21">
        <v>25401</v>
      </c>
      <c r="I410" s="21" t="s">
        <v>28</v>
      </c>
      <c r="J410" s="21" t="s">
        <v>2553</v>
      </c>
      <c r="K410" s="21" t="s">
        <v>698</v>
      </c>
      <c r="L410" s="251">
        <v>75000</v>
      </c>
      <c r="M410" s="252">
        <v>85000</v>
      </c>
      <c r="N410" s="253" t="s">
        <v>455</v>
      </c>
      <c r="O410" s="253" t="s">
        <v>2559</v>
      </c>
      <c r="P410" s="253" t="s">
        <v>279</v>
      </c>
      <c r="Q410" s="254" t="s">
        <v>41</v>
      </c>
      <c r="R410" s="74">
        <v>2013</v>
      </c>
      <c r="S410" s="95" t="s">
        <v>864</v>
      </c>
      <c r="T410" s="21" t="s">
        <v>865</v>
      </c>
      <c r="U410" s="21" t="s">
        <v>866</v>
      </c>
      <c r="V410" s="21" t="s">
        <v>59</v>
      </c>
      <c r="W410" s="21"/>
      <c r="X410" s="21" t="s">
        <v>2550</v>
      </c>
      <c r="Y410" s="267"/>
      <c r="Z410" s="267"/>
      <c r="AA410" s="267"/>
      <c r="AB410" s="130"/>
    </row>
    <row r="411" spans="1:28" s="131" customFormat="1" ht="38.25" customHeight="1">
      <c r="A411" s="21" t="s">
        <v>1</v>
      </c>
      <c r="B411" s="21" t="s">
        <v>24</v>
      </c>
      <c r="C411" s="21" t="s">
        <v>45</v>
      </c>
      <c r="D411" s="21" t="s">
        <v>2564</v>
      </c>
      <c r="E411" s="21" t="s">
        <v>138</v>
      </c>
      <c r="F411" s="21" t="s">
        <v>802</v>
      </c>
      <c r="G411" s="21" t="s">
        <v>211</v>
      </c>
      <c r="H411" s="21">
        <v>25401</v>
      </c>
      <c r="I411" s="21" t="s">
        <v>288</v>
      </c>
      <c r="J411" s="21" t="s">
        <v>2553</v>
      </c>
      <c r="K411" s="21" t="s">
        <v>767</v>
      </c>
      <c r="L411" s="257">
        <v>25000</v>
      </c>
      <c r="M411" s="258">
        <v>35000</v>
      </c>
      <c r="N411" s="131" t="s">
        <v>455</v>
      </c>
      <c r="O411" s="131" t="s">
        <v>2559</v>
      </c>
      <c r="P411" s="131" t="s">
        <v>279</v>
      </c>
      <c r="Q411" s="259" t="s">
        <v>31</v>
      </c>
      <c r="R411" s="74">
        <v>2013</v>
      </c>
      <c r="S411" s="95" t="s">
        <v>864</v>
      </c>
      <c r="T411" s="21" t="s">
        <v>865</v>
      </c>
      <c r="U411" s="21" t="s">
        <v>866</v>
      </c>
      <c r="V411" s="21" t="s">
        <v>59</v>
      </c>
      <c r="W411" s="21"/>
      <c r="X411" s="21" t="s">
        <v>2550</v>
      </c>
      <c r="Y411" s="267"/>
      <c r="Z411" s="267"/>
      <c r="AA411" s="267"/>
      <c r="AB411" s="130"/>
    </row>
    <row r="412" spans="1:28" s="131" customFormat="1" ht="38.25" customHeight="1">
      <c r="A412" s="21" t="s">
        <v>1</v>
      </c>
      <c r="B412" s="21" t="s">
        <v>24</v>
      </c>
      <c r="C412" s="21" t="s">
        <v>45</v>
      </c>
      <c r="D412" s="21" t="s">
        <v>2565</v>
      </c>
      <c r="E412" s="21" t="s">
        <v>138</v>
      </c>
      <c r="F412" s="21" t="s">
        <v>802</v>
      </c>
      <c r="G412" s="21" t="s">
        <v>211</v>
      </c>
      <c r="H412" s="21">
        <v>25401</v>
      </c>
      <c r="I412" s="21" t="s">
        <v>288</v>
      </c>
      <c r="J412" s="21" t="s">
        <v>2553</v>
      </c>
      <c r="K412" s="21" t="s">
        <v>767</v>
      </c>
      <c r="L412" s="257">
        <v>25000</v>
      </c>
      <c r="M412" s="258">
        <v>35000</v>
      </c>
      <c r="N412" s="131" t="s">
        <v>455</v>
      </c>
      <c r="O412" s="131" t="s">
        <v>2559</v>
      </c>
      <c r="P412" s="131" t="s">
        <v>279</v>
      </c>
      <c r="Q412" s="259" t="s">
        <v>41</v>
      </c>
      <c r="R412" s="74">
        <v>2013</v>
      </c>
      <c r="S412" s="95" t="s">
        <v>864</v>
      </c>
      <c r="T412" s="21" t="s">
        <v>865</v>
      </c>
      <c r="U412" s="21" t="s">
        <v>866</v>
      </c>
      <c r="V412" s="21" t="s">
        <v>59</v>
      </c>
      <c r="W412" s="21"/>
      <c r="X412" s="21" t="s">
        <v>2550</v>
      </c>
      <c r="Y412" s="267"/>
      <c r="Z412" s="267"/>
      <c r="AA412" s="267"/>
      <c r="AB412" s="130"/>
    </row>
    <row r="413" spans="1:28" s="131" customFormat="1" ht="38.25" customHeight="1">
      <c r="A413" s="21" t="s">
        <v>1</v>
      </c>
      <c r="B413" s="21" t="s">
        <v>24</v>
      </c>
      <c r="C413" s="21" t="s">
        <v>45</v>
      </c>
      <c r="D413" s="21" t="s">
        <v>2566</v>
      </c>
      <c r="E413" s="21" t="s">
        <v>138</v>
      </c>
      <c r="F413" s="260" t="s">
        <v>814</v>
      </c>
      <c r="G413" s="253" t="s">
        <v>211</v>
      </c>
      <c r="H413" s="253">
        <v>26241</v>
      </c>
      <c r="I413" s="253" t="s">
        <v>28</v>
      </c>
      <c r="J413" s="253" t="s">
        <v>2553</v>
      </c>
      <c r="K413" s="253" t="s">
        <v>691</v>
      </c>
      <c r="L413" s="258">
        <v>25000</v>
      </c>
      <c r="M413" s="258">
        <v>35000</v>
      </c>
      <c r="N413" s="131" t="s">
        <v>455</v>
      </c>
      <c r="O413" s="131" t="s">
        <v>2559</v>
      </c>
      <c r="P413" s="131" t="s">
        <v>279</v>
      </c>
      <c r="Q413" s="131" t="s">
        <v>41</v>
      </c>
      <c r="R413" s="253">
        <v>2013</v>
      </c>
      <c r="S413" s="253" t="s">
        <v>864</v>
      </c>
      <c r="T413" s="21" t="s">
        <v>865</v>
      </c>
      <c r="U413" s="21" t="s">
        <v>866</v>
      </c>
      <c r="V413" s="21" t="s">
        <v>59</v>
      </c>
      <c r="W413" s="21"/>
      <c r="X413" s="21" t="s">
        <v>2550</v>
      </c>
      <c r="Y413" s="267"/>
      <c r="Z413" s="267"/>
      <c r="AA413" s="267"/>
      <c r="AB413" s="130"/>
    </row>
    <row r="414" spans="1:28" s="131" customFormat="1" ht="38.25" customHeight="1">
      <c r="A414" s="21" t="s">
        <v>1</v>
      </c>
      <c r="B414" s="21" t="s">
        <v>24</v>
      </c>
      <c r="C414" s="21" t="s">
        <v>45</v>
      </c>
      <c r="D414" s="21" t="s">
        <v>2567</v>
      </c>
      <c r="E414" s="21" t="s">
        <v>138</v>
      </c>
      <c r="F414" s="261" t="s">
        <v>2568</v>
      </c>
      <c r="G414" s="131" t="s">
        <v>211</v>
      </c>
      <c r="H414" s="131">
        <v>25301</v>
      </c>
      <c r="I414" s="131" t="s">
        <v>2569</v>
      </c>
      <c r="J414" s="131" t="s">
        <v>2553</v>
      </c>
      <c r="K414" s="131" t="s">
        <v>2569</v>
      </c>
      <c r="L414" s="258">
        <v>25000</v>
      </c>
      <c r="M414" s="258">
        <v>30000</v>
      </c>
      <c r="N414" s="131" t="s">
        <v>455</v>
      </c>
      <c r="O414" s="131" t="s">
        <v>9</v>
      </c>
      <c r="P414" s="131" t="s">
        <v>279</v>
      </c>
      <c r="Q414" s="131" t="s">
        <v>41</v>
      </c>
      <c r="R414" s="131">
        <v>2013</v>
      </c>
      <c r="S414" s="131" t="s">
        <v>864</v>
      </c>
      <c r="T414" s="21" t="s">
        <v>865</v>
      </c>
      <c r="U414" s="21" t="s">
        <v>866</v>
      </c>
      <c r="V414" s="21" t="s">
        <v>59</v>
      </c>
      <c r="W414" s="21"/>
      <c r="X414" s="21" t="s">
        <v>2550</v>
      </c>
      <c r="Y414" s="267"/>
      <c r="Z414" s="267"/>
      <c r="AA414" s="267"/>
      <c r="AB414" s="130"/>
    </row>
    <row r="415" spans="1:28" s="131" customFormat="1" ht="38.25" customHeight="1">
      <c r="A415" s="21" t="s">
        <v>1</v>
      </c>
      <c r="B415" s="21" t="s">
        <v>24</v>
      </c>
      <c r="C415" s="21" t="s">
        <v>45</v>
      </c>
      <c r="D415" s="21" t="s">
        <v>2570</v>
      </c>
      <c r="E415" s="21" t="s">
        <v>138</v>
      </c>
      <c r="F415" s="261" t="s">
        <v>808</v>
      </c>
      <c r="G415" s="131" t="s">
        <v>211</v>
      </c>
      <c r="H415" s="131">
        <v>25701</v>
      </c>
      <c r="I415" s="131" t="s">
        <v>2571</v>
      </c>
      <c r="J415" s="131" t="s">
        <v>2553</v>
      </c>
      <c r="K415" s="131" t="s">
        <v>2572</v>
      </c>
      <c r="L415" s="258">
        <v>50000</v>
      </c>
      <c r="M415" s="258">
        <v>60000</v>
      </c>
      <c r="N415" s="131" t="s">
        <v>455</v>
      </c>
      <c r="O415" s="131" t="s">
        <v>9</v>
      </c>
      <c r="P415" s="131" t="s">
        <v>279</v>
      </c>
      <c r="Q415" s="131" t="s">
        <v>41</v>
      </c>
      <c r="R415" s="131">
        <v>2013</v>
      </c>
      <c r="S415" s="131" t="s">
        <v>864</v>
      </c>
      <c r="T415" s="21" t="s">
        <v>865</v>
      </c>
      <c r="U415" s="21" t="s">
        <v>866</v>
      </c>
      <c r="V415" s="21" t="s">
        <v>59</v>
      </c>
      <c r="W415" s="21"/>
      <c r="X415" s="21" t="s">
        <v>2550</v>
      </c>
      <c r="Y415" s="267"/>
      <c r="Z415" s="267"/>
      <c r="AA415" s="267"/>
      <c r="AB415" s="130"/>
    </row>
    <row r="416" spans="1:28" s="131" customFormat="1" ht="38.25" customHeight="1">
      <c r="A416" s="21" t="s">
        <v>1</v>
      </c>
      <c r="B416" s="21" t="s">
        <v>24</v>
      </c>
      <c r="C416" s="21" t="s">
        <v>45</v>
      </c>
      <c r="D416" s="21" t="s">
        <v>2573</v>
      </c>
      <c r="E416" s="21" t="s">
        <v>138</v>
      </c>
      <c r="F416" s="261" t="s">
        <v>808</v>
      </c>
      <c r="G416" s="131" t="s">
        <v>211</v>
      </c>
      <c r="H416" s="131">
        <v>25701</v>
      </c>
      <c r="I416" s="131" t="s">
        <v>2574</v>
      </c>
      <c r="J416" s="131" t="s">
        <v>2553</v>
      </c>
      <c r="K416" s="131" t="s">
        <v>2575</v>
      </c>
      <c r="L416" s="258">
        <v>30000</v>
      </c>
      <c r="M416" s="258">
        <v>35000</v>
      </c>
      <c r="N416" s="131" t="s">
        <v>455</v>
      </c>
      <c r="O416" s="131" t="s">
        <v>9</v>
      </c>
      <c r="P416" s="131" t="s">
        <v>279</v>
      </c>
      <c r="Q416" s="131" t="s">
        <v>31</v>
      </c>
      <c r="R416" s="131">
        <v>2013</v>
      </c>
      <c r="S416" s="131" t="s">
        <v>864</v>
      </c>
      <c r="T416" s="21" t="s">
        <v>865</v>
      </c>
      <c r="U416" s="21" t="s">
        <v>866</v>
      </c>
      <c r="V416" s="21" t="s">
        <v>59</v>
      </c>
      <c r="W416" s="21"/>
      <c r="X416" s="21" t="s">
        <v>2550</v>
      </c>
      <c r="Y416" s="267"/>
      <c r="Z416" s="267"/>
      <c r="AA416" s="267"/>
      <c r="AB416" s="130"/>
    </row>
    <row r="417" spans="1:28" s="131" customFormat="1" ht="38.25" customHeight="1">
      <c r="A417" s="21" t="s">
        <v>1809</v>
      </c>
      <c r="B417" s="21" t="s">
        <v>24</v>
      </c>
      <c r="C417" s="21" t="s">
        <v>45</v>
      </c>
      <c r="D417" s="21" t="s">
        <v>2576</v>
      </c>
      <c r="E417" s="21" t="s">
        <v>138</v>
      </c>
      <c r="F417" s="76" t="s">
        <v>2577</v>
      </c>
      <c r="G417" s="76" t="s">
        <v>207</v>
      </c>
      <c r="H417" s="76">
        <v>236220</v>
      </c>
      <c r="I417" s="76" t="s">
        <v>28</v>
      </c>
      <c r="J417" s="76" t="s">
        <v>2553</v>
      </c>
      <c r="K417" s="76" t="s">
        <v>2578</v>
      </c>
      <c r="L417" s="80">
        <v>2500</v>
      </c>
      <c r="M417" s="80" t="s">
        <v>2579</v>
      </c>
      <c r="N417" s="76" t="s">
        <v>455</v>
      </c>
      <c r="O417" s="76" t="s">
        <v>2559</v>
      </c>
      <c r="P417" s="76" t="s">
        <v>279</v>
      </c>
      <c r="Q417" s="76" t="s">
        <v>31</v>
      </c>
      <c r="R417" s="82">
        <v>2013</v>
      </c>
      <c r="S417" s="107" t="s">
        <v>2580</v>
      </c>
      <c r="T417" s="21" t="s">
        <v>2581</v>
      </c>
      <c r="U417" s="21" t="s">
        <v>2582</v>
      </c>
      <c r="V417" s="21" t="s">
        <v>59</v>
      </c>
      <c r="W417" s="21"/>
      <c r="X417" s="21" t="s">
        <v>2482</v>
      </c>
      <c r="Y417" s="267"/>
      <c r="Z417" s="267"/>
      <c r="AA417" s="267"/>
      <c r="AB417" s="130"/>
    </row>
    <row r="418" spans="1:28" s="131" customFormat="1" ht="38.25" customHeight="1">
      <c r="A418" s="21" t="s">
        <v>1</v>
      </c>
      <c r="B418" s="21" t="s">
        <v>24</v>
      </c>
      <c r="C418" s="21" t="s">
        <v>45</v>
      </c>
      <c r="D418" s="21" t="s">
        <v>2583</v>
      </c>
      <c r="E418" s="21" t="s">
        <v>138</v>
      </c>
      <c r="F418" s="21" t="s">
        <v>825</v>
      </c>
      <c r="G418" s="21" t="s">
        <v>207</v>
      </c>
      <c r="H418" s="21">
        <v>236220</v>
      </c>
      <c r="I418" s="21" t="s">
        <v>28</v>
      </c>
      <c r="J418" s="21" t="s">
        <v>2553</v>
      </c>
      <c r="K418" s="21"/>
      <c r="L418" s="22">
        <v>500000</v>
      </c>
      <c r="M418" s="22">
        <v>500000</v>
      </c>
      <c r="N418" s="21" t="s">
        <v>455</v>
      </c>
      <c r="O418" s="21" t="s">
        <v>2559</v>
      </c>
      <c r="P418" s="21" t="s">
        <v>2584</v>
      </c>
      <c r="Q418" s="21" t="s">
        <v>31</v>
      </c>
      <c r="R418" s="74">
        <v>2013</v>
      </c>
      <c r="S418" s="95" t="s">
        <v>793</v>
      </c>
      <c r="T418" s="21" t="s">
        <v>2585</v>
      </c>
      <c r="U418" s="21" t="s">
        <v>795</v>
      </c>
      <c r="V418" s="21" t="s">
        <v>59</v>
      </c>
      <c r="W418" s="21"/>
      <c r="X418" s="21" t="s">
        <v>2482</v>
      </c>
      <c r="Y418" s="267"/>
      <c r="Z418" s="267"/>
      <c r="AA418" s="267"/>
      <c r="AB418" s="130"/>
    </row>
    <row r="419" spans="1:28" s="131" customFormat="1" ht="38.25" customHeight="1">
      <c r="A419" s="21" t="s">
        <v>1</v>
      </c>
      <c r="B419" s="21" t="s">
        <v>24</v>
      </c>
      <c r="C419" s="21" t="s">
        <v>45</v>
      </c>
      <c r="D419" s="21" t="s">
        <v>2586</v>
      </c>
      <c r="E419" s="21" t="s">
        <v>138</v>
      </c>
      <c r="F419" s="21" t="s">
        <v>782</v>
      </c>
      <c r="G419" s="21" t="s">
        <v>207</v>
      </c>
      <c r="H419" s="21">
        <v>236220</v>
      </c>
      <c r="I419" s="21" t="s">
        <v>28</v>
      </c>
      <c r="J419" s="21" t="s">
        <v>2553</v>
      </c>
      <c r="K419" s="21" t="s">
        <v>2587</v>
      </c>
      <c r="L419" s="22">
        <v>1000000</v>
      </c>
      <c r="M419" s="22">
        <v>1000000</v>
      </c>
      <c r="N419" s="21" t="s">
        <v>455</v>
      </c>
      <c r="O419" s="21" t="s">
        <v>2559</v>
      </c>
      <c r="P419" s="21" t="s">
        <v>2584</v>
      </c>
      <c r="Q419" s="21" t="s">
        <v>31</v>
      </c>
      <c r="R419" s="74">
        <v>2013</v>
      </c>
      <c r="S419" s="95" t="s">
        <v>2580</v>
      </c>
      <c r="T419" s="21" t="s">
        <v>2581</v>
      </c>
      <c r="U419" s="21" t="s">
        <v>2582</v>
      </c>
      <c r="V419" s="21" t="s">
        <v>59</v>
      </c>
      <c r="W419" s="21"/>
      <c r="X419" s="21" t="s">
        <v>2482</v>
      </c>
      <c r="Y419" s="267"/>
      <c r="Z419" s="267"/>
      <c r="AA419" s="267"/>
      <c r="AB419" s="130"/>
    </row>
    <row r="420" spans="1:28" s="131" customFormat="1" ht="38.25" customHeight="1">
      <c r="A420" s="21" t="s">
        <v>1</v>
      </c>
      <c r="B420" s="21" t="s">
        <v>24</v>
      </c>
      <c r="C420" s="21" t="s">
        <v>45</v>
      </c>
      <c r="D420" s="21" t="s">
        <v>2588</v>
      </c>
      <c r="E420" s="21" t="s">
        <v>138</v>
      </c>
      <c r="F420" s="21" t="s">
        <v>802</v>
      </c>
      <c r="G420" s="21" t="s">
        <v>211</v>
      </c>
      <c r="H420" s="21">
        <v>236220</v>
      </c>
      <c r="I420" s="21" t="s">
        <v>28</v>
      </c>
      <c r="J420" s="21" t="s">
        <v>2553</v>
      </c>
      <c r="K420" s="21"/>
      <c r="L420" s="22">
        <v>130000</v>
      </c>
      <c r="M420" s="22">
        <v>130000</v>
      </c>
      <c r="N420" s="21" t="s">
        <v>455</v>
      </c>
      <c r="O420" s="21" t="s">
        <v>2559</v>
      </c>
      <c r="P420" s="21" t="s">
        <v>2584</v>
      </c>
      <c r="Q420" s="21" t="s">
        <v>41</v>
      </c>
      <c r="R420" s="74">
        <v>2013</v>
      </c>
      <c r="S420" s="95" t="s">
        <v>2589</v>
      </c>
      <c r="T420" s="21" t="s">
        <v>2590</v>
      </c>
      <c r="U420" s="21" t="s">
        <v>2591</v>
      </c>
      <c r="V420" s="21" t="s">
        <v>59</v>
      </c>
      <c r="W420" s="21"/>
      <c r="X420" s="21" t="s">
        <v>2482</v>
      </c>
      <c r="Y420" s="267"/>
      <c r="Z420" s="267"/>
      <c r="AA420" s="267"/>
      <c r="AB420" s="130"/>
    </row>
    <row r="421" spans="1:28" s="131" customFormat="1" ht="38.25" customHeight="1">
      <c r="A421" s="21" t="s">
        <v>1</v>
      </c>
      <c r="B421" s="21" t="s">
        <v>24</v>
      </c>
      <c r="C421" s="21" t="s">
        <v>45</v>
      </c>
      <c r="D421" s="21" t="s">
        <v>2592</v>
      </c>
      <c r="E421" s="21" t="s">
        <v>138</v>
      </c>
      <c r="F421" s="21" t="s">
        <v>818</v>
      </c>
      <c r="G421" s="21" t="s">
        <v>211</v>
      </c>
      <c r="H421" s="21">
        <v>236220</v>
      </c>
      <c r="I421" s="21" t="s">
        <v>28</v>
      </c>
      <c r="J421" s="21" t="s">
        <v>2553</v>
      </c>
      <c r="K421" s="21"/>
      <c r="L421" s="22">
        <v>350000</v>
      </c>
      <c r="M421" s="22">
        <v>350000</v>
      </c>
      <c r="N421" s="21" t="s">
        <v>455</v>
      </c>
      <c r="O421" s="21" t="s">
        <v>2559</v>
      </c>
      <c r="P421" s="21" t="s">
        <v>2584</v>
      </c>
      <c r="Q421" s="21" t="s">
        <v>31</v>
      </c>
      <c r="R421" s="74">
        <v>2013</v>
      </c>
      <c r="S421" s="95" t="s">
        <v>799</v>
      </c>
      <c r="T421" s="21" t="s">
        <v>2593</v>
      </c>
      <c r="U421" s="21" t="s">
        <v>800</v>
      </c>
      <c r="V421" s="21" t="s">
        <v>59</v>
      </c>
      <c r="W421" s="21"/>
      <c r="X421" s="21" t="s">
        <v>2482</v>
      </c>
      <c r="Y421" s="267"/>
      <c r="Z421" s="267"/>
      <c r="AA421" s="267"/>
      <c r="AB421" s="130"/>
    </row>
    <row r="422" spans="1:28" s="131" customFormat="1" ht="38.25" customHeight="1">
      <c r="A422" s="21" t="s">
        <v>1</v>
      </c>
      <c r="B422" s="21" t="s">
        <v>24</v>
      </c>
      <c r="C422" s="21" t="s">
        <v>45</v>
      </c>
      <c r="D422" s="21" t="s">
        <v>2594</v>
      </c>
      <c r="E422" s="21" t="s">
        <v>138</v>
      </c>
      <c r="F422" s="21" t="s">
        <v>782</v>
      </c>
      <c r="G422" s="21" t="s">
        <v>207</v>
      </c>
      <c r="H422" s="21">
        <v>236220</v>
      </c>
      <c r="I422" s="21" t="s">
        <v>28</v>
      </c>
      <c r="J422" s="21" t="s">
        <v>2553</v>
      </c>
      <c r="K422" s="21"/>
      <c r="L422" s="22">
        <v>970000</v>
      </c>
      <c r="M422" s="22">
        <v>970000</v>
      </c>
      <c r="N422" s="21" t="s">
        <v>455</v>
      </c>
      <c r="O422" s="21" t="s">
        <v>2559</v>
      </c>
      <c r="P422" s="21" t="s">
        <v>2584</v>
      </c>
      <c r="Q422" s="21" t="s">
        <v>31</v>
      </c>
      <c r="R422" s="74">
        <v>2013</v>
      </c>
      <c r="S422" s="95" t="s">
        <v>2595</v>
      </c>
      <c r="T422" s="21" t="s">
        <v>2590</v>
      </c>
      <c r="U422" s="21" t="s">
        <v>2591</v>
      </c>
      <c r="V422" s="21" t="s">
        <v>59</v>
      </c>
      <c r="W422" s="21"/>
      <c r="X422" s="21" t="s">
        <v>2482</v>
      </c>
      <c r="Y422" s="267"/>
      <c r="Z422" s="267"/>
      <c r="AA422" s="267"/>
      <c r="AB422" s="130"/>
    </row>
    <row r="423" spans="1:28" s="131" customFormat="1" ht="38.25" customHeight="1">
      <c r="A423" s="21" t="s">
        <v>1</v>
      </c>
      <c r="B423" s="21" t="s">
        <v>24</v>
      </c>
      <c r="C423" s="21"/>
      <c r="D423" s="21" t="s">
        <v>2596</v>
      </c>
      <c r="E423" s="21" t="s">
        <v>138</v>
      </c>
      <c r="F423" s="21" t="s">
        <v>656</v>
      </c>
      <c r="G423" s="21" t="s">
        <v>187</v>
      </c>
      <c r="H423" s="21">
        <v>238220</v>
      </c>
      <c r="I423" s="21" t="s">
        <v>345</v>
      </c>
      <c r="J423" s="21" t="s">
        <v>2597</v>
      </c>
      <c r="K423" s="21" t="s">
        <v>748</v>
      </c>
      <c r="L423" s="22">
        <v>25000</v>
      </c>
      <c r="M423" s="22">
        <v>25000</v>
      </c>
      <c r="N423" s="21" t="s">
        <v>9</v>
      </c>
      <c r="O423" s="21"/>
      <c r="P423" s="21" t="s">
        <v>279</v>
      </c>
      <c r="Q423" s="21" t="s">
        <v>21</v>
      </c>
      <c r="R423" s="74">
        <v>2013</v>
      </c>
      <c r="S423" s="95" t="s">
        <v>744</v>
      </c>
      <c r="T423" s="21" t="s">
        <v>745</v>
      </c>
      <c r="U423" s="21" t="s">
        <v>746</v>
      </c>
      <c r="V423" s="21" t="s">
        <v>59</v>
      </c>
      <c r="W423" s="21"/>
      <c r="X423" s="21" t="s">
        <v>2510</v>
      </c>
      <c r="Y423" s="267"/>
      <c r="Z423" s="267"/>
      <c r="AA423" s="267"/>
      <c r="AB423" s="130"/>
    </row>
    <row r="424" spans="1:28" s="131" customFormat="1" ht="38.25" customHeight="1">
      <c r="A424" s="21" t="s">
        <v>1</v>
      </c>
      <c r="B424" s="21" t="s">
        <v>24</v>
      </c>
      <c r="C424" s="21"/>
      <c r="D424" s="21" t="s">
        <v>2598</v>
      </c>
      <c r="E424" s="21" t="s">
        <v>740</v>
      </c>
      <c r="F424" s="21" t="s">
        <v>656</v>
      </c>
      <c r="G424" s="21" t="s">
        <v>187</v>
      </c>
      <c r="H424" s="21">
        <v>561210</v>
      </c>
      <c r="I424" s="21" t="s">
        <v>6</v>
      </c>
      <c r="J424" s="21" t="s">
        <v>741</v>
      </c>
      <c r="K424" s="21" t="s">
        <v>742</v>
      </c>
      <c r="L424" s="22">
        <v>17000</v>
      </c>
      <c r="M424" s="22">
        <v>17000</v>
      </c>
      <c r="N424" s="21" t="s">
        <v>9</v>
      </c>
      <c r="O424" s="21" t="s">
        <v>743</v>
      </c>
      <c r="P424" s="21" t="s">
        <v>279</v>
      </c>
      <c r="Q424" s="21" t="s">
        <v>21</v>
      </c>
      <c r="R424" s="74">
        <v>2013</v>
      </c>
      <c r="S424" s="95" t="s">
        <v>744</v>
      </c>
      <c r="T424" s="21" t="s">
        <v>745</v>
      </c>
      <c r="U424" s="21" t="s">
        <v>746</v>
      </c>
      <c r="V424" s="21" t="s">
        <v>59</v>
      </c>
      <c r="W424" s="21"/>
      <c r="X424" s="21" t="s">
        <v>2510</v>
      </c>
      <c r="Y424" s="267"/>
      <c r="Z424" s="267"/>
      <c r="AA424" s="267"/>
      <c r="AB424" s="130"/>
    </row>
    <row r="425" spans="1:28" s="131" customFormat="1" ht="38.25" customHeight="1">
      <c r="A425" s="21" t="s">
        <v>1</v>
      </c>
      <c r="B425" s="21" t="s">
        <v>24</v>
      </c>
      <c r="C425" s="21"/>
      <c r="D425" s="21" t="s">
        <v>2599</v>
      </c>
      <c r="E425" s="21" t="s">
        <v>740</v>
      </c>
      <c r="F425" s="21" t="s">
        <v>659</v>
      </c>
      <c r="G425" s="21" t="s">
        <v>167</v>
      </c>
      <c r="H425" s="21">
        <v>561210</v>
      </c>
      <c r="I425" s="21" t="s">
        <v>6</v>
      </c>
      <c r="J425" s="21" t="s">
        <v>741</v>
      </c>
      <c r="K425" s="21" t="s">
        <v>742</v>
      </c>
      <c r="L425" s="22">
        <v>24000</v>
      </c>
      <c r="M425" s="22">
        <v>24000</v>
      </c>
      <c r="N425" s="21" t="s">
        <v>9</v>
      </c>
      <c r="O425" s="21" t="s">
        <v>743</v>
      </c>
      <c r="P425" s="21" t="s">
        <v>279</v>
      </c>
      <c r="Q425" s="21" t="s">
        <v>31</v>
      </c>
      <c r="R425" s="74">
        <v>2013</v>
      </c>
      <c r="S425" s="95" t="s">
        <v>744</v>
      </c>
      <c r="T425" s="21" t="s">
        <v>745</v>
      </c>
      <c r="U425" s="21" t="s">
        <v>746</v>
      </c>
      <c r="V425" s="21" t="s">
        <v>59</v>
      </c>
      <c r="W425" s="21"/>
      <c r="X425" s="21" t="s">
        <v>2510</v>
      </c>
      <c r="Y425" s="267"/>
      <c r="Z425" s="267"/>
      <c r="AA425" s="267"/>
      <c r="AB425" s="130"/>
    </row>
    <row r="426" spans="1:28" s="131" customFormat="1" ht="38.25" customHeight="1">
      <c r="A426" s="21" t="s">
        <v>1</v>
      </c>
      <c r="B426" s="21" t="s">
        <v>24</v>
      </c>
      <c r="C426" s="21"/>
      <c r="D426" s="21" t="s">
        <v>2600</v>
      </c>
      <c r="E426" s="21" t="s">
        <v>740</v>
      </c>
      <c r="F426" s="21" t="s">
        <v>659</v>
      </c>
      <c r="G426" s="21" t="s">
        <v>167</v>
      </c>
      <c r="H426" s="21">
        <v>561210</v>
      </c>
      <c r="I426" s="21" t="s">
        <v>6</v>
      </c>
      <c r="J426" s="21" t="s">
        <v>741</v>
      </c>
      <c r="K426" s="21" t="s">
        <v>742</v>
      </c>
      <c r="L426" s="22">
        <v>31000</v>
      </c>
      <c r="M426" s="22">
        <v>31000</v>
      </c>
      <c r="N426" s="21" t="s">
        <v>20</v>
      </c>
      <c r="O426" s="21" t="s">
        <v>743</v>
      </c>
      <c r="P426" s="21" t="s">
        <v>279</v>
      </c>
      <c r="Q426" s="21" t="s">
        <v>21</v>
      </c>
      <c r="R426" s="74">
        <v>2013</v>
      </c>
      <c r="S426" s="95" t="s">
        <v>744</v>
      </c>
      <c r="T426" s="21" t="s">
        <v>745</v>
      </c>
      <c r="U426" s="21" t="s">
        <v>746</v>
      </c>
      <c r="V426" s="21" t="s">
        <v>59</v>
      </c>
      <c r="W426" s="21"/>
      <c r="X426" s="21" t="s">
        <v>2510</v>
      </c>
      <c r="Y426" s="267"/>
      <c r="Z426" s="267"/>
      <c r="AA426" s="267"/>
      <c r="AB426" s="130"/>
    </row>
    <row r="427" spans="1:28" s="131" customFormat="1" ht="38.25" customHeight="1">
      <c r="A427" s="21" t="s">
        <v>1</v>
      </c>
      <c r="B427" s="21" t="s">
        <v>24</v>
      </c>
      <c r="C427" s="21"/>
      <c r="D427" s="21" t="s">
        <v>2601</v>
      </c>
      <c r="E427" s="21" t="s">
        <v>740</v>
      </c>
      <c r="F427" s="21" t="s">
        <v>659</v>
      </c>
      <c r="G427" s="21" t="s">
        <v>167</v>
      </c>
      <c r="H427" s="21">
        <v>561210</v>
      </c>
      <c r="I427" s="21" t="s">
        <v>6</v>
      </c>
      <c r="J427" s="21" t="s">
        <v>741</v>
      </c>
      <c r="K427" s="21" t="s">
        <v>742</v>
      </c>
      <c r="L427" s="22">
        <v>31000</v>
      </c>
      <c r="M427" s="22">
        <v>31000</v>
      </c>
      <c r="N427" s="21" t="s">
        <v>2538</v>
      </c>
      <c r="O427" s="21" t="s">
        <v>743</v>
      </c>
      <c r="P427" s="21" t="s">
        <v>279</v>
      </c>
      <c r="Q427" s="21" t="s">
        <v>21</v>
      </c>
      <c r="R427" s="74">
        <v>2013</v>
      </c>
      <c r="S427" s="95" t="s">
        <v>744</v>
      </c>
      <c r="T427" s="21" t="s">
        <v>745</v>
      </c>
      <c r="U427" s="21" t="s">
        <v>746</v>
      </c>
      <c r="V427" s="21" t="s">
        <v>59</v>
      </c>
      <c r="W427" s="21"/>
      <c r="X427" s="21" t="s">
        <v>2510</v>
      </c>
      <c r="Y427" s="267"/>
      <c r="Z427" s="267"/>
      <c r="AA427" s="267"/>
      <c r="AB427" s="130"/>
    </row>
    <row r="428" spans="1:28" s="131" customFormat="1" ht="38.25" customHeight="1">
      <c r="A428" s="21" t="s">
        <v>1</v>
      </c>
      <c r="B428" s="21" t="s">
        <v>24</v>
      </c>
      <c r="C428" s="21"/>
      <c r="D428" s="21" t="s">
        <v>2602</v>
      </c>
      <c r="E428" s="21" t="s">
        <v>138</v>
      </c>
      <c r="F428" s="21" t="s">
        <v>659</v>
      </c>
      <c r="G428" s="21" t="s">
        <v>167</v>
      </c>
      <c r="H428" s="21">
        <v>236220</v>
      </c>
      <c r="I428" s="21" t="s">
        <v>2603</v>
      </c>
      <c r="J428" s="21" t="s">
        <v>329</v>
      </c>
      <c r="K428" s="21" t="s">
        <v>748</v>
      </c>
      <c r="L428" s="22">
        <v>15000</v>
      </c>
      <c r="M428" s="22">
        <v>15000</v>
      </c>
      <c r="N428" s="21" t="s">
        <v>2538</v>
      </c>
      <c r="O428" s="21"/>
      <c r="P428" s="21" t="s">
        <v>279</v>
      </c>
      <c r="Q428" s="21" t="s">
        <v>21</v>
      </c>
      <c r="R428" s="74">
        <v>2013</v>
      </c>
      <c r="S428" s="95" t="s">
        <v>744</v>
      </c>
      <c r="T428" s="21" t="s">
        <v>745</v>
      </c>
      <c r="U428" s="21" t="s">
        <v>746</v>
      </c>
      <c r="V428" s="21" t="s">
        <v>59</v>
      </c>
      <c r="W428" s="21"/>
      <c r="X428" s="21" t="s">
        <v>2510</v>
      </c>
      <c r="Y428" s="267"/>
      <c r="Z428" s="267"/>
      <c r="AA428" s="267"/>
      <c r="AB428" s="130"/>
    </row>
    <row r="429" spans="1:28" s="131" customFormat="1" ht="38.25" customHeight="1">
      <c r="A429" s="21" t="s">
        <v>1</v>
      </c>
      <c r="B429" s="21" t="s">
        <v>24</v>
      </c>
      <c r="C429" s="21"/>
      <c r="D429" s="21" t="s">
        <v>2604</v>
      </c>
      <c r="E429" s="21" t="s">
        <v>740</v>
      </c>
      <c r="F429" s="21" t="s">
        <v>659</v>
      </c>
      <c r="G429" s="21" t="s">
        <v>167</v>
      </c>
      <c r="H429" s="21">
        <v>561210</v>
      </c>
      <c r="I429" s="21" t="s">
        <v>6</v>
      </c>
      <c r="J429" s="21" t="s">
        <v>741</v>
      </c>
      <c r="K429" s="21" t="s">
        <v>742</v>
      </c>
      <c r="L429" s="22">
        <v>80000</v>
      </c>
      <c r="M429" s="22">
        <v>80000</v>
      </c>
      <c r="N429" s="21" t="s">
        <v>20</v>
      </c>
      <c r="O429" s="21" t="s">
        <v>741</v>
      </c>
      <c r="P429" s="21" t="s">
        <v>279</v>
      </c>
      <c r="Q429" s="21" t="s">
        <v>31</v>
      </c>
      <c r="R429" s="74">
        <v>2013</v>
      </c>
      <c r="S429" s="95" t="s">
        <v>744</v>
      </c>
      <c r="T429" s="21" t="s">
        <v>745</v>
      </c>
      <c r="U429" s="21" t="s">
        <v>746</v>
      </c>
      <c r="V429" s="21" t="s">
        <v>59</v>
      </c>
      <c r="W429" s="21"/>
      <c r="X429" s="21" t="s">
        <v>2510</v>
      </c>
      <c r="Y429" s="267"/>
      <c r="Z429" s="267"/>
      <c r="AA429" s="267"/>
      <c r="AB429" s="130"/>
    </row>
    <row r="430" spans="1:28" s="131" customFormat="1" ht="38.25" customHeight="1">
      <c r="A430" s="21" t="s">
        <v>1</v>
      </c>
      <c r="B430" s="21" t="s">
        <v>24</v>
      </c>
      <c r="C430" s="21"/>
      <c r="D430" s="21" t="s">
        <v>2605</v>
      </c>
      <c r="E430" s="21" t="s">
        <v>740</v>
      </c>
      <c r="F430" s="21" t="s">
        <v>758</v>
      </c>
      <c r="G430" s="21" t="s">
        <v>167</v>
      </c>
      <c r="H430" s="21">
        <v>561210</v>
      </c>
      <c r="I430" s="21" t="s">
        <v>6</v>
      </c>
      <c r="J430" s="21" t="s">
        <v>741</v>
      </c>
      <c r="K430" s="21" t="s">
        <v>742</v>
      </c>
      <c r="L430" s="22">
        <v>17000</v>
      </c>
      <c r="M430" s="22">
        <v>17000</v>
      </c>
      <c r="N430" s="21" t="s">
        <v>20</v>
      </c>
      <c r="O430" s="21" t="s">
        <v>743</v>
      </c>
      <c r="P430" s="21" t="s">
        <v>279</v>
      </c>
      <c r="Q430" s="21" t="s">
        <v>31</v>
      </c>
      <c r="R430" s="74">
        <v>2013</v>
      </c>
      <c r="S430" s="95" t="s">
        <v>744</v>
      </c>
      <c r="T430" s="21" t="s">
        <v>2606</v>
      </c>
      <c r="U430" s="21" t="s">
        <v>746</v>
      </c>
      <c r="V430" s="21" t="s">
        <v>59</v>
      </c>
      <c r="W430" s="21"/>
      <c r="X430" s="21" t="s">
        <v>2510</v>
      </c>
      <c r="Y430" s="267"/>
      <c r="Z430" s="267"/>
      <c r="AA430" s="267"/>
      <c r="AB430" s="130"/>
    </row>
    <row r="431" spans="1:28" s="131" customFormat="1" ht="38.25" customHeight="1">
      <c r="A431" s="21" t="s">
        <v>1</v>
      </c>
      <c r="B431" s="21" t="s">
        <v>24</v>
      </c>
      <c r="C431" s="21"/>
      <c r="D431" s="21" t="s">
        <v>1626</v>
      </c>
      <c r="E431" s="21" t="s">
        <v>138</v>
      </c>
      <c r="F431" s="21" t="s">
        <v>758</v>
      </c>
      <c r="G431" s="21" t="s">
        <v>167</v>
      </c>
      <c r="H431" s="21">
        <v>561210</v>
      </c>
      <c r="I431" s="21" t="s">
        <v>2603</v>
      </c>
      <c r="J431" s="21" t="s">
        <v>329</v>
      </c>
      <c r="K431" s="21" t="s">
        <v>748</v>
      </c>
      <c r="L431" s="22">
        <v>30000</v>
      </c>
      <c r="M431" s="22">
        <v>30000</v>
      </c>
      <c r="N431" s="21" t="s">
        <v>9</v>
      </c>
      <c r="O431" s="21"/>
      <c r="P431" s="21"/>
      <c r="Q431" s="21" t="s">
        <v>31</v>
      </c>
      <c r="R431" s="74">
        <v>2013</v>
      </c>
      <c r="S431" s="95" t="s">
        <v>744</v>
      </c>
      <c r="T431" s="21" t="s">
        <v>745</v>
      </c>
      <c r="U431" s="21" t="s">
        <v>746</v>
      </c>
      <c r="V431" s="21" t="s">
        <v>59</v>
      </c>
      <c r="W431" s="21"/>
      <c r="X431" s="21" t="s">
        <v>2510</v>
      </c>
      <c r="Y431" s="267"/>
      <c r="Z431" s="267"/>
      <c r="AA431" s="267"/>
      <c r="AB431" s="130"/>
    </row>
    <row r="432" spans="1:28" s="131" customFormat="1" ht="38.25" customHeight="1">
      <c r="A432" s="21" t="s">
        <v>1</v>
      </c>
      <c r="B432" s="21" t="s">
        <v>24</v>
      </c>
      <c r="C432" s="21"/>
      <c r="D432" s="21" t="s">
        <v>2607</v>
      </c>
      <c r="E432" s="21" t="s">
        <v>740</v>
      </c>
      <c r="F432" s="21" t="s">
        <v>758</v>
      </c>
      <c r="G432" s="21" t="s">
        <v>167</v>
      </c>
      <c r="H432" s="21">
        <v>561210</v>
      </c>
      <c r="I432" s="21" t="s">
        <v>6</v>
      </c>
      <c r="J432" s="21" t="s">
        <v>741</v>
      </c>
      <c r="K432" s="21" t="s">
        <v>742</v>
      </c>
      <c r="L432" s="22">
        <v>30000</v>
      </c>
      <c r="M432" s="22">
        <v>30000</v>
      </c>
      <c r="N432" s="21" t="s">
        <v>9</v>
      </c>
      <c r="O432" s="21" t="s">
        <v>743</v>
      </c>
      <c r="P432" s="21" t="s">
        <v>279</v>
      </c>
      <c r="Q432" s="21" t="s">
        <v>21</v>
      </c>
      <c r="R432" s="74">
        <v>2013</v>
      </c>
      <c r="S432" s="95" t="s">
        <v>744</v>
      </c>
      <c r="T432" s="21" t="s">
        <v>745</v>
      </c>
      <c r="U432" s="21" t="s">
        <v>746</v>
      </c>
      <c r="V432" s="21" t="s">
        <v>59</v>
      </c>
      <c r="W432" s="21"/>
      <c r="X432" s="21" t="s">
        <v>2510</v>
      </c>
      <c r="Y432" s="267"/>
      <c r="Z432" s="267"/>
      <c r="AA432" s="267"/>
      <c r="AB432" s="130"/>
    </row>
    <row r="433" spans="1:256" s="131" customFormat="1" ht="38.25" customHeight="1">
      <c r="A433" s="21" t="s">
        <v>1</v>
      </c>
      <c r="B433" s="21" t="s">
        <v>24</v>
      </c>
      <c r="C433" s="21"/>
      <c r="D433" s="21" t="s">
        <v>2566</v>
      </c>
      <c r="E433" s="21" t="s">
        <v>138</v>
      </c>
      <c r="F433" s="21" t="s">
        <v>669</v>
      </c>
      <c r="G433" s="21" t="s">
        <v>167</v>
      </c>
      <c r="H433" s="21">
        <v>236220</v>
      </c>
      <c r="I433" s="21" t="s">
        <v>6</v>
      </c>
      <c r="J433" s="21" t="s">
        <v>750</v>
      </c>
      <c r="K433" s="21" t="s">
        <v>748</v>
      </c>
      <c r="L433" s="22">
        <v>55000</v>
      </c>
      <c r="M433" s="22">
        <v>55000</v>
      </c>
      <c r="N433" s="21" t="s">
        <v>9</v>
      </c>
      <c r="O433" s="21"/>
      <c r="P433" s="21" t="s">
        <v>279</v>
      </c>
      <c r="Q433" s="21" t="s">
        <v>31</v>
      </c>
      <c r="R433" s="74">
        <v>2013</v>
      </c>
      <c r="S433" s="95" t="s">
        <v>744</v>
      </c>
      <c r="T433" s="21" t="s">
        <v>745</v>
      </c>
      <c r="U433" s="21" t="s">
        <v>746</v>
      </c>
      <c r="V433" s="21" t="s">
        <v>59</v>
      </c>
      <c r="W433" s="21"/>
      <c r="X433" s="21" t="s">
        <v>2510</v>
      </c>
      <c r="Y433" s="267"/>
      <c r="Z433" s="267"/>
      <c r="AA433" s="267"/>
      <c r="AB433" s="130"/>
    </row>
    <row r="434" spans="1:256" s="131" customFormat="1" ht="38.25" customHeight="1">
      <c r="A434" s="21" t="s">
        <v>1</v>
      </c>
      <c r="B434" s="21" t="s">
        <v>24</v>
      </c>
      <c r="C434" s="21"/>
      <c r="D434" s="21" t="s">
        <v>2523</v>
      </c>
      <c r="E434" s="21" t="s">
        <v>138</v>
      </c>
      <c r="F434" s="21" t="s">
        <v>2608</v>
      </c>
      <c r="G434" s="21" t="s">
        <v>187</v>
      </c>
      <c r="H434" s="21">
        <v>236220</v>
      </c>
      <c r="I434" s="21" t="s">
        <v>6</v>
      </c>
      <c r="J434" s="21" t="s">
        <v>750</v>
      </c>
      <c r="K434" s="21" t="s">
        <v>748</v>
      </c>
      <c r="L434" s="22">
        <v>400000</v>
      </c>
      <c r="M434" s="22">
        <v>400000</v>
      </c>
      <c r="N434" s="21"/>
      <c r="O434" s="21"/>
      <c r="P434" s="21" t="s">
        <v>279</v>
      </c>
      <c r="Q434" s="21" t="s">
        <v>2609</v>
      </c>
      <c r="R434" s="74" t="s">
        <v>2562</v>
      </c>
      <c r="S434" s="95" t="s">
        <v>685</v>
      </c>
      <c r="T434" s="21" t="s">
        <v>686</v>
      </c>
      <c r="U434" s="21" t="s">
        <v>687</v>
      </c>
      <c r="V434" s="21" t="s">
        <v>59</v>
      </c>
      <c r="W434" s="21" t="s">
        <v>658</v>
      </c>
      <c r="X434" s="21" t="s">
        <v>2482</v>
      </c>
      <c r="Y434" s="130"/>
      <c r="Z434" s="130"/>
      <c r="AA434" s="130"/>
      <c r="AB434" s="130"/>
    </row>
    <row r="435" spans="1:256" s="131" customFormat="1" ht="38.25" customHeight="1">
      <c r="A435" s="21" t="s">
        <v>1</v>
      </c>
      <c r="B435" s="21" t="s">
        <v>24</v>
      </c>
      <c r="C435" s="21"/>
      <c r="D435" s="21" t="s">
        <v>2610</v>
      </c>
      <c r="E435" s="21" t="s">
        <v>26</v>
      </c>
      <c r="F435" s="21" t="s">
        <v>2611</v>
      </c>
      <c r="G435" s="21" t="s">
        <v>187</v>
      </c>
      <c r="H435" s="21">
        <v>541330</v>
      </c>
      <c r="I435" s="21" t="s">
        <v>6</v>
      </c>
      <c r="J435" s="21" t="s">
        <v>40</v>
      </c>
      <c r="K435" s="21" t="s">
        <v>449</v>
      </c>
      <c r="L435" s="22">
        <v>80000</v>
      </c>
      <c r="M435" s="22">
        <v>80000</v>
      </c>
      <c r="N435" s="21"/>
      <c r="O435" s="21"/>
      <c r="P435" s="21" t="s">
        <v>279</v>
      </c>
      <c r="Q435" s="21" t="s">
        <v>31</v>
      </c>
      <c r="R435" s="74">
        <v>2013</v>
      </c>
      <c r="S435" s="21" t="s">
        <v>2555</v>
      </c>
      <c r="T435" s="21" t="s">
        <v>2556</v>
      </c>
      <c r="U435" s="21" t="s">
        <v>2557</v>
      </c>
      <c r="V435" s="21" t="s">
        <v>59</v>
      </c>
      <c r="W435" s="21" t="s">
        <v>658</v>
      </c>
      <c r="X435" s="21" t="s">
        <v>2482</v>
      </c>
      <c r="Y435" s="267"/>
      <c r="Z435" s="267"/>
      <c r="AA435" s="130"/>
      <c r="AB435" s="130"/>
    </row>
    <row r="436" spans="1:256" s="13" customFormat="1" ht="38.25" customHeight="1">
      <c r="A436" s="21" t="s">
        <v>1</v>
      </c>
      <c r="B436" s="246" t="s">
        <v>34</v>
      </c>
      <c r="C436" s="21" t="s">
        <v>35</v>
      </c>
      <c r="D436" s="21" t="s">
        <v>872</v>
      </c>
      <c r="E436" s="21" t="s">
        <v>116</v>
      </c>
      <c r="F436" s="21" t="s">
        <v>1921</v>
      </c>
      <c r="G436" s="21" t="s">
        <v>103</v>
      </c>
      <c r="H436" s="21">
        <v>561110</v>
      </c>
      <c r="I436" s="21" t="s">
        <v>17</v>
      </c>
      <c r="J436" s="21" t="s">
        <v>109</v>
      </c>
      <c r="K436" s="21" t="s">
        <v>50</v>
      </c>
      <c r="L436" s="21" t="s">
        <v>2612</v>
      </c>
      <c r="M436" s="22">
        <v>1000000</v>
      </c>
      <c r="N436" s="22">
        <v>3000000</v>
      </c>
      <c r="O436" s="21" t="s">
        <v>20</v>
      </c>
      <c r="P436" s="21" t="s">
        <v>278</v>
      </c>
      <c r="Q436" s="21" t="s">
        <v>556</v>
      </c>
      <c r="R436" s="21" t="s">
        <v>21</v>
      </c>
      <c r="S436" s="74">
        <v>2013</v>
      </c>
      <c r="T436" s="21" t="s">
        <v>873</v>
      </c>
      <c r="U436" s="21" t="s">
        <v>874</v>
      </c>
      <c r="V436" s="21" t="s">
        <v>875</v>
      </c>
      <c r="W436" s="21" t="s">
        <v>66</v>
      </c>
      <c r="X436" s="21"/>
      <c r="Y436" s="130"/>
      <c r="Z436" s="267"/>
      <c r="AA436" s="267"/>
      <c r="AB436" s="130"/>
      <c r="AC436" s="130"/>
      <c r="AD436" s="131"/>
      <c r="AE436" s="131"/>
      <c r="AF436" s="131"/>
      <c r="AG436" s="131"/>
      <c r="AH436" s="131"/>
      <c r="AI436" s="131"/>
      <c r="AJ436" s="131"/>
      <c r="AK436" s="131"/>
      <c r="AL436" s="131"/>
      <c r="AM436" s="131"/>
      <c r="AN436" s="131"/>
      <c r="AO436" s="131"/>
      <c r="AP436" s="131"/>
      <c r="AQ436" s="131"/>
      <c r="AR436" s="131"/>
      <c r="AS436" s="131"/>
      <c r="AT436" s="131"/>
      <c r="AU436" s="131"/>
      <c r="AV436" s="131"/>
      <c r="AW436" s="131"/>
      <c r="AX436" s="131"/>
      <c r="AY436" s="131"/>
      <c r="AZ436" s="131"/>
      <c r="BA436" s="131"/>
      <c r="BB436" s="131"/>
      <c r="BC436" s="131"/>
      <c r="BD436" s="131"/>
      <c r="BE436" s="131"/>
      <c r="BF436" s="131"/>
      <c r="BG436" s="131"/>
      <c r="BH436" s="131"/>
      <c r="BI436" s="131"/>
      <c r="BJ436" s="131"/>
      <c r="BK436" s="131"/>
      <c r="BL436" s="131"/>
      <c r="BM436" s="131"/>
      <c r="BN436" s="131"/>
      <c r="BO436" s="131"/>
      <c r="BP436" s="131"/>
      <c r="BQ436" s="131"/>
      <c r="BR436" s="131"/>
      <c r="BS436" s="131"/>
      <c r="BT436" s="131"/>
      <c r="BU436" s="131"/>
      <c r="BV436" s="131"/>
      <c r="BW436" s="131"/>
      <c r="BX436" s="131"/>
      <c r="BY436" s="131"/>
      <c r="BZ436" s="131"/>
      <c r="CA436" s="131"/>
      <c r="CB436" s="131"/>
      <c r="CC436" s="131"/>
      <c r="CD436" s="131"/>
      <c r="CE436" s="131"/>
      <c r="CF436" s="131"/>
      <c r="CG436" s="131"/>
      <c r="CH436" s="131"/>
      <c r="CI436" s="131"/>
      <c r="CJ436" s="131"/>
      <c r="CK436" s="131"/>
      <c r="CL436" s="131"/>
      <c r="CM436" s="131"/>
      <c r="CN436" s="131"/>
      <c r="CO436" s="131"/>
      <c r="CP436" s="131"/>
      <c r="CQ436" s="131"/>
      <c r="CR436" s="131"/>
      <c r="CS436" s="131"/>
      <c r="CT436" s="131"/>
      <c r="CU436" s="131"/>
      <c r="CV436" s="131"/>
      <c r="CW436" s="131"/>
      <c r="CX436" s="131"/>
      <c r="CY436" s="131"/>
      <c r="CZ436" s="131"/>
      <c r="DA436" s="131"/>
      <c r="DB436" s="131"/>
      <c r="DC436" s="131"/>
      <c r="DD436" s="131"/>
      <c r="DE436" s="131"/>
      <c r="DF436" s="131"/>
      <c r="DG436" s="131"/>
      <c r="DH436" s="131"/>
      <c r="DI436" s="131"/>
      <c r="DJ436" s="131"/>
      <c r="DK436" s="131"/>
      <c r="DL436" s="131"/>
      <c r="DM436" s="131"/>
      <c r="DN436" s="131"/>
      <c r="DO436" s="131"/>
      <c r="DP436" s="131"/>
      <c r="DQ436" s="131"/>
      <c r="DR436" s="131"/>
      <c r="DS436" s="131"/>
      <c r="DT436" s="131"/>
      <c r="DU436" s="131"/>
      <c r="DV436" s="131"/>
      <c r="DW436" s="131"/>
      <c r="DX436" s="131"/>
      <c r="DY436" s="131"/>
      <c r="DZ436" s="131"/>
      <c r="EA436" s="131"/>
      <c r="EB436" s="131"/>
      <c r="EC436" s="131"/>
      <c r="ED436" s="131"/>
      <c r="EE436" s="131"/>
      <c r="EF436" s="131"/>
      <c r="EG436" s="131"/>
      <c r="EH436" s="131"/>
      <c r="EI436" s="131"/>
      <c r="EJ436" s="131"/>
      <c r="EK436" s="131"/>
      <c r="EL436" s="131"/>
      <c r="EM436" s="131"/>
      <c r="EN436" s="131"/>
      <c r="EO436" s="131"/>
      <c r="EP436" s="131"/>
      <c r="EQ436" s="131"/>
      <c r="ER436" s="131"/>
      <c r="ES436" s="131"/>
      <c r="ET436" s="131"/>
      <c r="EU436" s="131"/>
      <c r="EV436" s="131"/>
      <c r="EW436" s="131"/>
      <c r="EX436" s="131"/>
      <c r="EY436" s="131"/>
      <c r="EZ436" s="131"/>
      <c r="FA436" s="131"/>
      <c r="FB436" s="131"/>
      <c r="FC436" s="131"/>
      <c r="FD436" s="131"/>
      <c r="FE436" s="131"/>
      <c r="FF436" s="131"/>
      <c r="FG436" s="131"/>
      <c r="FH436" s="131"/>
      <c r="FI436" s="131"/>
      <c r="FJ436" s="131"/>
      <c r="FK436" s="131"/>
      <c r="FL436" s="131"/>
      <c r="FM436" s="131"/>
      <c r="FN436" s="131"/>
      <c r="FO436" s="131"/>
      <c r="FP436" s="131"/>
      <c r="FQ436" s="131"/>
      <c r="FR436" s="131"/>
      <c r="FS436" s="131"/>
      <c r="FT436" s="131"/>
      <c r="FU436" s="131"/>
      <c r="FV436" s="131"/>
      <c r="FW436" s="131"/>
      <c r="FX436" s="131"/>
      <c r="FY436" s="131"/>
      <c r="FZ436" s="131"/>
      <c r="GA436" s="131"/>
      <c r="GB436" s="131"/>
      <c r="GC436" s="131"/>
      <c r="GD436" s="131"/>
      <c r="GE436" s="131"/>
      <c r="GF436" s="131"/>
      <c r="GG436" s="131"/>
      <c r="GH436" s="131"/>
      <c r="GI436" s="131"/>
      <c r="GJ436" s="131"/>
      <c r="GK436" s="131"/>
      <c r="GL436" s="131"/>
      <c r="GM436" s="131"/>
      <c r="GN436" s="131"/>
      <c r="GO436" s="131"/>
      <c r="GP436" s="131"/>
      <c r="GQ436" s="131"/>
      <c r="GR436" s="131"/>
      <c r="GS436" s="131"/>
      <c r="GT436" s="131"/>
      <c r="GU436" s="131"/>
      <c r="GV436" s="131"/>
      <c r="GW436" s="131"/>
      <c r="GX436" s="131"/>
      <c r="GY436" s="131"/>
      <c r="GZ436" s="131"/>
      <c r="HA436" s="131"/>
      <c r="HB436" s="131"/>
      <c r="HC436" s="131"/>
      <c r="HD436" s="131"/>
      <c r="HE436" s="131"/>
      <c r="HF436" s="131"/>
      <c r="HG436" s="131"/>
      <c r="HH436" s="131"/>
      <c r="HI436" s="131"/>
      <c r="HJ436" s="131"/>
      <c r="HK436" s="131"/>
      <c r="HL436" s="131"/>
      <c r="HM436" s="131"/>
      <c r="HN436" s="131"/>
      <c r="HO436" s="131"/>
      <c r="HP436" s="131"/>
      <c r="HQ436" s="131"/>
      <c r="HR436" s="131"/>
      <c r="HS436" s="131"/>
      <c r="HT436" s="131"/>
      <c r="HU436" s="131"/>
      <c r="HV436" s="131"/>
      <c r="HW436" s="131"/>
      <c r="HX436" s="131"/>
      <c r="HY436" s="131"/>
      <c r="HZ436" s="131"/>
      <c r="IA436" s="131"/>
      <c r="IB436" s="131"/>
      <c r="IC436" s="131"/>
      <c r="ID436" s="131"/>
      <c r="IE436" s="131"/>
      <c r="IF436" s="131"/>
      <c r="IG436" s="131"/>
      <c r="IH436" s="131"/>
      <c r="II436" s="131"/>
      <c r="IJ436" s="131"/>
      <c r="IK436" s="131"/>
      <c r="IL436" s="131"/>
      <c r="IM436" s="131"/>
      <c r="IN436" s="131"/>
      <c r="IO436" s="131"/>
      <c r="IP436" s="131"/>
      <c r="IQ436" s="131"/>
      <c r="IR436" s="131"/>
      <c r="IS436" s="131"/>
      <c r="IT436" s="131"/>
      <c r="IU436" s="131"/>
      <c r="IV436" s="131"/>
    </row>
    <row r="437" spans="1:256" s="13" customFormat="1" ht="38.25" customHeight="1">
      <c r="A437" s="21" t="s">
        <v>1</v>
      </c>
      <c r="B437" s="246" t="s">
        <v>34</v>
      </c>
      <c r="C437" s="246" t="s">
        <v>25</v>
      </c>
      <c r="D437" s="246" t="s">
        <v>876</v>
      </c>
      <c r="E437" s="246" t="s">
        <v>138</v>
      </c>
      <c r="F437" s="21" t="s">
        <v>877</v>
      </c>
      <c r="G437" s="246" t="s">
        <v>103</v>
      </c>
      <c r="H437" s="246">
        <v>236220</v>
      </c>
      <c r="I437" s="21" t="s">
        <v>28</v>
      </c>
      <c r="J437" s="21" t="s">
        <v>109</v>
      </c>
      <c r="K437" s="21" t="s">
        <v>1974</v>
      </c>
      <c r="L437" s="21" t="s">
        <v>1974</v>
      </c>
      <c r="M437" s="22">
        <v>100000</v>
      </c>
      <c r="N437" s="22">
        <v>250000</v>
      </c>
      <c r="O437" s="21" t="s">
        <v>20</v>
      </c>
      <c r="P437" s="21" t="s">
        <v>278</v>
      </c>
      <c r="Q437" s="21" t="s">
        <v>279</v>
      </c>
      <c r="R437" s="21" t="s">
        <v>278</v>
      </c>
      <c r="S437" s="74">
        <v>2013</v>
      </c>
      <c r="T437" s="21" t="s">
        <v>878</v>
      </c>
      <c r="U437" s="21" t="s">
        <v>879</v>
      </c>
      <c r="V437" s="21" t="s">
        <v>880</v>
      </c>
      <c r="W437" s="21" t="s">
        <v>66</v>
      </c>
      <c r="X437" s="21"/>
      <c r="Y437" s="130"/>
      <c r="Z437" s="130"/>
      <c r="AA437" s="130"/>
      <c r="AB437" s="130"/>
      <c r="AC437" s="130"/>
      <c r="AD437" s="131"/>
      <c r="AE437" s="131"/>
      <c r="AF437" s="131"/>
      <c r="AG437" s="131"/>
      <c r="AH437" s="131"/>
      <c r="AI437" s="131"/>
      <c r="AJ437" s="131"/>
      <c r="AK437" s="131"/>
      <c r="AL437" s="131"/>
      <c r="AM437" s="131"/>
      <c r="AN437" s="131"/>
      <c r="AO437" s="131"/>
      <c r="AP437" s="131"/>
      <c r="AQ437" s="131"/>
      <c r="AR437" s="131"/>
      <c r="AS437" s="131"/>
      <c r="AT437" s="131"/>
      <c r="AU437" s="131"/>
      <c r="AV437" s="131"/>
      <c r="AW437" s="131"/>
      <c r="AX437" s="131"/>
      <c r="AY437" s="131"/>
      <c r="AZ437" s="131"/>
      <c r="BA437" s="131"/>
      <c r="BB437" s="131"/>
      <c r="BC437" s="131"/>
      <c r="BD437" s="131"/>
      <c r="BE437" s="131"/>
      <c r="BF437" s="131"/>
      <c r="BG437" s="131"/>
      <c r="BH437" s="131"/>
      <c r="BI437" s="131"/>
      <c r="BJ437" s="131"/>
      <c r="BK437" s="131"/>
      <c r="BL437" s="131"/>
      <c r="BM437" s="131"/>
      <c r="BN437" s="131"/>
      <c r="BO437" s="131"/>
      <c r="BP437" s="131"/>
      <c r="BQ437" s="131"/>
      <c r="BR437" s="131"/>
      <c r="BS437" s="131"/>
      <c r="BT437" s="131"/>
      <c r="BU437" s="131"/>
      <c r="BV437" s="131"/>
      <c r="BW437" s="131"/>
      <c r="BX437" s="131"/>
      <c r="BY437" s="131"/>
      <c r="BZ437" s="131"/>
      <c r="CA437" s="131"/>
      <c r="CB437" s="131"/>
      <c r="CC437" s="131"/>
      <c r="CD437" s="131"/>
      <c r="CE437" s="131"/>
      <c r="CF437" s="131"/>
      <c r="CG437" s="131"/>
      <c r="CH437" s="131"/>
      <c r="CI437" s="131"/>
      <c r="CJ437" s="131"/>
      <c r="CK437" s="131"/>
      <c r="CL437" s="131"/>
      <c r="CM437" s="131"/>
      <c r="CN437" s="131"/>
      <c r="CO437" s="131"/>
      <c r="CP437" s="131"/>
      <c r="CQ437" s="131"/>
      <c r="CR437" s="131"/>
      <c r="CS437" s="131"/>
      <c r="CT437" s="131"/>
      <c r="CU437" s="131"/>
      <c r="CV437" s="131"/>
      <c r="CW437" s="131"/>
      <c r="CX437" s="131"/>
      <c r="CY437" s="131"/>
      <c r="CZ437" s="131"/>
      <c r="DA437" s="131"/>
      <c r="DB437" s="131"/>
      <c r="DC437" s="131"/>
      <c r="DD437" s="131"/>
      <c r="DE437" s="131"/>
      <c r="DF437" s="131"/>
      <c r="DG437" s="131"/>
      <c r="DH437" s="131"/>
      <c r="DI437" s="131"/>
      <c r="DJ437" s="131"/>
      <c r="DK437" s="131"/>
      <c r="DL437" s="131"/>
      <c r="DM437" s="131"/>
      <c r="DN437" s="131"/>
      <c r="DO437" s="131"/>
      <c r="DP437" s="131"/>
      <c r="DQ437" s="131"/>
      <c r="DR437" s="131"/>
      <c r="DS437" s="131"/>
      <c r="DT437" s="131"/>
      <c r="DU437" s="131"/>
      <c r="DV437" s="131"/>
      <c r="DW437" s="131"/>
      <c r="DX437" s="131"/>
      <c r="DY437" s="131"/>
      <c r="DZ437" s="131"/>
      <c r="EA437" s="131"/>
      <c r="EB437" s="131"/>
      <c r="EC437" s="131"/>
      <c r="ED437" s="131"/>
      <c r="EE437" s="131"/>
      <c r="EF437" s="131"/>
      <c r="EG437" s="131"/>
      <c r="EH437" s="131"/>
      <c r="EI437" s="131"/>
      <c r="EJ437" s="131"/>
      <c r="EK437" s="131"/>
      <c r="EL437" s="131"/>
      <c r="EM437" s="131"/>
      <c r="EN437" s="131"/>
      <c r="EO437" s="131"/>
      <c r="EP437" s="131"/>
      <c r="EQ437" s="131"/>
      <c r="ER437" s="131"/>
      <c r="ES437" s="131"/>
      <c r="ET437" s="131"/>
      <c r="EU437" s="131"/>
      <c r="EV437" s="131"/>
      <c r="EW437" s="131"/>
      <c r="EX437" s="131"/>
      <c r="EY437" s="131"/>
      <c r="EZ437" s="131"/>
      <c r="FA437" s="131"/>
      <c r="FB437" s="131"/>
      <c r="FC437" s="131"/>
      <c r="FD437" s="131"/>
      <c r="FE437" s="131"/>
      <c r="FF437" s="131"/>
      <c r="FG437" s="131"/>
      <c r="FH437" s="131"/>
      <c r="FI437" s="131"/>
      <c r="FJ437" s="131"/>
      <c r="FK437" s="131"/>
      <c r="FL437" s="131"/>
      <c r="FM437" s="131"/>
      <c r="FN437" s="131"/>
      <c r="FO437" s="131"/>
      <c r="FP437" s="131"/>
      <c r="FQ437" s="131"/>
      <c r="FR437" s="131"/>
      <c r="FS437" s="131"/>
      <c r="FT437" s="131"/>
      <c r="FU437" s="131"/>
      <c r="FV437" s="131"/>
      <c r="FW437" s="131"/>
      <c r="FX437" s="131"/>
      <c r="FY437" s="131"/>
      <c r="FZ437" s="131"/>
      <c r="GA437" s="131"/>
      <c r="GB437" s="131"/>
      <c r="GC437" s="131"/>
      <c r="GD437" s="131"/>
      <c r="GE437" s="131"/>
      <c r="GF437" s="131"/>
      <c r="GG437" s="131"/>
      <c r="GH437" s="131"/>
      <c r="GI437" s="131"/>
      <c r="GJ437" s="131"/>
      <c r="GK437" s="131"/>
      <c r="GL437" s="131"/>
      <c r="GM437" s="131"/>
      <c r="GN437" s="131"/>
      <c r="GO437" s="131"/>
      <c r="GP437" s="131"/>
      <c r="GQ437" s="131"/>
      <c r="GR437" s="131"/>
      <c r="GS437" s="131"/>
      <c r="GT437" s="131"/>
      <c r="GU437" s="131"/>
      <c r="GV437" s="131"/>
      <c r="GW437" s="131"/>
      <c r="GX437" s="131"/>
      <c r="GY437" s="131"/>
      <c r="GZ437" s="131"/>
      <c r="HA437" s="131"/>
      <c r="HB437" s="131"/>
      <c r="HC437" s="131"/>
      <c r="HD437" s="131"/>
      <c r="HE437" s="131"/>
      <c r="HF437" s="131"/>
      <c r="HG437" s="131"/>
      <c r="HH437" s="131"/>
      <c r="HI437" s="131"/>
      <c r="HJ437" s="131"/>
      <c r="HK437" s="131"/>
      <c r="HL437" s="131"/>
      <c r="HM437" s="131"/>
      <c r="HN437" s="131"/>
      <c r="HO437" s="131"/>
      <c r="HP437" s="131"/>
      <c r="HQ437" s="131"/>
      <c r="HR437" s="131"/>
      <c r="HS437" s="131"/>
      <c r="HT437" s="131"/>
      <c r="HU437" s="131"/>
      <c r="HV437" s="131"/>
      <c r="HW437" s="131"/>
      <c r="HX437" s="131"/>
      <c r="HY437" s="131"/>
      <c r="HZ437" s="131"/>
      <c r="IA437" s="131"/>
      <c r="IB437" s="131"/>
      <c r="IC437" s="131"/>
      <c r="ID437" s="131"/>
      <c r="IE437" s="131"/>
      <c r="IF437" s="131"/>
      <c r="IG437" s="131"/>
      <c r="IH437" s="131"/>
      <c r="II437" s="131"/>
      <c r="IJ437" s="131"/>
      <c r="IK437" s="131"/>
      <c r="IL437" s="131"/>
      <c r="IM437" s="131"/>
      <c r="IN437" s="131"/>
      <c r="IO437" s="131"/>
      <c r="IP437" s="131"/>
      <c r="IQ437" s="131"/>
      <c r="IR437" s="131"/>
      <c r="IS437" s="131"/>
      <c r="IT437" s="131"/>
      <c r="IU437" s="131"/>
      <c r="IV437" s="131"/>
    </row>
    <row r="438" spans="1:256" s="13" customFormat="1" ht="38.25" customHeight="1">
      <c r="A438" s="21" t="s">
        <v>1</v>
      </c>
      <c r="B438" s="246" t="s">
        <v>34</v>
      </c>
      <c r="C438" s="246" t="s">
        <v>25</v>
      </c>
      <c r="D438" s="246" t="s">
        <v>881</v>
      </c>
      <c r="E438" s="246" t="s">
        <v>138</v>
      </c>
      <c r="F438" s="21" t="s">
        <v>882</v>
      </c>
      <c r="G438" s="246" t="s">
        <v>103</v>
      </c>
      <c r="H438" s="246">
        <v>236220</v>
      </c>
      <c r="I438" s="21" t="s">
        <v>28</v>
      </c>
      <c r="J438" s="21" t="s">
        <v>109</v>
      </c>
      <c r="K438" s="21" t="s">
        <v>1974</v>
      </c>
      <c r="L438" s="21" t="s">
        <v>1974</v>
      </c>
      <c r="M438" s="22">
        <v>1000</v>
      </c>
      <c r="N438" s="22">
        <v>25000</v>
      </c>
      <c r="O438" s="21" t="s">
        <v>20</v>
      </c>
      <c r="P438" s="21" t="s">
        <v>278</v>
      </c>
      <c r="Q438" s="21" t="s">
        <v>279</v>
      </c>
      <c r="R438" s="21" t="s">
        <v>278</v>
      </c>
      <c r="S438" s="74">
        <v>2013</v>
      </c>
      <c r="T438" s="21" t="s">
        <v>878</v>
      </c>
      <c r="U438" s="21" t="s">
        <v>879</v>
      </c>
      <c r="V438" s="21" t="s">
        <v>880</v>
      </c>
      <c r="W438" s="21" t="s">
        <v>66</v>
      </c>
      <c r="X438" s="246"/>
      <c r="Y438" s="130"/>
      <c r="Z438" s="130"/>
      <c r="AA438" s="130"/>
      <c r="AB438" s="130"/>
      <c r="AC438" s="130"/>
      <c r="AD438" s="131"/>
      <c r="AE438" s="131"/>
      <c r="AF438" s="131"/>
      <c r="AG438" s="131"/>
      <c r="AH438" s="131"/>
      <c r="AI438" s="131"/>
      <c r="AJ438" s="131"/>
      <c r="AK438" s="131"/>
      <c r="AL438" s="131"/>
      <c r="AM438" s="131"/>
      <c r="AN438" s="131"/>
      <c r="AO438" s="131"/>
      <c r="AP438" s="131"/>
      <c r="AQ438" s="131"/>
      <c r="AR438" s="131"/>
      <c r="AS438" s="131"/>
      <c r="AT438" s="131"/>
      <c r="AU438" s="131"/>
      <c r="AV438" s="131"/>
      <c r="AW438" s="131"/>
      <c r="AX438" s="131"/>
      <c r="AY438" s="131"/>
      <c r="AZ438" s="131"/>
      <c r="BA438" s="131"/>
      <c r="BB438" s="131"/>
      <c r="BC438" s="131"/>
      <c r="BD438" s="131"/>
      <c r="BE438" s="131"/>
      <c r="BF438" s="131"/>
      <c r="BG438" s="131"/>
      <c r="BH438" s="131"/>
      <c r="BI438" s="131"/>
      <c r="BJ438" s="131"/>
      <c r="BK438" s="131"/>
      <c r="BL438" s="131"/>
      <c r="BM438" s="131"/>
      <c r="BN438" s="131"/>
      <c r="BO438" s="131"/>
      <c r="BP438" s="131"/>
      <c r="BQ438" s="131"/>
      <c r="BR438" s="131"/>
      <c r="BS438" s="131"/>
      <c r="BT438" s="131"/>
      <c r="BU438" s="131"/>
      <c r="BV438" s="131"/>
      <c r="BW438" s="131"/>
      <c r="BX438" s="131"/>
      <c r="BY438" s="131"/>
      <c r="BZ438" s="131"/>
      <c r="CA438" s="131"/>
      <c r="CB438" s="131"/>
      <c r="CC438" s="131"/>
      <c r="CD438" s="131"/>
      <c r="CE438" s="131"/>
      <c r="CF438" s="131"/>
      <c r="CG438" s="131"/>
      <c r="CH438" s="131"/>
      <c r="CI438" s="131"/>
      <c r="CJ438" s="131"/>
      <c r="CK438" s="131"/>
      <c r="CL438" s="131"/>
      <c r="CM438" s="131"/>
      <c r="CN438" s="131"/>
      <c r="CO438" s="131"/>
      <c r="CP438" s="131"/>
      <c r="CQ438" s="131"/>
      <c r="CR438" s="131"/>
      <c r="CS438" s="131"/>
      <c r="CT438" s="131"/>
      <c r="CU438" s="131"/>
      <c r="CV438" s="131"/>
      <c r="CW438" s="131"/>
      <c r="CX438" s="131"/>
      <c r="CY438" s="131"/>
      <c r="CZ438" s="131"/>
      <c r="DA438" s="131"/>
      <c r="DB438" s="131"/>
      <c r="DC438" s="131"/>
      <c r="DD438" s="131"/>
      <c r="DE438" s="131"/>
      <c r="DF438" s="131"/>
      <c r="DG438" s="131"/>
      <c r="DH438" s="131"/>
      <c r="DI438" s="131"/>
      <c r="DJ438" s="131"/>
      <c r="DK438" s="131"/>
      <c r="DL438" s="131"/>
      <c r="DM438" s="131"/>
      <c r="DN438" s="131"/>
      <c r="DO438" s="131"/>
      <c r="DP438" s="131"/>
      <c r="DQ438" s="131"/>
      <c r="DR438" s="131"/>
      <c r="DS438" s="131"/>
      <c r="DT438" s="131"/>
      <c r="DU438" s="131"/>
      <c r="DV438" s="131"/>
      <c r="DW438" s="131"/>
      <c r="DX438" s="131"/>
      <c r="DY438" s="131"/>
      <c r="DZ438" s="131"/>
      <c r="EA438" s="131"/>
      <c r="EB438" s="131"/>
      <c r="EC438" s="131"/>
      <c r="ED438" s="131"/>
      <c r="EE438" s="131"/>
      <c r="EF438" s="131"/>
      <c r="EG438" s="131"/>
      <c r="EH438" s="131"/>
      <c r="EI438" s="131"/>
      <c r="EJ438" s="131"/>
      <c r="EK438" s="131"/>
      <c r="EL438" s="131"/>
      <c r="EM438" s="131"/>
      <c r="EN438" s="131"/>
      <c r="EO438" s="131"/>
      <c r="EP438" s="131"/>
      <c r="EQ438" s="131"/>
      <c r="ER438" s="131"/>
      <c r="ES438" s="131"/>
      <c r="ET438" s="131"/>
      <c r="EU438" s="131"/>
      <c r="EV438" s="131"/>
      <c r="EW438" s="131"/>
      <c r="EX438" s="131"/>
      <c r="EY438" s="131"/>
      <c r="EZ438" s="131"/>
      <c r="FA438" s="131"/>
      <c r="FB438" s="131"/>
      <c r="FC438" s="131"/>
      <c r="FD438" s="131"/>
      <c r="FE438" s="131"/>
      <c r="FF438" s="131"/>
      <c r="FG438" s="131"/>
      <c r="FH438" s="131"/>
      <c r="FI438" s="131"/>
      <c r="FJ438" s="131"/>
      <c r="FK438" s="131"/>
      <c r="FL438" s="131"/>
      <c r="FM438" s="131"/>
      <c r="FN438" s="131"/>
      <c r="FO438" s="131"/>
      <c r="FP438" s="131"/>
      <c r="FQ438" s="131"/>
      <c r="FR438" s="131"/>
      <c r="FS438" s="131"/>
      <c r="FT438" s="131"/>
      <c r="FU438" s="131"/>
      <c r="FV438" s="131"/>
      <c r="FW438" s="131"/>
      <c r="FX438" s="131"/>
      <c r="FY438" s="131"/>
      <c r="FZ438" s="131"/>
      <c r="GA438" s="131"/>
      <c r="GB438" s="131"/>
      <c r="GC438" s="131"/>
      <c r="GD438" s="131"/>
      <c r="GE438" s="131"/>
      <c r="GF438" s="131"/>
      <c r="GG438" s="131"/>
      <c r="GH438" s="131"/>
      <c r="GI438" s="131"/>
      <c r="GJ438" s="131"/>
      <c r="GK438" s="131"/>
      <c r="GL438" s="131"/>
      <c r="GM438" s="131"/>
      <c r="GN438" s="131"/>
      <c r="GO438" s="131"/>
      <c r="GP438" s="131"/>
      <c r="GQ438" s="131"/>
      <c r="GR438" s="131"/>
      <c r="GS438" s="131"/>
      <c r="GT438" s="131"/>
      <c r="GU438" s="131"/>
      <c r="GV438" s="131"/>
      <c r="GW438" s="131"/>
      <c r="GX438" s="131"/>
      <c r="GY438" s="131"/>
      <c r="GZ438" s="131"/>
      <c r="HA438" s="131"/>
      <c r="HB438" s="131"/>
      <c r="HC438" s="131"/>
      <c r="HD438" s="131"/>
      <c r="HE438" s="131"/>
      <c r="HF438" s="131"/>
      <c r="HG438" s="131"/>
      <c r="HH438" s="131"/>
      <c r="HI438" s="131"/>
      <c r="HJ438" s="131"/>
      <c r="HK438" s="131"/>
      <c r="HL438" s="131"/>
      <c r="HM438" s="131"/>
      <c r="HN438" s="131"/>
      <c r="HO438" s="131"/>
      <c r="HP438" s="131"/>
      <c r="HQ438" s="131"/>
      <c r="HR438" s="131"/>
      <c r="HS438" s="131"/>
      <c r="HT438" s="131"/>
      <c r="HU438" s="131"/>
      <c r="HV438" s="131"/>
      <c r="HW438" s="131"/>
      <c r="HX438" s="131"/>
      <c r="HY438" s="131"/>
      <c r="HZ438" s="131"/>
      <c r="IA438" s="131"/>
      <c r="IB438" s="131"/>
      <c r="IC438" s="131"/>
      <c r="ID438" s="131"/>
      <c r="IE438" s="131"/>
      <c r="IF438" s="131"/>
      <c r="IG438" s="131"/>
      <c r="IH438" s="131"/>
      <c r="II438" s="131"/>
      <c r="IJ438" s="131"/>
      <c r="IK438" s="131"/>
      <c r="IL438" s="131"/>
      <c r="IM438" s="131"/>
      <c r="IN438" s="131"/>
      <c r="IO438" s="131"/>
      <c r="IP438" s="131"/>
      <c r="IQ438" s="131"/>
      <c r="IR438" s="131"/>
      <c r="IS438" s="131"/>
      <c r="IT438" s="131"/>
      <c r="IU438" s="131"/>
      <c r="IV438" s="131"/>
    </row>
    <row r="439" spans="1:256" s="13" customFormat="1" ht="38.25" customHeight="1">
      <c r="A439" s="21" t="s">
        <v>1</v>
      </c>
      <c r="B439" s="246" t="s">
        <v>34</v>
      </c>
      <c r="C439" s="246" t="s">
        <v>25</v>
      </c>
      <c r="D439" s="246" t="s">
        <v>883</v>
      </c>
      <c r="E439" s="246" t="s">
        <v>138</v>
      </c>
      <c r="F439" s="21" t="s">
        <v>882</v>
      </c>
      <c r="G439" s="246" t="s">
        <v>103</v>
      </c>
      <c r="H439" s="246">
        <v>236220</v>
      </c>
      <c r="I439" s="21" t="s">
        <v>28</v>
      </c>
      <c r="J439" s="21" t="s">
        <v>109</v>
      </c>
      <c r="K439" s="21" t="s">
        <v>1974</v>
      </c>
      <c r="L439" s="21" t="s">
        <v>1974</v>
      </c>
      <c r="M439" s="22">
        <v>1000000</v>
      </c>
      <c r="N439" s="22">
        <v>5000000</v>
      </c>
      <c r="O439" s="21" t="s">
        <v>20</v>
      </c>
      <c r="P439" s="21" t="s">
        <v>278</v>
      </c>
      <c r="Q439" s="21" t="s">
        <v>279</v>
      </c>
      <c r="R439" s="21" t="s">
        <v>278</v>
      </c>
      <c r="S439" s="74">
        <v>2013</v>
      </c>
      <c r="T439" s="21" t="s">
        <v>878</v>
      </c>
      <c r="U439" s="21" t="s">
        <v>879</v>
      </c>
      <c r="V439" s="21" t="s">
        <v>880</v>
      </c>
      <c r="W439" s="21" t="s">
        <v>66</v>
      </c>
      <c r="X439" s="246"/>
      <c r="Y439" s="130"/>
      <c r="Z439" s="130"/>
      <c r="AA439" s="130"/>
      <c r="AB439" s="130"/>
      <c r="AC439" s="130"/>
      <c r="AD439" s="131"/>
      <c r="AE439" s="131"/>
      <c r="AF439" s="131"/>
      <c r="AG439" s="131"/>
      <c r="AH439" s="131"/>
      <c r="AI439" s="131"/>
      <c r="AJ439" s="131"/>
      <c r="AK439" s="131"/>
      <c r="AL439" s="131"/>
      <c r="AM439" s="131"/>
      <c r="AN439" s="131"/>
      <c r="AO439" s="131"/>
      <c r="AP439" s="131"/>
      <c r="AQ439" s="131"/>
      <c r="AR439" s="131"/>
      <c r="AS439" s="131"/>
      <c r="AT439" s="131"/>
      <c r="AU439" s="131"/>
      <c r="AV439" s="131"/>
      <c r="AW439" s="131"/>
      <c r="AX439" s="131"/>
      <c r="AY439" s="131"/>
      <c r="AZ439" s="131"/>
      <c r="BA439" s="131"/>
      <c r="BB439" s="131"/>
      <c r="BC439" s="131"/>
      <c r="BD439" s="131"/>
      <c r="BE439" s="131"/>
      <c r="BF439" s="131"/>
      <c r="BG439" s="131"/>
      <c r="BH439" s="131"/>
      <c r="BI439" s="131"/>
      <c r="BJ439" s="131"/>
      <c r="BK439" s="131"/>
      <c r="BL439" s="131"/>
      <c r="BM439" s="131"/>
      <c r="BN439" s="131"/>
      <c r="BO439" s="131"/>
      <c r="BP439" s="131"/>
      <c r="BQ439" s="131"/>
      <c r="BR439" s="131"/>
      <c r="BS439" s="131"/>
      <c r="BT439" s="131"/>
      <c r="BU439" s="131"/>
      <c r="BV439" s="131"/>
      <c r="BW439" s="131"/>
      <c r="BX439" s="131"/>
      <c r="BY439" s="131"/>
      <c r="BZ439" s="131"/>
      <c r="CA439" s="131"/>
      <c r="CB439" s="131"/>
      <c r="CC439" s="131"/>
      <c r="CD439" s="131"/>
      <c r="CE439" s="131"/>
      <c r="CF439" s="131"/>
      <c r="CG439" s="131"/>
      <c r="CH439" s="131"/>
      <c r="CI439" s="131"/>
      <c r="CJ439" s="131"/>
      <c r="CK439" s="131"/>
      <c r="CL439" s="131"/>
      <c r="CM439" s="131"/>
      <c r="CN439" s="131"/>
      <c r="CO439" s="131"/>
      <c r="CP439" s="131"/>
      <c r="CQ439" s="131"/>
      <c r="CR439" s="131"/>
      <c r="CS439" s="131"/>
      <c r="CT439" s="131"/>
      <c r="CU439" s="131"/>
      <c r="CV439" s="131"/>
      <c r="CW439" s="131"/>
      <c r="CX439" s="131"/>
      <c r="CY439" s="131"/>
      <c r="CZ439" s="131"/>
      <c r="DA439" s="131"/>
      <c r="DB439" s="131"/>
      <c r="DC439" s="131"/>
      <c r="DD439" s="131"/>
      <c r="DE439" s="131"/>
      <c r="DF439" s="131"/>
      <c r="DG439" s="131"/>
      <c r="DH439" s="131"/>
      <c r="DI439" s="131"/>
      <c r="DJ439" s="131"/>
      <c r="DK439" s="131"/>
      <c r="DL439" s="131"/>
      <c r="DM439" s="131"/>
      <c r="DN439" s="131"/>
      <c r="DO439" s="131"/>
      <c r="DP439" s="131"/>
      <c r="DQ439" s="131"/>
      <c r="DR439" s="131"/>
      <c r="DS439" s="131"/>
      <c r="DT439" s="131"/>
      <c r="DU439" s="131"/>
      <c r="DV439" s="131"/>
      <c r="DW439" s="131"/>
      <c r="DX439" s="131"/>
      <c r="DY439" s="131"/>
      <c r="DZ439" s="131"/>
      <c r="EA439" s="131"/>
      <c r="EB439" s="131"/>
      <c r="EC439" s="131"/>
      <c r="ED439" s="131"/>
      <c r="EE439" s="131"/>
      <c r="EF439" s="131"/>
      <c r="EG439" s="131"/>
      <c r="EH439" s="131"/>
      <c r="EI439" s="131"/>
      <c r="EJ439" s="131"/>
      <c r="EK439" s="131"/>
      <c r="EL439" s="131"/>
      <c r="EM439" s="131"/>
      <c r="EN439" s="131"/>
      <c r="EO439" s="131"/>
      <c r="EP439" s="131"/>
      <c r="EQ439" s="131"/>
      <c r="ER439" s="131"/>
      <c r="ES439" s="131"/>
      <c r="ET439" s="131"/>
      <c r="EU439" s="131"/>
      <c r="EV439" s="131"/>
      <c r="EW439" s="131"/>
      <c r="EX439" s="131"/>
      <c r="EY439" s="131"/>
      <c r="EZ439" s="131"/>
      <c r="FA439" s="131"/>
      <c r="FB439" s="131"/>
      <c r="FC439" s="131"/>
      <c r="FD439" s="131"/>
      <c r="FE439" s="131"/>
      <c r="FF439" s="131"/>
      <c r="FG439" s="131"/>
      <c r="FH439" s="131"/>
      <c r="FI439" s="131"/>
      <c r="FJ439" s="131"/>
      <c r="FK439" s="131"/>
      <c r="FL439" s="131"/>
      <c r="FM439" s="131"/>
      <c r="FN439" s="131"/>
      <c r="FO439" s="131"/>
      <c r="FP439" s="131"/>
      <c r="FQ439" s="131"/>
      <c r="FR439" s="131"/>
      <c r="FS439" s="131"/>
      <c r="FT439" s="131"/>
      <c r="FU439" s="131"/>
      <c r="FV439" s="131"/>
      <c r="FW439" s="131"/>
      <c r="FX439" s="131"/>
      <c r="FY439" s="131"/>
      <c r="FZ439" s="131"/>
      <c r="GA439" s="131"/>
      <c r="GB439" s="131"/>
      <c r="GC439" s="131"/>
      <c r="GD439" s="131"/>
      <c r="GE439" s="131"/>
      <c r="GF439" s="131"/>
      <c r="GG439" s="131"/>
      <c r="GH439" s="131"/>
      <c r="GI439" s="131"/>
      <c r="GJ439" s="131"/>
      <c r="GK439" s="131"/>
      <c r="GL439" s="131"/>
      <c r="GM439" s="131"/>
      <c r="GN439" s="131"/>
      <c r="GO439" s="131"/>
      <c r="GP439" s="131"/>
      <c r="GQ439" s="131"/>
      <c r="GR439" s="131"/>
      <c r="GS439" s="131"/>
      <c r="GT439" s="131"/>
      <c r="GU439" s="131"/>
      <c r="GV439" s="131"/>
      <c r="GW439" s="131"/>
      <c r="GX439" s="131"/>
      <c r="GY439" s="131"/>
      <c r="GZ439" s="131"/>
      <c r="HA439" s="131"/>
      <c r="HB439" s="131"/>
      <c r="HC439" s="131"/>
      <c r="HD439" s="131"/>
      <c r="HE439" s="131"/>
      <c r="HF439" s="131"/>
      <c r="HG439" s="131"/>
      <c r="HH439" s="131"/>
      <c r="HI439" s="131"/>
      <c r="HJ439" s="131"/>
      <c r="HK439" s="131"/>
      <c r="HL439" s="131"/>
      <c r="HM439" s="131"/>
      <c r="HN439" s="131"/>
      <c r="HO439" s="131"/>
      <c r="HP439" s="131"/>
      <c r="HQ439" s="131"/>
      <c r="HR439" s="131"/>
      <c r="HS439" s="131"/>
      <c r="HT439" s="131"/>
      <c r="HU439" s="131"/>
      <c r="HV439" s="131"/>
      <c r="HW439" s="131"/>
      <c r="HX439" s="131"/>
      <c r="HY439" s="131"/>
      <c r="HZ439" s="131"/>
      <c r="IA439" s="131"/>
      <c r="IB439" s="131"/>
      <c r="IC439" s="131"/>
      <c r="ID439" s="131"/>
      <c r="IE439" s="131"/>
      <c r="IF439" s="131"/>
      <c r="IG439" s="131"/>
      <c r="IH439" s="131"/>
      <c r="II439" s="131"/>
      <c r="IJ439" s="131"/>
      <c r="IK439" s="131"/>
      <c r="IL439" s="131"/>
      <c r="IM439" s="131"/>
      <c r="IN439" s="131"/>
      <c r="IO439" s="131"/>
      <c r="IP439" s="131"/>
      <c r="IQ439" s="131"/>
      <c r="IR439" s="131"/>
      <c r="IS439" s="131"/>
      <c r="IT439" s="131"/>
      <c r="IU439" s="131"/>
      <c r="IV439" s="131"/>
    </row>
    <row r="440" spans="1:256" s="13" customFormat="1" ht="38.25" customHeight="1">
      <c r="A440" s="21" t="s">
        <v>1</v>
      </c>
      <c r="B440" s="246" t="s">
        <v>34</v>
      </c>
      <c r="C440" s="246" t="s">
        <v>25</v>
      </c>
      <c r="D440" s="246" t="s">
        <v>884</v>
      </c>
      <c r="E440" s="246" t="s">
        <v>138</v>
      </c>
      <c r="F440" s="21" t="s">
        <v>882</v>
      </c>
      <c r="G440" s="246" t="s">
        <v>103</v>
      </c>
      <c r="H440" s="246">
        <v>236220</v>
      </c>
      <c r="I440" s="21" t="s">
        <v>28</v>
      </c>
      <c r="J440" s="21" t="s">
        <v>109</v>
      </c>
      <c r="K440" s="21" t="s">
        <v>1974</v>
      </c>
      <c r="L440" s="21" t="s">
        <v>1974</v>
      </c>
      <c r="M440" s="22">
        <v>100000</v>
      </c>
      <c r="N440" s="22">
        <v>250000</v>
      </c>
      <c r="O440" s="21" t="s">
        <v>20</v>
      </c>
      <c r="P440" s="21" t="s">
        <v>278</v>
      </c>
      <c r="Q440" s="21" t="s">
        <v>279</v>
      </c>
      <c r="R440" s="21" t="s">
        <v>278</v>
      </c>
      <c r="S440" s="74">
        <v>2013</v>
      </c>
      <c r="T440" s="21" t="s">
        <v>878</v>
      </c>
      <c r="U440" s="21" t="s">
        <v>879</v>
      </c>
      <c r="V440" s="21" t="s">
        <v>880</v>
      </c>
      <c r="W440" s="21" t="s">
        <v>66</v>
      </c>
      <c r="X440" s="246"/>
      <c r="Y440" s="130"/>
      <c r="Z440" s="130"/>
      <c r="AA440" s="130"/>
      <c r="AB440" s="130"/>
      <c r="AC440" s="130"/>
      <c r="AD440" s="131"/>
      <c r="AE440" s="131"/>
      <c r="AF440" s="131"/>
      <c r="AG440" s="131"/>
      <c r="AH440" s="131"/>
      <c r="AI440" s="131"/>
      <c r="AJ440" s="131"/>
      <c r="AK440" s="131"/>
      <c r="AL440" s="131"/>
      <c r="AM440" s="131"/>
      <c r="AN440" s="131"/>
      <c r="AO440" s="131"/>
      <c r="AP440" s="131"/>
      <c r="AQ440" s="131"/>
      <c r="AR440" s="131"/>
      <c r="AS440" s="131"/>
      <c r="AT440" s="131"/>
      <c r="AU440" s="131"/>
      <c r="AV440" s="131"/>
      <c r="AW440" s="131"/>
      <c r="AX440" s="131"/>
      <c r="AY440" s="131"/>
      <c r="AZ440" s="131"/>
      <c r="BA440" s="131"/>
      <c r="BB440" s="131"/>
      <c r="BC440" s="131"/>
      <c r="BD440" s="131"/>
      <c r="BE440" s="131"/>
      <c r="BF440" s="131"/>
      <c r="BG440" s="131"/>
      <c r="BH440" s="131"/>
      <c r="BI440" s="131"/>
      <c r="BJ440" s="131"/>
      <c r="BK440" s="131"/>
      <c r="BL440" s="131"/>
      <c r="BM440" s="131"/>
      <c r="BN440" s="131"/>
      <c r="BO440" s="131"/>
      <c r="BP440" s="131"/>
      <c r="BQ440" s="131"/>
      <c r="BR440" s="131"/>
      <c r="BS440" s="131"/>
      <c r="BT440" s="131"/>
      <c r="BU440" s="131"/>
      <c r="BV440" s="131"/>
      <c r="BW440" s="131"/>
      <c r="BX440" s="131"/>
      <c r="BY440" s="131"/>
      <c r="BZ440" s="131"/>
      <c r="CA440" s="131"/>
      <c r="CB440" s="131"/>
      <c r="CC440" s="131"/>
      <c r="CD440" s="131"/>
      <c r="CE440" s="131"/>
      <c r="CF440" s="131"/>
      <c r="CG440" s="131"/>
      <c r="CH440" s="131"/>
      <c r="CI440" s="131"/>
      <c r="CJ440" s="131"/>
      <c r="CK440" s="131"/>
      <c r="CL440" s="131"/>
      <c r="CM440" s="131"/>
      <c r="CN440" s="131"/>
      <c r="CO440" s="131"/>
      <c r="CP440" s="131"/>
      <c r="CQ440" s="131"/>
      <c r="CR440" s="131"/>
      <c r="CS440" s="131"/>
      <c r="CT440" s="131"/>
      <c r="CU440" s="131"/>
      <c r="CV440" s="131"/>
      <c r="CW440" s="131"/>
      <c r="CX440" s="131"/>
      <c r="CY440" s="131"/>
      <c r="CZ440" s="131"/>
      <c r="DA440" s="131"/>
      <c r="DB440" s="131"/>
      <c r="DC440" s="131"/>
      <c r="DD440" s="131"/>
      <c r="DE440" s="131"/>
      <c r="DF440" s="131"/>
      <c r="DG440" s="131"/>
      <c r="DH440" s="131"/>
      <c r="DI440" s="131"/>
      <c r="DJ440" s="131"/>
      <c r="DK440" s="131"/>
      <c r="DL440" s="131"/>
      <c r="DM440" s="131"/>
      <c r="DN440" s="131"/>
      <c r="DO440" s="131"/>
      <c r="DP440" s="131"/>
      <c r="DQ440" s="131"/>
      <c r="DR440" s="131"/>
      <c r="DS440" s="131"/>
      <c r="DT440" s="131"/>
      <c r="DU440" s="131"/>
      <c r="DV440" s="131"/>
      <c r="DW440" s="131"/>
      <c r="DX440" s="131"/>
      <c r="DY440" s="131"/>
      <c r="DZ440" s="131"/>
      <c r="EA440" s="131"/>
      <c r="EB440" s="131"/>
      <c r="EC440" s="131"/>
      <c r="ED440" s="131"/>
      <c r="EE440" s="131"/>
      <c r="EF440" s="131"/>
      <c r="EG440" s="131"/>
      <c r="EH440" s="131"/>
      <c r="EI440" s="131"/>
      <c r="EJ440" s="131"/>
      <c r="EK440" s="131"/>
      <c r="EL440" s="131"/>
      <c r="EM440" s="131"/>
      <c r="EN440" s="131"/>
      <c r="EO440" s="131"/>
      <c r="EP440" s="131"/>
      <c r="EQ440" s="131"/>
      <c r="ER440" s="131"/>
      <c r="ES440" s="131"/>
      <c r="ET440" s="131"/>
      <c r="EU440" s="131"/>
      <c r="EV440" s="131"/>
      <c r="EW440" s="131"/>
      <c r="EX440" s="131"/>
      <c r="EY440" s="131"/>
      <c r="EZ440" s="131"/>
      <c r="FA440" s="131"/>
      <c r="FB440" s="131"/>
      <c r="FC440" s="131"/>
      <c r="FD440" s="131"/>
      <c r="FE440" s="131"/>
      <c r="FF440" s="131"/>
      <c r="FG440" s="131"/>
      <c r="FH440" s="131"/>
      <c r="FI440" s="131"/>
      <c r="FJ440" s="131"/>
      <c r="FK440" s="131"/>
      <c r="FL440" s="131"/>
      <c r="FM440" s="131"/>
      <c r="FN440" s="131"/>
      <c r="FO440" s="131"/>
      <c r="FP440" s="131"/>
      <c r="FQ440" s="131"/>
      <c r="FR440" s="131"/>
      <c r="FS440" s="131"/>
      <c r="FT440" s="131"/>
      <c r="FU440" s="131"/>
      <c r="FV440" s="131"/>
      <c r="FW440" s="131"/>
      <c r="FX440" s="131"/>
      <c r="FY440" s="131"/>
      <c r="FZ440" s="131"/>
      <c r="GA440" s="131"/>
      <c r="GB440" s="131"/>
      <c r="GC440" s="131"/>
      <c r="GD440" s="131"/>
      <c r="GE440" s="131"/>
      <c r="GF440" s="131"/>
      <c r="GG440" s="131"/>
      <c r="GH440" s="131"/>
      <c r="GI440" s="131"/>
      <c r="GJ440" s="131"/>
      <c r="GK440" s="131"/>
      <c r="GL440" s="131"/>
      <c r="GM440" s="131"/>
      <c r="GN440" s="131"/>
      <c r="GO440" s="131"/>
      <c r="GP440" s="131"/>
      <c r="GQ440" s="131"/>
      <c r="GR440" s="131"/>
      <c r="GS440" s="131"/>
      <c r="GT440" s="131"/>
      <c r="GU440" s="131"/>
      <c r="GV440" s="131"/>
      <c r="GW440" s="131"/>
      <c r="GX440" s="131"/>
      <c r="GY440" s="131"/>
      <c r="GZ440" s="131"/>
      <c r="HA440" s="131"/>
      <c r="HB440" s="131"/>
      <c r="HC440" s="131"/>
      <c r="HD440" s="131"/>
      <c r="HE440" s="131"/>
      <c r="HF440" s="131"/>
      <c r="HG440" s="131"/>
      <c r="HH440" s="131"/>
      <c r="HI440" s="131"/>
      <c r="HJ440" s="131"/>
      <c r="HK440" s="131"/>
      <c r="HL440" s="131"/>
      <c r="HM440" s="131"/>
      <c r="HN440" s="131"/>
      <c r="HO440" s="131"/>
      <c r="HP440" s="131"/>
      <c r="HQ440" s="131"/>
      <c r="HR440" s="131"/>
      <c r="HS440" s="131"/>
      <c r="HT440" s="131"/>
      <c r="HU440" s="131"/>
      <c r="HV440" s="131"/>
      <c r="HW440" s="131"/>
      <c r="HX440" s="131"/>
      <c r="HY440" s="131"/>
      <c r="HZ440" s="131"/>
      <c r="IA440" s="131"/>
      <c r="IB440" s="131"/>
      <c r="IC440" s="131"/>
      <c r="ID440" s="131"/>
      <c r="IE440" s="131"/>
      <c r="IF440" s="131"/>
      <c r="IG440" s="131"/>
      <c r="IH440" s="131"/>
      <c r="II440" s="131"/>
      <c r="IJ440" s="131"/>
      <c r="IK440" s="131"/>
      <c r="IL440" s="131"/>
      <c r="IM440" s="131"/>
      <c r="IN440" s="131"/>
      <c r="IO440" s="131"/>
      <c r="IP440" s="131"/>
      <c r="IQ440" s="131"/>
      <c r="IR440" s="131"/>
      <c r="IS440" s="131"/>
      <c r="IT440" s="131"/>
      <c r="IU440" s="131"/>
      <c r="IV440" s="131"/>
    </row>
    <row r="441" spans="1:256" s="13" customFormat="1" ht="38.25" customHeight="1">
      <c r="A441" s="21" t="s">
        <v>1</v>
      </c>
      <c r="B441" s="246" t="s">
        <v>34</v>
      </c>
      <c r="C441" s="246" t="s">
        <v>25</v>
      </c>
      <c r="D441" s="246" t="s">
        <v>885</v>
      </c>
      <c r="E441" s="246" t="s">
        <v>138</v>
      </c>
      <c r="F441" s="21" t="s">
        <v>882</v>
      </c>
      <c r="G441" s="246" t="s">
        <v>103</v>
      </c>
      <c r="H441" s="246">
        <v>236220</v>
      </c>
      <c r="I441" s="21" t="s">
        <v>28</v>
      </c>
      <c r="J441" s="21" t="s">
        <v>109</v>
      </c>
      <c r="K441" s="21" t="s">
        <v>1974</v>
      </c>
      <c r="L441" s="21" t="s">
        <v>1974</v>
      </c>
      <c r="M441" s="22">
        <v>25000</v>
      </c>
      <c r="N441" s="22">
        <v>100000</v>
      </c>
      <c r="O441" s="21" t="s">
        <v>20</v>
      </c>
      <c r="P441" s="21" t="s">
        <v>278</v>
      </c>
      <c r="Q441" s="21" t="s">
        <v>279</v>
      </c>
      <c r="R441" s="21" t="s">
        <v>278</v>
      </c>
      <c r="S441" s="74">
        <v>2013</v>
      </c>
      <c r="T441" s="21" t="s">
        <v>878</v>
      </c>
      <c r="U441" s="21" t="s">
        <v>879</v>
      </c>
      <c r="V441" s="21" t="s">
        <v>880</v>
      </c>
      <c r="W441" s="21" t="s">
        <v>66</v>
      </c>
      <c r="X441" s="246"/>
      <c r="Y441" s="130"/>
      <c r="Z441" s="130"/>
      <c r="AA441" s="130"/>
      <c r="AB441" s="130"/>
      <c r="AC441" s="130"/>
      <c r="AD441" s="131"/>
      <c r="AE441" s="131"/>
      <c r="AF441" s="131"/>
      <c r="AG441" s="131"/>
      <c r="AH441" s="131"/>
      <c r="AI441" s="131"/>
      <c r="AJ441" s="131"/>
      <c r="AK441" s="131"/>
      <c r="AL441" s="131"/>
      <c r="AM441" s="131"/>
      <c r="AN441" s="131"/>
      <c r="AO441" s="131"/>
      <c r="AP441" s="131"/>
      <c r="AQ441" s="131"/>
      <c r="AR441" s="131"/>
      <c r="AS441" s="131"/>
      <c r="AT441" s="131"/>
      <c r="AU441" s="131"/>
      <c r="AV441" s="131"/>
      <c r="AW441" s="131"/>
      <c r="AX441" s="131"/>
      <c r="AY441" s="131"/>
      <c r="AZ441" s="131"/>
      <c r="BA441" s="131"/>
      <c r="BB441" s="131"/>
      <c r="BC441" s="131"/>
      <c r="BD441" s="131"/>
      <c r="BE441" s="131"/>
      <c r="BF441" s="131"/>
      <c r="BG441" s="131"/>
      <c r="BH441" s="131"/>
      <c r="BI441" s="131"/>
      <c r="BJ441" s="131"/>
      <c r="BK441" s="131"/>
      <c r="BL441" s="131"/>
      <c r="BM441" s="131"/>
      <c r="BN441" s="131"/>
      <c r="BO441" s="131"/>
      <c r="BP441" s="131"/>
      <c r="BQ441" s="131"/>
      <c r="BR441" s="131"/>
      <c r="BS441" s="131"/>
      <c r="BT441" s="131"/>
      <c r="BU441" s="131"/>
      <c r="BV441" s="131"/>
      <c r="BW441" s="131"/>
      <c r="BX441" s="131"/>
      <c r="BY441" s="131"/>
      <c r="BZ441" s="131"/>
      <c r="CA441" s="131"/>
      <c r="CB441" s="131"/>
      <c r="CC441" s="131"/>
      <c r="CD441" s="131"/>
      <c r="CE441" s="131"/>
      <c r="CF441" s="131"/>
      <c r="CG441" s="131"/>
      <c r="CH441" s="131"/>
      <c r="CI441" s="131"/>
      <c r="CJ441" s="131"/>
      <c r="CK441" s="131"/>
      <c r="CL441" s="131"/>
      <c r="CM441" s="131"/>
      <c r="CN441" s="131"/>
      <c r="CO441" s="131"/>
      <c r="CP441" s="131"/>
      <c r="CQ441" s="131"/>
      <c r="CR441" s="131"/>
      <c r="CS441" s="131"/>
      <c r="CT441" s="131"/>
      <c r="CU441" s="131"/>
      <c r="CV441" s="131"/>
      <c r="CW441" s="131"/>
      <c r="CX441" s="131"/>
      <c r="CY441" s="131"/>
      <c r="CZ441" s="131"/>
      <c r="DA441" s="131"/>
      <c r="DB441" s="131"/>
      <c r="DC441" s="131"/>
      <c r="DD441" s="131"/>
      <c r="DE441" s="131"/>
      <c r="DF441" s="131"/>
      <c r="DG441" s="131"/>
      <c r="DH441" s="131"/>
      <c r="DI441" s="131"/>
      <c r="DJ441" s="131"/>
      <c r="DK441" s="131"/>
      <c r="DL441" s="131"/>
      <c r="DM441" s="131"/>
      <c r="DN441" s="131"/>
      <c r="DO441" s="131"/>
      <c r="DP441" s="131"/>
      <c r="DQ441" s="131"/>
      <c r="DR441" s="131"/>
      <c r="DS441" s="131"/>
      <c r="DT441" s="131"/>
      <c r="DU441" s="131"/>
      <c r="DV441" s="131"/>
      <c r="DW441" s="131"/>
      <c r="DX441" s="131"/>
      <c r="DY441" s="131"/>
      <c r="DZ441" s="131"/>
      <c r="EA441" s="131"/>
      <c r="EB441" s="131"/>
      <c r="EC441" s="131"/>
      <c r="ED441" s="131"/>
      <c r="EE441" s="131"/>
      <c r="EF441" s="131"/>
      <c r="EG441" s="131"/>
      <c r="EH441" s="131"/>
      <c r="EI441" s="131"/>
      <c r="EJ441" s="131"/>
      <c r="EK441" s="131"/>
      <c r="EL441" s="131"/>
      <c r="EM441" s="131"/>
      <c r="EN441" s="131"/>
      <c r="EO441" s="131"/>
      <c r="EP441" s="131"/>
      <c r="EQ441" s="131"/>
      <c r="ER441" s="131"/>
      <c r="ES441" s="131"/>
      <c r="ET441" s="131"/>
      <c r="EU441" s="131"/>
      <c r="EV441" s="131"/>
      <c r="EW441" s="131"/>
      <c r="EX441" s="131"/>
      <c r="EY441" s="131"/>
      <c r="EZ441" s="131"/>
      <c r="FA441" s="131"/>
      <c r="FB441" s="131"/>
      <c r="FC441" s="131"/>
      <c r="FD441" s="131"/>
      <c r="FE441" s="131"/>
      <c r="FF441" s="131"/>
      <c r="FG441" s="131"/>
      <c r="FH441" s="131"/>
      <c r="FI441" s="131"/>
      <c r="FJ441" s="131"/>
      <c r="FK441" s="131"/>
      <c r="FL441" s="131"/>
      <c r="FM441" s="131"/>
      <c r="FN441" s="131"/>
      <c r="FO441" s="131"/>
      <c r="FP441" s="131"/>
      <c r="FQ441" s="131"/>
      <c r="FR441" s="131"/>
      <c r="FS441" s="131"/>
      <c r="FT441" s="131"/>
      <c r="FU441" s="131"/>
      <c r="FV441" s="131"/>
      <c r="FW441" s="131"/>
      <c r="FX441" s="131"/>
      <c r="FY441" s="131"/>
      <c r="FZ441" s="131"/>
      <c r="GA441" s="131"/>
      <c r="GB441" s="131"/>
      <c r="GC441" s="131"/>
      <c r="GD441" s="131"/>
      <c r="GE441" s="131"/>
      <c r="GF441" s="131"/>
      <c r="GG441" s="131"/>
      <c r="GH441" s="131"/>
      <c r="GI441" s="131"/>
      <c r="GJ441" s="131"/>
      <c r="GK441" s="131"/>
      <c r="GL441" s="131"/>
      <c r="GM441" s="131"/>
      <c r="GN441" s="131"/>
      <c r="GO441" s="131"/>
      <c r="GP441" s="131"/>
      <c r="GQ441" s="131"/>
      <c r="GR441" s="131"/>
      <c r="GS441" s="131"/>
      <c r="GT441" s="131"/>
      <c r="GU441" s="131"/>
      <c r="GV441" s="131"/>
      <c r="GW441" s="131"/>
      <c r="GX441" s="131"/>
      <c r="GY441" s="131"/>
      <c r="GZ441" s="131"/>
      <c r="HA441" s="131"/>
      <c r="HB441" s="131"/>
      <c r="HC441" s="131"/>
      <c r="HD441" s="131"/>
      <c r="HE441" s="131"/>
      <c r="HF441" s="131"/>
      <c r="HG441" s="131"/>
      <c r="HH441" s="131"/>
      <c r="HI441" s="131"/>
      <c r="HJ441" s="131"/>
      <c r="HK441" s="131"/>
      <c r="HL441" s="131"/>
      <c r="HM441" s="131"/>
      <c r="HN441" s="131"/>
      <c r="HO441" s="131"/>
      <c r="HP441" s="131"/>
      <c r="HQ441" s="131"/>
      <c r="HR441" s="131"/>
      <c r="HS441" s="131"/>
      <c r="HT441" s="131"/>
      <c r="HU441" s="131"/>
      <c r="HV441" s="131"/>
      <c r="HW441" s="131"/>
      <c r="HX441" s="131"/>
      <c r="HY441" s="131"/>
      <c r="HZ441" s="131"/>
      <c r="IA441" s="131"/>
      <c r="IB441" s="131"/>
      <c r="IC441" s="131"/>
      <c r="ID441" s="131"/>
      <c r="IE441" s="131"/>
      <c r="IF441" s="131"/>
      <c r="IG441" s="131"/>
      <c r="IH441" s="131"/>
      <c r="II441" s="131"/>
      <c r="IJ441" s="131"/>
      <c r="IK441" s="131"/>
      <c r="IL441" s="131"/>
      <c r="IM441" s="131"/>
      <c r="IN441" s="131"/>
      <c r="IO441" s="131"/>
      <c r="IP441" s="131"/>
      <c r="IQ441" s="131"/>
      <c r="IR441" s="131"/>
      <c r="IS441" s="131"/>
      <c r="IT441" s="131"/>
      <c r="IU441" s="131"/>
      <c r="IV441" s="131"/>
    </row>
    <row r="442" spans="1:256" s="13" customFormat="1" ht="38.25" customHeight="1">
      <c r="A442" s="21" t="s">
        <v>1</v>
      </c>
      <c r="B442" s="246" t="s">
        <v>34</v>
      </c>
      <c r="C442" s="246" t="s">
        <v>25</v>
      </c>
      <c r="D442" s="246" t="s">
        <v>886</v>
      </c>
      <c r="E442" s="246" t="s">
        <v>138</v>
      </c>
      <c r="F442" s="21" t="s">
        <v>882</v>
      </c>
      <c r="G442" s="246" t="s">
        <v>103</v>
      </c>
      <c r="H442" s="246">
        <v>236220</v>
      </c>
      <c r="I442" s="21" t="s">
        <v>28</v>
      </c>
      <c r="J442" s="21" t="s">
        <v>109</v>
      </c>
      <c r="K442" s="21" t="s">
        <v>1974</v>
      </c>
      <c r="L442" s="21" t="s">
        <v>1974</v>
      </c>
      <c r="M442" s="22">
        <v>25000</v>
      </c>
      <c r="N442" s="22">
        <v>100000</v>
      </c>
      <c r="O442" s="21" t="s">
        <v>20</v>
      </c>
      <c r="P442" s="21" t="s">
        <v>278</v>
      </c>
      <c r="Q442" s="21" t="s">
        <v>279</v>
      </c>
      <c r="R442" s="21" t="s">
        <v>278</v>
      </c>
      <c r="S442" s="74">
        <v>2013</v>
      </c>
      <c r="T442" s="21" t="s">
        <v>878</v>
      </c>
      <c r="U442" s="21" t="s">
        <v>879</v>
      </c>
      <c r="V442" s="21" t="s">
        <v>880</v>
      </c>
      <c r="W442" s="21" t="s">
        <v>66</v>
      </c>
      <c r="X442" s="246" t="s">
        <v>2613</v>
      </c>
      <c r="Y442" s="130"/>
      <c r="Z442" s="130"/>
      <c r="AA442" s="130"/>
      <c r="AB442" s="130"/>
      <c r="AC442" s="130"/>
      <c r="AD442" s="131"/>
      <c r="AE442" s="131"/>
      <c r="AF442" s="131"/>
      <c r="AG442" s="131"/>
      <c r="AH442" s="131"/>
      <c r="AI442" s="131"/>
      <c r="AJ442" s="131"/>
      <c r="AK442" s="131"/>
      <c r="AL442" s="131"/>
      <c r="AM442" s="131"/>
      <c r="AN442" s="131"/>
      <c r="AO442" s="131"/>
      <c r="AP442" s="131"/>
      <c r="AQ442" s="131"/>
      <c r="AR442" s="131"/>
      <c r="AS442" s="131"/>
      <c r="AT442" s="131"/>
      <c r="AU442" s="131"/>
      <c r="AV442" s="131"/>
      <c r="AW442" s="131"/>
      <c r="AX442" s="131"/>
      <c r="AY442" s="131"/>
      <c r="AZ442" s="131"/>
      <c r="BA442" s="131"/>
      <c r="BB442" s="131"/>
      <c r="BC442" s="131"/>
      <c r="BD442" s="131"/>
      <c r="BE442" s="131"/>
      <c r="BF442" s="131"/>
      <c r="BG442" s="131"/>
      <c r="BH442" s="131"/>
      <c r="BI442" s="131"/>
      <c r="BJ442" s="131"/>
      <c r="BK442" s="131"/>
      <c r="BL442" s="131"/>
      <c r="BM442" s="131"/>
      <c r="BN442" s="131"/>
      <c r="BO442" s="131"/>
      <c r="BP442" s="131"/>
      <c r="BQ442" s="131"/>
      <c r="BR442" s="131"/>
      <c r="BS442" s="131"/>
      <c r="BT442" s="131"/>
      <c r="BU442" s="131"/>
      <c r="BV442" s="131"/>
      <c r="BW442" s="131"/>
      <c r="BX442" s="131"/>
      <c r="BY442" s="131"/>
      <c r="BZ442" s="131"/>
      <c r="CA442" s="131"/>
      <c r="CB442" s="131"/>
      <c r="CC442" s="131"/>
      <c r="CD442" s="131"/>
      <c r="CE442" s="131"/>
      <c r="CF442" s="131"/>
      <c r="CG442" s="131"/>
      <c r="CH442" s="131"/>
      <c r="CI442" s="131"/>
      <c r="CJ442" s="131"/>
      <c r="CK442" s="131"/>
      <c r="CL442" s="131"/>
      <c r="CM442" s="131"/>
      <c r="CN442" s="131"/>
      <c r="CO442" s="131"/>
      <c r="CP442" s="131"/>
      <c r="CQ442" s="131"/>
      <c r="CR442" s="131"/>
      <c r="CS442" s="131"/>
      <c r="CT442" s="131"/>
      <c r="CU442" s="131"/>
      <c r="CV442" s="131"/>
      <c r="CW442" s="131"/>
      <c r="CX442" s="131"/>
      <c r="CY442" s="131"/>
      <c r="CZ442" s="131"/>
      <c r="DA442" s="131"/>
      <c r="DB442" s="131"/>
      <c r="DC442" s="131"/>
      <c r="DD442" s="131"/>
      <c r="DE442" s="131"/>
      <c r="DF442" s="131"/>
      <c r="DG442" s="131"/>
      <c r="DH442" s="131"/>
      <c r="DI442" s="131"/>
      <c r="DJ442" s="131"/>
      <c r="DK442" s="131"/>
      <c r="DL442" s="131"/>
      <c r="DM442" s="131"/>
      <c r="DN442" s="131"/>
      <c r="DO442" s="131"/>
      <c r="DP442" s="131"/>
      <c r="DQ442" s="131"/>
      <c r="DR442" s="131"/>
      <c r="DS442" s="131"/>
      <c r="DT442" s="131"/>
      <c r="DU442" s="131"/>
      <c r="DV442" s="131"/>
      <c r="DW442" s="131"/>
      <c r="DX442" s="131"/>
      <c r="DY442" s="131"/>
      <c r="DZ442" s="131"/>
      <c r="EA442" s="131"/>
      <c r="EB442" s="131"/>
      <c r="EC442" s="131"/>
      <c r="ED442" s="131"/>
      <c r="EE442" s="131"/>
      <c r="EF442" s="131"/>
      <c r="EG442" s="131"/>
      <c r="EH442" s="131"/>
      <c r="EI442" s="131"/>
      <c r="EJ442" s="131"/>
      <c r="EK442" s="131"/>
      <c r="EL442" s="131"/>
      <c r="EM442" s="131"/>
      <c r="EN442" s="131"/>
      <c r="EO442" s="131"/>
      <c r="EP442" s="131"/>
      <c r="EQ442" s="131"/>
      <c r="ER442" s="131"/>
      <c r="ES442" s="131"/>
      <c r="ET442" s="131"/>
      <c r="EU442" s="131"/>
      <c r="EV442" s="131"/>
      <c r="EW442" s="131"/>
      <c r="EX442" s="131"/>
      <c r="EY442" s="131"/>
      <c r="EZ442" s="131"/>
      <c r="FA442" s="131"/>
      <c r="FB442" s="131"/>
      <c r="FC442" s="131"/>
      <c r="FD442" s="131"/>
      <c r="FE442" s="131"/>
      <c r="FF442" s="131"/>
      <c r="FG442" s="131"/>
      <c r="FH442" s="131"/>
      <c r="FI442" s="131"/>
      <c r="FJ442" s="131"/>
      <c r="FK442" s="131"/>
      <c r="FL442" s="131"/>
      <c r="FM442" s="131"/>
      <c r="FN442" s="131"/>
      <c r="FO442" s="131"/>
      <c r="FP442" s="131"/>
      <c r="FQ442" s="131"/>
      <c r="FR442" s="131"/>
      <c r="FS442" s="131"/>
      <c r="FT442" s="131"/>
      <c r="FU442" s="131"/>
      <c r="FV442" s="131"/>
      <c r="FW442" s="131"/>
      <c r="FX442" s="131"/>
      <c r="FY442" s="131"/>
      <c r="FZ442" s="131"/>
      <c r="GA442" s="131"/>
      <c r="GB442" s="131"/>
      <c r="GC442" s="131"/>
      <c r="GD442" s="131"/>
      <c r="GE442" s="131"/>
      <c r="GF442" s="131"/>
      <c r="GG442" s="131"/>
      <c r="GH442" s="131"/>
      <c r="GI442" s="131"/>
      <c r="GJ442" s="131"/>
      <c r="GK442" s="131"/>
      <c r="GL442" s="131"/>
      <c r="GM442" s="131"/>
      <c r="GN442" s="131"/>
      <c r="GO442" s="131"/>
      <c r="GP442" s="131"/>
      <c r="GQ442" s="131"/>
      <c r="GR442" s="131"/>
      <c r="GS442" s="131"/>
      <c r="GT442" s="131"/>
      <c r="GU442" s="131"/>
      <c r="GV442" s="131"/>
      <c r="GW442" s="131"/>
      <c r="GX442" s="131"/>
      <c r="GY442" s="131"/>
      <c r="GZ442" s="131"/>
      <c r="HA442" s="131"/>
      <c r="HB442" s="131"/>
      <c r="HC442" s="131"/>
      <c r="HD442" s="131"/>
      <c r="HE442" s="131"/>
      <c r="HF442" s="131"/>
      <c r="HG442" s="131"/>
      <c r="HH442" s="131"/>
      <c r="HI442" s="131"/>
      <c r="HJ442" s="131"/>
      <c r="HK442" s="131"/>
      <c r="HL442" s="131"/>
      <c r="HM442" s="131"/>
      <c r="HN442" s="131"/>
      <c r="HO442" s="131"/>
      <c r="HP442" s="131"/>
      <c r="HQ442" s="131"/>
      <c r="HR442" s="131"/>
      <c r="HS442" s="131"/>
      <c r="HT442" s="131"/>
      <c r="HU442" s="131"/>
      <c r="HV442" s="131"/>
      <c r="HW442" s="131"/>
      <c r="HX442" s="131"/>
      <c r="HY442" s="131"/>
      <c r="HZ442" s="131"/>
      <c r="IA442" s="131"/>
      <c r="IB442" s="131"/>
      <c r="IC442" s="131"/>
      <c r="ID442" s="131"/>
      <c r="IE442" s="131"/>
      <c r="IF442" s="131"/>
      <c r="IG442" s="131"/>
      <c r="IH442" s="131"/>
      <c r="II442" s="131"/>
      <c r="IJ442" s="131"/>
      <c r="IK442" s="131"/>
      <c r="IL442" s="131"/>
      <c r="IM442" s="131"/>
      <c r="IN442" s="131"/>
      <c r="IO442" s="131"/>
      <c r="IP442" s="131"/>
      <c r="IQ442" s="131"/>
      <c r="IR442" s="131"/>
      <c r="IS442" s="131"/>
      <c r="IT442" s="131"/>
      <c r="IU442" s="131"/>
      <c r="IV442" s="131"/>
    </row>
    <row r="443" spans="1:256" s="13" customFormat="1" ht="38.25" customHeight="1">
      <c r="A443" s="21" t="s">
        <v>1</v>
      </c>
      <c r="B443" s="246" t="s">
        <v>34</v>
      </c>
      <c r="C443" s="246" t="s">
        <v>25</v>
      </c>
      <c r="D443" s="246" t="s">
        <v>887</v>
      </c>
      <c r="E443" s="246" t="s">
        <v>138</v>
      </c>
      <c r="F443" s="21" t="s">
        <v>882</v>
      </c>
      <c r="G443" s="246" t="s">
        <v>103</v>
      </c>
      <c r="H443" s="246">
        <v>236220</v>
      </c>
      <c r="I443" s="21" t="s">
        <v>28</v>
      </c>
      <c r="J443" s="21" t="s">
        <v>109</v>
      </c>
      <c r="K443" s="21" t="s">
        <v>1974</v>
      </c>
      <c r="L443" s="21" t="s">
        <v>1974</v>
      </c>
      <c r="M443" s="22">
        <v>25000</v>
      </c>
      <c r="N443" s="22">
        <v>100000</v>
      </c>
      <c r="O443" s="21" t="s">
        <v>20</v>
      </c>
      <c r="P443" s="21" t="s">
        <v>278</v>
      </c>
      <c r="Q443" s="21" t="s">
        <v>279</v>
      </c>
      <c r="R443" s="21" t="s">
        <v>278</v>
      </c>
      <c r="S443" s="74">
        <v>2013</v>
      </c>
      <c r="T443" s="21" t="s">
        <v>878</v>
      </c>
      <c r="U443" s="21" t="s">
        <v>879</v>
      </c>
      <c r="V443" s="21" t="s">
        <v>880</v>
      </c>
      <c r="W443" s="21" t="s">
        <v>66</v>
      </c>
      <c r="X443" s="246" t="s">
        <v>2614</v>
      </c>
      <c r="Y443" s="130"/>
      <c r="Z443" s="130"/>
      <c r="AA443" s="130"/>
      <c r="AB443" s="130"/>
      <c r="AC443" s="130"/>
      <c r="AD443" s="131"/>
      <c r="AE443" s="131"/>
      <c r="AF443" s="131"/>
      <c r="AG443" s="131"/>
      <c r="AH443" s="131"/>
      <c r="AI443" s="131"/>
      <c r="AJ443" s="131"/>
      <c r="AK443" s="131"/>
      <c r="AL443" s="131"/>
      <c r="AM443" s="131"/>
      <c r="AN443" s="131"/>
      <c r="AO443" s="131"/>
      <c r="AP443" s="131"/>
      <c r="AQ443" s="131"/>
      <c r="AR443" s="131"/>
      <c r="AS443" s="131"/>
      <c r="AT443" s="131"/>
      <c r="AU443" s="131"/>
      <c r="AV443" s="131"/>
      <c r="AW443" s="131"/>
      <c r="AX443" s="131"/>
      <c r="AY443" s="131"/>
      <c r="AZ443" s="131"/>
      <c r="BA443" s="131"/>
      <c r="BB443" s="131"/>
      <c r="BC443" s="131"/>
      <c r="BD443" s="131"/>
      <c r="BE443" s="131"/>
      <c r="BF443" s="131"/>
      <c r="BG443" s="131"/>
      <c r="BH443" s="131"/>
      <c r="BI443" s="131"/>
      <c r="BJ443" s="131"/>
      <c r="BK443" s="131"/>
      <c r="BL443" s="131"/>
      <c r="BM443" s="131"/>
      <c r="BN443" s="131"/>
      <c r="BO443" s="131"/>
      <c r="BP443" s="131"/>
      <c r="BQ443" s="131"/>
      <c r="BR443" s="131"/>
      <c r="BS443" s="131"/>
      <c r="BT443" s="131"/>
      <c r="BU443" s="131"/>
      <c r="BV443" s="131"/>
      <c r="BW443" s="131"/>
      <c r="BX443" s="131"/>
      <c r="BY443" s="131"/>
      <c r="BZ443" s="131"/>
      <c r="CA443" s="131"/>
      <c r="CB443" s="131"/>
      <c r="CC443" s="131"/>
      <c r="CD443" s="131"/>
      <c r="CE443" s="131"/>
      <c r="CF443" s="131"/>
      <c r="CG443" s="131"/>
      <c r="CH443" s="131"/>
      <c r="CI443" s="131"/>
      <c r="CJ443" s="131"/>
      <c r="CK443" s="131"/>
      <c r="CL443" s="131"/>
      <c r="CM443" s="131"/>
      <c r="CN443" s="131"/>
      <c r="CO443" s="131"/>
      <c r="CP443" s="131"/>
      <c r="CQ443" s="131"/>
      <c r="CR443" s="131"/>
      <c r="CS443" s="131"/>
      <c r="CT443" s="131"/>
      <c r="CU443" s="131"/>
      <c r="CV443" s="131"/>
      <c r="CW443" s="131"/>
      <c r="CX443" s="131"/>
      <c r="CY443" s="131"/>
      <c r="CZ443" s="131"/>
      <c r="DA443" s="131"/>
      <c r="DB443" s="131"/>
      <c r="DC443" s="131"/>
      <c r="DD443" s="131"/>
      <c r="DE443" s="131"/>
      <c r="DF443" s="131"/>
      <c r="DG443" s="131"/>
      <c r="DH443" s="131"/>
      <c r="DI443" s="131"/>
      <c r="DJ443" s="131"/>
      <c r="DK443" s="131"/>
      <c r="DL443" s="131"/>
      <c r="DM443" s="131"/>
      <c r="DN443" s="131"/>
      <c r="DO443" s="131"/>
      <c r="DP443" s="131"/>
      <c r="DQ443" s="131"/>
      <c r="DR443" s="131"/>
      <c r="DS443" s="131"/>
      <c r="DT443" s="131"/>
      <c r="DU443" s="131"/>
      <c r="DV443" s="131"/>
      <c r="DW443" s="131"/>
      <c r="DX443" s="131"/>
      <c r="DY443" s="131"/>
      <c r="DZ443" s="131"/>
      <c r="EA443" s="131"/>
      <c r="EB443" s="131"/>
      <c r="EC443" s="131"/>
      <c r="ED443" s="131"/>
      <c r="EE443" s="131"/>
      <c r="EF443" s="131"/>
      <c r="EG443" s="131"/>
      <c r="EH443" s="131"/>
      <c r="EI443" s="131"/>
      <c r="EJ443" s="131"/>
      <c r="EK443" s="131"/>
      <c r="EL443" s="131"/>
      <c r="EM443" s="131"/>
      <c r="EN443" s="131"/>
      <c r="EO443" s="131"/>
      <c r="EP443" s="131"/>
      <c r="EQ443" s="131"/>
      <c r="ER443" s="131"/>
      <c r="ES443" s="131"/>
      <c r="ET443" s="131"/>
      <c r="EU443" s="131"/>
      <c r="EV443" s="131"/>
      <c r="EW443" s="131"/>
      <c r="EX443" s="131"/>
      <c r="EY443" s="131"/>
      <c r="EZ443" s="131"/>
      <c r="FA443" s="131"/>
      <c r="FB443" s="131"/>
      <c r="FC443" s="131"/>
      <c r="FD443" s="131"/>
      <c r="FE443" s="131"/>
      <c r="FF443" s="131"/>
      <c r="FG443" s="131"/>
      <c r="FH443" s="131"/>
      <c r="FI443" s="131"/>
      <c r="FJ443" s="131"/>
      <c r="FK443" s="131"/>
      <c r="FL443" s="131"/>
      <c r="FM443" s="131"/>
      <c r="FN443" s="131"/>
      <c r="FO443" s="131"/>
      <c r="FP443" s="131"/>
      <c r="FQ443" s="131"/>
      <c r="FR443" s="131"/>
      <c r="FS443" s="131"/>
      <c r="FT443" s="131"/>
      <c r="FU443" s="131"/>
      <c r="FV443" s="131"/>
      <c r="FW443" s="131"/>
      <c r="FX443" s="131"/>
      <c r="FY443" s="131"/>
      <c r="FZ443" s="131"/>
      <c r="GA443" s="131"/>
      <c r="GB443" s="131"/>
      <c r="GC443" s="131"/>
      <c r="GD443" s="131"/>
      <c r="GE443" s="131"/>
      <c r="GF443" s="131"/>
      <c r="GG443" s="131"/>
      <c r="GH443" s="131"/>
      <c r="GI443" s="131"/>
      <c r="GJ443" s="131"/>
      <c r="GK443" s="131"/>
      <c r="GL443" s="131"/>
      <c r="GM443" s="131"/>
      <c r="GN443" s="131"/>
      <c r="GO443" s="131"/>
      <c r="GP443" s="131"/>
      <c r="GQ443" s="131"/>
      <c r="GR443" s="131"/>
      <c r="GS443" s="131"/>
      <c r="GT443" s="131"/>
      <c r="GU443" s="131"/>
      <c r="GV443" s="131"/>
      <c r="GW443" s="131"/>
      <c r="GX443" s="131"/>
      <c r="GY443" s="131"/>
      <c r="GZ443" s="131"/>
      <c r="HA443" s="131"/>
      <c r="HB443" s="131"/>
      <c r="HC443" s="131"/>
      <c r="HD443" s="131"/>
      <c r="HE443" s="131"/>
      <c r="HF443" s="131"/>
      <c r="HG443" s="131"/>
      <c r="HH443" s="131"/>
      <c r="HI443" s="131"/>
      <c r="HJ443" s="131"/>
      <c r="HK443" s="131"/>
      <c r="HL443" s="131"/>
      <c r="HM443" s="131"/>
      <c r="HN443" s="131"/>
      <c r="HO443" s="131"/>
      <c r="HP443" s="131"/>
      <c r="HQ443" s="131"/>
      <c r="HR443" s="131"/>
      <c r="HS443" s="131"/>
      <c r="HT443" s="131"/>
      <c r="HU443" s="131"/>
      <c r="HV443" s="131"/>
      <c r="HW443" s="131"/>
      <c r="HX443" s="131"/>
      <c r="HY443" s="131"/>
      <c r="HZ443" s="131"/>
      <c r="IA443" s="131"/>
      <c r="IB443" s="131"/>
      <c r="IC443" s="131"/>
      <c r="ID443" s="131"/>
      <c r="IE443" s="131"/>
      <c r="IF443" s="131"/>
      <c r="IG443" s="131"/>
      <c r="IH443" s="131"/>
      <c r="II443" s="131"/>
      <c r="IJ443" s="131"/>
      <c r="IK443" s="131"/>
      <c r="IL443" s="131"/>
      <c r="IM443" s="131"/>
      <c r="IN443" s="131"/>
      <c r="IO443" s="131"/>
      <c r="IP443" s="131"/>
      <c r="IQ443" s="131"/>
      <c r="IR443" s="131"/>
      <c r="IS443" s="131"/>
      <c r="IT443" s="131"/>
      <c r="IU443" s="131"/>
      <c r="IV443" s="131"/>
    </row>
    <row r="444" spans="1:256" s="13" customFormat="1" ht="38.25" customHeight="1">
      <c r="A444" s="21" t="s">
        <v>1</v>
      </c>
      <c r="B444" s="246" t="s">
        <v>34</v>
      </c>
      <c r="C444" s="246" t="s">
        <v>25</v>
      </c>
      <c r="D444" s="246" t="s">
        <v>888</v>
      </c>
      <c r="E444" s="246" t="s">
        <v>138</v>
      </c>
      <c r="F444" s="21" t="s">
        <v>882</v>
      </c>
      <c r="G444" s="246" t="s">
        <v>103</v>
      </c>
      <c r="H444" s="246">
        <v>236220</v>
      </c>
      <c r="I444" s="21" t="s">
        <v>28</v>
      </c>
      <c r="J444" s="21" t="s">
        <v>109</v>
      </c>
      <c r="K444" s="21" t="s">
        <v>1974</v>
      </c>
      <c r="L444" s="21" t="s">
        <v>1974</v>
      </c>
      <c r="M444" s="22">
        <v>1000</v>
      </c>
      <c r="N444" s="22">
        <v>25000</v>
      </c>
      <c r="O444" s="21" t="s">
        <v>9</v>
      </c>
      <c r="P444" s="21" t="s">
        <v>278</v>
      </c>
      <c r="Q444" s="21" t="s">
        <v>279</v>
      </c>
      <c r="R444" s="21" t="s">
        <v>278</v>
      </c>
      <c r="S444" s="74">
        <v>2013</v>
      </c>
      <c r="T444" s="21" t="s">
        <v>878</v>
      </c>
      <c r="U444" s="21" t="s">
        <v>879</v>
      </c>
      <c r="V444" s="21" t="s">
        <v>880</v>
      </c>
      <c r="W444" s="21" t="s">
        <v>66</v>
      </c>
      <c r="X444" s="246" t="s">
        <v>2614</v>
      </c>
      <c r="Y444" s="130"/>
      <c r="Z444" s="130"/>
      <c r="AA444" s="130"/>
      <c r="AB444" s="130"/>
      <c r="AC444" s="130"/>
      <c r="AD444" s="131"/>
      <c r="AE444" s="131"/>
      <c r="AF444" s="131"/>
      <c r="AG444" s="131"/>
      <c r="AH444" s="131"/>
      <c r="AI444" s="131"/>
      <c r="AJ444" s="131"/>
      <c r="AK444" s="131"/>
      <c r="AL444" s="131"/>
      <c r="AM444" s="131"/>
      <c r="AN444" s="131"/>
      <c r="AO444" s="131"/>
      <c r="AP444" s="131"/>
      <c r="AQ444" s="131"/>
      <c r="AR444" s="131"/>
      <c r="AS444" s="131"/>
      <c r="AT444" s="131"/>
      <c r="AU444" s="131"/>
      <c r="AV444" s="131"/>
      <c r="AW444" s="131"/>
      <c r="AX444" s="131"/>
      <c r="AY444" s="131"/>
      <c r="AZ444" s="131"/>
      <c r="BA444" s="131"/>
      <c r="BB444" s="131"/>
      <c r="BC444" s="131"/>
      <c r="BD444" s="131"/>
      <c r="BE444" s="131"/>
      <c r="BF444" s="131"/>
      <c r="BG444" s="131"/>
      <c r="BH444" s="131"/>
      <c r="BI444" s="131"/>
      <c r="BJ444" s="131"/>
      <c r="BK444" s="131"/>
      <c r="BL444" s="131"/>
      <c r="BM444" s="131"/>
      <c r="BN444" s="131"/>
      <c r="BO444" s="131"/>
      <c r="BP444" s="131"/>
      <c r="BQ444" s="131"/>
      <c r="BR444" s="131"/>
      <c r="BS444" s="131"/>
      <c r="BT444" s="131"/>
      <c r="BU444" s="131"/>
      <c r="BV444" s="131"/>
      <c r="BW444" s="131"/>
      <c r="BX444" s="131"/>
      <c r="BY444" s="131"/>
      <c r="BZ444" s="131"/>
      <c r="CA444" s="131"/>
      <c r="CB444" s="131"/>
      <c r="CC444" s="131"/>
      <c r="CD444" s="131"/>
      <c r="CE444" s="131"/>
      <c r="CF444" s="131"/>
      <c r="CG444" s="131"/>
      <c r="CH444" s="131"/>
      <c r="CI444" s="131"/>
      <c r="CJ444" s="131"/>
      <c r="CK444" s="131"/>
      <c r="CL444" s="131"/>
      <c r="CM444" s="131"/>
      <c r="CN444" s="131"/>
      <c r="CO444" s="131"/>
      <c r="CP444" s="131"/>
      <c r="CQ444" s="131"/>
      <c r="CR444" s="131"/>
      <c r="CS444" s="131"/>
      <c r="CT444" s="131"/>
      <c r="CU444" s="131"/>
      <c r="CV444" s="131"/>
      <c r="CW444" s="131"/>
      <c r="CX444" s="131"/>
      <c r="CY444" s="131"/>
      <c r="CZ444" s="131"/>
      <c r="DA444" s="131"/>
      <c r="DB444" s="131"/>
      <c r="DC444" s="131"/>
      <c r="DD444" s="131"/>
      <c r="DE444" s="131"/>
      <c r="DF444" s="131"/>
      <c r="DG444" s="131"/>
      <c r="DH444" s="131"/>
      <c r="DI444" s="131"/>
      <c r="DJ444" s="131"/>
      <c r="DK444" s="131"/>
      <c r="DL444" s="131"/>
      <c r="DM444" s="131"/>
      <c r="DN444" s="131"/>
      <c r="DO444" s="131"/>
      <c r="DP444" s="131"/>
      <c r="DQ444" s="131"/>
      <c r="DR444" s="131"/>
      <c r="DS444" s="131"/>
      <c r="DT444" s="131"/>
      <c r="DU444" s="131"/>
      <c r="DV444" s="131"/>
      <c r="DW444" s="131"/>
      <c r="DX444" s="131"/>
      <c r="DY444" s="131"/>
      <c r="DZ444" s="131"/>
      <c r="EA444" s="131"/>
      <c r="EB444" s="131"/>
      <c r="EC444" s="131"/>
      <c r="ED444" s="131"/>
      <c r="EE444" s="131"/>
      <c r="EF444" s="131"/>
      <c r="EG444" s="131"/>
      <c r="EH444" s="131"/>
      <c r="EI444" s="131"/>
      <c r="EJ444" s="131"/>
      <c r="EK444" s="131"/>
      <c r="EL444" s="131"/>
      <c r="EM444" s="131"/>
      <c r="EN444" s="131"/>
      <c r="EO444" s="131"/>
      <c r="EP444" s="131"/>
      <c r="EQ444" s="131"/>
      <c r="ER444" s="131"/>
      <c r="ES444" s="131"/>
      <c r="ET444" s="131"/>
      <c r="EU444" s="131"/>
      <c r="EV444" s="131"/>
      <c r="EW444" s="131"/>
      <c r="EX444" s="131"/>
      <c r="EY444" s="131"/>
      <c r="EZ444" s="131"/>
      <c r="FA444" s="131"/>
      <c r="FB444" s="131"/>
      <c r="FC444" s="131"/>
      <c r="FD444" s="131"/>
      <c r="FE444" s="131"/>
      <c r="FF444" s="131"/>
      <c r="FG444" s="131"/>
      <c r="FH444" s="131"/>
      <c r="FI444" s="131"/>
      <c r="FJ444" s="131"/>
      <c r="FK444" s="131"/>
      <c r="FL444" s="131"/>
      <c r="FM444" s="131"/>
      <c r="FN444" s="131"/>
      <c r="FO444" s="131"/>
      <c r="FP444" s="131"/>
      <c r="FQ444" s="131"/>
      <c r="FR444" s="131"/>
      <c r="FS444" s="131"/>
      <c r="FT444" s="131"/>
      <c r="FU444" s="131"/>
      <c r="FV444" s="131"/>
      <c r="FW444" s="131"/>
      <c r="FX444" s="131"/>
      <c r="FY444" s="131"/>
      <c r="FZ444" s="131"/>
      <c r="GA444" s="131"/>
      <c r="GB444" s="131"/>
      <c r="GC444" s="131"/>
      <c r="GD444" s="131"/>
      <c r="GE444" s="131"/>
      <c r="GF444" s="131"/>
      <c r="GG444" s="131"/>
      <c r="GH444" s="131"/>
      <c r="GI444" s="131"/>
      <c r="GJ444" s="131"/>
      <c r="GK444" s="131"/>
      <c r="GL444" s="131"/>
      <c r="GM444" s="131"/>
      <c r="GN444" s="131"/>
      <c r="GO444" s="131"/>
      <c r="GP444" s="131"/>
      <c r="GQ444" s="131"/>
      <c r="GR444" s="131"/>
      <c r="GS444" s="131"/>
      <c r="GT444" s="131"/>
      <c r="GU444" s="131"/>
      <c r="GV444" s="131"/>
      <c r="GW444" s="131"/>
      <c r="GX444" s="131"/>
      <c r="GY444" s="131"/>
      <c r="GZ444" s="131"/>
      <c r="HA444" s="131"/>
      <c r="HB444" s="131"/>
      <c r="HC444" s="131"/>
      <c r="HD444" s="131"/>
      <c r="HE444" s="131"/>
      <c r="HF444" s="131"/>
      <c r="HG444" s="131"/>
      <c r="HH444" s="131"/>
      <c r="HI444" s="131"/>
      <c r="HJ444" s="131"/>
      <c r="HK444" s="131"/>
      <c r="HL444" s="131"/>
      <c r="HM444" s="131"/>
      <c r="HN444" s="131"/>
      <c r="HO444" s="131"/>
      <c r="HP444" s="131"/>
      <c r="HQ444" s="131"/>
      <c r="HR444" s="131"/>
      <c r="HS444" s="131"/>
      <c r="HT444" s="131"/>
      <c r="HU444" s="131"/>
      <c r="HV444" s="131"/>
      <c r="HW444" s="131"/>
      <c r="HX444" s="131"/>
      <c r="HY444" s="131"/>
      <c r="HZ444" s="131"/>
      <c r="IA444" s="131"/>
      <c r="IB444" s="131"/>
      <c r="IC444" s="131"/>
      <c r="ID444" s="131"/>
      <c r="IE444" s="131"/>
      <c r="IF444" s="131"/>
      <c r="IG444" s="131"/>
      <c r="IH444" s="131"/>
      <c r="II444" s="131"/>
      <c r="IJ444" s="131"/>
      <c r="IK444" s="131"/>
      <c r="IL444" s="131"/>
      <c r="IM444" s="131"/>
      <c r="IN444" s="131"/>
      <c r="IO444" s="131"/>
      <c r="IP444" s="131"/>
      <c r="IQ444" s="131"/>
      <c r="IR444" s="131"/>
      <c r="IS444" s="131"/>
      <c r="IT444" s="131"/>
      <c r="IU444" s="131"/>
      <c r="IV444" s="131"/>
    </row>
    <row r="445" spans="1:256" s="13" customFormat="1" ht="38.25" customHeight="1">
      <c r="A445" s="21" t="s">
        <v>1</v>
      </c>
      <c r="B445" s="246" t="s">
        <v>34</v>
      </c>
      <c r="C445" s="246" t="s">
        <v>25</v>
      </c>
      <c r="D445" s="246" t="s">
        <v>889</v>
      </c>
      <c r="E445" s="246" t="s">
        <v>138</v>
      </c>
      <c r="F445" s="21" t="s">
        <v>882</v>
      </c>
      <c r="G445" s="246" t="s">
        <v>103</v>
      </c>
      <c r="H445" s="246">
        <v>236220</v>
      </c>
      <c r="I445" s="21" t="s">
        <v>28</v>
      </c>
      <c r="J445" s="21" t="s">
        <v>109</v>
      </c>
      <c r="K445" s="21" t="s">
        <v>1974</v>
      </c>
      <c r="L445" s="21" t="s">
        <v>1974</v>
      </c>
      <c r="M445" s="22">
        <v>1000</v>
      </c>
      <c r="N445" s="22">
        <v>25000</v>
      </c>
      <c r="O445" s="21" t="s">
        <v>20</v>
      </c>
      <c r="P445" s="21" t="s">
        <v>278</v>
      </c>
      <c r="Q445" s="21" t="s">
        <v>279</v>
      </c>
      <c r="R445" s="21" t="s">
        <v>278</v>
      </c>
      <c r="S445" s="74">
        <v>2013</v>
      </c>
      <c r="T445" s="21" t="s">
        <v>878</v>
      </c>
      <c r="U445" s="21" t="s">
        <v>879</v>
      </c>
      <c r="V445" s="21" t="s">
        <v>880</v>
      </c>
      <c r="W445" s="21" t="s">
        <v>66</v>
      </c>
      <c r="X445" s="246" t="s">
        <v>2614</v>
      </c>
      <c r="Y445" s="130"/>
      <c r="Z445" s="130"/>
      <c r="AA445" s="130"/>
      <c r="AB445" s="130"/>
      <c r="AC445" s="130"/>
      <c r="AD445" s="131"/>
      <c r="AE445" s="131"/>
      <c r="AF445" s="131"/>
      <c r="AG445" s="131"/>
      <c r="AH445" s="131"/>
      <c r="AI445" s="131"/>
      <c r="AJ445" s="131"/>
      <c r="AK445" s="131"/>
      <c r="AL445" s="131"/>
      <c r="AM445" s="131"/>
      <c r="AN445" s="131"/>
      <c r="AO445" s="131"/>
      <c r="AP445" s="131"/>
      <c r="AQ445" s="131"/>
      <c r="AR445" s="131"/>
      <c r="AS445" s="131"/>
      <c r="AT445" s="131"/>
      <c r="AU445" s="131"/>
      <c r="AV445" s="131"/>
      <c r="AW445" s="131"/>
      <c r="AX445" s="131"/>
      <c r="AY445" s="131"/>
      <c r="AZ445" s="131"/>
      <c r="BA445" s="131"/>
      <c r="BB445" s="131"/>
      <c r="BC445" s="131"/>
      <c r="BD445" s="131"/>
      <c r="BE445" s="131"/>
      <c r="BF445" s="131"/>
      <c r="BG445" s="131"/>
      <c r="BH445" s="131"/>
      <c r="BI445" s="131"/>
      <c r="BJ445" s="131"/>
      <c r="BK445" s="131"/>
      <c r="BL445" s="131"/>
      <c r="BM445" s="131"/>
      <c r="BN445" s="131"/>
      <c r="BO445" s="131"/>
      <c r="BP445" s="131"/>
      <c r="BQ445" s="131"/>
      <c r="BR445" s="131"/>
      <c r="BS445" s="131"/>
      <c r="BT445" s="131"/>
      <c r="BU445" s="131"/>
      <c r="BV445" s="131"/>
      <c r="BW445" s="131"/>
      <c r="BX445" s="131"/>
      <c r="BY445" s="131"/>
      <c r="BZ445" s="131"/>
      <c r="CA445" s="131"/>
      <c r="CB445" s="131"/>
      <c r="CC445" s="131"/>
      <c r="CD445" s="131"/>
      <c r="CE445" s="131"/>
      <c r="CF445" s="131"/>
      <c r="CG445" s="131"/>
      <c r="CH445" s="131"/>
      <c r="CI445" s="131"/>
      <c r="CJ445" s="131"/>
      <c r="CK445" s="131"/>
      <c r="CL445" s="131"/>
      <c r="CM445" s="131"/>
      <c r="CN445" s="131"/>
      <c r="CO445" s="131"/>
      <c r="CP445" s="131"/>
      <c r="CQ445" s="131"/>
      <c r="CR445" s="131"/>
      <c r="CS445" s="131"/>
      <c r="CT445" s="131"/>
      <c r="CU445" s="131"/>
      <c r="CV445" s="131"/>
      <c r="CW445" s="131"/>
      <c r="CX445" s="131"/>
      <c r="CY445" s="131"/>
      <c r="CZ445" s="131"/>
      <c r="DA445" s="131"/>
      <c r="DB445" s="131"/>
      <c r="DC445" s="131"/>
      <c r="DD445" s="131"/>
      <c r="DE445" s="131"/>
      <c r="DF445" s="131"/>
      <c r="DG445" s="131"/>
      <c r="DH445" s="131"/>
      <c r="DI445" s="131"/>
      <c r="DJ445" s="131"/>
      <c r="DK445" s="131"/>
      <c r="DL445" s="131"/>
      <c r="DM445" s="131"/>
      <c r="DN445" s="131"/>
      <c r="DO445" s="131"/>
      <c r="DP445" s="131"/>
      <c r="DQ445" s="131"/>
      <c r="DR445" s="131"/>
      <c r="DS445" s="131"/>
      <c r="DT445" s="131"/>
      <c r="DU445" s="131"/>
      <c r="DV445" s="131"/>
      <c r="DW445" s="131"/>
      <c r="DX445" s="131"/>
      <c r="DY445" s="131"/>
      <c r="DZ445" s="131"/>
      <c r="EA445" s="131"/>
      <c r="EB445" s="131"/>
      <c r="EC445" s="131"/>
      <c r="ED445" s="131"/>
      <c r="EE445" s="131"/>
      <c r="EF445" s="131"/>
      <c r="EG445" s="131"/>
      <c r="EH445" s="131"/>
      <c r="EI445" s="131"/>
      <c r="EJ445" s="131"/>
      <c r="EK445" s="131"/>
      <c r="EL445" s="131"/>
      <c r="EM445" s="131"/>
      <c r="EN445" s="131"/>
      <c r="EO445" s="131"/>
      <c r="EP445" s="131"/>
      <c r="EQ445" s="131"/>
      <c r="ER445" s="131"/>
      <c r="ES445" s="131"/>
      <c r="ET445" s="131"/>
      <c r="EU445" s="131"/>
      <c r="EV445" s="131"/>
      <c r="EW445" s="131"/>
      <c r="EX445" s="131"/>
      <c r="EY445" s="131"/>
      <c r="EZ445" s="131"/>
      <c r="FA445" s="131"/>
      <c r="FB445" s="131"/>
      <c r="FC445" s="131"/>
      <c r="FD445" s="131"/>
      <c r="FE445" s="131"/>
      <c r="FF445" s="131"/>
      <c r="FG445" s="131"/>
      <c r="FH445" s="131"/>
      <c r="FI445" s="131"/>
      <c r="FJ445" s="131"/>
      <c r="FK445" s="131"/>
      <c r="FL445" s="131"/>
      <c r="FM445" s="131"/>
      <c r="FN445" s="131"/>
      <c r="FO445" s="131"/>
      <c r="FP445" s="131"/>
      <c r="FQ445" s="131"/>
      <c r="FR445" s="131"/>
      <c r="FS445" s="131"/>
      <c r="FT445" s="131"/>
      <c r="FU445" s="131"/>
      <c r="FV445" s="131"/>
      <c r="FW445" s="131"/>
      <c r="FX445" s="131"/>
      <c r="FY445" s="131"/>
      <c r="FZ445" s="131"/>
      <c r="GA445" s="131"/>
      <c r="GB445" s="131"/>
      <c r="GC445" s="131"/>
      <c r="GD445" s="131"/>
      <c r="GE445" s="131"/>
      <c r="GF445" s="131"/>
      <c r="GG445" s="131"/>
      <c r="GH445" s="131"/>
      <c r="GI445" s="131"/>
      <c r="GJ445" s="131"/>
      <c r="GK445" s="131"/>
      <c r="GL445" s="131"/>
      <c r="GM445" s="131"/>
      <c r="GN445" s="131"/>
      <c r="GO445" s="131"/>
      <c r="GP445" s="131"/>
      <c r="GQ445" s="131"/>
      <c r="GR445" s="131"/>
      <c r="GS445" s="131"/>
      <c r="GT445" s="131"/>
      <c r="GU445" s="131"/>
      <c r="GV445" s="131"/>
      <c r="GW445" s="131"/>
      <c r="GX445" s="131"/>
      <c r="GY445" s="131"/>
      <c r="GZ445" s="131"/>
      <c r="HA445" s="131"/>
      <c r="HB445" s="131"/>
      <c r="HC445" s="131"/>
      <c r="HD445" s="131"/>
      <c r="HE445" s="131"/>
      <c r="HF445" s="131"/>
      <c r="HG445" s="131"/>
      <c r="HH445" s="131"/>
      <c r="HI445" s="131"/>
      <c r="HJ445" s="131"/>
      <c r="HK445" s="131"/>
      <c r="HL445" s="131"/>
      <c r="HM445" s="131"/>
      <c r="HN445" s="131"/>
      <c r="HO445" s="131"/>
      <c r="HP445" s="131"/>
      <c r="HQ445" s="131"/>
      <c r="HR445" s="131"/>
      <c r="HS445" s="131"/>
      <c r="HT445" s="131"/>
      <c r="HU445" s="131"/>
      <c r="HV445" s="131"/>
      <c r="HW445" s="131"/>
      <c r="HX445" s="131"/>
      <c r="HY445" s="131"/>
      <c r="HZ445" s="131"/>
      <c r="IA445" s="131"/>
      <c r="IB445" s="131"/>
      <c r="IC445" s="131"/>
      <c r="ID445" s="131"/>
      <c r="IE445" s="131"/>
      <c r="IF445" s="131"/>
      <c r="IG445" s="131"/>
      <c r="IH445" s="131"/>
      <c r="II445" s="131"/>
      <c r="IJ445" s="131"/>
      <c r="IK445" s="131"/>
      <c r="IL445" s="131"/>
      <c r="IM445" s="131"/>
      <c r="IN445" s="131"/>
      <c r="IO445" s="131"/>
      <c r="IP445" s="131"/>
      <c r="IQ445" s="131"/>
      <c r="IR445" s="131"/>
      <c r="IS445" s="131"/>
      <c r="IT445" s="131"/>
      <c r="IU445" s="131"/>
      <c r="IV445" s="131"/>
    </row>
    <row r="446" spans="1:256" s="13" customFormat="1" ht="38.25" customHeight="1">
      <c r="A446" s="21" t="s">
        <v>1</v>
      </c>
      <c r="B446" s="246" t="s">
        <v>34</v>
      </c>
      <c r="C446" s="246" t="s">
        <v>25</v>
      </c>
      <c r="D446" s="246" t="s">
        <v>890</v>
      </c>
      <c r="E446" s="246" t="s">
        <v>138</v>
      </c>
      <c r="F446" s="21" t="s">
        <v>882</v>
      </c>
      <c r="G446" s="246" t="s">
        <v>103</v>
      </c>
      <c r="H446" s="246">
        <v>236220</v>
      </c>
      <c r="I446" s="21" t="s">
        <v>28</v>
      </c>
      <c r="J446" s="21" t="s">
        <v>109</v>
      </c>
      <c r="K446" s="21" t="s">
        <v>1974</v>
      </c>
      <c r="L446" s="21" t="s">
        <v>1974</v>
      </c>
      <c r="M446" s="22">
        <v>25000</v>
      </c>
      <c r="N446" s="22">
        <v>100000</v>
      </c>
      <c r="O446" s="21" t="s">
        <v>20</v>
      </c>
      <c r="P446" s="21" t="s">
        <v>278</v>
      </c>
      <c r="Q446" s="21" t="s">
        <v>279</v>
      </c>
      <c r="R446" s="21" t="s">
        <v>278</v>
      </c>
      <c r="S446" s="74">
        <v>2013</v>
      </c>
      <c r="T446" s="21" t="s">
        <v>878</v>
      </c>
      <c r="U446" s="21" t="s">
        <v>879</v>
      </c>
      <c r="V446" s="21" t="s">
        <v>880</v>
      </c>
      <c r="W446" s="21" t="s">
        <v>66</v>
      </c>
      <c r="X446" s="246" t="s">
        <v>2614</v>
      </c>
      <c r="Y446" s="130"/>
      <c r="Z446" s="130"/>
      <c r="AA446" s="130"/>
      <c r="AB446" s="130"/>
      <c r="AC446" s="130"/>
      <c r="AD446" s="131"/>
      <c r="AE446" s="131"/>
      <c r="AF446" s="131"/>
      <c r="AG446" s="131"/>
      <c r="AH446" s="131"/>
      <c r="AI446" s="131"/>
      <c r="AJ446" s="131"/>
      <c r="AK446" s="131"/>
      <c r="AL446" s="131"/>
      <c r="AM446" s="131"/>
      <c r="AN446" s="131"/>
      <c r="AO446" s="131"/>
      <c r="AP446" s="131"/>
      <c r="AQ446" s="131"/>
      <c r="AR446" s="131"/>
      <c r="AS446" s="131"/>
      <c r="AT446" s="131"/>
      <c r="AU446" s="131"/>
      <c r="AV446" s="131"/>
      <c r="AW446" s="131"/>
      <c r="AX446" s="131"/>
      <c r="AY446" s="131"/>
      <c r="AZ446" s="131"/>
      <c r="BA446" s="131"/>
      <c r="BB446" s="131"/>
      <c r="BC446" s="131"/>
      <c r="BD446" s="131"/>
      <c r="BE446" s="131"/>
      <c r="BF446" s="131"/>
      <c r="BG446" s="131"/>
      <c r="BH446" s="131"/>
      <c r="BI446" s="131"/>
      <c r="BJ446" s="131"/>
      <c r="BK446" s="131"/>
      <c r="BL446" s="131"/>
      <c r="BM446" s="131"/>
      <c r="BN446" s="131"/>
      <c r="BO446" s="131"/>
      <c r="BP446" s="131"/>
      <c r="BQ446" s="131"/>
      <c r="BR446" s="131"/>
      <c r="BS446" s="131"/>
      <c r="BT446" s="131"/>
      <c r="BU446" s="131"/>
      <c r="BV446" s="131"/>
      <c r="BW446" s="131"/>
      <c r="BX446" s="131"/>
      <c r="BY446" s="131"/>
      <c r="BZ446" s="131"/>
      <c r="CA446" s="131"/>
      <c r="CB446" s="131"/>
      <c r="CC446" s="131"/>
      <c r="CD446" s="131"/>
      <c r="CE446" s="131"/>
      <c r="CF446" s="131"/>
      <c r="CG446" s="131"/>
      <c r="CH446" s="131"/>
      <c r="CI446" s="131"/>
      <c r="CJ446" s="131"/>
      <c r="CK446" s="131"/>
      <c r="CL446" s="131"/>
      <c r="CM446" s="131"/>
      <c r="CN446" s="131"/>
      <c r="CO446" s="131"/>
      <c r="CP446" s="131"/>
      <c r="CQ446" s="131"/>
      <c r="CR446" s="131"/>
      <c r="CS446" s="131"/>
      <c r="CT446" s="131"/>
      <c r="CU446" s="131"/>
      <c r="CV446" s="131"/>
      <c r="CW446" s="131"/>
      <c r="CX446" s="131"/>
      <c r="CY446" s="131"/>
      <c r="CZ446" s="131"/>
      <c r="DA446" s="131"/>
      <c r="DB446" s="131"/>
      <c r="DC446" s="131"/>
      <c r="DD446" s="131"/>
      <c r="DE446" s="131"/>
      <c r="DF446" s="131"/>
      <c r="DG446" s="131"/>
      <c r="DH446" s="131"/>
      <c r="DI446" s="131"/>
      <c r="DJ446" s="131"/>
      <c r="DK446" s="131"/>
      <c r="DL446" s="131"/>
      <c r="DM446" s="131"/>
      <c r="DN446" s="131"/>
      <c r="DO446" s="131"/>
      <c r="DP446" s="131"/>
      <c r="DQ446" s="131"/>
      <c r="DR446" s="131"/>
      <c r="DS446" s="131"/>
      <c r="DT446" s="131"/>
      <c r="DU446" s="131"/>
      <c r="DV446" s="131"/>
      <c r="DW446" s="131"/>
      <c r="DX446" s="131"/>
      <c r="DY446" s="131"/>
      <c r="DZ446" s="131"/>
      <c r="EA446" s="131"/>
      <c r="EB446" s="131"/>
      <c r="EC446" s="131"/>
      <c r="ED446" s="131"/>
      <c r="EE446" s="131"/>
      <c r="EF446" s="131"/>
      <c r="EG446" s="131"/>
      <c r="EH446" s="131"/>
      <c r="EI446" s="131"/>
      <c r="EJ446" s="131"/>
      <c r="EK446" s="131"/>
      <c r="EL446" s="131"/>
      <c r="EM446" s="131"/>
      <c r="EN446" s="131"/>
      <c r="EO446" s="131"/>
      <c r="EP446" s="131"/>
      <c r="EQ446" s="131"/>
      <c r="ER446" s="131"/>
      <c r="ES446" s="131"/>
      <c r="ET446" s="131"/>
      <c r="EU446" s="131"/>
      <c r="EV446" s="131"/>
      <c r="EW446" s="131"/>
      <c r="EX446" s="131"/>
      <c r="EY446" s="131"/>
      <c r="EZ446" s="131"/>
      <c r="FA446" s="131"/>
      <c r="FB446" s="131"/>
      <c r="FC446" s="131"/>
      <c r="FD446" s="131"/>
      <c r="FE446" s="131"/>
      <c r="FF446" s="131"/>
      <c r="FG446" s="131"/>
      <c r="FH446" s="131"/>
      <c r="FI446" s="131"/>
      <c r="FJ446" s="131"/>
      <c r="FK446" s="131"/>
      <c r="FL446" s="131"/>
      <c r="FM446" s="131"/>
      <c r="FN446" s="131"/>
      <c r="FO446" s="131"/>
      <c r="FP446" s="131"/>
      <c r="FQ446" s="131"/>
      <c r="FR446" s="131"/>
      <c r="FS446" s="131"/>
      <c r="FT446" s="131"/>
      <c r="FU446" s="131"/>
      <c r="FV446" s="131"/>
      <c r="FW446" s="131"/>
      <c r="FX446" s="131"/>
      <c r="FY446" s="131"/>
      <c r="FZ446" s="131"/>
      <c r="GA446" s="131"/>
      <c r="GB446" s="131"/>
      <c r="GC446" s="131"/>
      <c r="GD446" s="131"/>
      <c r="GE446" s="131"/>
      <c r="GF446" s="131"/>
      <c r="GG446" s="131"/>
      <c r="GH446" s="131"/>
      <c r="GI446" s="131"/>
      <c r="GJ446" s="131"/>
      <c r="GK446" s="131"/>
      <c r="GL446" s="131"/>
      <c r="GM446" s="131"/>
      <c r="GN446" s="131"/>
      <c r="GO446" s="131"/>
      <c r="GP446" s="131"/>
      <c r="GQ446" s="131"/>
      <c r="GR446" s="131"/>
      <c r="GS446" s="131"/>
      <c r="GT446" s="131"/>
      <c r="GU446" s="131"/>
      <c r="GV446" s="131"/>
      <c r="GW446" s="131"/>
      <c r="GX446" s="131"/>
      <c r="GY446" s="131"/>
      <c r="GZ446" s="131"/>
      <c r="HA446" s="131"/>
      <c r="HB446" s="131"/>
      <c r="HC446" s="131"/>
      <c r="HD446" s="131"/>
      <c r="HE446" s="131"/>
      <c r="HF446" s="131"/>
      <c r="HG446" s="131"/>
      <c r="HH446" s="131"/>
      <c r="HI446" s="131"/>
      <c r="HJ446" s="131"/>
      <c r="HK446" s="131"/>
      <c r="HL446" s="131"/>
      <c r="HM446" s="131"/>
      <c r="HN446" s="131"/>
      <c r="HO446" s="131"/>
      <c r="HP446" s="131"/>
      <c r="HQ446" s="131"/>
      <c r="HR446" s="131"/>
      <c r="HS446" s="131"/>
      <c r="HT446" s="131"/>
      <c r="HU446" s="131"/>
      <c r="HV446" s="131"/>
      <c r="HW446" s="131"/>
      <c r="HX446" s="131"/>
      <c r="HY446" s="131"/>
      <c r="HZ446" s="131"/>
      <c r="IA446" s="131"/>
      <c r="IB446" s="131"/>
      <c r="IC446" s="131"/>
      <c r="ID446" s="131"/>
      <c r="IE446" s="131"/>
      <c r="IF446" s="131"/>
      <c r="IG446" s="131"/>
      <c r="IH446" s="131"/>
      <c r="II446" s="131"/>
      <c r="IJ446" s="131"/>
      <c r="IK446" s="131"/>
      <c r="IL446" s="131"/>
      <c r="IM446" s="131"/>
      <c r="IN446" s="131"/>
      <c r="IO446" s="131"/>
      <c r="IP446" s="131"/>
      <c r="IQ446" s="131"/>
      <c r="IR446" s="131"/>
      <c r="IS446" s="131"/>
      <c r="IT446" s="131"/>
      <c r="IU446" s="131"/>
      <c r="IV446" s="131"/>
    </row>
    <row r="447" spans="1:256" s="13" customFormat="1" ht="38.25" customHeight="1">
      <c r="A447" s="21" t="s">
        <v>1</v>
      </c>
      <c r="B447" s="246" t="s">
        <v>34</v>
      </c>
      <c r="C447" s="246" t="s">
        <v>25</v>
      </c>
      <c r="D447" s="246" t="s">
        <v>891</v>
      </c>
      <c r="E447" s="246" t="s">
        <v>138</v>
      </c>
      <c r="F447" s="21" t="s">
        <v>882</v>
      </c>
      <c r="G447" s="246" t="s">
        <v>103</v>
      </c>
      <c r="H447" s="246">
        <v>236220</v>
      </c>
      <c r="I447" s="21" t="s">
        <v>28</v>
      </c>
      <c r="J447" s="21" t="s">
        <v>109</v>
      </c>
      <c r="K447" s="21" t="s">
        <v>1974</v>
      </c>
      <c r="L447" s="21" t="s">
        <v>1974</v>
      </c>
      <c r="M447" s="22">
        <v>1000</v>
      </c>
      <c r="N447" s="22">
        <v>25000</v>
      </c>
      <c r="O447" s="21" t="s">
        <v>9</v>
      </c>
      <c r="P447" s="21" t="s">
        <v>278</v>
      </c>
      <c r="Q447" s="21" t="s">
        <v>279</v>
      </c>
      <c r="R447" s="21" t="s">
        <v>278</v>
      </c>
      <c r="S447" s="74">
        <v>2013</v>
      </c>
      <c r="T447" s="21" t="s">
        <v>878</v>
      </c>
      <c r="U447" s="21" t="s">
        <v>879</v>
      </c>
      <c r="V447" s="21" t="s">
        <v>880</v>
      </c>
      <c r="W447" s="21" t="s">
        <v>66</v>
      </c>
      <c r="X447" s="246" t="s">
        <v>2614</v>
      </c>
      <c r="Y447" s="130"/>
      <c r="Z447" s="130"/>
      <c r="AA447" s="130"/>
      <c r="AB447" s="130"/>
      <c r="AC447" s="130"/>
      <c r="AD447" s="131"/>
      <c r="AE447" s="131"/>
      <c r="AF447" s="131"/>
      <c r="AG447" s="131"/>
      <c r="AH447" s="131"/>
      <c r="AI447" s="131"/>
      <c r="AJ447" s="131"/>
      <c r="AK447" s="131"/>
      <c r="AL447" s="131"/>
      <c r="AM447" s="131"/>
      <c r="AN447" s="131"/>
      <c r="AO447" s="131"/>
      <c r="AP447" s="131"/>
      <c r="AQ447" s="131"/>
      <c r="AR447" s="131"/>
      <c r="AS447" s="131"/>
      <c r="AT447" s="131"/>
      <c r="AU447" s="131"/>
      <c r="AV447" s="131"/>
      <c r="AW447" s="131"/>
      <c r="AX447" s="131"/>
      <c r="AY447" s="131"/>
      <c r="AZ447" s="131"/>
      <c r="BA447" s="131"/>
      <c r="BB447" s="131"/>
      <c r="BC447" s="131"/>
      <c r="BD447" s="131"/>
      <c r="BE447" s="131"/>
      <c r="BF447" s="131"/>
      <c r="BG447" s="131"/>
      <c r="BH447" s="131"/>
      <c r="BI447" s="131"/>
      <c r="BJ447" s="131"/>
      <c r="BK447" s="131"/>
      <c r="BL447" s="131"/>
      <c r="BM447" s="131"/>
      <c r="BN447" s="131"/>
      <c r="BO447" s="131"/>
      <c r="BP447" s="131"/>
      <c r="BQ447" s="131"/>
      <c r="BR447" s="131"/>
      <c r="BS447" s="131"/>
      <c r="BT447" s="131"/>
      <c r="BU447" s="131"/>
      <c r="BV447" s="131"/>
      <c r="BW447" s="131"/>
      <c r="BX447" s="131"/>
      <c r="BY447" s="131"/>
      <c r="BZ447" s="131"/>
      <c r="CA447" s="131"/>
      <c r="CB447" s="131"/>
      <c r="CC447" s="131"/>
      <c r="CD447" s="131"/>
      <c r="CE447" s="131"/>
      <c r="CF447" s="131"/>
      <c r="CG447" s="131"/>
      <c r="CH447" s="131"/>
      <c r="CI447" s="131"/>
      <c r="CJ447" s="131"/>
      <c r="CK447" s="131"/>
      <c r="CL447" s="131"/>
      <c r="CM447" s="131"/>
      <c r="CN447" s="131"/>
      <c r="CO447" s="131"/>
      <c r="CP447" s="131"/>
      <c r="CQ447" s="131"/>
      <c r="CR447" s="131"/>
      <c r="CS447" s="131"/>
      <c r="CT447" s="131"/>
      <c r="CU447" s="131"/>
      <c r="CV447" s="131"/>
      <c r="CW447" s="131"/>
      <c r="CX447" s="131"/>
      <c r="CY447" s="131"/>
      <c r="CZ447" s="131"/>
      <c r="DA447" s="131"/>
      <c r="DB447" s="131"/>
      <c r="DC447" s="131"/>
      <c r="DD447" s="131"/>
      <c r="DE447" s="131"/>
      <c r="DF447" s="131"/>
      <c r="DG447" s="131"/>
      <c r="DH447" s="131"/>
      <c r="DI447" s="131"/>
      <c r="DJ447" s="131"/>
      <c r="DK447" s="131"/>
      <c r="DL447" s="131"/>
      <c r="DM447" s="131"/>
      <c r="DN447" s="131"/>
      <c r="DO447" s="131"/>
      <c r="DP447" s="131"/>
      <c r="DQ447" s="131"/>
      <c r="DR447" s="131"/>
      <c r="DS447" s="131"/>
      <c r="DT447" s="131"/>
      <c r="DU447" s="131"/>
      <c r="DV447" s="131"/>
      <c r="DW447" s="131"/>
      <c r="DX447" s="131"/>
      <c r="DY447" s="131"/>
      <c r="DZ447" s="131"/>
      <c r="EA447" s="131"/>
      <c r="EB447" s="131"/>
      <c r="EC447" s="131"/>
      <c r="ED447" s="131"/>
      <c r="EE447" s="131"/>
      <c r="EF447" s="131"/>
      <c r="EG447" s="131"/>
      <c r="EH447" s="131"/>
      <c r="EI447" s="131"/>
      <c r="EJ447" s="131"/>
      <c r="EK447" s="131"/>
      <c r="EL447" s="131"/>
      <c r="EM447" s="131"/>
      <c r="EN447" s="131"/>
      <c r="EO447" s="131"/>
      <c r="EP447" s="131"/>
      <c r="EQ447" s="131"/>
      <c r="ER447" s="131"/>
      <c r="ES447" s="131"/>
      <c r="ET447" s="131"/>
      <c r="EU447" s="131"/>
      <c r="EV447" s="131"/>
      <c r="EW447" s="131"/>
      <c r="EX447" s="131"/>
      <c r="EY447" s="131"/>
      <c r="EZ447" s="131"/>
      <c r="FA447" s="131"/>
      <c r="FB447" s="131"/>
      <c r="FC447" s="131"/>
      <c r="FD447" s="131"/>
      <c r="FE447" s="131"/>
      <c r="FF447" s="131"/>
      <c r="FG447" s="131"/>
      <c r="FH447" s="131"/>
      <c r="FI447" s="131"/>
      <c r="FJ447" s="131"/>
      <c r="FK447" s="131"/>
      <c r="FL447" s="131"/>
      <c r="FM447" s="131"/>
      <c r="FN447" s="131"/>
      <c r="FO447" s="131"/>
      <c r="FP447" s="131"/>
      <c r="FQ447" s="131"/>
      <c r="FR447" s="131"/>
      <c r="FS447" s="131"/>
      <c r="FT447" s="131"/>
      <c r="FU447" s="131"/>
      <c r="FV447" s="131"/>
      <c r="FW447" s="131"/>
      <c r="FX447" s="131"/>
      <c r="FY447" s="131"/>
      <c r="FZ447" s="131"/>
      <c r="GA447" s="131"/>
      <c r="GB447" s="131"/>
      <c r="GC447" s="131"/>
      <c r="GD447" s="131"/>
      <c r="GE447" s="131"/>
      <c r="GF447" s="131"/>
      <c r="GG447" s="131"/>
      <c r="GH447" s="131"/>
      <c r="GI447" s="131"/>
      <c r="GJ447" s="131"/>
      <c r="GK447" s="131"/>
      <c r="GL447" s="131"/>
      <c r="GM447" s="131"/>
      <c r="GN447" s="131"/>
      <c r="GO447" s="131"/>
      <c r="GP447" s="131"/>
      <c r="GQ447" s="131"/>
      <c r="GR447" s="131"/>
      <c r="GS447" s="131"/>
      <c r="GT447" s="131"/>
      <c r="GU447" s="131"/>
      <c r="GV447" s="131"/>
      <c r="GW447" s="131"/>
      <c r="GX447" s="131"/>
      <c r="GY447" s="131"/>
      <c r="GZ447" s="131"/>
      <c r="HA447" s="131"/>
      <c r="HB447" s="131"/>
      <c r="HC447" s="131"/>
      <c r="HD447" s="131"/>
      <c r="HE447" s="131"/>
      <c r="HF447" s="131"/>
      <c r="HG447" s="131"/>
      <c r="HH447" s="131"/>
      <c r="HI447" s="131"/>
      <c r="HJ447" s="131"/>
      <c r="HK447" s="131"/>
      <c r="HL447" s="131"/>
      <c r="HM447" s="131"/>
      <c r="HN447" s="131"/>
      <c r="HO447" s="131"/>
      <c r="HP447" s="131"/>
      <c r="HQ447" s="131"/>
      <c r="HR447" s="131"/>
      <c r="HS447" s="131"/>
      <c r="HT447" s="131"/>
      <c r="HU447" s="131"/>
      <c r="HV447" s="131"/>
      <c r="HW447" s="131"/>
      <c r="HX447" s="131"/>
      <c r="HY447" s="131"/>
      <c r="HZ447" s="131"/>
      <c r="IA447" s="131"/>
      <c r="IB447" s="131"/>
      <c r="IC447" s="131"/>
      <c r="ID447" s="131"/>
      <c r="IE447" s="131"/>
      <c r="IF447" s="131"/>
      <c r="IG447" s="131"/>
      <c r="IH447" s="131"/>
      <c r="II447" s="131"/>
      <c r="IJ447" s="131"/>
      <c r="IK447" s="131"/>
      <c r="IL447" s="131"/>
      <c r="IM447" s="131"/>
      <c r="IN447" s="131"/>
      <c r="IO447" s="131"/>
      <c r="IP447" s="131"/>
      <c r="IQ447" s="131"/>
      <c r="IR447" s="131"/>
      <c r="IS447" s="131"/>
      <c r="IT447" s="131"/>
      <c r="IU447" s="131"/>
      <c r="IV447" s="131"/>
    </row>
    <row r="448" spans="1:256" s="13" customFormat="1" ht="38.25" customHeight="1">
      <c r="A448" s="21" t="s">
        <v>1</v>
      </c>
      <c r="B448" s="246" t="s">
        <v>34</v>
      </c>
      <c r="C448" s="246" t="s">
        <v>25</v>
      </c>
      <c r="D448" s="246" t="s">
        <v>892</v>
      </c>
      <c r="E448" s="246" t="s">
        <v>138</v>
      </c>
      <c r="F448" s="21" t="s">
        <v>877</v>
      </c>
      <c r="G448" s="246" t="s">
        <v>103</v>
      </c>
      <c r="H448" s="246">
        <v>236220</v>
      </c>
      <c r="I448" s="21" t="s">
        <v>28</v>
      </c>
      <c r="J448" s="21" t="s">
        <v>109</v>
      </c>
      <c r="K448" s="21" t="s">
        <v>1974</v>
      </c>
      <c r="L448" s="21" t="s">
        <v>1974</v>
      </c>
      <c r="M448" s="22">
        <v>100000</v>
      </c>
      <c r="N448" s="22">
        <v>250000</v>
      </c>
      <c r="O448" s="21" t="s">
        <v>20</v>
      </c>
      <c r="P448" s="21" t="s">
        <v>278</v>
      </c>
      <c r="Q448" s="21" t="s">
        <v>279</v>
      </c>
      <c r="R448" s="21" t="s">
        <v>278</v>
      </c>
      <c r="S448" s="74">
        <v>2013</v>
      </c>
      <c r="T448" s="21" t="s">
        <v>878</v>
      </c>
      <c r="U448" s="21" t="s">
        <v>879</v>
      </c>
      <c r="V448" s="21" t="s">
        <v>880</v>
      </c>
      <c r="W448" s="21" t="s">
        <v>66</v>
      </c>
      <c r="X448" s="246"/>
      <c r="Y448" s="130"/>
      <c r="Z448" s="130"/>
      <c r="AA448" s="130"/>
      <c r="AB448" s="130"/>
      <c r="AC448" s="130"/>
      <c r="AD448" s="131"/>
      <c r="AE448" s="131"/>
      <c r="AF448" s="131"/>
      <c r="AG448" s="131"/>
      <c r="AH448" s="131"/>
      <c r="AI448" s="131"/>
      <c r="AJ448" s="131"/>
      <c r="AK448" s="131"/>
      <c r="AL448" s="131"/>
      <c r="AM448" s="131"/>
      <c r="AN448" s="131"/>
      <c r="AO448" s="131"/>
      <c r="AP448" s="131"/>
      <c r="AQ448" s="131"/>
      <c r="AR448" s="131"/>
      <c r="AS448" s="131"/>
      <c r="AT448" s="131"/>
      <c r="AU448" s="131"/>
      <c r="AV448" s="131"/>
      <c r="AW448" s="131"/>
      <c r="AX448" s="131"/>
      <c r="AY448" s="131"/>
      <c r="AZ448" s="131"/>
      <c r="BA448" s="131"/>
      <c r="BB448" s="131"/>
      <c r="BC448" s="131"/>
      <c r="BD448" s="131"/>
      <c r="BE448" s="131"/>
      <c r="BF448" s="131"/>
      <c r="BG448" s="131"/>
      <c r="BH448" s="131"/>
      <c r="BI448" s="131"/>
      <c r="BJ448" s="131"/>
      <c r="BK448" s="131"/>
      <c r="BL448" s="131"/>
      <c r="BM448" s="131"/>
      <c r="BN448" s="131"/>
      <c r="BO448" s="131"/>
      <c r="BP448" s="131"/>
      <c r="BQ448" s="131"/>
      <c r="BR448" s="131"/>
      <c r="BS448" s="131"/>
      <c r="BT448" s="131"/>
      <c r="BU448" s="131"/>
      <c r="BV448" s="131"/>
      <c r="BW448" s="131"/>
      <c r="BX448" s="131"/>
      <c r="BY448" s="131"/>
      <c r="BZ448" s="131"/>
      <c r="CA448" s="131"/>
      <c r="CB448" s="131"/>
      <c r="CC448" s="131"/>
      <c r="CD448" s="131"/>
      <c r="CE448" s="131"/>
      <c r="CF448" s="131"/>
      <c r="CG448" s="131"/>
      <c r="CH448" s="131"/>
      <c r="CI448" s="131"/>
      <c r="CJ448" s="131"/>
      <c r="CK448" s="131"/>
      <c r="CL448" s="131"/>
      <c r="CM448" s="131"/>
      <c r="CN448" s="131"/>
      <c r="CO448" s="131"/>
      <c r="CP448" s="131"/>
      <c r="CQ448" s="131"/>
      <c r="CR448" s="131"/>
      <c r="CS448" s="131"/>
      <c r="CT448" s="131"/>
      <c r="CU448" s="131"/>
      <c r="CV448" s="131"/>
      <c r="CW448" s="131"/>
      <c r="CX448" s="131"/>
      <c r="CY448" s="131"/>
      <c r="CZ448" s="131"/>
      <c r="DA448" s="131"/>
      <c r="DB448" s="131"/>
      <c r="DC448" s="131"/>
      <c r="DD448" s="131"/>
      <c r="DE448" s="131"/>
      <c r="DF448" s="131"/>
      <c r="DG448" s="131"/>
      <c r="DH448" s="131"/>
      <c r="DI448" s="131"/>
      <c r="DJ448" s="131"/>
      <c r="DK448" s="131"/>
      <c r="DL448" s="131"/>
      <c r="DM448" s="131"/>
      <c r="DN448" s="131"/>
      <c r="DO448" s="131"/>
      <c r="DP448" s="131"/>
      <c r="DQ448" s="131"/>
      <c r="DR448" s="131"/>
      <c r="DS448" s="131"/>
      <c r="DT448" s="131"/>
      <c r="DU448" s="131"/>
      <c r="DV448" s="131"/>
      <c r="DW448" s="131"/>
      <c r="DX448" s="131"/>
      <c r="DY448" s="131"/>
      <c r="DZ448" s="131"/>
      <c r="EA448" s="131"/>
      <c r="EB448" s="131"/>
      <c r="EC448" s="131"/>
      <c r="ED448" s="131"/>
      <c r="EE448" s="131"/>
      <c r="EF448" s="131"/>
      <c r="EG448" s="131"/>
      <c r="EH448" s="131"/>
      <c r="EI448" s="131"/>
      <c r="EJ448" s="131"/>
      <c r="EK448" s="131"/>
      <c r="EL448" s="131"/>
      <c r="EM448" s="131"/>
      <c r="EN448" s="131"/>
      <c r="EO448" s="131"/>
      <c r="EP448" s="131"/>
      <c r="EQ448" s="131"/>
      <c r="ER448" s="131"/>
      <c r="ES448" s="131"/>
      <c r="ET448" s="131"/>
      <c r="EU448" s="131"/>
      <c r="EV448" s="131"/>
      <c r="EW448" s="131"/>
      <c r="EX448" s="131"/>
      <c r="EY448" s="131"/>
      <c r="EZ448" s="131"/>
      <c r="FA448" s="131"/>
      <c r="FB448" s="131"/>
      <c r="FC448" s="131"/>
      <c r="FD448" s="131"/>
      <c r="FE448" s="131"/>
      <c r="FF448" s="131"/>
      <c r="FG448" s="131"/>
      <c r="FH448" s="131"/>
      <c r="FI448" s="131"/>
      <c r="FJ448" s="131"/>
      <c r="FK448" s="131"/>
      <c r="FL448" s="131"/>
      <c r="FM448" s="131"/>
      <c r="FN448" s="131"/>
      <c r="FO448" s="131"/>
      <c r="FP448" s="131"/>
      <c r="FQ448" s="131"/>
      <c r="FR448" s="131"/>
      <c r="FS448" s="131"/>
      <c r="FT448" s="131"/>
      <c r="FU448" s="131"/>
      <c r="FV448" s="131"/>
      <c r="FW448" s="131"/>
      <c r="FX448" s="131"/>
      <c r="FY448" s="131"/>
      <c r="FZ448" s="131"/>
      <c r="GA448" s="131"/>
      <c r="GB448" s="131"/>
      <c r="GC448" s="131"/>
      <c r="GD448" s="131"/>
      <c r="GE448" s="131"/>
      <c r="GF448" s="131"/>
      <c r="GG448" s="131"/>
      <c r="GH448" s="131"/>
      <c r="GI448" s="131"/>
      <c r="GJ448" s="131"/>
      <c r="GK448" s="131"/>
      <c r="GL448" s="131"/>
      <c r="GM448" s="131"/>
      <c r="GN448" s="131"/>
      <c r="GO448" s="131"/>
      <c r="GP448" s="131"/>
      <c r="GQ448" s="131"/>
      <c r="GR448" s="131"/>
      <c r="GS448" s="131"/>
      <c r="GT448" s="131"/>
      <c r="GU448" s="131"/>
      <c r="GV448" s="131"/>
      <c r="GW448" s="131"/>
      <c r="GX448" s="131"/>
      <c r="GY448" s="131"/>
      <c r="GZ448" s="131"/>
      <c r="HA448" s="131"/>
      <c r="HB448" s="131"/>
      <c r="HC448" s="131"/>
      <c r="HD448" s="131"/>
      <c r="HE448" s="131"/>
      <c r="HF448" s="131"/>
      <c r="HG448" s="131"/>
      <c r="HH448" s="131"/>
      <c r="HI448" s="131"/>
      <c r="HJ448" s="131"/>
      <c r="HK448" s="131"/>
      <c r="HL448" s="131"/>
      <c r="HM448" s="131"/>
      <c r="HN448" s="131"/>
      <c r="HO448" s="131"/>
      <c r="HP448" s="131"/>
      <c r="HQ448" s="131"/>
      <c r="HR448" s="131"/>
      <c r="HS448" s="131"/>
      <c r="HT448" s="131"/>
      <c r="HU448" s="131"/>
      <c r="HV448" s="131"/>
      <c r="HW448" s="131"/>
      <c r="HX448" s="131"/>
      <c r="HY448" s="131"/>
      <c r="HZ448" s="131"/>
      <c r="IA448" s="131"/>
      <c r="IB448" s="131"/>
      <c r="IC448" s="131"/>
      <c r="ID448" s="131"/>
      <c r="IE448" s="131"/>
      <c r="IF448" s="131"/>
      <c r="IG448" s="131"/>
      <c r="IH448" s="131"/>
      <c r="II448" s="131"/>
      <c r="IJ448" s="131"/>
      <c r="IK448" s="131"/>
      <c r="IL448" s="131"/>
      <c r="IM448" s="131"/>
      <c r="IN448" s="131"/>
      <c r="IO448" s="131"/>
      <c r="IP448" s="131"/>
      <c r="IQ448" s="131"/>
      <c r="IR448" s="131"/>
      <c r="IS448" s="131"/>
      <c r="IT448" s="131"/>
      <c r="IU448" s="131"/>
      <c r="IV448" s="131"/>
    </row>
    <row r="449" spans="1:256" s="13" customFormat="1" ht="38.25" customHeight="1">
      <c r="A449" s="21" t="s">
        <v>1</v>
      </c>
      <c r="B449" s="246" t="s">
        <v>34</v>
      </c>
      <c r="C449" s="246" t="s">
        <v>25</v>
      </c>
      <c r="D449" s="246" t="s">
        <v>892</v>
      </c>
      <c r="E449" s="246" t="s">
        <v>138</v>
      </c>
      <c r="F449" s="21" t="s">
        <v>893</v>
      </c>
      <c r="G449" s="246" t="s">
        <v>103</v>
      </c>
      <c r="H449" s="246">
        <v>236220</v>
      </c>
      <c r="I449" s="21" t="s">
        <v>28</v>
      </c>
      <c r="J449" s="21" t="s">
        <v>109</v>
      </c>
      <c r="K449" s="21" t="s">
        <v>1974</v>
      </c>
      <c r="L449" s="21" t="s">
        <v>1974</v>
      </c>
      <c r="M449" s="22">
        <v>100000</v>
      </c>
      <c r="N449" s="22">
        <v>250000</v>
      </c>
      <c r="O449" s="21" t="s">
        <v>20</v>
      </c>
      <c r="P449" s="21" t="s">
        <v>278</v>
      </c>
      <c r="Q449" s="21" t="s">
        <v>279</v>
      </c>
      <c r="R449" s="21" t="s">
        <v>278</v>
      </c>
      <c r="S449" s="74">
        <v>2013</v>
      </c>
      <c r="T449" s="21" t="s">
        <v>878</v>
      </c>
      <c r="U449" s="21" t="s">
        <v>879</v>
      </c>
      <c r="V449" s="21" t="s">
        <v>880</v>
      </c>
      <c r="W449" s="21" t="s">
        <v>66</v>
      </c>
      <c r="X449" s="246" t="s">
        <v>2614</v>
      </c>
      <c r="Y449" s="130"/>
      <c r="Z449" s="130"/>
      <c r="AA449" s="130"/>
      <c r="AB449" s="130"/>
      <c r="AC449" s="130"/>
      <c r="AD449" s="131"/>
      <c r="AE449" s="131"/>
      <c r="AF449" s="131"/>
      <c r="AG449" s="131"/>
      <c r="AH449" s="131"/>
      <c r="AI449" s="131"/>
      <c r="AJ449" s="131"/>
      <c r="AK449" s="131"/>
      <c r="AL449" s="131"/>
      <c r="AM449" s="131"/>
      <c r="AN449" s="131"/>
      <c r="AO449" s="131"/>
      <c r="AP449" s="131"/>
      <c r="AQ449" s="131"/>
      <c r="AR449" s="131"/>
      <c r="AS449" s="131"/>
      <c r="AT449" s="131"/>
      <c r="AU449" s="131"/>
      <c r="AV449" s="131"/>
      <c r="AW449" s="131"/>
      <c r="AX449" s="131"/>
      <c r="AY449" s="131"/>
      <c r="AZ449" s="131"/>
      <c r="BA449" s="131"/>
      <c r="BB449" s="131"/>
      <c r="BC449" s="131"/>
      <c r="BD449" s="131"/>
      <c r="BE449" s="131"/>
      <c r="BF449" s="131"/>
      <c r="BG449" s="131"/>
      <c r="BH449" s="131"/>
      <c r="BI449" s="131"/>
      <c r="BJ449" s="131"/>
      <c r="BK449" s="131"/>
      <c r="BL449" s="131"/>
      <c r="BM449" s="131"/>
      <c r="BN449" s="131"/>
      <c r="BO449" s="131"/>
      <c r="BP449" s="131"/>
      <c r="BQ449" s="131"/>
      <c r="BR449" s="131"/>
      <c r="BS449" s="131"/>
      <c r="BT449" s="131"/>
      <c r="BU449" s="131"/>
      <c r="BV449" s="131"/>
      <c r="BW449" s="131"/>
      <c r="BX449" s="131"/>
      <c r="BY449" s="131"/>
      <c r="BZ449" s="131"/>
      <c r="CA449" s="131"/>
      <c r="CB449" s="131"/>
      <c r="CC449" s="131"/>
      <c r="CD449" s="131"/>
      <c r="CE449" s="131"/>
      <c r="CF449" s="131"/>
      <c r="CG449" s="131"/>
      <c r="CH449" s="131"/>
      <c r="CI449" s="131"/>
      <c r="CJ449" s="131"/>
      <c r="CK449" s="131"/>
      <c r="CL449" s="131"/>
      <c r="CM449" s="131"/>
      <c r="CN449" s="131"/>
      <c r="CO449" s="131"/>
      <c r="CP449" s="131"/>
      <c r="CQ449" s="131"/>
      <c r="CR449" s="131"/>
      <c r="CS449" s="131"/>
      <c r="CT449" s="131"/>
      <c r="CU449" s="131"/>
      <c r="CV449" s="131"/>
      <c r="CW449" s="131"/>
      <c r="CX449" s="131"/>
      <c r="CY449" s="131"/>
      <c r="CZ449" s="131"/>
      <c r="DA449" s="131"/>
      <c r="DB449" s="131"/>
      <c r="DC449" s="131"/>
      <c r="DD449" s="131"/>
      <c r="DE449" s="131"/>
      <c r="DF449" s="131"/>
      <c r="DG449" s="131"/>
      <c r="DH449" s="131"/>
      <c r="DI449" s="131"/>
      <c r="DJ449" s="131"/>
      <c r="DK449" s="131"/>
      <c r="DL449" s="131"/>
      <c r="DM449" s="131"/>
      <c r="DN449" s="131"/>
      <c r="DO449" s="131"/>
      <c r="DP449" s="131"/>
      <c r="DQ449" s="131"/>
      <c r="DR449" s="131"/>
      <c r="DS449" s="131"/>
      <c r="DT449" s="131"/>
      <c r="DU449" s="131"/>
      <c r="DV449" s="131"/>
      <c r="DW449" s="131"/>
      <c r="DX449" s="131"/>
      <c r="DY449" s="131"/>
      <c r="DZ449" s="131"/>
      <c r="EA449" s="131"/>
      <c r="EB449" s="131"/>
      <c r="EC449" s="131"/>
      <c r="ED449" s="131"/>
      <c r="EE449" s="131"/>
      <c r="EF449" s="131"/>
      <c r="EG449" s="131"/>
      <c r="EH449" s="131"/>
      <c r="EI449" s="131"/>
      <c r="EJ449" s="131"/>
      <c r="EK449" s="131"/>
      <c r="EL449" s="131"/>
      <c r="EM449" s="131"/>
      <c r="EN449" s="131"/>
      <c r="EO449" s="131"/>
      <c r="EP449" s="131"/>
      <c r="EQ449" s="131"/>
      <c r="ER449" s="131"/>
      <c r="ES449" s="131"/>
      <c r="ET449" s="131"/>
      <c r="EU449" s="131"/>
      <c r="EV449" s="131"/>
      <c r="EW449" s="131"/>
      <c r="EX449" s="131"/>
      <c r="EY449" s="131"/>
      <c r="EZ449" s="131"/>
      <c r="FA449" s="131"/>
      <c r="FB449" s="131"/>
      <c r="FC449" s="131"/>
      <c r="FD449" s="131"/>
      <c r="FE449" s="131"/>
      <c r="FF449" s="131"/>
      <c r="FG449" s="131"/>
      <c r="FH449" s="131"/>
      <c r="FI449" s="131"/>
      <c r="FJ449" s="131"/>
      <c r="FK449" s="131"/>
      <c r="FL449" s="131"/>
      <c r="FM449" s="131"/>
      <c r="FN449" s="131"/>
      <c r="FO449" s="131"/>
      <c r="FP449" s="131"/>
      <c r="FQ449" s="131"/>
      <c r="FR449" s="131"/>
      <c r="FS449" s="131"/>
      <c r="FT449" s="131"/>
      <c r="FU449" s="131"/>
      <c r="FV449" s="131"/>
      <c r="FW449" s="131"/>
      <c r="FX449" s="131"/>
      <c r="FY449" s="131"/>
      <c r="FZ449" s="131"/>
      <c r="GA449" s="131"/>
      <c r="GB449" s="131"/>
      <c r="GC449" s="131"/>
      <c r="GD449" s="131"/>
      <c r="GE449" s="131"/>
      <c r="GF449" s="131"/>
      <c r="GG449" s="131"/>
      <c r="GH449" s="131"/>
      <c r="GI449" s="131"/>
      <c r="GJ449" s="131"/>
      <c r="GK449" s="131"/>
      <c r="GL449" s="131"/>
      <c r="GM449" s="131"/>
      <c r="GN449" s="131"/>
      <c r="GO449" s="131"/>
      <c r="GP449" s="131"/>
      <c r="GQ449" s="131"/>
      <c r="GR449" s="131"/>
      <c r="GS449" s="131"/>
      <c r="GT449" s="131"/>
      <c r="GU449" s="131"/>
      <c r="GV449" s="131"/>
      <c r="GW449" s="131"/>
      <c r="GX449" s="131"/>
      <c r="GY449" s="131"/>
      <c r="GZ449" s="131"/>
      <c r="HA449" s="131"/>
      <c r="HB449" s="131"/>
      <c r="HC449" s="131"/>
      <c r="HD449" s="131"/>
      <c r="HE449" s="131"/>
      <c r="HF449" s="131"/>
      <c r="HG449" s="131"/>
      <c r="HH449" s="131"/>
      <c r="HI449" s="131"/>
      <c r="HJ449" s="131"/>
      <c r="HK449" s="131"/>
      <c r="HL449" s="131"/>
      <c r="HM449" s="131"/>
      <c r="HN449" s="131"/>
      <c r="HO449" s="131"/>
      <c r="HP449" s="131"/>
      <c r="HQ449" s="131"/>
      <c r="HR449" s="131"/>
      <c r="HS449" s="131"/>
      <c r="HT449" s="131"/>
      <c r="HU449" s="131"/>
      <c r="HV449" s="131"/>
      <c r="HW449" s="131"/>
      <c r="HX449" s="131"/>
      <c r="HY449" s="131"/>
      <c r="HZ449" s="131"/>
      <c r="IA449" s="131"/>
      <c r="IB449" s="131"/>
      <c r="IC449" s="131"/>
      <c r="ID449" s="131"/>
      <c r="IE449" s="131"/>
      <c r="IF449" s="131"/>
      <c r="IG449" s="131"/>
      <c r="IH449" s="131"/>
      <c r="II449" s="131"/>
      <c r="IJ449" s="131"/>
      <c r="IK449" s="131"/>
      <c r="IL449" s="131"/>
      <c r="IM449" s="131"/>
      <c r="IN449" s="131"/>
      <c r="IO449" s="131"/>
      <c r="IP449" s="131"/>
      <c r="IQ449" s="131"/>
      <c r="IR449" s="131"/>
      <c r="IS449" s="131"/>
      <c r="IT449" s="131"/>
      <c r="IU449" s="131"/>
      <c r="IV449" s="131"/>
    </row>
    <row r="450" spans="1:256" s="13" customFormat="1" ht="38.25" customHeight="1">
      <c r="A450" s="21" t="s">
        <v>1</v>
      </c>
      <c r="B450" s="246" t="s">
        <v>34</v>
      </c>
      <c r="C450" s="246" t="s">
        <v>25</v>
      </c>
      <c r="D450" s="246" t="s">
        <v>894</v>
      </c>
      <c r="E450" s="246" t="s">
        <v>138</v>
      </c>
      <c r="F450" s="21" t="s">
        <v>895</v>
      </c>
      <c r="G450" s="246" t="s">
        <v>103</v>
      </c>
      <c r="H450" s="246">
        <v>236220</v>
      </c>
      <c r="I450" s="21" t="s">
        <v>28</v>
      </c>
      <c r="J450" s="21" t="s">
        <v>109</v>
      </c>
      <c r="K450" s="21" t="s">
        <v>1974</v>
      </c>
      <c r="L450" s="21" t="s">
        <v>1974</v>
      </c>
      <c r="M450" s="22">
        <v>1000000</v>
      </c>
      <c r="N450" s="22">
        <v>5000000</v>
      </c>
      <c r="O450" s="21" t="s">
        <v>20</v>
      </c>
      <c r="P450" s="21" t="s">
        <v>278</v>
      </c>
      <c r="Q450" s="21" t="s">
        <v>279</v>
      </c>
      <c r="R450" s="21" t="s">
        <v>278</v>
      </c>
      <c r="S450" s="74">
        <v>2013</v>
      </c>
      <c r="T450" s="21" t="s">
        <v>878</v>
      </c>
      <c r="U450" s="21" t="s">
        <v>879</v>
      </c>
      <c r="V450" s="21" t="s">
        <v>880</v>
      </c>
      <c r="W450" s="21" t="s">
        <v>66</v>
      </c>
      <c r="X450" s="246" t="s">
        <v>2614</v>
      </c>
      <c r="Y450" s="130"/>
      <c r="Z450" s="130"/>
      <c r="AA450" s="130"/>
      <c r="AB450" s="130"/>
      <c r="AC450" s="130"/>
      <c r="AD450" s="131"/>
      <c r="AE450" s="131"/>
      <c r="AF450" s="131"/>
      <c r="AG450" s="131"/>
      <c r="AH450" s="131"/>
      <c r="AI450" s="131"/>
      <c r="AJ450" s="131"/>
      <c r="AK450" s="131"/>
      <c r="AL450" s="131"/>
      <c r="AM450" s="131"/>
      <c r="AN450" s="131"/>
      <c r="AO450" s="131"/>
      <c r="AP450" s="131"/>
      <c r="AQ450" s="131"/>
      <c r="AR450" s="131"/>
      <c r="AS450" s="131"/>
      <c r="AT450" s="131"/>
      <c r="AU450" s="131"/>
      <c r="AV450" s="131"/>
      <c r="AW450" s="131"/>
      <c r="AX450" s="131"/>
      <c r="AY450" s="131"/>
      <c r="AZ450" s="131"/>
      <c r="BA450" s="131"/>
      <c r="BB450" s="131"/>
      <c r="BC450" s="131"/>
      <c r="BD450" s="131"/>
      <c r="BE450" s="131"/>
      <c r="BF450" s="131"/>
      <c r="BG450" s="131"/>
      <c r="BH450" s="131"/>
      <c r="BI450" s="131"/>
      <c r="BJ450" s="131"/>
      <c r="BK450" s="131"/>
      <c r="BL450" s="131"/>
      <c r="BM450" s="131"/>
      <c r="BN450" s="131"/>
      <c r="BO450" s="131"/>
      <c r="BP450" s="131"/>
      <c r="BQ450" s="131"/>
      <c r="BR450" s="131"/>
      <c r="BS450" s="131"/>
      <c r="BT450" s="131"/>
      <c r="BU450" s="131"/>
      <c r="BV450" s="131"/>
      <c r="BW450" s="131"/>
      <c r="BX450" s="131"/>
      <c r="BY450" s="131"/>
      <c r="BZ450" s="131"/>
      <c r="CA450" s="131"/>
      <c r="CB450" s="131"/>
      <c r="CC450" s="131"/>
      <c r="CD450" s="131"/>
      <c r="CE450" s="131"/>
      <c r="CF450" s="131"/>
      <c r="CG450" s="131"/>
      <c r="CH450" s="131"/>
      <c r="CI450" s="131"/>
      <c r="CJ450" s="131"/>
      <c r="CK450" s="131"/>
      <c r="CL450" s="131"/>
      <c r="CM450" s="131"/>
      <c r="CN450" s="131"/>
      <c r="CO450" s="131"/>
      <c r="CP450" s="131"/>
      <c r="CQ450" s="131"/>
      <c r="CR450" s="131"/>
      <c r="CS450" s="131"/>
      <c r="CT450" s="131"/>
      <c r="CU450" s="131"/>
      <c r="CV450" s="131"/>
      <c r="CW450" s="131"/>
      <c r="CX450" s="131"/>
      <c r="CY450" s="131"/>
      <c r="CZ450" s="131"/>
      <c r="DA450" s="131"/>
      <c r="DB450" s="131"/>
      <c r="DC450" s="131"/>
      <c r="DD450" s="131"/>
      <c r="DE450" s="131"/>
      <c r="DF450" s="131"/>
      <c r="DG450" s="131"/>
      <c r="DH450" s="131"/>
      <c r="DI450" s="131"/>
      <c r="DJ450" s="131"/>
      <c r="DK450" s="131"/>
      <c r="DL450" s="131"/>
      <c r="DM450" s="131"/>
      <c r="DN450" s="131"/>
      <c r="DO450" s="131"/>
      <c r="DP450" s="131"/>
      <c r="DQ450" s="131"/>
      <c r="DR450" s="131"/>
      <c r="DS450" s="131"/>
      <c r="DT450" s="131"/>
      <c r="DU450" s="131"/>
      <c r="DV450" s="131"/>
      <c r="DW450" s="131"/>
      <c r="DX450" s="131"/>
      <c r="DY450" s="131"/>
      <c r="DZ450" s="131"/>
      <c r="EA450" s="131"/>
      <c r="EB450" s="131"/>
      <c r="EC450" s="131"/>
      <c r="ED450" s="131"/>
      <c r="EE450" s="131"/>
      <c r="EF450" s="131"/>
      <c r="EG450" s="131"/>
      <c r="EH450" s="131"/>
      <c r="EI450" s="131"/>
      <c r="EJ450" s="131"/>
      <c r="EK450" s="131"/>
      <c r="EL450" s="131"/>
      <c r="EM450" s="131"/>
      <c r="EN450" s="131"/>
      <c r="EO450" s="131"/>
      <c r="EP450" s="131"/>
      <c r="EQ450" s="131"/>
      <c r="ER450" s="131"/>
      <c r="ES450" s="131"/>
      <c r="ET450" s="131"/>
      <c r="EU450" s="131"/>
      <c r="EV450" s="131"/>
      <c r="EW450" s="131"/>
      <c r="EX450" s="131"/>
      <c r="EY450" s="131"/>
      <c r="EZ450" s="131"/>
      <c r="FA450" s="131"/>
      <c r="FB450" s="131"/>
      <c r="FC450" s="131"/>
      <c r="FD450" s="131"/>
      <c r="FE450" s="131"/>
      <c r="FF450" s="131"/>
      <c r="FG450" s="131"/>
      <c r="FH450" s="131"/>
      <c r="FI450" s="131"/>
      <c r="FJ450" s="131"/>
      <c r="FK450" s="131"/>
      <c r="FL450" s="131"/>
      <c r="FM450" s="131"/>
      <c r="FN450" s="131"/>
      <c r="FO450" s="131"/>
      <c r="FP450" s="131"/>
      <c r="FQ450" s="131"/>
      <c r="FR450" s="131"/>
      <c r="FS450" s="131"/>
      <c r="FT450" s="131"/>
      <c r="FU450" s="131"/>
      <c r="FV450" s="131"/>
      <c r="FW450" s="131"/>
      <c r="FX450" s="131"/>
      <c r="FY450" s="131"/>
      <c r="FZ450" s="131"/>
      <c r="GA450" s="131"/>
      <c r="GB450" s="131"/>
      <c r="GC450" s="131"/>
      <c r="GD450" s="131"/>
      <c r="GE450" s="131"/>
      <c r="GF450" s="131"/>
      <c r="GG450" s="131"/>
      <c r="GH450" s="131"/>
      <c r="GI450" s="131"/>
      <c r="GJ450" s="131"/>
      <c r="GK450" s="131"/>
      <c r="GL450" s="131"/>
      <c r="GM450" s="131"/>
      <c r="GN450" s="131"/>
      <c r="GO450" s="131"/>
      <c r="GP450" s="131"/>
      <c r="GQ450" s="131"/>
      <c r="GR450" s="131"/>
      <c r="GS450" s="131"/>
      <c r="GT450" s="131"/>
      <c r="GU450" s="131"/>
      <c r="GV450" s="131"/>
      <c r="GW450" s="131"/>
      <c r="GX450" s="131"/>
      <c r="GY450" s="131"/>
      <c r="GZ450" s="131"/>
      <c r="HA450" s="131"/>
      <c r="HB450" s="131"/>
      <c r="HC450" s="131"/>
      <c r="HD450" s="131"/>
      <c r="HE450" s="131"/>
      <c r="HF450" s="131"/>
      <c r="HG450" s="131"/>
      <c r="HH450" s="131"/>
      <c r="HI450" s="131"/>
      <c r="HJ450" s="131"/>
      <c r="HK450" s="131"/>
      <c r="HL450" s="131"/>
      <c r="HM450" s="131"/>
      <c r="HN450" s="131"/>
      <c r="HO450" s="131"/>
      <c r="HP450" s="131"/>
      <c r="HQ450" s="131"/>
      <c r="HR450" s="131"/>
      <c r="HS450" s="131"/>
      <c r="HT450" s="131"/>
      <c r="HU450" s="131"/>
      <c r="HV450" s="131"/>
      <c r="HW450" s="131"/>
      <c r="HX450" s="131"/>
      <c r="HY450" s="131"/>
      <c r="HZ450" s="131"/>
      <c r="IA450" s="131"/>
      <c r="IB450" s="131"/>
      <c r="IC450" s="131"/>
      <c r="ID450" s="131"/>
      <c r="IE450" s="131"/>
      <c r="IF450" s="131"/>
      <c r="IG450" s="131"/>
      <c r="IH450" s="131"/>
      <c r="II450" s="131"/>
      <c r="IJ450" s="131"/>
      <c r="IK450" s="131"/>
      <c r="IL450" s="131"/>
      <c r="IM450" s="131"/>
      <c r="IN450" s="131"/>
      <c r="IO450" s="131"/>
      <c r="IP450" s="131"/>
      <c r="IQ450" s="131"/>
      <c r="IR450" s="131"/>
      <c r="IS450" s="131"/>
      <c r="IT450" s="131"/>
      <c r="IU450" s="131"/>
      <c r="IV450" s="131"/>
    </row>
    <row r="451" spans="1:256" s="13" customFormat="1" ht="38.25" customHeight="1">
      <c r="A451" s="21" t="s">
        <v>1</v>
      </c>
      <c r="B451" s="246" t="s">
        <v>34</v>
      </c>
      <c r="C451" s="246" t="s">
        <v>25</v>
      </c>
      <c r="D451" s="246" t="s">
        <v>896</v>
      </c>
      <c r="E451" s="246" t="s">
        <v>138</v>
      </c>
      <c r="F451" s="21" t="s">
        <v>897</v>
      </c>
      <c r="G451" s="246" t="s">
        <v>103</v>
      </c>
      <c r="H451" s="246">
        <v>236220</v>
      </c>
      <c r="I451" s="21" t="s">
        <v>28</v>
      </c>
      <c r="J451" s="21" t="s">
        <v>109</v>
      </c>
      <c r="K451" s="21" t="s">
        <v>1974</v>
      </c>
      <c r="L451" s="21" t="s">
        <v>1974</v>
      </c>
      <c r="M451" s="22">
        <v>1000000</v>
      </c>
      <c r="N451" s="22">
        <v>5000000</v>
      </c>
      <c r="O451" s="21" t="s">
        <v>20</v>
      </c>
      <c r="P451" s="21" t="s">
        <v>278</v>
      </c>
      <c r="Q451" s="21" t="s">
        <v>279</v>
      </c>
      <c r="R451" s="21" t="s">
        <v>278</v>
      </c>
      <c r="S451" s="74">
        <v>2013</v>
      </c>
      <c r="T451" s="21" t="s">
        <v>898</v>
      </c>
      <c r="U451" s="21" t="s">
        <v>899</v>
      </c>
      <c r="V451" s="21" t="s">
        <v>2615</v>
      </c>
      <c r="W451" s="21" t="s">
        <v>66</v>
      </c>
      <c r="X451" s="246" t="s">
        <v>2614</v>
      </c>
      <c r="Y451" s="130"/>
      <c r="Z451" s="130"/>
      <c r="AA451" s="130"/>
      <c r="AB451" s="130"/>
      <c r="AC451" s="130"/>
      <c r="AD451" s="131"/>
      <c r="AE451" s="131"/>
      <c r="AF451" s="131"/>
      <c r="AG451" s="131"/>
      <c r="AH451" s="131"/>
      <c r="AI451" s="131"/>
      <c r="AJ451" s="131"/>
      <c r="AK451" s="131"/>
      <c r="AL451" s="131"/>
      <c r="AM451" s="131"/>
      <c r="AN451" s="131"/>
      <c r="AO451" s="131"/>
      <c r="AP451" s="131"/>
      <c r="AQ451" s="131"/>
      <c r="AR451" s="131"/>
      <c r="AS451" s="131"/>
      <c r="AT451" s="131"/>
      <c r="AU451" s="131"/>
      <c r="AV451" s="131"/>
      <c r="AW451" s="131"/>
      <c r="AX451" s="131"/>
      <c r="AY451" s="131"/>
      <c r="AZ451" s="131"/>
      <c r="BA451" s="131"/>
      <c r="BB451" s="131"/>
      <c r="BC451" s="131"/>
      <c r="BD451" s="131"/>
      <c r="BE451" s="131"/>
      <c r="BF451" s="131"/>
      <c r="BG451" s="131"/>
      <c r="BH451" s="131"/>
      <c r="BI451" s="131"/>
      <c r="BJ451" s="131"/>
      <c r="BK451" s="131"/>
      <c r="BL451" s="131"/>
      <c r="BM451" s="131"/>
      <c r="BN451" s="131"/>
      <c r="BO451" s="131"/>
      <c r="BP451" s="131"/>
      <c r="BQ451" s="131"/>
      <c r="BR451" s="131"/>
      <c r="BS451" s="131"/>
      <c r="BT451" s="131"/>
      <c r="BU451" s="131"/>
      <c r="BV451" s="131"/>
      <c r="BW451" s="131"/>
      <c r="BX451" s="131"/>
      <c r="BY451" s="131"/>
      <c r="BZ451" s="131"/>
      <c r="CA451" s="131"/>
      <c r="CB451" s="131"/>
      <c r="CC451" s="131"/>
      <c r="CD451" s="131"/>
      <c r="CE451" s="131"/>
      <c r="CF451" s="131"/>
      <c r="CG451" s="131"/>
      <c r="CH451" s="131"/>
      <c r="CI451" s="131"/>
      <c r="CJ451" s="131"/>
      <c r="CK451" s="131"/>
      <c r="CL451" s="131"/>
      <c r="CM451" s="131"/>
      <c r="CN451" s="131"/>
      <c r="CO451" s="131"/>
      <c r="CP451" s="131"/>
      <c r="CQ451" s="131"/>
      <c r="CR451" s="131"/>
      <c r="CS451" s="131"/>
      <c r="CT451" s="131"/>
      <c r="CU451" s="131"/>
      <c r="CV451" s="131"/>
      <c r="CW451" s="131"/>
      <c r="CX451" s="131"/>
      <c r="CY451" s="131"/>
      <c r="CZ451" s="131"/>
      <c r="DA451" s="131"/>
      <c r="DB451" s="131"/>
      <c r="DC451" s="131"/>
      <c r="DD451" s="131"/>
      <c r="DE451" s="131"/>
      <c r="DF451" s="131"/>
      <c r="DG451" s="131"/>
      <c r="DH451" s="131"/>
      <c r="DI451" s="131"/>
      <c r="DJ451" s="131"/>
      <c r="DK451" s="131"/>
      <c r="DL451" s="131"/>
      <c r="DM451" s="131"/>
      <c r="DN451" s="131"/>
      <c r="DO451" s="131"/>
      <c r="DP451" s="131"/>
      <c r="DQ451" s="131"/>
      <c r="DR451" s="131"/>
      <c r="DS451" s="131"/>
      <c r="DT451" s="131"/>
      <c r="DU451" s="131"/>
      <c r="DV451" s="131"/>
      <c r="DW451" s="131"/>
      <c r="DX451" s="131"/>
      <c r="DY451" s="131"/>
      <c r="DZ451" s="131"/>
      <c r="EA451" s="131"/>
      <c r="EB451" s="131"/>
      <c r="EC451" s="131"/>
      <c r="ED451" s="131"/>
      <c r="EE451" s="131"/>
      <c r="EF451" s="131"/>
      <c r="EG451" s="131"/>
      <c r="EH451" s="131"/>
      <c r="EI451" s="131"/>
      <c r="EJ451" s="131"/>
      <c r="EK451" s="131"/>
      <c r="EL451" s="131"/>
      <c r="EM451" s="131"/>
      <c r="EN451" s="131"/>
      <c r="EO451" s="131"/>
      <c r="EP451" s="131"/>
      <c r="EQ451" s="131"/>
      <c r="ER451" s="131"/>
      <c r="ES451" s="131"/>
      <c r="ET451" s="131"/>
      <c r="EU451" s="131"/>
      <c r="EV451" s="131"/>
      <c r="EW451" s="131"/>
      <c r="EX451" s="131"/>
      <c r="EY451" s="131"/>
      <c r="EZ451" s="131"/>
      <c r="FA451" s="131"/>
      <c r="FB451" s="131"/>
      <c r="FC451" s="131"/>
      <c r="FD451" s="131"/>
      <c r="FE451" s="131"/>
      <c r="FF451" s="131"/>
      <c r="FG451" s="131"/>
      <c r="FH451" s="131"/>
      <c r="FI451" s="131"/>
      <c r="FJ451" s="131"/>
      <c r="FK451" s="131"/>
      <c r="FL451" s="131"/>
      <c r="FM451" s="131"/>
      <c r="FN451" s="131"/>
      <c r="FO451" s="131"/>
      <c r="FP451" s="131"/>
      <c r="FQ451" s="131"/>
      <c r="FR451" s="131"/>
      <c r="FS451" s="131"/>
      <c r="FT451" s="131"/>
      <c r="FU451" s="131"/>
      <c r="FV451" s="131"/>
      <c r="FW451" s="131"/>
      <c r="FX451" s="131"/>
      <c r="FY451" s="131"/>
      <c r="FZ451" s="131"/>
      <c r="GA451" s="131"/>
      <c r="GB451" s="131"/>
      <c r="GC451" s="131"/>
      <c r="GD451" s="131"/>
      <c r="GE451" s="131"/>
      <c r="GF451" s="131"/>
      <c r="GG451" s="131"/>
      <c r="GH451" s="131"/>
      <c r="GI451" s="131"/>
      <c r="GJ451" s="131"/>
      <c r="GK451" s="131"/>
      <c r="GL451" s="131"/>
      <c r="GM451" s="131"/>
      <c r="GN451" s="131"/>
      <c r="GO451" s="131"/>
      <c r="GP451" s="131"/>
      <c r="GQ451" s="131"/>
      <c r="GR451" s="131"/>
      <c r="GS451" s="131"/>
      <c r="GT451" s="131"/>
      <c r="GU451" s="131"/>
      <c r="GV451" s="131"/>
      <c r="GW451" s="131"/>
      <c r="GX451" s="131"/>
      <c r="GY451" s="131"/>
      <c r="GZ451" s="131"/>
      <c r="HA451" s="131"/>
      <c r="HB451" s="131"/>
      <c r="HC451" s="131"/>
      <c r="HD451" s="131"/>
      <c r="HE451" s="131"/>
      <c r="HF451" s="131"/>
      <c r="HG451" s="131"/>
      <c r="HH451" s="131"/>
      <c r="HI451" s="131"/>
      <c r="HJ451" s="131"/>
      <c r="HK451" s="131"/>
      <c r="HL451" s="131"/>
      <c r="HM451" s="131"/>
      <c r="HN451" s="131"/>
      <c r="HO451" s="131"/>
      <c r="HP451" s="131"/>
      <c r="HQ451" s="131"/>
      <c r="HR451" s="131"/>
      <c r="HS451" s="131"/>
      <c r="HT451" s="131"/>
      <c r="HU451" s="131"/>
      <c r="HV451" s="131"/>
      <c r="HW451" s="131"/>
      <c r="HX451" s="131"/>
      <c r="HY451" s="131"/>
      <c r="HZ451" s="131"/>
      <c r="IA451" s="131"/>
      <c r="IB451" s="131"/>
      <c r="IC451" s="131"/>
      <c r="ID451" s="131"/>
      <c r="IE451" s="131"/>
      <c r="IF451" s="131"/>
      <c r="IG451" s="131"/>
      <c r="IH451" s="131"/>
      <c r="II451" s="131"/>
      <c r="IJ451" s="131"/>
      <c r="IK451" s="131"/>
      <c r="IL451" s="131"/>
      <c r="IM451" s="131"/>
      <c r="IN451" s="131"/>
      <c r="IO451" s="131"/>
      <c r="IP451" s="131"/>
      <c r="IQ451" s="131"/>
      <c r="IR451" s="131"/>
      <c r="IS451" s="131"/>
      <c r="IT451" s="131"/>
      <c r="IU451" s="131"/>
      <c r="IV451" s="131"/>
    </row>
    <row r="452" spans="1:256" s="13" customFormat="1" ht="38.25" customHeight="1">
      <c r="A452" s="21" t="s">
        <v>1</v>
      </c>
      <c r="B452" s="246" t="s">
        <v>34</v>
      </c>
      <c r="C452" s="246" t="s">
        <v>25</v>
      </c>
      <c r="D452" s="246" t="s">
        <v>900</v>
      </c>
      <c r="E452" s="246" t="s">
        <v>138</v>
      </c>
      <c r="F452" s="21" t="s">
        <v>897</v>
      </c>
      <c r="G452" s="246" t="s">
        <v>103</v>
      </c>
      <c r="H452" s="246">
        <v>236220</v>
      </c>
      <c r="I452" s="21" t="s">
        <v>28</v>
      </c>
      <c r="J452" s="21" t="s">
        <v>109</v>
      </c>
      <c r="K452" s="21" t="s">
        <v>1974</v>
      </c>
      <c r="L452" s="21" t="s">
        <v>1974</v>
      </c>
      <c r="M452" s="22">
        <v>25000</v>
      </c>
      <c r="N452" s="22">
        <v>100000</v>
      </c>
      <c r="O452" s="21" t="s">
        <v>20</v>
      </c>
      <c r="P452" s="21" t="s">
        <v>278</v>
      </c>
      <c r="Q452" s="21" t="s">
        <v>279</v>
      </c>
      <c r="R452" s="21" t="s">
        <v>278</v>
      </c>
      <c r="S452" s="74">
        <v>2013</v>
      </c>
      <c r="T452" s="21" t="s">
        <v>898</v>
      </c>
      <c r="U452" s="21" t="s">
        <v>899</v>
      </c>
      <c r="V452" s="21" t="s">
        <v>2615</v>
      </c>
      <c r="W452" s="21" t="s">
        <v>66</v>
      </c>
      <c r="X452" s="246"/>
      <c r="Y452" s="130"/>
      <c r="Z452" s="130"/>
      <c r="AA452" s="130"/>
      <c r="AB452" s="130"/>
      <c r="AC452" s="130"/>
      <c r="AD452" s="131"/>
      <c r="AE452" s="131"/>
      <c r="AF452" s="131"/>
      <c r="AG452" s="131"/>
      <c r="AH452" s="131"/>
      <c r="AI452" s="131"/>
      <c r="AJ452" s="131"/>
      <c r="AK452" s="131"/>
      <c r="AL452" s="131"/>
      <c r="AM452" s="131"/>
      <c r="AN452" s="131"/>
      <c r="AO452" s="131"/>
      <c r="AP452" s="131"/>
      <c r="AQ452" s="131"/>
      <c r="AR452" s="131"/>
      <c r="AS452" s="131"/>
      <c r="AT452" s="131"/>
      <c r="AU452" s="131"/>
      <c r="AV452" s="131"/>
      <c r="AW452" s="131"/>
      <c r="AX452" s="131"/>
      <c r="AY452" s="131"/>
      <c r="AZ452" s="131"/>
      <c r="BA452" s="131"/>
      <c r="BB452" s="131"/>
      <c r="BC452" s="131"/>
      <c r="BD452" s="131"/>
      <c r="BE452" s="131"/>
      <c r="BF452" s="131"/>
      <c r="BG452" s="131"/>
      <c r="BH452" s="131"/>
      <c r="BI452" s="131"/>
      <c r="BJ452" s="131"/>
      <c r="BK452" s="131"/>
      <c r="BL452" s="131"/>
      <c r="BM452" s="131"/>
      <c r="BN452" s="131"/>
      <c r="BO452" s="131"/>
      <c r="BP452" s="131"/>
      <c r="BQ452" s="131"/>
      <c r="BR452" s="131"/>
      <c r="BS452" s="131"/>
      <c r="BT452" s="131"/>
      <c r="BU452" s="131"/>
      <c r="BV452" s="131"/>
      <c r="BW452" s="131"/>
      <c r="BX452" s="131"/>
      <c r="BY452" s="131"/>
      <c r="BZ452" s="131"/>
      <c r="CA452" s="131"/>
      <c r="CB452" s="131"/>
      <c r="CC452" s="131"/>
      <c r="CD452" s="131"/>
      <c r="CE452" s="131"/>
      <c r="CF452" s="131"/>
      <c r="CG452" s="131"/>
      <c r="CH452" s="131"/>
      <c r="CI452" s="131"/>
      <c r="CJ452" s="131"/>
      <c r="CK452" s="131"/>
      <c r="CL452" s="131"/>
      <c r="CM452" s="131"/>
      <c r="CN452" s="131"/>
      <c r="CO452" s="131"/>
      <c r="CP452" s="131"/>
      <c r="CQ452" s="131"/>
      <c r="CR452" s="131"/>
      <c r="CS452" s="131"/>
      <c r="CT452" s="131"/>
      <c r="CU452" s="131"/>
      <c r="CV452" s="131"/>
      <c r="CW452" s="131"/>
      <c r="CX452" s="131"/>
      <c r="CY452" s="131"/>
      <c r="CZ452" s="131"/>
      <c r="DA452" s="131"/>
      <c r="DB452" s="131"/>
      <c r="DC452" s="131"/>
      <c r="DD452" s="131"/>
      <c r="DE452" s="131"/>
      <c r="DF452" s="131"/>
      <c r="DG452" s="131"/>
      <c r="DH452" s="131"/>
      <c r="DI452" s="131"/>
      <c r="DJ452" s="131"/>
      <c r="DK452" s="131"/>
      <c r="DL452" s="131"/>
      <c r="DM452" s="131"/>
      <c r="DN452" s="131"/>
      <c r="DO452" s="131"/>
      <c r="DP452" s="131"/>
      <c r="DQ452" s="131"/>
      <c r="DR452" s="131"/>
      <c r="DS452" s="131"/>
      <c r="DT452" s="131"/>
      <c r="DU452" s="131"/>
      <c r="DV452" s="131"/>
      <c r="DW452" s="131"/>
      <c r="DX452" s="131"/>
      <c r="DY452" s="131"/>
      <c r="DZ452" s="131"/>
      <c r="EA452" s="131"/>
      <c r="EB452" s="131"/>
      <c r="EC452" s="131"/>
      <c r="ED452" s="131"/>
      <c r="EE452" s="131"/>
      <c r="EF452" s="131"/>
      <c r="EG452" s="131"/>
      <c r="EH452" s="131"/>
      <c r="EI452" s="131"/>
      <c r="EJ452" s="131"/>
      <c r="EK452" s="131"/>
      <c r="EL452" s="131"/>
      <c r="EM452" s="131"/>
      <c r="EN452" s="131"/>
      <c r="EO452" s="131"/>
      <c r="EP452" s="131"/>
      <c r="EQ452" s="131"/>
      <c r="ER452" s="131"/>
      <c r="ES452" s="131"/>
      <c r="ET452" s="131"/>
      <c r="EU452" s="131"/>
      <c r="EV452" s="131"/>
      <c r="EW452" s="131"/>
      <c r="EX452" s="131"/>
      <c r="EY452" s="131"/>
      <c r="EZ452" s="131"/>
      <c r="FA452" s="131"/>
      <c r="FB452" s="131"/>
      <c r="FC452" s="131"/>
      <c r="FD452" s="131"/>
      <c r="FE452" s="131"/>
      <c r="FF452" s="131"/>
      <c r="FG452" s="131"/>
      <c r="FH452" s="131"/>
      <c r="FI452" s="131"/>
      <c r="FJ452" s="131"/>
      <c r="FK452" s="131"/>
      <c r="FL452" s="131"/>
      <c r="FM452" s="131"/>
      <c r="FN452" s="131"/>
      <c r="FO452" s="131"/>
      <c r="FP452" s="131"/>
      <c r="FQ452" s="131"/>
      <c r="FR452" s="131"/>
      <c r="FS452" s="131"/>
      <c r="FT452" s="131"/>
      <c r="FU452" s="131"/>
      <c r="FV452" s="131"/>
      <c r="FW452" s="131"/>
      <c r="FX452" s="131"/>
      <c r="FY452" s="131"/>
      <c r="FZ452" s="131"/>
      <c r="GA452" s="131"/>
      <c r="GB452" s="131"/>
      <c r="GC452" s="131"/>
      <c r="GD452" s="131"/>
      <c r="GE452" s="131"/>
      <c r="GF452" s="131"/>
      <c r="GG452" s="131"/>
      <c r="GH452" s="131"/>
      <c r="GI452" s="131"/>
      <c r="GJ452" s="131"/>
      <c r="GK452" s="131"/>
      <c r="GL452" s="131"/>
      <c r="GM452" s="131"/>
      <c r="GN452" s="131"/>
      <c r="GO452" s="131"/>
      <c r="GP452" s="131"/>
      <c r="GQ452" s="131"/>
      <c r="GR452" s="131"/>
      <c r="GS452" s="131"/>
      <c r="GT452" s="131"/>
      <c r="GU452" s="131"/>
      <c r="GV452" s="131"/>
      <c r="GW452" s="131"/>
      <c r="GX452" s="131"/>
      <c r="GY452" s="131"/>
      <c r="GZ452" s="131"/>
      <c r="HA452" s="131"/>
      <c r="HB452" s="131"/>
      <c r="HC452" s="131"/>
      <c r="HD452" s="131"/>
      <c r="HE452" s="131"/>
      <c r="HF452" s="131"/>
      <c r="HG452" s="131"/>
      <c r="HH452" s="131"/>
      <c r="HI452" s="131"/>
      <c r="HJ452" s="131"/>
      <c r="HK452" s="131"/>
      <c r="HL452" s="131"/>
      <c r="HM452" s="131"/>
      <c r="HN452" s="131"/>
      <c r="HO452" s="131"/>
      <c r="HP452" s="131"/>
      <c r="HQ452" s="131"/>
      <c r="HR452" s="131"/>
      <c r="HS452" s="131"/>
      <c r="HT452" s="131"/>
      <c r="HU452" s="131"/>
      <c r="HV452" s="131"/>
      <c r="HW452" s="131"/>
      <c r="HX452" s="131"/>
      <c r="HY452" s="131"/>
      <c r="HZ452" s="131"/>
      <c r="IA452" s="131"/>
      <c r="IB452" s="131"/>
      <c r="IC452" s="131"/>
      <c r="ID452" s="131"/>
      <c r="IE452" s="131"/>
      <c r="IF452" s="131"/>
      <c r="IG452" s="131"/>
      <c r="IH452" s="131"/>
      <c r="II452" s="131"/>
      <c r="IJ452" s="131"/>
      <c r="IK452" s="131"/>
      <c r="IL452" s="131"/>
      <c r="IM452" s="131"/>
      <c r="IN452" s="131"/>
      <c r="IO452" s="131"/>
      <c r="IP452" s="131"/>
      <c r="IQ452" s="131"/>
      <c r="IR452" s="131"/>
      <c r="IS452" s="131"/>
      <c r="IT452" s="131"/>
      <c r="IU452" s="131"/>
      <c r="IV452" s="131"/>
    </row>
    <row r="453" spans="1:256" s="13" customFormat="1" ht="38.25" customHeight="1">
      <c r="A453" s="21" t="s">
        <v>1</v>
      </c>
      <c r="B453" s="246" t="s">
        <v>34</v>
      </c>
      <c r="C453" s="246" t="s">
        <v>25</v>
      </c>
      <c r="D453" s="246" t="s">
        <v>901</v>
      </c>
      <c r="E453" s="246" t="s">
        <v>138</v>
      </c>
      <c r="F453" s="21" t="s">
        <v>897</v>
      </c>
      <c r="G453" s="246" t="s">
        <v>103</v>
      </c>
      <c r="H453" s="246">
        <v>236220</v>
      </c>
      <c r="I453" s="21" t="s">
        <v>28</v>
      </c>
      <c r="J453" s="21" t="s">
        <v>109</v>
      </c>
      <c r="K453" s="21" t="s">
        <v>1974</v>
      </c>
      <c r="L453" s="21" t="s">
        <v>1974</v>
      </c>
      <c r="M453" s="22">
        <v>25000</v>
      </c>
      <c r="N453" s="22">
        <v>100000</v>
      </c>
      <c r="O453" s="21" t="s">
        <v>20</v>
      </c>
      <c r="P453" s="21" t="s">
        <v>278</v>
      </c>
      <c r="Q453" s="21" t="s">
        <v>279</v>
      </c>
      <c r="R453" s="21" t="s">
        <v>278</v>
      </c>
      <c r="S453" s="74">
        <v>2013</v>
      </c>
      <c r="T453" s="21" t="s">
        <v>898</v>
      </c>
      <c r="U453" s="21" t="s">
        <v>899</v>
      </c>
      <c r="V453" s="21" t="s">
        <v>2615</v>
      </c>
      <c r="W453" s="21" t="s">
        <v>66</v>
      </c>
      <c r="X453" s="246" t="s">
        <v>2614</v>
      </c>
      <c r="Y453" s="130"/>
      <c r="Z453" s="130"/>
      <c r="AA453" s="130"/>
      <c r="AB453" s="130"/>
      <c r="AC453" s="130"/>
      <c r="AD453" s="131"/>
      <c r="AE453" s="131"/>
      <c r="AF453" s="131"/>
      <c r="AG453" s="131"/>
      <c r="AH453" s="131"/>
      <c r="AI453" s="131"/>
      <c r="AJ453" s="131"/>
      <c r="AK453" s="131"/>
      <c r="AL453" s="131"/>
      <c r="AM453" s="131"/>
      <c r="AN453" s="131"/>
      <c r="AO453" s="131"/>
      <c r="AP453" s="131"/>
      <c r="AQ453" s="131"/>
      <c r="AR453" s="131"/>
      <c r="AS453" s="131"/>
      <c r="AT453" s="131"/>
      <c r="AU453" s="131"/>
      <c r="AV453" s="131"/>
      <c r="AW453" s="131"/>
      <c r="AX453" s="131"/>
      <c r="AY453" s="131"/>
      <c r="AZ453" s="131"/>
      <c r="BA453" s="131"/>
      <c r="BB453" s="131"/>
      <c r="BC453" s="131"/>
      <c r="BD453" s="131"/>
      <c r="BE453" s="131"/>
      <c r="BF453" s="131"/>
      <c r="BG453" s="131"/>
      <c r="BH453" s="131"/>
      <c r="BI453" s="131"/>
      <c r="BJ453" s="131"/>
      <c r="BK453" s="131"/>
      <c r="BL453" s="131"/>
      <c r="BM453" s="131"/>
      <c r="BN453" s="131"/>
      <c r="BO453" s="131"/>
      <c r="BP453" s="131"/>
      <c r="BQ453" s="131"/>
      <c r="BR453" s="131"/>
      <c r="BS453" s="131"/>
      <c r="BT453" s="131"/>
      <c r="BU453" s="131"/>
      <c r="BV453" s="131"/>
      <c r="BW453" s="131"/>
      <c r="BX453" s="131"/>
      <c r="BY453" s="131"/>
      <c r="BZ453" s="131"/>
      <c r="CA453" s="131"/>
      <c r="CB453" s="131"/>
      <c r="CC453" s="131"/>
      <c r="CD453" s="131"/>
      <c r="CE453" s="131"/>
      <c r="CF453" s="131"/>
      <c r="CG453" s="131"/>
      <c r="CH453" s="131"/>
      <c r="CI453" s="131"/>
      <c r="CJ453" s="131"/>
      <c r="CK453" s="131"/>
      <c r="CL453" s="131"/>
      <c r="CM453" s="131"/>
      <c r="CN453" s="131"/>
      <c r="CO453" s="131"/>
      <c r="CP453" s="131"/>
      <c r="CQ453" s="131"/>
      <c r="CR453" s="131"/>
      <c r="CS453" s="131"/>
      <c r="CT453" s="131"/>
      <c r="CU453" s="131"/>
      <c r="CV453" s="131"/>
      <c r="CW453" s="131"/>
      <c r="CX453" s="131"/>
      <c r="CY453" s="131"/>
      <c r="CZ453" s="131"/>
      <c r="DA453" s="131"/>
      <c r="DB453" s="131"/>
      <c r="DC453" s="131"/>
      <c r="DD453" s="131"/>
      <c r="DE453" s="131"/>
      <c r="DF453" s="131"/>
      <c r="DG453" s="131"/>
      <c r="DH453" s="131"/>
      <c r="DI453" s="131"/>
      <c r="DJ453" s="131"/>
      <c r="DK453" s="131"/>
      <c r="DL453" s="131"/>
      <c r="DM453" s="131"/>
      <c r="DN453" s="131"/>
      <c r="DO453" s="131"/>
      <c r="DP453" s="131"/>
      <c r="DQ453" s="131"/>
      <c r="DR453" s="131"/>
      <c r="DS453" s="131"/>
      <c r="DT453" s="131"/>
      <c r="DU453" s="131"/>
      <c r="DV453" s="131"/>
      <c r="DW453" s="131"/>
      <c r="DX453" s="131"/>
      <c r="DY453" s="131"/>
      <c r="DZ453" s="131"/>
      <c r="EA453" s="131"/>
      <c r="EB453" s="131"/>
      <c r="EC453" s="131"/>
      <c r="ED453" s="131"/>
      <c r="EE453" s="131"/>
      <c r="EF453" s="131"/>
      <c r="EG453" s="131"/>
      <c r="EH453" s="131"/>
      <c r="EI453" s="131"/>
      <c r="EJ453" s="131"/>
      <c r="EK453" s="131"/>
      <c r="EL453" s="131"/>
      <c r="EM453" s="131"/>
      <c r="EN453" s="131"/>
      <c r="EO453" s="131"/>
      <c r="EP453" s="131"/>
      <c r="EQ453" s="131"/>
      <c r="ER453" s="131"/>
      <c r="ES453" s="131"/>
      <c r="ET453" s="131"/>
      <c r="EU453" s="131"/>
      <c r="EV453" s="131"/>
      <c r="EW453" s="131"/>
      <c r="EX453" s="131"/>
      <c r="EY453" s="131"/>
      <c r="EZ453" s="131"/>
      <c r="FA453" s="131"/>
      <c r="FB453" s="131"/>
      <c r="FC453" s="131"/>
      <c r="FD453" s="131"/>
      <c r="FE453" s="131"/>
      <c r="FF453" s="131"/>
      <c r="FG453" s="131"/>
      <c r="FH453" s="131"/>
      <c r="FI453" s="131"/>
      <c r="FJ453" s="131"/>
      <c r="FK453" s="131"/>
      <c r="FL453" s="131"/>
      <c r="FM453" s="131"/>
      <c r="FN453" s="131"/>
      <c r="FO453" s="131"/>
      <c r="FP453" s="131"/>
      <c r="FQ453" s="131"/>
      <c r="FR453" s="131"/>
      <c r="FS453" s="131"/>
      <c r="FT453" s="131"/>
      <c r="FU453" s="131"/>
      <c r="FV453" s="131"/>
      <c r="FW453" s="131"/>
      <c r="FX453" s="131"/>
      <c r="FY453" s="131"/>
      <c r="FZ453" s="131"/>
      <c r="GA453" s="131"/>
      <c r="GB453" s="131"/>
      <c r="GC453" s="131"/>
      <c r="GD453" s="131"/>
      <c r="GE453" s="131"/>
      <c r="GF453" s="131"/>
      <c r="GG453" s="131"/>
      <c r="GH453" s="131"/>
      <c r="GI453" s="131"/>
      <c r="GJ453" s="131"/>
      <c r="GK453" s="131"/>
      <c r="GL453" s="131"/>
      <c r="GM453" s="131"/>
      <c r="GN453" s="131"/>
      <c r="GO453" s="131"/>
      <c r="GP453" s="131"/>
      <c r="GQ453" s="131"/>
      <c r="GR453" s="131"/>
      <c r="GS453" s="131"/>
      <c r="GT453" s="131"/>
      <c r="GU453" s="131"/>
      <c r="GV453" s="131"/>
      <c r="GW453" s="131"/>
      <c r="GX453" s="131"/>
      <c r="GY453" s="131"/>
      <c r="GZ453" s="131"/>
      <c r="HA453" s="131"/>
      <c r="HB453" s="131"/>
      <c r="HC453" s="131"/>
      <c r="HD453" s="131"/>
      <c r="HE453" s="131"/>
      <c r="HF453" s="131"/>
      <c r="HG453" s="131"/>
      <c r="HH453" s="131"/>
      <c r="HI453" s="131"/>
      <c r="HJ453" s="131"/>
      <c r="HK453" s="131"/>
      <c r="HL453" s="131"/>
      <c r="HM453" s="131"/>
      <c r="HN453" s="131"/>
      <c r="HO453" s="131"/>
      <c r="HP453" s="131"/>
      <c r="HQ453" s="131"/>
      <c r="HR453" s="131"/>
      <c r="HS453" s="131"/>
      <c r="HT453" s="131"/>
      <c r="HU453" s="131"/>
      <c r="HV453" s="131"/>
      <c r="HW453" s="131"/>
      <c r="HX453" s="131"/>
      <c r="HY453" s="131"/>
      <c r="HZ453" s="131"/>
      <c r="IA453" s="131"/>
      <c r="IB453" s="131"/>
      <c r="IC453" s="131"/>
      <c r="ID453" s="131"/>
      <c r="IE453" s="131"/>
      <c r="IF453" s="131"/>
      <c r="IG453" s="131"/>
      <c r="IH453" s="131"/>
      <c r="II453" s="131"/>
      <c r="IJ453" s="131"/>
      <c r="IK453" s="131"/>
      <c r="IL453" s="131"/>
      <c r="IM453" s="131"/>
      <c r="IN453" s="131"/>
      <c r="IO453" s="131"/>
      <c r="IP453" s="131"/>
      <c r="IQ453" s="131"/>
      <c r="IR453" s="131"/>
      <c r="IS453" s="131"/>
      <c r="IT453" s="131"/>
      <c r="IU453" s="131"/>
      <c r="IV453" s="131"/>
    </row>
    <row r="454" spans="1:256" s="13" customFormat="1" ht="38.25" customHeight="1">
      <c r="A454" s="21" t="s">
        <v>1</v>
      </c>
      <c r="B454" s="246" t="s">
        <v>34</v>
      </c>
      <c r="C454" s="246" t="s">
        <v>25</v>
      </c>
      <c r="D454" s="246" t="s">
        <v>902</v>
      </c>
      <c r="E454" s="246" t="s">
        <v>138</v>
      </c>
      <c r="F454" s="21" t="s">
        <v>897</v>
      </c>
      <c r="G454" s="246" t="s">
        <v>103</v>
      </c>
      <c r="H454" s="246">
        <v>236220</v>
      </c>
      <c r="I454" s="21" t="s">
        <v>28</v>
      </c>
      <c r="J454" s="21" t="s">
        <v>109</v>
      </c>
      <c r="K454" s="21" t="s">
        <v>1974</v>
      </c>
      <c r="L454" s="21" t="s">
        <v>1974</v>
      </c>
      <c r="M454" s="22">
        <v>100000</v>
      </c>
      <c r="N454" s="22">
        <v>250000</v>
      </c>
      <c r="O454" s="21" t="s">
        <v>20</v>
      </c>
      <c r="P454" s="21" t="s">
        <v>278</v>
      </c>
      <c r="Q454" s="21" t="s">
        <v>279</v>
      </c>
      <c r="R454" s="21" t="s">
        <v>278</v>
      </c>
      <c r="S454" s="74">
        <v>2013</v>
      </c>
      <c r="T454" s="21" t="s">
        <v>898</v>
      </c>
      <c r="U454" s="21" t="s">
        <v>899</v>
      </c>
      <c r="V454" s="21" t="s">
        <v>2615</v>
      </c>
      <c r="W454" s="21" t="s">
        <v>66</v>
      </c>
      <c r="X454" s="246" t="s">
        <v>2614</v>
      </c>
      <c r="Y454" s="130"/>
      <c r="Z454" s="130"/>
      <c r="AA454" s="130"/>
      <c r="AB454" s="130"/>
      <c r="AC454" s="130"/>
      <c r="AD454" s="131"/>
      <c r="AE454" s="131"/>
      <c r="AF454" s="131"/>
      <c r="AG454" s="131"/>
      <c r="AH454" s="131"/>
      <c r="AI454" s="131"/>
      <c r="AJ454" s="131"/>
      <c r="AK454" s="131"/>
      <c r="AL454" s="131"/>
      <c r="AM454" s="131"/>
      <c r="AN454" s="131"/>
      <c r="AO454" s="131"/>
      <c r="AP454" s="131"/>
      <c r="AQ454" s="131"/>
      <c r="AR454" s="131"/>
      <c r="AS454" s="131"/>
      <c r="AT454" s="131"/>
      <c r="AU454" s="131"/>
      <c r="AV454" s="131"/>
      <c r="AW454" s="131"/>
      <c r="AX454" s="131"/>
      <c r="AY454" s="131"/>
      <c r="AZ454" s="131"/>
      <c r="BA454" s="131"/>
      <c r="BB454" s="131"/>
      <c r="BC454" s="131"/>
      <c r="BD454" s="131"/>
      <c r="BE454" s="131"/>
      <c r="BF454" s="131"/>
      <c r="BG454" s="131"/>
      <c r="BH454" s="131"/>
      <c r="BI454" s="131"/>
      <c r="BJ454" s="131"/>
      <c r="BK454" s="131"/>
      <c r="BL454" s="131"/>
      <c r="BM454" s="131"/>
      <c r="BN454" s="131"/>
      <c r="BO454" s="131"/>
      <c r="BP454" s="131"/>
      <c r="BQ454" s="131"/>
      <c r="BR454" s="131"/>
      <c r="BS454" s="131"/>
      <c r="BT454" s="131"/>
      <c r="BU454" s="131"/>
      <c r="BV454" s="131"/>
      <c r="BW454" s="131"/>
      <c r="BX454" s="131"/>
      <c r="BY454" s="131"/>
      <c r="BZ454" s="131"/>
      <c r="CA454" s="131"/>
      <c r="CB454" s="131"/>
      <c r="CC454" s="131"/>
      <c r="CD454" s="131"/>
      <c r="CE454" s="131"/>
      <c r="CF454" s="131"/>
      <c r="CG454" s="131"/>
      <c r="CH454" s="131"/>
      <c r="CI454" s="131"/>
      <c r="CJ454" s="131"/>
      <c r="CK454" s="131"/>
      <c r="CL454" s="131"/>
      <c r="CM454" s="131"/>
      <c r="CN454" s="131"/>
      <c r="CO454" s="131"/>
      <c r="CP454" s="131"/>
      <c r="CQ454" s="131"/>
      <c r="CR454" s="131"/>
      <c r="CS454" s="131"/>
      <c r="CT454" s="131"/>
      <c r="CU454" s="131"/>
      <c r="CV454" s="131"/>
      <c r="CW454" s="131"/>
      <c r="CX454" s="131"/>
      <c r="CY454" s="131"/>
      <c r="CZ454" s="131"/>
      <c r="DA454" s="131"/>
      <c r="DB454" s="131"/>
      <c r="DC454" s="131"/>
      <c r="DD454" s="131"/>
      <c r="DE454" s="131"/>
      <c r="DF454" s="131"/>
      <c r="DG454" s="131"/>
      <c r="DH454" s="131"/>
      <c r="DI454" s="131"/>
      <c r="DJ454" s="131"/>
      <c r="DK454" s="131"/>
      <c r="DL454" s="131"/>
      <c r="DM454" s="131"/>
      <c r="DN454" s="131"/>
      <c r="DO454" s="131"/>
      <c r="DP454" s="131"/>
      <c r="DQ454" s="131"/>
      <c r="DR454" s="131"/>
      <c r="DS454" s="131"/>
      <c r="DT454" s="131"/>
      <c r="DU454" s="131"/>
      <c r="DV454" s="131"/>
      <c r="DW454" s="131"/>
      <c r="DX454" s="131"/>
      <c r="DY454" s="131"/>
      <c r="DZ454" s="131"/>
      <c r="EA454" s="131"/>
      <c r="EB454" s="131"/>
      <c r="EC454" s="131"/>
      <c r="ED454" s="131"/>
      <c r="EE454" s="131"/>
      <c r="EF454" s="131"/>
      <c r="EG454" s="131"/>
      <c r="EH454" s="131"/>
      <c r="EI454" s="131"/>
      <c r="EJ454" s="131"/>
      <c r="EK454" s="131"/>
      <c r="EL454" s="131"/>
      <c r="EM454" s="131"/>
      <c r="EN454" s="131"/>
      <c r="EO454" s="131"/>
      <c r="EP454" s="131"/>
      <c r="EQ454" s="131"/>
      <c r="ER454" s="131"/>
      <c r="ES454" s="131"/>
      <c r="ET454" s="131"/>
      <c r="EU454" s="131"/>
      <c r="EV454" s="131"/>
      <c r="EW454" s="131"/>
      <c r="EX454" s="131"/>
      <c r="EY454" s="131"/>
      <c r="EZ454" s="131"/>
      <c r="FA454" s="131"/>
      <c r="FB454" s="131"/>
      <c r="FC454" s="131"/>
      <c r="FD454" s="131"/>
      <c r="FE454" s="131"/>
      <c r="FF454" s="131"/>
      <c r="FG454" s="131"/>
      <c r="FH454" s="131"/>
      <c r="FI454" s="131"/>
      <c r="FJ454" s="131"/>
      <c r="FK454" s="131"/>
      <c r="FL454" s="131"/>
      <c r="FM454" s="131"/>
      <c r="FN454" s="131"/>
      <c r="FO454" s="131"/>
      <c r="FP454" s="131"/>
      <c r="FQ454" s="131"/>
      <c r="FR454" s="131"/>
      <c r="FS454" s="131"/>
      <c r="FT454" s="131"/>
      <c r="FU454" s="131"/>
      <c r="FV454" s="131"/>
      <c r="FW454" s="131"/>
      <c r="FX454" s="131"/>
      <c r="FY454" s="131"/>
      <c r="FZ454" s="131"/>
      <c r="GA454" s="131"/>
      <c r="GB454" s="131"/>
      <c r="GC454" s="131"/>
      <c r="GD454" s="131"/>
      <c r="GE454" s="131"/>
      <c r="GF454" s="131"/>
      <c r="GG454" s="131"/>
      <c r="GH454" s="131"/>
      <c r="GI454" s="131"/>
      <c r="GJ454" s="131"/>
      <c r="GK454" s="131"/>
      <c r="GL454" s="131"/>
      <c r="GM454" s="131"/>
      <c r="GN454" s="131"/>
      <c r="GO454" s="131"/>
      <c r="GP454" s="131"/>
      <c r="GQ454" s="131"/>
      <c r="GR454" s="131"/>
      <c r="GS454" s="131"/>
      <c r="GT454" s="131"/>
      <c r="GU454" s="131"/>
      <c r="GV454" s="131"/>
      <c r="GW454" s="131"/>
      <c r="GX454" s="131"/>
      <c r="GY454" s="131"/>
      <c r="GZ454" s="131"/>
      <c r="HA454" s="131"/>
      <c r="HB454" s="131"/>
      <c r="HC454" s="131"/>
      <c r="HD454" s="131"/>
      <c r="HE454" s="131"/>
      <c r="HF454" s="131"/>
      <c r="HG454" s="131"/>
      <c r="HH454" s="131"/>
      <c r="HI454" s="131"/>
      <c r="HJ454" s="131"/>
      <c r="HK454" s="131"/>
      <c r="HL454" s="131"/>
      <c r="HM454" s="131"/>
      <c r="HN454" s="131"/>
      <c r="HO454" s="131"/>
      <c r="HP454" s="131"/>
      <c r="HQ454" s="131"/>
      <c r="HR454" s="131"/>
      <c r="HS454" s="131"/>
      <c r="HT454" s="131"/>
      <c r="HU454" s="131"/>
      <c r="HV454" s="131"/>
      <c r="HW454" s="131"/>
      <c r="HX454" s="131"/>
      <c r="HY454" s="131"/>
      <c r="HZ454" s="131"/>
      <c r="IA454" s="131"/>
      <c r="IB454" s="131"/>
      <c r="IC454" s="131"/>
      <c r="ID454" s="131"/>
      <c r="IE454" s="131"/>
      <c r="IF454" s="131"/>
      <c r="IG454" s="131"/>
      <c r="IH454" s="131"/>
      <c r="II454" s="131"/>
      <c r="IJ454" s="131"/>
      <c r="IK454" s="131"/>
      <c r="IL454" s="131"/>
      <c r="IM454" s="131"/>
      <c r="IN454" s="131"/>
      <c r="IO454" s="131"/>
      <c r="IP454" s="131"/>
      <c r="IQ454" s="131"/>
      <c r="IR454" s="131"/>
      <c r="IS454" s="131"/>
      <c r="IT454" s="131"/>
      <c r="IU454" s="131"/>
      <c r="IV454" s="131"/>
    </row>
    <row r="455" spans="1:256" s="13" customFormat="1" ht="38.25" customHeight="1">
      <c r="A455" s="21" t="s">
        <v>1</v>
      </c>
      <c r="B455" s="246" t="s">
        <v>34</v>
      </c>
      <c r="C455" s="246" t="s">
        <v>25</v>
      </c>
      <c r="D455" s="246" t="s">
        <v>903</v>
      </c>
      <c r="E455" s="246" t="s">
        <v>138</v>
      </c>
      <c r="F455" s="21" t="s">
        <v>897</v>
      </c>
      <c r="G455" s="246" t="s">
        <v>103</v>
      </c>
      <c r="H455" s="246">
        <v>236220</v>
      </c>
      <c r="I455" s="21" t="s">
        <v>28</v>
      </c>
      <c r="J455" s="21" t="s">
        <v>109</v>
      </c>
      <c r="K455" s="21" t="s">
        <v>1974</v>
      </c>
      <c r="L455" s="21" t="s">
        <v>1974</v>
      </c>
      <c r="M455" s="22">
        <v>25000</v>
      </c>
      <c r="N455" s="22">
        <v>100000</v>
      </c>
      <c r="O455" s="21" t="s">
        <v>20</v>
      </c>
      <c r="P455" s="21" t="s">
        <v>278</v>
      </c>
      <c r="Q455" s="21" t="s">
        <v>279</v>
      </c>
      <c r="R455" s="21" t="s">
        <v>278</v>
      </c>
      <c r="S455" s="74">
        <v>2013</v>
      </c>
      <c r="T455" s="21" t="s">
        <v>898</v>
      </c>
      <c r="U455" s="21" t="s">
        <v>899</v>
      </c>
      <c r="V455" s="21" t="s">
        <v>2615</v>
      </c>
      <c r="W455" s="21" t="s">
        <v>66</v>
      </c>
      <c r="X455" s="246" t="s">
        <v>2614</v>
      </c>
      <c r="Y455" s="130"/>
      <c r="Z455" s="130"/>
      <c r="AA455" s="130"/>
      <c r="AB455" s="130"/>
      <c r="AC455" s="130"/>
      <c r="AD455" s="131"/>
      <c r="AE455" s="131"/>
      <c r="AF455" s="131"/>
      <c r="AG455" s="131"/>
      <c r="AH455" s="131"/>
      <c r="AI455" s="131"/>
      <c r="AJ455" s="131"/>
      <c r="AK455" s="131"/>
      <c r="AL455" s="131"/>
      <c r="AM455" s="131"/>
      <c r="AN455" s="131"/>
      <c r="AO455" s="131"/>
      <c r="AP455" s="131"/>
      <c r="AQ455" s="131"/>
      <c r="AR455" s="131"/>
      <c r="AS455" s="131"/>
      <c r="AT455" s="131"/>
      <c r="AU455" s="131"/>
      <c r="AV455" s="131"/>
      <c r="AW455" s="131"/>
      <c r="AX455" s="131"/>
      <c r="AY455" s="131"/>
      <c r="AZ455" s="131"/>
      <c r="BA455" s="131"/>
      <c r="BB455" s="131"/>
      <c r="BC455" s="131"/>
      <c r="BD455" s="131"/>
      <c r="BE455" s="131"/>
      <c r="BF455" s="131"/>
      <c r="BG455" s="131"/>
      <c r="BH455" s="131"/>
      <c r="BI455" s="131"/>
      <c r="BJ455" s="131"/>
      <c r="BK455" s="131"/>
      <c r="BL455" s="131"/>
      <c r="BM455" s="131"/>
      <c r="BN455" s="131"/>
      <c r="BO455" s="131"/>
      <c r="BP455" s="131"/>
      <c r="BQ455" s="131"/>
      <c r="BR455" s="131"/>
      <c r="BS455" s="131"/>
      <c r="BT455" s="131"/>
      <c r="BU455" s="131"/>
      <c r="BV455" s="131"/>
      <c r="BW455" s="131"/>
      <c r="BX455" s="131"/>
      <c r="BY455" s="131"/>
      <c r="BZ455" s="131"/>
      <c r="CA455" s="131"/>
      <c r="CB455" s="131"/>
      <c r="CC455" s="131"/>
      <c r="CD455" s="131"/>
      <c r="CE455" s="131"/>
      <c r="CF455" s="131"/>
      <c r="CG455" s="131"/>
      <c r="CH455" s="131"/>
      <c r="CI455" s="131"/>
      <c r="CJ455" s="131"/>
      <c r="CK455" s="131"/>
      <c r="CL455" s="131"/>
      <c r="CM455" s="131"/>
      <c r="CN455" s="131"/>
      <c r="CO455" s="131"/>
      <c r="CP455" s="131"/>
      <c r="CQ455" s="131"/>
      <c r="CR455" s="131"/>
      <c r="CS455" s="131"/>
      <c r="CT455" s="131"/>
      <c r="CU455" s="131"/>
      <c r="CV455" s="131"/>
      <c r="CW455" s="131"/>
      <c r="CX455" s="131"/>
      <c r="CY455" s="131"/>
      <c r="CZ455" s="131"/>
      <c r="DA455" s="131"/>
      <c r="DB455" s="131"/>
      <c r="DC455" s="131"/>
      <c r="DD455" s="131"/>
      <c r="DE455" s="131"/>
      <c r="DF455" s="131"/>
      <c r="DG455" s="131"/>
      <c r="DH455" s="131"/>
      <c r="DI455" s="131"/>
      <c r="DJ455" s="131"/>
      <c r="DK455" s="131"/>
      <c r="DL455" s="131"/>
      <c r="DM455" s="131"/>
      <c r="DN455" s="131"/>
      <c r="DO455" s="131"/>
      <c r="DP455" s="131"/>
      <c r="DQ455" s="131"/>
      <c r="DR455" s="131"/>
      <c r="DS455" s="131"/>
      <c r="DT455" s="131"/>
      <c r="DU455" s="131"/>
      <c r="DV455" s="131"/>
      <c r="DW455" s="131"/>
      <c r="DX455" s="131"/>
      <c r="DY455" s="131"/>
      <c r="DZ455" s="131"/>
      <c r="EA455" s="131"/>
      <c r="EB455" s="131"/>
      <c r="EC455" s="131"/>
      <c r="ED455" s="131"/>
      <c r="EE455" s="131"/>
      <c r="EF455" s="131"/>
      <c r="EG455" s="131"/>
      <c r="EH455" s="131"/>
      <c r="EI455" s="131"/>
      <c r="EJ455" s="131"/>
      <c r="EK455" s="131"/>
      <c r="EL455" s="131"/>
      <c r="EM455" s="131"/>
      <c r="EN455" s="131"/>
      <c r="EO455" s="131"/>
      <c r="EP455" s="131"/>
      <c r="EQ455" s="131"/>
      <c r="ER455" s="131"/>
      <c r="ES455" s="131"/>
      <c r="ET455" s="131"/>
      <c r="EU455" s="131"/>
      <c r="EV455" s="131"/>
      <c r="EW455" s="131"/>
      <c r="EX455" s="131"/>
      <c r="EY455" s="131"/>
      <c r="EZ455" s="131"/>
      <c r="FA455" s="131"/>
      <c r="FB455" s="131"/>
      <c r="FC455" s="131"/>
      <c r="FD455" s="131"/>
      <c r="FE455" s="131"/>
      <c r="FF455" s="131"/>
      <c r="FG455" s="131"/>
      <c r="FH455" s="131"/>
      <c r="FI455" s="131"/>
      <c r="FJ455" s="131"/>
      <c r="FK455" s="131"/>
      <c r="FL455" s="131"/>
      <c r="FM455" s="131"/>
      <c r="FN455" s="131"/>
      <c r="FO455" s="131"/>
      <c r="FP455" s="131"/>
      <c r="FQ455" s="131"/>
      <c r="FR455" s="131"/>
      <c r="FS455" s="131"/>
      <c r="FT455" s="131"/>
      <c r="FU455" s="131"/>
      <c r="FV455" s="131"/>
      <c r="FW455" s="131"/>
      <c r="FX455" s="131"/>
      <c r="FY455" s="131"/>
      <c r="FZ455" s="131"/>
      <c r="GA455" s="131"/>
      <c r="GB455" s="131"/>
      <c r="GC455" s="131"/>
      <c r="GD455" s="131"/>
      <c r="GE455" s="131"/>
      <c r="GF455" s="131"/>
      <c r="GG455" s="131"/>
      <c r="GH455" s="131"/>
      <c r="GI455" s="131"/>
      <c r="GJ455" s="131"/>
      <c r="GK455" s="131"/>
      <c r="GL455" s="131"/>
      <c r="GM455" s="131"/>
      <c r="GN455" s="131"/>
      <c r="GO455" s="131"/>
      <c r="GP455" s="131"/>
      <c r="GQ455" s="131"/>
      <c r="GR455" s="131"/>
      <c r="GS455" s="131"/>
      <c r="GT455" s="131"/>
      <c r="GU455" s="131"/>
      <c r="GV455" s="131"/>
      <c r="GW455" s="131"/>
      <c r="GX455" s="131"/>
      <c r="GY455" s="131"/>
      <c r="GZ455" s="131"/>
      <c r="HA455" s="131"/>
      <c r="HB455" s="131"/>
      <c r="HC455" s="131"/>
      <c r="HD455" s="131"/>
      <c r="HE455" s="131"/>
      <c r="HF455" s="131"/>
      <c r="HG455" s="131"/>
      <c r="HH455" s="131"/>
      <c r="HI455" s="131"/>
      <c r="HJ455" s="131"/>
      <c r="HK455" s="131"/>
      <c r="HL455" s="131"/>
      <c r="HM455" s="131"/>
      <c r="HN455" s="131"/>
      <c r="HO455" s="131"/>
      <c r="HP455" s="131"/>
      <c r="HQ455" s="131"/>
      <c r="HR455" s="131"/>
      <c r="HS455" s="131"/>
      <c r="HT455" s="131"/>
      <c r="HU455" s="131"/>
      <c r="HV455" s="131"/>
      <c r="HW455" s="131"/>
      <c r="HX455" s="131"/>
      <c r="HY455" s="131"/>
      <c r="HZ455" s="131"/>
      <c r="IA455" s="131"/>
      <c r="IB455" s="131"/>
      <c r="IC455" s="131"/>
      <c r="ID455" s="131"/>
      <c r="IE455" s="131"/>
      <c r="IF455" s="131"/>
      <c r="IG455" s="131"/>
      <c r="IH455" s="131"/>
      <c r="II455" s="131"/>
      <c r="IJ455" s="131"/>
      <c r="IK455" s="131"/>
      <c r="IL455" s="131"/>
      <c r="IM455" s="131"/>
      <c r="IN455" s="131"/>
      <c r="IO455" s="131"/>
      <c r="IP455" s="131"/>
      <c r="IQ455" s="131"/>
      <c r="IR455" s="131"/>
      <c r="IS455" s="131"/>
      <c r="IT455" s="131"/>
      <c r="IU455" s="131"/>
      <c r="IV455" s="131"/>
    </row>
    <row r="456" spans="1:256" s="13" customFormat="1" ht="38.25" customHeight="1">
      <c r="A456" s="21" t="s">
        <v>1</v>
      </c>
      <c r="B456" s="246" t="s">
        <v>34</v>
      </c>
      <c r="C456" s="246" t="s">
        <v>25</v>
      </c>
      <c r="D456" s="246" t="s">
        <v>904</v>
      </c>
      <c r="E456" s="246" t="s">
        <v>138</v>
      </c>
      <c r="F456" s="21" t="s">
        <v>897</v>
      </c>
      <c r="G456" s="246" t="s">
        <v>103</v>
      </c>
      <c r="H456" s="246">
        <v>236220</v>
      </c>
      <c r="I456" s="21" t="s">
        <v>28</v>
      </c>
      <c r="J456" s="21" t="s">
        <v>109</v>
      </c>
      <c r="K456" s="21" t="s">
        <v>1974</v>
      </c>
      <c r="L456" s="21" t="s">
        <v>1974</v>
      </c>
      <c r="M456" s="22">
        <v>25000</v>
      </c>
      <c r="N456" s="22">
        <v>100000</v>
      </c>
      <c r="O456" s="21" t="s">
        <v>20</v>
      </c>
      <c r="P456" s="21" t="s">
        <v>278</v>
      </c>
      <c r="Q456" s="21" t="s">
        <v>279</v>
      </c>
      <c r="R456" s="21" t="s">
        <v>278</v>
      </c>
      <c r="S456" s="74">
        <v>2013</v>
      </c>
      <c r="T456" s="21" t="s">
        <v>898</v>
      </c>
      <c r="U456" s="21" t="s">
        <v>899</v>
      </c>
      <c r="V456" s="21" t="s">
        <v>2615</v>
      </c>
      <c r="W456" s="21" t="s">
        <v>66</v>
      </c>
      <c r="X456" s="246" t="s">
        <v>2614</v>
      </c>
      <c r="Y456" s="130"/>
      <c r="Z456" s="130"/>
      <c r="AA456" s="130"/>
      <c r="AB456" s="130"/>
      <c r="AC456" s="130"/>
      <c r="AD456" s="131"/>
      <c r="AE456" s="131"/>
      <c r="AF456" s="131"/>
      <c r="AG456" s="131"/>
      <c r="AH456" s="131"/>
      <c r="AI456" s="131"/>
      <c r="AJ456" s="131"/>
      <c r="AK456" s="131"/>
      <c r="AL456" s="131"/>
      <c r="AM456" s="131"/>
      <c r="AN456" s="131"/>
      <c r="AO456" s="131"/>
      <c r="AP456" s="131"/>
      <c r="AQ456" s="131"/>
      <c r="AR456" s="131"/>
      <c r="AS456" s="131"/>
      <c r="AT456" s="131"/>
      <c r="AU456" s="131"/>
      <c r="AV456" s="131"/>
      <c r="AW456" s="131"/>
      <c r="AX456" s="131"/>
      <c r="AY456" s="131"/>
      <c r="AZ456" s="131"/>
      <c r="BA456" s="131"/>
      <c r="BB456" s="131"/>
      <c r="BC456" s="131"/>
      <c r="BD456" s="131"/>
      <c r="BE456" s="131"/>
      <c r="BF456" s="131"/>
      <c r="BG456" s="131"/>
      <c r="BH456" s="131"/>
      <c r="BI456" s="131"/>
      <c r="BJ456" s="131"/>
      <c r="BK456" s="131"/>
      <c r="BL456" s="131"/>
      <c r="BM456" s="131"/>
      <c r="BN456" s="131"/>
      <c r="BO456" s="131"/>
      <c r="BP456" s="131"/>
      <c r="BQ456" s="131"/>
      <c r="BR456" s="131"/>
      <c r="BS456" s="131"/>
      <c r="BT456" s="131"/>
      <c r="BU456" s="131"/>
      <c r="BV456" s="131"/>
      <c r="BW456" s="131"/>
      <c r="BX456" s="131"/>
      <c r="BY456" s="131"/>
      <c r="BZ456" s="131"/>
      <c r="CA456" s="131"/>
      <c r="CB456" s="131"/>
      <c r="CC456" s="131"/>
      <c r="CD456" s="131"/>
      <c r="CE456" s="131"/>
      <c r="CF456" s="131"/>
      <c r="CG456" s="131"/>
      <c r="CH456" s="131"/>
      <c r="CI456" s="131"/>
      <c r="CJ456" s="131"/>
      <c r="CK456" s="131"/>
      <c r="CL456" s="131"/>
      <c r="CM456" s="131"/>
      <c r="CN456" s="131"/>
      <c r="CO456" s="131"/>
      <c r="CP456" s="131"/>
      <c r="CQ456" s="131"/>
      <c r="CR456" s="131"/>
      <c r="CS456" s="131"/>
      <c r="CT456" s="131"/>
      <c r="CU456" s="131"/>
      <c r="CV456" s="131"/>
      <c r="CW456" s="131"/>
      <c r="CX456" s="131"/>
      <c r="CY456" s="131"/>
      <c r="CZ456" s="131"/>
      <c r="DA456" s="131"/>
      <c r="DB456" s="131"/>
      <c r="DC456" s="131"/>
      <c r="DD456" s="131"/>
      <c r="DE456" s="131"/>
      <c r="DF456" s="131"/>
      <c r="DG456" s="131"/>
      <c r="DH456" s="131"/>
      <c r="DI456" s="131"/>
      <c r="DJ456" s="131"/>
      <c r="DK456" s="131"/>
      <c r="DL456" s="131"/>
      <c r="DM456" s="131"/>
      <c r="DN456" s="131"/>
      <c r="DO456" s="131"/>
      <c r="DP456" s="131"/>
      <c r="DQ456" s="131"/>
      <c r="DR456" s="131"/>
      <c r="DS456" s="131"/>
      <c r="DT456" s="131"/>
      <c r="DU456" s="131"/>
      <c r="DV456" s="131"/>
      <c r="DW456" s="131"/>
      <c r="DX456" s="131"/>
      <c r="DY456" s="131"/>
      <c r="DZ456" s="131"/>
      <c r="EA456" s="131"/>
      <c r="EB456" s="131"/>
      <c r="EC456" s="131"/>
      <c r="ED456" s="131"/>
      <c r="EE456" s="131"/>
      <c r="EF456" s="131"/>
      <c r="EG456" s="131"/>
      <c r="EH456" s="131"/>
      <c r="EI456" s="131"/>
      <c r="EJ456" s="131"/>
      <c r="EK456" s="131"/>
      <c r="EL456" s="131"/>
      <c r="EM456" s="131"/>
      <c r="EN456" s="131"/>
      <c r="EO456" s="131"/>
      <c r="EP456" s="131"/>
      <c r="EQ456" s="131"/>
      <c r="ER456" s="131"/>
      <c r="ES456" s="131"/>
      <c r="ET456" s="131"/>
      <c r="EU456" s="131"/>
      <c r="EV456" s="131"/>
      <c r="EW456" s="131"/>
      <c r="EX456" s="131"/>
      <c r="EY456" s="131"/>
      <c r="EZ456" s="131"/>
      <c r="FA456" s="131"/>
      <c r="FB456" s="131"/>
      <c r="FC456" s="131"/>
      <c r="FD456" s="131"/>
      <c r="FE456" s="131"/>
      <c r="FF456" s="131"/>
      <c r="FG456" s="131"/>
      <c r="FH456" s="131"/>
      <c r="FI456" s="131"/>
      <c r="FJ456" s="131"/>
      <c r="FK456" s="131"/>
      <c r="FL456" s="131"/>
      <c r="FM456" s="131"/>
      <c r="FN456" s="131"/>
      <c r="FO456" s="131"/>
      <c r="FP456" s="131"/>
      <c r="FQ456" s="131"/>
      <c r="FR456" s="131"/>
      <c r="FS456" s="131"/>
      <c r="FT456" s="131"/>
      <c r="FU456" s="131"/>
      <c r="FV456" s="131"/>
      <c r="FW456" s="131"/>
      <c r="FX456" s="131"/>
      <c r="FY456" s="131"/>
      <c r="FZ456" s="131"/>
      <c r="GA456" s="131"/>
      <c r="GB456" s="131"/>
      <c r="GC456" s="131"/>
      <c r="GD456" s="131"/>
      <c r="GE456" s="131"/>
      <c r="GF456" s="131"/>
      <c r="GG456" s="131"/>
      <c r="GH456" s="131"/>
      <c r="GI456" s="131"/>
      <c r="GJ456" s="131"/>
      <c r="GK456" s="131"/>
      <c r="GL456" s="131"/>
      <c r="GM456" s="131"/>
      <c r="GN456" s="131"/>
      <c r="GO456" s="131"/>
      <c r="GP456" s="131"/>
      <c r="GQ456" s="131"/>
      <c r="GR456" s="131"/>
      <c r="GS456" s="131"/>
      <c r="GT456" s="131"/>
      <c r="GU456" s="131"/>
      <c r="GV456" s="131"/>
      <c r="GW456" s="131"/>
      <c r="GX456" s="131"/>
      <c r="GY456" s="131"/>
      <c r="GZ456" s="131"/>
      <c r="HA456" s="131"/>
      <c r="HB456" s="131"/>
      <c r="HC456" s="131"/>
      <c r="HD456" s="131"/>
      <c r="HE456" s="131"/>
      <c r="HF456" s="131"/>
      <c r="HG456" s="131"/>
      <c r="HH456" s="131"/>
      <c r="HI456" s="131"/>
      <c r="HJ456" s="131"/>
      <c r="HK456" s="131"/>
      <c r="HL456" s="131"/>
      <c r="HM456" s="131"/>
      <c r="HN456" s="131"/>
      <c r="HO456" s="131"/>
      <c r="HP456" s="131"/>
      <c r="HQ456" s="131"/>
      <c r="HR456" s="131"/>
      <c r="HS456" s="131"/>
      <c r="HT456" s="131"/>
      <c r="HU456" s="131"/>
      <c r="HV456" s="131"/>
      <c r="HW456" s="131"/>
      <c r="HX456" s="131"/>
      <c r="HY456" s="131"/>
      <c r="HZ456" s="131"/>
      <c r="IA456" s="131"/>
      <c r="IB456" s="131"/>
      <c r="IC456" s="131"/>
      <c r="ID456" s="131"/>
      <c r="IE456" s="131"/>
      <c r="IF456" s="131"/>
      <c r="IG456" s="131"/>
      <c r="IH456" s="131"/>
      <c r="II456" s="131"/>
      <c r="IJ456" s="131"/>
      <c r="IK456" s="131"/>
      <c r="IL456" s="131"/>
      <c r="IM456" s="131"/>
      <c r="IN456" s="131"/>
      <c r="IO456" s="131"/>
      <c r="IP456" s="131"/>
      <c r="IQ456" s="131"/>
      <c r="IR456" s="131"/>
      <c r="IS456" s="131"/>
      <c r="IT456" s="131"/>
      <c r="IU456" s="131"/>
      <c r="IV456" s="131"/>
    </row>
    <row r="457" spans="1:256" s="13" customFormat="1" ht="38.25" customHeight="1">
      <c r="A457" s="21" t="s">
        <v>1</v>
      </c>
      <c r="B457" s="246" t="s">
        <v>34</v>
      </c>
      <c r="C457" s="246" t="s">
        <v>25</v>
      </c>
      <c r="D457" s="246" t="s">
        <v>905</v>
      </c>
      <c r="E457" s="246" t="s">
        <v>138</v>
      </c>
      <c r="F457" s="21" t="s">
        <v>897</v>
      </c>
      <c r="G457" s="246" t="s">
        <v>103</v>
      </c>
      <c r="H457" s="246">
        <v>236220</v>
      </c>
      <c r="I457" s="21" t="s">
        <v>28</v>
      </c>
      <c r="J457" s="21" t="s">
        <v>109</v>
      </c>
      <c r="K457" s="21" t="s">
        <v>1974</v>
      </c>
      <c r="L457" s="21" t="s">
        <v>1974</v>
      </c>
      <c r="M457" s="22">
        <v>100000</v>
      </c>
      <c r="N457" s="22">
        <v>250000</v>
      </c>
      <c r="O457" s="21" t="s">
        <v>20</v>
      </c>
      <c r="P457" s="21" t="s">
        <v>278</v>
      </c>
      <c r="Q457" s="21" t="s">
        <v>279</v>
      </c>
      <c r="R457" s="21" t="s">
        <v>278</v>
      </c>
      <c r="S457" s="74">
        <v>2013</v>
      </c>
      <c r="T457" s="21" t="s">
        <v>898</v>
      </c>
      <c r="U457" s="21" t="s">
        <v>899</v>
      </c>
      <c r="V457" s="21" t="s">
        <v>2615</v>
      </c>
      <c r="W457" s="21" t="s">
        <v>66</v>
      </c>
      <c r="X457" s="246" t="s">
        <v>2614</v>
      </c>
      <c r="Y457" s="130"/>
      <c r="Z457" s="130"/>
      <c r="AA457" s="130"/>
      <c r="AB457" s="130"/>
      <c r="AC457" s="130"/>
      <c r="AD457" s="131"/>
      <c r="AE457" s="131"/>
      <c r="AF457" s="131"/>
      <c r="AG457" s="131"/>
      <c r="AH457" s="131"/>
      <c r="AI457" s="131"/>
      <c r="AJ457" s="131"/>
      <c r="AK457" s="131"/>
      <c r="AL457" s="131"/>
      <c r="AM457" s="131"/>
      <c r="AN457" s="131"/>
      <c r="AO457" s="131"/>
      <c r="AP457" s="131"/>
      <c r="AQ457" s="131"/>
      <c r="AR457" s="131"/>
      <c r="AS457" s="131"/>
      <c r="AT457" s="131"/>
      <c r="AU457" s="131"/>
      <c r="AV457" s="131"/>
      <c r="AW457" s="131"/>
      <c r="AX457" s="131"/>
      <c r="AY457" s="131"/>
      <c r="AZ457" s="131"/>
      <c r="BA457" s="131"/>
      <c r="BB457" s="131"/>
      <c r="BC457" s="131"/>
      <c r="BD457" s="131"/>
      <c r="BE457" s="131"/>
      <c r="BF457" s="131"/>
      <c r="BG457" s="131"/>
      <c r="BH457" s="131"/>
      <c r="BI457" s="131"/>
      <c r="BJ457" s="131"/>
      <c r="BK457" s="131"/>
      <c r="BL457" s="131"/>
      <c r="BM457" s="131"/>
      <c r="BN457" s="131"/>
      <c r="BO457" s="131"/>
      <c r="BP457" s="131"/>
      <c r="BQ457" s="131"/>
      <c r="BR457" s="131"/>
      <c r="BS457" s="131"/>
      <c r="BT457" s="131"/>
      <c r="BU457" s="131"/>
      <c r="BV457" s="131"/>
      <c r="BW457" s="131"/>
      <c r="BX457" s="131"/>
      <c r="BY457" s="131"/>
      <c r="BZ457" s="131"/>
      <c r="CA457" s="131"/>
      <c r="CB457" s="131"/>
      <c r="CC457" s="131"/>
      <c r="CD457" s="131"/>
      <c r="CE457" s="131"/>
      <c r="CF457" s="131"/>
      <c r="CG457" s="131"/>
      <c r="CH457" s="131"/>
      <c r="CI457" s="131"/>
      <c r="CJ457" s="131"/>
      <c r="CK457" s="131"/>
      <c r="CL457" s="131"/>
      <c r="CM457" s="131"/>
      <c r="CN457" s="131"/>
      <c r="CO457" s="131"/>
      <c r="CP457" s="131"/>
      <c r="CQ457" s="131"/>
      <c r="CR457" s="131"/>
      <c r="CS457" s="131"/>
      <c r="CT457" s="131"/>
      <c r="CU457" s="131"/>
      <c r="CV457" s="131"/>
      <c r="CW457" s="131"/>
      <c r="CX457" s="131"/>
      <c r="CY457" s="131"/>
      <c r="CZ457" s="131"/>
      <c r="DA457" s="131"/>
      <c r="DB457" s="131"/>
      <c r="DC457" s="131"/>
      <c r="DD457" s="131"/>
      <c r="DE457" s="131"/>
      <c r="DF457" s="131"/>
      <c r="DG457" s="131"/>
      <c r="DH457" s="131"/>
      <c r="DI457" s="131"/>
      <c r="DJ457" s="131"/>
      <c r="DK457" s="131"/>
      <c r="DL457" s="131"/>
      <c r="DM457" s="131"/>
      <c r="DN457" s="131"/>
      <c r="DO457" s="131"/>
      <c r="DP457" s="131"/>
      <c r="DQ457" s="131"/>
      <c r="DR457" s="131"/>
      <c r="DS457" s="131"/>
      <c r="DT457" s="131"/>
      <c r="DU457" s="131"/>
      <c r="DV457" s="131"/>
      <c r="DW457" s="131"/>
      <c r="DX457" s="131"/>
      <c r="DY457" s="131"/>
      <c r="DZ457" s="131"/>
      <c r="EA457" s="131"/>
      <c r="EB457" s="131"/>
      <c r="EC457" s="131"/>
      <c r="ED457" s="131"/>
      <c r="EE457" s="131"/>
      <c r="EF457" s="131"/>
      <c r="EG457" s="131"/>
      <c r="EH457" s="131"/>
      <c r="EI457" s="131"/>
      <c r="EJ457" s="131"/>
      <c r="EK457" s="131"/>
      <c r="EL457" s="131"/>
      <c r="EM457" s="131"/>
      <c r="EN457" s="131"/>
      <c r="EO457" s="131"/>
      <c r="EP457" s="131"/>
      <c r="EQ457" s="131"/>
      <c r="ER457" s="131"/>
      <c r="ES457" s="131"/>
      <c r="ET457" s="131"/>
      <c r="EU457" s="131"/>
      <c r="EV457" s="131"/>
      <c r="EW457" s="131"/>
      <c r="EX457" s="131"/>
      <c r="EY457" s="131"/>
      <c r="EZ457" s="131"/>
      <c r="FA457" s="131"/>
      <c r="FB457" s="131"/>
      <c r="FC457" s="131"/>
      <c r="FD457" s="131"/>
      <c r="FE457" s="131"/>
      <c r="FF457" s="131"/>
      <c r="FG457" s="131"/>
      <c r="FH457" s="131"/>
      <c r="FI457" s="131"/>
      <c r="FJ457" s="131"/>
      <c r="FK457" s="131"/>
      <c r="FL457" s="131"/>
      <c r="FM457" s="131"/>
      <c r="FN457" s="131"/>
      <c r="FO457" s="131"/>
      <c r="FP457" s="131"/>
      <c r="FQ457" s="131"/>
      <c r="FR457" s="131"/>
      <c r="FS457" s="131"/>
      <c r="FT457" s="131"/>
      <c r="FU457" s="131"/>
      <c r="FV457" s="131"/>
      <c r="FW457" s="131"/>
      <c r="FX457" s="131"/>
      <c r="FY457" s="131"/>
      <c r="FZ457" s="131"/>
      <c r="GA457" s="131"/>
      <c r="GB457" s="131"/>
      <c r="GC457" s="131"/>
      <c r="GD457" s="131"/>
      <c r="GE457" s="131"/>
      <c r="GF457" s="131"/>
      <c r="GG457" s="131"/>
      <c r="GH457" s="131"/>
      <c r="GI457" s="131"/>
      <c r="GJ457" s="131"/>
      <c r="GK457" s="131"/>
      <c r="GL457" s="131"/>
      <c r="GM457" s="131"/>
      <c r="GN457" s="131"/>
      <c r="GO457" s="131"/>
      <c r="GP457" s="131"/>
      <c r="GQ457" s="131"/>
      <c r="GR457" s="131"/>
      <c r="GS457" s="131"/>
      <c r="GT457" s="131"/>
      <c r="GU457" s="131"/>
      <c r="GV457" s="131"/>
      <c r="GW457" s="131"/>
      <c r="GX457" s="131"/>
      <c r="GY457" s="131"/>
      <c r="GZ457" s="131"/>
      <c r="HA457" s="131"/>
      <c r="HB457" s="131"/>
      <c r="HC457" s="131"/>
      <c r="HD457" s="131"/>
      <c r="HE457" s="131"/>
      <c r="HF457" s="131"/>
      <c r="HG457" s="131"/>
      <c r="HH457" s="131"/>
      <c r="HI457" s="131"/>
      <c r="HJ457" s="131"/>
      <c r="HK457" s="131"/>
      <c r="HL457" s="131"/>
      <c r="HM457" s="131"/>
      <c r="HN457" s="131"/>
      <c r="HO457" s="131"/>
      <c r="HP457" s="131"/>
      <c r="HQ457" s="131"/>
      <c r="HR457" s="131"/>
      <c r="HS457" s="131"/>
      <c r="HT457" s="131"/>
      <c r="HU457" s="131"/>
      <c r="HV457" s="131"/>
      <c r="HW457" s="131"/>
      <c r="HX457" s="131"/>
      <c r="HY457" s="131"/>
      <c r="HZ457" s="131"/>
      <c r="IA457" s="131"/>
      <c r="IB457" s="131"/>
      <c r="IC457" s="131"/>
      <c r="ID457" s="131"/>
      <c r="IE457" s="131"/>
      <c r="IF457" s="131"/>
      <c r="IG457" s="131"/>
      <c r="IH457" s="131"/>
      <c r="II457" s="131"/>
      <c r="IJ457" s="131"/>
      <c r="IK457" s="131"/>
      <c r="IL457" s="131"/>
      <c r="IM457" s="131"/>
      <c r="IN457" s="131"/>
      <c r="IO457" s="131"/>
      <c r="IP457" s="131"/>
      <c r="IQ457" s="131"/>
      <c r="IR457" s="131"/>
      <c r="IS457" s="131"/>
      <c r="IT457" s="131"/>
      <c r="IU457" s="131"/>
      <c r="IV457" s="131"/>
    </row>
    <row r="458" spans="1:256" s="13" customFormat="1" ht="38.25" customHeight="1">
      <c r="A458" s="21" t="s">
        <v>1</v>
      </c>
      <c r="B458" s="246" t="s">
        <v>34</v>
      </c>
      <c r="C458" s="246" t="s">
        <v>25</v>
      </c>
      <c r="D458" s="246" t="s">
        <v>906</v>
      </c>
      <c r="E458" s="246" t="s">
        <v>138</v>
      </c>
      <c r="F458" s="21" t="s">
        <v>897</v>
      </c>
      <c r="G458" s="246" t="s">
        <v>103</v>
      </c>
      <c r="H458" s="246">
        <v>236220</v>
      </c>
      <c r="I458" s="21" t="s">
        <v>28</v>
      </c>
      <c r="J458" s="21" t="s">
        <v>109</v>
      </c>
      <c r="K458" s="21" t="s">
        <v>1974</v>
      </c>
      <c r="L458" s="21" t="s">
        <v>1974</v>
      </c>
      <c r="M458" s="22">
        <v>250000</v>
      </c>
      <c r="N458" s="22">
        <v>500000</v>
      </c>
      <c r="O458" s="21" t="s">
        <v>20</v>
      </c>
      <c r="P458" s="21" t="s">
        <v>278</v>
      </c>
      <c r="Q458" s="21" t="s">
        <v>279</v>
      </c>
      <c r="R458" s="21" t="s">
        <v>278</v>
      </c>
      <c r="S458" s="74">
        <v>2013</v>
      </c>
      <c r="T458" s="21" t="s">
        <v>907</v>
      </c>
      <c r="U458" s="21" t="s">
        <v>908</v>
      </c>
      <c r="V458" s="21" t="s">
        <v>909</v>
      </c>
      <c r="W458" s="21" t="s">
        <v>66</v>
      </c>
      <c r="X458" s="246" t="s">
        <v>2616</v>
      </c>
      <c r="Y458" s="130"/>
      <c r="Z458" s="130"/>
      <c r="AA458" s="130"/>
      <c r="AB458" s="130"/>
      <c r="AC458" s="130"/>
      <c r="AD458" s="131"/>
      <c r="AE458" s="131"/>
      <c r="AF458" s="131"/>
      <c r="AG458" s="131"/>
      <c r="AH458" s="131"/>
      <c r="AI458" s="131"/>
      <c r="AJ458" s="131"/>
      <c r="AK458" s="131"/>
      <c r="AL458" s="131"/>
      <c r="AM458" s="131"/>
      <c r="AN458" s="131"/>
      <c r="AO458" s="131"/>
      <c r="AP458" s="131"/>
      <c r="AQ458" s="131"/>
      <c r="AR458" s="131"/>
      <c r="AS458" s="131"/>
      <c r="AT458" s="131"/>
      <c r="AU458" s="131"/>
      <c r="AV458" s="131"/>
      <c r="AW458" s="131"/>
      <c r="AX458" s="131"/>
      <c r="AY458" s="131"/>
      <c r="AZ458" s="131"/>
      <c r="BA458" s="131"/>
      <c r="BB458" s="131"/>
      <c r="BC458" s="131"/>
      <c r="BD458" s="131"/>
      <c r="BE458" s="131"/>
      <c r="BF458" s="131"/>
      <c r="BG458" s="131"/>
      <c r="BH458" s="131"/>
      <c r="BI458" s="131"/>
      <c r="BJ458" s="131"/>
      <c r="BK458" s="131"/>
      <c r="BL458" s="131"/>
      <c r="BM458" s="131"/>
      <c r="BN458" s="131"/>
      <c r="BO458" s="131"/>
      <c r="BP458" s="131"/>
      <c r="BQ458" s="131"/>
      <c r="BR458" s="131"/>
      <c r="BS458" s="131"/>
      <c r="BT458" s="131"/>
      <c r="BU458" s="131"/>
      <c r="BV458" s="131"/>
      <c r="BW458" s="131"/>
      <c r="BX458" s="131"/>
      <c r="BY458" s="131"/>
      <c r="BZ458" s="131"/>
      <c r="CA458" s="131"/>
      <c r="CB458" s="131"/>
      <c r="CC458" s="131"/>
      <c r="CD458" s="131"/>
      <c r="CE458" s="131"/>
      <c r="CF458" s="131"/>
      <c r="CG458" s="131"/>
      <c r="CH458" s="131"/>
      <c r="CI458" s="131"/>
      <c r="CJ458" s="131"/>
      <c r="CK458" s="131"/>
      <c r="CL458" s="131"/>
      <c r="CM458" s="131"/>
      <c r="CN458" s="131"/>
      <c r="CO458" s="131"/>
      <c r="CP458" s="131"/>
      <c r="CQ458" s="131"/>
      <c r="CR458" s="131"/>
      <c r="CS458" s="131"/>
      <c r="CT458" s="131"/>
      <c r="CU458" s="131"/>
      <c r="CV458" s="131"/>
      <c r="CW458" s="131"/>
      <c r="CX458" s="131"/>
      <c r="CY458" s="131"/>
      <c r="CZ458" s="131"/>
      <c r="DA458" s="131"/>
      <c r="DB458" s="131"/>
      <c r="DC458" s="131"/>
      <c r="DD458" s="131"/>
      <c r="DE458" s="131"/>
      <c r="DF458" s="131"/>
      <c r="DG458" s="131"/>
      <c r="DH458" s="131"/>
      <c r="DI458" s="131"/>
      <c r="DJ458" s="131"/>
      <c r="DK458" s="131"/>
      <c r="DL458" s="131"/>
      <c r="DM458" s="131"/>
      <c r="DN458" s="131"/>
      <c r="DO458" s="131"/>
      <c r="DP458" s="131"/>
      <c r="DQ458" s="131"/>
      <c r="DR458" s="131"/>
      <c r="DS458" s="131"/>
      <c r="DT458" s="131"/>
      <c r="DU458" s="131"/>
      <c r="DV458" s="131"/>
      <c r="DW458" s="131"/>
      <c r="DX458" s="131"/>
      <c r="DY458" s="131"/>
      <c r="DZ458" s="131"/>
      <c r="EA458" s="131"/>
      <c r="EB458" s="131"/>
      <c r="EC458" s="131"/>
      <c r="ED458" s="131"/>
      <c r="EE458" s="131"/>
      <c r="EF458" s="131"/>
      <c r="EG458" s="131"/>
      <c r="EH458" s="131"/>
      <c r="EI458" s="131"/>
      <c r="EJ458" s="131"/>
      <c r="EK458" s="131"/>
      <c r="EL458" s="131"/>
      <c r="EM458" s="131"/>
      <c r="EN458" s="131"/>
      <c r="EO458" s="131"/>
      <c r="EP458" s="131"/>
      <c r="EQ458" s="131"/>
      <c r="ER458" s="131"/>
      <c r="ES458" s="131"/>
      <c r="ET458" s="131"/>
      <c r="EU458" s="131"/>
      <c r="EV458" s="131"/>
      <c r="EW458" s="131"/>
      <c r="EX458" s="131"/>
      <c r="EY458" s="131"/>
      <c r="EZ458" s="131"/>
      <c r="FA458" s="131"/>
      <c r="FB458" s="131"/>
      <c r="FC458" s="131"/>
      <c r="FD458" s="131"/>
      <c r="FE458" s="131"/>
      <c r="FF458" s="131"/>
      <c r="FG458" s="131"/>
      <c r="FH458" s="131"/>
      <c r="FI458" s="131"/>
      <c r="FJ458" s="131"/>
      <c r="FK458" s="131"/>
      <c r="FL458" s="131"/>
      <c r="FM458" s="131"/>
      <c r="FN458" s="131"/>
      <c r="FO458" s="131"/>
      <c r="FP458" s="131"/>
      <c r="FQ458" s="131"/>
      <c r="FR458" s="131"/>
      <c r="FS458" s="131"/>
      <c r="FT458" s="131"/>
      <c r="FU458" s="131"/>
      <c r="FV458" s="131"/>
      <c r="FW458" s="131"/>
      <c r="FX458" s="131"/>
      <c r="FY458" s="131"/>
      <c r="FZ458" s="131"/>
      <c r="GA458" s="131"/>
      <c r="GB458" s="131"/>
      <c r="GC458" s="131"/>
      <c r="GD458" s="131"/>
      <c r="GE458" s="131"/>
      <c r="GF458" s="131"/>
      <c r="GG458" s="131"/>
      <c r="GH458" s="131"/>
      <c r="GI458" s="131"/>
      <c r="GJ458" s="131"/>
      <c r="GK458" s="131"/>
      <c r="GL458" s="131"/>
      <c r="GM458" s="131"/>
      <c r="GN458" s="131"/>
      <c r="GO458" s="131"/>
      <c r="GP458" s="131"/>
      <c r="GQ458" s="131"/>
      <c r="GR458" s="131"/>
      <c r="GS458" s="131"/>
      <c r="GT458" s="131"/>
      <c r="GU458" s="131"/>
      <c r="GV458" s="131"/>
      <c r="GW458" s="131"/>
      <c r="GX458" s="131"/>
      <c r="GY458" s="131"/>
      <c r="GZ458" s="131"/>
      <c r="HA458" s="131"/>
      <c r="HB458" s="131"/>
      <c r="HC458" s="131"/>
      <c r="HD458" s="131"/>
      <c r="HE458" s="131"/>
      <c r="HF458" s="131"/>
      <c r="HG458" s="131"/>
      <c r="HH458" s="131"/>
      <c r="HI458" s="131"/>
      <c r="HJ458" s="131"/>
      <c r="HK458" s="131"/>
      <c r="HL458" s="131"/>
      <c r="HM458" s="131"/>
      <c r="HN458" s="131"/>
      <c r="HO458" s="131"/>
      <c r="HP458" s="131"/>
      <c r="HQ458" s="131"/>
      <c r="HR458" s="131"/>
      <c r="HS458" s="131"/>
      <c r="HT458" s="131"/>
      <c r="HU458" s="131"/>
      <c r="HV458" s="131"/>
      <c r="HW458" s="131"/>
      <c r="HX458" s="131"/>
      <c r="HY458" s="131"/>
      <c r="HZ458" s="131"/>
      <c r="IA458" s="131"/>
      <c r="IB458" s="131"/>
      <c r="IC458" s="131"/>
      <c r="ID458" s="131"/>
      <c r="IE458" s="131"/>
      <c r="IF458" s="131"/>
      <c r="IG458" s="131"/>
      <c r="IH458" s="131"/>
      <c r="II458" s="131"/>
      <c r="IJ458" s="131"/>
      <c r="IK458" s="131"/>
      <c r="IL458" s="131"/>
      <c r="IM458" s="131"/>
      <c r="IN458" s="131"/>
      <c r="IO458" s="131"/>
      <c r="IP458" s="131"/>
      <c r="IQ458" s="131"/>
      <c r="IR458" s="131"/>
      <c r="IS458" s="131"/>
      <c r="IT458" s="131"/>
      <c r="IU458" s="131"/>
      <c r="IV458" s="131"/>
    </row>
    <row r="459" spans="1:256" s="13" customFormat="1" ht="38.25" customHeight="1">
      <c r="A459" s="21" t="s">
        <v>1</v>
      </c>
      <c r="B459" s="246" t="s">
        <v>34</v>
      </c>
      <c r="C459" s="246" t="s">
        <v>25</v>
      </c>
      <c r="D459" s="246" t="s">
        <v>910</v>
      </c>
      <c r="E459" s="246" t="s">
        <v>138</v>
      </c>
      <c r="F459" s="21" t="s">
        <v>897</v>
      </c>
      <c r="G459" s="246" t="s">
        <v>103</v>
      </c>
      <c r="H459" s="246">
        <v>236220</v>
      </c>
      <c r="I459" s="21" t="s">
        <v>28</v>
      </c>
      <c r="J459" s="21" t="s">
        <v>109</v>
      </c>
      <c r="K459" s="21" t="s">
        <v>1974</v>
      </c>
      <c r="L459" s="21" t="s">
        <v>1974</v>
      </c>
      <c r="M459" s="22">
        <v>500000</v>
      </c>
      <c r="N459" s="22">
        <v>1000000</v>
      </c>
      <c r="O459" s="21" t="s">
        <v>20</v>
      </c>
      <c r="P459" s="21" t="s">
        <v>278</v>
      </c>
      <c r="Q459" s="21" t="s">
        <v>279</v>
      </c>
      <c r="R459" s="21" t="s">
        <v>278</v>
      </c>
      <c r="S459" s="74">
        <v>2013</v>
      </c>
      <c r="T459" s="21" t="s">
        <v>907</v>
      </c>
      <c r="U459" s="21" t="s">
        <v>908</v>
      </c>
      <c r="V459" s="21" t="s">
        <v>909</v>
      </c>
      <c r="W459" s="21" t="s">
        <v>66</v>
      </c>
      <c r="X459" s="246" t="s">
        <v>2617</v>
      </c>
      <c r="Y459" s="130"/>
      <c r="Z459" s="130"/>
      <c r="AA459" s="130"/>
      <c r="AB459" s="130"/>
      <c r="AC459" s="130"/>
      <c r="AD459" s="131"/>
      <c r="AE459" s="131"/>
      <c r="AF459" s="131"/>
      <c r="AG459" s="131"/>
      <c r="AH459" s="131"/>
      <c r="AI459" s="131"/>
      <c r="AJ459" s="131"/>
      <c r="AK459" s="131"/>
      <c r="AL459" s="131"/>
      <c r="AM459" s="131"/>
      <c r="AN459" s="131"/>
      <c r="AO459" s="131"/>
      <c r="AP459" s="131"/>
      <c r="AQ459" s="131"/>
      <c r="AR459" s="131"/>
      <c r="AS459" s="131"/>
      <c r="AT459" s="131"/>
      <c r="AU459" s="131"/>
      <c r="AV459" s="131"/>
      <c r="AW459" s="131"/>
      <c r="AX459" s="131"/>
      <c r="AY459" s="131"/>
      <c r="AZ459" s="131"/>
      <c r="BA459" s="131"/>
      <c r="BB459" s="131"/>
      <c r="BC459" s="131"/>
      <c r="BD459" s="131"/>
      <c r="BE459" s="131"/>
      <c r="BF459" s="131"/>
      <c r="BG459" s="131"/>
      <c r="BH459" s="131"/>
      <c r="BI459" s="131"/>
      <c r="BJ459" s="131"/>
      <c r="BK459" s="131"/>
      <c r="BL459" s="131"/>
      <c r="BM459" s="131"/>
      <c r="BN459" s="131"/>
      <c r="BO459" s="131"/>
      <c r="BP459" s="131"/>
      <c r="BQ459" s="131"/>
      <c r="BR459" s="131"/>
      <c r="BS459" s="131"/>
      <c r="BT459" s="131"/>
      <c r="BU459" s="131"/>
      <c r="BV459" s="131"/>
      <c r="BW459" s="131"/>
      <c r="BX459" s="131"/>
      <c r="BY459" s="131"/>
      <c r="BZ459" s="131"/>
      <c r="CA459" s="131"/>
      <c r="CB459" s="131"/>
      <c r="CC459" s="131"/>
      <c r="CD459" s="131"/>
      <c r="CE459" s="131"/>
      <c r="CF459" s="131"/>
      <c r="CG459" s="131"/>
      <c r="CH459" s="131"/>
      <c r="CI459" s="131"/>
      <c r="CJ459" s="131"/>
      <c r="CK459" s="131"/>
      <c r="CL459" s="131"/>
      <c r="CM459" s="131"/>
      <c r="CN459" s="131"/>
      <c r="CO459" s="131"/>
      <c r="CP459" s="131"/>
      <c r="CQ459" s="131"/>
      <c r="CR459" s="131"/>
      <c r="CS459" s="131"/>
      <c r="CT459" s="131"/>
      <c r="CU459" s="131"/>
      <c r="CV459" s="131"/>
      <c r="CW459" s="131"/>
      <c r="CX459" s="131"/>
      <c r="CY459" s="131"/>
      <c r="CZ459" s="131"/>
      <c r="DA459" s="131"/>
      <c r="DB459" s="131"/>
      <c r="DC459" s="131"/>
      <c r="DD459" s="131"/>
      <c r="DE459" s="131"/>
      <c r="DF459" s="131"/>
      <c r="DG459" s="131"/>
      <c r="DH459" s="131"/>
      <c r="DI459" s="131"/>
      <c r="DJ459" s="131"/>
      <c r="DK459" s="131"/>
      <c r="DL459" s="131"/>
      <c r="DM459" s="131"/>
      <c r="DN459" s="131"/>
      <c r="DO459" s="131"/>
      <c r="DP459" s="131"/>
      <c r="DQ459" s="131"/>
      <c r="DR459" s="131"/>
      <c r="DS459" s="131"/>
      <c r="DT459" s="131"/>
      <c r="DU459" s="131"/>
      <c r="DV459" s="131"/>
      <c r="DW459" s="131"/>
      <c r="DX459" s="131"/>
      <c r="DY459" s="131"/>
      <c r="DZ459" s="131"/>
      <c r="EA459" s="131"/>
      <c r="EB459" s="131"/>
      <c r="EC459" s="131"/>
      <c r="ED459" s="131"/>
      <c r="EE459" s="131"/>
      <c r="EF459" s="131"/>
      <c r="EG459" s="131"/>
      <c r="EH459" s="131"/>
      <c r="EI459" s="131"/>
      <c r="EJ459" s="131"/>
      <c r="EK459" s="131"/>
      <c r="EL459" s="131"/>
      <c r="EM459" s="131"/>
      <c r="EN459" s="131"/>
      <c r="EO459" s="131"/>
      <c r="EP459" s="131"/>
      <c r="EQ459" s="131"/>
      <c r="ER459" s="131"/>
      <c r="ES459" s="131"/>
      <c r="ET459" s="131"/>
      <c r="EU459" s="131"/>
      <c r="EV459" s="131"/>
      <c r="EW459" s="131"/>
      <c r="EX459" s="131"/>
      <c r="EY459" s="131"/>
      <c r="EZ459" s="131"/>
      <c r="FA459" s="131"/>
      <c r="FB459" s="131"/>
      <c r="FC459" s="131"/>
      <c r="FD459" s="131"/>
      <c r="FE459" s="131"/>
      <c r="FF459" s="131"/>
      <c r="FG459" s="131"/>
      <c r="FH459" s="131"/>
      <c r="FI459" s="131"/>
      <c r="FJ459" s="131"/>
      <c r="FK459" s="131"/>
      <c r="FL459" s="131"/>
      <c r="FM459" s="131"/>
      <c r="FN459" s="131"/>
      <c r="FO459" s="131"/>
      <c r="FP459" s="131"/>
      <c r="FQ459" s="131"/>
      <c r="FR459" s="131"/>
      <c r="FS459" s="131"/>
      <c r="FT459" s="131"/>
      <c r="FU459" s="131"/>
      <c r="FV459" s="131"/>
      <c r="FW459" s="131"/>
      <c r="FX459" s="131"/>
      <c r="FY459" s="131"/>
      <c r="FZ459" s="131"/>
      <c r="GA459" s="131"/>
      <c r="GB459" s="131"/>
      <c r="GC459" s="131"/>
      <c r="GD459" s="131"/>
      <c r="GE459" s="131"/>
      <c r="GF459" s="131"/>
      <c r="GG459" s="131"/>
      <c r="GH459" s="131"/>
      <c r="GI459" s="131"/>
      <c r="GJ459" s="131"/>
      <c r="GK459" s="131"/>
      <c r="GL459" s="131"/>
      <c r="GM459" s="131"/>
      <c r="GN459" s="131"/>
      <c r="GO459" s="131"/>
      <c r="GP459" s="131"/>
      <c r="GQ459" s="131"/>
      <c r="GR459" s="131"/>
      <c r="GS459" s="131"/>
      <c r="GT459" s="131"/>
      <c r="GU459" s="131"/>
      <c r="GV459" s="131"/>
      <c r="GW459" s="131"/>
      <c r="GX459" s="131"/>
      <c r="GY459" s="131"/>
      <c r="GZ459" s="131"/>
      <c r="HA459" s="131"/>
      <c r="HB459" s="131"/>
      <c r="HC459" s="131"/>
      <c r="HD459" s="131"/>
      <c r="HE459" s="131"/>
      <c r="HF459" s="131"/>
      <c r="HG459" s="131"/>
      <c r="HH459" s="131"/>
      <c r="HI459" s="131"/>
      <c r="HJ459" s="131"/>
      <c r="HK459" s="131"/>
      <c r="HL459" s="131"/>
      <c r="HM459" s="131"/>
      <c r="HN459" s="131"/>
      <c r="HO459" s="131"/>
      <c r="HP459" s="131"/>
      <c r="HQ459" s="131"/>
      <c r="HR459" s="131"/>
      <c r="HS459" s="131"/>
      <c r="HT459" s="131"/>
      <c r="HU459" s="131"/>
      <c r="HV459" s="131"/>
      <c r="HW459" s="131"/>
      <c r="HX459" s="131"/>
      <c r="HY459" s="131"/>
      <c r="HZ459" s="131"/>
      <c r="IA459" s="131"/>
      <c r="IB459" s="131"/>
      <c r="IC459" s="131"/>
      <c r="ID459" s="131"/>
      <c r="IE459" s="131"/>
      <c r="IF459" s="131"/>
      <c r="IG459" s="131"/>
      <c r="IH459" s="131"/>
      <c r="II459" s="131"/>
      <c r="IJ459" s="131"/>
      <c r="IK459" s="131"/>
      <c r="IL459" s="131"/>
      <c r="IM459" s="131"/>
      <c r="IN459" s="131"/>
      <c r="IO459" s="131"/>
      <c r="IP459" s="131"/>
      <c r="IQ459" s="131"/>
      <c r="IR459" s="131"/>
      <c r="IS459" s="131"/>
      <c r="IT459" s="131"/>
      <c r="IU459" s="131"/>
      <c r="IV459" s="131"/>
    </row>
    <row r="460" spans="1:256" s="13" customFormat="1" ht="38.25" customHeight="1">
      <c r="A460" s="21" t="s">
        <v>1</v>
      </c>
      <c r="B460" s="246" t="s">
        <v>34</v>
      </c>
      <c r="C460" s="246" t="s">
        <v>25</v>
      </c>
      <c r="D460" s="246" t="s">
        <v>911</v>
      </c>
      <c r="E460" s="246" t="s">
        <v>138</v>
      </c>
      <c r="F460" s="21" t="s">
        <v>897</v>
      </c>
      <c r="G460" s="246" t="s">
        <v>103</v>
      </c>
      <c r="H460" s="246">
        <v>236220</v>
      </c>
      <c r="I460" s="21" t="s">
        <v>28</v>
      </c>
      <c r="J460" s="21" t="s">
        <v>109</v>
      </c>
      <c r="K460" s="21" t="s">
        <v>1974</v>
      </c>
      <c r="L460" s="21" t="s">
        <v>1974</v>
      </c>
      <c r="M460" s="22">
        <v>1000000</v>
      </c>
      <c r="N460" s="22">
        <v>250000</v>
      </c>
      <c r="O460" s="21" t="s">
        <v>20</v>
      </c>
      <c r="P460" s="21" t="s">
        <v>278</v>
      </c>
      <c r="Q460" s="21" t="s">
        <v>279</v>
      </c>
      <c r="R460" s="21" t="s">
        <v>278</v>
      </c>
      <c r="S460" s="74">
        <v>2013</v>
      </c>
      <c r="T460" s="21" t="s">
        <v>907</v>
      </c>
      <c r="U460" s="21" t="s">
        <v>908</v>
      </c>
      <c r="V460" s="21" t="s">
        <v>909</v>
      </c>
      <c r="W460" s="21" t="s">
        <v>66</v>
      </c>
      <c r="X460" s="246" t="s">
        <v>2616</v>
      </c>
      <c r="Y460" s="130"/>
      <c r="Z460" s="130"/>
      <c r="AA460" s="130"/>
      <c r="AB460" s="130"/>
      <c r="AC460" s="130"/>
      <c r="AD460" s="131"/>
      <c r="AE460" s="131"/>
      <c r="AF460" s="131"/>
      <c r="AG460" s="131"/>
      <c r="AH460" s="131"/>
      <c r="AI460" s="131"/>
      <c r="AJ460" s="131"/>
      <c r="AK460" s="131"/>
      <c r="AL460" s="131"/>
      <c r="AM460" s="131"/>
      <c r="AN460" s="131"/>
      <c r="AO460" s="131"/>
      <c r="AP460" s="131"/>
      <c r="AQ460" s="131"/>
      <c r="AR460" s="131"/>
      <c r="AS460" s="131"/>
      <c r="AT460" s="131"/>
      <c r="AU460" s="131"/>
      <c r="AV460" s="131"/>
      <c r="AW460" s="131"/>
      <c r="AX460" s="131"/>
      <c r="AY460" s="131"/>
      <c r="AZ460" s="131"/>
      <c r="BA460" s="131"/>
      <c r="BB460" s="131"/>
      <c r="BC460" s="131"/>
      <c r="BD460" s="131"/>
      <c r="BE460" s="131"/>
      <c r="BF460" s="131"/>
      <c r="BG460" s="131"/>
      <c r="BH460" s="131"/>
      <c r="BI460" s="131"/>
      <c r="BJ460" s="131"/>
      <c r="BK460" s="131"/>
      <c r="BL460" s="131"/>
      <c r="BM460" s="131"/>
      <c r="BN460" s="131"/>
      <c r="BO460" s="131"/>
      <c r="BP460" s="131"/>
      <c r="BQ460" s="131"/>
      <c r="BR460" s="131"/>
      <c r="BS460" s="131"/>
      <c r="BT460" s="131"/>
      <c r="BU460" s="131"/>
      <c r="BV460" s="131"/>
      <c r="BW460" s="131"/>
      <c r="BX460" s="131"/>
      <c r="BY460" s="131"/>
      <c r="BZ460" s="131"/>
      <c r="CA460" s="131"/>
      <c r="CB460" s="131"/>
      <c r="CC460" s="131"/>
      <c r="CD460" s="131"/>
      <c r="CE460" s="131"/>
      <c r="CF460" s="131"/>
      <c r="CG460" s="131"/>
      <c r="CH460" s="131"/>
      <c r="CI460" s="131"/>
      <c r="CJ460" s="131"/>
      <c r="CK460" s="131"/>
      <c r="CL460" s="131"/>
      <c r="CM460" s="131"/>
      <c r="CN460" s="131"/>
      <c r="CO460" s="131"/>
      <c r="CP460" s="131"/>
      <c r="CQ460" s="131"/>
      <c r="CR460" s="131"/>
      <c r="CS460" s="131"/>
      <c r="CT460" s="131"/>
      <c r="CU460" s="131"/>
      <c r="CV460" s="131"/>
      <c r="CW460" s="131"/>
      <c r="CX460" s="131"/>
      <c r="CY460" s="131"/>
      <c r="CZ460" s="131"/>
      <c r="DA460" s="131"/>
      <c r="DB460" s="131"/>
      <c r="DC460" s="131"/>
      <c r="DD460" s="131"/>
      <c r="DE460" s="131"/>
      <c r="DF460" s="131"/>
      <c r="DG460" s="131"/>
      <c r="DH460" s="131"/>
      <c r="DI460" s="131"/>
      <c r="DJ460" s="131"/>
      <c r="DK460" s="131"/>
      <c r="DL460" s="131"/>
      <c r="DM460" s="131"/>
      <c r="DN460" s="131"/>
      <c r="DO460" s="131"/>
      <c r="DP460" s="131"/>
      <c r="DQ460" s="131"/>
      <c r="DR460" s="131"/>
      <c r="DS460" s="131"/>
      <c r="DT460" s="131"/>
      <c r="DU460" s="131"/>
      <c r="DV460" s="131"/>
      <c r="DW460" s="131"/>
      <c r="DX460" s="131"/>
      <c r="DY460" s="131"/>
      <c r="DZ460" s="131"/>
      <c r="EA460" s="131"/>
      <c r="EB460" s="131"/>
      <c r="EC460" s="131"/>
      <c r="ED460" s="131"/>
      <c r="EE460" s="131"/>
      <c r="EF460" s="131"/>
      <c r="EG460" s="131"/>
      <c r="EH460" s="131"/>
      <c r="EI460" s="131"/>
      <c r="EJ460" s="131"/>
      <c r="EK460" s="131"/>
      <c r="EL460" s="131"/>
      <c r="EM460" s="131"/>
      <c r="EN460" s="131"/>
      <c r="EO460" s="131"/>
      <c r="EP460" s="131"/>
      <c r="EQ460" s="131"/>
      <c r="ER460" s="131"/>
      <c r="ES460" s="131"/>
      <c r="ET460" s="131"/>
      <c r="EU460" s="131"/>
      <c r="EV460" s="131"/>
      <c r="EW460" s="131"/>
      <c r="EX460" s="131"/>
      <c r="EY460" s="131"/>
      <c r="EZ460" s="131"/>
      <c r="FA460" s="131"/>
      <c r="FB460" s="131"/>
      <c r="FC460" s="131"/>
      <c r="FD460" s="131"/>
      <c r="FE460" s="131"/>
      <c r="FF460" s="131"/>
      <c r="FG460" s="131"/>
      <c r="FH460" s="131"/>
      <c r="FI460" s="131"/>
      <c r="FJ460" s="131"/>
      <c r="FK460" s="131"/>
      <c r="FL460" s="131"/>
      <c r="FM460" s="131"/>
      <c r="FN460" s="131"/>
      <c r="FO460" s="131"/>
      <c r="FP460" s="131"/>
      <c r="FQ460" s="131"/>
      <c r="FR460" s="131"/>
      <c r="FS460" s="131"/>
      <c r="FT460" s="131"/>
      <c r="FU460" s="131"/>
      <c r="FV460" s="131"/>
      <c r="FW460" s="131"/>
      <c r="FX460" s="131"/>
      <c r="FY460" s="131"/>
      <c r="FZ460" s="131"/>
      <c r="GA460" s="131"/>
      <c r="GB460" s="131"/>
      <c r="GC460" s="131"/>
      <c r="GD460" s="131"/>
      <c r="GE460" s="131"/>
      <c r="GF460" s="131"/>
      <c r="GG460" s="131"/>
      <c r="GH460" s="131"/>
      <c r="GI460" s="131"/>
      <c r="GJ460" s="131"/>
      <c r="GK460" s="131"/>
      <c r="GL460" s="131"/>
      <c r="GM460" s="131"/>
      <c r="GN460" s="131"/>
      <c r="GO460" s="131"/>
      <c r="GP460" s="131"/>
      <c r="GQ460" s="131"/>
      <c r="GR460" s="131"/>
      <c r="GS460" s="131"/>
      <c r="GT460" s="131"/>
      <c r="GU460" s="131"/>
      <c r="GV460" s="131"/>
      <c r="GW460" s="131"/>
      <c r="GX460" s="131"/>
      <c r="GY460" s="131"/>
      <c r="GZ460" s="131"/>
      <c r="HA460" s="131"/>
      <c r="HB460" s="131"/>
      <c r="HC460" s="131"/>
      <c r="HD460" s="131"/>
      <c r="HE460" s="131"/>
      <c r="HF460" s="131"/>
      <c r="HG460" s="131"/>
      <c r="HH460" s="131"/>
      <c r="HI460" s="131"/>
      <c r="HJ460" s="131"/>
      <c r="HK460" s="131"/>
      <c r="HL460" s="131"/>
      <c r="HM460" s="131"/>
      <c r="HN460" s="131"/>
      <c r="HO460" s="131"/>
      <c r="HP460" s="131"/>
      <c r="HQ460" s="131"/>
      <c r="HR460" s="131"/>
      <c r="HS460" s="131"/>
      <c r="HT460" s="131"/>
      <c r="HU460" s="131"/>
      <c r="HV460" s="131"/>
      <c r="HW460" s="131"/>
      <c r="HX460" s="131"/>
      <c r="HY460" s="131"/>
      <c r="HZ460" s="131"/>
      <c r="IA460" s="131"/>
      <c r="IB460" s="131"/>
      <c r="IC460" s="131"/>
      <c r="ID460" s="131"/>
      <c r="IE460" s="131"/>
      <c r="IF460" s="131"/>
      <c r="IG460" s="131"/>
      <c r="IH460" s="131"/>
      <c r="II460" s="131"/>
      <c r="IJ460" s="131"/>
      <c r="IK460" s="131"/>
      <c r="IL460" s="131"/>
      <c r="IM460" s="131"/>
      <c r="IN460" s="131"/>
      <c r="IO460" s="131"/>
      <c r="IP460" s="131"/>
      <c r="IQ460" s="131"/>
      <c r="IR460" s="131"/>
      <c r="IS460" s="131"/>
      <c r="IT460" s="131"/>
      <c r="IU460" s="131"/>
      <c r="IV460" s="131"/>
    </row>
    <row r="461" spans="1:256" s="13" customFormat="1" ht="38.25" customHeight="1">
      <c r="A461" s="21" t="s">
        <v>1</v>
      </c>
      <c r="B461" s="246" t="s">
        <v>34</v>
      </c>
      <c r="C461" s="246" t="s">
        <v>25</v>
      </c>
      <c r="D461" s="246" t="s">
        <v>912</v>
      </c>
      <c r="E461" s="246" t="s">
        <v>138</v>
      </c>
      <c r="F461" s="21" t="s">
        <v>897</v>
      </c>
      <c r="G461" s="246" t="s">
        <v>103</v>
      </c>
      <c r="H461" s="246">
        <v>236220</v>
      </c>
      <c r="I461" s="21" t="s">
        <v>28</v>
      </c>
      <c r="J461" s="21" t="s">
        <v>109</v>
      </c>
      <c r="K461" s="21" t="s">
        <v>1974</v>
      </c>
      <c r="L461" s="21" t="s">
        <v>1974</v>
      </c>
      <c r="M461" s="22">
        <v>1000</v>
      </c>
      <c r="N461" s="22">
        <v>25000</v>
      </c>
      <c r="O461" s="21" t="s">
        <v>9</v>
      </c>
      <c r="P461" s="21" t="s">
        <v>278</v>
      </c>
      <c r="Q461" s="21" t="s">
        <v>279</v>
      </c>
      <c r="R461" s="21" t="s">
        <v>278</v>
      </c>
      <c r="S461" s="74">
        <v>2013</v>
      </c>
      <c r="T461" s="21" t="s">
        <v>907</v>
      </c>
      <c r="U461" s="21" t="s">
        <v>908</v>
      </c>
      <c r="V461" s="21" t="s">
        <v>909</v>
      </c>
      <c r="W461" s="21" t="s">
        <v>66</v>
      </c>
      <c r="X461" s="246" t="s">
        <v>2616</v>
      </c>
      <c r="Y461" s="130"/>
      <c r="Z461" s="130"/>
      <c r="AA461" s="130"/>
      <c r="AB461" s="130"/>
      <c r="AC461" s="130"/>
      <c r="AD461" s="131"/>
      <c r="AE461" s="131"/>
      <c r="AF461" s="131"/>
      <c r="AG461" s="131"/>
      <c r="AH461" s="131"/>
      <c r="AI461" s="131"/>
      <c r="AJ461" s="131"/>
      <c r="AK461" s="131"/>
      <c r="AL461" s="131"/>
      <c r="AM461" s="131"/>
      <c r="AN461" s="131"/>
      <c r="AO461" s="131"/>
      <c r="AP461" s="131"/>
      <c r="AQ461" s="131"/>
      <c r="AR461" s="131"/>
      <c r="AS461" s="131"/>
      <c r="AT461" s="131"/>
      <c r="AU461" s="131"/>
      <c r="AV461" s="131"/>
      <c r="AW461" s="131"/>
      <c r="AX461" s="131"/>
      <c r="AY461" s="131"/>
      <c r="AZ461" s="131"/>
      <c r="BA461" s="131"/>
      <c r="BB461" s="131"/>
      <c r="BC461" s="131"/>
      <c r="BD461" s="131"/>
      <c r="BE461" s="131"/>
      <c r="BF461" s="131"/>
      <c r="BG461" s="131"/>
      <c r="BH461" s="131"/>
      <c r="BI461" s="131"/>
      <c r="BJ461" s="131"/>
      <c r="BK461" s="131"/>
      <c r="BL461" s="131"/>
      <c r="BM461" s="131"/>
      <c r="BN461" s="131"/>
      <c r="BO461" s="131"/>
      <c r="BP461" s="131"/>
      <c r="BQ461" s="131"/>
      <c r="BR461" s="131"/>
      <c r="BS461" s="131"/>
      <c r="BT461" s="131"/>
      <c r="BU461" s="131"/>
      <c r="BV461" s="131"/>
      <c r="BW461" s="131"/>
      <c r="BX461" s="131"/>
      <c r="BY461" s="131"/>
      <c r="BZ461" s="131"/>
      <c r="CA461" s="131"/>
      <c r="CB461" s="131"/>
      <c r="CC461" s="131"/>
      <c r="CD461" s="131"/>
      <c r="CE461" s="131"/>
      <c r="CF461" s="131"/>
      <c r="CG461" s="131"/>
      <c r="CH461" s="131"/>
      <c r="CI461" s="131"/>
      <c r="CJ461" s="131"/>
      <c r="CK461" s="131"/>
      <c r="CL461" s="131"/>
      <c r="CM461" s="131"/>
      <c r="CN461" s="131"/>
      <c r="CO461" s="131"/>
      <c r="CP461" s="131"/>
      <c r="CQ461" s="131"/>
      <c r="CR461" s="131"/>
      <c r="CS461" s="131"/>
      <c r="CT461" s="131"/>
      <c r="CU461" s="131"/>
      <c r="CV461" s="131"/>
      <c r="CW461" s="131"/>
      <c r="CX461" s="131"/>
      <c r="CY461" s="131"/>
      <c r="CZ461" s="131"/>
      <c r="DA461" s="131"/>
      <c r="DB461" s="131"/>
      <c r="DC461" s="131"/>
      <c r="DD461" s="131"/>
      <c r="DE461" s="131"/>
      <c r="DF461" s="131"/>
      <c r="DG461" s="131"/>
      <c r="DH461" s="131"/>
      <c r="DI461" s="131"/>
      <c r="DJ461" s="131"/>
      <c r="DK461" s="131"/>
      <c r="DL461" s="131"/>
      <c r="DM461" s="131"/>
      <c r="DN461" s="131"/>
      <c r="DO461" s="131"/>
      <c r="DP461" s="131"/>
      <c r="DQ461" s="131"/>
      <c r="DR461" s="131"/>
      <c r="DS461" s="131"/>
      <c r="DT461" s="131"/>
      <c r="DU461" s="131"/>
      <c r="DV461" s="131"/>
      <c r="DW461" s="131"/>
      <c r="DX461" s="131"/>
      <c r="DY461" s="131"/>
      <c r="DZ461" s="131"/>
      <c r="EA461" s="131"/>
      <c r="EB461" s="131"/>
      <c r="EC461" s="131"/>
      <c r="ED461" s="131"/>
      <c r="EE461" s="131"/>
      <c r="EF461" s="131"/>
      <c r="EG461" s="131"/>
      <c r="EH461" s="131"/>
      <c r="EI461" s="131"/>
      <c r="EJ461" s="131"/>
      <c r="EK461" s="131"/>
      <c r="EL461" s="131"/>
      <c r="EM461" s="131"/>
      <c r="EN461" s="131"/>
      <c r="EO461" s="131"/>
      <c r="EP461" s="131"/>
      <c r="EQ461" s="131"/>
      <c r="ER461" s="131"/>
      <c r="ES461" s="131"/>
      <c r="ET461" s="131"/>
      <c r="EU461" s="131"/>
      <c r="EV461" s="131"/>
      <c r="EW461" s="131"/>
      <c r="EX461" s="131"/>
      <c r="EY461" s="131"/>
      <c r="EZ461" s="131"/>
      <c r="FA461" s="131"/>
      <c r="FB461" s="131"/>
      <c r="FC461" s="131"/>
      <c r="FD461" s="131"/>
      <c r="FE461" s="131"/>
      <c r="FF461" s="131"/>
      <c r="FG461" s="131"/>
      <c r="FH461" s="131"/>
      <c r="FI461" s="131"/>
      <c r="FJ461" s="131"/>
      <c r="FK461" s="131"/>
      <c r="FL461" s="131"/>
      <c r="FM461" s="131"/>
      <c r="FN461" s="131"/>
      <c r="FO461" s="131"/>
      <c r="FP461" s="131"/>
      <c r="FQ461" s="131"/>
      <c r="FR461" s="131"/>
      <c r="FS461" s="131"/>
      <c r="FT461" s="131"/>
      <c r="FU461" s="131"/>
      <c r="FV461" s="131"/>
      <c r="FW461" s="131"/>
      <c r="FX461" s="131"/>
      <c r="FY461" s="131"/>
      <c r="FZ461" s="131"/>
      <c r="GA461" s="131"/>
      <c r="GB461" s="131"/>
      <c r="GC461" s="131"/>
      <c r="GD461" s="131"/>
      <c r="GE461" s="131"/>
      <c r="GF461" s="131"/>
      <c r="GG461" s="131"/>
      <c r="GH461" s="131"/>
      <c r="GI461" s="131"/>
      <c r="GJ461" s="131"/>
      <c r="GK461" s="131"/>
      <c r="GL461" s="131"/>
      <c r="GM461" s="131"/>
      <c r="GN461" s="131"/>
      <c r="GO461" s="131"/>
      <c r="GP461" s="131"/>
      <c r="GQ461" s="131"/>
      <c r="GR461" s="131"/>
      <c r="GS461" s="131"/>
      <c r="GT461" s="131"/>
      <c r="GU461" s="131"/>
      <c r="GV461" s="131"/>
      <c r="GW461" s="131"/>
      <c r="GX461" s="131"/>
      <c r="GY461" s="131"/>
      <c r="GZ461" s="131"/>
      <c r="HA461" s="131"/>
      <c r="HB461" s="131"/>
      <c r="HC461" s="131"/>
      <c r="HD461" s="131"/>
      <c r="HE461" s="131"/>
      <c r="HF461" s="131"/>
      <c r="HG461" s="131"/>
      <c r="HH461" s="131"/>
      <c r="HI461" s="131"/>
      <c r="HJ461" s="131"/>
      <c r="HK461" s="131"/>
      <c r="HL461" s="131"/>
      <c r="HM461" s="131"/>
      <c r="HN461" s="131"/>
      <c r="HO461" s="131"/>
      <c r="HP461" s="131"/>
      <c r="HQ461" s="131"/>
      <c r="HR461" s="131"/>
      <c r="HS461" s="131"/>
      <c r="HT461" s="131"/>
      <c r="HU461" s="131"/>
      <c r="HV461" s="131"/>
      <c r="HW461" s="131"/>
      <c r="HX461" s="131"/>
      <c r="HY461" s="131"/>
      <c r="HZ461" s="131"/>
      <c r="IA461" s="131"/>
      <c r="IB461" s="131"/>
      <c r="IC461" s="131"/>
      <c r="ID461" s="131"/>
      <c r="IE461" s="131"/>
      <c r="IF461" s="131"/>
      <c r="IG461" s="131"/>
      <c r="IH461" s="131"/>
      <c r="II461" s="131"/>
      <c r="IJ461" s="131"/>
      <c r="IK461" s="131"/>
      <c r="IL461" s="131"/>
      <c r="IM461" s="131"/>
      <c r="IN461" s="131"/>
      <c r="IO461" s="131"/>
      <c r="IP461" s="131"/>
      <c r="IQ461" s="131"/>
      <c r="IR461" s="131"/>
      <c r="IS461" s="131"/>
      <c r="IT461" s="131"/>
      <c r="IU461" s="131"/>
      <c r="IV461" s="131"/>
    </row>
    <row r="462" spans="1:256" s="13" customFormat="1" ht="38.25" customHeight="1">
      <c r="A462" s="21" t="s">
        <v>1</v>
      </c>
      <c r="B462" s="246" t="s">
        <v>34</v>
      </c>
      <c r="C462" s="246" t="s">
        <v>25</v>
      </c>
      <c r="D462" s="246" t="s">
        <v>913</v>
      </c>
      <c r="E462" s="246" t="s">
        <v>138</v>
      </c>
      <c r="F462" s="21" t="s">
        <v>897</v>
      </c>
      <c r="G462" s="246" t="s">
        <v>103</v>
      </c>
      <c r="H462" s="246">
        <v>236220</v>
      </c>
      <c r="I462" s="21" t="s">
        <v>28</v>
      </c>
      <c r="J462" s="21" t="s">
        <v>109</v>
      </c>
      <c r="K462" s="21" t="s">
        <v>1974</v>
      </c>
      <c r="L462" s="21" t="s">
        <v>1974</v>
      </c>
      <c r="M462" s="22">
        <v>25000</v>
      </c>
      <c r="N462" s="22">
        <v>100000</v>
      </c>
      <c r="O462" s="21" t="s">
        <v>20</v>
      </c>
      <c r="P462" s="21" t="s">
        <v>278</v>
      </c>
      <c r="Q462" s="21" t="s">
        <v>279</v>
      </c>
      <c r="R462" s="21" t="s">
        <v>278</v>
      </c>
      <c r="S462" s="74">
        <v>2013</v>
      </c>
      <c r="T462" s="21" t="s">
        <v>907</v>
      </c>
      <c r="U462" s="21" t="s">
        <v>908</v>
      </c>
      <c r="V462" s="21" t="s">
        <v>909</v>
      </c>
      <c r="W462" s="21" t="s">
        <v>66</v>
      </c>
      <c r="X462" s="246" t="s">
        <v>2616</v>
      </c>
      <c r="Y462" s="130"/>
      <c r="Z462" s="130"/>
      <c r="AA462" s="130"/>
      <c r="AB462" s="130"/>
      <c r="AC462" s="130"/>
      <c r="AD462" s="131"/>
      <c r="AE462" s="131"/>
      <c r="AF462" s="131"/>
      <c r="AG462" s="131"/>
      <c r="AH462" s="131"/>
      <c r="AI462" s="131"/>
      <c r="AJ462" s="131"/>
      <c r="AK462" s="131"/>
      <c r="AL462" s="131"/>
      <c r="AM462" s="131"/>
      <c r="AN462" s="131"/>
      <c r="AO462" s="131"/>
      <c r="AP462" s="131"/>
      <c r="AQ462" s="131"/>
      <c r="AR462" s="131"/>
      <c r="AS462" s="131"/>
      <c r="AT462" s="131"/>
      <c r="AU462" s="131"/>
      <c r="AV462" s="131"/>
      <c r="AW462" s="131"/>
      <c r="AX462" s="131"/>
      <c r="AY462" s="131"/>
      <c r="AZ462" s="131"/>
      <c r="BA462" s="131"/>
      <c r="BB462" s="131"/>
      <c r="BC462" s="131"/>
      <c r="BD462" s="131"/>
      <c r="BE462" s="131"/>
      <c r="BF462" s="131"/>
      <c r="BG462" s="131"/>
      <c r="BH462" s="131"/>
      <c r="BI462" s="131"/>
      <c r="BJ462" s="131"/>
      <c r="BK462" s="131"/>
      <c r="BL462" s="131"/>
      <c r="BM462" s="131"/>
      <c r="BN462" s="131"/>
      <c r="BO462" s="131"/>
      <c r="BP462" s="131"/>
      <c r="BQ462" s="131"/>
      <c r="BR462" s="131"/>
      <c r="BS462" s="131"/>
      <c r="BT462" s="131"/>
      <c r="BU462" s="131"/>
      <c r="BV462" s="131"/>
      <c r="BW462" s="131"/>
      <c r="BX462" s="131"/>
      <c r="BY462" s="131"/>
      <c r="BZ462" s="131"/>
      <c r="CA462" s="131"/>
      <c r="CB462" s="131"/>
      <c r="CC462" s="131"/>
      <c r="CD462" s="131"/>
      <c r="CE462" s="131"/>
      <c r="CF462" s="131"/>
      <c r="CG462" s="131"/>
      <c r="CH462" s="131"/>
      <c r="CI462" s="131"/>
      <c r="CJ462" s="131"/>
      <c r="CK462" s="131"/>
      <c r="CL462" s="131"/>
      <c r="CM462" s="131"/>
      <c r="CN462" s="131"/>
      <c r="CO462" s="131"/>
      <c r="CP462" s="131"/>
      <c r="CQ462" s="131"/>
      <c r="CR462" s="131"/>
      <c r="CS462" s="131"/>
      <c r="CT462" s="131"/>
      <c r="CU462" s="131"/>
      <c r="CV462" s="131"/>
      <c r="CW462" s="131"/>
      <c r="CX462" s="131"/>
      <c r="CY462" s="131"/>
      <c r="CZ462" s="131"/>
      <c r="DA462" s="131"/>
      <c r="DB462" s="131"/>
      <c r="DC462" s="131"/>
      <c r="DD462" s="131"/>
      <c r="DE462" s="131"/>
      <c r="DF462" s="131"/>
      <c r="DG462" s="131"/>
      <c r="DH462" s="131"/>
      <c r="DI462" s="131"/>
      <c r="DJ462" s="131"/>
      <c r="DK462" s="131"/>
      <c r="DL462" s="131"/>
      <c r="DM462" s="131"/>
      <c r="DN462" s="131"/>
      <c r="DO462" s="131"/>
      <c r="DP462" s="131"/>
      <c r="DQ462" s="131"/>
      <c r="DR462" s="131"/>
      <c r="DS462" s="131"/>
      <c r="DT462" s="131"/>
      <c r="DU462" s="131"/>
      <c r="DV462" s="131"/>
      <c r="DW462" s="131"/>
      <c r="DX462" s="131"/>
      <c r="DY462" s="131"/>
      <c r="DZ462" s="131"/>
      <c r="EA462" s="131"/>
      <c r="EB462" s="131"/>
      <c r="EC462" s="131"/>
      <c r="ED462" s="131"/>
      <c r="EE462" s="131"/>
      <c r="EF462" s="131"/>
      <c r="EG462" s="131"/>
      <c r="EH462" s="131"/>
      <c r="EI462" s="131"/>
      <c r="EJ462" s="131"/>
      <c r="EK462" s="131"/>
      <c r="EL462" s="131"/>
      <c r="EM462" s="131"/>
      <c r="EN462" s="131"/>
      <c r="EO462" s="131"/>
      <c r="EP462" s="131"/>
      <c r="EQ462" s="131"/>
      <c r="ER462" s="131"/>
      <c r="ES462" s="131"/>
      <c r="ET462" s="131"/>
      <c r="EU462" s="131"/>
      <c r="EV462" s="131"/>
      <c r="EW462" s="131"/>
      <c r="EX462" s="131"/>
      <c r="EY462" s="131"/>
      <c r="EZ462" s="131"/>
      <c r="FA462" s="131"/>
      <c r="FB462" s="131"/>
      <c r="FC462" s="131"/>
      <c r="FD462" s="131"/>
      <c r="FE462" s="131"/>
      <c r="FF462" s="131"/>
      <c r="FG462" s="131"/>
      <c r="FH462" s="131"/>
      <c r="FI462" s="131"/>
      <c r="FJ462" s="131"/>
      <c r="FK462" s="131"/>
      <c r="FL462" s="131"/>
      <c r="FM462" s="131"/>
      <c r="FN462" s="131"/>
      <c r="FO462" s="131"/>
      <c r="FP462" s="131"/>
      <c r="FQ462" s="131"/>
      <c r="FR462" s="131"/>
      <c r="FS462" s="131"/>
      <c r="FT462" s="131"/>
      <c r="FU462" s="131"/>
      <c r="FV462" s="131"/>
      <c r="FW462" s="131"/>
      <c r="FX462" s="131"/>
      <c r="FY462" s="131"/>
      <c r="FZ462" s="131"/>
      <c r="GA462" s="131"/>
      <c r="GB462" s="131"/>
      <c r="GC462" s="131"/>
      <c r="GD462" s="131"/>
      <c r="GE462" s="131"/>
      <c r="GF462" s="131"/>
      <c r="GG462" s="131"/>
      <c r="GH462" s="131"/>
      <c r="GI462" s="131"/>
      <c r="GJ462" s="131"/>
      <c r="GK462" s="131"/>
      <c r="GL462" s="131"/>
      <c r="GM462" s="131"/>
      <c r="GN462" s="131"/>
      <c r="GO462" s="131"/>
      <c r="GP462" s="131"/>
      <c r="GQ462" s="131"/>
      <c r="GR462" s="131"/>
      <c r="GS462" s="131"/>
      <c r="GT462" s="131"/>
      <c r="GU462" s="131"/>
      <c r="GV462" s="131"/>
      <c r="GW462" s="131"/>
      <c r="GX462" s="131"/>
      <c r="GY462" s="131"/>
      <c r="GZ462" s="131"/>
      <c r="HA462" s="131"/>
      <c r="HB462" s="131"/>
      <c r="HC462" s="131"/>
      <c r="HD462" s="131"/>
      <c r="HE462" s="131"/>
      <c r="HF462" s="131"/>
      <c r="HG462" s="131"/>
      <c r="HH462" s="131"/>
      <c r="HI462" s="131"/>
      <c r="HJ462" s="131"/>
      <c r="HK462" s="131"/>
      <c r="HL462" s="131"/>
      <c r="HM462" s="131"/>
      <c r="HN462" s="131"/>
      <c r="HO462" s="131"/>
      <c r="HP462" s="131"/>
      <c r="HQ462" s="131"/>
      <c r="HR462" s="131"/>
      <c r="HS462" s="131"/>
      <c r="HT462" s="131"/>
      <c r="HU462" s="131"/>
      <c r="HV462" s="131"/>
      <c r="HW462" s="131"/>
      <c r="HX462" s="131"/>
      <c r="HY462" s="131"/>
      <c r="HZ462" s="131"/>
      <c r="IA462" s="131"/>
      <c r="IB462" s="131"/>
      <c r="IC462" s="131"/>
      <c r="ID462" s="131"/>
      <c r="IE462" s="131"/>
      <c r="IF462" s="131"/>
      <c r="IG462" s="131"/>
      <c r="IH462" s="131"/>
      <c r="II462" s="131"/>
      <c r="IJ462" s="131"/>
      <c r="IK462" s="131"/>
      <c r="IL462" s="131"/>
      <c r="IM462" s="131"/>
      <c r="IN462" s="131"/>
      <c r="IO462" s="131"/>
      <c r="IP462" s="131"/>
      <c r="IQ462" s="131"/>
      <c r="IR462" s="131"/>
      <c r="IS462" s="131"/>
      <c r="IT462" s="131"/>
      <c r="IU462" s="131"/>
      <c r="IV462" s="131"/>
    </row>
    <row r="463" spans="1:256" s="13" customFormat="1" ht="38.25" customHeight="1">
      <c r="A463" s="21" t="s">
        <v>1</v>
      </c>
      <c r="B463" s="246" t="s">
        <v>34</v>
      </c>
      <c r="C463" s="246" t="s">
        <v>25</v>
      </c>
      <c r="D463" s="246" t="s">
        <v>914</v>
      </c>
      <c r="E463" s="246" t="s">
        <v>138</v>
      </c>
      <c r="F463" s="21" t="s">
        <v>897</v>
      </c>
      <c r="G463" s="246" t="s">
        <v>103</v>
      </c>
      <c r="H463" s="246">
        <v>236220</v>
      </c>
      <c r="I463" s="21" t="s">
        <v>28</v>
      </c>
      <c r="J463" s="21" t="s">
        <v>109</v>
      </c>
      <c r="K463" s="21" t="s">
        <v>1974</v>
      </c>
      <c r="L463" s="21" t="s">
        <v>1974</v>
      </c>
      <c r="M463" s="22">
        <v>1000</v>
      </c>
      <c r="N463" s="22">
        <v>25000</v>
      </c>
      <c r="O463" s="21" t="s">
        <v>9</v>
      </c>
      <c r="P463" s="21" t="s">
        <v>278</v>
      </c>
      <c r="Q463" s="21" t="s">
        <v>279</v>
      </c>
      <c r="R463" s="21" t="s">
        <v>278</v>
      </c>
      <c r="S463" s="74">
        <v>2013</v>
      </c>
      <c r="T463" s="21" t="s">
        <v>907</v>
      </c>
      <c r="U463" s="21" t="s">
        <v>908</v>
      </c>
      <c r="V463" s="21" t="s">
        <v>909</v>
      </c>
      <c r="W463" s="21" t="s">
        <v>66</v>
      </c>
      <c r="X463" s="246" t="s">
        <v>2616</v>
      </c>
      <c r="Y463" s="130"/>
      <c r="Z463" s="130"/>
      <c r="AA463" s="130"/>
      <c r="AB463" s="130"/>
      <c r="AC463" s="130"/>
      <c r="AD463" s="131"/>
      <c r="AE463" s="131"/>
      <c r="AF463" s="131"/>
      <c r="AG463" s="131"/>
      <c r="AH463" s="131"/>
      <c r="AI463" s="131"/>
      <c r="AJ463" s="131"/>
      <c r="AK463" s="131"/>
      <c r="AL463" s="131"/>
      <c r="AM463" s="131"/>
      <c r="AN463" s="131"/>
      <c r="AO463" s="131"/>
      <c r="AP463" s="131"/>
      <c r="AQ463" s="131"/>
      <c r="AR463" s="131"/>
      <c r="AS463" s="131"/>
      <c r="AT463" s="131"/>
      <c r="AU463" s="131"/>
      <c r="AV463" s="131"/>
      <c r="AW463" s="131"/>
      <c r="AX463" s="131"/>
      <c r="AY463" s="131"/>
      <c r="AZ463" s="131"/>
      <c r="BA463" s="131"/>
      <c r="BB463" s="131"/>
      <c r="BC463" s="131"/>
      <c r="BD463" s="131"/>
      <c r="BE463" s="131"/>
      <c r="BF463" s="131"/>
      <c r="BG463" s="131"/>
      <c r="BH463" s="131"/>
      <c r="BI463" s="131"/>
      <c r="BJ463" s="131"/>
      <c r="BK463" s="131"/>
      <c r="BL463" s="131"/>
      <c r="BM463" s="131"/>
      <c r="BN463" s="131"/>
      <c r="BO463" s="131"/>
      <c r="BP463" s="131"/>
      <c r="BQ463" s="131"/>
      <c r="BR463" s="131"/>
      <c r="BS463" s="131"/>
      <c r="BT463" s="131"/>
      <c r="BU463" s="131"/>
      <c r="BV463" s="131"/>
      <c r="BW463" s="131"/>
      <c r="BX463" s="131"/>
      <c r="BY463" s="131"/>
      <c r="BZ463" s="131"/>
      <c r="CA463" s="131"/>
      <c r="CB463" s="131"/>
      <c r="CC463" s="131"/>
      <c r="CD463" s="131"/>
      <c r="CE463" s="131"/>
      <c r="CF463" s="131"/>
      <c r="CG463" s="131"/>
      <c r="CH463" s="131"/>
      <c r="CI463" s="131"/>
      <c r="CJ463" s="131"/>
      <c r="CK463" s="131"/>
      <c r="CL463" s="131"/>
      <c r="CM463" s="131"/>
      <c r="CN463" s="131"/>
      <c r="CO463" s="131"/>
      <c r="CP463" s="131"/>
      <c r="CQ463" s="131"/>
      <c r="CR463" s="131"/>
      <c r="CS463" s="131"/>
      <c r="CT463" s="131"/>
      <c r="CU463" s="131"/>
      <c r="CV463" s="131"/>
      <c r="CW463" s="131"/>
      <c r="CX463" s="131"/>
      <c r="CY463" s="131"/>
      <c r="CZ463" s="131"/>
      <c r="DA463" s="131"/>
      <c r="DB463" s="131"/>
      <c r="DC463" s="131"/>
      <c r="DD463" s="131"/>
      <c r="DE463" s="131"/>
      <c r="DF463" s="131"/>
      <c r="DG463" s="131"/>
      <c r="DH463" s="131"/>
      <c r="DI463" s="131"/>
      <c r="DJ463" s="131"/>
      <c r="DK463" s="131"/>
      <c r="DL463" s="131"/>
      <c r="DM463" s="131"/>
      <c r="DN463" s="131"/>
      <c r="DO463" s="131"/>
      <c r="DP463" s="131"/>
      <c r="DQ463" s="131"/>
      <c r="DR463" s="131"/>
      <c r="DS463" s="131"/>
      <c r="DT463" s="131"/>
      <c r="DU463" s="131"/>
      <c r="DV463" s="131"/>
      <c r="DW463" s="131"/>
      <c r="DX463" s="131"/>
      <c r="DY463" s="131"/>
      <c r="DZ463" s="131"/>
      <c r="EA463" s="131"/>
      <c r="EB463" s="131"/>
      <c r="EC463" s="131"/>
      <c r="ED463" s="131"/>
      <c r="EE463" s="131"/>
      <c r="EF463" s="131"/>
      <c r="EG463" s="131"/>
      <c r="EH463" s="131"/>
      <c r="EI463" s="131"/>
      <c r="EJ463" s="131"/>
      <c r="EK463" s="131"/>
      <c r="EL463" s="131"/>
      <c r="EM463" s="131"/>
      <c r="EN463" s="131"/>
      <c r="EO463" s="131"/>
      <c r="EP463" s="131"/>
      <c r="EQ463" s="131"/>
      <c r="ER463" s="131"/>
      <c r="ES463" s="131"/>
      <c r="ET463" s="131"/>
      <c r="EU463" s="131"/>
      <c r="EV463" s="131"/>
      <c r="EW463" s="131"/>
      <c r="EX463" s="131"/>
      <c r="EY463" s="131"/>
      <c r="EZ463" s="131"/>
      <c r="FA463" s="131"/>
      <c r="FB463" s="131"/>
      <c r="FC463" s="131"/>
      <c r="FD463" s="131"/>
      <c r="FE463" s="131"/>
      <c r="FF463" s="131"/>
      <c r="FG463" s="131"/>
      <c r="FH463" s="131"/>
      <c r="FI463" s="131"/>
      <c r="FJ463" s="131"/>
      <c r="FK463" s="131"/>
      <c r="FL463" s="131"/>
      <c r="FM463" s="131"/>
      <c r="FN463" s="131"/>
      <c r="FO463" s="131"/>
      <c r="FP463" s="131"/>
      <c r="FQ463" s="131"/>
      <c r="FR463" s="131"/>
      <c r="FS463" s="131"/>
      <c r="FT463" s="131"/>
      <c r="FU463" s="131"/>
      <c r="FV463" s="131"/>
      <c r="FW463" s="131"/>
      <c r="FX463" s="131"/>
      <c r="FY463" s="131"/>
      <c r="FZ463" s="131"/>
      <c r="GA463" s="131"/>
      <c r="GB463" s="131"/>
      <c r="GC463" s="131"/>
      <c r="GD463" s="131"/>
      <c r="GE463" s="131"/>
      <c r="GF463" s="131"/>
      <c r="GG463" s="131"/>
      <c r="GH463" s="131"/>
      <c r="GI463" s="131"/>
      <c r="GJ463" s="131"/>
      <c r="GK463" s="131"/>
      <c r="GL463" s="131"/>
      <c r="GM463" s="131"/>
      <c r="GN463" s="131"/>
      <c r="GO463" s="131"/>
      <c r="GP463" s="131"/>
      <c r="GQ463" s="131"/>
      <c r="GR463" s="131"/>
      <c r="GS463" s="131"/>
      <c r="GT463" s="131"/>
      <c r="GU463" s="131"/>
      <c r="GV463" s="131"/>
      <c r="GW463" s="131"/>
      <c r="GX463" s="131"/>
      <c r="GY463" s="131"/>
      <c r="GZ463" s="131"/>
      <c r="HA463" s="131"/>
      <c r="HB463" s="131"/>
      <c r="HC463" s="131"/>
      <c r="HD463" s="131"/>
      <c r="HE463" s="131"/>
      <c r="HF463" s="131"/>
      <c r="HG463" s="131"/>
      <c r="HH463" s="131"/>
      <c r="HI463" s="131"/>
      <c r="HJ463" s="131"/>
      <c r="HK463" s="131"/>
      <c r="HL463" s="131"/>
      <c r="HM463" s="131"/>
      <c r="HN463" s="131"/>
      <c r="HO463" s="131"/>
      <c r="HP463" s="131"/>
      <c r="HQ463" s="131"/>
      <c r="HR463" s="131"/>
      <c r="HS463" s="131"/>
      <c r="HT463" s="131"/>
      <c r="HU463" s="131"/>
      <c r="HV463" s="131"/>
      <c r="HW463" s="131"/>
      <c r="HX463" s="131"/>
      <c r="HY463" s="131"/>
      <c r="HZ463" s="131"/>
      <c r="IA463" s="131"/>
      <c r="IB463" s="131"/>
      <c r="IC463" s="131"/>
      <c r="ID463" s="131"/>
      <c r="IE463" s="131"/>
      <c r="IF463" s="131"/>
      <c r="IG463" s="131"/>
      <c r="IH463" s="131"/>
      <c r="II463" s="131"/>
      <c r="IJ463" s="131"/>
      <c r="IK463" s="131"/>
      <c r="IL463" s="131"/>
      <c r="IM463" s="131"/>
      <c r="IN463" s="131"/>
      <c r="IO463" s="131"/>
      <c r="IP463" s="131"/>
      <c r="IQ463" s="131"/>
      <c r="IR463" s="131"/>
      <c r="IS463" s="131"/>
      <c r="IT463" s="131"/>
      <c r="IU463" s="131"/>
      <c r="IV463" s="131"/>
    </row>
    <row r="464" spans="1:256" s="13" customFormat="1" ht="38.25" customHeight="1">
      <c r="A464" s="21" t="s">
        <v>1</v>
      </c>
      <c r="B464" s="246" t="s">
        <v>34</v>
      </c>
      <c r="C464" s="246" t="s">
        <v>25</v>
      </c>
      <c r="D464" s="246" t="s">
        <v>915</v>
      </c>
      <c r="E464" s="246" t="s">
        <v>138</v>
      </c>
      <c r="F464" s="21" t="s">
        <v>897</v>
      </c>
      <c r="G464" s="246" t="s">
        <v>103</v>
      </c>
      <c r="H464" s="246">
        <v>236220</v>
      </c>
      <c r="I464" s="21" t="s">
        <v>28</v>
      </c>
      <c r="J464" s="21" t="s">
        <v>109</v>
      </c>
      <c r="K464" s="21" t="s">
        <v>1974</v>
      </c>
      <c r="L464" s="21" t="s">
        <v>1974</v>
      </c>
      <c r="M464" s="22">
        <v>1000</v>
      </c>
      <c r="N464" s="22">
        <v>25000</v>
      </c>
      <c r="O464" s="21" t="s">
        <v>9</v>
      </c>
      <c r="P464" s="21" t="s">
        <v>278</v>
      </c>
      <c r="Q464" s="21" t="s">
        <v>279</v>
      </c>
      <c r="R464" s="21" t="s">
        <v>278</v>
      </c>
      <c r="S464" s="74">
        <v>2013</v>
      </c>
      <c r="T464" s="21" t="s">
        <v>907</v>
      </c>
      <c r="U464" s="21" t="s">
        <v>908</v>
      </c>
      <c r="V464" s="21" t="s">
        <v>909</v>
      </c>
      <c r="W464" s="21" t="s">
        <v>66</v>
      </c>
      <c r="X464" s="246" t="s">
        <v>2616</v>
      </c>
      <c r="Y464" s="130"/>
      <c r="Z464" s="130"/>
      <c r="AA464" s="130"/>
      <c r="AB464" s="130"/>
      <c r="AC464" s="130"/>
      <c r="AD464" s="131"/>
      <c r="AE464" s="131"/>
      <c r="AF464" s="131"/>
      <c r="AG464" s="131"/>
      <c r="AH464" s="131"/>
      <c r="AI464" s="131"/>
      <c r="AJ464" s="131"/>
      <c r="AK464" s="131"/>
      <c r="AL464" s="131"/>
      <c r="AM464" s="131"/>
      <c r="AN464" s="131"/>
      <c r="AO464" s="131"/>
      <c r="AP464" s="131"/>
      <c r="AQ464" s="131"/>
      <c r="AR464" s="131"/>
      <c r="AS464" s="131"/>
      <c r="AT464" s="131"/>
      <c r="AU464" s="131"/>
      <c r="AV464" s="131"/>
      <c r="AW464" s="131"/>
      <c r="AX464" s="131"/>
      <c r="AY464" s="131"/>
      <c r="AZ464" s="131"/>
      <c r="BA464" s="131"/>
      <c r="BB464" s="131"/>
      <c r="BC464" s="131"/>
      <c r="BD464" s="131"/>
      <c r="BE464" s="131"/>
      <c r="BF464" s="131"/>
      <c r="BG464" s="131"/>
      <c r="BH464" s="131"/>
      <c r="BI464" s="131"/>
      <c r="BJ464" s="131"/>
      <c r="BK464" s="131"/>
      <c r="BL464" s="131"/>
      <c r="BM464" s="131"/>
      <c r="BN464" s="131"/>
      <c r="BO464" s="131"/>
      <c r="BP464" s="131"/>
      <c r="BQ464" s="131"/>
      <c r="BR464" s="131"/>
      <c r="BS464" s="131"/>
      <c r="BT464" s="131"/>
      <c r="BU464" s="131"/>
      <c r="BV464" s="131"/>
      <c r="BW464" s="131"/>
      <c r="BX464" s="131"/>
      <c r="BY464" s="131"/>
      <c r="BZ464" s="131"/>
      <c r="CA464" s="131"/>
      <c r="CB464" s="131"/>
      <c r="CC464" s="131"/>
      <c r="CD464" s="131"/>
      <c r="CE464" s="131"/>
      <c r="CF464" s="131"/>
      <c r="CG464" s="131"/>
      <c r="CH464" s="131"/>
      <c r="CI464" s="131"/>
      <c r="CJ464" s="131"/>
      <c r="CK464" s="131"/>
      <c r="CL464" s="131"/>
      <c r="CM464" s="131"/>
      <c r="CN464" s="131"/>
      <c r="CO464" s="131"/>
      <c r="CP464" s="131"/>
      <c r="CQ464" s="131"/>
      <c r="CR464" s="131"/>
      <c r="CS464" s="131"/>
      <c r="CT464" s="131"/>
      <c r="CU464" s="131"/>
      <c r="CV464" s="131"/>
      <c r="CW464" s="131"/>
      <c r="CX464" s="131"/>
      <c r="CY464" s="131"/>
      <c r="CZ464" s="131"/>
      <c r="DA464" s="131"/>
      <c r="DB464" s="131"/>
      <c r="DC464" s="131"/>
      <c r="DD464" s="131"/>
      <c r="DE464" s="131"/>
      <c r="DF464" s="131"/>
      <c r="DG464" s="131"/>
      <c r="DH464" s="131"/>
      <c r="DI464" s="131"/>
      <c r="DJ464" s="131"/>
      <c r="DK464" s="131"/>
      <c r="DL464" s="131"/>
      <c r="DM464" s="131"/>
      <c r="DN464" s="131"/>
      <c r="DO464" s="131"/>
      <c r="DP464" s="131"/>
      <c r="DQ464" s="131"/>
      <c r="DR464" s="131"/>
      <c r="DS464" s="131"/>
      <c r="DT464" s="131"/>
      <c r="DU464" s="131"/>
      <c r="DV464" s="131"/>
      <c r="DW464" s="131"/>
      <c r="DX464" s="131"/>
      <c r="DY464" s="131"/>
      <c r="DZ464" s="131"/>
      <c r="EA464" s="131"/>
      <c r="EB464" s="131"/>
      <c r="EC464" s="131"/>
      <c r="ED464" s="131"/>
      <c r="EE464" s="131"/>
      <c r="EF464" s="131"/>
      <c r="EG464" s="131"/>
      <c r="EH464" s="131"/>
      <c r="EI464" s="131"/>
      <c r="EJ464" s="131"/>
      <c r="EK464" s="131"/>
      <c r="EL464" s="131"/>
      <c r="EM464" s="131"/>
      <c r="EN464" s="131"/>
      <c r="EO464" s="131"/>
      <c r="EP464" s="131"/>
      <c r="EQ464" s="131"/>
      <c r="ER464" s="131"/>
      <c r="ES464" s="131"/>
      <c r="ET464" s="131"/>
      <c r="EU464" s="131"/>
      <c r="EV464" s="131"/>
      <c r="EW464" s="131"/>
      <c r="EX464" s="131"/>
      <c r="EY464" s="131"/>
      <c r="EZ464" s="131"/>
      <c r="FA464" s="131"/>
      <c r="FB464" s="131"/>
      <c r="FC464" s="131"/>
      <c r="FD464" s="131"/>
      <c r="FE464" s="131"/>
      <c r="FF464" s="131"/>
      <c r="FG464" s="131"/>
      <c r="FH464" s="131"/>
      <c r="FI464" s="131"/>
      <c r="FJ464" s="131"/>
      <c r="FK464" s="131"/>
      <c r="FL464" s="131"/>
      <c r="FM464" s="131"/>
      <c r="FN464" s="131"/>
      <c r="FO464" s="131"/>
      <c r="FP464" s="131"/>
      <c r="FQ464" s="131"/>
      <c r="FR464" s="131"/>
      <c r="FS464" s="131"/>
      <c r="FT464" s="131"/>
      <c r="FU464" s="131"/>
      <c r="FV464" s="131"/>
      <c r="FW464" s="131"/>
      <c r="FX464" s="131"/>
      <c r="FY464" s="131"/>
      <c r="FZ464" s="131"/>
      <c r="GA464" s="131"/>
      <c r="GB464" s="131"/>
      <c r="GC464" s="131"/>
      <c r="GD464" s="131"/>
      <c r="GE464" s="131"/>
      <c r="GF464" s="131"/>
      <c r="GG464" s="131"/>
      <c r="GH464" s="131"/>
      <c r="GI464" s="131"/>
      <c r="GJ464" s="131"/>
      <c r="GK464" s="131"/>
      <c r="GL464" s="131"/>
      <c r="GM464" s="131"/>
      <c r="GN464" s="131"/>
      <c r="GO464" s="131"/>
      <c r="GP464" s="131"/>
      <c r="GQ464" s="131"/>
      <c r="GR464" s="131"/>
      <c r="GS464" s="131"/>
      <c r="GT464" s="131"/>
      <c r="GU464" s="131"/>
      <c r="GV464" s="131"/>
      <c r="GW464" s="131"/>
      <c r="GX464" s="131"/>
      <c r="GY464" s="131"/>
      <c r="GZ464" s="131"/>
      <c r="HA464" s="131"/>
      <c r="HB464" s="131"/>
      <c r="HC464" s="131"/>
      <c r="HD464" s="131"/>
      <c r="HE464" s="131"/>
      <c r="HF464" s="131"/>
      <c r="HG464" s="131"/>
      <c r="HH464" s="131"/>
      <c r="HI464" s="131"/>
      <c r="HJ464" s="131"/>
      <c r="HK464" s="131"/>
      <c r="HL464" s="131"/>
      <c r="HM464" s="131"/>
      <c r="HN464" s="131"/>
      <c r="HO464" s="131"/>
      <c r="HP464" s="131"/>
      <c r="HQ464" s="131"/>
      <c r="HR464" s="131"/>
      <c r="HS464" s="131"/>
      <c r="HT464" s="131"/>
      <c r="HU464" s="131"/>
      <c r="HV464" s="131"/>
      <c r="HW464" s="131"/>
      <c r="HX464" s="131"/>
      <c r="HY464" s="131"/>
      <c r="HZ464" s="131"/>
      <c r="IA464" s="131"/>
      <c r="IB464" s="131"/>
      <c r="IC464" s="131"/>
      <c r="ID464" s="131"/>
      <c r="IE464" s="131"/>
      <c r="IF464" s="131"/>
      <c r="IG464" s="131"/>
      <c r="IH464" s="131"/>
      <c r="II464" s="131"/>
      <c r="IJ464" s="131"/>
      <c r="IK464" s="131"/>
      <c r="IL464" s="131"/>
      <c r="IM464" s="131"/>
      <c r="IN464" s="131"/>
      <c r="IO464" s="131"/>
      <c r="IP464" s="131"/>
      <c r="IQ464" s="131"/>
      <c r="IR464" s="131"/>
      <c r="IS464" s="131"/>
      <c r="IT464" s="131"/>
      <c r="IU464" s="131"/>
      <c r="IV464" s="131"/>
    </row>
    <row r="465" spans="1:256" s="13" customFormat="1" ht="38.25" customHeight="1">
      <c r="A465" s="21" t="s">
        <v>1</v>
      </c>
      <c r="B465" s="246" t="s">
        <v>34</v>
      </c>
      <c r="C465" s="246" t="s">
        <v>25</v>
      </c>
      <c r="D465" s="246" t="s">
        <v>916</v>
      </c>
      <c r="E465" s="246" t="s">
        <v>138</v>
      </c>
      <c r="F465" s="21" t="s">
        <v>897</v>
      </c>
      <c r="G465" s="246" t="s">
        <v>103</v>
      </c>
      <c r="H465" s="246">
        <v>236220</v>
      </c>
      <c r="I465" s="21" t="s">
        <v>28</v>
      </c>
      <c r="J465" s="21" t="s">
        <v>109</v>
      </c>
      <c r="K465" s="21" t="s">
        <v>1974</v>
      </c>
      <c r="L465" s="21" t="s">
        <v>1974</v>
      </c>
      <c r="M465" s="22">
        <v>1000</v>
      </c>
      <c r="N465" s="22">
        <v>25000</v>
      </c>
      <c r="O465" s="21" t="s">
        <v>20</v>
      </c>
      <c r="P465" s="21" t="s">
        <v>278</v>
      </c>
      <c r="Q465" s="21" t="s">
        <v>279</v>
      </c>
      <c r="R465" s="21" t="s">
        <v>278</v>
      </c>
      <c r="S465" s="74">
        <v>2013</v>
      </c>
      <c r="T465" s="21" t="s">
        <v>907</v>
      </c>
      <c r="U465" s="21" t="s">
        <v>908</v>
      </c>
      <c r="V465" s="21" t="s">
        <v>909</v>
      </c>
      <c r="W465" s="21" t="s">
        <v>66</v>
      </c>
      <c r="X465" s="246" t="s">
        <v>2616</v>
      </c>
      <c r="Y465" s="130"/>
      <c r="Z465" s="130"/>
      <c r="AA465" s="130"/>
      <c r="AB465" s="130"/>
      <c r="AC465" s="130"/>
      <c r="AD465" s="131"/>
      <c r="AE465" s="131"/>
      <c r="AF465" s="131"/>
      <c r="AG465" s="131"/>
      <c r="AH465" s="131"/>
      <c r="AI465" s="131"/>
      <c r="AJ465" s="131"/>
      <c r="AK465" s="131"/>
      <c r="AL465" s="131"/>
      <c r="AM465" s="131"/>
      <c r="AN465" s="131"/>
      <c r="AO465" s="131"/>
      <c r="AP465" s="131"/>
      <c r="AQ465" s="131"/>
      <c r="AR465" s="131"/>
      <c r="AS465" s="131"/>
      <c r="AT465" s="131"/>
      <c r="AU465" s="131"/>
      <c r="AV465" s="131"/>
      <c r="AW465" s="131"/>
      <c r="AX465" s="131"/>
      <c r="AY465" s="131"/>
      <c r="AZ465" s="131"/>
      <c r="BA465" s="131"/>
      <c r="BB465" s="131"/>
      <c r="BC465" s="131"/>
      <c r="BD465" s="131"/>
      <c r="BE465" s="131"/>
      <c r="BF465" s="131"/>
      <c r="BG465" s="131"/>
      <c r="BH465" s="131"/>
      <c r="BI465" s="131"/>
      <c r="BJ465" s="131"/>
      <c r="BK465" s="131"/>
      <c r="BL465" s="131"/>
      <c r="BM465" s="131"/>
      <c r="BN465" s="131"/>
      <c r="BO465" s="131"/>
      <c r="BP465" s="131"/>
      <c r="BQ465" s="131"/>
      <c r="BR465" s="131"/>
      <c r="BS465" s="131"/>
      <c r="BT465" s="131"/>
      <c r="BU465" s="131"/>
      <c r="BV465" s="131"/>
      <c r="BW465" s="131"/>
      <c r="BX465" s="131"/>
      <c r="BY465" s="131"/>
      <c r="BZ465" s="131"/>
      <c r="CA465" s="131"/>
      <c r="CB465" s="131"/>
      <c r="CC465" s="131"/>
      <c r="CD465" s="131"/>
      <c r="CE465" s="131"/>
      <c r="CF465" s="131"/>
      <c r="CG465" s="131"/>
      <c r="CH465" s="131"/>
      <c r="CI465" s="131"/>
      <c r="CJ465" s="131"/>
      <c r="CK465" s="131"/>
      <c r="CL465" s="131"/>
      <c r="CM465" s="131"/>
      <c r="CN465" s="131"/>
      <c r="CO465" s="131"/>
      <c r="CP465" s="131"/>
      <c r="CQ465" s="131"/>
      <c r="CR465" s="131"/>
      <c r="CS465" s="131"/>
      <c r="CT465" s="131"/>
      <c r="CU465" s="131"/>
      <c r="CV465" s="131"/>
      <c r="CW465" s="131"/>
      <c r="CX465" s="131"/>
      <c r="CY465" s="131"/>
      <c r="CZ465" s="131"/>
      <c r="DA465" s="131"/>
      <c r="DB465" s="131"/>
      <c r="DC465" s="131"/>
      <c r="DD465" s="131"/>
      <c r="DE465" s="131"/>
      <c r="DF465" s="131"/>
      <c r="DG465" s="131"/>
      <c r="DH465" s="131"/>
      <c r="DI465" s="131"/>
      <c r="DJ465" s="131"/>
      <c r="DK465" s="131"/>
      <c r="DL465" s="131"/>
      <c r="DM465" s="131"/>
      <c r="DN465" s="131"/>
      <c r="DO465" s="131"/>
      <c r="DP465" s="131"/>
      <c r="DQ465" s="131"/>
      <c r="DR465" s="131"/>
      <c r="DS465" s="131"/>
      <c r="DT465" s="131"/>
      <c r="DU465" s="131"/>
      <c r="DV465" s="131"/>
      <c r="DW465" s="131"/>
      <c r="DX465" s="131"/>
      <c r="DY465" s="131"/>
      <c r="DZ465" s="131"/>
      <c r="EA465" s="131"/>
      <c r="EB465" s="131"/>
      <c r="EC465" s="131"/>
      <c r="ED465" s="131"/>
      <c r="EE465" s="131"/>
      <c r="EF465" s="131"/>
      <c r="EG465" s="131"/>
      <c r="EH465" s="131"/>
      <c r="EI465" s="131"/>
      <c r="EJ465" s="131"/>
      <c r="EK465" s="131"/>
      <c r="EL465" s="131"/>
      <c r="EM465" s="131"/>
      <c r="EN465" s="131"/>
      <c r="EO465" s="131"/>
      <c r="EP465" s="131"/>
      <c r="EQ465" s="131"/>
      <c r="ER465" s="131"/>
      <c r="ES465" s="131"/>
      <c r="ET465" s="131"/>
      <c r="EU465" s="131"/>
      <c r="EV465" s="131"/>
      <c r="EW465" s="131"/>
      <c r="EX465" s="131"/>
      <c r="EY465" s="131"/>
      <c r="EZ465" s="131"/>
      <c r="FA465" s="131"/>
      <c r="FB465" s="131"/>
      <c r="FC465" s="131"/>
      <c r="FD465" s="131"/>
      <c r="FE465" s="131"/>
      <c r="FF465" s="131"/>
      <c r="FG465" s="131"/>
      <c r="FH465" s="131"/>
      <c r="FI465" s="131"/>
      <c r="FJ465" s="131"/>
      <c r="FK465" s="131"/>
      <c r="FL465" s="131"/>
      <c r="FM465" s="131"/>
      <c r="FN465" s="131"/>
      <c r="FO465" s="131"/>
      <c r="FP465" s="131"/>
      <c r="FQ465" s="131"/>
      <c r="FR465" s="131"/>
      <c r="FS465" s="131"/>
      <c r="FT465" s="131"/>
      <c r="FU465" s="131"/>
      <c r="FV465" s="131"/>
      <c r="FW465" s="131"/>
      <c r="FX465" s="131"/>
      <c r="FY465" s="131"/>
      <c r="FZ465" s="131"/>
      <c r="GA465" s="131"/>
      <c r="GB465" s="131"/>
      <c r="GC465" s="131"/>
      <c r="GD465" s="131"/>
      <c r="GE465" s="131"/>
      <c r="GF465" s="131"/>
      <c r="GG465" s="131"/>
      <c r="GH465" s="131"/>
      <c r="GI465" s="131"/>
      <c r="GJ465" s="131"/>
      <c r="GK465" s="131"/>
      <c r="GL465" s="131"/>
      <c r="GM465" s="131"/>
      <c r="GN465" s="131"/>
      <c r="GO465" s="131"/>
      <c r="GP465" s="131"/>
      <c r="GQ465" s="131"/>
      <c r="GR465" s="131"/>
      <c r="GS465" s="131"/>
      <c r="GT465" s="131"/>
      <c r="GU465" s="131"/>
      <c r="GV465" s="131"/>
      <c r="GW465" s="131"/>
      <c r="GX465" s="131"/>
      <c r="GY465" s="131"/>
      <c r="GZ465" s="131"/>
      <c r="HA465" s="131"/>
      <c r="HB465" s="131"/>
      <c r="HC465" s="131"/>
      <c r="HD465" s="131"/>
      <c r="HE465" s="131"/>
      <c r="HF465" s="131"/>
      <c r="HG465" s="131"/>
      <c r="HH465" s="131"/>
      <c r="HI465" s="131"/>
      <c r="HJ465" s="131"/>
      <c r="HK465" s="131"/>
      <c r="HL465" s="131"/>
      <c r="HM465" s="131"/>
      <c r="HN465" s="131"/>
      <c r="HO465" s="131"/>
      <c r="HP465" s="131"/>
      <c r="HQ465" s="131"/>
      <c r="HR465" s="131"/>
      <c r="HS465" s="131"/>
      <c r="HT465" s="131"/>
      <c r="HU465" s="131"/>
      <c r="HV465" s="131"/>
      <c r="HW465" s="131"/>
      <c r="HX465" s="131"/>
      <c r="HY465" s="131"/>
      <c r="HZ465" s="131"/>
      <c r="IA465" s="131"/>
      <c r="IB465" s="131"/>
      <c r="IC465" s="131"/>
      <c r="ID465" s="131"/>
      <c r="IE465" s="131"/>
      <c r="IF465" s="131"/>
      <c r="IG465" s="131"/>
      <c r="IH465" s="131"/>
      <c r="II465" s="131"/>
      <c r="IJ465" s="131"/>
      <c r="IK465" s="131"/>
      <c r="IL465" s="131"/>
      <c r="IM465" s="131"/>
      <c r="IN465" s="131"/>
      <c r="IO465" s="131"/>
      <c r="IP465" s="131"/>
      <c r="IQ465" s="131"/>
      <c r="IR465" s="131"/>
      <c r="IS465" s="131"/>
      <c r="IT465" s="131"/>
      <c r="IU465" s="131"/>
      <c r="IV465" s="131"/>
    </row>
    <row r="466" spans="1:256" s="13" customFormat="1" ht="38.25" customHeight="1">
      <c r="A466" s="21" t="s">
        <v>1</v>
      </c>
      <c r="B466" s="246" t="s">
        <v>34</v>
      </c>
      <c r="C466" s="246" t="s">
        <v>25</v>
      </c>
      <c r="D466" s="246" t="s">
        <v>917</v>
      </c>
      <c r="E466" s="246" t="s">
        <v>138</v>
      </c>
      <c r="F466" s="21" t="s">
        <v>897</v>
      </c>
      <c r="G466" s="246" t="s">
        <v>103</v>
      </c>
      <c r="H466" s="246">
        <v>236220</v>
      </c>
      <c r="I466" s="21" t="s">
        <v>28</v>
      </c>
      <c r="J466" s="21" t="s">
        <v>109</v>
      </c>
      <c r="K466" s="21" t="s">
        <v>1974</v>
      </c>
      <c r="L466" s="21" t="s">
        <v>1974</v>
      </c>
      <c r="M466" s="22">
        <v>1000</v>
      </c>
      <c r="N466" s="22">
        <v>25000</v>
      </c>
      <c r="O466" s="21" t="s">
        <v>9</v>
      </c>
      <c r="P466" s="21" t="s">
        <v>278</v>
      </c>
      <c r="Q466" s="21" t="s">
        <v>279</v>
      </c>
      <c r="R466" s="21" t="s">
        <v>278</v>
      </c>
      <c r="S466" s="74">
        <v>2013</v>
      </c>
      <c r="T466" s="21" t="s">
        <v>907</v>
      </c>
      <c r="U466" s="21" t="s">
        <v>908</v>
      </c>
      <c r="V466" s="21" t="s">
        <v>909</v>
      </c>
      <c r="W466" s="21" t="s">
        <v>66</v>
      </c>
      <c r="X466" s="246" t="s">
        <v>2616</v>
      </c>
      <c r="Y466" s="130"/>
      <c r="Z466" s="130"/>
      <c r="AA466" s="130"/>
      <c r="AB466" s="130"/>
      <c r="AC466" s="130"/>
      <c r="AD466" s="131"/>
      <c r="AE466" s="131"/>
      <c r="AF466" s="131"/>
      <c r="AG466" s="131"/>
      <c r="AH466" s="131"/>
      <c r="AI466" s="131"/>
      <c r="AJ466" s="131"/>
      <c r="AK466" s="131"/>
      <c r="AL466" s="131"/>
      <c r="AM466" s="131"/>
      <c r="AN466" s="131"/>
      <c r="AO466" s="131"/>
      <c r="AP466" s="131"/>
      <c r="AQ466" s="131"/>
      <c r="AR466" s="131"/>
      <c r="AS466" s="131"/>
      <c r="AT466" s="131"/>
      <c r="AU466" s="131"/>
      <c r="AV466" s="131"/>
      <c r="AW466" s="131"/>
      <c r="AX466" s="131"/>
      <c r="AY466" s="131"/>
      <c r="AZ466" s="131"/>
      <c r="BA466" s="131"/>
      <c r="BB466" s="131"/>
      <c r="BC466" s="131"/>
      <c r="BD466" s="131"/>
      <c r="BE466" s="131"/>
      <c r="BF466" s="131"/>
      <c r="BG466" s="131"/>
      <c r="BH466" s="131"/>
      <c r="BI466" s="131"/>
      <c r="BJ466" s="131"/>
      <c r="BK466" s="131"/>
      <c r="BL466" s="131"/>
      <c r="BM466" s="131"/>
      <c r="BN466" s="131"/>
      <c r="BO466" s="131"/>
      <c r="BP466" s="131"/>
      <c r="BQ466" s="131"/>
      <c r="BR466" s="131"/>
      <c r="BS466" s="131"/>
      <c r="BT466" s="131"/>
      <c r="BU466" s="131"/>
      <c r="BV466" s="131"/>
      <c r="BW466" s="131"/>
      <c r="BX466" s="131"/>
      <c r="BY466" s="131"/>
      <c r="BZ466" s="131"/>
      <c r="CA466" s="131"/>
      <c r="CB466" s="131"/>
      <c r="CC466" s="131"/>
      <c r="CD466" s="131"/>
      <c r="CE466" s="131"/>
      <c r="CF466" s="131"/>
      <c r="CG466" s="131"/>
      <c r="CH466" s="131"/>
      <c r="CI466" s="131"/>
      <c r="CJ466" s="131"/>
      <c r="CK466" s="131"/>
      <c r="CL466" s="131"/>
      <c r="CM466" s="131"/>
      <c r="CN466" s="131"/>
      <c r="CO466" s="131"/>
      <c r="CP466" s="131"/>
      <c r="CQ466" s="131"/>
      <c r="CR466" s="131"/>
      <c r="CS466" s="131"/>
      <c r="CT466" s="131"/>
      <c r="CU466" s="131"/>
      <c r="CV466" s="131"/>
      <c r="CW466" s="131"/>
      <c r="CX466" s="131"/>
      <c r="CY466" s="131"/>
      <c r="CZ466" s="131"/>
      <c r="DA466" s="131"/>
      <c r="DB466" s="131"/>
      <c r="DC466" s="131"/>
      <c r="DD466" s="131"/>
      <c r="DE466" s="131"/>
      <c r="DF466" s="131"/>
      <c r="DG466" s="131"/>
      <c r="DH466" s="131"/>
      <c r="DI466" s="131"/>
      <c r="DJ466" s="131"/>
      <c r="DK466" s="131"/>
      <c r="DL466" s="131"/>
      <c r="DM466" s="131"/>
      <c r="DN466" s="131"/>
      <c r="DO466" s="131"/>
      <c r="DP466" s="131"/>
      <c r="DQ466" s="131"/>
      <c r="DR466" s="131"/>
      <c r="DS466" s="131"/>
      <c r="DT466" s="131"/>
      <c r="DU466" s="131"/>
      <c r="DV466" s="131"/>
      <c r="DW466" s="131"/>
      <c r="DX466" s="131"/>
      <c r="DY466" s="131"/>
      <c r="DZ466" s="131"/>
      <c r="EA466" s="131"/>
      <c r="EB466" s="131"/>
      <c r="EC466" s="131"/>
      <c r="ED466" s="131"/>
      <c r="EE466" s="131"/>
      <c r="EF466" s="131"/>
      <c r="EG466" s="131"/>
      <c r="EH466" s="131"/>
      <c r="EI466" s="131"/>
      <c r="EJ466" s="131"/>
      <c r="EK466" s="131"/>
      <c r="EL466" s="131"/>
      <c r="EM466" s="131"/>
      <c r="EN466" s="131"/>
      <c r="EO466" s="131"/>
      <c r="EP466" s="131"/>
      <c r="EQ466" s="131"/>
      <c r="ER466" s="131"/>
      <c r="ES466" s="131"/>
      <c r="ET466" s="131"/>
      <c r="EU466" s="131"/>
      <c r="EV466" s="131"/>
      <c r="EW466" s="131"/>
      <c r="EX466" s="131"/>
      <c r="EY466" s="131"/>
      <c r="EZ466" s="131"/>
      <c r="FA466" s="131"/>
      <c r="FB466" s="131"/>
      <c r="FC466" s="131"/>
      <c r="FD466" s="131"/>
      <c r="FE466" s="131"/>
      <c r="FF466" s="131"/>
      <c r="FG466" s="131"/>
      <c r="FH466" s="131"/>
      <c r="FI466" s="131"/>
      <c r="FJ466" s="131"/>
      <c r="FK466" s="131"/>
      <c r="FL466" s="131"/>
      <c r="FM466" s="131"/>
      <c r="FN466" s="131"/>
      <c r="FO466" s="131"/>
      <c r="FP466" s="131"/>
      <c r="FQ466" s="131"/>
      <c r="FR466" s="131"/>
      <c r="FS466" s="131"/>
      <c r="FT466" s="131"/>
      <c r="FU466" s="131"/>
      <c r="FV466" s="131"/>
      <c r="FW466" s="131"/>
      <c r="FX466" s="131"/>
      <c r="FY466" s="131"/>
      <c r="FZ466" s="131"/>
      <c r="GA466" s="131"/>
      <c r="GB466" s="131"/>
      <c r="GC466" s="131"/>
      <c r="GD466" s="131"/>
      <c r="GE466" s="131"/>
      <c r="GF466" s="131"/>
      <c r="GG466" s="131"/>
      <c r="GH466" s="131"/>
      <c r="GI466" s="131"/>
      <c r="GJ466" s="131"/>
      <c r="GK466" s="131"/>
      <c r="GL466" s="131"/>
      <c r="GM466" s="131"/>
      <c r="GN466" s="131"/>
      <c r="GO466" s="131"/>
      <c r="GP466" s="131"/>
      <c r="GQ466" s="131"/>
      <c r="GR466" s="131"/>
      <c r="GS466" s="131"/>
      <c r="GT466" s="131"/>
      <c r="GU466" s="131"/>
      <c r="GV466" s="131"/>
      <c r="GW466" s="131"/>
      <c r="GX466" s="131"/>
      <c r="GY466" s="131"/>
      <c r="GZ466" s="131"/>
      <c r="HA466" s="131"/>
      <c r="HB466" s="131"/>
      <c r="HC466" s="131"/>
      <c r="HD466" s="131"/>
      <c r="HE466" s="131"/>
      <c r="HF466" s="131"/>
      <c r="HG466" s="131"/>
      <c r="HH466" s="131"/>
      <c r="HI466" s="131"/>
      <c r="HJ466" s="131"/>
      <c r="HK466" s="131"/>
      <c r="HL466" s="131"/>
      <c r="HM466" s="131"/>
      <c r="HN466" s="131"/>
      <c r="HO466" s="131"/>
      <c r="HP466" s="131"/>
      <c r="HQ466" s="131"/>
      <c r="HR466" s="131"/>
      <c r="HS466" s="131"/>
      <c r="HT466" s="131"/>
      <c r="HU466" s="131"/>
      <c r="HV466" s="131"/>
      <c r="HW466" s="131"/>
      <c r="HX466" s="131"/>
      <c r="HY466" s="131"/>
      <c r="HZ466" s="131"/>
      <c r="IA466" s="131"/>
      <c r="IB466" s="131"/>
      <c r="IC466" s="131"/>
      <c r="ID466" s="131"/>
      <c r="IE466" s="131"/>
      <c r="IF466" s="131"/>
      <c r="IG466" s="131"/>
      <c r="IH466" s="131"/>
      <c r="II466" s="131"/>
      <c r="IJ466" s="131"/>
      <c r="IK466" s="131"/>
      <c r="IL466" s="131"/>
      <c r="IM466" s="131"/>
      <c r="IN466" s="131"/>
      <c r="IO466" s="131"/>
      <c r="IP466" s="131"/>
      <c r="IQ466" s="131"/>
      <c r="IR466" s="131"/>
      <c r="IS466" s="131"/>
      <c r="IT466" s="131"/>
      <c r="IU466" s="131"/>
      <c r="IV466" s="131"/>
    </row>
    <row r="467" spans="1:256" s="13" customFormat="1" ht="38.25" customHeight="1">
      <c r="A467" s="21" t="s">
        <v>1</v>
      </c>
      <c r="B467" s="246" t="s">
        <v>34</v>
      </c>
      <c r="C467" s="246" t="s">
        <v>25</v>
      </c>
      <c r="D467" s="246" t="s">
        <v>918</v>
      </c>
      <c r="E467" s="246" t="s">
        <v>138</v>
      </c>
      <c r="F467" s="21" t="s">
        <v>897</v>
      </c>
      <c r="G467" s="246" t="s">
        <v>103</v>
      </c>
      <c r="H467" s="246">
        <v>236220</v>
      </c>
      <c r="I467" s="21" t="s">
        <v>28</v>
      </c>
      <c r="J467" s="21" t="s">
        <v>109</v>
      </c>
      <c r="K467" s="21" t="s">
        <v>1974</v>
      </c>
      <c r="L467" s="21" t="s">
        <v>1974</v>
      </c>
      <c r="M467" s="22">
        <v>1000</v>
      </c>
      <c r="N467" s="22">
        <v>25000</v>
      </c>
      <c r="O467" s="21" t="s">
        <v>20</v>
      </c>
      <c r="P467" s="21" t="s">
        <v>278</v>
      </c>
      <c r="Q467" s="21" t="s">
        <v>279</v>
      </c>
      <c r="R467" s="21" t="s">
        <v>278</v>
      </c>
      <c r="S467" s="74">
        <v>2013</v>
      </c>
      <c r="T467" s="21" t="s">
        <v>907</v>
      </c>
      <c r="U467" s="21" t="s">
        <v>908</v>
      </c>
      <c r="V467" s="21" t="s">
        <v>909</v>
      </c>
      <c r="W467" s="21" t="s">
        <v>66</v>
      </c>
      <c r="X467" s="246" t="s">
        <v>2616</v>
      </c>
      <c r="Y467" s="130"/>
      <c r="Z467" s="130"/>
      <c r="AA467" s="130"/>
      <c r="AB467" s="130"/>
      <c r="AC467" s="130"/>
      <c r="AD467" s="131"/>
      <c r="AE467" s="131"/>
      <c r="AF467" s="131"/>
      <c r="AG467" s="131"/>
      <c r="AH467" s="131"/>
      <c r="AI467" s="131"/>
      <c r="AJ467" s="131"/>
      <c r="AK467" s="131"/>
      <c r="AL467" s="131"/>
      <c r="AM467" s="131"/>
      <c r="AN467" s="131"/>
      <c r="AO467" s="131"/>
      <c r="AP467" s="131"/>
      <c r="AQ467" s="131"/>
      <c r="AR467" s="131"/>
      <c r="AS467" s="131"/>
      <c r="AT467" s="131"/>
      <c r="AU467" s="131"/>
      <c r="AV467" s="131"/>
      <c r="AW467" s="131"/>
      <c r="AX467" s="131"/>
      <c r="AY467" s="131"/>
      <c r="AZ467" s="131"/>
      <c r="BA467" s="131"/>
      <c r="BB467" s="131"/>
      <c r="BC467" s="131"/>
      <c r="BD467" s="131"/>
      <c r="BE467" s="131"/>
      <c r="BF467" s="131"/>
      <c r="BG467" s="131"/>
      <c r="BH467" s="131"/>
      <c r="BI467" s="131"/>
      <c r="BJ467" s="131"/>
      <c r="BK467" s="131"/>
      <c r="BL467" s="131"/>
      <c r="BM467" s="131"/>
      <c r="BN467" s="131"/>
      <c r="BO467" s="131"/>
      <c r="BP467" s="131"/>
      <c r="BQ467" s="131"/>
      <c r="BR467" s="131"/>
      <c r="BS467" s="131"/>
      <c r="BT467" s="131"/>
      <c r="BU467" s="131"/>
      <c r="BV467" s="131"/>
      <c r="BW467" s="131"/>
      <c r="BX467" s="131"/>
      <c r="BY467" s="131"/>
      <c r="BZ467" s="131"/>
      <c r="CA467" s="131"/>
      <c r="CB467" s="131"/>
      <c r="CC467" s="131"/>
      <c r="CD467" s="131"/>
      <c r="CE467" s="131"/>
      <c r="CF467" s="131"/>
      <c r="CG467" s="131"/>
      <c r="CH467" s="131"/>
      <c r="CI467" s="131"/>
      <c r="CJ467" s="131"/>
      <c r="CK467" s="131"/>
      <c r="CL467" s="131"/>
      <c r="CM467" s="131"/>
      <c r="CN467" s="131"/>
      <c r="CO467" s="131"/>
      <c r="CP467" s="131"/>
      <c r="CQ467" s="131"/>
      <c r="CR467" s="131"/>
      <c r="CS467" s="131"/>
      <c r="CT467" s="131"/>
      <c r="CU467" s="131"/>
      <c r="CV467" s="131"/>
      <c r="CW467" s="131"/>
      <c r="CX467" s="131"/>
      <c r="CY467" s="131"/>
      <c r="CZ467" s="131"/>
      <c r="DA467" s="131"/>
      <c r="DB467" s="131"/>
      <c r="DC467" s="131"/>
      <c r="DD467" s="131"/>
      <c r="DE467" s="131"/>
      <c r="DF467" s="131"/>
      <c r="DG467" s="131"/>
      <c r="DH467" s="131"/>
      <c r="DI467" s="131"/>
      <c r="DJ467" s="131"/>
      <c r="DK467" s="131"/>
      <c r="DL467" s="131"/>
      <c r="DM467" s="131"/>
      <c r="DN467" s="131"/>
      <c r="DO467" s="131"/>
      <c r="DP467" s="131"/>
      <c r="DQ467" s="131"/>
      <c r="DR467" s="131"/>
      <c r="DS467" s="131"/>
      <c r="DT467" s="131"/>
      <c r="DU467" s="131"/>
      <c r="DV467" s="131"/>
      <c r="DW467" s="131"/>
      <c r="DX467" s="131"/>
      <c r="DY467" s="131"/>
      <c r="DZ467" s="131"/>
      <c r="EA467" s="131"/>
      <c r="EB467" s="131"/>
      <c r="EC467" s="131"/>
      <c r="ED467" s="131"/>
      <c r="EE467" s="131"/>
      <c r="EF467" s="131"/>
      <c r="EG467" s="131"/>
      <c r="EH467" s="131"/>
      <c r="EI467" s="131"/>
      <c r="EJ467" s="131"/>
      <c r="EK467" s="131"/>
      <c r="EL467" s="131"/>
      <c r="EM467" s="131"/>
      <c r="EN467" s="131"/>
      <c r="EO467" s="131"/>
      <c r="EP467" s="131"/>
      <c r="EQ467" s="131"/>
      <c r="ER467" s="131"/>
      <c r="ES467" s="131"/>
      <c r="ET467" s="131"/>
      <c r="EU467" s="131"/>
      <c r="EV467" s="131"/>
      <c r="EW467" s="131"/>
      <c r="EX467" s="131"/>
      <c r="EY467" s="131"/>
      <c r="EZ467" s="131"/>
      <c r="FA467" s="131"/>
      <c r="FB467" s="131"/>
      <c r="FC467" s="131"/>
      <c r="FD467" s="131"/>
      <c r="FE467" s="131"/>
      <c r="FF467" s="131"/>
      <c r="FG467" s="131"/>
      <c r="FH467" s="131"/>
      <c r="FI467" s="131"/>
      <c r="FJ467" s="131"/>
      <c r="FK467" s="131"/>
      <c r="FL467" s="131"/>
      <c r="FM467" s="131"/>
      <c r="FN467" s="131"/>
      <c r="FO467" s="131"/>
      <c r="FP467" s="131"/>
      <c r="FQ467" s="131"/>
      <c r="FR467" s="131"/>
      <c r="FS467" s="131"/>
      <c r="FT467" s="131"/>
      <c r="FU467" s="131"/>
      <c r="FV467" s="131"/>
      <c r="FW467" s="131"/>
      <c r="FX467" s="131"/>
      <c r="FY467" s="131"/>
      <c r="FZ467" s="131"/>
      <c r="GA467" s="131"/>
      <c r="GB467" s="131"/>
      <c r="GC467" s="131"/>
      <c r="GD467" s="131"/>
      <c r="GE467" s="131"/>
      <c r="GF467" s="131"/>
      <c r="GG467" s="131"/>
      <c r="GH467" s="131"/>
      <c r="GI467" s="131"/>
      <c r="GJ467" s="131"/>
      <c r="GK467" s="131"/>
      <c r="GL467" s="131"/>
      <c r="GM467" s="131"/>
      <c r="GN467" s="131"/>
      <c r="GO467" s="131"/>
      <c r="GP467" s="131"/>
      <c r="GQ467" s="131"/>
      <c r="GR467" s="131"/>
      <c r="GS467" s="131"/>
      <c r="GT467" s="131"/>
      <c r="GU467" s="131"/>
      <c r="GV467" s="131"/>
      <c r="GW467" s="131"/>
      <c r="GX467" s="131"/>
      <c r="GY467" s="131"/>
      <c r="GZ467" s="131"/>
      <c r="HA467" s="131"/>
      <c r="HB467" s="131"/>
      <c r="HC467" s="131"/>
      <c r="HD467" s="131"/>
      <c r="HE467" s="131"/>
      <c r="HF467" s="131"/>
      <c r="HG467" s="131"/>
      <c r="HH467" s="131"/>
      <c r="HI467" s="131"/>
      <c r="HJ467" s="131"/>
      <c r="HK467" s="131"/>
      <c r="HL467" s="131"/>
      <c r="HM467" s="131"/>
      <c r="HN467" s="131"/>
      <c r="HO467" s="131"/>
      <c r="HP467" s="131"/>
      <c r="HQ467" s="131"/>
      <c r="HR467" s="131"/>
      <c r="HS467" s="131"/>
      <c r="HT467" s="131"/>
      <c r="HU467" s="131"/>
      <c r="HV467" s="131"/>
      <c r="HW467" s="131"/>
      <c r="HX467" s="131"/>
      <c r="HY467" s="131"/>
      <c r="HZ467" s="131"/>
      <c r="IA467" s="131"/>
      <c r="IB467" s="131"/>
      <c r="IC467" s="131"/>
      <c r="ID467" s="131"/>
      <c r="IE467" s="131"/>
      <c r="IF467" s="131"/>
      <c r="IG467" s="131"/>
      <c r="IH467" s="131"/>
      <c r="II467" s="131"/>
      <c r="IJ467" s="131"/>
      <c r="IK467" s="131"/>
      <c r="IL467" s="131"/>
      <c r="IM467" s="131"/>
      <c r="IN467" s="131"/>
      <c r="IO467" s="131"/>
      <c r="IP467" s="131"/>
      <c r="IQ467" s="131"/>
      <c r="IR467" s="131"/>
      <c r="IS467" s="131"/>
      <c r="IT467" s="131"/>
      <c r="IU467" s="131"/>
      <c r="IV467" s="131"/>
    </row>
    <row r="468" spans="1:256" s="13" customFormat="1" ht="38.25" customHeight="1">
      <c r="A468" s="21" t="s">
        <v>1</v>
      </c>
      <c r="B468" s="246" t="s">
        <v>34</v>
      </c>
      <c r="C468" s="246" t="s">
        <v>25</v>
      </c>
      <c r="D468" s="246" t="s">
        <v>919</v>
      </c>
      <c r="E468" s="246" t="s">
        <v>138</v>
      </c>
      <c r="F468" s="21" t="s">
        <v>897</v>
      </c>
      <c r="G468" s="246" t="s">
        <v>103</v>
      </c>
      <c r="H468" s="246">
        <v>236220</v>
      </c>
      <c r="I468" s="21" t="s">
        <v>28</v>
      </c>
      <c r="J468" s="21" t="s">
        <v>109</v>
      </c>
      <c r="K468" s="21" t="s">
        <v>1974</v>
      </c>
      <c r="L468" s="21" t="s">
        <v>1974</v>
      </c>
      <c r="M468" s="22">
        <v>1000</v>
      </c>
      <c r="N468" s="22">
        <v>25000</v>
      </c>
      <c r="O468" s="21" t="s">
        <v>9</v>
      </c>
      <c r="P468" s="21" t="s">
        <v>278</v>
      </c>
      <c r="Q468" s="21" t="s">
        <v>279</v>
      </c>
      <c r="R468" s="21" t="s">
        <v>278</v>
      </c>
      <c r="S468" s="74">
        <v>2013</v>
      </c>
      <c r="T468" s="21" t="s">
        <v>907</v>
      </c>
      <c r="U468" s="21" t="s">
        <v>908</v>
      </c>
      <c r="V468" s="21" t="s">
        <v>909</v>
      </c>
      <c r="W468" s="21" t="s">
        <v>66</v>
      </c>
      <c r="X468" s="246" t="s">
        <v>2616</v>
      </c>
      <c r="Y468" s="130"/>
      <c r="Z468" s="130"/>
      <c r="AA468" s="130"/>
      <c r="AB468" s="130"/>
      <c r="AC468" s="130"/>
      <c r="AD468" s="131"/>
      <c r="AE468" s="131"/>
      <c r="AF468" s="131"/>
      <c r="AG468" s="131"/>
      <c r="AH468" s="131"/>
      <c r="AI468" s="131"/>
      <c r="AJ468" s="131"/>
      <c r="AK468" s="131"/>
      <c r="AL468" s="131"/>
      <c r="AM468" s="131"/>
      <c r="AN468" s="131"/>
      <c r="AO468" s="131"/>
      <c r="AP468" s="131"/>
      <c r="AQ468" s="131"/>
      <c r="AR468" s="131"/>
      <c r="AS468" s="131"/>
      <c r="AT468" s="131"/>
      <c r="AU468" s="131"/>
      <c r="AV468" s="131"/>
      <c r="AW468" s="131"/>
      <c r="AX468" s="131"/>
      <c r="AY468" s="131"/>
      <c r="AZ468" s="131"/>
      <c r="BA468" s="131"/>
      <c r="BB468" s="131"/>
      <c r="BC468" s="131"/>
      <c r="BD468" s="131"/>
      <c r="BE468" s="131"/>
      <c r="BF468" s="131"/>
      <c r="BG468" s="131"/>
      <c r="BH468" s="131"/>
      <c r="BI468" s="131"/>
      <c r="BJ468" s="131"/>
      <c r="BK468" s="131"/>
      <c r="BL468" s="131"/>
      <c r="BM468" s="131"/>
      <c r="BN468" s="131"/>
      <c r="BO468" s="131"/>
      <c r="BP468" s="131"/>
      <c r="BQ468" s="131"/>
      <c r="BR468" s="131"/>
      <c r="BS468" s="131"/>
      <c r="BT468" s="131"/>
      <c r="BU468" s="131"/>
      <c r="BV468" s="131"/>
      <c r="BW468" s="131"/>
      <c r="BX468" s="131"/>
      <c r="BY468" s="131"/>
      <c r="BZ468" s="131"/>
      <c r="CA468" s="131"/>
      <c r="CB468" s="131"/>
      <c r="CC468" s="131"/>
      <c r="CD468" s="131"/>
      <c r="CE468" s="131"/>
      <c r="CF468" s="131"/>
      <c r="CG468" s="131"/>
      <c r="CH468" s="131"/>
      <c r="CI468" s="131"/>
      <c r="CJ468" s="131"/>
      <c r="CK468" s="131"/>
      <c r="CL468" s="131"/>
      <c r="CM468" s="131"/>
      <c r="CN468" s="131"/>
      <c r="CO468" s="131"/>
      <c r="CP468" s="131"/>
      <c r="CQ468" s="131"/>
      <c r="CR468" s="131"/>
      <c r="CS468" s="131"/>
      <c r="CT468" s="131"/>
      <c r="CU468" s="131"/>
      <c r="CV468" s="131"/>
      <c r="CW468" s="131"/>
      <c r="CX468" s="131"/>
      <c r="CY468" s="131"/>
      <c r="CZ468" s="131"/>
      <c r="DA468" s="131"/>
      <c r="DB468" s="131"/>
      <c r="DC468" s="131"/>
      <c r="DD468" s="131"/>
      <c r="DE468" s="131"/>
      <c r="DF468" s="131"/>
      <c r="DG468" s="131"/>
      <c r="DH468" s="131"/>
      <c r="DI468" s="131"/>
      <c r="DJ468" s="131"/>
      <c r="DK468" s="131"/>
      <c r="DL468" s="131"/>
      <c r="DM468" s="131"/>
      <c r="DN468" s="131"/>
      <c r="DO468" s="131"/>
      <c r="DP468" s="131"/>
      <c r="DQ468" s="131"/>
      <c r="DR468" s="131"/>
      <c r="DS468" s="131"/>
      <c r="DT468" s="131"/>
      <c r="DU468" s="131"/>
      <c r="DV468" s="131"/>
      <c r="DW468" s="131"/>
      <c r="DX468" s="131"/>
      <c r="DY468" s="131"/>
      <c r="DZ468" s="131"/>
      <c r="EA468" s="131"/>
      <c r="EB468" s="131"/>
      <c r="EC468" s="131"/>
      <c r="ED468" s="131"/>
      <c r="EE468" s="131"/>
      <c r="EF468" s="131"/>
      <c r="EG468" s="131"/>
      <c r="EH468" s="131"/>
      <c r="EI468" s="131"/>
      <c r="EJ468" s="131"/>
      <c r="EK468" s="131"/>
      <c r="EL468" s="131"/>
      <c r="EM468" s="131"/>
      <c r="EN468" s="131"/>
      <c r="EO468" s="131"/>
      <c r="EP468" s="131"/>
      <c r="EQ468" s="131"/>
      <c r="ER468" s="131"/>
      <c r="ES468" s="131"/>
      <c r="ET468" s="131"/>
      <c r="EU468" s="131"/>
      <c r="EV468" s="131"/>
      <c r="EW468" s="131"/>
      <c r="EX468" s="131"/>
      <c r="EY468" s="131"/>
      <c r="EZ468" s="131"/>
      <c r="FA468" s="131"/>
      <c r="FB468" s="131"/>
      <c r="FC468" s="131"/>
      <c r="FD468" s="131"/>
      <c r="FE468" s="131"/>
      <c r="FF468" s="131"/>
      <c r="FG468" s="131"/>
      <c r="FH468" s="131"/>
      <c r="FI468" s="131"/>
      <c r="FJ468" s="131"/>
      <c r="FK468" s="131"/>
      <c r="FL468" s="131"/>
      <c r="FM468" s="131"/>
      <c r="FN468" s="131"/>
      <c r="FO468" s="131"/>
      <c r="FP468" s="131"/>
      <c r="FQ468" s="131"/>
      <c r="FR468" s="131"/>
      <c r="FS468" s="131"/>
      <c r="FT468" s="131"/>
      <c r="FU468" s="131"/>
      <c r="FV468" s="131"/>
      <c r="FW468" s="131"/>
      <c r="FX468" s="131"/>
      <c r="FY468" s="131"/>
      <c r="FZ468" s="131"/>
      <c r="GA468" s="131"/>
      <c r="GB468" s="131"/>
      <c r="GC468" s="131"/>
      <c r="GD468" s="131"/>
      <c r="GE468" s="131"/>
      <c r="GF468" s="131"/>
      <c r="GG468" s="131"/>
      <c r="GH468" s="131"/>
      <c r="GI468" s="131"/>
      <c r="GJ468" s="131"/>
      <c r="GK468" s="131"/>
      <c r="GL468" s="131"/>
      <c r="GM468" s="131"/>
      <c r="GN468" s="131"/>
      <c r="GO468" s="131"/>
      <c r="GP468" s="131"/>
      <c r="GQ468" s="131"/>
      <c r="GR468" s="131"/>
      <c r="GS468" s="131"/>
      <c r="GT468" s="131"/>
      <c r="GU468" s="131"/>
      <c r="GV468" s="131"/>
      <c r="GW468" s="131"/>
      <c r="GX468" s="131"/>
      <c r="GY468" s="131"/>
      <c r="GZ468" s="131"/>
      <c r="HA468" s="131"/>
      <c r="HB468" s="131"/>
      <c r="HC468" s="131"/>
      <c r="HD468" s="131"/>
      <c r="HE468" s="131"/>
      <c r="HF468" s="131"/>
      <c r="HG468" s="131"/>
      <c r="HH468" s="131"/>
      <c r="HI468" s="131"/>
      <c r="HJ468" s="131"/>
      <c r="HK468" s="131"/>
      <c r="HL468" s="131"/>
      <c r="HM468" s="131"/>
      <c r="HN468" s="131"/>
      <c r="HO468" s="131"/>
      <c r="HP468" s="131"/>
      <c r="HQ468" s="131"/>
      <c r="HR468" s="131"/>
      <c r="HS468" s="131"/>
      <c r="HT468" s="131"/>
      <c r="HU468" s="131"/>
      <c r="HV468" s="131"/>
      <c r="HW468" s="131"/>
      <c r="HX468" s="131"/>
      <c r="HY468" s="131"/>
      <c r="HZ468" s="131"/>
      <c r="IA468" s="131"/>
      <c r="IB468" s="131"/>
      <c r="IC468" s="131"/>
      <c r="ID468" s="131"/>
      <c r="IE468" s="131"/>
      <c r="IF468" s="131"/>
      <c r="IG468" s="131"/>
      <c r="IH468" s="131"/>
      <c r="II468" s="131"/>
      <c r="IJ468" s="131"/>
      <c r="IK468" s="131"/>
      <c r="IL468" s="131"/>
      <c r="IM468" s="131"/>
      <c r="IN468" s="131"/>
      <c r="IO468" s="131"/>
      <c r="IP468" s="131"/>
      <c r="IQ468" s="131"/>
      <c r="IR468" s="131"/>
      <c r="IS468" s="131"/>
      <c r="IT468" s="131"/>
      <c r="IU468" s="131"/>
      <c r="IV468" s="131"/>
    </row>
    <row r="469" spans="1:256" s="13" customFormat="1" ht="38.25" customHeight="1">
      <c r="A469" s="21" t="s">
        <v>1</v>
      </c>
      <c r="B469" s="246" t="s">
        <v>34</v>
      </c>
      <c r="C469" s="246" t="s">
        <v>25</v>
      </c>
      <c r="D469" s="246" t="s">
        <v>920</v>
      </c>
      <c r="E469" s="246" t="s">
        <v>138</v>
      </c>
      <c r="F469" s="21" t="s">
        <v>897</v>
      </c>
      <c r="G469" s="246" t="s">
        <v>103</v>
      </c>
      <c r="H469" s="246">
        <v>236220</v>
      </c>
      <c r="I469" s="21" t="s">
        <v>28</v>
      </c>
      <c r="J469" s="21" t="s">
        <v>109</v>
      </c>
      <c r="K469" s="21" t="s">
        <v>1974</v>
      </c>
      <c r="L469" s="21" t="s">
        <v>1974</v>
      </c>
      <c r="M469" s="22">
        <v>1000</v>
      </c>
      <c r="N469" s="22">
        <v>25000</v>
      </c>
      <c r="O469" s="21" t="s">
        <v>9</v>
      </c>
      <c r="P469" s="21" t="s">
        <v>278</v>
      </c>
      <c r="Q469" s="21" t="s">
        <v>279</v>
      </c>
      <c r="R469" s="21" t="s">
        <v>10</v>
      </c>
      <c r="S469" s="74">
        <v>2013</v>
      </c>
      <c r="T469" s="21" t="s">
        <v>921</v>
      </c>
      <c r="U469" s="21" t="s">
        <v>908</v>
      </c>
      <c r="V469" s="21" t="s">
        <v>909</v>
      </c>
      <c r="W469" s="21" t="s">
        <v>66</v>
      </c>
      <c r="X469" s="246" t="s">
        <v>2618</v>
      </c>
      <c r="Y469" s="130"/>
      <c r="Z469" s="130"/>
      <c r="AA469" s="130"/>
      <c r="AB469" s="130"/>
      <c r="AC469" s="130"/>
      <c r="AD469" s="131"/>
      <c r="AE469" s="131"/>
      <c r="AF469" s="131"/>
      <c r="AG469" s="131"/>
      <c r="AH469" s="131"/>
      <c r="AI469" s="131"/>
      <c r="AJ469" s="131"/>
      <c r="AK469" s="131"/>
      <c r="AL469" s="131"/>
      <c r="AM469" s="131"/>
      <c r="AN469" s="131"/>
      <c r="AO469" s="131"/>
      <c r="AP469" s="131"/>
      <c r="AQ469" s="131"/>
      <c r="AR469" s="131"/>
      <c r="AS469" s="131"/>
      <c r="AT469" s="131"/>
      <c r="AU469" s="131"/>
      <c r="AV469" s="131"/>
      <c r="AW469" s="131"/>
      <c r="AX469" s="131"/>
      <c r="AY469" s="131"/>
      <c r="AZ469" s="131"/>
      <c r="BA469" s="131"/>
      <c r="BB469" s="131"/>
      <c r="BC469" s="131"/>
      <c r="BD469" s="131"/>
      <c r="BE469" s="131"/>
      <c r="BF469" s="131"/>
      <c r="BG469" s="131"/>
      <c r="BH469" s="131"/>
      <c r="BI469" s="131"/>
      <c r="BJ469" s="131"/>
      <c r="BK469" s="131"/>
      <c r="BL469" s="131"/>
      <c r="BM469" s="131"/>
      <c r="BN469" s="131"/>
      <c r="BO469" s="131"/>
      <c r="BP469" s="131"/>
      <c r="BQ469" s="131"/>
      <c r="BR469" s="131"/>
      <c r="BS469" s="131"/>
      <c r="BT469" s="131"/>
      <c r="BU469" s="131"/>
      <c r="BV469" s="131"/>
      <c r="BW469" s="131"/>
      <c r="BX469" s="131"/>
      <c r="BY469" s="131"/>
      <c r="BZ469" s="131"/>
      <c r="CA469" s="131"/>
      <c r="CB469" s="131"/>
      <c r="CC469" s="131"/>
      <c r="CD469" s="131"/>
      <c r="CE469" s="131"/>
      <c r="CF469" s="131"/>
      <c r="CG469" s="131"/>
      <c r="CH469" s="131"/>
      <c r="CI469" s="131"/>
      <c r="CJ469" s="131"/>
      <c r="CK469" s="131"/>
      <c r="CL469" s="131"/>
      <c r="CM469" s="131"/>
      <c r="CN469" s="131"/>
      <c r="CO469" s="131"/>
      <c r="CP469" s="131"/>
      <c r="CQ469" s="131"/>
      <c r="CR469" s="131"/>
      <c r="CS469" s="131"/>
      <c r="CT469" s="131"/>
      <c r="CU469" s="131"/>
      <c r="CV469" s="131"/>
      <c r="CW469" s="131"/>
      <c r="CX469" s="131"/>
      <c r="CY469" s="131"/>
      <c r="CZ469" s="131"/>
      <c r="DA469" s="131"/>
      <c r="DB469" s="131"/>
      <c r="DC469" s="131"/>
      <c r="DD469" s="131"/>
      <c r="DE469" s="131"/>
      <c r="DF469" s="131"/>
      <c r="DG469" s="131"/>
      <c r="DH469" s="131"/>
      <c r="DI469" s="131"/>
      <c r="DJ469" s="131"/>
      <c r="DK469" s="131"/>
      <c r="DL469" s="131"/>
      <c r="DM469" s="131"/>
      <c r="DN469" s="131"/>
      <c r="DO469" s="131"/>
      <c r="DP469" s="131"/>
      <c r="DQ469" s="131"/>
      <c r="DR469" s="131"/>
      <c r="DS469" s="131"/>
      <c r="DT469" s="131"/>
      <c r="DU469" s="131"/>
      <c r="DV469" s="131"/>
      <c r="DW469" s="131"/>
      <c r="DX469" s="131"/>
      <c r="DY469" s="131"/>
      <c r="DZ469" s="131"/>
      <c r="EA469" s="131"/>
      <c r="EB469" s="131"/>
      <c r="EC469" s="131"/>
      <c r="ED469" s="131"/>
      <c r="EE469" s="131"/>
      <c r="EF469" s="131"/>
      <c r="EG469" s="131"/>
      <c r="EH469" s="131"/>
      <c r="EI469" s="131"/>
      <c r="EJ469" s="131"/>
      <c r="EK469" s="131"/>
      <c r="EL469" s="131"/>
      <c r="EM469" s="131"/>
      <c r="EN469" s="131"/>
      <c r="EO469" s="131"/>
      <c r="EP469" s="131"/>
      <c r="EQ469" s="131"/>
      <c r="ER469" s="131"/>
      <c r="ES469" s="131"/>
      <c r="ET469" s="131"/>
      <c r="EU469" s="131"/>
      <c r="EV469" s="131"/>
      <c r="EW469" s="131"/>
      <c r="EX469" s="131"/>
      <c r="EY469" s="131"/>
      <c r="EZ469" s="131"/>
      <c r="FA469" s="131"/>
      <c r="FB469" s="131"/>
      <c r="FC469" s="131"/>
      <c r="FD469" s="131"/>
      <c r="FE469" s="131"/>
      <c r="FF469" s="131"/>
      <c r="FG469" s="131"/>
      <c r="FH469" s="131"/>
      <c r="FI469" s="131"/>
      <c r="FJ469" s="131"/>
      <c r="FK469" s="131"/>
      <c r="FL469" s="131"/>
      <c r="FM469" s="131"/>
      <c r="FN469" s="131"/>
      <c r="FO469" s="131"/>
      <c r="FP469" s="131"/>
      <c r="FQ469" s="131"/>
      <c r="FR469" s="131"/>
      <c r="FS469" s="131"/>
      <c r="FT469" s="131"/>
      <c r="FU469" s="131"/>
      <c r="FV469" s="131"/>
      <c r="FW469" s="131"/>
      <c r="FX469" s="131"/>
      <c r="FY469" s="131"/>
      <c r="FZ469" s="131"/>
      <c r="GA469" s="131"/>
      <c r="GB469" s="131"/>
      <c r="GC469" s="131"/>
      <c r="GD469" s="131"/>
      <c r="GE469" s="131"/>
      <c r="GF469" s="131"/>
      <c r="GG469" s="131"/>
      <c r="GH469" s="131"/>
      <c r="GI469" s="131"/>
      <c r="GJ469" s="131"/>
      <c r="GK469" s="131"/>
      <c r="GL469" s="131"/>
      <c r="GM469" s="131"/>
      <c r="GN469" s="131"/>
      <c r="GO469" s="131"/>
      <c r="GP469" s="131"/>
      <c r="GQ469" s="131"/>
      <c r="GR469" s="131"/>
      <c r="GS469" s="131"/>
      <c r="GT469" s="131"/>
      <c r="GU469" s="131"/>
      <c r="GV469" s="131"/>
      <c r="GW469" s="131"/>
      <c r="GX469" s="131"/>
      <c r="GY469" s="131"/>
      <c r="GZ469" s="131"/>
      <c r="HA469" s="131"/>
      <c r="HB469" s="131"/>
      <c r="HC469" s="131"/>
      <c r="HD469" s="131"/>
      <c r="HE469" s="131"/>
      <c r="HF469" s="131"/>
      <c r="HG469" s="131"/>
      <c r="HH469" s="131"/>
      <c r="HI469" s="131"/>
      <c r="HJ469" s="131"/>
      <c r="HK469" s="131"/>
      <c r="HL469" s="131"/>
      <c r="HM469" s="131"/>
      <c r="HN469" s="131"/>
      <c r="HO469" s="131"/>
      <c r="HP469" s="131"/>
      <c r="HQ469" s="131"/>
      <c r="HR469" s="131"/>
      <c r="HS469" s="131"/>
      <c r="HT469" s="131"/>
      <c r="HU469" s="131"/>
      <c r="HV469" s="131"/>
      <c r="HW469" s="131"/>
      <c r="HX469" s="131"/>
      <c r="HY469" s="131"/>
      <c r="HZ469" s="131"/>
      <c r="IA469" s="131"/>
      <c r="IB469" s="131"/>
      <c r="IC469" s="131"/>
      <c r="ID469" s="131"/>
      <c r="IE469" s="131"/>
      <c r="IF469" s="131"/>
      <c r="IG469" s="131"/>
      <c r="IH469" s="131"/>
      <c r="II469" s="131"/>
      <c r="IJ469" s="131"/>
      <c r="IK469" s="131"/>
      <c r="IL469" s="131"/>
      <c r="IM469" s="131"/>
      <c r="IN469" s="131"/>
      <c r="IO469" s="131"/>
      <c r="IP469" s="131"/>
      <c r="IQ469" s="131"/>
      <c r="IR469" s="131"/>
      <c r="IS469" s="131"/>
      <c r="IT469" s="131"/>
      <c r="IU469" s="131"/>
      <c r="IV469" s="131"/>
    </row>
    <row r="470" spans="1:256" s="13" customFormat="1" ht="38.25" customHeight="1">
      <c r="A470" s="21" t="s">
        <v>1</v>
      </c>
      <c r="B470" s="246" t="s">
        <v>34</v>
      </c>
      <c r="C470" s="246" t="s">
        <v>25</v>
      </c>
      <c r="D470" s="246" t="s">
        <v>922</v>
      </c>
      <c r="E470" s="246" t="s">
        <v>138</v>
      </c>
      <c r="F470" s="21" t="s">
        <v>897</v>
      </c>
      <c r="G470" s="246" t="s">
        <v>103</v>
      </c>
      <c r="H470" s="246">
        <v>236220</v>
      </c>
      <c r="I470" s="21" t="s">
        <v>28</v>
      </c>
      <c r="J470" s="21" t="s">
        <v>109</v>
      </c>
      <c r="K470" s="21" t="s">
        <v>1974</v>
      </c>
      <c r="L470" s="21" t="s">
        <v>1974</v>
      </c>
      <c r="M470" s="22">
        <v>1000</v>
      </c>
      <c r="N470" s="22">
        <v>25000</v>
      </c>
      <c r="O470" s="21" t="s">
        <v>20</v>
      </c>
      <c r="P470" s="21" t="s">
        <v>278</v>
      </c>
      <c r="Q470" s="21" t="s">
        <v>279</v>
      </c>
      <c r="R470" s="21" t="s">
        <v>278</v>
      </c>
      <c r="S470" s="74">
        <v>2013</v>
      </c>
      <c r="T470" s="21" t="s">
        <v>907</v>
      </c>
      <c r="U470" s="21" t="s">
        <v>908</v>
      </c>
      <c r="V470" s="21" t="s">
        <v>909</v>
      </c>
      <c r="W470" s="21" t="s">
        <v>66</v>
      </c>
      <c r="X470" s="246" t="s">
        <v>2618</v>
      </c>
      <c r="Y470" s="130"/>
      <c r="Z470" s="130"/>
      <c r="AA470" s="130"/>
      <c r="AB470" s="130"/>
      <c r="AC470" s="130"/>
      <c r="AD470" s="131"/>
      <c r="AE470" s="131"/>
      <c r="AF470" s="131"/>
      <c r="AG470" s="131"/>
      <c r="AH470" s="131"/>
      <c r="AI470" s="131"/>
      <c r="AJ470" s="131"/>
      <c r="AK470" s="131"/>
      <c r="AL470" s="131"/>
      <c r="AM470" s="131"/>
      <c r="AN470" s="131"/>
      <c r="AO470" s="131"/>
      <c r="AP470" s="131"/>
      <c r="AQ470" s="131"/>
      <c r="AR470" s="131"/>
      <c r="AS470" s="131"/>
      <c r="AT470" s="131"/>
      <c r="AU470" s="131"/>
      <c r="AV470" s="131"/>
      <c r="AW470" s="131"/>
      <c r="AX470" s="131"/>
      <c r="AY470" s="131"/>
      <c r="AZ470" s="131"/>
      <c r="BA470" s="131"/>
      <c r="BB470" s="131"/>
      <c r="BC470" s="131"/>
      <c r="BD470" s="131"/>
      <c r="BE470" s="131"/>
      <c r="BF470" s="131"/>
      <c r="BG470" s="131"/>
      <c r="BH470" s="131"/>
      <c r="BI470" s="131"/>
      <c r="BJ470" s="131"/>
      <c r="BK470" s="131"/>
      <c r="BL470" s="131"/>
      <c r="BM470" s="131"/>
      <c r="BN470" s="131"/>
      <c r="BO470" s="131"/>
      <c r="BP470" s="131"/>
      <c r="BQ470" s="131"/>
      <c r="BR470" s="131"/>
      <c r="BS470" s="131"/>
      <c r="BT470" s="131"/>
      <c r="BU470" s="131"/>
      <c r="BV470" s="131"/>
      <c r="BW470" s="131"/>
      <c r="BX470" s="131"/>
      <c r="BY470" s="131"/>
      <c r="BZ470" s="131"/>
      <c r="CA470" s="131"/>
      <c r="CB470" s="131"/>
      <c r="CC470" s="131"/>
      <c r="CD470" s="131"/>
      <c r="CE470" s="131"/>
      <c r="CF470" s="131"/>
      <c r="CG470" s="131"/>
      <c r="CH470" s="131"/>
      <c r="CI470" s="131"/>
      <c r="CJ470" s="131"/>
      <c r="CK470" s="131"/>
      <c r="CL470" s="131"/>
      <c r="CM470" s="131"/>
      <c r="CN470" s="131"/>
      <c r="CO470" s="131"/>
      <c r="CP470" s="131"/>
      <c r="CQ470" s="131"/>
      <c r="CR470" s="131"/>
      <c r="CS470" s="131"/>
      <c r="CT470" s="131"/>
      <c r="CU470" s="131"/>
      <c r="CV470" s="131"/>
      <c r="CW470" s="131"/>
      <c r="CX470" s="131"/>
      <c r="CY470" s="131"/>
      <c r="CZ470" s="131"/>
      <c r="DA470" s="131"/>
      <c r="DB470" s="131"/>
      <c r="DC470" s="131"/>
      <c r="DD470" s="131"/>
      <c r="DE470" s="131"/>
      <c r="DF470" s="131"/>
      <c r="DG470" s="131"/>
      <c r="DH470" s="131"/>
      <c r="DI470" s="131"/>
      <c r="DJ470" s="131"/>
      <c r="DK470" s="131"/>
      <c r="DL470" s="131"/>
      <c r="DM470" s="131"/>
      <c r="DN470" s="131"/>
      <c r="DO470" s="131"/>
      <c r="DP470" s="131"/>
      <c r="DQ470" s="131"/>
      <c r="DR470" s="131"/>
      <c r="DS470" s="131"/>
      <c r="DT470" s="131"/>
      <c r="DU470" s="131"/>
      <c r="DV470" s="131"/>
      <c r="DW470" s="131"/>
      <c r="DX470" s="131"/>
      <c r="DY470" s="131"/>
      <c r="DZ470" s="131"/>
      <c r="EA470" s="131"/>
      <c r="EB470" s="131"/>
      <c r="EC470" s="131"/>
      <c r="ED470" s="131"/>
      <c r="EE470" s="131"/>
      <c r="EF470" s="131"/>
      <c r="EG470" s="131"/>
      <c r="EH470" s="131"/>
      <c r="EI470" s="131"/>
      <c r="EJ470" s="131"/>
      <c r="EK470" s="131"/>
      <c r="EL470" s="131"/>
      <c r="EM470" s="131"/>
      <c r="EN470" s="131"/>
      <c r="EO470" s="131"/>
      <c r="EP470" s="131"/>
      <c r="EQ470" s="131"/>
      <c r="ER470" s="131"/>
      <c r="ES470" s="131"/>
      <c r="ET470" s="131"/>
      <c r="EU470" s="131"/>
      <c r="EV470" s="131"/>
      <c r="EW470" s="131"/>
      <c r="EX470" s="131"/>
      <c r="EY470" s="131"/>
      <c r="EZ470" s="131"/>
      <c r="FA470" s="131"/>
      <c r="FB470" s="131"/>
      <c r="FC470" s="131"/>
      <c r="FD470" s="131"/>
      <c r="FE470" s="131"/>
      <c r="FF470" s="131"/>
      <c r="FG470" s="131"/>
      <c r="FH470" s="131"/>
      <c r="FI470" s="131"/>
      <c r="FJ470" s="131"/>
      <c r="FK470" s="131"/>
      <c r="FL470" s="131"/>
      <c r="FM470" s="131"/>
      <c r="FN470" s="131"/>
      <c r="FO470" s="131"/>
      <c r="FP470" s="131"/>
      <c r="FQ470" s="131"/>
      <c r="FR470" s="131"/>
      <c r="FS470" s="131"/>
      <c r="FT470" s="131"/>
      <c r="FU470" s="131"/>
      <c r="FV470" s="131"/>
      <c r="FW470" s="131"/>
      <c r="FX470" s="131"/>
      <c r="FY470" s="131"/>
      <c r="FZ470" s="131"/>
      <c r="GA470" s="131"/>
      <c r="GB470" s="131"/>
      <c r="GC470" s="131"/>
      <c r="GD470" s="131"/>
      <c r="GE470" s="131"/>
      <c r="GF470" s="131"/>
      <c r="GG470" s="131"/>
      <c r="GH470" s="131"/>
      <c r="GI470" s="131"/>
      <c r="GJ470" s="131"/>
      <c r="GK470" s="131"/>
      <c r="GL470" s="131"/>
      <c r="GM470" s="131"/>
      <c r="GN470" s="131"/>
      <c r="GO470" s="131"/>
      <c r="GP470" s="131"/>
      <c r="GQ470" s="131"/>
      <c r="GR470" s="131"/>
      <c r="GS470" s="131"/>
      <c r="GT470" s="131"/>
      <c r="GU470" s="131"/>
      <c r="GV470" s="131"/>
      <c r="GW470" s="131"/>
      <c r="GX470" s="131"/>
      <c r="GY470" s="131"/>
      <c r="GZ470" s="131"/>
      <c r="HA470" s="131"/>
      <c r="HB470" s="131"/>
      <c r="HC470" s="131"/>
      <c r="HD470" s="131"/>
      <c r="HE470" s="131"/>
      <c r="HF470" s="131"/>
      <c r="HG470" s="131"/>
      <c r="HH470" s="131"/>
      <c r="HI470" s="131"/>
      <c r="HJ470" s="131"/>
      <c r="HK470" s="131"/>
      <c r="HL470" s="131"/>
      <c r="HM470" s="131"/>
      <c r="HN470" s="131"/>
      <c r="HO470" s="131"/>
      <c r="HP470" s="131"/>
      <c r="HQ470" s="131"/>
      <c r="HR470" s="131"/>
      <c r="HS470" s="131"/>
      <c r="HT470" s="131"/>
      <c r="HU470" s="131"/>
      <c r="HV470" s="131"/>
      <c r="HW470" s="131"/>
      <c r="HX470" s="131"/>
      <c r="HY470" s="131"/>
      <c r="HZ470" s="131"/>
      <c r="IA470" s="131"/>
      <c r="IB470" s="131"/>
      <c r="IC470" s="131"/>
      <c r="ID470" s="131"/>
      <c r="IE470" s="131"/>
      <c r="IF470" s="131"/>
      <c r="IG470" s="131"/>
      <c r="IH470" s="131"/>
      <c r="II470" s="131"/>
      <c r="IJ470" s="131"/>
      <c r="IK470" s="131"/>
      <c r="IL470" s="131"/>
      <c r="IM470" s="131"/>
      <c r="IN470" s="131"/>
      <c r="IO470" s="131"/>
      <c r="IP470" s="131"/>
      <c r="IQ470" s="131"/>
      <c r="IR470" s="131"/>
      <c r="IS470" s="131"/>
      <c r="IT470" s="131"/>
      <c r="IU470" s="131"/>
      <c r="IV470" s="131"/>
    </row>
    <row r="471" spans="1:256" s="13" customFormat="1" ht="38.25" customHeight="1">
      <c r="A471" s="21" t="s">
        <v>1</v>
      </c>
      <c r="B471" s="246" t="s">
        <v>34</v>
      </c>
      <c r="C471" s="246" t="s">
        <v>25</v>
      </c>
      <c r="D471" s="246" t="s">
        <v>923</v>
      </c>
      <c r="E471" s="246" t="s">
        <v>138</v>
      </c>
      <c r="F471" s="21" t="s">
        <v>897</v>
      </c>
      <c r="G471" s="246" t="s">
        <v>103</v>
      </c>
      <c r="H471" s="246">
        <v>236220</v>
      </c>
      <c r="I471" s="21" t="s">
        <v>28</v>
      </c>
      <c r="J471" s="21" t="s">
        <v>109</v>
      </c>
      <c r="K471" s="21" t="s">
        <v>1974</v>
      </c>
      <c r="L471" s="21" t="s">
        <v>1974</v>
      </c>
      <c r="M471" s="22">
        <v>1000</v>
      </c>
      <c r="N471" s="22">
        <v>25000</v>
      </c>
      <c r="O471" s="21" t="s">
        <v>20</v>
      </c>
      <c r="P471" s="21" t="s">
        <v>278</v>
      </c>
      <c r="Q471" s="21" t="s">
        <v>279</v>
      </c>
      <c r="R471" s="21" t="s">
        <v>278</v>
      </c>
      <c r="S471" s="74">
        <v>2013</v>
      </c>
      <c r="T471" s="21" t="s">
        <v>924</v>
      </c>
      <c r="U471" s="21" t="s">
        <v>908</v>
      </c>
      <c r="V471" s="21" t="s">
        <v>909</v>
      </c>
      <c r="W471" s="21" t="s">
        <v>66</v>
      </c>
      <c r="X471" s="246" t="s">
        <v>2616</v>
      </c>
      <c r="Y471" s="130"/>
      <c r="Z471" s="130"/>
      <c r="AA471" s="130"/>
      <c r="AB471" s="130"/>
      <c r="AC471" s="130"/>
      <c r="AD471" s="131"/>
      <c r="AE471" s="131"/>
      <c r="AF471" s="131"/>
      <c r="AG471" s="131"/>
      <c r="AH471" s="131"/>
      <c r="AI471" s="131"/>
      <c r="AJ471" s="131"/>
      <c r="AK471" s="131"/>
      <c r="AL471" s="131"/>
      <c r="AM471" s="131"/>
      <c r="AN471" s="131"/>
      <c r="AO471" s="131"/>
      <c r="AP471" s="131"/>
      <c r="AQ471" s="131"/>
      <c r="AR471" s="131"/>
      <c r="AS471" s="131"/>
      <c r="AT471" s="131"/>
      <c r="AU471" s="131"/>
      <c r="AV471" s="131"/>
      <c r="AW471" s="131"/>
      <c r="AX471" s="131"/>
      <c r="AY471" s="131"/>
      <c r="AZ471" s="131"/>
      <c r="BA471" s="131"/>
      <c r="BB471" s="131"/>
      <c r="BC471" s="131"/>
      <c r="BD471" s="131"/>
      <c r="BE471" s="131"/>
      <c r="BF471" s="131"/>
      <c r="BG471" s="131"/>
      <c r="BH471" s="131"/>
      <c r="BI471" s="131"/>
      <c r="BJ471" s="131"/>
      <c r="BK471" s="131"/>
      <c r="BL471" s="131"/>
      <c r="BM471" s="131"/>
      <c r="BN471" s="131"/>
      <c r="BO471" s="131"/>
      <c r="BP471" s="131"/>
      <c r="BQ471" s="131"/>
      <c r="BR471" s="131"/>
      <c r="BS471" s="131"/>
      <c r="BT471" s="131"/>
      <c r="BU471" s="131"/>
      <c r="BV471" s="131"/>
      <c r="BW471" s="131"/>
      <c r="BX471" s="131"/>
      <c r="BY471" s="131"/>
      <c r="BZ471" s="131"/>
      <c r="CA471" s="131"/>
      <c r="CB471" s="131"/>
      <c r="CC471" s="131"/>
      <c r="CD471" s="131"/>
      <c r="CE471" s="131"/>
      <c r="CF471" s="131"/>
      <c r="CG471" s="131"/>
      <c r="CH471" s="131"/>
      <c r="CI471" s="131"/>
      <c r="CJ471" s="131"/>
      <c r="CK471" s="131"/>
      <c r="CL471" s="131"/>
      <c r="CM471" s="131"/>
      <c r="CN471" s="131"/>
      <c r="CO471" s="131"/>
      <c r="CP471" s="131"/>
      <c r="CQ471" s="131"/>
      <c r="CR471" s="131"/>
      <c r="CS471" s="131"/>
      <c r="CT471" s="131"/>
      <c r="CU471" s="131"/>
      <c r="CV471" s="131"/>
      <c r="CW471" s="131"/>
      <c r="CX471" s="131"/>
      <c r="CY471" s="131"/>
      <c r="CZ471" s="131"/>
      <c r="DA471" s="131"/>
      <c r="DB471" s="131"/>
      <c r="DC471" s="131"/>
      <c r="DD471" s="131"/>
      <c r="DE471" s="131"/>
      <c r="DF471" s="131"/>
      <c r="DG471" s="131"/>
      <c r="DH471" s="131"/>
      <c r="DI471" s="131"/>
      <c r="DJ471" s="131"/>
      <c r="DK471" s="131"/>
      <c r="DL471" s="131"/>
      <c r="DM471" s="131"/>
      <c r="DN471" s="131"/>
      <c r="DO471" s="131"/>
      <c r="DP471" s="131"/>
      <c r="DQ471" s="131"/>
      <c r="DR471" s="131"/>
      <c r="DS471" s="131"/>
      <c r="DT471" s="131"/>
      <c r="DU471" s="131"/>
      <c r="DV471" s="131"/>
      <c r="DW471" s="131"/>
      <c r="DX471" s="131"/>
      <c r="DY471" s="131"/>
      <c r="DZ471" s="131"/>
      <c r="EA471" s="131"/>
      <c r="EB471" s="131"/>
      <c r="EC471" s="131"/>
      <c r="ED471" s="131"/>
      <c r="EE471" s="131"/>
      <c r="EF471" s="131"/>
      <c r="EG471" s="131"/>
      <c r="EH471" s="131"/>
      <c r="EI471" s="131"/>
      <c r="EJ471" s="131"/>
      <c r="EK471" s="131"/>
      <c r="EL471" s="131"/>
      <c r="EM471" s="131"/>
      <c r="EN471" s="131"/>
      <c r="EO471" s="131"/>
      <c r="EP471" s="131"/>
      <c r="EQ471" s="131"/>
      <c r="ER471" s="131"/>
      <c r="ES471" s="131"/>
      <c r="ET471" s="131"/>
      <c r="EU471" s="131"/>
      <c r="EV471" s="131"/>
      <c r="EW471" s="131"/>
      <c r="EX471" s="131"/>
      <c r="EY471" s="131"/>
      <c r="EZ471" s="131"/>
      <c r="FA471" s="131"/>
      <c r="FB471" s="131"/>
      <c r="FC471" s="131"/>
      <c r="FD471" s="131"/>
      <c r="FE471" s="131"/>
      <c r="FF471" s="131"/>
      <c r="FG471" s="131"/>
      <c r="FH471" s="131"/>
      <c r="FI471" s="131"/>
      <c r="FJ471" s="131"/>
      <c r="FK471" s="131"/>
      <c r="FL471" s="131"/>
      <c r="FM471" s="131"/>
      <c r="FN471" s="131"/>
      <c r="FO471" s="131"/>
      <c r="FP471" s="131"/>
      <c r="FQ471" s="131"/>
      <c r="FR471" s="131"/>
      <c r="FS471" s="131"/>
      <c r="FT471" s="131"/>
      <c r="FU471" s="131"/>
      <c r="FV471" s="131"/>
      <c r="FW471" s="131"/>
      <c r="FX471" s="131"/>
      <c r="FY471" s="131"/>
      <c r="FZ471" s="131"/>
      <c r="GA471" s="131"/>
      <c r="GB471" s="131"/>
      <c r="GC471" s="131"/>
      <c r="GD471" s="131"/>
      <c r="GE471" s="131"/>
      <c r="GF471" s="131"/>
      <c r="GG471" s="131"/>
      <c r="GH471" s="131"/>
      <c r="GI471" s="131"/>
      <c r="GJ471" s="131"/>
      <c r="GK471" s="131"/>
      <c r="GL471" s="131"/>
      <c r="GM471" s="131"/>
      <c r="GN471" s="131"/>
      <c r="GO471" s="131"/>
      <c r="GP471" s="131"/>
      <c r="GQ471" s="131"/>
      <c r="GR471" s="131"/>
      <c r="GS471" s="131"/>
      <c r="GT471" s="131"/>
      <c r="GU471" s="131"/>
      <c r="GV471" s="131"/>
      <c r="GW471" s="131"/>
      <c r="GX471" s="131"/>
      <c r="GY471" s="131"/>
      <c r="GZ471" s="131"/>
      <c r="HA471" s="131"/>
      <c r="HB471" s="131"/>
      <c r="HC471" s="131"/>
      <c r="HD471" s="131"/>
      <c r="HE471" s="131"/>
      <c r="HF471" s="131"/>
      <c r="HG471" s="131"/>
      <c r="HH471" s="131"/>
      <c r="HI471" s="131"/>
      <c r="HJ471" s="131"/>
      <c r="HK471" s="131"/>
      <c r="HL471" s="131"/>
      <c r="HM471" s="131"/>
      <c r="HN471" s="131"/>
      <c r="HO471" s="131"/>
      <c r="HP471" s="131"/>
      <c r="HQ471" s="131"/>
      <c r="HR471" s="131"/>
      <c r="HS471" s="131"/>
      <c r="HT471" s="131"/>
      <c r="HU471" s="131"/>
      <c r="HV471" s="131"/>
      <c r="HW471" s="131"/>
      <c r="HX471" s="131"/>
      <c r="HY471" s="131"/>
      <c r="HZ471" s="131"/>
      <c r="IA471" s="131"/>
      <c r="IB471" s="131"/>
      <c r="IC471" s="131"/>
      <c r="ID471" s="131"/>
      <c r="IE471" s="131"/>
      <c r="IF471" s="131"/>
      <c r="IG471" s="131"/>
      <c r="IH471" s="131"/>
      <c r="II471" s="131"/>
      <c r="IJ471" s="131"/>
      <c r="IK471" s="131"/>
      <c r="IL471" s="131"/>
      <c r="IM471" s="131"/>
      <c r="IN471" s="131"/>
      <c r="IO471" s="131"/>
      <c r="IP471" s="131"/>
      <c r="IQ471" s="131"/>
      <c r="IR471" s="131"/>
      <c r="IS471" s="131"/>
      <c r="IT471" s="131"/>
      <c r="IU471" s="131"/>
      <c r="IV471" s="131"/>
    </row>
    <row r="472" spans="1:256" s="13" customFormat="1" ht="38.25" customHeight="1">
      <c r="A472" s="21" t="s">
        <v>1</v>
      </c>
      <c r="B472" s="246" t="s">
        <v>34</v>
      </c>
      <c r="C472" s="246" t="s">
        <v>25</v>
      </c>
      <c r="D472" s="246" t="s">
        <v>925</v>
      </c>
      <c r="E472" s="246" t="s">
        <v>138</v>
      </c>
      <c r="F472" s="21" t="s">
        <v>897</v>
      </c>
      <c r="G472" s="246" t="s">
        <v>103</v>
      </c>
      <c r="H472" s="246">
        <v>236220</v>
      </c>
      <c r="I472" s="21" t="s">
        <v>28</v>
      </c>
      <c r="J472" s="21" t="s">
        <v>109</v>
      </c>
      <c r="K472" s="21" t="s">
        <v>1974</v>
      </c>
      <c r="L472" s="21" t="s">
        <v>1974</v>
      </c>
      <c r="M472" s="22">
        <v>100000</v>
      </c>
      <c r="N472" s="22">
        <v>250000</v>
      </c>
      <c r="O472" s="21" t="s">
        <v>20</v>
      </c>
      <c r="P472" s="21" t="s">
        <v>278</v>
      </c>
      <c r="Q472" s="21" t="s">
        <v>279</v>
      </c>
      <c r="R472" s="21" t="s">
        <v>278</v>
      </c>
      <c r="S472" s="74">
        <v>2013</v>
      </c>
      <c r="T472" s="21" t="s">
        <v>926</v>
      </c>
      <c r="U472" s="21" t="s">
        <v>927</v>
      </c>
      <c r="V472" s="21" t="s">
        <v>928</v>
      </c>
      <c r="W472" s="21" t="s">
        <v>66</v>
      </c>
      <c r="X472" s="246"/>
      <c r="Y472" s="130"/>
      <c r="Z472" s="130"/>
      <c r="AA472" s="130"/>
      <c r="AB472" s="130"/>
      <c r="AC472" s="130"/>
      <c r="AD472" s="131"/>
      <c r="AE472" s="131"/>
      <c r="AF472" s="131"/>
      <c r="AG472" s="131"/>
      <c r="AH472" s="131"/>
      <c r="AI472" s="131"/>
      <c r="AJ472" s="131"/>
      <c r="AK472" s="131"/>
      <c r="AL472" s="131"/>
      <c r="AM472" s="131"/>
      <c r="AN472" s="131"/>
      <c r="AO472" s="131"/>
      <c r="AP472" s="131"/>
      <c r="AQ472" s="131"/>
      <c r="AR472" s="131"/>
      <c r="AS472" s="131"/>
      <c r="AT472" s="131"/>
      <c r="AU472" s="131"/>
      <c r="AV472" s="131"/>
      <c r="AW472" s="131"/>
      <c r="AX472" s="131"/>
      <c r="AY472" s="131"/>
      <c r="AZ472" s="131"/>
      <c r="BA472" s="131"/>
      <c r="BB472" s="131"/>
      <c r="BC472" s="131"/>
      <c r="BD472" s="131"/>
      <c r="BE472" s="131"/>
      <c r="BF472" s="131"/>
      <c r="BG472" s="131"/>
      <c r="BH472" s="131"/>
      <c r="BI472" s="131"/>
      <c r="BJ472" s="131"/>
      <c r="BK472" s="131"/>
      <c r="BL472" s="131"/>
      <c r="BM472" s="131"/>
      <c r="BN472" s="131"/>
      <c r="BO472" s="131"/>
      <c r="BP472" s="131"/>
      <c r="BQ472" s="131"/>
      <c r="BR472" s="131"/>
      <c r="BS472" s="131"/>
      <c r="BT472" s="131"/>
      <c r="BU472" s="131"/>
      <c r="BV472" s="131"/>
      <c r="BW472" s="131"/>
      <c r="BX472" s="131"/>
      <c r="BY472" s="131"/>
      <c r="BZ472" s="131"/>
      <c r="CA472" s="131"/>
      <c r="CB472" s="131"/>
      <c r="CC472" s="131"/>
      <c r="CD472" s="131"/>
      <c r="CE472" s="131"/>
      <c r="CF472" s="131"/>
      <c r="CG472" s="131"/>
      <c r="CH472" s="131"/>
      <c r="CI472" s="131"/>
      <c r="CJ472" s="131"/>
      <c r="CK472" s="131"/>
      <c r="CL472" s="131"/>
      <c r="CM472" s="131"/>
      <c r="CN472" s="131"/>
      <c r="CO472" s="131"/>
      <c r="CP472" s="131"/>
      <c r="CQ472" s="131"/>
      <c r="CR472" s="131"/>
      <c r="CS472" s="131"/>
      <c r="CT472" s="131"/>
      <c r="CU472" s="131"/>
      <c r="CV472" s="131"/>
      <c r="CW472" s="131"/>
      <c r="CX472" s="131"/>
      <c r="CY472" s="131"/>
      <c r="CZ472" s="131"/>
      <c r="DA472" s="131"/>
      <c r="DB472" s="131"/>
      <c r="DC472" s="131"/>
      <c r="DD472" s="131"/>
      <c r="DE472" s="131"/>
      <c r="DF472" s="131"/>
      <c r="DG472" s="131"/>
      <c r="DH472" s="131"/>
      <c r="DI472" s="131"/>
      <c r="DJ472" s="131"/>
      <c r="DK472" s="131"/>
      <c r="DL472" s="131"/>
      <c r="DM472" s="131"/>
      <c r="DN472" s="131"/>
      <c r="DO472" s="131"/>
      <c r="DP472" s="131"/>
      <c r="DQ472" s="131"/>
      <c r="DR472" s="131"/>
      <c r="DS472" s="131"/>
      <c r="DT472" s="131"/>
      <c r="DU472" s="131"/>
      <c r="DV472" s="131"/>
      <c r="DW472" s="131"/>
      <c r="DX472" s="131"/>
      <c r="DY472" s="131"/>
      <c r="DZ472" s="131"/>
      <c r="EA472" s="131"/>
      <c r="EB472" s="131"/>
      <c r="EC472" s="131"/>
      <c r="ED472" s="131"/>
      <c r="EE472" s="131"/>
      <c r="EF472" s="131"/>
      <c r="EG472" s="131"/>
      <c r="EH472" s="131"/>
      <c r="EI472" s="131"/>
      <c r="EJ472" s="131"/>
      <c r="EK472" s="131"/>
      <c r="EL472" s="131"/>
      <c r="EM472" s="131"/>
      <c r="EN472" s="131"/>
      <c r="EO472" s="131"/>
      <c r="EP472" s="131"/>
      <c r="EQ472" s="131"/>
      <c r="ER472" s="131"/>
      <c r="ES472" s="131"/>
      <c r="ET472" s="131"/>
      <c r="EU472" s="131"/>
      <c r="EV472" s="131"/>
      <c r="EW472" s="131"/>
      <c r="EX472" s="131"/>
      <c r="EY472" s="131"/>
      <c r="EZ472" s="131"/>
      <c r="FA472" s="131"/>
      <c r="FB472" s="131"/>
      <c r="FC472" s="131"/>
      <c r="FD472" s="131"/>
      <c r="FE472" s="131"/>
      <c r="FF472" s="131"/>
      <c r="FG472" s="131"/>
      <c r="FH472" s="131"/>
      <c r="FI472" s="131"/>
      <c r="FJ472" s="131"/>
      <c r="FK472" s="131"/>
      <c r="FL472" s="131"/>
      <c r="FM472" s="131"/>
      <c r="FN472" s="131"/>
      <c r="FO472" s="131"/>
      <c r="FP472" s="131"/>
      <c r="FQ472" s="131"/>
      <c r="FR472" s="131"/>
      <c r="FS472" s="131"/>
      <c r="FT472" s="131"/>
      <c r="FU472" s="131"/>
      <c r="FV472" s="131"/>
      <c r="FW472" s="131"/>
      <c r="FX472" s="131"/>
      <c r="FY472" s="131"/>
      <c r="FZ472" s="131"/>
      <c r="GA472" s="131"/>
      <c r="GB472" s="131"/>
      <c r="GC472" s="131"/>
      <c r="GD472" s="131"/>
      <c r="GE472" s="131"/>
      <c r="GF472" s="131"/>
      <c r="GG472" s="131"/>
      <c r="GH472" s="131"/>
      <c r="GI472" s="131"/>
      <c r="GJ472" s="131"/>
      <c r="GK472" s="131"/>
      <c r="GL472" s="131"/>
      <c r="GM472" s="131"/>
      <c r="GN472" s="131"/>
      <c r="GO472" s="131"/>
      <c r="GP472" s="131"/>
      <c r="GQ472" s="131"/>
      <c r="GR472" s="131"/>
      <c r="GS472" s="131"/>
      <c r="GT472" s="131"/>
      <c r="GU472" s="131"/>
      <c r="GV472" s="131"/>
      <c r="GW472" s="131"/>
      <c r="GX472" s="131"/>
      <c r="GY472" s="131"/>
      <c r="GZ472" s="131"/>
      <c r="HA472" s="131"/>
      <c r="HB472" s="131"/>
      <c r="HC472" s="131"/>
      <c r="HD472" s="131"/>
      <c r="HE472" s="131"/>
      <c r="HF472" s="131"/>
      <c r="HG472" s="131"/>
      <c r="HH472" s="131"/>
      <c r="HI472" s="131"/>
      <c r="HJ472" s="131"/>
      <c r="HK472" s="131"/>
      <c r="HL472" s="131"/>
      <c r="HM472" s="131"/>
      <c r="HN472" s="131"/>
      <c r="HO472" s="131"/>
      <c r="HP472" s="131"/>
      <c r="HQ472" s="131"/>
      <c r="HR472" s="131"/>
      <c r="HS472" s="131"/>
      <c r="HT472" s="131"/>
      <c r="HU472" s="131"/>
      <c r="HV472" s="131"/>
      <c r="HW472" s="131"/>
      <c r="HX472" s="131"/>
      <c r="HY472" s="131"/>
      <c r="HZ472" s="131"/>
      <c r="IA472" s="131"/>
      <c r="IB472" s="131"/>
      <c r="IC472" s="131"/>
      <c r="ID472" s="131"/>
      <c r="IE472" s="131"/>
      <c r="IF472" s="131"/>
      <c r="IG472" s="131"/>
      <c r="IH472" s="131"/>
      <c r="II472" s="131"/>
      <c r="IJ472" s="131"/>
      <c r="IK472" s="131"/>
      <c r="IL472" s="131"/>
      <c r="IM472" s="131"/>
      <c r="IN472" s="131"/>
      <c r="IO472" s="131"/>
      <c r="IP472" s="131"/>
      <c r="IQ472" s="131"/>
      <c r="IR472" s="131"/>
      <c r="IS472" s="131"/>
      <c r="IT472" s="131"/>
      <c r="IU472" s="131"/>
      <c r="IV472" s="131"/>
    </row>
    <row r="473" spans="1:256" s="13" customFormat="1" ht="38.25" customHeight="1">
      <c r="A473" s="21" t="s">
        <v>1</v>
      </c>
      <c r="B473" s="246" t="s">
        <v>34</v>
      </c>
      <c r="C473" s="246" t="s">
        <v>25</v>
      </c>
      <c r="D473" s="246" t="s">
        <v>929</v>
      </c>
      <c r="E473" s="246" t="s">
        <v>138</v>
      </c>
      <c r="F473" s="21" t="s">
        <v>897</v>
      </c>
      <c r="G473" s="246" t="s">
        <v>103</v>
      </c>
      <c r="H473" s="246">
        <v>236220</v>
      </c>
      <c r="I473" s="21" t="s">
        <v>28</v>
      </c>
      <c r="J473" s="21" t="s">
        <v>109</v>
      </c>
      <c r="K473" s="21" t="s">
        <v>1974</v>
      </c>
      <c r="L473" s="21" t="s">
        <v>1974</v>
      </c>
      <c r="M473" s="22">
        <v>25000</v>
      </c>
      <c r="N473" s="22">
        <v>100000</v>
      </c>
      <c r="O473" s="21" t="s">
        <v>20</v>
      </c>
      <c r="P473" s="21" t="s">
        <v>278</v>
      </c>
      <c r="Q473" s="21" t="s">
        <v>279</v>
      </c>
      <c r="R473" s="21" t="s">
        <v>278</v>
      </c>
      <c r="S473" s="74">
        <v>2013</v>
      </c>
      <c r="T473" s="21" t="s">
        <v>926</v>
      </c>
      <c r="U473" s="21" t="s">
        <v>927</v>
      </c>
      <c r="V473" s="21" t="s">
        <v>928</v>
      </c>
      <c r="W473" s="21" t="s">
        <v>66</v>
      </c>
      <c r="X473" s="246"/>
      <c r="Y473" s="130"/>
      <c r="Z473" s="130"/>
      <c r="AA473" s="130"/>
      <c r="AB473" s="130"/>
      <c r="AC473" s="130"/>
      <c r="AD473" s="131"/>
      <c r="AE473" s="131"/>
      <c r="AF473" s="131"/>
      <c r="AG473" s="131"/>
      <c r="AH473" s="131"/>
      <c r="AI473" s="131"/>
      <c r="AJ473" s="131"/>
      <c r="AK473" s="131"/>
      <c r="AL473" s="131"/>
      <c r="AM473" s="131"/>
      <c r="AN473" s="131"/>
      <c r="AO473" s="131"/>
      <c r="AP473" s="131"/>
      <c r="AQ473" s="131"/>
      <c r="AR473" s="131"/>
      <c r="AS473" s="131"/>
      <c r="AT473" s="131"/>
      <c r="AU473" s="131"/>
      <c r="AV473" s="131"/>
      <c r="AW473" s="131"/>
      <c r="AX473" s="131"/>
      <c r="AY473" s="131"/>
      <c r="AZ473" s="131"/>
      <c r="BA473" s="131"/>
      <c r="BB473" s="131"/>
      <c r="BC473" s="131"/>
      <c r="BD473" s="131"/>
      <c r="BE473" s="131"/>
      <c r="BF473" s="131"/>
      <c r="BG473" s="131"/>
      <c r="BH473" s="131"/>
      <c r="BI473" s="131"/>
      <c r="BJ473" s="131"/>
      <c r="BK473" s="131"/>
      <c r="BL473" s="131"/>
      <c r="BM473" s="131"/>
      <c r="BN473" s="131"/>
      <c r="BO473" s="131"/>
      <c r="BP473" s="131"/>
      <c r="BQ473" s="131"/>
      <c r="BR473" s="131"/>
      <c r="BS473" s="131"/>
      <c r="BT473" s="131"/>
      <c r="BU473" s="131"/>
      <c r="BV473" s="131"/>
      <c r="BW473" s="131"/>
      <c r="BX473" s="131"/>
      <c r="BY473" s="131"/>
      <c r="BZ473" s="131"/>
      <c r="CA473" s="131"/>
      <c r="CB473" s="131"/>
      <c r="CC473" s="131"/>
      <c r="CD473" s="131"/>
      <c r="CE473" s="131"/>
      <c r="CF473" s="131"/>
      <c r="CG473" s="131"/>
      <c r="CH473" s="131"/>
      <c r="CI473" s="131"/>
      <c r="CJ473" s="131"/>
      <c r="CK473" s="131"/>
      <c r="CL473" s="131"/>
      <c r="CM473" s="131"/>
      <c r="CN473" s="131"/>
      <c r="CO473" s="131"/>
      <c r="CP473" s="131"/>
      <c r="CQ473" s="131"/>
      <c r="CR473" s="131"/>
      <c r="CS473" s="131"/>
      <c r="CT473" s="131"/>
      <c r="CU473" s="131"/>
      <c r="CV473" s="131"/>
      <c r="CW473" s="131"/>
      <c r="CX473" s="131"/>
      <c r="CY473" s="131"/>
      <c r="CZ473" s="131"/>
      <c r="DA473" s="131"/>
      <c r="DB473" s="131"/>
      <c r="DC473" s="131"/>
      <c r="DD473" s="131"/>
      <c r="DE473" s="131"/>
      <c r="DF473" s="131"/>
      <c r="DG473" s="131"/>
      <c r="DH473" s="131"/>
      <c r="DI473" s="131"/>
      <c r="DJ473" s="131"/>
      <c r="DK473" s="131"/>
      <c r="DL473" s="131"/>
      <c r="DM473" s="131"/>
      <c r="DN473" s="131"/>
      <c r="DO473" s="131"/>
      <c r="DP473" s="131"/>
      <c r="DQ473" s="131"/>
      <c r="DR473" s="131"/>
      <c r="DS473" s="131"/>
      <c r="DT473" s="131"/>
      <c r="DU473" s="131"/>
      <c r="DV473" s="131"/>
      <c r="DW473" s="131"/>
      <c r="DX473" s="131"/>
      <c r="DY473" s="131"/>
      <c r="DZ473" s="131"/>
      <c r="EA473" s="131"/>
      <c r="EB473" s="131"/>
      <c r="EC473" s="131"/>
      <c r="ED473" s="131"/>
      <c r="EE473" s="131"/>
      <c r="EF473" s="131"/>
      <c r="EG473" s="131"/>
      <c r="EH473" s="131"/>
      <c r="EI473" s="131"/>
      <c r="EJ473" s="131"/>
      <c r="EK473" s="131"/>
      <c r="EL473" s="131"/>
      <c r="EM473" s="131"/>
      <c r="EN473" s="131"/>
      <c r="EO473" s="131"/>
      <c r="EP473" s="131"/>
      <c r="EQ473" s="131"/>
      <c r="ER473" s="131"/>
      <c r="ES473" s="131"/>
      <c r="ET473" s="131"/>
      <c r="EU473" s="131"/>
      <c r="EV473" s="131"/>
      <c r="EW473" s="131"/>
      <c r="EX473" s="131"/>
      <c r="EY473" s="131"/>
      <c r="EZ473" s="131"/>
      <c r="FA473" s="131"/>
      <c r="FB473" s="131"/>
      <c r="FC473" s="131"/>
      <c r="FD473" s="131"/>
      <c r="FE473" s="131"/>
      <c r="FF473" s="131"/>
      <c r="FG473" s="131"/>
      <c r="FH473" s="131"/>
      <c r="FI473" s="131"/>
      <c r="FJ473" s="131"/>
      <c r="FK473" s="131"/>
      <c r="FL473" s="131"/>
      <c r="FM473" s="131"/>
      <c r="FN473" s="131"/>
      <c r="FO473" s="131"/>
      <c r="FP473" s="131"/>
      <c r="FQ473" s="131"/>
      <c r="FR473" s="131"/>
      <c r="FS473" s="131"/>
      <c r="FT473" s="131"/>
      <c r="FU473" s="131"/>
      <c r="FV473" s="131"/>
      <c r="FW473" s="131"/>
      <c r="FX473" s="131"/>
      <c r="FY473" s="131"/>
      <c r="FZ473" s="131"/>
      <c r="GA473" s="131"/>
      <c r="GB473" s="131"/>
      <c r="GC473" s="131"/>
      <c r="GD473" s="131"/>
      <c r="GE473" s="131"/>
      <c r="GF473" s="131"/>
      <c r="GG473" s="131"/>
      <c r="GH473" s="131"/>
      <c r="GI473" s="131"/>
      <c r="GJ473" s="131"/>
      <c r="GK473" s="131"/>
      <c r="GL473" s="131"/>
      <c r="GM473" s="131"/>
      <c r="GN473" s="131"/>
      <c r="GO473" s="131"/>
      <c r="GP473" s="131"/>
      <c r="GQ473" s="131"/>
      <c r="GR473" s="131"/>
      <c r="GS473" s="131"/>
      <c r="GT473" s="131"/>
      <c r="GU473" s="131"/>
      <c r="GV473" s="131"/>
      <c r="GW473" s="131"/>
      <c r="GX473" s="131"/>
      <c r="GY473" s="131"/>
      <c r="GZ473" s="131"/>
      <c r="HA473" s="131"/>
      <c r="HB473" s="131"/>
      <c r="HC473" s="131"/>
      <c r="HD473" s="131"/>
      <c r="HE473" s="131"/>
      <c r="HF473" s="131"/>
      <c r="HG473" s="131"/>
      <c r="HH473" s="131"/>
      <c r="HI473" s="131"/>
      <c r="HJ473" s="131"/>
      <c r="HK473" s="131"/>
      <c r="HL473" s="131"/>
      <c r="HM473" s="131"/>
      <c r="HN473" s="131"/>
      <c r="HO473" s="131"/>
      <c r="HP473" s="131"/>
      <c r="HQ473" s="131"/>
      <c r="HR473" s="131"/>
      <c r="HS473" s="131"/>
      <c r="HT473" s="131"/>
      <c r="HU473" s="131"/>
      <c r="HV473" s="131"/>
      <c r="HW473" s="131"/>
      <c r="HX473" s="131"/>
      <c r="HY473" s="131"/>
      <c r="HZ473" s="131"/>
      <c r="IA473" s="131"/>
      <c r="IB473" s="131"/>
      <c r="IC473" s="131"/>
      <c r="ID473" s="131"/>
      <c r="IE473" s="131"/>
      <c r="IF473" s="131"/>
      <c r="IG473" s="131"/>
      <c r="IH473" s="131"/>
      <c r="II473" s="131"/>
      <c r="IJ473" s="131"/>
      <c r="IK473" s="131"/>
      <c r="IL473" s="131"/>
      <c r="IM473" s="131"/>
      <c r="IN473" s="131"/>
      <c r="IO473" s="131"/>
      <c r="IP473" s="131"/>
      <c r="IQ473" s="131"/>
      <c r="IR473" s="131"/>
      <c r="IS473" s="131"/>
      <c r="IT473" s="131"/>
      <c r="IU473" s="131"/>
      <c r="IV473" s="131"/>
    </row>
    <row r="474" spans="1:256" s="13" customFormat="1" ht="38.25" customHeight="1">
      <c r="A474" s="21" t="s">
        <v>1</v>
      </c>
      <c r="B474" s="246" t="s">
        <v>34</v>
      </c>
      <c r="C474" s="246" t="s">
        <v>25</v>
      </c>
      <c r="D474" s="246" t="s">
        <v>930</v>
      </c>
      <c r="E474" s="246" t="s">
        <v>138</v>
      </c>
      <c r="F474" s="21" t="s">
        <v>897</v>
      </c>
      <c r="G474" s="246" t="s">
        <v>103</v>
      </c>
      <c r="H474" s="246">
        <v>236220</v>
      </c>
      <c r="I474" s="21" t="s">
        <v>28</v>
      </c>
      <c r="J474" s="21" t="s">
        <v>109</v>
      </c>
      <c r="K474" s="21" t="s">
        <v>1974</v>
      </c>
      <c r="L474" s="21" t="s">
        <v>1974</v>
      </c>
      <c r="M474" s="22">
        <v>500000</v>
      </c>
      <c r="N474" s="22">
        <v>1000000</v>
      </c>
      <c r="O474" s="21" t="s">
        <v>20</v>
      </c>
      <c r="P474" s="21" t="s">
        <v>278</v>
      </c>
      <c r="Q474" s="21" t="s">
        <v>279</v>
      </c>
      <c r="R474" s="21" t="s">
        <v>278</v>
      </c>
      <c r="S474" s="74">
        <v>2013</v>
      </c>
      <c r="T474" s="21" t="s">
        <v>926</v>
      </c>
      <c r="U474" s="21" t="s">
        <v>927</v>
      </c>
      <c r="V474" s="21" t="s">
        <v>928</v>
      </c>
      <c r="W474" s="21" t="s">
        <v>66</v>
      </c>
      <c r="X474" s="246"/>
      <c r="Y474" s="130"/>
      <c r="Z474" s="130"/>
      <c r="AA474" s="130"/>
      <c r="AB474" s="130"/>
      <c r="AC474" s="130"/>
      <c r="AD474" s="131"/>
      <c r="AE474" s="131"/>
      <c r="AF474" s="131"/>
      <c r="AG474" s="131"/>
      <c r="AH474" s="131"/>
      <c r="AI474" s="131"/>
      <c r="AJ474" s="131"/>
      <c r="AK474" s="131"/>
      <c r="AL474" s="131"/>
      <c r="AM474" s="131"/>
      <c r="AN474" s="131"/>
      <c r="AO474" s="131"/>
      <c r="AP474" s="131"/>
      <c r="AQ474" s="131"/>
      <c r="AR474" s="131"/>
      <c r="AS474" s="131"/>
      <c r="AT474" s="131"/>
      <c r="AU474" s="131"/>
      <c r="AV474" s="131"/>
      <c r="AW474" s="131"/>
      <c r="AX474" s="131"/>
      <c r="AY474" s="131"/>
      <c r="AZ474" s="131"/>
      <c r="BA474" s="131"/>
      <c r="BB474" s="131"/>
      <c r="BC474" s="131"/>
      <c r="BD474" s="131"/>
      <c r="BE474" s="131"/>
      <c r="BF474" s="131"/>
      <c r="BG474" s="131"/>
      <c r="BH474" s="131"/>
      <c r="BI474" s="131"/>
      <c r="BJ474" s="131"/>
      <c r="BK474" s="131"/>
      <c r="BL474" s="131"/>
      <c r="BM474" s="131"/>
      <c r="BN474" s="131"/>
      <c r="BO474" s="131"/>
      <c r="BP474" s="131"/>
      <c r="BQ474" s="131"/>
      <c r="BR474" s="131"/>
      <c r="BS474" s="131"/>
      <c r="BT474" s="131"/>
      <c r="BU474" s="131"/>
      <c r="BV474" s="131"/>
      <c r="BW474" s="131"/>
      <c r="BX474" s="131"/>
      <c r="BY474" s="131"/>
      <c r="BZ474" s="131"/>
      <c r="CA474" s="131"/>
      <c r="CB474" s="131"/>
      <c r="CC474" s="131"/>
      <c r="CD474" s="131"/>
      <c r="CE474" s="131"/>
      <c r="CF474" s="131"/>
      <c r="CG474" s="131"/>
      <c r="CH474" s="131"/>
      <c r="CI474" s="131"/>
      <c r="CJ474" s="131"/>
      <c r="CK474" s="131"/>
      <c r="CL474" s="131"/>
      <c r="CM474" s="131"/>
      <c r="CN474" s="131"/>
      <c r="CO474" s="131"/>
      <c r="CP474" s="131"/>
      <c r="CQ474" s="131"/>
      <c r="CR474" s="131"/>
      <c r="CS474" s="131"/>
      <c r="CT474" s="131"/>
      <c r="CU474" s="131"/>
      <c r="CV474" s="131"/>
      <c r="CW474" s="131"/>
      <c r="CX474" s="131"/>
      <c r="CY474" s="131"/>
      <c r="CZ474" s="131"/>
      <c r="DA474" s="131"/>
      <c r="DB474" s="131"/>
      <c r="DC474" s="131"/>
      <c r="DD474" s="131"/>
      <c r="DE474" s="131"/>
      <c r="DF474" s="131"/>
      <c r="DG474" s="131"/>
      <c r="DH474" s="131"/>
      <c r="DI474" s="131"/>
      <c r="DJ474" s="131"/>
      <c r="DK474" s="131"/>
      <c r="DL474" s="131"/>
      <c r="DM474" s="131"/>
      <c r="DN474" s="131"/>
      <c r="DO474" s="131"/>
      <c r="DP474" s="131"/>
      <c r="DQ474" s="131"/>
      <c r="DR474" s="131"/>
      <c r="DS474" s="131"/>
      <c r="DT474" s="131"/>
      <c r="DU474" s="131"/>
      <c r="DV474" s="131"/>
      <c r="DW474" s="131"/>
      <c r="DX474" s="131"/>
      <c r="DY474" s="131"/>
      <c r="DZ474" s="131"/>
      <c r="EA474" s="131"/>
      <c r="EB474" s="131"/>
      <c r="EC474" s="131"/>
      <c r="ED474" s="131"/>
      <c r="EE474" s="131"/>
      <c r="EF474" s="131"/>
      <c r="EG474" s="131"/>
      <c r="EH474" s="131"/>
      <c r="EI474" s="131"/>
      <c r="EJ474" s="131"/>
      <c r="EK474" s="131"/>
      <c r="EL474" s="131"/>
      <c r="EM474" s="131"/>
      <c r="EN474" s="131"/>
      <c r="EO474" s="131"/>
      <c r="EP474" s="131"/>
      <c r="EQ474" s="131"/>
      <c r="ER474" s="131"/>
      <c r="ES474" s="131"/>
      <c r="ET474" s="131"/>
      <c r="EU474" s="131"/>
      <c r="EV474" s="131"/>
      <c r="EW474" s="131"/>
      <c r="EX474" s="131"/>
      <c r="EY474" s="131"/>
      <c r="EZ474" s="131"/>
      <c r="FA474" s="131"/>
      <c r="FB474" s="131"/>
      <c r="FC474" s="131"/>
      <c r="FD474" s="131"/>
      <c r="FE474" s="131"/>
      <c r="FF474" s="131"/>
      <c r="FG474" s="131"/>
      <c r="FH474" s="131"/>
      <c r="FI474" s="131"/>
      <c r="FJ474" s="131"/>
      <c r="FK474" s="131"/>
      <c r="FL474" s="131"/>
      <c r="FM474" s="131"/>
      <c r="FN474" s="131"/>
      <c r="FO474" s="131"/>
      <c r="FP474" s="131"/>
      <c r="FQ474" s="131"/>
      <c r="FR474" s="131"/>
      <c r="FS474" s="131"/>
      <c r="FT474" s="131"/>
      <c r="FU474" s="131"/>
      <c r="FV474" s="131"/>
      <c r="FW474" s="131"/>
      <c r="FX474" s="131"/>
      <c r="FY474" s="131"/>
      <c r="FZ474" s="131"/>
      <c r="GA474" s="131"/>
      <c r="GB474" s="131"/>
      <c r="GC474" s="131"/>
      <c r="GD474" s="131"/>
      <c r="GE474" s="131"/>
      <c r="GF474" s="131"/>
      <c r="GG474" s="131"/>
      <c r="GH474" s="131"/>
      <c r="GI474" s="131"/>
      <c r="GJ474" s="131"/>
      <c r="GK474" s="131"/>
      <c r="GL474" s="131"/>
      <c r="GM474" s="131"/>
      <c r="GN474" s="131"/>
      <c r="GO474" s="131"/>
      <c r="GP474" s="131"/>
      <c r="GQ474" s="131"/>
      <c r="GR474" s="131"/>
      <c r="GS474" s="131"/>
      <c r="GT474" s="131"/>
      <c r="GU474" s="131"/>
      <c r="GV474" s="131"/>
      <c r="GW474" s="131"/>
      <c r="GX474" s="131"/>
      <c r="GY474" s="131"/>
      <c r="GZ474" s="131"/>
      <c r="HA474" s="131"/>
      <c r="HB474" s="131"/>
      <c r="HC474" s="131"/>
      <c r="HD474" s="131"/>
      <c r="HE474" s="131"/>
      <c r="HF474" s="131"/>
      <c r="HG474" s="131"/>
      <c r="HH474" s="131"/>
      <c r="HI474" s="131"/>
      <c r="HJ474" s="131"/>
      <c r="HK474" s="131"/>
      <c r="HL474" s="131"/>
      <c r="HM474" s="131"/>
      <c r="HN474" s="131"/>
      <c r="HO474" s="131"/>
      <c r="HP474" s="131"/>
      <c r="HQ474" s="131"/>
      <c r="HR474" s="131"/>
      <c r="HS474" s="131"/>
      <c r="HT474" s="131"/>
      <c r="HU474" s="131"/>
      <c r="HV474" s="131"/>
      <c r="HW474" s="131"/>
      <c r="HX474" s="131"/>
      <c r="HY474" s="131"/>
      <c r="HZ474" s="131"/>
      <c r="IA474" s="131"/>
      <c r="IB474" s="131"/>
      <c r="IC474" s="131"/>
      <c r="ID474" s="131"/>
      <c r="IE474" s="131"/>
      <c r="IF474" s="131"/>
      <c r="IG474" s="131"/>
      <c r="IH474" s="131"/>
      <c r="II474" s="131"/>
      <c r="IJ474" s="131"/>
      <c r="IK474" s="131"/>
      <c r="IL474" s="131"/>
      <c r="IM474" s="131"/>
      <c r="IN474" s="131"/>
      <c r="IO474" s="131"/>
      <c r="IP474" s="131"/>
      <c r="IQ474" s="131"/>
      <c r="IR474" s="131"/>
      <c r="IS474" s="131"/>
      <c r="IT474" s="131"/>
      <c r="IU474" s="131"/>
      <c r="IV474" s="131"/>
    </row>
    <row r="475" spans="1:256" s="13" customFormat="1" ht="38.25" customHeight="1">
      <c r="A475" s="21" t="s">
        <v>1</v>
      </c>
      <c r="B475" s="246" t="s">
        <v>34</v>
      </c>
      <c r="C475" s="246" t="s">
        <v>25</v>
      </c>
      <c r="D475" s="246" t="s">
        <v>931</v>
      </c>
      <c r="E475" s="246" t="s">
        <v>138</v>
      </c>
      <c r="F475" s="21" t="s">
        <v>897</v>
      </c>
      <c r="G475" s="246" t="s">
        <v>103</v>
      </c>
      <c r="H475" s="246">
        <v>236220</v>
      </c>
      <c r="I475" s="21" t="s">
        <v>28</v>
      </c>
      <c r="J475" s="21" t="s">
        <v>109</v>
      </c>
      <c r="K475" s="21" t="s">
        <v>1974</v>
      </c>
      <c r="L475" s="21" t="s">
        <v>1974</v>
      </c>
      <c r="M475" s="22">
        <v>25000</v>
      </c>
      <c r="N475" s="22">
        <v>100000</v>
      </c>
      <c r="O475" s="21" t="s">
        <v>20</v>
      </c>
      <c r="P475" s="21" t="s">
        <v>278</v>
      </c>
      <c r="Q475" s="21" t="s">
        <v>279</v>
      </c>
      <c r="R475" s="21" t="s">
        <v>278</v>
      </c>
      <c r="S475" s="74">
        <v>2013</v>
      </c>
      <c r="T475" s="21" t="s">
        <v>926</v>
      </c>
      <c r="U475" s="21" t="s">
        <v>927</v>
      </c>
      <c r="V475" s="21" t="s">
        <v>928</v>
      </c>
      <c r="W475" s="21" t="s">
        <v>66</v>
      </c>
      <c r="X475" s="246"/>
      <c r="Y475" s="130"/>
      <c r="Z475" s="130"/>
      <c r="AA475" s="130"/>
      <c r="AB475" s="130"/>
      <c r="AC475" s="130"/>
      <c r="AD475" s="131"/>
      <c r="AE475" s="131"/>
      <c r="AF475" s="131"/>
      <c r="AG475" s="131"/>
      <c r="AH475" s="131"/>
      <c r="AI475" s="131"/>
      <c r="AJ475" s="131"/>
      <c r="AK475" s="131"/>
      <c r="AL475" s="131"/>
      <c r="AM475" s="131"/>
      <c r="AN475" s="131"/>
      <c r="AO475" s="131"/>
      <c r="AP475" s="131"/>
      <c r="AQ475" s="131"/>
      <c r="AR475" s="131"/>
      <c r="AS475" s="131"/>
      <c r="AT475" s="131"/>
      <c r="AU475" s="131"/>
      <c r="AV475" s="131"/>
      <c r="AW475" s="131"/>
      <c r="AX475" s="131"/>
      <c r="AY475" s="131"/>
      <c r="AZ475" s="131"/>
      <c r="BA475" s="131"/>
      <c r="BB475" s="131"/>
      <c r="BC475" s="131"/>
      <c r="BD475" s="131"/>
      <c r="BE475" s="131"/>
      <c r="BF475" s="131"/>
      <c r="BG475" s="131"/>
      <c r="BH475" s="131"/>
      <c r="BI475" s="131"/>
      <c r="BJ475" s="131"/>
      <c r="BK475" s="131"/>
      <c r="BL475" s="131"/>
      <c r="BM475" s="131"/>
      <c r="BN475" s="131"/>
      <c r="BO475" s="131"/>
      <c r="BP475" s="131"/>
      <c r="BQ475" s="131"/>
      <c r="BR475" s="131"/>
      <c r="BS475" s="131"/>
      <c r="BT475" s="131"/>
      <c r="BU475" s="131"/>
      <c r="BV475" s="131"/>
      <c r="BW475" s="131"/>
      <c r="BX475" s="131"/>
      <c r="BY475" s="131"/>
      <c r="BZ475" s="131"/>
      <c r="CA475" s="131"/>
      <c r="CB475" s="131"/>
      <c r="CC475" s="131"/>
      <c r="CD475" s="131"/>
      <c r="CE475" s="131"/>
      <c r="CF475" s="131"/>
      <c r="CG475" s="131"/>
      <c r="CH475" s="131"/>
      <c r="CI475" s="131"/>
      <c r="CJ475" s="131"/>
      <c r="CK475" s="131"/>
      <c r="CL475" s="131"/>
      <c r="CM475" s="131"/>
      <c r="CN475" s="131"/>
      <c r="CO475" s="131"/>
      <c r="CP475" s="131"/>
      <c r="CQ475" s="131"/>
      <c r="CR475" s="131"/>
      <c r="CS475" s="131"/>
      <c r="CT475" s="131"/>
      <c r="CU475" s="131"/>
      <c r="CV475" s="131"/>
      <c r="CW475" s="131"/>
      <c r="CX475" s="131"/>
      <c r="CY475" s="131"/>
      <c r="CZ475" s="131"/>
      <c r="DA475" s="131"/>
      <c r="DB475" s="131"/>
      <c r="DC475" s="131"/>
      <c r="DD475" s="131"/>
      <c r="DE475" s="131"/>
      <c r="DF475" s="131"/>
      <c r="DG475" s="131"/>
      <c r="DH475" s="131"/>
      <c r="DI475" s="131"/>
      <c r="DJ475" s="131"/>
      <c r="DK475" s="131"/>
      <c r="DL475" s="131"/>
      <c r="DM475" s="131"/>
      <c r="DN475" s="131"/>
      <c r="DO475" s="131"/>
      <c r="DP475" s="131"/>
      <c r="DQ475" s="131"/>
      <c r="DR475" s="131"/>
      <c r="DS475" s="131"/>
      <c r="DT475" s="131"/>
      <c r="DU475" s="131"/>
      <c r="DV475" s="131"/>
      <c r="DW475" s="131"/>
      <c r="DX475" s="131"/>
      <c r="DY475" s="131"/>
      <c r="DZ475" s="131"/>
      <c r="EA475" s="131"/>
      <c r="EB475" s="131"/>
      <c r="EC475" s="131"/>
      <c r="ED475" s="131"/>
      <c r="EE475" s="131"/>
      <c r="EF475" s="131"/>
      <c r="EG475" s="131"/>
      <c r="EH475" s="131"/>
      <c r="EI475" s="131"/>
      <c r="EJ475" s="131"/>
      <c r="EK475" s="131"/>
      <c r="EL475" s="131"/>
      <c r="EM475" s="131"/>
      <c r="EN475" s="131"/>
      <c r="EO475" s="131"/>
      <c r="EP475" s="131"/>
      <c r="EQ475" s="131"/>
      <c r="ER475" s="131"/>
      <c r="ES475" s="131"/>
      <c r="ET475" s="131"/>
      <c r="EU475" s="131"/>
      <c r="EV475" s="131"/>
      <c r="EW475" s="131"/>
      <c r="EX475" s="131"/>
      <c r="EY475" s="131"/>
      <c r="EZ475" s="131"/>
      <c r="FA475" s="131"/>
      <c r="FB475" s="131"/>
      <c r="FC475" s="131"/>
      <c r="FD475" s="131"/>
      <c r="FE475" s="131"/>
      <c r="FF475" s="131"/>
      <c r="FG475" s="131"/>
      <c r="FH475" s="131"/>
      <c r="FI475" s="131"/>
      <c r="FJ475" s="131"/>
      <c r="FK475" s="131"/>
      <c r="FL475" s="131"/>
      <c r="FM475" s="131"/>
      <c r="FN475" s="131"/>
      <c r="FO475" s="131"/>
      <c r="FP475" s="131"/>
      <c r="FQ475" s="131"/>
      <c r="FR475" s="131"/>
      <c r="FS475" s="131"/>
      <c r="FT475" s="131"/>
      <c r="FU475" s="131"/>
      <c r="FV475" s="131"/>
      <c r="FW475" s="131"/>
      <c r="FX475" s="131"/>
      <c r="FY475" s="131"/>
      <c r="FZ475" s="131"/>
      <c r="GA475" s="131"/>
      <c r="GB475" s="131"/>
      <c r="GC475" s="131"/>
      <c r="GD475" s="131"/>
      <c r="GE475" s="131"/>
      <c r="GF475" s="131"/>
      <c r="GG475" s="131"/>
      <c r="GH475" s="131"/>
      <c r="GI475" s="131"/>
      <c r="GJ475" s="131"/>
      <c r="GK475" s="131"/>
      <c r="GL475" s="131"/>
      <c r="GM475" s="131"/>
      <c r="GN475" s="131"/>
      <c r="GO475" s="131"/>
      <c r="GP475" s="131"/>
      <c r="GQ475" s="131"/>
      <c r="GR475" s="131"/>
      <c r="GS475" s="131"/>
      <c r="GT475" s="131"/>
      <c r="GU475" s="131"/>
      <c r="GV475" s="131"/>
      <c r="GW475" s="131"/>
      <c r="GX475" s="131"/>
      <c r="GY475" s="131"/>
      <c r="GZ475" s="131"/>
      <c r="HA475" s="131"/>
      <c r="HB475" s="131"/>
      <c r="HC475" s="131"/>
      <c r="HD475" s="131"/>
      <c r="HE475" s="131"/>
      <c r="HF475" s="131"/>
      <c r="HG475" s="131"/>
      <c r="HH475" s="131"/>
      <c r="HI475" s="131"/>
      <c r="HJ475" s="131"/>
      <c r="HK475" s="131"/>
      <c r="HL475" s="131"/>
      <c r="HM475" s="131"/>
      <c r="HN475" s="131"/>
      <c r="HO475" s="131"/>
      <c r="HP475" s="131"/>
      <c r="HQ475" s="131"/>
      <c r="HR475" s="131"/>
      <c r="HS475" s="131"/>
      <c r="HT475" s="131"/>
      <c r="HU475" s="131"/>
      <c r="HV475" s="131"/>
      <c r="HW475" s="131"/>
      <c r="HX475" s="131"/>
      <c r="HY475" s="131"/>
      <c r="HZ475" s="131"/>
      <c r="IA475" s="131"/>
      <c r="IB475" s="131"/>
      <c r="IC475" s="131"/>
      <c r="ID475" s="131"/>
      <c r="IE475" s="131"/>
      <c r="IF475" s="131"/>
      <c r="IG475" s="131"/>
      <c r="IH475" s="131"/>
      <c r="II475" s="131"/>
      <c r="IJ475" s="131"/>
      <c r="IK475" s="131"/>
      <c r="IL475" s="131"/>
      <c r="IM475" s="131"/>
      <c r="IN475" s="131"/>
      <c r="IO475" s="131"/>
      <c r="IP475" s="131"/>
      <c r="IQ475" s="131"/>
      <c r="IR475" s="131"/>
      <c r="IS475" s="131"/>
      <c r="IT475" s="131"/>
      <c r="IU475" s="131"/>
      <c r="IV475" s="131"/>
    </row>
    <row r="476" spans="1:256" s="13" customFormat="1" ht="38.25" customHeight="1">
      <c r="A476" s="21" t="s">
        <v>1</v>
      </c>
      <c r="B476" s="246" t="s">
        <v>34</v>
      </c>
      <c r="C476" s="246" t="s">
        <v>25</v>
      </c>
      <c r="D476" s="246" t="s">
        <v>932</v>
      </c>
      <c r="E476" s="246" t="s">
        <v>138</v>
      </c>
      <c r="F476" s="21" t="s">
        <v>897</v>
      </c>
      <c r="G476" s="246" t="s">
        <v>103</v>
      </c>
      <c r="H476" s="246">
        <v>236220</v>
      </c>
      <c r="I476" s="21" t="s">
        <v>28</v>
      </c>
      <c r="J476" s="21" t="s">
        <v>109</v>
      </c>
      <c r="K476" s="21" t="s">
        <v>1974</v>
      </c>
      <c r="L476" s="21" t="s">
        <v>1974</v>
      </c>
      <c r="M476" s="22">
        <v>1000000</v>
      </c>
      <c r="N476" s="22">
        <v>5000000</v>
      </c>
      <c r="O476" s="21" t="s">
        <v>20</v>
      </c>
      <c r="P476" s="21" t="s">
        <v>278</v>
      </c>
      <c r="Q476" s="21" t="s">
        <v>279</v>
      </c>
      <c r="R476" s="21" t="s">
        <v>10</v>
      </c>
      <c r="S476" s="74">
        <v>2013</v>
      </c>
      <c r="T476" s="21" t="s">
        <v>933</v>
      </c>
      <c r="U476" s="21" t="s">
        <v>927</v>
      </c>
      <c r="V476" s="21" t="s">
        <v>928</v>
      </c>
      <c r="W476" s="21" t="s">
        <v>66</v>
      </c>
      <c r="X476" s="246"/>
      <c r="Y476" s="130"/>
      <c r="Z476" s="130"/>
      <c r="AA476" s="130"/>
      <c r="AB476" s="130"/>
      <c r="AC476" s="130"/>
      <c r="AD476" s="131"/>
      <c r="AE476" s="131"/>
      <c r="AF476" s="131"/>
      <c r="AG476" s="131"/>
      <c r="AH476" s="131"/>
      <c r="AI476" s="131"/>
      <c r="AJ476" s="131"/>
      <c r="AK476" s="131"/>
      <c r="AL476" s="131"/>
      <c r="AM476" s="131"/>
      <c r="AN476" s="131"/>
      <c r="AO476" s="131"/>
      <c r="AP476" s="131"/>
      <c r="AQ476" s="131"/>
      <c r="AR476" s="131"/>
      <c r="AS476" s="131"/>
      <c r="AT476" s="131"/>
      <c r="AU476" s="131"/>
      <c r="AV476" s="131"/>
      <c r="AW476" s="131"/>
      <c r="AX476" s="131"/>
      <c r="AY476" s="131"/>
      <c r="AZ476" s="131"/>
      <c r="BA476" s="131"/>
      <c r="BB476" s="131"/>
      <c r="BC476" s="131"/>
      <c r="BD476" s="131"/>
      <c r="BE476" s="131"/>
      <c r="BF476" s="131"/>
      <c r="BG476" s="131"/>
      <c r="BH476" s="131"/>
      <c r="BI476" s="131"/>
      <c r="BJ476" s="131"/>
      <c r="BK476" s="131"/>
      <c r="BL476" s="131"/>
      <c r="BM476" s="131"/>
      <c r="BN476" s="131"/>
      <c r="BO476" s="131"/>
      <c r="BP476" s="131"/>
      <c r="BQ476" s="131"/>
      <c r="BR476" s="131"/>
      <c r="BS476" s="131"/>
      <c r="BT476" s="131"/>
      <c r="BU476" s="131"/>
      <c r="BV476" s="131"/>
      <c r="BW476" s="131"/>
      <c r="BX476" s="131"/>
      <c r="BY476" s="131"/>
      <c r="BZ476" s="131"/>
      <c r="CA476" s="131"/>
      <c r="CB476" s="131"/>
      <c r="CC476" s="131"/>
      <c r="CD476" s="131"/>
      <c r="CE476" s="131"/>
      <c r="CF476" s="131"/>
      <c r="CG476" s="131"/>
      <c r="CH476" s="131"/>
      <c r="CI476" s="131"/>
      <c r="CJ476" s="131"/>
      <c r="CK476" s="131"/>
      <c r="CL476" s="131"/>
      <c r="CM476" s="131"/>
      <c r="CN476" s="131"/>
      <c r="CO476" s="131"/>
      <c r="CP476" s="131"/>
      <c r="CQ476" s="131"/>
      <c r="CR476" s="131"/>
      <c r="CS476" s="131"/>
      <c r="CT476" s="131"/>
      <c r="CU476" s="131"/>
      <c r="CV476" s="131"/>
      <c r="CW476" s="131"/>
      <c r="CX476" s="131"/>
      <c r="CY476" s="131"/>
      <c r="CZ476" s="131"/>
      <c r="DA476" s="131"/>
      <c r="DB476" s="131"/>
      <c r="DC476" s="131"/>
      <c r="DD476" s="131"/>
      <c r="DE476" s="131"/>
      <c r="DF476" s="131"/>
      <c r="DG476" s="131"/>
      <c r="DH476" s="131"/>
      <c r="DI476" s="131"/>
      <c r="DJ476" s="131"/>
      <c r="DK476" s="131"/>
      <c r="DL476" s="131"/>
      <c r="DM476" s="131"/>
      <c r="DN476" s="131"/>
      <c r="DO476" s="131"/>
      <c r="DP476" s="131"/>
      <c r="DQ476" s="131"/>
      <c r="DR476" s="131"/>
      <c r="DS476" s="131"/>
      <c r="DT476" s="131"/>
      <c r="DU476" s="131"/>
      <c r="DV476" s="131"/>
      <c r="DW476" s="131"/>
      <c r="DX476" s="131"/>
      <c r="DY476" s="131"/>
      <c r="DZ476" s="131"/>
      <c r="EA476" s="131"/>
      <c r="EB476" s="131"/>
      <c r="EC476" s="131"/>
      <c r="ED476" s="131"/>
      <c r="EE476" s="131"/>
      <c r="EF476" s="131"/>
      <c r="EG476" s="131"/>
      <c r="EH476" s="131"/>
      <c r="EI476" s="131"/>
      <c r="EJ476" s="131"/>
      <c r="EK476" s="131"/>
      <c r="EL476" s="131"/>
      <c r="EM476" s="131"/>
      <c r="EN476" s="131"/>
      <c r="EO476" s="131"/>
      <c r="EP476" s="131"/>
      <c r="EQ476" s="131"/>
      <c r="ER476" s="131"/>
      <c r="ES476" s="131"/>
      <c r="ET476" s="131"/>
      <c r="EU476" s="131"/>
      <c r="EV476" s="131"/>
      <c r="EW476" s="131"/>
      <c r="EX476" s="131"/>
      <c r="EY476" s="131"/>
      <c r="EZ476" s="131"/>
      <c r="FA476" s="131"/>
      <c r="FB476" s="131"/>
      <c r="FC476" s="131"/>
      <c r="FD476" s="131"/>
      <c r="FE476" s="131"/>
      <c r="FF476" s="131"/>
      <c r="FG476" s="131"/>
      <c r="FH476" s="131"/>
      <c r="FI476" s="131"/>
      <c r="FJ476" s="131"/>
      <c r="FK476" s="131"/>
      <c r="FL476" s="131"/>
      <c r="FM476" s="131"/>
      <c r="FN476" s="131"/>
      <c r="FO476" s="131"/>
      <c r="FP476" s="131"/>
      <c r="FQ476" s="131"/>
      <c r="FR476" s="131"/>
      <c r="FS476" s="131"/>
      <c r="FT476" s="131"/>
      <c r="FU476" s="131"/>
      <c r="FV476" s="131"/>
      <c r="FW476" s="131"/>
      <c r="FX476" s="131"/>
      <c r="FY476" s="131"/>
      <c r="FZ476" s="131"/>
      <c r="GA476" s="131"/>
      <c r="GB476" s="131"/>
      <c r="GC476" s="131"/>
      <c r="GD476" s="131"/>
      <c r="GE476" s="131"/>
      <c r="GF476" s="131"/>
      <c r="GG476" s="131"/>
      <c r="GH476" s="131"/>
      <c r="GI476" s="131"/>
      <c r="GJ476" s="131"/>
      <c r="GK476" s="131"/>
      <c r="GL476" s="131"/>
      <c r="GM476" s="131"/>
      <c r="GN476" s="131"/>
      <c r="GO476" s="131"/>
      <c r="GP476" s="131"/>
      <c r="GQ476" s="131"/>
      <c r="GR476" s="131"/>
      <c r="GS476" s="131"/>
      <c r="GT476" s="131"/>
      <c r="GU476" s="131"/>
      <c r="GV476" s="131"/>
      <c r="GW476" s="131"/>
      <c r="GX476" s="131"/>
      <c r="GY476" s="131"/>
      <c r="GZ476" s="131"/>
      <c r="HA476" s="131"/>
      <c r="HB476" s="131"/>
      <c r="HC476" s="131"/>
      <c r="HD476" s="131"/>
      <c r="HE476" s="131"/>
      <c r="HF476" s="131"/>
      <c r="HG476" s="131"/>
      <c r="HH476" s="131"/>
      <c r="HI476" s="131"/>
      <c r="HJ476" s="131"/>
      <c r="HK476" s="131"/>
      <c r="HL476" s="131"/>
      <c r="HM476" s="131"/>
      <c r="HN476" s="131"/>
      <c r="HO476" s="131"/>
      <c r="HP476" s="131"/>
      <c r="HQ476" s="131"/>
      <c r="HR476" s="131"/>
      <c r="HS476" s="131"/>
      <c r="HT476" s="131"/>
      <c r="HU476" s="131"/>
      <c r="HV476" s="131"/>
      <c r="HW476" s="131"/>
      <c r="HX476" s="131"/>
      <c r="HY476" s="131"/>
      <c r="HZ476" s="131"/>
      <c r="IA476" s="131"/>
      <c r="IB476" s="131"/>
      <c r="IC476" s="131"/>
      <c r="ID476" s="131"/>
      <c r="IE476" s="131"/>
      <c r="IF476" s="131"/>
      <c r="IG476" s="131"/>
      <c r="IH476" s="131"/>
      <c r="II476" s="131"/>
      <c r="IJ476" s="131"/>
      <c r="IK476" s="131"/>
      <c r="IL476" s="131"/>
      <c r="IM476" s="131"/>
      <c r="IN476" s="131"/>
      <c r="IO476" s="131"/>
      <c r="IP476" s="131"/>
      <c r="IQ476" s="131"/>
      <c r="IR476" s="131"/>
      <c r="IS476" s="131"/>
      <c r="IT476" s="131"/>
      <c r="IU476" s="131"/>
      <c r="IV476" s="131"/>
    </row>
    <row r="477" spans="1:256" s="13" customFormat="1" ht="38.25" customHeight="1">
      <c r="A477" s="21" t="s">
        <v>1</v>
      </c>
      <c r="B477" s="246" t="s">
        <v>34</v>
      </c>
      <c r="C477" s="246" t="s">
        <v>25</v>
      </c>
      <c r="D477" s="246" t="s">
        <v>934</v>
      </c>
      <c r="E477" s="246" t="s">
        <v>138</v>
      </c>
      <c r="F477" s="21" t="s">
        <v>2619</v>
      </c>
      <c r="G477" s="246" t="s">
        <v>5</v>
      </c>
      <c r="H477" s="246">
        <v>236220</v>
      </c>
      <c r="I477" s="21" t="s">
        <v>28</v>
      </c>
      <c r="J477" s="21" t="s">
        <v>109</v>
      </c>
      <c r="K477" s="21" t="s">
        <v>1974</v>
      </c>
      <c r="L477" s="21" t="s">
        <v>1974</v>
      </c>
      <c r="M477" s="22">
        <v>100000</v>
      </c>
      <c r="N477" s="22">
        <v>250000</v>
      </c>
      <c r="O477" s="21" t="s">
        <v>20</v>
      </c>
      <c r="P477" s="21" t="s">
        <v>278</v>
      </c>
      <c r="Q477" s="21" t="s">
        <v>279</v>
      </c>
      <c r="R477" s="21" t="s">
        <v>278</v>
      </c>
      <c r="S477" s="74">
        <v>2013</v>
      </c>
      <c r="T477" s="21" t="s">
        <v>936</v>
      </c>
      <c r="U477" s="21" t="s">
        <v>937</v>
      </c>
      <c r="V477" s="21" t="s">
        <v>938</v>
      </c>
      <c r="W477" s="21" t="s">
        <v>66</v>
      </c>
      <c r="X477" s="246" t="s">
        <v>2614</v>
      </c>
      <c r="Y477" s="130"/>
      <c r="Z477" s="130"/>
      <c r="AA477" s="130"/>
      <c r="AB477" s="130"/>
      <c r="AC477" s="130"/>
      <c r="AD477" s="131"/>
      <c r="AE477" s="131"/>
      <c r="AF477" s="131"/>
      <c r="AG477" s="131"/>
      <c r="AH477" s="131"/>
      <c r="AI477" s="131"/>
      <c r="AJ477" s="131"/>
      <c r="AK477" s="131"/>
      <c r="AL477" s="131"/>
      <c r="AM477" s="131"/>
      <c r="AN477" s="131"/>
      <c r="AO477" s="131"/>
      <c r="AP477" s="131"/>
      <c r="AQ477" s="131"/>
      <c r="AR477" s="131"/>
      <c r="AS477" s="131"/>
      <c r="AT477" s="131"/>
      <c r="AU477" s="131"/>
      <c r="AV477" s="131"/>
      <c r="AW477" s="131"/>
      <c r="AX477" s="131"/>
      <c r="AY477" s="131"/>
      <c r="AZ477" s="131"/>
      <c r="BA477" s="131"/>
      <c r="BB477" s="131"/>
      <c r="BC477" s="131"/>
      <c r="BD477" s="131"/>
      <c r="BE477" s="131"/>
      <c r="BF477" s="131"/>
      <c r="BG477" s="131"/>
      <c r="BH477" s="131"/>
      <c r="BI477" s="131"/>
      <c r="BJ477" s="131"/>
      <c r="BK477" s="131"/>
      <c r="BL477" s="131"/>
      <c r="BM477" s="131"/>
      <c r="BN477" s="131"/>
      <c r="BO477" s="131"/>
      <c r="BP477" s="131"/>
      <c r="BQ477" s="131"/>
      <c r="BR477" s="131"/>
      <c r="BS477" s="131"/>
      <c r="BT477" s="131"/>
      <c r="BU477" s="131"/>
      <c r="BV477" s="131"/>
      <c r="BW477" s="131"/>
      <c r="BX477" s="131"/>
      <c r="BY477" s="131"/>
      <c r="BZ477" s="131"/>
      <c r="CA477" s="131"/>
      <c r="CB477" s="131"/>
      <c r="CC477" s="131"/>
      <c r="CD477" s="131"/>
      <c r="CE477" s="131"/>
      <c r="CF477" s="131"/>
      <c r="CG477" s="131"/>
      <c r="CH477" s="131"/>
      <c r="CI477" s="131"/>
      <c r="CJ477" s="131"/>
      <c r="CK477" s="131"/>
      <c r="CL477" s="131"/>
      <c r="CM477" s="131"/>
      <c r="CN477" s="131"/>
      <c r="CO477" s="131"/>
      <c r="CP477" s="131"/>
      <c r="CQ477" s="131"/>
      <c r="CR477" s="131"/>
      <c r="CS477" s="131"/>
      <c r="CT477" s="131"/>
      <c r="CU477" s="131"/>
      <c r="CV477" s="131"/>
      <c r="CW477" s="131"/>
      <c r="CX477" s="131"/>
      <c r="CY477" s="131"/>
      <c r="CZ477" s="131"/>
      <c r="DA477" s="131"/>
      <c r="DB477" s="131"/>
      <c r="DC477" s="131"/>
      <c r="DD477" s="131"/>
      <c r="DE477" s="131"/>
      <c r="DF477" s="131"/>
      <c r="DG477" s="131"/>
      <c r="DH477" s="131"/>
      <c r="DI477" s="131"/>
      <c r="DJ477" s="131"/>
      <c r="DK477" s="131"/>
      <c r="DL477" s="131"/>
      <c r="DM477" s="131"/>
      <c r="DN477" s="131"/>
      <c r="DO477" s="131"/>
      <c r="DP477" s="131"/>
      <c r="DQ477" s="131"/>
      <c r="DR477" s="131"/>
      <c r="DS477" s="131"/>
      <c r="DT477" s="131"/>
      <c r="DU477" s="131"/>
      <c r="DV477" s="131"/>
      <c r="DW477" s="131"/>
      <c r="DX477" s="131"/>
      <c r="DY477" s="131"/>
      <c r="DZ477" s="131"/>
      <c r="EA477" s="131"/>
      <c r="EB477" s="131"/>
      <c r="EC477" s="131"/>
      <c r="ED477" s="131"/>
      <c r="EE477" s="131"/>
      <c r="EF477" s="131"/>
      <c r="EG477" s="131"/>
      <c r="EH477" s="131"/>
      <c r="EI477" s="131"/>
      <c r="EJ477" s="131"/>
      <c r="EK477" s="131"/>
      <c r="EL477" s="131"/>
      <c r="EM477" s="131"/>
      <c r="EN477" s="131"/>
      <c r="EO477" s="131"/>
      <c r="EP477" s="131"/>
      <c r="EQ477" s="131"/>
      <c r="ER477" s="131"/>
      <c r="ES477" s="131"/>
      <c r="ET477" s="131"/>
      <c r="EU477" s="131"/>
      <c r="EV477" s="131"/>
      <c r="EW477" s="131"/>
      <c r="EX477" s="131"/>
      <c r="EY477" s="131"/>
      <c r="EZ477" s="131"/>
      <c r="FA477" s="131"/>
      <c r="FB477" s="131"/>
      <c r="FC477" s="131"/>
      <c r="FD477" s="131"/>
      <c r="FE477" s="131"/>
      <c r="FF477" s="131"/>
      <c r="FG477" s="131"/>
      <c r="FH477" s="131"/>
      <c r="FI477" s="131"/>
      <c r="FJ477" s="131"/>
      <c r="FK477" s="131"/>
      <c r="FL477" s="131"/>
      <c r="FM477" s="131"/>
      <c r="FN477" s="131"/>
      <c r="FO477" s="131"/>
      <c r="FP477" s="131"/>
      <c r="FQ477" s="131"/>
      <c r="FR477" s="131"/>
      <c r="FS477" s="131"/>
      <c r="FT477" s="131"/>
      <c r="FU477" s="131"/>
      <c r="FV477" s="131"/>
      <c r="FW477" s="131"/>
      <c r="FX477" s="131"/>
      <c r="FY477" s="131"/>
      <c r="FZ477" s="131"/>
      <c r="GA477" s="131"/>
      <c r="GB477" s="131"/>
      <c r="GC477" s="131"/>
      <c r="GD477" s="131"/>
      <c r="GE477" s="131"/>
      <c r="GF477" s="131"/>
      <c r="GG477" s="131"/>
      <c r="GH477" s="131"/>
      <c r="GI477" s="131"/>
      <c r="GJ477" s="131"/>
      <c r="GK477" s="131"/>
      <c r="GL477" s="131"/>
      <c r="GM477" s="131"/>
      <c r="GN477" s="131"/>
      <c r="GO477" s="131"/>
      <c r="GP477" s="131"/>
      <c r="GQ477" s="131"/>
      <c r="GR477" s="131"/>
      <c r="GS477" s="131"/>
      <c r="GT477" s="131"/>
      <c r="GU477" s="131"/>
      <c r="GV477" s="131"/>
      <c r="GW477" s="131"/>
      <c r="GX477" s="131"/>
      <c r="GY477" s="131"/>
      <c r="GZ477" s="131"/>
      <c r="HA477" s="131"/>
      <c r="HB477" s="131"/>
      <c r="HC477" s="131"/>
      <c r="HD477" s="131"/>
      <c r="HE477" s="131"/>
      <c r="HF477" s="131"/>
      <c r="HG477" s="131"/>
      <c r="HH477" s="131"/>
      <c r="HI477" s="131"/>
      <c r="HJ477" s="131"/>
      <c r="HK477" s="131"/>
      <c r="HL477" s="131"/>
      <c r="HM477" s="131"/>
      <c r="HN477" s="131"/>
      <c r="HO477" s="131"/>
      <c r="HP477" s="131"/>
      <c r="HQ477" s="131"/>
      <c r="HR477" s="131"/>
      <c r="HS477" s="131"/>
      <c r="HT477" s="131"/>
      <c r="HU477" s="131"/>
      <c r="HV477" s="131"/>
      <c r="HW477" s="131"/>
      <c r="HX477" s="131"/>
      <c r="HY477" s="131"/>
      <c r="HZ477" s="131"/>
      <c r="IA477" s="131"/>
      <c r="IB477" s="131"/>
      <c r="IC477" s="131"/>
      <c r="ID477" s="131"/>
      <c r="IE477" s="131"/>
      <c r="IF477" s="131"/>
      <c r="IG477" s="131"/>
      <c r="IH477" s="131"/>
      <c r="II477" s="131"/>
      <c r="IJ477" s="131"/>
      <c r="IK477" s="131"/>
      <c r="IL477" s="131"/>
      <c r="IM477" s="131"/>
      <c r="IN477" s="131"/>
      <c r="IO477" s="131"/>
      <c r="IP477" s="131"/>
      <c r="IQ477" s="131"/>
      <c r="IR477" s="131"/>
      <c r="IS477" s="131"/>
      <c r="IT477" s="131"/>
      <c r="IU477" s="131"/>
      <c r="IV477" s="131"/>
    </row>
    <row r="478" spans="1:256" s="13" customFormat="1" ht="38.25" customHeight="1">
      <c r="A478" s="21" t="s">
        <v>1</v>
      </c>
      <c r="B478" s="246" t="s">
        <v>34</v>
      </c>
      <c r="C478" s="246" t="s">
        <v>25</v>
      </c>
      <c r="D478" s="246" t="s">
        <v>939</v>
      </c>
      <c r="E478" s="246" t="s">
        <v>138</v>
      </c>
      <c r="F478" s="21" t="s">
        <v>935</v>
      </c>
      <c r="G478" s="246" t="s">
        <v>5</v>
      </c>
      <c r="H478" s="246">
        <v>236220</v>
      </c>
      <c r="I478" s="21" t="s">
        <v>28</v>
      </c>
      <c r="J478" s="21" t="s">
        <v>109</v>
      </c>
      <c r="K478" s="21" t="s">
        <v>1974</v>
      </c>
      <c r="L478" s="21" t="s">
        <v>1974</v>
      </c>
      <c r="M478" s="22">
        <v>25000</v>
      </c>
      <c r="N478" s="22">
        <v>100000</v>
      </c>
      <c r="O478" s="21" t="s">
        <v>20</v>
      </c>
      <c r="P478" s="21" t="s">
        <v>278</v>
      </c>
      <c r="Q478" s="21" t="s">
        <v>279</v>
      </c>
      <c r="R478" s="21" t="s">
        <v>278</v>
      </c>
      <c r="S478" s="74">
        <v>2013</v>
      </c>
      <c r="T478" s="21" t="s">
        <v>936</v>
      </c>
      <c r="U478" s="21" t="s">
        <v>937</v>
      </c>
      <c r="V478" s="21" t="s">
        <v>938</v>
      </c>
      <c r="W478" s="21" t="s">
        <v>66</v>
      </c>
      <c r="X478" s="246" t="s">
        <v>2614</v>
      </c>
      <c r="Y478" s="130"/>
      <c r="Z478" s="130"/>
      <c r="AA478" s="130"/>
      <c r="AB478" s="130"/>
      <c r="AC478" s="130"/>
      <c r="AD478" s="131"/>
      <c r="AE478" s="131"/>
      <c r="AF478" s="131"/>
      <c r="AG478" s="131"/>
      <c r="AH478" s="131"/>
      <c r="AI478" s="131"/>
      <c r="AJ478" s="131"/>
      <c r="AK478" s="131"/>
      <c r="AL478" s="131"/>
      <c r="AM478" s="131"/>
      <c r="AN478" s="131"/>
      <c r="AO478" s="131"/>
      <c r="AP478" s="131"/>
      <c r="AQ478" s="131"/>
      <c r="AR478" s="131"/>
      <c r="AS478" s="131"/>
      <c r="AT478" s="131"/>
      <c r="AU478" s="131"/>
      <c r="AV478" s="131"/>
      <c r="AW478" s="131"/>
      <c r="AX478" s="131"/>
      <c r="AY478" s="131"/>
      <c r="AZ478" s="131"/>
      <c r="BA478" s="131"/>
      <c r="BB478" s="131"/>
      <c r="BC478" s="131"/>
      <c r="BD478" s="131"/>
      <c r="BE478" s="131"/>
      <c r="BF478" s="131"/>
      <c r="BG478" s="131"/>
      <c r="BH478" s="131"/>
      <c r="BI478" s="131"/>
      <c r="BJ478" s="131"/>
      <c r="BK478" s="131"/>
      <c r="BL478" s="131"/>
      <c r="BM478" s="131"/>
      <c r="BN478" s="131"/>
      <c r="BO478" s="131"/>
      <c r="BP478" s="131"/>
      <c r="BQ478" s="131"/>
      <c r="BR478" s="131"/>
      <c r="BS478" s="131"/>
      <c r="BT478" s="131"/>
      <c r="BU478" s="131"/>
      <c r="BV478" s="131"/>
      <c r="BW478" s="131"/>
      <c r="BX478" s="131"/>
      <c r="BY478" s="131"/>
      <c r="BZ478" s="131"/>
      <c r="CA478" s="131"/>
      <c r="CB478" s="131"/>
      <c r="CC478" s="131"/>
      <c r="CD478" s="131"/>
      <c r="CE478" s="131"/>
      <c r="CF478" s="131"/>
      <c r="CG478" s="131"/>
      <c r="CH478" s="131"/>
      <c r="CI478" s="131"/>
      <c r="CJ478" s="131"/>
      <c r="CK478" s="131"/>
      <c r="CL478" s="131"/>
      <c r="CM478" s="131"/>
      <c r="CN478" s="131"/>
      <c r="CO478" s="131"/>
      <c r="CP478" s="131"/>
      <c r="CQ478" s="131"/>
      <c r="CR478" s="131"/>
      <c r="CS478" s="131"/>
      <c r="CT478" s="131"/>
      <c r="CU478" s="131"/>
      <c r="CV478" s="131"/>
      <c r="CW478" s="131"/>
      <c r="CX478" s="131"/>
      <c r="CY478" s="131"/>
      <c r="CZ478" s="131"/>
      <c r="DA478" s="131"/>
      <c r="DB478" s="131"/>
      <c r="DC478" s="131"/>
      <c r="DD478" s="131"/>
      <c r="DE478" s="131"/>
      <c r="DF478" s="131"/>
      <c r="DG478" s="131"/>
      <c r="DH478" s="131"/>
      <c r="DI478" s="131"/>
      <c r="DJ478" s="131"/>
      <c r="DK478" s="131"/>
      <c r="DL478" s="131"/>
      <c r="DM478" s="131"/>
      <c r="DN478" s="131"/>
      <c r="DO478" s="131"/>
      <c r="DP478" s="131"/>
      <c r="DQ478" s="131"/>
      <c r="DR478" s="131"/>
      <c r="DS478" s="131"/>
      <c r="DT478" s="131"/>
      <c r="DU478" s="131"/>
      <c r="DV478" s="131"/>
      <c r="DW478" s="131"/>
      <c r="DX478" s="131"/>
      <c r="DY478" s="131"/>
      <c r="DZ478" s="131"/>
      <c r="EA478" s="131"/>
      <c r="EB478" s="131"/>
      <c r="EC478" s="131"/>
      <c r="ED478" s="131"/>
      <c r="EE478" s="131"/>
      <c r="EF478" s="131"/>
      <c r="EG478" s="131"/>
      <c r="EH478" s="131"/>
      <c r="EI478" s="131"/>
      <c r="EJ478" s="131"/>
      <c r="EK478" s="131"/>
      <c r="EL478" s="131"/>
      <c r="EM478" s="131"/>
      <c r="EN478" s="131"/>
      <c r="EO478" s="131"/>
      <c r="EP478" s="131"/>
      <c r="EQ478" s="131"/>
      <c r="ER478" s="131"/>
      <c r="ES478" s="131"/>
      <c r="ET478" s="131"/>
      <c r="EU478" s="131"/>
      <c r="EV478" s="131"/>
      <c r="EW478" s="131"/>
      <c r="EX478" s="131"/>
      <c r="EY478" s="131"/>
      <c r="EZ478" s="131"/>
      <c r="FA478" s="131"/>
      <c r="FB478" s="131"/>
      <c r="FC478" s="131"/>
      <c r="FD478" s="131"/>
      <c r="FE478" s="131"/>
      <c r="FF478" s="131"/>
      <c r="FG478" s="131"/>
      <c r="FH478" s="131"/>
      <c r="FI478" s="131"/>
      <c r="FJ478" s="131"/>
      <c r="FK478" s="131"/>
      <c r="FL478" s="131"/>
      <c r="FM478" s="131"/>
      <c r="FN478" s="131"/>
      <c r="FO478" s="131"/>
      <c r="FP478" s="131"/>
      <c r="FQ478" s="131"/>
      <c r="FR478" s="131"/>
      <c r="FS478" s="131"/>
      <c r="FT478" s="131"/>
      <c r="FU478" s="131"/>
      <c r="FV478" s="131"/>
      <c r="FW478" s="131"/>
      <c r="FX478" s="131"/>
      <c r="FY478" s="131"/>
      <c r="FZ478" s="131"/>
      <c r="GA478" s="131"/>
      <c r="GB478" s="131"/>
      <c r="GC478" s="131"/>
      <c r="GD478" s="131"/>
      <c r="GE478" s="131"/>
      <c r="GF478" s="131"/>
      <c r="GG478" s="131"/>
      <c r="GH478" s="131"/>
      <c r="GI478" s="131"/>
      <c r="GJ478" s="131"/>
      <c r="GK478" s="131"/>
      <c r="GL478" s="131"/>
      <c r="GM478" s="131"/>
      <c r="GN478" s="131"/>
      <c r="GO478" s="131"/>
      <c r="GP478" s="131"/>
      <c r="GQ478" s="131"/>
      <c r="GR478" s="131"/>
      <c r="GS478" s="131"/>
      <c r="GT478" s="131"/>
      <c r="GU478" s="131"/>
      <c r="GV478" s="131"/>
      <c r="GW478" s="131"/>
      <c r="GX478" s="131"/>
      <c r="GY478" s="131"/>
      <c r="GZ478" s="131"/>
      <c r="HA478" s="131"/>
      <c r="HB478" s="131"/>
      <c r="HC478" s="131"/>
      <c r="HD478" s="131"/>
      <c r="HE478" s="131"/>
      <c r="HF478" s="131"/>
      <c r="HG478" s="131"/>
      <c r="HH478" s="131"/>
      <c r="HI478" s="131"/>
      <c r="HJ478" s="131"/>
      <c r="HK478" s="131"/>
      <c r="HL478" s="131"/>
      <c r="HM478" s="131"/>
      <c r="HN478" s="131"/>
      <c r="HO478" s="131"/>
      <c r="HP478" s="131"/>
      <c r="HQ478" s="131"/>
      <c r="HR478" s="131"/>
      <c r="HS478" s="131"/>
      <c r="HT478" s="131"/>
      <c r="HU478" s="131"/>
      <c r="HV478" s="131"/>
      <c r="HW478" s="131"/>
      <c r="HX478" s="131"/>
      <c r="HY478" s="131"/>
      <c r="HZ478" s="131"/>
      <c r="IA478" s="131"/>
      <c r="IB478" s="131"/>
      <c r="IC478" s="131"/>
      <c r="ID478" s="131"/>
      <c r="IE478" s="131"/>
      <c r="IF478" s="131"/>
      <c r="IG478" s="131"/>
      <c r="IH478" s="131"/>
      <c r="II478" s="131"/>
      <c r="IJ478" s="131"/>
      <c r="IK478" s="131"/>
      <c r="IL478" s="131"/>
      <c r="IM478" s="131"/>
      <c r="IN478" s="131"/>
      <c r="IO478" s="131"/>
      <c r="IP478" s="131"/>
      <c r="IQ478" s="131"/>
      <c r="IR478" s="131"/>
      <c r="IS478" s="131"/>
      <c r="IT478" s="131"/>
      <c r="IU478" s="131"/>
      <c r="IV478" s="131"/>
    </row>
    <row r="479" spans="1:256" s="13" customFormat="1" ht="38.25" customHeight="1">
      <c r="A479" s="21" t="s">
        <v>1</v>
      </c>
      <c r="B479" s="246" t="s">
        <v>34</v>
      </c>
      <c r="C479" s="246" t="s">
        <v>25</v>
      </c>
      <c r="D479" s="246" t="s">
        <v>940</v>
      </c>
      <c r="E479" s="246" t="s">
        <v>138</v>
      </c>
      <c r="F479" s="21" t="s">
        <v>935</v>
      </c>
      <c r="G479" s="246" t="s">
        <v>5</v>
      </c>
      <c r="H479" s="246">
        <v>236220</v>
      </c>
      <c r="I479" s="21" t="s">
        <v>28</v>
      </c>
      <c r="J479" s="21" t="s">
        <v>109</v>
      </c>
      <c r="K479" s="21" t="s">
        <v>1974</v>
      </c>
      <c r="L479" s="21" t="s">
        <v>1974</v>
      </c>
      <c r="M479" s="22">
        <v>1000</v>
      </c>
      <c r="N479" s="22">
        <v>25000</v>
      </c>
      <c r="O479" s="21" t="s">
        <v>9</v>
      </c>
      <c r="P479" s="21" t="s">
        <v>278</v>
      </c>
      <c r="Q479" s="21" t="s">
        <v>279</v>
      </c>
      <c r="R479" s="21" t="s">
        <v>278</v>
      </c>
      <c r="S479" s="74">
        <v>2013</v>
      </c>
      <c r="T479" s="21" t="s">
        <v>936</v>
      </c>
      <c r="U479" s="21" t="s">
        <v>937</v>
      </c>
      <c r="V479" s="21" t="s">
        <v>938</v>
      </c>
      <c r="W479" s="21" t="s">
        <v>66</v>
      </c>
      <c r="X479" s="246" t="s">
        <v>2614</v>
      </c>
      <c r="Y479" s="130"/>
      <c r="Z479" s="130"/>
      <c r="AA479" s="130"/>
      <c r="AB479" s="130"/>
      <c r="AC479" s="130"/>
      <c r="AD479" s="131"/>
      <c r="AE479" s="131"/>
      <c r="AF479" s="131"/>
      <c r="AG479" s="131"/>
      <c r="AH479" s="131"/>
      <c r="AI479" s="131"/>
      <c r="AJ479" s="131"/>
      <c r="AK479" s="131"/>
      <c r="AL479" s="131"/>
      <c r="AM479" s="131"/>
      <c r="AN479" s="131"/>
      <c r="AO479" s="131"/>
      <c r="AP479" s="131"/>
      <c r="AQ479" s="131"/>
      <c r="AR479" s="131"/>
      <c r="AS479" s="131"/>
      <c r="AT479" s="131"/>
      <c r="AU479" s="131"/>
      <c r="AV479" s="131"/>
      <c r="AW479" s="131"/>
      <c r="AX479" s="131"/>
      <c r="AY479" s="131"/>
      <c r="AZ479" s="131"/>
      <c r="BA479" s="131"/>
      <c r="BB479" s="131"/>
      <c r="BC479" s="131"/>
      <c r="BD479" s="131"/>
      <c r="BE479" s="131"/>
      <c r="BF479" s="131"/>
      <c r="BG479" s="131"/>
      <c r="BH479" s="131"/>
      <c r="BI479" s="131"/>
      <c r="BJ479" s="131"/>
      <c r="BK479" s="131"/>
      <c r="BL479" s="131"/>
      <c r="BM479" s="131"/>
      <c r="BN479" s="131"/>
      <c r="BO479" s="131"/>
      <c r="BP479" s="131"/>
      <c r="BQ479" s="131"/>
      <c r="BR479" s="131"/>
      <c r="BS479" s="131"/>
      <c r="BT479" s="131"/>
      <c r="BU479" s="131"/>
      <c r="BV479" s="131"/>
      <c r="BW479" s="131"/>
      <c r="BX479" s="131"/>
      <c r="BY479" s="131"/>
      <c r="BZ479" s="131"/>
      <c r="CA479" s="131"/>
      <c r="CB479" s="131"/>
      <c r="CC479" s="131"/>
      <c r="CD479" s="131"/>
      <c r="CE479" s="131"/>
      <c r="CF479" s="131"/>
      <c r="CG479" s="131"/>
      <c r="CH479" s="131"/>
      <c r="CI479" s="131"/>
      <c r="CJ479" s="131"/>
      <c r="CK479" s="131"/>
      <c r="CL479" s="131"/>
      <c r="CM479" s="131"/>
      <c r="CN479" s="131"/>
      <c r="CO479" s="131"/>
      <c r="CP479" s="131"/>
      <c r="CQ479" s="131"/>
      <c r="CR479" s="131"/>
      <c r="CS479" s="131"/>
      <c r="CT479" s="131"/>
      <c r="CU479" s="131"/>
      <c r="CV479" s="131"/>
      <c r="CW479" s="131"/>
      <c r="CX479" s="131"/>
      <c r="CY479" s="131"/>
      <c r="CZ479" s="131"/>
      <c r="DA479" s="131"/>
      <c r="DB479" s="131"/>
      <c r="DC479" s="131"/>
      <c r="DD479" s="131"/>
      <c r="DE479" s="131"/>
      <c r="DF479" s="131"/>
      <c r="DG479" s="131"/>
      <c r="DH479" s="131"/>
      <c r="DI479" s="131"/>
      <c r="DJ479" s="131"/>
      <c r="DK479" s="131"/>
      <c r="DL479" s="131"/>
      <c r="DM479" s="131"/>
      <c r="DN479" s="131"/>
      <c r="DO479" s="131"/>
      <c r="DP479" s="131"/>
      <c r="DQ479" s="131"/>
      <c r="DR479" s="131"/>
      <c r="DS479" s="131"/>
      <c r="DT479" s="131"/>
      <c r="DU479" s="131"/>
      <c r="DV479" s="131"/>
      <c r="DW479" s="131"/>
      <c r="DX479" s="131"/>
      <c r="DY479" s="131"/>
      <c r="DZ479" s="131"/>
      <c r="EA479" s="131"/>
      <c r="EB479" s="131"/>
      <c r="EC479" s="131"/>
      <c r="ED479" s="131"/>
      <c r="EE479" s="131"/>
      <c r="EF479" s="131"/>
      <c r="EG479" s="131"/>
      <c r="EH479" s="131"/>
      <c r="EI479" s="131"/>
      <c r="EJ479" s="131"/>
      <c r="EK479" s="131"/>
      <c r="EL479" s="131"/>
      <c r="EM479" s="131"/>
      <c r="EN479" s="131"/>
      <c r="EO479" s="131"/>
      <c r="EP479" s="131"/>
      <c r="EQ479" s="131"/>
      <c r="ER479" s="131"/>
      <c r="ES479" s="131"/>
      <c r="ET479" s="131"/>
      <c r="EU479" s="131"/>
      <c r="EV479" s="131"/>
      <c r="EW479" s="131"/>
      <c r="EX479" s="131"/>
      <c r="EY479" s="131"/>
      <c r="EZ479" s="131"/>
      <c r="FA479" s="131"/>
      <c r="FB479" s="131"/>
      <c r="FC479" s="131"/>
      <c r="FD479" s="131"/>
      <c r="FE479" s="131"/>
      <c r="FF479" s="131"/>
      <c r="FG479" s="131"/>
      <c r="FH479" s="131"/>
      <c r="FI479" s="131"/>
      <c r="FJ479" s="131"/>
      <c r="FK479" s="131"/>
      <c r="FL479" s="131"/>
      <c r="FM479" s="131"/>
      <c r="FN479" s="131"/>
      <c r="FO479" s="131"/>
      <c r="FP479" s="131"/>
      <c r="FQ479" s="131"/>
      <c r="FR479" s="131"/>
      <c r="FS479" s="131"/>
      <c r="FT479" s="131"/>
      <c r="FU479" s="131"/>
      <c r="FV479" s="131"/>
      <c r="FW479" s="131"/>
      <c r="FX479" s="131"/>
      <c r="FY479" s="131"/>
      <c r="FZ479" s="131"/>
      <c r="GA479" s="131"/>
      <c r="GB479" s="131"/>
      <c r="GC479" s="131"/>
      <c r="GD479" s="131"/>
      <c r="GE479" s="131"/>
      <c r="GF479" s="131"/>
      <c r="GG479" s="131"/>
      <c r="GH479" s="131"/>
      <c r="GI479" s="131"/>
      <c r="GJ479" s="131"/>
      <c r="GK479" s="131"/>
      <c r="GL479" s="131"/>
      <c r="GM479" s="131"/>
      <c r="GN479" s="131"/>
      <c r="GO479" s="131"/>
      <c r="GP479" s="131"/>
      <c r="GQ479" s="131"/>
      <c r="GR479" s="131"/>
      <c r="GS479" s="131"/>
      <c r="GT479" s="131"/>
      <c r="GU479" s="131"/>
      <c r="GV479" s="131"/>
      <c r="GW479" s="131"/>
      <c r="GX479" s="131"/>
      <c r="GY479" s="131"/>
      <c r="GZ479" s="131"/>
      <c r="HA479" s="131"/>
      <c r="HB479" s="131"/>
      <c r="HC479" s="131"/>
      <c r="HD479" s="131"/>
      <c r="HE479" s="131"/>
      <c r="HF479" s="131"/>
      <c r="HG479" s="131"/>
      <c r="HH479" s="131"/>
      <c r="HI479" s="131"/>
      <c r="HJ479" s="131"/>
      <c r="HK479" s="131"/>
      <c r="HL479" s="131"/>
      <c r="HM479" s="131"/>
      <c r="HN479" s="131"/>
      <c r="HO479" s="131"/>
      <c r="HP479" s="131"/>
      <c r="HQ479" s="131"/>
      <c r="HR479" s="131"/>
      <c r="HS479" s="131"/>
      <c r="HT479" s="131"/>
      <c r="HU479" s="131"/>
      <c r="HV479" s="131"/>
      <c r="HW479" s="131"/>
      <c r="HX479" s="131"/>
      <c r="HY479" s="131"/>
      <c r="HZ479" s="131"/>
      <c r="IA479" s="131"/>
      <c r="IB479" s="131"/>
      <c r="IC479" s="131"/>
      <c r="ID479" s="131"/>
      <c r="IE479" s="131"/>
      <c r="IF479" s="131"/>
      <c r="IG479" s="131"/>
      <c r="IH479" s="131"/>
      <c r="II479" s="131"/>
      <c r="IJ479" s="131"/>
      <c r="IK479" s="131"/>
      <c r="IL479" s="131"/>
      <c r="IM479" s="131"/>
      <c r="IN479" s="131"/>
      <c r="IO479" s="131"/>
      <c r="IP479" s="131"/>
      <c r="IQ479" s="131"/>
      <c r="IR479" s="131"/>
      <c r="IS479" s="131"/>
      <c r="IT479" s="131"/>
      <c r="IU479" s="131"/>
      <c r="IV479" s="131"/>
    </row>
    <row r="480" spans="1:256" s="13" customFormat="1" ht="38.25" customHeight="1">
      <c r="A480" s="21" t="s">
        <v>1</v>
      </c>
      <c r="B480" s="246" t="s">
        <v>34</v>
      </c>
      <c r="C480" s="246" t="s">
        <v>25</v>
      </c>
      <c r="D480" s="246" t="s">
        <v>941</v>
      </c>
      <c r="E480" s="246" t="s">
        <v>138</v>
      </c>
      <c r="F480" s="21" t="s">
        <v>942</v>
      </c>
      <c r="G480" s="246" t="s">
        <v>173</v>
      </c>
      <c r="H480" s="246">
        <v>236220</v>
      </c>
      <c r="I480" s="21" t="s">
        <v>28</v>
      </c>
      <c r="J480" s="21" t="s">
        <v>109</v>
      </c>
      <c r="K480" s="21" t="s">
        <v>1974</v>
      </c>
      <c r="L480" s="21" t="s">
        <v>1974</v>
      </c>
      <c r="M480" s="22">
        <v>1000000</v>
      </c>
      <c r="N480" s="22">
        <v>250000</v>
      </c>
      <c r="O480" s="21" t="s">
        <v>20</v>
      </c>
      <c r="P480" s="21" t="s">
        <v>278</v>
      </c>
      <c r="Q480" s="21" t="s">
        <v>279</v>
      </c>
      <c r="R480" s="21" t="s">
        <v>278</v>
      </c>
      <c r="S480" s="74">
        <v>2013</v>
      </c>
      <c r="T480" s="21" t="s">
        <v>943</v>
      </c>
      <c r="U480" s="21" t="s">
        <v>944</v>
      </c>
      <c r="V480" s="21" t="s">
        <v>945</v>
      </c>
      <c r="W480" s="21" t="s">
        <v>66</v>
      </c>
      <c r="X480" s="246" t="s">
        <v>2614</v>
      </c>
      <c r="Y480" s="130"/>
      <c r="Z480" s="130"/>
      <c r="AA480" s="130"/>
      <c r="AB480" s="130"/>
      <c r="AC480" s="130"/>
      <c r="AD480" s="131"/>
      <c r="AE480" s="131"/>
      <c r="AF480" s="131"/>
      <c r="AG480" s="131"/>
      <c r="AH480" s="131"/>
      <c r="AI480" s="131"/>
      <c r="AJ480" s="131"/>
      <c r="AK480" s="131"/>
      <c r="AL480" s="131"/>
      <c r="AM480" s="131"/>
      <c r="AN480" s="131"/>
      <c r="AO480" s="131"/>
      <c r="AP480" s="131"/>
      <c r="AQ480" s="131"/>
      <c r="AR480" s="131"/>
      <c r="AS480" s="131"/>
      <c r="AT480" s="131"/>
      <c r="AU480" s="131"/>
      <c r="AV480" s="131"/>
      <c r="AW480" s="131"/>
      <c r="AX480" s="131"/>
      <c r="AY480" s="131"/>
      <c r="AZ480" s="131"/>
      <c r="BA480" s="131"/>
      <c r="BB480" s="131"/>
      <c r="BC480" s="131"/>
      <c r="BD480" s="131"/>
      <c r="BE480" s="131"/>
      <c r="BF480" s="131"/>
      <c r="BG480" s="131"/>
      <c r="BH480" s="131"/>
      <c r="BI480" s="131"/>
      <c r="BJ480" s="131"/>
      <c r="BK480" s="131"/>
      <c r="BL480" s="131"/>
      <c r="BM480" s="131"/>
      <c r="BN480" s="131"/>
      <c r="BO480" s="131"/>
      <c r="BP480" s="131"/>
      <c r="BQ480" s="131"/>
      <c r="BR480" s="131"/>
      <c r="BS480" s="131"/>
      <c r="BT480" s="131"/>
      <c r="BU480" s="131"/>
      <c r="BV480" s="131"/>
      <c r="BW480" s="131"/>
      <c r="BX480" s="131"/>
      <c r="BY480" s="131"/>
      <c r="BZ480" s="131"/>
      <c r="CA480" s="131"/>
      <c r="CB480" s="131"/>
      <c r="CC480" s="131"/>
      <c r="CD480" s="131"/>
      <c r="CE480" s="131"/>
      <c r="CF480" s="131"/>
      <c r="CG480" s="131"/>
      <c r="CH480" s="131"/>
      <c r="CI480" s="131"/>
      <c r="CJ480" s="131"/>
      <c r="CK480" s="131"/>
      <c r="CL480" s="131"/>
      <c r="CM480" s="131"/>
      <c r="CN480" s="131"/>
      <c r="CO480" s="131"/>
      <c r="CP480" s="131"/>
      <c r="CQ480" s="131"/>
      <c r="CR480" s="131"/>
      <c r="CS480" s="131"/>
      <c r="CT480" s="131"/>
      <c r="CU480" s="131"/>
      <c r="CV480" s="131"/>
      <c r="CW480" s="131"/>
      <c r="CX480" s="131"/>
      <c r="CY480" s="131"/>
      <c r="CZ480" s="131"/>
      <c r="DA480" s="131"/>
      <c r="DB480" s="131"/>
      <c r="DC480" s="131"/>
      <c r="DD480" s="131"/>
      <c r="DE480" s="131"/>
      <c r="DF480" s="131"/>
      <c r="DG480" s="131"/>
      <c r="DH480" s="131"/>
      <c r="DI480" s="131"/>
      <c r="DJ480" s="131"/>
      <c r="DK480" s="131"/>
      <c r="DL480" s="131"/>
      <c r="DM480" s="131"/>
      <c r="DN480" s="131"/>
      <c r="DO480" s="131"/>
      <c r="DP480" s="131"/>
      <c r="DQ480" s="131"/>
      <c r="DR480" s="131"/>
      <c r="DS480" s="131"/>
      <c r="DT480" s="131"/>
      <c r="DU480" s="131"/>
      <c r="DV480" s="131"/>
      <c r="DW480" s="131"/>
      <c r="DX480" s="131"/>
      <c r="DY480" s="131"/>
      <c r="DZ480" s="131"/>
      <c r="EA480" s="131"/>
      <c r="EB480" s="131"/>
      <c r="EC480" s="131"/>
      <c r="ED480" s="131"/>
      <c r="EE480" s="131"/>
      <c r="EF480" s="131"/>
      <c r="EG480" s="131"/>
      <c r="EH480" s="131"/>
      <c r="EI480" s="131"/>
      <c r="EJ480" s="131"/>
      <c r="EK480" s="131"/>
      <c r="EL480" s="131"/>
      <c r="EM480" s="131"/>
      <c r="EN480" s="131"/>
      <c r="EO480" s="131"/>
      <c r="EP480" s="131"/>
      <c r="EQ480" s="131"/>
      <c r="ER480" s="131"/>
      <c r="ES480" s="131"/>
      <c r="ET480" s="131"/>
      <c r="EU480" s="131"/>
      <c r="EV480" s="131"/>
      <c r="EW480" s="131"/>
      <c r="EX480" s="131"/>
      <c r="EY480" s="131"/>
      <c r="EZ480" s="131"/>
      <c r="FA480" s="131"/>
      <c r="FB480" s="131"/>
      <c r="FC480" s="131"/>
      <c r="FD480" s="131"/>
      <c r="FE480" s="131"/>
      <c r="FF480" s="131"/>
      <c r="FG480" s="131"/>
      <c r="FH480" s="131"/>
      <c r="FI480" s="131"/>
      <c r="FJ480" s="131"/>
      <c r="FK480" s="131"/>
      <c r="FL480" s="131"/>
      <c r="FM480" s="131"/>
      <c r="FN480" s="131"/>
      <c r="FO480" s="131"/>
      <c r="FP480" s="131"/>
      <c r="FQ480" s="131"/>
      <c r="FR480" s="131"/>
      <c r="FS480" s="131"/>
      <c r="FT480" s="131"/>
      <c r="FU480" s="131"/>
      <c r="FV480" s="131"/>
      <c r="FW480" s="131"/>
      <c r="FX480" s="131"/>
      <c r="FY480" s="131"/>
      <c r="FZ480" s="131"/>
      <c r="GA480" s="131"/>
      <c r="GB480" s="131"/>
      <c r="GC480" s="131"/>
      <c r="GD480" s="131"/>
      <c r="GE480" s="131"/>
      <c r="GF480" s="131"/>
      <c r="GG480" s="131"/>
      <c r="GH480" s="131"/>
      <c r="GI480" s="131"/>
      <c r="GJ480" s="131"/>
      <c r="GK480" s="131"/>
      <c r="GL480" s="131"/>
      <c r="GM480" s="131"/>
      <c r="GN480" s="131"/>
      <c r="GO480" s="131"/>
      <c r="GP480" s="131"/>
      <c r="GQ480" s="131"/>
      <c r="GR480" s="131"/>
      <c r="GS480" s="131"/>
      <c r="GT480" s="131"/>
      <c r="GU480" s="131"/>
      <c r="GV480" s="131"/>
      <c r="GW480" s="131"/>
      <c r="GX480" s="131"/>
      <c r="GY480" s="131"/>
      <c r="GZ480" s="131"/>
      <c r="HA480" s="131"/>
      <c r="HB480" s="131"/>
      <c r="HC480" s="131"/>
      <c r="HD480" s="131"/>
      <c r="HE480" s="131"/>
      <c r="HF480" s="131"/>
      <c r="HG480" s="131"/>
      <c r="HH480" s="131"/>
      <c r="HI480" s="131"/>
      <c r="HJ480" s="131"/>
      <c r="HK480" s="131"/>
      <c r="HL480" s="131"/>
      <c r="HM480" s="131"/>
      <c r="HN480" s="131"/>
      <c r="HO480" s="131"/>
      <c r="HP480" s="131"/>
      <c r="HQ480" s="131"/>
      <c r="HR480" s="131"/>
      <c r="HS480" s="131"/>
      <c r="HT480" s="131"/>
      <c r="HU480" s="131"/>
      <c r="HV480" s="131"/>
      <c r="HW480" s="131"/>
      <c r="HX480" s="131"/>
      <c r="HY480" s="131"/>
      <c r="HZ480" s="131"/>
      <c r="IA480" s="131"/>
      <c r="IB480" s="131"/>
      <c r="IC480" s="131"/>
      <c r="ID480" s="131"/>
      <c r="IE480" s="131"/>
      <c r="IF480" s="131"/>
      <c r="IG480" s="131"/>
      <c r="IH480" s="131"/>
      <c r="II480" s="131"/>
      <c r="IJ480" s="131"/>
      <c r="IK480" s="131"/>
      <c r="IL480" s="131"/>
      <c r="IM480" s="131"/>
      <c r="IN480" s="131"/>
      <c r="IO480" s="131"/>
      <c r="IP480" s="131"/>
      <c r="IQ480" s="131"/>
      <c r="IR480" s="131"/>
      <c r="IS480" s="131"/>
      <c r="IT480" s="131"/>
      <c r="IU480" s="131"/>
      <c r="IV480" s="131"/>
    </row>
    <row r="481" spans="1:256" s="13" customFormat="1" ht="38.25" customHeight="1">
      <c r="A481" s="21" t="s">
        <v>1</v>
      </c>
      <c r="B481" s="246" t="s">
        <v>34</v>
      </c>
      <c r="C481" s="246" t="s">
        <v>25</v>
      </c>
      <c r="D481" s="246" t="s">
        <v>946</v>
      </c>
      <c r="E481" s="246" t="s">
        <v>138</v>
      </c>
      <c r="F481" s="21" t="s">
        <v>947</v>
      </c>
      <c r="G481" s="246" t="s">
        <v>193</v>
      </c>
      <c r="H481" s="246">
        <v>236220</v>
      </c>
      <c r="I481" s="21" t="s">
        <v>28</v>
      </c>
      <c r="J481" s="21" t="s">
        <v>109</v>
      </c>
      <c r="K481" s="21" t="s">
        <v>1974</v>
      </c>
      <c r="L481" s="21" t="s">
        <v>1974</v>
      </c>
      <c r="M481" s="22">
        <v>100000</v>
      </c>
      <c r="N481" s="22">
        <v>250000</v>
      </c>
      <c r="O481" s="21" t="s">
        <v>20</v>
      </c>
      <c r="P481" s="21" t="s">
        <v>278</v>
      </c>
      <c r="Q481" s="21" t="s">
        <v>279</v>
      </c>
      <c r="R481" s="21" t="s">
        <v>278</v>
      </c>
      <c r="S481" s="74">
        <v>2013</v>
      </c>
      <c r="T481" s="21" t="s">
        <v>943</v>
      </c>
      <c r="U481" s="21" t="s">
        <v>944</v>
      </c>
      <c r="V481" s="21" t="s">
        <v>945</v>
      </c>
      <c r="W481" s="21" t="s">
        <v>66</v>
      </c>
      <c r="X481" s="246" t="s">
        <v>2620</v>
      </c>
      <c r="Y481" s="130"/>
      <c r="Z481" s="267"/>
      <c r="AA481" s="267"/>
      <c r="AB481" s="267"/>
      <c r="AC481" s="130"/>
      <c r="AD481" s="131"/>
      <c r="AE481" s="131"/>
      <c r="AF481" s="131"/>
      <c r="AG481" s="131"/>
      <c r="AH481" s="131"/>
      <c r="AI481" s="131"/>
      <c r="AJ481" s="131"/>
      <c r="AK481" s="131"/>
      <c r="AL481" s="131"/>
      <c r="AM481" s="131"/>
      <c r="AN481" s="131"/>
      <c r="AO481" s="131"/>
      <c r="AP481" s="131"/>
      <c r="AQ481" s="131"/>
      <c r="AR481" s="131"/>
      <c r="AS481" s="131"/>
      <c r="AT481" s="131"/>
      <c r="AU481" s="131"/>
      <c r="AV481" s="131"/>
      <c r="AW481" s="131"/>
      <c r="AX481" s="131"/>
      <c r="AY481" s="131"/>
      <c r="AZ481" s="131"/>
      <c r="BA481" s="131"/>
      <c r="BB481" s="131"/>
      <c r="BC481" s="131"/>
      <c r="BD481" s="131"/>
      <c r="BE481" s="131"/>
      <c r="BF481" s="131"/>
      <c r="BG481" s="131"/>
      <c r="BH481" s="131"/>
      <c r="BI481" s="131"/>
      <c r="BJ481" s="131"/>
      <c r="BK481" s="131"/>
      <c r="BL481" s="131"/>
      <c r="BM481" s="131"/>
      <c r="BN481" s="131"/>
      <c r="BO481" s="131"/>
      <c r="BP481" s="131"/>
      <c r="BQ481" s="131"/>
      <c r="BR481" s="131"/>
      <c r="BS481" s="131"/>
      <c r="BT481" s="131"/>
      <c r="BU481" s="131"/>
      <c r="BV481" s="131"/>
      <c r="BW481" s="131"/>
      <c r="BX481" s="131"/>
      <c r="BY481" s="131"/>
      <c r="BZ481" s="131"/>
      <c r="CA481" s="131"/>
      <c r="CB481" s="131"/>
      <c r="CC481" s="131"/>
      <c r="CD481" s="131"/>
      <c r="CE481" s="131"/>
      <c r="CF481" s="131"/>
      <c r="CG481" s="131"/>
      <c r="CH481" s="131"/>
      <c r="CI481" s="131"/>
      <c r="CJ481" s="131"/>
      <c r="CK481" s="131"/>
      <c r="CL481" s="131"/>
      <c r="CM481" s="131"/>
      <c r="CN481" s="131"/>
      <c r="CO481" s="131"/>
      <c r="CP481" s="131"/>
      <c r="CQ481" s="131"/>
      <c r="CR481" s="131"/>
      <c r="CS481" s="131"/>
      <c r="CT481" s="131"/>
      <c r="CU481" s="131"/>
      <c r="CV481" s="131"/>
      <c r="CW481" s="131"/>
      <c r="CX481" s="131"/>
      <c r="CY481" s="131"/>
      <c r="CZ481" s="131"/>
      <c r="DA481" s="131"/>
      <c r="DB481" s="131"/>
      <c r="DC481" s="131"/>
      <c r="DD481" s="131"/>
      <c r="DE481" s="131"/>
      <c r="DF481" s="131"/>
      <c r="DG481" s="131"/>
      <c r="DH481" s="131"/>
      <c r="DI481" s="131"/>
      <c r="DJ481" s="131"/>
      <c r="DK481" s="131"/>
      <c r="DL481" s="131"/>
      <c r="DM481" s="131"/>
      <c r="DN481" s="131"/>
      <c r="DO481" s="131"/>
      <c r="DP481" s="131"/>
      <c r="DQ481" s="131"/>
      <c r="DR481" s="131"/>
      <c r="DS481" s="131"/>
      <c r="DT481" s="131"/>
      <c r="DU481" s="131"/>
      <c r="DV481" s="131"/>
      <c r="DW481" s="131"/>
      <c r="DX481" s="131"/>
      <c r="DY481" s="131"/>
      <c r="DZ481" s="131"/>
      <c r="EA481" s="131"/>
      <c r="EB481" s="131"/>
      <c r="EC481" s="131"/>
      <c r="ED481" s="131"/>
      <c r="EE481" s="131"/>
      <c r="EF481" s="131"/>
      <c r="EG481" s="131"/>
      <c r="EH481" s="131"/>
      <c r="EI481" s="131"/>
      <c r="EJ481" s="131"/>
      <c r="EK481" s="131"/>
      <c r="EL481" s="131"/>
      <c r="EM481" s="131"/>
      <c r="EN481" s="131"/>
      <c r="EO481" s="131"/>
      <c r="EP481" s="131"/>
      <c r="EQ481" s="131"/>
      <c r="ER481" s="131"/>
      <c r="ES481" s="131"/>
      <c r="ET481" s="131"/>
      <c r="EU481" s="131"/>
      <c r="EV481" s="131"/>
      <c r="EW481" s="131"/>
      <c r="EX481" s="131"/>
      <c r="EY481" s="131"/>
      <c r="EZ481" s="131"/>
      <c r="FA481" s="131"/>
      <c r="FB481" s="131"/>
      <c r="FC481" s="131"/>
      <c r="FD481" s="131"/>
      <c r="FE481" s="131"/>
      <c r="FF481" s="131"/>
      <c r="FG481" s="131"/>
      <c r="FH481" s="131"/>
      <c r="FI481" s="131"/>
      <c r="FJ481" s="131"/>
      <c r="FK481" s="131"/>
      <c r="FL481" s="131"/>
      <c r="FM481" s="131"/>
      <c r="FN481" s="131"/>
      <c r="FO481" s="131"/>
      <c r="FP481" s="131"/>
      <c r="FQ481" s="131"/>
      <c r="FR481" s="131"/>
      <c r="FS481" s="131"/>
      <c r="FT481" s="131"/>
      <c r="FU481" s="131"/>
      <c r="FV481" s="131"/>
      <c r="FW481" s="131"/>
      <c r="FX481" s="131"/>
      <c r="FY481" s="131"/>
      <c r="FZ481" s="131"/>
      <c r="GA481" s="131"/>
      <c r="GB481" s="131"/>
      <c r="GC481" s="131"/>
      <c r="GD481" s="131"/>
      <c r="GE481" s="131"/>
      <c r="GF481" s="131"/>
      <c r="GG481" s="131"/>
      <c r="GH481" s="131"/>
      <c r="GI481" s="131"/>
      <c r="GJ481" s="131"/>
      <c r="GK481" s="131"/>
      <c r="GL481" s="131"/>
      <c r="GM481" s="131"/>
      <c r="GN481" s="131"/>
      <c r="GO481" s="131"/>
      <c r="GP481" s="131"/>
      <c r="GQ481" s="131"/>
      <c r="GR481" s="131"/>
      <c r="GS481" s="131"/>
      <c r="GT481" s="131"/>
      <c r="GU481" s="131"/>
      <c r="GV481" s="131"/>
      <c r="GW481" s="131"/>
      <c r="GX481" s="131"/>
      <c r="GY481" s="131"/>
      <c r="GZ481" s="131"/>
      <c r="HA481" s="131"/>
      <c r="HB481" s="131"/>
      <c r="HC481" s="131"/>
      <c r="HD481" s="131"/>
      <c r="HE481" s="131"/>
      <c r="HF481" s="131"/>
      <c r="HG481" s="131"/>
      <c r="HH481" s="131"/>
      <c r="HI481" s="131"/>
      <c r="HJ481" s="131"/>
      <c r="HK481" s="131"/>
      <c r="HL481" s="131"/>
      <c r="HM481" s="131"/>
      <c r="HN481" s="131"/>
      <c r="HO481" s="131"/>
      <c r="HP481" s="131"/>
      <c r="HQ481" s="131"/>
      <c r="HR481" s="131"/>
      <c r="HS481" s="131"/>
      <c r="HT481" s="131"/>
      <c r="HU481" s="131"/>
      <c r="HV481" s="131"/>
      <c r="HW481" s="131"/>
      <c r="HX481" s="131"/>
      <c r="HY481" s="131"/>
      <c r="HZ481" s="131"/>
      <c r="IA481" s="131"/>
      <c r="IB481" s="131"/>
      <c r="IC481" s="131"/>
      <c r="ID481" s="131"/>
      <c r="IE481" s="131"/>
      <c r="IF481" s="131"/>
      <c r="IG481" s="131"/>
      <c r="IH481" s="131"/>
      <c r="II481" s="131"/>
      <c r="IJ481" s="131"/>
      <c r="IK481" s="131"/>
      <c r="IL481" s="131"/>
      <c r="IM481" s="131"/>
      <c r="IN481" s="131"/>
      <c r="IO481" s="131"/>
      <c r="IP481" s="131"/>
      <c r="IQ481" s="131"/>
      <c r="IR481" s="131"/>
      <c r="IS481" s="131"/>
      <c r="IT481" s="131"/>
      <c r="IU481" s="131"/>
      <c r="IV481" s="131"/>
    </row>
    <row r="482" spans="1:256" s="13" customFormat="1" ht="38.25" customHeight="1">
      <c r="A482" s="21" t="s">
        <v>1</v>
      </c>
      <c r="B482" s="246" t="s">
        <v>34</v>
      </c>
      <c r="C482" s="246" t="s">
        <v>25</v>
      </c>
      <c r="D482" s="246" t="s">
        <v>948</v>
      </c>
      <c r="E482" s="246" t="s">
        <v>138</v>
      </c>
      <c r="F482" s="21" t="s">
        <v>949</v>
      </c>
      <c r="G482" s="246" t="s">
        <v>173</v>
      </c>
      <c r="H482" s="246">
        <v>236220</v>
      </c>
      <c r="I482" s="21" t="s">
        <v>28</v>
      </c>
      <c r="J482" s="21" t="s">
        <v>109</v>
      </c>
      <c r="K482" s="21" t="s">
        <v>1974</v>
      </c>
      <c r="L482" s="21" t="s">
        <v>1974</v>
      </c>
      <c r="M482" s="22">
        <v>25000</v>
      </c>
      <c r="N482" s="22">
        <v>100000</v>
      </c>
      <c r="O482" s="21" t="s">
        <v>20</v>
      </c>
      <c r="P482" s="21" t="s">
        <v>278</v>
      </c>
      <c r="Q482" s="21" t="s">
        <v>279</v>
      </c>
      <c r="R482" s="21" t="s">
        <v>278</v>
      </c>
      <c r="S482" s="74">
        <v>2013</v>
      </c>
      <c r="T482" s="21" t="s">
        <v>943</v>
      </c>
      <c r="U482" s="21" t="s">
        <v>944</v>
      </c>
      <c r="V482" s="21" t="s">
        <v>945</v>
      </c>
      <c r="W482" s="21" t="s">
        <v>66</v>
      </c>
      <c r="X482" s="246" t="s">
        <v>2614</v>
      </c>
      <c r="Y482" s="130"/>
      <c r="Z482" s="130"/>
      <c r="AA482" s="130"/>
      <c r="AB482" s="130"/>
      <c r="AC482" s="130"/>
      <c r="AD482" s="131"/>
      <c r="AE482" s="131"/>
      <c r="AF482" s="131"/>
      <c r="AG482" s="131"/>
      <c r="AH482" s="131"/>
      <c r="AI482" s="131"/>
      <c r="AJ482" s="131"/>
      <c r="AK482" s="131"/>
      <c r="AL482" s="131"/>
      <c r="AM482" s="131"/>
      <c r="AN482" s="131"/>
      <c r="AO482" s="131"/>
      <c r="AP482" s="131"/>
      <c r="AQ482" s="131"/>
      <c r="AR482" s="131"/>
      <c r="AS482" s="131"/>
      <c r="AT482" s="131"/>
      <c r="AU482" s="131"/>
      <c r="AV482" s="131"/>
      <c r="AW482" s="131"/>
      <c r="AX482" s="131"/>
      <c r="AY482" s="131"/>
      <c r="AZ482" s="131"/>
      <c r="BA482" s="131"/>
      <c r="BB482" s="131"/>
      <c r="BC482" s="131"/>
      <c r="BD482" s="131"/>
      <c r="BE482" s="131"/>
      <c r="BF482" s="131"/>
      <c r="BG482" s="131"/>
      <c r="BH482" s="131"/>
      <c r="BI482" s="131"/>
      <c r="BJ482" s="131"/>
      <c r="BK482" s="131"/>
      <c r="BL482" s="131"/>
      <c r="BM482" s="131"/>
      <c r="BN482" s="131"/>
      <c r="BO482" s="131"/>
      <c r="BP482" s="131"/>
      <c r="BQ482" s="131"/>
      <c r="BR482" s="131"/>
      <c r="BS482" s="131"/>
      <c r="BT482" s="131"/>
      <c r="BU482" s="131"/>
      <c r="BV482" s="131"/>
      <c r="BW482" s="131"/>
      <c r="BX482" s="131"/>
      <c r="BY482" s="131"/>
      <c r="BZ482" s="131"/>
      <c r="CA482" s="131"/>
      <c r="CB482" s="131"/>
      <c r="CC482" s="131"/>
      <c r="CD482" s="131"/>
      <c r="CE482" s="131"/>
      <c r="CF482" s="131"/>
      <c r="CG482" s="131"/>
      <c r="CH482" s="131"/>
      <c r="CI482" s="131"/>
      <c r="CJ482" s="131"/>
      <c r="CK482" s="131"/>
      <c r="CL482" s="131"/>
      <c r="CM482" s="131"/>
      <c r="CN482" s="131"/>
      <c r="CO482" s="131"/>
      <c r="CP482" s="131"/>
      <c r="CQ482" s="131"/>
      <c r="CR482" s="131"/>
      <c r="CS482" s="131"/>
      <c r="CT482" s="131"/>
      <c r="CU482" s="131"/>
      <c r="CV482" s="131"/>
      <c r="CW482" s="131"/>
      <c r="CX482" s="131"/>
      <c r="CY482" s="131"/>
      <c r="CZ482" s="131"/>
      <c r="DA482" s="131"/>
      <c r="DB482" s="131"/>
      <c r="DC482" s="131"/>
      <c r="DD482" s="131"/>
      <c r="DE482" s="131"/>
      <c r="DF482" s="131"/>
      <c r="DG482" s="131"/>
      <c r="DH482" s="131"/>
      <c r="DI482" s="131"/>
      <c r="DJ482" s="131"/>
      <c r="DK482" s="131"/>
      <c r="DL482" s="131"/>
      <c r="DM482" s="131"/>
      <c r="DN482" s="131"/>
      <c r="DO482" s="131"/>
      <c r="DP482" s="131"/>
      <c r="DQ482" s="131"/>
      <c r="DR482" s="131"/>
      <c r="DS482" s="131"/>
      <c r="DT482" s="131"/>
      <c r="DU482" s="131"/>
      <c r="DV482" s="131"/>
      <c r="DW482" s="131"/>
      <c r="DX482" s="131"/>
      <c r="DY482" s="131"/>
      <c r="DZ482" s="131"/>
      <c r="EA482" s="131"/>
      <c r="EB482" s="131"/>
      <c r="EC482" s="131"/>
      <c r="ED482" s="131"/>
      <c r="EE482" s="131"/>
      <c r="EF482" s="131"/>
      <c r="EG482" s="131"/>
      <c r="EH482" s="131"/>
      <c r="EI482" s="131"/>
      <c r="EJ482" s="131"/>
      <c r="EK482" s="131"/>
      <c r="EL482" s="131"/>
      <c r="EM482" s="131"/>
      <c r="EN482" s="131"/>
      <c r="EO482" s="131"/>
      <c r="EP482" s="131"/>
      <c r="EQ482" s="131"/>
      <c r="ER482" s="131"/>
      <c r="ES482" s="131"/>
      <c r="ET482" s="131"/>
      <c r="EU482" s="131"/>
      <c r="EV482" s="131"/>
      <c r="EW482" s="131"/>
      <c r="EX482" s="131"/>
      <c r="EY482" s="131"/>
      <c r="EZ482" s="131"/>
      <c r="FA482" s="131"/>
      <c r="FB482" s="131"/>
      <c r="FC482" s="131"/>
      <c r="FD482" s="131"/>
      <c r="FE482" s="131"/>
      <c r="FF482" s="131"/>
      <c r="FG482" s="131"/>
      <c r="FH482" s="131"/>
      <c r="FI482" s="131"/>
      <c r="FJ482" s="131"/>
      <c r="FK482" s="131"/>
      <c r="FL482" s="131"/>
      <c r="FM482" s="131"/>
      <c r="FN482" s="131"/>
      <c r="FO482" s="131"/>
      <c r="FP482" s="131"/>
      <c r="FQ482" s="131"/>
      <c r="FR482" s="131"/>
      <c r="FS482" s="131"/>
      <c r="FT482" s="131"/>
      <c r="FU482" s="131"/>
      <c r="FV482" s="131"/>
      <c r="FW482" s="131"/>
      <c r="FX482" s="131"/>
      <c r="FY482" s="131"/>
      <c r="FZ482" s="131"/>
      <c r="GA482" s="131"/>
      <c r="GB482" s="131"/>
      <c r="GC482" s="131"/>
      <c r="GD482" s="131"/>
      <c r="GE482" s="131"/>
      <c r="GF482" s="131"/>
      <c r="GG482" s="131"/>
      <c r="GH482" s="131"/>
      <c r="GI482" s="131"/>
      <c r="GJ482" s="131"/>
      <c r="GK482" s="131"/>
      <c r="GL482" s="131"/>
      <c r="GM482" s="131"/>
      <c r="GN482" s="131"/>
      <c r="GO482" s="131"/>
      <c r="GP482" s="131"/>
      <c r="GQ482" s="131"/>
      <c r="GR482" s="131"/>
      <c r="GS482" s="131"/>
      <c r="GT482" s="131"/>
      <c r="GU482" s="131"/>
      <c r="GV482" s="131"/>
      <c r="GW482" s="131"/>
      <c r="GX482" s="131"/>
      <c r="GY482" s="131"/>
      <c r="GZ482" s="131"/>
      <c r="HA482" s="131"/>
      <c r="HB482" s="131"/>
      <c r="HC482" s="131"/>
      <c r="HD482" s="131"/>
      <c r="HE482" s="131"/>
      <c r="HF482" s="131"/>
      <c r="HG482" s="131"/>
      <c r="HH482" s="131"/>
      <c r="HI482" s="131"/>
      <c r="HJ482" s="131"/>
      <c r="HK482" s="131"/>
      <c r="HL482" s="131"/>
      <c r="HM482" s="131"/>
      <c r="HN482" s="131"/>
      <c r="HO482" s="131"/>
      <c r="HP482" s="131"/>
      <c r="HQ482" s="131"/>
      <c r="HR482" s="131"/>
      <c r="HS482" s="131"/>
      <c r="HT482" s="131"/>
      <c r="HU482" s="131"/>
      <c r="HV482" s="131"/>
      <c r="HW482" s="131"/>
      <c r="HX482" s="131"/>
      <c r="HY482" s="131"/>
      <c r="HZ482" s="131"/>
      <c r="IA482" s="131"/>
      <c r="IB482" s="131"/>
      <c r="IC482" s="131"/>
      <c r="ID482" s="131"/>
      <c r="IE482" s="131"/>
      <c r="IF482" s="131"/>
      <c r="IG482" s="131"/>
      <c r="IH482" s="131"/>
      <c r="II482" s="131"/>
      <c r="IJ482" s="131"/>
      <c r="IK482" s="131"/>
      <c r="IL482" s="131"/>
      <c r="IM482" s="131"/>
      <c r="IN482" s="131"/>
      <c r="IO482" s="131"/>
      <c r="IP482" s="131"/>
      <c r="IQ482" s="131"/>
      <c r="IR482" s="131"/>
      <c r="IS482" s="131"/>
      <c r="IT482" s="131"/>
      <c r="IU482" s="131"/>
      <c r="IV482" s="131"/>
    </row>
    <row r="483" spans="1:256" s="13" customFormat="1" ht="38.25" customHeight="1">
      <c r="A483" s="21" t="s">
        <v>1</v>
      </c>
      <c r="B483" s="246" t="s">
        <v>34</v>
      </c>
      <c r="C483" s="246" t="s">
        <v>25</v>
      </c>
      <c r="D483" s="246" t="s">
        <v>950</v>
      </c>
      <c r="E483" s="246" t="s">
        <v>138</v>
      </c>
      <c r="F483" s="21" t="s">
        <v>949</v>
      </c>
      <c r="G483" s="246" t="s">
        <v>173</v>
      </c>
      <c r="H483" s="246">
        <v>236220</v>
      </c>
      <c r="I483" s="21" t="s">
        <v>28</v>
      </c>
      <c r="J483" s="21" t="s">
        <v>109</v>
      </c>
      <c r="K483" s="21" t="s">
        <v>1974</v>
      </c>
      <c r="L483" s="21" t="s">
        <v>1974</v>
      </c>
      <c r="M483" s="22">
        <v>1000</v>
      </c>
      <c r="N483" s="22">
        <v>25000</v>
      </c>
      <c r="O483" s="21" t="s">
        <v>9</v>
      </c>
      <c r="P483" s="21" t="s">
        <v>278</v>
      </c>
      <c r="Q483" s="21" t="s">
        <v>279</v>
      </c>
      <c r="R483" s="21" t="s">
        <v>278</v>
      </c>
      <c r="S483" s="74">
        <v>2013</v>
      </c>
      <c r="T483" s="21" t="s">
        <v>943</v>
      </c>
      <c r="U483" s="21" t="s">
        <v>944</v>
      </c>
      <c r="V483" s="21" t="s">
        <v>945</v>
      </c>
      <c r="W483" s="21" t="s">
        <v>66</v>
      </c>
      <c r="X483" s="246" t="s">
        <v>2614</v>
      </c>
      <c r="Y483" s="130"/>
      <c r="Z483" s="130"/>
      <c r="AA483" s="130"/>
      <c r="AB483" s="130"/>
      <c r="AC483" s="130"/>
      <c r="AD483" s="131"/>
      <c r="AE483" s="131"/>
      <c r="AF483" s="131"/>
      <c r="AG483" s="131"/>
      <c r="AH483" s="131"/>
      <c r="AI483" s="131"/>
      <c r="AJ483" s="131"/>
      <c r="AK483" s="131"/>
      <c r="AL483" s="131"/>
      <c r="AM483" s="131"/>
      <c r="AN483" s="131"/>
      <c r="AO483" s="131"/>
      <c r="AP483" s="131"/>
      <c r="AQ483" s="131"/>
      <c r="AR483" s="131"/>
      <c r="AS483" s="131"/>
      <c r="AT483" s="131"/>
      <c r="AU483" s="131"/>
      <c r="AV483" s="131"/>
      <c r="AW483" s="131"/>
      <c r="AX483" s="131"/>
      <c r="AY483" s="131"/>
      <c r="AZ483" s="131"/>
      <c r="BA483" s="131"/>
      <c r="BB483" s="131"/>
      <c r="BC483" s="131"/>
      <c r="BD483" s="131"/>
      <c r="BE483" s="131"/>
      <c r="BF483" s="131"/>
      <c r="BG483" s="131"/>
      <c r="BH483" s="131"/>
      <c r="BI483" s="131"/>
      <c r="BJ483" s="131"/>
      <c r="BK483" s="131"/>
      <c r="BL483" s="131"/>
      <c r="BM483" s="131"/>
      <c r="BN483" s="131"/>
      <c r="BO483" s="131"/>
      <c r="BP483" s="131"/>
      <c r="BQ483" s="131"/>
      <c r="BR483" s="131"/>
      <c r="BS483" s="131"/>
      <c r="BT483" s="131"/>
      <c r="BU483" s="131"/>
      <c r="BV483" s="131"/>
      <c r="BW483" s="131"/>
      <c r="BX483" s="131"/>
      <c r="BY483" s="131"/>
      <c r="BZ483" s="131"/>
      <c r="CA483" s="131"/>
      <c r="CB483" s="131"/>
      <c r="CC483" s="131"/>
      <c r="CD483" s="131"/>
      <c r="CE483" s="131"/>
      <c r="CF483" s="131"/>
      <c r="CG483" s="131"/>
      <c r="CH483" s="131"/>
      <c r="CI483" s="131"/>
      <c r="CJ483" s="131"/>
      <c r="CK483" s="131"/>
      <c r="CL483" s="131"/>
      <c r="CM483" s="131"/>
      <c r="CN483" s="131"/>
      <c r="CO483" s="131"/>
      <c r="CP483" s="131"/>
      <c r="CQ483" s="131"/>
      <c r="CR483" s="131"/>
      <c r="CS483" s="131"/>
      <c r="CT483" s="131"/>
      <c r="CU483" s="131"/>
      <c r="CV483" s="131"/>
      <c r="CW483" s="131"/>
      <c r="CX483" s="131"/>
      <c r="CY483" s="131"/>
      <c r="CZ483" s="131"/>
      <c r="DA483" s="131"/>
      <c r="DB483" s="131"/>
      <c r="DC483" s="131"/>
      <c r="DD483" s="131"/>
      <c r="DE483" s="131"/>
      <c r="DF483" s="131"/>
      <c r="DG483" s="131"/>
      <c r="DH483" s="131"/>
      <c r="DI483" s="131"/>
      <c r="DJ483" s="131"/>
      <c r="DK483" s="131"/>
      <c r="DL483" s="131"/>
      <c r="DM483" s="131"/>
      <c r="DN483" s="131"/>
      <c r="DO483" s="131"/>
      <c r="DP483" s="131"/>
      <c r="DQ483" s="131"/>
      <c r="DR483" s="131"/>
      <c r="DS483" s="131"/>
      <c r="DT483" s="131"/>
      <c r="DU483" s="131"/>
      <c r="DV483" s="131"/>
      <c r="DW483" s="131"/>
      <c r="DX483" s="131"/>
      <c r="DY483" s="131"/>
      <c r="DZ483" s="131"/>
      <c r="EA483" s="131"/>
      <c r="EB483" s="131"/>
      <c r="EC483" s="131"/>
      <c r="ED483" s="131"/>
      <c r="EE483" s="131"/>
      <c r="EF483" s="131"/>
      <c r="EG483" s="131"/>
      <c r="EH483" s="131"/>
      <c r="EI483" s="131"/>
      <c r="EJ483" s="131"/>
      <c r="EK483" s="131"/>
      <c r="EL483" s="131"/>
      <c r="EM483" s="131"/>
      <c r="EN483" s="131"/>
      <c r="EO483" s="131"/>
      <c r="EP483" s="131"/>
      <c r="EQ483" s="131"/>
      <c r="ER483" s="131"/>
      <c r="ES483" s="131"/>
      <c r="ET483" s="131"/>
      <c r="EU483" s="131"/>
      <c r="EV483" s="131"/>
      <c r="EW483" s="131"/>
      <c r="EX483" s="131"/>
      <c r="EY483" s="131"/>
      <c r="EZ483" s="131"/>
      <c r="FA483" s="131"/>
      <c r="FB483" s="131"/>
      <c r="FC483" s="131"/>
      <c r="FD483" s="131"/>
      <c r="FE483" s="131"/>
      <c r="FF483" s="131"/>
      <c r="FG483" s="131"/>
      <c r="FH483" s="131"/>
      <c r="FI483" s="131"/>
      <c r="FJ483" s="131"/>
      <c r="FK483" s="131"/>
      <c r="FL483" s="131"/>
      <c r="FM483" s="131"/>
      <c r="FN483" s="131"/>
      <c r="FO483" s="131"/>
      <c r="FP483" s="131"/>
      <c r="FQ483" s="131"/>
      <c r="FR483" s="131"/>
      <c r="FS483" s="131"/>
      <c r="FT483" s="131"/>
      <c r="FU483" s="131"/>
      <c r="FV483" s="131"/>
      <c r="FW483" s="131"/>
      <c r="FX483" s="131"/>
      <c r="FY483" s="131"/>
      <c r="FZ483" s="131"/>
      <c r="GA483" s="131"/>
      <c r="GB483" s="131"/>
      <c r="GC483" s="131"/>
      <c r="GD483" s="131"/>
      <c r="GE483" s="131"/>
      <c r="GF483" s="131"/>
      <c r="GG483" s="131"/>
      <c r="GH483" s="131"/>
      <c r="GI483" s="131"/>
      <c r="GJ483" s="131"/>
      <c r="GK483" s="131"/>
      <c r="GL483" s="131"/>
      <c r="GM483" s="131"/>
      <c r="GN483" s="131"/>
      <c r="GO483" s="131"/>
      <c r="GP483" s="131"/>
      <c r="GQ483" s="131"/>
      <c r="GR483" s="131"/>
      <c r="GS483" s="131"/>
      <c r="GT483" s="131"/>
      <c r="GU483" s="131"/>
      <c r="GV483" s="131"/>
      <c r="GW483" s="131"/>
      <c r="GX483" s="131"/>
      <c r="GY483" s="131"/>
      <c r="GZ483" s="131"/>
      <c r="HA483" s="131"/>
      <c r="HB483" s="131"/>
      <c r="HC483" s="131"/>
      <c r="HD483" s="131"/>
      <c r="HE483" s="131"/>
      <c r="HF483" s="131"/>
      <c r="HG483" s="131"/>
      <c r="HH483" s="131"/>
      <c r="HI483" s="131"/>
      <c r="HJ483" s="131"/>
      <c r="HK483" s="131"/>
      <c r="HL483" s="131"/>
      <c r="HM483" s="131"/>
      <c r="HN483" s="131"/>
      <c r="HO483" s="131"/>
      <c r="HP483" s="131"/>
      <c r="HQ483" s="131"/>
      <c r="HR483" s="131"/>
      <c r="HS483" s="131"/>
      <c r="HT483" s="131"/>
      <c r="HU483" s="131"/>
      <c r="HV483" s="131"/>
      <c r="HW483" s="131"/>
      <c r="HX483" s="131"/>
      <c r="HY483" s="131"/>
      <c r="HZ483" s="131"/>
      <c r="IA483" s="131"/>
      <c r="IB483" s="131"/>
      <c r="IC483" s="131"/>
      <c r="ID483" s="131"/>
      <c r="IE483" s="131"/>
      <c r="IF483" s="131"/>
      <c r="IG483" s="131"/>
      <c r="IH483" s="131"/>
      <c r="II483" s="131"/>
      <c r="IJ483" s="131"/>
      <c r="IK483" s="131"/>
      <c r="IL483" s="131"/>
      <c r="IM483" s="131"/>
      <c r="IN483" s="131"/>
      <c r="IO483" s="131"/>
      <c r="IP483" s="131"/>
      <c r="IQ483" s="131"/>
      <c r="IR483" s="131"/>
      <c r="IS483" s="131"/>
      <c r="IT483" s="131"/>
      <c r="IU483" s="131"/>
      <c r="IV483" s="131"/>
    </row>
    <row r="484" spans="1:256" s="13" customFormat="1" ht="38.25" customHeight="1">
      <c r="A484" s="21" t="s">
        <v>1</v>
      </c>
      <c r="B484" s="246" t="s">
        <v>34</v>
      </c>
      <c r="C484" s="246" t="s">
        <v>25</v>
      </c>
      <c r="D484" s="246" t="s">
        <v>951</v>
      </c>
      <c r="E484" s="246" t="s">
        <v>138</v>
      </c>
      <c r="F484" s="21" t="s">
        <v>952</v>
      </c>
      <c r="G484" s="246" t="s">
        <v>173</v>
      </c>
      <c r="H484" s="21">
        <v>236220</v>
      </c>
      <c r="I484" s="21" t="s">
        <v>28</v>
      </c>
      <c r="J484" s="21" t="s">
        <v>109</v>
      </c>
      <c r="K484" s="21" t="s">
        <v>1974</v>
      </c>
      <c r="L484" s="21" t="s">
        <v>1974</v>
      </c>
      <c r="M484" s="22">
        <v>500000</v>
      </c>
      <c r="N484" s="22">
        <v>1000000</v>
      </c>
      <c r="O484" s="21" t="s">
        <v>20</v>
      </c>
      <c r="P484" s="21" t="s">
        <v>278</v>
      </c>
      <c r="Q484" s="21" t="s">
        <v>279</v>
      </c>
      <c r="R484" s="21" t="s">
        <v>278</v>
      </c>
      <c r="S484" s="74">
        <v>2013</v>
      </c>
      <c r="T484" s="21" t="s">
        <v>943</v>
      </c>
      <c r="U484" s="21" t="s">
        <v>944</v>
      </c>
      <c r="V484" s="21" t="s">
        <v>945</v>
      </c>
      <c r="W484" s="21" t="s">
        <v>66</v>
      </c>
      <c r="X484" s="246" t="s">
        <v>2614</v>
      </c>
      <c r="Y484" s="130"/>
      <c r="Z484" s="130"/>
      <c r="AA484" s="130"/>
      <c r="AB484" s="130"/>
      <c r="AC484" s="130"/>
      <c r="AD484" s="131"/>
      <c r="AE484" s="131"/>
      <c r="AF484" s="131"/>
      <c r="AG484" s="131"/>
      <c r="AH484" s="131"/>
      <c r="AI484" s="131"/>
      <c r="AJ484" s="131"/>
      <c r="AK484" s="131"/>
      <c r="AL484" s="131"/>
      <c r="AM484" s="131"/>
      <c r="AN484" s="131"/>
      <c r="AO484" s="131"/>
      <c r="AP484" s="131"/>
      <c r="AQ484" s="131"/>
      <c r="AR484" s="131"/>
      <c r="AS484" s="131"/>
      <c r="AT484" s="131"/>
      <c r="AU484" s="131"/>
      <c r="AV484" s="131"/>
      <c r="AW484" s="131"/>
      <c r="AX484" s="131"/>
      <c r="AY484" s="131"/>
      <c r="AZ484" s="131"/>
      <c r="BA484" s="131"/>
      <c r="BB484" s="131"/>
      <c r="BC484" s="131"/>
      <c r="BD484" s="131"/>
      <c r="BE484" s="131"/>
      <c r="BF484" s="131"/>
      <c r="BG484" s="131"/>
      <c r="BH484" s="131"/>
      <c r="BI484" s="131"/>
      <c r="BJ484" s="131"/>
      <c r="BK484" s="131"/>
      <c r="BL484" s="131"/>
      <c r="BM484" s="131"/>
      <c r="BN484" s="131"/>
      <c r="BO484" s="131"/>
      <c r="BP484" s="131"/>
      <c r="BQ484" s="131"/>
      <c r="BR484" s="131"/>
      <c r="BS484" s="131"/>
      <c r="BT484" s="131"/>
      <c r="BU484" s="131"/>
      <c r="BV484" s="131"/>
      <c r="BW484" s="131"/>
      <c r="BX484" s="131"/>
      <c r="BY484" s="131"/>
      <c r="BZ484" s="131"/>
      <c r="CA484" s="131"/>
      <c r="CB484" s="131"/>
      <c r="CC484" s="131"/>
      <c r="CD484" s="131"/>
      <c r="CE484" s="131"/>
      <c r="CF484" s="131"/>
      <c r="CG484" s="131"/>
      <c r="CH484" s="131"/>
      <c r="CI484" s="131"/>
      <c r="CJ484" s="131"/>
      <c r="CK484" s="131"/>
      <c r="CL484" s="131"/>
      <c r="CM484" s="131"/>
      <c r="CN484" s="131"/>
      <c r="CO484" s="131"/>
      <c r="CP484" s="131"/>
      <c r="CQ484" s="131"/>
      <c r="CR484" s="131"/>
      <c r="CS484" s="131"/>
      <c r="CT484" s="131"/>
      <c r="CU484" s="131"/>
      <c r="CV484" s="131"/>
      <c r="CW484" s="131"/>
      <c r="CX484" s="131"/>
      <c r="CY484" s="131"/>
      <c r="CZ484" s="131"/>
      <c r="DA484" s="131"/>
      <c r="DB484" s="131"/>
      <c r="DC484" s="131"/>
      <c r="DD484" s="131"/>
      <c r="DE484" s="131"/>
      <c r="DF484" s="131"/>
      <c r="DG484" s="131"/>
      <c r="DH484" s="131"/>
      <c r="DI484" s="131"/>
      <c r="DJ484" s="131"/>
      <c r="DK484" s="131"/>
      <c r="DL484" s="131"/>
      <c r="DM484" s="131"/>
      <c r="DN484" s="131"/>
      <c r="DO484" s="131"/>
      <c r="DP484" s="131"/>
      <c r="DQ484" s="131"/>
      <c r="DR484" s="131"/>
      <c r="DS484" s="131"/>
      <c r="DT484" s="131"/>
      <c r="DU484" s="131"/>
      <c r="DV484" s="131"/>
      <c r="DW484" s="131"/>
      <c r="DX484" s="131"/>
      <c r="DY484" s="131"/>
      <c r="DZ484" s="131"/>
      <c r="EA484" s="131"/>
      <c r="EB484" s="131"/>
      <c r="EC484" s="131"/>
      <c r="ED484" s="131"/>
      <c r="EE484" s="131"/>
      <c r="EF484" s="131"/>
      <c r="EG484" s="131"/>
      <c r="EH484" s="131"/>
      <c r="EI484" s="131"/>
      <c r="EJ484" s="131"/>
      <c r="EK484" s="131"/>
      <c r="EL484" s="131"/>
      <c r="EM484" s="131"/>
      <c r="EN484" s="131"/>
      <c r="EO484" s="131"/>
      <c r="EP484" s="131"/>
      <c r="EQ484" s="131"/>
      <c r="ER484" s="131"/>
      <c r="ES484" s="131"/>
      <c r="ET484" s="131"/>
      <c r="EU484" s="131"/>
      <c r="EV484" s="131"/>
      <c r="EW484" s="131"/>
      <c r="EX484" s="131"/>
      <c r="EY484" s="131"/>
      <c r="EZ484" s="131"/>
      <c r="FA484" s="131"/>
      <c r="FB484" s="131"/>
      <c r="FC484" s="131"/>
      <c r="FD484" s="131"/>
      <c r="FE484" s="131"/>
      <c r="FF484" s="131"/>
      <c r="FG484" s="131"/>
      <c r="FH484" s="131"/>
      <c r="FI484" s="131"/>
      <c r="FJ484" s="131"/>
      <c r="FK484" s="131"/>
      <c r="FL484" s="131"/>
      <c r="FM484" s="131"/>
      <c r="FN484" s="131"/>
      <c r="FO484" s="131"/>
      <c r="FP484" s="131"/>
      <c r="FQ484" s="131"/>
      <c r="FR484" s="131"/>
      <c r="FS484" s="131"/>
      <c r="FT484" s="131"/>
      <c r="FU484" s="131"/>
      <c r="FV484" s="131"/>
      <c r="FW484" s="131"/>
      <c r="FX484" s="131"/>
      <c r="FY484" s="131"/>
      <c r="FZ484" s="131"/>
      <c r="GA484" s="131"/>
      <c r="GB484" s="131"/>
      <c r="GC484" s="131"/>
      <c r="GD484" s="131"/>
      <c r="GE484" s="131"/>
      <c r="GF484" s="131"/>
      <c r="GG484" s="131"/>
      <c r="GH484" s="131"/>
      <c r="GI484" s="131"/>
      <c r="GJ484" s="131"/>
      <c r="GK484" s="131"/>
      <c r="GL484" s="131"/>
      <c r="GM484" s="131"/>
      <c r="GN484" s="131"/>
      <c r="GO484" s="131"/>
      <c r="GP484" s="131"/>
      <c r="GQ484" s="131"/>
      <c r="GR484" s="131"/>
      <c r="GS484" s="131"/>
      <c r="GT484" s="131"/>
      <c r="GU484" s="131"/>
      <c r="GV484" s="131"/>
      <c r="GW484" s="131"/>
      <c r="GX484" s="131"/>
      <c r="GY484" s="131"/>
      <c r="GZ484" s="131"/>
      <c r="HA484" s="131"/>
      <c r="HB484" s="131"/>
      <c r="HC484" s="131"/>
      <c r="HD484" s="131"/>
      <c r="HE484" s="131"/>
      <c r="HF484" s="131"/>
      <c r="HG484" s="131"/>
      <c r="HH484" s="131"/>
      <c r="HI484" s="131"/>
      <c r="HJ484" s="131"/>
      <c r="HK484" s="131"/>
      <c r="HL484" s="131"/>
      <c r="HM484" s="131"/>
      <c r="HN484" s="131"/>
      <c r="HO484" s="131"/>
      <c r="HP484" s="131"/>
      <c r="HQ484" s="131"/>
      <c r="HR484" s="131"/>
      <c r="HS484" s="131"/>
      <c r="HT484" s="131"/>
      <c r="HU484" s="131"/>
      <c r="HV484" s="131"/>
      <c r="HW484" s="131"/>
      <c r="HX484" s="131"/>
      <c r="HY484" s="131"/>
      <c r="HZ484" s="131"/>
      <c r="IA484" s="131"/>
      <c r="IB484" s="131"/>
      <c r="IC484" s="131"/>
      <c r="ID484" s="131"/>
      <c r="IE484" s="131"/>
      <c r="IF484" s="131"/>
      <c r="IG484" s="131"/>
      <c r="IH484" s="131"/>
      <c r="II484" s="131"/>
      <c r="IJ484" s="131"/>
      <c r="IK484" s="131"/>
      <c r="IL484" s="131"/>
      <c r="IM484" s="131"/>
      <c r="IN484" s="131"/>
      <c r="IO484" s="131"/>
      <c r="IP484" s="131"/>
      <c r="IQ484" s="131"/>
      <c r="IR484" s="131"/>
      <c r="IS484" s="131"/>
      <c r="IT484" s="131"/>
      <c r="IU484" s="131"/>
      <c r="IV484" s="131"/>
    </row>
    <row r="485" spans="1:256" s="13" customFormat="1" ht="38.25" customHeight="1">
      <c r="A485" s="21" t="s">
        <v>1</v>
      </c>
      <c r="B485" s="246" t="s">
        <v>34</v>
      </c>
      <c r="C485" s="246" t="s">
        <v>25</v>
      </c>
      <c r="D485" s="246" t="s">
        <v>953</v>
      </c>
      <c r="E485" s="246" t="s">
        <v>138</v>
      </c>
      <c r="F485" s="21" t="s">
        <v>952</v>
      </c>
      <c r="G485" s="246" t="s">
        <v>173</v>
      </c>
      <c r="H485" s="21">
        <v>236220</v>
      </c>
      <c r="I485" s="21" t="s">
        <v>28</v>
      </c>
      <c r="J485" s="21" t="s">
        <v>109</v>
      </c>
      <c r="K485" s="21" t="s">
        <v>1974</v>
      </c>
      <c r="L485" s="21" t="s">
        <v>1974</v>
      </c>
      <c r="M485" s="22">
        <v>500000</v>
      </c>
      <c r="N485" s="22">
        <v>1000000</v>
      </c>
      <c r="O485" s="21" t="s">
        <v>20</v>
      </c>
      <c r="P485" s="21" t="s">
        <v>278</v>
      </c>
      <c r="Q485" s="21" t="s">
        <v>279</v>
      </c>
      <c r="R485" s="21" t="s">
        <v>278</v>
      </c>
      <c r="S485" s="74">
        <v>2013</v>
      </c>
      <c r="T485" s="21" t="s">
        <v>943</v>
      </c>
      <c r="U485" s="21" t="s">
        <v>944</v>
      </c>
      <c r="V485" s="21" t="s">
        <v>945</v>
      </c>
      <c r="W485" s="21" t="s">
        <v>66</v>
      </c>
      <c r="X485" s="246" t="s">
        <v>2621</v>
      </c>
      <c r="Y485" s="130"/>
      <c r="Z485" s="267"/>
      <c r="AA485" s="267"/>
      <c r="AB485" s="267"/>
      <c r="AC485" s="130"/>
      <c r="AD485" s="131"/>
      <c r="AE485" s="131"/>
      <c r="AF485" s="131"/>
      <c r="AG485" s="131"/>
      <c r="AH485" s="131"/>
      <c r="AI485" s="131"/>
      <c r="AJ485" s="131"/>
      <c r="AK485" s="131"/>
      <c r="AL485" s="131"/>
      <c r="AM485" s="131"/>
      <c r="AN485" s="131"/>
      <c r="AO485" s="131"/>
      <c r="AP485" s="131"/>
      <c r="AQ485" s="131"/>
      <c r="AR485" s="131"/>
      <c r="AS485" s="131"/>
      <c r="AT485" s="131"/>
      <c r="AU485" s="131"/>
      <c r="AV485" s="131"/>
      <c r="AW485" s="131"/>
      <c r="AX485" s="131"/>
      <c r="AY485" s="131"/>
      <c r="AZ485" s="131"/>
      <c r="BA485" s="131"/>
      <c r="BB485" s="131"/>
      <c r="BC485" s="131"/>
      <c r="BD485" s="131"/>
      <c r="BE485" s="131"/>
      <c r="BF485" s="131"/>
      <c r="BG485" s="131"/>
      <c r="BH485" s="131"/>
      <c r="BI485" s="131"/>
      <c r="BJ485" s="131"/>
      <c r="BK485" s="131"/>
      <c r="BL485" s="131"/>
      <c r="BM485" s="131"/>
      <c r="BN485" s="131"/>
      <c r="BO485" s="131"/>
      <c r="BP485" s="131"/>
      <c r="BQ485" s="131"/>
      <c r="BR485" s="131"/>
      <c r="BS485" s="131"/>
      <c r="BT485" s="131"/>
      <c r="BU485" s="131"/>
      <c r="BV485" s="131"/>
      <c r="BW485" s="131"/>
      <c r="BX485" s="131"/>
      <c r="BY485" s="131"/>
      <c r="BZ485" s="131"/>
      <c r="CA485" s="131"/>
      <c r="CB485" s="131"/>
      <c r="CC485" s="131"/>
      <c r="CD485" s="131"/>
      <c r="CE485" s="131"/>
      <c r="CF485" s="131"/>
      <c r="CG485" s="131"/>
      <c r="CH485" s="131"/>
      <c r="CI485" s="131"/>
      <c r="CJ485" s="131"/>
      <c r="CK485" s="131"/>
      <c r="CL485" s="131"/>
      <c r="CM485" s="131"/>
      <c r="CN485" s="131"/>
      <c r="CO485" s="131"/>
      <c r="CP485" s="131"/>
      <c r="CQ485" s="131"/>
      <c r="CR485" s="131"/>
      <c r="CS485" s="131"/>
      <c r="CT485" s="131"/>
      <c r="CU485" s="131"/>
      <c r="CV485" s="131"/>
      <c r="CW485" s="131"/>
      <c r="CX485" s="131"/>
      <c r="CY485" s="131"/>
      <c r="CZ485" s="131"/>
      <c r="DA485" s="131"/>
      <c r="DB485" s="131"/>
      <c r="DC485" s="131"/>
      <c r="DD485" s="131"/>
      <c r="DE485" s="131"/>
      <c r="DF485" s="131"/>
      <c r="DG485" s="131"/>
      <c r="DH485" s="131"/>
      <c r="DI485" s="131"/>
      <c r="DJ485" s="131"/>
      <c r="DK485" s="131"/>
      <c r="DL485" s="131"/>
      <c r="DM485" s="131"/>
      <c r="DN485" s="131"/>
      <c r="DO485" s="131"/>
      <c r="DP485" s="131"/>
      <c r="DQ485" s="131"/>
      <c r="DR485" s="131"/>
      <c r="DS485" s="131"/>
      <c r="DT485" s="131"/>
      <c r="DU485" s="131"/>
      <c r="DV485" s="131"/>
      <c r="DW485" s="131"/>
      <c r="DX485" s="131"/>
      <c r="DY485" s="131"/>
      <c r="DZ485" s="131"/>
      <c r="EA485" s="131"/>
      <c r="EB485" s="131"/>
      <c r="EC485" s="131"/>
      <c r="ED485" s="131"/>
      <c r="EE485" s="131"/>
      <c r="EF485" s="131"/>
      <c r="EG485" s="131"/>
      <c r="EH485" s="131"/>
      <c r="EI485" s="131"/>
      <c r="EJ485" s="131"/>
      <c r="EK485" s="131"/>
      <c r="EL485" s="131"/>
      <c r="EM485" s="131"/>
      <c r="EN485" s="131"/>
      <c r="EO485" s="131"/>
      <c r="EP485" s="131"/>
      <c r="EQ485" s="131"/>
      <c r="ER485" s="131"/>
      <c r="ES485" s="131"/>
      <c r="ET485" s="131"/>
      <c r="EU485" s="131"/>
      <c r="EV485" s="131"/>
      <c r="EW485" s="131"/>
      <c r="EX485" s="131"/>
      <c r="EY485" s="131"/>
      <c r="EZ485" s="131"/>
      <c r="FA485" s="131"/>
      <c r="FB485" s="131"/>
      <c r="FC485" s="131"/>
      <c r="FD485" s="131"/>
      <c r="FE485" s="131"/>
      <c r="FF485" s="131"/>
      <c r="FG485" s="131"/>
      <c r="FH485" s="131"/>
      <c r="FI485" s="131"/>
      <c r="FJ485" s="131"/>
      <c r="FK485" s="131"/>
      <c r="FL485" s="131"/>
      <c r="FM485" s="131"/>
      <c r="FN485" s="131"/>
      <c r="FO485" s="131"/>
      <c r="FP485" s="131"/>
      <c r="FQ485" s="131"/>
      <c r="FR485" s="131"/>
      <c r="FS485" s="131"/>
      <c r="FT485" s="131"/>
      <c r="FU485" s="131"/>
      <c r="FV485" s="131"/>
      <c r="FW485" s="131"/>
      <c r="FX485" s="131"/>
      <c r="FY485" s="131"/>
      <c r="FZ485" s="131"/>
      <c r="GA485" s="131"/>
      <c r="GB485" s="131"/>
      <c r="GC485" s="131"/>
      <c r="GD485" s="131"/>
      <c r="GE485" s="131"/>
      <c r="GF485" s="131"/>
      <c r="GG485" s="131"/>
      <c r="GH485" s="131"/>
      <c r="GI485" s="131"/>
      <c r="GJ485" s="131"/>
      <c r="GK485" s="131"/>
      <c r="GL485" s="131"/>
      <c r="GM485" s="131"/>
      <c r="GN485" s="131"/>
      <c r="GO485" s="131"/>
      <c r="GP485" s="131"/>
      <c r="GQ485" s="131"/>
      <c r="GR485" s="131"/>
      <c r="GS485" s="131"/>
      <c r="GT485" s="131"/>
      <c r="GU485" s="131"/>
      <c r="GV485" s="131"/>
      <c r="GW485" s="131"/>
      <c r="GX485" s="131"/>
      <c r="GY485" s="131"/>
      <c r="GZ485" s="131"/>
      <c r="HA485" s="131"/>
      <c r="HB485" s="131"/>
      <c r="HC485" s="131"/>
      <c r="HD485" s="131"/>
      <c r="HE485" s="131"/>
      <c r="HF485" s="131"/>
      <c r="HG485" s="131"/>
      <c r="HH485" s="131"/>
      <c r="HI485" s="131"/>
      <c r="HJ485" s="131"/>
      <c r="HK485" s="131"/>
      <c r="HL485" s="131"/>
      <c r="HM485" s="131"/>
      <c r="HN485" s="131"/>
      <c r="HO485" s="131"/>
      <c r="HP485" s="131"/>
      <c r="HQ485" s="131"/>
      <c r="HR485" s="131"/>
      <c r="HS485" s="131"/>
      <c r="HT485" s="131"/>
      <c r="HU485" s="131"/>
      <c r="HV485" s="131"/>
      <c r="HW485" s="131"/>
      <c r="HX485" s="131"/>
      <c r="HY485" s="131"/>
      <c r="HZ485" s="131"/>
      <c r="IA485" s="131"/>
      <c r="IB485" s="131"/>
      <c r="IC485" s="131"/>
      <c r="ID485" s="131"/>
      <c r="IE485" s="131"/>
      <c r="IF485" s="131"/>
      <c r="IG485" s="131"/>
      <c r="IH485" s="131"/>
      <c r="II485" s="131"/>
      <c r="IJ485" s="131"/>
      <c r="IK485" s="131"/>
      <c r="IL485" s="131"/>
      <c r="IM485" s="131"/>
      <c r="IN485" s="131"/>
      <c r="IO485" s="131"/>
      <c r="IP485" s="131"/>
      <c r="IQ485" s="131"/>
      <c r="IR485" s="131"/>
      <c r="IS485" s="131"/>
      <c r="IT485" s="131"/>
      <c r="IU485" s="131"/>
      <c r="IV485" s="131"/>
    </row>
    <row r="486" spans="1:256" s="13" customFormat="1" ht="38.25" customHeight="1">
      <c r="A486" s="21" t="s">
        <v>1</v>
      </c>
      <c r="B486" s="246" t="s">
        <v>34</v>
      </c>
      <c r="C486" s="246" t="s">
        <v>25</v>
      </c>
      <c r="D486" s="246" t="s">
        <v>954</v>
      </c>
      <c r="E486" s="246" t="s">
        <v>138</v>
      </c>
      <c r="F486" s="21" t="s">
        <v>952</v>
      </c>
      <c r="G486" s="246" t="s">
        <v>173</v>
      </c>
      <c r="H486" s="21">
        <v>236220</v>
      </c>
      <c r="I486" s="21" t="s">
        <v>28</v>
      </c>
      <c r="J486" s="21" t="s">
        <v>109</v>
      </c>
      <c r="K486" s="21" t="s">
        <v>1974</v>
      </c>
      <c r="L486" s="21" t="s">
        <v>1974</v>
      </c>
      <c r="M486" s="22">
        <v>100000</v>
      </c>
      <c r="N486" s="22">
        <v>250000</v>
      </c>
      <c r="O486" s="21" t="s">
        <v>20</v>
      </c>
      <c r="P486" s="21" t="s">
        <v>278</v>
      </c>
      <c r="Q486" s="21" t="s">
        <v>279</v>
      </c>
      <c r="R486" s="21" t="s">
        <v>278</v>
      </c>
      <c r="S486" s="74">
        <v>2013</v>
      </c>
      <c r="T486" s="21" t="s">
        <v>943</v>
      </c>
      <c r="U486" s="21" t="s">
        <v>944</v>
      </c>
      <c r="V486" s="21" t="s">
        <v>945</v>
      </c>
      <c r="W486" s="21" t="s">
        <v>66</v>
      </c>
      <c r="X486" s="246" t="s">
        <v>2621</v>
      </c>
      <c r="Y486" s="130"/>
      <c r="Z486" s="267"/>
      <c r="AA486" s="267"/>
      <c r="AB486" s="267"/>
      <c r="AC486" s="130"/>
      <c r="AD486" s="131"/>
      <c r="AE486" s="131"/>
      <c r="AF486" s="131"/>
      <c r="AG486" s="131"/>
      <c r="AH486" s="131"/>
      <c r="AI486" s="131"/>
      <c r="AJ486" s="131"/>
      <c r="AK486" s="131"/>
      <c r="AL486" s="131"/>
      <c r="AM486" s="131"/>
      <c r="AN486" s="131"/>
      <c r="AO486" s="131"/>
      <c r="AP486" s="131"/>
      <c r="AQ486" s="131"/>
      <c r="AR486" s="131"/>
      <c r="AS486" s="131"/>
      <c r="AT486" s="131"/>
      <c r="AU486" s="131"/>
      <c r="AV486" s="131"/>
      <c r="AW486" s="131"/>
      <c r="AX486" s="131"/>
      <c r="AY486" s="131"/>
      <c r="AZ486" s="131"/>
      <c r="BA486" s="131"/>
      <c r="BB486" s="131"/>
      <c r="BC486" s="131"/>
      <c r="BD486" s="131"/>
      <c r="BE486" s="131"/>
      <c r="BF486" s="131"/>
      <c r="BG486" s="131"/>
      <c r="BH486" s="131"/>
      <c r="BI486" s="131"/>
      <c r="BJ486" s="131"/>
      <c r="BK486" s="131"/>
      <c r="BL486" s="131"/>
      <c r="BM486" s="131"/>
      <c r="BN486" s="131"/>
      <c r="BO486" s="131"/>
      <c r="BP486" s="131"/>
      <c r="BQ486" s="131"/>
      <c r="BR486" s="131"/>
      <c r="BS486" s="131"/>
      <c r="BT486" s="131"/>
      <c r="BU486" s="131"/>
      <c r="BV486" s="131"/>
      <c r="BW486" s="131"/>
      <c r="BX486" s="131"/>
      <c r="BY486" s="131"/>
      <c r="BZ486" s="131"/>
      <c r="CA486" s="131"/>
      <c r="CB486" s="131"/>
      <c r="CC486" s="131"/>
      <c r="CD486" s="131"/>
      <c r="CE486" s="131"/>
      <c r="CF486" s="131"/>
      <c r="CG486" s="131"/>
      <c r="CH486" s="131"/>
      <c r="CI486" s="131"/>
      <c r="CJ486" s="131"/>
      <c r="CK486" s="131"/>
      <c r="CL486" s="131"/>
      <c r="CM486" s="131"/>
      <c r="CN486" s="131"/>
      <c r="CO486" s="131"/>
      <c r="CP486" s="131"/>
      <c r="CQ486" s="131"/>
      <c r="CR486" s="131"/>
      <c r="CS486" s="131"/>
      <c r="CT486" s="131"/>
      <c r="CU486" s="131"/>
      <c r="CV486" s="131"/>
      <c r="CW486" s="131"/>
      <c r="CX486" s="131"/>
      <c r="CY486" s="131"/>
      <c r="CZ486" s="131"/>
      <c r="DA486" s="131"/>
      <c r="DB486" s="131"/>
      <c r="DC486" s="131"/>
      <c r="DD486" s="131"/>
      <c r="DE486" s="131"/>
      <c r="DF486" s="131"/>
      <c r="DG486" s="131"/>
      <c r="DH486" s="131"/>
      <c r="DI486" s="131"/>
      <c r="DJ486" s="131"/>
      <c r="DK486" s="131"/>
      <c r="DL486" s="131"/>
      <c r="DM486" s="131"/>
      <c r="DN486" s="131"/>
      <c r="DO486" s="131"/>
      <c r="DP486" s="131"/>
      <c r="DQ486" s="131"/>
      <c r="DR486" s="131"/>
      <c r="DS486" s="131"/>
      <c r="DT486" s="131"/>
      <c r="DU486" s="131"/>
      <c r="DV486" s="131"/>
      <c r="DW486" s="131"/>
      <c r="DX486" s="131"/>
      <c r="DY486" s="131"/>
      <c r="DZ486" s="131"/>
      <c r="EA486" s="131"/>
      <c r="EB486" s="131"/>
      <c r="EC486" s="131"/>
      <c r="ED486" s="131"/>
      <c r="EE486" s="131"/>
      <c r="EF486" s="131"/>
      <c r="EG486" s="131"/>
      <c r="EH486" s="131"/>
      <c r="EI486" s="131"/>
      <c r="EJ486" s="131"/>
      <c r="EK486" s="131"/>
      <c r="EL486" s="131"/>
      <c r="EM486" s="131"/>
      <c r="EN486" s="131"/>
      <c r="EO486" s="131"/>
      <c r="EP486" s="131"/>
      <c r="EQ486" s="131"/>
      <c r="ER486" s="131"/>
      <c r="ES486" s="131"/>
      <c r="ET486" s="131"/>
      <c r="EU486" s="131"/>
      <c r="EV486" s="131"/>
      <c r="EW486" s="131"/>
      <c r="EX486" s="131"/>
      <c r="EY486" s="131"/>
      <c r="EZ486" s="131"/>
      <c r="FA486" s="131"/>
      <c r="FB486" s="131"/>
      <c r="FC486" s="131"/>
      <c r="FD486" s="131"/>
      <c r="FE486" s="131"/>
      <c r="FF486" s="131"/>
      <c r="FG486" s="131"/>
      <c r="FH486" s="131"/>
      <c r="FI486" s="131"/>
      <c r="FJ486" s="131"/>
      <c r="FK486" s="131"/>
      <c r="FL486" s="131"/>
      <c r="FM486" s="131"/>
      <c r="FN486" s="131"/>
      <c r="FO486" s="131"/>
      <c r="FP486" s="131"/>
      <c r="FQ486" s="131"/>
      <c r="FR486" s="131"/>
      <c r="FS486" s="131"/>
      <c r="FT486" s="131"/>
      <c r="FU486" s="131"/>
      <c r="FV486" s="131"/>
      <c r="FW486" s="131"/>
      <c r="FX486" s="131"/>
      <c r="FY486" s="131"/>
      <c r="FZ486" s="131"/>
      <c r="GA486" s="131"/>
      <c r="GB486" s="131"/>
      <c r="GC486" s="131"/>
      <c r="GD486" s="131"/>
      <c r="GE486" s="131"/>
      <c r="GF486" s="131"/>
      <c r="GG486" s="131"/>
      <c r="GH486" s="131"/>
      <c r="GI486" s="131"/>
      <c r="GJ486" s="131"/>
      <c r="GK486" s="131"/>
      <c r="GL486" s="131"/>
      <c r="GM486" s="131"/>
      <c r="GN486" s="131"/>
      <c r="GO486" s="131"/>
      <c r="GP486" s="131"/>
      <c r="GQ486" s="131"/>
      <c r="GR486" s="131"/>
      <c r="GS486" s="131"/>
      <c r="GT486" s="131"/>
      <c r="GU486" s="131"/>
      <c r="GV486" s="131"/>
      <c r="GW486" s="131"/>
      <c r="GX486" s="131"/>
      <c r="GY486" s="131"/>
      <c r="GZ486" s="131"/>
      <c r="HA486" s="131"/>
      <c r="HB486" s="131"/>
      <c r="HC486" s="131"/>
      <c r="HD486" s="131"/>
      <c r="HE486" s="131"/>
      <c r="HF486" s="131"/>
      <c r="HG486" s="131"/>
      <c r="HH486" s="131"/>
      <c r="HI486" s="131"/>
      <c r="HJ486" s="131"/>
      <c r="HK486" s="131"/>
      <c r="HL486" s="131"/>
      <c r="HM486" s="131"/>
      <c r="HN486" s="131"/>
      <c r="HO486" s="131"/>
      <c r="HP486" s="131"/>
      <c r="HQ486" s="131"/>
      <c r="HR486" s="131"/>
      <c r="HS486" s="131"/>
      <c r="HT486" s="131"/>
      <c r="HU486" s="131"/>
      <c r="HV486" s="131"/>
      <c r="HW486" s="131"/>
      <c r="HX486" s="131"/>
      <c r="HY486" s="131"/>
      <c r="HZ486" s="131"/>
      <c r="IA486" s="131"/>
      <c r="IB486" s="131"/>
      <c r="IC486" s="131"/>
      <c r="ID486" s="131"/>
      <c r="IE486" s="131"/>
      <c r="IF486" s="131"/>
      <c r="IG486" s="131"/>
      <c r="IH486" s="131"/>
      <c r="II486" s="131"/>
      <c r="IJ486" s="131"/>
      <c r="IK486" s="131"/>
      <c r="IL486" s="131"/>
      <c r="IM486" s="131"/>
      <c r="IN486" s="131"/>
      <c r="IO486" s="131"/>
      <c r="IP486" s="131"/>
      <c r="IQ486" s="131"/>
      <c r="IR486" s="131"/>
      <c r="IS486" s="131"/>
      <c r="IT486" s="131"/>
      <c r="IU486" s="131"/>
      <c r="IV486" s="131"/>
    </row>
    <row r="487" spans="1:256" s="13" customFormat="1" ht="38.25" customHeight="1">
      <c r="A487" s="21" t="s">
        <v>1</v>
      </c>
      <c r="B487" s="246" t="s">
        <v>34</v>
      </c>
      <c r="C487" s="246" t="s">
        <v>25</v>
      </c>
      <c r="D487" s="246" t="s">
        <v>955</v>
      </c>
      <c r="E487" s="246" t="s">
        <v>138</v>
      </c>
      <c r="F487" s="21" t="s">
        <v>952</v>
      </c>
      <c r="G487" s="246" t="s">
        <v>173</v>
      </c>
      <c r="H487" s="21">
        <v>236220</v>
      </c>
      <c r="I487" s="21" t="s">
        <v>28</v>
      </c>
      <c r="J487" s="21" t="s">
        <v>109</v>
      </c>
      <c r="K487" s="21" t="s">
        <v>1974</v>
      </c>
      <c r="L487" s="21" t="s">
        <v>1974</v>
      </c>
      <c r="M487" s="22">
        <v>25000</v>
      </c>
      <c r="N487" s="22">
        <v>100000</v>
      </c>
      <c r="O487" s="21" t="s">
        <v>20</v>
      </c>
      <c r="P487" s="21" t="s">
        <v>278</v>
      </c>
      <c r="Q487" s="21" t="s">
        <v>279</v>
      </c>
      <c r="R487" s="21" t="s">
        <v>278</v>
      </c>
      <c r="S487" s="74">
        <v>2013</v>
      </c>
      <c r="T487" s="21" t="s">
        <v>943</v>
      </c>
      <c r="U487" s="21" t="s">
        <v>944</v>
      </c>
      <c r="V487" s="21" t="s">
        <v>945</v>
      </c>
      <c r="W487" s="21" t="s">
        <v>66</v>
      </c>
      <c r="X487" s="246" t="s">
        <v>2614</v>
      </c>
      <c r="Y487" s="130"/>
      <c r="Z487" s="130"/>
      <c r="AA487" s="130"/>
      <c r="AB487" s="130"/>
      <c r="AC487" s="130"/>
      <c r="AD487" s="131"/>
      <c r="AE487" s="131"/>
      <c r="AF487" s="131"/>
      <c r="AG487" s="131"/>
      <c r="AH487" s="131"/>
      <c r="AI487" s="131"/>
      <c r="AJ487" s="131"/>
      <c r="AK487" s="131"/>
      <c r="AL487" s="131"/>
      <c r="AM487" s="131"/>
      <c r="AN487" s="131"/>
      <c r="AO487" s="131"/>
      <c r="AP487" s="131"/>
      <c r="AQ487" s="131"/>
      <c r="AR487" s="131"/>
      <c r="AS487" s="131"/>
      <c r="AT487" s="131"/>
      <c r="AU487" s="131"/>
      <c r="AV487" s="131"/>
      <c r="AW487" s="131"/>
      <c r="AX487" s="131"/>
      <c r="AY487" s="131"/>
      <c r="AZ487" s="131"/>
      <c r="BA487" s="131"/>
      <c r="BB487" s="131"/>
      <c r="BC487" s="131"/>
      <c r="BD487" s="131"/>
      <c r="BE487" s="131"/>
      <c r="BF487" s="131"/>
      <c r="BG487" s="131"/>
      <c r="BH487" s="131"/>
      <c r="BI487" s="131"/>
      <c r="BJ487" s="131"/>
      <c r="BK487" s="131"/>
      <c r="BL487" s="131"/>
      <c r="BM487" s="131"/>
      <c r="BN487" s="131"/>
      <c r="BO487" s="131"/>
      <c r="BP487" s="131"/>
      <c r="BQ487" s="131"/>
      <c r="BR487" s="131"/>
      <c r="BS487" s="131"/>
      <c r="BT487" s="131"/>
      <c r="BU487" s="131"/>
      <c r="BV487" s="131"/>
      <c r="BW487" s="131"/>
      <c r="BX487" s="131"/>
      <c r="BY487" s="131"/>
      <c r="BZ487" s="131"/>
      <c r="CA487" s="131"/>
      <c r="CB487" s="131"/>
      <c r="CC487" s="131"/>
      <c r="CD487" s="131"/>
      <c r="CE487" s="131"/>
      <c r="CF487" s="131"/>
      <c r="CG487" s="131"/>
      <c r="CH487" s="131"/>
      <c r="CI487" s="131"/>
      <c r="CJ487" s="131"/>
      <c r="CK487" s="131"/>
      <c r="CL487" s="131"/>
      <c r="CM487" s="131"/>
      <c r="CN487" s="131"/>
      <c r="CO487" s="131"/>
      <c r="CP487" s="131"/>
      <c r="CQ487" s="131"/>
      <c r="CR487" s="131"/>
      <c r="CS487" s="131"/>
      <c r="CT487" s="131"/>
      <c r="CU487" s="131"/>
      <c r="CV487" s="131"/>
      <c r="CW487" s="131"/>
      <c r="CX487" s="131"/>
      <c r="CY487" s="131"/>
      <c r="CZ487" s="131"/>
      <c r="DA487" s="131"/>
      <c r="DB487" s="131"/>
      <c r="DC487" s="131"/>
      <c r="DD487" s="131"/>
      <c r="DE487" s="131"/>
      <c r="DF487" s="131"/>
      <c r="DG487" s="131"/>
      <c r="DH487" s="131"/>
      <c r="DI487" s="131"/>
      <c r="DJ487" s="131"/>
      <c r="DK487" s="131"/>
      <c r="DL487" s="131"/>
      <c r="DM487" s="131"/>
      <c r="DN487" s="131"/>
      <c r="DO487" s="131"/>
      <c r="DP487" s="131"/>
      <c r="DQ487" s="131"/>
      <c r="DR487" s="131"/>
      <c r="DS487" s="131"/>
      <c r="DT487" s="131"/>
      <c r="DU487" s="131"/>
      <c r="DV487" s="131"/>
      <c r="DW487" s="131"/>
      <c r="DX487" s="131"/>
      <c r="DY487" s="131"/>
      <c r="DZ487" s="131"/>
      <c r="EA487" s="131"/>
      <c r="EB487" s="131"/>
      <c r="EC487" s="131"/>
      <c r="ED487" s="131"/>
      <c r="EE487" s="131"/>
      <c r="EF487" s="131"/>
      <c r="EG487" s="131"/>
      <c r="EH487" s="131"/>
      <c r="EI487" s="131"/>
      <c r="EJ487" s="131"/>
      <c r="EK487" s="131"/>
      <c r="EL487" s="131"/>
      <c r="EM487" s="131"/>
      <c r="EN487" s="131"/>
      <c r="EO487" s="131"/>
      <c r="EP487" s="131"/>
      <c r="EQ487" s="131"/>
      <c r="ER487" s="131"/>
      <c r="ES487" s="131"/>
      <c r="ET487" s="131"/>
      <c r="EU487" s="131"/>
      <c r="EV487" s="131"/>
      <c r="EW487" s="131"/>
      <c r="EX487" s="131"/>
      <c r="EY487" s="131"/>
      <c r="EZ487" s="131"/>
      <c r="FA487" s="131"/>
      <c r="FB487" s="131"/>
      <c r="FC487" s="131"/>
      <c r="FD487" s="131"/>
      <c r="FE487" s="131"/>
      <c r="FF487" s="131"/>
      <c r="FG487" s="131"/>
      <c r="FH487" s="131"/>
      <c r="FI487" s="131"/>
      <c r="FJ487" s="131"/>
      <c r="FK487" s="131"/>
      <c r="FL487" s="131"/>
      <c r="FM487" s="131"/>
      <c r="FN487" s="131"/>
      <c r="FO487" s="131"/>
      <c r="FP487" s="131"/>
      <c r="FQ487" s="131"/>
      <c r="FR487" s="131"/>
      <c r="FS487" s="131"/>
      <c r="FT487" s="131"/>
      <c r="FU487" s="131"/>
      <c r="FV487" s="131"/>
      <c r="FW487" s="131"/>
      <c r="FX487" s="131"/>
      <c r="FY487" s="131"/>
      <c r="FZ487" s="131"/>
      <c r="GA487" s="131"/>
      <c r="GB487" s="131"/>
      <c r="GC487" s="131"/>
      <c r="GD487" s="131"/>
      <c r="GE487" s="131"/>
      <c r="GF487" s="131"/>
      <c r="GG487" s="131"/>
      <c r="GH487" s="131"/>
      <c r="GI487" s="131"/>
      <c r="GJ487" s="131"/>
      <c r="GK487" s="131"/>
      <c r="GL487" s="131"/>
      <c r="GM487" s="131"/>
      <c r="GN487" s="131"/>
      <c r="GO487" s="131"/>
      <c r="GP487" s="131"/>
      <c r="GQ487" s="131"/>
      <c r="GR487" s="131"/>
      <c r="GS487" s="131"/>
      <c r="GT487" s="131"/>
      <c r="GU487" s="131"/>
      <c r="GV487" s="131"/>
      <c r="GW487" s="131"/>
      <c r="GX487" s="131"/>
      <c r="GY487" s="131"/>
      <c r="GZ487" s="131"/>
      <c r="HA487" s="131"/>
      <c r="HB487" s="131"/>
      <c r="HC487" s="131"/>
      <c r="HD487" s="131"/>
      <c r="HE487" s="131"/>
      <c r="HF487" s="131"/>
      <c r="HG487" s="131"/>
      <c r="HH487" s="131"/>
      <c r="HI487" s="131"/>
      <c r="HJ487" s="131"/>
      <c r="HK487" s="131"/>
      <c r="HL487" s="131"/>
      <c r="HM487" s="131"/>
      <c r="HN487" s="131"/>
      <c r="HO487" s="131"/>
      <c r="HP487" s="131"/>
      <c r="HQ487" s="131"/>
      <c r="HR487" s="131"/>
      <c r="HS487" s="131"/>
      <c r="HT487" s="131"/>
      <c r="HU487" s="131"/>
      <c r="HV487" s="131"/>
      <c r="HW487" s="131"/>
      <c r="HX487" s="131"/>
      <c r="HY487" s="131"/>
      <c r="HZ487" s="131"/>
      <c r="IA487" s="131"/>
      <c r="IB487" s="131"/>
      <c r="IC487" s="131"/>
      <c r="ID487" s="131"/>
      <c r="IE487" s="131"/>
      <c r="IF487" s="131"/>
      <c r="IG487" s="131"/>
      <c r="IH487" s="131"/>
      <c r="II487" s="131"/>
      <c r="IJ487" s="131"/>
      <c r="IK487" s="131"/>
      <c r="IL487" s="131"/>
      <c r="IM487" s="131"/>
      <c r="IN487" s="131"/>
      <c r="IO487" s="131"/>
      <c r="IP487" s="131"/>
      <c r="IQ487" s="131"/>
      <c r="IR487" s="131"/>
      <c r="IS487" s="131"/>
      <c r="IT487" s="131"/>
      <c r="IU487" s="131"/>
      <c r="IV487" s="131"/>
    </row>
    <row r="488" spans="1:256" s="13" customFormat="1" ht="38.25" customHeight="1">
      <c r="A488" s="21" t="s">
        <v>1</v>
      </c>
      <c r="B488" s="246" t="s">
        <v>34</v>
      </c>
      <c r="C488" s="246" t="s">
        <v>25</v>
      </c>
      <c r="D488" s="246" t="s">
        <v>956</v>
      </c>
      <c r="E488" s="246" t="s">
        <v>138</v>
      </c>
      <c r="F488" s="21" t="s">
        <v>952</v>
      </c>
      <c r="G488" s="246" t="s">
        <v>173</v>
      </c>
      <c r="H488" s="21">
        <v>236220</v>
      </c>
      <c r="I488" s="21" t="s">
        <v>28</v>
      </c>
      <c r="J488" s="21" t="s">
        <v>109</v>
      </c>
      <c r="K488" s="21" t="s">
        <v>1974</v>
      </c>
      <c r="L488" s="21" t="s">
        <v>1974</v>
      </c>
      <c r="M488" s="22">
        <v>500000</v>
      </c>
      <c r="N488" s="22">
        <v>1000000</v>
      </c>
      <c r="O488" s="21" t="s">
        <v>20</v>
      </c>
      <c r="P488" s="21" t="s">
        <v>278</v>
      </c>
      <c r="Q488" s="21" t="s">
        <v>279</v>
      </c>
      <c r="R488" s="21" t="s">
        <v>278</v>
      </c>
      <c r="S488" s="74">
        <v>2013</v>
      </c>
      <c r="T488" s="21" t="s">
        <v>943</v>
      </c>
      <c r="U488" s="21" t="s">
        <v>944</v>
      </c>
      <c r="V488" s="21" t="s">
        <v>945</v>
      </c>
      <c r="W488" s="21" t="s">
        <v>66</v>
      </c>
      <c r="X488" s="246" t="s">
        <v>2614</v>
      </c>
      <c r="Y488" s="130"/>
      <c r="Z488" s="130"/>
      <c r="AA488" s="130"/>
      <c r="AB488" s="130"/>
      <c r="AC488" s="130"/>
      <c r="AD488" s="131"/>
      <c r="AE488" s="131"/>
      <c r="AF488" s="131"/>
      <c r="AG488" s="131"/>
      <c r="AH488" s="131"/>
      <c r="AI488" s="131"/>
      <c r="AJ488" s="131"/>
      <c r="AK488" s="131"/>
      <c r="AL488" s="131"/>
      <c r="AM488" s="131"/>
      <c r="AN488" s="131"/>
      <c r="AO488" s="131"/>
      <c r="AP488" s="131"/>
      <c r="AQ488" s="131"/>
      <c r="AR488" s="131"/>
      <c r="AS488" s="131"/>
      <c r="AT488" s="131"/>
      <c r="AU488" s="131"/>
      <c r="AV488" s="131"/>
      <c r="AW488" s="131"/>
      <c r="AX488" s="131"/>
      <c r="AY488" s="131"/>
      <c r="AZ488" s="131"/>
      <c r="BA488" s="131"/>
      <c r="BB488" s="131"/>
      <c r="BC488" s="131"/>
      <c r="BD488" s="131"/>
      <c r="BE488" s="131"/>
      <c r="BF488" s="131"/>
      <c r="BG488" s="131"/>
      <c r="BH488" s="131"/>
      <c r="BI488" s="131"/>
      <c r="BJ488" s="131"/>
      <c r="BK488" s="131"/>
      <c r="BL488" s="131"/>
      <c r="BM488" s="131"/>
      <c r="BN488" s="131"/>
      <c r="BO488" s="131"/>
      <c r="BP488" s="131"/>
      <c r="BQ488" s="131"/>
      <c r="BR488" s="131"/>
      <c r="BS488" s="131"/>
      <c r="BT488" s="131"/>
      <c r="BU488" s="131"/>
      <c r="BV488" s="131"/>
      <c r="BW488" s="131"/>
      <c r="BX488" s="131"/>
      <c r="BY488" s="131"/>
      <c r="BZ488" s="131"/>
      <c r="CA488" s="131"/>
      <c r="CB488" s="131"/>
      <c r="CC488" s="131"/>
      <c r="CD488" s="131"/>
      <c r="CE488" s="131"/>
      <c r="CF488" s="131"/>
      <c r="CG488" s="131"/>
      <c r="CH488" s="131"/>
      <c r="CI488" s="131"/>
      <c r="CJ488" s="131"/>
      <c r="CK488" s="131"/>
      <c r="CL488" s="131"/>
      <c r="CM488" s="131"/>
      <c r="CN488" s="131"/>
      <c r="CO488" s="131"/>
      <c r="CP488" s="131"/>
      <c r="CQ488" s="131"/>
      <c r="CR488" s="131"/>
      <c r="CS488" s="131"/>
      <c r="CT488" s="131"/>
      <c r="CU488" s="131"/>
      <c r="CV488" s="131"/>
      <c r="CW488" s="131"/>
      <c r="CX488" s="131"/>
      <c r="CY488" s="131"/>
      <c r="CZ488" s="131"/>
      <c r="DA488" s="131"/>
      <c r="DB488" s="131"/>
      <c r="DC488" s="131"/>
      <c r="DD488" s="131"/>
      <c r="DE488" s="131"/>
      <c r="DF488" s="131"/>
      <c r="DG488" s="131"/>
      <c r="DH488" s="131"/>
      <c r="DI488" s="131"/>
      <c r="DJ488" s="131"/>
      <c r="DK488" s="131"/>
      <c r="DL488" s="131"/>
      <c r="DM488" s="131"/>
      <c r="DN488" s="131"/>
      <c r="DO488" s="131"/>
      <c r="DP488" s="131"/>
      <c r="DQ488" s="131"/>
      <c r="DR488" s="131"/>
      <c r="DS488" s="131"/>
      <c r="DT488" s="131"/>
      <c r="DU488" s="131"/>
      <c r="DV488" s="131"/>
      <c r="DW488" s="131"/>
      <c r="DX488" s="131"/>
      <c r="DY488" s="131"/>
      <c r="DZ488" s="131"/>
      <c r="EA488" s="131"/>
      <c r="EB488" s="131"/>
      <c r="EC488" s="131"/>
      <c r="ED488" s="131"/>
      <c r="EE488" s="131"/>
      <c r="EF488" s="131"/>
      <c r="EG488" s="131"/>
      <c r="EH488" s="131"/>
      <c r="EI488" s="131"/>
      <c r="EJ488" s="131"/>
      <c r="EK488" s="131"/>
      <c r="EL488" s="131"/>
      <c r="EM488" s="131"/>
      <c r="EN488" s="131"/>
      <c r="EO488" s="131"/>
      <c r="EP488" s="131"/>
      <c r="EQ488" s="131"/>
      <c r="ER488" s="131"/>
      <c r="ES488" s="131"/>
      <c r="ET488" s="131"/>
      <c r="EU488" s="131"/>
      <c r="EV488" s="131"/>
      <c r="EW488" s="131"/>
      <c r="EX488" s="131"/>
      <c r="EY488" s="131"/>
      <c r="EZ488" s="131"/>
      <c r="FA488" s="131"/>
      <c r="FB488" s="131"/>
      <c r="FC488" s="131"/>
      <c r="FD488" s="131"/>
      <c r="FE488" s="131"/>
      <c r="FF488" s="131"/>
      <c r="FG488" s="131"/>
      <c r="FH488" s="131"/>
      <c r="FI488" s="131"/>
      <c r="FJ488" s="131"/>
      <c r="FK488" s="131"/>
      <c r="FL488" s="131"/>
      <c r="FM488" s="131"/>
      <c r="FN488" s="131"/>
      <c r="FO488" s="131"/>
      <c r="FP488" s="131"/>
      <c r="FQ488" s="131"/>
      <c r="FR488" s="131"/>
      <c r="FS488" s="131"/>
      <c r="FT488" s="131"/>
      <c r="FU488" s="131"/>
      <c r="FV488" s="131"/>
      <c r="FW488" s="131"/>
      <c r="FX488" s="131"/>
      <c r="FY488" s="131"/>
      <c r="FZ488" s="131"/>
      <c r="GA488" s="131"/>
      <c r="GB488" s="131"/>
      <c r="GC488" s="131"/>
      <c r="GD488" s="131"/>
      <c r="GE488" s="131"/>
      <c r="GF488" s="131"/>
      <c r="GG488" s="131"/>
      <c r="GH488" s="131"/>
      <c r="GI488" s="131"/>
      <c r="GJ488" s="131"/>
      <c r="GK488" s="131"/>
      <c r="GL488" s="131"/>
      <c r="GM488" s="131"/>
      <c r="GN488" s="131"/>
      <c r="GO488" s="131"/>
      <c r="GP488" s="131"/>
      <c r="GQ488" s="131"/>
      <c r="GR488" s="131"/>
      <c r="GS488" s="131"/>
      <c r="GT488" s="131"/>
      <c r="GU488" s="131"/>
      <c r="GV488" s="131"/>
      <c r="GW488" s="131"/>
      <c r="GX488" s="131"/>
      <c r="GY488" s="131"/>
      <c r="GZ488" s="131"/>
      <c r="HA488" s="131"/>
      <c r="HB488" s="131"/>
      <c r="HC488" s="131"/>
      <c r="HD488" s="131"/>
      <c r="HE488" s="131"/>
      <c r="HF488" s="131"/>
      <c r="HG488" s="131"/>
      <c r="HH488" s="131"/>
      <c r="HI488" s="131"/>
      <c r="HJ488" s="131"/>
      <c r="HK488" s="131"/>
      <c r="HL488" s="131"/>
      <c r="HM488" s="131"/>
      <c r="HN488" s="131"/>
      <c r="HO488" s="131"/>
      <c r="HP488" s="131"/>
      <c r="HQ488" s="131"/>
      <c r="HR488" s="131"/>
      <c r="HS488" s="131"/>
      <c r="HT488" s="131"/>
      <c r="HU488" s="131"/>
      <c r="HV488" s="131"/>
      <c r="HW488" s="131"/>
      <c r="HX488" s="131"/>
      <c r="HY488" s="131"/>
      <c r="HZ488" s="131"/>
      <c r="IA488" s="131"/>
      <c r="IB488" s="131"/>
      <c r="IC488" s="131"/>
      <c r="ID488" s="131"/>
      <c r="IE488" s="131"/>
      <c r="IF488" s="131"/>
      <c r="IG488" s="131"/>
      <c r="IH488" s="131"/>
      <c r="II488" s="131"/>
      <c r="IJ488" s="131"/>
      <c r="IK488" s="131"/>
      <c r="IL488" s="131"/>
      <c r="IM488" s="131"/>
      <c r="IN488" s="131"/>
      <c r="IO488" s="131"/>
      <c r="IP488" s="131"/>
      <c r="IQ488" s="131"/>
      <c r="IR488" s="131"/>
      <c r="IS488" s="131"/>
      <c r="IT488" s="131"/>
      <c r="IU488" s="131"/>
      <c r="IV488" s="131"/>
    </row>
    <row r="489" spans="1:256" s="13" customFormat="1" ht="38.25" customHeight="1">
      <c r="A489" s="21" t="s">
        <v>1</v>
      </c>
      <c r="B489" s="246" t="s">
        <v>34</v>
      </c>
      <c r="C489" s="246" t="s">
        <v>25</v>
      </c>
      <c r="D489" s="246" t="s">
        <v>939</v>
      </c>
      <c r="E489" s="246" t="s">
        <v>138</v>
      </c>
      <c r="F489" s="21" t="s">
        <v>952</v>
      </c>
      <c r="G489" s="246" t="s">
        <v>173</v>
      </c>
      <c r="H489" s="21">
        <v>236220</v>
      </c>
      <c r="I489" s="21" t="s">
        <v>28</v>
      </c>
      <c r="J489" s="21" t="s">
        <v>109</v>
      </c>
      <c r="K489" s="21" t="s">
        <v>1974</v>
      </c>
      <c r="L489" s="21" t="s">
        <v>1974</v>
      </c>
      <c r="M489" s="22">
        <v>25000</v>
      </c>
      <c r="N489" s="22">
        <v>100000</v>
      </c>
      <c r="O489" s="21" t="s">
        <v>20</v>
      </c>
      <c r="P489" s="21" t="s">
        <v>278</v>
      </c>
      <c r="Q489" s="21" t="s">
        <v>279</v>
      </c>
      <c r="R489" s="21" t="s">
        <v>278</v>
      </c>
      <c r="S489" s="74">
        <v>2013</v>
      </c>
      <c r="T489" s="21" t="s">
        <v>943</v>
      </c>
      <c r="U489" s="21" t="s">
        <v>944</v>
      </c>
      <c r="V489" s="21" t="s">
        <v>945</v>
      </c>
      <c r="W489" s="21" t="s">
        <v>66</v>
      </c>
      <c r="X489" s="246" t="s">
        <v>2614</v>
      </c>
      <c r="Y489" s="130"/>
      <c r="Z489" s="130"/>
      <c r="AA489" s="130"/>
      <c r="AB489" s="130"/>
      <c r="AC489" s="130"/>
      <c r="AD489" s="131"/>
      <c r="AE489" s="131"/>
      <c r="AF489" s="131"/>
      <c r="AG489" s="131"/>
      <c r="AH489" s="131"/>
      <c r="AI489" s="131"/>
      <c r="AJ489" s="131"/>
      <c r="AK489" s="131"/>
      <c r="AL489" s="131"/>
      <c r="AM489" s="131"/>
      <c r="AN489" s="131"/>
      <c r="AO489" s="131"/>
      <c r="AP489" s="131"/>
      <c r="AQ489" s="131"/>
      <c r="AR489" s="131"/>
      <c r="AS489" s="131"/>
      <c r="AT489" s="131"/>
      <c r="AU489" s="131"/>
      <c r="AV489" s="131"/>
      <c r="AW489" s="131"/>
      <c r="AX489" s="131"/>
      <c r="AY489" s="131"/>
      <c r="AZ489" s="131"/>
      <c r="BA489" s="131"/>
      <c r="BB489" s="131"/>
      <c r="BC489" s="131"/>
      <c r="BD489" s="131"/>
      <c r="BE489" s="131"/>
      <c r="BF489" s="131"/>
      <c r="BG489" s="131"/>
      <c r="BH489" s="131"/>
      <c r="BI489" s="131"/>
      <c r="BJ489" s="131"/>
      <c r="BK489" s="131"/>
      <c r="BL489" s="131"/>
      <c r="BM489" s="131"/>
      <c r="BN489" s="131"/>
      <c r="BO489" s="131"/>
      <c r="BP489" s="131"/>
      <c r="BQ489" s="131"/>
      <c r="BR489" s="131"/>
      <c r="BS489" s="131"/>
      <c r="BT489" s="131"/>
      <c r="BU489" s="131"/>
      <c r="BV489" s="131"/>
      <c r="BW489" s="131"/>
      <c r="BX489" s="131"/>
      <c r="BY489" s="131"/>
      <c r="BZ489" s="131"/>
      <c r="CA489" s="131"/>
      <c r="CB489" s="131"/>
      <c r="CC489" s="131"/>
      <c r="CD489" s="131"/>
      <c r="CE489" s="131"/>
      <c r="CF489" s="131"/>
      <c r="CG489" s="131"/>
      <c r="CH489" s="131"/>
      <c r="CI489" s="131"/>
      <c r="CJ489" s="131"/>
      <c r="CK489" s="131"/>
      <c r="CL489" s="131"/>
      <c r="CM489" s="131"/>
      <c r="CN489" s="131"/>
      <c r="CO489" s="131"/>
      <c r="CP489" s="131"/>
      <c r="CQ489" s="131"/>
      <c r="CR489" s="131"/>
      <c r="CS489" s="131"/>
      <c r="CT489" s="131"/>
      <c r="CU489" s="131"/>
      <c r="CV489" s="131"/>
      <c r="CW489" s="131"/>
      <c r="CX489" s="131"/>
      <c r="CY489" s="131"/>
      <c r="CZ489" s="131"/>
      <c r="DA489" s="131"/>
      <c r="DB489" s="131"/>
      <c r="DC489" s="131"/>
      <c r="DD489" s="131"/>
      <c r="DE489" s="131"/>
      <c r="DF489" s="131"/>
      <c r="DG489" s="131"/>
      <c r="DH489" s="131"/>
      <c r="DI489" s="131"/>
      <c r="DJ489" s="131"/>
      <c r="DK489" s="131"/>
      <c r="DL489" s="131"/>
      <c r="DM489" s="131"/>
      <c r="DN489" s="131"/>
      <c r="DO489" s="131"/>
      <c r="DP489" s="131"/>
      <c r="DQ489" s="131"/>
      <c r="DR489" s="131"/>
      <c r="DS489" s="131"/>
      <c r="DT489" s="131"/>
      <c r="DU489" s="131"/>
      <c r="DV489" s="131"/>
      <c r="DW489" s="131"/>
      <c r="DX489" s="131"/>
      <c r="DY489" s="131"/>
      <c r="DZ489" s="131"/>
      <c r="EA489" s="131"/>
      <c r="EB489" s="131"/>
      <c r="EC489" s="131"/>
      <c r="ED489" s="131"/>
      <c r="EE489" s="131"/>
      <c r="EF489" s="131"/>
      <c r="EG489" s="131"/>
      <c r="EH489" s="131"/>
      <c r="EI489" s="131"/>
      <c r="EJ489" s="131"/>
      <c r="EK489" s="131"/>
      <c r="EL489" s="131"/>
      <c r="EM489" s="131"/>
      <c r="EN489" s="131"/>
      <c r="EO489" s="131"/>
      <c r="EP489" s="131"/>
      <c r="EQ489" s="131"/>
      <c r="ER489" s="131"/>
      <c r="ES489" s="131"/>
      <c r="ET489" s="131"/>
      <c r="EU489" s="131"/>
      <c r="EV489" s="131"/>
      <c r="EW489" s="131"/>
      <c r="EX489" s="131"/>
      <c r="EY489" s="131"/>
      <c r="EZ489" s="131"/>
      <c r="FA489" s="131"/>
      <c r="FB489" s="131"/>
      <c r="FC489" s="131"/>
      <c r="FD489" s="131"/>
      <c r="FE489" s="131"/>
      <c r="FF489" s="131"/>
      <c r="FG489" s="131"/>
      <c r="FH489" s="131"/>
      <c r="FI489" s="131"/>
      <c r="FJ489" s="131"/>
      <c r="FK489" s="131"/>
      <c r="FL489" s="131"/>
      <c r="FM489" s="131"/>
      <c r="FN489" s="131"/>
      <c r="FO489" s="131"/>
      <c r="FP489" s="131"/>
      <c r="FQ489" s="131"/>
      <c r="FR489" s="131"/>
      <c r="FS489" s="131"/>
      <c r="FT489" s="131"/>
      <c r="FU489" s="131"/>
      <c r="FV489" s="131"/>
      <c r="FW489" s="131"/>
      <c r="FX489" s="131"/>
      <c r="FY489" s="131"/>
      <c r="FZ489" s="131"/>
      <c r="GA489" s="131"/>
      <c r="GB489" s="131"/>
      <c r="GC489" s="131"/>
      <c r="GD489" s="131"/>
      <c r="GE489" s="131"/>
      <c r="GF489" s="131"/>
      <c r="GG489" s="131"/>
      <c r="GH489" s="131"/>
      <c r="GI489" s="131"/>
      <c r="GJ489" s="131"/>
      <c r="GK489" s="131"/>
      <c r="GL489" s="131"/>
      <c r="GM489" s="131"/>
      <c r="GN489" s="131"/>
      <c r="GO489" s="131"/>
      <c r="GP489" s="131"/>
      <c r="GQ489" s="131"/>
      <c r="GR489" s="131"/>
      <c r="GS489" s="131"/>
      <c r="GT489" s="131"/>
      <c r="GU489" s="131"/>
      <c r="GV489" s="131"/>
      <c r="GW489" s="131"/>
      <c r="GX489" s="131"/>
      <c r="GY489" s="131"/>
      <c r="GZ489" s="131"/>
      <c r="HA489" s="131"/>
      <c r="HB489" s="131"/>
      <c r="HC489" s="131"/>
      <c r="HD489" s="131"/>
      <c r="HE489" s="131"/>
      <c r="HF489" s="131"/>
      <c r="HG489" s="131"/>
      <c r="HH489" s="131"/>
      <c r="HI489" s="131"/>
      <c r="HJ489" s="131"/>
      <c r="HK489" s="131"/>
      <c r="HL489" s="131"/>
      <c r="HM489" s="131"/>
      <c r="HN489" s="131"/>
      <c r="HO489" s="131"/>
      <c r="HP489" s="131"/>
      <c r="HQ489" s="131"/>
      <c r="HR489" s="131"/>
      <c r="HS489" s="131"/>
      <c r="HT489" s="131"/>
      <c r="HU489" s="131"/>
      <c r="HV489" s="131"/>
      <c r="HW489" s="131"/>
      <c r="HX489" s="131"/>
      <c r="HY489" s="131"/>
      <c r="HZ489" s="131"/>
      <c r="IA489" s="131"/>
      <c r="IB489" s="131"/>
      <c r="IC489" s="131"/>
      <c r="ID489" s="131"/>
      <c r="IE489" s="131"/>
      <c r="IF489" s="131"/>
      <c r="IG489" s="131"/>
      <c r="IH489" s="131"/>
      <c r="II489" s="131"/>
      <c r="IJ489" s="131"/>
      <c r="IK489" s="131"/>
      <c r="IL489" s="131"/>
      <c r="IM489" s="131"/>
      <c r="IN489" s="131"/>
      <c r="IO489" s="131"/>
      <c r="IP489" s="131"/>
      <c r="IQ489" s="131"/>
      <c r="IR489" s="131"/>
      <c r="IS489" s="131"/>
      <c r="IT489" s="131"/>
      <c r="IU489" s="131"/>
      <c r="IV489" s="131"/>
    </row>
    <row r="490" spans="1:256" s="13" customFormat="1" ht="38.25" customHeight="1">
      <c r="A490" s="21" t="s">
        <v>1</v>
      </c>
      <c r="B490" s="246" t="s">
        <v>34</v>
      </c>
      <c r="C490" s="246" t="s">
        <v>25</v>
      </c>
      <c r="D490" s="246" t="s">
        <v>957</v>
      </c>
      <c r="E490" s="246" t="s">
        <v>138</v>
      </c>
      <c r="F490" s="21" t="s">
        <v>958</v>
      </c>
      <c r="G490" s="246" t="s">
        <v>173</v>
      </c>
      <c r="H490" s="21">
        <v>236220</v>
      </c>
      <c r="I490" s="21" t="s">
        <v>28</v>
      </c>
      <c r="J490" s="21" t="s">
        <v>109</v>
      </c>
      <c r="K490" s="21" t="s">
        <v>1974</v>
      </c>
      <c r="L490" s="21" t="s">
        <v>1974</v>
      </c>
      <c r="M490" s="22">
        <v>25000</v>
      </c>
      <c r="N490" s="22">
        <v>100000</v>
      </c>
      <c r="O490" s="21" t="s">
        <v>20</v>
      </c>
      <c r="P490" s="21" t="s">
        <v>278</v>
      </c>
      <c r="Q490" s="21" t="s">
        <v>279</v>
      </c>
      <c r="R490" s="21" t="s">
        <v>278</v>
      </c>
      <c r="S490" s="74">
        <v>2013</v>
      </c>
      <c r="T490" s="21" t="s">
        <v>943</v>
      </c>
      <c r="U490" s="21" t="s">
        <v>944</v>
      </c>
      <c r="V490" s="21" t="s">
        <v>945</v>
      </c>
      <c r="W490" s="21" t="s">
        <v>66</v>
      </c>
      <c r="X490" s="246" t="s">
        <v>2614</v>
      </c>
      <c r="Y490" s="130"/>
      <c r="Z490" s="130"/>
      <c r="AA490" s="130"/>
      <c r="AB490" s="130"/>
      <c r="AC490" s="130"/>
      <c r="AD490" s="131"/>
      <c r="AE490" s="131"/>
      <c r="AF490" s="131"/>
      <c r="AG490" s="131"/>
      <c r="AH490" s="131"/>
      <c r="AI490" s="131"/>
      <c r="AJ490" s="131"/>
      <c r="AK490" s="131"/>
      <c r="AL490" s="131"/>
      <c r="AM490" s="131"/>
      <c r="AN490" s="131"/>
      <c r="AO490" s="131"/>
      <c r="AP490" s="131"/>
      <c r="AQ490" s="131"/>
      <c r="AR490" s="131"/>
      <c r="AS490" s="131"/>
      <c r="AT490" s="131"/>
      <c r="AU490" s="131"/>
      <c r="AV490" s="131"/>
      <c r="AW490" s="131"/>
      <c r="AX490" s="131"/>
      <c r="AY490" s="131"/>
      <c r="AZ490" s="131"/>
      <c r="BA490" s="131"/>
      <c r="BB490" s="131"/>
      <c r="BC490" s="131"/>
      <c r="BD490" s="131"/>
      <c r="BE490" s="131"/>
      <c r="BF490" s="131"/>
      <c r="BG490" s="131"/>
      <c r="BH490" s="131"/>
      <c r="BI490" s="131"/>
      <c r="BJ490" s="131"/>
      <c r="BK490" s="131"/>
      <c r="BL490" s="131"/>
      <c r="BM490" s="131"/>
      <c r="BN490" s="131"/>
      <c r="BO490" s="131"/>
      <c r="BP490" s="131"/>
      <c r="BQ490" s="131"/>
      <c r="BR490" s="131"/>
      <c r="BS490" s="131"/>
      <c r="BT490" s="131"/>
      <c r="BU490" s="131"/>
      <c r="BV490" s="131"/>
      <c r="BW490" s="131"/>
      <c r="BX490" s="131"/>
      <c r="BY490" s="131"/>
      <c r="BZ490" s="131"/>
      <c r="CA490" s="131"/>
      <c r="CB490" s="131"/>
      <c r="CC490" s="131"/>
      <c r="CD490" s="131"/>
      <c r="CE490" s="131"/>
      <c r="CF490" s="131"/>
      <c r="CG490" s="131"/>
      <c r="CH490" s="131"/>
      <c r="CI490" s="131"/>
      <c r="CJ490" s="131"/>
      <c r="CK490" s="131"/>
      <c r="CL490" s="131"/>
      <c r="CM490" s="131"/>
      <c r="CN490" s="131"/>
      <c r="CO490" s="131"/>
      <c r="CP490" s="131"/>
      <c r="CQ490" s="131"/>
      <c r="CR490" s="131"/>
      <c r="CS490" s="131"/>
      <c r="CT490" s="131"/>
      <c r="CU490" s="131"/>
      <c r="CV490" s="131"/>
      <c r="CW490" s="131"/>
      <c r="CX490" s="131"/>
      <c r="CY490" s="131"/>
      <c r="CZ490" s="131"/>
      <c r="DA490" s="131"/>
      <c r="DB490" s="131"/>
      <c r="DC490" s="131"/>
      <c r="DD490" s="131"/>
      <c r="DE490" s="131"/>
      <c r="DF490" s="131"/>
      <c r="DG490" s="131"/>
      <c r="DH490" s="131"/>
      <c r="DI490" s="131"/>
      <c r="DJ490" s="131"/>
      <c r="DK490" s="131"/>
      <c r="DL490" s="131"/>
      <c r="DM490" s="131"/>
      <c r="DN490" s="131"/>
      <c r="DO490" s="131"/>
      <c r="DP490" s="131"/>
      <c r="DQ490" s="131"/>
      <c r="DR490" s="131"/>
      <c r="DS490" s="131"/>
      <c r="DT490" s="131"/>
      <c r="DU490" s="131"/>
      <c r="DV490" s="131"/>
      <c r="DW490" s="131"/>
      <c r="DX490" s="131"/>
      <c r="DY490" s="131"/>
      <c r="DZ490" s="131"/>
      <c r="EA490" s="131"/>
      <c r="EB490" s="131"/>
      <c r="EC490" s="131"/>
      <c r="ED490" s="131"/>
      <c r="EE490" s="131"/>
      <c r="EF490" s="131"/>
      <c r="EG490" s="131"/>
      <c r="EH490" s="131"/>
      <c r="EI490" s="131"/>
      <c r="EJ490" s="131"/>
      <c r="EK490" s="131"/>
      <c r="EL490" s="131"/>
      <c r="EM490" s="131"/>
      <c r="EN490" s="131"/>
      <c r="EO490" s="131"/>
      <c r="EP490" s="131"/>
      <c r="EQ490" s="131"/>
      <c r="ER490" s="131"/>
      <c r="ES490" s="131"/>
      <c r="ET490" s="131"/>
      <c r="EU490" s="131"/>
      <c r="EV490" s="131"/>
      <c r="EW490" s="131"/>
      <c r="EX490" s="131"/>
      <c r="EY490" s="131"/>
      <c r="EZ490" s="131"/>
      <c r="FA490" s="131"/>
      <c r="FB490" s="131"/>
      <c r="FC490" s="131"/>
      <c r="FD490" s="131"/>
      <c r="FE490" s="131"/>
      <c r="FF490" s="131"/>
      <c r="FG490" s="131"/>
      <c r="FH490" s="131"/>
      <c r="FI490" s="131"/>
      <c r="FJ490" s="131"/>
      <c r="FK490" s="131"/>
      <c r="FL490" s="131"/>
      <c r="FM490" s="131"/>
      <c r="FN490" s="131"/>
      <c r="FO490" s="131"/>
      <c r="FP490" s="131"/>
      <c r="FQ490" s="131"/>
      <c r="FR490" s="131"/>
      <c r="FS490" s="131"/>
      <c r="FT490" s="131"/>
      <c r="FU490" s="131"/>
      <c r="FV490" s="131"/>
      <c r="FW490" s="131"/>
      <c r="FX490" s="131"/>
      <c r="FY490" s="131"/>
      <c r="FZ490" s="131"/>
      <c r="GA490" s="131"/>
      <c r="GB490" s="131"/>
      <c r="GC490" s="131"/>
      <c r="GD490" s="131"/>
      <c r="GE490" s="131"/>
      <c r="GF490" s="131"/>
      <c r="GG490" s="131"/>
      <c r="GH490" s="131"/>
      <c r="GI490" s="131"/>
      <c r="GJ490" s="131"/>
      <c r="GK490" s="131"/>
      <c r="GL490" s="131"/>
      <c r="GM490" s="131"/>
      <c r="GN490" s="131"/>
      <c r="GO490" s="131"/>
      <c r="GP490" s="131"/>
      <c r="GQ490" s="131"/>
      <c r="GR490" s="131"/>
      <c r="GS490" s="131"/>
      <c r="GT490" s="131"/>
      <c r="GU490" s="131"/>
      <c r="GV490" s="131"/>
      <c r="GW490" s="131"/>
      <c r="GX490" s="131"/>
      <c r="GY490" s="131"/>
      <c r="GZ490" s="131"/>
      <c r="HA490" s="131"/>
      <c r="HB490" s="131"/>
      <c r="HC490" s="131"/>
      <c r="HD490" s="131"/>
      <c r="HE490" s="131"/>
      <c r="HF490" s="131"/>
      <c r="HG490" s="131"/>
      <c r="HH490" s="131"/>
      <c r="HI490" s="131"/>
      <c r="HJ490" s="131"/>
      <c r="HK490" s="131"/>
      <c r="HL490" s="131"/>
      <c r="HM490" s="131"/>
      <c r="HN490" s="131"/>
      <c r="HO490" s="131"/>
      <c r="HP490" s="131"/>
      <c r="HQ490" s="131"/>
      <c r="HR490" s="131"/>
      <c r="HS490" s="131"/>
      <c r="HT490" s="131"/>
      <c r="HU490" s="131"/>
      <c r="HV490" s="131"/>
      <c r="HW490" s="131"/>
      <c r="HX490" s="131"/>
      <c r="HY490" s="131"/>
      <c r="HZ490" s="131"/>
      <c r="IA490" s="131"/>
      <c r="IB490" s="131"/>
      <c r="IC490" s="131"/>
      <c r="ID490" s="131"/>
      <c r="IE490" s="131"/>
      <c r="IF490" s="131"/>
      <c r="IG490" s="131"/>
      <c r="IH490" s="131"/>
      <c r="II490" s="131"/>
      <c r="IJ490" s="131"/>
      <c r="IK490" s="131"/>
      <c r="IL490" s="131"/>
      <c r="IM490" s="131"/>
      <c r="IN490" s="131"/>
      <c r="IO490" s="131"/>
      <c r="IP490" s="131"/>
      <c r="IQ490" s="131"/>
      <c r="IR490" s="131"/>
      <c r="IS490" s="131"/>
      <c r="IT490" s="131"/>
      <c r="IU490" s="131"/>
      <c r="IV490" s="131"/>
    </row>
    <row r="491" spans="1:256" s="13" customFormat="1" ht="38.25" customHeight="1">
      <c r="A491" s="21" t="s">
        <v>1</v>
      </c>
      <c r="B491" s="246" t="s">
        <v>34</v>
      </c>
      <c r="C491" s="246" t="s">
        <v>25</v>
      </c>
      <c r="D491" s="246" t="s">
        <v>959</v>
      </c>
      <c r="E491" s="246" t="s">
        <v>138</v>
      </c>
      <c r="F491" s="21" t="s">
        <v>960</v>
      </c>
      <c r="G491" s="246" t="s">
        <v>193</v>
      </c>
      <c r="H491" s="21">
        <v>236220</v>
      </c>
      <c r="I491" s="21" t="s">
        <v>28</v>
      </c>
      <c r="J491" s="21" t="s">
        <v>109</v>
      </c>
      <c r="K491" s="21" t="s">
        <v>2622</v>
      </c>
      <c r="L491" s="21" t="s">
        <v>1974</v>
      </c>
      <c r="M491" s="22">
        <v>25000</v>
      </c>
      <c r="N491" s="22">
        <v>100000</v>
      </c>
      <c r="O491" s="21" t="s">
        <v>20</v>
      </c>
      <c r="P491" s="21" t="s">
        <v>2623</v>
      </c>
      <c r="Q491" s="21" t="s">
        <v>279</v>
      </c>
      <c r="R491" s="21" t="s">
        <v>278</v>
      </c>
      <c r="S491" s="74">
        <v>2013</v>
      </c>
      <c r="T491" s="21" t="s">
        <v>961</v>
      </c>
      <c r="U491" s="21" t="s">
        <v>962</v>
      </c>
      <c r="V491" s="21" t="s">
        <v>963</v>
      </c>
      <c r="W491" s="21" t="s">
        <v>66</v>
      </c>
      <c r="X491" s="246" t="s">
        <v>2624</v>
      </c>
      <c r="Y491" s="130"/>
      <c r="Z491" s="130"/>
      <c r="AA491" s="130"/>
      <c r="AB491" s="130"/>
      <c r="AC491" s="130"/>
      <c r="AD491" s="131"/>
      <c r="AE491" s="131"/>
      <c r="AF491" s="131"/>
      <c r="AG491" s="131"/>
      <c r="AH491" s="131"/>
      <c r="AI491" s="131"/>
      <c r="AJ491" s="131"/>
      <c r="AK491" s="131"/>
      <c r="AL491" s="131"/>
      <c r="AM491" s="131"/>
      <c r="AN491" s="131"/>
      <c r="AO491" s="131"/>
      <c r="AP491" s="131"/>
      <c r="AQ491" s="131"/>
      <c r="AR491" s="131"/>
      <c r="AS491" s="131"/>
      <c r="AT491" s="131"/>
      <c r="AU491" s="131"/>
      <c r="AV491" s="131"/>
      <c r="AW491" s="131"/>
      <c r="AX491" s="131"/>
      <c r="AY491" s="131"/>
      <c r="AZ491" s="131"/>
      <c r="BA491" s="131"/>
      <c r="BB491" s="131"/>
      <c r="BC491" s="131"/>
      <c r="BD491" s="131"/>
      <c r="BE491" s="131"/>
      <c r="BF491" s="131"/>
      <c r="BG491" s="131"/>
      <c r="BH491" s="131"/>
      <c r="BI491" s="131"/>
      <c r="BJ491" s="131"/>
      <c r="BK491" s="131"/>
      <c r="BL491" s="131"/>
      <c r="BM491" s="131"/>
      <c r="BN491" s="131"/>
      <c r="BO491" s="131"/>
      <c r="BP491" s="131"/>
      <c r="BQ491" s="131"/>
      <c r="BR491" s="131"/>
      <c r="BS491" s="131"/>
      <c r="BT491" s="131"/>
      <c r="BU491" s="131"/>
      <c r="BV491" s="131"/>
      <c r="BW491" s="131"/>
      <c r="BX491" s="131"/>
      <c r="BY491" s="131"/>
      <c r="BZ491" s="131"/>
      <c r="CA491" s="131"/>
      <c r="CB491" s="131"/>
      <c r="CC491" s="131"/>
      <c r="CD491" s="131"/>
      <c r="CE491" s="131"/>
      <c r="CF491" s="131"/>
      <c r="CG491" s="131"/>
      <c r="CH491" s="131"/>
      <c r="CI491" s="131"/>
      <c r="CJ491" s="131"/>
      <c r="CK491" s="131"/>
      <c r="CL491" s="131"/>
      <c r="CM491" s="131"/>
      <c r="CN491" s="131"/>
      <c r="CO491" s="131"/>
      <c r="CP491" s="131"/>
      <c r="CQ491" s="131"/>
      <c r="CR491" s="131"/>
      <c r="CS491" s="131"/>
      <c r="CT491" s="131"/>
      <c r="CU491" s="131"/>
      <c r="CV491" s="131"/>
      <c r="CW491" s="131"/>
      <c r="CX491" s="131"/>
      <c r="CY491" s="131"/>
      <c r="CZ491" s="131"/>
      <c r="DA491" s="131"/>
      <c r="DB491" s="131"/>
      <c r="DC491" s="131"/>
      <c r="DD491" s="131"/>
      <c r="DE491" s="131"/>
      <c r="DF491" s="131"/>
      <c r="DG491" s="131"/>
      <c r="DH491" s="131"/>
      <c r="DI491" s="131"/>
      <c r="DJ491" s="131"/>
      <c r="DK491" s="131"/>
      <c r="DL491" s="131"/>
      <c r="DM491" s="131"/>
      <c r="DN491" s="131"/>
      <c r="DO491" s="131"/>
      <c r="DP491" s="131"/>
      <c r="DQ491" s="131"/>
      <c r="DR491" s="131"/>
      <c r="DS491" s="131"/>
      <c r="DT491" s="131"/>
      <c r="DU491" s="131"/>
      <c r="DV491" s="131"/>
      <c r="DW491" s="131"/>
      <c r="DX491" s="131"/>
      <c r="DY491" s="131"/>
      <c r="DZ491" s="131"/>
      <c r="EA491" s="131"/>
      <c r="EB491" s="131"/>
      <c r="EC491" s="131"/>
      <c r="ED491" s="131"/>
      <c r="EE491" s="131"/>
      <c r="EF491" s="131"/>
      <c r="EG491" s="131"/>
      <c r="EH491" s="131"/>
      <c r="EI491" s="131"/>
      <c r="EJ491" s="131"/>
      <c r="EK491" s="131"/>
      <c r="EL491" s="131"/>
      <c r="EM491" s="131"/>
      <c r="EN491" s="131"/>
      <c r="EO491" s="131"/>
      <c r="EP491" s="131"/>
      <c r="EQ491" s="131"/>
      <c r="ER491" s="131"/>
      <c r="ES491" s="131"/>
      <c r="ET491" s="131"/>
      <c r="EU491" s="131"/>
      <c r="EV491" s="131"/>
      <c r="EW491" s="131"/>
      <c r="EX491" s="131"/>
      <c r="EY491" s="131"/>
      <c r="EZ491" s="131"/>
      <c r="FA491" s="131"/>
      <c r="FB491" s="131"/>
      <c r="FC491" s="131"/>
      <c r="FD491" s="131"/>
      <c r="FE491" s="131"/>
      <c r="FF491" s="131"/>
      <c r="FG491" s="131"/>
      <c r="FH491" s="131"/>
      <c r="FI491" s="131"/>
      <c r="FJ491" s="131"/>
      <c r="FK491" s="131"/>
      <c r="FL491" s="131"/>
      <c r="FM491" s="131"/>
      <c r="FN491" s="131"/>
      <c r="FO491" s="131"/>
      <c r="FP491" s="131"/>
      <c r="FQ491" s="131"/>
      <c r="FR491" s="131"/>
      <c r="FS491" s="131"/>
      <c r="FT491" s="131"/>
      <c r="FU491" s="131"/>
      <c r="FV491" s="131"/>
      <c r="FW491" s="131"/>
      <c r="FX491" s="131"/>
      <c r="FY491" s="131"/>
      <c r="FZ491" s="131"/>
      <c r="GA491" s="131"/>
      <c r="GB491" s="131"/>
      <c r="GC491" s="131"/>
      <c r="GD491" s="131"/>
      <c r="GE491" s="131"/>
      <c r="GF491" s="131"/>
      <c r="GG491" s="131"/>
      <c r="GH491" s="131"/>
      <c r="GI491" s="131"/>
      <c r="GJ491" s="131"/>
      <c r="GK491" s="131"/>
      <c r="GL491" s="131"/>
      <c r="GM491" s="131"/>
      <c r="GN491" s="131"/>
      <c r="GO491" s="131"/>
      <c r="GP491" s="131"/>
      <c r="GQ491" s="131"/>
      <c r="GR491" s="131"/>
      <c r="GS491" s="131"/>
      <c r="GT491" s="131"/>
      <c r="GU491" s="131"/>
      <c r="GV491" s="131"/>
      <c r="GW491" s="131"/>
      <c r="GX491" s="131"/>
      <c r="GY491" s="131"/>
      <c r="GZ491" s="131"/>
      <c r="HA491" s="131"/>
      <c r="HB491" s="131"/>
      <c r="HC491" s="131"/>
      <c r="HD491" s="131"/>
      <c r="HE491" s="131"/>
      <c r="HF491" s="131"/>
      <c r="HG491" s="131"/>
      <c r="HH491" s="131"/>
      <c r="HI491" s="131"/>
      <c r="HJ491" s="131"/>
      <c r="HK491" s="131"/>
      <c r="HL491" s="131"/>
      <c r="HM491" s="131"/>
      <c r="HN491" s="131"/>
      <c r="HO491" s="131"/>
      <c r="HP491" s="131"/>
      <c r="HQ491" s="131"/>
      <c r="HR491" s="131"/>
      <c r="HS491" s="131"/>
      <c r="HT491" s="131"/>
      <c r="HU491" s="131"/>
      <c r="HV491" s="131"/>
      <c r="HW491" s="131"/>
      <c r="HX491" s="131"/>
      <c r="HY491" s="131"/>
      <c r="HZ491" s="131"/>
      <c r="IA491" s="131"/>
      <c r="IB491" s="131"/>
      <c r="IC491" s="131"/>
      <c r="ID491" s="131"/>
      <c r="IE491" s="131"/>
      <c r="IF491" s="131"/>
      <c r="IG491" s="131"/>
      <c r="IH491" s="131"/>
      <c r="II491" s="131"/>
      <c r="IJ491" s="131"/>
      <c r="IK491" s="131"/>
      <c r="IL491" s="131"/>
      <c r="IM491" s="131"/>
      <c r="IN491" s="131"/>
      <c r="IO491" s="131"/>
      <c r="IP491" s="131"/>
      <c r="IQ491" s="131"/>
      <c r="IR491" s="131"/>
      <c r="IS491" s="131"/>
      <c r="IT491" s="131"/>
      <c r="IU491" s="131"/>
      <c r="IV491" s="131"/>
    </row>
    <row r="492" spans="1:256" s="13" customFormat="1" ht="38.25" customHeight="1">
      <c r="A492" s="21" t="s">
        <v>1</v>
      </c>
      <c r="B492" s="246" t="s">
        <v>34</v>
      </c>
      <c r="C492" s="246" t="s">
        <v>25</v>
      </c>
      <c r="D492" s="246" t="s">
        <v>964</v>
      </c>
      <c r="E492" s="246" t="s">
        <v>138</v>
      </c>
      <c r="F492" s="21" t="s">
        <v>965</v>
      </c>
      <c r="G492" s="246" t="s">
        <v>193</v>
      </c>
      <c r="H492" s="21">
        <v>236220</v>
      </c>
      <c r="I492" s="21" t="s">
        <v>28</v>
      </c>
      <c r="J492" s="21" t="s">
        <v>109</v>
      </c>
      <c r="K492" s="21" t="s">
        <v>2625</v>
      </c>
      <c r="L492" s="21" t="s">
        <v>1974</v>
      </c>
      <c r="M492" s="22">
        <v>100000</v>
      </c>
      <c r="N492" s="22">
        <v>250000</v>
      </c>
      <c r="O492" s="21" t="s">
        <v>20</v>
      </c>
      <c r="P492" s="21" t="s">
        <v>2623</v>
      </c>
      <c r="Q492" s="21" t="s">
        <v>279</v>
      </c>
      <c r="R492" s="21" t="s">
        <v>278</v>
      </c>
      <c r="S492" s="74">
        <v>2013</v>
      </c>
      <c r="T492" s="21" t="s">
        <v>961</v>
      </c>
      <c r="U492" s="21" t="s">
        <v>962</v>
      </c>
      <c r="V492" s="21" t="s">
        <v>963</v>
      </c>
      <c r="W492" s="21" t="s">
        <v>66</v>
      </c>
      <c r="X492" s="246" t="s">
        <v>2626</v>
      </c>
      <c r="Y492" s="130"/>
      <c r="Z492" s="130"/>
      <c r="AA492" s="130"/>
      <c r="AB492" s="130"/>
      <c r="AC492" s="130"/>
      <c r="AD492" s="131"/>
      <c r="AE492" s="131"/>
      <c r="AF492" s="131"/>
      <c r="AG492" s="131"/>
      <c r="AH492" s="131"/>
      <c r="AI492" s="131"/>
      <c r="AJ492" s="131"/>
      <c r="AK492" s="131"/>
      <c r="AL492" s="131"/>
      <c r="AM492" s="131"/>
      <c r="AN492" s="131"/>
      <c r="AO492" s="131"/>
      <c r="AP492" s="131"/>
      <c r="AQ492" s="131"/>
      <c r="AR492" s="131"/>
      <c r="AS492" s="131"/>
      <c r="AT492" s="131"/>
      <c r="AU492" s="131"/>
      <c r="AV492" s="131"/>
      <c r="AW492" s="131"/>
      <c r="AX492" s="131"/>
      <c r="AY492" s="131"/>
      <c r="AZ492" s="131"/>
      <c r="BA492" s="131"/>
      <c r="BB492" s="131"/>
      <c r="BC492" s="131"/>
      <c r="BD492" s="131"/>
      <c r="BE492" s="131"/>
      <c r="BF492" s="131"/>
      <c r="BG492" s="131"/>
      <c r="BH492" s="131"/>
      <c r="BI492" s="131"/>
      <c r="BJ492" s="131"/>
      <c r="BK492" s="131"/>
      <c r="BL492" s="131"/>
      <c r="BM492" s="131"/>
      <c r="BN492" s="131"/>
      <c r="BO492" s="131"/>
      <c r="BP492" s="131"/>
      <c r="BQ492" s="131"/>
      <c r="BR492" s="131"/>
      <c r="BS492" s="131"/>
      <c r="BT492" s="131"/>
      <c r="BU492" s="131"/>
      <c r="BV492" s="131"/>
      <c r="BW492" s="131"/>
      <c r="BX492" s="131"/>
      <c r="BY492" s="131"/>
      <c r="BZ492" s="131"/>
      <c r="CA492" s="131"/>
      <c r="CB492" s="131"/>
      <c r="CC492" s="131"/>
      <c r="CD492" s="131"/>
      <c r="CE492" s="131"/>
      <c r="CF492" s="131"/>
      <c r="CG492" s="131"/>
      <c r="CH492" s="131"/>
      <c r="CI492" s="131"/>
      <c r="CJ492" s="131"/>
      <c r="CK492" s="131"/>
      <c r="CL492" s="131"/>
      <c r="CM492" s="131"/>
      <c r="CN492" s="131"/>
      <c r="CO492" s="131"/>
      <c r="CP492" s="131"/>
      <c r="CQ492" s="131"/>
      <c r="CR492" s="131"/>
      <c r="CS492" s="131"/>
      <c r="CT492" s="131"/>
      <c r="CU492" s="131"/>
      <c r="CV492" s="131"/>
      <c r="CW492" s="131"/>
      <c r="CX492" s="131"/>
      <c r="CY492" s="131"/>
      <c r="CZ492" s="131"/>
      <c r="DA492" s="131"/>
      <c r="DB492" s="131"/>
      <c r="DC492" s="131"/>
      <c r="DD492" s="131"/>
      <c r="DE492" s="131"/>
      <c r="DF492" s="131"/>
      <c r="DG492" s="131"/>
      <c r="DH492" s="131"/>
      <c r="DI492" s="131"/>
      <c r="DJ492" s="131"/>
      <c r="DK492" s="131"/>
      <c r="DL492" s="131"/>
      <c r="DM492" s="131"/>
      <c r="DN492" s="131"/>
      <c r="DO492" s="131"/>
      <c r="DP492" s="131"/>
      <c r="DQ492" s="131"/>
      <c r="DR492" s="131"/>
      <c r="DS492" s="131"/>
      <c r="DT492" s="131"/>
      <c r="DU492" s="131"/>
      <c r="DV492" s="131"/>
      <c r="DW492" s="131"/>
      <c r="DX492" s="131"/>
      <c r="DY492" s="131"/>
      <c r="DZ492" s="131"/>
      <c r="EA492" s="131"/>
      <c r="EB492" s="131"/>
      <c r="EC492" s="131"/>
      <c r="ED492" s="131"/>
      <c r="EE492" s="131"/>
      <c r="EF492" s="131"/>
      <c r="EG492" s="131"/>
      <c r="EH492" s="131"/>
      <c r="EI492" s="131"/>
      <c r="EJ492" s="131"/>
      <c r="EK492" s="131"/>
      <c r="EL492" s="131"/>
      <c r="EM492" s="131"/>
      <c r="EN492" s="131"/>
      <c r="EO492" s="131"/>
      <c r="EP492" s="131"/>
      <c r="EQ492" s="131"/>
      <c r="ER492" s="131"/>
      <c r="ES492" s="131"/>
      <c r="ET492" s="131"/>
      <c r="EU492" s="131"/>
      <c r="EV492" s="131"/>
      <c r="EW492" s="131"/>
      <c r="EX492" s="131"/>
      <c r="EY492" s="131"/>
      <c r="EZ492" s="131"/>
      <c r="FA492" s="131"/>
      <c r="FB492" s="131"/>
      <c r="FC492" s="131"/>
      <c r="FD492" s="131"/>
      <c r="FE492" s="131"/>
      <c r="FF492" s="131"/>
      <c r="FG492" s="131"/>
      <c r="FH492" s="131"/>
      <c r="FI492" s="131"/>
      <c r="FJ492" s="131"/>
      <c r="FK492" s="131"/>
      <c r="FL492" s="131"/>
      <c r="FM492" s="131"/>
      <c r="FN492" s="131"/>
      <c r="FO492" s="131"/>
      <c r="FP492" s="131"/>
      <c r="FQ492" s="131"/>
      <c r="FR492" s="131"/>
      <c r="FS492" s="131"/>
      <c r="FT492" s="131"/>
      <c r="FU492" s="131"/>
      <c r="FV492" s="131"/>
      <c r="FW492" s="131"/>
      <c r="FX492" s="131"/>
      <c r="FY492" s="131"/>
      <c r="FZ492" s="131"/>
      <c r="GA492" s="131"/>
      <c r="GB492" s="131"/>
      <c r="GC492" s="131"/>
      <c r="GD492" s="131"/>
      <c r="GE492" s="131"/>
      <c r="GF492" s="131"/>
      <c r="GG492" s="131"/>
      <c r="GH492" s="131"/>
      <c r="GI492" s="131"/>
      <c r="GJ492" s="131"/>
      <c r="GK492" s="131"/>
      <c r="GL492" s="131"/>
      <c r="GM492" s="131"/>
      <c r="GN492" s="131"/>
      <c r="GO492" s="131"/>
      <c r="GP492" s="131"/>
      <c r="GQ492" s="131"/>
      <c r="GR492" s="131"/>
      <c r="GS492" s="131"/>
      <c r="GT492" s="131"/>
      <c r="GU492" s="131"/>
      <c r="GV492" s="131"/>
      <c r="GW492" s="131"/>
      <c r="GX492" s="131"/>
      <c r="GY492" s="131"/>
      <c r="GZ492" s="131"/>
      <c r="HA492" s="131"/>
      <c r="HB492" s="131"/>
      <c r="HC492" s="131"/>
      <c r="HD492" s="131"/>
      <c r="HE492" s="131"/>
      <c r="HF492" s="131"/>
      <c r="HG492" s="131"/>
      <c r="HH492" s="131"/>
      <c r="HI492" s="131"/>
      <c r="HJ492" s="131"/>
      <c r="HK492" s="131"/>
      <c r="HL492" s="131"/>
      <c r="HM492" s="131"/>
      <c r="HN492" s="131"/>
      <c r="HO492" s="131"/>
      <c r="HP492" s="131"/>
      <c r="HQ492" s="131"/>
      <c r="HR492" s="131"/>
      <c r="HS492" s="131"/>
      <c r="HT492" s="131"/>
      <c r="HU492" s="131"/>
      <c r="HV492" s="131"/>
      <c r="HW492" s="131"/>
      <c r="HX492" s="131"/>
      <c r="HY492" s="131"/>
      <c r="HZ492" s="131"/>
      <c r="IA492" s="131"/>
      <c r="IB492" s="131"/>
      <c r="IC492" s="131"/>
      <c r="ID492" s="131"/>
      <c r="IE492" s="131"/>
      <c r="IF492" s="131"/>
      <c r="IG492" s="131"/>
      <c r="IH492" s="131"/>
      <c r="II492" s="131"/>
      <c r="IJ492" s="131"/>
      <c r="IK492" s="131"/>
      <c r="IL492" s="131"/>
      <c r="IM492" s="131"/>
      <c r="IN492" s="131"/>
      <c r="IO492" s="131"/>
      <c r="IP492" s="131"/>
      <c r="IQ492" s="131"/>
      <c r="IR492" s="131"/>
      <c r="IS492" s="131"/>
      <c r="IT492" s="131"/>
      <c r="IU492" s="131"/>
      <c r="IV492" s="131"/>
    </row>
    <row r="493" spans="1:256" s="13" customFormat="1" ht="38.25" customHeight="1">
      <c r="A493" s="21" t="s">
        <v>1</v>
      </c>
      <c r="B493" s="246" t="s">
        <v>34</v>
      </c>
      <c r="C493" s="246" t="s">
        <v>25</v>
      </c>
      <c r="D493" s="246" t="s">
        <v>966</v>
      </c>
      <c r="E493" s="246" t="s">
        <v>138</v>
      </c>
      <c r="F493" s="21" t="s">
        <v>960</v>
      </c>
      <c r="G493" s="246" t="s">
        <v>193</v>
      </c>
      <c r="H493" s="21">
        <v>236220</v>
      </c>
      <c r="I493" s="21" t="s">
        <v>28</v>
      </c>
      <c r="J493" s="21" t="s">
        <v>109</v>
      </c>
      <c r="K493" s="21" t="s">
        <v>345</v>
      </c>
      <c r="L493" s="21" t="s">
        <v>2627</v>
      </c>
      <c r="M493" s="22">
        <v>100000</v>
      </c>
      <c r="N493" s="22">
        <v>250000</v>
      </c>
      <c r="O493" s="21" t="s">
        <v>20</v>
      </c>
      <c r="P493" s="21" t="s">
        <v>2623</v>
      </c>
      <c r="Q493" s="21" t="s">
        <v>279</v>
      </c>
      <c r="R493" s="21" t="s">
        <v>278</v>
      </c>
      <c r="S493" s="74">
        <v>2013</v>
      </c>
      <c r="T493" s="21" t="s">
        <v>961</v>
      </c>
      <c r="U493" s="21" t="s">
        <v>962</v>
      </c>
      <c r="V493" s="21" t="s">
        <v>963</v>
      </c>
      <c r="W493" s="21" t="s">
        <v>66</v>
      </c>
      <c r="X493" s="246" t="s">
        <v>2626</v>
      </c>
      <c r="Y493" s="130"/>
      <c r="Z493" s="130"/>
      <c r="AA493" s="130"/>
      <c r="AB493" s="130"/>
      <c r="AC493" s="130"/>
      <c r="AD493" s="131"/>
      <c r="AE493" s="131"/>
      <c r="AF493" s="131"/>
      <c r="AG493" s="131"/>
      <c r="AH493" s="131"/>
      <c r="AI493" s="131"/>
      <c r="AJ493" s="131"/>
      <c r="AK493" s="131"/>
      <c r="AL493" s="131"/>
      <c r="AM493" s="131"/>
      <c r="AN493" s="131"/>
      <c r="AO493" s="131"/>
      <c r="AP493" s="131"/>
      <c r="AQ493" s="131"/>
      <c r="AR493" s="131"/>
      <c r="AS493" s="131"/>
      <c r="AT493" s="131"/>
      <c r="AU493" s="131"/>
      <c r="AV493" s="131"/>
      <c r="AW493" s="131"/>
      <c r="AX493" s="131"/>
      <c r="AY493" s="131"/>
      <c r="AZ493" s="131"/>
      <c r="BA493" s="131"/>
      <c r="BB493" s="131"/>
      <c r="BC493" s="131"/>
      <c r="BD493" s="131"/>
      <c r="BE493" s="131"/>
      <c r="BF493" s="131"/>
      <c r="BG493" s="131"/>
      <c r="BH493" s="131"/>
      <c r="BI493" s="131"/>
      <c r="BJ493" s="131"/>
      <c r="BK493" s="131"/>
      <c r="BL493" s="131"/>
      <c r="BM493" s="131"/>
      <c r="BN493" s="131"/>
      <c r="BO493" s="131"/>
      <c r="BP493" s="131"/>
      <c r="BQ493" s="131"/>
      <c r="BR493" s="131"/>
      <c r="BS493" s="131"/>
      <c r="BT493" s="131"/>
      <c r="BU493" s="131"/>
      <c r="BV493" s="131"/>
      <c r="BW493" s="131"/>
      <c r="BX493" s="131"/>
      <c r="BY493" s="131"/>
      <c r="BZ493" s="131"/>
      <c r="CA493" s="131"/>
      <c r="CB493" s="131"/>
      <c r="CC493" s="131"/>
      <c r="CD493" s="131"/>
      <c r="CE493" s="131"/>
      <c r="CF493" s="131"/>
      <c r="CG493" s="131"/>
      <c r="CH493" s="131"/>
      <c r="CI493" s="131"/>
      <c r="CJ493" s="131"/>
      <c r="CK493" s="131"/>
      <c r="CL493" s="131"/>
      <c r="CM493" s="131"/>
      <c r="CN493" s="131"/>
      <c r="CO493" s="131"/>
      <c r="CP493" s="131"/>
      <c r="CQ493" s="131"/>
      <c r="CR493" s="131"/>
      <c r="CS493" s="131"/>
      <c r="CT493" s="131"/>
      <c r="CU493" s="131"/>
      <c r="CV493" s="131"/>
      <c r="CW493" s="131"/>
      <c r="CX493" s="131"/>
      <c r="CY493" s="131"/>
      <c r="CZ493" s="131"/>
      <c r="DA493" s="131"/>
      <c r="DB493" s="131"/>
      <c r="DC493" s="131"/>
      <c r="DD493" s="131"/>
      <c r="DE493" s="131"/>
      <c r="DF493" s="131"/>
      <c r="DG493" s="131"/>
      <c r="DH493" s="131"/>
      <c r="DI493" s="131"/>
      <c r="DJ493" s="131"/>
      <c r="DK493" s="131"/>
      <c r="DL493" s="131"/>
      <c r="DM493" s="131"/>
      <c r="DN493" s="131"/>
      <c r="DO493" s="131"/>
      <c r="DP493" s="131"/>
      <c r="DQ493" s="131"/>
      <c r="DR493" s="131"/>
      <c r="DS493" s="131"/>
      <c r="DT493" s="131"/>
      <c r="DU493" s="131"/>
      <c r="DV493" s="131"/>
      <c r="DW493" s="131"/>
      <c r="DX493" s="131"/>
      <c r="DY493" s="131"/>
      <c r="DZ493" s="131"/>
      <c r="EA493" s="131"/>
      <c r="EB493" s="131"/>
      <c r="EC493" s="131"/>
      <c r="ED493" s="131"/>
      <c r="EE493" s="131"/>
      <c r="EF493" s="131"/>
      <c r="EG493" s="131"/>
      <c r="EH493" s="131"/>
      <c r="EI493" s="131"/>
      <c r="EJ493" s="131"/>
      <c r="EK493" s="131"/>
      <c r="EL493" s="131"/>
      <c r="EM493" s="131"/>
      <c r="EN493" s="131"/>
      <c r="EO493" s="131"/>
      <c r="EP493" s="131"/>
      <c r="EQ493" s="131"/>
      <c r="ER493" s="131"/>
      <c r="ES493" s="131"/>
      <c r="ET493" s="131"/>
      <c r="EU493" s="131"/>
      <c r="EV493" s="131"/>
      <c r="EW493" s="131"/>
      <c r="EX493" s="131"/>
      <c r="EY493" s="131"/>
      <c r="EZ493" s="131"/>
      <c r="FA493" s="131"/>
      <c r="FB493" s="131"/>
      <c r="FC493" s="131"/>
      <c r="FD493" s="131"/>
      <c r="FE493" s="131"/>
      <c r="FF493" s="131"/>
      <c r="FG493" s="131"/>
      <c r="FH493" s="131"/>
      <c r="FI493" s="131"/>
      <c r="FJ493" s="131"/>
      <c r="FK493" s="131"/>
      <c r="FL493" s="131"/>
      <c r="FM493" s="131"/>
      <c r="FN493" s="131"/>
      <c r="FO493" s="131"/>
      <c r="FP493" s="131"/>
      <c r="FQ493" s="131"/>
      <c r="FR493" s="131"/>
      <c r="FS493" s="131"/>
      <c r="FT493" s="131"/>
      <c r="FU493" s="131"/>
      <c r="FV493" s="131"/>
      <c r="FW493" s="131"/>
      <c r="FX493" s="131"/>
      <c r="FY493" s="131"/>
      <c r="FZ493" s="131"/>
      <c r="GA493" s="131"/>
      <c r="GB493" s="131"/>
      <c r="GC493" s="131"/>
      <c r="GD493" s="131"/>
      <c r="GE493" s="131"/>
      <c r="GF493" s="131"/>
      <c r="GG493" s="131"/>
      <c r="GH493" s="131"/>
      <c r="GI493" s="131"/>
      <c r="GJ493" s="131"/>
      <c r="GK493" s="131"/>
      <c r="GL493" s="131"/>
      <c r="GM493" s="131"/>
      <c r="GN493" s="131"/>
      <c r="GO493" s="131"/>
      <c r="GP493" s="131"/>
      <c r="GQ493" s="131"/>
      <c r="GR493" s="131"/>
      <c r="GS493" s="131"/>
      <c r="GT493" s="131"/>
      <c r="GU493" s="131"/>
      <c r="GV493" s="131"/>
      <c r="GW493" s="131"/>
      <c r="GX493" s="131"/>
      <c r="GY493" s="131"/>
      <c r="GZ493" s="131"/>
      <c r="HA493" s="131"/>
      <c r="HB493" s="131"/>
      <c r="HC493" s="131"/>
      <c r="HD493" s="131"/>
      <c r="HE493" s="131"/>
      <c r="HF493" s="131"/>
      <c r="HG493" s="131"/>
      <c r="HH493" s="131"/>
      <c r="HI493" s="131"/>
      <c r="HJ493" s="131"/>
      <c r="HK493" s="131"/>
      <c r="HL493" s="131"/>
      <c r="HM493" s="131"/>
      <c r="HN493" s="131"/>
      <c r="HO493" s="131"/>
      <c r="HP493" s="131"/>
      <c r="HQ493" s="131"/>
      <c r="HR493" s="131"/>
      <c r="HS493" s="131"/>
      <c r="HT493" s="131"/>
      <c r="HU493" s="131"/>
      <c r="HV493" s="131"/>
      <c r="HW493" s="131"/>
      <c r="HX493" s="131"/>
      <c r="HY493" s="131"/>
      <c r="HZ493" s="131"/>
      <c r="IA493" s="131"/>
      <c r="IB493" s="131"/>
      <c r="IC493" s="131"/>
      <c r="ID493" s="131"/>
      <c r="IE493" s="131"/>
      <c r="IF493" s="131"/>
      <c r="IG493" s="131"/>
      <c r="IH493" s="131"/>
      <c r="II493" s="131"/>
      <c r="IJ493" s="131"/>
      <c r="IK493" s="131"/>
      <c r="IL493" s="131"/>
      <c r="IM493" s="131"/>
      <c r="IN493" s="131"/>
      <c r="IO493" s="131"/>
      <c r="IP493" s="131"/>
      <c r="IQ493" s="131"/>
      <c r="IR493" s="131"/>
      <c r="IS493" s="131"/>
      <c r="IT493" s="131"/>
      <c r="IU493" s="131"/>
      <c r="IV493" s="131"/>
    </row>
    <row r="494" spans="1:256" s="13" customFormat="1" ht="38.25" customHeight="1">
      <c r="A494" s="21" t="s">
        <v>1</v>
      </c>
      <c r="B494" s="246" t="s">
        <v>34</v>
      </c>
      <c r="C494" s="246" t="s">
        <v>25</v>
      </c>
      <c r="D494" s="246" t="s">
        <v>1900</v>
      </c>
      <c r="E494" s="246" t="s">
        <v>138</v>
      </c>
      <c r="F494" s="21" t="s">
        <v>960</v>
      </c>
      <c r="G494" s="246" t="s">
        <v>193</v>
      </c>
      <c r="H494" s="21">
        <v>236220</v>
      </c>
      <c r="I494" s="21" t="s">
        <v>28</v>
      </c>
      <c r="J494" s="21" t="s">
        <v>109</v>
      </c>
      <c r="K494" s="21" t="s">
        <v>2628</v>
      </c>
      <c r="L494" s="21" t="s">
        <v>2627</v>
      </c>
      <c r="M494" s="22">
        <v>1000000</v>
      </c>
      <c r="N494" s="22">
        <v>5000000</v>
      </c>
      <c r="O494" s="21" t="s">
        <v>20</v>
      </c>
      <c r="P494" s="21" t="s">
        <v>2623</v>
      </c>
      <c r="Q494" s="21" t="s">
        <v>279</v>
      </c>
      <c r="R494" s="21" t="s">
        <v>278</v>
      </c>
      <c r="S494" s="74">
        <v>2013</v>
      </c>
      <c r="T494" s="21" t="s">
        <v>961</v>
      </c>
      <c r="U494" s="21" t="s">
        <v>962</v>
      </c>
      <c r="V494" s="21" t="s">
        <v>963</v>
      </c>
      <c r="W494" s="21" t="s">
        <v>66</v>
      </c>
      <c r="X494" s="246" t="s">
        <v>2626</v>
      </c>
      <c r="Y494" s="130"/>
      <c r="Z494" s="130"/>
      <c r="AA494" s="130"/>
      <c r="AB494" s="130"/>
      <c r="AC494" s="130"/>
      <c r="AD494" s="131"/>
      <c r="AE494" s="131"/>
      <c r="AF494" s="131"/>
      <c r="AG494" s="131"/>
      <c r="AH494" s="131"/>
      <c r="AI494" s="131"/>
      <c r="AJ494" s="131"/>
      <c r="AK494" s="131"/>
      <c r="AL494" s="131"/>
      <c r="AM494" s="131"/>
      <c r="AN494" s="131"/>
      <c r="AO494" s="131"/>
      <c r="AP494" s="131"/>
      <c r="AQ494" s="131"/>
      <c r="AR494" s="131"/>
      <c r="AS494" s="131"/>
      <c r="AT494" s="131"/>
      <c r="AU494" s="131"/>
      <c r="AV494" s="131"/>
      <c r="AW494" s="131"/>
      <c r="AX494" s="131"/>
      <c r="AY494" s="131"/>
      <c r="AZ494" s="131"/>
      <c r="BA494" s="131"/>
      <c r="BB494" s="131"/>
      <c r="BC494" s="131"/>
      <c r="BD494" s="131"/>
      <c r="BE494" s="131"/>
      <c r="BF494" s="131"/>
      <c r="BG494" s="131"/>
      <c r="BH494" s="131"/>
      <c r="BI494" s="131"/>
      <c r="BJ494" s="131"/>
      <c r="BK494" s="131"/>
      <c r="BL494" s="131"/>
      <c r="BM494" s="131"/>
      <c r="BN494" s="131"/>
      <c r="BO494" s="131"/>
      <c r="BP494" s="131"/>
      <c r="BQ494" s="131"/>
      <c r="BR494" s="131"/>
      <c r="BS494" s="131"/>
      <c r="BT494" s="131"/>
      <c r="BU494" s="131"/>
      <c r="BV494" s="131"/>
      <c r="BW494" s="131"/>
      <c r="BX494" s="131"/>
      <c r="BY494" s="131"/>
      <c r="BZ494" s="131"/>
      <c r="CA494" s="131"/>
      <c r="CB494" s="131"/>
      <c r="CC494" s="131"/>
      <c r="CD494" s="131"/>
      <c r="CE494" s="131"/>
      <c r="CF494" s="131"/>
      <c r="CG494" s="131"/>
      <c r="CH494" s="131"/>
      <c r="CI494" s="131"/>
      <c r="CJ494" s="131"/>
      <c r="CK494" s="131"/>
      <c r="CL494" s="131"/>
      <c r="CM494" s="131"/>
      <c r="CN494" s="131"/>
      <c r="CO494" s="131"/>
      <c r="CP494" s="131"/>
      <c r="CQ494" s="131"/>
      <c r="CR494" s="131"/>
      <c r="CS494" s="131"/>
      <c r="CT494" s="131"/>
      <c r="CU494" s="131"/>
      <c r="CV494" s="131"/>
      <c r="CW494" s="131"/>
      <c r="CX494" s="131"/>
      <c r="CY494" s="131"/>
      <c r="CZ494" s="131"/>
      <c r="DA494" s="131"/>
      <c r="DB494" s="131"/>
      <c r="DC494" s="131"/>
      <c r="DD494" s="131"/>
      <c r="DE494" s="131"/>
      <c r="DF494" s="131"/>
      <c r="DG494" s="131"/>
      <c r="DH494" s="131"/>
      <c r="DI494" s="131"/>
      <c r="DJ494" s="131"/>
      <c r="DK494" s="131"/>
      <c r="DL494" s="131"/>
      <c r="DM494" s="131"/>
      <c r="DN494" s="131"/>
      <c r="DO494" s="131"/>
      <c r="DP494" s="131"/>
      <c r="DQ494" s="131"/>
      <c r="DR494" s="131"/>
      <c r="DS494" s="131"/>
      <c r="DT494" s="131"/>
      <c r="DU494" s="131"/>
      <c r="DV494" s="131"/>
      <c r="DW494" s="131"/>
      <c r="DX494" s="131"/>
      <c r="DY494" s="131"/>
      <c r="DZ494" s="131"/>
      <c r="EA494" s="131"/>
      <c r="EB494" s="131"/>
      <c r="EC494" s="131"/>
      <c r="ED494" s="131"/>
      <c r="EE494" s="131"/>
      <c r="EF494" s="131"/>
      <c r="EG494" s="131"/>
      <c r="EH494" s="131"/>
      <c r="EI494" s="131"/>
      <c r="EJ494" s="131"/>
      <c r="EK494" s="131"/>
      <c r="EL494" s="131"/>
      <c r="EM494" s="131"/>
      <c r="EN494" s="131"/>
      <c r="EO494" s="131"/>
      <c r="EP494" s="131"/>
      <c r="EQ494" s="131"/>
      <c r="ER494" s="131"/>
      <c r="ES494" s="131"/>
      <c r="ET494" s="131"/>
      <c r="EU494" s="131"/>
      <c r="EV494" s="131"/>
      <c r="EW494" s="131"/>
      <c r="EX494" s="131"/>
      <c r="EY494" s="131"/>
      <c r="EZ494" s="131"/>
      <c r="FA494" s="131"/>
      <c r="FB494" s="131"/>
      <c r="FC494" s="131"/>
      <c r="FD494" s="131"/>
      <c r="FE494" s="131"/>
      <c r="FF494" s="131"/>
      <c r="FG494" s="131"/>
      <c r="FH494" s="131"/>
      <c r="FI494" s="131"/>
      <c r="FJ494" s="131"/>
      <c r="FK494" s="131"/>
      <c r="FL494" s="131"/>
      <c r="FM494" s="131"/>
      <c r="FN494" s="131"/>
      <c r="FO494" s="131"/>
      <c r="FP494" s="131"/>
      <c r="FQ494" s="131"/>
      <c r="FR494" s="131"/>
      <c r="FS494" s="131"/>
      <c r="FT494" s="131"/>
      <c r="FU494" s="131"/>
      <c r="FV494" s="131"/>
      <c r="FW494" s="131"/>
      <c r="FX494" s="131"/>
      <c r="FY494" s="131"/>
      <c r="FZ494" s="131"/>
      <c r="GA494" s="131"/>
      <c r="GB494" s="131"/>
      <c r="GC494" s="131"/>
      <c r="GD494" s="131"/>
      <c r="GE494" s="131"/>
      <c r="GF494" s="131"/>
      <c r="GG494" s="131"/>
      <c r="GH494" s="131"/>
      <c r="GI494" s="131"/>
      <c r="GJ494" s="131"/>
      <c r="GK494" s="131"/>
      <c r="GL494" s="131"/>
      <c r="GM494" s="131"/>
      <c r="GN494" s="131"/>
      <c r="GO494" s="131"/>
      <c r="GP494" s="131"/>
      <c r="GQ494" s="131"/>
      <c r="GR494" s="131"/>
      <c r="GS494" s="131"/>
      <c r="GT494" s="131"/>
      <c r="GU494" s="131"/>
      <c r="GV494" s="131"/>
      <c r="GW494" s="131"/>
      <c r="GX494" s="131"/>
      <c r="GY494" s="131"/>
      <c r="GZ494" s="131"/>
      <c r="HA494" s="131"/>
      <c r="HB494" s="131"/>
      <c r="HC494" s="131"/>
      <c r="HD494" s="131"/>
      <c r="HE494" s="131"/>
      <c r="HF494" s="131"/>
      <c r="HG494" s="131"/>
      <c r="HH494" s="131"/>
      <c r="HI494" s="131"/>
      <c r="HJ494" s="131"/>
      <c r="HK494" s="131"/>
      <c r="HL494" s="131"/>
      <c r="HM494" s="131"/>
      <c r="HN494" s="131"/>
      <c r="HO494" s="131"/>
      <c r="HP494" s="131"/>
      <c r="HQ494" s="131"/>
      <c r="HR494" s="131"/>
      <c r="HS494" s="131"/>
      <c r="HT494" s="131"/>
      <c r="HU494" s="131"/>
      <c r="HV494" s="131"/>
      <c r="HW494" s="131"/>
      <c r="HX494" s="131"/>
      <c r="HY494" s="131"/>
      <c r="HZ494" s="131"/>
      <c r="IA494" s="131"/>
      <c r="IB494" s="131"/>
      <c r="IC494" s="131"/>
      <c r="ID494" s="131"/>
      <c r="IE494" s="131"/>
      <c r="IF494" s="131"/>
      <c r="IG494" s="131"/>
      <c r="IH494" s="131"/>
      <c r="II494" s="131"/>
      <c r="IJ494" s="131"/>
      <c r="IK494" s="131"/>
      <c r="IL494" s="131"/>
      <c r="IM494" s="131"/>
      <c r="IN494" s="131"/>
      <c r="IO494" s="131"/>
      <c r="IP494" s="131"/>
      <c r="IQ494" s="131"/>
      <c r="IR494" s="131"/>
      <c r="IS494" s="131"/>
      <c r="IT494" s="131"/>
      <c r="IU494" s="131"/>
      <c r="IV494" s="131"/>
    </row>
    <row r="495" spans="1:256" s="13" customFormat="1" ht="38.25" customHeight="1">
      <c r="A495" s="21" t="s">
        <v>1</v>
      </c>
      <c r="B495" s="246" t="s">
        <v>34</v>
      </c>
      <c r="C495" s="246" t="s">
        <v>25</v>
      </c>
      <c r="D495" s="246" t="s">
        <v>967</v>
      </c>
      <c r="E495" s="246" t="s">
        <v>138</v>
      </c>
      <c r="F495" s="21" t="s">
        <v>960</v>
      </c>
      <c r="G495" s="246" t="s">
        <v>193</v>
      </c>
      <c r="H495" s="21">
        <v>236220</v>
      </c>
      <c r="I495" s="21" t="s">
        <v>28</v>
      </c>
      <c r="J495" s="21" t="s">
        <v>109</v>
      </c>
      <c r="K495" s="21" t="s">
        <v>1091</v>
      </c>
      <c r="L495" s="21" t="s">
        <v>2629</v>
      </c>
      <c r="M495" s="22">
        <v>100000</v>
      </c>
      <c r="N495" s="22">
        <v>250000</v>
      </c>
      <c r="O495" s="21" t="s">
        <v>20</v>
      </c>
      <c r="P495" s="21" t="s">
        <v>1301</v>
      </c>
      <c r="Q495" s="21" t="s">
        <v>279</v>
      </c>
      <c r="R495" s="21" t="s">
        <v>278</v>
      </c>
      <c r="S495" s="74">
        <v>2013</v>
      </c>
      <c r="T495" s="21" t="s">
        <v>961</v>
      </c>
      <c r="U495" s="21" t="s">
        <v>962</v>
      </c>
      <c r="V495" s="21" t="s">
        <v>963</v>
      </c>
      <c r="W495" s="21" t="s">
        <v>66</v>
      </c>
      <c r="X495" s="246" t="s">
        <v>2630</v>
      </c>
      <c r="Y495" s="130"/>
      <c r="Z495" s="130"/>
      <c r="AA495" s="130"/>
      <c r="AB495" s="130"/>
      <c r="AC495" s="130"/>
      <c r="AD495" s="131"/>
      <c r="AE495" s="131"/>
      <c r="AF495" s="131"/>
      <c r="AG495" s="131"/>
      <c r="AH495" s="131"/>
      <c r="AI495" s="131"/>
      <c r="AJ495" s="131"/>
      <c r="AK495" s="131"/>
      <c r="AL495" s="131"/>
      <c r="AM495" s="131"/>
      <c r="AN495" s="131"/>
      <c r="AO495" s="131"/>
      <c r="AP495" s="131"/>
      <c r="AQ495" s="131"/>
      <c r="AR495" s="131"/>
      <c r="AS495" s="131"/>
      <c r="AT495" s="131"/>
      <c r="AU495" s="131"/>
      <c r="AV495" s="131"/>
      <c r="AW495" s="131"/>
      <c r="AX495" s="131"/>
      <c r="AY495" s="131"/>
      <c r="AZ495" s="131"/>
      <c r="BA495" s="131"/>
      <c r="BB495" s="131"/>
      <c r="BC495" s="131"/>
      <c r="BD495" s="131"/>
      <c r="BE495" s="131"/>
      <c r="BF495" s="131"/>
      <c r="BG495" s="131"/>
      <c r="BH495" s="131"/>
      <c r="BI495" s="131"/>
      <c r="BJ495" s="131"/>
      <c r="BK495" s="131"/>
      <c r="BL495" s="131"/>
      <c r="BM495" s="131"/>
      <c r="BN495" s="131"/>
      <c r="BO495" s="131"/>
      <c r="BP495" s="131"/>
      <c r="BQ495" s="131"/>
      <c r="BR495" s="131"/>
      <c r="BS495" s="131"/>
      <c r="BT495" s="131"/>
      <c r="BU495" s="131"/>
      <c r="BV495" s="131"/>
      <c r="BW495" s="131"/>
      <c r="BX495" s="131"/>
      <c r="BY495" s="131"/>
      <c r="BZ495" s="131"/>
      <c r="CA495" s="131"/>
      <c r="CB495" s="131"/>
      <c r="CC495" s="131"/>
      <c r="CD495" s="131"/>
      <c r="CE495" s="131"/>
      <c r="CF495" s="131"/>
      <c r="CG495" s="131"/>
      <c r="CH495" s="131"/>
      <c r="CI495" s="131"/>
      <c r="CJ495" s="131"/>
      <c r="CK495" s="131"/>
      <c r="CL495" s="131"/>
      <c r="CM495" s="131"/>
      <c r="CN495" s="131"/>
      <c r="CO495" s="131"/>
      <c r="CP495" s="131"/>
      <c r="CQ495" s="131"/>
      <c r="CR495" s="131"/>
      <c r="CS495" s="131"/>
      <c r="CT495" s="131"/>
      <c r="CU495" s="131"/>
      <c r="CV495" s="131"/>
      <c r="CW495" s="131"/>
      <c r="CX495" s="131"/>
      <c r="CY495" s="131"/>
      <c r="CZ495" s="131"/>
      <c r="DA495" s="131"/>
      <c r="DB495" s="131"/>
      <c r="DC495" s="131"/>
      <c r="DD495" s="131"/>
      <c r="DE495" s="131"/>
      <c r="DF495" s="131"/>
      <c r="DG495" s="131"/>
      <c r="DH495" s="131"/>
      <c r="DI495" s="131"/>
      <c r="DJ495" s="131"/>
      <c r="DK495" s="131"/>
      <c r="DL495" s="131"/>
      <c r="DM495" s="131"/>
      <c r="DN495" s="131"/>
      <c r="DO495" s="131"/>
      <c r="DP495" s="131"/>
      <c r="DQ495" s="131"/>
      <c r="DR495" s="131"/>
      <c r="DS495" s="131"/>
      <c r="DT495" s="131"/>
      <c r="DU495" s="131"/>
      <c r="DV495" s="131"/>
      <c r="DW495" s="131"/>
      <c r="DX495" s="131"/>
      <c r="DY495" s="131"/>
      <c r="DZ495" s="131"/>
      <c r="EA495" s="131"/>
      <c r="EB495" s="131"/>
      <c r="EC495" s="131"/>
      <c r="ED495" s="131"/>
      <c r="EE495" s="131"/>
      <c r="EF495" s="131"/>
      <c r="EG495" s="131"/>
      <c r="EH495" s="131"/>
      <c r="EI495" s="131"/>
      <c r="EJ495" s="131"/>
      <c r="EK495" s="131"/>
      <c r="EL495" s="131"/>
      <c r="EM495" s="131"/>
      <c r="EN495" s="131"/>
      <c r="EO495" s="131"/>
      <c r="EP495" s="131"/>
      <c r="EQ495" s="131"/>
      <c r="ER495" s="131"/>
      <c r="ES495" s="131"/>
      <c r="ET495" s="131"/>
      <c r="EU495" s="131"/>
      <c r="EV495" s="131"/>
      <c r="EW495" s="131"/>
      <c r="EX495" s="131"/>
      <c r="EY495" s="131"/>
      <c r="EZ495" s="131"/>
      <c r="FA495" s="131"/>
      <c r="FB495" s="131"/>
      <c r="FC495" s="131"/>
      <c r="FD495" s="131"/>
      <c r="FE495" s="131"/>
      <c r="FF495" s="131"/>
      <c r="FG495" s="131"/>
      <c r="FH495" s="131"/>
      <c r="FI495" s="131"/>
      <c r="FJ495" s="131"/>
      <c r="FK495" s="131"/>
      <c r="FL495" s="131"/>
      <c r="FM495" s="131"/>
      <c r="FN495" s="131"/>
      <c r="FO495" s="131"/>
      <c r="FP495" s="131"/>
      <c r="FQ495" s="131"/>
      <c r="FR495" s="131"/>
      <c r="FS495" s="131"/>
      <c r="FT495" s="131"/>
      <c r="FU495" s="131"/>
      <c r="FV495" s="131"/>
      <c r="FW495" s="131"/>
      <c r="FX495" s="131"/>
      <c r="FY495" s="131"/>
      <c r="FZ495" s="131"/>
      <c r="GA495" s="131"/>
      <c r="GB495" s="131"/>
      <c r="GC495" s="131"/>
      <c r="GD495" s="131"/>
      <c r="GE495" s="131"/>
      <c r="GF495" s="131"/>
      <c r="GG495" s="131"/>
      <c r="GH495" s="131"/>
      <c r="GI495" s="131"/>
      <c r="GJ495" s="131"/>
      <c r="GK495" s="131"/>
      <c r="GL495" s="131"/>
      <c r="GM495" s="131"/>
      <c r="GN495" s="131"/>
      <c r="GO495" s="131"/>
      <c r="GP495" s="131"/>
      <c r="GQ495" s="131"/>
      <c r="GR495" s="131"/>
      <c r="GS495" s="131"/>
      <c r="GT495" s="131"/>
      <c r="GU495" s="131"/>
      <c r="GV495" s="131"/>
      <c r="GW495" s="131"/>
      <c r="GX495" s="131"/>
      <c r="GY495" s="131"/>
      <c r="GZ495" s="131"/>
      <c r="HA495" s="131"/>
      <c r="HB495" s="131"/>
      <c r="HC495" s="131"/>
      <c r="HD495" s="131"/>
      <c r="HE495" s="131"/>
      <c r="HF495" s="131"/>
      <c r="HG495" s="131"/>
      <c r="HH495" s="131"/>
      <c r="HI495" s="131"/>
      <c r="HJ495" s="131"/>
      <c r="HK495" s="131"/>
      <c r="HL495" s="131"/>
      <c r="HM495" s="131"/>
      <c r="HN495" s="131"/>
      <c r="HO495" s="131"/>
      <c r="HP495" s="131"/>
      <c r="HQ495" s="131"/>
      <c r="HR495" s="131"/>
      <c r="HS495" s="131"/>
      <c r="HT495" s="131"/>
      <c r="HU495" s="131"/>
      <c r="HV495" s="131"/>
      <c r="HW495" s="131"/>
      <c r="HX495" s="131"/>
      <c r="HY495" s="131"/>
      <c r="HZ495" s="131"/>
      <c r="IA495" s="131"/>
      <c r="IB495" s="131"/>
      <c r="IC495" s="131"/>
      <c r="ID495" s="131"/>
      <c r="IE495" s="131"/>
      <c r="IF495" s="131"/>
      <c r="IG495" s="131"/>
      <c r="IH495" s="131"/>
      <c r="II495" s="131"/>
      <c r="IJ495" s="131"/>
      <c r="IK495" s="131"/>
      <c r="IL495" s="131"/>
      <c r="IM495" s="131"/>
      <c r="IN495" s="131"/>
      <c r="IO495" s="131"/>
      <c r="IP495" s="131"/>
      <c r="IQ495" s="131"/>
      <c r="IR495" s="131"/>
      <c r="IS495" s="131"/>
      <c r="IT495" s="131"/>
      <c r="IU495" s="131"/>
      <c r="IV495" s="131"/>
    </row>
    <row r="496" spans="1:256" s="13" customFormat="1" ht="38.25" customHeight="1">
      <c r="A496" s="21" t="s">
        <v>1</v>
      </c>
      <c r="B496" s="246" t="s">
        <v>34</v>
      </c>
      <c r="C496" s="246" t="s">
        <v>25</v>
      </c>
      <c r="D496" s="246" t="s">
        <v>968</v>
      </c>
      <c r="E496" s="246" t="s">
        <v>138</v>
      </c>
      <c r="F496" s="21" t="s">
        <v>960</v>
      </c>
      <c r="G496" s="246" t="s">
        <v>193</v>
      </c>
      <c r="H496" s="21">
        <v>236220</v>
      </c>
      <c r="I496" s="21" t="s">
        <v>28</v>
      </c>
      <c r="J496" s="21" t="s">
        <v>109</v>
      </c>
      <c r="K496" s="21" t="s">
        <v>40</v>
      </c>
      <c r="L496" s="21" t="s">
        <v>2629</v>
      </c>
      <c r="M496" s="22">
        <v>25000</v>
      </c>
      <c r="N496" s="22">
        <v>100000</v>
      </c>
      <c r="O496" s="21" t="s">
        <v>20</v>
      </c>
      <c r="P496" s="21" t="s">
        <v>1301</v>
      </c>
      <c r="Q496" s="21" t="s">
        <v>279</v>
      </c>
      <c r="R496" s="21" t="s">
        <v>278</v>
      </c>
      <c r="S496" s="74">
        <v>2013</v>
      </c>
      <c r="T496" s="21" t="s">
        <v>961</v>
      </c>
      <c r="U496" s="21" t="s">
        <v>962</v>
      </c>
      <c r="V496" s="21" t="s">
        <v>963</v>
      </c>
      <c r="W496" s="21" t="s">
        <v>66</v>
      </c>
      <c r="X496" s="246" t="s">
        <v>2630</v>
      </c>
      <c r="Y496" s="130"/>
      <c r="Z496" s="130"/>
      <c r="AA496" s="130"/>
      <c r="AB496" s="130"/>
      <c r="AC496" s="130"/>
      <c r="AD496" s="131"/>
      <c r="AE496" s="131"/>
      <c r="AF496" s="131"/>
      <c r="AG496" s="131"/>
      <c r="AH496" s="131"/>
      <c r="AI496" s="131"/>
      <c r="AJ496" s="131"/>
      <c r="AK496" s="131"/>
      <c r="AL496" s="131"/>
      <c r="AM496" s="131"/>
      <c r="AN496" s="131"/>
      <c r="AO496" s="131"/>
      <c r="AP496" s="131"/>
      <c r="AQ496" s="131"/>
      <c r="AR496" s="131"/>
      <c r="AS496" s="131"/>
      <c r="AT496" s="131"/>
      <c r="AU496" s="131"/>
      <c r="AV496" s="131"/>
      <c r="AW496" s="131"/>
      <c r="AX496" s="131"/>
      <c r="AY496" s="131"/>
      <c r="AZ496" s="131"/>
      <c r="BA496" s="131"/>
      <c r="BB496" s="131"/>
      <c r="BC496" s="131"/>
      <c r="BD496" s="131"/>
      <c r="BE496" s="131"/>
      <c r="BF496" s="131"/>
      <c r="BG496" s="131"/>
      <c r="BH496" s="131"/>
      <c r="BI496" s="131"/>
      <c r="BJ496" s="131"/>
      <c r="BK496" s="131"/>
      <c r="BL496" s="131"/>
      <c r="BM496" s="131"/>
      <c r="BN496" s="131"/>
      <c r="BO496" s="131"/>
      <c r="BP496" s="131"/>
      <c r="BQ496" s="131"/>
      <c r="BR496" s="131"/>
      <c r="BS496" s="131"/>
      <c r="BT496" s="131"/>
      <c r="BU496" s="131"/>
      <c r="BV496" s="131"/>
      <c r="BW496" s="131"/>
      <c r="BX496" s="131"/>
      <c r="BY496" s="131"/>
      <c r="BZ496" s="131"/>
      <c r="CA496" s="131"/>
      <c r="CB496" s="131"/>
      <c r="CC496" s="131"/>
      <c r="CD496" s="131"/>
      <c r="CE496" s="131"/>
      <c r="CF496" s="131"/>
      <c r="CG496" s="131"/>
      <c r="CH496" s="131"/>
      <c r="CI496" s="131"/>
      <c r="CJ496" s="131"/>
      <c r="CK496" s="131"/>
      <c r="CL496" s="131"/>
      <c r="CM496" s="131"/>
      <c r="CN496" s="131"/>
      <c r="CO496" s="131"/>
      <c r="CP496" s="131"/>
      <c r="CQ496" s="131"/>
      <c r="CR496" s="131"/>
      <c r="CS496" s="131"/>
      <c r="CT496" s="131"/>
      <c r="CU496" s="131"/>
      <c r="CV496" s="131"/>
      <c r="CW496" s="131"/>
      <c r="CX496" s="131"/>
      <c r="CY496" s="131"/>
      <c r="CZ496" s="131"/>
      <c r="DA496" s="131"/>
      <c r="DB496" s="131"/>
      <c r="DC496" s="131"/>
      <c r="DD496" s="131"/>
      <c r="DE496" s="131"/>
      <c r="DF496" s="131"/>
      <c r="DG496" s="131"/>
      <c r="DH496" s="131"/>
      <c r="DI496" s="131"/>
      <c r="DJ496" s="131"/>
      <c r="DK496" s="131"/>
      <c r="DL496" s="131"/>
      <c r="DM496" s="131"/>
      <c r="DN496" s="131"/>
      <c r="DO496" s="131"/>
      <c r="DP496" s="131"/>
      <c r="DQ496" s="131"/>
      <c r="DR496" s="131"/>
      <c r="DS496" s="131"/>
      <c r="DT496" s="131"/>
      <c r="DU496" s="131"/>
      <c r="DV496" s="131"/>
      <c r="DW496" s="131"/>
      <c r="DX496" s="131"/>
      <c r="DY496" s="131"/>
      <c r="DZ496" s="131"/>
      <c r="EA496" s="131"/>
      <c r="EB496" s="131"/>
      <c r="EC496" s="131"/>
      <c r="ED496" s="131"/>
      <c r="EE496" s="131"/>
      <c r="EF496" s="131"/>
      <c r="EG496" s="131"/>
      <c r="EH496" s="131"/>
      <c r="EI496" s="131"/>
      <c r="EJ496" s="131"/>
      <c r="EK496" s="131"/>
      <c r="EL496" s="131"/>
      <c r="EM496" s="131"/>
      <c r="EN496" s="131"/>
      <c r="EO496" s="131"/>
      <c r="EP496" s="131"/>
      <c r="EQ496" s="131"/>
      <c r="ER496" s="131"/>
      <c r="ES496" s="131"/>
      <c r="ET496" s="131"/>
      <c r="EU496" s="131"/>
      <c r="EV496" s="131"/>
      <c r="EW496" s="131"/>
      <c r="EX496" s="131"/>
      <c r="EY496" s="131"/>
      <c r="EZ496" s="131"/>
      <c r="FA496" s="131"/>
      <c r="FB496" s="131"/>
      <c r="FC496" s="131"/>
      <c r="FD496" s="131"/>
      <c r="FE496" s="131"/>
      <c r="FF496" s="131"/>
      <c r="FG496" s="131"/>
      <c r="FH496" s="131"/>
      <c r="FI496" s="131"/>
      <c r="FJ496" s="131"/>
      <c r="FK496" s="131"/>
      <c r="FL496" s="131"/>
      <c r="FM496" s="131"/>
      <c r="FN496" s="131"/>
      <c r="FO496" s="131"/>
      <c r="FP496" s="131"/>
      <c r="FQ496" s="131"/>
      <c r="FR496" s="131"/>
      <c r="FS496" s="131"/>
      <c r="FT496" s="131"/>
      <c r="FU496" s="131"/>
      <c r="FV496" s="131"/>
      <c r="FW496" s="131"/>
      <c r="FX496" s="131"/>
      <c r="FY496" s="131"/>
      <c r="FZ496" s="131"/>
      <c r="GA496" s="131"/>
      <c r="GB496" s="131"/>
      <c r="GC496" s="131"/>
      <c r="GD496" s="131"/>
      <c r="GE496" s="131"/>
      <c r="GF496" s="131"/>
      <c r="GG496" s="131"/>
      <c r="GH496" s="131"/>
      <c r="GI496" s="131"/>
      <c r="GJ496" s="131"/>
      <c r="GK496" s="131"/>
      <c r="GL496" s="131"/>
      <c r="GM496" s="131"/>
      <c r="GN496" s="131"/>
      <c r="GO496" s="131"/>
      <c r="GP496" s="131"/>
      <c r="GQ496" s="131"/>
      <c r="GR496" s="131"/>
      <c r="GS496" s="131"/>
      <c r="GT496" s="131"/>
      <c r="GU496" s="131"/>
      <c r="GV496" s="131"/>
      <c r="GW496" s="131"/>
      <c r="GX496" s="131"/>
      <c r="GY496" s="131"/>
      <c r="GZ496" s="131"/>
      <c r="HA496" s="131"/>
      <c r="HB496" s="131"/>
      <c r="HC496" s="131"/>
      <c r="HD496" s="131"/>
      <c r="HE496" s="131"/>
      <c r="HF496" s="131"/>
      <c r="HG496" s="131"/>
      <c r="HH496" s="131"/>
      <c r="HI496" s="131"/>
      <c r="HJ496" s="131"/>
      <c r="HK496" s="131"/>
      <c r="HL496" s="131"/>
      <c r="HM496" s="131"/>
      <c r="HN496" s="131"/>
      <c r="HO496" s="131"/>
      <c r="HP496" s="131"/>
      <c r="HQ496" s="131"/>
      <c r="HR496" s="131"/>
      <c r="HS496" s="131"/>
      <c r="HT496" s="131"/>
      <c r="HU496" s="131"/>
      <c r="HV496" s="131"/>
      <c r="HW496" s="131"/>
      <c r="HX496" s="131"/>
      <c r="HY496" s="131"/>
      <c r="HZ496" s="131"/>
      <c r="IA496" s="131"/>
      <c r="IB496" s="131"/>
      <c r="IC496" s="131"/>
      <c r="ID496" s="131"/>
      <c r="IE496" s="131"/>
      <c r="IF496" s="131"/>
      <c r="IG496" s="131"/>
      <c r="IH496" s="131"/>
      <c r="II496" s="131"/>
      <c r="IJ496" s="131"/>
      <c r="IK496" s="131"/>
      <c r="IL496" s="131"/>
      <c r="IM496" s="131"/>
      <c r="IN496" s="131"/>
      <c r="IO496" s="131"/>
      <c r="IP496" s="131"/>
      <c r="IQ496" s="131"/>
      <c r="IR496" s="131"/>
      <c r="IS496" s="131"/>
      <c r="IT496" s="131"/>
      <c r="IU496" s="131"/>
      <c r="IV496" s="131"/>
    </row>
    <row r="497" spans="1:256" s="13" customFormat="1" ht="38.25" customHeight="1">
      <c r="A497" s="21" t="s">
        <v>1</v>
      </c>
      <c r="B497" s="246" t="s">
        <v>34</v>
      </c>
      <c r="C497" s="246" t="s">
        <v>25</v>
      </c>
      <c r="D497" s="246" t="s">
        <v>969</v>
      </c>
      <c r="E497" s="246" t="s">
        <v>138</v>
      </c>
      <c r="F497" s="21" t="s">
        <v>960</v>
      </c>
      <c r="G497" s="246" t="s">
        <v>193</v>
      </c>
      <c r="H497" s="21">
        <v>236220</v>
      </c>
      <c r="I497" s="21" t="s">
        <v>28</v>
      </c>
      <c r="J497" s="21" t="s">
        <v>109</v>
      </c>
      <c r="K497" s="21" t="s">
        <v>345</v>
      </c>
      <c r="L497" s="21" t="s">
        <v>2629</v>
      </c>
      <c r="M497" s="22">
        <v>25000</v>
      </c>
      <c r="N497" s="22">
        <v>100000</v>
      </c>
      <c r="O497" s="21" t="s">
        <v>20</v>
      </c>
      <c r="P497" s="21" t="s">
        <v>1301</v>
      </c>
      <c r="Q497" s="21" t="s">
        <v>279</v>
      </c>
      <c r="R497" s="21" t="s">
        <v>278</v>
      </c>
      <c r="S497" s="74">
        <v>2013</v>
      </c>
      <c r="T497" s="21" t="s">
        <v>961</v>
      </c>
      <c r="U497" s="21" t="s">
        <v>962</v>
      </c>
      <c r="V497" s="21" t="s">
        <v>963</v>
      </c>
      <c r="W497" s="21" t="s">
        <v>66</v>
      </c>
      <c r="X497" s="246" t="s">
        <v>2630</v>
      </c>
      <c r="Y497" s="130"/>
      <c r="Z497" s="130"/>
      <c r="AA497" s="130"/>
      <c r="AB497" s="130"/>
      <c r="AC497" s="130"/>
      <c r="AD497" s="131"/>
      <c r="AE497" s="131"/>
      <c r="AF497" s="131"/>
      <c r="AG497" s="131"/>
      <c r="AH497" s="131"/>
      <c r="AI497" s="131"/>
      <c r="AJ497" s="131"/>
      <c r="AK497" s="131"/>
      <c r="AL497" s="131"/>
      <c r="AM497" s="131"/>
      <c r="AN497" s="131"/>
      <c r="AO497" s="131"/>
      <c r="AP497" s="131"/>
      <c r="AQ497" s="131"/>
      <c r="AR497" s="131"/>
      <c r="AS497" s="131"/>
      <c r="AT497" s="131"/>
      <c r="AU497" s="131"/>
      <c r="AV497" s="131"/>
      <c r="AW497" s="131"/>
      <c r="AX497" s="131"/>
      <c r="AY497" s="131"/>
      <c r="AZ497" s="131"/>
      <c r="BA497" s="131"/>
      <c r="BB497" s="131"/>
      <c r="BC497" s="131"/>
      <c r="BD497" s="131"/>
      <c r="BE497" s="131"/>
      <c r="BF497" s="131"/>
      <c r="BG497" s="131"/>
      <c r="BH497" s="131"/>
      <c r="BI497" s="131"/>
      <c r="BJ497" s="131"/>
      <c r="BK497" s="131"/>
      <c r="BL497" s="131"/>
      <c r="BM497" s="131"/>
      <c r="BN497" s="131"/>
      <c r="BO497" s="131"/>
      <c r="BP497" s="131"/>
      <c r="BQ497" s="131"/>
      <c r="BR497" s="131"/>
      <c r="BS497" s="131"/>
      <c r="BT497" s="131"/>
      <c r="BU497" s="131"/>
      <c r="BV497" s="131"/>
      <c r="BW497" s="131"/>
      <c r="BX497" s="131"/>
      <c r="BY497" s="131"/>
      <c r="BZ497" s="131"/>
      <c r="CA497" s="131"/>
      <c r="CB497" s="131"/>
      <c r="CC497" s="131"/>
      <c r="CD497" s="131"/>
      <c r="CE497" s="131"/>
      <c r="CF497" s="131"/>
      <c r="CG497" s="131"/>
      <c r="CH497" s="131"/>
      <c r="CI497" s="131"/>
      <c r="CJ497" s="131"/>
      <c r="CK497" s="131"/>
      <c r="CL497" s="131"/>
      <c r="CM497" s="131"/>
      <c r="CN497" s="131"/>
      <c r="CO497" s="131"/>
      <c r="CP497" s="131"/>
      <c r="CQ497" s="131"/>
      <c r="CR497" s="131"/>
      <c r="CS497" s="131"/>
      <c r="CT497" s="131"/>
      <c r="CU497" s="131"/>
      <c r="CV497" s="131"/>
      <c r="CW497" s="131"/>
      <c r="CX497" s="131"/>
      <c r="CY497" s="131"/>
      <c r="CZ497" s="131"/>
      <c r="DA497" s="131"/>
      <c r="DB497" s="131"/>
      <c r="DC497" s="131"/>
      <c r="DD497" s="131"/>
      <c r="DE497" s="131"/>
      <c r="DF497" s="131"/>
      <c r="DG497" s="131"/>
      <c r="DH497" s="131"/>
      <c r="DI497" s="131"/>
      <c r="DJ497" s="131"/>
      <c r="DK497" s="131"/>
      <c r="DL497" s="131"/>
      <c r="DM497" s="131"/>
      <c r="DN497" s="131"/>
      <c r="DO497" s="131"/>
      <c r="DP497" s="131"/>
      <c r="DQ497" s="131"/>
      <c r="DR497" s="131"/>
      <c r="DS497" s="131"/>
      <c r="DT497" s="131"/>
      <c r="DU497" s="131"/>
      <c r="DV497" s="131"/>
      <c r="DW497" s="131"/>
      <c r="DX497" s="131"/>
      <c r="DY497" s="131"/>
      <c r="DZ497" s="131"/>
      <c r="EA497" s="131"/>
      <c r="EB497" s="131"/>
      <c r="EC497" s="131"/>
      <c r="ED497" s="131"/>
      <c r="EE497" s="131"/>
      <c r="EF497" s="131"/>
      <c r="EG497" s="131"/>
      <c r="EH497" s="131"/>
      <c r="EI497" s="131"/>
      <c r="EJ497" s="131"/>
      <c r="EK497" s="131"/>
      <c r="EL497" s="131"/>
      <c r="EM497" s="131"/>
      <c r="EN497" s="131"/>
      <c r="EO497" s="131"/>
      <c r="EP497" s="131"/>
      <c r="EQ497" s="131"/>
      <c r="ER497" s="131"/>
      <c r="ES497" s="131"/>
      <c r="ET497" s="131"/>
      <c r="EU497" s="131"/>
      <c r="EV497" s="131"/>
      <c r="EW497" s="131"/>
      <c r="EX497" s="131"/>
      <c r="EY497" s="131"/>
      <c r="EZ497" s="131"/>
      <c r="FA497" s="131"/>
      <c r="FB497" s="131"/>
      <c r="FC497" s="131"/>
      <c r="FD497" s="131"/>
      <c r="FE497" s="131"/>
      <c r="FF497" s="131"/>
      <c r="FG497" s="131"/>
      <c r="FH497" s="131"/>
      <c r="FI497" s="131"/>
      <c r="FJ497" s="131"/>
      <c r="FK497" s="131"/>
      <c r="FL497" s="131"/>
      <c r="FM497" s="131"/>
      <c r="FN497" s="131"/>
      <c r="FO497" s="131"/>
      <c r="FP497" s="131"/>
      <c r="FQ497" s="131"/>
      <c r="FR497" s="131"/>
      <c r="FS497" s="131"/>
      <c r="FT497" s="131"/>
      <c r="FU497" s="131"/>
      <c r="FV497" s="131"/>
      <c r="FW497" s="131"/>
      <c r="FX497" s="131"/>
      <c r="FY497" s="131"/>
      <c r="FZ497" s="131"/>
      <c r="GA497" s="131"/>
      <c r="GB497" s="131"/>
      <c r="GC497" s="131"/>
      <c r="GD497" s="131"/>
      <c r="GE497" s="131"/>
      <c r="GF497" s="131"/>
      <c r="GG497" s="131"/>
      <c r="GH497" s="131"/>
      <c r="GI497" s="131"/>
      <c r="GJ497" s="131"/>
      <c r="GK497" s="131"/>
      <c r="GL497" s="131"/>
      <c r="GM497" s="131"/>
      <c r="GN497" s="131"/>
      <c r="GO497" s="131"/>
      <c r="GP497" s="131"/>
      <c r="GQ497" s="131"/>
      <c r="GR497" s="131"/>
      <c r="GS497" s="131"/>
      <c r="GT497" s="131"/>
      <c r="GU497" s="131"/>
      <c r="GV497" s="131"/>
      <c r="GW497" s="131"/>
      <c r="GX497" s="131"/>
      <c r="GY497" s="131"/>
      <c r="GZ497" s="131"/>
      <c r="HA497" s="131"/>
      <c r="HB497" s="131"/>
      <c r="HC497" s="131"/>
      <c r="HD497" s="131"/>
      <c r="HE497" s="131"/>
      <c r="HF497" s="131"/>
      <c r="HG497" s="131"/>
      <c r="HH497" s="131"/>
      <c r="HI497" s="131"/>
      <c r="HJ497" s="131"/>
      <c r="HK497" s="131"/>
      <c r="HL497" s="131"/>
      <c r="HM497" s="131"/>
      <c r="HN497" s="131"/>
      <c r="HO497" s="131"/>
      <c r="HP497" s="131"/>
      <c r="HQ497" s="131"/>
      <c r="HR497" s="131"/>
      <c r="HS497" s="131"/>
      <c r="HT497" s="131"/>
      <c r="HU497" s="131"/>
      <c r="HV497" s="131"/>
      <c r="HW497" s="131"/>
      <c r="HX497" s="131"/>
      <c r="HY497" s="131"/>
      <c r="HZ497" s="131"/>
      <c r="IA497" s="131"/>
      <c r="IB497" s="131"/>
      <c r="IC497" s="131"/>
      <c r="ID497" s="131"/>
      <c r="IE497" s="131"/>
      <c r="IF497" s="131"/>
      <c r="IG497" s="131"/>
      <c r="IH497" s="131"/>
      <c r="II497" s="131"/>
      <c r="IJ497" s="131"/>
      <c r="IK497" s="131"/>
      <c r="IL497" s="131"/>
      <c r="IM497" s="131"/>
      <c r="IN497" s="131"/>
      <c r="IO497" s="131"/>
      <c r="IP497" s="131"/>
      <c r="IQ497" s="131"/>
      <c r="IR497" s="131"/>
      <c r="IS497" s="131"/>
      <c r="IT497" s="131"/>
      <c r="IU497" s="131"/>
      <c r="IV497" s="131"/>
    </row>
    <row r="498" spans="1:256" s="13" customFormat="1" ht="38.25" customHeight="1">
      <c r="A498" s="21" t="s">
        <v>1</v>
      </c>
      <c r="B498" s="246" t="s">
        <v>34</v>
      </c>
      <c r="C498" s="246" t="s">
        <v>25</v>
      </c>
      <c r="D498" s="246" t="s">
        <v>970</v>
      </c>
      <c r="E498" s="246" t="s">
        <v>138</v>
      </c>
      <c r="F498" s="21" t="s">
        <v>960</v>
      </c>
      <c r="G498" s="246" t="s">
        <v>193</v>
      </c>
      <c r="H498" s="21">
        <v>236220</v>
      </c>
      <c r="I498" s="21" t="s">
        <v>28</v>
      </c>
      <c r="J498" s="21" t="s">
        <v>109</v>
      </c>
      <c r="K498" s="21" t="s">
        <v>1091</v>
      </c>
      <c r="L498" s="21" t="s">
        <v>2629</v>
      </c>
      <c r="M498" s="22">
        <v>25000</v>
      </c>
      <c r="N498" s="22">
        <v>100000</v>
      </c>
      <c r="O498" s="21" t="s">
        <v>20</v>
      </c>
      <c r="P498" s="21" t="s">
        <v>1301</v>
      </c>
      <c r="Q498" s="21" t="s">
        <v>279</v>
      </c>
      <c r="R498" s="21" t="s">
        <v>278</v>
      </c>
      <c r="S498" s="74">
        <v>2013</v>
      </c>
      <c r="T498" s="21" t="s">
        <v>961</v>
      </c>
      <c r="U498" s="21" t="s">
        <v>962</v>
      </c>
      <c r="V498" s="21" t="s">
        <v>963</v>
      </c>
      <c r="W498" s="21" t="s">
        <v>66</v>
      </c>
      <c r="X498" s="246" t="s">
        <v>2626</v>
      </c>
      <c r="Y498" s="130"/>
      <c r="Z498" s="130"/>
      <c r="AA498" s="130"/>
      <c r="AB498" s="130"/>
      <c r="AC498" s="130"/>
      <c r="AD498" s="131"/>
      <c r="AE498" s="131"/>
      <c r="AF498" s="131"/>
      <c r="AG498" s="131"/>
      <c r="AH498" s="131"/>
      <c r="AI498" s="131"/>
      <c r="AJ498" s="131"/>
      <c r="AK498" s="131"/>
      <c r="AL498" s="131"/>
      <c r="AM498" s="131"/>
      <c r="AN498" s="131"/>
      <c r="AO498" s="131"/>
      <c r="AP498" s="131"/>
      <c r="AQ498" s="131"/>
      <c r="AR498" s="131"/>
      <c r="AS498" s="131"/>
      <c r="AT498" s="131"/>
      <c r="AU498" s="131"/>
      <c r="AV498" s="131"/>
      <c r="AW498" s="131"/>
      <c r="AX498" s="131"/>
      <c r="AY498" s="131"/>
      <c r="AZ498" s="131"/>
      <c r="BA498" s="131"/>
      <c r="BB498" s="131"/>
      <c r="BC498" s="131"/>
      <c r="BD498" s="131"/>
      <c r="BE498" s="131"/>
      <c r="BF498" s="131"/>
      <c r="BG498" s="131"/>
      <c r="BH498" s="131"/>
      <c r="BI498" s="131"/>
      <c r="BJ498" s="131"/>
      <c r="BK498" s="131"/>
      <c r="BL498" s="131"/>
      <c r="BM498" s="131"/>
      <c r="BN498" s="131"/>
      <c r="BO498" s="131"/>
      <c r="BP498" s="131"/>
      <c r="BQ498" s="131"/>
      <c r="BR498" s="131"/>
      <c r="BS498" s="131"/>
      <c r="BT498" s="131"/>
      <c r="BU498" s="131"/>
      <c r="BV498" s="131"/>
      <c r="BW498" s="131"/>
      <c r="BX498" s="131"/>
      <c r="BY498" s="131"/>
      <c r="BZ498" s="131"/>
      <c r="CA498" s="131"/>
      <c r="CB498" s="131"/>
      <c r="CC498" s="131"/>
      <c r="CD498" s="131"/>
      <c r="CE498" s="131"/>
      <c r="CF498" s="131"/>
      <c r="CG498" s="131"/>
      <c r="CH498" s="131"/>
      <c r="CI498" s="131"/>
      <c r="CJ498" s="131"/>
      <c r="CK498" s="131"/>
      <c r="CL498" s="131"/>
      <c r="CM498" s="131"/>
      <c r="CN498" s="131"/>
      <c r="CO498" s="131"/>
      <c r="CP498" s="131"/>
      <c r="CQ498" s="131"/>
      <c r="CR498" s="131"/>
      <c r="CS498" s="131"/>
      <c r="CT498" s="131"/>
      <c r="CU498" s="131"/>
      <c r="CV498" s="131"/>
      <c r="CW498" s="131"/>
      <c r="CX498" s="131"/>
      <c r="CY498" s="131"/>
      <c r="CZ498" s="131"/>
      <c r="DA498" s="131"/>
      <c r="DB498" s="131"/>
      <c r="DC498" s="131"/>
      <c r="DD498" s="131"/>
      <c r="DE498" s="131"/>
      <c r="DF498" s="131"/>
      <c r="DG498" s="131"/>
      <c r="DH498" s="131"/>
      <c r="DI498" s="131"/>
      <c r="DJ498" s="131"/>
      <c r="DK498" s="131"/>
      <c r="DL498" s="131"/>
      <c r="DM498" s="131"/>
      <c r="DN498" s="131"/>
      <c r="DO498" s="131"/>
      <c r="DP498" s="131"/>
      <c r="DQ498" s="131"/>
      <c r="DR498" s="131"/>
      <c r="DS498" s="131"/>
      <c r="DT498" s="131"/>
      <c r="DU498" s="131"/>
      <c r="DV498" s="131"/>
      <c r="DW498" s="131"/>
      <c r="DX498" s="131"/>
      <c r="DY498" s="131"/>
      <c r="DZ498" s="131"/>
      <c r="EA498" s="131"/>
      <c r="EB498" s="131"/>
      <c r="EC498" s="131"/>
      <c r="ED498" s="131"/>
      <c r="EE498" s="131"/>
      <c r="EF498" s="131"/>
      <c r="EG498" s="131"/>
      <c r="EH498" s="131"/>
      <c r="EI498" s="131"/>
      <c r="EJ498" s="131"/>
      <c r="EK498" s="131"/>
      <c r="EL498" s="131"/>
      <c r="EM498" s="131"/>
      <c r="EN498" s="131"/>
      <c r="EO498" s="131"/>
      <c r="EP498" s="131"/>
      <c r="EQ498" s="131"/>
      <c r="ER498" s="131"/>
      <c r="ES498" s="131"/>
      <c r="ET498" s="131"/>
      <c r="EU498" s="131"/>
      <c r="EV498" s="131"/>
      <c r="EW498" s="131"/>
      <c r="EX498" s="131"/>
      <c r="EY498" s="131"/>
      <c r="EZ498" s="131"/>
      <c r="FA498" s="131"/>
      <c r="FB498" s="131"/>
      <c r="FC498" s="131"/>
      <c r="FD498" s="131"/>
      <c r="FE498" s="131"/>
      <c r="FF498" s="131"/>
      <c r="FG498" s="131"/>
      <c r="FH498" s="131"/>
      <c r="FI498" s="131"/>
      <c r="FJ498" s="131"/>
      <c r="FK498" s="131"/>
      <c r="FL498" s="131"/>
      <c r="FM498" s="131"/>
      <c r="FN498" s="131"/>
      <c r="FO498" s="131"/>
      <c r="FP498" s="131"/>
      <c r="FQ498" s="131"/>
      <c r="FR498" s="131"/>
      <c r="FS498" s="131"/>
      <c r="FT498" s="131"/>
      <c r="FU498" s="131"/>
      <c r="FV498" s="131"/>
      <c r="FW498" s="131"/>
      <c r="FX498" s="131"/>
      <c r="FY498" s="131"/>
      <c r="FZ498" s="131"/>
      <c r="GA498" s="131"/>
      <c r="GB498" s="131"/>
      <c r="GC498" s="131"/>
      <c r="GD498" s="131"/>
      <c r="GE498" s="131"/>
      <c r="GF498" s="131"/>
      <c r="GG498" s="131"/>
      <c r="GH498" s="131"/>
      <c r="GI498" s="131"/>
      <c r="GJ498" s="131"/>
      <c r="GK498" s="131"/>
      <c r="GL498" s="131"/>
      <c r="GM498" s="131"/>
      <c r="GN498" s="131"/>
      <c r="GO498" s="131"/>
      <c r="GP498" s="131"/>
      <c r="GQ498" s="131"/>
      <c r="GR498" s="131"/>
      <c r="GS498" s="131"/>
      <c r="GT498" s="131"/>
      <c r="GU498" s="131"/>
      <c r="GV498" s="131"/>
      <c r="GW498" s="131"/>
      <c r="GX498" s="131"/>
      <c r="GY498" s="131"/>
      <c r="GZ498" s="131"/>
      <c r="HA498" s="131"/>
      <c r="HB498" s="131"/>
      <c r="HC498" s="131"/>
      <c r="HD498" s="131"/>
      <c r="HE498" s="131"/>
      <c r="HF498" s="131"/>
      <c r="HG498" s="131"/>
      <c r="HH498" s="131"/>
      <c r="HI498" s="131"/>
      <c r="HJ498" s="131"/>
      <c r="HK498" s="131"/>
      <c r="HL498" s="131"/>
      <c r="HM498" s="131"/>
      <c r="HN498" s="131"/>
      <c r="HO498" s="131"/>
      <c r="HP498" s="131"/>
      <c r="HQ498" s="131"/>
      <c r="HR498" s="131"/>
      <c r="HS498" s="131"/>
      <c r="HT498" s="131"/>
      <c r="HU498" s="131"/>
      <c r="HV498" s="131"/>
      <c r="HW498" s="131"/>
      <c r="HX498" s="131"/>
      <c r="HY498" s="131"/>
      <c r="HZ498" s="131"/>
      <c r="IA498" s="131"/>
      <c r="IB498" s="131"/>
      <c r="IC498" s="131"/>
      <c r="ID498" s="131"/>
      <c r="IE498" s="131"/>
      <c r="IF498" s="131"/>
      <c r="IG498" s="131"/>
      <c r="IH498" s="131"/>
      <c r="II498" s="131"/>
      <c r="IJ498" s="131"/>
      <c r="IK498" s="131"/>
      <c r="IL498" s="131"/>
      <c r="IM498" s="131"/>
      <c r="IN498" s="131"/>
      <c r="IO498" s="131"/>
      <c r="IP498" s="131"/>
      <c r="IQ498" s="131"/>
      <c r="IR498" s="131"/>
      <c r="IS498" s="131"/>
      <c r="IT498" s="131"/>
      <c r="IU498" s="131"/>
      <c r="IV498" s="131"/>
    </row>
    <row r="499" spans="1:256" s="13" customFormat="1" ht="38.25" customHeight="1">
      <c r="A499" s="21" t="s">
        <v>1</v>
      </c>
      <c r="B499" s="246" t="s">
        <v>34</v>
      </c>
      <c r="C499" s="246" t="s">
        <v>25</v>
      </c>
      <c r="D499" s="246" t="s">
        <v>971</v>
      </c>
      <c r="E499" s="246" t="s">
        <v>138</v>
      </c>
      <c r="F499" s="21" t="s">
        <v>972</v>
      </c>
      <c r="G499" s="246" t="s">
        <v>193</v>
      </c>
      <c r="H499" s="21">
        <v>236220</v>
      </c>
      <c r="I499" s="21" t="s">
        <v>28</v>
      </c>
      <c r="J499" s="21" t="s">
        <v>109</v>
      </c>
      <c r="K499" s="21" t="s">
        <v>1974</v>
      </c>
      <c r="L499" s="21" t="s">
        <v>1974</v>
      </c>
      <c r="M499" s="22">
        <v>25000</v>
      </c>
      <c r="N499" s="22">
        <v>100000</v>
      </c>
      <c r="O499" s="21" t="s">
        <v>20</v>
      </c>
      <c r="P499" s="21" t="s">
        <v>1301</v>
      </c>
      <c r="Q499" s="21" t="s">
        <v>279</v>
      </c>
      <c r="R499" s="21" t="s">
        <v>640</v>
      </c>
      <c r="S499" s="74">
        <v>2013</v>
      </c>
      <c r="T499" s="21" t="s">
        <v>961</v>
      </c>
      <c r="U499" s="21" t="s">
        <v>962</v>
      </c>
      <c r="V499" s="21" t="s">
        <v>963</v>
      </c>
      <c r="W499" s="21" t="s">
        <v>66</v>
      </c>
      <c r="X499" s="246" t="s">
        <v>2626</v>
      </c>
      <c r="Y499" s="130"/>
      <c r="Z499" s="130"/>
      <c r="AA499" s="130"/>
      <c r="AB499" s="130"/>
      <c r="AC499" s="130"/>
      <c r="AD499" s="131"/>
      <c r="AE499" s="131"/>
      <c r="AF499" s="131"/>
      <c r="AG499" s="131"/>
      <c r="AH499" s="131"/>
      <c r="AI499" s="131"/>
      <c r="AJ499" s="131"/>
      <c r="AK499" s="131"/>
      <c r="AL499" s="131"/>
      <c r="AM499" s="131"/>
      <c r="AN499" s="131"/>
      <c r="AO499" s="131"/>
      <c r="AP499" s="131"/>
      <c r="AQ499" s="131"/>
      <c r="AR499" s="131"/>
      <c r="AS499" s="131"/>
      <c r="AT499" s="131"/>
      <c r="AU499" s="131"/>
      <c r="AV499" s="131"/>
      <c r="AW499" s="131"/>
      <c r="AX499" s="131"/>
      <c r="AY499" s="131"/>
      <c r="AZ499" s="131"/>
      <c r="BA499" s="131"/>
      <c r="BB499" s="131"/>
      <c r="BC499" s="131"/>
      <c r="BD499" s="131"/>
      <c r="BE499" s="131"/>
      <c r="BF499" s="131"/>
      <c r="BG499" s="131"/>
      <c r="BH499" s="131"/>
      <c r="BI499" s="131"/>
      <c r="BJ499" s="131"/>
      <c r="BK499" s="131"/>
      <c r="BL499" s="131"/>
      <c r="BM499" s="131"/>
      <c r="BN499" s="131"/>
      <c r="BO499" s="131"/>
      <c r="BP499" s="131"/>
      <c r="BQ499" s="131"/>
      <c r="BR499" s="131"/>
      <c r="BS499" s="131"/>
      <c r="BT499" s="131"/>
      <c r="BU499" s="131"/>
      <c r="BV499" s="131"/>
      <c r="BW499" s="131"/>
      <c r="BX499" s="131"/>
      <c r="BY499" s="131"/>
      <c r="BZ499" s="131"/>
      <c r="CA499" s="131"/>
      <c r="CB499" s="131"/>
      <c r="CC499" s="131"/>
      <c r="CD499" s="131"/>
      <c r="CE499" s="131"/>
      <c r="CF499" s="131"/>
      <c r="CG499" s="131"/>
      <c r="CH499" s="131"/>
      <c r="CI499" s="131"/>
      <c r="CJ499" s="131"/>
      <c r="CK499" s="131"/>
      <c r="CL499" s="131"/>
      <c r="CM499" s="131"/>
      <c r="CN499" s="131"/>
      <c r="CO499" s="131"/>
      <c r="CP499" s="131"/>
      <c r="CQ499" s="131"/>
      <c r="CR499" s="131"/>
      <c r="CS499" s="131"/>
      <c r="CT499" s="131"/>
      <c r="CU499" s="131"/>
      <c r="CV499" s="131"/>
      <c r="CW499" s="131"/>
      <c r="CX499" s="131"/>
      <c r="CY499" s="131"/>
      <c r="CZ499" s="131"/>
      <c r="DA499" s="131"/>
      <c r="DB499" s="131"/>
      <c r="DC499" s="131"/>
      <c r="DD499" s="131"/>
      <c r="DE499" s="131"/>
      <c r="DF499" s="131"/>
      <c r="DG499" s="131"/>
      <c r="DH499" s="131"/>
      <c r="DI499" s="131"/>
      <c r="DJ499" s="131"/>
      <c r="DK499" s="131"/>
      <c r="DL499" s="131"/>
      <c r="DM499" s="131"/>
      <c r="DN499" s="131"/>
      <c r="DO499" s="131"/>
      <c r="DP499" s="131"/>
      <c r="DQ499" s="131"/>
      <c r="DR499" s="131"/>
      <c r="DS499" s="131"/>
      <c r="DT499" s="131"/>
      <c r="DU499" s="131"/>
      <c r="DV499" s="131"/>
      <c r="DW499" s="131"/>
      <c r="DX499" s="131"/>
      <c r="DY499" s="131"/>
      <c r="DZ499" s="131"/>
      <c r="EA499" s="131"/>
      <c r="EB499" s="131"/>
      <c r="EC499" s="131"/>
      <c r="ED499" s="131"/>
      <c r="EE499" s="131"/>
      <c r="EF499" s="131"/>
      <c r="EG499" s="131"/>
      <c r="EH499" s="131"/>
      <c r="EI499" s="131"/>
      <c r="EJ499" s="131"/>
      <c r="EK499" s="131"/>
      <c r="EL499" s="131"/>
      <c r="EM499" s="131"/>
      <c r="EN499" s="131"/>
      <c r="EO499" s="131"/>
      <c r="EP499" s="131"/>
      <c r="EQ499" s="131"/>
      <c r="ER499" s="131"/>
      <c r="ES499" s="131"/>
      <c r="ET499" s="131"/>
      <c r="EU499" s="131"/>
      <c r="EV499" s="131"/>
      <c r="EW499" s="131"/>
      <c r="EX499" s="131"/>
      <c r="EY499" s="131"/>
      <c r="EZ499" s="131"/>
      <c r="FA499" s="131"/>
      <c r="FB499" s="131"/>
      <c r="FC499" s="131"/>
      <c r="FD499" s="131"/>
      <c r="FE499" s="131"/>
      <c r="FF499" s="131"/>
      <c r="FG499" s="131"/>
      <c r="FH499" s="131"/>
      <c r="FI499" s="131"/>
      <c r="FJ499" s="131"/>
      <c r="FK499" s="131"/>
      <c r="FL499" s="131"/>
      <c r="FM499" s="131"/>
      <c r="FN499" s="131"/>
      <c r="FO499" s="131"/>
      <c r="FP499" s="131"/>
      <c r="FQ499" s="131"/>
      <c r="FR499" s="131"/>
      <c r="FS499" s="131"/>
      <c r="FT499" s="131"/>
      <c r="FU499" s="131"/>
      <c r="FV499" s="131"/>
      <c r="FW499" s="131"/>
      <c r="FX499" s="131"/>
      <c r="FY499" s="131"/>
      <c r="FZ499" s="131"/>
      <c r="GA499" s="131"/>
      <c r="GB499" s="131"/>
      <c r="GC499" s="131"/>
      <c r="GD499" s="131"/>
      <c r="GE499" s="131"/>
      <c r="GF499" s="131"/>
      <c r="GG499" s="131"/>
      <c r="GH499" s="131"/>
      <c r="GI499" s="131"/>
      <c r="GJ499" s="131"/>
      <c r="GK499" s="131"/>
      <c r="GL499" s="131"/>
      <c r="GM499" s="131"/>
      <c r="GN499" s="131"/>
      <c r="GO499" s="131"/>
      <c r="GP499" s="131"/>
      <c r="GQ499" s="131"/>
      <c r="GR499" s="131"/>
      <c r="GS499" s="131"/>
      <c r="GT499" s="131"/>
      <c r="GU499" s="131"/>
      <c r="GV499" s="131"/>
      <c r="GW499" s="131"/>
      <c r="GX499" s="131"/>
      <c r="GY499" s="131"/>
      <c r="GZ499" s="131"/>
      <c r="HA499" s="131"/>
      <c r="HB499" s="131"/>
      <c r="HC499" s="131"/>
      <c r="HD499" s="131"/>
      <c r="HE499" s="131"/>
      <c r="HF499" s="131"/>
      <c r="HG499" s="131"/>
      <c r="HH499" s="131"/>
      <c r="HI499" s="131"/>
      <c r="HJ499" s="131"/>
      <c r="HK499" s="131"/>
      <c r="HL499" s="131"/>
      <c r="HM499" s="131"/>
      <c r="HN499" s="131"/>
      <c r="HO499" s="131"/>
      <c r="HP499" s="131"/>
      <c r="HQ499" s="131"/>
      <c r="HR499" s="131"/>
      <c r="HS499" s="131"/>
      <c r="HT499" s="131"/>
      <c r="HU499" s="131"/>
      <c r="HV499" s="131"/>
      <c r="HW499" s="131"/>
      <c r="HX499" s="131"/>
      <c r="HY499" s="131"/>
      <c r="HZ499" s="131"/>
      <c r="IA499" s="131"/>
      <c r="IB499" s="131"/>
      <c r="IC499" s="131"/>
      <c r="ID499" s="131"/>
      <c r="IE499" s="131"/>
      <c r="IF499" s="131"/>
      <c r="IG499" s="131"/>
      <c r="IH499" s="131"/>
      <c r="II499" s="131"/>
      <c r="IJ499" s="131"/>
      <c r="IK499" s="131"/>
      <c r="IL499" s="131"/>
      <c r="IM499" s="131"/>
      <c r="IN499" s="131"/>
      <c r="IO499" s="131"/>
      <c r="IP499" s="131"/>
      <c r="IQ499" s="131"/>
      <c r="IR499" s="131"/>
      <c r="IS499" s="131"/>
      <c r="IT499" s="131"/>
      <c r="IU499" s="131"/>
      <c r="IV499" s="131"/>
    </row>
    <row r="500" spans="1:256" s="13" customFormat="1" ht="38.25" customHeight="1">
      <c r="A500" s="21" t="s">
        <v>1</v>
      </c>
      <c r="B500" s="246" t="s">
        <v>34</v>
      </c>
      <c r="C500" s="246" t="s">
        <v>25</v>
      </c>
      <c r="D500" s="246" t="s">
        <v>973</v>
      </c>
      <c r="E500" s="246" t="s">
        <v>138</v>
      </c>
      <c r="F500" s="21" t="s">
        <v>949</v>
      </c>
      <c r="G500" s="246" t="s">
        <v>173</v>
      </c>
      <c r="H500" s="21">
        <v>236220</v>
      </c>
      <c r="I500" s="21" t="s">
        <v>28</v>
      </c>
      <c r="J500" s="21" t="s">
        <v>109</v>
      </c>
      <c r="K500" s="21" t="s">
        <v>40</v>
      </c>
      <c r="L500" s="21" t="s">
        <v>2629</v>
      </c>
      <c r="M500" s="22">
        <v>1000</v>
      </c>
      <c r="N500" s="22">
        <v>25000</v>
      </c>
      <c r="O500" s="21" t="s">
        <v>20</v>
      </c>
      <c r="P500" s="21" t="s">
        <v>1301</v>
      </c>
      <c r="Q500" s="21" t="s">
        <v>279</v>
      </c>
      <c r="R500" s="21" t="s">
        <v>10</v>
      </c>
      <c r="S500" s="74">
        <v>2013</v>
      </c>
      <c r="T500" s="21" t="s">
        <v>961</v>
      </c>
      <c r="U500" s="21" t="s">
        <v>962</v>
      </c>
      <c r="V500" s="21" t="s">
        <v>963</v>
      </c>
      <c r="W500" s="21" t="s">
        <v>66</v>
      </c>
      <c r="X500" s="246" t="s">
        <v>2626</v>
      </c>
      <c r="Y500" s="130"/>
      <c r="Z500" s="130"/>
      <c r="AA500" s="130"/>
      <c r="AB500" s="130"/>
      <c r="AC500" s="130"/>
      <c r="AD500" s="131"/>
      <c r="AE500" s="131"/>
      <c r="AF500" s="131"/>
      <c r="AG500" s="131"/>
      <c r="AH500" s="131"/>
      <c r="AI500" s="131"/>
      <c r="AJ500" s="131"/>
      <c r="AK500" s="131"/>
      <c r="AL500" s="131"/>
      <c r="AM500" s="131"/>
      <c r="AN500" s="131"/>
      <c r="AO500" s="131"/>
      <c r="AP500" s="131"/>
      <c r="AQ500" s="131"/>
      <c r="AR500" s="131"/>
      <c r="AS500" s="131"/>
      <c r="AT500" s="131"/>
      <c r="AU500" s="131"/>
      <c r="AV500" s="131"/>
      <c r="AW500" s="131"/>
      <c r="AX500" s="131"/>
      <c r="AY500" s="131"/>
      <c r="AZ500" s="131"/>
      <c r="BA500" s="131"/>
      <c r="BB500" s="131"/>
      <c r="BC500" s="131"/>
      <c r="BD500" s="131"/>
      <c r="BE500" s="131"/>
      <c r="BF500" s="131"/>
      <c r="BG500" s="131"/>
      <c r="BH500" s="131"/>
      <c r="BI500" s="131"/>
      <c r="BJ500" s="131"/>
      <c r="BK500" s="131"/>
      <c r="BL500" s="131"/>
      <c r="BM500" s="131"/>
      <c r="BN500" s="131"/>
      <c r="BO500" s="131"/>
      <c r="BP500" s="131"/>
      <c r="BQ500" s="131"/>
      <c r="BR500" s="131"/>
      <c r="BS500" s="131"/>
      <c r="BT500" s="131"/>
      <c r="BU500" s="131"/>
      <c r="BV500" s="131"/>
      <c r="BW500" s="131"/>
      <c r="BX500" s="131"/>
      <c r="BY500" s="131"/>
      <c r="BZ500" s="131"/>
      <c r="CA500" s="131"/>
      <c r="CB500" s="131"/>
      <c r="CC500" s="131"/>
      <c r="CD500" s="131"/>
      <c r="CE500" s="131"/>
      <c r="CF500" s="131"/>
      <c r="CG500" s="131"/>
      <c r="CH500" s="131"/>
      <c r="CI500" s="131"/>
      <c r="CJ500" s="131"/>
      <c r="CK500" s="131"/>
      <c r="CL500" s="131"/>
      <c r="CM500" s="131"/>
      <c r="CN500" s="131"/>
      <c r="CO500" s="131"/>
      <c r="CP500" s="131"/>
      <c r="CQ500" s="131"/>
      <c r="CR500" s="131"/>
      <c r="CS500" s="131"/>
      <c r="CT500" s="131"/>
      <c r="CU500" s="131"/>
      <c r="CV500" s="131"/>
      <c r="CW500" s="131"/>
      <c r="CX500" s="131"/>
      <c r="CY500" s="131"/>
      <c r="CZ500" s="131"/>
      <c r="DA500" s="131"/>
      <c r="DB500" s="131"/>
      <c r="DC500" s="131"/>
      <c r="DD500" s="131"/>
      <c r="DE500" s="131"/>
      <c r="DF500" s="131"/>
      <c r="DG500" s="131"/>
      <c r="DH500" s="131"/>
      <c r="DI500" s="131"/>
      <c r="DJ500" s="131"/>
      <c r="DK500" s="131"/>
      <c r="DL500" s="131"/>
      <c r="DM500" s="131"/>
      <c r="DN500" s="131"/>
      <c r="DO500" s="131"/>
      <c r="DP500" s="131"/>
      <c r="DQ500" s="131"/>
      <c r="DR500" s="131"/>
      <c r="DS500" s="131"/>
      <c r="DT500" s="131"/>
      <c r="DU500" s="131"/>
      <c r="DV500" s="131"/>
      <c r="DW500" s="131"/>
      <c r="DX500" s="131"/>
      <c r="DY500" s="131"/>
      <c r="DZ500" s="131"/>
      <c r="EA500" s="131"/>
      <c r="EB500" s="131"/>
      <c r="EC500" s="131"/>
      <c r="ED500" s="131"/>
      <c r="EE500" s="131"/>
      <c r="EF500" s="131"/>
      <c r="EG500" s="131"/>
      <c r="EH500" s="131"/>
      <c r="EI500" s="131"/>
      <c r="EJ500" s="131"/>
      <c r="EK500" s="131"/>
      <c r="EL500" s="131"/>
      <c r="EM500" s="131"/>
      <c r="EN500" s="131"/>
      <c r="EO500" s="131"/>
      <c r="EP500" s="131"/>
      <c r="EQ500" s="131"/>
      <c r="ER500" s="131"/>
      <c r="ES500" s="131"/>
      <c r="ET500" s="131"/>
      <c r="EU500" s="131"/>
      <c r="EV500" s="131"/>
      <c r="EW500" s="131"/>
      <c r="EX500" s="131"/>
      <c r="EY500" s="131"/>
      <c r="EZ500" s="131"/>
      <c r="FA500" s="131"/>
      <c r="FB500" s="131"/>
      <c r="FC500" s="131"/>
      <c r="FD500" s="131"/>
      <c r="FE500" s="131"/>
      <c r="FF500" s="131"/>
      <c r="FG500" s="131"/>
      <c r="FH500" s="131"/>
      <c r="FI500" s="131"/>
      <c r="FJ500" s="131"/>
      <c r="FK500" s="131"/>
      <c r="FL500" s="131"/>
      <c r="FM500" s="131"/>
      <c r="FN500" s="131"/>
      <c r="FO500" s="131"/>
      <c r="FP500" s="131"/>
      <c r="FQ500" s="131"/>
      <c r="FR500" s="131"/>
      <c r="FS500" s="131"/>
      <c r="FT500" s="131"/>
      <c r="FU500" s="131"/>
      <c r="FV500" s="131"/>
      <c r="FW500" s="131"/>
      <c r="FX500" s="131"/>
      <c r="FY500" s="131"/>
      <c r="FZ500" s="131"/>
      <c r="GA500" s="131"/>
      <c r="GB500" s="131"/>
      <c r="GC500" s="131"/>
      <c r="GD500" s="131"/>
      <c r="GE500" s="131"/>
      <c r="GF500" s="131"/>
      <c r="GG500" s="131"/>
      <c r="GH500" s="131"/>
      <c r="GI500" s="131"/>
      <c r="GJ500" s="131"/>
      <c r="GK500" s="131"/>
      <c r="GL500" s="131"/>
      <c r="GM500" s="131"/>
      <c r="GN500" s="131"/>
      <c r="GO500" s="131"/>
      <c r="GP500" s="131"/>
      <c r="GQ500" s="131"/>
      <c r="GR500" s="131"/>
      <c r="GS500" s="131"/>
      <c r="GT500" s="131"/>
      <c r="GU500" s="131"/>
      <c r="GV500" s="131"/>
      <c r="GW500" s="131"/>
      <c r="GX500" s="131"/>
      <c r="GY500" s="131"/>
      <c r="GZ500" s="131"/>
      <c r="HA500" s="131"/>
      <c r="HB500" s="131"/>
      <c r="HC500" s="131"/>
      <c r="HD500" s="131"/>
      <c r="HE500" s="131"/>
      <c r="HF500" s="131"/>
      <c r="HG500" s="131"/>
      <c r="HH500" s="131"/>
      <c r="HI500" s="131"/>
      <c r="HJ500" s="131"/>
      <c r="HK500" s="131"/>
      <c r="HL500" s="131"/>
      <c r="HM500" s="131"/>
      <c r="HN500" s="131"/>
      <c r="HO500" s="131"/>
      <c r="HP500" s="131"/>
      <c r="HQ500" s="131"/>
      <c r="HR500" s="131"/>
      <c r="HS500" s="131"/>
      <c r="HT500" s="131"/>
      <c r="HU500" s="131"/>
      <c r="HV500" s="131"/>
      <c r="HW500" s="131"/>
      <c r="HX500" s="131"/>
      <c r="HY500" s="131"/>
      <c r="HZ500" s="131"/>
      <c r="IA500" s="131"/>
      <c r="IB500" s="131"/>
      <c r="IC500" s="131"/>
      <c r="ID500" s="131"/>
      <c r="IE500" s="131"/>
      <c r="IF500" s="131"/>
      <c r="IG500" s="131"/>
      <c r="IH500" s="131"/>
      <c r="II500" s="131"/>
      <c r="IJ500" s="131"/>
      <c r="IK500" s="131"/>
      <c r="IL500" s="131"/>
      <c r="IM500" s="131"/>
      <c r="IN500" s="131"/>
      <c r="IO500" s="131"/>
      <c r="IP500" s="131"/>
      <c r="IQ500" s="131"/>
      <c r="IR500" s="131"/>
      <c r="IS500" s="131"/>
      <c r="IT500" s="131"/>
      <c r="IU500" s="131"/>
      <c r="IV500" s="131"/>
    </row>
    <row r="501" spans="1:256" s="13" customFormat="1" ht="38.25" customHeight="1">
      <c r="A501" s="21" t="s">
        <v>1</v>
      </c>
      <c r="B501" s="246" t="s">
        <v>34</v>
      </c>
      <c r="C501" s="246" t="s">
        <v>25</v>
      </c>
      <c r="D501" s="246" t="s">
        <v>974</v>
      </c>
      <c r="E501" s="246" t="s">
        <v>138</v>
      </c>
      <c r="F501" s="21" t="s">
        <v>958</v>
      </c>
      <c r="G501" s="246" t="s">
        <v>173</v>
      </c>
      <c r="H501" s="21">
        <v>236220</v>
      </c>
      <c r="I501" s="21" t="s">
        <v>28</v>
      </c>
      <c r="J501" s="21" t="s">
        <v>109</v>
      </c>
      <c r="K501" s="21" t="s">
        <v>2631</v>
      </c>
      <c r="L501" s="21" t="s">
        <v>2629</v>
      </c>
      <c r="M501" s="22">
        <v>25000</v>
      </c>
      <c r="N501" s="22">
        <v>100000</v>
      </c>
      <c r="O501" s="21" t="s">
        <v>20</v>
      </c>
      <c r="P501" s="21" t="s">
        <v>2632</v>
      </c>
      <c r="Q501" s="21" t="s">
        <v>279</v>
      </c>
      <c r="R501" s="21" t="s">
        <v>10</v>
      </c>
      <c r="S501" s="74">
        <v>2013</v>
      </c>
      <c r="T501" s="21" t="s">
        <v>961</v>
      </c>
      <c r="U501" s="21" t="s">
        <v>962</v>
      </c>
      <c r="V501" s="21" t="s">
        <v>963</v>
      </c>
      <c r="W501" s="21" t="s">
        <v>66</v>
      </c>
      <c r="X501" s="246" t="s">
        <v>2633</v>
      </c>
      <c r="Y501" s="130"/>
      <c r="Z501" s="130"/>
      <c r="AA501" s="130"/>
      <c r="AB501" s="130"/>
      <c r="AC501" s="130"/>
      <c r="AD501" s="131"/>
      <c r="AE501" s="131"/>
      <c r="AF501" s="131"/>
      <c r="AG501" s="131"/>
      <c r="AH501" s="131"/>
      <c r="AI501" s="131"/>
      <c r="AJ501" s="131"/>
      <c r="AK501" s="131"/>
      <c r="AL501" s="131"/>
      <c r="AM501" s="131"/>
      <c r="AN501" s="131"/>
      <c r="AO501" s="131"/>
      <c r="AP501" s="131"/>
      <c r="AQ501" s="131"/>
      <c r="AR501" s="131"/>
      <c r="AS501" s="131"/>
      <c r="AT501" s="131"/>
      <c r="AU501" s="131"/>
      <c r="AV501" s="131"/>
      <c r="AW501" s="131"/>
      <c r="AX501" s="131"/>
      <c r="AY501" s="131"/>
      <c r="AZ501" s="131"/>
      <c r="BA501" s="131"/>
      <c r="BB501" s="131"/>
      <c r="BC501" s="131"/>
      <c r="BD501" s="131"/>
      <c r="BE501" s="131"/>
      <c r="BF501" s="131"/>
      <c r="BG501" s="131"/>
      <c r="BH501" s="131"/>
      <c r="BI501" s="131"/>
      <c r="BJ501" s="131"/>
      <c r="BK501" s="131"/>
      <c r="BL501" s="131"/>
      <c r="BM501" s="131"/>
      <c r="BN501" s="131"/>
      <c r="BO501" s="131"/>
      <c r="BP501" s="131"/>
      <c r="BQ501" s="131"/>
      <c r="BR501" s="131"/>
      <c r="BS501" s="131"/>
      <c r="BT501" s="131"/>
      <c r="BU501" s="131"/>
      <c r="BV501" s="131"/>
      <c r="BW501" s="131"/>
      <c r="BX501" s="131"/>
      <c r="BY501" s="131"/>
      <c r="BZ501" s="131"/>
      <c r="CA501" s="131"/>
      <c r="CB501" s="131"/>
      <c r="CC501" s="131"/>
      <c r="CD501" s="131"/>
      <c r="CE501" s="131"/>
      <c r="CF501" s="131"/>
      <c r="CG501" s="131"/>
      <c r="CH501" s="131"/>
      <c r="CI501" s="131"/>
      <c r="CJ501" s="131"/>
      <c r="CK501" s="131"/>
      <c r="CL501" s="131"/>
      <c r="CM501" s="131"/>
      <c r="CN501" s="131"/>
      <c r="CO501" s="131"/>
      <c r="CP501" s="131"/>
      <c r="CQ501" s="131"/>
      <c r="CR501" s="131"/>
      <c r="CS501" s="131"/>
      <c r="CT501" s="131"/>
      <c r="CU501" s="131"/>
      <c r="CV501" s="131"/>
      <c r="CW501" s="131"/>
      <c r="CX501" s="131"/>
      <c r="CY501" s="131"/>
      <c r="CZ501" s="131"/>
      <c r="DA501" s="131"/>
      <c r="DB501" s="131"/>
      <c r="DC501" s="131"/>
      <c r="DD501" s="131"/>
      <c r="DE501" s="131"/>
      <c r="DF501" s="131"/>
      <c r="DG501" s="131"/>
      <c r="DH501" s="131"/>
      <c r="DI501" s="131"/>
      <c r="DJ501" s="131"/>
      <c r="DK501" s="131"/>
      <c r="DL501" s="131"/>
      <c r="DM501" s="131"/>
      <c r="DN501" s="131"/>
      <c r="DO501" s="131"/>
      <c r="DP501" s="131"/>
      <c r="DQ501" s="131"/>
      <c r="DR501" s="131"/>
      <c r="DS501" s="131"/>
      <c r="DT501" s="131"/>
      <c r="DU501" s="131"/>
      <c r="DV501" s="131"/>
      <c r="DW501" s="131"/>
      <c r="DX501" s="131"/>
      <c r="DY501" s="131"/>
      <c r="DZ501" s="131"/>
      <c r="EA501" s="131"/>
      <c r="EB501" s="131"/>
      <c r="EC501" s="131"/>
      <c r="ED501" s="131"/>
      <c r="EE501" s="131"/>
      <c r="EF501" s="131"/>
      <c r="EG501" s="131"/>
      <c r="EH501" s="131"/>
      <c r="EI501" s="131"/>
      <c r="EJ501" s="131"/>
      <c r="EK501" s="131"/>
      <c r="EL501" s="131"/>
      <c r="EM501" s="131"/>
      <c r="EN501" s="131"/>
      <c r="EO501" s="131"/>
      <c r="EP501" s="131"/>
      <c r="EQ501" s="131"/>
      <c r="ER501" s="131"/>
      <c r="ES501" s="131"/>
      <c r="ET501" s="131"/>
      <c r="EU501" s="131"/>
      <c r="EV501" s="131"/>
      <c r="EW501" s="131"/>
      <c r="EX501" s="131"/>
      <c r="EY501" s="131"/>
      <c r="EZ501" s="131"/>
      <c r="FA501" s="131"/>
      <c r="FB501" s="131"/>
      <c r="FC501" s="131"/>
      <c r="FD501" s="131"/>
      <c r="FE501" s="131"/>
      <c r="FF501" s="131"/>
      <c r="FG501" s="131"/>
      <c r="FH501" s="131"/>
      <c r="FI501" s="131"/>
      <c r="FJ501" s="131"/>
      <c r="FK501" s="131"/>
      <c r="FL501" s="131"/>
      <c r="FM501" s="131"/>
      <c r="FN501" s="131"/>
      <c r="FO501" s="131"/>
      <c r="FP501" s="131"/>
      <c r="FQ501" s="131"/>
      <c r="FR501" s="131"/>
      <c r="FS501" s="131"/>
      <c r="FT501" s="131"/>
      <c r="FU501" s="131"/>
      <c r="FV501" s="131"/>
      <c r="FW501" s="131"/>
      <c r="FX501" s="131"/>
      <c r="FY501" s="131"/>
      <c r="FZ501" s="131"/>
      <c r="GA501" s="131"/>
      <c r="GB501" s="131"/>
      <c r="GC501" s="131"/>
      <c r="GD501" s="131"/>
      <c r="GE501" s="131"/>
      <c r="GF501" s="131"/>
      <c r="GG501" s="131"/>
      <c r="GH501" s="131"/>
      <c r="GI501" s="131"/>
      <c r="GJ501" s="131"/>
      <c r="GK501" s="131"/>
      <c r="GL501" s="131"/>
      <c r="GM501" s="131"/>
      <c r="GN501" s="131"/>
      <c r="GO501" s="131"/>
      <c r="GP501" s="131"/>
      <c r="GQ501" s="131"/>
      <c r="GR501" s="131"/>
      <c r="GS501" s="131"/>
      <c r="GT501" s="131"/>
      <c r="GU501" s="131"/>
      <c r="GV501" s="131"/>
      <c r="GW501" s="131"/>
      <c r="GX501" s="131"/>
      <c r="GY501" s="131"/>
      <c r="GZ501" s="131"/>
      <c r="HA501" s="131"/>
      <c r="HB501" s="131"/>
      <c r="HC501" s="131"/>
      <c r="HD501" s="131"/>
      <c r="HE501" s="131"/>
      <c r="HF501" s="131"/>
      <c r="HG501" s="131"/>
      <c r="HH501" s="131"/>
      <c r="HI501" s="131"/>
      <c r="HJ501" s="131"/>
      <c r="HK501" s="131"/>
      <c r="HL501" s="131"/>
      <c r="HM501" s="131"/>
      <c r="HN501" s="131"/>
      <c r="HO501" s="131"/>
      <c r="HP501" s="131"/>
      <c r="HQ501" s="131"/>
      <c r="HR501" s="131"/>
      <c r="HS501" s="131"/>
      <c r="HT501" s="131"/>
      <c r="HU501" s="131"/>
      <c r="HV501" s="131"/>
      <c r="HW501" s="131"/>
      <c r="HX501" s="131"/>
      <c r="HY501" s="131"/>
      <c r="HZ501" s="131"/>
      <c r="IA501" s="131"/>
      <c r="IB501" s="131"/>
      <c r="IC501" s="131"/>
      <c r="ID501" s="131"/>
      <c r="IE501" s="131"/>
      <c r="IF501" s="131"/>
      <c r="IG501" s="131"/>
      <c r="IH501" s="131"/>
      <c r="II501" s="131"/>
      <c r="IJ501" s="131"/>
      <c r="IK501" s="131"/>
      <c r="IL501" s="131"/>
      <c r="IM501" s="131"/>
      <c r="IN501" s="131"/>
      <c r="IO501" s="131"/>
      <c r="IP501" s="131"/>
      <c r="IQ501" s="131"/>
      <c r="IR501" s="131"/>
      <c r="IS501" s="131"/>
      <c r="IT501" s="131"/>
      <c r="IU501" s="131"/>
      <c r="IV501" s="131"/>
    </row>
    <row r="502" spans="1:256" s="13" customFormat="1" ht="38.25" customHeight="1">
      <c r="A502" s="21" t="s">
        <v>1</v>
      </c>
      <c r="B502" s="246" t="s">
        <v>34</v>
      </c>
      <c r="C502" s="246" t="s">
        <v>25</v>
      </c>
      <c r="D502" s="246" t="s">
        <v>975</v>
      </c>
      <c r="E502" s="246" t="s">
        <v>138</v>
      </c>
      <c r="F502" s="21" t="s">
        <v>976</v>
      </c>
      <c r="G502" s="246" t="s">
        <v>133</v>
      </c>
      <c r="H502" s="21">
        <v>236220</v>
      </c>
      <c r="I502" s="21" t="s">
        <v>28</v>
      </c>
      <c r="J502" s="21" t="s">
        <v>109</v>
      </c>
      <c r="K502" s="21" t="s">
        <v>1974</v>
      </c>
      <c r="L502" s="21" t="s">
        <v>1974</v>
      </c>
      <c r="M502" s="22">
        <v>25000</v>
      </c>
      <c r="N502" s="22">
        <v>100000</v>
      </c>
      <c r="O502" s="21" t="s">
        <v>20</v>
      </c>
      <c r="P502" s="21" t="s">
        <v>278</v>
      </c>
      <c r="Q502" s="21" t="s">
        <v>279</v>
      </c>
      <c r="R502" s="21" t="s">
        <v>278</v>
      </c>
      <c r="S502" s="74">
        <v>2013</v>
      </c>
      <c r="T502" s="21" t="s">
        <v>977</v>
      </c>
      <c r="U502" s="21" t="s">
        <v>978</v>
      </c>
      <c r="V502" s="21" t="s">
        <v>979</v>
      </c>
      <c r="W502" s="21" t="s">
        <v>66</v>
      </c>
      <c r="X502" s="246"/>
      <c r="Y502" s="130"/>
      <c r="Z502" s="130"/>
      <c r="AA502" s="130"/>
      <c r="AB502" s="130"/>
      <c r="AC502" s="130"/>
      <c r="AD502" s="131"/>
      <c r="AE502" s="131"/>
      <c r="AF502" s="131"/>
      <c r="AG502" s="131"/>
      <c r="AH502" s="131"/>
      <c r="AI502" s="131"/>
      <c r="AJ502" s="131"/>
      <c r="AK502" s="131"/>
      <c r="AL502" s="131"/>
      <c r="AM502" s="131"/>
      <c r="AN502" s="131"/>
      <c r="AO502" s="131"/>
      <c r="AP502" s="131"/>
      <c r="AQ502" s="131"/>
      <c r="AR502" s="131"/>
      <c r="AS502" s="131"/>
      <c r="AT502" s="131"/>
      <c r="AU502" s="131"/>
      <c r="AV502" s="131"/>
      <c r="AW502" s="131"/>
      <c r="AX502" s="131"/>
      <c r="AY502" s="131"/>
      <c r="AZ502" s="131"/>
      <c r="BA502" s="131"/>
      <c r="BB502" s="131"/>
      <c r="BC502" s="131"/>
      <c r="BD502" s="131"/>
      <c r="BE502" s="131"/>
      <c r="BF502" s="131"/>
      <c r="BG502" s="131"/>
      <c r="BH502" s="131"/>
      <c r="BI502" s="131"/>
      <c r="BJ502" s="131"/>
      <c r="BK502" s="131"/>
      <c r="BL502" s="131"/>
      <c r="BM502" s="131"/>
      <c r="BN502" s="131"/>
      <c r="BO502" s="131"/>
      <c r="BP502" s="131"/>
      <c r="BQ502" s="131"/>
      <c r="BR502" s="131"/>
      <c r="BS502" s="131"/>
      <c r="BT502" s="131"/>
      <c r="BU502" s="131"/>
      <c r="BV502" s="131"/>
      <c r="BW502" s="131"/>
      <c r="BX502" s="131"/>
      <c r="BY502" s="131"/>
      <c r="BZ502" s="131"/>
      <c r="CA502" s="131"/>
      <c r="CB502" s="131"/>
      <c r="CC502" s="131"/>
      <c r="CD502" s="131"/>
      <c r="CE502" s="131"/>
      <c r="CF502" s="131"/>
      <c r="CG502" s="131"/>
      <c r="CH502" s="131"/>
      <c r="CI502" s="131"/>
      <c r="CJ502" s="131"/>
      <c r="CK502" s="131"/>
      <c r="CL502" s="131"/>
      <c r="CM502" s="131"/>
      <c r="CN502" s="131"/>
      <c r="CO502" s="131"/>
      <c r="CP502" s="131"/>
      <c r="CQ502" s="131"/>
      <c r="CR502" s="131"/>
      <c r="CS502" s="131"/>
      <c r="CT502" s="131"/>
      <c r="CU502" s="131"/>
      <c r="CV502" s="131"/>
      <c r="CW502" s="131"/>
      <c r="CX502" s="131"/>
      <c r="CY502" s="131"/>
      <c r="CZ502" s="131"/>
      <c r="DA502" s="131"/>
      <c r="DB502" s="131"/>
      <c r="DC502" s="131"/>
      <c r="DD502" s="131"/>
      <c r="DE502" s="131"/>
      <c r="DF502" s="131"/>
      <c r="DG502" s="131"/>
      <c r="DH502" s="131"/>
      <c r="DI502" s="131"/>
      <c r="DJ502" s="131"/>
      <c r="DK502" s="131"/>
      <c r="DL502" s="131"/>
      <c r="DM502" s="131"/>
      <c r="DN502" s="131"/>
      <c r="DO502" s="131"/>
      <c r="DP502" s="131"/>
      <c r="DQ502" s="131"/>
      <c r="DR502" s="131"/>
      <c r="DS502" s="131"/>
      <c r="DT502" s="131"/>
      <c r="DU502" s="131"/>
      <c r="DV502" s="131"/>
      <c r="DW502" s="131"/>
      <c r="DX502" s="131"/>
      <c r="DY502" s="131"/>
      <c r="DZ502" s="131"/>
      <c r="EA502" s="131"/>
      <c r="EB502" s="131"/>
      <c r="EC502" s="131"/>
      <c r="ED502" s="131"/>
      <c r="EE502" s="131"/>
      <c r="EF502" s="131"/>
      <c r="EG502" s="131"/>
      <c r="EH502" s="131"/>
      <c r="EI502" s="131"/>
      <c r="EJ502" s="131"/>
      <c r="EK502" s="131"/>
      <c r="EL502" s="131"/>
      <c r="EM502" s="131"/>
      <c r="EN502" s="131"/>
      <c r="EO502" s="131"/>
      <c r="EP502" s="131"/>
      <c r="EQ502" s="131"/>
      <c r="ER502" s="131"/>
      <c r="ES502" s="131"/>
      <c r="ET502" s="131"/>
      <c r="EU502" s="131"/>
      <c r="EV502" s="131"/>
      <c r="EW502" s="131"/>
      <c r="EX502" s="131"/>
      <c r="EY502" s="131"/>
      <c r="EZ502" s="131"/>
      <c r="FA502" s="131"/>
      <c r="FB502" s="131"/>
      <c r="FC502" s="131"/>
      <c r="FD502" s="131"/>
      <c r="FE502" s="131"/>
      <c r="FF502" s="131"/>
      <c r="FG502" s="131"/>
      <c r="FH502" s="131"/>
      <c r="FI502" s="131"/>
      <c r="FJ502" s="131"/>
      <c r="FK502" s="131"/>
      <c r="FL502" s="131"/>
      <c r="FM502" s="131"/>
      <c r="FN502" s="131"/>
      <c r="FO502" s="131"/>
      <c r="FP502" s="131"/>
      <c r="FQ502" s="131"/>
      <c r="FR502" s="131"/>
      <c r="FS502" s="131"/>
      <c r="FT502" s="131"/>
      <c r="FU502" s="131"/>
      <c r="FV502" s="131"/>
      <c r="FW502" s="131"/>
      <c r="FX502" s="131"/>
      <c r="FY502" s="131"/>
      <c r="FZ502" s="131"/>
      <c r="GA502" s="131"/>
      <c r="GB502" s="131"/>
      <c r="GC502" s="131"/>
      <c r="GD502" s="131"/>
      <c r="GE502" s="131"/>
      <c r="GF502" s="131"/>
      <c r="GG502" s="131"/>
      <c r="GH502" s="131"/>
      <c r="GI502" s="131"/>
      <c r="GJ502" s="131"/>
      <c r="GK502" s="131"/>
      <c r="GL502" s="131"/>
      <c r="GM502" s="131"/>
      <c r="GN502" s="131"/>
      <c r="GO502" s="131"/>
      <c r="GP502" s="131"/>
      <c r="GQ502" s="131"/>
      <c r="GR502" s="131"/>
      <c r="GS502" s="131"/>
      <c r="GT502" s="131"/>
      <c r="GU502" s="131"/>
      <c r="GV502" s="131"/>
      <c r="GW502" s="131"/>
      <c r="GX502" s="131"/>
      <c r="GY502" s="131"/>
      <c r="GZ502" s="131"/>
      <c r="HA502" s="131"/>
      <c r="HB502" s="131"/>
      <c r="HC502" s="131"/>
      <c r="HD502" s="131"/>
      <c r="HE502" s="131"/>
      <c r="HF502" s="131"/>
      <c r="HG502" s="131"/>
      <c r="HH502" s="131"/>
      <c r="HI502" s="131"/>
      <c r="HJ502" s="131"/>
      <c r="HK502" s="131"/>
      <c r="HL502" s="131"/>
      <c r="HM502" s="131"/>
      <c r="HN502" s="131"/>
      <c r="HO502" s="131"/>
      <c r="HP502" s="131"/>
      <c r="HQ502" s="131"/>
      <c r="HR502" s="131"/>
      <c r="HS502" s="131"/>
      <c r="HT502" s="131"/>
      <c r="HU502" s="131"/>
      <c r="HV502" s="131"/>
      <c r="HW502" s="131"/>
      <c r="HX502" s="131"/>
      <c r="HY502" s="131"/>
      <c r="HZ502" s="131"/>
      <c r="IA502" s="131"/>
      <c r="IB502" s="131"/>
      <c r="IC502" s="131"/>
      <c r="ID502" s="131"/>
      <c r="IE502" s="131"/>
      <c r="IF502" s="131"/>
      <c r="IG502" s="131"/>
      <c r="IH502" s="131"/>
      <c r="II502" s="131"/>
      <c r="IJ502" s="131"/>
      <c r="IK502" s="131"/>
      <c r="IL502" s="131"/>
      <c r="IM502" s="131"/>
      <c r="IN502" s="131"/>
      <c r="IO502" s="131"/>
      <c r="IP502" s="131"/>
      <c r="IQ502" s="131"/>
      <c r="IR502" s="131"/>
      <c r="IS502" s="131"/>
      <c r="IT502" s="131"/>
      <c r="IU502" s="131"/>
      <c r="IV502" s="131"/>
    </row>
    <row r="503" spans="1:256" s="13" customFormat="1" ht="38.25" customHeight="1">
      <c r="A503" s="21" t="s">
        <v>1</v>
      </c>
      <c r="B503" s="246" t="s">
        <v>34</v>
      </c>
      <c r="C503" s="246" t="s">
        <v>25</v>
      </c>
      <c r="D503" s="246" t="s">
        <v>980</v>
      </c>
      <c r="E503" s="246" t="s">
        <v>138</v>
      </c>
      <c r="F503" s="21" t="s">
        <v>976</v>
      </c>
      <c r="G503" s="246" t="s">
        <v>133</v>
      </c>
      <c r="H503" s="21">
        <v>236220</v>
      </c>
      <c r="I503" s="21" t="s">
        <v>28</v>
      </c>
      <c r="J503" s="21" t="s">
        <v>109</v>
      </c>
      <c r="K503" s="21" t="s">
        <v>1974</v>
      </c>
      <c r="L503" s="21" t="s">
        <v>1974</v>
      </c>
      <c r="M503" s="22">
        <v>500000</v>
      </c>
      <c r="N503" s="22">
        <v>1000000</v>
      </c>
      <c r="O503" s="21" t="s">
        <v>20</v>
      </c>
      <c r="P503" s="21" t="s">
        <v>278</v>
      </c>
      <c r="Q503" s="21" t="s">
        <v>279</v>
      </c>
      <c r="R503" s="21" t="s">
        <v>278</v>
      </c>
      <c r="S503" s="74">
        <v>2013</v>
      </c>
      <c r="T503" s="21" t="s">
        <v>977</v>
      </c>
      <c r="U503" s="21" t="s">
        <v>978</v>
      </c>
      <c r="V503" s="21" t="s">
        <v>979</v>
      </c>
      <c r="W503" s="21" t="s">
        <v>66</v>
      </c>
      <c r="X503" s="246" t="s">
        <v>2634</v>
      </c>
      <c r="Y503" s="130"/>
      <c r="Z503" s="130"/>
      <c r="AA503" s="130"/>
      <c r="AB503" s="130"/>
      <c r="AC503" s="130"/>
      <c r="AD503" s="131"/>
      <c r="AE503" s="131"/>
      <c r="AF503" s="131"/>
      <c r="AG503" s="131"/>
      <c r="AH503" s="131"/>
      <c r="AI503" s="131"/>
      <c r="AJ503" s="131"/>
      <c r="AK503" s="131"/>
      <c r="AL503" s="131"/>
      <c r="AM503" s="131"/>
      <c r="AN503" s="131"/>
      <c r="AO503" s="131"/>
      <c r="AP503" s="131"/>
      <c r="AQ503" s="131"/>
      <c r="AR503" s="131"/>
      <c r="AS503" s="131"/>
      <c r="AT503" s="131"/>
      <c r="AU503" s="131"/>
      <c r="AV503" s="131"/>
      <c r="AW503" s="131"/>
      <c r="AX503" s="131"/>
      <c r="AY503" s="131"/>
      <c r="AZ503" s="131"/>
      <c r="BA503" s="131"/>
      <c r="BB503" s="131"/>
      <c r="BC503" s="131"/>
      <c r="BD503" s="131"/>
      <c r="BE503" s="131"/>
      <c r="BF503" s="131"/>
      <c r="BG503" s="131"/>
      <c r="BH503" s="131"/>
      <c r="BI503" s="131"/>
      <c r="BJ503" s="131"/>
      <c r="BK503" s="131"/>
      <c r="BL503" s="131"/>
      <c r="BM503" s="131"/>
      <c r="BN503" s="131"/>
      <c r="BO503" s="131"/>
      <c r="BP503" s="131"/>
      <c r="BQ503" s="131"/>
      <c r="BR503" s="131"/>
      <c r="BS503" s="131"/>
      <c r="BT503" s="131"/>
      <c r="BU503" s="131"/>
      <c r="BV503" s="131"/>
      <c r="BW503" s="131"/>
      <c r="BX503" s="131"/>
      <c r="BY503" s="131"/>
      <c r="BZ503" s="131"/>
      <c r="CA503" s="131"/>
      <c r="CB503" s="131"/>
      <c r="CC503" s="131"/>
      <c r="CD503" s="131"/>
      <c r="CE503" s="131"/>
      <c r="CF503" s="131"/>
      <c r="CG503" s="131"/>
      <c r="CH503" s="131"/>
      <c r="CI503" s="131"/>
      <c r="CJ503" s="131"/>
      <c r="CK503" s="131"/>
      <c r="CL503" s="131"/>
      <c r="CM503" s="131"/>
      <c r="CN503" s="131"/>
      <c r="CO503" s="131"/>
      <c r="CP503" s="131"/>
      <c r="CQ503" s="131"/>
      <c r="CR503" s="131"/>
      <c r="CS503" s="131"/>
      <c r="CT503" s="131"/>
      <c r="CU503" s="131"/>
      <c r="CV503" s="131"/>
      <c r="CW503" s="131"/>
      <c r="CX503" s="131"/>
      <c r="CY503" s="131"/>
      <c r="CZ503" s="131"/>
      <c r="DA503" s="131"/>
      <c r="DB503" s="131"/>
      <c r="DC503" s="131"/>
      <c r="DD503" s="131"/>
      <c r="DE503" s="131"/>
      <c r="DF503" s="131"/>
      <c r="DG503" s="131"/>
      <c r="DH503" s="131"/>
      <c r="DI503" s="131"/>
      <c r="DJ503" s="131"/>
      <c r="DK503" s="131"/>
      <c r="DL503" s="131"/>
      <c r="DM503" s="131"/>
      <c r="DN503" s="131"/>
      <c r="DO503" s="131"/>
      <c r="DP503" s="131"/>
      <c r="DQ503" s="131"/>
      <c r="DR503" s="131"/>
      <c r="DS503" s="131"/>
      <c r="DT503" s="131"/>
      <c r="DU503" s="131"/>
      <c r="DV503" s="131"/>
      <c r="DW503" s="131"/>
      <c r="DX503" s="131"/>
      <c r="DY503" s="131"/>
      <c r="DZ503" s="131"/>
      <c r="EA503" s="131"/>
      <c r="EB503" s="131"/>
      <c r="EC503" s="131"/>
      <c r="ED503" s="131"/>
      <c r="EE503" s="131"/>
      <c r="EF503" s="131"/>
      <c r="EG503" s="131"/>
      <c r="EH503" s="131"/>
      <c r="EI503" s="131"/>
      <c r="EJ503" s="131"/>
      <c r="EK503" s="131"/>
      <c r="EL503" s="131"/>
      <c r="EM503" s="131"/>
      <c r="EN503" s="131"/>
      <c r="EO503" s="131"/>
      <c r="EP503" s="131"/>
      <c r="EQ503" s="131"/>
      <c r="ER503" s="131"/>
      <c r="ES503" s="131"/>
      <c r="ET503" s="131"/>
      <c r="EU503" s="131"/>
      <c r="EV503" s="131"/>
      <c r="EW503" s="131"/>
      <c r="EX503" s="131"/>
      <c r="EY503" s="131"/>
      <c r="EZ503" s="131"/>
      <c r="FA503" s="131"/>
      <c r="FB503" s="131"/>
      <c r="FC503" s="131"/>
      <c r="FD503" s="131"/>
      <c r="FE503" s="131"/>
      <c r="FF503" s="131"/>
      <c r="FG503" s="131"/>
      <c r="FH503" s="131"/>
      <c r="FI503" s="131"/>
      <c r="FJ503" s="131"/>
      <c r="FK503" s="131"/>
      <c r="FL503" s="131"/>
      <c r="FM503" s="131"/>
      <c r="FN503" s="131"/>
      <c r="FO503" s="131"/>
      <c r="FP503" s="131"/>
      <c r="FQ503" s="131"/>
      <c r="FR503" s="131"/>
      <c r="FS503" s="131"/>
      <c r="FT503" s="131"/>
      <c r="FU503" s="131"/>
      <c r="FV503" s="131"/>
      <c r="FW503" s="131"/>
      <c r="FX503" s="131"/>
      <c r="FY503" s="131"/>
      <c r="FZ503" s="131"/>
      <c r="GA503" s="131"/>
      <c r="GB503" s="131"/>
      <c r="GC503" s="131"/>
      <c r="GD503" s="131"/>
      <c r="GE503" s="131"/>
      <c r="GF503" s="131"/>
      <c r="GG503" s="131"/>
      <c r="GH503" s="131"/>
      <c r="GI503" s="131"/>
      <c r="GJ503" s="131"/>
      <c r="GK503" s="131"/>
      <c r="GL503" s="131"/>
      <c r="GM503" s="131"/>
      <c r="GN503" s="131"/>
      <c r="GO503" s="131"/>
      <c r="GP503" s="131"/>
      <c r="GQ503" s="131"/>
      <c r="GR503" s="131"/>
      <c r="GS503" s="131"/>
      <c r="GT503" s="131"/>
      <c r="GU503" s="131"/>
      <c r="GV503" s="131"/>
      <c r="GW503" s="131"/>
      <c r="GX503" s="131"/>
      <c r="GY503" s="131"/>
      <c r="GZ503" s="131"/>
      <c r="HA503" s="131"/>
      <c r="HB503" s="131"/>
      <c r="HC503" s="131"/>
      <c r="HD503" s="131"/>
      <c r="HE503" s="131"/>
      <c r="HF503" s="131"/>
      <c r="HG503" s="131"/>
      <c r="HH503" s="131"/>
      <c r="HI503" s="131"/>
      <c r="HJ503" s="131"/>
      <c r="HK503" s="131"/>
      <c r="HL503" s="131"/>
      <c r="HM503" s="131"/>
      <c r="HN503" s="131"/>
      <c r="HO503" s="131"/>
      <c r="HP503" s="131"/>
      <c r="HQ503" s="131"/>
      <c r="HR503" s="131"/>
      <c r="HS503" s="131"/>
      <c r="HT503" s="131"/>
      <c r="HU503" s="131"/>
      <c r="HV503" s="131"/>
      <c r="HW503" s="131"/>
      <c r="HX503" s="131"/>
      <c r="HY503" s="131"/>
      <c r="HZ503" s="131"/>
      <c r="IA503" s="131"/>
      <c r="IB503" s="131"/>
      <c r="IC503" s="131"/>
      <c r="ID503" s="131"/>
      <c r="IE503" s="131"/>
      <c r="IF503" s="131"/>
      <c r="IG503" s="131"/>
      <c r="IH503" s="131"/>
      <c r="II503" s="131"/>
      <c r="IJ503" s="131"/>
      <c r="IK503" s="131"/>
      <c r="IL503" s="131"/>
      <c r="IM503" s="131"/>
      <c r="IN503" s="131"/>
      <c r="IO503" s="131"/>
      <c r="IP503" s="131"/>
      <c r="IQ503" s="131"/>
      <c r="IR503" s="131"/>
      <c r="IS503" s="131"/>
      <c r="IT503" s="131"/>
      <c r="IU503" s="131"/>
      <c r="IV503" s="131"/>
    </row>
    <row r="504" spans="1:256" s="13" customFormat="1" ht="38.25" customHeight="1">
      <c r="A504" s="21" t="s">
        <v>1</v>
      </c>
      <c r="B504" s="246" t="s">
        <v>34</v>
      </c>
      <c r="C504" s="246" t="s">
        <v>25</v>
      </c>
      <c r="D504" s="246" t="s">
        <v>981</v>
      </c>
      <c r="E504" s="246" t="s">
        <v>138</v>
      </c>
      <c r="F504" s="21" t="s">
        <v>976</v>
      </c>
      <c r="G504" s="246" t="s">
        <v>133</v>
      </c>
      <c r="H504" s="21">
        <v>236220</v>
      </c>
      <c r="I504" s="21" t="s">
        <v>28</v>
      </c>
      <c r="J504" s="21" t="s">
        <v>109</v>
      </c>
      <c r="K504" s="21" t="s">
        <v>1974</v>
      </c>
      <c r="L504" s="21" t="s">
        <v>1974</v>
      </c>
      <c r="M504" s="22">
        <v>250000</v>
      </c>
      <c r="N504" s="22">
        <v>500000</v>
      </c>
      <c r="O504" s="21" t="s">
        <v>20</v>
      </c>
      <c r="P504" s="21" t="s">
        <v>278</v>
      </c>
      <c r="Q504" s="21" t="s">
        <v>279</v>
      </c>
      <c r="R504" s="21" t="s">
        <v>278</v>
      </c>
      <c r="S504" s="74">
        <v>2013</v>
      </c>
      <c r="T504" s="21" t="s">
        <v>977</v>
      </c>
      <c r="U504" s="21" t="s">
        <v>978</v>
      </c>
      <c r="V504" s="21" t="s">
        <v>979</v>
      </c>
      <c r="W504" s="21" t="s">
        <v>66</v>
      </c>
      <c r="X504" s="246" t="s">
        <v>2635</v>
      </c>
      <c r="Y504" s="130"/>
      <c r="Z504" s="130"/>
      <c r="AA504" s="130"/>
      <c r="AB504" s="130"/>
      <c r="AC504" s="130"/>
      <c r="AD504" s="131"/>
      <c r="AE504" s="131"/>
      <c r="AF504" s="131"/>
      <c r="AG504" s="131"/>
      <c r="AH504" s="131"/>
      <c r="AI504" s="131"/>
      <c r="AJ504" s="131"/>
      <c r="AK504" s="131"/>
      <c r="AL504" s="131"/>
      <c r="AM504" s="131"/>
      <c r="AN504" s="131"/>
      <c r="AO504" s="131"/>
      <c r="AP504" s="131"/>
      <c r="AQ504" s="131"/>
      <c r="AR504" s="131"/>
      <c r="AS504" s="131"/>
      <c r="AT504" s="131"/>
      <c r="AU504" s="131"/>
      <c r="AV504" s="131"/>
      <c r="AW504" s="131"/>
      <c r="AX504" s="131"/>
      <c r="AY504" s="131"/>
      <c r="AZ504" s="131"/>
      <c r="BA504" s="131"/>
      <c r="BB504" s="131"/>
      <c r="BC504" s="131"/>
      <c r="BD504" s="131"/>
      <c r="BE504" s="131"/>
      <c r="BF504" s="131"/>
      <c r="BG504" s="131"/>
      <c r="BH504" s="131"/>
      <c r="BI504" s="131"/>
      <c r="BJ504" s="131"/>
      <c r="BK504" s="131"/>
      <c r="BL504" s="131"/>
      <c r="BM504" s="131"/>
      <c r="BN504" s="131"/>
      <c r="BO504" s="131"/>
      <c r="BP504" s="131"/>
      <c r="BQ504" s="131"/>
      <c r="BR504" s="131"/>
      <c r="BS504" s="131"/>
      <c r="BT504" s="131"/>
      <c r="BU504" s="131"/>
      <c r="BV504" s="131"/>
      <c r="BW504" s="131"/>
      <c r="BX504" s="131"/>
      <c r="BY504" s="131"/>
      <c r="BZ504" s="131"/>
      <c r="CA504" s="131"/>
      <c r="CB504" s="131"/>
      <c r="CC504" s="131"/>
      <c r="CD504" s="131"/>
      <c r="CE504" s="131"/>
      <c r="CF504" s="131"/>
      <c r="CG504" s="131"/>
      <c r="CH504" s="131"/>
      <c r="CI504" s="131"/>
      <c r="CJ504" s="131"/>
      <c r="CK504" s="131"/>
      <c r="CL504" s="131"/>
      <c r="CM504" s="131"/>
      <c r="CN504" s="131"/>
      <c r="CO504" s="131"/>
      <c r="CP504" s="131"/>
      <c r="CQ504" s="131"/>
      <c r="CR504" s="131"/>
      <c r="CS504" s="131"/>
      <c r="CT504" s="131"/>
      <c r="CU504" s="131"/>
      <c r="CV504" s="131"/>
      <c r="CW504" s="131"/>
      <c r="CX504" s="131"/>
      <c r="CY504" s="131"/>
      <c r="CZ504" s="131"/>
      <c r="DA504" s="131"/>
      <c r="DB504" s="131"/>
      <c r="DC504" s="131"/>
      <c r="DD504" s="131"/>
      <c r="DE504" s="131"/>
      <c r="DF504" s="131"/>
      <c r="DG504" s="131"/>
      <c r="DH504" s="131"/>
      <c r="DI504" s="131"/>
      <c r="DJ504" s="131"/>
      <c r="DK504" s="131"/>
      <c r="DL504" s="131"/>
      <c r="DM504" s="131"/>
      <c r="DN504" s="131"/>
      <c r="DO504" s="131"/>
      <c r="DP504" s="131"/>
      <c r="DQ504" s="131"/>
      <c r="DR504" s="131"/>
      <c r="DS504" s="131"/>
      <c r="DT504" s="131"/>
      <c r="DU504" s="131"/>
      <c r="DV504" s="131"/>
      <c r="DW504" s="131"/>
      <c r="DX504" s="131"/>
      <c r="DY504" s="131"/>
      <c r="DZ504" s="131"/>
      <c r="EA504" s="131"/>
      <c r="EB504" s="131"/>
      <c r="EC504" s="131"/>
      <c r="ED504" s="131"/>
      <c r="EE504" s="131"/>
      <c r="EF504" s="131"/>
      <c r="EG504" s="131"/>
      <c r="EH504" s="131"/>
      <c r="EI504" s="131"/>
      <c r="EJ504" s="131"/>
      <c r="EK504" s="131"/>
      <c r="EL504" s="131"/>
      <c r="EM504" s="131"/>
      <c r="EN504" s="131"/>
      <c r="EO504" s="131"/>
      <c r="EP504" s="131"/>
      <c r="EQ504" s="131"/>
      <c r="ER504" s="131"/>
      <c r="ES504" s="131"/>
      <c r="ET504" s="131"/>
      <c r="EU504" s="131"/>
      <c r="EV504" s="131"/>
      <c r="EW504" s="131"/>
      <c r="EX504" s="131"/>
      <c r="EY504" s="131"/>
      <c r="EZ504" s="131"/>
      <c r="FA504" s="131"/>
      <c r="FB504" s="131"/>
      <c r="FC504" s="131"/>
      <c r="FD504" s="131"/>
      <c r="FE504" s="131"/>
      <c r="FF504" s="131"/>
      <c r="FG504" s="131"/>
      <c r="FH504" s="131"/>
      <c r="FI504" s="131"/>
      <c r="FJ504" s="131"/>
      <c r="FK504" s="131"/>
      <c r="FL504" s="131"/>
      <c r="FM504" s="131"/>
      <c r="FN504" s="131"/>
      <c r="FO504" s="131"/>
      <c r="FP504" s="131"/>
      <c r="FQ504" s="131"/>
      <c r="FR504" s="131"/>
      <c r="FS504" s="131"/>
      <c r="FT504" s="131"/>
      <c r="FU504" s="131"/>
      <c r="FV504" s="131"/>
      <c r="FW504" s="131"/>
      <c r="FX504" s="131"/>
      <c r="FY504" s="131"/>
      <c r="FZ504" s="131"/>
      <c r="GA504" s="131"/>
      <c r="GB504" s="131"/>
      <c r="GC504" s="131"/>
      <c r="GD504" s="131"/>
      <c r="GE504" s="131"/>
      <c r="GF504" s="131"/>
      <c r="GG504" s="131"/>
      <c r="GH504" s="131"/>
      <c r="GI504" s="131"/>
      <c r="GJ504" s="131"/>
      <c r="GK504" s="131"/>
      <c r="GL504" s="131"/>
      <c r="GM504" s="131"/>
      <c r="GN504" s="131"/>
      <c r="GO504" s="131"/>
      <c r="GP504" s="131"/>
      <c r="GQ504" s="131"/>
      <c r="GR504" s="131"/>
      <c r="GS504" s="131"/>
      <c r="GT504" s="131"/>
      <c r="GU504" s="131"/>
      <c r="GV504" s="131"/>
      <c r="GW504" s="131"/>
      <c r="GX504" s="131"/>
      <c r="GY504" s="131"/>
      <c r="GZ504" s="131"/>
      <c r="HA504" s="131"/>
      <c r="HB504" s="131"/>
      <c r="HC504" s="131"/>
      <c r="HD504" s="131"/>
      <c r="HE504" s="131"/>
      <c r="HF504" s="131"/>
      <c r="HG504" s="131"/>
      <c r="HH504" s="131"/>
      <c r="HI504" s="131"/>
      <c r="HJ504" s="131"/>
      <c r="HK504" s="131"/>
      <c r="HL504" s="131"/>
      <c r="HM504" s="131"/>
      <c r="HN504" s="131"/>
      <c r="HO504" s="131"/>
      <c r="HP504" s="131"/>
      <c r="HQ504" s="131"/>
      <c r="HR504" s="131"/>
      <c r="HS504" s="131"/>
      <c r="HT504" s="131"/>
      <c r="HU504" s="131"/>
      <c r="HV504" s="131"/>
      <c r="HW504" s="131"/>
      <c r="HX504" s="131"/>
      <c r="HY504" s="131"/>
      <c r="HZ504" s="131"/>
      <c r="IA504" s="131"/>
      <c r="IB504" s="131"/>
      <c r="IC504" s="131"/>
      <c r="ID504" s="131"/>
      <c r="IE504" s="131"/>
      <c r="IF504" s="131"/>
      <c r="IG504" s="131"/>
      <c r="IH504" s="131"/>
      <c r="II504" s="131"/>
      <c r="IJ504" s="131"/>
      <c r="IK504" s="131"/>
      <c r="IL504" s="131"/>
      <c r="IM504" s="131"/>
      <c r="IN504" s="131"/>
      <c r="IO504" s="131"/>
      <c r="IP504" s="131"/>
      <c r="IQ504" s="131"/>
      <c r="IR504" s="131"/>
      <c r="IS504" s="131"/>
      <c r="IT504" s="131"/>
      <c r="IU504" s="131"/>
      <c r="IV504" s="131"/>
    </row>
    <row r="505" spans="1:256" s="13" customFormat="1" ht="38.25" customHeight="1">
      <c r="A505" s="21" t="s">
        <v>1</v>
      </c>
      <c r="B505" s="246" t="s">
        <v>34</v>
      </c>
      <c r="C505" s="246" t="s">
        <v>25</v>
      </c>
      <c r="D505" s="246" t="s">
        <v>982</v>
      </c>
      <c r="E505" s="246" t="s">
        <v>138</v>
      </c>
      <c r="F505" s="21" t="s">
        <v>976</v>
      </c>
      <c r="G505" s="246" t="s">
        <v>133</v>
      </c>
      <c r="H505" s="21">
        <v>236220</v>
      </c>
      <c r="I505" s="21" t="s">
        <v>28</v>
      </c>
      <c r="J505" s="21" t="s">
        <v>109</v>
      </c>
      <c r="K505" s="21" t="s">
        <v>1974</v>
      </c>
      <c r="L505" s="21" t="s">
        <v>1974</v>
      </c>
      <c r="M505" s="22">
        <v>250000</v>
      </c>
      <c r="N505" s="22">
        <v>500000</v>
      </c>
      <c r="O505" s="21" t="s">
        <v>20</v>
      </c>
      <c r="P505" s="21" t="s">
        <v>278</v>
      </c>
      <c r="Q505" s="21" t="s">
        <v>279</v>
      </c>
      <c r="R505" s="21" t="s">
        <v>278</v>
      </c>
      <c r="S505" s="74">
        <v>2013</v>
      </c>
      <c r="T505" s="21" t="s">
        <v>977</v>
      </c>
      <c r="U505" s="21" t="s">
        <v>978</v>
      </c>
      <c r="V505" s="21" t="s">
        <v>979</v>
      </c>
      <c r="W505" s="21" t="s">
        <v>66</v>
      </c>
      <c r="X505" s="246" t="s">
        <v>2636</v>
      </c>
      <c r="Y505" s="130"/>
      <c r="Z505" s="130"/>
      <c r="AA505" s="130"/>
      <c r="AB505" s="130"/>
      <c r="AC505" s="130"/>
      <c r="AD505" s="131"/>
      <c r="AE505" s="131"/>
      <c r="AF505" s="131"/>
      <c r="AG505" s="131"/>
      <c r="AH505" s="131"/>
      <c r="AI505" s="131"/>
      <c r="AJ505" s="131"/>
      <c r="AK505" s="131"/>
      <c r="AL505" s="131"/>
      <c r="AM505" s="131"/>
      <c r="AN505" s="131"/>
      <c r="AO505" s="131"/>
      <c r="AP505" s="131"/>
      <c r="AQ505" s="131"/>
      <c r="AR505" s="131"/>
      <c r="AS505" s="131"/>
      <c r="AT505" s="131"/>
      <c r="AU505" s="131"/>
      <c r="AV505" s="131"/>
      <c r="AW505" s="131"/>
      <c r="AX505" s="131"/>
      <c r="AY505" s="131"/>
      <c r="AZ505" s="131"/>
      <c r="BA505" s="131"/>
      <c r="BB505" s="131"/>
      <c r="BC505" s="131"/>
      <c r="BD505" s="131"/>
      <c r="BE505" s="131"/>
      <c r="BF505" s="131"/>
      <c r="BG505" s="131"/>
      <c r="BH505" s="131"/>
      <c r="BI505" s="131"/>
      <c r="BJ505" s="131"/>
      <c r="BK505" s="131"/>
      <c r="BL505" s="131"/>
      <c r="BM505" s="131"/>
      <c r="BN505" s="131"/>
      <c r="BO505" s="131"/>
      <c r="BP505" s="131"/>
      <c r="BQ505" s="131"/>
      <c r="BR505" s="131"/>
      <c r="BS505" s="131"/>
      <c r="BT505" s="131"/>
      <c r="BU505" s="131"/>
      <c r="BV505" s="131"/>
      <c r="BW505" s="131"/>
      <c r="BX505" s="131"/>
      <c r="BY505" s="131"/>
      <c r="BZ505" s="131"/>
      <c r="CA505" s="131"/>
      <c r="CB505" s="131"/>
      <c r="CC505" s="131"/>
      <c r="CD505" s="131"/>
      <c r="CE505" s="131"/>
      <c r="CF505" s="131"/>
      <c r="CG505" s="131"/>
      <c r="CH505" s="131"/>
      <c r="CI505" s="131"/>
      <c r="CJ505" s="131"/>
      <c r="CK505" s="131"/>
      <c r="CL505" s="131"/>
      <c r="CM505" s="131"/>
      <c r="CN505" s="131"/>
      <c r="CO505" s="131"/>
      <c r="CP505" s="131"/>
      <c r="CQ505" s="131"/>
      <c r="CR505" s="131"/>
      <c r="CS505" s="131"/>
      <c r="CT505" s="131"/>
      <c r="CU505" s="131"/>
      <c r="CV505" s="131"/>
      <c r="CW505" s="131"/>
      <c r="CX505" s="131"/>
      <c r="CY505" s="131"/>
      <c r="CZ505" s="131"/>
      <c r="DA505" s="131"/>
      <c r="DB505" s="131"/>
      <c r="DC505" s="131"/>
      <c r="DD505" s="131"/>
      <c r="DE505" s="131"/>
      <c r="DF505" s="131"/>
      <c r="DG505" s="131"/>
      <c r="DH505" s="131"/>
      <c r="DI505" s="131"/>
      <c r="DJ505" s="131"/>
      <c r="DK505" s="131"/>
      <c r="DL505" s="131"/>
      <c r="DM505" s="131"/>
      <c r="DN505" s="131"/>
      <c r="DO505" s="131"/>
      <c r="DP505" s="131"/>
      <c r="DQ505" s="131"/>
      <c r="DR505" s="131"/>
      <c r="DS505" s="131"/>
      <c r="DT505" s="131"/>
      <c r="DU505" s="131"/>
      <c r="DV505" s="131"/>
      <c r="DW505" s="131"/>
      <c r="DX505" s="131"/>
      <c r="DY505" s="131"/>
      <c r="DZ505" s="131"/>
      <c r="EA505" s="131"/>
      <c r="EB505" s="131"/>
      <c r="EC505" s="131"/>
      <c r="ED505" s="131"/>
      <c r="EE505" s="131"/>
      <c r="EF505" s="131"/>
      <c r="EG505" s="131"/>
      <c r="EH505" s="131"/>
      <c r="EI505" s="131"/>
      <c r="EJ505" s="131"/>
      <c r="EK505" s="131"/>
      <c r="EL505" s="131"/>
      <c r="EM505" s="131"/>
      <c r="EN505" s="131"/>
      <c r="EO505" s="131"/>
      <c r="EP505" s="131"/>
      <c r="EQ505" s="131"/>
      <c r="ER505" s="131"/>
      <c r="ES505" s="131"/>
      <c r="ET505" s="131"/>
      <c r="EU505" s="131"/>
      <c r="EV505" s="131"/>
      <c r="EW505" s="131"/>
      <c r="EX505" s="131"/>
      <c r="EY505" s="131"/>
      <c r="EZ505" s="131"/>
      <c r="FA505" s="131"/>
      <c r="FB505" s="131"/>
      <c r="FC505" s="131"/>
      <c r="FD505" s="131"/>
      <c r="FE505" s="131"/>
      <c r="FF505" s="131"/>
      <c r="FG505" s="131"/>
      <c r="FH505" s="131"/>
      <c r="FI505" s="131"/>
      <c r="FJ505" s="131"/>
      <c r="FK505" s="131"/>
      <c r="FL505" s="131"/>
      <c r="FM505" s="131"/>
      <c r="FN505" s="131"/>
      <c r="FO505" s="131"/>
      <c r="FP505" s="131"/>
      <c r="FQ505" s="131"/>
      <c r="FR505" s="131"/>
      <c r="FS505" s="131"/>
      <c r="FT505" s="131"/>
      <c r="FU505" s="131"/>
      <c r="FV505" s="131"/>
      <c r="FW505" s="131"/>
      <c r="FX505" s="131"/>
      <c r="FY505" s="131"/>
      <c r="FZ505" s="131"/>
      <c r="GA505" s="131"/>
      <c r="GB505" s="131"/>
      <c r="GC505" s="131"/>
      <c r="GD505" s="131"/>
      <c r="GE505" s="131"/>
      <c r="GF505" s="131"/>
      <c r="GG505" s="131"/>
      <c r="GH505" s="131"/>
      <c r="GI505" s="131"/>
      <c r="GJ505" s="131"/>
      <c r="GK505" s="131"/>
      <c r="GL505" s="131"/>
      <c r="GM505" s="131"/>
      <c r="GN505" s="131"/>
      <c r="GO505" s="131"/>
      <c r="GP505" s="131"/>
      <c r="GQ505" s="131"/>
      <c r="GR505" s="131"/>
      <c r="GS505" s="131"/>
      <c r="GT505" s="131"/>
      <c r="GU505" s="131"/>
      <c r="GV505" s="131"/>
      <c r="GW505" s="131"/>
      <c r="GX505" s="131"/>
      <c r="GY505" s="131"/>
      <c r="GZ505" s="131"/>
      <c r="HA505" s="131"/>
      <c r="HB505" s="131"/>
      <c r="HC505" s="131"/>
      <c r="HD505" s="131"/>
      <c r="HE505" s="131"/>
      <c r="HF505" s="131"/>
      <c r="HG505" s="131"/>
      <c r="HH505" s="131"/>
      <c r="HI505" s="131"/>
      <c r="HJ505" s="131"/>
      <c r="HK505" s="131"/>
      <c r="HL505" s="131"/>
      <c r="HM505" s="131"/>
      <c r="HN505" s="131"/>
      <c r="HO505" s="131"/>
      <c r="HP505" s="131"/>
      <c r="HQ505" s="131"/>
      <c r="HR505" s="131"/>
      <c r="HS505" s="131"/>
      <c r="HT505" s="131"/>
      <c r="HU505" s="131"/>
      <c r="HV505" s="131"/>
      <c r="HW505" s="131"/>
      <c r="HX505" s="131"/>
      <c r="HY505" s="131"/>
      <c r="HZ505" s="131"/>
      <c r="IA505" s="131"/>
      <c r="IB505" s="131"/>
      <c r="IC505" s="131"/>
      <c r="ID505" s="131"/>
      <c r="IE505" s="131"/>
      <c r="IF505" s="131"/>
      <c r="IG505" s="131"/>
      <c r="IH505" s="131"/>
      <c r="II505" s="131"/>
      <c r="IJ505" s="131"/>
      <c r="IK505" s="131"/>
      <c r="IL505" s="131"/>
      <c r="IM505" s="131"/>
      <c r="IN505" s="131"/>
      <c r="IO505" s="131"/>
      <c r="IP505" s="131"/>
      <c r="IQ505" s="131"/>
      <c r="IR505" s="131"/>
      <c r="IS505" s="131"/>
      <c r="IT505" s="131"/>
      <c r="IU505" s="131"/>
      <c r="IV505" s="131"/>
    </row>
    <row r="506" spans="1:256" s="13" customFormat="1" ht="38.25" customHeight="1">
      <c r="A506" s="21" t="s">
        <v>1</v>
      </c>
      <c r="B506" s="246" t="s">
        <v>34</v>
      </c>
      <c r="C506" s="246" t="s">
        <v>25</v>
      </c>
      <c r="D506" s="246" t="s">
        <v>983</v>
      </c>
      <c r="E506" s="246" t="s">
        <v>138</v>
      </c>
      <c r="F506" s="21" t="s">
        <v>976</v>
      </c>
      <c r="G506" s="246" t="s">
        <v>133</v>
      </c>
      <c r="H506" s="21">
        <v>236220</v>
      </c>
      <c r="I506" s="21" t="s">
        <v>28</v>
      </c>
      <c r="J506" s="21" t="s">
        <v>109</v>
      </c>
      <c r="K506" s="21" t="s">
        <v>1974</v>
      </c>
      <c r="L506" s="21" t="s">
        <v>1974</v>
      </c>
      <c r="M506" s="22">
        <v>1000</v>
      </c>
      <c r="N506" s="22">
        <v>25000</v>
      </c>
      <c r="O506" s="21" t="s">
        <v>9</v>
      </c>
      <c r="P506" s="21" t="s">
        <v>278</v>
      </c>
      <c r="Q506" s="21" t="s">
        <v>279</v>
      </c>
      <c r="R506" s="21" t="s">
        <v>278</v>
      </c>
      <c r="S506" s="74">
        <v>2013</v>
      </c>
      <c r="T506" s="21" t="s">
        <v>977</v>
      </c>
      <c r="U506" s="21" t="s">
        <v>978</v>
      </c>
      <c r="V506" s="21" t="s">
        <v>979</v>
      </c>
      <c r="W506" s="21" t="s">
        <v>66</v>
      </c>
      <c r="X506" s="246" t="s">
        <v>2637</v>
      </c>
      <c r="Y506" s="130"/>
      <c r="Z506" s="130"/>
      <c r="AA506" s="130"/>
      <c r="AB506" s="130"/>
      <c r="AC506" s="130"/>
      <c r="AD506" s="131"/>
      <c r="AE506" s="131"/>
      <c r="AF506" s="131"/>
      <c r="AG506" s="131"/>
      <c r="AH506" s="131"/>
      <c r="AI506" s="131"/>
      <c r="AJ506" s="131"/>
      <c r="AK506" s="131"/>
      <c r="AL506" s="131"/>
      <c r="AM506" s="131"/>
      <c r="AN506" s="131"/>
      <c r="AO506" s="131"/>
      <c r="AP506" s="131"/>
      <c r="AQ506" s="131"/>
      <c r="AR506" s="131"/>
      <c r="AS506" s="131"/>
      <c r="AT506" s="131"/>
      <c r="AU506" s="131"/>
      <c r="AV506" s="131"/>
      <c r="AW506" s="131"/>
      <c r="AX506" s="131"/>
      <c r="AY506" s="131"/>
      <c r="AZ506" s="131"/>
      <c r="BA506" s="131"/>
      <c r="BB506" s="131"/>
      <c r="BC506" s="131"/>
      <c r="BD506" s="131"/>
      <c r="BE506" s="131"/>
      <c r="BF506" s="131"/>
      <c r="BG506" s="131"/>
      <c r="BH506" s="131"/>
      <c r="BI506" s="131"/>
      <c r="BJ506" s="131"/>
      <c r="BK506" s="131"/>
      <c r="BL506" s="131"/>
      <c r="BM506" s="131"/>
      <c r="BN506" s="131"/>
      <c r="BO506" s="131"/>
      <c r="BP506" s="131"/>
      <c r="BQ506" s="131"/>
      <c r="BR506" s="131"/>
      <c r="BS506" s="131"/>
      <c r="BT506" s="131"/>
      <c r="BU506" s="131"/>
      <c r="BV506" s="131"/>
      <c r="BW506" s="131"/>
      <c r="BX506" s="131"/>
      <c r="BY506" s="131"/>
      <c r="BZ506" s="131"/>
      <c r="CA506" s="131"/>
      <c r="CB506" s="131"/>
      <c r="CC506" s="131"/>
      <c r="CD506" s="131"/>
      <c r="CE506" s="131"/>
      <c r="CF506" s="131"/>
      <c r="CG506" s="131"/>
      <c r="CH506" s="131"/>
      <c r="CI506" s="131"/>
      <c r="CJ506" s="131"/>
      <c r="CK506" s="131"/>
      <c r="CL506" s="131"/>
      <c r="CM506" s="131"/>
      <c r="CN506" s="131"/>
      <c r="CO506" s="131"/>
      <c r="CP506" s="131"/>
      <c r="CQ506" s="131"/>
      <c r="CR506" s="131"/>
      <c r="CS506" s="131"/>
      <c r="CT506" s="131"/>
      <c r="CU506" s="131"/>
      <c r="CV506" s="131"/>
      <c r="CW506" s="131"/>
      <c r="CX506" s="131"/>
      <c r="CY506" s="131"/>
      <c r="CZ506" s="131"/>
      <c r="DA506" s="131"/>
      <c r="DB506" s="131"/>
      <c r="DC506" s="131"/>
      <c r="DD506" s="131"/>
      <c r="DE506" s="131"/>
      <c r="DF506" s="131"/>
      <c r="DG506" s="131"/>
      <c r="DH506" s="131"/>
      <c r="DI506" s="131"/>
      <c r="DJ506" s="131"/>
      <c r="DK506" s="131"/>
      <c r="DL506" s="131"/>
      <c r="DM506" s="131"/>
      <c r="DN506" s="131"/>
      <c r="DO506" s="131"/>
      <c r="DP506" s="131"/>
      <c r="DQ506" s="131"/>
      <c r="DR506" s="131"/>
      <c r="DS506" s="131"/>
      <c r="DT506" s="131"/>
      <c r="DU506" s="131"/>
      <c r="DV506" s="131"/>
      <c r="DW506" s="131"/>
      <c r="DX506" s="131"/>
      <c r="DY506" s="131"/>
      <c r="DZ506" s="131"/>
      <c r="EA506" s="131"/>
      <c r="EB506" s="131"/>
      <c r="EC506" s="131"/>
      <c r="ED506" s="131"/>
      <c r="EE506" s="131"/>
      <c r="EF506" s="131"/>
      <c r="EG506" s="131"/>
      <c r="EH506" s="131"/>
      <c r="EI506" s="131"/>
      <c r="EJ506" s="131"/>
      <c r="EK506" s="131"/>
      <c r="EL506" s="131"/>
      <c r="EM506" s="131"/>
      <c r="EN506" s="131"/>
      <c r="EO506" s="131"/>
      <c r="EP506" s="131"/>
      <c r="EQ506" s="131"/>
      <c r="ER506" s="131"/>
      <c r="ES506" s="131"/>
      <c r="ET506" s="131"/>
      <c r="EU506" s="131"/>
      <c r="EV506" s="131"/>
      <c r="EW506" s="131"/>
      <c r="EX506" s="131"/>
      <c r="EY506" s="131"/>
      <c r="EZ506" s="131"/>
      <c r="FA506" s="131"/>
      <c r="FB506" s="131"/>
      <c r="FC506" s="131"/>
      <c r="FD506" s="131"/>
      <c r="FE506" s="131"/>
      <c r="FF506" s="131"/>
      <c r="FG506" s="131"/>
      <c r="FH506" s="131"/>
      <c r="FI506" s="131"/>
      <c r="FJ506" s="131"/>
      <c r="FK506" s="131"/>
      <c r="FL506" s="131"/>
      <c r="FM506" s="131"/>
      <c r="FN506" s="131"/>
      <c r="FO506" s="131"/>
      <c r="FP506" s="131"/>
      <c r="FQ506" s="131"/>
      <c r="FR506" s="131"/>
      <c r="FS506" s="131"/>
      <c r="FT506" s="131"/>
      <c r="FU506" s="131"/>
      <c r="FV506" s="131"/>
      <c r="FW506" s="131"/>
      <c r="FX506" s="131"/>
      <c r="FY506" s="131"/>
      <c r="FZ506" s="131"/>
      <c r="GA506" s="131"/>
      <c r="GB506" s="131"/>
      <c r="GC506" s="131"/>
      <c r="GD506" s="131"/>
      <c r="GE506" s="131"/>
      <c r="GF506" s="131"/>
      <c r="GG506" s="131"/>
      <c r="GH506" s="131"/>
      <c r="GI506" s="131"/>
      <c r="GJ506" s="131"/>
      <c r="GK506" s="131"/>
      <c r="GL506" s="131"/>
      <c r="GM506" s="131"/>
      <c r="GN506" s="131"/>
      <c r="GO506" s="131"/>
      <c r="GP506" s="131"/>
      <c r="GQ506" s="131"/>
      <c r="GR506" s="131"/>
      <c r="GS506" s="131"/>
      <c r="GT506" s="131"/>
      <c r="GU506" s="131"/>
      <c r="GV506" s="131"/>
      <c r="GW506" s="131"/>
      <c r="GX506" s="131"/>
      <c r="GY506" s="131"/>
      <c r="GZ506" s="131"/>
      <c r="HA506" s="131"/>
      <c r="HB506" s="131"/>
      <c r="HC506" s="131"/>
      <c r="HD506" s="131"/>
      <c r="HE506" s="131"/>
      <c r="HF506" s="131"/>
      <c r="HG506" s="131"/>
      <c r="HH506" s="131"/>
      <c r="HI506" s="131"/>
      <c r="HJ506" s="131"/>
      <c r="HK506" s="131"/>
      <c r="HL506" s="131"/>
      <c r="HM506" s="131"/>
      <c r="HN506" s="131"/>
      <c r="HO506" s="131"/>
      <c r="HP506" s="131"/>
      <c r="HQ506" s="131"/>
      <c r="HR506" s="131"/>
      <c r="HS506" s="131"/>
      <c r="HT506" s="131"/>
      <c r="HU506" s="131"/>
      <c r="HV506" s="131"/>
      <c r="HW506" s="131"/>
      <c r="HX506" s="131"/>
      <c r="HY506" s="131"/>
      <c r="HZ506" s="131"/>
      <c r="IA506" s="131"/>
      <c r="IB506" s="131"/>
      <c r="IC506" s="131"/>
      <c r="ID506" s="131"/>
      <c r="IE506" s="131"/>
      <c r="IF506" s="131"/>
      <c r="IG506" s="131"/>
      <c r="IH506" s="131"/>
      <c r="II506" s="131"/>
      <c r="IJ506" s="131"/>
      <c r="IK506" s="131"/>
      <c r="IL506" s="131"/>
      <c r="IM506" s="131"/>
      <c r="IN506" s="131"/>
      <c r="IO506" s="131"/>
      <c r="IP506" s="131"/>
      <c r="IQ506" s="131"/>
      <c r="IR506" s="131"/>
      <c r="IS506" s="131"/>
      <c r="IT506" s="131"/>
      <c r="IU506" s="131"/>
      <c r="IV506" s="131"/>
    </row>
    <row r="507" spans="1:256" s="13" customFormat="1" ht="38.25" customHeight="1">
      <c r="A507" s="21" t="s">
        <v>1</v>
      </c>
      <c r="B507" s="246" t="s">
        <v>34</v>
      </c>
      <c r="C507" s="246" t="s">
        <v>25</v>
      </c>
      <c r="D507" s="18"/>
      <c r="E507" s="246" t="s">
        <v>138</v>
      </c>
      <c r="F507" s="21" t="s">
        <v>976</v>
      </c>
      <c r="G507" s="246" t="s">
        <v>133</v>
      </c>
      <c r="H507" s="21">
        <v>236220</v>
      </c>
      <c r="I507" s="21" t="s">
        <v>28</v>
      </c>
      <c r="J507" s="21" t="s">
        <v>109</v>
      </c>
      <c r="K507" s="21" t="s">
        <v>1974</v>
      </c>
      <c r="L507" s="21" t="s">
        <v>1974</v>
      </c>
      <c r="M507" s="22">
        <v>1000</v>
      </c>
      <c r="N507" s="22">
        <v>25000</v>
      </c>
      <c r="O507" s="21" t="s">
        <v>9</v>
      </c>
      <c r="P507" s="21" t="s">
        <v>278</v>
      </c>
      <c r="Q507" s="21" t="s">
        <v>279</v>
      </c>
      <c r="R507" s="21" t="s">
        <v>278</v>
      </c>
      <c r="S507" s="74">
        <v>2013</v>
      </c>
      <c r="T507" s="21" t="s">
        <v>977</v>
      </c>
      <c r="U507" s="21" t="s">
        <v>978</v>
      </c>
      <c r="V507" s="21" t="s">
        <v>979</v>
      </c>
      <c r="W507" s="21" t="s">
        <v>66</v>
      </c>
      <c r="X507" s="246" t="s">
        <v>2638</v>
      </c>
      <c r="Y507" s="130"/>
      <c r="Z507" s="130"/>
      <c r="AA507" s="130"/>
      <c r="AB507" s="130"/>
      <c r="AC507" s="130"/>
      <c r="AD507" s="131"/>
      <c r="AE507" s="131"/>
      <c r="AF507" s="131"/>
      <c r="AG507" s="131"/>
      <c r="AH507" s="131"/>
      <c r="AI507" s="131"/>
      <c r="AJ507" s="131"/>
      <c r="AK507" s="131"/>
      <c r="AL507" s="131"/>
      <c r="AM507" s="131"/>
      <c r="AN507" s="131"/>
      <c r="AO507" s="131"/>
      <c r="AP507" s="131"/>
      <c r="AQ507" s="131"/>
      <c r="AR507" s="131"/>
      <c r="AS507" s="131"/>
      <c r="AT507" s="131"/>
      <c r="AU507" s="131"/>
      <c r="AV507" s="131"/>
      <c r="AW507" s="131"/>
      <c r="AX507" s="131"/>
      <c r="AY507" s="131"/>
      <c r="AZ507" s="131"/>
      <c r="BA507" s="131"/>
      <c r="BB507" s="131"/>
      <c r="BC507" s="131"/>
      <c r="BD507" s="131"/>
      <c r="BE507" s="131"/>
      <c r="BF507" s="131"/>
      <c r="BG507" s="131"/>
      <c r="BH507" s="131"/>
      <c r="BI507" s="131"/>
      <c r="BJ507" s="131"/>
      <c r="BK507" s="131"/>
      <c r="BL507" s="131"/>
      <c r="BM507" s="131"/>
      <c r="BN507" s="131"/>
      <c r="BO507" s="131"/>
      <c r="BP507" s="131"/>
      <c r="BQ507" s="131"/>
      <c r="BR507" s="131"/>
      <c r="BS507" s="131"/>
      <c r="BT507" s="131"/>
      <c r="BU507" s="131"/>
      <c r="BV507" s="131"/>
      <c r="BW507" s="131"/>
      <c r="BX507" s="131"/>
      <c r="BY507" s="131"/>
      <c r="BZ507" s="131"/>
      <c r="CA507" s="131"/>
      <c r="CB507" s="131"/>
      <c r="CC507" s="131"/>
      <c r="CD507" s="131"/>
      <c r="CE507" s="131"/>
      <c r="CF507" s="131"/>
      <c r="CG507" s="131"/>
      <c r="CH507" s="131"/>
      <c r="CI507" s="131"/>
      <c r="CJ507" s="131"/>
      <c r="CK507" s="131"/>
      <c r="CL507" s="131"/>
      <c r="CM507" s="131"/>
      <c r="CN507" s="131"/>
      <c r="CO507" s="131"/>
      <c r="CP507" s="131"/>
      <c r="CQ507" s="131"/>
      <c r="CR507" s="131"/>
      <c r="CS507" s="131"/>
      <c r="CT507" s="131"/>
      <c r="CU507" s="131"/>
      <c r="CV507" s="131"/>
      <c r="CW507" s="131"/>
      <c r="CX507" s="131"/>
      <c r="CY507" s="131"/>
      <c r="CZ507" s="131"/>
      <c r="DA507" s="131"/>
      <c r="DB507" s="131"/>
      <c r="DC507" s="131"/>
      <c r="DD507" s="131"/>
      <c r="DE507" s="131"/>
      <c r="DF507" s="131"/>
      <c r="DG507" s="131"/>
      <c r="DH507" s="131"/>
      <c r="DI507" s="131"/>
      <c r="DJ507" s="131"/>
      <c r="DK507" s="131"/>
      <c r="DL507" s="131"/>
      <c r="DM507" s="131"/>
      <c r="DN507" s="131"/>
      <c r="DO507" s="131"/>
      <c r="DP507" s="131"/>
      <c r="DQ507" s="131"/>
      <c r="DR507" s="131"/>
      <c r="DS507" s="131"/>
      <c r="DT507" s="131"/>
      <c r="DU507" s="131"/>
      <c r="DV507" s="131"/>
      <c r="DW507" s="131"/>
      <c r="DX507" s="131"/>
      <c r="DY507" s="131"/>
      <c r="DZ507" s="131"/>
      <c r="EA507" s="131"/>
      <c r="EB507" s="131"/>
      <c r="EC507" s="131"/>
      <c r="ED507" s="131"/>
      <c r="EE507" s="131"/>
      <c r="EF507" s="131"/>
      <c r="EG507" s="131"/>
      <c r="EH507" s="131"/>
      <c r="EI507" s="131"/>
      <c r="EJ507" s="131"/>
      <c r="EK507" s="131"/>
      <c r="EL507" s="131"/>
      <c r="EM507" s="131"/>
      <c r="EN507" s="131"/>
      <c r="EO507" s="131"/>
      <c r="EP507" s="131"/>
      <c r="EQ507" s="131"/>
      <c r="ER507" s="131"/>
      <c r="ES507" s="131"/>
      <c r="ET507" s="131"/>
      <c r="EU507" s="131"/>
      <c r="EV507" s="131"/>
      <c r="EW507" s="131"/>
      <c r="EX507" s="131"/>
      <c r="EY507" s="131"/>
      <c r="EZ507" s="131"/>
      <c r="FA507" s="131"/>
      <c r="FB507" s="131"/>
      <c r="FC507" s="131"/>
      <c r="FD507" s="131"/>
      <c r="FE507" s="131"/>
      <c r="FF507" s="131"/>
      <c r="FG507" s="131"/>
      <c r="FH507" s="131"/>
      <c r="FI507" s="131"/>
      <c r="FJ507" s="131"/>
      <c r="FK507" s="131"/>
      <c r="FL507" s="131"/>
      <c r="FM507" s="131"/>
      <c r="FN507" s="131"/>
      <c r="FO507" s="131"/>
      <c r="FP507" s="131"/>
      <c r="FQ507" s="131"/>
      <c r="FR507" s="131"/>
      <c r="FS507" s="131"/>
      <c r="FT507" s="131"/>
      <c r="FU507" s="131"/>
      <c r="FV507" s="131"/>
      <c r="FW507" s="131"/>
      <c r="FX507" s="131"/>
      <c r="FY507" s="131"/>
      <c r="FZ507" s="131"/>
      <c r="GA507" s="131"/>
      <c r="GB507" s="131"/>
      <c r="GC507" s="131"/>
      <c r="GD507" s="131"/>
      <c r="GE507" s="131"/>
      <c r="GF507" s="131"/>
      <c r="GG507" s="131"/>
      <c r="GH507" s="131"/>
      <c r="GI507" s="131"/>
      <c r="GJ507" s="131"/>
      <c r="GK507" s="131"/>
      <c r="GL507" s="131"/>
      <c r="GM507" s="131"/>
      <c r="GN507" s="131"/>
      <c r="GO507" s="131"/>
      <c r="GP507" s="131"/>
      <c r="GQ507" s="131"/>
      <c r="GR507" s="131"/>
      <c r="GS507" s="131"/>
      <c r="GT507" s="131"/>
      <c r="GU507" s="131"/>
      <c r="GV507" s="131"/>
      <c r="GW507" s="131"/>
      <c r="GX507" s="131"/>
      <c r="GY507" s="131"/>
      <c r="GZ507" s="131"/>
      <c r="HA507" s="131"/>
      <c r="HB507" s="131"/>
      <c r="HC507" s="131"/>
      <c r="HD507" s="131"/>
      <c r="HE507" s="131"/>
      <c r="HF507" s="131"/>
      <c r="HG507" s="131"/>
      <c r="HH507" s="131"/>
      <c r="HI507" s="131"/>
      <c r="HJ507" s="131"/>
      <c r="HK507" s="131"/>
      <c r="HL507" s="131"/>
      <c r="HM507" s="131"/>
      <c r="HN507" s="131"/>
      <c r="HO507" s="131"/>
      <c r="HP507" s="131"/>
      <c r="HQ507" s="131"/>
      <c r="HR507" s="131"/>
      <c r="HS507" s="131"/>
      <c r="HT507" s="131"/>
      <c r="HU507" s="131"/>
      <c r="HV507" s="131"/>
      <c r="HW507" s="131"/>
      <c r="HX507" s="131"/>
      <c r="HY507" s="131"/>
      <c r="HZ507" s="131"/>
      <c r="IA507" s="131"/>
      <c r="IB507" s="131"/>
      <c r="IC507" s="131"/>
      <c r="ID507" s="131"/>
      <c r="IE507" s="131"/>
      <c r="IF507" s="131"/>
      <c r="IG507" s="131"/>
      <c r="IH507" s="131"/>
      <c r="II507" s="131"/>
      <c r="IJ507" s="131"/>
      <c r="IK507" s="131"/>
      <c r="IL507" s="131"/>
      <c r="IM507" s="131"/>
      <c r="IN507" s="131"/>
      <c r="IO507" s="131"/>
      <c r="IP507" s="131"/>
      <c r="IQ507" s="131"/>
      <c r="IR507" s="131"/>
      <c r="IS507" s="131"/>
      <c r="IT507" s="131"/>
      <c r="IU507" s="131"/>
      <c r="IV507" s="131"/>
    </row>
    <row r="508" spans="1:256" s="13" customFormat="1" ht="38.25" customHeight="1">
      <c r="A508" s="21" t="s">
        <v>1</v>
      </c>
      <c r="B508" s="246" t="s">
        <v>34</v>
      </c>
      <c r="C508" s="246" t="s">
        <v>25</v>
      </c>
      <c r="D508" s="246" t="s">
        <v>984</v>
      </c>
      <c r="E508" s="246" t="s">
        <v>138</v>
      </c>
      <c r="F508" s="21" t="s">
        <v>976</v>
      </c>
      <c r="G508" s="246" t="s">
        <v>133</v>
      </c>
      <c r="H508" s="21">
        <v>236220</v>
      </c>
      <c r="I508" s="21" t="s">
        <v>28</v>
      </c>
      <c r="J508" s="21" t="s">
        <v>109</v>
      </c>
      <c r="K508" s="21" t="s">
        <v>1974</v>
      </c>
      <c r="L508" s="21" t="s">
        <v>1974</v>
      </c>
      <c r="M508" s="22">
        <v>1000</v>
      </c>
      <c r="N508" s="22">
        <v>25000</v>
      </c>
      <c r="O508" s="21" t="s">
        <v>9</v>
      </c>
      <c r="P508" s="21" t="s">
        <v>278</v>
      </c>
      <c r="Q508" s="21" t="s">
        <v>279</v>
      </c>
      <c r="R508" s="21" t="s">
        <v>278</v>
      </c>
      <c r="S508" s="74">
        <v>2013</v>
      </c>
      <c r="T508" s="21" t="s">
        <v>977</v>
      </c>
      <c r="U508" s="21" t="s">
        <v>978</v>
      </c>
      <c r="V508" s="21" t="s">
        <v>979</v>
      </c>
      <c r="W508" s="21" t="s">
        <v>66</v>
      </c>
      <c r="X508" s="246" t="s">
        <v>2639</v>
      </c>
      <c r="Y508" s="130"/>
      <c r="Z508" s="130"/>
      <c r="AA508" s="130"/>
      <c r="AB508" s="130"/>
      <c r="AC508" s="130"/>
      <c r="AD508" s="131"/>
      <c r="AE508" s="131"/>
      <c r="AF508" s="131"/>
      <c r="AG508" s="131"/>
      <c r="AH508" s="131"/>
      <c r="AI508" s="131"/>
      <c r="AJ508" s="131"/>
      <c r="AK508" s="131"/>
      <c r="AL508" s="131"/>
      <c r="AM508" s="131"/>
      <c r="AN508" s="131"/>
      <c r="AO508" s="131"/>
      <c r="AP508" s="131"/>
      <c r="AQ508" s="131"/>
      <c r="AR508" s="131"/>
      <c r="AS508" s="131"/>
      <c r="AT508" s="131"/>
      <c r="AU508" s="131"/>
      <c r="AV508" s="131"/>
      <c r="AW508" s="131"/>
      <c r="AX508" s="131"/>
      <c r="AY508" s="131"/>
      <c r="AZ508" s="131"/>
      <c r="BA508" s="131"/>
      <c r="BB508" s="131"/>
      <c r="BC508" s="131"/>
      <c r="BD508" s="131"/>
      <c r="BE508" s="131"/>
      <c r="BF508" s="131"/>
      <c r="BG508" s="131"/>
      <c r="BH508" s="131"/>
      <c r="BI508" s="131"/>
      <c r="BJ508" s="131"/>
      <c r="BK508" s="131"/>
      <c r="BL508" s="131"/>
      <c r="BM508" s="131"/>
      <c r="BN508" s="131"/>
      <c r="BO508" s="131"/>
      <c r="BP508" s="131"/>
      <c r="BQ508" s="131"/>
      <c r="BR508" s="131"/>
      <c r="BS508" s="131"/>
      <c r="BT508" s="131"/>
      <c r="BU508" s="131"/>
      <c r="BV508" s="131"/>
      <c r="BW508" s="131"/>
      <c r="BX508" s="131"/>
      <c r="BY508" s="131"/>
      <c r="BZ508" s="131"/>
      <c r="CA508" s="131"/>
      <c r="CB508" s="131"/>
      <c r="CC508" s="131"/>
      <c r="CD508" s="131"/>
      <c r="CE508" s="131"/>
      <c r="CF508" s="131"/>
      <c r="CG508" s="131"/>
      <c r="CH508" s="131"/>
      <c r="CI508" s="131"/>
      <c r="CJ508" s="131"/>
      <c r="CK508" s="131"/>
      <c r="CL508" s="131"/>
      <c r="CM508" s="131"/>
      <c r="CN508" s="131"/>
      <c r="CO508" s="131"/>
      <c r="CP508" s="131"/>
      <c r="CQ508" s="131"/>
      <c r="CR508" s="131"/>
      <c r="CS508" s="131"/>
      <c r="CT508" s="131"/>
      <c r="CU508" s="131"/>
      <c r="CV508" s="131"/>
      <c r="CW508" s="131"/>
      <c r="CX508" s="131"/>
      <c r="CY508" s="131"/>
      <c r="CZ508" s="131"/>
      <c r="DA508" s="131"/>
      <c r="DB508" s="131"/>
      <c r="DC508" s="131"/>
      <c r="DD508" s="131"/>
      <c r="DE508" s="131"/>
      <c r="DF508" s="131"/>
      <c r="DG508" s="131"/>
      <c r="DH508" s="131"/>
      <c r="DI508" s="131"/>
      <c r="DJ508" s="131"/>
      <c r="DK508" s="131"/>
      <c r="DL508" s="131"/>
      <c r="DM508" s="131"/>
      <c r="DN508" s="131"/>
      <c r="DO508" s="131"/>
      <c r="DP508" s="131"/>
      <c r="DQ508" s="131"/>
      <c r="DR508" s="131"/>
      <c r="DS508" s="131"/>
      <c r="DT508" s="131"/>
      <c r="DU508" s="131"/>
      <c r="DV508" s="131"/>
      <c r="DW508" s="131"/>
      <c r="DX508" s="131"/>
      <c r="DY508" s="131"/>
      <c r="DZ508" s="131"/>
      <c r="EA508" s="131"/>
      <c r="EB508" s="131"/>
      <c r="EC508" s="131"/>
      <c r="ED508" s="131"/>
      <c r="EE508" s="131"/>
      <c r="EF508" s="131"/>
      <c r="EG508" s="131"/>
      <c r="EH508" s="131"/>
      <c r="EI508" s="131"/>
      <c r="EJ508" s="131"/>
      <c r="EK508" s="131"/>
      <c r="EL508" s="131"/>
      <c r="EM508" s="131"/>
      <c r="EN508" s="131"/>
      <c r="EO508" s="131"/>
      <c r="EP508" s="131"/>
      <c r="EQ508" s="131"/>
      <c r="ER508" s="131"/>
      <c r="ES508" s="131"/>
      <c r="ET508" s="131"/>
      <c r="EU508" s="131"/>
      <c r="EV508" s="131"/>
      <c r="EW508" s="131"/>
      <c r="EX508" s="131"/>
      <c r="EY508" s="131"/>
      <c r="EZ508" s="131"/>
      <c r="FA508" s="131"/>
      <c r="FB508" s="131"/>
      <c r="FC508" s="131"/>
      <c r="FD508" s="131"/>
      <c r="FE508" s="131"/>
      <c r="FF508" s="131"/>
      <c r="FG508" s="131"/>
      <c r="FH508" s="131"/>
      <c r="FI508" s="131"/>
      <c r="FJ508" s="131"/>
      <c r="FK508" s="131"/>
      <c r="FL508" s="131"/>
      <c r="FM508" s="131"/>
      <c r="FN508" s="131"/>
      <c r="FO508" s="131"/>
      <c r="FP508" s="131"/>
      <c r="FQ508" s="131"/>
      <c r="FR508" s="131"/>
      <c r="FS508" s="131"/>
      <c r="FT508" s="131"/>
      <c r="FU508" s="131"/>
      <c r="FV508" s="131"/>
      <c r="FW508" s="131"/>
      <c r="FX508" s="131"/>
      <c r="FY508" s="131"/>
      <c r="FZ508" s="131"/>
      <c r="GA508" s="131"/>
      <c r="GB508" s="131"/>
      <c r="GC508" s="131"/>
      <c r="GD508" s="131"/>
      <c r="GE508" s="131"/>
      <c r="GF508" s="131"/>
      <c r="GG508" s="131"/>
      <c r="GH508" s="131"/>
      <c r="GI508" s="131"/>
      <c r="GJ508" s="131"/>
      <c r="GK508" s="131"/>
      <c r="GL508" s="131"/>
      <c r="GM508" s="131"/>
      <c r="GN508" s="131"/>
      <c r="GO508" s="131"/>
      <c r="GP508" s="131"/>
      <c r="GQ508" s="131"/>
      <c r="GR508" s="131"/>
      <c r="GS508" s="131"/>
      <c r="GT508" s="131"/>
      <c r="GU508" s="131"/>
      <c r="GV508" s="131"/>
      <c r="GW508" s="131"/>
      <c r="GX508" s="131"/>
      <c r="GY508" s="131"/>
      <c r="GZ508" s="131"/>
      <c r="HA508" s="131"/>
      <c r="HB508" s="131"/>
      <c r="HC508" s="131"/>
      <c r="HD508" s="131"/>
      <c r="HE508" s="131"/>
      <c r="HF508" s="131"/>
      <c r="HG508" s="131"/>
      <c r="HH508" s="131"/>
      <c r="HI508" s="131"/>
      <c r="HJ508" s="131"/>
      <c r="HK508" s="131"/>
      <c r="HL508" s="131"/>
      <c r="HM508" s="131"/>
      <c r="HN508" s="131"/>
      <c r="HO508" s="131"/>
      <c r="HP508" s="131"/>
      <c r="HQ508" s="131"/>
      <c r="HR508" s="131"/>
      <c r="HS508" s="131"/>
      <c r="HT508" s="131"/>
      <c r="HU508" s="131"/>
      <c r="HV508" s="131"/>
      <c r="HW508" s="131"/>
      <c r="HX508" s="131"/>
      <c r="HY508" s="131"/>
      <c r="HZ508" s="131"/>
      <c r="IA508" s="131"/>
      <c r="IB508" s="131"/>
      <c r="IC508" s="131"/>
      <c r="ID508" s="131"/>
      <c r="IE508" s="131"/>
      <c r="IF508" s="131"/>
      <c r="IG508" s="131"/>
      <c r="IH508" s="131"/>
      <c r="II508" s="131"/>
      <c r="IJ508" s="131"/>
      <c r="IK508" s="131"/>
      <c r="IL508" s="131"/>
      <c r="IM508" s="131"/>
      <c r="IN508" s="131"/>
      <c r="IO508" s="131"/>
      <c r="IP508" s="131"/>
      <c r="IQ508" s="131"/>
      <c r="IR508" s="131"/>
      <c r="IS508" s="131"/>
      <c r="IT508" s="131"/>
      <c r="IU508" s="131"/>
      <c r="IV508" s="131"/>
    </row>
    <row r="509" spans="1:256" s="13" customFormat="1" ht="38.25" customHeight="1">
      <c r="A509" s="21" t="s">
        <v>1</v>
      </c>
      <c r="B509" s="246" t="s">
        <v>34</v>
      </c>
      <c r="C509" s="246" t="s">
        <v>25</v>
      </c>
      <c r="D509" s="246" t="s">
        <v>985</v>
      </c>
      <c r="E509" s="246" t="s">
        <v>138</v>
      </c>
      <c r="F509" s="21" t="s">
        <v>976</v>
      </c>
      <c r="G509" s="246" t="s">
        <v>133</v>
      </c>
      <c r="H509" s="21">
        <v>236220</v>
      </c>
      <c r="I509" s="21" t="s">
        <v>28</v>
      </c>
      <c r="J509" s="21" t="s">
        <v>109</v>
      </c>
      <c r="K509" s="21" t="s">
        <v>1974</v>
      </c>
      <c r="L509" s="21" t="s">
        <v>1974</v>
      </c>
      <c r="M509" s="22">
        <v>1000</v>
      </c>
      <c r="N509" s="22">
        <v>25000</v>
      </c>
      <c r="O509" s="21" t="s">
        <v>9</v>
      </c>
      <c r="P509" s="21" t="s">
        <v>278</v>
      </c>
      <c r="Q509" s="21" t="s">
        <v>279</v>
      </c>
      <c r="R509" s="21" t="s">
        <v>278</v>
      </c>
      <c r="S509" s="74">
        <v>2013</v>
      </c>
      <c r="T509" s="21" t="s">
        <v>977</v>
      </c>
      <c r="U509" s="21" t="s">
        <v>978</v>
      </c>
      <c r="V509" s="21" t="s">
        <v>979</v>
      </c>
      <c r="W509" s="21" t="s">
        <v>66</v>
      </c>
      <c r="X509" s="246" t="s">
        <v>2639</v>
      </c>
      <c r="Y509" s="130"/>
      <c r="Z509" s="130"/>
      <c r="AA509" s="130"/>
      <c r="AB509" s="130"/>
      <c r="AC509" s="130"/>
      <c r="AD509" s="131"/>
      <c r="AE509" s="131"/>
      <c r="AF509" s="131"/>
      <c r="AG509" s="131"/>
      <c r="AH509" s="131"/>
      <c r="AI509" s="131"/>
      <c r="AJ509" s="131"/>
      <c r="AK509" s="131"/>
      <c r="AL509" s="131"/>
      <c r="AM509" s="131"/>
      <c r="AN509" s="131"/>
      <c r="AO509" s="131"/>
      <c r="AP509" s="131"/>
      <c r="AQ509" s="131"/>
      <c r="AR509" s="131"/>
      <c r="AS509" s="131"/>
      <c r="AT509" s="131"/>
      <c r="AU509" s="131"/>
      <c r="AV509" s="131"/>
      <c r="AW509" s="131"/>
      <c r="AX509" s="131"/>
      <c r="AY509" s="131"/>
      <c r="AZ509" s="131"/>
      <c r="BA509" s="131"/>
      <c r="BB509" s="131"/>
      <c r="BC509" s="131"/>
      <c r="BD509" s="131"/>
      <c r="BE509" s="131"/>
      <c r="BF509" s="131"/>
      <c r="BG509" s="131"/>
      <c r="BH509" s="131"/>
      <c r="BI509" s="131"/>
      <c r="BJ509" s="131"/>
      <c r="BK509" s="131"/>
      <c r="BL509" s="131"/>
      <c r="BM509" s="131"/>
      <c r="BN509" s="131"/>
      <c r="BO509" s="131"/>
      <c r="BP509" s="131"/>
      <c r="BQ509" s="131"/>
      <c r="BR509" s="131"/>
      <c r="BS509" s="131"/>
      <c r="BT509" s="131"/>
      <c r="BU509" s="131"/>
      <c r="BV509" s="131"/>
      <c r="BW509" s="131"/>
      <c r="BX509" s="131"/>
      <c r="BY509" s="131"/>
      <c r="BZ509" s="131"/>
      <c r="CA509" s="131"/>
      <c r="CB509" s="131"/>
      <c r="CC509" s="131"/>
      <c r="CD509" s="131"/>
      <c r="CE509" s="131"/>
      <c r="CF509" s="131"/>
      <c r="CG509" s="131"/>
      <c r="CH509" s="131"/>
      <c r="CI509" s="131"/>
      <c r="CJ509" s="131"/>
      <c r="CK509" s="131"/>
      <c r="CL509" s="131"/>
      <c r="CM509" s="131"/>
      <c r="CN509" s="131"/>
      <c r="CO509" s="131"/>
      <c r="CP509" s="131"/>
      <c r="CQ509" s="131"/>
      <c r="CR509" s="131"/>
      <c r="CS509" s="131"/>
      <c r="CT509" s="131"/>
      <c r="CU509" s="131"/>
      <c r="CV509" s="131"/>
      <c r="CW509" s="131"/>
      <c r="CX509" s="131"/>
      <c r="CY509" s="131"/>
      <c r="CZ509" s="131"/>
      <c r="DA509" s="131"/>
      <c r="DB509" s="131"/>
      <c r="DC509" s="131"/>
      <c r="DD509" s="131"/>
      <c r="DE509" s="131"/>
      <c r="DF509" s="131"/>
      <c r="DG509" s="131"/>
      <c r="DH509" s="131"/>
      <c r="DI509" s="131"/>
      <c r="DJ509" s="131"/>
      <c r="DK509" s="131"/>
      <c r="DL509" s="131"/>
      <c r="DM509" s="131"/>
      <c r="DN509" s="131"/>
      <c r="DO509" s="131"/>
      <c r="DP509" s="131"/>
      <c r="DQ509" s="131"/>
      <c r="DR509" s="131"/>
      <c r="DS509" s="131"/>
      <c r="DT509" s="131"/>
      <c r="DU509" s="131"/>
      <c r="DV509" s="131"/>
      <c r="DW509" s="131"/>
      <c r="DX509" s="131"/>
      <c r="DY509" s="131"/>
      <c r="DZ509" s="131"/>
      <c r="EA509" s="131"/>
      <c r="EB509" s="131"/>
      <c r="EC509" s="131"/>
      <c r="ED509" s="131"/>
      <c r="EE509" s="131"/>
      <c r="EF509" s="131"/>
      <c r="EG509" s="131"/>
      <c r="EH509" s="131"/>
      <c r="EI509" s="131"/>
      <c r="EJ509" s="131"/>
      <c r="EK509" s="131"/>
      <c r="EL509" s="131"/>
      <c r="EM509" s="131"/>
      <c r="EN509" s="131"/>
      <c r="EO509" s="131"/>
      <c r="EP509" s="131"/>
      <c r="EQ509" s="131"/>
      <c r="ER509" s="131"/>
      <c r="ES509" s="131"/>
      <c r="ET509" s="131"/>
      <c r="EU509" s="131"/>
      <c r="EV509" s="131"/>
      <c r="EW509" s="131"/>
      <c r="EX509" s="131"/>
      <c r="EY509" s="131"/>
      <c r="EZ509" s="131"/>
      <c r="FA509" s="131"/>
      <c r="FB509" s="131"/>
      <c r="FC509" s="131"/>
      <c r="FD509" s="131"/>
      <c r="FE509" s="131"/>
      <c r="FF509" s="131"/>
      <c r="FG509" s="131"/>
      <c r="FH509" s="131"/>
      <c r="FI509" s="131"/>
      <c r="FJ509" s="131"/>
      <c r="FK509" s="131"/>
      <c r="FL509" s="131"/>
      <c r="FM509" s="131"/>
      <c r="FN509" s="131"/>
      <c r="FO509" s="131"/>
      <c r="FP509" s="131"/>
      <c r="FQ509" s="131"/>
      <c r="FR509" s="131"/>
      <c r="FS509" s="131"/>
      <c r="FT509" s="131"/>
      <c r="FU509" s="131"/>
      <c r="FV509" s="131"/>
      <c r="FW509" s="131"/>
      <c r="FX509" s="131"/>
      <c r="FY509" s="131"/>
      <c r="FZ509" s="131"/>
      <c r="GA509" s="131"/>
      <c r="GB509" s="131"/>
      <c r="GC509" s="131"/>
      <c r="GD509" s="131"/>
      <c r="GE509" s="131"/>
      <c r="GF509" s="131"/>
      <c r="GG509" s="131"/>
      <c r="GH509" s="131"/>
      <c r="GI509" s="131"/>
      <c r="GJ509" s="131"/>
      <c r="GK509" s="131"/>
      <c r="GL509" s="131"/>
      <c r="GM509" s="131"/>
      <c r="GN509" s="131"/>
      <c r="GO509" s="131"/>
      <c r="GP509" s="131"/>
      <c r="GQ509" s="131"/>
      <c r="GR509" s="131"/>
      <c r="GS509" s="131"/>
      <c r="GT509" s="131"/>
      <c r="GU509" s="131"/>
      <c r="GV509" s="131"/>
      <c r="GW509" s="131"/>
      <c r="GX509" s="131"/>
      <c r="GY509" s="131"/>
      <c r="GZ509" s="131"/>
      <c r="HA509" s="131"/>
      <c r="HB509" s="131"/>
      <c r="HC509" s="131"/>
      <c r="HD509" s="131"/>
      <c r="HE509" s="131"/>
      <c r="HF509" s="131"/>
      <c r="HG509" s="131"/>
      <c r="HH509" s="131"/>
      <c r="HI509" s="131"/>
      <c r="HJ509" s="131"/>
      <c r="HK509" s="131"/>
      <c r="HL509" s="131"/>
      <c r="HM509" s="131"/>
      <c r="HN509" s="131"/>
      <c r="HO509" s="131"/>
      <c r="HP509" s="131"/>
      <c r="HQ509" s="131"/>
      <c r="HR509" s="131"/>
      <c r="HS509" s="131"/>
      <c r="HT509" s="131"/>
      <c r="HU509" s="131"/>
      <c r="HV509" s="131"/>
      <c r="HW509" s="131"/>
      <c r="HX509" s="131"/>
      <c r="HY509" s="131"/>
      <c r="HZ509" s="131"/>
      <c r="IA509" s="131"/>
      <c r="IB509" s="131"/>
      <c r="IC509" s="131"/>
      <c r="ID509" s="131"/>
      <c r="IE509" s="131"/>
      <c r="IF509" s="131"/>
      <c r="IG509" s="131"/>
      <c r="IH509" s="131"/>
      <c r="II509" s="131"/>
      <c r="IJ509" s="131"/>
      <c r="IK509" s="131"/>
      <c r="IL509" s="131"/>
      <c r="IM509" s="131"/>
      <c r="IN509" s="131"/>
      <c r="IO509" s="131"/>
      <c r="IP509" s="131"/>
      <c r="IQ509" s="131"/>
      <c r="IR509" s="131"/>
      <c r="IS509" s="131"/>
      <c r="IT509" s="131"/>
      <c r="IU509" s="131"/>
      <c r="IV509" s="131"/>
    </row>
    <row r="510" spans="1:256" s="13" customFormat="1" ht="38.25" customHeight="1">
      <c r="A510" s="21" t="s">
        <v>1</v>
      </c>
      <c r="B510" s="246" t="s">
        <v>34</v>
      </c>
      <c r="C510" s="246" t="s">
        <v>25</v>
      </c>
      <c r="D510" s="246" t="s">
        <v>986</v>
      </c>
      <c r="E510" s="246" t="s">
        <v>138</v>
      </c>
      <c r="F510" s="21" t="s">
        <v>976</v>
      </c>
      <c r="G510" s="246" t="s">
        <v>133</v>
      </c>
      <c r="H510" s="21">
        <v>236220</v>
      </c>
      <c r="I510" s="21" t="s">
        <v>28</v>
      </c>
      <c r="J510" s="21" t="s">
        <v>109</v>
      </c>
      <c r="K510" s="21" t="s">
        <v>1974</v>
      </c>
      <c r="L510" s="21" t="s">
        <v>1974</v>
      </c>
      <c r="M510" s="22">
        <v>1000</v>
      </c>
      <c r="N510" s="22">
        <v>25000</v>
      </c>
      <c r="O510" s="21" t="s">
        <v>9</v>
      </c>
      <c r="P510" s="21" t="s">
        <v>278</v>
      </c>
      <c r="Q510" s="21" t="s">
        <v>279</v>
      </c>
      <c r="R510" s="21" t="s">
        <v>278</v>
      </c>
      <c r="S510" s="74">
        <v>2013</v>
      </c>
      <c r="T510" s="21" t="s">
        <v>977</v>
      </c>
      <c r="U510" s="21" t="s">
        <v>978</v>
      </c>
      <c r="V510" s="21" t="s">
        <v>979</v>
      </c>
      <c r="W510" s="21" t="s">
        <v>66</v>
      </c>
      <c r="X510" s="246" t="s">
        <v>2639</v>
      </c>
      <c r="Y510" s="130"/>
      <c r="Z510" s="130"/>
      <c r="AA510" s="130"/>
      <c r="AB510" s="130"/>
      <c r="AC510" s="130"/>
      <c r="AD510" s="131"/>
      <c r="AE510" s="131"/>
      <c r="AF510" s="131"/>
      <c r="AG510" s="131"/>
      <c r="AH510" s="131"/>
      <c r="AI510" s="131"/>
      <c r="AJ510" s="131"/>
      <c r="AK510" s="131"/>
      <c r="AL510" s="131"/>
      <c r="AM510" s="131"/>
      <c r="AN510" s="131"/>
      <c r="AO510" s="131"/>
      <c r="AP510" s="131"/>
      <c r="AQ510" s="131"/>
      <c r="AR510" s="131"/>
      <c r="AS510" s="131"/>
      <c r="AT510" s="131"/>
      <c r="AU510" s="131"/>
      <c r="AV510" s="131"/>
      <c r="AW510" s="131"/>
      <c r="AX510" s="131"/>
      <c r="AY510" s="131"/>
      <c r="AZ510" s="131"/>
      <c r="BA510" s="131"/>
      <c r="BB510" s="131"/>
      <c r="BC510" s="131"/>
      <c r="BD510" s="131"/>
      <c r="BE510" s="131"/>
      <c r="BF510" s="131"/>
      <c r="BG510" s="131"/>
      <c r="BH510" s="131"/>
      <c r="BI510" s="131"/>
      <c r="BJ510" s="131"/>
      <c r="BK510" s="131"/>
      <c r="BL510" s="131"/>
      <c r="BM510" s="131"/>
      <c r="BN510" s="131"/>
      <c r="BO510" s="131"/>
      <c r="BP510" s="131"/>
      <c r="BQ510" s="131"/>
      <c r="BR510" s="131"/>
      <c r="BS510" s="131"/>
      <c r="BT510" s="131"/>
      <c r="BU510" s="131"/>
      <c r="BV510" s="131"/>
      <c r="BW510" s="131"/>
      <c r="BX510" s="131"/>
      <c r="BY510" s="131"/>
      <c r="BZ510" s="131"/>
      <c r="CA510" s="131"/>
      <c r="CB510" s="131"/>
      <c r="CC510" s="131"/>
      <c r="CD510" s="131"/>
      <c r="CE510" s="131"/>
      <c r="CF510" s="131"/>
      <c r="CG510" s="131"/>
      <c r="CH510" s="131"/>
      <c r="CI510" s="131"/>
      <c r="CJ510" s="131"/>
      <c r="CK510" s="131"/>
      <c r="CL510" s="131"/>
      <c r="CM510" s="131"/>
      <c r="CN510" s="131"/>
      <c r="CO510" s="131"/>
      <c r="CP510" s="131"/>
      <c r="CQ510" s="131"/>
      <c r="CR510" s="131"/>
      <c r="CS510" s="131"/>
      <c r="CT510" s="131"/>
      <c r="CU510" s="131"/>
      <c r="CV510" s="131"/>
      <c r="CW510" s="131"/>
      <c r="CX510" s="131"/>
      <c r="CY510" s="131"/>
      <c r="CZ510" s="131"/>
      <c r="DA510" s="131"/>
      <c r="DB510" s="131"/>
      <c r="DC510" s="131"/>
      <c r="DD510" s="131"/>
      <c r="DE510" s="131"/>
      <c r="DF510" s="131"/>
      <c r="DG510" s="131"/>
      <c r="DH510" s="131"/>
      <c r="DI510" s="131"/>
      <c r="DJ510" s="131"/>
      <c r="DK510" s="131"/>
      <c r="DL510" s="131"/>
      <c r="DM510" s="131"/>
      <c r="DN510" s="131"/>
      <c r="DO510" s="131"/>
      <c r="DP510" s="131"/>
      <c r="DQ510" s="131"/>
      <c r="DR510" s="131"/>
      <c r="DS510" s="131"/>
      <c r="DT510" s="131"/>
      <c r="DU510" s="131"/>
      <c r="DV510" s="131"/>
      <c r="DW510" s="131"/>
      <c r="DX510" s="131"/>
      <c r="DY510" s="131"/>
      <c r="DZ510" s="131"/>
      <c r="EA510" s="131"/>
      <c r="EB510" s="131"/>
      <c r="EC510" s="131"/>
      <c r="ED510" s="131"/>
      <c r="EE510" s="131"/>
      <c r="EF510" s="131"/>
      <c r="EG510" s="131"/>
      <c r="EH510" s="131"/>
      <c r="EI510" s="131"/>
      <c r="EJ510" s="131"/>
      <c r="EK510" s="131"/>
      <c r="EL510" s="131"/>
      <c r="EM510" s="131"/>
      <c r="EN510" s="131"/>
      <c r="EO510" s="131"/>
      <c r="EP510" s="131"/>
      <c r="EQ510" s="131"/>
      <c r="ER510" s="131"/>
      <c r="ES510" s="131"/>
      <c r="ET510" s="131"/>
      <c r="EU510" s="131"/>
      <c r="EV510" s="131"/>
      <c r="EW510" s="131"/>
      <c r="EX510" s="131"/>
      <c r="EY510" s="131"/>
      <c r="EZ510" s="131"/>
      <c r="FA510" s="131"/>
      <c r="FB510" s="131"/>
      <c r="FC510" s="131"/>
      <c r="FD510" s="131"/>
      <c r="FE510" s="131"/>
      <c r="FF510" s="131"/>
      <c r="FG510" s="131"/>
      <c r="FH510" s="131"/>
      <c r="FI510" s="131"/>
      <c r="FJ510" s="131"/>
      <c r="FK510" s="131"/>
      <c r="FL510" s="131"/>
      <c r="FM510" s="131"/>
      <c r="FN510" s="131"/>
      <c r="FO510" s="131"/>
      <c r="FP510" s="131"/>
      <c r="FQ510" s="131"/>
      <c r="FR510" s="131"/>
      <c r="FS510" s="131"/>
      <c r="FT510" s="131"/>
      <c r="FU510" s="131"/>
      <c r="FV510" s="131"/>
      <c r="FW510" s="131"/>
      <c r="FX510" s="131"/>
      <c r="FY510" s="131"/>
      <c r="FZ510" s="131"/>
      <c r="GA510" s="131"/>
      <c r="GB510" s="131"/>
      <c r="GC510" s="131"/>
      <c r="GD510" s="131"/>
      <c r="GE510" s="131"/>
      <c r="GF510" s="131"/>
      <c r="GG510" s="131"/>
      <c r="GH510" s="131"/>
      <c r="GI510" s="131"/>
      <c r="GJ510" s="131"/>
      <c r="GK510" s="131"/>
      <c r="GL510" s="131"/>
      <c r="GM510" s="131"/>
      <c r="GN510" s="131"/>
      <c r="GO510" s="131"/>
      <c r="GP510" s="131"/>
      <c r="GQ510" s="131"/>
      <c r="GR510" s="131"/>
      <c r="GS510" s="131"/>
      <c r="GT510" s="131"/>
      <c r="GU510" s="131"/>
      <c r="GV510" s="131"/>
      <c r="GW510" s="131"/>
      <c r="GX510" s="131"/>
      <c r="GY510" s="131"/>
      <c r="GZ510" s="131"/>
      <c r="HA510" s="131"/>
      <c r="HB510" s="131"/>
      <c r="HC510" s="131"/>
      <c r="HD510" s="131"/>
      <c r="HE510" s="131"/>
      <c r="HF510" s="131"/>
      <c r="HG510" s="131"/>
      <c r="HH510" s="131"/>
      <c r="HI510" s="131"/>
      <c r="HJ510" s="131"/>
      <c r="HK510" s="131"/>
      <c r="HL510" s="131"/>
      <c r="HM510" s="131"/>
      <c r="HN510" s="131"/>
      <c r="HO510" s="131"/>
      <c r="HP510" s="131"/>
      <c r="HQ510" s="131"/>
      <c r="HR510" s="131"/>
      <c r="HS510" s="131"/>
      <c r="HT510" s="131"/>
      <c r="HU510" s="131"/>
      <c r="HV510" s="131"/>
      <c r="HW510" s="131"/>
      <c r="HX510" s="131"/>
      <c r="HY510" s="131"/>
      <c r="HZ510" s="131"/>
      <c r="IA510" s="131"/>
      <c r="IB510" s="131"/>
      <c r="IC510" s="131"/>
      <c r="ID510" s="131"/>
      <c r="IE510" s="131"/>
      <c r="IF510" s="131"/>
      <c r="IG510" s="131"/>
      <c r="IH510" s="131"/>
      <c r="II510" s="131"/>
      <c r="IJ510" s="131"/>
      <c r="IK510" s="131"/>
      <c r="IL510" s="131"/>
      <c r="IM510" s="131"/>
      <c r="IN510" s="131"/>
      <c r="IO510" s="131"/>
      <c r="IP510" s="131"/>
      <c r="IQ510" s="131"/>
      <c r="IR510" s="131"/>
      <c r="IS510" s="131"/>
      <c r="IT510" s="131"/>
      <c r="IU510" s="131"/>
      <c r="IV510" s="131"/>
    </row>
    <row r="511" spans="1:256" s="13" customFormat="1" ht="38.25" customHeight="1">
      <c r="A511" s="21" t="s">
        <v>1</v>
      </c>
      <c r="B511" s="246" t="s">
        <v>34</v>
      </c>
      <c r="C511" s="246" t="s">
        <v>25</v>
      </c>
      <c r="D511" s="246" t="s">
        <v>987</v>
      </c>
      <c r="E511" s="246" t="s">
        <v>138</v>
      </c>
      <c r="F511" s="21" t="s">
        <v>976</v>
      </c>
      <c r="G511" s="246" t="s">
        <v>133</v>
      </c>
      <c r="H511" s="21">
        <v>236220</v>
      </c>
      <c r="I511" s="21" t="s">
        <v>28</v>
      </c>
      <c r="J511" s="21" t="s">
        <v>109</v>
      </c>
      <c r="K511" s="21" t="s">
        <v>1974</v>
      </c>
      <c r="L511" s="21" t="s">
        <v>1974</v>
      </c>
      <c r="M511" s="22">
        <v>1000</v>
      </c>
      <c r="N511" s="22">
        <v>25000</v>
      </c>
      <c r="O511" s="21" t="s">
        <v>9</v>
      </c>
      <c r="P511" s="21" t="s">
        <v>278</v>
      </c>
      <c r="Q511" s="21" t="s">
        <v>279</v>
      </c>
      <c r="R511" s="21" t="s">
        <v>278</v>
      </c>
      <c r="S511" s="74">
        <v>2013</v>
      </c>
      <c r="T511" s="21" t="s">
        <v>977</v>
      </c>
      <c r="U511" s="21" t="s">
        <v>978</v>
      </c>
      <c r="V511" s="21" t="s">
        <v>979</v>
      </c>
      <c r="W511" s="21" t="s">
        <v>66</v>
      </c>
      <c r="X511" s="246" t="s">
        <v>2639</v>
      </c>
      <c r="Y511" s="130"/>
      <c r="Z511" s="130"/>
      <c r="AA511" s="130"/>
      <c r="AB511" s="130"/>
      <c r="AC511" s="130"/>
      <c r="AD511" s="131"/>
      <c r="AE511" s="131"/>
      <c r="AF511" s="131"/>
      <c r="AG511" s="131"/>
      <c r="AH511" s="131"/>
      <c r="AI511" s="131"/>
      <c r="AJ511" s="131"/>
      <c r="AK511" s="131"/>
      <c r="AL511" s="131"/>
      <c r="AM511" s="131"/>
      <c r="AN511" s="131"/>
      <c r="AO511" s="131"/>
      <c r="AP511" s="131"/>
      <c r="AQ511" s="131"/>
      <c r="AR511" s="131"/>
      <c r="AS511" s="131"/>
      <c r="AT511" s="131"/>
      <c r="AU511" s="131"/>
      <c r="AV511" s="131"/>
      <c r="AW511" s="131"/>
      <c r="AX511" s="131"/>
      <c r="AY511" s="131"/>
      <c r="AZ511" s="131"/>
      <c r="BA511" s="131"/>
      <c r="BB511" s="131"/>
      <c r="BC511" s="131"/>
      <c r="BD511" s="131"/>
      <c r="BE511" s="131"/>
      <c r="BF511" s="131"/>
      <c r="BG511" s="131"/>
      <c r="BH511" s="131"/>
      <c r="BI511" s="131"/>
      <c r="BJ511" s="131"/>
      <c r="BK511" s="131"/>
      <c r="BL511" s="131"/>
      <c r="BM511" s="131"/>
      <c r="BN511" s="131"/>
      <c r="BO511" s="131"/>
      <c r="BP511" s="131"/>
      <c r="BQ511" s="131"/>
      <c r="BR511" s="131"/>
      <c r="BS511" s="131"/>
      <c r="BT511" s="131"/>
      <c r="BU511" s="131"/>
      <c r="BV511" s="131"/>
      <c r="BW511" s="131"/>
      <c r="BX511" s="131"/>
      <c r="BY511" s="131"/>
      <c r="BZ511" s="131"/>
      <c r="CA511" s="131"/>
      <c r="CB511" s="131"/>
      <c r="CC511" s="131"/>
      <c r="CD511" s="131"/>
      <c r="CE511" s="131"/>
      <c r="CF511" s="131"/>
      <c r="CG511" s="131"/>
      <c r="CH511" s="131"/>
      <c r="CI511" s="131"/>
      <c r="CJ511" s="131"/>
      <c r="CK511" s="131"/>
      <c r="CL511" s="131"/>
      <c r="CM511" s="131"/>
      <c r="CN511" s="131"/>
      <c r="CO511" s="131"/>
      <c r="CP511" s="131"/>
      <c r="CQ511" s="131"/>
      <c r="CR511" s="131"/>
      <c r="CS511" s="131"/>
      <c r="CT511" s="131"/>
      <c r="CU511" s="131"/>
      <c r="CV511" s="131"/>
      <c r="CW511" s="131"/>
      <c r="CX511" s="131"/>
      <c r="CY511" s="131"/>
      <c r="CZ511" s="131"/>
      <c r="DA511" s="131"/>
      <c r="DB511" s="131"/>
      <c r="DC511" s="131"/>
      <c r="DD511" s="131"/>
      <c r="DE511" s="131"/>
      <c r="DF511" s="131"/>
      <c r="DG511" s="131"/>
      <c r="DH511" s="131"/>
      <c r="DI511" s="131"/>
      <c r="DJ511" s="131"/>
      <c r="DK511" s="131"/>
      <c r="DL511" s="131"/>
      <c r="DM511" s="131"/>
      <c r="DN511" s="131"/>
      <c r="DO511" s="131"/>
      <c r="DP511" s="131"/>
      <c r="DQ511" s="131"/>
      <c r="DR511" s="131"/>
      <c r="DS511" s="131"/>
      <c r="DT511" s="131"/>
      <c r="DU511" s="131"/>
      <c r="DV511" s="131"/>
      <c r="DW511" s="131"/>
      <c r="DX511" s="131"/>
      <c r="DY511" s="131"/>
      <c r="DZ511" s="131"/>
      <c r="EA511" s="131"/>
      <c r="EB511" s="131"/>
      <c r="EC511" s="131"/>
      <c r="ED511" s="131"/>
      <c r="EE511" s="131"/>
      <c r="EF511" s="131"/>
      <c r="EG511" s="131"/>
      <c r="EH511" s="131"/>
      <c r="EI511" s="131"/>
      <c r="EJ511" s="131"/>
      <c r="EK511" s="131"/>
      <c r="EL511" s="131"/>
      <c r="EM511" s="131"/>
      <c r="EN511" s="131"/>
      <c r="EO511" s="131"/>
      <c r="EP511" s="131"/>
      <c r="EQ511" s="131"/>
      <c r="ER511" s="131"/>
      <c r="ES511" s="131"/>
      <c r="ET511" s="131"/>
      <c r="EU511" s="131"/>
      <c r="EV511" s="131"/>
      <c r="EW511" s="131"/>
      <c r="EX511" s="131"/>
      <c r="EY511" s="131"/>
      <c r="EZ511" s="131"/>
      <c r="FA511" s="131"/>
      <c r="FB511" s="131"/>
      <c r="FC511" s="131"/>
      <c r="FD511" s="131"/>
      <c r="FE511" s="131"/>
      <c r="FF511" s="131"/>
      <c r="FG511" s="131"/>
      <c r="FH511" s="131"/>
      <c r="FI511" s="131"/>
      <c r="FJ511" s="131"/>
      <c r="FK511" s="131"/>
      <c r="FL511" s="131"/>
      <c r="FM511" s="131"/>
      <c r="FN511" s="131"/>
      <c r="FO511" s="131"/>
      <c r="FP511" s="131"/>
      <c r="FQ511" s="131"/>
      <c r="FR511" s="131"/>
      <c r="FS511" s="131"/>
      <c r="FT511" s="131"/>
      <c r="FU511" s="131"/>
      <c r="FV511" s="131"/>
      <c r="FW511" s="131"/>
      <c r="FX511" s="131"/>
      <c r="FY511" s="131"/>
      <c r="FZ511" s="131"/>
      <c r="GA511" s="131"/>
      <c r="GB511" s="131"/>
      <c r="GC511" s="131"/>
      <c r="GD511" s="131"/>
      <c r="GE511" s="131"/>
      <c r="GF511" s="131"/>
      <c r="GG511" s="131"/>
      <c r="GH511" s="131"/>
      <c r="GI511" s="131"/>
      <c r="GJ511" s="131"/>
      <c r="GK511" s="131"/>
      <c r="GL511" s="131"/>
      <c r="GM511" s="131"/>
      <c r="GN511" s="131"/>
      <c r="GO511" s="131"/>
      <c r="GP511" s="131"/>
      <c r="GQ511" s="131"/>
      <c r="GR511" s="131"/>
      <c r="GS511" s="131"/>
      <c r="GT511" s="131"/>
      <c r="GU511" s="131"/>
      <c r="GV511" s="131"/>
      <c r="GW511" s="131"/>
      <c r="GX511" s="131"/>
      <c r="GY511" s="131"/>
      <c r="GZ511" s="131"/>
      <c r="HA511" s="131"/>
      <c r="HB511" s="131"/>
      <c r="HC511" s="131"/>
      <c r="HD511" s="131"/>
      <c r="HE511" s="131"/>
      <c r="HF511" s="131"/>
      <c r="HG511" s="131"/>
      <c r="HH511" s="131"/>
      <c r="HI511" s="131"/>
      <c r="HJ511" s="131"/>
      <c r="HK511" s="131"/>
      <c r="HL511" s="131"/>
      <c r="HM511" s="131"/>
      <c r="HN511" s="131"/>
      <c r="HO511" s="131"/>
      <c r="HP511" s="131"/>
      <c r="HQ511" s="131"/>
      <c r="HR511" s="131"/>
      <c r="HS511" s="131"/>
      <c r="HT511" s="131"/>
      <c r="HU511" s="131"/>
      <c r="HV511" s="131"/>
      <c r="HW511" s="131"/>
      <c r="HX511" s="131"/>
      <c r="HY511" s="131"/>
      <c r="HZ511" s="131"/>
      <c r="IA511" s="131"/>
      <c r="IB511" s="131"/>
      <c r="IC511" s="131"/>
      <c r="ID511" s="131"/>
      <c r="IE511" s="131"/>
      <c r="IF511" s="131"/>
      <c r="IG511" s="131"/>
      <c r="IH511" s="131"/>
      <c r="II511" s="131"/>
      <c r="IJ511" s="131"/>
      <c r="IK511" s="131"/>
      <c r="IL511" s="131"/>
      <c r="IM511" s="131"/>
      <c r="IN511" s="131"/>
      <c r="IO511" s="131"/>
      <c r="IP511" s="131"/>
      <c r="IQ511" s="131"/>
      <c r="IR511" s="131"/>
      <c r="IS511" s="131"/>
      <c r="IT511" s="131"/>
      <c r="IU511" s="131"/>
      <c r="IV511" s="131"/>
    </row>
    <row r="512" spans="1:256" s="13" customFormat="1" ht="38.25" customHeight="1">
      <c r="A512" s="21" t="s">
        <v>1</v>
      </c>
      <c r="B512" s="246" t="s">
        <v>34</v>
      </c>
      <c r="C512" s="246" t="s">
        <v>25</v>
      </c>
      <c r="D512" s="246" t="s">
        <v>988</v>
      </c>
      <c r="E512" s="246" t="s">
        <v>138</v>
      </c>
      <c r="F512" s="21" t="s">
        <v>976</v>
      </c>
      <c r="G512" s="246" t="s">
        <v>133</v>
      </c>
      <c r="H512" s="21">
        <v>236220</v>
      </c>
      <c r="I512" s="21" t="s">
        <v>28</v>
      </c>
      <c r="J512" s="21" t="s">
        <v>109</v>
      </c>
      <c r="K512" s="21" t="s">
        <v>1974</v>
      </c>
      <c r="L512" s="21" t="s">
        <v>1974</v>
      </c>
      <c r="M512" s="22">
        <v>1000</v>
      </c>
      <c r="N512" s="22">
        <v>25000</v>
      </c>
      <c r="O512" s="21" t="s">
        <v>9</v>
      </c>
      <c r="P512" s="21" t="s">
        <v>278</v>
      </c>
      <c r="Q512" s="21" t="s">
        <v>279</v>
      </c>
      <c r="R512" s="21" t="s">
        <v>278</v>
      </c>
      <c r="S512" s="74">
        <v>2013</v>
      </c>
      <c r="T512" s="21" t="s">
        <v>977</v>
      </c>
      <c r="U512" s="21" t="s">
        <v>978</v>
      </c>
      <c r="V512" s="21" t="s">
        <v>979</v>
      </c>
      <c r="W512" s="21" t="s">
        <v>66</v>
      </c>
      <c r="X512" s="246" t="s">
        <v>2639</v>
      </c>
      <c r="Y512" s="130"/>
      <c r="Z512" s="130"/>
      <c r="AA512" s="130"/>
      <c r="AB512" s="130"/>
      <c r="AC512" s="130"/>
      <c r="AD512" s="131"/>
      <c r="AE512" s="131"/>
      <c r="AF512" s="131"/>
      <c r="AG512" s="131"/>
      <c r="AH512" s="131"/>
      <c r="AI512" s="131"/>
      <c r="AJ512" s="131"/>
      <c r="AK512" s="131"/>
      <c r="AL512" s="131"/>
      <c r="AM512" s="131"/>
      <c r="AN512" s="131"/>
      <c r="AO512" s="131"/>
      <c r="AP512" s="131"/>
      <c r="AQ512" s="131"/>
      <c r="AR512" s="131"/>
      <c r="AS512" s="131"/>
      <c r="AT512" s="131"/>
      <c r="AU512" s="131"/>
      <c r="AV512" s="131"/>
      <c r="AW512" s="131"/>
      <c r="AX512" s="131"/>
      <c r="AY512" s="131"/>
      <c r="AZ512" s="131"/>
      <c r="BA512" s="131"/>
      <c r="BB512" s="131"/>
      <c r="BC512" s="131"/>
      <c r="BD512" s="131"/>
      <c r="BE512" s="131"/>
      <c r="BF512" s="131"/>
      <c r="BG512" s="131"/>
      <c r="BH512" s="131"/>
      <c r="BI512" s="131"/>
      <c r="BJ512" s="131"/>
      <c r="BK512" s="131"/>
      <c r="BL512" s="131"/>
      <c r="BM512" s="131"/>
      <c r="BN512" s="131"/>
      <c r="BO512" s="131"/>
      <c r="BP512" s="131"/>
      <c r="BQ512" s="131"/>
      <c r="BR512" s="131"/>
      <c r="BS512" s="131"/>
      <c r="BT512" s="131"/>
      <c r="BU512" s="131"/>
      <c r="BV512" s="131"/>
      <c r="BW512" s="131"/>
      <c r="BX512" s="131"/>
      <c r="BY512" s="131"/>
      <c r="BZ512" s="131"/>
      <c r="CA512" s="131"/>
      <c r="CB512" s="131"/>
      <c r="CC512" s="131"/>
      <c r="CD512" s="131"/>
      <c r="CE512" s="131"/>
      <c r="CF512" s="131"/>
      <c r="CG512" s="131"/>
      <c r="CH512" s="131"/>
      <c r="CI512" s="131"/>
      <c r="CJ512" s="131"/>
      <c r="CK512" s="131"/>
      <c r="CL512" s="131"/>
      <c r="CM512" s="131"/>
      <c r="CN512" s="131"/>
      <c r="CO512" s="131"/>
      <c r="CP512" s="131"/>
      <c r="CQ512" s="131"/>
      <c r="CR512" s="131"/>
      <c r="CS512" s="131"/>
      <c r="CT512" s="131"/>
      <c r="CU512" s="131"/>
      <c r="CV512" s="131"/>
      <c r="CW512" s="131"/>
      <c r="CX512" s="131"/>
      <c r="CY512" s="131"/>
      <c r="CZ512" s="131"/>
      <c r="DA512" s="131"/>
      <c r="DB512" s="131"/>
      <c r="DC512" s="131"/>
      <c r="DD512" s="131"/>
      <c r="DE512" s="131"/>
      <c r="DF512" s="131"/>
      <c r="DG512" s="131"/>
      <c r="DH512" s="131"/>
      <c r="DI512" s="131"/>
      <c r="DJ512" s="131"/>
      <c r="DK512" s="131"/>
      <c r="DL512" s="131"/>
      <c r="DM512" s="131"/>
      <c r="DN512" s="131"/>
      <c r="DO512" s="131"/>
      <c r="DP512" s="131"/>
      <c r="DQ512" s="131"/>
      <c r="DR512" s="131"/>
      <c r="DS512" s="131"/>
      <c r="DT512" s="131"/>
      <c r="DU512" s="131"/>
      <c r="DV512" s="131"/>
      <c r="DW512" s="131"/>
      <c r="DX512" s="131"/>
      <c r="DY512" s="131"/>
      <c r="DZ512" s="131"/>
      <c r="EA512" s="131"/>
      <c r="EB512" s="131"/>
      <c r="EC512" s="131"/>
      <c r="ED512" s="131"/>
      <c r="EE512" s="131"/>
      <c r="EF512" s="131"/>
      <c r="EG512" s="131"/>
      <c r="EH512" s="131"/>
      <c r="EI512" s="131"/>
      <c r="EJ512" s="131"/>
      <c r="EK512" s="131"/>
      <c r="EL512" s="131"/>
      <c r="EM512" s="131"/>
      <c r="EN512" s="131"/>
      <c r="EO512" s="131"/>
      <c r="EP512" s="131"/>
      <c r="EQ512" s="131"/>
      <c r="ER512" s="131"/>
      <c r="ES512" s="131"/>
      <c r="ET512" s="131"/>
      <c r="EU512" s="131"/>
      <c r="EV512" s="131"/>
      <c r="EW512" s="131"/>
      <c r="EX512" s="131"/>
      <c r="EY512" s="131"/>
      <c r="EZ512" s="131"/>
      <c r="FA512" s="131"/>
      <c r="FB512" s="131"/>
      <c r="FC512" s="131"/>
      <c r="FD512" s="131"/>
      <c r="FE512" s="131"/>
      <c r="FF512" s="131"/>
      <c r="FG512" s="131"/>
      <c r="FH512" s="131"/>
      <c r="FI512" s="131"/>
      <c r="FJ512" s="131"/>
      <c r="FK512" s="131"/>
      <c r="FL512" s="131"/>
      <c r="FM512" s="131"/>
      <c r="FN512" s="131"/>
      <c r="FO512" s="131"/>
      <c r="FP512" s="131"/>
      <c r="FQ512" s="131"/>
      <c r="FR512" s="131"/>
      <c r="FS512" s="131"/>
      <c r="FT512" s="131"/>
      <c r="FU512" s="131"/>
      <c r="FV512" s="131"/>
      <c r="FW512" s="131"/>
      <c r="FX512" s="131"/>
      <c r="FY512" s="131"/>
      <c r="FZ512" s="131"/>
      <c r="GA512" s="131"/>
      <c r="GB512" s="131"/>
      <c r="GC512" s="131"/>
      <c r="GD512" s="131"/>
      <c r="GE512" s="131"/>
      <c r="GF512" s="131"/>
      <c r="GG512" s="131"/>
      <c r="GH512" s="131"/>
      <c r="GI512" s="131"/>
      <c r="GJ512" s="131"/>
      <c r="GK512" s="131"/>
      <c r="GL512" s="131"/>
      <c r="GM512" s="131"/>
      <c r="GN512" s="131"/>
      <c r="GO512" s="131"/>
      <c r="GP512" s="131"/>
      <c r="GQ512" s="131"/>
      <c r="GR512" s="131"/>
      <c r="GS512" s="131"/>
      <c r="GT512" s="131"/>
      <c r="GU512" s="131"/>
      <c r="GV512" s="131"/>
      <c r="GW512" s="131"/>
      <c r="GX512" s="131"/>
      <c r="GY512" s="131"/>
      <c r="GZ512" s="131"/>
      <c r="HA512" s="131"/>
      <c r="HB512" s="131"/>
      <c r="HC512" s="131"/>
      <c r="HD512" s="131"/>
      <c r="HE512" s="131"/>
      <c r="HF512" s="131"/>
      <c r="HG512" s="131"/>
      <c r="HH512" s="131"/>
      <c r="HI512" s="131"/>
      <c r="HJ512" s="131"/>
      <c r="HK512" s="131"/>
      <c r="HL512" s="131"/>
      <c r="HM512" s="131"/>
      <c r="HN512" s="131"/>
      <c r="HO512" s="131"/>
      <c r="HP512" s="131"/>
      <c r="HQ512" s="131"/>
      <c r="HR512" s="131"/>
      <c r="HS512" s="131"/>
      <c r="HT512" s="131"/>
      <c r="HU512" s="131"/>
      <c r="HV512" s="131"/>
      <c r="HW512" s="131"/>
      <c r="HX512" s="131"/>
      <c r="HY512" s="131"/>
      <c r="HZ512" s="131"/>
      <c r="IA512" s="131"/>
      <c r="IB512" s="131"/>
      <c r="IC512" s="131"/>
      <c r="ID512" s="131"/>
      <c r="IE512" s="131"/>
      <c r="IF512" s="131"/>
      <c r="IG512" s="131"/>
      <c r="IH512" s="131"/>
      <c r="II512" s="131"/>
      <c r="IJ512" s="131"/>
      <c r="IK512" s="131"/>
      <c r="IL512" s="131"/>
      <c r="IM512" s="131"/>
      <c r="IN512" s="131"/>
      <c r="IO512" s="131"/>
      <c r="IP512" s="131"/>
      <c r="IQ512" s="131"/>
      <c r="IR512" s="131"/>
      <c r="IS512" s="131"/>
      <c r="IT512" s="131"/>
      <c r="IU512" s="131"/>
      <c r="IV512" s="131"/>
    </row>
    <row r="513" spans="1:256" s="13" customFormat="1" ht="38.25" customHeight="1">
      <c r="A513" s="21" t="s">
        <v>1</v>
      </c>
      <c r="B513" s="246" t="s">
        <v>34</v>
      </c>
      <c r="C513" s="246" t="s">
        <v>25</v>
      </c>
      <c r="D513" s="246" t="s">
        <v>989</v>
      </c>
      <c r="E513" s="246" t="s">
        <v>138</v>
      </c>
      <c r="F513" s="21" t="s">
        <v>976</v>
      </c>
      <c r="G513" s="246" t="s">
        <v>133</v>
      </c>
      <c r="H513" s="21">
        <v>236220</v>
      </c>
      <c r="I513" s="21" t="s">
        <v>28</v>
      </c>
      <c r="J513" s="21" t="s">
        <v>109</v>
      </c>
      <c r="K513" s="21" t="s">
        <v>1974</v>
      </c>
      <c r="L513" s="21" t="s">
        <v>1974</v>
      </c>
      <c r="M513" s="22">
        <v>25000</v>
      </c>
      <c r="N513" s="22">
        <v>100000</v>
      </c>
      <c r="O513" s="21" t="s">
        <v>20</v>
      </c>
      <c r="P513" s="21" t="s">
        <v>278</v>
      </c>
      <c r="Q513" s="21" t="s">
        <v>279</v>
      </c>
      <c r="R513" s="21" t="s">
        <v>10</v>
      </c>
      <c r="S513" s="74">
        <v>2013</v>
      </c>
      <c r="T513" s="21" t="s">
        <v>977</v>
      </c>
      <c r="U513" s="21" t="s">
        <v>978</v>
      </c>
      <c r="V513" s="21" t="s">
        <v>979</v>
      </c>
      <c r="W513" s="21" t="s">
        <v>66</v>
      </c>
      <c r="X513" s="246" t="s">
        <v>2639</v>
      </c>
      <c r="Y513" s="130"/>
      <c r="Z513" s="130"/>
      <c r="AA513" s="130"/>
      <c r="AB513" s="130"/>
      <c r="AC513" s="130"/>
      <c r="AD513" s="131"/>
      <c r="AE513" s="131"/>
      <c r="AF513" s="131"/>
      <c r="AG513" s="131"/>
      <c r="AH513" s="131"/>
      <c r="AI513" s="131"/>
      <c r="AJ513" s="131"/>
      <c r="AK513" s="131"/>
      <c r="AL513" s="131"/>
      <c r="AM513" s="131"/>
      <c r="AN513" s="131"/>
      <c r="AO513" s="131"/>
      <c r="AP513" s="131"/>
      <c r="AQ513" s="131"/>
      <c r="AR513" s="131"/>
      <c r="AS513" s="131"/>
      <c r="AT513" s="131"/>
      <c r="AU513" s="131"/>
      <c r="AV513" s="131"/>
      <c r="AW513" s="131"/>
      <c r="AX513" s="131"/>
      <c r="AY513" s="131"/>
      <c r="AZ513" s="131"/>
      <c r="BA513" s="131"/>
      <c r="BB513" s="131"/>
      <c r="BC513" s="131"/>
      <c r="BD513" s="131"/>
      <c r="BE513" s="131"/>
      <c r="BF513" s="131"/>
      <c r="BG513" s="131"/>
      <c r="BH513" s="131"/>
      <c r="BI513" s="131"/>
      <c r="BJ513" s="131"/>
      <c r="BK513" s="131"/>
      <c r="BL513" s="131"/>
      <c r="BM513" s="131"/>
      <c r="BN513" s="131"/>
      <c r="BO513" s="131"/>
      <c r="BP513" s="131"/>
      <c r="BQ513" s="131"/>
      <c r="BR513" s="131"/>
      <c r="BS513" s="131"/>
      <c r="BT513" s="131"/>
      <c r="BU513" s="131"/>
      <c r="BV513" s="131"/>
      <c r="BW513" s="131"/>
      <c r="BX513" s="131"/>
      <c r="BY513" s="131"/>
      <c r="BZ513" s="131"/>
      <c r="CA513" s="131"/>
      <c r="CB513" s="131"/>
      <c r="CC513" s="131"/>
      <c r="CD513" s="131"/>
      <c r="CE513" s="131"/>
      <c r="CF513" s="131"/>
      <c r="CG513" s="131"/>
      <c r="CH513" s="131"/>
      <c r="CI513" s="131"/>
      <c r="CJ513" s="131"/>
      <c r="CK513" s="131"/>
      <c r="CL513" s="131"/>
      <c r="CM513" s="131"/>
      <c r="CN513" s="131"/>
      <c r="CO513" s="131"/>
      <c r="CP513" s="131"/>
      <c r="CQ513" s="131"/>
      <c r="CR513" s="131"/>
      <c r="CS513" s="131"/>
      <c r="CT513" s="131"/>
      <c r="CU513" s="131"/>
      <c r="CV513" s="131"/>
      <c r="CW513" s="131"/>
      <c r="CX513" s="131"/>
      <c r="CY513" s="131"/>
      <c r="CZ513" s="131"/>
      <c r="DA513" s="131"/>
      <c r="DB513" s="131"/>
      <c r="DC513" s="131"/>
      <c r="DD513" s="131"/>
      <c r="DE513" s="131"/>
      <c r="DF513" s="131"/>
      <c r="DG513" s="131"/>
      <c r="DH513" s="131"/>
      <c r="DI513" s="131"/>
      <c r="DJ513" s="131"/>
      <c r="DK513" s="131"/>
      <c r="DL513" s="131"/>
      <c r="DM513" s="131"/>
      <c r="DN513" s="131"/>
      <c r="DO513" s="131"/>
      <c r="DP513" s="131"/>
      <c r="DQ513" s="131"/>
      <c r="DR513" s="131"/>
      <c r="DS513" s="131"/>
      <c r="DT513" s="131"/>
      <c r="DU513" s="131"/>
      <c r="DV513" s="131"/>
      <c r="DW513" s="131"/>
      <c r="DX513" s="131"/>
      <c r="DY513" s="131"/>
      <c r="DZ513" s="131"/>
      <c r="EA513" s="131"/>
      <c r="EB513" s="131"/>
      <c r="EC513" s="131"/>
      <c r="ED513" s="131"/>
      <c r="EE513" s="131"/>
      <c r="EF513" s="131"/>
      <c r="EG513" s="131"/>
      <c r="EH513" s="131"/>
      <c r="EI513" s="131"/>
      <c r="EJ513" s="131"/>
      <c r="EK513" s="131"/>
      <c r="EL513" s="131"/>
      <c r="EM513" s="131"/>
      <c r="EN513" s="131"/>
      <c r="EO513" s="131"/>
      <c r="EP513" s="131"/>
      <c r="EQ513" s="131"/>
      <c r="ER513" s="131"/>
      <c r="ES513" s="131"/>
      <c r="ET513" s="131"/>
      <c r="EU513" s="131"/>
      <c r="EV513" s="131"/>
      <c r="EW513" s="131"/>
      <c r="EX513" s="131"/>
      <c r="EY513" s="131"/>
      <c r="EZ513" s="131"/>
      <c r="FA513" s="131"/>
      <c r="FB513" s="131"/>
      <c r="FC513" s="131"/>
      <c r="FD513" s="131"/>
      <c r="FE513" s="131"/>
      <c r="FF513" s="131"/>
      <c r="FG513" s="131"/>
      <c r="FH513" s="131"/>
      <c r="FI513" s="131"/>
      <c r="FJ513" s="131"/>
      <c r="FK513" s="131"/>
      <c r="FL513" s="131"/>
      <c r="FM513" s="131"/>
      <c r="FN513" s="131"/>
      <c r="FO513" s="131"/>
      <c r="FP513" s="131"/>
      <c r="FQ513" s="131"/>
      <c r="FR513" s="131"/>
      <c r="FS513" s="131"/>
      <c r="FT513" s="131"/>
      <c r="FU513" s="131"/>
      <c r="FV513" s="131"/>
      <c r="FW513" s="131"/>
      <c r="FX513" s="131"/>
      <c r="FY513" s="131"/>
      <c r="FZ513" s="131"/>
      <c r="GA513" s="131"/>
      <c r="GB513" s="131"/>
      <c r="GC513" s="131"/>
      <c r="GD513" s="131"/>
      <c r="GE513" s="131"/>
      <c r="GF513" s="131"/>
      <c r="GG513" s="131"/>
      <c r="GH513" s="131"/>
      <c r="GI513" s="131"/>
      <c r="GJ513" s="131"/>
      <c r="GK513" s="131"/>
      <c r="GL513" s="131"/>
      <c r="GM513" s="131"/>
      <c r="GN513" s="131"/>
      <c r="GO513" s="131"/>
      <c r="GP513" s="131"/>
      <c r="GQ513" s="131"/>
      <c r="GR513" s="131"/>
      <c r="GS513" s="131"/>
      <c r="GT513" s="131"/>
      <c r="GU513" s="131"/>
      <c r="GV513" s="131"/>
      <c r="GW513" s="131"/>
      <c r="GX513" s="131"/>
      <c r="GY513" s="131"/>
      <c r="GZ513" s="131"/>
      <c r="HA513" s="131"/>
      <c r="HB513" s="131"/>
      <c r="HC513" s="131"/>
      <c r="HD513" s="131"/>
      <c r="HE513" s="131"/>
      <c r="HF513" s="131"/>
      <c r="HG513" s="131"/>
      <c r="HH513" s="131"/>
      <c r="HI513" s="131"/>
      <c r="HJ513" s="131"/>
      <c r="HK513" s="131"/>
      <c r="HL513" s="131"/>
      <c r="HM513" s="131"/>
      <c r="HN513" s="131"/>
      <c r="HO513" s="131"/>
      <c r="HP513" s="131"/>
      <c r="HQ513" s="131"/>
      <c r="HR513" s="131"/>
      <c r="HS513" s="131"/>
      <c r="HT513" s="131"/>
      <c r="HU513" s="131"/>
      <c r="HV513" s="131"/>
      <c r="HW513" s="131"/>
      <c r="HX513" s="131"/>
      <c r="HY513" s="131"/>
      <c r="HZ513" s="131"/>
      <c r="IA513" s="131"/>
      <c r="IB513" s="131"/>
      <c r="IC513" s="131"/>
      <c r="ID513" s="131"/>
      <c r="IE513" s="131"/>
      <c r="IF513" s="131"/>
      <c r="IG513" s="131"/>
      <c r="IH513" s="131"/>
      <c r="II513" s="131"/>
      <c r="IJ513" s="131"/>
      <c r="IK513" s="131"/>
      <c r="IL513" s="131"/>
      <c r="IM513" s="131"/>
      <c r="IN513" s="131"/>
      <c r="IO513" s="131"/>
      <c r="IP513" s="131"/>
      <c r="IQ513" s="131"/>
      <c r="IR513" s="131"/>
      <c r="IS513" s="131"/>
      <c r="IT513" s="131"/>
      <c r="IU513" s="131"/>
      <c r="IV513" s="131"/>
    </row>
    <row r="514" spans="1:256" s="13" customFormat="1" ht="38.25" customHeight="1">
      <c r="A514" s="21" t="s">
        <v>1</v>
      </c>
      <c r="B514" s="246" t="s">
        <v>34</v>
      </c>
      <c r="C514" s="246" t="s">
        <v>3</v>
      </c>
      <c r="D514" s="246" t="s">
        <v>990</v>
      </c>
      <c r="E514" s="246" t="s">
        <v>138</v>
      </c>
      <c r="F514" s="21" t="s">
        <v>991</v>
      </c>
      <c r="G514" s="246" t="s">
        <v>155</v>
      </c>
      <c r="H514" s="21">
        <v>236220</v>
      </c>
      <c r="I514" s="21" t="s">
        <v>28</v>
      </c>
      <c r="J514" s="21" t="s">
        <v>109</v>
      </c>
      <c r="K514" s="21" t="s">
        <v>2640</v>
      </c>
      <c r="L514" s="21" t="s">
        <v>2641</v>
      </c>
      <c r="M514" s="22">
        <v>100000</v>
      </c>
      <c r="N514" s="22">
        <v>250000</v>
      </c>
      <c r="O514" s="21" t="s">
        <v>20</v>
      </c>
      <c r="P514" s="21" t="s">
        <v>278</v>
      </c>
      <c r="Q514" s="21" t="s">
        <v>279</v>
      </c>
      <c r="R514" s="21" t="s">
        <v>2642</v>
      </c>
      <c r="S514" s="74">
        <v>2013</v>
      </c>
      <c r="T514" s="21" t="s">
        <v>1010</v>
      </c>
      <c r="U514" s="21" t="s">
        <v>993</v>
      </c>
      <c r="V514" s="21" t="s">
        <v>994</v>
      </c>
      <c r="W514" s="21" t="s">
        <v>66</v>
      </c>
      <c r="X514" s="246" t="s">
        <v>2643</v>
      </c>
      <c r="Y514" s="130"/>
      <c r="Z514" s="267"/>
      <c r="AA514" s="130"/>
      <c r="AB514" s="267"/>
      <c r="AC514" s="130"/>
      <c r="AD514" s="131"/>
      <c r="AE514" s="131"/>
      <c r="AF514" s="131"/>
      <c r="AG514" s="131"/>
      <c r="AH514" s="131"/>
      <c r="AI514" s="131"/>
      <c r="AJ514" s="131"/>
      <c r="AK514" s="131"/>
      <c r="AL514" s="131"/>
      <c r="AM514" s="131"/>
      <c r="AN514" s="131"/>
      <c r="AO514" s="131"/>
      <c r="AP514" s="131"/>
      <c r="AQ514" s="131"/>
      <c r="AR514" s="131"/>
      <c r="AS514" s="131"/>
      <c r="AT514" s="131"/>
      <c r="AU514" s="131"/>
      <c r="AV514" s="131"/>
      <c r="AW514" s="131"/>
      <c r="AX514" s="131"/>
      <c r="AY514" s="131"/>
      <c r="AZ514" s="131"/>
      <c r="BA514" s="131"/>
      <c r="BB514" s="131"/>
      <c r="BC514" s="131"/>
      <c r="BD514" s="131"/>
      <c r="BE514" s="131"/>
      <c r="BF514" s="131"/>
      <c r="BG514" s="131"/>
      <c r="BH514" s="131"/>
      <c r="BI514" s="131"/>
      <c r="BJ514" s="131"/>
      <c r="BK514" s="131"/>
      <c r="BL514" s="131"/>
      <c r="BM514" s="131"/>
      <c r="BN514" s="131"/>
      <c r="BO514" s="131"/>
      <c r="BP514" s="131"/>
      <c r="BQ514" s="131"/>
      <c r="BR514" s="131"/>
      <c r="BS514" s="131"/>
      <c r="BT514" s="131"/>
      <c r="BU514" s="131"/>
      <c r="BV514" s="131"/>
      <c r="BW514" s="131"/>
      <c r="BX514" s="131"/>
      <c r="BY514" s="131"/>
      <c r="BZ514" s="131"/>
      <c r="CA514" s="131"/>
      <c r="CB514" s="131"/>
      <c r="CC514" s="131"/>
      <c r="CD514" s="131"/>
      <c r="CE514" s="131"/>
      <c r="CF514" s="131"/>
      <c r="CG514" s="131"/>
      <c r="CH514" s="131"/>
      <c r="CI514" s="131"/>
      <c r="CJ514" s="131"/>
      <c r="CK514" s="131"/>
      <c r="CL514" s="131"/>
      <c r="CM514" s="131"/>
      <c r="CN514" s="131"/>
      <c r="CO514" s="131"/>
      <c r="CP514" s="131"/>
      <c r="CQ514" s="131"/>
      <c r="CR514" s="131"/>
      <c r="CS514" s="131"/>
      <c r="CT514" s="131"/>
      <c r="CU514" s="131"/>
      <c r="CV514" s="131"/>
      <c r="CW514" s="131"/>
      <c r="CX514" s="131"/>
      <c r="CY514" s="131"/>
      <c r="CZ514" s="131"/>
      <c r="DA514" s="131"/>
      <c r="DB514" s="131"/>
      <c r="DC514" s="131"/>
      <c r="DD514" s="131"/>
      <c r="DE514" s="131"/>
      <c r="DF514" s="131"/>
      <c r="DG514" s="131"/>
      <c r="DH514" s="131"/>
      <c r="DI514" s="131"/>
      <c r="DJ514" s="131"/>
      <c r="DK514" s="131"/>
      <c r="DL514" s="131"/>
      <c r="DM514" s="131"/>
      <c r="DN514" s="131"/>
      <c r="DO514" s="131"/>
      <c r="DP514" s="131"/>
      <c r="DQ514" s="131"/>
      <c r="DR514" s="131"/>
      <c r="DS514" s="131"/>
      <c r="DT514" s="131"/>
      <c r="DU514" s="131"/>
      <c r="DV514" s="131"/>
      <c r="DW514" s="131"/>
      <c r="DX514" s="131"/>
      <c r="DY514" s="131"/>
      <c r="DZ514" s="131"/>
      <c r="EA514" s="131"/>
      <c r="EB514" s="131"/>
      <c r="EC514" s="131"/>
      <c r="ED514" s="131"/>
      <c r="EE514" s="131"/>
      <c r="EF514" s="131"/>
      <c r="EG514" s="131"/>
      <c r="EH514" s="131"/>
      <c r="EI514" s="131"/>
      <c r="EJ514" s="131"/>
      <c r="EK514" s="131"/>
      <c r="EL514" s="131"/>
      <c r="EM514" s="131"/>
      <c r="EN514" s="131"/>
      <c r="EO514" s="131"/>
      <c r="EP514" s="131"/>
      <c r="EQ514" s="131"/>
      <c r="ER514" s="131"/>
      <c r="ES514" s="131"/>
      <c r="ET514" s="131"/>
      <c r="EU514" s="131"/>
      <c r="EV514" s="131"/>
      <c r="EW514" s="131"/>
      <c r="EX514" s="131"/>
      <c r="EY514" s="131"/>
      <c r="EZ514" s="131"/>
      <c r="FA514" s="131"/>
      <c r="FB514" s="131"/>
      <c r="FC514" s="131"/>
      <c r="FD514" s="131"/>
      <c r="FE514" s="131"/>
      <c r="FF514" s="131"/>
      <c r="FG514" s="131"/>
      <c r="FH514" s="131"/>
      <c r="FI514" s="131"/>
      <c r="FJ514" s="131"/>
      <c r="FK514" s="131"/>
      <c r="FL514" s="131"/>
      <c r="FM514" s="131"/>
      <c r="FN514" s="131"/>
      <c r="FO514" s="131"/>
      <c r="FP514" s="131"/>
      <c r="FQ514" s="131"/>
      <c r="FR514" s="131"/>
      <c r="FS514" s="131"/>
      <c r="FT514" s="131"/>
      <c r="FU514" s="131"/>
      <c r="FV514" s="131"/>
      <c r="FW514" s="131"/>
      <c r="FX514" s="131"/>
      <c r="FY514" s="131"/>
      <c r="FZ514" s="131"/>
      <c r="GA514" s="131"/>
      <c r="GB514" s="131"/>
      <c r="GC514" s="131"/>
      <c r="GD514" s="131"/>
      <c r="GE514" s="131"/>
      <c r="GF514" s="131"/>
      <c r="GG514" s="131"/>
      <c r="GH514" s="131"/>
      <c r="GI514" s="131"/>
      <c r="GJ514" s="131"/>
      <c r="GK514" s="131"/>
      <c r="GL514" s="131"/>
      <c r="GM514" s="131"/>
      <c r="GN514" s="131"/>
      <c r="GO514" s="131"/>
      <c r="GP514" s="131"/>
      <c r="GQ514" s="131"/>
      <c r="GR514" s="131"/>
      <c r="GS514" s="131"/>
      <c r="GT514" s="131"/>
      <c r="GU514" s="131"/>
      <c r="GV514" s="131"/>
      <c r="GW514" s="131"/>
      <c r="GX514" s="131"/>
      <c r="GY514" s="131"/>
      <c r="GZ514" s="131"/>
      <c r="HA514" s="131"/>
      <c r="HB514" s="131"/>
      <c r="HC514" s="131"/>
      <c r="HD514" s="131"/>
      <c r="HE514" s="131"/>
      <c r="HF514" s="131"/>
      <c r="HG514" s="131"/>
      <c r="HH514" s="131"/>
      <c r="HI514" s="131"/>
      <c r="HJ514" s="131"/>
      <c r="HK514" s="131"/>
      <c r="HL514" s="131"/>
      <c r="HM514" s="131"/>
      <c r="HN514" s="131"/>
      <c r="HO514" s="131"/>
      <c r="HP514" s="131"/>
      <c r="HQ514" s="131"/>
      <c r="HR514" s="131"/>
      <c r="HS514" s="131"/>
      <c r="HT514" s="131"/>
      <c r="HU514" s="131"/>
      <c r="HV514" s="131"/>
      <c r="HW514" s="131"/>
      <c r="HX514" s="131"/>
      <c r="HY514" s="131"/>
      <c r="HZ514" s="131"/>
      <c r="IA514" s="131"/>
      <c r="IB514" s="131"/>
      <c r="IC514" s="131"/>
      <c r="ID514" s="131"/>
      <c r="IE514" s="131"/>
      <c r="IF514" s="131"/>
      <c r="IG514" s="131"/>
      <c r="IH514" s="131"/>
      <c r="II514" s="131"/>
      <c r="IJ514" s="131"/>
      <c r="IK514" s="131"/>
      <c r="IL514" s="131"/>
      <c r="IM514" s="131"/>
      <c r="IN514" s="131"/>
      <c r="IO514" s="131"/>
      <c r="IP514" s="131"/>
      <c r="IQ514" s="131"/>
      <c r="IR514" s="131"/>
      <c r="IS514" s="131"/>
      <c r="IT514" s="131"/>
      <c r="IU514" s="131"/>
      <c r="IV514" s="131"/>
    </row>
    <row r="515" spans="1:256" s="13" customFormat="1" ht="38.25" customHeight="1">
      <c r="A515" s="21" t="s">
        <v>1</v>
      </c>
      <c r="B515" s="246" t="s">
        <v>34</v>
      </c>
      <c r="C515" s="246" t="s">
        <v>25</v>
      </c>
      <c r="D515" s="246" t="s">
        <v>995</v>
      </c>
      <c r="E515" s="246" t="s">
        <v>138</v>
      </c>
      <c r="F515" s="21" t="s">
        <v>996</v>
      </c>
      <c r="G515" s="246" t="s">
        <v>197</v>
      </c>
      <c r="H515" s="21">
        <v>236220</v>
      </c>
      <c r="I515" s="21" t="s">
        <v>28</v>
      </c>
      <c r="J515" s="21" t="s">
        <v>109</v>
      </c>
      <c r="K515" s="21" t="s">
        <v>1974</v>
      </c>
      <c r="L515" s="21" t="s">
        <v>1974</v>
      </c>
      <c r="M515" s="22">
        <v>100000</v>
      </c>
      <c r="N515" s="22">
        <v>250000</v>
      </c>
      <c r="O515" s="21" t="s">
        <v>20</v>
      </c>
      <c r="P515" s="21" t="s">
        <v>278</v>
      </c>
      <c r="Q515" s="21" t="s">
        <v>279</v>
      </c>
      <c r="R515" s="21" t="s">
        <v>278</v>
      </c>
      <c r="S515" s="74">
        <v>2013</v>
      </c>
      <c r="T515" s="21" t="s">
        <v>1010</v>
      </c>
      <c r="U515" s="21" t="s">
        <v>993</v>
      </c>
      <c r="V515" s="21" t="s">
        <v>994</v>
      </c>
      <c r="W515" s="21" t="s">
        <v>66</v>
      </c>
      <c r="X515" s="246" t="s">
        <v>2644</v>
      </c>
      <c r="Y515" s="130"/>
      <c r="Z515" s="130"/>
      <c r="AA515" s="130"/>
      <c r="AB515" s="130"/>
      <c r="AC515" s="130"/>
      <c r="AD515" s="131"/>
      <c r="AE515" s="131"/>
      <c r="AF515" s="131"/>
      <c r="AG515" s="131"/>
      <c r="AH515" s="131"/>
      <c r="AI515" s="131"/>
      <c r="AJ515" s="131"/>
      <c r="AK515" s="131"/>
      <c r="AL515" s="131"/>
      <c r="AM515" s="131"/>
      <c r="AN515" s="131"/>
      <c r="AO515" s="131"/>
      <c r="AP515" s="131"/>
      <c r="AQ515" s="131"/>
      <c r="AR515" s="131"/>
      <c r="AS515" s="131"/>
      <c r="AT515" s="131"/>
      <c r="AU515" s="131"/>
      <c r="AV515" s="131"/>
      <c r="AW515" s="131"/>
      <c r="AX515" s="131"/>
      <c r="AY515" s="131"/>
      <c r="AZ515" s="131"/>
      <c r="BA515" s="131"/>
      <c r="BB515" s="131"/>
      <c r="BC515" s="131"/>
      <c r="BD515" s="131"/>
      <c r="BE515" s="131"/>
      <c r="BF515" s="131"/>
      <c r="BG515" s="131"/>
      <c r="BH515" s="131"/>
      <c r="BI515" s="131"/>
      <c r="BJ515" s="131"/>
      <c r="BK515" s="131"/>
      <c r="BL515" s="131"/>
      <c r="BM515" s="131"/>
      <c r="BN515" s="131"/>
      <c r="BO515" s="131"/>
      <c r="BP515" s="131"/>
      <c r="BQ515" s="131"/>
      <c r="BR515" s="131"/>
      <c r="BS515" s="131"/>
      <c r="BT515" s="131"/>
      <c r="BU515" s="131"/>
      <c r="BV515" s="131"/>
      <c r="BW515" s="131"/>
      <c r="BX515" s="131"/>
      <c r="BY515" s="131"/>
      <c r="BZ515" s="131"/>
      <c r="CA515" s="131"/>
      <c r="CB515" s="131"/>
      <c r="CC515" s="131"/>
      <c r="CD515" s="131"/>
      <c r="CE515" s="131"/>
      <c r="CF515" s="131"/>
      <c r="CG515" s="131"/>
      <c r="CH515" s="131"/>
      <c r="CI515" s="131"/>
      <c r="CJ515" s="131"/>
      <c r="CK515" s="131"/>
      <c r="CL515" s="131"/>
      <c r="CM515" s="131"/>
      <c r="CN515" s="131"/>
      <c r="CO515" s="131"/>
      <c r="CP515" s="131"/>
      <c r="CQ515" s="131"/>
      <c r="CR515" s="131"/>
      <c r="CS515" s="131"/>
      <c r="CT515" s="131"/>
      <c r="CU515" s="131"/>
      <c r="CV515" s="131"/>
      <c r="CW515" s="131"/>
      <c r="CX515" s="131"/>
      <c r="CY515" s="131"/>
      <c r="CZ515" s="131"/>
      <c r="DA515" s="131"/>
      <c r="DB515" s="131"/>
      <c r="DC515" s="131"/>
      <c r="DD515" s="131"/>
      <c r="DE515" s="131"/>
      <c r="DF515" s="131"/>
      <c r="DG515" s="131"/>
      <c r="DH515" s="131"/>
      <c r="DI515" s="131"/>
      <c r="DJ515" s="131"/>
      <c r="DK515" s="131"/>
      <c r="DL515" s="131"/>
      <c r="DM515" s="131"/>
      <c r="DN515" s="131"/>
      <c r="DO515" s="131"/>
      <c r="DP515" s="131"/>
      <c r="DQ515" s="131"/>
      <c r="DR515" s="131"/>
      <c r="DS515" s="131"/>
      <c r="DT515" s="131"/>
      <c r="DU515" s="131"/>
      <c r="DV515" s="131"/>
      <c r="DW515" s="131"/>
      <c r="DX515" s="131"/>
      <c r="DY515" s="131"/>
      <c r="DZ515" s="131"/>
      <c r="EA515" s="131"/>
      <c r="EB515" s="131"/>
      <c r="EC515" s="131"/>
      <c r="ED515" s="131"/>
      <c r="EE515" s="131"/>
      <c r="EF515" s="131"/>
      <c r="EG515" s="131"/>
      <c r="EH515" s="131"/>
      <c r="EI515" s="131"/>
      <c r="EJ515" s="131"/>
      <c r="EK515" s="131"/>
      <c r="EL515" s="131"/>
      <c r="EM515" s="131"/>
      <c r="EN515" s="131"/>
      <c r="EO515" s="131"/>
      <c r="EP515" s="131"/>
      <c r="EQ515" s="131"/>
      <c r="ER515" s="131"/>
      <c r="ES515" s="131"/>
      <c r="ET515" s="131"/>
      <c r="EU515" s="131"/>
      <c r="EV515" s="131"/>
      <c r="EW515" s="131"/>
      <c r="EX515" s="131"/>
      <c r="EY515" s="131"/>
      <c r="EZ515" s="131"/>
      <c r="FA515" s="131"/>
      <c r="FB515" s="131"/>
      <c r="FC515" s="131"/>
      <c r="FD515" s="131"/>
      <c r="FE515" s="131"/>
      <c r="FF515" s="131"/>
      <c r="FG515" s="131"/>
      <c r="FH515" s="131"/>
      <c r="FI515" s="131"/>
      <c r="FJ515" s="131"/>
      <c r="FK515" s="131"/>
      <c r="FL515" s="131"/>
      <c r="FM515" s="131"/>
      <c r="FN515" s="131"/>
      <c r="FO515" s="131"/>
      <c r="FP515" s="131"/>
      <c r="FQ515" s="131"/>
      <c r="FR515" s="131"/>
      <c r="FS515" s="131"/>
      <c r="FT515" s="131"/>
      <c r="FU515" s="131"/>
      <c r="FV515" s="131"/>
      <c r="FW515" s="131"/>
      <c r="FX515" s="131"/>
      <c r="FY515" s="131"/>
      <c r="FZ515" s="131"/>
      <c r="GA515" s="131"/>
      <c r="GB515" s="131"/>
      <c r="GC515" s="131"/>
      <c r="GD515" s="131"/>
      <c r="GE515" s="131"/>
      <c r="GF515" s="131"/>
      <c r="GG515" s="131"/>
      <c r="GH515" s="131"/>
      <c r="GI515" s="131"/>
      <c r="GJ515" s="131"/>
      <c r="GK515" s="131"/>
      <c r="GL515" s="131"/>
      <c r="GM515" s="131"/>
      <c r="GN515" s="131"/>
      <c r="GO515" s="131"/>
      <c r="GP515" s="131"/>
      <c r="GQ515" s="131"/>
      <c r="GR515" s="131"/>
      <c r="GS515" s="131"/>
      <c r="GT515" s="131"/>
      <c r="GU515" s="131"/>
      <c r="GV515" s="131"/>
      <c r="GW515" s="131"/>
      <c r="GX515" s="131"/>
      <c r="GY515" s="131"/>
      <c r="GZ515" s="131"/>
      <c r="HA515" s="131"/>
      <c r="HB515" s="131"/>
      <c r="HC515" s="131"/>
      <c r="HD515" s="131"/>
      <c r="HE515" s="131"/>
      <c r="HF515" s="131"/>
      <c r="HG515" s="131"/>
      <c r="HH515" s="131"/>
      <c r="HI515" s="131"/>
      <c r="HJ515" s="131"/>
      <c r="HK515" s="131"/>
      <c r="HL515" s="131"/>
      <c r="HM515" s="131"/>
      <c r="HN515" s="131"/>
      <c r="HO515" s="131"/>
      <c r="HP515" s="131"/>
      <c r="HQ515" s="131"/>
      <c r="HR515" s="131"/>
      <c r="HS515" s="131"/>
      <c r="HT515" s="131"/>
      <c r="HU515" s="131"/>
      <c r="HV515" s="131"/>
      <c r="HW515" s="131"/>
      <c r="HX515" s="131"/>
      <c r="HY515" s="131"/>
      <c r="HZ515" s="131"/>
      <c r="IA515" s="131"/>
      <c r="IB515" s="131"/>
      <c r="IC515" s="131"/>
      <c r="ID515" s="131"/>
      <c r="IE515" s="131"/>
      <c r="IF515" s="131"/>
      <c r="IG515" s="131"/>
      <c r="IH515" s="131"/>
      <c r="II515" s="131"/>
      <c r="IJ515" s="131"/>
      <c r="IK515" s="131"/>
      <c r="IL515" s="131"/>
      <c r="IM515" s="131"/>
      <c r="IN515" s="131"/>
      <c r="IO515" s="131"/>
      <c r="IP515" s="131"/>
      <c r="IQ515" s="131"/>
      <c r="IR515" s="131"/>
      <c r="IS515" s="131"/>
      <c r="IT515" s="131"/>
      <c r="IU515" s="131"/>
      <c r="IV515" s="131"/>
    </row>
    <row r="516" spans="1:256" s="13" customFormat="1" ht="38.25" customHeight="1">
      <c r="A516" s="21" t="s">
        <v>1</v>
      </c>
      <c r="B516" s="246" t="s">
        <v>34</v>
      </c>
      <c r="C516" s="246" t="s">
        <v>25</v>
      </c>
      <c r="D516" s="246" t="s">
        <v>997</v>
      </c>
      <c r="E516" s="246" t="s">
        <v>138</v>
      </c>
      <c r="F516" s="21" t="s">
        <v>996</v>
      </c>
      <c r="G516" s="246" t="s">
        <v>197</v>
      </c>
      <c r="H516" s="21">
        <v>236220</v>
      </c>
      <c r="I516" s="21" t="s">
        <v>28</v>
      </c>
      <c r="J516" s="21" t="s">
        <v>109</v>
      </c>
      <c r="K516" s="21" t="s">
        <v>1974</v>
      </c>
      <c r="L516" s="21" t="s">
        <v>1974</v>
      </c>
      <c r="M516" s="22">
        <v>25000</v>
      </c>
      <c r="N516" s="22">
        <v>100000</v>
      </c>
      <c r="O516" s="21" t="s">
        <v>20</v>
      </c>
      <c r="P516" s="21" t="s">
        <v>278</v>
      </c>
      <c r="Q516" s="21" t="s">
        <v>279</v>
      </c>
      <c r="R516" s="21" t="s">
        <v>278</v>
      </c>
      <c r="S516" s="74">
        <v>2013</v>
      </c>
      <c r="T516" s="21" t="s">
        <v>992</v>
      </c>
      <c r="U516" s="21" t="s">
        <v>993</v>
      </c>
      <c r="V516" s="21" t="s">
        <v>994</v>
      </c>
      <c r="W516" s="21" t="s">
        <v>66</v>
      </c>
      <c r="X516" s="246" t="s">
        <v>2645</v>
      </c>
      <c r="Y516" s="130"/>
      <c r="Z516" s="130"/>
      <c r="AA516" s="130"/>
      <c r="AB516" s="130"/>
      <c r="AC516" s="130"/>
      <c r="AD516" s="131"/>
      <c r="AE516" s="131"/>
      <c r="AF516" s="131"/>
      <c r="AG516" s="131"/>
      <c r="AH516" s="131"/>
      <c r="AI516" s="131"/>
      <c r="AJ516" s="131"/>
      <c r="AK516" s="131"/>
      <c r="AL516" s="131"/>
      <c r="AM516" s="131"/>
      <c r="AN516" s="131"/>
      <c r="AO516" s="131"/>
      <c r="AP516" s="131"/>
      <c r="AQ516" s="131"/>
      <c r="AR516" s="131"/>
      <c r="AS516" s="131"/>
      <c r="AT516" s="131"/>
      <c r="AU516" s="131"/>
      <c r="AV516" s="131"/>
      <c r="AW516" s="131"/>
      <c r="AX516" s="131"/>
      <c r="AY516" s="131"/>
      <c r="AZ516" s="131"/>
      <c r="BA516" s="131"/>
      <c r="BB516" s="131"/>
      <c r="BC516" s="131"/>
      <c r="BD516" s="131"/>
      <c r="BE516" s="131"/>
      <c r="BF516" s="131"/>
      <c r="BG516" s="131"/>
      <c r="BH516" s="131"/>
      <c r="BI516" s="131"/>
      <c r="BJ516" s="131"/>
      <c r="BK516" s="131"/>
      <c r="BL516" s="131"/>
      <c r="BM516" s="131"/>
      <c r="BN516" s="131"/>
      <c r="BO516" s="131"/>
      <c r="BP516" s="131"/>
      <c r="BQ516" s="131"/>
      <c r="BR516" s="131"/>
      <c r="BS516" s="131"/>
      <c r="BT516" s="131"/>
      <c r="BU516" s="131"/>
      <c r="BV516" s="131"/>
      <c r="BW516" s="131"/>
      <c r="BX516" s="131"/>
      <c r="BY516" s="131"/>
      <c r="BZ516" s="131"/>
      <c r="CA516" s="131"/>
      <c r="CB516" s="131"/>
      <c r="CC516" s="131"/>
      <c r="CD516" s="131"/>
      <c r="CE516" s="131"/>
      <c r="CF516" s="131"/>
      <c r="CG516" s="131"/>
      <c r="CH516" s="131"/>
      <c r="CI516" s="131"/>
      <c r="CJ516" s="131"/>
      <c r="CK516" s="131"/>
      <c r="CL516" s="131"/>
      <c r="CM516" s="131"/>
      <c r="CN516" s="131"/>
      <c r="CO516" s="131"/>
      <c r="CP516" s="131"/>
      <c r="CQ516" s="131"/>
      <c r="CR516" s="131"/>
      <c r="CS516" s="131"/>
      <c r="CT516" s="131"/>
      <c r="CU516" s="131"/>
      <c r="CV516" s="131"/>
      <c r="CW516" s="131"/>
      <c r="CX516" s="131"/>
      <c r="CY516" s="131"/>
      <c r="CZ516" s="131"/>
      <c r="DA516" s="131"/>
      <c r="DB516" s="131"/>
      <c r="DC516" s="131"/>
      <c r="DD516" s="131"/>
      <c r="DE516" s="131"/>
      <c r="DF516" s="131"/>
      <c r="DG516" s="131"/>
      <c r="DH516" s="131"/>
      <c r="DI516" s="131"/>
      <c r="DJ516" s="131"/>
      <c r="DK516" s="131"/>
      <c r="DL516" s="131"/>
      <c r="DM516" s="131"/>
      <c r="DN516" s="131"/>
      <c r="DO516" s="131"/>
      <c r="DP516" s="131"/>
      <c r="DQ516" s="131"/>
      <c r="DR516" s="131"/>
      <c r="DS516" s="131"/>
      <c r="DT516" s="131"/>
      <c r="DU516" s="131"/>
      <c r="DV516" s="131"/>
      <c r="DW516" s="131"/>
      <c r="DX516" s="131"/>
      <c r="DY516" s="131"/>
      <c r="DZ516" s="131"/>
      <c r="EA516" s="131"/>
      <c r="EB516" s="131"/>
      <c r="EC516" s="131"/>
      <c r="ED516" s="131"/>
      <c r="EE516" s="131"/>
      <c r="EF516" s="131"/>
      <c r="EG516" s="131"/>
      <c r="EH516" s="131"/>
      <c r="EI516" s="131"/>
      <c r="EJ516" s="131"/>
      <c r="EK516" s="131"/>
      <c r="EL516" s="131"/>
      <c r="EM516" s="131"/>
      <c r="EN516" s="131"/>
      <c r="EO516" s="131"/>
      <c r="EP516" s="131"/>
      <c r="EQ516" s="131"/>
      <c r="ER516" s="131"/>
      <c r="ES516" s="131"/>
      <c r="ET516" s="131"/>
      <c r="EU516" s="131"/>
      <c r="EV516" s="131"/>
      <c r="EW516" s="131"/>
      <c r="EX516" s="131"/>
      <c r="EY516" s="131"/>
      <c r="EZ516" s="131"/>
      <c r="FA516" s="131"/>
      <c r="FB516" s="131"/>
      <c r="FC516" s="131"/>
      <c r="FD516" s="131"/>
      <c r="FE516" s="131"/>
      <c r="FF516" s="131"/>
      <c r="FG516" s="131"/>
      <c r="FH516" s="131"/>
      <c r="FI516" s="131"/>
      <c r="FJ516" s="131"/>
      <c r="FK516" s="131"/>
      <c r="FL516" s="131"/>
      <c r="FM516" s="131"/>
      <c r="FN516" s="131"/>
      <c r="FO516" s="131"/>
      <c r="FP516" s="131"/>
      <c r="FQ516" s="131"/>
      <c r="FR516" s="131"/>
      <c r="FS516" s="131"/>
      <c r="FT516" s="131"/>
      <c r="FU516" s="131"/>
      <c r="FV516" s="131"/>
      <c r="FW516" s="131"/>
      <c r="FX516" s="131"/>
      <c r="FY516" s="131"/>
      <c r="FZ516" s="131"/>
      <c r="GA516" s="131"/>
      <c r="GB516" s="131"/>
      <c r="GC516" s="131"/>
      <c r="GD516" s="131"/>
      <c r="GE516" s="131"/>
      <c r="GF516" s="131"/>
      <c r="GG516" s="131"/>
      <c r="GH516" s="131"/>
      <c r="GI516" s="131"/>
      <c r="GJ516" s="131"/>
      <c r="GK516" s="131"/>
      <c r="GL516" s="131"/>
      <c r="GM516" s="131"/>
      <c r="GN516" s="131"/>
      <c r="GO516" s="131"/>
      <c r="GP516" s="131"/>
      <c r="GQ516" s="131"/>
      <c r="GR516" s="131"/>
      <c r="GS516" s="131"/>
      <c r="GT516" s="131"/>
      <c r="GU516" s="131"/>
      <c r="GV516" s="131"/>
      <c r="GW516" s="131"/>
      <c r="GX516" s="131"/>
      <c r="GY516" s="131"/>
      <c r="GZ516" s="131"/>
      <c r="HA516" s="131"/>
      <c r="HB516" s="131"/>
      <c r="HC516" s="131"/>
      <c r="HD516" s="131"/>
      <c r="HE516" s="131"/>
      <c r="HF516" s="131"/>
      <c r="HG516" s="131"/>
      <c r="HH516" s="131"/>
      <c r="HI516" s="131"/>
      <c r="HJ516" s="131"/>
      <c r="HK516" s="131"/>
      <c r="HL516" s="131"/>
      <c r="HM516" s="131"/>
      <c r="HN516" s="131"/>
      <c r="HO516" s="131"/>
      <c r="HP516" s="131"/>
      <c r="HQ516" s="131"/>
      <c r="HR516" s="131"/>
      <c r="HS516" s="131"/>
      <c r="HT516" s="131"/>
      <c r="HU516" s="131"/>
      <c r="HV516" s="131"/>
      <c r="HW516" s="131"/>
      <c r="HX516" s="131"/>
      <c r="HY516" s="131"/>
      <c r="HZ516" s="131"/>
      <c r="IA516" s="131"/>
      <c r="IB516" s="131"/>
      <c r="IC516" s="131"/>
      <c r="ID516" s="131"/>
      <c r="IE516" s="131"/>
      <c r="IF516" s="131"/>
      <c r="IG516" s="131"/>
      <c r="IH516" s="131"/>
      <c r="II516" s="131"/>
      <c r="IJ516" s="131"/>
      <c r="IK516" s="131"/>
      <c r="IL516" s="131"/>
      <c r="IM516" s="131"/>
      <c r="IN516" s="131"/>
      <c r="IO516" s="131"/>
      <c r="IP516" s="131"/>
      <c r="IQ516" s="131"/>
      <c r="IR516" s="131"/>
      <c r="IS516" s="131"/>
      <c r="IT516" s="131"/>
      <c r="IU516" s="131"/>
      <c r="IV516" s="131"/>
    </row>
    <row r="517" spans="1:256" s="13" customFormat="1" ht="38.25" customHeight="1">
      <c r="A517" s="21" t="s">
        <v>1</v>
      </c>
      <c r="B517" s="246" t="s">
        <v>34</v>
      </c>
      <c r="C517" s="246" t="s">
        <v>25</v>
      </c>
      <c r="D517" s="246" t="s">
        <v>998</v>
      </c>
      <c r="E517" s="246" t="s">
        <v>138</v>
      </c>
      <c r="F517" s="21" t="s">
        <v>996</v>
      </c>
      <c r="G517" s="246" t="s">
        <v>197</v>
      </c>
      <c r="H517" s="21">
        <v>236220</v>
      </c>
      <c r="I517" s="21" t="s">
        <v>28</v>
      </c>
      <c r="J517" s="21" t="s">
        <v>109</v>
      </c>
      <c r="K517" s="21" t="s">
        <v>1974</v>
      </c>
      <c r="L517" s="21" t="s">
        <v>1974</v>
      </c>
      <c r="M517" s="22">
        <v>1000</v>
      </c>
      <c r="N517" s="22">
        <v>25000</v>
      </c>
      <c r="O517" s="21" t="s">
        <v>20</v>
      </c>
      <c r="P517" s="21" t="s">
        <v>278</v>
      </c>
      <c r="Q517" s="21" t="s">
        <v>279</v>
      </c>
      <c r="R517" s="21" t="s">
        <v>278</v>
      </c>
      <c r="S517" s="74">
        <v>2013</v>
      </c>
      <c r="T517" s="21" t="s">
        <v>992</v>
      </c>
      <c r="U517" s="21" t="s">
        <v>993</v>
      </c>
      <c r="V517" s="21" t="s">
        <v>994</v>
      </c>
      <c r="W517" s="21" t="s">
        <v>66</v>
      </c>
      <c r="X517" s="246" t="s">
        <v>2646</v>
      </c>
      <c r="Y517" s="130"/>
      <c r="Z517" s="267"/>
      <c r="AA517" s="267"/>
      <c r="AB517" s="130"/>
      <c r="AC517" s="130"/>
      <c r="AD517" s="131"/>
      <c r="AE517" s="131"/>
      <c r="AF517" s="131"/>
      <c r="AG517" s="131"/>
      <c r="AH517" s="131"/>
      <c r="AI517" s="131"/>
      <c r="AJ517" s="131"/>
      <c r="AK517" s="131"/>
      <c r="AL517" s="131"/>
      <c r="AM517" s="131"/>
      <c r="AN517" s="131"/>
      <c r="AO517" s="131"/>
      <c r="AP517" s="131"/>
      <c r="AQ517" s="131"/>
      <c r="AR517" s="131"/>
      <c r="AS517" s="131"/>
      <c r="AT517" s="131"/>
      <c r="AU517" s="131"/>
      <c r="AV517" s="131"/>
      <c r="AW517" s="131"/>
      <c r="AX517" s="131"/>
      <c r="AY517" s="131"/>
      <c r="AZ517" s="131"/>
      <c r="BA517" s="131"/>
      <c r="BB517" s="131"/>
      <c r="BC517" s="131"/>
      <c r="BD517" s="131"/>
      <c r="BE517" s="131"/>
      <c r="BF517" s="131"/>
      <c r="BG517" s="131"/>
      <c r="BH517" s="131"/>
      <c r="BI517" s="131"/>
      <c r="BJ517" s="131"/>
      <c r="BK517" s="131"/>
      <c r="BL517" s="131"/>
      <c r="BM517" s="131"/>
      <c r="BN517" s="131"/>
      <c r="BO517" s="131"/>
      <c r="BP517" s="131"/>
      <c r="BQ517" s="131"/>
      <c r="BR517" s="131"/>
      <c r="BS517" s="131"/>
      <c r="BT517" s="131"/>
      <c r="BU517" s="131"/>
      <c r="BV517" s="131"/>
      <c r="BW517" s="131"/>
      <c r="BX517" s="131"/>
      <c r="BY517" s="131"/>
      <c r="BZ517" s="131"/>
      <c r="CA517" s="131"/>
      <c r="CB517" s="131"/>
      <c r="CC517" s="131"/>
      <c r="CD517" s="131"/>
      <c r="CE517" s="131"/>
      <c r="CF517" s="131"/>
      <c r="CG517" s="131"/>
      <c r="CH517" s="131"/>
      <c r="CI517" s="131"/>
      <c r="CJ517" s="131"/>
      <c r="CK517" s="131"/>
      <c r="CL517" s="131"/>
      <c r="CM517" s="131"/>
      <c r="CN517" s="131"/>
      <c r="CO517" s="131"/>
      <c r="CP517" s="131"/>
      <c r="CQ517" s="131"/>
      <c r="CR517" s="131"/>
      <c r="CS517" s="131"/>
      <c r="CT517" s="131"/>
      <c r="CU517" s="131"/>
      <c r="CV517" s="131"/>
      <c r="CW517" s="131"/>
      <c r="CX517" s="131"/>
      <c r="CY517" s="131"/>
      <c r="CZ517" s="131"/>
      <c r="DA517" s="131"/>
      <c r="DB517" s="131"/>
      <c r="DC517" s="131"/>
      <c r="DD517" s="131"/>
      <c r="DE517" s="131"/>
      <c r="DF517" s="131"/>
      <c r="DG517" s="131"/>
      <c r="DH517" s="131"/>
      <c r="DI517" s="131"/>
      <c r="DJ517" s="131"/>
      <c r="DK517" s="131"/>
      <c r="DL517" s="131"/>
      <c r="DM517" s="131"/>
      <c r="DN517" s="131"/>
      <c r="DO517" s="131"/>
      <c r="DP517" s="131"/>
      <c r="DQ517" s="131"/>
      <c r="DR517" s="131"/>
      <c r="DS517" s="131"/>
      <c r="DT517" s="131"/>
      <c r="DU517" s="131"/>
      <c r="DV517" s="131"/>
      <c r="DW517" s="131"/>
      <c r="DX517" s="131"/>
      <c r="DY517" s="131"/>
      <c r="DZ517" s="131"/>
      <c r="EA517" s="131"/>
      <c r="EB517" s="131"/>
      <c r="EC517" s="131"/>
      <c r="ED517" s="131"/>
      <c r="EE517" s="131"/>
      <c r="EF517" s="131"/>
      <c r="EG517" s="131"/>
      <c r="EH517" s="131"/>
      <c r="EI517" s="131"/>
      <c r="EJ517" s="131"/>
      <c r="EK517" s="131"/>
      <c r="EL517" s="131"/>
      <c r="EM517" s="131"/>
      <c r="EN517" s="131"/>
      <c r="EO517" s="131"/>
      <c r="EP517" s="131"/>
      <c r="EQ517" s="131"/>
      <c r="ER517" s="131"/>
      <c r="ES517" s="131"/>
      <c r="ET517" s="131"/>
      <c r="EU517" s="131"/>
      <c r="EV517" s="131"/>
      <c r="EW517" s="131"/>
      <c r="EX517" s="131"/>
      <c r="EY517" s="131"/>
      <c r="EZ517" s="131"/>
      <c r="FA517" s="131"/>
      <c r="FB517" s="131"/>
      <c r="FC517" s="131"/>
      <c r="FD517" s="131"/>
      <c r="FE517" s="131"/>
      <c r="FF517" s="131"/>
      <c r="FG517" s="131"/>
      <c r="FH517" s="131"/>
      <c r="FI517" s="131"/>
      <c r="FJ517" s="131"/>
      <c r="FK517" s="131"/>
      <c r="FL517" s="131"/>
      <c r="FM517" s="131"/>
      <c r="FN517" s="131"/>
      <c r="FO517" s="131"/>
      <c r="FP517" s="131"/>
      <c r="FQ517" s="131"/>
      <c r="FR517" s="131"/>
      <c r="FS517" s="131"/>
      <c r="FT517" s="131"/>
      <c r="FU517" s="131"/>
      <c r="FV517" s="131"/>
      <c r="FW517" s="131"/>
      <c r="FX517" s="131"/>
      <c r="FY517" s="131"/>
      <c r="FZ517" s="131"/>
      <c r="GA517" s="131"/>
      <c r="GB517" s="131"/>
      <c r="GC517" s="131"/>
      <c r="GD517" s="131"/>
      <c r="GE517" s="131"/>
      <c r="GF517" s="131"/>
      <c r="GG517" s="131"/>
      <c r="GH517" s="131"/>
      <c r="GI517" s="131"/>
      <c r="GJ517" s="131"/>
      <c r="GK517" s="131"/>
      <c r="GL517" s="131"/>
      <c r="GM517" s="131"/>
      <c r="GN517" s="131"/>
      <c r="GO517" s="131"/>
      <c r="GP517" s="131"/>
      <c r="GQ517" s="131"/>
      <c r="GR517" s="131"/>
      <c r="GS517" s="131"/>
      <c r="GT517" s="131"/>
      <c r="GU517" s="131"/>
      <c r="GV517" s="131"/>
      <c r="GW517" s="131"/>
      <c r="GX517" s="131"/>
      <c r="GY517" s="131"/>
      <c r="GZ517" s="131"/>
      <c r="HA517" s="131"/>
      <c r="HB517" s="131"/>
      <c r="HC517" s="131"/>
      <c r="HD517" s="131"/>
      <c r="HE517" s="131"/>
      <c r="HF517" s="131"/>
      <c r="HG517" s="131"/>
      <c r="HH517" s="131"/>
      <c r="HI517" s="131"/>
      <c r="HJ517" s="131"/>
      <c r="HK517" s="131"/>
      <c r="HL517" s="131"/>
      <c r="HM517" s="131"/>
      <c r="HN517" s="131"/>
      <c r="HO517" s="131"/>
      <c r="HP517" s="131"/>
      <c r="HQ517" s="131"/>
      <c r="HR517" s="131"/>
      <c r="HS517" s="131"/>
      <c r="HT517" s="131"/>
      <c r="HU517" s="131"/>
      <c r="HV517" s="131"/>
      <c r="HW517" s="131"/>
      <c r="HX517" s="131"/>
      <c r="HY517" s="131"/>
      <c r="HZ517" s="131"/>
      <c r="IA517" s="131"/>
      <c r="IB517" s="131"/>
      <c r="IC517" s="131"/>
      <c r="ID517" s="131"/>
      <c r="IE517" s="131"/>
      <c r="IF517" s="131"/>
      <c r="IG517" s="131"/>
      <c r="IH517" s="131"/>
      <c r="II517" s="131"/>
      <c r="IJ517" s="131"/>
      <c r="IK517" s="131"/>
      <c r="IL517" s="131"/>
      <c r="IM517" s="131"/>
      <c r="IN517" s="131"/>
      <c r="IO517" s="131"/>
      <c r="IP517" s="131"/>
      <c r="IQ517" s="131"/>
      <c r="IR517" s="131"/>
      <c r="IS517" s="131"/>
      <c r="IT517" s="131"/>
      <c r="IU517" s="131"/>
      <c r="IV517" s="131"/>
    </row>
    <row r="518" spans="1:256" s="13" customFormat="1" ht="38.25" customHeight="1">
      <c r="A518" s="21" t="s">
        <v>1</v>
      </c>
      <c r="B518" s="246" t="s">
        <v>34</v>
      </c>
      <c r="C518" s="246" t="s">
        <v>25</v>
      </c>
      <c r="D518" s="246" t="s">
        <v>998</v>
      </c>
      <c r="E518" s="246" t="s">
        <v>138</v>
      </c>
      <c r="F518" s="21" t="s">
        <v>996</v>
      </c>
      <c r="G518" s="246" t="s">
        <v>197</v>
      </c>
      <c r="H518" s="21">
        <v>236220</v>
      </c>
      <c r="I518" s="21" t="s">
        <v>28</v>
      </c>
      <c r="J518" s="21" t="s">
        <v>109</v>
      </c>
      <c r="K518" s="21" t="s">
        <v>1974</v>
      </c>
      <c r="L518" s="21" t="s">
        <v>1974</v>
      </c>
      <c r="M518" s="22">
        <v>1000</v>
      </c>
      <c r="N518" s="22">
        <v>25000</v>
      </c>
      <c r="O518" s="21" t="s">
        <v>20</v>
      </c>
      <c r="P518" s="21" t="s">
        <v>278</v>
      </c>
      <c r="Q518" s="21" t="s">
        <v>279</v>
      </c>
      <c r="R518" s="21" t="s">
        <v>278</v>
      </c>
      <c r="S518" s="74">
        <v>2013</v>
      </c>
      <c r="T518" s="21" t="s">
        <v>992</v>
      </c>
      <c r="U518" s="21" t="s">
        <v>993</v>
      </c>
      <c r="V518" s="21" t="s">
        <v>994</v>
      </c>
      <c r="W518" s="21" t="s">
        <v>66</v>
      </c>
      <c r="X518" s="246" t="s">
        <v>2647</v>
      </c>
      <c r="Y518" s="130"/>
      <c r="Z518" s="130"/>
      <c r="AA518" s="130"/>
      <c r="AB518" s="130"/>
      <c r="AC518" s="130"/>
      <c r="AD518" s="131"/>
      <c r="AE518" s="131"/>
      <c r="AF518" s="131"/>
      <c r="AG518" s="131"/>
      <c r="AH518" s="131"/>
      <c r="AI518" s="131"/>
      <c r="AJ518" s="131"/>
      <c r="AK518" s="131"/>
      <c r="AL518" s="131"/>
      <c r="AM518" s="131"/>
      <c r="AN518" s="131"/>
      <c r="AO518" s="131"/>
      <c r="AP518" s="131"/>
      <c r="AQ518" s="131"/>
      <c r="AR518" s="131"/>
      <c r="AS518" s="131"/>
      <c r="AT518" s="131"/>
      <c r="AU518" s="131"/>
      <c r="AV518" s="131"/>
      <c r="AW518" s="131"/>
      <c r="AX518" s="131"/>
      <c r="AY518" s="131"/>
      <c r="AZ518" s="131"/>
      <c r="BA518" s="131"/>
      <c r="BB518" s="131"/>
      <c r="BC518" s="131"/>
      <c r="BD518" s="131"/>
      <c r="BE518" s="131"/>
      <c r="BF518" s="131"/>
      <c r="BG518" s="131"/>
      <c r="BH518" s="131"/>
      <c r="BI518" s="131"/>
      <c r="BJ518" s="131"/>
      <c r="BK518" s="131"/>
      <c r="BL518" s="131"/>
      <c r="BM518" s="131"/>
      <c r="BN518" s="131"/>
      <c r="BO518" s="131"/>
      <c r="BP518" s="131"/>
      <c r="BQ518" s="131"/>
      <c r="BR518" s="131"/>
      <c r="BS518" s="131"/>
      <c r="BT518" s="131"/>
      <c r="BU518" s="131"/>
      <c r="BV518" s="131"/>
      <c r="BW518" s="131"/>
      <c r="BX518" s="131"/>
      <c r="BY518" s="131"/>
      <c r="BZ518" s="131"/>
      <c r="CA518" s="131"/>
      <c r="CB518" s="131"/>
      <c r="CC518" s="131"/>
      <c r="CD518" s="131"/>
      <c r="CE518" s="131"/>
      <c r="CF518" s="131"/>
      <c r="CG518" s="131"/>
      <c r="CH518" s="131"/>
      <c r="CI518" s="131"/>
      <c r="CJ518" s="131"/>
      <c r="CK518" s="131"/>
      <c r="CL518" s="131"/>
      <c r="CM518" s="131"/>
      <c r="CN518" s="131"/>
      <c r="CO518" s="131"/>
      <c r="CP518" s="131"/>
      <c r="CQ518" s="131"/>
      <c r="CR518" s="131"/>
      <c r="CS518" s="131"/>
      <c r="CT518" s="131"/>
      <c r="CU518" s="131"/>
      <c r="CV518" s="131"/>
      <c r="CW518" s="131"/>
      <c r="CX518" s="131"/>
      <c r="CY518" s="131"/>
      <c r="CZ518" s="131"/>
      <c r="DA518" s="131"/>
      <c r="DB518" s="131"/>
      <c r="DC518" s="131"/>
      <c r="DD518" s="131"/>
      <c r="DE518" s="131"/>
      <c r="DF518" s="131"/>
      <c r="DG518" s="131"/>
      <c r="DH518" s="131"/>
      <c r="DI518" s="131"/>
      <c r="DJ518" s="131"/>
      <c r="DK518" s="131"/>
      <c r="DL518" s="131"/>
      <c r="DM518" s="131"/>
      <c r="DN518" s="131"/>
      <c r="DO518" s="131"/>
      <c r="DP518" s="131"/>
      <c r="DQ518" s="131"/>
      <c r="DR518" s="131"/>
      <c r="DS518" s="131"/>
      <c r="DT518" s="131"/>
      <c r="DU518" s="131"/>
      <c r="DV518" s="131"/>
      <c r="DW518" s="131"/>
      <c r="DX518" s="131"/>
      <c r="DY518" s="131"/>
      <c r="DZ518" s="131"/>
      <c r="EA518" s="131"/>
      <c r="EB518" s="131"/>
      <c r="EC518" s="131"/>
      <c r="ED518" s="131"/>
      <c r="EE518" s="131"/>
      <c r="EF518" s="131"/>
      <c r="EG518" s="131"/>
      <c r="EH518" s="131"/>
      <c r="EI518" s="131"/>
      <c r="EJ518" s="131"/>
      <c r="EK518" s="131"/>
      <c r="EL518" s="131"/>
      <c r="EM518" s="131"/>
      <c r="EN518" s="131"/>
      <c r="EO518" s="131"/>
      <c r="EP518" s="131"/>
      <c r="EQ518" s="131"/>
      <c r="ER518" s="131"/>
      <c r="ES518" s="131"/>
      <c r="ET518" s="131"/>
      <c r="EU518" s="131"/>
      <c r="EV518" s="131"/>
      <c r="EW518" s="131"/>
      <c r="EX518" s="131"/>
      <c r="EY518" s="131"/>
      <c r="EZ518" s="131"/>
      <c r="FA518" s="131"/>
      <c r="FB518" s="131"/>
      <c r="FC518" s="131"/>
      <c r="FD518" s="131"/>
      <c r="FE518" s="131"/>
      <c r="FF518" s="131"/>
      <c r="FG518" s="131"/>
      <c r="FH518" s="131"/>
      <c r="FI518" s="131"/>
      <c r="FJ518" s="131"/>
      <c r="FK518" s="131"/>
      <c r="FL518" s="131"/>
      <c r="FM518" s="131"/>
      <c r="FN518" s="131"/>
      <c r="FO518" s="131"/>
      <c r="FP518" s="131"/>
      <c r="FQ518" s="131"/>
      <c r="FR518" s="131"/>
      <c r="FS518" s="131"/>
      <c r="FT518" s="131"/>
      <c r="FU518" s="131"/>
      <c r="FV518" s="131"/>
      <c r="FW518" s="131"/>
      <c r="FX518" s="131"/>
      <c r="FY518" s="131"/>
      <c r="FZ518" s="131"/>
      <c r="GA518" s="131"/>
      <c r="GB518" s="131"/>
      <c r="GC518" s="131"/>
      <c r="GD518" s="131"/>
      <c r="GE518" s="131"/>
      <c r="GF518" s="131"/>
      <c r="GG518" s="131"/>
      <c r="GH518" s="131"/>
      <c r="GI518" s="131"/>
      <c r="GJ518" s="131"/>
      <c r="GK518" s="131"/>
      <c r="GL518" s="131"/>
      <c r="GM518" s="131"/>
      <c r="GN518" s="131"/>
      <c r="GO518" s="131"/>
      <c r="GP518" s="131"/>
      <c r="GQ518" s="131"/>
      <c r="GR518" s="131"/>
      <c r="GS518" s="131"/>
      <c r="GT518" s="131"/>
      <c r="GU518" s="131"/>
      <c r="GV518" s="131"/>
      <c r="GW518" s="131"/>
      <c r="GX518" s="131"/>
      <c r="GY518" s="131"/>
      <c r="GZ518" s="131"/>
      <c r="HA518" s="131"/>
      <c r="HB518" s="131"/>
      <c r="HC518" s="131"/>
      <c r="HD518" s="131"/>
      <c r="HE518" s="131"/>
      <c r="HF518" s="131"/>
      <c r="HG518" s="131"/>
      <c r="HH518" s="131"/>
      <c r="HI518" s="131"/>
      <c r="HJ518" s="131"/>
      <c r="HK518" s="131"/>
      <c r="HL518" s="131"/>
      <c r="HM518" s="131"/>
      <c r="HN518" s="131"/>
      <c r="HO518" s="131"/>
      <c r="HP518" s="131"/>
      <c r="HQ518" s="131"/>
      <c r="HR518" s="131"/>
      <c r="HS518" s="131"/>
      <c r="HT518" s="131"/>
      <c r="HU518" s="131"/>
      <c r="HV518" s="131"/>
      <c r="HW518" s="131"/>
      <c r="HX518" s="131"/>
      <c r="HY518" s="131"/>
      <c r="HZ518" s="131"/>
      <c r="IA518" s="131"/>
      <c r="IB518" s="131"/>
      <c r="IC518" s="131"/>
      <c r="ID518" s="131"/>
      <c r="IE518" s="131"/>
      <c r="IF518" s="131"/>
      <c r="IG518" s="131"/>
      <c r="IH518" s="131"/>
      <c r="II518" s="131"/>
      <c r="IJ518" s="131"/>
      <c r="IK518" s="131"/>
      <c r="IL518" s="131"/>
      <c r="IM518" s="131"/>
      <c r="IN518" s="131"/>
      <c r="IO518" s="131"/>
      <c r="IP518" s="131"/>
      <c r="IQ518" s="131"/>
      <c r="IR518" s="131"/>
      <c r="IS518" s="131"/>
      <c r="IT518" s="131"/>
      <c r="IU518" s="131"/>
      <c r="IV518" s="131"/>
    </row>
    <row r="519" spans="1:256" s="13" customFormat="1" ht="38.25" customHeight="1">
      <c r="A519" s="21" t="s">
        <v>1</v>
      </c>
      <c r="B519" s="246" t="s">
        <v>34</v>
      </c>
      <c r="C519" s="246" t="s">
        <v>25</v>
      </c>
      <c r="D519" s="246" t="s">
        <v>999</v>
      </c>
      <c r="E519" s="246" t="s">
        <v>138</v>
      </c>
      <c r="F519" s="21" t="s">
        <v>996</v>
      </c>
      <c r="G519" s="246" t="s">
        <v>197</v>
      </c>
      <c r="H519" s="21">
        <v>236220</v>
      </c>
      <c r="I519" s="21" t="s">
        <v>28</v>
      </c>
      <c r="J519" s="21" t="s">
        <v>109</v>
      </c>
      <c r="K519" s="21" t="s">
        <v>1974</v>
      </c>
      <c r="L519" s="21" t="s">
        <v>1974</v>
      </c>
      <c r="M519" s="22">
        <v>25000</v>
      </c>
      <c r="N519" s="22">
        <v>25000</v>
      </c>
      <c r="O519" s="21" t="s">
        <v>20</v>
      </c>
      <c r="P519" s="21" t="s">
        <v>278</v>
      </c>
      <c r="Q519" s="21" t="s">
        <v>279</v>
      </c>
      <c r="R519" s="21" t="s">
        <v>278</v>
      </c>
      <c r="S519" s="74">
        <v>2013</v>
      </c>
      <c r="T519" s="21" t="s">
        <v>992</v>
      </c>
      <c r="U519" s="21" t="s">
        <v>993</v>
      </c>
      <c r="V519" s="21" t="s">
        <v>994</v>
      </c>
      <c r="W519" s="21" t="s">
        <v>66</v>
      </c>
      <c r="X519" s="246" t="s">
        <v>2648</v>
      </c>
      <c r="Y519" s="130"/>
      <c r="Z519" s="130"/>
      <c r="AA519" s="130"/>
      <c r="AB519" s="130"/>
      <c r="AC519" s="130"/>
      <c r="AD519" s="131"/>
      <c r="AE519" s="131"/>
      <c r="AF519" s="131"/>
      <c r="AG519" s="131"/>
      <c r="AH519" s="131"/>
      <c r="AI519" s="131"/>
      <c r="AJ519" s="131"/>
      <c r="AK519" s="131"/>
      <c r="AL519" s="131"/>
      <c r="AM519" s="131"/>
      <c r="AN519" s="131"/>
      <c r="AO519" s="131"/>
      <c r="AP519" s="131"/>
      <c r="AQ519" s="131"/>
      <c r="AR519" s="131"/>
      <c r="AS519" s="131"/>
      <c r="AT519" s="131"/>
      <c r="AU519" s="131"/>
      <c r="AV519" s="131"/>
      <c r="AW519" s="131"/>
      <c r="AX519" s="131"/>
      <c r="AY519" s="131"/>
      <c r="AZ519" s="131"/>
      <c r="BA519" s="131"/>
      <c r="BB519" s="131"/>
      <c r="BC519" s="131"/>
      <c r="BD519" s="131"/>
      <c r="BE519" s="131"/>
      <c r="BF519" s="131"/>
      <c r="BG519" s="131"/>
      <c r="BH519" s="131"/>
      <c r="BI519" s="131"/>
      <c r="BJ519" s="131"/>
      <c r="BK519" s="131"/>
      <c r="BL519" s="131"/>
      <c r="BM519" s="131"/>
      <c r="BN519" s="131"/>
      <c r="BO519" s="131"/>
      <c r="BP519" s="131"/>
      <c r="BQ519" s="131"/>
      <c r="BR519" s="131"/>
      <c r="BS519" s="131"/>
      <c r="BT519" s="131"/>
      <c r="BU519" s="131"/>
      <c r="BV519" s="131"/>
      <c r="BW519" s="131"/>
      <c r="BX519" s="131"/>
      <c r="BY519" s="131"/>
      <c r="BZ519" s="131"/>
      <c r="CA519" s="131"/>
      <c r="CB519" s="131"/>
      <c r="CC519" s="131"/>
      <c r="CD519" s="131"/>
      <c r="CE519" s="131"/>
      <c r="CF519" s="131"/>
      <c r="CG519" s="131"/>
      <c r="CH519" s="131"/>
      <c r="CI519" s="131"/>
      <c r="CJ519" s="131"/>
      <c r="CK519" s="131"/>
      <c r="CL519" s="131"/>
      <c r="CM519" s="131"/>
      <c r="CN519" s="131"/>
      <c r="CO519" s="131"/>
      <c r="CP519" s="131"/>
      <c r="CQ519" s="131"/>
      <c r="CR519" s="131"/>
      <c r="CS519" s="131"/>
      <c r="CT519" s="131"/>
      <c r="CU519" s="131"/>
      <c r="CV519" s="131"/>
      <c r="CW519" s="131"/>
      <c r="CX519" s="131"/>
      <c r="CY519" s="131"/>
      <c r="CZ519" s="131"/>
      <c r="DA519" s="131"/>
      <c r="DB519" s="131"/>
      <c r="DC519" s="131"/>
      <c r="DD519" s="131"/>
      <c r="DE519" s="131"/>
      <c r="DF519" s="131"/>
      <c r="DG519" s="131"/>
      <c r="DH519" s="131"/>
      <c r="DI519" s="131"/>
      <c r="DJ519" s="131"/>
      <c r="DK519" s="131"/>
      <c r="DL519" s="131"/>
      <c r="DM519" s="131"/>
      <c r="DN519" s="131"/>
      <c r="DO519" s="131"/>
      <c r="DP519" s="131"/>
      <c r="DQ519" s="131"/>
      <c r="DR519" s="131"/>
      <c r="DS519" s="131"/>
      <c r="DT519" s="131"/>
      <c r="DU519" s="131"/>
      <c r="DV519" s="131"/>
      <c r="DW519" s="131"/>
      <c r="DX519" s="131"/>
      <c r="DY519" s="131"/>
      <c r="DZ519" s="131"/>
      <c r="EA519" s="131"/>
      <c r="EB519" s="131"/>
      <c r="EC519" s="131"/>
      <c r="ED519" s="131"/>
      <c r="EE519" s="131"/>
      <c r="EF519" s="131"/>
      <c r="EG519" s="131"/>
      <c r="EH519" s="131"/>
      <c r="EI519" s="131"/>
      <c r="EJ519" s="131"/>
      <c r="EK519" s="131"/>
      <c r="EL519" s="131"/>
      <c r="EM519" s="131"/>
      <c r="EN519" s="131"/>
      <c r="EO519" s="131"/>
      <c r="EP519" s="131"/>
      <c r="EQ519" s="131"/>
      <c r="ER519" s="131"/>
      <c r="ES519" s="131"/>
      <c r="ET519" s="131"/>
      <c r="EU519" s="131"/>
      <c r="EV519" s="131"/>
      <c r="EW519" s="131"/>
      <c r="EX519" s="131"/>
      <c r="EY519" s="131"/>
      <c r="EZ519" s="131"/>
      <c r="FA519" s="131"/>
      <c r="FB519" s="131"/>
      <c r="FC519" s="131"/>
      <c r="FD519" s="131"/>
      <c r="FE519" s="131"/>
      <c r="FF519" s="131"/>
      <c r="FG519" s="131"/>
      <c r="FH519" s="131"/>
      <c r="FI519" s="131"/>
      <c r="FJ519" s="131"/>
      <c r="FK519" s="131"/>
      <c r="FL519" s="131"/>
      <c r="FM519" s="131"/>
      <c r="FN519" s="131"/>
      <c r="FO519" s="131"/>
      <c r="FP519" s="131"/>
      <c r="FQ519" s="131"/>
      <c r="FR519" s="131"/>
      <c r="FS519" s="131"/>
      <c r="FT519" s="131"/>
      <c r="FU519" s="131"/>
      <c r="FV519" s="131"/>
      <c r="FW519" s="131"/>
      <c r="FX519" s="131"/>
      <c r="FY519" s="131"/>
      <c r="FZ519" s="131"/>
      <c r="GA519" s="131"/>
      <c r="GB519" s="131"/>
      <c r="GC519" s="131"/>
      <c r="GD519" s="131"/>
      <c r="GE519" s="131"/>
      <c r="GF519" s="131"/>
      <c r="GG519" s="131"/>
      <c r="GH519" s="131"/>
      <c r="GI519" s="131"/>
      <c r="GJ519" s="131"/>
      <c r="GK519" s="131"/>
      <c r="GL519" s="131"/>
      <c r="GM519" s="131"/>
      <c r="GN519" s="131"/>
      <c r="GO519" s="131"/>
      <c r="GP519" s="131"/>
      <c r="GQ519" s="131"/>
      <c r="GR519" s="131"/>
      <c r="GS519" s="131"/>
      <c r="GT519" s="131"/>
      <c r="GU519" s="131"/>
      <c r="GV519" s="131"/>
      <c r="GW519" s="131"/>
      <c r="GX519" s="131"/>
      <c r="GY519" s="131"/>
      <c r="GZ519" s="131"/>
      <c r="HA519" s="131"/>
      <c r="HB519" s="131"/>
      <c r="HC519" s="131"/>
      <c r="HD519" s="131"/>
      <c r="HE519" s="131"/>
      <c r="HF519" s="131"/>
      <c r="HG519" s="131"/>
      <c r="HH519" s="131"/>
      <c r="HI519" s="131"/>
      <c r="HJ519" s="131"/>
      <c r="HK519" s="131"/>
      <c r="HL519" s="131"/>
      <c r="HM519" s="131"/>
      <c r="HN519" s="131"/>
      <c r="HO519" s="131"/>
      <c r="HP519" s="131"/>
      <c r="HQ519" s="131"/>
      <c r="HR519" s="131"/>
      <c r="HS519" s="131"/>
      <c r="HT519" s="131"/>
      <c r="HU519" s="131"/>
      <c r="HV519" s="131"/>
      <c r="HW519" s="131"/>
      <c r="HX519" s="131"/>
      <c r="HY519" s="131"/>
      <c r="HZ519" s="131"/>
      <c r="IA519" s="131"/>
      <c r="IB519" s="131"/>
      <c r="IC519" s="131"/>
      <c r="ID519" s="131"/>
      <c r="IE519" s="131"/>
      <c r="IF519" s="131"/>
      <c r="IG519" s="131"/>
      <c r="IH519" s="131"/>
      <c r="II519" s="131"/>
      <c r="IJ519" s="131"/>
      <c r="IK519" s="131"/>
      <c r="IL519" s="131"/>
      <c r="IM519" s="131"/>
      <c r="IN519" s="131"/>
      <c r="IO519" s="131"/>
      <c r="IP519" s="131"/>
      <c r="IQ519" s="131"/>
      <c r="IR519" s="131"/>
      <c r="IS519" s="131"/>
      <c r="IT519" s="131"/>
      <c r="IU519" s="131"/>
      <c r="IV519" s="131"/>
    </row>
    <row r="520" spans="1:256" s="13" customFormat="1" ht="38.25" customHeight="1">
      <c r="A520" s="21" t="s">
        <v>1</v>
      </c>
      <c r="B520" s="246" t="s">
        <v>34</v>
      </c>
      <c r="C520" s="246" t="s">
        <v>25</v>
      </c>
      <c r="D520" s="246" t="s">
        <v>1000</v>
      </c>
      <c r="E520" s="246" t="s">
        <v>138</v>
      </c>
      <c r="F520" s="21" t="s">
        <v>996</v>
      </c>
      <c r="G520" s="246" t="s">
        <v>197</v>
      </c>
      <c r="H520" s="21">
        <v>236220</v>
      </c>
      <c r="I520" s="21" t="s">
        <v>28</v>
      </c>
      <c r="J520" s="21" t="s">
        <v>109</v>
      </c>
      <c r="K520" s="21" t="s">
        <v>1974</v>
      </c>
      <c r="L520" s="21" t="s">
        <v>1974</v>
      </c>
      <c r="M520" s="22">
        <v>25000</v>
      </c>
      <c r="N520" s="22">
        <v>100000</v>
      </c>
      <c r="O520" s="21" t="s">
        <v>20</v>
      </c>
      <c r="P520" s="21" t="s">
        <v>278</v>
      </c>
      <c r="Q520" s="21" t="s">
        <v>279</v>
      </c>
      <c r="R520" s="21" t="s">
        <v>278</v>
      </c>
      <c r="S520" s="74">
        <v>2013</v>
      </c>
      <c r="T520" s="21" t="s">
        <v>992</v>
      </c>
      <c r="U520" s="21" t="s">
        <v>993</v>
      </c>
      <c r="V520" s="21" t="s">
        <v>994</v>
      </c>
      <c r="W520" s="21" t="s">
        <v>66</v>
      </c>
      <c r="X520" s="246" t="s">
        <v>2649</v>
      </c>
      <c r="Y520" s="130"/>
      <c r="Z520" s="130"/>
      <c r="AA520" s="130"/>
      <c r="AB520" s="130"/>
      <c r="AC520" s="130"/>
      <c r="AD520" s="131"/>
      <c r="AE520" s="131"/>
      <c r="AF520" s="131"/>
      <c r="AG520" s="131"/>
      <c r="AH520" s="131"/>
      <c r="AI520" s="131"/>
      <c r="AJ520" s="131"/>
      <c r="AK520" s="131"/>
      <c r="AL520" s="131"/>
      <c r="AM520" s="131"/>
      <c r="AN520" s="131"/>
      <c r="AO520" s="131"/>
      <c r="AP520" s="131"/>
      <c r="AQ520" s="131"/>
      <c r="AR520" s="131"/>
      <c r="AS520" s="131"/>
      <c r="AT520" s="131"/>
      <c r="AU520" s="131"/>
      <c r="AV520" s="131"/>
      <c r="AW520" s="131"/>
      <c r="AX520" s="131"/>
      <c r="AY520" s="131"/>
      <c r="AZ520" s="131"/>
      <c r="BA520" s="131"/>
      <c r="BB520" s="131"/>
      <c r="BC520" s="131"/>
      <c r="BD520" s="131"/>
      <c r="BE520" s="131"/>
      <c r="BF520" s="131"/>
      <c r="BG520" s="131"/>
      <c r="BH520" s="131"/>
      <c r="BI520" s="131"/>
      <c r="BJ520" s="131"/>
      <c r="BK520" s="131"/>
      <c r="BL520" s="131"/>
      <c r="BM520" s="131"/>
      <c r="BN520" s="131"/>
      <c r="BO520" s="131"/>
      <c r="BP520" s="131"/>
      <c r="BQ520" s="131"/>
      <c r="BR520" s="131"/>
      <c r="BS520" s="131"/>
      <c r="BT520" s="131"/>
      <c r="BU520" s="131"/>
      <c r="BV520" s="131"/>
      <c r="BW520" s="131"/>
      <c r="BX520" s="131"/>
      <c r="BY520" s="131"/>
      <c r="BZ520" s="131"/>
      <c r="CA520" s="131"/>
      <c r="CB520" s="131"/>
      <c r="CC520" s="131"/>
      <c r="CD520" s="131"/>
      <c r="CE520" s="131"/>
      <c r="CF520" s="131"/>
      <c r="CG520" s="131"/>
      <c r="CH520" s="131"/>
      <c r="CI520" s="131"/>
      <c r="CJ520" s="131"/>
      <c r="CK520" s="131"/>
      <c r="CL520" s="131"/>
      <c r="CM520" s="131"/>
      <c r="CN520" s="131"/>
      <c r="CO520" s="131"/>
      <c r="CP520" s="131"/>
      <c r="CQ520" s="131"/>
      <c r="CR520" s="131"/>
      <c r="CS520" s="131"/>
      <c r="CT520" s="131"/>
      <c r="CU520" s="131"/>
      <c r="CV520" s="131"/>
      <c r="CW520" s="131"/>
      <c r="CX520" s="131"/>
      <c r="CY520" s="131"/>
      <c r="CZ520" s="131"/>
      <c r="DA520" s="131"/>
      <c r="DB520" s="131"/>
      <c r="DC520" s="131"/>
      <c r="DD520" s="131"/>
      <c r="DE520" s="131"/>
      <c r="DF520" s="131"/>
      <c r="DG520" s="131"/>
      <c r="DH520" s="131"/>
      <c r="DI520" s="131"/>
      <c r="DJ520" s="131"/>
      <c r="DK520" s="131"/>
      <c r="DL520" s="131"/>
      <c r="DM520" s="131"/>
      <c r="DN520" s="131"/>
      <c r="DO520" s="131"/>
      <c r="DP520" s="131"/>
      <c r="DQ520" s="131"/>
      <c r="DR520" s="131"/>
      <c r="DS520" s="131"/>
      <c r="DT520" s="131"/>
      <c r="DU520" s="131"/>
      <c r="DV520" s="131"/>
      <c r="DW520" s="131"/>
      <c r="DX520" s="131"/>
      <c r="DY520" s="131"/>
      <c r="DZ520" s="131"/>
      <c r="EA520" s="131"/>
      <c r="EB520" s="131"/>
      <c r="EC520" s="131"/>
      <c r="ED520" s="131"/>
      <c r="EE520" s="131"/>
      <c r="EF520" s="131"/>
      <c r="EG520" s="131"/>
      <c r="EH520" s="131"/>
      <c r="EI520" s="131"/>
      <c r="EJ520" s="131"/>
      <c r="EK520" s="131"/>
      <c r="EL520" s="131"/>
      <c r="EM520" s="131"/>
      <c r="EN520" s="131"/>
      <c r="EO520" s="131"/>
      <c r="EP520" s="131"/>
      <c r="EQ520" s="131"/>
      <c r="ER520" s="131"/>
      <c r="ES520" s="131"/>
      <c r="ET520" s="131"/>
      <c r="EU520" s="131"/>
      <c r="EV520" s="131"/>
      <c r="EW520" s="131"/>
      <c r="EX520" s="131"/>
      <c r="EY520" s="131"/>
      <c r="EZ520" s="131"/>
      <c r="FA520" s="131"/>
      <c r="FB520" s="131"/>
      <c r="FC520" s="131"/>
      <c r="FD520" s="131"/>
      <c r="FE520" s="131"/>
      <c r="FF520" s="131"/>
      <c r="FG520" s="131"/>
      <c r="FH520" s="131"/>
      <c r="FI520" s="131"/>
      <c r="FJ520" s="131"/>
      <c r="FK520" s="131"/>
      <c r="FL520" s="131"/>
      <c r="FM520" s="131"/>
      <c r="FN520" s="131"/>
      <c r="FO520" s="131"/>
      <c r="FP520" s="131"/>
      <c r="FQ520" s="131"/>
      <c r="FR520" s="131"/>
      <c r="FS520" s="131"/>
      <c r="FT520" s="131"/>
      <c r="FU520" s="131"/>
      <c r="FV520" s="131"/>
      <c r="FW520" s="131"/>
      <c r="FX520" s="131"/>
      <c r="FY520" s="131"/>
      <c r="FZ520" s="131"/>
      <c r="GA520" s="131"/>
      <c r="GB520" s="131"/>
      <c r="GC520" s="131"/>
      <c r="GD520" s="131"/>
      <c r="GE520" s="131"/>
      <c r="GF520" s="131"/>
      <c r="GG520" s="131"/>
      <c r="GH520" s="131"/>
      <c r="GI520" s="131"/>
      <c r="GJ520" s="131"/>
      <c r="GK520" s="131"/>
      <c r="GL520" s="131"/>
      <c r="GM520" s="131"/>
      <c r="GN520" s="131"/>
      <c r="GO520" s="131"/>
      <c r="GP520" s="131"/>
      <c r="GQ520" s="131"/>
      <c r="GR520" s="131"/>
      <c r="GS520" s="131"/>
      <c r="GT520" s="131"/>
      <c r="GU520" s="131"/>
      <c r="GV520" s="131"/>
      <c r="GW520" s="131"/>
      <c r="GX520" s="131"/>
      <c r="GY520" s="131"/>
      <c r="GZ520" s="131"/>
      <c r="HA520" s="131"/>
      <c r="HB520" s="131"/>
      <c r="HC520" s="131"/>
      <c r="HD520" s="131"/>
      <c r="HE520" s="131"/>
      <c r="HF520" s="131"/>
      <c r="HG520" s="131"/>
      <c r="HH520" s="131"/>
      <c r="HI520" s="131"/>
      <c r="HJ520" s="131"/>
      <c r="HK520" s="131"/>
      <c r="HL520" s="131"/>
      <c r="HM520" s="131"/>
      <c r="HN520" s="131"/>
      <c r="HO520" s="131"/>
      <c r="HP520" s="131"/>
      <c r="HQ520" s="131"/>
      <c r="HR520" s="131"/>
      <c r="HS520" s="131"/>
      <c r="HT520" s="131"/>
      <c r="HU520" s="131"/>
      <c r="HV520" s="131"/>
      <c r="HW520" s="131"/>
      <c r="HX520" s="131"/>
      <c r="HY520" s="131"/>
      <c r="HZ520" s="131"/>
      <c r="IA520" s="131"/>
      <c r="IB520" s="131"/>
      <c r="IC520" s="131"/>
      <c r="ID520" s="131"/>
      <c r="IE520" s="131"/>
      <c r="IF520" s="131"/>
      <c r="IG520" s="131"/>
      <c r="IH520" s="131"/>
      <c r="II520" s="131"/>
      <c r="IJ520" s="131"/>
      <c r="IK520" s="131"/>
      <c r="IL520" s="131"/>
      <c r="IM520" s="131"/>
      <c r="IN520" s="131"/>
      <c r="IO520" s="131"/>
      <c r="IP520" s="131"/>
      <c r="IQ520" s="131"/>
      <c r="IR520" s="131"/>
      <c r="IS520" s="131"/>
      <c r="IT520" s="131"/>
      <c r="IU520" s="131"/>
      <c r="IV520" s="131"/>
    </row>
    <row r="521" spans="1:256" s="13" customFormat="1" ht="38.25" customHeight="1">
      <c r="A521" s="21" t="s">
        <v>1</v>
      </c>
      <c r="B521" s="246" t="s">
        <v>34</v>
      </c>
      <c r="C521" s="246" t="s">
        <v>25</v>
      </c>
      <c r="D521" s="246" t="s">
        <v>1001</v>
      </c>
      <c r="E521" s="246" t="s">
        <v>138</v>
      </c>
      <c r="F521" s="21" t="s">
        <v>996</v>
      </c>
      <c r="G521" s="246" t="s">
        <v>197</v>
      </c>
      <c r="H521" s="21">
        <v>236220</v>
      </c>
      <c r="I521" s="21" t="s">
        <v>28</v>
      </c>
      <c r="J521" s="21" t="s">
        <v>109</v>
      </c>
      <c r="K521" s="21" t="s">
        <v>1974</v>
      </c>
      <c r="L521" s="21" t="s">
        <v>1974</v>
      </c>
      <c r="M521" s="22">
        <v>25000</v>
      </c>
      <c r="N521" s="22">
        <v>100000</v>
      </c>
      <c r="O521" s="21" t="s">
        <v>20</v>
      </c>
      <c r="P521" s="21" t="s">
        <v>278</v>
      </c>
      <c r="Q521" s="21" t="s">
        <v>279</v>
      </c>
      <c r="R521" s="21" t="s">
        <v>278</v>
      </c>
      <c r="S521" s="74">
        <v>2013</v>
      </c>
      <c r="T521" s="21" t="s">
        <v>992</v>
      </c>
      <c r="U521" s="21" t="s">
        <v>993</v>
      </c>
      <c r="V521" s="21" t="s">
        <v>994</v>
      </c>
      <c r="W521" s="21" t="s">
        <v>66</v>
      </c>
      <c r="X521" s="246" t="s">
        <v>2650</v>
      </c>
      <c r="Y521" s="130"/>
      <c r="Z521" s="130"/>
      <c r="AA521" s="267"/>
      <c r="AB521" s="267"/>
      <c r="AC521" s="130"/>
      <c r="AD521" s="131"/>
      <c r="AE521" s="131"/>
      <c r="AF521" s="131"/>
      <c r="AG521" s="131"/>
      <c r="AH521" s="131"/>
      <c r="AI521" s="131"/>
      <c r="AJ521" s="131"/>
      <c r="AK521" s="131"/>
      <c r="AL521" s="131"/>
      <c r="AM521" s="131"/>
      <c r="AN521" s="131"/>
      <c r="AO521" s="131"/>
      <c r="AP521" s="131"/>
      <c r="AQ521" s="131"/>
      <c r="AR521" s="131"/>
      <c r="AS521" s="131"/>
      <c r="AT521" s="131"/>
      <c r="AU521" s="131"/>
      <c r="AV521" s="131"/>
      <c r="AW521" s="131"/>
      <c r="AX521" s="131"/>
      <c r="AY521" s="131"/>
      <c r="AZ521" s="131"/>
      <c r="BA521" s="131"/>
      <c r="BB521" s="131"/>
      <c r="BC521" s="131"/>
      <c r="BD521" s="131"/>
      <c r="BE521" s="131"/>
      <c r="BF521" s="131"/>
      <c r="BG521" s="131"/>
      <c r="BH521" s="131"/>
      <c r="BI521" s="131"/>
      <c r="BJ521" s="131"/>
      <c r="BK521" s="131"/>
      <c r="BL521" s="131"/>
      <c r="BM521" s="131"/>
      <c r="BN521" s="131"/>
      <c r="BO521" s="131"/>
      <c r="BP521" s="131"/>
      <c r="BQ521" s="131"/>
      <c r="BR521" s="131"/>
      <c r="BS521" s="131"/>
      <c r="BT521" s="131"/>
      <c r="BU521" s="131"/>
      <c r="BV521" s="131"/>
      <c r="BW521" s="131"/>
      <c r="BX521" s="131"/>
      <c r="BY521" s="131"/>
      <c r="BZ521" s="131"/>
      <c r="CA521" s="131"/>
      <c r="CB521" s="131"/>
      <c r="CC521" s="131"/>
      <c r="CD521" s="131"/>
      <c r="CE521" s="131"/>
      <c r="CF521" s="131"/>
      <c r="CG521" s="131"/>
      <c r="CH521" s="131"/>
      <c r="CI521" s="131"/>
      <c r="CJ521" s="131"/>
      <c r="CK521" s="131"/>
      <c r="CL521" s="131"/>
      <c r="CM521" s="131"/>
      <c r="CN521" s="131"/>
      <c r="CO521" s="131"/>
      <c r="CP521" s="131"/>
      <c r="CQ521" s="131"/>
      <c r="CR521" s="131"/>
      <c r="CS521" s="131"/>
      <c r="CT521" s="131"/>
      <c r="CU521" s="131"/>
      <c r="CV521" s="131"/>
      <c r="CW521" s="131"/>
      <c r="CX521" s="131"/>
      <c r="CY521" s="131"/>
      <c r="CZ521" s="131"/>
      <c r="DA521" s="131"/>
      <c r="DB521" s="131"/>
      <c r="DC521" s="131"/>
      <c r="DD521" s="131"/>
      <c r="DE521" s="131"/>
      <c r="DF521" s="131"/>
      <c r="DG521" s="131"/>
      <c r="DH521" s="131"/>
      <c r="DI521" s="131"/>
      <c r="DJ521" s="131"/>
      <c r="DK521" s="131"/>
      <c r="DL521" s="131"/>
      <c r="DM521" s="131"/>
      <c r="DN521" s="131"/>
      <c r="DO521" s="131"/>
      <c r="DP521" s="131"/>
      <c r="DQ521" s="131"/>
      <c r="DR521" s="131"/>
      <c r="DS521" s="131"/>
      <c r="DT521" s="131"/>
      <c r="DU521" s="131"/>
      <c r="DV521" s="131"/>
      <c r="DW521" s="131"/>
      <c r="DX521" s="131"/>
      <c r="DY521" s="131"/>
      <c r="DZ521" s="131"/>
      <c r="EA521" s="131"/>
      <c r="EB521" s="131"/>
      <c r="EC521" s="131"/>
      <c r="ED521" s="131"/>
      <c r="EE521" s="131"/>
      <c r="EF521" s="131"/>
      <c r="EG521" s="131"/>
      <c r="EH521" s="131"/>
      <c r="EI521" s="131"/>
      <c r="EJ521" s="131"/>
      <c r="EK521" s="131"/>
      <c r="EL521" s="131"/>
      <c r="EM521" s="131"/>
      <c r="EN521" s="131"/>
      <c r="EO521" s="131"/>
      <c r="EP521" s="131"/>
      <c r="EQ521" s="131"/>
      <c r="ER521" s="131"/>
      <c r="ES521" s="131"/>
      <c r="ET521" s="131"/>
      <c r="EU521" s="131"/>
      <c r="EV521" s="131"/>
      <c r="EW521" s="131"/>
      <c r="EX521" s="131"/>
      <c r="EY521" s="131"/>
      <c r="EZ521" s="131"/>
      <c r="FA521" s="131"/>
      <c r="FB521" s="131"/>
      <c r="FC521" s="131"/>
      <c r="FD521" s="131"/>
      <c r="FE521" s="131"/>
      <c r="FF521" s="131"/>
      <c r="FG521" s="131"/>
      <c r="FH521" s="131"/>
      <c r="FI521" s="131"/>
      <c r="FJ521" s="131"/>
      <c r="FK521" s="131"/>
      <c r="FL521" s="131"/>
      <c r="FM521" s="131"/>
      <c r="FN521" s="131"/>
      <c r="FO521" s="131"/>
      <c r="FP521" s="131"/>
      <c r="FQ521" s="131"/>
      <c r="FR521" s="131"/>
      <c r="FS521" s="131"/>
      <c r="FT521" s="131"/>
      <c r="FU521" s="131"/>
      <c r="FV521" s="131"/>
      <c r="FW521" s="131"/>
      <c r="FX521" s="131"/>
      <c r="FY521" s="131"/>
      <c r="FZ521" s="131"/>
      <c r="GA521" s="131"/>
      <c r="GB521" s="131"/>
      <c r="GC521" s="131"/>
      <c r="GD521" s="131"/>
      <c r="GE521" s="131"/>
      <c r="GF521" s="131"/>
      <c r="GG521" s="131"/>
      <c r="GH521" s="131"/>
      <c r="GI521" s="131"/>
      <c r="GJ521" s="131"/>
      <c r="GK521" s="131"/>
      <c r="GL521" s="131"/>
      <c r="GM521" s="131"/>
      <c r="GN521" s="131"/>
      <c r="GO521" s="131"/>
      <c r="GP521" s="131"/>
      <c r="GQ521" s="131"/>
      <c r="GR521" s="131"/>
      <c r="GS521" s="131"/>
      <c r="GT521" s="131"/>
      <c r="GU521" s="131"/>
      <c r="GV521" s="131"/>
      <c r="GW521" s="131"/>
      <c r="GX521" s="131"/>
      <c r="GY521" s="131"/>
      <c r="GZ521" s="131"/>
      <c r="HA521" s="131"/>
      <c r="HB521" s="131"/>
      <c r="HC521" s="131"/>
      <c r="HD521" s="131"/>
      <c r="HE521" s="131"/>
      <c r="HF521" s="131"/>
      <c r="HG521" s="131"/>
      <c r="HH521" s="131"/>
      <c r="HI521" s="131"/>
      <c r="HJ521" s="131"/>
      <c r="HK521" s="131"/>
      <c r="HL521" s="131"/>
      <c r="HM521" s="131"/>
      <c r="HN521" s="131"/>
      <c r="HO521" s="131"/>
      <c r="HP521" s="131"/>
      <c r="HQ521" s="131"/>
      <c r="HR521" s="131"/>
      <c r="HS521" s="131"/>
      <c r="HT521" s="131"/>
      <c r="HU521" s="131"/>
      <c r="HV521" s="131"/>
      <c r="HW521" s="131"/>
      <c r="HX521" s="131"/>
      <c r="HY521" s="131"/>
      <c r="HZ521" s="131"/>
      <c r="IA521" s="131"/>
      <c r="IB521" s="131"/>
      <c r="IC521" s="131"/>
      <c r="ID521" s="131"/>
      <c r="IE521" s="131"/>
      <c r="IF521" s="131"/>
      <c r="IG521" s="131"/>
      <c r="IH521" s="131"/>
      <c r="II521" s="131"/>
      <c r="IJ521" s="131"/>
      <c r="IK521" s="131"/>
      <c r="IL521" s="131"/>
      <c r="IM521" s="131"/>
      <c r="IN521" s="131"/>
      <c r="IO521" s="131"/>
      <c r="IP521" s="131"/>
      <c r="IQ521" s="131"/>
      <c r="IR521" s="131"/>
      <c r="IS521" s="131"/>
      <c r="IT521" s="131"/>
      <c r="IU521" s="131"/>
      <c r="IV521" s="131"/>
    </row>
    <row r="522" spans="1:256" s="13" customFormat="1" ht="38.25" customHeight="1">
      <c r="A522" s="21" t="s">
        <v>1</v>
      </c>
      <c r="B522" s="246" t="s">
        <v>34</v>
      </c>
      <c r="C522" s="246" t="s">
        <v>25</v>
      </c>
      <c r="D522" s="246" t="s">
        <v>1002</v>
      </c>
      <c r="E522" s="246" t="s">
        <v>138</v>
      </c>
      <c r="F522" s="21" t="s">
        <v>996</v>
      </c>
      <c r="G522" s="246" t="s">
        <v>197</v>
      </c>
      <c r="H522" s="21">
        <v>236220</v>
      </c>
      <c r="I522" s="21" t="s">
        <v>28</v>
      </c>
      <c r="J522" s="21" t="s">
        <v>109</v>
      </c>
      <c r="K522" s="21" t="s">
        <v>1974</v>
      </c>
      <c r="L522" s="21" t="s">
        <v>1974</v>
      </c>
      <c r="M522" s="22">
        <v>100000</v>
      </c>
      <c r="N522" s="22">
        <v>250000</v>
      </c>
      <c r="O522" s="21" t="s">
        <v>20</v>
      </c>
      <c r="P522" s="21" t="s">
        <v>278</v>
      </c>
      <c r="Q522" s="21" t="s">
        <v>279</v>
      </c>
      <c r="R522" s="21" t="s">
        <v>278</v>
      </c>
      <c r="S522" s="74">
        <v>2013</v>
      </c>
      <c r="T522" s="21" t="s">
        <v>992</v>
      </c>
      <c r="U522" s="21" t="s">
        <v>993</v>
      </c>
      <c r="V522" s="21" t="s">
        <v>994</v>
      </c>
      <c r="W522" s="21" t="s">
        <v>66</v>
      </c>
      <c r="X522" s="246" t="s">
        <v>2649</v>
      </c>
      <c r="Y522" s="130"/>
      <c r="Z522" s="130"/>
      <c r="AA522" s="130"/>
      <c r="AB522" s="130"/>
      <c r="AC522" s="130"/>
      <c r="AD522" s="131"/>
      <c r="AE522" s="131"/>
      <c r="AF522" s="131"/>
      <c r="AG522" s="131"/>
      <c r="AH522" s="131"/>
      <c r="AI522" s="131"/>
      <c r="AJ522" s="131"/>
      <c r="AK522" s="131"/>
      <c r="AL522" s="131"/>
      <c r="AM522" s="131"/>
      <c r="AN522" s="131"/>
      <c r="AO522" s="131"/>
      <c r="AP522" s="131"/>
      <c r="AQ522" s="131"/>
      <c r="AR522" s="131"/>
      <c r="AS522" s="131"/>
      <c r="AT522" s="131"/>
      <c r="AU522" s="131"/>
      <c r="AV522" s="131"/>
      <c r="AW522" s="131"/>
      <c r="AX522" s="131"/>
      <c r="AY522" s="131"/>
      <c r="AZ522" s="131"/>
      <c r="BA522" s="131"/>
      <c r="BB522" s="131"/>
      <c r="BC522" s="131"/>
      <c r="BD522" s="131"/>
      <c r="BE522" s="131"/>
      <c r="BF522" s="131"/>
      <c r="BG522" s="131"/>
      <c r="BH522" s="131"/>
      <c r="BI522" s="131"/>
      <c r="BJ522" s="131"/>
      <c r="BK522" s="131"/>
      <c r="BL522" s="131"/>
      <c r="BM522" s="131"/>
      <c r="BN522" s="131"/>
      <c r="BO522" s="131"/>
      <c r="BP522" s="131"/>
      <c r="BQ522" s="131"/>
      <c r="BR522" s="131"/>
      <c r="BS522" s="131"/>
      <c r="BT522" s="131"/>
      <c r="BU522" s="131"/>
      <c r="BV522" s="131"/>
      <c r="BW522" s="131"/>
      <c r="BX522" s="131"/>
      <c r="BY522" s="131"/>
      <c r="BZ522" s="131"/>
      <c r="CA522" s="131"/>
      <c r="CB522" s="131"/>
      <c r="CC522" s="131"/>
      <c r="CD522" s="131"/>
      <c r="CE522" s="131"/>
      <c r="CF522" s="131"/>
      <c r="CG522" s="131"/>
      <c r="CH522" s="131"/>
      <c r="CI522" s="131"/>
      <c r="CJ522" s="131"/>
      <c r="CK522" s="131"/>
      <c r="CL522" s="131"/>
      <c r="CM522" s="131"/>
      <c r="CN522" s="131"/>
      <c r="CO522" s="131"/>
      <c r="CP522" s="131"/>
      <c r="CQ522" s="131"/>
      <c r="CR522" s="131"/>
      <c r="CS522" s="131"/>
      <c r="CT522" s="131"/>
      <c r="CU522" s="131"/>
      <c r="CV522" s="131"/>
      <c r="CW522" s="131"/>
      <c r="CX522" s="131"/>
      <c r="CY522" s="131"/>
      <c r="CZ522" s="131"/>
      <c r="DA522" s="131"/>
      <c r="DB522" s="131"/>
      <c r="DC522" s="131"/>
      <c r="DD522" s="131"/>
      <c r="DE522" s="131"/>
      <c r="DF522" s="131"/>
      <c r="DG522" s="131"/>
      <c r="DH522" s="131"/>
      <c r="DI522" s="131"/>
      <c r="DJ522" s="131"/>
      <c r="DK522" s="131"/>
      <c r="DL522" s="131"/>
      <c r="DM522" s="131"/>
      <c r="DN522" s="131"/>
      <c r="DO522" s="131"/>
      <c r="DP522" s="131"/>
      <c r="DQ522" s="131"/>
      <c r="DR522" s="131"/>
      <c r="DS522" s="131"/>
      <c r="DT522" s="131"/>
      <c r="DU522" s="131"/>
      <c r="DV522" s="131"/>
      <c r="DW522" s="131"/>
      <c r="DX522" s="131"/>
      <c r="DY522" s="131"/>
      <c r="DZ522" s="131"/>
      <c r="EA522" s="131"/>
      <c r="EB522" s="131"/>
      <c r="EC522" s="131"/>
      <c r="ED522" s="131"/>
      <c r="EE522" s="131"/>
      <c r="EF522" s="131"/>
      <c r="EG522" s="131"/>
      <c r="EH522" s="131"/>
      <c r="EI522" s="131"/>
      <c r="EJ522" s="131"/>
      <c r="EK522" s="131"/>
      <c r="EL522" s="131"/>
      <c r="EM522" s="131"/>
      <c r="EN522" s="131"/>
      <c r="EO522" s="131"/>
      <c r="EP522" s="131"/>
      <c r="EQ522" s="131"/>
      <c r="ER522" s="131"/>
      <c r="ES522" s="131"/>
      <c r="ET522" s="131"/>
      <c r="EU522" s="131"/>
      <c r="EV522" s="131"/>
      <c r="EW522" s="131"/>
      <c r="EX522" s="131"/>
      <c r="EY522" s="131"/>
      <c r="EZ522" s="131"/>
      <c r="FA522" s="131"/>
      <c r="FB522" s="131"/>
      <c r="FC522" s="131"/>
      <c r="FD522" s="131"/>
      <c r="FE522" s="131"/>
      <c r="FF522" s="131"/>
      <c r="FG522" s="131"/>
      <c r="FH522" s="131"/>
      <c r="FI522" s="131"/>
      <c r="FJ522" s="131"/>
      <c r="FK522" s="131"/>
      <c r="FL522" s="131"/>
      <c r="FM522" s="131"/>
      <c r="FN522" s="131"/>
      <c r="FO522" s="131"/>
      <c r="FP522" s="131"/>
      <c r="FQ522" s="131"/>
      <c r="FR522" s="131"/>
      <c r="FS522" s="131"/>
      <c r="FT522" s="131"/>
      <c r="FU522" s="131"/>
      <c r="FV522" s="131"/>
      <c r="FW522" s="131"/>
      <c r="FX522" s="131"/>
      <c r="FY522" s="131"/>
      <c r="FZ522" s="131"/>
      <c r="GA522" s="131"/>
      <c r="GB522" s="131"/>
      <c r="GC522" s="131"/>
      <c r="GD522" s="131"/>
      <c r="GE522" s="131"/>
      <c r="GF522" s="131"/>
      <c r="GG522" s="131"/>
      <c r="GH522" s="131"/>
      <c r="GI522" s="131"/>
      <c r="GJ522" s="131"/>
      <c r="GK522" s="131"/>
      <c r="GL522" s="131"/>
      <c r="GM522" s="131"/>
      <c r="GN522" s="131"/>
      <c r="GO522" s="131"/>
      <c r="GP522" s="131"/>
      <c r="GQ522" s="131"/>
      <c r="GR522" s="131"/>
      <c r="GS522" s="131"/>
      <c r="GT522" s="131"/>
      <c r="GU522" s="131"/>
      <c r="GV522" s="131"/>
      <c r="GW522" s="131"/>
      <c r="GX522" s="131"/>
      <c r="GY522" s="131"/>
      <c r="GZ522" s="131"/>
      <c r="HA522" s="131"/>
      <c r="HB522" s="131"/>
      <c r="HC522" s="131"/>
      <c r="HD522" s="131"/>
      <c r="HE522" s="131"/>
      <c r="HF522" s="131"/>
      <c r="HG522" s="131"/>
      <c r="HH522" s="131"/>
      <c r="HI522" s="131"/>
      <c r="HJ522" s="131"/>
      <c r="HK522" s="131"/>
      <c r="HL522" s="131"/>
      <c r="HM522" s="131"/>
      <c r="HN522" s="131"/>
      <c r="HO522" s="131"/>
      <c r="HP522" s="131"/>
      <c r="HQ522" s="131"/>
      <c r="HR522" s="131"/>
      <c r="HS522" s="131"/>
      <c r="HT522" s="131"/>
      <c r="HU522" s="131"/>
      <c r="HV522" s="131"/>
      <c r="HW522" s="131"/>
      <c r="HX522" s="131"/>
      <c r="HY522" s="131"/>
      <c r="HZ522" s="131"/>
      <c r="IA522" s="131"/>
      <c r="IB522" s="131"/>
      <c r="IC522" s="131"/>
      <c r="ID522" s="131"/>
      <c r="IE522" s="131"/>
      <c r="IF522" s="131"/>
      <c r="IG522" s="131"/>
      <c r="IH522" s="131"/>
      <c r="II522" s="131"/>
      <c r="IJ522" s="131"/>
      <c r="IK522" s="131"/>
      <c r="IL522" s="131"/>
      <c r="IM522" s="131"/>
      <c r="IN522" s="131"/>
      <c r="IO522" s="131"/>
      <c r="IP522" s="131"/>
      <c r="IQ522" s="131"/>
      <c r="IR522" s="131"/>
      <c r="IS522" s="131"/>
      <c r="IT522" s="131"/>
      <c r="IU522" s="131"/>
      <c r="IV522" s="131"/>
    </row>
    <row r="523" spans="1:256" s="13" customFormat="1" ht="38.25" customHeight="1">
      <c r="A523" s="21" t="s">
        <v>1</v>
      </c>
      <c r="B523" s="246" t="s">
        <v>34</v>
      </c>
      <c r="C523" s="246" t="s">
        <v>25</v>
      </c>
      <c r="D523" s="246" t="s">
        <v>1003</v>
      </c>
      <c r="E523" s="246" t="s">
        <v>138</v>
      </c>
      <c r="F523" s="21" t="s">
        <v>996</v>
      </c>
      <c r="G523" s="246" t="s">
        <v>197</v>
      </c>
      <c r="H523" s="21">
        <v>236220</v>
      </c>
      <c r="I523" s="21" t="s">
        <v>28</v>
      </c>
      <c r="J523" s="21" t="s">
        <v>109</v>
      </c>
      <c r="K523" s="21" t="s">
        <v>1974</v>
      </c>
      <c r="L523" s="21" t="s">
        <v>1974</v>
      </c>
      <c r="M523" s="22">
        <v>1000000</v>
      </c>
      <c r="N523" s="22">
        <v>5000000</v>
      </c>
      <c r="O523" s="21" t="s">
        <v>20</v>
      </c>
      <c r="P523" s="21" t="s">
        <v>278</v>
      </c>
      <c r="Q523" s="21" t="s">
        <v>279</v>
      </c>
      <c r="R523" s="21" t="s">
        <v>278</v>
      </c>
      <c r="S523" s="74">
        <v>2013</v>
      </c>
      <c r="T523" s="21" t="s">
        <v>992</v>
      </c>
      <c r="U523" s="21" t="s">
        <v>993</v>
      </c>
      <c r="V523" s="21" t="s">
        <v>994</v>
      </c>
      <c r="W523" s="21" t="s">
        <v>66</v>
      </c>
      <c r="X523" s="246" t="s">
        <v>2651</v>
      </c>
      <c r="Y523" s="130"/>
      <c r="Z523" s="130"/>
      <c r="AA523" s="130"/>
      <c r="AB523" s="130"/>
      <c r="AC523" s="130"/>
      <c r="AD523" s="131"/>
      <c r="AE523" s="131"/>
      <c r="AF523" s="131"/>
      <c r="AG523" s="131"/>
      <c r="AH523" s="131"/>
      <c r="AI523" s="131"/>
      <c r="AJ523" s="131"/>
      <c r="AK523" s="131"/>
      <c r="AL523" s="131"/>
      <c r="AM523" s="131"/>
      <c r="AN523" s="131"/>
      <c r="AO523" s="131"/>
      <c r="AP523" s="131"/>
      <c r="AQ523" s="131"/>
      <c r="AR523" s="131"/>
      <c r="AS523" s="131"/>
      <c r="AT523" s="131"/>
      <c r="AU523" s="131"/>
      <c r="AV523" s="131"/>
      <c r="AW523" s="131"/>
      <c r="AX523" s="131"/>
      <c r="AY523" s="131"/>
      <c r="AZ523" s="131"/>
      <c r="BA523" s="131"/>
      <c r="BB523" s="131"/>
      <c r="BC523" s="131"/>
      <c r="BD523" s="131"/>
      <c r="BE523" s="131"/>
      <c r="BF523" s="131"/>
      <c r="BG523" s="131"/>
      <c r="BH523" s="131"/>
      <c r="BI523" s="131"/>
      <c r="BJ523" s="131"/>
      <c r="BK523" s="131"/>
      <c r="BL523" s="131"/>
      <c r="BM523" s="131"/>
      <c r="BN523" s="131"/>
      <c r="BO523" s="131"/>
      <c r="BP523" s="131"/>
      <c r="BQ523" s="131"/>
      <c r="BR523" s="131"/>
      <c r="BS523" s="131"/>
      <c r="BT523" s="131"/>
      <c r="BU523" s="131"/>
      <c r="BV523" s="131"/>
      <c r="BW523" s="131"/>
      <c r="BX523" s="131"/>
      <c r="BY523" s="131"/>
      <c r="BZ523" s="131"/>
      <c r="CA523" s="131"/>
      <c r="CB523" s="131"/>
      <c r="CC523" s="131"/>
      <c r="CD523" s="131"/>
      <c r="CE523" s="131"/>
      <c r="CF523" s="131"/>
      <c r="CG523" s="131"/>
      <c r="CH523" s="131"/>
      <c r="CI523" s="131"/>
      <c r="CJ523" s="131"/>
      <c r="CK523" s="131"/>
      <c r="CL523" s="131"/>
      <c r="CM523" s="131"/>
      <c r="CN523" s="131"/>
      <c r="CO523" s="131"/>
      <c r="CP523" s="131"/>
      <c r="CQ523" s="131"/>
      <c r="CR523" s="131"/>
      <c r="CS523" s="131"/>
      <c r="CT523" s="131"/>
      <c r="CU523" s="131"/>
      <c r="CV523" s="131"/>
      <c r="CW523" s="131"/>
      <c r="CX523" s="131"/>
      <c r="CY523" s="131"/>
      <c r="CZ523" s="131"/>
      <c r="DA523" s="131"/>
      <c r="DB523" s="131"/>
      <c r="DC523" s="131"/>
      <c r="DD523" s="131"/>
      <c r="DE523" s="131"/>
      <c r="DF523" s="131"/>
      <c r="DG523" s="131"/>
      <c r="DH523" s="131"/>
      <c r="DI523" s="131"/>
      <c r="DJ523" s="131"/>
      <c r="DK523" s="131"/>
      <c r="DL523" s="131"/>
      <c r="DM523" s="131"/>
      <c r="DN523" s="131"/>
      <c r="DO523" s="131"/>
      <c r="DP523" s="131"/>
      <c r="DQ523" s="131"/>
      <c r="DR523" s="131"/>
      <c r="DS523" s="131"/>
      <c r="DT523" s="131"/>
      <c r="DU523" s="131"/>
      <c r="DV523" s="131"/>
      <c r="DW523" s="131"/>
      <c r="DX523" s="131"/>
      <c r="DY523" s="131"/>
      <c r="DZ523" s="131"/>
      <c r="EA523" s="131"/>
      <c r="EB523" s="131"/>
      <c r="EC523" s="131"/>
      <c r="ED523" s="131"/>
      <c r="EE523" s="131"/>
      <c r="EF523" s="131"/>
      <c r="EG523" s="131"/>
      <c r="EH523" s="131"/>
      <c r="EI523" s="131"/>
      <c r="EJ523" s="131"/>
      <c r="EK523" s="131"/>
      <c r="EL523" s="131"/>
      <c r="EM523" s="131"/>
      <c r="EN523" s="131"/>
      <c r="EO523" s="131"/>
      <c r="EP523" s="131"/>
      <c r="EQ523" s="131"/>
      <c r="ER523" s="131"/>
      <c r="ES523" s="131"/>
      <c r="ET523" s="131"/>
      <c r="EU523" s="131"/>
      <c r="EV523" s="131"/>
      <c r="EW523" s="131"/>
      <c r="EX523" s="131"/>
      <c r="EY523" s="131"/>
      <c r="EZ523" s="131"/>
      <c r="FA523" s="131"/>
      <c r="FB523" s="131"/>
      <c r="FC523" s="131"/>
      <c r="FD523" s="131"/>
      <c r="FE523" s="131"/>
      <c r="FF523" s="131"/>
      <c r="FG523" s="131"/>
      <c r="FH523" s="131"/>
      <c r="FI523" s="131"/>
      <c r="FJ523" s="131"/>
      <c r="FK523" s="131"/>
      <c r="FL523" s="131"/>
      <c r="FM523" s="131"/>
      <c r="FN523" s="131"/>
      <c r="FO523" s="131"/>
      <c r="FP523" s="131"/>
      <c r="FQ523" s="131"/>
      <c r="FR523" s="131"/>
      <c r="FS523" s="131"/>
      <c r="FT523" s="131"/>
      <c r="FU523" s="131"/>
      <c r="FV523" s="131"/>
      <c r="FW523" s="131"/>
      <c r="FX523" s="131"/>
      <c r="FY523" s="131"/>
      <c r="FZ523" s="131"/>
      <c r="GA523" s="131"/>
      <c r="GB523" s="131"/>
      <c r="GC523" s="131"/>
      <c r="GD523" s="131"/>
      <c r="GE523" s="131"/>
      <c r="GF523" s="131"/>
      <c r="GG523" s="131"/>
      <c r="GH523" s="131"/>
      <c r="GI523" s="131"/>
      <c r="GJ523" s="131"/>
      <c r="GK523" s="131"/>
      <c r="GL523" s="131"/>
      <c r="GM523" s="131"/>
      <c r="GN523" s="131"/>
      <c r="GO523" s="131"/>
      <c r="GP523" s="131"/>
      <c r="GQ523" s="131"/>
      <c r="GR523" s="131"/>
      <c r="GS523" s="131"/>
      <c r="GT523" s="131"/>
      <c r="GU523" s="131"/>
      <c r="GV523" s="131"/>
      <c r="GW523" s="131"/>
      <c r="GX523" s="131"/>
      <c r="GY523" s="131"/>
      <c r="GZ523" s="131"/>
      <c r="HA523" s="131"/>
      <c r="HB523" s="131"/>
      <c r="HC523" s="131"/>
      <c r="HD523" s="131"/>
      <c r="HE523" s="131"/>
      <c r="HF523" s="131"/>
      <c r="HG523" s="131"/>
      <c r="HH523" s="131"/>
      <c r="HI523" s="131"/>
      <c r="HJ523" s="131"/>
      <c r="HK523" s="131"/>
      <c r="HL523" s="131"/>
      <c r="HM523" s="131"/>
      <c r="HN523" s="131"/>
      <c r="HO523" s="131"/>
      <c r="HP523" s="131"/>
      <c r="HQ523" s="131"/>
      <c r="HR523" s="131"/>
      <c r="HS523" s="131"/>
      <c r="HT523" s="131"/>
      <c r="HU523" s="131"/>
      <c r="HV523" s="131"/>
      <c r="HW523" s="131"/>
      <c r="HX523" s="131"/>
      <c r="HY523" s="131"/>
      <c r="HZ523" s="131"/>
      <c r="IA523" s="131"/>
      <c r="IB523" s="131"/>
      <c r="IC523" s="131"/>
      <c r="ID523" s="131"/>
      <c r="IE523" s="131"/>
      <c r="IF523" s="131"/>
      <c r="IG523" s="131"/>
      <c r="IH523" s="131"/>
      <c r="II523" s="131"/>
      <c r="IJ523" s="131"/>
      <c r="IK523" s="131"/>
      <c r="IL523" s="131"/>
      <c r="IM523" s="131"/>
      <c r="IN523" s="131"/>
      <c r="IO523" s="131"/>
      <c r="IP523" s="131"/>
      <c r="IQ523" s="131"/>
      <c r="IR523" s="131"/>
      <c r="IS523" s="131"/>
      <c r="IT523" s="131"/>
      <c r="IU523" s="131"/>
      <c r="IV523" s="131"/>
    </row>
    <row r="524" spans="1:256" s="13" customFormat="1" ht="38.25" customHeight="1">
      <c r="A524" s="21" t="s">
        <v>1</v>
      </c>
      <c r="B524" s="246" t="s">
        <v>34</v>
      </c>
      <c r="C524" s="246" t="s">
        <v>25</v>
      </c>
      <c r="D524" s="246" t="s">
        <v>1004</v>
      </c>
      <c r="E524" s="246" t="s">
        <v>138</v>
      </c>
      <c r="F524" s="21" t="s">
        <v>996</v>
      </c>
      <c r="G524" s="246" t="s">
        <v>197</v>
      </c>
      <c r="H524" s="21">
        <v>236220</v>
      </c>
      <c r="I524" s="21" t="s">
        <v>28</v>
      </c>
      <c r="J524" s="21" t="s">
        <v>109</v>
      </c>
      <c r="K524" s="21" t="s">
        <v>1974</v>
      </c>
      <c r="L524" s="21" t="s">
        <v>1974</v>
      </c>
      <c r="M524" s="22">
        <v>25000</v>
      </c>
      <c r="N524" s="22">
        <v>100000</v>
      </c>
      <c r="O524" s="21" t="s">
        <v>20</v>
      </c>
      <c r="P524" s="21" t="s">
        <v>278</v>
      </c>
      <c r="Q524" s="21" t="s">
        <v>279</v>
      </c>
      <c r="R524" s="21" t="s">
        <v>278</v>
      </c>
      <c r="S524" s="74">
        <v>2013</v>
      </c>
      <c r="T524" s="21" t="s">
        <v>992</v>
      </c>
      <c r="U524" s="21" t="s">
        <v>993</v>
      </c>
      <c r="V524" s="21" t="s">
        <v>994</v>
      </c>
      <c r="W524" s="21" t="s">
        <v>66</v>
      </c>
      <c r="X524" s="246" t="s">
        <v>1301</v>
      </c>
      <c r="Y524" s="130"/>
      <c r="Z524" s="130"/>
      <c r="AA524" s="130"/>
      <c r="AB524" s="130"/>
      <c r="AC524" s="130"/>
      <c r="AD524" s="131"/>
      <c r="AE524" s="131"/>
      <c r="AF524" s="131"/>
      <c r="AG524" s="131"/>
      <c r="AH524" s="131"/>
      <c r="AI524" s="131"/>
      <c r="AJ524" s="131"/>
      <c r="AK524" s="131"/>
      <c r="AL524" s="131"/>
      <c r="AM524" s="131"/>
      <c r="AN524" s="131"/>
      <c r="AO524" s="131"/>
      <c r="AP524" s="131"/>
      <c r="AQ524" s="131"/>
      <c r="AR524" s="131"/>
      <c r="AS524" s="131"/>
      <c r="AT524" s="131"/>
      <c r="AU524" s="131"/>
      <c r="AV524" s="131"/>
      <c r="AW524" s="131"/>
      <c r="AX524" s="131"/>
      <c r="AY524" s="131"/>
      <c r="AZ524" s="131"/>
      <c r="BA524" s="131"/>
      <c r="BB524" s="131"/>
      <c r="BC524" s="131"/>
      <c r="BD524" s="131"/>
      <c r="BE524" s="131"/>
      <c r="BF524" s="131"/>
      <c r="BG524" s="131"/>
      <c r="BH524" s="131"/>
      <c r="BI524" s="131"/>
      <c r="BJ524" s="131"/>
      <c r="BK524" s="131"/>
      <c r="BL524" s="131"/>
      <c r="BM524" s="131"/>
      <c r="BN524" s="131"/>
      <c r="BO524" s="131"/>
      <c r="BP524" s="131"/>
      <c r="BQ524" s="131"/>
      <c r="BR524" s="131"/>
      <c r="BS524" s="131"/>
      <c r="BT524" s="131"/>
      <c r="BU524" s="131"/>
      <c r="BV524" s="131"/>
      <c r="BW524" s="131"/>
      <c r="BX524" s="131"/>
      <c r="BY524" s="131"/>
      <c r="BZ524" s="131"/>
      <c r="CA524" s="131"/>
      <c r="CB524" s="131"/>
      <c r="CC524" s="131"/>
      <c r="CD524" s="131"/>
      <c r="CE524" s="131"/>
      <c r="CF524" s="131"/>
      <c r="CG524" s="131"/>
      <c r="CH524" s="131"/>
      <c r="CI524" s="131"/>
      <c r="CJ524" s="131"/>
      <c r="CK524" s="131"/>
      <c r="CL524" s="131"/>
      <c r="CM524" s="131"/>
      <c r="CN524" s="131"/>
      <c r="CO524" s="131"/>
      <c r="CP524" s="131"/>
      <c r="CQ524" s="131"/>
      <c r="CR524" s="131"/>
      <c r="CS524" s="131"/>
      <c r="CT524" s="131"/>
      <c r="CU524" s="131"/>
      <c r="CV524" s="131"/>
      <c r="CW524" s="131"/>
      <c r="CX524" s="131"/>
      <c r="CY524" s="131"/>
      <c r="CZ524" s="131"/>
      <c r="DA524" s="131"/>
      <c r="DB524" s="131"/>
      <c r="DC524" s="131"/>
      <c r="DD524" s="131"/>
      <c r="DE524" s="131"/>
      <c r="DF524" s="131"/>
      <c r="DG524" s="131"/>
      <c r="DH524" s="131"/>
      <c r="DI524" s="131"/>
      <c r="DJ524" s="131"/>
      <c r="DK524" s="131"/>
      <c r="DL524" s="131"/>
      <c r="DM524" s="131"/>
      <c r="DN524" s="131"/>
      <c r="DO524" s="131"/>
      <c r="DP524" s="131"/>
      <c r="DQ524" s="131"/>
      <c r="DR524" s="131"/>
      <c r="DS524" s="131"/>
      <c r="DT524" s="131"/>
      <c r="DU524" s="131"/>
      <c r="DV524" s="131"/>
      <c r="DW524" s="131"/>
      <c r="DX524" s="131"/>
      <c r="DY524" s="131"/>
      <c r="DZ524" s="131"/>
      <c r="EA524" s="131"/>
      <c r="EB524" s="131"/>
      <c r="EC524" s="131"/>
      <c r="ED524" s="131"/>
      <c r="EE524" s="131"/>
      <c r="EF524" s="131"/>
      <c r="EG524" s="131"/>
      <c r="EH524" s="131"/>
      <c r="EI524" s="131"/>
      <c r="EJ524" s="131"/>
      <c r="EK524" s="131"/>
      <c r="EL524" s="131"/>
      <c r="EM524" s="131"/>
      <c r="EN524" s="131"/>
      <c r="EO524" s="131"/>
      <c r="EP524" s="131"/>
      <c r="EQ524" s="131"/>
      <c r="ER524" s="131"/>
      <c r="ES524" s="131"/>
      <c r="ET524" s="131"/>
      <c r="EU524" s="131"/>
      <c r="EV524" s="131"/>
      <c r="EW524" s="131"/>
      <c r="EX524" s="131"/>
      <c r="EY524" s="131"/>
      <c r="EZ524" s="131"/>
      <c r="FA524" s="131"/>
      <c r="FB524" s="131"/>
      <c r="FC524" s="131"/>
      <c r="FD524" s="131"/>
      <c r="FE524" s="131"/>
      <c r="FF524" s="131"/>
      <c r="FG524" s="131"/>
      <c r="FH524" s="131"/>
      <c r="FI524" s="131"/>
      <c r="FJ524" s="131"/>
      <c r="FK524" s="131"/>
      <c r="FL524" s="131"/>
      <c r="FM524" s="131"/>
      <c r="FN524" s="131"/>
      <c r="FO524" s="131"/>
      <c r="FP524" s="131"/>
      <c r="FQ524" s="131"/>
      <c r="FR524" s="131"/>
      <c r="FS524" s="131"/>
      <c r="FT524" s="131"/>
      <c r="FU524" s="131"/>
      <c r="FV524" s="131"/>
      <c r="FW524" s="131"/>
      <c r="FX524" s="131"/>
      <c r="FY524" s="131"/>
      <c r="FZ524" s="131"/>
      <c r="GA524" s="131"/>
      <c r="GB524" s="131"/>
      <c r="GC524" s="131"/>
      <c r="GD524" s="131"/>
      <c r="GE524" s="131"/>
      <c r="GF524" s="131"/>
      <c r="GG524" s="131"/>
      <c r="GH524" s="131"/>
      <c r="GI524" s="131"/>
      <c r="GJ524" s="131"/>
      <c r="GK524" s="131"/>
      <c r="GL524" s="131"/>
      <c r="GM524" s="131"/>
      <c r="GN524" s="131"/>
      <c r="GO524" s="131"/>
      <c r="GP524" s="131"/>
      <c r="GQ524" s="131"/>
      <c r="GR524" s="131"/>
      <c r="GS524" s="131"/>
      <c r="GT524" s="131"/>
      <c r="GU524" s="131"/>
      <c r="GV524" s="131"/>
      <c r="GW524" s="131"/>
      <c r="GX524" s="131"/>
      <c r="GY524" s="131"/>
      <c r="GZ524" s="131"/>
      <c r="HA524" s="131"/>
      <c r="HB524" s="131"/>
      <c r="HC524" s="131"/>
      <c r="HD524" s="131"/>
      <c r="HE524" s="131"/>
      <c r="HF524" s="131"/>
      <c r="HG524" s="131"/>
      <c r="HH524" s="131"/>
      <c r="HI524" s="131"/>
      <c r="HJ524" s="131"/>
      <c r="HK524" s="131"/>
      <c r="HL524" s="131"/>
      <c r="HM524" s="131"/>
      <c r="HN524" s="131"/>
      <c r="HO524" s="131"/>
      <c r="HP524" s="131"/>
      <c r="HQ524" s="131"/>
      <c r="HR524" s="131"/>
      <c r="HS524" s="131"/>
      <c r="HT524" s="131"/>
      <c r="HU524" s="131"/>
      <c r="HV524" s="131"/>
      <c r="HW524" s="131"/>
      <c r="HX524" s="131"/>
      <c r="HY524" s="131"/>
      <c r="HZ524" s="131"/>
      <c r="IA524" s="131"/>
      <c r="IB524" s="131"/>
      <c r="IC524" s="131"/>
      <c r="ID524" s="131"/>
      <c r="IE524" s="131"/>
      <c r="IF524" s="131"/>
      <c r="IG524" s="131"/>
      <c r="IH524" s="131"/>
      <c r="II524" s="131"/>
      <c r="IJ524" s="131"/>
      <c r="IK524" s="131"/>
      <c r="IL524" s="131"/>
      <c r="IM524" s="131"/>
      <c r="IN524" s="131"/>
      <c r="IO524" s="131"/>
      <c r="IP524" s="131"/>
      <c r="IQ524" s="131"/>
      <c r="IR524" s="131"/>
      <c r="IS524" s="131"/>
      <c r="IT524" s="131"/>
      <c r="IU524" s="131"/>
      <c r="IV524" s="131"/>
    </row>
    <row r="525" spans="1:256" s="13" customFormat="1" ht="38.25" customHeight="1">
      <c r="A525" s="21" t="s">
        <v>1</v>
      </c>
      <c r="B525" s="246" t="s">
        <v>34</v>
      </c>
      <c r="C525" s="246" t="s">
        <v>25</v>
      </c>
      <c r="D525" s="246" t="s">
        <v>1005</v>
      </c>
      <c r="E525" s="246" t="s">
        <v>138</v>
      </c>
      <c r="F525" s="21" t="s">
        <v>996</v>
      </c>
      <c r="G525" s="246" t="s">
        <v>197</v>
      </c>
      <c r="H525" s="21">
        <v>236220</v>
      </c>
      <c r="I525" s="21" t="s">
        <v>28</v>
      </c>
      <c r="J525" s="21" t="s">
        <v>109</v>
      </c>
      <c r="K525" s="21" t="s">
        <v>1974</v>
      </c>
      <c r="L525" s="21" t="s">
        <v>1974</v>
      </c>
      <c r="M525" s="22">
        <v>25000</v>
      </c>
      <c r="N525" s="22">
        <v>100000</v>
      </c>
      <c r="O525" s="21" t="s">
        <v>20</v>
      </c>
      <c r="P525" s="21" t="s">
        <v>278</v>
      </c>
      <c r="Q525" s="21" t="s">
        <v>279</v>
      </c>
      <c r="R525" s="21" t="s">
        <v>278</v>
      </c>
      <c r="S525" s="74">
        <v>2013</v>
      </c>
      <c r="T525" s="21" t="s">
        <v>992</v>
      </c>
      <c r="U525" s="21" t="s">
        <v>993</v>
      </c>
      <c r="V525" s="21" t="s">
        <v>994</v>
      </c>
      <c r="W525" s="21" t="s">
        <v>66</v>
      </c>
      <c r="X525" s="246" t="s">
        <v>2652</v>
      </c>
      <c r="Y525" s="130"/>
      <c r="Z525" s="130"/>
      <c r="AA525" s="130"/>
      <c r="AB525" s="130"/>
      <c r="AC525" s="130"/>
      <c r="AD525" s="131"/>
      <c r="AE525" s="131"/>
      <c r="AF525" s="131"/>
      <c r="AG525" s="131"/>
      <c r="AH525" s="131"/>
      <c r="AI525" s="131"/>
      <c r="AJ525" s="131"/>
      <c r="AK525" s="131"/>
      <c r="AL525" s="131"/>
      <c r="AM525" s="131"/>
      <c r="AN525" s="131"/>
      <c r="AO525" s="131"/>
      <c r="AP525" s="131"/>
      <c r="AQ525" s="131"/>
      <c r="AR525" s="131"/>
      <c r="AS525" s="131"/>
      <c r="AT525" s="131"/>
      <c r="AU525" s="131"/>
      <c r="AV525" s="131"/>
      <c r="AW525" s="131"/>
      <c r="AX525" s="131"/>
      <c r="AY525" s="131"/>
      <c r="AZ525" s="131"/>
      <c r="BA525" s="131"/>
      <c r="BB525" s="131"/>
      <c r="BC525" s="131"/>
      <c r="BD525" s="131"/>
      <c r="BE525" s="131"/>
      <c r="BF525" s="131"/>
      <c r="BG525" s="131"/>
      <c r="BH525" s="131"/>
      <c r="BI525" s="131"/>
      <c r="BJ525" s="131"/>
      <c r="BK525" s="131"/>
      <c r="BL525" s="131"/>
      <c r="BM525" s="131"/>
      <c r="BN525" s="131"/>
      <c r="BO525" s="131"/>
      <c r="BP525" s="131"/>
      <c r="BQ525" s="131"/>
      <c r="BR525" s="131"/>
      <c r="BS525" s="131"/>
      <c r="BT525" s="131"/>
      <c r="BU525" s="131"/>
      <c r="BV525" s="131"/>
      <c r="BW525" s="131"/>
      <c r="BX525" s="131"/>
      <c r="BY525" s="131"/>
      <c r="BZ525" s="131"/>
      <c r="CA525" s="131"/>
      <c r="CB525" s="131"/>
      <c r="CC525" s="131"/>
      <c r="CD525" s="131"/>
      <c r="CE525" s="131"/>
      <c r="CF525" s="131"/>
      <c r="CG525" s="131"/>
      <c r="CH525" s="131"/>
      <c r="CI525" s="131"/>
      <c r="CJ525" s="131"/>
      <c r="CK525" s="131"/>
      <c r="CL525" s="131"/>
      <c r="CM525" s="131"/>
      <c r="CN525" s="131"/>
      <c r="CO525" s="131"/>
      <c r="CP525" s="131"/>
      <c r="CQ525" s="131"/>
      <c r="CR525" s="131"/>
      <c r="CS525" s="131"/>
      <c r="CT525" s="131"/>
      <c r="CU525" s="131"/>
      <c r="CV525" s="131"/>
      <c r="CW525" s="131"/>
      <c r="CX525" s="131"/>
      <c r="CY525" s="131"/>
      <c r="CZ525" s="131"/>
      <c r="DA525" s="131"/>
      <c r="DB525" s="131"/>
      <c r="DC525" s="131"/>
      <c r="DD525" s="131"/>
      <c r="DE525" s="131"/>
      <c r="DF525" s="131"/>
      <c r="DG525" s="131"/>
      <c r="DH525" s="131"/>
      <c r="DI525" s="131"/>
      <c r="DJ525" s="131"/>
      <c r="DK525" s="131"/>
      <c r="DL525" s="131"/>
      <c r="DM525" s="131"/>
      <c r="DN525" s="131"/>
      <c r="DO525" s="131"/>
      <c r="DP525" s="131"/>
      <c r="DQ525" s="131"/>
      <c r="DR525" s="131"/>
      <c r="DS525" s="131"/>
      <c r="DT525" s="131"/>
      <c r="DU525" s="131"/>
      <c r="DV525" s="131"/>
      <c r="DW525" s="131"/>
      <c r="DX525" s="131"/>
      <c r="DY525" s="131"/>
      <c r="DZ525" s="131"/>
      <c r="EA525" s="131"/>
      <c r="EB525" s="131"/>
      <c r="EC525" s="131"/>
      <c r="ED525" s="131"/>
      <c r="EE525" s="131"/>
      <c r="EF525" s="131"/>
      <c r="EG525" s="131"/>
      <c r="EH525" s="131"/>
      <c r="EI525" s="131"/>
      <c r="EJ525" s="131"/>
      <c r="EK525" s="131"/>
      <c r="EL525" s="131"/>
      <c r="EM525" s="131"/>
      <c r="EN525" s="131"/>
      <c r="EO525" s="131"/>
      <c r="EP525" s="131"/>
      <c r="EQ525" s="131"/>
      <c r="ER525" s="131"/>
      <c r="ES525" s="131"/>
      <c r="ET525" s="131"/>
      <c r="EU525" s="131"/>
      <c r="EV525" s="131"/>
      <c r="EW525" s="131"/>
      <c r="EX525" s="131"/>
      <c r="EY525" s="131"/>
      <c r="EZ525" s="131"/>
      <c r="FA525" s="131"/>
      <c r="FB525" s="131"/>
      <c r="FC525" s="131"/>
      <c r="FD525" s="131"/>
      <c r="FE525" s="131"/>
      <c r="FF525" s="131"/>
      <c r="FG525" s="131"/>
      <c r="FH525" s="131"/>
      <c r="FI525" s="131"/>
      <c r="FJ525" s="131"/>
      <c r="FK525" s="131"/>
      <c r="FL525" s="131"/>
      <c r="FM525" s="131"/>
      <c r="FN525" s="131"/>
      <c r="FO525" s="131"/>
      <c r="FP525" s="131"/>
      <c r="FQ525" s="131"/>
      <c r="FR525" s="131"/>
      <c r="FS525" s="131"/>
      <c r="FT525" s="131"/>
      <c r="FU525" s="131"/>
      <c r="FV525" s="131"/>
      <c r="FW525" s="131"/>
      <c r="FX525" s="131"/>
      <c r="FY525" s="131"/>
      <c r="FZ525" s="131"/>
      <c r="GA525" s="131"/>
      <c r="GB525" s="131"/>
      <c r="GC525" s="131"/>
      <c r="GD525" s="131"/>
      <c r="GE525" s="131"/>
      <c r="GF525" s="131"/>
      <c r="GG525" s="131"/>
      <c r="GH525" s="131"/>
      <c r="GI525" s="131"/>
      <c r="GJ525" s="131"/>
      <c r="GK525" s="131"/>
      <c r="GL525" s="131"/>
      <c r="GM525" s="131"/>
      <c r="GN525" s="131"/>
      <c r="GO525" s="131"/>
      <c r="GP525" s="131"/>
      <c r="GQ525" s="131"/>
      <c r="GR525" s="131"/>
      <c r="GS525" s="131"/>
      <c r="GT525" s="131"/>
      <c r="GU525" s="131"/>
      <c r="GV525" s="131"/>
      <c r="GW525" s="131"/>
      <c r="GX525" s="131"/>
      <c r="GY525" s="131"/>
      <c r="GZ525" s="131"/>
      <c r="HA525" s="131"/>
      <c r="HB525" s="131"/>
      <c r="HC525" s="131"/>
      <c r="HD525" s="131"/>
      <c r="HE525" s="131"/>
      <c r="HF525" s="131"/>
      <c r="HG525" s="131"/>
      <c r="HH525" s="131"/>
      <c r="HI525" s="131"/>
      <c r="HJ525" s="131"/>
      <c r="HK525" s="131"/>
      <c r="HL525" s="131"/>
      <c r="HM525" s="131"/>
      <c r="HN525" s="131"/>
      <c r="HO525" s="131"/>
      <c r="HP525" s="131"/>
      <c r="HQ525" s="131"/>
      <c r="HR525" s="131"/>
      <c r="HS525" s="131"/>
      <c r="HT525" s="131"/>
      <c r="HU525" s="131"/>
      <c r="HV525" s="131"/>
      <c r="HW525" s="131"/>
      <c r="HX525" s="131"/>
      <c r="HY525" s="131"/>
      <c r="HZ525" s="131"/>
      <c r="IA525" s="131"/>
      <c r="IB525" s="131"/>
      <c r="IC525" s="131"/>
      <c r="ID525" s="131"/>
      <c r="IE525" s="131"/>
      <c r="IF525" s="131"/>
      <c r="IG525" s="131"/>
      <c r="IH525" s="131"/>
      <c r="II525" s="131"/>
      <c r="IJ525" s="131"/>
      <c r="IK525" s="131"/>
      <c r="IL525" s="131"/>
      <c r="IM525" s="131"/>
      <c r="IN525" s="131"/>
      <c r="IO525" s="131"/>
      <c r="IP525" s="131"/>
      <c r="IQ525" s="131"/>
      <c r="IR525" s="131"/>
      <c r="IS525" s="131"/>
      <c r="IT525" s="131"/>
      <c r="IU525" s="131"/>
      <c r="IV525" s="131"/>
    </row>
    <row r="526" spans="1:256" s="13" customFormat="1" ht="38.25" customHeight="1">
      <c r="A526" s="21" t="s">
        <v>1</v>
      </c>
      <c r="B526" s="246" t="s">
        <v>34</v>
      </c>
      <c r="C526" s="246" t="s">
        <v>25</v>
      </c>
      <c r="D526" s="246" t="s">
        <v>1006</v>
      </c>
      <c r="E526" s="246" t="s">
        <v>138</v>
      </c>
      <c r="F526" s="21" t="s">
        <v>996</v>
      </c>
      <c r="G526" s="246" t="s">
        <v>197</v>
      </c>
      <c r="H526" s="21">
        <v>236220</v>
      </c>
      <c r="I526" s="21" t="s">
        <v>28</v>
      </c>
      <c r="J526" s="21" t="s">
        <v>109</v>
      </c>
      <c r="K526" s="21" t="s">
        <v>1974</v>
      </c>
      <c r="L526" s="21" t="s">
        <v>1974</v>
      </c>
      <c r="M526" s="22">
        <v>1000</v>
      </c>
      <c r="N526" s="22">
        <v>25000</v>
      </c>
      <c r="O526" s="21" t="s">
        <v>9</v>
      </c>
      <c r="P526" s="21" t="s">
        <v>278</v>
      </c>
      <c r="Q526" s="21" t="s">
        <v>279</v>
      </c>
      <c r="R526" s="21" t="s">
        <v>278</v>
      </c>
      <c r="S526" s="74">
        <v>2013</v>
      </c>
      <c r="T526" s="21" t="s">
        <v>992</v>
      </c>
      <c r="U526" s="21" t="s">
        <v>993</v>
      </c>
      <c r="V526" s="21" t="s">
        <v>994</v>
      </c>
      <c r="W526" s="21" t="s">
        <v>66</v>
      </c>
      <c r="X526" s="246" t="s">
        <v>2649</v>
      </c>
      <c r="Y526" s="130"/>
      <c r="Z526" s="130"/>
      <c r="AA526" s="130"/>
      <c r="AB526" s="130"/>
      <c r="AC526" s="130"/>
      <c r="AD526" s="131"/>
      <c r="AE526" s="131"/>
      <c r="AF526" s="131"/>
      <c r="AG526" s="131"/>
      <c r="AH526" s="131"/>
      <c r="AI526" s="131"/>
      <c r="AJ526" s="131"/>
      <c r="AK526" s="131"/>
      <c r="AL526" s="131"/>
      <c r="AM526" s="131"/>
      <c r="AN526" s="131"/>
      <c r="AO526" s="131"/>
      <c r="AP526" s="131"/>
      <c r="AQ526" s="131"/>
      <c r="AR526" s="131"/>
      <c r="AS526" s="131"/>
      <c r="AT526" s="131"/>
      <c r="AU526" s="131"/>
      <c r="AV526" s="131"/>
      <c r="AW526" s="131"/>
      <c r="AX526" s="131"/>
      <c r="AY526" s="131"/>
      <c r="AZ526" s="131"/>
      <c r="BA526" s="131"/>
      <c r="BB526" s="131"/>
      <c r="BC526" s="131"/>
      <c r="BD526" s="131"/>
      <c r="BE526" s="131"/>
      <c r="BF526" s="131"/>
      <c r="BG526" s="131"/>
      <c r="BH526" s="131"/>
      <c r="BI526" s="131"/>
      <c r="BJ526" s="131"/>
      <c r="BK526" s="131"/>
      <c r="BL526" s="131"/>
      <c r="BM526" s="131"/>
      <c r="BN526" s="131"/>
      <c r="BO526" s="131"/>
      <c r="BP526" s="131"/>
      <c r="BQ526" s="131"/>
      <c r="BR526" s="131"/>
      <c r="BS526" s="131"/>
      <c r="BT526" s="131"/>
      <c r="BU526" s="131"/>
      <c r="BV526" s="131"/>
      <c r="BW526" s="131"/>
      <c r="BX526" s="131"/>
      <c r="BY526" s="131"/>
      <c r="BZ526" s="131"/>
      <c r="CA526" s="131"/>
      <c r="CB526" s="131"/>
      <c r="CC526" s="131"/>
      <c r="CD526" s="131"/>
      <c r="CE526" s="131"/>
      <c r="CF526" s="131"/>
      <c r="CG526" s="131"/>
      <c r="CH526" s="131"/>
      <c r="CI526" s="131"/>
      <c r="CJ526" s="131"/>
      <c r="CK526" s="131"/>
      <c r="CL526" s="131"/>
      <c r="CM526" s="131"/>
      <c r="CN526" s="131"/>
      <c r="CO526" s="131"/>
      <c r="CP526" s="131"/>
      <c r="CQ526" s="131"/>
      <c r="CR526" s="131"/>
      <c r="CS526" s="131"/>
      <c r="CT526" s="131"/>
      <c r="CU526" s="131"/>
      <c r="CV526" s="131"/>
      <c r="CW526" s="131"/>
      <c r="CX526" s="131"/>
      <c r="CY526" s="131"/>
      <c r="CZ526" s="131"/>
      <c r="DA526" s="131"/>
      <c r="DB526" s="131"/>
      <c r="DC526" s="131"/>
      <c r="DD526" s="131"/>
      <c r="DE526" s="131"/>
      <c r="DF526" s="131"/>
      <c r="DG526" s="131"/>
      <c r="DH526" s="131"/>
      <c r="DI526" s="131"/>
      <c r="DJ526" s="131"/>
      <c r="DK526" s="131"/>
      <c r="DL526" s="131"/>
      <c r="DM526" s="131"/>
      <c r="DN526" s="131"/>
      <c r="DO526" s="131"/>
      <c r="DP526" s="131"/>
      <c r="DQ526" s="131"/>
      <c r="DR526" s="131"/>
      <c r="DS526" s="131"/>
      <c r="DT526" s="131"/>
      <c r="DU526" s="131"/>
      <c r="DV526" s="131"/>
      <c r="DW526" s="131"/>
      <c r="DX526" s="131"/>
      <c r="DY526" s="131"/>
      <c r="DZ526" s="131"/>
      <c r="EA526" s="131"/>
      <c r="EB526" s="131"/>
      <c r="EC526" s="131"/>
      <c r="ED526" s="131"/>
      <c r="EE526" s="131"/>
      <c r="EF526" s="131"/>
      <c r="EG526" s="131"/>
      <c r="EH526" s="131"/>
      <c r="EI526" s="131"/>
      <c r="EJ526" s="131"/>
      <c r="EK526" s="131"/>
      <c r="EL526" s="131"/>
      <c r="EM526" s="131"/>
      <c r="EN526" s="131"/>
      <c r="EO526" s="131"/>
      <c r="EP526" s="131"/>
      <c r="EQ526" s="131"/>
      <c r="ER526" s="131"/>
      <c r="ES526" s="131"/>
      <c r="ET526" s="131"/>
      <c r="EU526" s="131"/>
      <c r="EV526" s="131"/>
      <c r="EW526" s="131"/>
      <c r="EX526" s="131"/>
      <c r="EY526" s="131"/>
      <c r="EZ526" s="131"/>
      <c r="FA526" s="131"/>
      <c r="FB526" s="131"/>
      <c r="FC526" s="131"/>
      <c r="FD526" s="131"/>
      <c r="FE526" s="131"/>
      <c r="FF526" s="131"/>
      <c r="FG526" s="131"/>
      <c r="FH526" s="131"/>
      <c r="FI526" s="131"/>
      <c r="FJ526" s="131"/>
      <c r="FK526" s="131"/>
      <c r="FL526" s="131"/>
      <c r="FM526" s="131"/>
      <c r="FN526" s="131"/>
      <c r="FO526" s="131"/>
      <c r="FP526" s="131"/>
      <c r="FQ526" s="131"/>
      <c r="FR526" s="131"/>
      <c r="FS526" s="131"/>
      <c r="FT526" s="131"/>
      <c r="FU526" s="131"/>
      <c r="FV526" s="131"/>
      <c r="FW526" s="131"/>
      <c r="FX526" s="131"/>
      <c r="FY526" s="131"/>
      <c r="FZ526" s="131"/>
      <c r="GA526" s="131"/>
      <c r="GB526" s="131"/>
      <c r="GC526" s="131"/>
      <c r="GD526" s="131"/>
      <c r="GE526" s="131"/>
      <c r="GF526" s="131"/>
      <c r="GG526" s="131"/>
      <c r="GH526" s="131"/>
      <c r="GI526" s="131"/>
      <c r="GJ526" s="131"/>
      <c r="GK526" s="131"/>
      <c r="GL526" s="131"/>
      <c r="GM526" s="131"/>
      <c r="GN526" s="131"/>
      <c r="GO526" s="131"/>
      <c r="GP526" s="131"/>
      <c r="GQ526" s="131"/>
      <c r="GR526" s="131"/>
      <c r="GS526" s="131"/>
      <c r="GT526" s="131"/>
      <c r="GU526" s="131"/>
      <c r="GV526" s="131"/>
      <c r="GW526" s="131"/>
      <c r="GX526" s="131"/>
      <c r="GY526" s="131"/>
      <c r="GZ526" s="131"/>
      <c r="HA526" s="131"/>
      <c r="HB526" s="131"/>
      <c r="HC526" s="131"/>
      <c r="HD526" s="131"/>
      <c r="HE526" s="131"/>
      <c r="HF526" s="131"/>
      <c r="HG526" s="131"/>
      <c r="HH526" s="131"/>
      <c r="HI526" s="131"/>
      <c r="HJ526" s="131"/>
      <c r="HK526" s="131"/>
      <c r="HL526" s="131"/>
      <c r="HM526" s="131"/>
      <c r="HN526" s="131"/>
      <c r="HO526" s="131"/>
      <c r="HP526" s="131"/>
      <c r="HQ526" s="131"/>
      <c r="HR526" s="131"/>
      <c r="HS526" s="131"/>
      <c r="HT526" s="131"/>
      <c r="HU526" s="131"/>
      <c r="HV526" s="131"/>
      <c r="HW526" s="131"/>
      <c r="HX526" s="131"/>
      <c r="HY526" s="131"/>
      <c r="HZ526" s="131"/>
      <c r="IA526" s="131"/>
      <c r="IB526" s="131"/>
      <c r="IC526" s="131"/>
      <c r="ID526" s="131"/>
      <c r="IE526" s="131"/>
      <c r="IF526" s="131"/>
      <c r="IG526" s="131"/>
      <c r="IH526" s="131"/>
      <c r="II526" s="131"/>
      <c r="IJ526" s="131"/>
      <c r="IK526" s="131"/>
      <c r="IL526" s="131"/>
      <c r="IM526" s="131"/>
      <c r="IN526" s="131"/>
      <c r="IO526" s="131"/>
      <c r="IP526" s="131"/>
      <c r="IQ526" s="131"/>
      <c r="IR526" s="131"/>
      <c r="IS526" s="131"/>
      <c r="IT526" s="131"/>
      <c r="IU526" s="131"/>
      <c r="IV526" s="131"/>
    </row>
    <row r="527" spans="1:256" s="13" customFormat="1" ht="38.25" customHeight="1">
      <c r="A527" s="21" t="s">
        <v>1</v>
      </c>
      <c r="B527" s="246" t="s">
        <v>34</v>
      </c>
      <c r="C527" s="246" t="s">
        <v>25</v>
      </c>
      <c r="D527" s="246" t="s">
        <v>1007</v>
      </c>
      <c r="E527" s="246" t="s">
        <v>138</v>
      </c>
      <c r="F527" s="21" t="s">
        <v>996</v>
      </c>
      <c r="G527" s="246" t="s">
        <v>155</v>
      </c>
      <c r="H527" s="21">
        <v>236220</v>
      </c>
      <c r="I527" s="21" t="s">
        <v>28</v>
      </c>
      <c r="J527" s="21" t="s">
        <v>109</v>
      </c>
      <c r="K527" s="21" t="s">
        <v>1974</v>
      </c>
      <c r="L527" s="21" t="s">
        <v>1974</v>
      </c>
      <c r="M527" s="22">
        <v>1000</v>
      </c>
      <c r="N527" s="22">
        <v>25000</v>
      </c>
      <c r="O527" s="21" t="s">
        <v>20</v>
      </c>
      <c r="P527" s="21" t="s">
        <v>278</v>
      </c>
      <c r="Q527" s="21" t="s">
        <v>279</v>
      </c>
      <c r="R527" s="21" t="s">
        <v>278</v>
      </c>
      <c r="S527" s="74">
        <v>2013</v>
      </c>
      <c r="T527" s="21" t="s">
        <v>992</v>
      </c>
      <c r="U527" s="21" t="s">
        <v>993</v>
      </c>
      <c r="V527" s="21" t="s">
        <v>994</v>
      </c>
      <c r="W527" s="21" t="s">
        <v>66</v>
      </c>
      <c r="X527" s="246" t="s">
        <v>2653</v>
      </c>
      <c r="Y527" s="130"/>
      <c r="Z527" s="130"/>
      <c r="AA527" s="130"/>
      <c r="AB527" s="130"/>
      <c r="AC527" s="130"/>
      <c r="AD527" s="131"/>
      <c r="AE527" s="131"/>
      <c r="AF527" s="131"/>
      <c r="AG527" s="131"/>
      <c r="AH527" s="131"/>
      <c r="AI527" s="131"/>
      <c r="AJ527" s="131"/>
      <c r="AK527" s="131"/>
      <c r="AL527" s="131"/>
      <c r="AM527" s="131"/>
      <c r="AN527" s="131"/>
      <c r="AO527" s="131"/>
      <c r="AP527" s="131"/>
      <c r="AQ527" s="131"/>
      <c r="AR527" s="131"/>
      <c r="AS527" s="131"/>
      <c r="AT527" s="131"/>
      <c r="AU527" s="131"/>
      <c r="AV527" s="131"/>
      <c r="AW527" s="131"/>
      <c r="AX527" s="131"/>
      <c r="AY527" s="131"/>
      <c r="AZ527" s="131"/>
      <c r="BA527" s="131"/>
      <c r="BB527" s="131"/>
      <c r="BC527" s="131"/>
      <c r="BD527" s="131"/>
      <c r="BE527" s="131"/>
      <c r="BF527" s="131"/>
      <c r="BG527" s="131"/>
      <c r="BH527" s="131"/>
      <c r="BI527" s="131"/>
      <c r="BJ527" s="131"/>
      <c r="BK527" s="131"/>
      <c r="BL527" s="131"/>
      <c r="BM527" s="131"/>
      <c r="BN527" s="131"/>
      <c r="BO527" s="131"/>
      <c r="BP527" s="131"/>
      <c r="BQ527" s="131"/>
      <c r="BR527" s="131"/>
      <c r="BS527" s="131"/>
      <c r="BT527" s="131"/>
      <c r="BU527" s="131"/>
      <c r="BV527" s="131"/>
      <c r="BW527" s="131"/>
      <c r="BX527" s="131"/>
      <c r="BY527" s="131"/>
      <c r="BZ527" s="131"/>
      <c r="CA527" s="131"/>
      <c r="CB527" s="131"/>
      <c r="CC527" s="131"/>
      <c r="CD527" s="131"/>
      <c r="CE527" s="131"/>
      <c r="CF527" s="131"/>
      <c r="CG527" s="131"/>
      <c r="CH527" s="131"/>
      <c r="CI527" s="131"/>
      <c r="CJ527" s="131"/>
      <c r="CK527" s="131"/>
      <c r="CL527" s="131"/>
      <c r="CM527" s="131"/>
      <c r="CN527" s="131"/>
      <c r="CO527" s="131"/>
      <c r="CP527" s="131"/>
      <c r="CQ527" s="131"/>
      <c r="CR527" s="131"/>
      <c r="CS527" s="131"/>
      <c r="CT527" s="131"/>
      <c r="CU527" s="131"/>
      <c r="CV527" s="131"/>
      <c r="CW527" s="131"/>
      <c r="CX527" s="131"/>
      <c r="CY527" s="131"/>
      <c r="CZ527" s="131"/>
      <c r="DA527" s="131"/>
      <c r="DB527" s="131"/>
      <c r="DC527" s="131"/>
      <c r="DD527" s="131"/>
      <c r="DE527" s="131"/>
      <c r="DF527" s="131"/>
      <c r="DG527" s="131"/>
      <c r="DH527" s="131"/>
      <c r="DI527" s="131"/>
      <c r="DJ527" s="131"/>
      <c r="DK527" s="131"/>
      <c r="DL527" s="131"/>
      <c r="DM527" s="131"/>
      <c r="DN527" s="131"/>
      <c r="DO527" s="131"/>
      <c r="DP527" s="131"/>
      <c r="DQ527" s="131"/>
      <c r="DR527" s="131"/>
      <c r="DS527" s="131"/>
      <c r="DT527" s="131"/>
      <c r="DU527" s="131"/>
      <c r="DV527" s="131"/>
      <c r="DW527" s="131"/>
      <c r="DX527" s="131"/>
      <c r="DY527" s="131"/>
      <c r="DZ527" s="131"/>
      <c r="EA527" s="131"/>
      <c r="EB527" s="131"/>
      <c r="EC527" s="131"/>
      <c r="ED527" s="131"/>
      <c r="EE527" s="131"/>
      <c r="EF527" s="131"/>
      <c r="EG527" s="131"/>
      <c r="EH527" s="131"/>
      <c r="EI527" s="131"/>
      <c r="EJ527" s="131"/>
      <c r="EK527" s="131"/>
      <c r="EL527" s="131"/>
      <c r="EM527" s="131"/>
      <c r="EN527" s="131"/>
      <c r="EO527" s="131"/>
      <c r="EP527" s="131"/>
      <c r="EQ527" s="131"/>
      <c r="ER527" s="131"/>
      <c r="ES527" s="131"/>
      <c r="ET527" s="131"/>
      <c r="EU527" s="131"/>
      <c r="EV527" s="131"/>
      <c r="EW527" s="131"/>
      <c r="EX527" s="131"/>
      <c r="EY527" s="131"/>
      <c r="EZ527" s="131"/>
      <c r="FA527" s="131"/>
      <c r="FB527" s="131"/>
      <c r="FC527" s="131"/>
      <c r="FD527" s="131"/>
      <c r="FE527" s="131"/>
      <c r="FF527" s="131"/>
      <c r="FG527" s="131"/>
      <c r="FH527" s="131"/>
      <c r="FI527" s="131"/>
      <c r="FJ527" s="131"/>
      <c r="FK527" s="131"/>
      <c r="FL527" s="131"/>
      <c r="FM527" s="131"/>
      <c r="FN527" s="131"/>
      <c r="FO527" s="131"/>
      <c r="FP527" s="131"/>
      <c r="FQ527" s="131"/>
      <c r="FR527" s="131"/>
      <c r="FS527" s="131"/>
      <c r="FT527" s="131"/>
      <c r="FU527" s="131"/>
      <c r="FV527" s="131"/>
      <c r="FW527" s="131"/>
      <c r="FX527" s="131"/>
      <c r="FY527" s="131"/>
      <c r="FZ527" s="131"/>
      <c r="GA527" s="131"/>
      <c r="GB527" s="131"/>
      <c r="GC527" s="131"/>
      <c r="GD527" s="131"/>
      <c r="GE527" s="131"/>
      <c r="GF527" s="131"/>
      <c r="GG527" s="131"/>
      <c r="GH527" s="131"/>
      <c r="GI527" s="131"/>
      <c r="GJ527" s="131"/>
      <c r="GK527" s="131"/>
      <c r="GL527" s="131"/>
      <c r="GM527" s="131"/>
      <c r="GN527" s="131"/>
      <c r="GO527" s="131"/>
      <c r="GP527" s="131"/>
      <c r="GQ527" s="131"/>
      <c r="GR527" s="131"/>
      <c r="GS527" s="131"/>
      <c r="GT527" s="131"/>
      <c r="GU527" s="131"/>
      <c r="GV527" s="131"/>
      <c r="GW527" s="131"/>
      <c r="GX527" s="131"/>
      <c r="GY527" s="131"/>
      <c r="GZ527" s="131"/>
      <c r="HA527" s="131"/>
      <c r="HB527" s="131"/>
      <c r="HC527" s="131"/>
      <c r="HD527" s="131"/>
      <c r="HE527" s="131"/>
      <c r="HF527" s="131"/>
      <c r="HG527" s="131"/>
      <c r="HH527" s="131"/>
      <c r="HI527" s="131"/>
      <c r="HJ527" s="131"/>
      <c r="HK527" s="131"/>
      <c r="HL527" s="131"/>
      <c r="HM527" s="131"/>
      <c r="HN527" s="131"/>
      <c r="HO527" s="131"/>
      <c r="HP527" s="131"/>
      <c r="HQ527" s="131"/>
      <c r="HR527" s="131"/>
      <c r="HS527" s="131"/>
      <c r="HT527" s="131"/>
      <c r="HU527" s="131"/>
      <c r="HV527" s="131"/>
      <c r="HW527" s="131"/>
      <c r="HX527" s="131"/>
      <c r="HY527" s="131"/>
      <c r="HZ527" s="131"/>
      <c r="IA527" s="131"/>
      <c r="IB527" s="131"/>
      <c r="IC527" s="131"/>
      <c r="ID527" s="131"/>
      <c r="IE527" s="131"/>
      <c r="IF527" s="131"/>
      <c r="IG527" s="131"/>
      <c r="IH527" s="131"/>
      <c r="II527" s="131"/>
      <c r="IJ527" s="131"/>
      <c r="IK527" s="131"/>
      <c r="IL527" s="131"/>
      <c r="IM527" s="131"/>
      <c r="IN527" s="131"/>
      <c r="IO527" s="131"/>
      <c r="IP527" s="131"/>
      <c r="IQ527" s="131"/>
      <c r="IR527" s="131"/>
      <c r="IS527" s="131"/>
      <c r="IT527" s="131"/>
      <c r="IU527" s="131"/>
      <c r="IV527" s="131"/>
    </row>
    <row r="528" spans="1:256" s="13" customFormat="1" ht="38.25" customHeight="1">
      <c r="A528" s="21" t="s">
        <v>1</v>
      </c>
      <c r="B528" s="246" t="s">
        <v>34</v>
      </c>
      <c r="C528" s="246" t="s">
        <v>25</v>
      </c>
      <c r="D528" s="246" t="s">
        <v>1008</v>
      </c>
      <c r="E528" s="246" t="s">
        <v>138</v>
      </c>
      <c r="F528" s="21" t="s">
        <v>1009</v>
      </c>
      <c r="G528" s="246" t="s">
        <v>155</v>
      </c>
      <c r="H528" s="21">
        <v>236220</v>
      </c>
      <c r="I528" s="21" t="s">
        <v>28</v>
      </c>
      <c r="J528" s="21" t="s">
        <v>109</v>
      </c>
      <c r="K528" s="21" t="s">
        <v>1974</v>
      </c>
      <c r="L528" s="21" t="s">
        <v>1974</v>
      </c>
      <c r="M528" s="22">
        <v>100000</v>
      </c>
      <c r="N528" s="22">
        <v>250000</v>
      </c>
      <c r="O528" s="21" t="s">
        <v>20</v>
      </c>
      <c r="P528" s="21" t="s">
        <v>278</v>
      </c>
      <c r="Q528" s="21" t="s">
        <v>279</v>
      </c>
      <c r="R528" s="21" t="s">
        <v>278</v>
      </c>
      <c r="S528" s="74">
        <v>2013</v>
      </c>
      <c r="T528" s="21" t="s">
        <v>1010</v>
      </c>
      <c r="U528" s="21" t="s">
        <v>993</v>
      </c>
      <c r="V528" s="21" t="s">
        <v>994</v>
      </c>
      <c r="W528" s="21" t="s">
        <v>66</v>
      </c>
      <c r="X528" s="246" t="s">
        <v>2654</v>
      </c>
      <c r="Y528" s="130"/>
      <c r="Z528" s="267"/>
      <c r="AA528" s="267"/>
      <c r="AB528" s="130"/>
      <c r="AC528" s="130"/>
      <c r="AD528" s="131"/>
      <c r="AE528" s="131"/>
      <c r="AF528" s="131"/>
      <c r="AG528" s="131"/>
      <c r="AH528" s="131"/>
      <c r="AI528" s="131"/>
      <c r="AJ528" s="131"/>
      <c r="AK528" s="131"/>
      <c r="AL528" s="131"/>
      <c r="AM528" s="131"/>
      <c r="AN528" s="131"/>
      <c r="AO528" s="131"/>
      <c r="AP528" s="131"/>
      <c r="AQ528" s="131"/>
      <c r="AR528" s="131"/>
      <c r="AS528" s="131"/>
      <c r="AT528" s="131"/>
      <c r="AU528" s="131"/>
      <c r="AV528" s="131"/>
      <c r="AW528" s="131"/>
      <c r="AX528" s="131"/>
      <c r="AY528" s="131"/>
      <c r="AZ528" s="131"/>
      <c r="BA528" s="131"/>
      <c r="BB528" s="131"/>
      <c r="BC528" s="131"/>
      <c r="BD528" s="131"/>
      <c r="BE528" s="131"/>
      <c r="BF528" s="131"/>
      <c r="BG528" s="131"/>
      <c r="BH528" s="131"/>
      <c r="BI528" s="131"/>
      <c r="BJ528" s="131"/>
      <c r="BK528" s="131"/>
      <c r="BL528" s="131"/>
      <c r="BM528" s="131"/>
      <c r="BN528" s="131"/>
      <c r="BO528" s="131"/>
      <c r="BP528" s="131"/>
      <c r="BQ528" s="131"/>
      <c r="BR528" s="131"/>
      <c r="BS528" s="131"/>
      <c r="BT528" s="131"/>
      <c r="BU528" s="131"/>
      <c r="BV528" s="131"/>
      <c r="BW528" s="131"/>
      <c r="BX528" s="131"/>
      <c r="BY528" s="131"/>
      <c r="BZ528" s="131"/>
      <c r="CA528" s="131"/>
      <c r="CB528" s="131"/>
      <c r="CC528" s="131"/>
      <c r="CD528" s="131"/>
      <c r="CE528" s="131"/>
      <c r="CF528" s="131"/>
      <c r="CG528" s="131"/>
      <c r="CH528" s="131"/>
      <c r="CI528" s="131"/>
      <c r="CJ528" s="131"/>
      <c r="CK528" s="131"/>
      <c r="CL528" s="131"/>
      <c r="CM528" s="131"/>
      <c r="CN528" s="131"/>
      <c r="CO528" s="131"/>
      <c r="CP528" s="131"/>
      <c r="CQ528" s="131"/>
      <c r="CR528" s="131"/>
      <c r="CS528" s="131"/>
      <c r="CT528" s="131"/>
      <c r="CU528" s="131"/>
      <c r="CV528" s="131"/>
      <c r="CW528" s="131"/>
      <c r="CX528" s="131"/>
      <c r="CY528" s="131"/>
      <c r="CZ528" s="131"/>
      <c r="DA528" s="131"/>
      <c r="DB528" s="131"/>
      <c r="DC528" s="131"/>
      <c r="DD528" s="131"/>
      <c r="DE528" s="131"/>
      <c r="DF528" s="131"/>
      <c r="DG528" s="131"/>
      <c r="DH528" s="131"/>
      <c r="DI528" s="131"/>
      <c r="DJ528" s="131"/>
      <c r="DK528" s="131"/>
      <c r="DL528" s="131"/>
      <c r="DM528" s="131"/>
      <c r="DN528" s="131"/>
      <c r="DO528" s="131"/>
      <c r="DP528" s="131"/>
      <c r="DQ528" s="131"/>
      <c r="DR528" s="131"/>
      <c r="DS528" s="131"/>
      <c r="DT528" s="131"/>
      <c r="DU528" s="131"/>
      <c r="DV528" s="131"/>
      <c r="DW528" s="131"/>
      <c r="DX528" s="131"/>
      <c r="DY528" s="131"/>
      <c r="DZ528" s="131"/>
      <c r="EA528" s="131"/>
      <c r="EB528" s="131"/>
      <c r="EC528" s="131"/>
      <c r="ED528" s="131"/>
      <c r="EE528" s="131"/>
      <c r="EF528" s="131"/>
      <c r="EG528" s="131"/>
      <c r="EH528" s="131"/>
      <c r="EI528" s="131"/>
      <c r="EJ528" s="131"/>
      <c r="EK528" s="131"/>
      <c r="EL528" s="131"/>
      <c r="EM528" s="131"/>
      <c r="EN528" s="131"/>
      <c r="EO528" s="131"/>
      <c r="EP528" s="131"/>
      <c r="EQ528" s="131"/>
      <c r="ER528" s="131"/>
      <c r="ES528" s="131"/>
      <c r="ET528" s="131"/>
      <c r="EU528" s="131"/>
      <c r="EV528" s="131"/>
      <c r="EW528" s="131"/>
      <c r="EX528" s="131"/>
      <c r="EY528" s="131"/>
      <c r="EZ528" s="131"/>
      <c r="FA528" s="131"/>
      <c r="FB528" s="131"/>
      <c r="FC528" s="131"/>
      <c r="FD528" s="131"/>
      <c r="FE528" s="131"/>
      <c r="FF528" s="131"/>
      <c r="FG528" s="131"/>
      <c r="FH528" s="131"/>
      <c r="FI528" s="131"/>
      <c r="FJ528" s="131"/>
      <c r="FK528" s="131"/>
      <c r="FL528" s="131"/>
      <c r="FM528" s="131"/>
      <c r="FN528" s="131"/>
      <c r="FO528" s="131"/>
      <c r="FP528" s="131"/>
      <c r="FQ528" s="131"/>
      <c r="FR528" s="131"/>
      <c r="FS528" s="131"/>
      <c r="FT528" s="131"/>
      <c r="FU528" s="131"/>
      <c r="FV528" s="131"/>
      <c r="FW528" s="131"/>
      <c r="FX528" s="131"/>
      <c r="FY528" s="131"/>
      <c r="FZ528" s="131"/>
      <c r="GA528" s="131"/>
      <c r="GB528" s="131"/>
      <c r="GC528" s="131"/>
      <c r="GD528" s="131"/>
      <c r="GE528" s="131"/>
      <c r="GF528" s="131"/>
      <c r="GG528" s="131"/>
      <c r="GH528" s="131"/>
      <c r="GI528" s="131"/>
      <c r="GJ528" s="131"/>
      <c r="GK528" s="131"/>
      <c r="GL528" s="131"/>
      <c r="GM528" s="131"/>
      <c r="GN528" s="131"/>
      <c r="GO528" s="131"/>
      <c r="GP528" s="131"/>
      <c r="GQ528" s="131"/>
      <c r="GR528" s="131"/>
      <c r="GS528" s="131"/>
      <c r="GT528" s="131"/>
      <c r="GU528" s="131"/>
      <c r="GV528" s="131"/>
      <c r="GW528" s="131"/>
      <c r="GX528" s="131"/>
      <c r="GY528" s="131"/>
      <c r="GZ528" s="131"/>
      <c r="HA528" s="131"/>
      <c r="HB528" s="131"/>
      <c r="HC528" s="131"/>
      <c r="HD528" s="131"/>
      <c r="HE528" s="131"/>
      <c r="HF528" s="131"/>
      <c r="HG528" s="131"/>
      <c r="HH528" s="131"/>
      <c r="HI528" s="131"/>
      <c r="HJ528" s="131"/>
      <c r="HK528" s="131"/>
      <c r="HL528" s="131"/>
      <c r="HM528" s="131"/>
      <c r="HN528" s="131"/>
      <c r="HO528" s="131"/>
      <c r="HP528" s="131"/>
      <c r="HQ528" s="131"/>
      <c r="HR528" s="131"/>
      <c r="HS528" s="131"/>
      <c r="HT528" s="131"/>
      <c r="HU528" s="131"/>
      <c r="HV528" s="131"/>
      <c r="HW528" s="131"/>
      <c r="HX528" s="131"/>
      <c r="HY528" s="131"/>
      <c r="HZ528" s="131"/>
      <c r="IA528" s="131"/>
      <c r="IB528" s="131"/>
      <c r="IC528" s="131"/>
      <c r="ID528" s="131"/>
      <c r="IE528" s="131"/>
      <c r="IF528" s="131"/>
      <c r="IG528" s="131"/>
      <c r="IH528" s="131"/>
      <c r="II528" s="131"/>
      <c r="IJ528" s="131"/>
      <c r="IK528" s="131"/>
      <c r="IL528" s="131"/>
      <c r="IM528" s="131"/>
      <c r="IN528" s="131"/>
      <c r="IO528" s="131"/>
      <c r="IP528" s="131"/>
      <c r="IQ528" s="131"/>
      <c r="IR528" s="131"/>
      <c r="IS528" s="131"/>
      <c r="IT528" s="131"/>
      <c r="IU528" s="131"/>
      <c r="IV528" s="131"/>
    </row>
    <row r="529" spans="1:256" s="13" customFormat="1" ht="38.25" customHeight="1">
      <c r="A529" s="21" t="s">
        <v>1</v>
      </c>
      <c r="B529" s="246" t="s">
        <v>34</v>
      </c>
      <c r="C529" s="246" t="s">
        <v>25</v>
      </c>
      <c r="D529" s="246" t="s">
        <v>1011</v>
      </c>
      <c r="E529" s="246" t="s">
        <v>138</v>
      </c>
      <c r="F529" s="21" t="s">
        <v>996</v>
      </c>
      <c r="G529" s="246" t="s">
        <v>197</v>
      </c>
      <c r="H529" s="21">
        <v>236220</v>
      </c>
      <c r="I529" s="21" t="s">
        <v>28</v>
      </c>
      <c r="J529" s="21" t="s">
        <v>109</v>
      </c>
      <c r="K529" s="21" t="s">
        <v>1974</v>
      </c>
      <c r="L529" s="21" t="s">
        <v>1974</v>
      </c>
      <c r="M529" s="22">
        <v>1000000</v>
      </c>
      <c r="N529" s="22">
        <v>5000000</v>
      </c>
      <c r="O529" s="21" t="s">
        <v>20</v>
      </c>
      <c r="P529" s="21" t="s">
        <v>278</v>
      </c>
      <c r="Q529" s="21" t="s">
        <v>279</v>
      </c>
      <c r="R529" s="21" t="s">
        <v>278</v>
      </c>
      <c r="S529" s="74">
        <v>2013</v>
      </c>
      <c r="T529" s="21" t="s">
        <v>1012</v>
      </c>
      <c r="U529" s="21" t="s">
        <v>1013</v>
      </c>
      <c r="V529" s="21" t="s">
        <v>1014</v>
      </c>
      <c r="W529" s="21" t="s">
        <v>66</v>
      </c>
      <c r="X529" s="246" t="s">
        <v>2655</v>
      </c>
      <c r="Y529" s="130"/>
      <c r="Z529" s="267"/>
      <c r="AA529" s="267"/>
      <c r="AB529" s="130"/>
      <c r="AC529" s="130"/>
      <c r="AD529" s="131"/>
      <c r="AE529" s="131"/>
      <c r="AF529" s="131"/>
      <c r="AG529" s="131"/>
      <c r="AH529" s="131"/>
      <c r="AI529" s="131"/>
      <c r="AJ529" s="131"/>
      <c r="AK529" s="131"/>
      <c r="AL529" s="131"/>
      <c r="AM529" s="131"/>
      <c r="AN529" s="131"/>
      <c r="AO529" s="131"/>
      <c r="AP529" s="131"/>
      <c r="AQ529" s="131"/>
      <c r="AR529" s="131"/>
      <c r="AS529" s="131"/>
      <c r="AT529" s="131"/>
      <c r="AU529" s="131"/>
      <c r="AV529" s="131"/>
      <c r="AW529" s="131"/>
      <c r="AX529" s="131"/>
      <c r="AY529" s="131"/>
      <c r="AZ529" s="131"/>
      <c r="BA529" s="131"/>
      <c r="BB529" s="131"/>
      <c r="BC529" s="131"/>
      <c r="BD529" s="131"/>
      <c r="BE529" s="131"/>
      <c r="BF529" s="131"/>
      <c r="BG529" s="131"/>
      <c r="BH529" s="131"/>
      <c r="BI529" s="131"/>
      <c r="BJ529" s="131"/>
      <c r="BK529" s="131"/>
      <c r="BL529" s="131"/>
      <c r="BM529" s="131"/>
      <c r="BN529" s="131"/>
      <c r="BO529" s="131"/>
      <c r="BP529" s="131"/>
      <c r="BQ529" s="131"/>
      <c r="BR529" s="131"/>
      <c r="BS529" s="131"/>
      <c r="BT529" s="131"/>
      <c r="BU529" s="131"/>
      <c r="BV529" s="131"/>
      <c r="BW529" s="131"/>
      <c r="BX529" s="131"/>
      <c r="BY529" s="131"/>
      <c r="BZ529" s="131"/>
      <c r="CA529" s="131"/>
      <c r="CB529" s="131"/>
      <c r="CC529" s="131"/>
      <c r="CD529" s="131"/>
      <c r="CE529" s="131"/>
      <c r="CF529" s="131"/>
      <c r="CG529" s="131"/>
      <c r="CH529" s="131"/>
      <c r="CI529" s="131"/>
      <c r="CJ529" s="131"/>
      <c r="CK529" s="131"/>
      <c r="CL529" s="131"/>
      <c r="CM529" s="131"/>
      <c r="CN529" s="131"/>
      <c r="CO529" s="131"/>
      <c r="CP529" s="131"/>
      <c r="CQ529" s="131"/>
      <c r="CR529" s="131"/>
      <c r="CS529" s="131"/>
      <c r="CT529" s="131"/>
      <c r="CU529" s="131"/>
      <c r="CV529" s="131"/>
      <c r="CW529" s="131"/>
      <c r="CX529" s="131"/>
      <c r="CY529" s="131"/>
      <c r="CZ529" s="131"/>
      <c r="DA529" s="131"/>
      <c r="DB529" s="131"/>
      <c r="DC529" s="131"/>
      <c r="DD529" s="131"/>
      <c r="DE529" s="131"/>
      <c r="DF529" s="131"/>
      <c r="DG529" s="131"/>
      <c r="DH529" s="131"/>
      <c r="DI529" s="131"/>
      <c r="DJ529" s="131"/>
      <c r="DK529" s="131"/>
      <c r="DL529" s="131"/>
      <c r="DM529" s="131"/>
      <c r="DN529" s="131"/>
      <c r="DO529" s="131"/>
      <c r="DP529" s="131"/>
      <c r="DQ529" s="131"/>
      <c r="DR529" s="131"/>
      <c r="DS529" s="131"/>
      <c r="DT529" s="131"/>
      <c r="DU529" s="131"/>
      <c r="DV529" s="131"/>
      <c r="DW529" s="131"/>
      <c r="DX529" s="131"/>
      <c r="DY529" s="131"/>
      <c r="DZ529" s="131"/>
      <c r="EA529" s="131"/>
      <c r="EB529" s="131"/>
      <c r="EC529" s="131"/>
      <c r="ED529" s="131"/>
      <c r="EE529" s="131"/>
      <c r="EF529" s="131"/>
      <c r="EG529" s="131"/>
      <c r="EH529" s="131"/>
      <c r="EI529" s="131"/>
      <c r="EJ529" s="131"/>
      <c r="EK529" s="131"/>
      <c r="EL529" s="131"/>
      <c r="EM529" s="131"/>
      <c r="EN529" s="131"/>
      <c r="EO529" s="131"/>
      <c r="EP529" s="131"/>
      <c r="EQ529" s="131"/>
      <c r="ER529" s="131"/>
      <c r="ES529" s="131"/>
      <c r="ET529" s="131"/>
      <c r="EU529" s="131"/>
      <c r="EV529" s="131"/>
      <c r="EW529" s="131"/>
      <c r="EX529" s="131"/>
      <c r="EY529" s="131"/>
      <c r="EZ529" s="131"/>
      <c r="FA529" s="131"/>
      <c r="FB529" s="131"/>
      <c r="FC529" s="131"/>
      <c r="FD529" s="131"/>
      <c r="FE529" s="131"/>
      <c r="FF529" s="131"/>
      <c r="FG529" s="131"/>
      <c r="FH529" s="131"/>
      <c r="FI529" s="131"/>
      <c r="FJ529" s="131"/>
      <c r="FK529" s="131"/>
      <c r="FL529" s="131"/>
      <c r="FM529" s="131"/>
      <c r="FN529" s="131"/>
      <c r="FO529" s="131"/>
      <c r="FP529" s="131"/>
      <c r="FQ529" s="131"/>
      <c r="FR529" s="131"/>
      <c r="FS529" s="131"/>
      <c r="FT529" s="131"/>
      <c r="FU529" s="131"/>
      <c r="FV529" s="131"/>
      <c r="FW529" s="131"/>
      <c r="FX529" s="131"/>
      <c r="FY529" s="131"/>
      <c r="FZ529" s="131"/>
      <c r="GA529" s="131"/>
      <c r="GB529" s="131"/>
      <c r="GC529" s="131"/>
      <c r="GD529" s="131"/>
      <c r="GE529" s="131"/>
      <c r="GF529" s="131"/>
      <c r="GG529" s="131"/>
      <c r="GH529" s="131"/>
      <c r="GI529" s="131"/>
      <c r="GJ529" s="131"/>
      <c r="GK529" s="131"/>
      <c r="GL529" s="131"/>
      <c r="GM529" s="131"/>
      <c r="GN529" s="131"/>
      <c r="GO529" s="131"/>
      <c r="GP529" s="131"/>
      <c r="GQ529" s="131"/>
      <c r="GR529" s="131"/>
      <c r="GS529" s="131"/>
      <c r="GT529" s="131"/>
      <c r="GU529" s="131"/>
      <c r="GV529" s="131"/>
      <c r="GW529" s="131"/>
      <c r="GX529" s="131"/>
      <c r="GY529" s="131"/>
      <c r="GZ529" s="131"/>
      <c r="HA529" s="131"/>
      <c r="HB529" s="131"/>
      <c r="HC529" s="131"/>
      <c r="HD529" s="131"/>
      <c r="HE529" s="131"/>
      <c r="HF529" s="131"/>
      <c r="HG529" s="131"/>
      <c r="HH529" s="131"/>
      <c r="HI529" s="131"/>
      <c r="HJ529" s="131"/>
      <c r="HK529" s="131"/>
      <c r="HL529" s="131"/>
      <c r="HM529" s="131"/>
      <c r="HN529" s="131"/>
      <c r="HO529" s="131"/>
      <c r="HP529" s="131"/>
      <c r="HQ529" s="131"/>
      <c r="HR529" s="131"/>
      <c r="HS529" s="131"/>
      <c r="HT529" s="131"/>
      <c r="HU529" s="131"/>
      <c r="HV529" s="131"/>
      <c r="HW529" s="131"/>
      <c r="HX529" s="131"/>
      <c r="HY529" s="131"/>
      <c r="HZ529" s="131"/>
      <c r="IA529" s="131"/>
      <c r="IB529" s="131"/>
      <c r="IC529" s="131"/>
      <c r="ID529" s="131"/>
      <c r="IE529" s="131"/>
      <c r="IF529" s="131"/>
      <c r="IG529" s="131"/>
      <c r="IH529" s="131"/>
      <c r="II529" s="131"/>
      <c r="IJ529" s="131"/>
      <c r="IK529" s="131"/>
      <c r="IL529" s="131"/>
      <c r="IM529" s="131"/>
      <c r="IN529" s="131"/>
      <c r="IO529" s="131"/>
      <c r="IP529" s="131"/>
      <c r="IQ529" s="131"/>
      <c r="IR529" s="131"/>
      <c r="IS529" s="131"/>
      <c r="IT529" s="131"/>
      <c r="IU529" s="131"/>
      <c r="IV529" s="131" t="s">
        <v>2656</v>
      </c>
    </row>
    <row r="530" spans="1:256" s="13" customFormat="1" ht="38.25" customHeight="1">
      <c r="A530" s="21" t="s">
        <v>1</v>
      </c>
      <c r="B530" s="246" t="s">
        <v>34</v>
      </c>
      <c r="C530" s="246" t="s">
        <v>25</v>
      </c>
      <c r="D530" s="246" t="s">
        <v>1015</v>
      </c>
      <c r="E530" s="246" t="s">
        <v>138</v>
      </c>
      <c r="F530" s="21" t="s">
        <v>2657</v>
      </c>
      <c r="G530" s="246" t="s">
        <v>197</v>
      </c>
      <c r="H530" s="21">
        <v>236220</v>
      </c>
      <c r="I530" s="21" t="s">
        <v>28</v>
      </c>
      <c r="J530" s="21" t="s">
        <v>109</v>
      </c>
      <c r="K530" s="21" t="s">
        <v>1974</v>
      </c>
      <c r="L530" s="21" t="s">
        <v>1974</v>
      </c>
      <c r="M530" s="22">
        <v>500000</v>
      </c>
      <c r="N530" s="22">
        <v>1000000</v>
      </c>
      <c r="O530" s="21" t="s">
        <v>20</v>
      </c>
      <c r="P530" s="21" t="s">
        <v>278</v>
      </c>
      <c r="Q530" s="21" t="s">
        <v>279</v>
      </c>
      <c r="R530" s="21" t="s">
        <v>278</v>
      </c>
      <c r="S530" s="74">
        <v>2013</v>
      </c>
      <c r="T530" s="21" t="s">
        <v>1017</v>
      </c>
      <c r="U530" s="21" t="s">
        <v>1018</v>
      </c>
      <c r="V530" s="21" t="s">
        <v>1019</v>
      </c>
      <c r="W530" s="21" t="s">
        <v>66</v>
      </c>
      <c r="X530" s="246" t="s">
        <v>2658</v>
      </c>
      <c r="Y530" s="130"/>
      <c r="Z530" s="130"/>
      <c r="AA530" s="130"/>
      <c r="AB530" s="130"/>
      <c r="AC530" s="130"/>
      <c r="AD530" s="131"/>
      <c r="AE530" s="131"/>
      <c r="AF530" s="131"/>
      <c r="AG530" s="131"/>
      <c r="AH530" s="131"/>
      <c r="AI530" s="131"/>
      <c r="AJ530" s="131"/>
      <c r="AK530" s="131"/>
      <c r="AL530" s="131"/>
      <c r="AM530" s="131"/>
      <c r="AN530" s="131"/>
      <c r="AO530" s="131"/>
      <c r="AP530" s="131"/>
      <c r="AQ530" s="131"/>
      <c r="AR530" s="131"/>
      <c r="AS530" s="131"/>
      <c r="AT530" s="131"/>
      <c r="AU530" s="131"/>
      <c r="AV530" s="131"/>
      <c r="AW530" s="131"/>
      <c r="AX530" s="131"/>
      <c r="AY530" s="131"/>
      <c r="AZ530" s="131"/>
      <c r="BA530" s="131"/>
      <c r="BB530" s="131"/>
      <c r="BC530" s="131"/>
      <c r="BD530" s="131"/>
      <c r="BE530" s="131"/>
      <c r="BF530" s="131"/>
      <c r="BG530" s="131"/>
      <c r="BH530" s="131"/>
      <c r="BI530" s="131"/>
      <c r="BJ530" s="131"/>
      <c r="BK530" s="131"/>
      <c r="BL530" s="131"/>
      <c r="BM530" s="131"/>
      <c r="BN530" s="131"/>
      <c r="BO530" s="131"/>
      <c r="BP530" s="131"/>
      <c r="BQ530" s="131"/>
      <c r="BR530" s="131"/>
      <c r="BS530" s="131"/>
      <c r="BT530" s="131"/>
      <c r="BU530" s="131"/>
      <c r="BV530" s="131"/>
      <c r="BW530" s="131"/>
      <c r="BX530" s="131"/>
      <c r="BY530" s="131"/>
      <c r="BZ530" s="131"/>
      <c r="CA530" s="131"/>
      <c r="CB530" s="131"/>
      <c r="CC530" s="131"/>
      <c r="CD530" s="131"/>
      <c r="CE530" s="131"/>
      <c r="CF530" s="131"/>
      <c r="CG530" s="131"/>
      <c r="CH530" s="131"/>
      <c r="CI530" s="131"/>
      <c r="CJ530" s="131"/>
      <c r="CK530" s="131"/>
      <c r="CL530" s="131"/>
      <c r="CM530" s="131"/>
      <c r="CN530" s="131"/>
      <c r="CO530" s="131"/>
      <c r="CP530" s="131"/>
      <c r="CQ530" s="131"/>
      <c r="CR530" s="131"/>
      <c r="CS530" s="131"/>
      <c r="CT530" s="131"/>
      <c r="CU530" s="131"/>
      <c r="CV530" s="131"/>
      <c r="CW530" s="131"/>
      <c r="CX530" s="131"/>
      <c r="CY530" s="131"/>
      <c r="CZ530" s="131"/>
      <c r="DA530" s="131"/>
      <c r="DB530" s="131"/>
      <c r="DC530" s="131"/>
      <c r="DD530" s="131"/>
      <c r="DE530" s="131"/>
      <c r="DF530" s="131"/>
      <c r="DG530" s="131"/>
      <c r="DH530" s="131"/>
      <c r="DI530" s="131"/>
      <c r="DJ530" s="131"/>
      <c r="DK530" s="131"/>
      <c r="DL530" s="131"/>
      <c r="DM530" s="131"/>
      <c r="DN530" s="131"/>
      <c r="DO530" s="131"/>
      <c r="DP530" s="131"/>
      <c r="DQ530" s="131"/>
      <c r="DR530" s="131"/>
      <c r="DS530" s="131"/>
      <c r="DT530" s="131"/>
      <c r="DU530" s="131"/>
      <c r="DV530" s="131"/>
      <c r="DW530" s="131"/>
      <c r="DX530" s="131"/>
      <c r="DY530" s="131"/>
      <c r="DZ530" s="131"/>
      <c r="EA530" s="131"/>
      <c r="EB530" s="131"/>
      <c r="EC530" s="131"/>
      <c r="ED530" s="131"/>
      <c r="EE530" s="131"/>
      <c r="EF530" s="131"/>
      <c r="EG530" s="131"/>
      <c r="EH530" s="131"/>
      <c r="EI530" s="131"/>
      <c r="EJ530" s="131"/>
      <c r="EK530" s="131"/>
      <c r="EL530" s="131"/>
      <c r="EM530" s="131"/>
      <c r="EN530" s="131"/>
      <c r="EO530" s="131"/>
      <c r="EP530" s="131"/>
      <c r="EQ530" s="131"/>
      <c r="ER530" s="131"/>
      <c r="ES530" s="131"/>
      <c r="ET530" s="131"/>
      <c r="EU530" s="131"/>
      <c r="EV530" s="131"/>
      <c r="EW530" s="131"/>
      <c r="EX530" s="131"/>
      <c r="EY530" s="131"/>
      <c r="EZ530" s="131"/>
      <c r="FA530" s="131"/>
      <c r="FB530" s="131"/>
      <c r="FC530" s="131"/>
      <c r="FD530" s="131"/>
      <c r="FE530" s="131"/>
      <c r="FF530" s="131"/>
      <c r="FG530" s="131"/>
      <c r="FH530" s="131"/>
      <c r="FI530" s="131"/>
      <c r="FJ530" s="131"/>
      <c r="FK530" s="131"/>
      <c r="FL530" s="131"/>
      <c r="FM530" s="131"/>
      <c r="FN530" s="131"/>
      <c r="FO530" s="131"/>
      <c r="FP530" s="131"/>
      <c r="FQ530" s="131"/>
      <c r="FR530" s="131"/>
      <c r="FS530" s="131"/>
      <c r="FT530" s="131"/>
      <c r="FU530" s="131"/>
      <c r="FV530" s="131"/>
      <c r="FW530" s="131"/>
      <c r="FX530" s="131"/>
      <c r="FY530" s="131"/>
      <c r="FZ530" s="131"/>
      <c r="GA530" s="131"/>
      <c r="GB530" s="131"/>
      <c r="GC530" s="131"/>
      <c r="GD530" s="131"/>
      <c r="GE530" s="131"/>
      <c r="GF530" s="131"/>
      <c r="GG530" s="131"/>
      <c r="GH530" s="131"/>
      <c r="GI530" s="131"/>
      <c r="GJ530" s="131"/>
      <c r="GK530" s="131"/>
      <c r="GL530" s="131"/>
      <c r="GM530" s="131"/>
      <c r="GN530" s="131"/>
      <c r="GO530" s="131"/>
      <c r="GP530" s="131"/>
      <c r="GQ530" s="131"/>
      <c r="GR530" s="131"/>
      <c r="GS530" s="131"/>
      <c r="GT530" s="131"/>
      <c r="GU530" s="131"/>
      <c r="GV530" s="131"/>
      <c r="GW530" s="131"/>
      <c r="GX530" s="131"/>
      <c r="GY530" s="131"/>
      <c r="GZ530" s="131"/>
      <c r="HA530" s="131"/>
      <c r="HB530" s="131"/>
      <c r="HC530" s="131"/>
      <c r="HD530" s="131"/>
      <c r="HE530" s="131"/>
      <c r="HF530" s="131"/>
      <c r="HG530" s="131"/>
      <c r="HH530" s="131"/>
      <c r="HI530" s="131"/>
      <c r="HJ530" s="131"/>
      <c r="HK530" s="131"/>
      <c r="HL530" s="131"/>
      <c r="HM530" s="131"/>
      <c r="HN530" s="131"/>
      <c r="HO530" s="131"/>
      <c r="HP530" s="131"/>
      <c r="HQ530" s="131"/>
      <c r="HR530" s="131"/>
      <c r="HS530" s="131"/>
      <c r="HT530" s="131"/>
      <c r="HU530" s="131"/>
      <c r="HV530" s="131"/>
      <c r="HW530" s="131"/>
      <c r="HX530" s="131"/>
      <c r="HY530" s="131"/>
      <c r="HZ530" s="131"/>
      <c r="IA530" s="131"/>
      <c r="IB530" s="131"/>
      <c r="IC530" s="131"/>
      <c r="ID530" s="131"/>
      <c r="IE530" s="131"/>
      <c r="IF530" s="131"/>
      <c r="IG530" s="131"/>
      <c r="IH530" s="131"/>
      <c r="II530" s="131"/>
      <c r="IJ530" s="131"/>
      <c r="IK530" s="131"/>
      <c r="IL530" s="131"/>
      <c r="IM530" s="131"/>
      <c r="IN530" s="131"/>
      <c r="IO530" s="131"/>
      <c r="IP530" s="131"/>
      <c r="IQ530" s="131"/>
      <c r="IR530" s="131"/>
      <c r="IS530" s="131"/>
      <c r="IT530" s="131"/>
      <c r="IU530" s="131"/>
      <c r="IV530" s="131" t="s">
        <v>2656</v>
      </c>
    </row>
    <row r="531" spans="1:256" s="13" customFormat="1" ht="38.25" customHeight="1">
      <c r="A531" s="21" t="s">
        <v>1</v>
      </c>
      <c r="B531" s="246" t="s">
        <v>34</v>
      </c>
      <c r="C531" s="246" t="s">
        <v>25</v>
      </c>
      <c r="D531" s="246" t="s">
        <v>1020</v>
      </c>
      <c r="E531" s="246" t="s">
        <v>138</v>
      </c>
      <c r="F531" s="21" t="s">
        <v>2657</v>
      </c>
      <c r="G531" s="246" t="s">
        <v>197</v>
      </c>
      <c r="H531" s="21">
        <v>236220</v>
      </c>
      <c r="I531" s="21" t="s">
        <v>28</v>
      </c>
      <c r="J531" s="21" t="s">
        <v>109</v>
      </c>
      <c r="K531" s="21" t="s">
        <v>1974</v>
      </c>
      <c r="L531" s="21" t="s">
        <v>1974</v>
      </c>
      <c r="M531" s="22">
        <v>25000</v>
      </c>
      <c r="N531" s="22">
        <v>100000</v>
      </c>
      <c r="O531" s="21" t="s">
        <v>20</v>
      </c>
      <c r="P531" s="21" t="s">
        <v>278</v>
      </c>
      <c r="Q531" s="21" t="s">
        <v>279</v>
      </c>
      <c r="R531" s="21" t="s">
        <v>278</v>
      </c>
      <c r="S531" s="74">
        <v>2013</v>
      </c>
      <c r="T531" s="21" t="s">
        <v>1017</v>
      </c>
      <c r="U531" s="21" t="s">
        <v>1018</v>
      </c>
      <c r="V531" s="21" t="s">
        <v>1019</v>
      </c>
      <c r="W531" s="21" t="s">
        <v>66</v>
      </c>
      <c r="X531" s="246" t="s">
        <v>2659</v>
      </c>
      <c r="Y531" s="130"/>
      <c r="Z531" s="130"/>
      <c r="AA531" s="130"/>
      <c r="AB531" s="130"/>
      <c r="AC531" s="130"/>
      <c r="AD531" s="131"/>
      <c r="AE531" s="131"/>
      <c r="AF531" s="131"/>
      <c r="AG531" s="131"/>
      <c r="AH531" s="131"/>
      <c r="AI531" s="131"/>
      <c r="AJ531" s="131"/>
      <c r="AK531" s="131"/>
      <c r="AL531" s="131"/>
      <c r="AM531" s="131"/>
      <c r="AN531" s="131"/>
      <c r="AO531" s="131"/>
      <c r="AP531" s="131"/>
      <c r="AQ531" s="131"/>
      <c r="AR531" s="131"/>
      <c r="AS531" s="131"/>
      <c r="AT531" s="131"/>
      <c r="AU531" s="131"/>
      <c r="AV531" s="131"/>
      <c r="AW531" s="131"/>
      <c r="AX531" s="131"/>
      <c r="AY531" s="131"/>
      <c r="AZ531" s="131"/>
      <c r="BA531" s="131"/>
      <c r="BB531" s="131"/>
      <c r="BC531" s="131"/>
      <c r="BD531" s="131"/>
      <c r="BE531" s="131"/>
      <c r="BF531" s="131"/>
      <c r="BG531" s="131"/>
      <c r="BH531" s="131"/>
      <c r="BI531" s="131"/>
      <c r="BJ531" s="131"/>
      <c r="BK531" s="131"/>
      <c r="BL531" s="131"/>
      <c r="BM531" s="131"/>
      <c r="BN531" s="131"/>
      <c r="BO531" s="131"/>
      <c r="BP531" s="131"/>
      <c r="BQ531" s="131"/>
      <c r="BR531" s="131"/>
      <c r="BS531" s="131"/>
      <c r="BT531" s="131"/>
      <c r="BU531" s="131"/>
      <c r="BV531" s="131"/>
      <c r="BW531" s="131"/>
      <c r="BX531" s="131"/>
      <c r="BY531" s="131"/>
      <c r="BZ531" s="131"/>
      <c r="CA531" s="131"/>
      <c r="CB531" s="131"/>
      <c r="CC531" s="131"/>
      <c r="CD531" s="131"/>
      <c r="CE531" s="131"/>
      <c r="CF531" s="131"/>
      <c r="CG531" s="131"/>
      <c r="CH531" s="131"/>
      <c r="CI531" s="131"/>
      <c r="CJ531" s="131"/>
      <c r="CK531" s="131"/>
      <c r="CL531" s="131"/>
      <c r="CM531" s="131"/>
      <c r="CN531" s="131"/>
      <c r="CO531" s="131"/>
      <c r="CP531" s="131"/>
      <c r="CQ531" s="131"/>
      <c r="CR531" s="131"/>
      <c r="CS531" s="131"/>
      <c r="CT531" s="131"/>
      <c r="CU531" s="131"/>
      <c r="CV531" s="131"/>
      <c r="CW531" s="131"/>
      <c r="CX531" s="131"/>
      <c r="CY531" s="131"/>
      <c r="CZ531" s="131"/>
      <c r="DA531" s="131"/>
      <c r="DB531" s="131"/>
      <c r="DC531" s="131"/>
      <c r="DD531" s="131"/>
      <c r="DE531" s="131"/>
      <c r="DF531" s="131"/>
      <c r="DG531" s="131"/>
      <c r="DH531" s="131"/>
      <c r="DI531" s="131"/>
      <c r="DJ531" s="131"/>
      <c r="DK531" s="131"/>
      <c r="DL531" s="131"/>
      <c r="DM531" s="131"/>
      <c r="DN531" s="131"/>
      <c r="DO531" s="131"/>
      <c r="DP531" s="131"/>
      <c r="DQ531" s="131"/>
      <c r="DR531" s="131"/>
      <c r="DS531" s="131"/>
      <c r="DT531" s="131"/>
      <c r="DU531" s="131"/>
      <c r="DV531" s="131"/>
      <c r="DW531" s="131"/>
      <c r="DX531" s="131"/>
      <c r="DY531" s="131"/>
      <c r="DZ531" s="131"/>
      <c r="EA531" s="131"/>
      <c r="EB531" s="131"/>
      <c r="EC531" s="131"/>
      <c r="ED531" s="131"/>
      <c r="EE531" s="131"/>
      <c r="EF531" s="131"/>
      <c r="EG531" s="131"/>
      <c r="EH531" s="131"/>
      <c r="EI531" s="131"/>
      <c r="EJ531" s="131"/>
      <c r="EK531" s="131"/>
      <c r="EL531" s="131"/>
      <c r="EM531" s="131"/>
      <c r="EN531" s="131"/>
      <c r="EO531" s="131"/>
      <c r="EP531" s="131"/>
      <c r="EQ531" s="131"/>
      <c r="ER531" s="131"/>
      <c r="ES531" s="131"/>
      <c r="ET531" s="131"/>
      <c r="EU531" s="131"/>
      <c r="EV531" s="131"/>
      <c r="EW531" s="131"/>
      <c r="EX531" s="131"/>
      <c r="EY531" s="131"/>
      <c r="EZ531" s="131"/>
      <c r="FA531" s="131"/>
      <c r="FB531" s="131"/>
      <c r="FC531" s="131"/>
      <c r="FD531" s="131"/>
      <c r="FE531" s="131"/>
      <c r="FF531" s="131"/>
      <c r="FG531" s="131"/>
      <c r="FH531" s="131"/>
      <c r="FI531" s="131"/>
      <c r="FJ531" s="131"/>
      <c r="FK531" s="131"/>
      <c r="FL531" s="131"/>
      <c r="FM531" s="131"/>
      <c r="FN531" s="131"/>
      <c r="FO531" s="131"/>
      <c r="FP531" s="131"/>
      <c r="FQ531" s="131"/>
      <c r="FR531" s="131"/>
      <c r="FS531" s="131"/>
      <c r="FT531" s="131"/>
      <c r="FU531" s="131"/>
      <c r="FV531" s="131"/>
      <c r="FW531" s="131"/>
      <c r="FX531" s="131"/>
      <c r="FY531" s="131"/>
      <c r="FZ531" s="131"/>
      <c r="GA531" s="131"/>
      <c r="GB531" s="131"/>
      <c r="GC531" s="131"/>
      <c r="GD531" s="131"/>
      <c r="GE531" s="131"/>
      <c r="GF531" s="131"/>
      <c r="GG531" s="131"/>
      <c r="GH531" s="131"/>
      <c r="GI531" s="131"/>
      <c r="GJ531" s="131"/>
      <c r="GK531" s="131"/>
      <c r="GL531" s="131"/>
      <c r="GM531" s="131"/>
      <c r="GN531" s="131"/>
      <c r="GO531" s="131"/>
      <c r="GP531" s="131"/>
      <c r="GQ531" s="131"/>
      <c r="GR531" s="131"/>
      <c r="GS531" s="131"/>
      <c r="GT531" s="131"/>
      <c r="GU531" s="131"/>
      <c r="GV531" s="131"/>
      <c r="GW531" s="131"/>
      <c r="GX531" s="131"/>
      <c r="GY531" s="131"/>
      <c r="GZ531" s="131"/>
      <c r="HA531" s="131"/>
      <c r="HB531" s="131"/>
      <c r="HC531" s="131"/>
      <c r="HD531" s="131"/>
      <c r="HE531" s="131"/>
      <c r="HF531" s="131"/>
      <c r="HG531" s="131"/>
      <c r="HH531" s="131"/>
      <c r="HI531" s="131"/>
      <c r="HJ531" s="131"/>
      <c r="HK531" s="131"/>
      <c r="HL531" s="131"/>
      <c r="HM531" s="131"/>
      <c r="HN531" s="131"/>
      <c r="HO531" s="131"/>
      <c r="HP531" s="131"/>
      <c r="HQ531" s="131"/>
      <c r="HR531" s="131"/>
      <c r="HS531" s="131"/>
      <c r="HT531" s="131"/>
      <c r="HU531" s="131"/>
      <c r="HV531" s="131"/>
      <c r="HW531" s="131"/>
      <c r="HX531" s="131"/>
      <c r="HY531" s="131"/>
      <c r="HZ531" s="131"/>
      <c r="IA531" s="131"/>
      <c r="IB531" s="131"/>
      <c r="IC531" s="131"/>
      <c r="ID531" s="131"/>
      <c r="IE531" s="131"/>
      <c r="IF531" s="131"/>
      <c r="IG531" s="131"/>
      <c r="IH531" s="131"/>
      <c r="II531" s="131"/>
      <c r="IJ531" s="131"/>
      <c r="IK531" s="131"/>
      <c r="IL531" s="131"/>
      <c r="IM531" s="131"/>
      <c r="IN531" s="131"/>
      <c r="IO531" s="131"/>
      <c r="IP531" s="131"/>
      <c r="IQ531" s="131"/>
      <c r="IR531" s="131"/>
      <c r="IS531" s="131"/>
      <c r="IT531" s="131"/>
      <c r="IU531" s="131"/>
      <c r="IV531" s="131"/>
    </row>
    <row r="532" spans="1:256" s="13" customFormat="1" ht="38.25" customHeight="1">
      <c r="A532" s="21" t="s">
        <v>1</v>
      </c>
      <c r="B532" s="246" t="s">
        <v>34</v>
      </c>
      <c r="C532" s="246" t="s">
        <v>25</v>
      </c>
      <c r="D532" s="246" t="s">
        <v>1021</v>
      </c>
      <c r="E532" s="246" t="s">
        <v>138</v>
      </c>
      <c r="F532" s="21" t="s">
        <v>2657</v>
      </c>
      <c r="G532" s="246" t="s">
        <v>197</v>
      </c>
      <c r="H532" s="21">
        <v>236220</v>
      </c>
      <c r="I532" s="21" t="s">
        <v>28</v>
      </c>
      <c r="J532" s="21" t="s">
        <v>109</v>
      </c>
      <c r="K532" s="21" t="s">
        <v>1974</v>
      </c>
      <c r="L532" s="21" t="s">
        <v>1974</v>
      </c>
      <c r="M532" s="22">
        <v>25000</v>
      </c>
      <c r="N532" s="22">
        <v>100000</v>
      </c>
      <c r="O532" s="21" t="s">
        <v>20</v>
      </c>
      <c r="P532" s="21" t="s">
        <v>278</v>
      </c>
      <c r="Q532" s="21" t="s">
        <v>279</v>
      </c>
      <c r="R532" s="21" t="s">
        <v>278</v>
      </c>
      <c r="S532" s="74">
        <v>2013</v>
      </c>
      <c r="T532" s="21" t="s">
        <v>1017</v>
      </c>
      <c r="U532" s="21" t="s">
        <v>1018</v>
      </c>
      <c r="V532" s="21" t="s">
        <v>1019</v>
      </c>
      <c r="W532" s="21" t="s">
        <v>66</v>
      </c>
      <c r="X532" s="246" t="s">
        <v>2659</v>
      </c>
      <c r="Y532" s="130"/>
      <c r="Z532" s="130"/>
      <c r="AA532" s="130"/>
      <c r="AB532" s="130"/>
      <c r="AC532" s="130"/>
      <c r="AD532" s="131"/>
      <c r="AE532" s="131"/>
      <c r="AF532" s="131"/>
      <c r="AG532" s="131"/>
      <c r="AH532" s="131"/>
      <c r="AI532" s="131"/>
      <c r="AJ532" s="131"/>
      <c r="AK532" s="131"/>
      <c r="AL532" s="131"/>
      <c r="AM532" s="131"/>
      <c r="AN532" s="131"/>
      <c r="AO532" s="131"/>
      <c r="AP532" s="131"/>
      <c r="AQ532" s="131"/>
      <c r="AR532" s="131"/>
      <c r="AS532" s="131"/>
      <c r="AT532" s="131"/>
      <c r="AU532" s="131"/>
      <c r="AV532" s="131"/>
      <c r="AW532" s="131"/>
      <c r="AX532" s="131"/>
      <c r="AY532" s="131"/>
      <c r="AZ532" s="131"/>
      <c r="BA532" s="131"/>
      <c r="BB532" s="131"/>
      <c r="BC532" s="131"/>
      <c r="BD532" s="131"/>
      <c r="BE532" s="131"/>
      <c r="BF532" s="131"/>
      <c r="BG532" s="131"/>
      <c r="BH532" s="131"/>
      <c r="BI532" s="131"/>
      <c r="BJ532" s="131"/>
      <c r="BK532" s="131"/>
      <c r="BL532" s="131"/>
      <c r="BM532" s="131"/>
      <c r="BN532" s="131"/>
      <c r="BO532" s="131"/>
      <c r="BP532" s="131"/>
      <c r="BQ532" s="131"/>
      <c r="BR532" s="131"/>
      <c r="BS532" s="131"/>
      <c r="BT532" s="131"/>
      <c r="BU532" s="131"/>
      <c r="BV532" s="131"/>
      <c r="BW532" s="131"/>
      <c r="BX532" s="131"/>
      <c r="BY532" s="131"/>
      <c r="BZ532" s="131"/>
      <c r="CA532" s="131"/>
      <c r="CB532" s="131"/>
      <c r="CC532" s="131"/>
      <c r="CD532" s="131"/>
      <c r="CE532" s="131"/>
      <c r="CF532" s="131"/>
      <c r="CG532" s="131"/>
      <c r="CH532" s="131"/>
      <c r="CI532" s="131"/>
      <c r="CJ532" s="131"/>
      <c r="CK532" s="131"/>
      <c r="CL532" s="131"/>
      <c r="CM532" s="131"/>
      <c r="CN532" s="131"/>
      <c r="CO532" s="131"/>
      <c r="CP532" s="131"/>
      <c r="CQ532" s="131"/>
      <c r="CR532" s="131"/>
      <c r="CS532" s="131"/>
      <c r="CT532" s="131"/>
      <c r="CU532" s="131"/>
      <c r="CV532" s="131"/>
      <c r="CW532" s="131"/>
      <c r="CX532" s="131"/>
      <c r="CY532" s="131"/>
      <c r="CZ532" s="131"/>
      <c r="DA532" s="131"/>
      <c r="DB532" s="131"/>
      <c r="DC532" s="131"/>
      <c r="DD532" s="131"/>
      <c r="DE532" s="131"/>
      <c r="DF532" s="131"/>
      <c r="DG532" s="131"/>
      <c r="DH532" s="131"/>
      <c r="DI532" s="131"/>
      <c r="DJ532" s="131"/>
      <c r="DK532" s="131"/>
      <c r="DL532" s="131"/>
      <c r="DM532" s="131"/>
      <c r="DN532" s="131"/>
      <c r="DO532" s="131"/>
      <c r="DP532" s="131"/>
      <c r="DQ532" s="131"/>
      <c r="DR532" s="131"/>
      <c r="DS532" s="131"/>
      <c r="DT532" s="131"/>
      <c r="DU532" s="131"/>
      <c r="DV532" s="131"/>
      <c r="DW532" s="131"/>
      <c r="DX532" s="131"/>
      <c r="DY532" s="131"/>
      <c r="DZ532" s="131"/>
      <c r="EA532" s="131"/>
      <c r="EB532" s="131"/>
      <c r="EC532" s="131"/>
      <c r="ED532" s="131"/>
      <c r="EE532" s="131"/>
      <c r="EF532" s="131"/>
      <c r="EG532" s="131"/>
      <c r="EH532" s="131"/>
      <c r="EI532" s="131"/>
      <c r="EJ532" s="131"/>
      <c r="EK532" s="131"/>
      <c r="EL532" s="131"/>
      <c r="EM532" s="131"/>
      <c r="EN532" s="131"/>
      <c r="EO532" s="131"/>
      <c r="EP532" s="131"/>
      <c r="EQ532" s="131"/>
      <c r="ER532" s="131"/>
      <c r="ES532" s="131"/>
      <c r="ET532" s="131"/>
      <c r="EU532" s="131"/>
      <c r="EV532" s="131"/>
      <c r="EW532" s="131"/>
      <c r="EX532" s="131"/>
      <c r="EY532" s="131"/>
      <c r="EZ532" s="131"/>
      <c r="FA532" s="131"/>
      <c r="FB532" s="131"/>
      <c r="FC532" s="131"/>
      <c r="FD532" s="131"/>
      <c r="FE532" s="131"/>
      <c r="FF532" s="131"/>
      <c r="FG532" s="131"/>
      <c r="FH532" s="131"/>
      <c r="FI532" s="131"/>
      <c r="FJ532" s="131"/>
      <c r="FK532" s="131"/>
      <c r="FL532" s="131"/>
      <c r="FM532" s="131"/>
      <c r="FN532" s="131"/>
      <c r="FO532" s="131"/>
      <c r="FP532" s="131"/>
      <c r="FQ532" s="131"/>
      <c r="FR532" s="131"/>
      <c r="FS532" s="131"/>
      <c r="FT532" s="131"/>
      <c r="FU532" s="131"/>
      <c r="FV532" s="131"/>
      <c r="FW532" s="131"/>
      <c r="FX532" s="131"/>
      <c r="FY532" s="131"/>
      <c r="FZ532" s="131"/>
      <c r="GA532" s="131"/>
      <c r="GB532" s="131"/>
      <c r="GC532" s="131"/>
      <c r="GD532" s="131"/>
      <c r="GE532" s="131"/>
      <c r="GF532" s="131"/>
      <c r="GG532" s="131"/>
      <c r="GH532" s="131"/>
      <c r="GI532" s="131"/>
      <c r="GJ532" s="131"/>
      <c r="GK532" s="131"/>
      <c r="GL532" s="131"/>
      <c r="GM532" s="131"/>
      <c r="GN532" s="131"/>
      <c r="GO532" s="131"/>
      <c r="GP532" s="131"/>
      <c r="GQ532" s="131"/>
      <c r="GR532" s="131"/>
      <c r="GS532" s="131"/>
      <c r="GT532" s="131"/>
      <c r="GU532" s="131"/>
      <c r="GV532" s="131"/>
      <c r="GW532" s="131"/>
      <c r="GX532" s="131"/>
      <c r="GY532" s="131"/>
      <c r="GZ532" s="131"/>
      <c r="HA532" s="131"/>
      <c r="HB532" s="131"/>
      <c r="HC532" s="131"/>
      <c r="HD532" s="131"/>
      <c r="HE532" s="131"/>
      <c r="HF532" s="131"/>
      <c r="HG532" s="131"/>
      <c r="HH532" s="131"/>
      <c r="HI532" s="131"/>
      <c r="HJ532" s="131"/>
      <c r="HK532" s="131"/>
      <c r="HL532" s="131"/>
      <c r="HM532" s="131"/>
      <c r="HN532" s="131"/>
      <c r="HO532" s="131"/>
      <c r="HP532" s="131"/>
      <c r="HQ532" s="131"/>
      <c r="HR532" s="131"/>
      <c r="HS532" s="131"/>
      <c r="HT532" s="131"/>
      <c r="HU532" s="131"/>
      <c r="HV532" s="131"/>
      <c r="HW532" s="131"/>
      <c r="HX532" s="131"/>
      <c r="HY532" s="131"/>
      <c r="HZ532" s="131"/>
      <c r="IA532" s="131"/>
      <c r="IB532" s="131"/>
      <c r="IC532" s="131"/>
      <c r="ID532" s="131"/>
      <c r="IE532" s="131"/>
      <c r="IF532" s="131"/>
      <c r="IG532" s="131"/>
      <c r="IH532" s="131"/>
      <c r="II532" s="131"/>
      <c r="IJ532" s="131"/>
      <c r="IK532" s="131"/>
      <c r="IL532" s="131"/>
      <c r="IM532" s="131"/>
      <c r="IN532" s="131"/>
      <c r="IO532" s="131"/>
      <c r="IP532" s="131"/>
      <c r="IQ532" s="131"/>
      <c r="IR532" s="131"/>
      <c r="IS532" s="131"/>
      <c r="IT532" s="131"/>
      <c r="IU532" s="131"/>
      <c r="IV532" s="131"/>
    </row>
    <row r="533" spans="1:256" s="13" customFormat="1" ht="38.25" customHeight="1">
      <c r="A533" s="21" t="s">
        <v>1</v>
      </c>
      <c r="B533" s="246" t="s">
        <v>34</v>
      </c>
      <c r="C533" s="246" t="s">
        <v>25</v>
      </c>
      <c r="D533" s="246" t="s">
        <v>1022</v>
      </c>
      <c r="E533" s="246" t="s">
        <v>138</v>
      </c>
      <c r="F533" s="21" t="s">
        <v>1016</v>
      </c>
      <c r="G533" s="246" t="s">
        <v>197</v>
      </c>
      <c r="H533" s="21">
        <v>236220</v>
      </c>
      <c r="I533" s="21" t="s">
        <v>28</v>
      </c>
      <c r="J533" s="21" t="s">
        <v>109</v>
      </c>
      <c r="K533" s="21" t="s">
        <v>1974</v>
      </c>
      <c r="L533" s="21" t="s">
        <v>1974</v>
      </c>
      <c r="M533" s="22">
        <v>1000</v>
      </c>
      <c r="N533" s="22">
        <v>25000</v>
      </c>
      <c r="O533" s="21" t="s">
        <v>9</v>
      </c>
      <c r="P533" s="21" t="s">
        <v>278</v>
      </c>
      <c r="Q533" s="21" t="s">
        <v>279</v>
      </c>
      <c r="R533" s="21" t="s">
        <v>278</v>
      </c>
      <c r="S533" s="74">
        <v>2013</v>
      </c>
      <c r="T533" s="21" t="s">
        <v>1017</v>
      </c>
      <c r="U533" s="21" t="s">
        <v>1018</v>
      </c>
      <c r="V533" s="21" t="s">
        <v>1019</v>
      </c>
      <c r="W533" s="21" t="s">
        <v>66</v>
      </c>
      <c r="X533" s="246" t="s">
        <v>2660</v>
      </c>
      <c r="Y533" s="130"/>
      <c r="Z533" s="130"/>
      <c r="AA533" s="130"/>
      <c r="AB533" s="130"/>
      <c r="AC533" s="130"/>
      <c r="AD533" s="131"/>
      <c r="AE533" s="131"/>
      <c r="AF533" s="131"/>
      <c r="AG533" s="131"/>
      <c r="AH533" s="131"/>
      <c r="AI533" s="131"/>
      <c r="AJ533" s="131"/>
      <c r="AK533" s="131"/>
      <c r="AL533" s="131"/>
      <c r="AM533" s="131"/>
      <c r="AN533" s="131"/>
      <c r="AO533" s="131"/>
      <c r="AP533" s="131"/>
      <c r="AQ533" s="131"/>
      <c r="AR533" s="131"/>
      <c r="AS533" s="131"/>
      <c r="AT533" s="131"/>
      <c r="AU533" s="131"/>
      <c r="AV533" s="131"/>
      <c r="AW533" s="131"/>
      <c r="AX533" s="131"/>
      <c r="AY533" s="131"/>
      <c r="AZ533" s="131"/>
      <c r="BA533" s="131"/>
      <c r="BB533" s="131"/>
      <c r="BC533" s="131"/>
      <c r="BD533" s="131"/>
      <c r="BE533" s="131"/>
      <c r="BF533" s="131"/>
      <c r="BG533" s="131"/>
      <c r="BH533" s="131"/>
      <c r="BI533" s="131"/>
      <c r="BJ533" s="131"/>
      <c r="BK533" s="131"/>
      <c r="BL533" s="131"/>
      <c r="BM533" s="131"/>
      <c r="BN533" s="131"/>
      <c r="BO533" s="131"/>
      <c r="BP533" s="131"/>
      <c r="BQ533" s="131"/>
      <c r="BR533" s="131"/>
      <c r="BS533" s="131"/>
      <c r="BT533" s="131"/>
      <c r="BU533" s="131"/>
      <c r="BV533" s="131"/>
      <c r="BW533" s="131"/>
      <c r="BX533" s="131"/>
      <c r="BY533" s="131"/>
      <c r="BZ533" s="131"/>
      <c r="CA533" s="131"/>
      <c r="CB533" s="131"/>
      <c r="CC533" s="131"/>
      <c r="CD533" s="131"/>
      <c r="CE533" s="131"/>
      <c r="CF533" s="131"/>
      <c r="CG533" s="131"/>
      <c r="CH533" s="131"/>
      <c r="CI533" s="131"/>
      <c r="CJ533" s="131"/>
      <c r="CK533" s="131"/>
      <c r="CL533" s="131"/>
      <c r="CM533" s="131"/>
      <c r="CN533" s="131"/>
      <c r="CO533" s="131"/>
      <c r="CP533" s="131"/>
      <c r="CQ533" s="131"/>
      <c r="CR533" s="131"/>
      <c r="CS533" s="131"/>
      <c r="CT533" s="131"/>
      <c r="CU533" s="131"/>
      <c r="CV533" s="131"/>
      <c r="CW533" s="131"/>
      <c r="CX533" s="131"/>
      <c r="CY533" s="131"/>
      <c r="CZ533" s="131"/>
      <c r="DA533" s="131"/>
      <c r="DB533" s="131"/>
      <c r="DC533" s="131"/>
      <c r="DD533" s="131"/>
      <c r="DE533" s="131"/>
      <c r="DF533" s="131"/>
      <c r="DG533" s="131"/>
      <c r="DH533" s="131"/>
      <c r="DI533" s="131"/>
      <c r="DJ533" s="131"/>
      <c r="DK533" s="131"/>
      <c r="DL533" s="131"/>
      <c r="DM533" s="131"/>
      <c r="DN533" s="131"/>
      <c r="DO533" s="131"/>
      <c r="DP533" s="131"/>
      <c r="DQ533" s="131"/>
      <c r="DR533" s="131"/>
      <c r="DS533" s="131"/>
      <c r="DT533" s="131"/>
      <c r="DU533" s="131"/>
      <c r="DV533" s="131"/>
      <c r="DW533" s="131"/>
      <c r="DX533" s="131"/>
      <c r="DY533" s="131"/>
      <c r="DZ533" s="131"/>
      <c r="EA533" s="131"/>
      <c r="EB533" s="131"/>
      <c r="EC533" s="131"/>
      <c r="ED533" s="131"/>
      <c r="EE533" s="131"/>
      <c r="EF533" s="131"/>
      <c r="EG533" s="131"/>
      <c r="EH533" s="131"/>
      <c r="EI533" s="131"/>
      <c r="EJ533" s="131"/>
      <c r="EK533" s="131"/>
      <c r="EL533" s="131"/>
      <c r="EM533" s="131"/>
      <c r="EN533" s="131"/>
      <c r="EO533" s="131"/>
      <c r="EP533" s="131"/>
      <c r="EQ533" s="131"/>
      <c r="ER533" s="131"/>
      <c r="ES533" s="131"/>
      <c r="ET533" s="131"/>
      <c r="EU533" s="131"/>
      <c r="EV533" s="131"/>
      <c r="EW533" s="131"/>
      <c r="EX533" s="131"/>
      <c r="EY533" s="131"/>
      <c r="EZ533" s="131"/>
      <c r="FA533" s="131"/>
      <c r="FB533" s="131"/>
      <c r="FC533" s="131"/>
      <c r="FD533" s="131"/>
      <c r="FE533" s="131"/>
      <c r="FF533" s="131"/>
      <c r="FG533" s="131"/>
      <c r="FH533" s="131"/>
      <c r="FI533" s="131"/>
      <c r="FJ533" s="131"/>
      <c r="FK533" s="131"/>
      <c r="FL533" s="131"/>
      <c r="FM533" s="131"/>
      <c r="FN533" s="131"/>
      <c r="FO533" s="131"/>
      <c r="FP533" s="131"/>
      <c r="FQ533" s="131"/>
      <c r="FR533" s="131"/>
      <c r="FS533" s="131"/>
      <c r="FT533" s="131"/>
      <c r="FU533" s="131"/>
      <c r="FV533" s="131"/>
      <c r="FW533" s="131"/>
      <c r="FX533" s="131"/>
      <c r="FY533" s="131"/>
      <c r="FZ533" s="131"/>
      <c r="GA533" s="131"/>
      <c r="GB533" s="131"/>
      <c r="GC533" s="131"/>
      <c r="GD533" s="131"/>
      <c r="GE533" s="131"/>
      <c r="GF533" s="131"/>
      <c r="GG533" s="131"/>
      <c r="GH533" s="131"/>
      <c r="GI533" s="131"/>
      <c r="GJ533" s="131"/>
      <c r="GK533" s="131"/>
      <c r="GL533" s="131"/>
      <c r="GM533" s="131"/>
      <c r="GN533" s="131"/>
      <c r="GO533" s="131"/>
      <c r="GP533" s="131"/>
      <c r="GQ533" s="131"/>
      <c r="GR533" s="131"/>
      <c r="GS533" s="131"/>
      <c r="GT533" s="131"/>
      <c r="GU533" s="131"/>
      <c r="GV533" s="131"/>
      <c r="GW533" s="131"/>
      <c r="GX533" s="131"/>
      <c r="GY533" s="131"/>
      <c r="GZ533" s="131"/>
      <c r="HA533" s="131"/>
      <c r="HB533" s="131"/>
      <c r="HC533" s="131"/>
      <c r="HD533" s="131"/>
      <c r="HE533" s="131"/>
      <c r="HF533" s="131"/>
      <c r="HG533" s="131"/>
      <c r="HH533" s="131"/>
      <c r="HI533" s="131"/>
      <c r="HJ533" s="131"/>
      <c r="HK533" s="131"/>
      <c r="HL533" s="131"/>
      <c r="HM533" s="131"/>
      <c r="HN533" s="131"/>
      <c r="HO533" s="131"/>
      <c r="HP533" s="131"/>
      <c r="HQ533" s="131"/>
      <c r="HR533" s="131"/>
      <c r="HS533" s="131"/>
      <c r="HT533" s="131"/>
      <c r="HU533" s="131"/>
      <c r="HV533" s="131"/>
      <c r="HW533" s="131"/>
      <c r="HX533" s="131"/>
      <c r="HY533" s="131"/>
      <c r="HZ533" s="131"/>
      <c r="IA533" s="131"/>
      <c r="IB533" s="131"/>
      <c r="IC533" s="131"/>
      <c r="ID533" s="131"/>
      <c r="IE533" s="131"/>
      <c r="IF533" s="131"/>
      <c r="IG533" s="131"/>
      <c r="IH533" s="131"/>
      <c r="II533" s="131"/>
      <c r="IJ533" s="131"/>
      <c r="IK533" s="131"/>
      <c r="IL533" s="131"/>
      <c r="IM533" s="131"/>
      <c r="IN533" s="131"/>
      <c r="IO533" s="131"/>
      <c r="IP533" s="131"/>
      <c r="IQ533" s="131"/>
      <c r="IR533" s="131"/>
      <c r="IS533" s="131"/>
      <c r="IT533" s="131"/>
      <c r="IU533" s="131"/>
      <c r="IV533" s="131"/>
    </row>
    <row r="534" spans="1:256" s="13" customFormat="1" ht="38.25" customHeight="1">
      <c r="A534" s="21" t="s">
        <v>1</v>
      </c>
      <c r="B534" s="246" t="s">
        <v>34</v>
      </c>
      <c r="C534" s="246" t="s">
        <v>25</v>
      </c>
      <c r="D534" s="246" t="s">
        <v>1023</v>
      </c>
      <c r="E534" s="246" t="s">
        <v>138</v>
      </c>
      <c r="F534" s="21" t="s">
        <v>1024</v>
      </c>
      <c r="G534" s="246" t="s">
        <v>98</v>
      </c>
      <c r="H534" s="21">
        <v>236220</v>
      </c>
      <c r="I534" s="21" t="s">
        <v>28</v>
      </c>
      <c r="J534" s="21" t="s">
        <v>109</v>
      </c>
      <c r="K534" s="21" t="s">
        <v>1974</v>
      </c>
      <c r="L534" s="21" t="s">
        <v>1974</v>
      </c>
      <c r="M534" s="22">
        <v>500000</v>
      </c>
      <c r="N534" s="22">
        <v>1000000</v>
      </c>
      <c r="O534" s="21" t="s">
        <v>20</v>
      </c>
      <c r="P534" s="21" t="s">
        <v>278</v>
      </c>
      <c r="Q534" s="21" t="s">
        <v>279</v>
      </c>
      <c r="R534" s="21" t="s">
        <v>278</v>
      </c>
      <c r="S534" s="74">
        <v>2013</v>
      </c>
      <c r="T534" s="21" t="s">
        <v>1025</v>
      </c>
      <c r="U534" s="21" t="s">
        <v>1026</v>
      </c>
      <c r="V534" s="21" t="s">
        <v>1027</v>
      </c>
      <c r="W534" s="21" t="s">
        <v>66</v>
      </c>
      <c r="X534" s="246"/>
      <c r="Y534" s="130"/>
      <c r="Z534" s="130"/>
      <c r="AA534" s="130"/>
      <c r="AB534" s="130"/>
      <c r="AC534" s="130"/>
      <c r="AD534" s="131"/>
      <c r="AE534" s="131"/>
      <c r="AF534" s="131"/>
      <c r="AG534" s="131"/>
      <c r="AH534" s="131"/>
      <c r="AI534" s="131"/>
      <c r="AJ534" s="131"/>
      <c r="AK534" s="131"/>
      <c r="AL534" s="131"/>
      <c r="AM534" s="131"/>
      <c r="AN534" s="131"/>
      <c r="AO534" s="131"/>
      <c r="AP534" s="131"/>
      <c r="AQ534" s="131"/>
      <c r="AR534" s="131"/>
      <c r="AS534" s="131"/>
      <c r="AT534" s="131"/>
      <c r="AU534" s="131"/>
      <c r="AV534" s="131"/>
      <c r="AW534" s="131"/>
      <c r="AX534" s="131"/>
      <c r="AY534" s="131"/>
      <c r="AZ534" s="131"/>
      <c r="BA534" s="131"/>
      <c r="BB534" s="131"/>
      <c r="BC534" s="131"/>
      <c r="BD534" s="131"/>
      <c r="BE534" s="131"/>
      <c r="BF534" s="131"/>
      <c r="BG534" s="131"/>
      <c r="BH534" s="131"/>
      <c r="BI534" s="131"/>
      <c r="BJ534" s="131"/>
      <c r="BK534" s="131"/>
      <c r="BL534" s="131"/>
      <c r="BM534" s="131"/>
      <c r="BN534" s="131"/>
      <c r="BO534" s="131"/>
      <c r="BP534" s="131"/>
      <c r="BQ534" s="131"/>
      <c r="BR534" s="131"/>
      <c r="BS534" s="131"/>
      <c r="BT534" s="131"/>
      <c r="BU534" s="131"/>
      <c r="BV534" s="131"/>
      <c r="BW534" s="131"/>
      <c r="BX534" s="131"/>
      <c r="BY534" s="131"/>
      <c r="BZ534" s="131"/>
      <c r="CA534" s="131"/>
      <c r="CB534" s="131"/>
      <c r="CC534" s="131"/>
      <c r="CD534" s="131"/>
      <c r="CE534" s="131"/>
      <c r="CF534" s="131"/>
      <c r="CG534" s="131"/>
      <c r="CH534" s="131"/>
      <c r="CI534" s="131"/>
      <c r="CJ534" s="131"/>
      <c r="CK534" s="131"/>
      <c r="CL534" s="131"/>
      <c r="CM534" s="131"/>
      <c r="CN534" s="131"/>
      <c r="CO534" s="131"/>
      <c r="CP534" s="131"/>
      <c r="CQ534" s="131"/>
      <c r="CR534" s="131"/>
      <c r="CS534" s="131"/>
      <c r="CT534" s="131"/>
      <c r="CU534" s="131"/>
      <c r="CV534" s="131"/>
      <c r="CW534" s="131"/>
      <c r="CX534" s="131"/>
      <c r="CY534" s="131"/>
      <c r="CZ534" s="131"/>
      <c r="DA534" s="131"/>
      <c r="DB534" s="131"/>
      <c r="DC534" s="131"/>
      <c r="DD534" s="131"/>
      <c r="DE534" s="131"/>
      <c r="DF534" s="131"/>
      <c r="DG534" s="131"/>
      <c r="DH534" s="131"/>
      <c r="DI534" s="131"/>
      <c r="DJ534" s="131"/>
      <c r="DK534" s="131"/>
      <c r="DL534" s="131"/>
      <c r="DM534" s="131"/>
      <c r="DN534" s="131"/>
      <c r="DO534" s="131"/>
      <c r="DP534" s="131"/>
      <c r="DQ534" s="131"/>
      <c r="DR534" s="131"/>
      <c r="DS534" s="131"/>
      <c r="DT534" s="131"/>
      <c r="DU534" s="131"/>
      <c r="DV534" s="131"/>
      <c r="DW534" s="131"/>
      <c r="DX534" s="131"/>
      <c r="DY534" s="131"/>
      <c r="DZ534" s="131"/>
      <c r="EA534" s="131"/>
      <c r="EB534" s="131"/>
      <c r="EC534" s="131"/>
      <c r="ED534" s="131"/>
      <c r="EE534" s="131"/>
      <c r="EF534" s="131"/>
      <c r="EG534" s="131"/>
      <c r="EH534" s="131"/>
      <c r="EI534" s="131"/>
      <c r="EJ534" s="131"/>
      <c r="EK534" s="131"/>
      <c r="EL534" s="131"/>
      <c r="EM534" s="131"/>
      <c r="EN534" s="131"/>
      <c r="EO534" s="131"/>
      <c r="EP534" s="131"/>
      <c r="EQ534" s="131"/>
      <c r="ER534" s="131"/>
      <c r="ES534" s="131"/>
      <c r="ET534" s="131"/>
      <c r="EU534" s="131"/>
      <c r="EV534" s="131"/>
      <c r="EW534" s="131"/>
      <c r="EX534" s="131"/>
      <c r="EY534" s="131"/>
      <c r="EZ534" s="131"/>
      <c r="FA534" s="131"/>
      <c r="FB534" s="131"/>
      <c r="FC534" s="131"/>
      <c r="FD534" s="131"/>
      <c r="FE534" s="131"/>
      <c r="FF534" s="131"/>
      <c r="FG534" s="131"/>
      <c r="FH534" s="131"/>
      <c r="FI534" s="131"/>
      <c r="FJ534" s="131"/>
      <c r="FK534" s="131"/>
      <c r="FL534" s="131"/>
      <c r="FM534" s="131"/>
      <c r="FN534" s="131"/>
      <c r="FO534" s="131"/>
      <c r="FP534" s="131"/>
      <c r="FQ534" s="131"/>
      <c r="FR534" s="131"/>
      <c r="FS534" s="131"/>
      <c r="FT534" s="131"/>
      <c r="FU534" s="131"/>
      <c r="FV534" s="131"/>
      <c r="FW534" s="131"/>
      <c r="FX534" s="131"/>
      <c r="FY534" s="131"/>
      <c r="FZ534" s="131"/>
      <c r="GA534" s="131"/>
      <c r="GB534" s="131"/>
      <c r="GC534" s="131"/>
      <c r="GD534" s="131"/>
      <c r="GE534" s="131"/>
      <c r="GF534" s="131"/>
      <c r="GG534" s="131"/>
      <c r="GH534" s="131"/>
      <c r="GI534" s="131"/>
      <c r="GJ534" s="131"/>
      <c r="GK534" s="131"/>
      <c r="GL534" s="131"/>
      <c r="GM534" s="131"/>
      <c r="GN534" s="131"/>
      <c r="GO534" s="131"/>
      <c r="GP534" s="131"/>
      <c r="GQ534" s="131"/>
      <c r="GR534" s="131"/>
      <c r="GS534" s="131"/>
      <c r="GT534" s="131"/>
      <c r="GU534" s="131"/>
      <c r="GV534" s="131"/>
      <c r="GW534" s="131"/>
      <c r="GX534" s="131"/>
      <c r="GY534" s="131"/>
      <c r="GZ534" s="131"/>
      <c r="HA534" s="131"/>
      <c r="HB534" s="131"/>
      <c r="HC534" s="131"/>
      <c r="HD534" s="131"/>
      <c r="HE534" s="131"/>
      <c r="HF534" s="131"/>
      <c r="HG534" s="131"/>
      <c r="HH534" s="131"/>
      <c r="HI534" s="131"/>
      <c r="HJ534" s="131"/>
      <c r="HK534" s="131"/>
      <c r="HL534" s="131"/>
      <c r="HM534" s="131"/>
      <c r="HN534" s="131"/>
      <c r="HO534" s="131"/>
      <c r="HP534" s="131"/>
      <c r="HQ534" s="131"/>
      <c r="HR534" s="131"/>
      <c r="HS534" s="131"/>
      <c r="HT534" s="131"/>
      <c r="HU534" s="131"/>
      <c r="HV534" s="131"/>
      <c r="HW534" s="131"/>
      <c r="HX534" s="131"/>
      <c r="HY534" s="131"/>
      <c r="HZ534" s="131"/>
      <c r="IA534" s="131"/>
      <c r="IB534" s="131"/>
      <c r="IC534" s="131"/>
      <c r="ID534" s="131"/>
      <c r="IE534" s="131"/>
      <c r="IF534" s="131"/>
      <c r="IG534" s="131"/>
      <c r="IH534" s="131"/>
      <c r="II534" s="131"/>
      <c r="IJ534" s="131"/>
      <c r="IK534" s="131"/>
      <c r="IL534" s="131"/>
      <c r="IM534" s="131"/>
      <c r="IN534" s="131"/>
      <c r="IO534" s="131"/>
      <c r="IP534" s="131"/>
      <c r="IQ534" s="131"/>
      <c r="IR534" s="131"/>
      <c r="IS534" s="131"/>
      <c r="IT534" s="131"/>
      <c r="IU534" s="131"/>
      <c r="IV534" s="131"/>
    </row>
    <row r="535" spans="1:256" s="13" customFormat="1" ht="38.25" customHeight="1">
      <c r="A535" s="21" t="s">
        <v>1</v>
      </c>
      <c r="B535" s="246" t="s">
        <v>34</v>
      </c>
      <c r="C535" s="246" t="s">
        <v>25</v>
      </c>
      <c r="D535" s="246" t="s">
        <v>1028</v>
      </c>
      <c r="E535" s="246" t="s">
        <v>138</v>
      </c>
      <c r="F535" s="21" t="s">
        <v>1024</v>
      </c>
      <c r="G535" s="246" t="s">
        <v>98</v>
      </c>
      <c r="H535" s="21">
        <v>236220</v>
      </c>
      <c r="I535" s="21" t="s">
        <v>28</v>
      </c>
      <c r="J535" s="21" t="s">
        <v>109</v>
      </c>
      <c r="K535" s="21" t="s">
        <v>1974</v>
      </c>
      <c r="L535" s="21" t="s">
        <v>1974</v>
      </c>
      <c r="M535" s="22">
        <v>500000</v>
      </c>
      <c r="N535" s="22">
        <v>1000000</v>
      </c>
      <c r="O535" s="21" t="s">
        <v>20</v>
      </c>
      <c r="P535" s="21" t="s">
        <v>278</v>
      </c>
      <c r="Q535" s="21" t="s">
        <v>279</v>
      </c>
      <c r="R535" s="21" t="s">
        <v>278</v>
      </c>
      <c r="S535" s="74">
        <v>2013</v>
      </c>
      <c r="T535" s="21" t="s">
        <v>1025</v>
      </c>
      <c r="U535" s="21" t="s">
        <v>1026</v>
      </c>
      <c r="V535" s="21" t="s">
        <v>1027</v>
      </c>
      <c r="W535" s="21" t="s">
        <v>66</v>
      </c>
      <c r="X535" s="246"/>
      <c r="Y535" s="130"/>
      <c r="Z535" s="130"/>
      <c r="AA535" s="130"/>
      <c r="AB535" s="130"/>
      <c r="AC535" s="130"/>
      <c r="AD535" s="131"/>
      <c r="AE535" s="131"/>
      <c r="AF535" s="131"/>
      <c r="AG535" s="131"/>
      <c r="AH535" s="131"/>
      <c r="AI535" s="131"/>
      <c r="AJ535" s="131"/>
      <c r="AK535" s="131"/>
      <c r="AL535" s="131"/>
      <c r="AM535" s="131"/>
      <c r="AN535" s="131"/>
      <c r="AO535" s="131"/>
      <c r="AP535" s="131"/>
      <c r="AQ535" s="131"/>
      <c r="AR535" s="131"/>
      <c r="AS535" s="131"/>
      <c r="AT535" s="131"/>
      <c r="AU535" s="131"/>
      <c r="AV535" s="131"/>
      <c r="AW535" s="131"/>
      <c r="AX535" s="131"/>
      <c r="AY535" s="131"/>
      <c r="AZ535" s="131"/>
      <c r="BA535" s="131"/>
      <c r="BB535" s="131"/>
      <c r="BC535" s="131"/>
      <c r="BD535" s="131"/>
      <c r="BE535" s="131"/>
      <c r="BF535" s="131"/>
      <c r="BG535" s="131"/>
      <c r="BH535" s="131"/>
      <c r="BI535" s="131"/>
      <c r="BJ535" s="131"/>
      <c r="BK535" s="131"/>
      <c r="BL535" s="131"/>
      <c r="BM535" s="131"/>
      <c r="BN535" s="131"/>
      <c r="BO535" s="131"/>
      <c r="BP535" s="131"/>
      <c r="BQ535" s="131"/>
      <c r="BR535" s="131"/>
      <c r="BS535" s="131"/>
      <c r="BT535" s="131"/>
      <c r="BU535" s="131"/>
      <c r="BV535" s="131"/>
      <c r="BW535" s="131"/>
      <c r="BX535" s="131"/>
      <c r="BY535" s="131"/>
      <c r="BZ535" s="131"/>
      <c r="CA535" s="131"/>
      <c r="CB535" s="131"/>
      <c r="CC535" s="131"/>
      <c r="CD535" s="131"/>
      <c r="CE535" s="131"/>
      <c r="CF535" s="131"/>
      <c r="CG535" s="131"/>
      <c r="CH535" s="131"/>
      <c r="CI535" s="131"/>
      <c r="CJ535" s="131"/>
      <c r="CK535" s="131"/>
      <c r="CL535" s="131"/>
      <c r="CM535" s="131"/>
      <c r="CN535" s="131"/>
      <c r="CO535" s="131"/>
      <c r="CP535" s="131"/>
      <c r="CQ535" s="131"/>
      <c r="CR535" s="131"/>
      <c r="CS535" s="131"/>
      <c r="CT535" s="131"/>
      <c r="CU535" s="131"/>
      <c r="CV535" s="131"/>
      <c r="CW535" s="131"/>
      <c r="CX535" s="131"/>
      <c r="CY535" s="131"/>
      <c r="CZ535" s="131"/>
      <c r="DA535" s="131"/>
      <c r="DB535" s="131"/>
      <c r="DC535" s="131"/>
      <c r="DD535" s="131"/>
      <c r="DE535" s="131"/>
      <c r="DF535" s="131"/>
      <c r="DG535" s="131"/>
      <c r="DH535" s="131"/>
      <c r="DI535" s="131"/>
      <c r="DJ535" s="131"/>
      <c r="DK535" s="131"/>
      <c r="DL535" s="131"/>
      <c r="DM535" s="131"/>
      <c r="DN535" s="131"/>
      <c r="DO535" s="131"/>
      <c r="DP535" s="131"/>
      <c r="DQ535" s="131"/>
      <c r="DR535" s="131"/>
      <c r="DS535" s="131"/>
      <c r="DT535" s="131"/>
      <c r="DU535" s="131"/>
      <c r="DV535" s="131"/>
      <c r="DW535" s="131"/>
      <c r="DX535" s="131"/>
      <c r="DY535" s="131"/>
      <c r="DZ535" s="131"/>
      <c r="EA535" s="131"/>
      <c r="EB535" s="131"/>
      <c r="EC535" s="131"/>
      <c r="ED535" s="131"/>
      <c r="EE535" s="131"/>
      <c r="EF535" s="131"/>
      <c r="EG535" s="131"/>
      <c r="EH535" s="131"/>
      <c r="EI535" s="131"/>
      <c r="EJ535" s="131"/>
      <c r="EK535" s="131"/>
      <c r="EL535" s="131"/>
      <c r="EM535" s="131"/>
      <c r="EN535" s="131"/>
      <c r="EO535" s="131"/>
      <c r="EP535" s="131"/>
      <c r="EQ535" s="131"/>
      <c r="ER535" s="131"/>
      <c r="ES535" s="131"/>
      <c r="ET535" s="131"/>
      <c r="EU535" s="131"/>
      <c r="EV535" s="131"/>
      <c r="EW535" s="131"/>
      <c r="EX535" s="131"/>
      <c r="EY535" s="131"/>
      <c r="EZ535" s="131"/>
      <c r="FA535" s="131"/>
      <c r="FB535" s="131"/>
      <c r="FC535" s="131"/>
      <c r="FD535" s="131"/>
      <c r="FE535" s="131"/>
      <c r="FF535" s="131"/>
      <c r="FG535" s="131"/>
      <c r="FH535" s="131"/>
      <c r="FI535" s="131"/>
      <c r="FJ535" s="131"/>
      <c r="FK535" s="131"/>
      <c r="FL535" s="131"/>
      <c r="FM535" s="131"/>
      <c r="FN535" s="131"/>
      <c r="FO535" s="131"/>
      <c r="FP535" s="131"/>
      <c r="FQ535" s="131"/>
      <c r="FR535" s="131"/>
      <c r="FS535" s="131"/>
      <c r="FT535" s="131"/>
      <c r="FU535" s="131"/>
      <c r="FV535" s="131"/>
      <c r="FW535" s="131"/>
      <c r="FX535" s="131"/>
      <c r="FY535" s="131"/>
      <c r="FZ535" s="131"/>
      <c r="GA535" s="131"/>
      <c r="GB535" s="131"/>
      <c r="GC535" s="131"/>
      <c r="GD535" s="131"/>
      <c r="GE535" s="131"/>
      <c r="GF535" s="131"/>
      <c r="GG535" s="131"/>
      <c r="GH535" s="131"/>
      <c r="GI535" s="131"/>
      <c r="GJ535" s="131"/>
      <c r="GK535" s="131"/>
      <c r="GL535" s="131"/>
      <c r="GM535" s="131"/>
      <c r="GN535" s="131"/>
      <c r="GO535" s="131"/>
      <c r="GP535" s="131"/>
      <c r="GQ535" s="131"/>
      <c r="GR535" s="131"/>
      <c r="GS535" s="131"/>
      <c r="GT535" s="131"/>
      <c r="GU535" s="131"/>
      <c r="GV535" s="131"/>
      <c r="GW535" s="131"/>
      <c r="GX535" s="131"/>
      <c r="GY535" s="131"/>
      <c r="GZ535" s="131"/>
      <c r="HA535" s="131"/>
      <c r="HB535" s="131"/>
      <c r="HC535" s="131"/>
      <c r="HD535" s="131"/>
      <c r="HE535" s="131"/>
      <c r="HF535" s="131"/>
      <c r="HG535" s="131"/>
      <c r="HH535" s="131"/>
      <c r="HI535" s="131"/>
      <c r="HJ535" s="131"/>
      <c r="HK535" s="131"/>
      <c r="HL535" s="131"/>
      <c r="HM535" s="131"/>
      <c r="HN535" s="131"/>
      <c r="HO535" s="131"/>
      <c r="HP535" s="131"/>
      <c r="HQ535" s="131"/>
      <c r="HR535" s="131"/>
      <c r="HS535" s="131"/>
      <c r="HT535" s="131"/>
      <c r="HU535" s="131"/>
      <c r="HV535" s="131"/>
      <c r="HW535" s="131"/>
      <c r="HX535" s="131"/>
      <c r="HY535" s="131"/>
      <c r="HZ535" s="131"/>
      <c r="IA535" s="131"/>
      <c r="IB535" s="131"/>
      <c r="IC535" s="131"/>
      <c r="ID535" s="131"/>
      <c r="IE535" s="131"/>
      <c r="IF535" s="131"/>
      <c r="IG535" s="131"/>
      <c r="IH535" s="131"/>
      <c r="II535" s="131"/>
      <c r="IJ535" s="131"/>
      <c r="IK535" s="131"/>
      <c r="IL535" s="131"/>
      <c r="IM535" s="131"/>
      <c r="IN535" s="131"/>
      <c r="IO535" s="131"/>
      <c r="IP535" s="131"/>
      <c r="IQ535" s="131"/>
      <c r="IR535" s="131"/>
      <c r="IS535" s="131"/>
      <c r="IT535" s="131"/>
      <c r="IU535" s="131"/>
      <c r="IV535" s="131"/>
    </row>
    <row r="536" spans="1:256" s="13" customFormat="1" ht="38.25" customHeight="1">
      <c r="A536" s="21" t="s">
        <v>1</v>
      </c>
      <c r="B536" s="246" t="s">
        <v>34</v>
      </c>
      <c r="C536" s="246" t="s">
        <v>25</v>
      </c>
      <c r="D536" s="246" t="s">
        <v>1029</v>
      </c>
      <c r="E536" s="246" t="s">
        <v>138</v>
      </c>
      <c r="F536" s="21" t="s">
        <v>1024</v>
      </c>
      <c r="G536" s="246" t="s">
        <v>98</v>
      </c>
      <c r="H536" s="21">
        <v>236220</v>
      </c>
      <c r="I536" s="21" t="s">
        <v>28</v>
      </c>
      <c r="J536" s="21" t="s">
        <v>109</v>
      </c>
      <c r="K536" s="21" t="s">
        <v>1974</v>
      </c>
      <c r="L536" s="21" t="s">
        <v>1974</v>
      </c>
      <c r="M536" s="22">
        <v>25000</v>
      </c>
      <c r="N536" s="22">
        <v>100000</v>
      </c>
      <c r="O536" s="21" t="s">
        <v>20</v>
      </c>
      <c r="P536" s="21" t="s">
        <v>278</v>
      </c>
      <c r="Q536" s="21" t="s">
        <v>279</v>
      </c>
      <c r="R536" s="21" t="s">
        <v>278</v>
      </c>
      <c r="S536" s="74">
        <v>2013</v>
      </c>
      <c r="T536" s="21" t="s">
        <v>1025</v>
      </c>
      <c r="U536" s="21" t="s">
        <v>1026</v>
      </c>
      <c r="V536" s="21" t="s">
        <v>1027</v>
      </c>
      <c r="W536" s="21" t="s">
        <v>66</v>
      </c>
      <c r="X536" s="246"/>
      <c r="Y536" s="130"/>
      <c r="Z536" s="130"/>
      <c r="AA536" s="130"/>
      <c r="AB536" s="130"/>
      <c r="AC536" s="130"/>
      <c r="AD536" s="131"/>
      <c r="AE536" s="131"/>
      <c r="AF536" s="131"/>
      <c r="AG536" s="131"/>
      <c r="AH536" s="131"/>
      <c r="AI536" s="131"/>
      <c r="AJ536" s="131"/>
      <c r="AK536" s="131"/>
      <c r="AL536" s="131"/>
      <c r="AM536" s="131"/>
      <c r="AN536" s="131"/>
      <c r="AO536" s="131"/>
      <c r="AP536" s="131"/>
      <c r="AQ536" s="131"/>
      <c r="AR536" s="131"/>
      <c r="AS536" s="131"/>
      <c r="AT536" s="131"/>
      <c r="AU536" s="131"/>
      <c r="AV536" s="131"/>
      <c r="AW536" s="131"/>
      <c r="AX536" s="131"/>
      <c r="AY536" s="131"/>
      <c r="AZ536" s="131"/>
      <c r="BA536" s="131"/>
      <c r="BB536" s="131"/>
      <c r="BC536" s="131"/>
      <c r="BD536" s="131"/>
      <c r="BE536" s="131"/>
      <c r="BF536" s="131"/>
      <c r="BG536" s="131"/>
      <c r="BH536" s="131"/>
      <c r="BI536" s="131"/>
      <c r="BJ536" s="131"/>
      <c r="BK536" s="131"/>
      <c r="BL536" s="131"/>
      <c r="BM536" s="131"/>
      <c r="BN536" s="131"/>
      <c r="BO536" s="131"/>
      <c r="BP536" s="131"/>
      <c r="BQ536" s="131"/>
      <c r="BR536" s="131"/>
      <c r="BS536" s="131"/>
      <c r="BT536" s="131"/>
      <c r="BU536" s="131"/>
      <c r="BV536" s="131"/>
      <c r="BW536" s="131"/>
      <c r="BX536" s="131"/>
      <c r="BY536" s="131"/>
      <c r="BZ536" s="131"/>
      <c r="CA536" s="131"/>
      <c r="CB536" s="131"/>
      <c r="CC536" s="131"/>
      <c r="CD536" s="131"/>
      <c r="CE536" s="131"/>
      <c r="CF536" s="131"/>
      <c r="CG536" s="131"/>
      <c r="CH536" s="131"/>
      <c r="CI536" s="131"/>
      <c r="CJ536" s="131"/>
      <c r="CK536" s="131"/>
      <c r="CL536" s="131"/>
      <c r="CM536" s="131"/>
      <c r="CN536" s="131"/>
      <c r="CO536" s="131"/>
      <c r="CP536" s="131"/>
      <c r="CQ536" s="131"/>
      <c r="CR536" s="131"/>
      <c r="CS536" s="131"/>
      <c r="CT536" s="131"/>
      <c r="CU536" s="131"/>
      <c r="CV536" s="131"/>
      <c r="CW536" s="131"/>
      <c r="CX536" s="131"/>
      <c r="CY536" s="131"/>
      <c r="CZ536" s="131"/>
      <c r="DA536" s="131"/>
      <c r="DB536" s="131"/>
      <c r="DC536" s="131"/>
      <c r="DD536" s="131"/>
      <c r="DE536" s="131"/>
      <c r="DF536" s="131"/>
      <c r="DG536" s="131"/>
      <c r="DH536" s="131"/>
      <c r="DI536" s="131"/>
      <c r="DJ536" s="131"/>
      <c r="DK536" s="131"/>
      <c r="DL536" s="131"/>
      <c r="DM536" s="131"/>
      <c r="DN536" s="131"/>
      <c r="DO536" s="131"/>
      <c r="DP536" s="131"/>
      <c r="DQ536" s="131"/>
      <c r="DR536" s="131"/>
      <c r="DS536" s="131"/>
      <c r="DT536" s="131"/>
      <c r="DU536" s="131"/>
      <c r="DV536" s="131"/>
      <c r="DW536" s="131"/>
      <c r="DX536" s="131"/>
      <c r="DY536" s="131"/>
      <c r="DZ536" s="131"/>
      <c r="EA536" s="131"/>
      <c r="EB536" s="131"/>
      <c r="EC536" s="131"/>
      <c r="ED536" s="131"/>
      <c r="EE536" s="131"/>
      <c r="EF536" s="131"/>
      <c r="EG536" s="131"/>
      <c r="EH536" s="131"/>
      <c r="EI536" s="131"/>
      <c r="EJ536" s="131"/>
      <c r="EK536" s="131"/>
      <c r="EL536" s="131"/>
      <c r="EM536" s="131"/>
      <c r="EN536" s="131"/>
      <c r="EO536" s="131"/>
      <c r="EP536" s="131"/>
      <c r="EQ536" s="131"/>
      <c r="ER536" s="131"/>
      <c r="ES536" s="131"/>
      <c r="ET536" s="131"/>
      <c r="EU536" s="131"/>
      <c r="EV536" s="131"/>
      <c r="EW536" s="131"/>
      <c r="EX536" s="131"/>
      <c r="EY536" s="131"/>
      <c r="EZ536" s="131"/>
      <c r="FA536" s="131"/>
      <c r="FB536" s="131"/>
      <c r="FC536" s="131"/>
      <c r="FD536" s="131"/>
      <c r="FE536" s="131"/>
      <c r="FF536" s="131"/>
      <c r="FG536" s="131"/>
      <c r="FH536" s="131"/>
      <c r="FI536" s="131"/>
      <c r="FJ536" s="131"/>
      <c r="FK536" s="131"/>
      <c r="FL536" s="131"/>
      <c r="FM536" s="131"/>
      <c r="FN536" s="131"/>
      <c r="FO536" s="131"/>
      <c r="FP536" s="131"/>
      <c r="FQ536" s="131"/>
      <c r="FR536" s="131"/>
      <c r="FS536" s="131"/>
      <c r="FT536" s="131"/>
      <c r="FU536" s="131"/>
      <c r="FV536" s="131"/>
      <c r="FW536" s="131"/>
      <c r="FX536" s="131"/>
      <c r="FY536" s="131"/>
      <c r="FZ536" s="131"/>
      <c r="GA536" s="131"/>
      <c r="GB536" s="131"/>
      <c r="GC536" s="131"/>
      <c r="GD536" s="131"/>
      <c r="GE536" s="131"/>
      <c r="GF536" s="131"/>
      <c r="GG536" s="131"/>
      <c r="GH536" s="131"/>
      <c r="GI536" s="131"/>
      <c r="GJ536" s="131"/>
      <c r="GK536" s="131"/>
      <c r="GL536" s="131"/>
      <c r="GM536" s="131"/>
      <c r="GN536" s="131"/>
      <c r="GO536" s="131"/>
      <c r="GP536" s="131"/>
      <c r="GQ536" s="131"/>
      <c r="GR536" s="131"/>
      <c r="GS536" s="131"/>
      <c r="GT536" s="131"/>
      <c r="GU536" s="131"/>
      <c r="GV536" s="131"/>
      <c r="GW536" s="131"/>
      <c r="GX536" s="131"/>
      <c r="GY536" s="131"/>
      <c r="GZ536" s="131"/>
      <c r="HA536" s="131"/>
      <c r="HB536" s="131"/>
      <c r="HC536" s="131"/>
      <c r="HD536" s="131"/>
      <c r="HE536" s="131"/>
      <c r="HF536" s="131"/>
      <c r="HG536" s="131"/>
      <c r="HH536" s="131"/>
      <c r="HI536" s="131"/>
      <c r="HJ536" s="131"/>
      <c r="HK536" s="131"/>
      <c r="HL536" s="131"/>
      <c r="HM536" s="131"/>
      <c r="HN536" s="131"/>
      <c r="HO536" s="131"/>
      <c r="HP536" s="131"/>
      <c r="HQ536" s="131"/>
      <c r="HR536" s="131"/>
      <c r="HS536" s="131"/>
      <c r="HT536" s="131"/>
      <c r="HU536" s="131"/>
      <c r="HV536" s="131"/>
      <c r="HW536" s="131"/>
      <c r="HX536" s="131"/>
      <c r="HY536" s="131"/>
      <c r="HZ536" s="131"/>
      <c r="IA536" s="131"/>
      <c r="IB536" s="131"/>
      <c r="IC536" s="131"/>
      <c r="ID536" s="131"/>
      <c r="IE536" s="131"/>
      <c r="IF536" s="131"/>
      <c r="IG536" s="131"/>
      <c r="IH536" s="131"/>
      <c r="II536" s="131"/>
      <c r="IJ536" s="131"/>
      <c r="IK536" s="131"/>
      <c r="IL536" s="131"/>
      <c r="IM536" s="131"/>
      <c r="IN536" s="131"/>
      <c r="IO536" s="131"/>
      <c r="IP536" s="131"/>
      <c r="IQ536" s="131"/>
      <c r="IR536" s="131"/>
      <c r="IS536" s="131"/>
      <c r="IT536" s="131"/>
      <c r="IU536" s="131"/>
      <c r="IV536" s="131"/>
    </row>
    <row r="537" spans="1:256" s="13" customFormat="1" ht="38.25" customHeight="1">
      <c r="A537" s="21" t="s">
        <v>1</v>
      </c>
      <c r="B537" s="246" t="s">
        <v>34</v>
      </c>
      <c r="C537" s="246" t="s">
        <v>25</v>
      </c>
      <c r="D537" s="246" t="s">
        <v>1030</v>
      </c>
      <c r="E537" s="246" t="s">
        <v>138</v>
      </c>
      <c r="F537" s="21" t="s">
        <v>1024</v>
      </c>
      <c r="G537" s="246" t="s">
        <v>98</v>
      </c>
      <c r="H537" s="21">
        <v>236220</v>
      </c>
      <c r="I537" s="21" t="s">
        <v>28</v>
      </c>
      <c r="J537" s="21" t="s">
        <v>109</v>
      </c>
      <c r="K537" s="21" t="s">
        <v>1974</v>
      </c>
      <c r="L537" s="21" t="s">
        <v>1974</v>
      </c>
      <c r="M537" s="22">
        <v>1000</v>
      </c>
      <c r="N537" s="22">
        <v>25000</v>
      </c>
      <c r="O537" s="21" t="s">
        <v>20</v>
      </c>
      <c r="P537" s="21" t="s">
        <v>278</v>
      </c>
      <c r="Q537" s="21" t="s">
        <v>279</v>
      </c>
      <c r="R537" s="21" t="s">
        <v>278</v>
      </c>
      <c r="S537" s="74">
        <v>2013</v>
      </c>
      <c r="T537" s="21" t="s">
        <v>1025</v>
      </c>
      <c r="U537" s="21" t="s">
        <v>1026</v>
      </c>
      <c r="V537" s="21" t="s">
        <v>1027</v>
      </c>
      <c r="W537" s="21" t="s">
        <v>66</v>
      </c>
      <c r="X537" s="246"/>
      <c r="Y537" s="130"/>
      <c r="Z537" s="130"/>
      <c r="AA537" s="130"/>
      <c r="AB537" s="130"/>
      <c r="AC537" s="130"/>
      <c r="AD537" s="131"/>
      <c r="AE537" s="131"/>
      <c r="AF537" s="131"/>
      <c r="AG537" s="131"/>
      <c r="AH537" s="131"/>
      <c r="AI537" s="131"/>
      <c r="AJ537" s="131"/>
      <c r="AK537" s="131"/>
      <c r="AL537" s="131"/>
      <c r="AM537" s="131"/>
      <c r="AN537" s="131"/>
      <c r="AO537" s="131"/>
      <c r="AP537" s="131"/>
      <c r="AQ537" s="131"/>
      <c r="AR537" s="131"/>
      <c r="AS537" s="131"/>
      <c r="AT537" s="131"/>
      <c r="AU537" s="131"/>
      <c r="AV537" s="131"/>
      <c r="AW537" s="131"/>
      <c r="AX537" s="131"/>
      <c r="AY537" s="131"/>
      <c r="AZ537" s="131"/>
      <c r="BA537" s="131"/>
      <c r="BB537" s="131"/>
      <c r="BC537" s="131"/>
      <c r="BD537" s="131"/>
      <c r="BE537" s="131"/>
      <c r="BF537" s="131"/>
      <c r="BG537" s="131"/>
      <c r="BH537" s="131"/>
      <c r="BI537" s="131"/>
      <c r="BJ537" s="131"/>
      <c r="BK537" s="131"/>
      <c r="BL537" s="131"/>
      <c r="BM537" s="131"/>
      <c r="BN537" s="131"/>
      <c r="BO537" s="131"/>
      <c r="BP537" s="131"/>
      <c r="BQ537" s="131"/>
      <c r="BR537" s="131"/>
      <c r="BS537" s="131"/>
      <c r="BT537" s="131"/>
      <c r="BU537" s="131"/>
      <c r="BV537" s="131"/>
      <c r="BW537" s="131"/>
      <c r="BX537" s="131"/>
      <c r="BY537" s="131"/>
      <c r="BZ537" s="131"/>
      <c r="CA537" s="131"/>
      <c r="CB537" s="131"/>
      <c r="CC537" s="131"/>
      <c r="CD537" s="131"/>
      <c r="CE537" s="131"/>
      <c r="CF537" s="131"/>
      <c r="CG537" s="131"/>
      <c r="CH537" s="131"/>
      <c r="CI537" s="131"/>
      <c r="CJ537" s="131"/>
      <c r="CK537" s="131"/>
      <c r="CL537" s="131"/>
      <c r="CM537" s="131"/>
      <c r="CN537" s="131"/>
      <c r="CO537" s="131"/>
      <c r="CP537" s="131"/>
      <c r="CQ537" s="131"/>
      <c r="CR537" s="131"/>
      <c r="CS537" s="131"/>
      <c r="CT537" s="131"/>
      <c r="CU537" s="131"/>
      <c r="CV537" s="131"/>
      <c r="CW537" s="131"/>
      <c r="CX537" s="131"/>
      <c r="CY537" s="131"/>
      <c r="CZ537" s="131"/>
      <c r="DA537" s="131"/>
      <c r="DB537" s="131"/>
      <c r="DC537" s="131"/>
      <c r="DD537" s="131"/>
      <c r="DE537" s="131"/>
      <c r="DF537" s="131"/>
      <c r="DG537" s="131"/>
      <c r="DH537" s="131"/>
      <c r="DI537" s="131"/>
      <c r="DJ537" s="131"/>
      <c r="DK537" s="131"/>
      <c r="DL537" s="131"/>
      <c r="DM537" s="131"/>
      <c r="DN537" s="131"/>
      <c r="DO537" s="131"/>
      <c r="DP537" s="131"/>
      <c r="DQ537" s="131"/>
      <c r="DR537" s="131"/>
      <c r="DS537" s="131"/>
      <c r="DT537" s="131"/>
      <c r="DU537" s="131"/>
      <c r="DV537" s="131"/>
      <c r="DW537" s="131"/>
      <c r="DX537" s="131"/>
      <c r="DY537" s="131"/>
      <c r="DZ537" s="131"/>
      <c r="EA537" s="131"/>
      <c r="EB537" s="131"/>
      <c r="EC537" s="131"/>
      <c r="ED537" s="131"/>
      <c r="EE537" s="131"/>
      <c r="EF537" s="131"/>
      <c r="EG537" s="131"/>
      <c r="EH537" s="131"/>
      <c r="EI537" s="131"/>
      <c r="EJ537" s="131"/>
      <c r="EK537" s="131"/>
      <c r="EL537" s="131"/>
      <c r="EM537" s="131"/>
      <c r="EN537" s="131"/>
      <c r="EO537" s="131"/>
      <c r="EP537" s="131"/>
      <c r="EQ537" s="131"/>
      <c r="ER537" s="131"/>
      <c r="ES537" s="131"/>
      <c r="ET537" s="131"/>
      <c r="EU537" s="131"/>
      <c r="EV537" s="131"/>
      <c r="EW537" s="131"/>
      <c r="EX537" s="131"/>
      <c r="EY537" s="131"/>
      <c r="EZ537" s="131"/>
      <c r="FA537" s="131"/>
      <c r="FB537" s="131"/>
      <c r="FC537" s="131"/>
      <c r="FD537" s="131"/>
      <c r="FE537" s="131"/>
      <c r="FF537" s="131"/>
      <c r="FG537" s="131"/>
      <c r="FH537" s="131"/>
      <c r="FI537" s="131"/>
      <c r="FJ537" s="131"/>
      <c r="FK537" s="131"/>
      <c r="FL537" s="131"/>
      <c r="FM537" s="131"/>
      <c r="FN537" s="131"/>
      <c r="FO537" s="131"/>
      <c r="FP537" s="131"/>
      <c r="FQ537" s="131"/>
      <c r="FR537" s="131"/>
      <c r="FS537" s="131"/>
      <c r="FT537" s="131"/>
      <c r="FU537" s="131"/>
      <c r="FV537" s="131"/>
      <c r="FW537" s="131"/>
      <c r="FX537" s="131"/>
      <c r="FY537" s="131"/>
      <c r="FZ537" s="131"/>
      <c r="GA537" s="131"/>
      <c r="GB537" s="131"/>
      <c r="GC537" s="131"/>
      <c r="GD537" s="131"/>
      <c r="GE537" s="131"/>
      <c r="GF537" s="131"/>
      <c r="GG537" s="131"/>
      <c r="GH537" s="131"/>
      <c r="GI537" s="131"/>
      <c r="GJ537" s="131"/>
      <c r="GK537" s="131"/>
      <c r="GL537" s="131"/>
      <c r="GM537" s="131"/>
      <c r="GN537" s="131"/>
      <c r="GO537" s="131"/>
      <c r="GP537" s="131"/>
      <c r="GQ537" s="131"/>
      <c r="GR537" s="131"/>
      <c r="GS537" s="131"/>
      <c r="GT537" s="131"/>
      <c r="GU537" s="131"/>
      <c r="GV537" s="131"/>
      <c r="GW537" s="131"/>
      <c r="GX537" s="131"/>
      <c r="GY537" s="131"/>
      <c r="GZ537" s="131"/>
      <c r="HA537" s="131"/>
      <c r="HB537" s="131"/>
      <c r="HC537" s="131"/>
      <c r="HD537" s="131"/>
      <c r="HE537" s="131"/>
      <c r="HF537" s="131"/>
      <c r="HG537" s="131"/>
      <c r="HH537" s="131"/>
      <c r="HI537" s="131"/>
      <c r="HJ537" s="131"/>
      <c r="HK537" s="131"/>
      <c r="HL537" s="131"/>
      <c r="HM537" s="131"/>
      <c r="HN537" s="131"/>
      <c r="HO537" s="131"/>
      <c r="HP537" s="131"/>
      <c r="HQ537" s="131"/>
      <c r="HR537" s="131"/>
      <c r="HS537" s="131"/>
      <c r="HT537" s="131"/>
      <c r="HU537" s="131"/>
      <c r="HV537" s="131"/>
      <c r="HW537" s="131"/>
      <c r="HX537" s="131"/>
      <c r="HY537" s="131"/>
      <c r="HZ537" s="131"/>
      <c r="IA537" s="131"/>
      <c r="IB537" s="131"/>
      <c r="IC537" s="131"/>
      <c r="ID537" s="131"/>
      <c r="IE537" s="131"/>
      <c r="IF537" s="131"/>
      <c r="IG537" s="131"/>
      <c r="IH537" s="131"/>
      <c r="II537" s="131"/>
      <c r="IJ537" s="131"/>
      <c r="IK537" s="131"/>
      <c r="IL537" s="131"/>
      <c r="IM537" s="131"/>
      <c r="IN537" s="131"/>
      <c r="IO537" s="131"/>
      <c r="IP537" s="131"/>
      <c r="IQ537" s="131"/>
      <c r="IR537" s="131"/>
      <c r="IS537" s="131"/>
      <c r="IT537" s="131"/>
      <c r="IU537" s="131"/>
      <c r="IV537" s="131"/>
    </row>
    <row r="538" spans="1:256" s="13" customFormat="1" ht="38.25" customHeight="1">
      <c r="A538" s="21" t="s">
        <v>1</v>
      </c>
      <c r="B538" s="246" t="s">
        <v>34</v>
      </c>
      <c r="C538" s="246" t="s">
        <v>25</v>
      </c>
      <c r="D538" s="246" t="s">
        <v>1031</v>
      </c>
      <c r="E538" s="246" t="s">
        <v>138</v>
      </c>
      <c r="F538" s="21" t="s">
        <v>1024</v>
      </c>
      <c r="G538" s="246" t="s">
        <v>98</v>
      </c>
      <c r="H538" s="21">
        <v>236220</v>
      </c>
      <c r="I538" s="21" t="s">
        <v>28</v>
      </c>
      <c r="J538" s="21" t="s">
        <v>109</v>
      </c>
      <c r="K538" s="21" t="s">
        <v>1974</v>
      </c>
      <c r="L538" s="21" t="s">
        <v>1974</v>
      </c>
      <c r="M538" s="22">
        <v>25000</v>
      </c>
      <c r="N538" s="22">
        <v>100000</v>
      </c>
      <c r="O538" s="21" t="s">
        <v>20</v>
      </c>
      <c r="P538" s="21" t="s">
        <v>278</v>
      </c>
      <c r="Q538" s="21" t="s">
        <v>279</v>
      </c>
      <c r="R538" s="21" t="s">
        <v>278</v>
      </c>
      <c r="S538" s="74">
        <v>2013</v>
      </c>
      <c r="T538" s="21" t="s">
        <v>1025</v>
      </c>
      <c r="U538" s="21" t="s">
        <v>1026</v>
      </c>
      <c r="V538" s="21" t="s">
        <v>1027</v>
      </c>
      <c r="W538" s="21" t="s">
        <v>66</v>
      </c>
      <c r="X538" s="246"/>
      <c r="Y538" s="130"/>
      <c r="Z538" s="130"/>
      <c r="AA538" s="130"/>
      <c r="AB538" s="130"/>
      <c r="AC538" s="130"/>
      <c r="AD538" s="131"/>
      <c r="AE538" s="131"/>
      <c r="AF538" s="131"/>
      <c r="AG538" s="131"/>
      <c r="AH538" s="131"/>
      <c r="AI538" s="131"/>
      <c r="AJ538" s="131"/>
      <c r="AK538" s="131"/>
      <c r="AL538" s="131"/>
      <c r="AM538" s="131"/>
      <c r="AN538" s="131"/>
      <c r="AO538" s="131"/>
      <c r="AP538" s="131"/>
      <c r="AQ538" s="131"/>
      <c r="AR538" s="131"/>
      <c r="AS538" s="131"/>
      <c r="AT538" s="131"/>
      <c r="AU538" s="131"/>
      <c r="AV538" s="131"/>
      <c r="AW538" s="131"/>
      <c r="AX538" s="131"/>
      <c r="AY538" s="131"/>
      <c r="AZ538" s="131"/>
      <c r="BA538" s="131"/>
      <c r="BB538" s="131"/>
      <c r="BC538" s="131"/>
      <c r="BD538" s="131"/>
      <c r="BE538" s="131"/>
      <c r="BF538" s="131"/>
      <c r="BG538" s="131"/>
      <c r="BH538" s="131"/>
      <c r="BI538" s="131"/>
      <c r="BJ538" s="131"/>
      <c r="BK538" s="131"/>
      <c r="BL538" s="131"/>
      <c r="BM538" s="131"/>
      <c r="BN538" s="131"/>
      <c r="BO538" s="131"/>
      <c r="BP538" s="131"/>
      <c r="BQ538" s="131"/>
      <c r="BR538" s="131"/>
      <c r="BS538" s="131"/>
      <c r="BT538" s="131"/>
      <c r="BU538" s="131"/>
      <c r="BV538" s="131"/>
      <c r="BW538" s="131"/>
      <c r="BX538" s="131"/>
      <c r="BY538" s="131"/>
      <c r="BZ538" s="131"/>
      <c r="CA538" s="131"/>
      <c r="CB538" s="131"/>
      <c r="CC538" s="131"/>
      <c r="CD538" s="131"/>
      <c r="CE538" s="131"/>
      <c r="CF538" s="131"/>
      <c r="CG538" s="131"/>
      <c r="CH538" s="131"/>
      <c r="CI538" s="131"/>
      <c r="CJ538" s="131"/>
      <c r="CK538" s="131"/>
      <c r="CL538" s="131"/>
      <c r="CM538" s="131"/>
      <c r="CN538" s="131"/>
      <c r="CO538" s="131"/>
      <c r="CP538" s="131"/>
      <c r="CQ538" s="131"/>
      <c r="CR538" s="131"/>
      <c r="CS538" s="131"/>
      <c r="CT538" s="131"/>
      <c r="CU538" s="131"/>
      <c r="CV538" s="131"/>
      <c r="CW538" s="131"/>
      <c r="CX538" s="131"/>
      <c r="CY538" s="131"/>
      <c r="CZ538" s="131"/>
      <c r="DA538" s="131"/>
      <c r="DB538" s="131"/>
      <c r="DC538" s="131"/>
      <c r="DD538" s="131"/>
      <c r="DE538" s="131"/>
      <c r="DF538" s="131"/>
      <c r="DG538" s="131"/>
      <c r="DH538" s="131"/>
      <c r="DI538" s="131"/>
      <c r="DJ538" s="131"/>
      <c r="DK538" s="131"/>
      <c r="DL538" s="131"/>
      <c r="DM538" s="131"/>
      <c r="DN538" s="131"/>
      <c r="DO538" s="131"/>
      <c r="DP538" s="131"/>
      <c r="DQ538" s="131"/>
      <c r="DR538" s="131"/>
      <c r="DS538" s="131"/>
      <c r="DT538" s="131"/>
      <c r="DU538" s="131"/>
      <c r="DV538" s="131"/>
      <c r="DW538" s="131"/>
      <c r="DX538" s="131"/>
      <c r="DY538" s="131"/>
      <c r="DZ538" s="131"/>
      <c r="EA538" s="131"/>
      <c r="EB538" s="131"/>
      <c r="EC538" s="131"/>
      <c r="ED538" s="131"/>
      <c r="EE538" s="131"/>
      <c r="EF538" s="131"/>
      <c r="EG538" s="131"/>
      <c r="EH538" s="131"/>
      <c r="EI538" s="131"/>
      <c r="EJ538" s="131"/>
      <c r="EK538" s="131"/>
      <c r="EL538" s="131"/>
      <c r="EM538" s="131"/>
      <c r="EN538" s="131"/>
      <c r="EO538" s="131"/>
      <c r="EP538" s="131"/>
      <c r="EQ538" s="131"/>
      <c r="ER538" s="131"/>
      <c r="ES538" s="131"/>
      <c r="ET538" s="131"/>
      <c r="EU538" s="131"/>
      <c r="EV538" s="131"/>
      <c r="EW538" s="131"/>
      <c r="EX538" s="131"/>
      <c r="EY538" s="131"/>
      <c r="EZ538" s="131"/>
      <c r="FA538" s="131"/>
      <c r="FB538" s="131"/>
      <c r="FC538" s="131"/>
      <c r="FD538" s="131"/>
      <c r="FE538" s="131"/>
      <c r="FF538" s="131"/>
      <c r="FG538" s="131"/>
      <c r="FH538" s="131"/>
      <c r="FI538" s="131"/>
      <c r="FJ538" s="131"/>
      <c r="FK538" s="131"/>
      <c r="FL538" s="131"/>
      <c r="FM538" s="131"/>
      <c r="FN538" s="131"/>
      <c r="FO538" s="131"/>
      <c r="FP538" s="131"/>
      <c r="FQ538" s="131"/>
      <c r="FR538" s="131"/>
      <c r="FS538" s="131"/>
      <c r="FT538" s="131"/>
      <c r="FU538" s="131"/>
      <c r="FV538" s="131"/>
      <c r="FW538" s="131"/>
      <c r="FX538" s="131"/>
      <c r="FY538" s="131"/>
      <c r="FZ538" s="131"/>
      <c r="GA538" s="131"/>
      <c r="GB538" s="131"/>
      <c r="GC538" s="131"/>
      <c r="GD538" s="131"/>
      <c r="GE538" s="131"/>
      <c r="GF538" s="131"/>
      <c r="GG538" s="131"/>
      <c r="GH538" s="131"/>
      <c r="GI538" s="131"/>
      <c r="GJ538" s="131"/>
      <c r="GK538" s="131"/>
      <c r="GL538" s="131"/>
      <c r="GM538" s="131"/>
      <c r="GN538" s="131"/>
      <c r="GO538" s="131"/>
      <c r="GP538" s="131"/>
      <c r="GQ538" s="131"/>
      <c r="GR538" s="131"/>
      <c r="GS538" s="131"/>
      <c r="GT538" s="131"/>
      <c r="GU538" s="131"/>
      <c r="GV538" s="131"/>
      <c r="GW538" s="131"/>
      <c r="GX538" s="131"/>
      <c r="GY538" s="131"/>
      <c r="GZ538" s="131"/>
      <c r="HA538" s="131"/>
      <c r="HB538" s="131"/>
      <c r="HC538" s="131"/>
      <c r="HD538" s="131"/>
      <c r="HE538" s="131"/>
      <c r="HF538" s="131"/>
      <c r="HG538" s="131"/>
      <c r="HH538" s="131"/>
      <c r="HI538" s="131"/>
      <c r="HJ538" s="131"/>
      <c r="HK538" s="131"/>
      <c r="HL538" s="131"/>
      <c r="HM538" s="131"/>
      <c r="HN538" s="131"/>
      <c r="HO538" s="131"/>
      <c r="HP538" s="131"/>
      <c r="HQ538" s="131"/>
      <c r="HR538" s="131"/>
      <c r="HS538" s="131"/>
      <c r="HT538" s="131"/>
      <c r="HU538" s="131"/>
      <c r="HV538" s="131"/>
      <c r="HW538" s="131"/>
      <c r="HX538" s="131"/>
      <c r="HY538" s="131"/>
      <c r="HZ538" s="131"/>
      <c r="IA538" s="131"/>
      <c r="IB538" s="131"/>
      <c r="IC538" s="131"/>
      <c r="ID538" s="131"/>
      <c r="IE538" s="131"/>
      <c r="IF538" s="131"/>
      <c r="IG538" s="131"/>
      <c r="IH538" s="131"/>
      <c r="II538" s="131"/>
      <c r="IJ538" s="131"/>
      <c r="IK538" s="131"/>
      <c r="IL538" s="131"/>
      <c r="IM538" s="131"/>
      <c r="IN538" s="131"/>
      <c r="IO538" s="131"/>
      <c r="IP538" s="131"/>
      <c r="IQ538" s="131"/>
      <c r="IR538" s="131"/>
      <c r="IS538" s="131"/>
      <c r="IT538" s="131"/>
      <c r="IU538" s="131"/>
      <c r="IV538" s="131"/>
    </row>
    <row r="539" spans="1:256" s="13" customFormat="1" ht="38.25" customHeight="1">
      <c r="A539" s="21" t="s">
        <v>1</v>
      </c>
      <c r="B539" s="246" t="s">
        <v>34</v>
      </c>
      <c r="C539" s="246" t="s">
        <v>25</v>
      </c>
      <c r="D539" s="246" t="s">
        <v>1032</v>
      </c>
      <c r="E539" s="246" t="s">
        <v>138</v>
      </c>
      <c r="F539" s="21" t="s">
        <v>1033</v>
      </c>
      <c r="G539" s="246" t="s">
        <v>98</v>
      </c>
      <c r="H539" s="21">
        <v>236220</v>
      </c>
      <c r="I539" s="21" t="s">
        <v>28</v>
      </c>
      <c r="J539" s="21" t="s">
        <v>109</v>
      </c>
      <c r="K539" s="21" t="s">
        <v>1974</v>
      </c>
      <c r="L539" s="21" t="s">
        <v>1974</v>
      </c>
      <c r="M539" s="22">
        <v>25000</v>
      </c>
      <c r="N539" s="22">
        <v>100000</v>
      </c>
      <c r="O539" s="21" t="s">
        <v>20</v>
      </c>
      <c r="P539" s="21" t="s">
        <v>278</v>
      </c>
      <c r="Q539" s="21" t="s">
        <v>279</v>
      </c>
      <c r="R539" s="21" t="s">
        <v>278</v>
      </c>
      <c r="S539" s="74">
        <v>2013</v>
      </c>
      <c r="T539" s="21" t="s">
        <v>1025</v>
      </c>
      <c r="U539" s="21" t="s">
        <v>1026</v>
      </c>
      <c r="V539" s="21" t="s">
        <v>1027</v>
      </c>
      <c r="W539" s="21" t="s">
        <v>66</v>
      </c>
      <c r="X539" s="246"/>
      <c r="Y539" s="130"/>
      <c r="Z539" s="130"/>
      <c r="AA539" s="130"/>
      <c r="AB539" s="130"/>
      <c r="AC539" s="130"/>
      <c r="AD539" s="131"/>
      <c r="AE539" s="131"/>
      <c r="AF539" s="131"/>
      <c r="AG539" s="131"/>
      <c r="AH539" s="131"/>
      <c r="AI539" s="131"/>
      <c r="AJ539" s="131"/>
      <c r="AK539" s="131"/>
      <c r="AL539" s="131"/>
      <c r="AM539" s="131"/>
      <c r="AN539" s="131"/>
      <c r="AO539" s="131"/>
      <c r="AP539" s="131"/>
      <c r="AQ539" s="131"/>
      <c r="AR539" s="131"/>
      <c r="AS539" s="131"/>
      <c r="AT539" s="131"/>
      <c r="AU539" s="131"/>
      <c r="AV539" s="131"/>
      <c r="AW539" s="131"/>
      <c r="AX539" s="131"/>
      <c r="AY539" s="131"/>
      <c r="AZ539" s="131"/>
      <c r="BA539" s="131"/>
      <c r="BB539" s="131"/>
      <c r="BC539" s="131"/>
      <c r="BD539" s="131"/>
      <c r="BE539" s="131"/>
      <c r="BF539" s="131"/>
      <c r="BG539" s="131"/>
      <c r="BH539" s="131"/>
      <c r="BI539" s="131"/>
      <c r="BJ539" s="131"/>
      <c r="BK539" s="131"/>
      <c r="BL539" s="131"/>
      <c r="BM539" s="131"/>
      <c r="BN539" s="131"/>
      <c r="BO539" s="131"/>
      <c r="BP539" s="131"/>
      <c r="BQ539" s="131"/>
      <c r="BR539" s="131"/>
      <c r="BS539" s="131"/>
      <c r="BT539" s="131"/>
      <c r="BU539" s="131"/>
      <c r="BV539" s="131"/>
      <c r="BW539" s="131"/>
      <c r="BX539" s="131"/>
      <c r="BY539" s="131"/>
      <c r="BZ539" s="131"/>
      <c r="CA539" s="131"/>
      <c r="CB539" s="131"/>
      <c r="CC539" s="131"/>
      <c r="CD539" s="131"/>
      <c r="CE539" s="131"/>
      <c r="CF539" s="131"/>
      <c r="CG539" s="131"/>
      <c r="CH539" s="131"/>
      <c r="CI539" s="131"/>
      <c r="CJ539" s="131"/>
      <c r="CK539" s="131"/>
      <c r="CL539" s="131"/>
      <c r="CM539" s="131"/>
      <c r="CN539" s="131"/>
      <c r="CO539" s="131"/>
      <c r="CP539" s="131"/>
      <c r="CQ539" s="131"/>
      <c r="CR539" s="131"/>
      <c r="CS539" s="131"/>
      <c r="CT539" s="131"/>
      <c r="CU539" s="131"/>
      <c r="CV539" s="131"/>
      <c r="CW539" s="131"/>
      <c r="CX539" s="131"/>
      <c r="CY539" s="131"/>
      <c r="CZ539" s="131"/>
      <c r="DA539" s="131"/>
      <c r="DB539" s="131"/>
      <c r="DC539" s="131"/>
      <c r="DD539" s="131"/>
      <c r="DE539" s="131"/>
      <c r="DF539" s="131"/>
      <c r="DG539" s="131"/>
      <c r="DH539" s="131"/>
      <c r="DI539" s="131"/>
      <c r="DJ539" s="131"/>
      <c r="DK539" s="131"/>
      <c r="DL539" s="131"/>
      <c r="DM539" s="131"/>
      <c r="DN539" s="131"/>
      <c r="DO539" s="131"/>
      <c r="DP539" s="131"/>
      <c r="DQ539" s="131"/>
      <c r="DR539" s="131"/>
      <c r="DS539" s="131"/>
      <c r="DT539" s="131"/>
      <c r="DU539" s="131"/>
      <c r="DV539" s="131"/>
      <c r="DW539" s="131"/>
      <c r="DX539" s="131"/>
      <c r="DY539" s="131"/>
      <c r="DZ539" s="131"/>
      <c r="EA539" s="131"/>
      <c r="EB539" s="131"/>
      <c r="EC539" s="131"/>
      <c r="ED539" s="131"/>
      <c r="EE539" s="131"/>
      <c r="EF539" s="131"/>
      <c r="EG539" s="131"/>
      <c r="EH539" s="131"/>
      <c r="EI539" s="131"/>
      <c r="EJ539" s="131"/>
      <c r="EK539" s="131"/>
      <c r="EL539" s="131"/>
      <c r="EM539" s="131"/>
      <c r="EN539" s="131"/>
      <c r="EO539" s="131"/>
      <c r="EP539" s="131"/>
      <c r="EQ539" s="131"/>
      <c r="ER539" s="131"/>
      <c r="ES539" s="131"/>
      <c r="ET539" s="131"/>
      <c r="EU539" s="131"/>
      <c r="EV539" s="131"/>
      <c r="EW539" s="131"/>
      <c r="EX539" s="131"/>
      <c r="EY539" s="131"/>
      <c r="EZ539" s="131"/>
      <c r="FA539" s="131"/>
      <c r="FB539" s="131"/>
      <c r="FC539" s="131"/>
      <c r="FD539" s="131"/>
      <c r="FE539" s="131"/>
      <c r="FF539" s="131"/>
      <c r="FG539" s="131"/>
      <c r="FH539" s="131"/>
      <c r="FI539" s="131"/>
      <c r="FJ539" s="131"/>
      <c r="FK539" s="131"/>
      <c r="FL539" s="131"/>
      <c r="FM539" s="131"/>
      <c r="FN539" s="131"/>
      <c r="FO539" s="131"/>
      <c r="FP539" s="131"/>
      <c r="FQ539" s="131"/>
      <c r="FR539" s="131"/>
      <c r="FS539" s="131"/>
      <c r="FT539" s="131"/>
      <c r="FU539" s="131"/>
      <c r="FV539" s="131"/>
      <c r="FW539" s="131"/>
      <c r="FX539" s="131"/>
      <c r="FY539" s="131"/>
      <c r="FZ539" s="131"/>
      <c r="GA539" s="131"/>
      <c r="GB539" s="131"/>
      <c r="GC539" s="131"/>
      <c r="GD539" s="131"/>
      <c r="GE539" s="131"/>
      <c r="GF539" s="131"/>
      <c r="GG539" s="131"/>
      <c r="GH539" s="131"/>
      <c r="GI539" s="131"/>
      <c r="GJ539" s="131"/>
      <c r="GK539" s="131"/>
      <c r="GL539" s="131"/>
      <c r="GM539" s="131"/>
      <c r="GN539" s="131"/>
      <c r="GO539" s="131"/>
      <c r="GP539" s="131"/>
      <c r="GQ539" s="131"/>
      <c r="GR539" s="131"/>
      <c r="GS539" s="131"/>
      <c r="GT539" s="131"/>
      <c r="GU539" s="131"/>
      <c r="GV539" s="131"/>
      <c r="GW539" s="131"/>
      <c r="GX539" s="131"/>
      <c r="GY539" s="131"/>
      <c r="GZ539" s="131"/>
      <c r="HA539" s="131"/>
      <c r="HB539" s="131"/>
      <c r="HC539" s="131"/>
      <c r="HD539" s="131"/>
      <c r="HE539" s="131"/>
      <c r="HF539" s="131"/>
      <c r="HG539" s="131"/>
      <c r="HH539" s="131"/>
      <c r="HI539" s="131"/>
      <c r="HJ539" s="131"/>
      <c r="HK539" s="131"/>
      <c r="HL539" s="131"/>
      <c r="HM539" s="131"/>
      <c r="HN539" s="131"/>
      <c r="HO539" s="131"/>
      <c r="HP539" s="131"/>
      <c r="HQ539" s="131"/>
      <c r="HR539" s="131"/>
      <c r="HS539" s="131"/>
      <c r="HT539" s="131"/>
      <c r="HU539" s="131"/>
      <c r="HV539" s="131"/>
      <c r="HW539" s="131"/>
      <c r="HX539" s="131"/>
      <c r="HY539" s="131"/>
      <c r="HZ539" s="131"/>
      <c r="IA539" s="131"/>
      <c r="IB539" s="131"/>
      <c r="IC539" s="131"/>
      <c r="ID539" s="131"/>
      <c r="IE539" s="131"/>
      <c r="IF539" s="131"/>
      <c r="IG539" s="131"/>
      <c r="IH539" s="131"/>
      <c r="II539" s="131"/>
      <c r="IJ539" s="131"/>
      <c r="IK539" s="131"/>
      <c r="IL539" s="131"/>
      <c r="IM539" s="131"/>
      <c r="IN539" s="131"/>
      <c r="IO539" s="131"/>
      <c r="IP539" s="131"/>
      <c r="IQ539" s="131"/>
      <c r="IR539" s="131"/>
      <c r="IS539" s="131"/>
      <c r="IT539" s="131"/>
      <c r="IU539" s="131"/>
      <c r="IV539" s="131"/>
    </row>
    <row r="540" spans="1:256" s="13" customFormat="1" ht="38.25" customHeight="1">
      <c r="A540" s="21" t="s">
        <v>1</v>
      </c>
      <c r="B540" s="246" t="s">
        <v>34</v>
      </c>
      <c r="C540" s="246" t="s">
        <v>25</v>
      </c>
      <c r="D540" s="246" t="s">
        <v>1034</v>
      </c>
      <c r="E540" s="246" t="s">
        <v>138</v>
      </c>
      <c r="F540" s="21" t="s">
        <v>1024</v>
      </c>
      <c r="G540" s="246" t="s">
        <v>98</v>
      </c>
      <c r="H540" s="21">
        <v>236220</v>
      </c>
      <c r="I540" s="21" t="s">
        <v>28</v>
      </c>
      <c r="J540" s="21" t="s">
        <v>109</v>
      </c>
      <c r="K540" s="21" t="s">
        <v>1974</v>
      </c>
      <c r="L540" s="21" t="s">
        <v>1974</v>
      </c>
      <c r="M540" s="22">
        <v>1000000</v>
      </c>
      <c r="N540" s="22">
        <v>5000000</v>
      </c>
      <c r="O540" s="21" t="s">
        <v>20</v>
      </c>
      <c r="P540" s="21" t="s">
        <v>278</v>
      </c>
      <c r="Q540" s="21" t="s">
        <v>279</v>
      </c>
      <c r="R540" s="21" t="s">
        <v>278</v>
      </c>
      <c r="S540" s="74">
        <v>2013</v>
      </c>
      <c r="T540" s="21" t="s">
        <v>1025</v>
      </c>
      <c r="U540" s="21" t="s">
        <v>1026</v>
      </c>
      <c r="V540" s="21" t="s">
        <v>1027</v>
      </c>
      <c r="W540" s="21" t="s">
        <v>66</v>
      </c>
      <c r="X540" s="246"/>
      <c r="Y540" s="130"/>
      <c r="Z540" s="130"/>
      <c r="AA540" s="130"/>
      <c r="AB540" s="130"/>
      <c r="AC540" s="130"/>
      <c r="AD540" s="131"/>
      <c r="AE540" s="131"/>
      <c r="AF540" s="131"/>
      <c r="AG540" s="131"/>
      <c r="AH540" s="131"/>
      <c r="AI540" s="131"/>
      <c r="AJ540" s="131"/>
      <c r="AK540" s="131"/>
      <c r="AL540" s="131"/>
      <c r="AM540" s="131"/>
      <c r="AN540" s="131"/>
      <c r="AO540" s="131"/>
      <c r="AP540" s="131"/>
      <c r="AQ540" s="131"/>
      <c r="AR540" s="131"/>
      <c r="AS540" s="131"/>
      <c r="AT540" s="131"/>
      <c r="AU540" s="131"/>
      <c r="AV540" s="131"/>
      <c r="AW540" s="131"/>
      <c r="AX540" s="131"/>
      <c r="AY540" s="131"/>
      <c r="AZ540" s="131"/>
      <c r="BA540" s="131"/>
      <c r="BB540" s="131"/>
      <c r="BC540" s="131"/>
      <c r="BD540" s="131"/>
      <c r="BE540" s="131"/>
      <c r="BF540" s="131"/>
      <c r="BG540" s="131"/>
      <c r="BH540" s="131"/>
      <c r="BI540" s="131"/>
      <c r="BJ540" s="131"/>
      <c r="BK540" s="131"/>
      <c r="BL540" s="131"/>
      <c r="BM540" s="131"/>
      <c r="BN540" s="131"/>
      <c r="BO540" s="131"/>
      <c r="BP540" s="131"/>
      <c r="BQ540" s="131"/>
      <c r="BR540" s="131"/>
      <c r="BS540" s="131"/>
      <c r="BT540" s="131"/>
      <c r="BU540" s="131"/>
      <c r="BV540" s="131"/>
      <c r="BW540" s="131"/>
      <c r="BX540" s="131"/>
      <c r="BY540" s="131"/>
      <c r="BZ540" s="131"/>
      <c r="CA540" s="131"/>
      <c r="CB540" s="131"/>
      <c r="CC540" s="131"/>
      <c r="CD540" s="131"/>
      <c r="CE540" s="131"/>
      <c r="CF540" s="131"/>
      <c r="CG540" s="131"/>
      <c r="CH540" s="131"/>
      <c r="CI540" s="131"/>
      <c r="CJ540" s="131"/>
      <c r="CK540" s="131"/>
      <c r="CL540" s="131"/>
      <c r="CM540" s="131"/>
      <c r="CN540" s="131"/>
      <c r="CO540" s="131"/>
      <c r="CP540" s="131"/>
      <c r="CQ540" s="131"/>
      <c r="CR540" s="131"/>
      <c r="CS540" s="131"/>
      <c r="CT540" s="131"/>
      <c r="CU540" s="131"/>
      <c r="CV540" s="131"/>
      <c r="CW540" s="131"/>
      <c r="CX540" s="131"/>
      <c r="CY540" s="131"/>
      <c r="CZ540" s="131"/>
      <c r="DA540" s="131"/>
      <c r="DB540" s="131"/>
      <c r="DC540" s="131"/>
      <c r="DD540" s="131"/>
      <c r="DE540" s="131"/>
      <c r="DF540" s="131"/>
      <c r="DG540" s="131"/>
      <c r="DH540" s="131"/>
      <c r="DI540" s="131"/>
      <c r="DJ540" s="131"/>
      <c r="DK540" s="131"/>
      <c r="DL540" s="131"/>
      <c r="DM540" s="131"/>
      <c r="DN540" s="131"/>
      <c r="DO540" s="131"/>
      <c r="DP540" s="131"/>
      <c r="DQ540" s="131"/>
      <c r="DR540" s="131"/>
      <c r="DS540" s="131"/>
      <c r="DT540" s="131"/>
      <c r="DU540" s="131"/>
      <c r="DV540" s="131"/>
      <c r="DW540" s="131"/>
      <c r="DX540" s="131"/>
      <c r="DY540" s="131"/>
      <c r="DZ540" s="131"/>
      <c r="EA540" s="131"/>
      <c r="EB540" s="131"/>
      <c r="EC540" s="131"/>
      <c r="ED540" s="131"/>
      <c r="EE540" s="131"/>
      <c r="EF540" s="131"/>
      <c r="EG540" s="131"/>
      <c r="EH540" s="131"/>
      <c r="EI540" s="131"/>
      <c r="EJ540" s="131"/>
      <c r="EK540" s="131"/>
      <c r="EL540" s="131"/>
      <c r="EM540" s="131"/>
      <c r="EN540" s="131"/>
      <c r="EO540" s="131"/>
      <c r="EP540" s="131"/>
      <c r="EQ540" s="131"/>
      <c r="ER540" s="131"/>
      <c r="ES540" s="131"/>
      <c r="ET540" s="131"/>
      <c r="EU540" s="131"/>
      <c r="EV540" s="131"/>
      <c r="EW540" s="131"/>
      <c r="EX540" s="131"/>
      <c r="EY540" s="131"/>
      <c r="EZ540" s="131"/>
      <c r="FA540" s="131"/>
      <c r="FB540" s="131"/>
      <c r="FC540" s="131"/>
      <c r="FD540" s="131"/>
      <c r="FE540" s="131"/>
      <c r="FF540" s="131"/>
      <c r="FG540" s="131"/>
      <c r="FH540" s="131"/>
      <c r="FI540" s="131"/>
      <c r="FJ540" s="131"/>
      <c r="FK540" s="131"/>
      <c r="FL540" s="131"/>
      <c r="FM540" s="131"/>
      <c r="FN540" s="131"/>
      <c r="FO540" s="131"/>
      <c r="FP540" s="131"/>
      <c r="FQ540" s="131"/>
      <c r="FR540" s="131"/>
      <c r="FS540" s="131"/>
      <c r="FT540" s="131"/>
      <c r="FU540" s="131"/>
      <c r="FV540" s="131"/>
      <c r="FW540" s="131"/>
      <c r="FX540" s="131"/>
      <c r="FY540" s="131"/>
      <c r="FZ540" s="131"/>
      <c r="GA540" s="131"/>
      <c r="GB540" s="131"/>
      <c r="GC540" s="131"/>
      <c r="GD540" s="131"/>
      <c r="GE540" s="131"/>
      <c r="GF540" s="131"/>
      <c r="GG540" s="131"/>
      <c r="GH540" s="131"/>
      <c r="GI540" s="131"/>
      <c r="GJ540" s="131"/>
      <c r="GK540" s="131"/>
      <c r="GL540" s="131"/>
      <c r="GM540" s="131"/>
      <c r="GN540" s="131"/>
      <c r="GO540" s="131"/>
      <c r="GP540" s="131"/>
      <c r="GQ540" s="131"/>
      <c r="GR540" s="131"/>
      <c r="GS540" s="131"/>
      <c r="GT540" s="131"/>
      <c r="GU540" s="131"/>
      <c r="GV540" s="131"/>
      <c r="GW540" s="131"/>
      <c r="GX540" s="131"/>
      <c r="GY540" s="131"/>
      <c r="GZ540" s="131"/>
      <c r="HA540" s="131"/>
      <c r="HB540" s="131"/>
      <c r="HC540" s="131"/>
      <c r="HD540" s="131"/>
      <c r="HE540" s="131"/>
      <c r="HF540" s="131"/>
      <c r="HG540" s="131"/>
      <c r="HH540" s="131"/>
      <c r="HI540" s="131"/>
      <c r="HJ540" s="131"/>
      <c r="HK540" s="131"/>
      <c r="HL540" s="131"/>
      <c r="HM540" s="131"/>
      <c r="HN540" s="131"/>
      <c r="HO540" s="131"/>
      <c r="HP540" s="131"/>
      <c r="HQ540" s="131"/>
      <c r="HR540" s="131"/>
      <c r="HS540" s="131"/>
      <c r="HT540" s="131"/>
      <c r="HU540" s="131"/>
      <c r="HV540" s="131"/>
      <c r="HW540" s="131"/>
      <c r="HX540" s="131"/>
      <c r="HY540" s="131"/>
      <c r="HZ540" s="131"/>
      <c r="IA540" s="131"/>
      <c r="IB540" s="131"/>
      <c r="IC540" s="131"/>
      <c r="ID540" s="131"/>
      <c r="IE540" s="131"/>
      <c r="IF540" s="131"/>
      <c r="IG540" s="131"/>
      <c r="IH540" s="131"/>
      <c r="II540" s="131"/>
      <c r="IJ540" s="131"/>
      <c r="IK540" s="131"/>
      <c r="IL540" s="131"/>
      <c r="IM540" s="131"/>
      <c r="IN540" s="131"/>
      <c r="IO540" s="131"/>
      <c r="IP540" s="131"/>
      <c r="IQ540" s="131"/>
      <c r="IR540" s="131"/>
      <c r="IS540" s="131"/>
      <c r="IT540" s="131"/>
      <c r="IU540" s="131"/>
      <c r="IV540" s="131"/>
    </row>
    <row r="541" spans="1:256" s="13" customFormat="1" ht="38.25" customHeight="1">
      <c r="A541" s="21" t="s">
        <v>1</v>
      </c>
      <c r="B541" s="246" t="s">
        <v>34</v>
      </c>
      <c r="C541" s="246" t="s">
        <v>25</v>
      </c>
      <c r="D541" s="246" t="s">
        <v>1035</v>
      </c>
      <c r="E541" s="246" t="s">
        <v>138</v>
      </c>
      <c r="F541" s="21" t="s">
        <v>1024</v>
      </c>
      <c r="G541" s="246" t="s">
        <v>98</v>
      </c>
      <c r="H541" s="21">
        <v>236220</v>
      </c>
      <c r="I541" s="21" t="s">
        <v>28</v>
      </c>
      <c r="J541" s="21" t="s">
        <v>109</v>
      </c>
      <c r="K541" s="21" t="s">
        <v>1974</v>
      </c>
      <c r="L541" s="21" t="s">
        <v>1974</v>
      </c>
      <c r="M541" s="22">
        <v>100000</v>
      </c>
      <c r="N541" s="22">
        <v>250000</v>
      </c>
      <c r="O541" s="21" t="s">
        <v>20</v>
      </c>
      <c r="P541" s="21" t="s">
        <v>640</v>
      </c>
      <c r="Q541" s="21" t="s">
        <v>279</v>
      </c>
      <c r="R541" s="21" t="s">
        <v>278</v>
      </c>
      <c r="S541" s="74">
        <v>2013</v>
      </c>
      <c r="T541" s="21" t="s">
        <v>1025</v>
      </c>
      <c r="U541" s="21" t="s">
        <v>1026</v>
      </c>
      <c r="V541" s="21" t="s">
        <v>1027</v>
      </c>
      <c r="W541" s="21" t="s">
        <v>66</v>
      </c>
      <c r="X541" s="246"/>
      <c r="Y541" s="130"/>
      <c r="Z541" s="130"/>
      <c r="AA541" s="130"/>
      <c r="AB541" s="130"/>
      <c r="AC541" s="130"/>
      <c r="AD541" s="131"/>
      <c r="AE541" s="131"/>
      <c r="AF541" s="131"/>
      <c r="AG541" s="131"/>
      <c r="AH541" s="131"/>
      <c r="AI541" s="131"/>
      <c r="AJ541" s="131"/>
      <c r="AK541" s="131"/>
      <c r="AL541" s="131"/>
      <c r="AM541" s="131"/>
      <c r="AN541" s="131"/>
      <c r="AO541" s="131"/>
      <c r="AP541" s="131"/>
      <c r="AQ541" s="131"/>
      <c r="AR541" s="131"/>
      <c r="AS541" s="131"/>
      <c r="AT541" s="131"/>
      <c r="AU541" s="131"/>
      <c r="AV541" s="131"/>
      <c r="AW541" s="131"/>
      <c r="AX541" s="131"/>
      <c r="AY541" s="131"/>
      <c r="AZ541" s="131"/>
      <c r="BA541" s="131"/>
      <c r="BB541" s="131"/>
      <c r="BC541" s="131"/>
      <c r="BD541" s="131"/>
      <c r="BE541" s="131"/>
      <c r="BF541" s="131"/>
      <c r="BG541" s="131"/>
      <c r="BH541" s="131"/>
      <c r="BI541" s="131"/>
      <c r="BJ541" s="131"/>
      <c r="BK541" s="131"/>
      <c r="BL541" s="131"/>
      <c r="BM541" s="131"/>
      <c r="BN541" s="131"/>
      <c r="BO541" s="131"/>
      <c r="BP541" s="131"/>
      <c r="BQ541" s="131"/>
      <c r="BR541" s="131"/>
      <c r="BS541" s="131"/>
      <c r="BT541" s="131"/>
      <c r="BU541" s="131"/>
      <c r="BV541" s="131"/>
      <c r="BW541" s="131"/>
      <c r="BX541" s="131"/>
      <c r="BY541" s="131"/>
      <c r="BZ541" s="131"/>
      <c r="CA541" s="131"/>
      <c r="CB541" s="131"/>
      <c r="CC541" s="131"/>
      <c r="CD541" s="131"/>
      <c r="CE541" s="131"/>
      <c r="CF541" s="131"/>
      <c r="CG541" s="131"/>
      <c r="CH541" s="131"/>
      <c r="CI541" s="131"/>
      <c r="CJ541" s="131"/>
      <c r="CK541" s="131"/>
      <c r="CL541" s="131"/>
      <c r="CM541" s="131"/>
      <c r="CN541" s="131"/>
      <c r="CO541" s="131"/>
      <c r="CP541" s="131"/>
      <c r="CQ541" s="131"/>
      <c r="CR541" s="131"/>
      <c r="CS541" s="131"/>
      <c r="CT541" s="131"/>
      <c r="CU541" s="131"/>
      <c r="CV541" s="131"/>
      <c r="CW541" s="131"/>
      <c r="CX541" s="131"/>
      <c r="CY541" s="131"/>
      <c r="CZ541" s="131"/>
      <c r="DA541" s="131"/>
      <c r="DB541" s="131"/>
      <c r="DC541" s="131"/>
      <c r="DD541" s="131"/>
      <c r="DE541" s="131"/>
      <c r="DF541" s="131"/>
      <c r="DG541" s="131"/>
      <c r="DH541" s="131"/>
      <c r="DI541" s="131"/>
      <c r="DJ541" s="131"/>
      <c r="DK541" s="131"/>
      <c r="DL541" s="131"/>
      <c r="DM541" s="131"/>
      <c r="DN541" s="131"/>
      <c r="DO541" s="131"/>
      <c r="DP541" s="131"/>
      <c r="DQ541" s="131"/>
      <c r="DR541" s="131"/>
      <c r="DS541" s="131"/>
      <c r="DT541" s="131"/>
      <c r="DU541" s="131"/>
      <c r="DV541" s="131"/>
      <c r="DW541" s="131"/>
      <c r="DX541" s="131"/>
      <c r="DY541" s="131"/>
      <c r="DZ541" s="131"/>
      <c r="EA541" s="131"/>
      <c r="EB541" s="131"/>
      <c r="EC541" s="131"/>
      <c r="ED541" s="131"/>
      <c r="EE541" s="131"/>
      <c r="EF541" s="131"/>
      <c r="EG541" s="131"/>
      <c r="EH541" s="131"/>
      <c r="EI541" s="131"/>
      <c r="EJ541" s="131"/>
      <c r="EK541" s="131"/>
      <c r="EL541" s="131"/>
      <c r="EM541" s="131"/>
      <c r="EN541" s="131"/>
      <c r="EO541" s="131"/>
      <c r="EP541" s="131"/>
      <c r="EQ541" s="131"/>
      <c r="ER541" s="131"/>
      <c r="ES541" s="131"/>
      <c r="ET541" s="131"/>
      <c r="EU541" s="131"/>
      <c r="EV541" s="131"/>
      <c r="EW541" s="131"/>
      <c r="EX541" s="131"/>
      <c r="EY541" s="131"/>
      <c r="EZ541" s="131"/>
      <c r="FA541" s="131"/>
      <c r="FB541" s="131"/>
      <c r="FC541" s="131"/>
      <c r="FD541" s="131"/>
      <c r="FE541" s="131"/>
      <c r="FF541" s="131"/>
      <c r="FG541" s="131"/>
      <c r="FH541" s="131"/>
      <c r="FI541" s="131"/>
      <c r="FJ541" s="131"/>
      <c r="FK541" s="131"/>
      <c r="FL541" s="131"/>
      <c r="FM541" s="131"/>
      <c r="FN541" s="131"/>
      <c r="FO541" s="131"/>
      <c r="FP541" s="131"/>
      <c r="FQ541" s="131"/>
      <c r="FR541" s="131"/>
      <c r="FS541" s="131"/>
      <c r="FT541" s="131"/>
      <c r="FU541" s="131"/>
      <c r="FV541" s="131"/>
      <c r="FW541" s="131"/>
      <c r="FX541" s="131"/>
      <c r="FY541" s="131"/>
      <c r="FZ541" s="131"/>
      <c r="GA541" s="131"/>
      <c r="GB541" s="131"/>
      <c r="GC541" s="131"/>
      <c r="GD541" s="131"/>
      <c r="GE541" s="131"/>
      <c r="GF541" s="131"/>
      <c r="GG541" s="131"/>
      <c r="GH541" s="131"/>
      <c r="GI541" s="131"/>
      <c r="GJ541" s="131"/>
      <c r="GK541" s="131"/>
      <c r="GL541" s="131"/>
      <c r="GM541" s="131"/>
      <c r="GN541" s="131"/>
      <c r="GO541" s="131"/>
      <c r="GP541" s="131"/>
      <c r="GQ541" s="131"/>
      <c r="GR541" s="131"/>
      <c r="GS541" s="131"/>
      <c r="GT541" s="131"/>
      <c r="GU541" s="131"/>
      <c r="GV541" s="131"/>
      <c r="GW541" s="131"/>
      <c r="GX541" s="131"/>
      <c r="GY541" s="131"/>
      <c r="GZ541" s="131"/>
      <c r="HA541" s="131"/>
      <c r="HB541" s="131"/>
      <c r="HC541" s="131"/>
      <c r="HD541" s="131"/>
      <c r="HE541" s="131"/>
      <c r="HF541" s="131"/>
      <c r="HG541" s="131"/>
      <c r="HH541" s="131"/>
      <c r="HI541" s="131"/>
      <c r="HJ541" s="131"/>
      <c r="HK541" s="131"/>
      <c r="HL541" s="131"/>
      <c r="HM541" s="131"/>
      <c r="HN541" s="131"/>
      <c r="HO541" s="131"/>
      <c r="HP541" s="131"/>
      <c r="HQ541" s="131"/>
      <c r="HR541" s="131"/>
      <c r="HS541" s="131"/>
      <c r="HT541" s="131"/>
      <c r="HU541" s="131"/>
      <c r="HV541" s="131"/>
      <c r="HW541" s="131"/>
      <c r="HX541" s="131"/>
      <c r="HY541" s="131"/>
      <c r="HZ541" s="131"/>
      <c r="IA541" s="131"/>
      <c r="IB541" s="131"/>
      <c r="IC541" s="131"/>
      <c r="ID541" s="131"/>
      <c r="IE541" s="131"/>
      <c r="IF541" s="131"/>
      <c r="IG541" s="131"/>
      <c r="IH541" s="131"/>
      <c r="II541" s="131"/>
      <c r="IJ541" s="131"/>
      <c r="IK541" s="131"/>
      <c r="IL541" s="131"/>
      <c r="IM541" s="131"/>
      <c r="IN541" s="131"/>
      <c r="IO541" s="131"/>
      <c r="IP541" s="131"/>
      <c r="IQ541" s="131"/>
      <c r="IR541" s="131"/>
      <c r="IS541" s="131"/>
      <c r="IT541" s="131"/>
      <c r="IU541" s="131"/>
      <c r="IV541" s="131"/>
    </row>
    <row r="542" spans="1:256" s="13" customFormat="1" ht="38.25" customHeight="1">
      <c r="A542" s="21" t="s">
        <v>1</v>
      </c>
      <c r="B542" s="246" t="s">
        <v>34</v>
      </c>
      <c r="C542" s="246" t="s">
        <v>25</v>
      </c>
      <c r="D542" s="246" t="s">
        <v>1036</v>
      </c>
      <c r="E542" s="246" t="s">
        <v>138</v>
      </c>
      <c r="F542" s="21" t="s">
        <v>1037</v>
      </c>
      <c r="G542" s="246" t="s">
        <v>197</v>
      </c>
      <c r="H542" s="21">
        <v>236220</v>
      </c>
      <c r="I542" s="21" t="s">
        <v>28</v>
      </c>
      <c r="J542" s="21" t="s">
        <v>109</v>
      </c>
      <c r="K542" s="21" t="s">
        <v>1974</v>
      </c>
      <c r="L542" s="21" t="s">
        <v>1974</v>
      </c>
      <c r="M542" s="22">
        <v>25000</v>
      </c>
      <c r="N542" s="22">
        <v>100000</v>
      </c>
      <c r="O542" s="21" t="s">
        <v>20</v>
      </c>
      <c r="P542" s="21" t="s">
        <v>278</v>
      </c>
      <c r="Q542" s="21" t="s">
        <v>279</v>
      </c>
      <c r="R542" s="21" t="s">
        <v>278</v>
      </c>
      <c r="S542" s="74">
        <v>2013</v>
      </c>
      <c r="T542" s="21" t="s">
        <v>1017</v>
      </c>
      <c r="U542" s="21" t="s">
        <v>1018</v>
      </c>
      <c r="V542" s="21" t="s">
        <v>1019</v>
      </c>
      <c r="W542" s="21" t="s">
        <v>66</v>
      </c>
      <c r="X542" s="246"/>
      <c r="Y542" s="130"/>
      <c r="Z542" s="130"/>
      <c r="AA542" s="130"/>
      <c r="AB542" s="130"/>
      <c r="AC542" s="130"/>
      <c r="AD542" s="131"/>
      <c r="AE542" s="131"/>
      <c r="AF542" s="131"/>
      <c r="AG542" s="131"/>
      <c r="AH542" s="131"/>
      <c r="AI542" s="131"/>
      <c r="AJ542" s="131"/>
      <c r="AK542" s="131"/>
      <c r="AL542" s="131"/>
      <c r="AM542" s="131"/>
      <c r="AN542" s="131"/>
      <c r="AO542" s="131"/>
      <c r="AP542" s="131"/>
      <c r="AQ542" s="131"/>
      <c r="AR542" s="131"/>
      <c r="AS542" s="131"/>
      <c r="AT542" s="131"/>
      <c r="AU542" s="131"/>
      <c r="AV542" s="131"/>
      <c r="AW542" s="131"/>
      <c r="AX542" s="131"/>
      <c r="AY542" s="131"/>
      <c r="AZ542" s="131"/>
      <c r="BA542" s="131"/>
      <c r="BB542" s="131"/>
      <c r="BC542" s="131"/>
      <c r="BD542" s="131"/>
      <c r="BE542" s="131"/>
      <c r="BF542" s="131"/>
      <c r="BG542" s="131"/>
      <c r="BH542" s="131"/>
      <c r="BI542" s="131"/>
      <c r="BJ542" s="131"/>
      <c r="BK542" s="131"/>
      <c r="BL542" s="131"/>
      <c r="BM542" s="131"/>
      <c r="BN542" s="131"/>
      <c r="BO542" s="131"/>
      <c r="BP542" s="131"/>
      <c r="BQ542" s="131"/>
      <c r="BR542" s="131"/>
      <c r="BS542" s="131"/>
      <c r="BT542" s="131"/>
      <c r="BU542" s="131"/>
      <c r="BV542" s="131"/>
      <c r="BW542" s="131"/>
      <c r="BX542" s="131"/>
      <c r="BY542" s="131"/>
      <c r="BZ542" s="131"/>
      <c r="CA542" s="131"/>
      <c r="CB542" s="131"/>
      <c r="CC542" s="131"/>
      <c r="CD542" s="131"/>
      <c r="CE542" s="131"/>
      <c r="CF542" s="131"/>
      <c r="CG542" s="131"/>
      <c r="CH542" s="131"/>
      <c r="CI542" s="131"/>
      <c r="CJ542" s="131"/>
      <c r="CK542" s="131"/>
      <c r="CL542" s="131"/>
      <c r="CM542" s="131"/>
      <c r="CN542" s="131"/>
      <c r="CO542" s="131"/>
      <c r="CP542" s="131"/>
      <c r="CQ542" s="131"/>
      <c r="CR542" s="131"/>
      <c r="CS542" s="131"/>
      <c r="CT542" s="131"/>
      <c r="CU542" s="131"/>
      <c r="CV542" s="131"/>
      <c r="CW542" s="131"/>
      <c r="CX542" s="131"/>
      <c r="CY542" s="131"/>
      <c r="CZ542" s="131"/>
      <c r="DA542" s="131"/>
      <c r="DB542" s="131"/>
      <c r="DC542" s="131"/>
      <c r="DD542" s="131"/>
      <c r="DE542" s="131"/>
      <c r="DF542" s="131"/>
      <c r="DG542" s="131"/>
      <c r="DH542" s="131"/>
      <c r="DI542" s="131"/>
      <c r="DJ542" s="131"/>
      <c r="DK542" s="131"/>
      <c r="DL542" s="131"/>
      <c r="DM542" s="131"/>
      <c r="DN542" s="131"/>
      <c r="DO542" s="131"/>
      <c r="DP542" s="131"/>
      <c r="DQ542" s="131"/>
      <c r="DR542" s="131"/>
      <c r="DS542" s="131"/>
      <c r="DT542" s="131"/>
      <c r="DU542" s="131"/>
      <c r="DV542" s="131"/>
      <c r="DW542" s="131"/>
      <c r="DX542" s="131"/>
      <c r="DY542" s="131"/>
      <c r="DZ542" s="131"/>
      <c r="EA542" s="131"/>
      <c r="EB542" s="131"/>
      <c r="EC542" s="131"/>
      <c r="ED542" s="131"/>
      <c r="EE542" s="131"/>
      <c r="EF542" s="131"/>
      <c r="EG542" s="131"/>
      <c r="EH542" s="131"/>
      <c r="EI542" s="131"/>
      <c r="EJ542" s="131"/>
      <c r="EK542" s="131"/>
      <c r="EL542" s="131"/>
      <c r="EM542" s="131"/>
      <c r="EN542" s="131"/>
      <c r="EO542" s="131"/>
      <c r="EP542" s="131"/>
      <c r="EQ542" s="131"/>
      <c r="ER542" s="131"/>
      <c r="ES542" s="131"/>
      <c r="ET542" s="131"/>
      <c r="EU542" s="131"/>
      <c r="EV542" s="131"/>
      <c r="EW542" s="131"/>
      <c r="EX542" s="131"/>
      <c r="EY542" s="131"/>
      <c r="EZ542" s="131"/>
      <c r="FA542" s="131"/>
      <c r="FB542" s="131"/>
      <c r="FC542" s="131"/>
      <c r="FD542" s="131"/>
      <c r="FE542" s="131"/>
      <c r="FF542" s="131"/>
      <c r="FG542" s="131"/>
      <c r="FH542" s="131"/>
      <c r="FI542" s="131"/>
      <c r="FJ542" s="131"/>
      <c r="FK542" s="131"/>
      <c r="FL542" s="131"/>
      <c r="FM542" s="131"/>
      <c r="FN542" s="131"/>
      <c r="FO542" s="131"/>
      <c r="FP542" s="131"/>
      <c r="FQ542" s="131"/>
      <c r="FR542" s="131"/>
      <c r="FS542" s="131"/>
      <c r="FT542" s="131"/>
      <c r="FU542" s="131"/>
      <c r="FV542" s="131"/>
      <c r="FW542" s="131"/>
      <c r="FX542" s="131"/>
      <c r="FY542" s="131"/>
      <c r="FZ542" s="131"/>
      <c r="GA542" s="131"/>
      <c r="GB542" s="131"/>
      <c r="GC542" s="131"/>
      <c r="GD542" s="131"/>
      <c r="GE542" s="131"/>
      <c r="GF542" s="131"/>
      <c r="GG542" s="131"/>
      <c r="GH542" s="131"/>
      <c r="GI542" s="131"/>
      <c r="GJ542" s="131"/>
      <c r="GK542" s="131"/>
      <c r="GL542" s="131"/>
      <c r="GM542" s="131"/>
      <c r="GN542" s="131"/>
      <c r="GO542" s="131"/>
      <c r="GP542" s="131"/>
      <c r="GQ542" s="131"/>
      <c r="GR542" s="131"/>
      <c r="GS542" s="131"/>
      <c r="GT542" s="131"/>
      <c r="GU542" s="131"/>
      <c r="GV542" s="131"/>
      <c r="GW542" s="131"/>
      <c r="GX542" s="131"/>
      <c r="GY542" s="131"/>
      <c r="GZ542" s="131"/>
      <c r="HA542" s="131"/>
      <c r="HB542" s="131"/>
      <c r="HC542" s="131"/>
      <c r="HD542" s="131"/>
      <c r="HE542" s="131"/>
      <c r="HF542" s="131"/>
      <c r="HG542" s="131"/>
      <c r="HH542" s="131"/>
      <c r="HI542" s="131"/>
      <c r="HJ542" s="131"/>
      <c r="HK542" s="131"/>
      <c r="HL542" s="131"/>
      <c r="HM542" s="131"/>
      <c r="HN542" s="131"/>
      <c r="HO542" s="131"/>
      <c r="HP542" s="131"/>
      <c r="HQ542" s="131"/>
      <c r="HR542" s="131"/>
      <c r="HS542" s="131"/>
      <c r="HT542" s="131"/>
      <c r="HU542" s="131"/>
      <c r="HV542" s="131"/>
      <c r="HW542" s="131"/>
      <c r="HX542" s="131"/>
      <c r="HY542" s="131"/>
      <c r="HZ542" s="131"/>
      <c r="IA542" s="131"/>
      <c r="IB542" s="131"/>
      <c r="IC542" s="131"/>
      <c r="ID542" s="131"/>
      <c r="IE542" s="131"/>
      <c r="IF542" s="131"/>
      <c r="IG542" s="131"/>
      <c r="IH542" s="131"/>
      <c r="II542" s="131"/>
      <c r="IJ542" s="131"/>
      <c r="IK542" s="131"/>
      <c r="IL542" s="131"/>
      <c r="IM542" s="131"/>
      <c r="IN542" s="131"/>
      <c r="IO542" s="131"/>
      <c r="IP542" s="131"/>
      <c r="IQ542" s="131"/>
      <c r="IR542" s="131"/>
      <c r="IS542" s="131"/>
      <c r="IT542" s="131"/>
      <c r="IU542" s="131"/>
      <c r="IV542" s="131"/>
    </row>
    <row r="543" spans="1:256" s="13" customFormat="1" ht="38.25" customHeight="1">
      <c r="A543" s="21" t="s">
        <v>1</v>
      </c>
      <c r="B543" s="246" t="s">
        <v>34</v>
      </c>
      <c r="C543" s="246" t="s">
        <v>25</v>
      </c>
      <c r="D543" s="246" t="s">
        <v>1038</v>
      </c>
      <c r="E543" s="246" t="s">
        <v>138</v>
      </c>
      <c r="F543" s="21" t="s">
        <v>1039</v>
      </c>
      <c r="G543" s="246" t="s">
        <v>98</v>
      </c>
      <c r="H543" s="21">
        <v>236220</v>
      </c>
      <c r="I543" s="21" t="s">
        <v>28</v>
      </c>
      <c r="J543" s="21" t="s">
        <v>109</v>
      </c>
      <c r="K543" s="21" t="s">
        <v>1974</v>
      </c>
      <c r="L543" s="21" t="s">
        <v>1974</v>
      </c>
      <c r="M543" s="22">
        <v>500000</v>
      </c>
      <c r="N543" s="22">
        <v>1000000</v>
      </c>
      <c r="O543" s="21" t="s">
        <v>20</v>
      </c>
      <c r="P543" s="21" t="s">
        <v>278</v>
      </c>
      <c r="Q543" s="21" t="s">
        <v>279</v>
      </c>
      <c r="R543" s="21" t="s">
        <v>278</v>
      </c>
      <c r="S543" s="74">
        <v>2013</v>
      </c>
      <c r="T543" s="21" t="s">
        <v>1040</v>
      </c>
      <c r="U543" s="21" t="s">
        <v>1041</v>
      </c>
      <c r="V543" s="21" t="s">
        <v>1042</v>
      </c>
      <c r="W543" s="21" t="s">
        <v>66</v>
      </c>
      <c r="X543" s="246"/>
      <c r="Y543" s="130"/>
      <c r="Z543" s="130"/>
      <c r="AA543" s="130"/>
      <c r="AB543" s="130"/>
      <c r="AC543" s="130"/>
      <c r="AD543" s="131"/>
      <c r="AE543" s="131"/>
      <c r="AF543" s="131"/>
      <c r="AG543" s="131"/>
      <c r="AH543" s="131"/>
      <c r="AI543" s="131"/>
      <c r="AJ543" s="131"/>
      <c r="AK543" s="131"/>
      <c r="AL543" s="131"/>
      <c r="AM543" s="131"/>
      <c r="AN543" s="131"/>
      <c r="AO543" s="131"/>
      <c r="AP543" s="131"/>
      <c r="AQ543" s="131"/>
      <c r="AR543" s="131"/>
      <c r="AS543" s="131"/>
      <c r="AT543" s="131"/>
      <c r="AU543" s="131"/>
      <c r="AV543" s="131"/>
      <c r="AW543" s="131"/>
      <c r="AX543" s="131"/>
      <c r="AY543" s="131"/>
      <c r="AZ543" s="131"/>
      <c r="BA543" s="131"/>
      <c r="BB543" s="131"/>
      <c r="BC543" s="131"/>
      <c r="BD543" s="131"/>
      <c r="BE543" s="131"/>
      <c r="BF543" s="131"/>
      <c r="BG543" s="131"/>
      <c r="BH543" s="131"/>
      <c r="BI543" s="131"/>
      <c r="BJ543" s="131"/>
      <c r="BK543" s="131"/>
      <c r="BL543" s="131"/>
      <c r="BM543" s="131"/>
      <c r="BN543" s="131"/>
      <c r="BO543" s="131"/>
      <c r="BP543" s="131"/>
      <c r="BQ543" s="131"/>
      <c r="BR543" s="131"/>
      <c r="BS543" s="131"/>
      <c r="BT543" s="131"/>
      <c r="BU543" s="131"/>
      <c r="BV543" s="131"/>
      <c r="BW543" s="131"/>
      <c r="BX543" s="131"/>
      <c r="BY543" s="131"/>
      <c r="BZ543" s="131"/>
      <c r="CA543" s="131"/>
      <c r="CB543" s="131"/>
      <c r="CC543" s="131"/>
      <c r="CD543" s="131"/>
      <c r="CE543" s="131"/>
      <c r="CF543" s="131"/>
      <c r="CG543" s="131"/>
      <c r="CH543" s="131"/>
      <c r="CI543" s="131"/>
      <c r="CJ543" s="131"/>
      <c r="CK543" s="131"/>
      <c r="CL543" s="131"/>
      <c r="CM543" s="131"/>
      <c r="CN543" s="131"/>
      <c r="CO543" s="131"/>
      <c r="CP543" s="131"/>
      <c r="CQ543" s="131"/>
      <c r="CR543" s="131"/>
      <c r="CS543" s="131"/>
      <c r="CT543" s="131"/>
      <c r="CU543" s="131"/>
      <c r="CV543" s="131"/>
      <c r="CW543" s="131"/>
      <c r="CX543" s="131"/>
      <c r="CY543" s="131"/>
      <c r="CZ543" s="131"/>
      <c r="DA543" s="131"/>
      <c r="DB543" s="131"/>
      <c r="DC543" s="131"/>
      <c r="DD543" s="131"/>
      <c r="DE543" s="131"/>
      <c r="DF543" s="131"/>
      <c r="DG543" s="131"/>
      <c r="DH543" s="131"/>
      <c r="DI543" s="131"/>
      <c r="DJ543" s="131"/>
      <c r="DK543" s="131"/>
      <c r="DL543" s="131"/>
      <c r="DM543" s="131"/>
      <c r="DN543" s="131"/>
      <c r="DO543" s="131"/>
      <c r="DP543" s="131"/>
      <c r="DQ543" s="131"/>
      <c r="DR543" s="131"/>
      <c r="DS543" s="131"/>
      <c r="DT543" s="131"/>
      <c r="DU543" s="131"/>
      <c r="DV543" s="131"/>
      <c r="DW543" s="131"/>
      <c r="DX543" s="131"/>
      <c r="DY543" s="131"/>
      <c r="DZ543" s="131"/>
      <c r="EA543" s="131"/>
      <c r="EB543" s="131"/>
      <c r="EC543" s="131"/>
      <c r="ED543" s="131"/>
      <c r="EE543" s="131"/>
      <c r="EF543" s="131"/>
      <c r="EG543" s="131"/>
      <c r="EH543" s="131"/>
      <c r="EI543" s="131"/>
      <c r="EJ543" s="131"/>
      <c r="EK543" s="131"/>
      <c r="EL543" s="131"/>
      <c r="EM543" s="131"/>
      <c r="EN543" s="131"/>
      <c r="EO543" s="131"/>
      <c r="EP543" s="131"/>
      <c r="EQ543" s="131"/>
      <c r="ER543" s="131"/>
      <c r="ES543" s="131"/>
      <c r="ET543" s="131"/>
      <c r="EU543" s="131"/>
      <c r="EV543" s="131"/>
      <c r="EW543" s="131"/>
      <c r="EX543" s="131"/>
      <c r="EY543" s="131"/>
      <c r="EZ543" s="131"/>
      <c r="FA543" s="131"/>
      <c r="FB543" s="131"/>
      <c r="FC543" s="131"/>
      <c r="FD543" s="131"/>
      <c r="FE543" s="131"/>
      <c r="FF543" s="131"/>
      <c r="FG543" s="131"/>
      <c r="FH543" s="131"/>
      <c r="FI543" s="131"/>
      <c r="FJ543" s="131"/>
      <c r="FK543" s="131"/>
      <c r="FL543" s="131"/>
      <c r="FM543" s="131"/>
      <c r="FN543" s="131"/>
      <c r="FO543" s="131"/>
      <c r="FP543" s="131"/>
      <c r="FQ543" s="131"/>
      <c r="FR543" s="131"/>
      <c r="FS543" s="131"/>
      <c r="FT543" s="131"/>
      <c r="FU543" s="131"/>
      <c r="FV543" s="131"/>
      <c r="FW543" s="131"/>
      <c r="FX543" s="131"/>
      <c r="FY543" s="131"/>
      <c r="FZ543" s="131"/>
      <c r="GA543" s="131"/>
      <c r="GB543" s="131"/>
      <c r="GC543" s="131"/>
      <c r="GD543" s="131"/>
      <c r="GE543" s="131"/>
      <c r="GF543" s="131"/>
      <c r="GG543" s="131"/>
      <c r="GH543" s="131"/>
      <c r="GI543" s="131"/>
      <c r="GJ543" s="131"/>
      <c r="GK543" s="131"/>
      <c r="GL543" s="131"/>
      <c r="GM543" s="131"/>
      <c r="GN543" s="131"/>
      <c r="GO543" s="131"/>
      <c r="GP543" s="131"/>
      <c r="GQ543" s="131"/>
      <c r="GR543" s="131"/>
      <c r="GS543" s="131"/>
      <c r="GT543" s="131"/>
      <c r="GU543" s="131"/>
      <c r="GV543" s="131"/>
      <c r="GW543" s="131"/>
      <c r="GX543" s="131"/>
      <c r="GY543" s="131"/>
      <c r="GZ543" s="131"/>
      <c r="HA543" s="131"/>
      <c r="HB543" s="131"/>
      <c r="HC543" s="131"/>
      <c r="HD543" s="131"/>
      <c r="HE543" s="131"/>
      <c r="HF543" s="131"/>
      <c r="HG543" s="131"/>
      <c r="HH543" s="131"/>
      <c r="HI543" s="131"/>
      <c r="HJ543" s="131"/>
      <c r="HK543" s="131"/>
      <c r="HL543" s="131"/>
      <c r="HM543" s="131"/>
      <c r="HN543" s="131"/>
      <c r="HO543" s="131"/>
      <c r="HP543" s="131"/>
      <c r="HQ543" s="131"/>
      <c r="HR543" s="131"/>
      <c r="HS543" s="131"/>
      <c r="HT543" s="131"/>
      <c r="HU543" s="131"/>
      <c r="HV543" s="131"/>
      <c r="HW543" s="131"/>
      <c r="HX543" s="131"/>
      <c r="HY543" s="131"/>
      <c r="HZ543" s="131"/>
      <c r="IA543" s="131"/>
      <c r="IB543" s="131"/>
      <c r="IC543" s="131"/>
      <c r="ID543" s="131"/>
      <c r="IE543" s="131"/>
      <c r="IF543" s="131"/>
      <c r="IG543" s="131"/>
      <c r="IH543" s="131"/>
      <c r="II543" s="131"/>
      <c r="IJ543" s="131"/>
      <c r="IK543" s="131"/>
      <c r="IL543" s="131"/>
      <c r="IM543" s="131"/>
      <c r="IN543" s="131"/>
      <c r="IO543" s="131"/>
      <c r="IP543" s="131"/>
      <c r="IQ543" s="131"/>
      <c r="IR543" s="131"/>
      <c r="IS543" s="131"/>
      <c r="IT543" s="131"/>
      <c r="IU543" s="131"/>
      <c r="IV543" s="131"/>
    </row>
    <row r="544" spans="1:256" s="13" customFormat="1" ht="38.25" customHeight="1">
      <c r="A544" s="21" t="s">
        <v>1</v>
      </c>
      <c r="B544" s="246" t="s">
        <v>34</v>
      </c>
      <c r="C544" s="246" t="s">
        <v>25</v>
      </c>
      <c r="D544" s="246" t="s">
        <v>1043</v>
      </c>
      <c r="E544" s="246" t="s">
        <v>138</v>
      </c>
      <c r="F544" s="21" t="s">
        <v>1039</v>
      </c>
      <c r="G544" s="246" t="s">
        <v>98</v>
      </c>
      <c r="H544" s="21">
        <v>236220</v>
      </c>
      <c r="I544" s="21" t="s">
        <v>28</v>
      </c>
      <c r="J544" s="21" t="s">
        <v>109</v>
      </c>
      <c r="K544" s="21" t="s">
        <v>1974</v>
      </c>
      <c r="L544" s="21" t="s">
        <v>1974</v>
      </c>
      <c r="M544" s="22">
        <v>25000</v>
      </c>
      <c r="N544" s="22">
        <v>100000</v>
      </c>
      <c r="O544" s="21" t="s">
        <v>20</v>
      </c>
      <c r="P544" s="21" t="s">
        <v>278</v>
      </c>
      <c r="Q544" s="21" t="s">
        <v>279</v>
      </c>
      <c r="R544" s="21" t="s">
        <v>278</v>
      </c>
      <c r="S544" s="74">
        <v>2013</v>
      </c>
      <c r="T544" s="21" t="s">
        <v>1040</v>
      </c>
      <c r="U544" s="21" t="s">
        <v>1041</v>
      </c>
      <c r="V544" s="21" t="s">
        <v>1042</v>
      </c>
      <c r="W544" s="21" t="s">
        <v>66</v>
      </c>
      <c r="X544" s="246"/>
      <c r="Y544" s="130"/>
      <c r="Z544" s="130"/>
      <c r="AA544" s="130"/>
      <c r="AB544" s="130"/>
      <c r="AC544" s="130"/>
      <c r="AD544" s="131"/>
      <c r="AE544" s="131"/>
      <c r="AF544" s="131"/>
      <c r="AG544" s="131"/>
      <c r="AH544" s="131"/>
      <c r="AI544" s="131"/>
      <c r="AJ544" s="131"/>
      <c r="AK544" s="131"/>
      <c r="AL544" s="131"/>
      <c r="AM544" s="131"/>
      <c r="AN544" s="131"/>
      <c r="AO544" s="131"/>
      <c r="AP544" s="131"/>
      <c r="AQ544" s="131"/>
      <c r="AR544" s="131"/>
      <c r="AS544" s="131"/>
      <c r="AT544" s="131"/>
      <c r="AU544" s="131"/>
      <c r="AV544" s="131"/>
      <c r="AW544" s="131"/>
      <c r="AX544" s="131"/>
      <c r="AY544" s="131"/>
      <c r="AZ544" s="131"/>
      <c r="BA544" s="131"/>
      <c r="BB544" s="131"/>
      <c r="BC544" s="131"/>
      <c r="BD544" s="131"/>
      <c r="BE544" s="131"/>
      <c r="BF544" s="131"/>
      <c r="BG544" s="131"/>
      <c r="BH544" s="131"/>
      <c r="BI544" s="131"/>
      <c r="BJ544" s="131"/>
      <c r="BK544" s="131"/>
      <c r="BL544" s="131"/>
      <c r="BM544" s="131"/>
      <c r="BN544" s="131"/>
      <c r="BO544" s="131"/>
      <c r="BP544" s="131"/>
      <c r="BQ544" s="131"/>
      <c r="BR544" s="131"/>
      <c r="BS544" s="131"/>
      <c r="BT544" s="131"/>
      <c r="BU544" s="131"/>
      <c r="BV544" s="131"/>
      <c r="BW544" s="131"/>
      <c r="BX544" s="131"/>
      <c r="BY544" s="131"/>
      <c r="BZ544" s="131"/>
      <c r="CA544" s="131"/>
      <c r="CB544" s="131"/>
      <c r="CC544" s="131"/>
      <c r="CD544" s="131"/>
      <c r="CE544" s="131"/>
      <c r="CF544" s="131"/>
      <c r="CG544" s="131"/>
      <c r="CH544" s="131"/>
      <c r="CI544" s="131"/>
      <c r="CJ544" s="131"/>
      <c r="CK544" s="131"/>
      <c r="CL544" s="131"/>
      <c r="CM544" s="131"/>
      <c r="CN544" s="131"/>
      <c r="CO544" s="131"/>
      <c r="CP544" s="131"/>
      <c r="CQ544" s="131"/>
      <c r="CR544" s="131"/>
      <c r="CS544" s="131"/>
      <c r="CT544" s="131"/>
      <c r="CU544" s="131"/>
      <c r="CV544" s="131"/>
      <c r="CW544" s="131"/>
      <c r="CX544" s="131"/>
      <c r="CY544" s="131"/>
      <c r="CZ544" s="131"/>
      <c r="DA544" s="131"/>
      <c r="DB544" s="131"/>
      <c r="DC544" s="131"/>
      <c r="DD544" s="131"/>
      <c r="DE544" s="131"/>
      <c r="DF544" s="131"/>
      <c r="DG544" s="131"/>
      <c r="DH544" s="131"/>
      <c r="DI544" s="131"/>
      <c r="DJ544" s="131"/>
      <c r="DK544" s="131"/>
      <c r="DL544" s="131"/>
      <c r="DM544" s="131"/>
      <c r="DN544" s="131"/>
      <c r="DO544" s="131"/>
      <c r="DP544" s="131"/>
      <c r="DQ544" s="131"/>
      <c r="DR544" s="131"/>
      <c r="DS544" s="131"/>
      <c r="DT544" s="131"/>
      <c r="DU544" s="131"/>
      <c r="DV544" s="131"/>
      <c r="DW544" s="131"/>
      <c r="DX544" s="131"/>
      <c r="DY544" s="131"/>
      <c r="DZ544" s="131"/>
      <c r="EA544" s="131"/>
      <c r="EB544" s="131"/>
      <c r="EC544" s="131"/>
      <c r="ED544" s="131"/>
      <c r="EE544" s="131"/>
      <c r="EF544" s="131"/>
      <c r="EG544" s="131"/>
      <c r="EH544" s="131"/>
      <c r="EI544" s="131"/>
      <c r="EJ544" s="131"/>
      <c r="EK544" s="131"/>
      <c r="EL544" s="131"/>
      <c r="EM544" s="131"/>
      <c r="EN544" s="131"/>
      <c r="EO544" s="131"/>
      <c r="EP544" s="131"/>
      <c r="EQ544" s="131"/>
      <c r="ER544" s="131"/>
      <c r="ES544" s="131"/>
      <c r="ET544" s="131"/>
      <c r="EU544" s="131"/>
      <c r="EV544" s="131"/>
      <c r="EW544" s="131"/>
      <c r="EX544" s="131"/>
      <c r="EY544" s="131"/>
      <c r="EZ544" s="131"/>
      <c r="FA544" s="131"/>
      <c r="FB544" s="131"/>
      <c r="FC544" s="131"/>
      <c r="FD544" s="131"/>
      <c r="FE544" s="131"/>
      <c r="FF544" s="131"/>
      <c r="FG544" s="131"/>
      <c r="FH544" s="131"/>
      <c r="FI544" s="131"/>
      <c r="FJ544" s="131"/>
      <c r="FK544" s="131"/>
      <c r="FL544" s="131"/>
      <c r="FM544" s="131"/>
      <c r="FN544" s="131"/>
      <c r="FO544" s="131"/>
      <c r="FP544" s="131"/>
      <c r="FQ544" s="131"/>
      <c r="FR544" s="131"/>
      <c r="FS544" s="131"/>
      <c r="FT544" s="131"/>
      <c r="FU544" s="131"/>
      <c r="FV544" s="131"/>
      <c r="FW544" s="131"/>
      <c r="FX544" s="131"/>
      <c r="FY544" s="131"/>
      <c r="FZ544" s="131"/>
      <c r="GA544" s="131"/>
      <c r="GB544" s="131"/>
      <c r="GC544" s="131"/>
      <c r="GD544" s="131"/>
      <c r="GE544" s="131"/>
      <c r="GF544" s="131"/>
      <c r="GG544" s="131"/>
      <c r="GH544" s="131"/>
      <c r="GI544" s="131"/>
      <c r="GJ544" s="131"/>
      <c r="GK544" s="131"/>
      <c r="GL544" s="131"/>
      <c r="GM544" s="131"/>
      <c r="GN544" s="131"/>
      <c r="GO544" s="131"/>
      <c r="GP544" s="131"/>
      <c r="GQ544" s="131"/>
      <c r="GR544" s="131"/>
      <c r="GS544" s="131"/>
      <c r="GT544" s="131"/>
      <c r="GU544" s="131"/>
      <c r="GV544" s="131"/>
      <c r="GW544" s="131"/>
      <c r="GX544" s="131"/>
      <c r="GY544" s="131"/>
      <c r="GZ544" s="131"/>
      <c r="HA544" s="131"/>
      <c r="HB544" s="131"/>
      <c r="HC544" s="131"/>
      <c r="HD544" s="131"/>
      <c r="HE544" s="131"/>
      <c r="HF544" s="131"/>
      <c r="HG544" s="131"/>
      <c r="HH544" s="131"/>
      <c r="HI544" s="131"/>
      <c r="HJ544" s="131"/>
      <c r="HK544" s="131"/>
      <c r="HL544" s="131"/>
      <c r="HM544" s="131"/>
      <c r="HN544" s="131"/>
      <c r="HO544" s="131"/>
      <c r="HP544" s="131"/>
      <c r="HQ544" s="131"/>
      <c r="HR544" s="131"/>
      <c r="HS544" s="131"/>
      <c r="HT544" s="131"/>
      <c r="HU544" s="131"/>
      <c r="HV544" s="131"/>
      <c r="HW544" s="131"/>
      <c r="HX544" s="131"/>
      <c r="HY544" s="131"/>
      <c r="HZ544" s="131"/>
      <c r="IA544" s="131"/>
      <c r="IB544" s="131"/>
      <c r="IC544" s="131"/>
      <c r="ID544" s="131"/>
      <c r="IE544" s="131"/>
      <c r="IF544" s="131"/>
      <c r="IG544" s="131"/>
      <c r="IH544" s="131"/>
      <c r="II544" s="131"/>
      <c r="IJ544" s="131"/>
      <c r="IK544" s="131"/>
      <c r="IL544" s="131"/>
      <c r="IM544" s="131"/>
      <c r="IN544" s="131"/>
      <c r="IO544" s="131"/>
      <c r="IP544" s="131"/>
      <c r="IQ544" s="131"/>
      <c r="IR544" s="131"/>
      <c r="IS544" s="131"/>
      <c r="IT544" s="131"/>
      <c r="IU544" s="131"/>
      <c r="IV544" s="131"/>
    </row>
    <row r="545" spans="1:256" s="13" customFormat="1" ht="38.25" customHeight="1">
      <c r="A545" s="21" t="s">
        <v>1</v>
      </c>
      <c r="B545" s="246" t="s">
        <v>34</v>
      </c>
      <c r="C545" s="246" t="s">
        <v>25</v>
      </c>
      <c r="D545" s="246" t="s">
        <v>1044</v>
      </c>
      <c r="E545" s="246" t="s">
        <v>138</v>
      </c>
      <c r="F545" s="21" t="s">
        <v>1039</v>
      </c>
      <c r="G545" s="246" t="s">
        <v>98</v>
      </c>
      <c r="H545" s="21">
        <v>236220</v>
      </c>
      <c r="I545" s="21" t="s">
        <v>28</v>
      </c>
      <c r="J545" s="21" t="s">
        <v>109</v>
      </c>
      <c r="K545" s="21" t="s">
        <v>1974</v>
      </c>
      <c r="L545" s="21" t="s">
        <v>1974</v>
      </c>
      <c r="M545" s="22">
        <v>100000</v>
      </c>
      <c r="N545" s="22">
        <v>250000</v>
      </c>
      <c r="O545" s="21" t="s">
        <v>20</v>
      </c>
      <c r="P545" s="21" t="s">
        <v>278</v>
      </c>
      <c r="Q545" s="21" t="s">
        <v>279</v>
      </c>
      <c r="R545" s="21" t="s">
        <v>278</v>
      </c>
      <c r="S545" s="74">
        <v>2013</v>
      </c>
      <c r="T545" s="21" t="s">
        <v>1040</v>
      </c>
      <c r="U545" s="21" t="s">
        <v>1041</v>
      </c>
      <c r="V545" s="21" t="s">
        <v>1042</v>
      </c>
      <c r="W545" s="21" t="s">
        <v>66</v>
      </c>
      <c r="X545" s="246"/>
      <c r="Y545" s="130"/>
      <c r="Z545" s="130"/>
      <c r="AA545" s="130"/>
      <c r="AB545" s="130"/>
      <c r="AC545" s="130"/>
      <c r="AD545" s="131"/>
      <c r="AE545" s="131"/>
      <c r="AF545" s="131"/>
      <c r="AG545" s="131"/>
      <c r="AH545" s="131"/>
      <c r="AI545" s="131"/>
      <c r="AJ545" s="131"/>
      <c r="AK545" s="131"/>
      <c r="AL545" s="131"/>
      <c r="AM545" s="131"/>
      <c r="AN545" s="131"/>
      <c r="AO545" s="131"/>
      <c r="AP545" s="131"/>
      <c r="AQ545" s="131"/>
      <c r="AR545" s="131"/>
      <c r="AS545" s="131"/>
      <c r="AT545" s="131"/>
      <c r="AU545" s="131"/>
      <c r="AV545" s="131"/>
      <c r="AW545" s="131"/>
      <c r="AX545" s="131"/>
      <c r="AY545" s="131"/>
      <c r="AZ545" s="131"/>
      <c r="BA545" s="131"/>
      <c r="BB545" s="131"/>
      <c r="BC545" s="131"/>
      <c r="BD545" s="131"/>
      <c r="BE545" s="131"/>
      <c r="BF545" s="131"/>
      <c r="BG545" s="131"/>
      <c r="BH545" s="131"/>
      <c r="BI545" s="131"/>
      <c r="BJ545" s="131"/>
      <c r="BK545" s="131"/>
      <c r="BL545" s="131"/>
      <c r="BM545" s="131"/>
      <c r="BN545" s="131"/>
      <c r="BO545" s="131"/>
      <c r="BP545" s="131"/>
      <c r="BQ545" s="131"/>
      <c r="BR545" s="131"/>
      <c r="BS545" s="131"/>
      <c r="BT545" s="131"/>
      <c r="BU545" s="131"/>
      <c r="BV545" s="131"/>
      <c r="BW545" s="131"/>
      <c r="BX545" s="131"/>
      <c r="BY545" s="131"/>
      <c r="BZ545" s="131"/>
      <c r="CA545" s="131"/>
      <c r="CB545" s="131"/>
      <c r="CC545" s="131"/>
      <c r="CD545" s="131"/>
      <c r="CE545" s="131"/>
      <c r="CF545" s="131"/>
      <c r="CG545" s="131"/>
      <c r="CH545" s="131"/>
      <c r="CI545" s="131"/>
      <c r="CJ545" s="131"/>
      <c r="CK545" s="131"/>
      <c r="CL545" s="131"/>
      <c r="CM545" s="131"/>
      <c r="CN545" s="131"/>
      <c r="CO545" s="131"/>
      <c r="CP545" s="131"/>
      <c r="CQ545" s="131"/>
      <c r="CR545" s="131"/>
      <c r="CS545" s="131"/>
      <c r="CT545" s="131"/>
      <c r="CU545" s="131"/>
      <c r="CV545" s="131"/>
      <c r="CW545" s="131"/>
      <c r="CX545" s="131"/>
      <c r="CY545" s="131"/>
      <c r="CZ545" s="131"/>
      <c r="DA545" s="131"/>
      <c r="DB545" s="131"/>
      <c r="DC545" s="131"/>
      <c r="DD545" s="131"/>
      <c r="DE545" s="131"/>
      <c r="DF545" s="131"/>
      <c r="DG545" s="131"/>
      <c r="DH545" s="131"/>
      <c r="DI545" s="131"/>
      <c r="DJ545" s="131"/>
      <c r="DK545" s="131"/>
      <c r="DL545" s="131"/>
      <c r="DM545" s="131"/>
      <c r="DN545" s="131"/>
      <c r="DO545" s="131"/>
      <c r="DP545" s="131"/>
      <c r="DQ545" s="131"/>
      <c r="DR545" s="131"/>
      <c r="DS545" s="131"/>
      <c r="DT545" s="131"/>
      <c r="DU545" s="131"/>
      <c r="DV545" s="131"/>
      <c r="DW545" s="131"/>
      <c r="DX545" s="131"/>
      <c r="DY545" s="131"/>
      <c r="DZ545" s="131"/>
      <c r="EA545" s="131"/>
      <c r="EB545" s="131"/>
      <c r="EC545" s="131"/>
      <c r="ED545" s="131"/>
      <c r="EE545" s="131"/>
      <c r="EF545" s="131"/>
      <c r="EG545" s="131"/>
      <c r="EH545" s="131"/>
      <c r="EI545" s="131"/>
      <c r="EJ545" s="131"/>
      <c r="EK545" s="131"/>
      <c r="EL545" s="131"/>
      <c r="EM545" s="131"/>
      <c r="EN545" s="131"/>
      <c r="EO545" s="131"/>
      <c r="EP545" s="131"/>
      <c r="EQ545" s="131"/>
      <c r="ER545" s="131"/>
      <c r="ES545" s="131"/>
      <c r="ET545" s="131"/>
      <c r="EU545" s="131"/>
      <c r="EV545" s="131"/>
      <c r="EW545" s="131"/>
      <c r="EX545" s="131"/>
      <c r="EY545" s="131"/>
      <c r="EZ545" s="131"/>
      <c r="FA545" s="131"/>
      <c r="FB545" s="131"/>
      <c r="FC545" s="131"/>
      <c r="FD545" s="131"/>
      <c r="FE545" s="131"/>
      <c r="FF545" s="131"/>
      <c r="FG545" s="131"/>
      <c r="FH545" s="131"/>
      <c r="FI545" s="131"/>
      <c r="FJ545" s="131"/>
      <c r="FK545" s="131"/>
      <c r="FL545" s="131"/>
      <c r="FM545" s="131"/>
      <c r="FN545" s="131"/>
      <c r="FO545" s="131"/>
      <c r="FP545" s="131"/>
      <c r="FQ545" s="131"/>
      <c r="FR545" s="131"/>
      <c r="FS545" s="131"/>
      <c r="FT545" s="131"/>
      <c r="FU545" s="131"/>
      <c r="FV545" s="131"/>
      <c r="FW545" s="131"/>
      <c r="FX545" s="131"/>
      <c r="FY545" s="131"/>
      <c r="FZ545" s="131"/>
      <c r="GA545" s="131"/>
      <c r="GB545" s="131"/>
      <c r="GC545" s="131"/>
      <c r="GD545" s="131"/>
      <c r="GE545" s="131"/>
      <c r="GF545" s="131"/>
      <c r="GG545" s="131"/>
      <c r="GH545" s="131"/>
      <c r="GI545" s="131"/>
      <c r="GJ545" s="131"/>
      <c r="GK545" s="131"/>
      <c r="GL545" s="131"/>
      <c r="GM545" s="131"/>
      <c r="GN545" s="131"/>
      <c r="GO545" s="131"/>
      <c r="GP545" s="131"/>
      <c r="GQ545" s="131"/>
      <c r="GR545" s="131"/>
      <c r="GS545" s="131"/>
      <c r="GT545" s="131"/>
      <c r="GU545" s="131"/>
      <c r="GV545" s="131"/>
      <c r="GW545" s="131"/>
      <c r="GX545" s="131"/>
      <c r="GY545" s="131"/>
      <c r="GZ545" s="131"/>
      <c r="HA545" s="131"/>
      <c r="HB545" s="131"/>
      <c r="HC545" s="131"/>
      <c r="HD545" s="131"/>
      <c r="HE545" s="131"/>
      <c r="HF545" s="131"/>
      <c r="HG545" s="131"/>
      <c r="HH545" s="131"/>
      <c r="HI545" s="131"/>
      <c r="HJ545" s="131"/>
      <c r="HK545" s="131"/>
      <c r="HL545" s="131"/>
      <c r="HM545" s="131"/>
      <c r="HN545" s="131"/>
      <c r="HO545" s="131"/>
      <c r="HP545" s="131"/>
      <c r="HQ545" s="131"/>
      <c r="HR545" s="131"/>
      <c r="HS545" s="131"/>
      <c r="HT545" s="131"/>
      <c r="HU545" s="131"/>
      <c r="HV545" s="131"/>
      <c r="HW545" s="131"/>
      <c r="HX545" s="131"/>
      <c r="HY545" s="131"/>
      <c r="HZ545" s="131"/>
      <c r="IA545" s="131"/>
      <c r="IB545" s="131"/>
      <c r="IC545" s="131"/>
      <c r="ID545" s="131"/>
      <c r="IE545" s="131"/>
      <c r="IF545" s="131"/>
      <c r="IG545" s="131"/>
      <c r="IH545" s="131"/>
      <c r="II545" s="131"/>
      <c r="IJ545" s="131"/>
      <c r="IK545" s="131"/>
      <c r="IL545" s="131"/>
      <c r="IM545" s="131"/>
      <c r="IN545" s="131"/>
      <c r="IO545" s="131"/>
      <c r="IP545" s="131"/>
      <c r="IQ545" s="131"/>
      <c r="IR545" s="131"/>
      <c r="IS545" s="131"/>
      <c r="IT545" s="131"/>
      <c r="IU545" s="131"/>
      <c r="IV545" s="131"/>
    </row>
    <row r="546" spans="1:256" s="13" customFormat="1" ht="38.25" customHeight="1">
      <c r="A546" s="21" t="s">
        <v>1</v>
      </c>
      <c r="B546" s="246" t="s">
        <v>34</v>
      </c>
      <c r="C546" s="246" t="s">
        <v>25</v>
      </c>
      <c r="D546" s="246" t="s">
        <v>1045</v>
      </c>
      <c r="E546" s="246" t="s">
        <v>138</v>
      </c>
      <c r="F546" s="21" t="s">
        <v>1039</v>
      </c>
      <c r="G546" s="246" t="s">
        <v>98</v>
      </c>
      <c r="H546" s="21">
        <v>236220</v>
      </c>
      <c r="I546" s="21" t="s">
        <v>28</v>
      </c>
      <c r="J546" s="21" t="s">
        <v>109</v>
      </c>
      <c r="K546" s="21" t="s">
        <v>1974</v>
      </c>
      <c r="L546" s="21" t="s">
        <v>1974</v>
      </c>
      <c r="M546" s="22">
        <v>25000</v>
      </c>
      <c r="N546" s="22">
        <v>100000</v>
      </c>
      <c r="O546" s="21" t="s">
        <v>20</v>
      </c>
      <c r="P546" s="21" t="s">
        <v>278</v>
      </c>
      <c r="Q546" s="21" t="s">
        <v>279</v>
      </c>
      <c r="R546" s="21" t="s">
        <v>278</v>
      </c>
      <c r="S546" s="74">
        <v>2013</v>
      </c>
      <c r="T546" s="21" t="s">
        <v>1040</v>
      </c>
      <c r="U546" s="21" t="s">
        <v>1041</v>
      </c>
      <c r="V546" s="21" t="s">
        <v>1042</v>
      </c>
      <c r="W546" s="21" t="s">
        <v>66</v>
      </c>
      <c r="X546" s="246"/>
      <c r="Y546" s="130"/>
      <c r="Z546" s="130"/>
      <c r="AA546" s="130"/>
      <c r="AB546" s="130"/>
      <c r="AC546" s="130"/>
      <c r="AD546" s="131"/>
      <c r="AE546" s="131"/>
      <c r="AF546" s="131"/>
      <c r="AG546" s="131"/>
      <c r="AH546" s="131"/>
      <c r="AI546" s="131"/>
      <c r="AJ546" s="131"/>
      <c r="AK546" s="131"/>
      <c r="AL546" s="131"/>
      <c r="AM546" s="131"/>
      <c r="AN546" s="131"/>
      <c r="AO546" s="131"/>
      <c r="AP546" s="131"/>
      <c r="AQ546" s="131"/>
      <c r="AR546" s="131"/>
      <c r="AS546" s="131"/>
      <c r="AT546" s="131"/>
      <c r="AU546" s="131"/>
      <c r="AV546" s="131"/>
      <c r="AW546" s="131"/>
      <c r="AX546" s="131"/>
      <c r="AY546" s="131"/>
      <c r="AZ546" s="131"/>
      <c r="BA546" s="131"/>
      <c r="BB546" s="131"/>
      <c r="BC546" s="131"/>
      <c r="BD546" s="131"/>
      <c r="BE546" s="131"/>
      <c r="BF546" s="131"/>
      <c r="BG546" s="131"/>
      <c r="BH546" s="131"/>
      <c r="BI546" s="131"/>
      <c r="BJ546" s="131"/>
      <c r="BK546" s="131"/>
      <c r="BL546" s="131"/>
      <c r="BM546" s="131"/>
      <c r="BN546" s="131"/>
      <c r="BO546" s="131"/>
      <c r="BP546" s="131"/>
      <c r="BQ546" s="131"/>
      <c r="BR546" s="131"/>
      <c r="BS546" s="131"/>
      <c r="BT546" s="131"/>
      <c r="BU546" s="131"/>
      <c r="BV546" s="131"/>
      <c r="BW546" s="131"/>
      <c r="BX546" s="131"/>
      <c r="BY546" s="131"/>
      <c r="BZ546" s="131"/>
      <c r="CA546" s="131"/>
      <c r="CB546" s="131"/>
      <c r="CC546" s="131"/>
      <c r="CD546" s="131"/>
      <c r="CE546" s="131"/>
      <c r="CF546" s="131"/>
      <c r="CG546" s="131"/>
      <c r="CH546" s="131"/>
      <c r="CI546" s="131"/>
      <c r="CJ546" s="131"/>
      <c r="CK546" s="131"/>
      <c r="CL546" s="131"/>
      <c r="CM546" s="131"/>
      <c r="CN546" s="131"/>
      <c r="CO546" s="131"/>
      <c r="CP546" s="131"/>
      <c r="CQ546" s="131"/>
      <c r="CR546" s="131"/>
      <c r="CS546" s="131"/>
      <c r="CT546" s="131"/>
      <c r="CU546" s="131"/>
      <c r="CV546" s="131"/>
      <c r="CW546" s="131"/>
      <c r="CX546" s="131"/>
      <c r="CY546" s="131"/>
      <c r="CZ546" s="131"/>
      <c r="DA546" s="131"/>
      <c r="DB546" s="131"/>
      <c r="DC546" s="131"/>
      <c r="DD546" s="131"/>
      <c r="DE546" s="131"/>
      <c r="DF546" s="131"/>
      <c r="DG546" s="131"/>
      <c r="DH546" s="131"/>
      <c r="DI546" s="131"/>
      <c r="DJ546" s="131"/>
      <c r="DK546" s="131"/>
      <c r="DL546" s="131"/>
      <c r="DM546" s="131"/>
      <c r="DN546" s="131"/>
      <c r="DO546" s="131"/>
      <c r="DP546" s="131"/>
      <c r="DQ546" s="131"/>
      <c r="DR546" s="131"/>
      <c r="DS546" s="131"/>
      <c r="DT546" s="131"/>
      <c r="DU546" s="131"/>
      <c r="DV546" s="131"/>
      <c r="DW546" s="131"/>
      <c r="DX546" s="131"/>
      <c r="DY546" s="131"/>
      <c r="DZ546" s="131"/>
      <c r="EA546" s="131"/>
      <c r="EB546" s="131"/>
      <c r="EC546" s="131"/>
      <c r="ED546" s="131"/>
      <c r="EE546" s="131"/>
      <c r="EF546" s="131"/>
      <c r="EG546" s="131"/>
      <c r="EH546" s="131"/>
      <c r="EI546" s="131"/>
      <c r="EJ546" s="131"/>
      <c r="EK546" s="131"/>
      <c r="EL546" s="131"/>
      <c r="EM546" s="131"/>
      <c r="EN546" s="131"/>
      <c r="EO546" s="131"/>
      <c r="EP546" s="131"/>
      <c r="EQ546" s="131"/>
      <c r="ER546" s="131"/>
      <c r="ES546" s="131"/>
      <c r="ET546" s="131"/>
      <c r="EU546" s="131"/>
      <c r="EV546" s="131"/>
      <c r="EW546" s="131"/>
      <c r="EX546" s="131"/>
      <c r="EY546" s="131"/>
      <c r="EZ546" s="131"/>
      <c r="FA546" s="131"/>
      <c r="FB546" s="131"/>
      <c r="FC546" s="131"/>
      <c r="FD546" s="131"/>
      <c r="FE546" s="131"/>
      <c r="FF546" s="131"/>
      <c r="FG546" s="131"/>
      <c r="FH546" s="131"/>
      <c r="FI546" s="131"/>
      <c r="FJ546" s="131"/>
      <c r="FK546" s="131"/>
      <c r="FL546" s="131"/>
      <c r="FM546" s="131"/>
      <c r="FN546" s="131"/>
      <c r="FO546" s="131"/>
      <c r="FP546" s="131"/>
      <c r="FQ546" s="131"/>
      <c r="FR546" s="131"/>
      <c r="FS546" s="131"/>
      <c r="FT546" s="131"/>
      <c r="FU546" s="131"/>
      <c r="FV546" s="131"/>
      <c r="FW546" s="131"/>
      <c r="FX546" s="131"/>
      <c r="FY546" s="131"/>
      <c r="FZ546" s="131"/>
      <c r="GA546" s="131"/>
      <c r="GB546" s="131"/>
      <c r="GC546" s="131"/>
      <c r="GD546" s="131"/>
      <c r="GE546" s="131"/>
      <c r="GF546" s="131"/>
      <c r="GG546" s="131"/>
      <c r="GH546" s="131"/>
      <c r="GI546" s="131"/>
      <c r="GJ546" s="131"/>
      <c r="GK546" s="131"/>
      <c r="GL546" s="131"/>
      <c r="GM546" s="131"/>
      <c r="GN546" s="131"/>
      <c r="GO546" s="131"/>
      <c r="GP546" s="131"/>
      <c r="GQ546" s="131"/>
      <c r="GR546" s="131"/>
      <c r="GS546" s="131"/>
      <c r="GT546" s="131"/>
      <c r="GU546" s="131"/>
      <c r="GV546" s="131"/>
      <c r="GW546" s="131"/>
      <c r="GX546" s="131"/>
      <c r="GY546" s="131"/>
      <c r="GZ546" s="131"/>
      <c r="HA546" s="131"/>
      <c r="HB546" s="131"/>
      <c r="HC546" s="131"/>
      <c r="HD546" s="131"/>
      <c r="HE546" s="131"/>
      <c r="HF546" s="131"/>
      <c r="HG546" s="131"/>
      <c r="HH546" s="131"/>
      <c r="HI546" s="131"/>
      <c r="HJ546" s="131"/>
      <c r="HK546" s="131"/>
      <c r="HL546" s="131"/>
      <c r="HM546" s="131"/>
      <c r="HN546" s="131"/>
      <c r="HO546" s="131"/>
      <c r="HP546" s="131"/>
      <c r="HQ546" s="131"/>
      <c r="HR546" s="131"/>
      <c r="HS546" s="131"/>
      <c r="HT546" s="131"/>
      <c r="HU546" s="131"/>
      <c r="HV546" s="131"/>
      <c r="HW546" s="131"/>
      <c r="HX546" s="131"/>
      <c r="HY546" s="131"/>
      <c r="HZ546" s="131"/>
      <c r="IA546" s="131"/>
      <c r="IB546" s="131"/>
      <c r="IC546" s="131"/>
      <c r="ID546" s="131"/>
      <c r="IE546" s="131"/>
      <c r="IF546" s="131"/>
      <c r="IG546" s="131"/>
      <c r="IH546" s="131"/>
      <c r="II546" s="131"/>
      <c r="IJ546" s="131"/>
      <c r="IK546" s="131"/>
      <c r="IL546" s="131"/>
      <c r="IM546" s="131"/>
      <c r="IN546" s="131"/>
      <c r="IO546" s="131"/>
      <c r="IP546" s="131"/>
      <c r="IQ546" s="131"/>
      <c r="IR546" s="131"/>
      <c r="IS546" s="131"/>
      <c r="IT546" s="131"/>
      <c r="IU546" s="131"/>
      <c r="IV546" s="131"/>
    </row>
    <row r="547" spans="1:256" s="13" customFormat="1" ht="38.25" customHeight="1">
      <c r="A547" s="21" t="s">
        <v>1</v>
      </c>
      <c r="B547" s="246" t="s">
        <v>34</v>
      </c>
      <c r="C547" s="246" t="s">
        <v>25</v>
      </c>
      <c r="D547" s="246" t="s">
        <v>1046</v>
      </c>
      <c r="E547" s="246" t="s">
        <v>138</v>
      </c>
      <c r="F547" s="21" t="s">
        <v>1039</v>
      </c>
      <c r="G547" s="246" t="s">
        <v>98</v>
      </c>
      <c r="H547" s="21">
        <v>236220</v>
      </c>
      <c r="I547" s="21" t="s">
        <v>28</v>
      </c>
      <c r="J547" s="21" t="s">
        <v>109</v>
      </c>
      <c r="K547" s="21" t="s">
        <v>1974</v>
      </c>
      <c r="L547" s="21" t="s">
        <v>1974</v>
      </c>
      <c r="M547" s="22">
        <v>25000</v>
      </c>
      <c r="N547" s="22">
        <v>100000</v>
      </c>
      <c r="O547" s="21" t="s">
        <v>20</v>
      </c>
      <c r="P547" s="21" t="s">
        <v>278</v>
      </c>
      <c r="Q547" s="21" t="s">
        <v>279</v>
      </c>
      <c r="R547" s="21" t="s">
        <v>278</v>
      </c>
      <c r="S547" s="74">
        <v>2013</v>
      </c>
      <c r="T547" s="21" t="s">
        <v>1040</v>
      </c>
      <c r="U547" s="21" t="s">
        <v>1041</v>
      </c>
      <c r="V547" s="21" t="s">
        <v>1042</v>
      </c>
      <c r="W547" s="21" t="s">
        <v>66</v>
      </c>
      <c r="X547" s="246"/>
      <c r="Y547" s="130"/>
      <c r="Z547" s="130"/>
      <c r="AA547" s="130"/>
      <c r="AB547" s="130"/>
      <c r="AC547" s="130"/>
      <c r="AD547" s="131"/>
      <c r="AE547" s="131"/>
      <c r="AF547" s="131"/>
      <c r="AG547" s="131"/>
      <c r="AH547" s="131"/>
      <c r="AI547" s="131"/>
      <c r="AJ547" s="131"/>
      <c r="AK547" s="131"/>
      <c r="AL547" s="131"/>
      <c r="AM547" s="131"/>
      <c r="AN547" s="131"/>
      <c r="AO547" s="131"/>
      <c r="AP547" s="131"/>
      <c r="AQ547" s="131"/>
      <c r="AR547" s="131"/>
      <c r="AS547" s="131"/>
      <c r="AT547" s="131"/>
      <c r="AU547" s="131"/>
      <c r="AV547" s="131"/>
      <c r="AW547" s="131"/>
      <c r="AX547" s="131"/>
      <c r="AY547" s="131"/>
      <c r="AZ547" s="131"/>
      <c r="BA547" s="131"/>
      <c r="BB547" s="131"/>
      <c r="BC547" s="131"/>
      <c r="BD547" s="131"/>
      <c r="BE547" s="131"/>
      <c r="BF547" s="131"/>
      <c r="BG547" s="131"/>
      <c r="BH547" s="131"/>
      <c r="BI547" s="131"/>
      <c r="BJ547" s="131"/>
      <c r="BK547" s="131"/>
      <c r="BL547" s="131"/>
      <c r="BM547" s="131"/>
      <c r="BN547" s="131"/>
      <c r="BO547" s="131"/>
      <c r="BP547" s="131"/>
      <c r="BQ547" s="131"/>
      <c r="BR547" s="131"/>
      <c r="BS547" s="131"/>
      <c r="BT547" s="131"/>
      <c r="BU547" s="131"/>
      <c r="BV547" s="131"/>
      <c r="BW547" s="131"/>
      <c r="BX547" s="131"/>
      <c r="BY547" s="131"/>
      <c r="BZ547" s="131"/>
      <c r="CA547" s="131"/>
      <c r="CB547" s="131"/>
      <c r="CC547" s="131"/>
      <c r="CD547" s="131"/>
      <c r="CE547" s="131"/>
      <c r="CF547" s="131"/>
      <c r="CG547" s="131"/>
      <c r="CH547" s="131"/>
      <c r="CI547" s="131"/>
      <c r="CJ547" s="131"/>
      <c r="CK547" s="131"/>
      <c r="CL547" s="131"/>
      <c r="CM547" s="131"/>
      <c r="CN547" s="131"/>
      <c r="CO547" s="131"/>
      <c r="CP547" s="131"/>
      <c r="CQ547" s="131"/>
      <c r="CR547" s="131"/>
      <c r="CS547" s="131"/>
      <c r="CT547" s="131"/>
      <c r="CU547" s="131"/>
      <c r="CV547" s="131"/>
      <c r="CW547" s="131"/>
      <c r="CX547" s="131"/>
      <c r="CY547" s="131"/>
      <c r="CZ547" s="131"/>
      <c r="DA547" s="131"/>
      <c r="DB547" s="131"/>
      <c r="DC547" s="131"/>
      <c r="DD547" s="131"/>
      <c r="DE547" s="131"/>
      <c r="DF547" s="131"/>
      <c r="DG547" s="131"/>
      <c r="DH547" s="131"/>
      <c r="DI547" s="131"/>
      <c r="DJ547" s="131"/>
      <c r="DK547" s="131"/>
      <c r="DL547" s="131"/>
      <c r="DM547" s="131"/>
      <c r="DN547" s="131"/>
      <c r="DO547" s="131"/>
      <c r="DP547" s="131"/>
      <c r="DQ547" s="131"/>
      <c r="DR547" s="131"/>
      <c r="DS547" s="131"/>
      <c r="DT547" s="131"/>
      <c r="DU547" s="131"/>
      <c r="DV547" s="131"/>
      <c r="DW547" s="131"/>
      <c r="DX547" s="131"/>
      <c r="DY547" s="131"/>
      <c r="DZ547" s="131"/>
      <c r="EA547" s="131"/>
      <c r="EB547" s="131"/>
      <c r="EC547" s="131"/>
      <c r="ED547" s="131"/>
      <c r="EE547" s="131"/>
      <c r="EF547" s="131"/>
      <c r="EG547" s="131"/>
      <c r="EH547" s="131"/>
      <c r="EI547" s="131"/>
      <c r="EJ547" s="131"/>
      <c r="EK547" s="131"/>
      <c r="EL547" s="131"/>
      <c r="EM547" s="131"/>
      <c r="EN547" s="131"/>
      <c r="EO547" s="131"/>
      <c r="EP547" s="131"/>
      <c r="EQ547" s="131"/>
      <c r="ER547" s="131"/>
      <c r="ES547" s="131"/>
      <c r="ET547" s="131"/>
      <c r="EU547" s="131"/>
      <c r="EV547" s="131"/>
      <c r="EW547" s="131"/>
      <c r="EX547" s="131"/>
      <c r="EY547" s="131"/>
      <c r="EZ547" s="131"/>
      <c r="FA547" s="131"/>
      <c r="FB547" s="131"/>
      <c r="FC547" s="131"/>
      <c r="FD547" s="131"/>
      <c r="FE547" s="131"/>
      <c r="FF547" s="131"/>
      <c r="FG547" s="131"/>
      <c r="FH547" s="131"/>
      <c r="FI547" s="131"/>
      <c r="FJ547" s="131"/>
      <c r="FK547" s="131"/>
      <c r="FL547" s="131"/>
      <c r="FM547" s="131"/>
      <c r="FN547" s="131"/>
      <c r="FO547" s="131"/>
      <c r="FP547" s="131"/>
      <c r="FQ547" s="131"/>
      <c r="FR547" s="131"/>
      <c r="FS547" s="131"/>
      <c r="FT547" s="131"/>
      <c r="FU547" s="131"/>
      <c r="FV547" s="131"/>
      <c r="FW547" s="131"/>
      <c r="FX547" s="131"/>
      <c r="FY547" s="131"/>
      <c r="FZ547" s="131"/>
      <c r="GA547" s="131"/>
      <c r="GB547" s="131"/>
      <c r="GC547" s="131"/>
      <c r="GD547" s="131"/>
      <c r="GE547" s="131"/>
      <c r="GF547" s="131"/>
      <c r="GG547" s="131"/>
      <c r="GH547" s="131"/>
      <c r="GI547" s="131"/>
      <c r="GJ547" s="131"/>
      <c r="GK547" s="131"/>
      <c r="GL547" s="131"/>
      <c r="GM547" s="131"/>
      <c r="GN547" s="131"/>
      <c r="GO547" s="131"/>
      <c r="GP547" s="131"/>
      <c r="GQ547" s="131"/>
      <c r="GR547" s="131"/>
      <c r="GS547" s="131"/>
      <c r="GT547" s="131"/>
      <c r="GU547" s="131"/>
      <c r="GV547" s="131"/>
      <c r="GW547" s="131"/>
      <c r="GX547" s="131"/>
      <c r="GY547" s="131"/>
      <c r="GZ547" s="131"/>
      <c r="HA547" s="131"/>
      <c r="HB547" s="131"/>
      <c r="HC547" s="131"/>
      <c r="HD547" s="131"/>
      <c r="HE547" s="131"/>
      <c r="HF547" s="131"/>
      <c r="HG547" s="131"/>
      <c r="HH547" s="131"/>
      <c r="HI547" s="131"/>
      <c r="HJ547" s="131"/>
      <c r="HK547" s="131"/>
      <c r="HL547" s="131"/>
      <c r="HM547" s="131"/>
      <c r="HN547" s="131"/>
      <c r="HO547" s="131"/>
      <c r="HP547" s="131"/>
      <c r="HQ547" s="131"/>
      <c r="HR547" s="131"/>
      <c r="HS547" s="131"/>
      <c r="HT547" s="131"/>
      <c r="HU547" s="131"/>
      <c r="HV547" s="131"/>
      <c r="HW547" s="131"/>
      <c r="HX547" s="131"/>
      <c r="HY547" s="131"/>
      <c r="HZ547" s="131"/>
      <c r="IA547" s="131"/>
      <c r="IB547" s="131"/>
      <c r="IC547" s="131"/>
      <c r="ID547" s="131"/>
      <c r="IE547" s="131"/>
      <c r="IF547" s="131"/>
      <c r="IG547" s="131"/>
      <c r="IH547" s="131"/>
      <c r="II547" s="131"/>
      <c r="IJ547" s="131"/>
      <c r="IK547" s="131"/>
      <c r="IL547" s="131"/>
      <c r="IM547" s="131"/>
      <c r="IN547" s="131"/>
      <c r="IO547" s="131"/>
      <c r="IP547" s="131"/>
      <c r="IQ547" s="131"/>
      <c r="IR547" s="131"/>
      <c r="IS547" s="131"/>
      <c r="IT547" s="131"/>
      <c r="IU547" s="131"/>
      <c r="IV547" s="131"/>
    </row>
    <row r="548" spans="1:256" s="13" customFormat="1" ht="38.25" customHeight="1">
      <c r="A548" s="21" t="s">
        <v>1</v>
      </c>
      <c r="B548" s="246" t="s">
        <v>34</v>
      </c>
      <c r="C548" s="246" t="s">
        <v>25</v>
      </c>
      <c r="D548" s="246" t="s">
        <v>1047</v>
      </c>
      <c r="E548" s="246" t="s">
        <v>138</v>
      </c>
      <c r="F548" s="21" t="s">
        <v>1039</v>
      </c>
      <c r="G548" s="246" t="s">
        <v>98</v>
      </c>
      <c r="H548" s="21">
        <v>236220</v>
      </c>
      <c r="I548" s="21" t="s">
        <v>28</v>
      </c>
      <c r="J548" s="21" t="s">
        <v>109</v>
      </c>
      <c r="K548" s="21" t="s">
        <v>1974</v>
      </c>
      <c r="L548" s="21" t="s">
        <v>1974</v>
      </c>
      <c r="M548" s="22">
        <v>1000</v>
      </c>
      <c r="N548" s="22">
        <v>25000</v>
      </c>
      <c r="O548" s="21" t="s">
        <v>9</v>
      </c>
      <c r="P548" s="21" t="s">
        <v>278</v>
      </c>
      <c r="Q548" s="21" t="s">
        <v>279</v>
      </c>
      <c r="R548" s="21" t="s">
        <v>278</v>
      </c>
      <c r="S548" s="74">
        <v>2013</v>
      </c>
      <c r="T548" s="21" t="s">
        <v>1040</v>
      </c>
      <c r="U548" s="21" t="s">
        <v>1041</v>
      </c>
      <c r="V548" s="21" t="s">
        <v>1042</v>
      </c>
      <c r="W548" s="21" t="s">
        <v>66</v>
      </c>
      <c r="X548" s="246"/>
      <c r="Y548" s="130"/>
      <c r="Z548" s="130"/>
      <c r="AA548" s="130"/>
      <c r="AB548" s="130"/>
      <c r="AC548" s="130"/>
      <c r="AD548" s="131"/>
      <c r="AE548" s="131"/>
      <c r="AF548" s="131"/>
      <c r="AG548" s="131"/>
      <c r="AH548" s="131"/>
      <c r="AI548" s="131"/>
      <c r="AJ548" s="131"/>
      <c r="AK548" s="131"/>
      <c r="AL548" s="131"/>
      <c r="AM548" s="131"/>
      <c r="AN548" s="131"/>
      <c r="AO548" s="131"/>
      <c r="AP548" s="131"/>
      <c r="AQ548" s="131"/>
      <c r="AR548" s="131"/>
      <c r="AS548" s="131"/>
      <c r="AT548" s="131"/>
      <c r="AU548" s="131"/>
      <c r="AV548" s="131"/>
      <c r="AW548" s="131"/>
      <c r="AX548" s="131"/>
      <c r="AY548" s="131"/>
      <c r="AZ548" s="131"/>
      <c r="BA548" s="131"/>
      <c r="BB548" s="131"/>
      <c r="BC548" s="131"/>
      <c r="BD548" s="131"/>
      <c r="BE548" s="131"/>
      <c r="BF548" s="131"/>
      <c r="BG548" s="131"/>
      <c r="BH548" s="131"/>
      <c r="BI548" s="131"/>
      <c r="BJ548" s="131"/>
      <c r="BK548" s="131"/>
      <c r="BL548" s="131"/>
      <c r="BM548" s="131"/>
      <c r="BN548" s="131"/>
      <c r="BO548" s="131"/>
      <c r="BP548" s="131"/>
      <c r="BQ548" s="131"/>
      <c r="BR548" s="131"/>
      <c r="BS548" s="131"/>
      <c r="BT548" s="131"/>
      <c r="BU548" s="131"/>
      <c r="BV548" s="131"/>
      <c r="BW548" s="131"/>
      <c r="BX548" s="131"/>
      <c r="BY548" s="131"/>
      <c r="BZ548" s="131"/>
      <c r="CA548" s="131"/>
      <c r="CB548" s="131"/>
      <c r="CC548" s="131"/>
      <c r="CD548" s="131"/>
      <c r="CE548" s="131"/>
      <c r="CF548" s="131"/>
      <c r="CG548" s="131"/>
      <c r="CH548" s="131"/>
      <c r="CI548" s="131"/>
      <c r="CJ548" s="131"/>
      <c r="CK548" s="131"/>
      <c r="CL548" s="131"/>
      <c r="CM548" s="131"/>
      <c r="CN548" s="131"/>
      <c r="CO548" s="131"/>
      <c r="CP548" s="131"/>
      <c r="CQ548" s="131"/>
      <c r="CR548" s="131"/>
      <c r="CS548" s="131"/>
      <c r="CT548" s="131"/>
      <c r="CU548" s="131"/>
      <c r="CV548" s="131"/>
      <c r="CW548" s="131"/>
      <c r="CX548" s="131"/>
      <c r="CY548" s="131"/>
      <c r="CZ548" s="131"/>
      <c r="DA548" s="131"/>
      <c r="DB548" s="131"/>
      <c r="DC548" s="131"/>
      <c r="DD548" s="131"/>
      <c r="DE548" s="131"/>
      <c r="DF548" s="131"/>
      <c r="DG548" s="131"/>
      <c r="DH548" s="131"/>
      <c r="DI548" s="131"/>
      <c r="DJ548" s="131"/>
      <c r="DK548" s="131"/>
      <c r="DL548" s="131"/>
      <c r="DM548" s="131"/>
      <c r="DN548" s="131"/>
      <c r="DO548" s="131"/>
      <c r="DP548" s="131"/>
      <c r="DQ548" s="131"/>
      <c r="DR548" s="131"/>
      <c r="DS548" s="131"/>
      <c r="DT548" s="131"/>
      <c r="DU548" s="131"/>
      <c r="DV548" s="131"/>
      <c r="DW548" s="131"/>
      <c r="DX548" s="131"/>
      <c r="DY548" s="131"/>
      <c r="DZ548" s="131"/>
      <c r="EA548" s="131"/>
      <c r="EB548" s="131"/>
      <c r="EC548" s="131"/>
      <c r="ED548" s="131"/>
      <c r="EE548" s="131"/>
      <c r="EF548" s="131"/>
      <c r="EG548" s="131"/>
      <c r="EH548" s="131"/>
      <c r="EI548" s="131"/>
      <c r="EJ548" s="131"/>
      <c r="EK548" s="131"/>
      <c r="EL548" s="131"/>
      <c r="EM548" s="131"/>
      <c r="EN548" s="131"/>
      <c r="EO548" s="131"/>
      <c r="EP548" s="131"/>
      <c r="EQ548" s="131"/>
      <c r="ER548" s="131"/>
      <c r="ES548" s="131"/>
      <c r="ET548" s="131"/>
      <c r="EU548" s="131"/>
      <c r="EV548" s="131"/>
      <c r="EW548" s="131"/>
      <c r="EX548" s="131"/>
      <c r="EY548" s="131"/>
      <c r="EZ548" s="131"/>
      <c r="FA548" s="131"/>
      <c r="FB548" s="131"/>
      <c r="FC548" s="131"/>
      <c r="FD548" s="131"/>
      <c r="FE548" s="131"/>
      <c r="FF548" s="131"/>
      <c r="FG548" s="131"/>
      <c r="FH548" s="131"/>
      <c r="FI548" s="131"/>
      <c r="FJ548" s="131"/>
      <c r="FK548" s="131"/>
      <c r="FL548" s="131"/>
      <c r="FM548" s="131"/>
      <c r="FN548" s="131"/>
      <c r="FO548" s="131"/>
      <c r="FP548" s="131"/>
      <c r="FQ548" s="131"/>
      <c r="FR548" s="131"/>
      <c r="FS548" s="131"/>
      <c r="FT548" s="131"/>
      <c r="FU548" s="131"/>
      <c r="FV548" s="131"/>
      <c r="FW548" s="131"/>
      <c r="FX548" s="131"/>
      <c r="FY548" s="131"/>
      <c r="FZ548" s="131"/>
      <c r="GA548" s="131"/>
      <c r="GB548" s="131"/>
      <c r="GC548" s="131"/>
      <c r="GD548" s="131"/>
      <c r="GE548" s="131"/>
      <c r="GF548" s="131"/>
      <c r="GG548" s="131"/>
      <c r="GH548" s="131"/>
      <c r="GI548" s="131"/>
      <c r="GJ548" s="131"/>
      <c r="GK548" s="131"/>
      <c r="GL548" s="131"/>
      <c r="GM548" s="131"/>
      <c r="GN548" s="131"/>
      <c r="GO548" s="131"/>
      <c r="GP548" s="131"/>
      <c r="GQ548" s="131"/>
      <c r="GR548" s="131"/>
      <c r="GS548" s="131"/>
      <c r="GT548" s="131"/>
      <c r="GU548" s="131"/>
      <c r="GV548" s="131"/>
      <c r="GW548" s="131"/>
      <c r="GX548" s="131"/>
      <c r="GY548" s="131"/>
      <c r="GZ548" s="131"/>
      <c r="HA548" s="131"/>
      <c r="HB548" s="131"/>
      <c r="HC548" s="131"/>
      <c r="HD548" s="131"/>
      <c r="HE548" s="131"/>
      <c r="HF548" s="131"/>
      <c r="HG548" s="131"/>
      <c r="HH548" s="131"/>
      <c r="HI548" s="131"/>
      <c r="HJ548" s="131"/>
      <c r="HK548" s="131"/>
      <c r="HL548" s="131"/>
      <c r="HM548" s="131"/>
      <c r="HN548" s="131"/>
      <c r="HO548" s="131"/>
      <c r="HP548" s="131"/>
      <c r="HQ548" s="131"/>
      <c r="HR548" s="131"/>
      <c r="HS548" s="131"/>
      <c r="HT548" s="131"/>
      <c r="HU548" s="131"/>
      <c r="HV548" s="131"/>
      <c r="HW548" s="131"/>
      <c r="HX548" s="131"/>
      <c r="HY548" s="131"/>
      <c r="HZ548" s="131"/>
      <c r="IA548" s="131"/>
      <c r="IB548" s="131"/>
      <c r="IC548" s="131"/>
      <c r="ID548" s="131"/>
      <c r="IE548" s="131"/>
      <c r="IF548" s="131"/>
      <c r="IG548" s="131"/>
      <c r="IH548" s="131"/>
      <c r="II548" s="131"/>
      <c r="IJ548" s="131"/>
      <c r="IK548" s="131"/>
      <c r="IL548" s="131"/>
      <c r="IM548" s="131"/>
      <c r="IN548" s="131"/>
      <c r="IO548" s="131"/>
      <c r="IP548" s="131"/>
      <c r="IQ548" s="131"/>
      <c r="IR548" s="131"/>
      <c r="IS548" s="131"/>
      <c r="IT548" s="131"/>
      <c r="IU548" s="131"/>
      <c r="IV548" s="131"/>
    </row>
    <row r="549" spans="1:256" s="13" customFormat="1" ht="38.25" customHeight="1">
      <c r="A549" s="21" t="s">
        <v>1</v>
      </c>
      <c r="B549" s="246" t="s">
        <v>34</v>
      </c>
      <c r="C549" s="246" t="s">
        <v>25</v>
      </c>
      <c r="D549" s="246" t="s">
        <v>1048</v>
      </c>
      <c r="E549" s="246" t="s">
        <v>138</v>
      </c>
      <c r="F549" s="21" t="s">
        <v>1039</v>
      </c>
      <c r="G549" s="246" t="s">
        <v>98</v>
      </c>
      <c r="H549" s="21">
        <v>236220</v>
      </c>
      <c r="I549" s="21" t="s">
        <v>28</v>
      </c>
      <c r="J549" s="21" t="s">
        <v>109</v>
      </c>
      <c r="K549" s="21" t="s">
        <v>1974</v>
      </c>
      <c r="L549" s="21" t="s">
        <v>1974</v>
      </c>
      <c r="M549" s="22">
        <v>250000</v>
      </c>
      <c r="N549" s="22">
        <v>500000</v>
      </c>
      <c r="O549" s="21" t="s">
        <v>20</v>
      </c>
      <c r="P549" s="21" t="s">
        <v>278</v>
      </c>
      <c r="Q549" s="21" t="s">
        <v>279</v>
      </c>
      <c r="R549" s="21" t="s">
        <v>278</v>
      </c>
      <c r="S549" s="74">
        <v>2013</v>
      </c>
      <c r="T549" s="21" t="s">
        <v>1040</v>
      </c>
      <c r="U549" s="21" t="s">
        <v>1041</v>
      </c>
      <c r="V549" s="21" t="s">
        <v>1042</v>
      </c>
      <c r="W549" s="21" t="s">
        <v>66</v>
      </c>
      <c r="X549" s="246"/>
      <c r="Y549" s="130"/>
      <c r="Z549" s="130"/>
      <c r="AA549" s="130"/>
      <c r="AB549" s="130"/>
      <c r="AC549" s="130"/>
      <c r="AD549" s="131"/>
      <c r="AE549" s="131"/>
      <c r="AF549" s="131"/>
      <c r="AG549" s="131"/>
      <c r="AH549" s="131"/>
      <c r="AI549" s="131"/>
      <c r="AJ549" s="131"/>
      <c r="AK549" s="131"/>
      <c r="AL549" s="131"/>
      <c r="AM549" s="131"/>
      <c r="AN549" s="131"/>
      <c r="AO549" s="131"/>
      <c r="AP549" s="131"/>
      <c r="AQ549" s="131"/>
      <c r="AR549" s="131"/>
      <c r="AS549" s="131"/>
      <c r="AT549" s="131"/>
      <c r="AU549" s="131"/>
      <c r="AV549" s="131"/>
      <c r="AW549" s="131"/>
      <c r="AX549" s="131"/>
      <c r="AY549" s="131"/>
      <c r="AZ549" s="131"/>
      <c r="BA549" s="131"/>
      <c r="BB549" s="131"/>
      <c r="BC549" s="131"/>
      <c r="BD549" s="131"/>
      <c r="BE549" s="131"/>
      <c r="BF549" s="131"/>
      <c r="BG549" s="131"/>
      <c r="BH549" s="131"/>
      <c r="BI549" s="131"/>
      <c r="BJ549" s="131"/>
      <c r="BK549" s="131"/>
      <c r="BL549" s="131"/>
      <c r="BM549" s="131"/>
      <c r="BN549" s="131"/>
      <c r="BO549" s="131"/>
      <c r="BP549" s="131"/>
      <c r="BQ549" s="131"/>
      <c r="BR549" s="131"/>
      <c r="BS549" s="131"/>
      <c r="BT549" s="131"/>
      <c r="BU549" s="131"/>
      <c r="BV549" s="131"/>
      <c r="BW549" s="131"/>
      <c r="BX549" s="131"/>
      <c r="BY549" s="131"/>
      <c r="BZ549" s="131"/>
      <c r="CA549" s="131"/>
      <c r="CB549" s="131"/>
      <c r="CC549" s="131"/>
      <c r="CD549" s="131"/>
      <c r="CE549" s="131"/>
      <c r="CF549" s="131"/>
      <c r="CG549" s="131"/>
      <c r="CH549" s="131"/>
      <c r="CI549" s="131"/>
      <c r="CJ549" s="131"/>
      <c r="CK549" s="131"/>
      <c r="CL549" s="131"/>
      <c r="CM549" s="131"/>
      <c r="CN549" s="131"/>
      <c r="CO549" s="131"/>
      <c r="CP549" s="131"/>
      <c r="CQ549" s="131"/>
      <c r="CR549" s="131"/>
      <c r="CS549" s="131"/>
      <c r="CT549" s="131"/>
      <c r="CU549" s="131"/>
      <c r="CV549" s="131"/>
      <c r="CW549" s="131"/>
      <c r="CX549" s="131"/>
      <c r="CY549" s="131"/>
      <c r="CZ549" s="131"/>
      <c r="DA549" s="131"/>
      <c r="DB549" s="131"/>
      <c r="DC549" s="131"/>
      <c r="DD549" s="131"/>
      <c r="DE549" s="131"/>
      <c r="DF549" s="131"/>
      <c r="DG549" s="131"/>
      <c r="DH549" s="131"/>
      <c r="DI549" s="131"/>
      <c r="DJ549" s="131"/>
      <c r="DK549" s="131"/>
      <c r="DL549" s="131"/>
      <c r="DM549" s="131"/>
      <c r="DN549" s="131"/>
      <c r="DO549" s="131"/>
      <c r="DP549" s="131"/>
      <c r="DQ549" s="131"/>
      <c r="DR549" s="131"/>
      <c r="DS549" s="131"/>
      <c r="DT549" s="131"/>
      <c r="DU549" s="131"/>
      <c r="DV549" s="131"/>
      <c r="DW549" s="131"/>
      <c r="DX549" s="131"/>
      <c r="DY549" s="131"/>
      <c r="DZ549" s="131"/>
      <c r="EA549" s="131"/>
      <c r="EB549" s="131"/>
      <c r="EC549" s="131"/>
      <c r="ED549" s="131"/>
      <c r="EE549" s="131"/>
      <c r="EF549" s="131"/>
      <c r="EG549" s="131"/>
      <c r="EH549" s="131"/>
      <c r="EI549" s="131"/>
      <c r="EJ549" s="131"/>
      <c r="EK549" s="131"/>
      <c r="EL549" s="131"/>
      <c r="EM549" s="131"/>
      <c r="EN549" s="131"/>
      <c r="EO549" s="131"/>
      <c r="EP549" s="131"/>
      <c r="EQ549" s="131"/>
      <c r="ER549" s="131"/>
      <c r="ES549" s="131"/>
      <c r="ET549" s="131"/>
      <c r="EU549" s="131"/>
      <c r="EV549" s="131"/>
      <c r="EW549" s="131"/>
      <c r="EX549" s="131"/>
      <c r="EY549" s="131"/>
      <c r="EZ549" s="131"/>
      <c r="FA549" s="131"/>
      <c r="FB549" s="131"/>
      <c r="FC549" s="131"/>
      <c r="FD549" s="131"/>
      <c r="FE549" s="131"/>
      <c r="FF549" s="131"/>
      <c r="FG549" s="131"/>
      <c r="FH549" s="131"/>
      <c r="FI549" s="131"/>
      <c r="FJ549" s="131"/>
      <c r="FK549" s="131"/>
      <c r="FL549" s="131"/>
      <c r="FM549" s="131"/>
      <c r="FN549" s="131"/>
      <c r="FO549" s="131"/>
      <c r="FP549" s="131"/>
      <c r="FQ549" s="131"/>
      <c r="FR549" s="131"/>
      <c r="FS549" s="131"/>
      <c r="FT549" s="131"/>
      <c r="FU549" s="131"/>
      <c r="FV549" s="131"/>
      <c r="FW549" s="131"/>
      <c r="FX549" s="131"/>
      <c r="FY549" s="131"/>
      <c r="FZ549" s="131"/>
      <c r="GA549" s="131"/>
      <c r="GB549" s="131"/>
      <c r="GC549" s="131"/>
      <c r="GD549" s="131"/>
      <c r="GE549" s="131"/>
      <c r="GF549" s="131"/>
      <c r="GG549" s="131"/>
      <c r="GH549" s="131"/>
      <c r="GI549" s="131"/>
      <c r="GJ549" s="131"/>
      <c r="GK549" s="131"/>
      <c r="GL549" s="131"/>
      <c r="GM549" s="131"/>
      <c r="GN549" s="131"/>
      <c r="GO549" s="131"/>
      <c r="GP549" s="131"/>
      <c r="GQ549" s="131"/>
      <c r="GR549" s="131"/>
      <c r="GS549" s="131"/>
      <c r="GT549" s="131"/>
      <c r="GU549" s="131"/>
      <c r="GV549" s="131"/>
      <c r="GW549" s="131"/>
      <c r="GX549" s="131"/>
      <c r="GY549" s="131"/>
      <c r="GZ549" s="131"/>
      <c r="HA549" s="131"/>
      <c r="HB549" s="131"/>
      <c r="HC549" s="131"/>
      <c r="HD549" s="131"/>
      <c r="HE549" s="131"/>
      <c r="HF549" s="131"/>
      <c r="HG549" s="131"/>
      <c r="HH549" s="131"/>
      <c r="HI549" s="131"/>
      <c r="HJ549" s="131"/>
      <c r="HK549" s="131"/>
      <c r="HL549" s="131"/>
      <c r="HM549" s="131"/>
      <c r="HN549" s="131"/>
      <c r="HO549" s="131"/>
      <c r="HP549" s="131"/>
      <c r="HQ549" s="131"/>
      <c r="HR549" s="131"/>
      <c r="HS549" s="131"/>
      <c r="HT549" s="131"/>
      <c r="HU549" s="131"/>
      <c r="HV549" s="131"/>
      <c r="HW549" s="131"/>
      <c r="HX549" s="131"/>
      <c r="HY549" s="131"/>
      <c r="HZ549" s="131"/>
      <c r="IA549" s="131"/>
      <c r="IB549" s="131"/>
      <c r="IC549" s="131"/>
      <c r="ID549" s="131"/>
      <c r="IE549" s="131"/>
      <c r="IF549" s="131"/>
      <c r="IG549" s="131"/>
      <c r="IH549" s="131"/>
      <c r="II549" s="131"/>
      <c r="IJ549" s="131"/>
      <c r="IK549" s="131"/>
      <c r="IL549" s="131"/>
      <c r="IM549" s="131"/>
      <c r="IN549" s="131"/>
      <c r="IO549" s="131"/>
      <c r="IP549" s="131"/>
      <c r="IQ549" s="131"/>
      <c r="IR549" s="131"/>
      <c r="IS549" s="131"/>
      <c r="IT549" s="131"/>
      <c r="IU549" s="131"/>
      <c r="IV549" s="131"/>
    </row>
    <row r="550" spans="1:256" s="13" customFormat="1" ht="38.25" customHeight="1">
      <c r="A550" s="21" t="s">
        <v>1</v>
      </c>
      <c r="B550" s="246" t="s">
        <v>34</v>
      </c>
      <c r="C550" s="246" t="s">
        <v>25</v>
      </c>
      <c r="D550" s="246" t="s">
        <v>1049</v>
      </c>
      <c r="E550" s="246" t="s">
        <v>138</v>
      </c>
      <c r="F550" s="21" t="s">
        <v>1039</v>
      </c>
      <c r="G550" s="246" t="s">
        <v>98</v>
      </c>
      <c r="H550" s="21">
        <v>236220</v>
      </c>
      <c r="I550" s="21" t="s">
        <v>28</v>
      </c>
      <c r="J550" s="21" t="s">
        <v>109</v>
      </c>
      <c r="K550" s="21" t="s">
        <v>1974</v>
      </c>
      <c r="L550" s="21" t="s">
        <v>1974</v>
      </c>
      <c r="M550" s="22">
        <v>1000000</v>
      </c>
      <c r="N550" s="22">
        <v>5000000</v>
      </c>
      <c r="O550" s="21" t="s">
        <v>20</v>
      </c>
      <c r="P550" s="21" t="s">
        <v>278</v>
      </c>
      <c r="Q550" s="21" t="s">
        <v>279</v>
      </c>
      <c r="R550" s="21" t="s">
        <v>278</v>
      </c>
      <c r="S550" s="74">
        <v>2013</v>
      </c>
      <c r="T550" s="21" t="s">
        <v>1040</v>
      </c>
      <c r="U550" s="21" t="s">
        <v>1041</v>
      </c>
      <c r="V550" s="21" t="s">
        <v>1042</v>
      </c>
      <c r="W550" s="21" t="s">
        <v>66</v>
      </c>
      <c r="X550" s="246"/>
      <c r="Y550" s="130"/>
      <c r="Z550" s="130"/>
      <c r="AA550" s="130"/>
      <c r="AB550" s="130"/>
      <c r="AC550" s="130"/>
      <c r="AD550" s="131"/>
      <c r="AE550" s="131"/>
      <c r="AF550" s="131"/>
      <c r="AG550" s="131"/>
      <c r="AH550" s="131"/>
      <c r="AI550" s="131"/>
      <c r="AJ550" s="131"/>
      <c r="AK550" s="131"/>
      <c r="AL550" s="131"/>
      <c r="AM550" s="131"/>
      <c r="AN550" s="131"/>
      <c r="AO550" s="131"/>
      <c r="AP550" s="131"/>
      <c r="AQ550" s="131"/>
      <c r="AR550" s="131"/>
      <c r="AS550" s="131"/>
      <c r="AT550" s="131"/>
      <c r="AU550" s="131"/>
      <c r="AV550" s="131"/>
      <c r="AW550" s="131"/>
      <c r="AX550" s="131"/>
      <c r="AY550" s="131"/>
      <c r="AZ550" s="131"/>
      <c r="BA550" s="131"/>
      <c r="BB550" s="131"/>
      <c r="BC550" s="131"/>
      <c r="BD550" s="131"/>
      <c r="BE550" s="131"/>
      <c r="BF550" s="131"/>
      <c r="BG550" s="131"/>
      <c r="BH550" s="131"/>
      <c r="BI550" s="131"/>
      <c r="BJ550" s="131"/>
      <c r="BK550" s="131"/>
      <c r="BL550" s="131"/>
      <c r="BM550" s="131"/>
      <c r="BN550" s="131"/>
      <c r="BO550" s="131"/>
      <c r="BP550" s="131"/>
      <c r="BQ550" s="131"/>
      <c r="BR550" s="131"/>
      <c r="BS550" s="131"/>
      <c r="BT550" s="131"/>
      <c r="BU550" s="131"/>
      <c r="BV550" s="131"/>
      <c r="BW550" s="131"/>
      <c r="BX550" s="131"/>
      <c r="BY550" s="131"/>
      <c r="BZ550" s="131"/>
      <c r="CA550" s="131"/>
      <c r="CB550" s="131"/>
      <c r="CC550" s="131"/>
      <c r="CD550" s="131"/>
      <c r="CE550" s="131"/>
      <c r="CF550" s="131"/>
      <c r="CG550" s="131"/>
      <c r="CH550" s="131"/>
      <c r="CI550" s="131"/>
      <c r="CJ550" s="131"/>
      <c r="CK550" s="131"/>
      <c r="CL550" s="131"/>
      <c r="CM550" s="131"/>
      <c r="CN550" s="131"/>
      <c r="CO550" s="131"/>
      <c r="CP550" s="131"/>
      <c r="CQ550" s="131"/>
      <c r="CR550" s="131"/>
      <c r="CS550" s="131"/>
      <c r="CT550" s="131"/>
      <c r="CU550" s="131"/>
      <c r="CV550" s="131"/>
      <c r="CW550" s="131"/>
      <c r="CX550" s="131"/>
      <c r="CY550" s="131"/>
      <c r="CZ550" s="131"/>
      <c r="DA550" s="131"/>
      <c r="DB550" s="131"/>
      <c r="DC550" s="131"/>
      <c r="DD550" s="131"/>
      <c r="DE550" s="131"/>
      <c r="DF550" s="131"/>
      <c r="DG550" s="131"/>
      <c r="DH550" s="131"/>
      <c r="DI550" s="131"/>
      <c r="DJ550" s="131"/>
      <c r="DK550" s="131"/>
      <c r="DL550" s="131"/>
      <c r="DM550" s="131"/>
      <c r="DN550" s="131"/>
      <c r="DO550" s="131"/>
      <c r="DP550" s="131"/>
      <c r="DQ550" s="131"/>
      <c r="DR550" s="131"/>
      <c r="DS550" s="131"/>
      <c r="DT550" s="131"/>
      <c r="DU550" s="131"/>
      <c r="DV550" s="131"/>
      <c r="DW550" s="131"/>
      <c r="DX550" s="131"/>
      <c r="DY550" s="131"/>
      <c r="DZ550" s="131"/>
      <c r="EA550" s="131"/>
      <c r="EB550" s="131"/>
      <c r="EC550" s="131"/>
      <c r="ED550" s="131"/>
      <c r="EE550" s="131"/>
      <c r="EF550" s="131"/>
      <c r="EG550" s="131"/>
      <c r="EH550" s="131"/>
      <c r="EI550" s="131"/>
      <c r="EJ550" s="131"/>
      <c r="EK550" s="131"/>
      <c r="EL550" s="131"/>
      <c r="EM550" s="131"/>
      <c r="EN550" s="131"/>
      <c r="EO550" s="131"/>
      <c r="EP550" s="131"/>
      <c r="EQ550" s="131"/>
      <c r="ER550" s="131"/>
      <c r="ES550" s="131"/>
      <c r="ET550" s="131"/>
      <c r="EU550" s="131"/>
      <c r="EV550" s="131"/>
      <c r="EW550" s="131"/>
      <c r="EX550" s="131"/>
      <c r="EY550" s="131"/>
      <c r="EZ550" s="131"/>
      <c r="FA550" s="131"/>
      <c r="FB550" s="131"/>
      <c r="FC550" s="131"/>
      <c r="FD550" s="131"/>
      <c r="FE550" s="131"/>
      <c r="FF550" s="131"/>
      <c r="FG550" s="131"/>
      <c r="FH550" s="131"/>
      <c r="FI550" s="131"/>
      <c r="FJ550" s="131"/>
      <c r="FK550" s="131"/>
      <c r="FL550" s="131"/>
      <c r="FM550" s="131"/>
      <c r="FN550" s="131"/>
      <c r="FO550" s="131"/>
      <c r="FP550" s="131"/>
      <c r="FQ550" s="131"/>
      <c r="FR550" s="131"/>
      <c r="FS550" s="131"/>
      <c r="FT550" s="131"/>
      <c r="FU550" s="131"/>
      <c r="FV550" s="131"/>
      <c r="FW550" s="131"/>
      <c r="FX550" s="131"/>
      <c r="FY550" s="131"/>
      <c r="FZ550" s="131"/>
      <c r="GA550" s="131"/>
      <c r="GB550" s="131"/>
      <c r="GC550" s="131"/>
      <c r="GD550" s="131"/>
      <c r="GE550" s="131"/>
      <c r="GF550" s="131"/>
      <c r="GG550" s="131"/>
      <c r="GH550" s="131"/>
      <c r="GI550" s="131"/>
      <c r="GJ550" s="131"/>
      <c r="GK550" s="131"/>
      <c r="GL550" s="131"/>
      <c r="GM550" s="131"/>
      <c r="GN550" s="131"/>
      <c r="GO550" s="131"/>
      <c r="GP550" s="131"/>
      <c r="GQ550" s="131"/>
      <c r="GR550" s="131"/>
      <c r="GS550" s="131"/>
      <c r="GT550" s="131"/>
      <c r="GU550" s="131"/>
      <c r="GV550" s="131"/>
      <c r="GW550" s="131"/>
      <c r="GX550" s="131"/>
      <c r="GY550" s="131"/>
      <c r="GZ550" s="131"/>
      <c r="HA550" s="131"/>
      <c r="HB550" s="131"/>
      <c r="HC550" s="131"/>
      <c r="HD550" s="131"/>
      <c r="HE550" s="131"/>
      <c r="HF550" s="131"/>
      <c r="HG550" s="131"/>
      <c r="HH550" s="131"/>
      <c r="HI550" s="131"/>
      <c r="HJ550" s="131"/>
      <c r="HK550" s="131"/>
      <c r="HL550" s="131"/>
      <c r="HM550" s="131"/>
      <c r="HN550" s="131"/>
      <c r="HO550" s="131"/>
      <c r="HP550" s="131"/>
      <c r="HQ550" s="131"/>
      <c r="HR550" s="131"/>
      <c r="HS550" s="131"/>
      <c r="HT550" s="131"/>
      <c r="HU550" s="131"/>
      <c r="HV550" s="131"/>
      <c r="HW550" s="131"/>
      <c r="HX550" s="131"/>
      <c r="HY550" s="131"/>
      <c r="HZ550" s="131"/>
      <c r="IA550" s="131"/>
      <c r="IB550" s="131"/>
      <c r="IC550" s="131"/>
      <c r="ID550" s="131"/>
      <c r="IE550" s="131"/>
      <c r="IF550" s="131"/>
      <c r="IG550" s="131"/>
      <c r="IH550" s="131"/>
      <c r="II550" s="131"/>
      <c r="IJ550" s="131"/>
      <c r="IK550" s="131"/>
      <c r="IL550" s="131"/>
      <c r="IM550" s="131"/>
      <c r="IN550" s="131"/>
      <c r="IO550" s="131"/>
      <c r="IP550" s="131"/>
      <c r="IQ550" s="131"/>
      <c r="IR550" s="131"/>
      <c r="IS550" s="131"/>
      <c r="IT550" s="131"/>
      <c r="IU550" s="131"/>
      <c r="IV550" s="131"/>
    </row>
    <row r="551" spans="1:256" s="13" customFormat="1" ht="38.25" customHeight="1">
      <c r="A551" s="21" t="s">
        <v>1</v>
      </c>
      <c r="B551" s="246" t="s">
        <v>34</v>
      </c>
      <c r="C551" s="246" t="s">
        <v>25</v>
      </c>
      <c r="D551" s="246" t="s">
        <v>1050</v>
      </c>
      <c r="E551" s="246" t="s">
        <v>138</v>
      </c>
      <c r="F551" s="21" t="s">
        <v>1051</v>
      </c>
      <c r="G551" s="246" t="s">
        <v>98</v>
      </c>
      <c r="H551" s="21">
        <v>236220</v>
      </c>
      <c r="I551" s="21" t="s">
        <v>28</v>
      </c>
      <c r="J551" s="21" t="s">
        <v>109</v>
      </c>
      <c r="K551" s="21" t="s">
        <v>1974</v>
      </c>
      <c r="L551" s="21" t="s">
        <v>1974</v>
      </c>
      <c r="M551" s="22">
        <v>1000</v>
      </c>
      <c r="N551" s="22">
        <v>25000</v>
      </c>
      <c r="O551" s="21" t="s">
        <v>9</v>
      </c>
      <c r="P551" s="21" t="s">
        <v>278</v>
      </c>
      <c r="Q551" s="21" t="s">
        <v>279</v>
      </c>
      <c r="R551" s="21" t="s">
        <v>278</v>
      </c>
      <c r="S551" s="74">
        <v>2013</v>
      </c>
      <c r="T551" s="21" t="s">
        <v>1040</v>
      </c>
      <c r="U551" s="21" t="s">
        <v>1041</v>
      </c>
      <c r="V551" s="21" t="s">
        <v>1042</v>
      </c>
      <c r="W551" s="21" t="s">
        <v>66</v>
      </c>
      <c r="X551" s="246"/>
      <c r="Y551" s="130"/>
      <c r="Z551" s="130"/>
      <c r="AA551" s="130"/>
      <c r="AB551" s="130"/>
      <c r="AC551" s="130"/>
      <c r="AD551" s="131"/>
      <c r="AE551" s="131"/>
      <c r="AF551" s="131"/>
      <c r="AG551" s="131"/>
      <c r="AH551" s="131"/>
      <c r="AI551" s="131"/>
      <c r="AJ551" s="131"/>
      <c r="AK551" s="131"/>
      <c r="AL551" s="131"/>
      <c r="AM551" s="131"/>
      <c r="AN551" s="131"/>
      <c r="AO551" s="131"/>
      <c r="AP551" s="131"/>
      <c r="AQ551" s="131"/>
      <c r="AR551" s="131"/>
      <c r="AS551" s="131"/>
      <c r="AT551" s="131"/>
      <c r="AU551" s="131"/>
      <c r="AV551" s="131"/>
      <c r="AW551" s="131"/>
      <c r="AX551" s="131"/>
      <c r="AY551" s="131"/>
      <c r="AZ551" s="131"/>
      <c r="BA551" s="131"/>
      <c r="BB551" s="131"/>
      <c r="BC551" s="131"/>
      <c r="BD551" s="131"/>
      <c r="BE551" s="131"/>
      <c r="BF551" s="131"/>
      <c r="BG551" s="131"/>
      <c r="BH551" s="131"/>
      <c r="BI551" s="131"/>
      <c r="BJ551" s="131"/>
      <c r="BK551" s="131"/>
      <c r="BL551" s="131"/>
      <c r="BM551" s="131"/>
      <c r="BN551" s="131"/>
      <c r="BO551" s="131"/>
      <c r="BP551" s="131"/>
      <c r="BQ551" s="131"/>
      <c r="BR551" s="131"/>
      <c r="BS551" s="131"/>
      <c r="BT551" s="131"/>
      <c r="BU551" s="131"/>
      <c r="BV551" s="131"/>
      <c r="BW551" s="131"/>
      <c r="BX551" s="131"/>
      <c r="BY551" s="131"/>
      <c r="BZ551" s="131"/>
      <c r="CA551" s="131"/>
      <c r="CB551" s="131"/>
      <c r="CC551" s="131"/>
      <c r="CD551" s="131"/>
      <c r="CE551" s="131"/>
      <c r="CF551" s="131"/>
      <c r="CG551" s="131"/>
      <c r="CH551" s="131"/>
      <c r="CI551" s="131"/>
      <c r="CJ551" s="131"/>
      <c r="CK551" s="131"/>
      <c r="CL551" s="131"/>
      <c r="CM551" s="131"/>
      <c r="CN551" s="131"/>
      <c r="CO551" s="131"/>
      <c r="CP551" s="131"/>
      <c r="CQ551" s="131"/>
      <c r="CR551" s="131"/>
      <c r="CS551" s="131"/>
      <c r="CT551" s="131"/>
      <c r="CU551" s="131"/>
      <c r="CV551" s="131"/>
      <c r="CW551" s="131"/>
      <c r="CX551" s="131"/>
      <c r="CY551" s="131"/>
      <c r="CZ551" s="131"/>
      <c r="DA551" s="131"/>
      <c r="DB551" s="131"/>
      <c r="DC551" s="131"/>
      <c r="DD551" s="131"/>
      <c r="DE551" s="131"/>
      <c r="DF551" s="131"/>
      <c r="DG551" s="131"/>
      <c r="DH551" s="131"/>
      <c r="DI551" s="131"/>
      <c r="DJ551" s="131"/>
      <c r="DK551" s="131"/>
      <c r="DL551" s="131"/>
      <c r="DM551" s="131"/>
      <c r="DN551" s="131"/>
      <c r="DO551" s="131"/>
      <c r="DP551" s="131"/>
      <c r="DQ551" s="131"/>
      <c r="DR551" s="131"/>
      <c r="DS551" s="131"/>
      <c r="DT551" s="131"/>
      <c r="DU551" s="131"/>
      <c r="DV551" s="131"/>
      <c r="DW551" s="131"/>
      <c r="DX551" s="131"/>
      <c r="DY551" s="131"/>
      <c r="DZ551" s="131"/>
      <c r="EA551" s="131"/>
      <c r="EB551" s="131"/>
      <c r="EC551" s="131"/>
      <c r="ED551" s="131"/>
      <c r="EE551" s="131"/>
      <c r="EF551" s="131"/>
      <c r="EG551" s="131"/>
      <c r="EH551" s="131"/>
      <c r="EI551" s="131"/>
      <c r="EJ551" s="131"/>
      <c r="EK551" s="131"/>
      <c r="EL551" s="131"/>
      <c r="EM551" s="131"/>
      <c r="EN551" s="131"/>
      <c r="EO551" s="131"/>
      <c r="EP551" s="131"/>
      <c r="EQ551" s="131"/>
      <c r="ER551" s="131"/>
      <c r="ES551" s="131"/>
      <c r="ET551" s="131"/>
      <c r="EU551" s="131"/>
      <c r="EV551" s="131"/>
      <c r="EW551" s="131"/>
      <c r="EX551" s="131"/>
      <c r="EY551" s="131"/>
      <c r="EZ551" s="131"/>
      <c r="FA551" s="131"/>
      <c r="FB551" s="131"/>
      <c r="FC551" s="131"/>
      <c r="FD551" s="131"/>
      <c r="FE551" s="131"/>
      <c r="FF551" s="131"/>
      <c r="FG551" s="131"/>
      <c r="FH551" s="131"/>
      <c r="FI551" s="131"/>
      <c r="FJ551" s="131"/>
      <c r="FK551" s="131"/>
      <c r="FL551" s="131"/>
      <c r="FM551" s="131"/>
      <c r="FN551" s="131"/>
      <c r="FO551" s="131"/>
      <c r="FP551" s="131"/>
      <c r="FQ551" s="131"/>
      <c r="FR551" s="131"/>
      <c r="FS551" s="131"/>
      <c r="FT551" s="131"/>
      <c r="FU551" s="131"/>
      <c r="FV551" s="131"/>
      <c r="FW551" s="131"/>
      <c r="FX551" s="131"/>
      <c r="FY551" s="131"/>
      <c r="FZ551" s="131"/>
      <c r="GA551" s="131"/>
      <c r="GB551" s="131"/>
      <c r="GC551" s="131"/>
      <c r="GD551" s="131"/>
      <c r="GE551" s="131"/>
      <c r="GF551" s="131"/>
      <c r="GG551" s="131"/>
      <c r="GH551" s="131"/>
      <c r="GI551" s="131"/>
      <c r="GJ551" s="131"/>
      <c r="GK551" s="131"/>
      <c r="GL551" s="131"/>
      <c r="GM551" s="131"/>
      <c r="GN551" s="131"/>
      <c r="GO551" s="131"/>
      <c r="GP551" s="131"/>
      <c r="GQ551" s="131"/>
      <c r="GR551" s="131"/>
      <c r="GS551" s="131"/>
      <c r="GT551" s="131"/>
      <c r="GU551" s="131"/>
      <c r="GV551" s="131"/>
      <c r="GW551" s="131"/>
      <c r="GX551" s="131"/>
      <c r="GY551" s="131"/>
      <c r="GZ551" s="131"/>
      <c r="HA551" s="131"/>
      <c r="HB551" s="131"/>
      <c r="HC551" s="131"/>
      <c r="HD551" s="131"/>
      <c r="HE551" s="131"/>
      <c r="HF551" s="131"/>
      <c r="HG551" s="131"/>
      <c r="HH551" s="131"/>
      <c r="HI551" s="131"/>
      <c r="HJ551" s="131"/>
      <c r="HK551" s="131"/>
      <c r="HL551" s="131"/>
      <c r="HM551" s="131"/>
      <c r="HN551" s="131"/>
      <c r="HO551" s="131"/>
      <c r="HP551" s="131"/>
      <c r="HQ551" s="131"/>
      <c r="HR551" s="131"/>
      <c r="HS551" s="131"/>
      <c r="HT551" s="131"/>
      <c r="HU551" s="131"/>
      <c r="HV551" s="131"/>
      <c r="HW551" s="131"/>
      <c r="HX551" s="131"/>
      <c r="HY551" s="131"/>
      <c r="HZ551" s="131"/>
      <c r="IA551" s="131"/>
      <c r="IB551" s="131"/>
      <c r="IC551" s="131"/>
      <c r="ID551" s="131"/>
      <c r="IE551" s="131"/>
      <c r="IF551" s="131"/>
      <c r="IG551" s="131"/>
      <c r="IH551" s="131"/>
      <c r="II551" s="131"/>
      <c r="IJ551" s="131"/>
      <c r="IK551" s="131"/>
      <c r="IL551" s="131"/>
      <c r="IM551" s="131"/>
      <c r="IN551" s="131"/>
      <c r="IO551" s="131"/>
      <c r="IP551" s="131"/>
      <c r="IQ551" s="131"/>
      <c r="IR551" s="131"/>
      <c r="IS551" s="131"/>
      <c r="IT551" s="131"/>
      <c r="IU551" s="131"/>
      <c r="IV551" s="131"/>
    </row>
    <row r="552" spans="1:256" s="13" customFormat="1" ht="38.25" customHeight="1">
      <c r="A552" s="21" t="s">
        <v>1</v>
      </c>
      <c r="B552" s="246" t="s">
        <v>34</v>
      </c>
      <c r="C552" s="246" t="s">
        <v>25</v>
      </c>
      <c r="D552" s="246" t="s">
        <v>1052</v>
      </c>
      <c r="E552" s="246" t="s">
        <v>138</v>
      </c>
      <c r="F552" s="21" t="s">
        <v>1039</v>
      </c>
      <c r="G552" s="246" t="s">
        <v>98</v>
      </c>
      <c r="H552" s="21">
        <v>236220</v>
      </c>
      <c r="I552" s="21" t="s">
        <v>28</v>
      </c>
      <c r="J552" s="21" t="s">
        <v>109</v>
      </c>
      <c r="K552" s="21" t="s">
        <v>1974</v>
      </c>
      <c r="L552" s="21" t="s">
        <v>1974</v>
      </c>
      <c r="M552" s="22">
        <v>25000</v>
      </c>
      <c r="N552" s="22">
        <v>100000</v>
      </c>
      <c r="O552" s="21" t="s">
        <v>20</v>
      </c>
      <c r="P552" s="21" t="s">
        <v>278</v>
      </c>
      <c r="Q552" s="21" t="s">
        <v>279</v>
      </c>
      <c r="R552" s="21" t="s">
        <v>278</v>
      </c>
      <c r="S552" s="74">
        <v>2013</v>
      </c>
      <c r="T552" s="21" t="s">
        <v>1040</v>
      </c>
      <c r="U552" s="21" t="s">
        <v>1041</v>
      </c>
      <c r="V552" s="21" t="s">
        <v>1042</v>
      </c>
      <c r="W552" s="21" t="s">
        <v>66</v>
      </c>
      <c r="X552" s="246"/>
      <c r="Y552" s="130"/>
      <c r="Z552" s="130"/>
      <c r="AA552" s="130"/>
      <c r="AB552" s="130"/>
      <c r="AC552" s="130"/>
      <c r="AD552" s="131"/>
      <c r="AE552" s="131"/>
      <c r="AF552" s="131"/>
      <c r="AG552" s="131"/>
      <c r="AH552" s="131"/>
      <c r="AI552" s="131"/>
      <c r="AJ552" s="131"/>
      <c r="AK552" s="131"/>
      <c r="AL552" s="131"/>
      <c r="AM552" s="131"/>
      <c r="AN552" s="131"/>
      <c r="AO552" s="131"/>
      <c r="AP552" s="131"/>
      <c r="AQ552" s="131"/>
      <c r="AR552" s="131"/>
      <c r="AS552" s="131"/>
      <c r="AT552" s="131"/>
      <c r="AU552" s="131"/>
      <c r="AV552" s="131"/>
      <c r="AW552" s="131"/>
      <c r="AX552" s="131"/>
      <c r="AY552" s="131"/>
      <c r="AZ552" s="131"/>
      <c r="BA552" s="131"/>
      <c r="BB552" s="131"/>
      <c r="BC552" s="131"/>
      <c r="BD552" s="131"/>
      <c r="BE552" s="131"/>
      <c r="BF552" s="131"/>
      <c r="BG552" s="131"/>
      <c r="BH552" s="131"/>
      <c r="BI552" s="131"/>
      <c r="BJ552" s="131"/>
      <c r="BK552" s="131"/>
      <c r="BL552" s="131"/>
      <c r="BM552" s="131"/>
      <c r="BN552" s="131"/>
      <c r="BO552" s="131"/>
      <c r="BP552" s="131"/>
      <c r="BQ552" s="131"/>
      <c r="BR552" s="131"/>
      <c r="BS552" s="131"/>
      <c r="BT552" s="131"/>
      <c r="BU552" s="131"/>
      <c r="BV552" s="131"/>
      <c r="BW552" s="131"/>
      <c r="BX552" s="131"/>
      <c r="BY552" s="131"/>
      <c r="BZ552" s="131"/>
      <c r="CA552" s="131"/>
      <c r="CB552" s="131"/>
      <c r="CC552" s="131"/>
      <c r="CD552" s="131"/>
      <c r="CE552" s="131"/>
      <c r="CF552" s="131"/>
      <c r="CG552" s="131"/>
      <c r="CH552" s="131"/>
      <c r="CI552" s="131"/>
      <c r="CJ552" s="131"/>
      <c r="CK552" s="131"/>
      <c r="CL552" s="131"/>
      <c r="CM552" s="131"/>
      <c r="CN552" s="131"/>
      <c r="CO552" s="131"/>
      <c r="CP552" s="131"/>
      <c r="CQ552" s="131"/>
      <c r="CR552" s="131"/>
      <c r="CS552" s="131"/>
      <c r="CT552" s="131"/>
      <c r="CU552" s="131"/>
      <c r="CV552" s="131"/>
      <c r="CW552" s="131"/>
      <c r="CX552" s="131"/>
      <c r="CY552" s="131"/>
      <c r="CZ552" s="131"/>
      <c r="DA552" s="131"/>
      <c r="DB552" s="131"/>
      <c r="DC552" s="131"/>
      <c r="DD552" s="131"/>
      <c r="DE552" s="131"/>
      <c r="DF552" s="131"/>
      <c r="DG552" s="131"/>
      <c r="DH552" s="131"/>
      <c r="DI552" s="131"/>
      <c r="DJ552" s="131"/>
      <c r="DK552" s="131"/>
      <c r="DL552" s="131"/>
      <c r="DM552" s="131"/>
      <c r="DN552" s="131"/>
      <c r="DO552" s="131"/>
      <c r="DP552" s="131"/>
      <c r="DQ552" s="131"/>
      <c r="DR552" s="131"/>
      <c r="DS552" s="131"/>
      <c r="DT552" s="131"/>
      <c r="DU552" s="131"/>
      <c r="DV552" s="131"/>
      <c r="DW552" s="131"/>
      <c r="DX552" s="131"/>
      <c r="DY552" s="131"/>
      <c r="DZ552" s="131"/>
      <c r="EA552" s="131"/>
      <c r="EB552" s="131"/>
      <c r="EC552" s="131"/>
      <c r="ED552" s="131"/>
      <c r="EE552" s="131"/>
      <c r="EF552" s="131"/>
      <c r="EG552" s="131"/>
      <c r="EH552" s="131"/>
      <c r="EI552" s="131"/>
      <c r="EJ552" s="131"/>
      <c r="EK552" s="131"/>
      <c r="EL552" s="131"/>
      <c r="EM552" s="131"/>
      <c r="EN552" s="131"/>
      <c r="EO552" s="131"/>
      <c r="EP552" s="131"/>
      <c r="EQ552" s="131"/>
      <c r="ER552" s="131"/>
      <c r="ES552" s="131"/>
      <c r="ET552" s="131"/>
      <c r="EU552" s="131"/>
      <c r="EV552" s="131"/>
      <c r="EW552" s="131"/>
      <c r="EX552" s="131"/>
      <c r="EY552" s="131"/>
      <c r="EZ552" s="131"/>
      <c r="FA552" s="131"/>
      <c r="FB552" s="131"/>
      <c r="FC552" s="131"/>
      <c r="FD552" s="131"/>
      <c r="FE552" s="131"/>
      <c r="FF552" s="131"/>
      <c r="FG552" s="131"/>
      <c r="FH552" s="131"/>
      <c r="FI552" s="131"/>
      <c r="FJ552" s="131"/>
      <c r="FK552" s="131"/>
      <c r="FL552" s="131"/>
      <c r="FM552" s="131"/>
      <c r="FN552" s="131"/>
      <c r="FO552" s="131"/>
      <c r="FP552" s="131"/>
      <c r="FQ552" s="131"/>
      <c r="FR552" s="131"/>
      <c r="FS552" s="131"/>
      <c r="FT552" s="131"/>
      <c r="FU552" s="131"/>
      <c r="FV552" s="131"/>
      <c r="FW552" s="131"/>
      <c r="FX552" s="131"/>
      <c r="FY552" s="131"/>
      <c r="FZ552" s="131"/>
      <c r="GA552" s="131"/>
      <c r="GB552" s="131"/>
      <c r="GC552" s="131"/>
      <c r="GD552" s="131"/>
      <c r="GE552" s="131"/>
      <c r="GF552" s="131"/>
      <c r="GG552" s="131"/>
      <c r="GH552" s="131"/>
      <c r="GI552" s="131"/>
      <c r="GJ552" s="131"/>
      <c r="GK552" s="131"/>
      <c r="GL552" s="131"/>
      <c r="GM552" s="131"/>
      <c r="GN552" s="131"/>
      <c r="GO552" s="131"/>
      <c r="GP552" s="131"/>
      <c r="GQ552" s="131"/>
      <c r="GR552" s="131"/>
      <c r="GS552" s="131"/>
      <c r="GT552" s="131"/>
      <c r="GU552" s="131"/>
      <c r="GV552" s="131"/>
      <c r="GW552" s="131"/>
      <c r="GX552" s="131"/>
      <c r="GY552" s="131"/>
      <c r="GZ552" s="131"/>
      <c r="HA552" s="131"/>
      <c r="HB552" s="131"/>
      <c r="HC552" s="131"/>
      <c r="HD552" s="131"/>
      <c r="HE552" s="131"/>
      <c r="HF552" s="131"/>
      <c r="HG552" s="131"/>
      <c r="HH552" s="131"/>
      <c r="HI552" s="131"/>
      <c r="HJ552" s="131"/>
      <c r="HK552" s="131"/>
      <c r="HL552" s="131"/>
      <c r="HM552" s="131"/>
      <c r="HN552" s="131"/>
      <c r="HO552" s="131"/>
      <c r="HP552" s="131"/>
      <c r="HQ552" s="131"/>
      <c r="HR552" s="131"/>
      <c r="HS552" s="131"/>
      <c r="HT552" s="131"/>
      <c r="HU552" s="131"/>
      <c r="HV552" s="131"/>
      <c r="HW552" s="131"/>
      <c r="HX552" s="131"/>
      <c r="HY552" s="131"/>
      <c r="HZ552" s="131"/>
      <c r="IA552" s="131"/>
      <c r="IB552" s="131"/>
      <c r="IC552" s="131"/>
      <c r="ID552" s="131"/>
      <c r="IE552" s="131"/>
      <c r="IF552" s="131"/>
      <c r="IG552" s="131"/>
      <c r="IH552" s="131"/>
      <c r="II552" s="131"/>
      <c r="IJ552" s="131"/>
      <c r="IK552" s="131"/>
      <c r="IL552" s="131"/>
      <c r="IM552" s="131"/>
      <c r="IN552" s="131"/>
      <c r="IO552" s="131"/>
      <c r="IP552" s="131"/>
      <c r="IQ552" s="131"/>
      <c r="IR552" s="131"/>
      <c r="IS552" s="131"/>
      <c r="IT552" s="131"/>
      <c r="IU552" s="131"/>
      <c r="IV552" s="131"/>
    </row>
    <row r="553" spans="1:256" s="13" customFormat="1" ht="38.25" customHeight="1">
      <c r="A553" s="21" t="s">
        <v>1</v>
      </c>
      <c r="B553" s="246" t="s">
        <v>34</v>
      </c>
      <c r="C553" s="246" t="s">
        <v>25</v>
      </c>
      <c r="D553" s="246" t="s">
        <v>1053</v>
      </c>
      <c r="E553" s="246" t="s">
        <v>138</v>
      </c>
      <c r="F553" s="21" t="s">
        <v>1054</v>
      </c>
      <c r="G553" s="246" t="s">
        <v>98</v>
      </c>
      <c r="H553" s="21">
        <v>236220</v>
      </c>
      <c r="I553" s="21" t="s">
        <v>28</v>
      </c>
      <c r="J553" s="21" t="s">
        <v>109</v>
      </c>
      <c r="K553" s="21" t="s">
        <v>1974</v>
      </c>
      <c r="L553" s="21" t="s">
        <v>1974</v>
      </c>
      <c r="M553" s="22">
        <v>100000</v>
      </c>
      <c r="N553" s="22">
        <v>25000</v>
      </c>
      <c r="O553" s="21" t="s">
        <v>20</v>
      </c>
      <c r="P553" s="21" t="s">
        <v>278</v>
      </c>
      <c r="Q553" s="21" t="s">
        <v>279</v>
      </c>
      <c r="R553" s="21" t="s">
        <v>278</v>
      </c>
      <c r="S553" s="74">
        <v>2013</v>
      </c>
      <c r="T553" s="21" t="s">
        <v>1040</v>
      </c>
      <c r="U553" s="21" t="s">
        <v>1041</v>
      </c>
      <c r="V553" s="21" t="s">
        <v>1042</v>
      </c>
      <c r="W553" s="21" t="s">
        <v>66</v>
      </c>
      <c r="X553" s="246"/>
      <c r="Y553" s="130"/>
      <c r="Z553" s="130"/>
      <c r="AA553" s="130"/>
      <c r="AB553" s="130"/>
      <c r="AC553" s="130"/>
      <c r="AD553" s="131"/>
      <c r="AE553" s="131"/>
      <c r="AF553" s="131"/>
      <c r="AG553" s="131"/>
      <c r="AH553" s="131"/>
      <c r="AI553" s="131"/>
      <c r="AJ553" s="131"/>
      <c r="AK553" s="131"/>
      <c r="AL553" s="131"/>
      <c r="AM553" s="131"/>
      <c r="AN553" s="131"/>
      <c r="AO553" s="131"/>
      <c r="AP553" s="131"/>
      <c r="AQ553" s="131"/>
      <c r="AR553" s="131"/>
      <c r="AS553" s="131"/>
      <c r="AT553" s="131"/>
      <c r="AU553" s="131"/>
      <c r="AV553" s="131"/>
      <c r="AW553" s="131"/>
      <c r="AX553" s="131"/>
      <c r="AY553" s="131"/>
      <c r="AZ553" s="131"/>
      <c r="BA553" s="131"/>
      <c r="BB553" s="131"/>
      <c r="BC553" s="131"/>
      <c r="BD553" s="131"/>
      <c r="BE553" s="131"/>
      <c r="BF553" s="131"/>
      <c r="BG553" s="131"/>
      <c r="BH553" s="131"/>
      <c r="BI553" s="131"/>
      <c r="BJ553" s="131"/>
      <c r="BK553" s="131"/>
      <c r="BL553" s="131"/>
      <c r="BM553" s="131"/>
      <c r="BN553" s="131"/>
      <c r="BO553" s="131"/>
      <c r="BP553" s="131"/>
      <c r="BQ553" s="131"/>
      <c r="BR553" s="131"/>
      <c r="BS553" s="131"/>
      <c r="BT553" s="131"/>
      <c r="BU553" s="131"/>
      <c r="BV553" s="131"/>
      <c r="BW553" s="131"/>
      <c r="BX553" s="131"/>
      <c r="BY553" s="131"/>
      <c r="BZ553" s="131"/>
      <c r="CA553" s="131"/>
      <c r="CB553" s="131"/>
      <c r="CC553" s="131"/>
      <c r="CD553" s="131"/>
      <c r="CE553" s="131"/>
      <c r="CF553" s="131"/>
      <c r="CG553" s="131"/>
      <c r="CH553" s="131"/>
      <c r="CI553" s="131"/>
      <c r="CJ553" s="131"/>
      <c r="CK553" s="131"/>
      <c r="CL553" s="131"/>
      <c r="CM553" s="131"/>
      <c r="CN553" s="131"/>
      <c r="CO553" s="131"/>
      <c r="CP553" s="131"/>
      <c r="CQ553" s="131"/>
      <c r="CR553" s="131"/>
      <c r="CS553" s="131"/>
      <c r="CT553" s="131"/>
      <c r="CU553" s="131"/>
      <c r="CV553" s="131"/>
      <c r="CW553" s="131"/>
      <c r="CX553" s="131"/>
      <c r="CY553" s="131"/>
      <c r="CZ553" s="131"/>
      <c r="DA553" s="131"/>
      <c r="DB553" s="131"/>
      <c r="DC553" s="131"/>
      <c r="DD553" s="131"/>
      <c r="DE553" s="131"/>
      <c r="DF553" s="131"/>
      <c r="DG553" s="131"/>
      <c r="DH553" s="131"/>
      <c r="DI553" s="131"/>
      <c r="DJ553" s="131"/>
      <c r="DK553" s="131"/>
      <c r="DL553" s="131"/>
      <c r="DM553" s="131"/>
      <c r="DN553" s="131"/>
      <c r="DO553" s="131"/>
      <c r="DP553" s="131"/>
      <c r="DQ553" s="131"/>
      <c r="DR553" s="131"/>
      <c r="DS553" s="131"/>
      <c r="DT553" s="131"/>
      <c r="DU553" s="131"/>
      <c r="DV553" s="131"/>
      <c r="DW553" s="131"/>
      <c r="DX553" s="131"/>
      <c r="DY553" s="131"/>
      <c r="DZ553" s="131"/>
      <c r="EA553" s="131"/>
      <c r="EB553" s="131"/>
      <c r="EC553" s="131"/>
      <c r="ED553" s="131"/>
      <c r="EE553" s="131"/>
      <c r="EF553" s="131"/>
      <c r="EG553" s="131"/>
      <c r="EH553" s="131"/>
      <c r="EI553" s="131"/>
      <c r="EJ553" s="131"/>
      <c r="EK553" s="131"/>
      <c r="EL553" s="131"/>
      <c r="EM553" s="131"/>
      <c r="EN553" s="131"/>
      <c r="EO553" s="131"/>
      <c r="EP553" s="131"/>
      <c r="EQ553" s="131"/>
      <c r="ER553" s="131"/>
      <c r="ES553" s="131"/>
      <c r="ET553" s="131"/>
      <c r="EU553" s="131"/>
      <c r="EV553" s="131"/>
      <c r="EW553" s="131"/>
      <c r="EX553" s="131"/>
      <c r="EY553" s="131"/>
      <c r="EZ553" s="131"/>
      <c r="FA553" s="131"/>
      <c r="FB553" s="131"/>
      <c r="FC553" s="131"/>
      <c r="FD553" s="131"/>
      <c r="FE553" s="131"/>
      <c r="FF553" s="131"/>
      <c r="FG553" s="131"/>
      <c r="FH553" s="131"/>
      <c r="FI553" s="131"/>
      <c r="FJ553" s="131"/>
      <c r="FK553" s="131"/>
      <c r="FL553" s="131"/>
      <c r="FM553" s="131"/>
      <c r="FN553" s="131"/>
      <c r="FO553" s="131"/>
      <c r="FP553" s="131"/>
      <c r="FQ553" s="131"/>
      <c r="FR553" s="131"/>
      <c r="FS553" s="131"/>
      <c r="FT553" s="131"/>
      <c r="FU553" s="131"/>
      <c r="FV553" s="131"/>
      <c r="FW553" s="131"/>
      <c r="FX553" s="131"/>
      <c r="FY553" s="131"/>
      <c r="FZ553" s="131"/>
      <c r="GA553" s="131"/>
      <c r="GB553" s="131"/>
      <c r="GC553" s="131"/>
      <c r="GD553" s="131"/>
      <c r="GE553" s="131"/>
      <c r="GF553" s="131"/>
      <c r="GG553" s="131"/>
      <c r="GH553" s="131"/>
      <c r="GI553" s="131"/>
      <c r="GJ553" s="131"/>
      <c r="GK553" s="131"/>
      <c r="GL553" s="131"/>
      <c r="GM553" s="131"/>
      <c r="GN553" s="131"/>
      <c r="GO553" s="131"/>
      <c r="GP553" s="131"/>
      <c r="GQ553" s="131"/>
      <c r="GR553" s="131"/>
      <c r="GS553" s="131"/>
      <c r="GT553" s="131"/>
      <c r="GU553" s="131"/>
      <c r="GV553" s="131"/>
      <c r="GW553" s="131"/>
      <c r="GX553" s="131"/>
      <c r="GY553" s="131"/>
      <c r="GZ553" s="131"/>
      <c r="HA553" s="131"/>
      <c r="HB553" s="131"/>
      <c r="HC553" s="131"/>
      <c r="HD553" s="131"/>
      <c r="HE553" s="131"/>
      <c r="HF553" s="131"/>
      <c r="HG553" s="131"/>
      <c r="HH553" s="131"/>
      <c r="HI553" s="131"/>
      <c r="HJ553" s="131"/>
      <c r="HK553" s="131"/>
      <c r="HL553" s="131"/>
      <c r="HM553" s="131"/>
      <c r="HN553" s="131"/>
      <c r="HO553" s="131"/>
      <c r="HP553" s="131"/>
      <c r="HQ553" s="131"/>
      <c r="HR553" s="131"/>
      <c r="HS553" s="131"/>
      <c r="HT553" s="131"/>
      <c r="HU553" s="131"/>
      <c r="HV553" s="131"/>
      <c r="HW553" s="131"/>
      <c r="HX553" s="131"/>
      <c r="HY553" s="131"/>
      <c r="HZ553" s="131"/>
      <c r="IA553" s="131"/>
      <c r="IB553" s="131"/>
      <c r="IC553" s="131"/>
      <c r="ID553" s="131"/>
      <c r="IE553" s="131"/>
      <c r="IF553" s="131"/>
      <c r="IG553" s="131"/>
      <c r="IH553" s="131"/>
      <c r="II553" s="131"/>
      <c r="IJ553" s="131"/>
      <c r="IK553" s="131"/>
      <c r="IL553" s="131"/>
      <c r="IM553" s="131"/>
      <c r="IN553" s="131"/>
      <c r="IO553" s="131"/>
      <c r="IP553" s="131"/>
      <c r="IQ553" s="131"/>
      <c r="IR553" s="131"/>
      <c r="IS553" s="131"/>
      <c r="IT553" s="131"/>
      <c r="IU553" s="131"/>
      <c r="IV553" s="131"/>
    </row>
    <row r="554" spans="1:256" s="13" customFormat="1" ht="38.25" customHeight="1">
      <c r="A554" s="21" t="s">
        <v>1</v>
      </c>
      <c r="B554" s="246" t="s">
        <v>34</v>
      </c>
      <c r="C554" s="246" t="s">
        <v>25</v>
      </c>
      <c r="D554" s="246" t="s">
        <v>1055</v>
      </c>
      <c r="E554" s="246" t="s">
        <v>120</v>
      </c>
      <c r="F554" s="21" t="s">
        <v>1056</v>
      </c>
      <c r="G554" s="246" t="s">
        <v>98</v>
      </c>
      <c r="H554" s="21">
        <v>561210</v>
      </c>
      <c r="I554" s="21" t="s">
        <v>28</v>
      </c>
      <c r="J554" s="21" t="s">
        <v>109</v>
      </c>
      <c r="K554" s="21" t="s">
        <v>50</v>
      </c>
      <c r="L554" s="21" t="s">
        <v>278</v>
      </c>
      <c r="M554" s="22">
        <v>200000</v>
      </c>
      <c r="N554" s="22">
        <v>1000000</v>
      </c>
      <c r="O554" s="21" t="s">
        <v>20</v>
      </c>
      <c r="P554" s="21" t="s">
        <v>1057</v>
      </c>
      <c r="Q554" s="21" t="s">
        <v>279</v>
      </c>
      <c r="R554" s="21" t="s">
        <v>41</v>
      </c>
      <c r="S554" s="74">
        <v>2013</v>
      </c>
      <c r="T554" s="21" t="s">
        <v>1058</v>
      </c>
      <c r="U554" s="21" t="s">
        <v>1059</v>
      </c>
      <c r="V554" s="21" t="s">
        <v>1060</v>
      </c>
      <c r="W554" s="21" t="s">
        <v>66</v>
      </c>
      <c r="X554" s="246"/>
      <c r="Y554" s="130"/>
      <c r="Z554" s="130"/>
      <c r="AA554" s="267"/>
      <c r="AB554" s="267"/>
      <c r="AC554" s="130"/>
      <c r="AD554" s="131"/>
      <c r="AE554" s="131"/>
      <c r="AF554" s="131"/>
      <c r="AG554" s="131"/>
      <c r="AH554" s="131"/>
      <c r="AI554" s="131"/>
      <c r="AJ554" s="131"/>
      <c r="AK554" s="131"/>
      <c r="AL554" s="131"/>
      <c r="AM554" s="131"/>
      <c r="AN554" s="131"/>
      <c r="AO554" s="131"/>
      <c r="AP554" s="131"/>
      <c r="AQ554" s="131"/>
      <c r="AR554" s="131"/>
      <c r="AS554" s="131"/>
      <c r="AT554" s="131"/>
      <c r="AU554" s="131"/>
      <c r="AV554" s="131"/>
      <c r="AW554" s="131"/>
      <c r="AX554" s="131"/>
      <c r="AY554" s="131"/>
      <c r="AZ554" s="131"/>
      <c r="BA554" s="131"/>
      <c r="BB554" s="131"/>
      <c r="BC554" s="131"/>
      <c r="BD554" s="131"/>
      <c r="BE554" s="131"/>
      <c r="BF554" s="131"/>
      <c r="BG554" s="131"/>
      <c r="BH554" s="131"/>
      <c r="BI554" s="131"/>
      <c r="BJ554" s="131"/>
      <c r="BK554" s="131"/>
      <c r="BL554" s="131"/>
      <c r="BM554" s="131"/>
      <c r="BN554" s="131"/>
      <c r="BO554" s="131"/>
      <c r="BP554" s="131"/>
      <c r="BQ554" s="131"/>
      <c r="BR554" s="131"/>
      <c r="BS554" s="131"/>
      <c r="BT554" s="131"/>
      <c r="BU554" s="131"/>
      <c r="BV554" s="131"/>
      <c r="BW554" s="131"/>
      <c r="BX554" s="131"/>
      <c r="BY554" s="131"/>
      <c r="BZ554" s="131"/>
      <c r="CA554" s="131"/>
      <c r="CB554" s="131"/>
      <c r="CC554" s="131"/>
      <c r="CD554" s="131"/>
      <c r="CE554" s="131"/>
      <c r="CF554" s="131"/>
      <c r="CG554" s="131"/>
      <c r="CH554" s="131"/>
      <c r="CI554" s="131"/>
      <c r="CJ554" s="131"/>
      <c r="CK554" s="131"/>
      <c r="CL554" s="131"/>
      <c r="CM554" s="131"/>
      <c r="CN554" s="131"/>
      <c r="CO554" s="131"/>
      <c r="CP554" s="131"/>
      <c r="CQ554" s="131"/>
      <c r="CR554" s="131"/>
      <c r="CS554" s="131"/>
      <c r="CT554" s="131"/>
      <c r="CU554" s="131"/>
      <c r="CV554" s="131"/>
      <c r="CW554" s="131"/>
      <c r="CX554" s="131"/>
      <c r="CY554" s="131"/>
      <c r="CZ554" s="131"/>
      <c r="DA554" s="131"/>
      <c r="DB554" s="131"/>
      <c r="DC554" s="131"/>
      <c r="DD554" s="131"/>
      <c r="DE554" s="131"/>
      <c r="DF554" s="131"/>
      <c r="DG554" s="131"/>
      <c r="DH554" s="131"/>
      <c r="DI554" s="131"/>
      <c r="DJ554" s="131"/>
      <c r="DK554" s="131"/>
      <c r="DL554" s="131"/>
      <c r="DM554" s="131"/>
      <c r="DN554" s="131"/>
      <c r="DO554" s="131"/>
      <c r="DP554" s="131"/>
      <c r="DQ554" s="131"/>
      <c r="DR554" s="131"/>
      <c r="DS554" s="131"/>
      <c r="DT554" s="131"/>
      <c r="DU554" s="131"/>
      <c r="DV554" s="131"/>
      <c r="DW554" s="131"/>
      <c r="DX554" s="131"/>
      <c r="DY554" s="131"/>
      <c r="DZ554" s="131"/>
      <c r="EA554" s="131"/>
      <c r="EB554" s="131"/>
      <c r="EC554" s="131"/>
      <c r="ED554" s="131"/>
      <c r="EE554" s="131"/>
      <c r="EF554" s="131"/>
      <c r="EG554" s="131"/>
      <c r="EH554" s="131"/>
      <c r="EI554" s="131"/>
      <c r="EJ554" s="131"/>
      <c r="EK554" s="131"/>
      <c r="EL554" s="131"/>
      <c r="EM554" s="131"/>
      <c r="EN554" s="131"/>
      <c r="EO554" s="131"/>
      <c r="EP554" s="131"/>
      <c r="EQ554" s="131"/>
      <c r="ER554" s="131"/>
      <c r="ES554" s="131"/>
      <c r="ET554" s="131"/>
      <c r="EU554" s="131"/>
      <c r="EV554" s="131"/>
      <c r="EW554" s="131"/>
      <c r="EX554" s="131"/>
      <c r="EY554" s="131"/>
      <c r="EZ554" s="131"/>
      <c r="FA554" s="131"/>
      <c r="FB554" s="131"/>
      <c r="FC554" s="131"/>
      <c r="FD554" s="131"/>
      <c r="FE554" s="131"/>
      <c r="FF554" s="131"/>
      <c r="FG554" s="131"/>
      <c r="FH554" s="131"/>
      <c r="FI554" s="131"/>
      <c r="FJ554" s="131"/>
      <c r="FK554" s="131"/>
      <c r="FL554" s="131"/>
      <c r="FM554" s="131"/>
      <c r="FN554" s="131"/>
      <c r="FO554" s="131"/>
      <c r="FP554" s="131"/>
      <c r="FQ554" s="131"/>
      <c r="FR554" s="131"/>
      <c r="FS554" s="131"/>
      <c r="FT554" s="131"/>
      <c r="FU554" s="131"/>
      <c r="FV554" s="131"/>
      <c r="FW554" s="131"/>
      <c r="FX554" s="131"/>
      <c r="FY554" s="131"/>
      <c r="FZ554" s="131"/>
      <c r="GA554" s="131"/>
      <c r="GB554" s="131"/>
      <c r="GC554" s="131"/>
      <c r="GD554" s="131"/>
      <c r="GE554" s="131"/>
      <c r="GF554" s="131"/>
      <c r="GG554" s="131"/>
      <c r="GH554" s="131"/>
      <c r="GI554" s="131"/>
      <c r="GJ554" s="131"/>
      <c r="GK554" s="131"/>
      <c r="GL554" s="131"/>
      <c r="GM554" s="131"/>
      <c r="GN554" s="131"/>
      <c r="GO554" s="131"/>
      <c r="GP554" s="131"/>
      <c r="GQ554" s="131"/>
      <c r="GR554" s="131"/>
      <c r="GS554" s="131"/>
      <c r="GT554" s="131"/>
      <c r="GU554" s="131"/>
      <c r="GV554" s="131"/>
      <c r="GW554" s="131"/>
      <c r="GX554" s="131"/>
      <c r="GY554" s="131"/>
      <c r="GZ554" s="131"/>
      <c r="HA554" s="131"/>
      <c r="HB554" s="131"/>
      <c r="HC554" s="131"/>
      <c r="HD554" s="131"/>
      <c r="HE554" s="131"/>
      <c r="HF554" s="131"/>
      <c r="HG554" s="131"/>
      <c r="HH554" s="131"/>
      <c r="HI554" s="131"/>
      <c r="HJ554" s="131"/>
      <c r="HK554" s="131"/>
      <c r="HL554" s="131"/>
      <c r="HM554" s="131"/>
      <c r="HN554" s="131"/>
      <c r="HO554" s="131"/>
      <c r="HP554" s="131"/>
      <c r="HQ554" s="131"/>
      <c r="HR554" s="131"/>
      <c r="HS554" s="131"/>
      <c r="HT554" s="131"/>
      <c r="HU554" s="131"/>
      <c r="HV554" s="131"/>
      <c r="HW554" s="131"/>
      <c r="HX554" s="131"/>
      <c r="HY554" s="131"/>
      <c r="HZ554" s="131"/>
      <c r="IA554" s="131"/>
      <c r="IB554" s="131"/>
      <c r="IC554" s="131"/>
      <c r="ID554" s="131"/>
      <c r="IE554" s="131"/>
      <c r="IF554" s="131"/>
      <c r="IG554" s="131"/>
      <c r="IH554" s="131"/>
      <c r="II554" s="131"/>
      <c r="IJ554" s="131"/>
      <c r="IK554" s="131"/>
      <c r="IL554" s="131"/>
      <c r="IM554" s="131"/>
      <c r="IN554" s="131"/>
      <c r="IO554" s="131"/>
      <c r="IP554" s="131"/>
      <c r="IQ554" s="131"/>
      <c r="IR554" s="131"/>
      <c r="IS554" s="131"/>
      <c r="IT554" s="131"/>
      <c r="IU554" s="131"/>
      <c r="IV554" s="131"/>
    </row>
    <row r="555" spans="1:256" s="13" customFormat="1" ht="38.25" customHeight="1">
      <c r="A555" s="21" t="s">
        <v>1</v>
      </c>
      <c r="B555" s="246" t="s">
        <v>34</v>
      </c>
      <c r="C555" s="246" t="s">
        <v>3</v>
      </c>
      <c r="D555" s="246" t="s">
        <v>1061</v>
      </c>
      <c r="E555" s="246" t="s">
        <v>120</v>
      </c>
      <c r="F555" s="21" t="s">
        <v>1024</v>
      </c>
      <c r="G555" s="246" t="s">
        <v>98</v>
      </c>
      <c r="H555" s="21">
        <v>561210</v>
      </c>
      <c r="I555" s="21" t="s">
        <v>28</v>
      </c>
      <c r="J555" s="21" t="s">
        <v>109</v>
      </c>
      <c r="K555" s="21" t="s">
        <v>29</v>
      </c>
      <c r="L555" s="21" t="s">
        <v>1135</v>
      </c>
      <c r="M555" s="22">
        <v>827000</v>
      </c>
      <c r="N555" s="22">
        <v>3900000</v>
      </c>
      <c r="O555" s="21" t="s">
        <v>20</v>
      </c>
      <c r="P555" s="21" t="s">
        <v>1062</v>
      </c>
      <c r="Q555" s="21" t="s">
        <v>279</v>
      </c>
      <c r="R555" s="21" t="s">
        <v>10</v>
      </c>
      <c r="S555" s="74">
        <v>2013</v>
      </c>
      <c r="T555" s="21" t="s">
        <v>1058</v>
      </c>
      <c r="U555" s="21" t="s">
        <v>1059</v>
      </c>
      <c r="V555" s="21" t="s">
        <v>1060</v>
      </c>
      <c r="W555" s="21" t="s">
        <v>66</v>
      </c>
      <c r="X555" s="246" t="s">
        <v>2661</v>
      </c>
      <c r="Y555" s="130"/>
      <c r="Z555" s="130"/>
      <c r="AA555" s="267"/>
      <c r="AB555" s="267"/>
      <c r="AC555" s="130"/>
      <c r="AD555" s="131"/>
      <c r="AE555" s="131"/>
      <c r="AF555" s="131"/>
      <c r="AG555" s="131"/>
      <c r="AH555" s="131"/>
      <c r="AI555" s="131"/>
      <c r="AJ555" s="131"/>
      <c r="AK555" s="131"/>
      <c r="AL555" s="131"/>
      <c r="AM555" s="131"/>
      <c r="AN555" s="131"/>
      <c r="AO555" s="131"/>
      <c r="AP555" s="131"/>
      <c r="AQ555" s="131"/>
      <c r="AR555" s="131"/>
      <c r="AS555" s="131"/>
      <c r="AT555" s="131"/>
      <c r="AU555" s="131"/>
      <c r="AV555" s="131"/>
      <c r="AW555" s="131"/>
      <c r="AX555" s="131"/>
      <c r="AY555" s="131"/>
      <c r="AZ555" s="131"/>
      <c r="BA555" s="131"/>
      <c r="BB555" s="131"/>
      <c r="BC555" s="131"/>
      <c r="BD555" s="131"/>
      <c r="BE555" s="131"/>
      <c r="BF555" s="131"/>
      <c r="BG555" s="131"/>
      <c r="BH555" s="131"/>
      <c r="BI555" s="131"/>
      <c r="BJ555" s="131"/>
      <c r="BK555" s="131"/>
      <c r="BL555" s="131"/>
      <c r="BM555" s="131"/>
      <c r="BN555" s="131"/>
      <c r="BO555" s="131"/>
      <c r="BP555" s="131"/>
      <c r="BQ555" s="131"/>
      <c r="BR555" s="131"/>
      <c r="BS555" s="131"/>
      <c r="BT555" s="131"/>
      <c r="BU555" s="131"/>
      <c r="BV555" s="131"/>
      <c r="BW555" s="131"/>
      <c r="BX555" s="131"/>
      <c r="BY555" s="131"/>
      <c r="BZ555" s="131"/>
      <c r="CA555" s="131"/>
      <c r="CB555" s="131"/>
      <c r="CC555" s="131"/>
      <c r="CD555" s="131"/>
      <c r="CE555" s="131"/>
      <c r="CF555" s="131"/>
      <c r="CG555" s="131"/>
      <c r="CH555" s="131"/>
      <c r="CI555" s="131"/>
      <c r="CJ555" s="131"/>
      <c r="CK555" s="131"/>
      <c r="CL555" s="131"/>
      <c r="CM555" s="131"/>
      <c r="CN555" s="131"/>
      <c r="CO555" s="131"/>
      <c r="CP555" s="131"/>
      <c r="CQ555" s="131"/>
      <c r="CR555" s="131"/>
      <c r="CS555" s="131"/>
      <c r="CT555" s="131"/>
      <c r="CU555" s="131"/>
      <c r="CV555" s="131"/>
      <c r="CW555" s="131"/>
      <c r="CX555" s="131"/>
      <c r="CY555" s="131"/>
      <c r="CZ555" s="131"/>
      <c r="DA555" s="131"/>
      <c r="DB555" s="131"/>
      <c r="DC555" s="131"/>
      <c r="DD555" s="131"/>
      <c r="DE555" s="131"/>
      <c r="DF555" s="131"/>
      <c r="DG555" s="131"/>
      <c r="DH555" s="131"/>
      <c r="DI555" s="131"/>
      <c r="DJ555" s="131"/>
      <c r="DK555" s="131"/>
      <c r="DL555" s="131"/>
      <c r="DM555" s="131"/>
      <c r="DN555" s="131"/>
      <c r="DO555" s="131"/>
      <c r="DP555" s="131"/>
      <c r="DQ555" s="131"/>
      <c r="DR555" s="131"/>
      <c r="DS555" s="131"/>
      <c r="DT555" s="131"/>
      <c r="DU555" s="131"/>
      <c r="DV555" s="131"/>
      <c r="DW555" s="131"/>
      <c r="DX555" s="131"/>
      <c r="DY555" s="131"/>
      <c r="DZ555" s="131"/>
      <c r="EA555" s="131"/>
      <c r="EB555" s="131"/>
      <c r="EC555" s="131"/>
      <c r="ED555" s="131"/>
      <c r="EE555" s="131"/>
      <c r="EF555" s="131"/>
      <c r="EG555" s="131"/>
      <c r="EH555" s="131"/>
      <c r="EI555" s="131"/>
      <c r="EJ555" s="131"/>
      <c r="EK555" s="131"/>
      <c r="EL555" s="131"/>
      <c r="EM555" s="131"/>
      <c r="EN555" s="131"/>
      <c r="EO555" s="131"/>
      <c r="EP555" s="131"/>
      <c r="EQ555" s="131"/>
      <c r="ER555" s="131"/>
      <c r="ES555" s="131"/>
      <c r="ET555" s="131"/>
      <c r="EU555" s="131"/>
      <c r="EV555" s="131"/>
      <c r="EW555" s="131"/>
      <c r="EX555" s="131"/>
      <c r="EY555" s="131"/>
      <c r="EZ555" s="131"/>
      <c r="FA555" s="131"/>
      <c r="FB555" s="131"/>
      <c r="FC555" s="131"/>
      <c r="FD555" s="131"/>
      <c r="FE555" s="131"/>
      <c r="FF555" s="131"/>
      <c r="FG555" s="131"/>
      <c r="FH555" s="131"/>
      <c r="FI555" s="131"/>
      <c r="FJ555" s="131"/>
      <c r="FK555" s="131"/>
      <c r="FL555" s="131"/>
      <c r="FM555" s="131"/>
      <c r="FN555" s="131"/>
      <c r="FO555" s="131"/>
      <c r="FP555" s="131"/>
      <c r="FQ555" s="131"/>
      <c r="FR555" s="131"/>
      <c r="FS555" s="131"/>
      <c r="FT555" s="131"/>
      <c r="FU555" s="131"/>
      <c r="FV555" s="131"/>
      <c r="FW555" s="131"/>
      <c r="FX555" s="131"/>
      <c r="FY555" s="131"/>
      <c r="FZ555" s="131"/>
      <c r="GA555" s="131"/>
      <c r="GB555" s="131"/>
      <c r="GC555" s="131"/>
      <c r="GD555" s="131"/>
      <c r="GE555" s="131"/>
      <c r="GF555" s="131"/>
      <c r="GG555" s="131"/>
      <c r="GH555" s="131"/>
      <c r="GI555" s="131"/>
      <c r="GJ555" s="131"/>
      <c r="GK555" s="131"/>
      <c r="GL555" s="131"/>
      <c r="GM555" s="131"/>
      <c r="GN555" s="131"/>
      <c r="GO555" s="131"/>
      <c r="GP555" s="131"/>
      <c r="GQ555" s="131"/>
      <c r="GR555" s="131"/>
      <c r="GS555" s="131"/>
      <c r="GT555" s="131"/>
      <c r="GU555" s="131"/>
      <c r="GV555" s="131"/>
      <c r="GW555" s="131"/>
      <c r="GX555" s="131"/>
      <c r="GY555" s="131"/>
      <c r="GZ555" s="131"/>
      <c r="HA555" s="131"/>
      <c r="HB555" s="131"/>
      <c r="HC555" s="131"/>
      <c r="HD555" s="131"/>
      <c r="HE555" s="131"/>
      <c r="HF555" s="131"/>
      <c r="HG555" s="131"/>
      <c r="HH555" s="131"/>
      <c r="HI555" s="131"/>
      <c r="HJ555" s="131"/>
      <c r="HK555" s="131"/>
      <c r="HL555" s="131"/>
      <c r="HM555" s="131"/>
      <c r="HN555" s="131"/>
      <c r="HO555" s="131"/>
      <c r="HP555" s="131"/>
      <c r="HQ555" s="131"/>
      <c r="HR555" s="131"/>
      <c r="HS555" s="131"/>
      <c r="HT555" s="131"/>
      <c r="HU555" s="131"/>
      <c r="HV555" s="131"/>
      <c r="HW555" s="131"/>
      <c r="HX555" s="131"/>
      <c r="HY555" s="131"/>
      <c r="HZ555" s="131"/>
      <c r="IA555" s="131"/>
      <c r="IB555" s="131"/>
      <c r="IC555" s="131"/>
      <c r="ID555" s="131"/>
      <c r="IE555" s="131"/>
      <c r="IF555" s="131"/>
      <c r="IG555" s="131"/>
      <c r="IH555" s="131"/>
      <c r="II555" s="131"/>
      <c r="IJ555" s="131"/>
      <c r="IK555" s="131"/>
      <c r="IL555" s="131"/>
      <c r="IM555" s="131"/>
      <c r="IN555" s="131"/>
      <c r="IO555" s="131"/>
      <c r="IP555" s="131"/>
      <c r="IQ555" s="131"/>
      <c r="IR555" s="131"/>
      <c r="IS555" s="131"/>
      <c r="IT555" s="131"/>
      <c r="IU555" s="131"/>
      <c r="IV555" s="131"/>
    </row>
    <row r="556" spans="1:256" s="13" customFormat="1" ht="38.25" customHeight="1">
      <c r="A556" s="21" t="s">
        <v>1</v>
      </c>
      <c r="B556" s="246" t="s">
        <v>34</v>
      </c>
      <c r="C556" s="246" t="s">
        <v>25</v>
      </c>
      <c r="D556" s="246" t="s">
        <v>1063</v>
      </c>
      <c r="E556" s="246" t="s">
        <v>1064</v>
      </c>
      <c r="F556" s="21" t="s">
        <v>897</v>
      </c>
      <c r="G556" s="246" t="s">
        <v>103</v>
      </c>
      <c r="H556" s="21">
        <v>541990</v>
      </c>
      <c r="I556" s="21" t="s">
        <v>28</v>
      </c>
      <c r="J556" s="21" t="s">
        <v>109</v>
      </c>
      <c r="K556" s="21" t="s">
        <v>1974</v>
      </c>
      <c r="L556" s="21" t="s">
        <v>1974</v>
      </c>
      <c r="M556" s="22">
        <v>115000</v>
      </c>
      <c r="N556" s="22">
        <v>120000</v>
      </c>
      <c r="O556" s="21" t="s">
        <v>20</v>
      </c>
      <c r="P556" s="21" t="s">
        <v>1065</v>
      </c>
      <c r="Q556" s="21" t="s">
        <v>279</v>
      </c>
      <c r="R556" s="21" t="s">
        <v>10</v>
      </c>
      <c r="S556" s="74">
        <v>2013</v>
      </c>
      <c r="T556" s="21" t="s">
        <v>1066</v>
      </c>
      <c r="U556" s="21" t="s">
        <v>1067</v>
      </c>
      <c r="V556" s="21" t="s">
        <v>1068</v>
      </c>
      <c r="W556" s="21" t="s">
        <v>66</v>
      </c>
      <c r="X556" s="246" t="s">
        <v>1740</v>
      </c>
      <c r="Y556" s="130"/>
      <c r="Z556" s="130"/>
      <c r="AA556" s="130"/>
      <c r="AB556" s="130"/>
      <c r="AC556" s="130"/>
      <c r="AD556" s="131"/>
      <c r="AE556" s="131"/>
      <c r="AF556" s="131"/>
      <c r="AG556" s="131"/>
      <c r="AH556" s="131"/>
      <c r="AI556" s="131"/>
      <c r="AJ556" s="131"/>
      <c r="AK556" s="131"/>
      <c r="AL556" s="131"/>
      <c r="AM556" s="131"/>
      <c r="AN556" s="131"/>
      <c r="AO556" s="131"/>
      <c r="AP556" s="131"/>
      <c r="AQ556" s="131"/>
      <c r="AR556" s="131"/>
      <c r="AS556" s="131"/>
      <c r="AT556" s="131"/>
      <c r="AU556" s="131"/>
      <c r="AV556" s="131"/>
      <c r="AW556" s="131"/>
      <c r="AX556" s="131"/>
      <c r="AY556" s="131"/>
      <c r="AZ556" s="131"/>
      <c r="BA556" s="131"/>
      <c r="BB556" s="131"/>
      <c r="BC556" s="131"/>
      <c r="BD556" s="131"/>
      <c r="BE556" s="131"/>
      <c r="BF556" s="131"/>
      <c r="BG556" s="131"/>
      <c r="BH556" s="131"/>
      <c r="BI556" s="131"/>
      <c r="BJ556" s="131"/>
      <c r="BK556" s="131"/>
      <c r="BL556" s="131"/>
      <c r="BM556" s="131"/>
      <c r="BN556" s="131"/>
      <c r="BO556" s="131"/>
      <c r="BP556" s="131"/>
      <c r="BQ556" s="131"/>
      <c r="BR556" s="131"/>
      <c r="BS556" s="131"/>
      <c r="BT556" s="131"/>
      <c r="BU556" s="131"/>
      <c r="BV556" s="131"/>
      <c r="BW556" s="131"/>
      <c r="BX556" s="131"/>
      <c r="BY556" s="131"/>
      <c r="BZ556" s="131"/>
      <c r="CA556" s="131"/>
      <c r="CB556" s="131"/>
      <c r="CC556" s="131"/>
      <c r="CD556" s="131"/>
      <c r="CE556" s="131"/>
      <c r="CF556" s="131"/>
      <c r="CG556" s="131"/>
      <c r="CH556" s="131"/>
      <c r="CI556" s="131"/>
      <c r="CJ556" s="131"/>
      <c r="CK556" s="131"/>
      <c r="CL556" s="131"/>
      <c r="CM556" s="131"/>
      <c r="CN556" s="131"/>
      <c r="CO556" s="131"/>
      <c r="CP556" s="131"/>
      <c r="CQ556" s="131"/>
      <c r="CR556" s="131"/>
      <c r="CS556" s="131"/>
      <c r="CT556" s="131"/>
      <c r="CU556" s="131"/>
      <c r="CV556" s="131"/>
      <c r="CW556" s="131"/>
      <c r="CX556" s="131"/>
      <c r="CY556" s="131"/>
      <c r="CZ556" s="131"/>
      <c r="DA556" s="131"/>
      <c r="DB556" s="131"/>
      <c r="DC556" s="131"/>
      <c r="DD556" s="131"/>
      <c r="DE556" s="131"/>
      <c r="DF556" s="131"/>
      <c r="DG556" s="131"/>
      <c r="DH556" s="131"/>
      <c r="DI556" s="131"/>
      <c r="DJ556" s="131"/>
      <c r="DK556" s="131"/>
      <c r="DL556" s="131"/>
      <c r="DM556" s="131"/>
      <c r="DN556" s="131"/>
      <c r="DO556" s="131"/>
      <c r="DP556" s="131"/>
      <c r="DQ556" s="131"/>
      <c r="DR556" s="131"/>
      <c r="DS556" s="131"/>
      <c r="DT556" s="131"/>
      <c r="DU556" s="131"/>
      <c r="DV556" s="131"/>
      <c r="DW556" s="131"/>
      <c r="DX556" s="131"/>
      <c r="DY556" s="131"/>
      <c r="DZ556" s="131"/>
      <c r="EA556" s="131"/>
      <c r="EB556" s="131"/>
      <c r="EC556" s="131"/>
      <c r="ED556" s="131"/>
      <c r="EE556" s="131"/>
      <c r="EF556" s="131"/>
      <c r="EG556" s="131"/>
      <c r="EH556" s="131"/>
      <c r="EI556" s="131"/>
      <c r="EJ556" s="131"/>
      <c r="EK556" s="131"/>
      <c r="EL556" s="131"/>
      <c r="EM556" s="131"/>
      <c r="EN556" s="131"/>
      <c r="EO556" s="131"/>
      <c r="EP556" s="131"/>
      <c r="EQ556" s="131"/>
      <c r="ER556" s="131"/>
      <c r="ES556" s="131"/>
      <c r="ET556" s="131"/>
      <c r="EU556" s="131"/>
      <c r="EV556" s="131"/>
      <c r="EW556" s="131"/>
      <c r="EX556" s="131"/>
      <c r="EY556" s="131"/>
      <c r="EZ556" s="131"/>
      <c r="FA556" s="131"/>
      <c r="FB556" s="131"/>
      <c r="FC556" s="131"/>
      <c r="FD556" s="131"/>
      <c r="FE556" s="131"/>
      <c r="FF556" s="131"/>
      <c r="FG556" s="131"/>
      <c r="FH556" s="131"/>
      <c r="FI556" s="131"/>
      <c r="FJ556" s="131"/>
      <c r="FK556" s="131"/>
      <c r="FL556" s="131"/>
      <c r="FM556" s="131"/>
      <c r="FN556" s="131"/>
      <c r="FO556" s="131"/>
      <c r="FP556" s="131"/>
      <c r="FQ556" s="131"/>
      <c r="FR556" s="131"/>
      <c r="FS556" s="131"/>
      <c r="FT556" s="131"/>
      <c r="FU556" s="131"/>
      <c r="FV556" s="131"/>
      <c r="FW556" s="131"/>
      <c r="FX556" s="131"/>
      <c r="FY556" s="131"/>
      <c r="FZ556" s="131"/>
      <c r="GA556" s="131"/>
      <c r="GB556" s="131"/>
      <c r="GC556" s="131"/>
      <c r="GD556" s="131"/>
      <c r="GE556" s="131"/>
      <c r="GF556" s="131"/>
      <c r="GG556" s="131"/>
      <c r="GH556" s="131"/>
      <c r="GI556" s="131"/>
      <c r="GJ556" s="131"/>
      <c r="GK556" s="131"/>
      <c r="GL556" s="131"/>
      <c r="GM556" s="131"/>
      <c r="GN556" s="131"/>
      <c r="GO556" s="131"/>
      <c r="GP556" s="131"/>
      <c r="GQ556" s="131"/>
      <c r="GR556" s="131"/>
      <c r="GS556" s="131"/>
      <c r="GT556" s="131"/>
      <c r="GU556" s="131"/>
      <c r="GV556" s="131"/>
      <c r="GW556" s="131"/>
      <c r="GX556" s="131"/>
      <c r="GY556" s="131"/>
      <c r="GZ556" s="131"/>
      <c r="HA556" s="131"/>
      <c r="HB556" s="131"/>
      <c r="HC556" s="131"/>
      <c r="HD556" s="131"/>
      <c r="HE556" s="131"/>
      <c r="HF556" s="131"/>
      <c r="HG556" s="131"/>
      <c r="HH556" s="131"/>
      <c r="HI556" s="131"/>
      <c r="HJ556" s="131"/>
      <c r="HK556" s="131"/>
      <c r="HL556" s="131"/>
      <c r="HM556" s="131"/>
      <c r="HN556" s="131"/>
      <c r="HO556" s="131"/>
      <c r="HP556" s="131"/>
      <c r="HQ556" s="131"/>
      <c r="HR556" s="131"/>
      <c r="HS556" s="131"/>
      <c r="HT556" s="131"/>
      <c r="HU556" s="131"/>
      <c r="HV556" s="131"/>
      <c r="HW556" s="131"/>
      <c r="HX556" s="131"/>
      <c r="HY556" s="131"/>
      <c r="HZ556" s="131"/>
      <c r="IA556" s="131"/>
      <c r="IB556" s="131"/>
      <c r="IC556" s="131"/>
      <c r="ID556" s="131"/>
      <c r="IE556" s="131"/>
      <c r="IF556" s="131"/>
      <c r="IG556" s="131"/>
      <c r="IH556" s="131"/>
      <c r="II556" s="131"/>
      <c r="IJ556" s="131"/>
      <c r="IK556" s="131"/>
      <c r="IL556" s="131"/>
      <c r="IM556" s="131"/>
      <c r="IN556" s="131"/>
      <c r="IO556" s="131"/>
      <c r="IP556" s="131"/>
      <c r="IQ556" s="131"/>
      <c r="IR556" s="131"/>
      <c r="IS556" s="131"/>
      <c r="IT556" s="131"/>
      <c r="IU556" s="131"/>
      <c r="IV556" s="131"/>
    </row>
    <row r="557" spans="1:256" s="13" customFormat="1" ht="38.25" customHeight="1">
      <c r="A557" s="21" t="s">
        <v>1</v>
      </c>
      <c r="B557" s="246" t="s">
        <v>34</v>
      </c>
      <c r="C557" s="246" t="s">
        <v>1069</v>
      </c>
      <c r="D557" s="246" t="s">
        <v>1061</v>
      </c>
      <c r="E557" s="21"/>
      <c r="F557" s="21" t="s">
        <v>897</v>
      </c>
      <c r="G557" s="246" t="s">
        <v>103</v>
      </c>
      <c r="H557" s="21">
        <v>561210</v>
      </c>
      <c r="I557" s="21" t="s">
        <v>1070</v>
      </c>
      <c r="J557" s="21" t="s">
        <v>109</v>
      </c>
      <c r="K557" s="21" t="s">
        <v>1071</v>
      </c>
      <c r="L557" s="21" t="s">
        <v>1072</v>
      </c>
      <c r="M557" s="22">
        <v>4000000</v>
      </c>
      <c r="N557" s="22">
        <v>4500000</v>
      </c>
      <c r="O557" s="21" t="s">
        <v>20</v>
      </c>
      <c r="P557" s="21" t="s">
        <v>2662</v>
      </c>
      <c r="Q557" s="21" t="s">
        <v>556</v>
      </c>
      <c r="R557" s="21" t="s">
        <v>10</v>
      </c>
      <c r="S557" s="74">
        <v>2013</v>
      </c>
      <c r="T557" s="21" t="s">
        <v>1073</v>
      </c>
      <c r="U557" s="21" t="s">
        <v>1074</v>
      </c>
      <c r="V557" s="21" t="s">
        <v>1075</v>
      </c>
      <c r="W557" s="21" t="s">
        <v>66</v>
      </c>
      <c r="X557" s="246" t="s">
        <v>2663</v>
      </c>
      <c r="Y557" s="130"/>
      <c r="Z557" s="267"/>
      <c r="AA557" s="267"/>
      <c r="AB557" s="267"/>
      <c r="AC557" s="130"/>
      <c r="AD557" s="131"/>
      <c r="AE557" s="131"/>
      <c r="AF557" s="131"/>
      <c r="AG557" s="131"/>
      <c r="AH557" s="131"/>
      <c r="AI557" s="131"/>
      <c r="AJ557" s="131"/>
      <c r="AK557" s="131"/>
      <c r="AL557" s="131"/>
      <c r="AM557" s="131"/>
      <c r="AN557" s="131"/>
      <c r="AO557" s="131"/>
      <c r="AP557" s="131"/>
      <c r="AQ557" s="131"/>
      <c r="AR557" s="131"/>
      <c r="AS557" s="131"/>
      <c r="AT557" s="131"/>
      <c r="AU557" s="131"/>
      <c r="AV557" s="131"/>
      <c r="AW557" s="131"/>
      <c r="AX557" s="131"/>
      <c r="AY557" s="131"/>
      <c r="AZ557" s="131"/>
      <c r="BA557" s="131"/>
      <c r="BB557" s="131"/>
      <c r="BC557" s="131"/>
      <c r="BD557" s="131"/>
      <c r="BE557" s="131"/>
      <c r="BF557" s="131"/>
      <c r="BG557" s="131"/>
      <c r="BH557" s="131"/>
      <c r="BI557" s="131"/>
      <c r="BJ557" s="131"/>
      <c r="BK557" s="131"/>
      <c r="BL557" s="131"/>
      <c r="BM557" s="131"/>
      <c r="BN557" s="131"/>
      <c r="BO557" s="131"/>
      <c r="BP557" s="131"/>
      <c r="BQ557" s="131"/>
      <c r="BR557" s="131"/>
      <c r="BS557" s="131"/>
      <c r="BT557" s="131"/>
      <c r="BU557" s="131"/>
      <c r="BV557" s="131"/>
      <c r="BW557" s="131"/>
      <c r="BX557" s="131"/>
      <c r="BY557" s="131"/>
      <c r="BZ557" s="131"/>
      <c r="CA557" s="131"/>
      <c r="CB557" s="131"/>
      <c r="CC557" s="131"/>
      <c r="CD557" s="131"/>
      <c r="CE557" s="131"/>
      <c r="CF557" s="131"/>
      <c r="CG557" s="131"/>
      <c r="CH557" s="131"/>
      <c r="CI557" s="131"/>
      <c r="CJ557" s="131"/>
      <c r="CK557" s="131"/>
      <c r="CL557" s="131"/>
      <c r="CM557" s="131"/>
      <c r="CN557" s="131"/>
      <c r="CO557" s="131"/>
      <c r="CP557" s="131"/>
      <c r="CQ557" s="131"/>
      <c r="CR557" s="131"/>
      <c r="CS557" s="131"/>
      <c r="CT557" s="131"/>
      <c r="CU557" s="131"/>
      <c r="CV557" s="131"/>
      <c r="CW557" s="131"/>
      <c r="CX557" s="131"/>
      <c r="CY557" s="131"/>
      <c r="CZ557" s="131"/>
      <c r="DA557" s="131"/>
      <c r="DB557" s="131"/>
      <c r="DC557" s="131"/>
      <c r="DD557" s="131"/>
      <c r="DE557" s="131"/>
      <c r="DF557" s="131"/>
      <c r="DG557" s="131"/>
      <c r="DH557" s="131"/>
      <c r="DI557" s="131"/>
      <c r="DJ557" s="131"/>
      <c r="DK557" s="131"/>
      <c r="DL557" s="131"/>
      <c r="DM557" s="131"/>
      <c r="DN557" s="131"/>
      <c r="DO557" s="131"/>
      <c r="DP557" s="131"/>
      <c r="DQ557" s="131"/>
      <c r="DR557" s="131"/>
      <c r="DS557" s="131"/>
      <c r="DT557" s="131"/>
      <c r="DU557" s="131"/>
      <c r="DV557" s="131"/>
      <c r="DW557" s="131"/>
      <c r="DX557" s="131"/>
      <c r="DY557" s="131"/>
      <c r="DZ557" s="131"/>
      <c r="EA557" s="131"/>
      <c r="EB557" s="131"/>
      <c r="EC557" s="131"/>
      <c r="ED557" s="131"/>
      <c r="EE557" s="131"/>
      <c r="EF557" s="131"/>
      <c r="EG557" s="131"/>
      <c r="EH557" s="131"/>
      <c r="EI557" s="131"/>
      <c r="EJ557" s="131"/>
      <c r="EK557" s="131"/>
      <c r="EL557" s="131"/>
      <c r="EM557" s="131"/>
      <c r="EN557" s="131"/>
      <c r="EO557" s="131"/>
      <c r="EP557" s="131"/>
      <c r="EQ557" s="131"/>
      <c r="ER557" s="131"/>
      <c r="ES557" s="131"/>
      <c r="ET557" s="131"/>
      <c r="EU557" s="131"/>
      <c r="EV557" s="131"/>
      <c r="EW557" s="131"/>
      <c r="EX557" s="131"/>
      <c r="EY557" s="131"/>
      <c r="EZ557" s="131"/>
      <c r="FA557" s="131"/>
      <c r="FB557" s="131"/>
      <c r="FC557" s="131"/>
      <c r="FD557" s="131"/>
      <c r="FE557" s="131"/>
      <c r="FF557" s="131"/>
      <c r="FG557" s="131"/>
      <c r="FH557" s="131"/>
      <c r="FI557" s="131"/>
      <c r="FJ557" s="131"/>
      <c r="FK557" s="131"/>
      <c r="FL557" s="131"/>
      <c r="FM557" s="131"/>
      <c r="FN557" s="131"/>
      <c r="FO557" s="131"/>
      <c r="FP557" s="131"/>
      <c r="FQ557" s="131"/>
      <c r="FR557" s="131"/>
      <c r="FS557" s="131"/>
      <c r="FT557" s="131"/>
      <c r="FU557" s="131"/>
      <c r="FV557" s="131"/>
      <c r="FW557" s="131"/>
      <c r="FX557" s="131"/>
      <c r="FY557" s="131"/>
      <c r="FZ557" s="131"/>
      <c r="GA557" s="131"/>
      <c r="GB557" s="131"/>
      <c r="GC557" s="131"/>
      <c r="GD557" s="131"/>
      <c r="GE557" s="131"/>
      <c r="GF557" s="131"/>
      <c r="GG557" s="131"/>
      <c r="GH557" s="131"/>
      <c r="GI557" s="131"/>
      <c r="GJ557" s="131"/>
      <c r="GK557" s="131"/>
      <c r="GL557" s="131"/>
      <c r="GM557" s="131"/>
      <c r="GN557" s="131"/>
      <c r="GO557" s="131"/>
      <c r="GP557" s="131"/>
      <c r="GQ557" s="131"/>
      <c r="GR557" s="131"/>
      <c r="GS557" s="131"/>
      <c r="GT557" s="131"/>
      <c r="GU557" s="131"/>
      <c r="GV557" s="131"/>
      <c r="GW557" s="131"/>
      <c r="GX557" s="131"/>
      <c r="GY557" s="131"/>
      <c r="GZ557" s="131"/>
      <c r="HA557" s="131"/>
      <c r="HB557" s="131"/>
      <c r="HC557" s="131"/>
      <c r="HD557" s="131"/>
      <c r="HE557" s="131"/>
      <c r="HF557" s="131"/>
      <c r="HG557" s="131"/>
      <c r="HH557" s="131"/>
      <c r="HI557" s="131"/>
      <c r="HJ557" s="131"/>
      <c r="HK557" s="131"/>
      <c r="HL557" s="131"/>
      <c r="HM557" s="131"/>
      <c r="HN557" s="131"/>
      <c r="HO557" s="131"/>
      <c r="HP557" s="131"/>
      <c r="HQ557" s="131"/>
      <c r="HR557" s="131"/>
      <c r="HS557" s="131"/>
      <c r="HT557" s="131"/>
      <c r="HU557" s="131"/>
      <c r="HV557" s="131"/>
      <c r="HW557" s="131"/>
      <c r="HX557" s="131"/>
      <c r="HY557" s="131"/>
      <c r="HZ557" s="131"/>
      <c r="IA557" s="131"/>
      <c r="IB557" s="131"/>
      <c r="IC557" s="131"/>
      <c r="ID557" s="131"/>
      <c r="IE557" s="131"/>
      <c r="IF557" s="131"/>
      <c r="IG557" s="131"/>
      <c r="IH557" s="131"/>
      <c r="II557" s="131"/>
      <c r="IJ557" s="131"/>
      <c r="IK557" s="131"/>
      <c r="IL557" s="131"/>
      <c r="IM557" s="131"/>
      <c r="IN557" s="131"/>
      <c r="IO557" s="131"/>
      <c r="IP557" s="131"/>
      <c r="IQ557" s="131"/>
      <c r="IR557" s="131"/>
      <c r="IS557" s="131"/>
      <c r="IT557" s="131"/>
      <c r="IU557" s="131"/>
      <c r="IV557" s="131"/>
    </row>
    <row r="558" spans="1:256" s="13" customFormat="1" ht="38.25" customHeight="1">
      <c r="A558" s="21" t="s">
        <v>1</v>
      </c>
      <c r="B558" s="246" t="s">
        <v>34</v>
      </c>
      <c r="C558" s="246" t="s">
        <v>25</v>
      </c>
      <c r="D558" s="246" t="s">
        <v>1076</v>
      </c>
      <c r="E558" s="21" t="s">
        <v>2664</v>
      </c>
      <c r="F558" s="21" t="s">
        <v>897</v>
      </c>
      <c r="G558" s="246" t="s">
        <v>103</v>
      </c>
      <c r="H558" s="21">
        <v>484210</v>
      </c>
      <c r="I558" s="21" t="s">
        <v>28</v>
      </c>
      <c r="J558" s="21" t="s">
        <v>109</v>
      </c>
      <c r="K558" s="21" t="s">
        <v>1077</v>
      </c>
      <c r="L558" s="21" t="s">
        <v>1077</v>
      </c>
      <c r="M558" s="22">
        <v>15000</v>
      </c>
      <c r="N558" s="22">
        <v>7969.96</v>
      </c>
      <c r="O558" s="21" t="s">
        <v>9</v>
      </c>
      <c r="P558" s="21" t="s">
        <v>2665</v>
      </c>
      <c r="Q558" s="21" t="s">
        <v>556</v>
      </c>
      <c r="R558" s="21" t="s">
        <v>10</v>
      </c>
      <c r="S558" s="74">
        <v>2013</v>
      </c>
      <c r="T558" s="21" t="s">
        <v>1108</v>
      </c>
      <c r="U558" s="21" t="s">
        <v>1109</v>
      </c>
      <c r="V558" s="21" t="s">
        <v>1110</v>
      </c>
      <c r="W558" s="21" t="s">
        <v>66</v>
      </c>
      <c r="X558" s="246" t="s">
        <v>2666</v>
      </c>
      <c r="Y558" s="130"/>
      <c r="Z558" s="130"/>
      <c r="AA558" s="267"/>
      <c r="AB558" s="267"/>
      <c r="AC558" s="130"/>
      <c r="AD558" s="131"/>
      <c r="AE558" s="131"/>
      <c r="AF558" s="131"/>
      <c r="AG558" s="131"/>
      <c r="AH558" s="131"/>
      <c r="AI558" s="131"/>
      <c r="AJ558" s="131"/>
      <c r="AK558" s="131"/>
      <c r="AL558" s="131"/>
      <c r="AM558" s="131"/>
      <c r="AN558" s="131"/>
      <c r="AO558" s="131"/>
      <c r="AP558" s="131"/>
      <c r="AQ558" s="131"/>
      <c r="AR558" s="131"/>
      <c r="AS558" s="131"/>
      <c r="AT558" s="131"/>
      <c r="AU558" s="131"/>
      <c r="AV558" s="131"/>
      <c r="AW558" s="131"/>
      <c r="AX558" s="131"/>
      <c r="AY558" s="131"/>
      <c r="AZ558" s="131"/>
      <c r="BA558" s="131"/>
      <c r="BB558" s="131"/>
      <c r="BC558" s="131"/>
      <c r="BD558" s="131"/>
      <c r="BE558" s="131"/>
      <c r="BF558" s="131"/>
      <c r="BG558" s="131"/>
      <c r="BH558" s="131"/>
      <c r="BI558" s="131"/>
      <c r="BJ558" s="131"/>
      <c r="BK558" s="131"/>
      <c r="BL558" s="131"/>
      <c r="BM558" s="131"/>
      <c r="BN558" s="131"/>
      <c r="BO558" s="131"/>
      <c r="BP558" s="131"/>
      <c r="BQ558" s="131"/>
      <c r="BR558" s="131"/>
      <c r="BS558" s="131"/>
      <c r="BT558" s="131"/>
      <c r="BU558" s="131"/>
      <c r="BV558" s="131"/>
      <c r="BW558" s="131"/>
      <c r="BX558" s="131"/>
      <c r="BY558" s="131"/>
      <c r="BZ558" s="131"/>
      <c r="CA558" s="131"/>
      <c r="CB558" s="131"/>
      <c r="CC558" s="131"/>
      <c r="CD558" s="131"/>
      <c r="CE558" s="131"/>
      <c r="CF558" s="131"/>
      <c r="CG558" s="131"/>
      <c r="CH558" s="131"/>
      <c r="CI558" s="131"/>
      <c r="CJ558" s="131"/>
      <c r="CK558" s="131"/>
      <c r="CL558" s="131"/>
      <c r="CM558" s="131"/>
      <c r="CN558" s="131"/>
      <c r="CO558" s="131"/>
      <c r="CP558" s="131"/>
      <c r="CQ558" s="131"/>
      <c r="CR558" s="131"/>
      <c r="CS558" s="131"/>
      <c r="CT558" s="131"/>
      <c r="CU558" s="131"/>
      <c r="CV558" s="131"/>
      <c r="CW558" s="131"/>
      <c r="CX558" s="131"/>
      <c r="CY558" s="131"/>
      <c r="CZ558" s="131"/>
      <c r="DA558" s="131"/>
      <c r="DB558" s="131"/>
      <c r="DC558" s="131"/>
      <c r="DD558" s="131"/>
      <c r="DE558" s="131"/>
      <c r="DF558" s="131"/>
      <c r="DG558" s="131"/>
      <c r="DH558" s="131"/>
      <c r="DI558" s="131"/>
      <c r="DJ558" s="131"/>
      <c r="DK558" s="131"/>
      <c r="DL558" s="131"/>
      <c r="DM558" s="131"/>
      <c r="DN558" s="131"/>
      <c r="DO558" s="131"/>
      <c r="DP558" s="131"/>
      <c r="DQ558" s="131"/>
      <c r="DR558" s="131"/>
      <c r="DS558" s="131"/>
      <c r="DT558" s="131"/>
      <c r="DU558" s="131"/>
      <c r="DV558" s="131"/>
      <c r="DW558" s="131"/>
      <c r="DX558" s="131"/>
      <c r="DY558" s="131"/>
      <c r="DZ558" s="131"/>
      <c r="EA558" s="131"/>
      <c r="EB558" s="131"/>
      <c r="EC558" s="131"/>
      <c r="ED558" s="131"/>
      <c r="EE558" s="131"/>
      <c r="EF558" s="131"/>
      <c r="EG558" s="131"/>
      <c r="EH558" s="131"/>
      <c r="EI558" s="131"/>
      <c r="EJ558" s="131"/>
      <c r="EK558" s="131"/>
      <c r="EL558" s="131"/>
      <c r="EM558" s="131"/>
      <c r="EN558" s="131"/>
      <c r="EO558" s="131"/>
      <c r="EP558" s="131"/>
      <c r="EQ558" s="131"/>
      <c r="ER558" s="131"/>
      <c r="ES558" s="131"/>
      <c r="ET558" s="131"/>
      <c r="EU558" s="131"/>
      <c r="EV558" s="131"/>
      <c r="EW558" s="131"/>
      <c r="EX558" s="131"/>
      <c r="EY558" s="131"/>
      <c r="EZ558" s="131"/>
      <c r="FA558" s="131"/>
      <c r="FB558" s="131"/>
      <c r="FC558" s="131"/>
      <c r="FD558" s="131"/>
      <c r="FE558" s="131"/>
      <c r="FF558" s="131"/>
      <c r="FG558" s="131"/>
      <c r="FH558" s="131"/>
      <c r="FI558" s="131"/>
      <c r="FJ558" s="131"/>
      <c r="FK558" s="131"/>
      <c r="FL558" s="131"/>
      <c r="FM558" s="131"/>
      <c r="FN558" s="131"/>
      <c r="FO558" s="131"/>
      <c r="FP558" s="131"/>
      <c r="FQ558" s="131"/>
      <c r="FR558" s="131"/>
      <c r="FS558" s="131"/>
      <c r="FT558" s="131"/>
      <c r="FU558" s="131"/>
      <c r="FV558" s="131"/>
      <c r="FW558" s="131"/>
      <c r="FX558" s="131"/>
      <c r="FY558" s="131"/>
      <c r="FZ558" s="131"/>
      <c r="GA558" s="131"/>
      <c r="GB558" s="131"/>
      <c r="GC558" s="131"/>
      <c r="GD558" s="131"/>
      <c r="GE558" s="131"/>
      <c r="GF558" s="131"/>
      <c r="GG558" s="131"/>
      <c r="GH558" s="131"/>
      <c r="GI558" s="131"/>
      <c r="GJ558" s="131"/>
      <c r="GK558" s="131"/>
      <c r="GL558" s="131"/>
      <c r="GM558" s="131"/>
      <c r="GN558" s="131"/>
      <c r="GO558" s="131"/>
      <c r="GP558" s="131"/>
      <c r="GQ558" s="131"/>
      <c r="GR558" s="131"/>
      <c r="GS558" s="131"/>
      <c r="GT558" s="131"/>
      <c r="GU558" s="131"/>
      <c r="GV558" s="131"/>
      <c r="GW558" s="131"/>
      <c r="GX558" s="131"/>
      <c r="GY558" s="131"/>
      <c r="GZ558" s="131"/>
      <c r="HA558" s="131"/>
      <c r="HB558" s="131"/>
      <c r="HC558" s="131"/>
      <c r="HD558" s="131"/>
      <c r="HE558" s="131"/>
      <c r="HF558" s="131"/>
      <c r="HG558" s="131"/>
      <c r="HH558" s="131"/>
      <c r="HI558" s="131"/>
      <c r="HJ558" s="131"/>
      <c r="HK558" s="131"/>
      <c r="HL558" s="131"/>
      <c r="HM558" s="131"/>
      <c r="HN558" s="131"/>
      <c r="HO558" s="131"/>
      <c r="HP558" s="131"/>
      <c r="HQ558" s="131"/>
      <c r="HR558" s="131"/>
      <c r="HS558" s="131"/>
      <c r="HT558" s="131"/>
      <c r="HU558" s="131"/>
      <c r="HV558" s="131"/>
      <c r="HW558" s="131"/>
      <c r="HX558" s="131"/>
      <c r="HY558" s="131"/>
      <c r="HZ558" s="131"/>
      <c r="IA558" s="131"/>
      <c r="IB558" s="131"/>
      <c r="IC558" s="131"/>
      <c r="ID558" s="131"/>
      <c r="IE558" s="131"/>
      <c r="IF558" s="131"/>
      <c r="IG558" s="131"/>
      <c r="IH558" s="131"/>
      <c r="II558" s="131"/>
      <c r="IJ558" s="131"/>
      <c r="IK558" s="131"/>
      <c r="IL558" s="131"/>
      <c r="IM558" s="131"/>
      <c r="IN558" s="131"/>
      <c r="IO558" s="131"/>
      <c r="IP558" s="131"/>
      <c r="IQ558" s="131"/>
      <c r="IR558" s="131"/>
      <c r="IS558" s="131"/>
      <c r="IT558" s="131"/>
      <c r="IU558" s="131"/>
      <c r="IV558" s="131"/>
    </row>
    <row r="559" spans="1:256" s="13" customFormat="1" ht="38.25" customHeight="1">
      <c r="A559" s="21" t="s">
        <v>1</v>
      </c>
      <c r="B559" s="246" t="s">
        <v>34</v>
      </c>
      <c r="C559" s="246" t="s">
        <v>25</v>
      </c>
      <c r="D559" s="246" t="s">
        <v>1079</v>
      </c>
      <c r="E559" s="21" t="s">
        <v>2664</v>
      </c>
      <c r="F559" s="21" t="s">
        <v>897</v>
      </c>
      <c r="G559" s="246" t="s">
        <v>103</v>
      </c>
      <c r="H559" s="21">
        <v>484210</v>
      </c>
      <c r="I559" s="21" t="s">
        <v>28</v>
      </c>
      <c r="J559" s="21" t="s">
        <v>109</v>
      </c>
      <c r="K559" s="21" t="s">
        <v>1077</v>
      </c>
      <c r="L559" s="21" t="s">
        <v>1077</v>
      </c>
      <c r="M559" s="22">
        <v>15000</v>
      </c>
      <c r="N559" s="22">
        <v>25000</v>
      </c>
      <c r="O559" s="21" t="s">
        <v>1078</v>
      </c>
      <c r="P559" s="21"/>
      <c r="Q559" s="21" t="s">
        <v>279</v>
      </c>
      <c r="R559" s="21" t="s">
        <v>10</v>
      </c>
      <c r="S559" s="74">
        <v>2013</v>
      </c>
      <c r="T559" s="21" t="s">
        <v>1073</v>
      </c>
      <c r="U559" s="21" t="s">
        <v>1074</v>
      </c>
      <c r="V559" s="21" t="s">
        <v>1075</v>
      </c>
      <c r="W559" s="21" t="s">
        <v>66</v>
      </c>
      <c r="X559" s="246" t="s">
        <v>2667</v>
      </c>
      <c r="Y559" s="130"/>
      <c r="Z559" s="130"/>
      <c r="AA559" s="267"/>
      <c r="AB559" s="267"/>
      <c r="AC559" s="130"/>
      <c r="AD559" s="131"/>
      <c r="AE559" s="131"/>
      <c r="AF559" s="131"/>
      <c r="AG559" s="131"/>
      <c r="AH559" s="131"/>
      <c r="AI559" s="131"/>
      <c r="AJ559" s="131"/>
      <c r="AK559" s="131"/>
      <c r="AL559" s="131"/>
      <c r="AM559" s="131"/>
      <c r="AN559" s="131"/>
      <c r="AO559" s="131"/>
      <c r="AP559" s="131"/>
      <c r="AQ559" s="131"/>
      <c r="AR559" s="131"/>
      <c r="AS559" s="131"/>
      <c r="AT559" s="131"/>
      <c r="AU559" s="131"/>
      <c r="AV559" s="131"/>
      <c r="AW559" s="131"/>
      <c r="AX559" s="131"/>
      <c r="AY559" s="131"/>
      <c r="AZ559" s="131"/>
      <c r="BA559" s="131"/>
      <c r="BB559" s="131"/>
      <c r="BC559" s="131"/>
      <c r="BD559" s="131"/>
      <c r="BE559" s="131"/>
      <c r="BF559" s="131"/>
      <c r="BG559" s="131"/>
      <c r="BH559" s="131"/>
      <c r="BI559" s="131"/>
      <c r="BJ559" s="131"/>
      <c r="BK559" s="131"/>
      <c r="BL559" s="131"/>
      <c r="BM559" s="131"/>
      <c r="BN559" s="131"/>
      <c r="BO559" s="131"/>
      <c r="BP559" s="131"/>
      <c r="BQ559" s="131"/>
      <c r="BR559" s="131"/>
      <c r="BS559" s="131"/>
      <c r="BT559" s="131"/>
      <c r="BU559" s="131"/>
      <c r="BV559" s="131"/>
      <c r="BW559" s="131"/>
      <c r="BX559" s="131"/>
      <c r="BY559" s="131"/>
      <c r="BZ559" s="131"/>
      <c r="CA559" s="131"/>
      <c r="CB559" s="131"/>
      <c r="CC559" s="131"/>
      <c r="CD559" s="131"/>
      <c r="CE559" s="131"/>
      <c r="CF559" s="131"/>
      <c r="CG559" s="131"/>
      <c r="CH559" s="131"/>
      <c r="CI559" s="131"/>
      <c r="CJ559" s="131"/>
      <c r="CK559" s="131"/>
      <c r="CL559" s="131"/>
      <c r="CM559" s="131"/>
      <c r="CN559" s="131"/>
      <c r="CO559" s="131"/>
      <c r="CP559" s="131"/>
      <c r="CQ559" s="131"/>
      <c r="CR559" s="131"/>
      <c r="CS559" s="131"/>
      <c r="CT559" s="131"/>
      <c r="CU559" s="131"/>
      <c r="CV559" s="131"/>
      <c r="CW559" s="131"/>
      <c r="CX559" s="131"/>
      <c r="CY559" s="131"/>
      <c r="CZ559" s="131"/>
      <c r="DA559" s="131"/>
      <c r="DB559" s="131"/>
      <c r="DC559" s="131"/>
      <c r="DD559" s="131"/>
      <c r="DE559" s="131"/>
      <c r="DF559" s="131"/>
      <c r="DG559" s="131"/>
      <c r="DH559" s="131"/>
      <c r="DI559" s="131"/>
      <c r="DJ559" s="131"/>
      <c r="DK559" s="131"/>
      <c r="DL559" s="131"/>
      <c r="DM559" s="131"/>
      <c r="DN559" s="131"/>
      <c r="DO559" s="131"/>
      <c r="DP559" s="131"/>
      <c r="DQ559" s="131"/>
      <c r="DR559" s="131"/>
      <c r="DS559" s="131"/>
      <c r="DT559" s="131"/>
      <c r="DU559" s="131"/>
      <c r="DV559" s="131"/>
      <c r="DW559" s="131"/>
      <c r="DX559" s="131"/>
      <c r="DY559" s="131"/>
      <c r="DZ559" s="131"/>
      <c r="EA559" s="131"/>
      <c r="EB559" s="131"/>
      <c r="EC559" s="131"/>
      <c r="ED559" s="131"/>
      <c r="EE559" s="131"/>
      <c r="EF559" s="131"/>
      <c r="EG559" s="131"/>
      <c r="EH559" s="131"/>
      <c r="EI559" s="131"/>
      <c r="EJ559" s="131"/>
      <c r="EK559" s="131"/>
      <c r="EL559" s="131"/>
      <c r="EM559" s="131"/>
      <c r="EN559" s="131"/>
      <c r="EO559" s="131"/>
      <c r="EP559" s="131"/>
      <c r="EQ559" s="131"/>
      <c r="ER559" s="131"/>
      <c r="ES559" s="131"/>
      <c r="ET559" s="131"/>
      <c r="EU559" s="131"/>
      <c r="EV559" s="131"/>
      <c r="EW559" s="131"/>
      <c r="EX559" s="131"/>
      <c r="EY559" s="131"/>
      <c r="EZ559" s="131"/>
      <c r="FA559" s="131"/>
      <c r="FB559" s="131"/>
      <c r="FC559" s="131"/>
      <c r="FD559" s="131"/>
      <c r="FE559" s="131"/>
      <c r="FF559" s="131"/>
      <c r="FG559" s="131"/>
      <c r="FH559" s="131"/>
      <c r="FI559" s="131"/>
      <c r="FJ559" s="131"/>
      <c r="FK559" s="131"/>
      <c r="FL559" s="131"/>
      <c r="FM559" s="131"/>
      <c r="FN559" s="131"/>
      <c r="FO559" s="131"/>
      <c r="FP559" s="131"/>
      <c r="FQ559" s="131"/>
      <c r="FR559" s="131"/>
      <c r="FS559" s="131"/>
      <c r="FT559" s="131"/>
      <c r="FU559" s="131"/>
      <c r="FV559" s="131"/>
      <c r="FW559" s="131"/>
      <c r="FX559" s="131"/>
      <c r="FY559" s="131"/>
      <c r="FZ559" s="131"/>
      <c r="GA559" s="131"/>
      <c r="GB559" s="131"/>
      <c r="GC559" s="131"/>
      <c r="GD559" s="131"/>
      <c r="GE559" s="131"/>
      <c r="GF559" s="131"/>
      <c r="GG559" s="131"/>
      <c r="GH559" s="131"/>
      <c r="GI559" s="131"/>
      <c r="GJ559" s="131"/>
      <c r="GK559" s="131"/>
      <c r="GL559" s="131"/>
      <c r="GM559" s="131"/>
      <c r="GN559" s="131"/>
      <c r="GO559" s="131"/>
      <c r="GP559" s="131"/>
      <c r="GQ559" s="131"/>
      <c r="GR559" s="131"/>
      <c r="GS559" s="131"/>
      <c r="GT559" s="131"/>
      <c r="GU559" s="131"/>
      <c r="GV559" s="131"/>
      <c r="GW559" s="131"/>
      <c r="GX559" s="131"/>
      <c r="GY559" s="131"/>
      <c r="GZ559" s="131"/>
      <c r="HA559" s="131"/>
      <c r="HB559" s="131"/>
      <c r="HC559" s="131"/>
      <c r="HD559" s="131"/>
      <c r="HE559" s="131"/>
      <c r="HF559" s="131"/>
      <c r="HG559" s="131"/>
      <c r="HH559" s="131"/>
      <c r="HI559" s="131"/>
      <c r="HJ559" s="131"/>
      <c r="HK559" s="131"/>
      <c r="HL559" s="131"/>
      <c r="HM559" s="131"/>
      <c r="HN559" s="131"/>
      <c r="HO559" s="131"/>
      <c r="HP559" s="131"/>
      <c r="HQ559" s="131"/>
      <c r="HR559" s="131"/>
      <c r="HS559" s="131"/>
      <c r="HT559" s="131"/>
      <c r="HU559" s="131"/>
      <c r="HV559" s="131"/>
      <c r="HW559" s="131"/>
      <c r="HX559" s="131"/>
      <c r="HY559" s="131"/>
      <c r="HZ559" s="131"/>
      <c r="IA559" s="131"/>
      <c r="IB559" s="131"/>
      <c r="IC559" s="131"/>
      <c r="ID559" s="131"/>
      <c r="IE559" s="131"/>
      <c r="IF559" s="131"/>
      <c r="IG559" s="131"/>
      <c r="IH559" s="131"/>
      <c r="II559" s="131"/>
      <c r="IJ559" s="131"/>
      <c r="IK559" s="131"/>
      <c r="IL559" s="131"/>
      <c r="IM559" s="131"/>
      <c r="IN559" s="131"/>
      <c r="IO559" s="131"/>
      <c r="IP559" s="131"/>
      <c r="IQ559" s="131"/>
      <c r="IR559" s="131"/>
      <c r="IS559" s="131"/>
      <c r="IT559" s="131"/>
      <c r="IU559" s="131"/>
      <c r="IV559" s="131"/>
    </row>
    <row r="560" spans="1:256" s="13" customFormat="1" ht="38.25" customHeight="1">
      <c r="A560" s="21" t="s">
        <v>1</v>
      </c>
      <c r="B560" s="246" t="s">
        <v>34</v>
      </c>
      <c r="C560" s="246" t="s">
        <v>25</v>
      </c>
      <c r="D560" s="246" t="s">
        <v>1076</v>
      </c>
      <c r="E560" s="21" t="s">
        <v>2664</v>
      </c>
      <c r="F560" s="21" t="s">
        <v>897</v>
      </c>
      <c r="G560" s="246" t="s">
        <v>103</v>
      </c>
      <c r="H560" s="21">
        <v>484210</v>
      </c>
      <c r="I560" s="21" t="s">
        <v>288</v>
      </c>
      <c r="J560" s="21" t="s">
        <v>109</v>
      </c>
      <c r="K560" s="21" t="s">
        <v>1080</v>
      </c>
      <c r="L560" s="21" t="s">
        <v>1081</v>
      </c>
      <c r="M560" s="22">
        <v>15000</v>
      </c>
      <c r="N560" s="22">
        <v>1525</v>
      </c>
      <c r="O560" s="21" t="s">
        <v>2551</v>
      </c>
      <c r="P560" s="21" t="s">
        <v>2668</v>
      </c>
      <c r="Q560" s="21" t="s">
        <v>556</v>
      </c>
      <c r="R560" s="21" t="s">
        <v>10</v>
      </c>
      <c r="S560" s="74">
        <v>2013</v>
      </c>
      <c r="T560" s="21" t="s">
        <v>1108</v>
      </c>
      <c r="U560" s="21" t="s">
        <v>1109</v>
      </c>
      <c r="V560" s="21" t="s">
        <v>1110</v>
      </c>
      <c r="W560" s="21" t="s">
        <v>66</v>
      </c>
      <c r="X560" s="246" t="s">
        <v>2669</v>
      </c>
      <c r="Y560" s="130"/>
      <c r="Z560" s="130"/>
      <c r="AA560" s="267"/>
      <c r="AB560" s="267"/>
      <c r="AC560" s="130"/>
      <c r="AD560" s="131"/>
      <c r="AE560" s="131"/>
      <c r="AF560" s="131"/>
      <c r="AG560" s="131"/>
      <c r="AH560" s="131"/>
      <c r="AI560" s="131"/>
      <c r="AJ560" s="131"/>
      <c r="AK560" s="131"/>
      <c r="AL560" s="131"/>
      <c r="AM560" s="131"/>
      <c r="AN560" s="131"/>
      <c r="AO560" s="131"/>
      <c r="AP560" s="131"/>
      <c r="AQ560" s="131"/>
      <c r="AR560" s="131"/>
      <c r="AS560" s="131"/>
      <c r="AT560" s="131"/>
      <c r="AU560" s="131"/>
      <c r="AV560" s="131"/>
      <c r="AW560" s="131"/>
      <c r="AX560" s="131"/>
      <c r="AY560" s="131"/>
      <c r="AZ560" s="131"/>
      <c r="BA560" s="131"/>
      <c r="BB560" s="131"/>
      <c r="BC560" s="131"/>
      <c r="BD560" s="131"/>
      <c r="BE560" s="131"/>
      <c r="BF560" s="131"/>
      <c r="BG560" s="131"/>
      <c r="BH560" s="131"/>
      <c r="BI560" s="131"/>
      <c r="BJ560" s="131"/>
      <c r="BK560" s="131"/>
      <c r="BL560" s="131"/>
      <c r="BM560" s="131"/>
      <c r="BN560" s="131"/>
      <c r="BO560" s="131"/>
      <c r="BP560" s="131"/>
      <c r="BQ560" s="131"/>
      <c r="BR560" s="131"/>
      <c r="BS560" s="131"/>
      <c r="BT560" s="131"/>
      <c r="BU560" s="131"/>
      <c r="BV560" s="131"/>
      <c r="BW560" s="131"/>
      <c r="BX560" s="131"/>
      <c r="BY560" s="131"/>
      <c r="BZ560" s="131"/>
      <c r="CA560" s="131"/>
      <c r="CB560" s="131"/>
      <c r="CC560" s="131"/>
      <c r="CD560" s="131"/>
      <c r="CE560" s="131"/>
      <c r="CF560" s="131"/>
      <c r="CG560" s="131"/>
      <c r="CH560" s="131"/>
      <c r="CI560" s="131"/>
      <c r="CJ560" s="131"/>
      <c r="CK560" s="131"/>
      <c r="CL560" s="131"/>
      <c r="CM560" s="131"/>
      <c r="CN560" s="131"/>
      <c r="CO560" s="131"/>
      <c r="CP560" s="131"/>
      <c r="CQ560" s="131"/>
      <c r="CR560" s="131"/>
      <c r="CS560" s="131"/>
      <c r="CT560" s="131"/>
      <c r="CU560" s="131"/>
      <c r="CV560" s="131"/>
      <c r="CW560" s="131"/>
      <c r="CX560" s="131"/>
      <c r="CY560" s="131"/>
      <c r="CZ560" s="131"/>
      <c r="DA560" s="131"/>
      <c r="DB560" s="131"/>
      <c r="DC560" s="131"/>
      <c r="DD560" s="131"/>
      <c r="DE560" s="131"/>
      <c r="DF560" s="131"/>
      <c r="DG560" s="131"/>
      <c r="DH560" s="131"/>
      <c r="DI560" s="131"/>
      <c r="DJ560" s="131"/>
      <c r="DK560" s="131"/>
      <c r="DL560" s="131"/>
      <c r="DM560" s="131"/>
      <c r="DN560" s="131"/>
      <c r="DO560" s="131"/>
      <c r="DP560" s="131"/>
      <c r="DQ560" s="131"/>
      <c r="DR560" s="131"/>
      <c r="DS560" s="131"/>
      <c r="DT560" s="131"/>
      <c r="DU560" s="131"/>
      <c r="DV560" s="131"/>
      <c r="DW560" s="131"/>
      <c r="DX560" s="131"/>
      <c r="DY560" s="131"/>
      <c r="DZ560" s="131"/>
      <c r="EA560" s="131"/>
      <c r="EB560" s="131"/>
      <c r="EC560" s="131"/>
      <c r="ED560" s="131"/>
      <c r="EE560" s="131"/>
      <c r="EF560" s="131"/>
      <c r="EG560" s="131"/>
      <c r="EH560" s="131"/>
      <c r="EI560" s="131"/>
      <c r="EJ560" s="131"/>
      <c r="EK560" s="131"/>
      <c r="EL560" s="131"/>
      <c r="EM560" s="131"/>
      <c r="EN560" s="131"/>
      <c r="EO560" s="131"/>
      <c r="EP560" s="131"/>
      <c r="EQ560" s="131"/>
      <c r="ER560" s="131"/>
      <c r="ES560" s="131"/>
      <c r="ET560" s="131"/>
      <c r="EU560" s="131"/>
      <c r="EV560" s="131"/>
      <c r="EW560" s="131"/>
      <c r="EX560" s="131"/>
      <c r="EY560" s="131"/>
      <c r="EZ560" s="131"/>
      <c r="FA560" s="131"/>
      <c r="FB560" s="131"/>
      <c r="FC560" s="131"/>
      <c r="FD560" s="131"/>
      <c r="FE560" s="131"/>
      <c r="FF560" s="131"/>
      <c r="FG560" s="131"/>
      <c r="FH560" s="131"/>
      <c r="FI560" s="131"/>
      <c r="FJ560" s="131"/>
      <c r="FK560" s="131"/>
      <c r="FL560" s="131"/>
      <c r="FM560" s="131"/>
      <c r="FN560" s="131"/>
      <c r="FO560" s="131"/>
      <c r="FP560" s="131"/>
      <c r="FQ560" s="131"/>
      <c r="FR560" s="131"/>
      <c r="FS560" s="131"/>
      <c r="FT560" s="131"/>
      <c r="FU560" s="131"/>
      <c r="FV560" s="131"/>
      <c r="FW560" s="131"/>
      <c r="FX560" s="131"/>
      <c r="FY560" s="131"/>
      <c r="FZ560" s="131"/>
      <c r="GA560" s="131"/>
      <c r="GB560" s="131"/>
      <c r="GC560" s="131"/>
      <c r="GD560" s="131"/>
      <c r="GE560" s="131"/>
      <c r="GF560" s="131"/>
      <c r="GG560" s="131"/>
      <c r="GH560" s="131"/>
      <c r="GI560" s="131"/>
      <c r="GJ560" s="131"/>
      <c r="GK560" s="131"/>
      <c r="GL560" s="131"/>
      <c r="GM560" s="131"/>
      <c r="GN560" s="131"/>
      <c r="GO560" s="131"/>
      <c r="GP560" s="131"/>
      <c r="GQ560" s="131"/>
      <c r="GR560" s="131"/>
      <c r="GS560" s="131"/>
      <c r="GT560" s="131"/>
      <c r="GU560" s="131"/>
      <c r="GV560" s="131"/>
      <c r="GW560" s="131"/>
      <c r="GX560" s="131"/>
      <c r="GY560" s="131"/>
      <c r="GZ560" s="131"/>
      <c r="HA560" s="131"/>
      <c r="HB560" s="131"/>
      <c r="HC560" s="131"/>
      <c r="HD560" s="131"/>
      <c r="HE560" s="131"/>
      <c r="HF560" s="131"/>
      <c r="HG560" s="131"/>
      <c r="HH560" s="131"/>
      <c r="HI560" s="131"/>
      <c r="HJ560" s="131"/>
      <c r="HK560" s="131"/>
      <c r="HL560" s="131"/>
      <c r="HM560" s="131"/>
      <c r="HN560" s="131"/>
      <c r="HO560" s="131"/>
      <c r="HP560" s="131"/>
      <c r="HQ560" s="131"/>
      <c r="HR560" s="131"/>
      <c r="HS560" s="131"/>
      <c r="HT560" s="131"/>
      <c r="HU560" s="131"/>
      <c r="HV560" s="131"/>
      <c r="HW560" s="131"/>
      <c r="HX560" s="131"/>
      <c r="HY560" s="131"/>
      <c r="HZ560" s="131"/>
      <c r="IA560" s="131"/>
      <c r="IB560" s="131"/>
      <c r="IC560" s="131"/>
      <c r="ID560" s="131"/>
      <c r="IE560" s="131"/>
      <c r="IF560" s="131"/>
      <c r="IG560" s="131"/>
      <c r="IH560" s="131"/>
      <c r="II560" s="131"/>
      <c r="IJ560" s="131"/>
      <c r="IK560" s="131"/>
      <c r="IL560" s="131"/>
      <c r="IM560" s="131"/>
      <c r="IN560" s="131"/>
      <c r="IO560" s="131"/>
      <c r="IP560" s="131"/>
      <c r="IQ560" s="131"/>
      <c r="IR560" s="131"/>
      <c r="IS560" s="131"/>
      <c r="IT560" s="131"/>
      <c r="IU560" s="131"/>
      <c r="IV560" s="131"/>
    </row>
    <row r="561" spans="1:256" s="13" customFormat="1" ht="38.25" customHeight="1">
      <c r="A561" s="21" t="s">
        <v>1</v>
      </c>
      <c r="B561" s="246" t="s">
        <v>34</v>
      </c>
      <c r="C561" s="21" t="s">
        <v>25</v>
      </c>
      <c r="D561" s="21" t="s">
        <v>1082</v>
      </c>
      <c r="E561" s="21" t="s">
        <v>2664</v>
      </c>
      <c r="F561" s="21" t="s">
        <v>897</v>
      </c>
      <c r="G561" s="246" t="s">
        <v>103</v>
      </c>
      <c r="H561" s="21">
        <v>484210</v>
      </c>
      <c r="I561" s="21" t="s">
        <v>28</v>
      </c>
      <c r="J561" s="21" t="s">
        <v>109</v>
      </c>
      <c r="K561" s="21" t="s">
        <v>1080</v>
      </c>
      <c r="L561" s="21" t="s">
        <v>28</v>
      </c>
      <c r="M561" s="22">
        <v>15000</v>
      </c>
      <c r="N561" s="22">
        <v>25000</v>
      </c>
      <c r="O561" s="21" t="s">
        <v>1078</v>
      </c>
      <c r="P561" s="21"/>
      <c r="Q561" s="21" t="s">
        <v>279</v>
      </c>
      <c r="R561" s="21" t="s">
        <v>41</v>
      </c>
      <c r="S561" s="74">
        <v>2013</v>
      </c>
      <c r="T561" s="21" t="s">
        <v>1073</v>
      </c>
      <c r="U561" s="21" t="s">
        <v>1074</v>
      </c>
      <c r="V561" s="21" t="s">
        <v>1075</v>
      </c>
      <c r="W561" s="21" t="s">
        <v>66</v>
      </c>
      <c r="X561" s="246" t="s">
        <v>1083</v>
      </c>
      <c r="Y561" s="130"/>
      <c r="Z561" s="130"/>
      <c r="AA561" s="130"/>
      <c r="AB561" s="130"/>
      <c r="AC561" s="130"/>
      <c r="AD561" s="131"/>
      <c r="AE561" s="131"/>
      <c r="AF561" s="131"/>
      <c r="AG561" s="131"/>
      <c r="AH561" s="131"/>
      <c r="AI561" s="131"/>
      <c r="AJ561" s="131"/>
      <c r="AK561" s="131"/>
      <c r="AL561" s="131"/>
      <c r="AM561" s="131"/>
      <c r="AN561" s="131"/>
      <c r="AO561" s="131"/>
      <c r="AP561" s="131"/>
      <c r="AQ561" s="131"/>
      <c r="AR561" s="131"/>
      <c r="AS561" s="131"/>
      <c r="AT561" s="131"/>
      <c r="AU561" s="131"/>
      <c r="AV561" s="131"/>
      <c r="AW561" s="131"/>
      <c r="AX561" s="131"/>
      <c r="AY561" s="131"/>
      <c r="AZ561" s="131"/>
      <c r="BA561" s="131"/>
      <c r="BB561" s="131"/>
      <c r="BC561" s="131"/>
      <c r="BD561" s="131"/>
      <c r="BE561" s="131"/>
      <c r="BF561" s="131"/>
      <c r="BG561" s="131"/>
      <c r="BH561" s="131"/>
      <c r="BI561" s="131"/>
      <c r="BJ561" s="131"/>
      <c r="BK561" s="131"/>
      <c r="BL561" s="131"/>
      <c r="BM561" s="131"/>
      <c r="BN561" s="131"/>
      <c r="BO561" s="131"/>
      <c r="BP561" s="131"/>
      <c r="BQ561" s="131"/>
      <c r="BR561" s="131"/>
      <c r="BS561" s="131"/>
      <c r="BT561" s="131"/>
      <c r="BU561" s="131"/>
      <c r="BV561" s="131"/>
      <c r="BW561" s="131"/>
      <c r="BX561" s="131"/>
      <c r="BY561" s="131"/>
      <c r="BZ561" s="131"/>
      <c r="CA561" s="131"/>
      <c r="CB561" s="131"/>
      <c r="CC561" s="131"/>
      <c r="CD561" s="131"/>
      <c r="CE561" s="131"/>
      <c r="CF561" s="131"/>
      <c r="CG561" s="131"/>
      <c r="CH561" s="131"/>
      <c r="CI561" s="131"/>
      <c r="CJ561" s="131"/>
      <c r="CK561" s="131"/>
      <c r="CL561" s="131"/>
      <c r="CM561" s="131"/>
      <c r="CN561" s="131"/>
      <c r="CO561" s="131"/>
      <c r="CP561" s="131"/>
      <c r="CQ561" s="131"/>
      <c r="CR561" s="131"/>
      <c r="CS561" s="131"/>
      <c r="CT561" s="131"/>
      <c r="CU561" s="131"/>
      <c r="CV561" s="131"/>
      <c r="CW561" s="131"/>
      <c r="CX561" s="131"/>
      <c r="CY561" s="131"/>
      <c r="CZ561" s="131"/>
      <c r="DA561" s="131"/>
      <c r="DB561" s="131"/>
      <c r="DC561" s="131"/>
      <c r="DD561" s="131"/>
      <c r="DE561" s="131"/>
      <c r="DF561" s="131"/>
      <c r="DG561" s="131"/>
      <c r="DH561" s="131"/>
      <c r="DI561" s="131"/>
      <c r="DJ561" s="131"/>
      <c r="DK561" s="131"/>
      <c r="DL561" s="131"/>
      <c r="DM561" s="131"/>
      <c r="DN561" s="131"/>
      <c r="DO561" s="131"/>
      <c r="DP561" s="131"/>
      <c r="DQ561" s="131"/>
      <c r="DR561" s="131"/>
      <c r="DS561" s="131"/>
      <c r="DT561" s="131"/>
      <c r="DU561" s="131"/>
      <c r="DV561" s="131"/>
      <c r="DW561" s="131"/>
      <c r="DX561" s="131"/>
      <c r="DY561" s="131"/>
      <c r="DZ561" s="131"/>
      <c r="EA561" s="131"/>
      <c r="EB561" s="131"/>
      <c r="EC561" s="131"/>
      <c r="ED561" s="131"/>
      <c r="EE561" s="131"/>
      <c r="EF561" s="131"/>
      <c r="EG561" s="131"/>
      <c r="EH561" s="131"/>
      <c r="EI561" s="131"/>
      <c r="EJ561" s="131"/>
      <c r="EK561" s="131"/>
      <c r="EL561" s="131"/>
      <c r="EM561" s="131"/>
      <c r="EN561" s="131"/>
      <c r="EO561" s="131"/>
      <c r="EP561" s="131"/>
      <c r="EQ561" s="131"/>
      <c r="ER561" s="131"/>
      <c r="ES561" s="131"/>
      <c r="ET561" s="131"/>
      <c r="EU561" s="131"/>
      <c r="EV561" s="131"/>
      <c r="EW561" s="131"/>
      <c r="EX561" s="131"/>
      <c r="EY561" s="131"/>
      <c r="EZ561" s="131"/>
      <c r="FA561" s="131"/>
      <c r="FB561" s="131"/>
      <c r="FC561" s="131"/>
      <c r="FD561" s="131"/>
      <c r="FE561" s="131"/>
      <c r="FF561" s="131"/>
      <c r="FG561" s="131"/>
      <c r="FH561" s="131"/>
      <c r="FI561" s="131"/>
      <c r="FJ561" s="131"/>
      <c r="FK561" s="131"/>
      <c r="FL561" s="131"/>
      <c r="FM561" s="131"/>
      <c r="FN561" s="131"/>
      <c r="FO561" s="131"/>
      <c r="FP561" s="131"/>
      <c r="FQ561" s="131"/>
      <c r="FR561" s="131"/>
      <c r="FS561" s="131"/>
      <c r="FT561" s="131"/>
      <c r="FU561" s="131"/>
      <c r="FV561" s="131"/>
      <c r="FW561" s="131"/>
      <c r="FX561" s="131"/>
      <c r="FY561" s="131"/>
      <c r="FZ561" s="131"/>
      <c r="GA561" s="131"/>
      <c r="GB561" s="131"/>
      <c r="GC561" s="131"/>
      <c r="GD561" s="131"/>
      <c r="GE561" s="131"/>
      <c r="GF561" s="131"/>
      <c r="GG561" s="131"/>
      <c r="GH561" s="131"/>
      <c r="GI561" s="131"/>
      <c r="GJ561" s="131"/>
      <c r="GK561" s="131"/>
      <c r="GL561" s="131"/>
      <c r="GM561" s="131"/>
      <c r="GN561" s="131"/>
      <c r="GO561" s="131"/>
      <c r="GP561" s="131"/>
      <c r="GQ561" s="131"/>
      <c r="GR561" s="131"/>
      <c r="GS561" s="131"/>
      <c r="GT561" s="131"/>
      <c r="GU561" s="131"/>
      <c r="GV561" s="131"/>
      <c r="GW561" s="131"/>
      <c r="GX561" s="131"/>
      <c r="GY561" s="131"/>
      <c r="GZ561" s="131"/>
      <c r="HA561" s="131"/>
      <c r="HB561" s="131"/>
      <c r="HC561" s="131"/>
      <c r="HD561" s="131"/>
      <c r="HE561" s="131"/>
      <c r="HF561" s="131"/>
      <c r="HG561" s="131"/>
      <c r="HH561" s="131"/>
      <c r="HI561" s="131"/>
      <c r="HJ561" s="131"/>
      <c r="HK561" s="131"/>
      <c r="HL561" s="131"/>
      <c r="HM561" s="131"/>
      <c r="HN561" s="131"/>
      <c r="HO561" s="131"/>
      <c r="HP561" s="131"/>
      <c r="HQ561" s="131"/>
      <c r="HR561" s="131"/>
      <c r="HS561" s="131"/>
      <c r="HT561" s="131"/>
      <c r="HU561" s="131"/>
      <c r="HV561" s="131"/>
      <c r="HW561" s="131"/>
      <c r="HX561" s="131"/>
      <c r="HY561" s="131"/>
      <c r="HZ561" s="131"/>
      <c r="IA561" s="131"/>
      <c r="IB561" s="131"/>
      <c r="IC561" s="131"/>
      <c r="ID561" s="131"/>
      <c r="IE561" s="131"/>
      <c r="IF561" s="131"/>
      <c r="IG561" s="131"/>
      <c r="IH561" s="131"/>
      <c r="II561" s="131"/>
      <c r="IJ561" s="131"/>
      <c r="IK561" s="131"/>
      <c r="IL561" s="131"/>
      <c r="IM561" s="131"/>
      <c r="IN561" s="131"/>
      <c r="IO561" s="131"/>
      <c r="IP561" s="131"/>
      <c r="IQ561" s="131"/>
      <c r="IR561" s="131"/>
      <c r="IS561" s="131"/>
      <c r="IT561" s="131"/>
      <c r="IU561" s="131"/>
      <c r="IV561" s="131"/>
    </row>
    <row r="562" spans="1:256" s="13" customFormat="1" ht="38.25" customHeight="1">
      <c r="A562" s="21" t="s">
        <v>1</v>
      </c>
      <c r="B562" s="246" t="s">
        <v>34</v>
      </c>
      <c r="C562" s="21" t="s">
        <v>25</v>
      </c>
      <c r="D562" s="21" t="s">
        <v>1076</v>
      </c>
      <c r="E562" s="21" t="s">
        <v>2664</v>
      </c>
      <c r="F562" s="21" t="s">
        <v>1016</v>
      </c>
      <c r="G562" s="246" t="s">
        <v>197</v>
      </c>
      <c r="H562" s="21">
        <v>484210</v>
      </c>
      <c r="I562" s="21" t="s">
        <v>28</v>
      </c>
      <c r="J562" s="21" t="s">
        <v>109</v>
      </c>
      <c r="K562" s="21" t="s">
        <v>1080</v>
      </c>
      <c r="L562" s="21" t="s">
        <v>28</v>
      </c>
      <c r="M562" s="22">
        <v>32000</v>
      </c>
      <c r="N562" s="22">
        <v>40000</v>
      </c>
      <c r="O562" s="21" t="s">
        <v>20</v>
      </c>
      <c r="P562" s="21"/>
      <c r="Q562" s="21" t="s">
        <v>279</v>
      </c>
      <c r="R562" s="21" t="s">
        <v>21</v>
      </c>
      <c r="S562" s="74">
        <v>2013</v>
      </c>
      <c r="T562" s="21" t="s">
        <v>1084</v>
      </c>
      <c r="U562" s="21" t="s">
        <v>1085</v>
      </c>
      <c r="V562" s="21" t="s">
        <v>1086</v>
      </c>
      <c r="W562" s="21" t="s">
        <v>66</v>
      </c>
      <c r="X562" s="246"/>
      <c r="Y562" s="130"/>
      <c r="Z562" s="130"/>
      <c r="AA562" s="130"/>
      <c r="AB562" s="130"/>
      <c r="AC562" s="130"/>
      <c r="AD562" s="131"/>
      <c r="AE562" s="131"/>
      <c r="AF562" s="131"/>
      <c r="AG562" s="131"/>
      <c r="AH562" s="131"/>
      <c r="AI562" s="131"/>
      <c r="AJ562" s="131"/>
      <c r="AK562" s="131"/>
      <c r="AL562" s="131"/>
      <c r="AM562" s="131"/>
      <c r="AN562" s="131"/>
      <c r="AO562" s="131"/>
      <c r="AP562" s="131"/>
      <c r="AQ562" s="131"/>
      <c r="AR562" s="131"/>
      <c r="AS562" s="131"/>
      <c r="AT562" s="131"/>
      <c r="AU562" s="131"/>
      <c r="AV562" s="131"/>
      <c r="AW562" s="131"/>
      <c r="AX562" s="131"/>
      <c r="AY562" s="131"/>
      <c r="AZ562" s="131"/>
      <c r="BA562" s="131"/>
      <c r="BB562" s="131"/>
      <c r="BC562" s="131"/>
      <c r="BD562" s="131"/>
      <c r="BE562" s="131"/>
      <c r="BF562" s="131"/>
      <c r="BG562" s="131"/>
      <c r="BH562" s="131"/>
      <c r="BI562" s="131"/>
      <c r="BJ562" s="131"/>
      <c r="BK562" s="131"/>
      <c r="BL562" s="131"/>
      <c r="BM562" s="131"/>
      <c r="BN562" s="131"/>
      <c r="BO562" s="131"/>
      <c r="BP562" s="131"/>
      <c r="BQ562" s="131"/>
      <c r="BR562" s="131"/>
      <c r="BS562" s="131"/>
      <c r="BT562" s="131"/>
      <c r="BU562" s="131"/>
      <c r="BV562" s="131"/>
      <c r="BW562" s="131"/>
      <c r="BX562" s="131"/>
      <c r="BY562" s="131"/>
      <c r="BZ562" s="131"/>
      <c r="CA562" s="131"/>
      <c r="CB562" s="131"/>
      <c r="CC562" s="131"/>
      <c r="CD562" s="131"/>
      <c r="CE562" s="131"/>
      <c r="CF562" s="131"/>
      <c r="CG562" s="131"/>
      <c r="CH562" s="131"/>
      <c r="CI562" s="131"/>
      <c r="CJ562" s="131"/>
      <c r="CK562" s="131"/>
      <c r="CL562" s="131"/>
      <c r="CM562" s="131"/>
      <c r="CN562" s="131"/>
      <c r="CO562" s="131"/>
      <c r="CP562" s="131"/>
      <c r="CQ562" s="131"/>
      <c r="CR562" s="131"/>
      <c r="CS562" s="131"/>
      <c r="CT562" s="131"/>
      <c r="CU562" s="131"/>
      <c r="CV562" s="131"/>
      <c r="CW562" s="131"/>
      <c r="CX562" s="131"/>
      <c r="CY562" s="131"/>
      <c r="CZ562" s="131"/>
      <c r="DA562" s="131"/>
      <c r="DB562" s="131"/>
      <c r="DC562" s="131"/>
      <c r="DD562" s="131"/>
      <c r="DE562" s="131"/>
      <c r="DF562" s="131"/>
      <c r="DG562" s="131"/>
      <c r="DH562" s="131"/>
      <c r="DI562" s="131"/>
      <c r="DJ562" s="131"/>
      <c r="DK562" s="131"/>
      <c r="DL562" s="131"/>
      <c r="DM562" s="131"/>
      <c r="DN562" s="131"/>
      <c r="DO562" s="131"/>
      <c r="DP562" s="131"/>
      <c r="DQ562" s="131"/>
      <c r="DR562" s="131"/>
      <c r="DS562" s="131"/>
      <c r="DT562" s="131"/>
      <c r="DU562" s="131"/>
      <c r="DV562" s="131"/>
      <c r="DW562" s="131"/>
      <c r="DX562" s="131"/>
      <c r="DY562" s="131"/>
      <c r="DZ562" s="131"/>
      <c r="EA562" s="131"/>
      <c r="EB562" s="131"/>
      <c r="EC562" s="131"/>
      <c r="ED562" s="131"/>
      <c r="EE562" s="131"/>
      <c r="EF562" s="131"/>
      <c r="EG562" s="131"/>
      <c r="EH562" s="131"/>
      <c r="EI562" s="131"/>
      <c r="EJ562" s="131"/>
      <c r="EK562" s="131"/>
      <c r="EL562" s="131"/>
      <c r="EM562" s="131"/>
      <c r="EN562" s="131"/>
      <c r="EO562" s="131"/>
      <c r="EP562" s="131"/>
      <c r="EQ562" s="131"/>
      <c r="ER562" s="131"/>
      <c r="ES562" s="131"/>
      <c r="ET562" s="131"/>
      <c r="EU562" s="131"/>
      <c r="EV562" s="131"/>
      <c r="EW562" s="131"/>
      <c r="EX562" s="131"/>
      <c r="EY562" s="131"/>
      <c r="EZ562" s="131"/>
      <c r="FA562" s="131"/>
      <c r="FB562" s="131"/>
      <c r="FC562" s="131"/>
      <c r="FD562" s="131"/>
      <c r="FE562" s="131"/>
      <c r="FF562" s="131"/>
      <c r="FG562" s="131"/>
      <c r="FH562" s="131"/>
      <c r="FI562" s="131"/>
      <c r="FJ562" s="131"/>
      <c r="FK562" s="131"/>
      <c r="FL562" s="131"/>
      <c r="FM562" s="131"/>
      <c r="FN562" s="131"/>
      <c r="FO562" s="131"/>
      <c r="FP562" s="131"/>
      <c r="FQ562" s="131"/>
      <c r="FR562" s="131"/>
      <c r="FS562" s="131"/>
      <c r="FT562" s="131"/>
      <c r="FU562" s="131"/>
      <c r="FV562" s="131"/>
      <c r="FW562" s="131"/>
      <c r="FX562" s="131"/>
      <c r="FY562" s="131"/>
      <c r="FZ562" s="131"/>
      <c r="GA562" s="131"/>
      <c r="GB562" s="131"/>
      <c r="GC562" s="131"/>
      <c r="GD562" s="131"/>
      <c r="GE562" s="131"/>
      <c r="GF562" s="131"/>
      <c r="GG562" s="131"/>
      <c r="GH562" s="131"/>
      <c r="GI562" s="131"/>
      <c r="GJ562" s="131"/>
      <c r="GK562" s="131"/>
      <c r="GL562" s="131"/>
      <c r="GM562" s="131"/>
      <c r="GN562" s="131"/>
      <c r="GO562" s="131"/>
      <c r="GP562" s="131"/>
      <c r="GQ562" s="131"/>
      <c r="GR562" s="131"/>
      <c r="GS562" s="131"/>
      <c r="GT562" s="131"/>
      <c r="GU562" s="131"/>
      <c r="GV562" s="131"/>
      <c r="GW562" s="131"/>
      <c r="GX562" s="131"/>
      <c r="GY562" s="131"/>
      <c r="GZ562" s="131"/>
      <c r="HA562" s="131"/>
      <c r="HB562" s="131"/>
      <c r="HC562" s="131"/>
      <c r="HD562" s="131"/>
      <c r="HE562" s="131"/>
      <c r="HF562" s="131"/>
      <c r="HG562" s="131"/>
      <c r="HH562" s="131"/>
      <c r="HI562" s="131"/>
      <c r="HJ562" s="131"/>
      <c r="HK562" s="131"/>
      <c r="HL562" s="131"/>
      <c r="HM562" s="131"/>
      <c r="HN562" s="131"/>
      <c r="HO562" s="131"/>
      <c r="HP562" s="131"/>
      <c r="HQ562" s="131"/>
      <c r="HR562" s="131"/>
      <c r="HS562" s="131"/>
      <c r="HT562" s="131"/>
      <c r="HU562" s="131"/>
      <c r="HV562" s="131"/>
      <c r="HW562" s="131"/>
      <c r="HX562" s="131"/>
      <c r="HY562" s="131"/>
      <c r="HZ562" s="131"/>
      <c r="IA562" s="131"/>
      <c r="IB562" s="131"/>
      <c r="IC562" s="131"/>
      <c r="ID562" s="131"/>
      <c r="IE562" s="131"/>
      <c r="IF562" s="131"/>
      <c r="IG562" s="131"/>
      <c r="IH562" s="131"/>
      <c r="II562" s="131"/>
      <c r="IJ562" s="131"/>
      <c r="IK562" s="131"/>
      <c r="IL562" s="131"/>
      <c r="IM562" s="131"/>
      <c r="IN562" s="131"/>
      <c r="IO562" s="131"/>
      <c r="IP562" s="131"/>
      <c r="IQ562" s="131"/>
      <c r="IR562" s="131"/>
      <c r="IS562" s="131"/>
      <c r="IT562" s="131"/>
      <c r="IU562" s="131"/>
      <c r="IV562" s="131"/>
    </row>
    <row r="563" spans="1:256" s="13" customFormat="1" ht="38.25" customHeight="1">
      <c r="A563" s="21" t="s">
        <v>1</v>
      </c>
      <c r="B563" s="246" t="s">
        <v>34</v>
      </c>
      <c r="C563" s="21" t="s">
        <v>25</v>
      </c>
      <c r="D563" s="21" t="s">
        <v>1087</v>
      </c>
      <c r="E563" s="21"/>
      <c r="F563" s="21" t="s">
        <v>897</v>
      </c>
      <c r="G563" s="246" t="s">
        <v>103</v>
      </c>
      <c r="H563" s="21">
        <v>561621</v>
      </c>
      <c r="I563" s="21" t="s">
        <v>28</v>
      </c>
      <c r="J563" s="21" t="s">
        <v>109</v>
      </c>
      <c r="K563" s="21" t="s">
        <v>1080</v>
      </c>
      <c r="L563" s="21" t="s">
        <v>28</v>
      </c>
      <c r="M563" s="22">
        <v>45000</v>
      </c>
      <c r="N563" s="22">
        <v>60000</v>
      </c>
      <c r="O563" s="21" t="s">
        <v>20</v>
      </c>
      <c r="P563" s="21"/>
      <c r="Q563" s="21" t="s">
        <v>279</v>
      </c>
      <c r="R563" s="21" t="s">
        <v>21</v>
      </c>
      <c r="S563" s="74">
        <v>2013</v>
      </c>
      <c r="T563" s="21" t="s">
        <v>1073</v>
      </c>
      <c r="U563" s="21" t="s">
        <v>1074</v>
      </c>
      <c r="V563" s="21" t="s">
        <v>1075</v>
      </c>
      <c r="W563" s="21" t="s">
        <v>66</v>
      </c>
      <c r="X563" s="246" t="s">
        <v>2670</v>
      </c>
      <c r="Y563" s="130"/>
      <c r="Z563" s="130"/>
      <c r="AA563" s="267"/>
      <c r="AB563" s="267"/>
      <c r="AC563" s="130"/>
      <c r="AD563" s="131"/>
      <c r="AE563" s="131"/>
      <c r="AF563" s="131"/>
      <c r="AG563" s="131"/>
      <c r="AH563" s="131"/>
      <c r="AI563" s="131"/>
      <c r="AJ563" s="131"/>
      <c r="AK563" s="131"/>
      <c r="AL563" s="131"/>
      <c r="AM563" s="131"/>
      <c r="AN563" s="131"/>
      <c r="AO563" s="131"/>
      <c r="AP563" s="131"/>
      <c r="AQ563" s="131"/>
      <c r="AR563" s="131"/>
      <c r="AS563" s="131"/>
      <c r="AT563" s="131"/>
      <c r="AU563" s="131"/>
      <c r="AV563" s="131"/>
      <c r="AW563" s="131"/>
      <c r="AX563" s="131"/>
      <c r="AY563" s="131"/>
      <c r="AZ563" s="131"/>
      <c r="BA563" s="131"/>
      <c r="BB563" s="131"/>
      <c r="BC563" s="131"/>
      <c r="BD563" s="131"/>
      <c r="BE563" s="131"/>
      <c r="BF563" s="131"/>
      <c r="BG563" s="131"/>
      <c r="BH563" s="131"/>
      <c r="BI563" s="131"/>
      <c r="BJ563" s="131"/>
      <c r="BK563" s="131"/>
      <c r="BL563" s="131"/>
      <c r="BM563" s="131"/>
      <c r="BN563" s="131"/>
      <c r="BO563" s="131"/>
      <c r="BP563" s="131"/>
      <c r="BQ563" s="131"/>
      <c r="BR563" s="131"/>
      <c r="BS563" s="131"/>
      <c r="BT563" s="131"/>
      <c r="BU563" s="131"/>
      <c r="BV563" s="131"/>
      <c r="BW563" s="131"/>
      <c r="BX563" s="131"/>
      <c r="BY563" s="131"/>
      <c r="BZ563" s="131"/>
      <c r="CA563" s="131"/>
      <c r="CB563" s="131"/>
      <c r="CC563" s="131"/>
      <c r="CD563" s="131"/>
      <c r="CE563" s="131"/>
      <c r="CF563" s="131"/>
      <c r="CG563" s="131"/>
      <c r="CH563" s="131"/>
      <c r="CI563" s="131"/>
      <c r="CJ563" s="131"/>
      <c r="CK563" s="131"/>
      <c r="CL563" s="131"/>
      <c r="CM563" s="131"/>
      <c r="CN563" s="131"/>
      <c r="CO563" s="131"/>
      <c r="CP563" s="131"/>
      <c r="CQ563" s="131"/>
      <c r="CR563" s="131"/>
      <c r="CS563" s="131"/>
      <c r="CT563" s="131"/>
      <c r="CU563" s="131"/>
      <c r="CV563" s="131"/>
      <c r="CW563" s="131"/>
      <c r="CX563" s="131"/>
      <c r="CY563" s="131"/>
      <c r="CZ563" s="131"/>
      <c r="DA563" s="131"/>
      <c r="DB563" s="131"/>
      <c r="DC563" s="131"/>
      <c r="DD563" s="131"/>
      <c r="DE563" s="131"/>
      <c r="DF563" s="131"/>
      <c r="DG563" s="131"/>
      <c r="DH563" s="131"/>
      <c r="DI563" s="131"/>
      <c r="DJ563" s="131"/>
      <c r="DK563" s="131"/>
      <c r="DL563" s="131"/>
      <c r="DM563" s="131"/>
      <c r="DN563" s="131"/>
      <c r="DO563" s="131"/>
      <c r="DP563" s="131"/>
      <c r="DQ563" s="131"/>
      <c r="DR563" s="131"/>
      <c r="DS563" s="131"/>
      <c r="DT563" s="131"/>
      <c r="DU563" s="131"/>
      <c r="DV563" s="131"/>
      <c r="DW563" s="131"/>
      <c r="DX563" s="131"/>
      <c r="DY563" s="131"/>
      <c r="DZ563" s="131"/>
      <c r="EA563" s="131"/>
      <c r="EB563" s="131"/>
      <c r="EC563" s="131"/>
      <c r="ED563" s="131"/>
      <c r="EE563" s="131"/>
      <c r="EF563" s="131"/>
      <c r="EG563" s="131"/>
      <c r="EH563" s="131"/>
      <c r="EI563" s="131"/>
      <c r="EJ563" s="131"/>
      <c r="EK563" s="131"/>
      <c r="EL563" s="131"/>
      <c r="EM563" s="131"/>
      <c r="EN563" s="131"/>
      <c r="EO563" s="131"/>
      <c r="EP563" s="131"/>
      <c r="EQ563" s="131"/>
      <c r="ER563" s="131"/>
      <c r="ES563" s="131"/>
      <c r="ET563" s="131"/>
      <c r="EU563" s="131"/>
      <c r="EV563" s="131"/>
      <c r="EW563" s="131"/>
      <c r="EX563" s="131"/>
      <c r="EY563" s="131"/>
      <c r="EZ563" s="131"/>
      <c r="FA563" s="131"/>
      <c r="FB563" s="131"/>
      <c r="FC563" s="131"/>
      <c r="FD563" s="131"/>
      <c r="FE563" s="131"/>
      <c r="FF563" s="131"/>
      <c r="FG563" s="131"/>
      <c r="FH563" s="131"/>
      <c r="FI563" s="131"/>
      <c r="FJ563" s="131"/>
      <c r="FK563" s="131"/>
      <c r="FL563" s="131"/>
      <c r="FM563" s="131"/>
      <c r="FN563" s="131"/>
      <c r="FO563" s="131"/>
      <c r="FP563" s="131"/>
      <c r="FQ563" s="131"/>
      <c r="FR563" s="131"/>
      <c r="FS563" s="131"/>
      <c r="FT563" s="131"/>
      <c r="FU563" s="131"/>
      <c r="FV563" s="131"/>
      <c r="FW563" s="131"/>
      <c r="FX563" s="131"/>
      <c r="FY563" s="131"/>
      <c r="FZ563" s="131"/>
      <c r="GA563" s="131"/>
      <c r="GB563" s="131"/>
      <c r="GC563" s="131"/>
      <c r="GD563" s="131"/>
      <c r="GE563" s="131"/>
      <c r="GF563" s="131"/>
      <c r="GG563" s="131"/>
      <c r="GH563" s="131"/>
      <c r="GI563" s="131"/>
      <c r="GJ563" s="131"/>
      <c r="GK563" s="131"/>
      <c r="GL563" s="131"/>
      <c r="GM563" s="131"/>
      <c r="GN563" s="131"/>
      <c r="GO563" s="131"/>
      <c r="GP563" s="131"/>
      <c r="GQ563" s="131"/>
      <c r="GR563" s="131"/>
      <c r="GS563" s="131"/>
      <c r="GT563" s="131"/>
      <c r="GU563" s="131"/>
      <c r="GV563" s="131"/>
      <c r="GW563" s="131"/>
      <c r="GX563" s="131"/>
      <c r="GY563" s="131"/>
      <c r="GZ563" s="131"/>
      <c r="HA563" s="131"/>
      <c r="HB563" s="131"/>
      <c r="HC563" s="131"/>
      <c r="HD563" s="131"/>
      <c r="HE563" s="131"/>
      <c r="HF563" s="131"/>
      <c r="HG563" s="131"/>
      <c r="HH563" s="131"/>
      <c r="HI563" s="131"/>
      <c r="HJ563" s="131"/>
      <c r="HK563" s="131"/>
      <c r="HL563" s="131"/>
      <c r="HM563" s="131"/>
      <c r="HN563" s="131"/>
      <c r="HO563" s="131"/>
      <c r="HP563" s="131"/>
      <c r="HQ563" s="131"/>
      <c r="HR563" s="131"/>
      <c r="HS563" s="131"/>
      <c r="HT563" s="131"/>
      <c r="HU563" s="131"/>
      <c r="HV563" s="131"/>
      <c r="HW563" s="131"/>
      <c r="HX563" s="131"/>
      <c r="HY563" s="131"/>
      <c r="HZ563" s="131"/>
      <c r="IA563" s="131"/>
      <c r="IB563" s="131"/>
      <c r="IC563" s="131"/>
      <c r="ID563" s="131"/>
      <c r="IE563" s="131"/>
      <c r="IF563" s="131"/>
      <c r="IG563" s="131"/>
      <c r="IH563" s="131"/>
      <c r="II563" s="131"/>
      <c r="IJ563" s="131"/>
      <c r="IK563" s="131"/>
      <c r="IL563" s="131"/>
      <c r="IM563" s="131"/>
      <c r="IN563" s="131"/>
      <c r="IO563" s="131"/>
      <c r="IP563" s="131"/>
      <c r="IQ563" s="131"/>
      <c r="IR563" s="131"/>
      <c r="IS563" s="131"/>
      <c r="IT563" s="131"/>
      <c r="IU563" s="131"/>
      <c r="IV563" s="131"/>
    </row>
    <row r="564" spans="1:256" s="13" customFormat="1" ht="38.25" customHeight="1">
      <c r="A564" s="21" t="s">
        <v>1</v>
      </c>
      <c r="B564" s="246" t="s">
        <v>34</v>
      </c>
      <c r="C564" s="21" t="s">
        <v>25</v>
      </c>
      <c r="D564" s="21" t="s">
        <v>1088</v>
      </c>
      <c r="E564" s="246" t="s">
        <v>1064</v>
      </c>
      <c r="F564" s="21" t="s">
        <v>897</v>
      </c>
      <c r="G564" s="246" t="s">
        <v>103</v>
      </c>
      <c r="H564" s="21">
        <v>492210</v>
      </c>
      <c r="I564" s="21" t="s">
        <v>28</v>
      </c>
      <c r="J564" s="21" t="s">
        <v>109</v>
      </c>
      <c r="K564" s="21" t="s">
        <v>331</v>
      </c>
      <c r="L564" s="21" t="s">
        <v>331</v>
      </c>
      <c r="M564" s="22">
        <v>8000</v>
      </c>
      <c r="N564" s="22">
        <v>8000</v>
      </c>
      <c r="O564" s="21" t="s">
        <v>20</v>
      </c>
      <c r="P564" s="21" t="s">
        <v>1089</v>
      </c>
      <c r="Q564" s="21" t="s">
        <v>279</v>
      </c>
      <c r="R564" s="21" t="s">
        <v>10</v>
      </c>
      <c r="S564" s="74">
        <v>2013</v>
      </c>
      <c r="T564" s="21" t="s">
        <v>1066</v>
      </c>
      <c r="U564" s="21" t="s">
        <v>1067</v>
      </c>
      <c r="V564" s="21" t="s">
        <v>1068</v>
      </c>
      <c r="W564" s="21" t="s">
        <v>66</v>
      </c>
      <c r="X564" s="246"/>
      <c r="Y564" s="130"/>
      <c r="Z564" s="130"/>
      <c r="AA564" s="130"/>
      <c r="AB564" s="130"/>
      <c r="AC564" s="130"/>
      <c r="AD564" s="131"/>
      <c r="AE564" s="131"/>
      <c r="AF564" s="131"/>
      <c r="AG564" s="131"/>
      <c r="AH564" s="131"/>
      <c r="AI564" s="131"/>
      <c r="AJ564" s="131"/>
      <c r="AK564" s="131"/>
      <c r="AL564" s="131"/>
      <c r="AM564" s="131"/>
      <c r="AN564" s="131"/>
      <c r="AO564" s="131"/>
      <c r="AP564" s="131"/>
      <c r="AQ564" s="131"/>
      <c r="AR564" s="131"/>
      <c r="AS564" s="131"/>
      <c r="AT564" s="131"/>
      <c r="AU564" s="131"/>
      <c r="AV564" s="131"/>
      <c r="AW564" s="131"/>
      <c r="AX564" s="131"/>
      <c r="AY564" s="131"/>
      <c r="AZ564" s="131"/>
      <c r="BA564" s="131"/>
      <c r="BB564" s="131"/>
      <c r="BC564" s="131"/>
      <c r="BD564" s="131"/>
      <c r="BE564" s="131"/>
      <c r="BF564" s="131"/>
      <c r="BG564" s="131"/>
      <c r="BH564" s="131"/>
      <c r="BI564" s="131"/>
      <c r="BJ564" s="131"/>
      <c r="BK564" s="131"/>
      <c r="BL564" s="131"/>
      <c r="BM564" s="131"/>
      <c r="BN564" s="131"/>
      <c r="BO564" s="131"/>
      <c r="BP564" s="131"/>
      <c r="BQ564" s="131"/>
      <c r="BR564" s="131"/>
      <c r="BS564" s="131"/>
      <c r="BT564" s="131"/>
      <c r="BU564" s="131"/>
      <c r="BV564" s="131"/>
      <c r="BW564" s="131"/>
      <c r="BX564" s="131"/>
      <c r="BY564" s="131"/>
      <c r="BZ564" s="131"/>
      <c r="CA564" s="131"/>
      <c r="CB564" s="131"/>
      <c r="CC564" s="131"/>
      <c r="CD564" s="131"/>
      <c r="CE564" s="131"/>
      <c r="CF564" s="131"/>
      <c r="CG564" s="131"/>
      <c r="CH564" s="131"/>
      <c r="CI564" s="131"/>
      <c r="CJ564" s="131"/>
      <c r="CK564" s="131"/>
      <c r="CL564" s="131"/>
      <c r="CM564" s="131"/>
      <c r="CN564" s="131"/>
      <c r="CO564" s="131"/>
      <c r="CP564" s="131"/>
      <c r="CQ564" s="131"/>
      <c r="CR564" s="131"/>
      <c r="CS564" s="131"/>
      <c r="CT564" s="131"/>
      <c r="CU564" s="131"/>
      <c r="CV564" s="131"/>
      <c r="CW564" s="131"/>
      <c r="CX564" s="131"/>
      <c r="CY564" s="131"/>
      <c r="CZ564" s="131"/>
      <c r="DA564" s="131"/>
      <c r="DB564" s="131"/>
      <c r="DC564" s="131"/>
      <c r="DD564" s="131"/>
      <c r="DE564" s="131"/>
      <c r="DF564" s="131"/>
      <c r="DG564" s="131"/>
      <c r="DH564" s="131"/>
      <c r="DI564" s="131"/>
      <c r="DJ564" s="131"/>
      <c r="DK564" s="131"/>
      <c r="DL564" s="131"/>
      <c r="DM564" s="131"/>
      <c r="DN564" s="131"/>
      <c r="DO564" s="131"/>
      <c r="DP564" s="131"/>
      <c r="DQ564" s="131"/>
      <c r="DR564" s="131"/>
      <c r="DS564" s="131"/>
      <c r="DT564" s="131"/>
      <c r="DU564" s="131"/>
      <c r="DV564" s="131"/>
      <c r="DW564" s="131"/>
      <c r="DX564" s="131"/>
      <c r="DY564" s="131"/>
      <c r="DZ564" s="131"/>
      <c r="EA564" s="131"/>
      <c r="EB564" s="131"/>
      <c r="EC564" s="131"/>
      <c r="ED564" s="131"/>
      <c r="EE564" s="131"/>
      <c r="EF564" s="131"/>
      <c r="EG564" s="131"/>
      <c r="EH564" s="131"/>
      <c r="EI564" s="131"/>
      <c r="EJ564" s="131"/>
      <c r="EK564" s="131"/>
      <c r="EL564" s="131"/>
      <c r="EM564" s="131"/>
      <c r="EN564" s="131"/>
      <c r="EO564" s="131"/>
      <c r="EP564" s="131"/>
      <c r="EQ564" s="131"/>
      <c r="ER564" s="131"/>
      <c r="ES564" s="131"/>
      <c r="ET564" s="131"/>
      <c r="EU564" s="131"/>
      <c r="EV564" s="131"/>
      <c r="EW564" s="131"/>
      <c r="EX564" s="131"/>
      <c r="EY564" s="131"/>
      <c r="EZ564" s="131"/>
      <c r="FA564" s="131"/>
      <c r="FB564" s="131"/>
      <c r="FC564" s="131"/>
      <c r="FD564" s="131"/>
      <c r="FE564" s="131"/>
      <c r="FF564" s="131"/>
      <c r="FG564" s="131"/>
      <c r="FH564" s="131"/>
      <c r="FI564" s="131"/>
      <c r="FJ564" s="131"/>
      <c r="FK564" s="131"/>
      <c r="FL564" s="131"/>
      <c r="FM564" s="131"/>
      <c r="FN564" s="131"/>
      <c r="FO564" s="131"/>
      <c r="FP564" s="131"/>
      <c r="FQ564" s="131"/>
      <c r="FR564" s="131"/>
      <c r="FS564" s="131"/>
      <c r="FT564" s="131"/>
      <c r="FU564" s="131"/>
      <c r="FV564" s="131"/>
      <c r="FW564" s="131"/>
      <c r="FX564" s="131"/>
      <c r="FY564" s="131"/>
      <c r="FZ564" s="131"/>
      <c r="GA564" s="131"/>
      <c r="GB564" s="131"/>
      <c r="GC564" s="131"/>
      <c r="GD564" s="131"/>
      <c r="GE564" s="131"/>
      <c r="GF564" s="131"/>
      <c r="GG564" s="131"/>
      <c r="GH564" s="131"/>
      <c r="GI564" s="131"/>
      <c r="GJ564" s="131"/>
      <c r="GK564" s="131"/>
      <c r="GL564" s="131"/>
      <c r="GM564" s="131"/>
      <c r="GN564" s="131"/>
      <c r="GO564" s="131"/>
      <c r="GP564" s="131"/>
      <c r="GQ564" s="131"/>
      <c r="GR564" s="131"/>
      <c r="GS564" s="131"/>
      <c r="GT564" s="131"/>
      <c r="GU564" s="131"/>
      <c r="GV564" s="131"/>
      <c r="GW564" s="131"/>
      <c r="GX564" s="131"/>
      <c r="GY564" s="131"/>
      <c r="GZ564" s="131"/>
      <c r="HA564" s="131"/>
      <c r="HB564" s="131"/>
      <c r="HC564" s="131"/>
      <c r="HD564" s="131"/>
      <c r="HE564" s="131"/>
      <c r="HF564" s="131"/>
      <c r="HG564" s="131"/>
      <c r="HH564" s="131"/>
      <c r="HI564" s="131"/>
      <c r="HJ564" s="131"/>
      <c r="HK564" s="131"/>
      <c r="HL564" s="131"/>
      <c r="HM564" s="131"/>
      <c r="HN564" s="131"/>
      <c r="HO564" s="131"/>
      <c r="HP564" s="131"/>
      <c r="HQ564" s="131"/>
      <c r="HR564" s="131"/>
      <c r="HS564" s="131"/>
      <c r="HT564" s="131"/>
      <c r="HU564" s="131"/>
      <c r="HV564" s="131"/>
      <c r="HW564" s="131"/>
      <c r="HX564" s="131"/>
      <c r="HY564" s="131"/>
      <c r="HZ564" s="131"/>
      <c r="IA564" s="131"/>
      <c r="IB564" s="131"/>
      <c r="IC564" s="131"/>
      <c r="ID564" s="131"/>
      <c r="IE564" s="131"/>
      <c r="IF564" s="131"/>
      <c r="IG564" s="131"/>
      <c r="IH564" s="131"/>
      <c r="II564" s="131"/>
      <c r="IJ564" s="131"/>
      <c r="IK564" s="131"/>
      <c r="IL564" s="131"/>
      <c r="IM564" s="131"/>
      <c r="IN564" s="131"/>
      <c r="IO564" s="131"/>
      <c r="IP564" s="131"/>
      <c r="IQ564" s="131"/>
      <c r="IR564" s="131"/>
      <c r="IS564" s="131"/>
      <c r="IT564" s="131"/>
      <c r="IU564" s="131"/>
      <c r="IV564" s="131"/>
    </row>
    <row r="565" spans="1:256" s="13" customFormat="1" ht="38.25" customHeight="1">
      <c r="A565" s="21" t="s">
        <v>1</v>
      </c>
      <c r="B565" s="246" t="s">
        <v>34</v>
      </c>
      <c r="C565" s="21" t="s">
        <v>3</v>
      </c>
      <c r="D565" s="21" t="s">
        <v>1061</v>
      </c>
      <c r="E565" s="246" t="s">
        <v>120</v>
      </c>
      <c r="F565" s="21" t="s">
        <v>1090</v>
      </c>
      <c r="G565" s="246" t="s">
        <v>197</v>
      </c>
      <c r="H565" s="21">
        <v>561210</v>
      </c>
      <c r="I565" s="21" t="s">
        <v>1091</v>
      </c>
      <c r="J565" s="21" t="s">
        <v>109</v>
      </c>
      <c r="K565" s="21" t="s">
        <v>1080</v>
      </c>
      <c r="L565" s="21" t="s">
        <v>1081</v>
      </c>
      <c r="M565" s="22">
        <v>1100000</v>
      </c>
      <c r="N565" s="22">
        <v>2100000</v>
      </c>
      <c r="O565" s="21" t="s">
        <v>20</v>
      </c>
      <c r="P565" s="21" t="s">
        <v>1092</v>
      </c>
      <c r="Q565" s="21" t="s">
        <v>279</v>
      </c>
      <c r="R565" s="21" t="s">
        <v>21</v>
      </c>
      <c r="S565" s="74">
        <v>2013</v>
      </c>
      <c r="T565" s="21" t="s">
        <v>1084</v>
      </c>
      <c r="U565" s="21" t="s">
        <v>1085</v>
      </c>
      <c r="V565" s="21" t="s">
        <v>1086</v>
      </c>
      <c r="W565" s="21" t="s">
        <v>66</v>
      </c>
      <c r="X565" s="246" t="s">
        <v>1093</v>
      </c>
      <c r="Y565" s="130"/>
      <c r="Z565" s="130"/>
      <c r="AA565" s="130"/>
      <c r="AB565" s="130"/>
      <c r="AC565" s="130"/>
      <c r="AD565" s="131"/>
      <c r="AE565" s="131"/>
      <c r="AF565" s="131"/>
      <c r="AG565" s="131"/>
      <c r="AH565" s="131"/>
      <c r="AI565" s="131"/>
      <c r="AJ565" s="131"/>
      <c r="AK565" s="131"/>
      <c r="AL565" s="131"/>
      <c r="AM565" s="131"/>
      <c r="AN565" s="131"/>
      <c r="AO565" s="131"/>
      <c r="AP565" s="131"/>
      <c r="AQ565" s="131"/>
      <c r="AR565" s="131"/>
      <c r="AS565" s="131"/>
      <c r="AT565" s="131"/>
      <c r="AU565" s="131"/>
      <c r="AV565" s="131"/>
      <c r="AW565" s="131"/>
      <c r="AX565" s="131"/>
      <c r="AY565" s="131"/>
      <c r="AZ565" s="131"/>
      <c r="BA565" s="131"/>
      <c r="BB565" s="131"/>
      <c r="BC565" s="131"/>
      <c r="BD565" s="131"/>
      <c r="BE565" s="131"/>
      <c r="BF565" s="131"/>
      <c r="BG565" s="131"/>
      <c r="BH565" s="131"/>
      <c r="BI565" s="131"/>
      <c r="BJ565" s="131"/>
      <c r="BK565" s="131"/>
      <c r="BL565" s="131"/>
      <c r="BM565" s="131"/>
      <c r="BN565" s="131"/>
      <c r="BO565" s="131"/>
      <c r="BP565" s="131"/>
      <c r="BQ565" s="131"/>
      <c r="BR565" s="131"/>
      <c r="BS565" s="131"/>
      <c r="BT565" s="131"/>
      <c r="BU565" s="131"/>
      <c r="BV565" s="131"/>
      <c r="BW565" s="131"/>
      <c r="BX565" s="131"/>
      <c r="BY565" s="131"/>
      <c r="BZ565" s="131"/>
      <c r="CA565" s="131"/>
      <c r="CB565" s="131"/>
      <c r="CC565" s="131"/>
      <c r="CD565" s="131"/>
      <c r="CE565" s="131"/>
      <c r="CF565" s="131"/>
      <c r="CG565" s="131"/>
      <c r="CH565" s="131"/>
      <c r="CI565" s="131"/>
      <c r="CJ565" s="131"/>
      <c r="CK565" s="131"/>
      <c r="CL565" s="131"/>
      <c r="CM565" s="131"/>
      <c r="CN565" s="131"/>
      <c r="CO565" s="131"/>
      <c r="CP565" s="131"/>
      <c r="CQ565" s="131"/>
      <c r="CR565" s="131"/>
      <c r="CS565" s="131"/>
      <c r="CT565" s="131"/>
      <c r="CU565" s="131"/>
      <c r="CV565" s="131"/>
      <c r="CW565" s="131"/>
      <c r="CX565" s="131"/>
      <c r="CY565" s="131"/>
      <c r="CZ565" s="131"/>
      <c r="DA565" s="131"/>
      <c r="DB565" s="131"/>
      <c r="DC565" s="131"/>
      <c r="DD565" s="131"/>
      <c r="DE565" s="131"/>
      <c r="DF565" s="131"/>
      <c r="DG565" s="131"/>
      <c r="DH565" s="131"/>
      <c r="DI565" s="131"/>
      <c r="DJ565" s="131"/>
      <c r="DK565" s="131"/>
      <c r="DL565" s="131"/>
      <c r="DM565" s="131"/>
      <c r="DN565" s="131"/>
      <c r="DO565" s="131"/>
      <c r="DP565" s="131"/>
      <c r="DQ565" s="131"/>
      <c r="DR565" s="131"/>
      <c r="DS565" s="131"/>
      <c r="DT565" s="131"/>
      <c r="DU565" s="131"/>
      <c r="DV565" s="131"/>
      <c r="DW565" s="131"/>
      <c r="DX565" s="131"/>
      <c r="DY565" s="131"/>
      <c r="DZ565" s="131"/>
      <c r="EA565" s="131"/>
      <c r="EB565" s="131"/>
      <c r="EC565" s="131"/>
      <c r="ED565" s="131"/>
      <c r="EE565" s="131"/>
      <c r="EF565" s="131"/>
      <c r="EG565" s="131"/>
      <c r="EH565" s="131"/>
      <c r="EI565" s="131"/>
      <c r="EJ565" s="131"/>
      <c r="EK565" s="131"/>
      <c r="EL565" s="131"/>
      <c r="EM565" s="131"/>
      <c r="EN565" s="131"/>
      <c r="EO565" s="131"/>
      <c r="EP565" s="131"/>
      <c r="EQ565" s="131"/>
      <c r="ER565" s="131"/>
      <c r="ES565" s="131"/>
      <c r="ET565" s="131"/>
      <c r="EU565" s="131"/>
      <c r="EV565" s="131"/>
      <c r="EW565" s="131"/>
      <c r="EX565" s="131"/>
      <c r="EY565" s="131"/>
      <c r="EZ565" s="131"/>
      <c r="FA565" s="131"/>
      <c r="FB565" s="131"/>
      <c r="FC565" s="131"/>
      <c r="FD565" s="131"/>
      <c r="FE565" s="131"/>
      <c r="FF565" s="131"/>
      <c r="FG565" s="131"/>
      <c r="FH565" s="131"/>
      <c r="FI565" s="131"/>
      <c r="FJ565" s="131"/>
      <c r="FK565" s="131"/>
      <c r="FL565" s="131"/>
      <c r="FM565" s="131"/>
      <c r="FN565" s="131"/>
      <c r="FO565" s="131"/>
      <c r="FP565" s="131"/>
      <c r="FQ565" s="131"/>
      <c r="FR565" s="131"/>
      <c r="FS565" s="131"/>
      <c r="FT565" s="131"/>
      <c r="FU565" s="131"/>
      <c r="FV565" s="131"/>
      <c r="FW565" s="131"/>
      <c r="FX565" s="131"/>
      <c r="FY565" s="131"/>
      <c r="FZ565" s="131"/>
      <c r="GA565" s="131"/>
      <c r="GB565" s="131"/>
      <c r="GC565" s="131"/>
      <c r="GD565" s="131"/>
      <c r="GE565" s="131"/>
      <c r="GF565" s="131"/>
      <c r="GG565" s="131"/>
      <c r="GH565" s="131"/>
      <c r="GI565" s="131"/>
      <c r="GJ565" s="131"/>
      <c r="GK565" s="131"/>
      <c r="GL565" s="131"/>
      <c r="GM565" s="131"/>
      <c r="GN565" s="131"/>
      <c r="GO565" s="131"/>
      <c r="GP565" s="131"/>
      <c r="GQ565" s="131"/>
      <c r="GR565" s="131"/>
      <c r="GS565" s="131"/>
      <c r="GT565" s="131"/>
      <c r="GU565" s="131"/>
      <c r="GV565" s="131"/>
      <c r="GW565" s="131"/>
      <c r="GX565" s="131"/>
      <c r="GY565" s="131"/>
      <c r="GZ565" s="131"/>
      <c r="HA565" s="131"/>
      <c r="HB565" s="131"/>
      <c r="HC565" s="131"/>
      <c r="HD565" s="131"/>
      <c r="HE565" s="131"/>
      <c r="HF565" s="131"/>
      <c r="HG565" s="131"/>
      <c r="HH565" s="131"/>
      <c r="HI565" s="131"/>
      <c r="HJ565" s="131"/>
      <c r="HK565" s="131"/>
      <c r="HL565" s="131"/>
      <c r="HM565" s="131"/>
      <c r="HN565" s="131"/>
      <c r="HO565" s="131"/>
      <c r="HP565" s="131"/>
      <c r="HQ565" s="131"/>
      <c r="HR565" s="131"/>
      <c r="HS565" s="131"/>
      <c r="HT565" s="131"/>
      <c r="HU565" s="131"/>
      <c r="HV565" s="131"/>
      <c r="HW565" s="131"/>
      <c r="HX565" s="131"/>
      <c r="HY565" s="131"/>
      <c r="HZ565" s="131"/>
      <c r="IA565" s="131"/>
      <c r="IB565" s="131"/>
      <c r="IC565" s="131"/>
      <c r="ID565" s="131"/>
      <c r="IE565" s="131"/>
      <c r="IF565" s="131"/>
      <c r="IG565" s="131"/>
      <c r="IH565" s="131"/>
      <c r="II565" s="131"/>
      <c r="IJ565" s="131"/>
      <c r="IK565" s="131"/>
      <c r="IL565" s="131"/>
      <c r="IM565" s="131"/>
      <c r="IN565" s="131"/>
      <c r="IO565" s="131"/>
      <c r="IP565" s="131"/>
      <c r="IQ565" s="131"/>
      <c r="IR565" s="131"/>
      <c r="IS565" s="131"/>
      <c r="IT565" s="131"/>
      <c r="IU565" s="131"/>
      <c r="IV565" s="131"/>
    </row>
    <row r="566" spans="1:256" s="13" customFormat="1" ht="38.25" customHeight="1">
      <c r="A566" s="21" t="s">
        <v>1</v>
      </c>
      <c r="B566" s="246" t="s">
        <v>34</v>
      </c>
      <c r="C566" s="21" t="s">
        <v>25</v>
      </c>
      <c r="D566" s="21" t="s">
        <v>1094</v>
      </c>
      <c r="E566" s="246" t="s">
        <v>1095</v>
      </c>
      <c r="F566" s="21" t="s">
        <v>1213</v>
      </c>
      <c r="G566" s="246" t="s">
        <v>103</v>
      </c>
      <c r="H566" s="21">
        <v>562111</v>
      </c>
      <c r="I566" s="21" t="s">
        <v>28</v>
      </c>
      <c r="J566" s="21" t="s">
        <v>109</v>
      </c>
      <c r="K566" s="21" t="s">
        <v>331</v>
      </c>
      <c r="L566" s="21" t="s">
        <v>331</v>
      </c>
      <c r="M566" s="22">
        <v>500000</v>
      </c>
      <c r="N566" s="22">
        <v>500000</v>
      </c>
      <c r="O566" s="21" t="s">
        <v>20</v>
      </c>
      <c r="P566" s="21"/>
      <c r="Q566" s="21" t="s">
        <v>279</v>
      </c>
      <c r="R566" s="21" t="s">
        <v>21</v>
      </c>
      <c r="S566" s="74">
        <v>2012</v>
      </c>
      <c r="T566" s="21" t="s">
        <v>1096</v>
      </c>
      <c r="U566" s="21" t="s">
        <v>1097</v>
      </c>
      <c r="V566" s="21" t="s">
        <v>1098</v>
      </c>
      <c r="W566" s="21" t="s">
        <v>66</v>
      </c>
      <c r="X566" s="246" t="s">
        <v>1740</v>
      </c>
      <c r="Y566" s="130"/>
      <c r="Z566" s="130"/>
      <c r="AA566" s="130"/>
      <c r="AB566" s="130"/>
      <c r="AC566" s="130"/>
      <c r="AD566" s="131"/>
      <c r="AE566" s="131"/>
      <c r="AF566" s="131"/>
      <c r="AG566" s="131"/>
      <c r="AH566" s="131"/>
      <c r="AI566" s="131"/>
      <c r="AJ566" s="131"/>
      <c r="AK566" s="131"/>
      <c r="AL566" s="131"/>
      <c r="AM566" s="131"/>
      <c r="AN566" s="131"/>
      <c r="AO566" s="131"/>
      <c r="AP566" s="131"/>
      <c r="AQ566" s="131"/>
      <c r="AR566" s="131"/>
      <c r="AS566" s="131"/>
      <c r="AT566" s="131"/>
      <c r="AU566" s="131"/>
      <c r="AV566" s="131"/>
      <c r="AW566" s="131"/>
      <c r="AX566" s="131"/>
      <c r="AY566" s="131"/>
      <c r="AZ566" s="131"/>
      <c r="BA566" s="131"/>
      <c r="BB566" s="131"/>
      <c r="BC566" s="131"/>
      <c r="BD566" s="131"/>
      <c r="BE566" s="131"/>
      <c r="BF566" s="131"/>
      <c r="BG566" s="131"/>
      <c r="BH566" s="131"/>
      <c r="BI566" s="131"/>
      <c r="BJ566" s="131"/>
      <c r="BK566" s="131"/>
      <c r="BL566" s="131"/>
      <c r="BM566" s="131"/>
      <c r="BN566" s="131"/>
      <c r="BO566" s="131"/>
      <c r="BP566" s="131"/>
      <c r="BQ566" s="131"/>
      <c r="BR566" s="131"/>
      <c r="BS566" s="131"/>
      <c r="BT566" s="131"/>
      <c r="BU566" s="131"/>
      <c r="BV566" s="131"/>
      <c r="BW566" s="131"/>
      <c r="BX566" s="131"/>
      <c r="BY566" s="131"/>
      <c r="BZ566" s="131"/>
      <c r="CA566" s="131"/>
      <c r="CB566" s="131"/>
      <c r="CC566" s="131"/>
      <c r="CD566" s="131"/>
      <c r="CE566" s="131"/>
      <c r="CF566" s="131"/>
      <c r="CG566" s="131"/>
      <c r="CH566" s="131"/>
      <c r="CI566" s="131"/>
      <c r="CJ566" s="131"/>
      <c r="CK566" s="131"/>
      <c r="CL566" s="131"/>
      <c r="CM566" s="131"/>
      <c r="CN566" s="131"/>
      <c r="CO566" s="131"/>
      <c r="CP566" s="131"/>
      <c r="CQ566" s="131"/>
      <c r="CR566" s="131"/>
      <c r="CS566" s="131"/>
      <c r="CT566" s="131"/>
      <c r="CU566" s="131"/>
      <c r="CV566" s="131"/>
      <c r="CW566" s="131"/>
      <c r="CX566" s="131"/>
      <c r="CY566" s="131"/>
      <c r="CZ566" s="131"/>
      <c r="DA566" s="131"/>
      <c r="DB566" s="131"/>
      <c r="DC566" s="131"/>
      <c r="DD566" s="131"/>
      <c r="DE566" s="131"/>
      <c r="DF566" s="131"/>
      <c r="DG566" s="131"/>
      <c r="DH566" s="131"/>
      <c r="DI566" s="131"/>
      <c r="DJ566" s="131"/>
      <c r="DK566" s="131"/>
      <c r="DL566" s="131"/>
      <c r="DM566" s="131"/>
      <c r="DN566" s="131"/>
      <c r="DO566" s="131"/>
      <c r="DP566" s="131"/>
      <c r="DQ566" s="131"/>
      <c r="DR566" s="131"/>
      <c r="DS566" s="131"/>
      <c r="DT566" s="131"/>
      <c r="DU566" s="131"/>
      <c r="DV566" s="131"/>
      <c r="DW566" s="131"/>
      <c r="DX566" s="131"/>
      <c r="DY566" s="131"/>
      <c r="DZ566" s="131"/>
      <c r="EA566" s="131"/>
      <c r="EB566" s="131"/>
      <c r="EC566" s="131"/>
      <c r="ED566" s="131"/>
      <c r="EE566" s="131"/>
      <c r="EF566" s="131"/>
      <c r="EG566" s="131"/>
      <c r="EH566" s="131"/>
      <c r="EI566" s="131"/>
      <c r="EJ566" s="131"/>
      <c r="EK566" s="131"/>
      <c r="EL566" s="131"/>
      <c r="EM566" s="131"/>
      <c r="EN566" s="131"/>
      <c r="EO566" s="131"/>
      <c r="EP566" s="131"/>
      <c r="EQ566" s="131"/>
      <c r="ER566" s="131"/>
      <c r="ES566" s="131"/>
      <c r="ET566" s="131"/>
      <c r="EU566" s="131"/>
      <c r="EV566" s="131"/>
      <c r="EW566" s="131"/>
      <c r="EX566" s="131"/>
      <c r="EY566" s="131"/>
      <c r="EZ566" s="131"/>
      <c r="FA566" s="131"/>
      <c r="FB566" s="131"/>
      <c r="FC566" s="131"/>
      <c r="FD566" s="131"/>
      <c r="FE566" s="131"/>
      <c r="FF566" s="131"/>
      <c r="FG566" s="131"/>
      <c r="FH566" s="131"/>
      <c r="FI566" s="131"/>
      <c r="FJ566" s="131"/>
      <c r="FK566" s="131"/>
      <c r="FL566" s="131"/>
      <c r="FM566" s="131"/>
      <c r="FN566" s="131"/>
      <c r="FO566" s="131"/>
      <c r="FP566" s="131"/>
      <c r="FQ566" s="131"/>
      <c r="FR566" s="131"/>
      <c r="FS566" s="131"/>
      <c r="FT566" s="131"/>
      <c r="FU566" s="131"/>
      <c r="FV566" s="131"/>
      <c r="FW566" s="131"/>
      <c r="FX566" s="131"/>
      <c r="FY566" s="131"/>
      <c r="FZ566" s="131"/>
      <c r="GA566" s="131"/>
      <c r="GB566" s="131"/>
      <c r="GC566" s="131"/>
      <c r="GD566" s="131"/>
      <c r="GE566" s="131"/>
      <c r="GF566" s="131"/>
      <c r="GG566" s="131"/>
      <c r="GH566" s="131"/>
      <c r="GI566" s="131"/>
      <c r="GJ566" s="131"/>
      <c r="GK566" s="131"/>
      <c r="GL566" s="131"/>
      <c r="GM566" s="131"/>
      <c r="GN566" s="131"/>
      <c r="GO566" s="131"/>
      <c r="GP566" s="131"/>
      <c r="GQ566" s="131"/>
      <c r="GR566" s="131"/>
      <c r="GS566" s="131"/>
      <c r="GT566" s="131"/>
      <c r="GU566" s="131"/>
      <c r="GV566" s="131"/>
      <c r="GW566" s="131"/>
      <c r="GX566" s="131"/>
      <c r="GY566" s="131"/>
      <c r="GZ566" s="131"/>
      <c r="HA566" s="131"/>
      <c r="HB566" s="131"/>
      <c r="HC566" s="131"/>
      <c r="HD566" s="131"/>
      <c r="HE566" s="131"/>
      <c r="HF566" s="131"/>
      <c r="HG566" s="131"/>
      <c r="HH566" s="131"/>
      <c r="HI566" s="131"/>
      <c r="HJ566" s="131"/>
      <c r="HK566" s="131"/>
      <c r="HL566" s="131"/>
      <c r="HM566" s="131"/>
      <c r="HN566" s="131"/>
      <c r="HO566" s="131"/>
      <c r="HP566" s="131"/>
      <c r="HQ566" s="131"/>
      <c r="HR566" s="131"/>
      <c r="HS566" s="131"/>
      <c r="HT566" s="131"/>
      <c r="HU566" s="131"/>
      <c r="HV566" s="131"/>
      <c r="HW566" s="131"/>
      <c r="HX566" s="131"/>
      <c r="HY566" s="131"/>
      <c r="HZ566" s="131"/>
      <c r="IA566" s="131"/>
      <c r="IB566" s="131"/>
      <c r="IC566" s="131"/>
      <c r="ID566" s="131"/>
      <c r="IE566" s="131"/>
      <c r="IF566" s="131"/>
      <c r="IG566" s="131"/>
      <c r="IH566" s="131"/>
      <c r="II566" s="131"/>
      <c r="IJ566" s="131"/>
      <c r="IK566" s="131"/>
      <c r="IL566" s="131"/>
      <c r="IM566" s="131"/>
      <c r="IN566" s="131"/>
      <c r="IO566" s="131"/>
      <c r="IP566" s="131"/>
      <c r="IQ566" s="131"/>
      <c r="IR566" s="131"/>
      <c r="IS566" s="131"/>
      <c r="IT566" s="131"/>
      <c r="IU566" s="131"/>
      <c r="IV566" s="131"/>
    </row>
    <row r="567" spans="1:256" s="13" customFormat="1" ht="38.25" customHeight="1">
      <c r="A567" s="21" t="s">
        <v>1</v>
      </c>
      <c r="B567" s="246" t="s">
        <v>34</v>
      </c>
      <c r="C567" s="21" t="s">
        <v>3</v>
      </c>
      <c r="D567" s="21" t="s">
        <v>1111</v>
      </c>
      <c r="E567" s="246" t="s">
        <v>234</v>
      </c>
      <c r="F567" s="21" t="s">
        <v>1056</v>
      </c>
      <c r="G567" s="246" t="s">
        <v>98</v>
      </c>
      <c r="H567" s="21">
        <v>561710</v>
      </c>
      <c r="I567" s="21" t="s">
        <v>28</v>
      </c>
      <c r="J567" s="21" t="s">
        <v>109</v>
      </c>
      <c r="K567" s="21" t="s">
        <v>2671</v>
      </c>
      <c r="L567" s="21" t="s">
        <v>1135</v>
      </c>
      <c r="M567" s="22">
        <v>29087</v>
      </c>
      <c r="N567" s="22">
        <v>29087</v>
      </c>
      <c r="O567" s="21" t="s">
        <v>20</v>
      </c>
      <c r="P567" s="21" t="s">
        <v>278</v>
      </c>
      <c r="Q567" s="21" t="s">
        <v>279</v>
      </c>
      <c r="R567" s="21" t="s">
        <v>10</v>
      </c>
      <c r="S567" s="74">
        <v>2013</v>
      </c>
      <c r="T567" s="21" t="s">
        <v>1058</v>
      </c>
      <c r="U567" s="21" t="s">
        <v>1059</v>
      </c>
      <c r="V567" s="21" t="s">
        <v>1060</v>
      </c>
      <c r="W567" s="21" t="s">
        <v>66</v>
      </c>
      <c r="X567" s="246" t="s">
        <v>2672</v>
      </c>
      <c r="Y567" s="130"/>
      <c r="Z567" s="130"/>
      <c r="AA567" s="267"/>
      <c r="AB567" s="130"/>
      <c r="AC567" s="130"/>
      <c r="AD567" s="131"/>
      <c r="AE567" s="131"/>
      <c r="AF567" s="131"/>
      <c r="AG567" s="131"/>
      <c r="AH567" s="131"/>
      <c r="AI567" s="131"/>
      <c r="AJ567" s="131"/>
      <c r="AK567" s="131"/>
      <c r="AL567" s="131"/>
      <c r="AM567" s="131"/>
      <c r="AN567" s="131"/>
      <c r="AO567" s="131"/>
      <c r="AP567" s="131"/>
      <c r="AQ567" s="131"/>
      <c r="AR567" s="131"/>
      <c r="AS567" s="131"/>
      <c r="AT567" s="131"/>
      <c r="AU567" s="131"/>
      <c r="AV567" s="131"/>
      <c r="AW567" s="131"/>
      <c r="AX567" s="131"/>
      <c r="AY567" s="131"/>
      <c r="AZ567" s="131"/>
      <c r="BA567" s="131"/>
      <c r="BB567" s="131"/>
      <c r="BC567" s="131"/>
      <c r="BD567" s="131"/>
      <c r="BE567" s="131"/>
      <c r="BF567" s="131"/>
      <c r="BG567" s="131"/>
      <c r="BH567" s="131"/>
      <c r="BI567" s="131"/>
      <c r="BJ567" s="131"/>
      <c r="BK567" s="131"/>
      <c r="BL567" s="131"/>
      <c r="BM567" s="131"/>
      <c r="BN567" s="131"/>
      <c r="BO567" s="131"/>
      <c r="BP567" s="131"/>
      <c r="BQ567" s="131"/>
      <c r="BR567" s="131"/>
      <c r="BS567" s="131"/>
      <c r="BT567" s="131"/>
      <c r="BU567" s="131"/>
      <c r="BV567" s="131"/>
      <c r="BW567" s="131"/>
      <c r="BX567" s="131"/>
      <c r="BY567" s="131"/>
      <c r="BZ567" s="131"/>
      <c r="CA567" s="131"/>
      <c r="CB567" s="131"/>
      <c r="CC567" s="131"/>
      <c r="CD567" s="131"/>
      <c r="CE567" s="131"/>
      <c r="CF567" s="131"/>
      <c r="CG567" s="131"/>
      <c r="CH567" s="131"/>
      <c r="CI567" s="131"/>
      <c r="CJ567" s="131"/>
      <c r="CK567" s="131"/>
      <c r="CL567" s="131"/>
      <c r="CM567" s="131"/>
      <c r="CN567" s="131"/>
      <c r="CO567" s="131"/>
      <c r="CP567" s="131"/>
      <c r="CQ567" s="131"/>
      <c r="CR567" s="131"/>
      <c r="CS567" s="131"/>
      <c r="CT567" s="131"/>
      <c r="CU567" s="131"/>
      <c r="CV567" s="131"/>
      <c r="CW567" s="131"/>
      <c r="CX567" s="131"/>
      <c r="CY567" s="131"/>
      <c r="CZ567" s="131"/>
      <c r="DA567" s="131"/>
      <c r="DB567" s="131"/>
      <c r="DC567" s="131"/>
      <c r="DD567" s="131"/>
      <c r="DE567" s="131"/>
      <c r="DF567" s="131"/>
      <c r="DG567" s="131"/>
      <c r="DH567" s="131"/>
      <c r="DI567" s="131"/>
      <c r="DJ567" s="131"/>
      <c r="DK567" s="131"/>
      <c r="DL567" s="131"/>
      <c r="DM567" s="131"/>
      <c r="DN567" s="131"/>
      <c r="DO567" s="131"/>
      <c r="DP567" s="131"/>
      <c r="DQ567" s="131"/>
      <c r="DR567" s="131"/>
      <c r="DS567" s="131"/>
      <c r="DT567" s="131"/>
      <c r="DU567" s="131"/>
      <c r="DV567" s="131"/>
      <c r="DW567" s="131"/>
      <c r="DX567" s="131"/>
      <c r="DY567" s="131"/>
      <c r="DZ567" s="131"/>
      <c r="EA567" s="131"/>
      <c r="EB567" s="131"/>
      <c r="EC567" s="131"/>
      <c r="ED567" s="131"/>
      <c r="EE567" s="131"/>
      <c r="EF567" s="131"/>
      <c r="EG567" s="131"/>
      <c r="EH567" s="131"/>
      <c r="EI567" s="131"/>
      <c r="EJ567" s="131"/>
      <c r="EK567" s="131"/>
      <c r="EL567" s="131"/>
      <c r="EM567" s="131"/>
      <c r="EN567" s="131"/>
      <c r="EO567" s="131"/>
      <c r="EP567" s="131"/>
      <c r="EQ567" s="131"/>
      <c r="ER567" s="131"/>
      <c r="ES567" s="131"/>
      <c r="ET567" s="131"/>
      <c r="EU567" s="131"/>
      <c r="EV567" s="131"/>
      <c r="EW567" s="131"/>
      <c r="EX567" s="131"/>
      <c r="EY567" s="131"/>
      <c r="EZ567" s="131"/>
      <c r="FA567" s="131"/>
      <c r="FB567" s="131"/>
      <c r="FC567" s="131"/>
      <c r="FD567" s="131"/>
      <c r="FE567" s="131"/>
      <c r="FF567" s="131"/>
      <c r="FG567" s="131"/>
      <c r="FH567" s="131"/>
      <c r="FI567" s="131"/>
      <c r="FJ567" s="131"/>
      <c r="FK567" s="131"/>
      <c r="FL567" s="131"/>
      <c r="FM567" s="131"/>
      <c r="FN567" s="131"/>
      <c r="FO567" s="131"/>
      <c r="FP567" s="131"/>
      <c r="FQ567" s="131"/>
      <c r="FR567" s="131"/>
      <c r="FS567" s="131"/>
      <c r="FT567" s="131"/>
      <c r="FU567" s="131"/>
      <c r="FV567" s="131"/>
      <c r="FW567" s="131"/>
      <c r="FX567" s="131"/>
      <c r="FY567" s="131"/>
      <c r="FZ567" s="131"/>
      <c r="GA567" s="131"/>
      <c r="GB567" s="131"/>
      <c r="GC567" s="131"/>
      <c r="GD567" s="131"/>
      <c r="GE567" s="131"/>
      <c r="GF567" s="131"/>
      <c r="GG567" s="131"/>
      <c r="GH567" s="131"/>
      <c r="GI567" s="131"/>
      <c r="GJ567" s="131"/>
      <c r="GK567" s="131"/>
      <c r="GL567" s="131"/>
      <c r="GM567" s="131"/>
      <c r="GN567" s="131"/>
      <c r="GO567" s="131"/>
      <c r="GP567" s="131"/>
      <c r="GQ567" s="131"/>
      <c r="GR567" s="131"/>
      <c r="GS567" s="131"/>
      <c r="GT567" s="131"/>
      <c r="GU567" s="131"/>
      <c r="GV567" s="131"/>
      <c r="GW567" s="131"/>
      <c r="GX567" s="131"/>
      <c r="GY567" s="131"/>
      <c r="GZ567" s="131"/>
      <c r="HA567" s="131"/>
      <c r="HB567" s="131"/>
      <c r="HC567" s="131"/>
      <c r="HD567" s="131"/>
      <c r="HE567" s="131"/>
      <c r="HF567" s="131"/>
      <c r="HG567" s="131"/>
      <c r="HH567" s="131"/>
      <c r="HI567" s="131"/>
      <c r="HJ567" s="131"/>
      <c r="HK567" s="131"/>
      <c r="HL567" s="131"/>
      <c r="HM567" s="131"/>
      <c r="HN567" s="131"/>
      <c r="HO567" s="131"/>
      <c r="HP567" s="131"/>
      <c r="HQ567" s="131"/>
      <c r="HR567" s="131"/>
      <c r="HS567" s="131"/>
      <c r="HT567" s="131"/>
      <c r="HU567" s="131"/>
      <c r="HV567" s="131"/>
      <c r="HW567" s="131"/>
      <c r="HX567" s="131"/>
      <c r="HY567" s="131"/>
      <c r="HZ567" s="131"/>
      <c r="IA567" s="131"/>
      <c r="IB567" s="131"/>
      <c r="IC567" s="131"/>
      <c r="ID567" s="131"/>
      <c r="IE567" s="131"/>
      <c r="IF567" s="131"/>
      <c r="IG567" s="131"/>
      <c r="IH567" s="131"/>
      <c r="II567" s="131"/>
      <c r="IJ567" s="131"/>
      <c r="IK567" s="131"/>
      <c r="IL567" s="131"/>
      <c r="IM567" s="131"/>
      <c r="IN567" s="131"/>
      <c r="IO567" s="131"/>
      <c r="IP567" s="131"/>
      <c r="IQ567" s="131"/>
      <c r="IR567" s="131"/>
      <c r="IS567" s="131"/>
      <c r="IT567" s="131"/>
      <c r="IU567" s="131"/>
      <c r="IV567" s="131"/>
    </row>
    <row r="568" spans="1:256" s="13" customFormat="1" ht="38.25" customHeight="1">
      <c r="A568" s="21" t="s">
        <v>1</v>
      </c>
      <c r="B568" s="246" t="s">
        <v>34</v>
      </c>
      <c r="C568" s="21" t="s">
        <v>25</v>
      </c>
      <c r="D568" s="21" t="s">
        <v>1112</v>
      </c>
      <c r="E568" s="246" t="s">
        <v>1113</v>
      </c>
      <c r="F568" s="21" t="s">
        <v>1213</v>
      </c>
      <c r="G568" s="246" t="s">
        <v>1114</v>
      </c>
      <c r="H568" s="21">
        <v>333313</v>
      </c>
      <c r="I568" s="21" t="s">
        <v>1193</v>
      </c>
      <c r="J568" s="21" t="s">
        <v>109</v>
      </c>
      <c r="K568" s="21" t="s">
        <v>1080</v>
      </c>
      <c r="L568" s="21" t="s">
        <v>278</v>
      </c>
      <c r="M568" s="22">
        <v>37085.230000000003</v>
      </c>
      <c r="N568" s="22">
        <v>111255.67999999999</v>
      </c>
      <c r="O568" s="21" t="s">
        <v>20</v>
      </c>
      <c r="P568" s="21" t="s">
        <v>1115</v>
      </c>
      <c r="Q568" s="21" t="s">
        <v>279</v>
      </c>
      <c r="R568" s="21" t="s">
        <v>10</v>
      </c>
      <c r="S568" s="74">
        <v>2013</v>
      </c>
      <c r="T568" s="21" t="s">
        <v>1116</v>
      </c>
      <c r="U568" s="21" t="s">
        <v>1117</v>
      </c>
      <c r="V568" s="21" t="s">
        <v>1118</v>
      </c>
      <c r="W568" s="21" t="s">
        <v>66</v>
      </c>
      <c r="X568" s="246" t="s">
        <v>2673</v>
      </c>
      <c r="Y568" s="130"/>
      <c r="Z568" s="130"/>
      <c r="AA568" s="130"/>
      <c r="AB568" s="130"/>
      <c r="AC568" s="130"/>
      <c r="AD568" s="131"/>
      <c r="AE568" s="131"/>
      <c r="AF568" s="131"/>
      <c r="AG568" s="131"/>
      <c r="AH568" s="131"/>
      <c r="AI568" s="131"/>
      <c r="AJ568" s="131"/>
      <c r="AK568" s="131"/>
      <c r="AL568" s="131"/>
      <c r="AM568" s="131"/>
      <c r="AN568" s="131"/>
      <c r="AO568" s="131"/>
      <c r="AP568" s="131"/>
      <c r="AQ568" s="131"/>
      <c r="AR568" s="131"/>
      <c r="AS568" s="131"/>
      <c r="AT568" s="131"/>
      <c r="AU568" s="131"/>
      <c r="AV568" s="131"/>
      <c r="AW568" s="131"/>
      <c r="AX568" s="131"/>
      <c r="AY568" s="131"/>
      <c r="AZ568" s="131"/>
      <c r="BA568" s="131"/>
      <c r="BB568" s="131"/>
      <c r="BC568" s="131"/>
      <c r="BD568" s="131"/>
      <c r="BE568" s="131"/>
      <c r="BF568" s="131"/>
      <c r="BG568" s="131"/>
      <c r="BH568" s="131"/>
      <c r="BI568" s="131"/>
      <c r="BJ568" s="131"/>
      <c r="BK568" s="131"/>
      <c r="BL568" s="131"/>
      <c r="BM568" s="131"/>
      <c r="BN568" s="131"/>
      <c r="BO568" s="131"/>
      <c r="BP568" s="131"/>
      <c r="BQ568" s="131"/>
      <c r="BR568" s="131"/>
      <c r="BS568" s="131"/>
      <c r="BT568" s="131"/>
      <c r="BU568" s="131"/>
      <c r="BV568" s="131"/>
      <c r="BW568" s="131"/>
      <c r="BX568" s="131"/>
      <c r="BY568" s="131"/>
      <c r="BZ568" s="131"/>
      <c r="CA568" s="131"/>
      <c r="CB568" s="131"/>
      <c r="CC568" s="131"/>
      <c r="CD568" s="131"/>
      <c r="CE568" s="131"/>
      <c r="CF568" s="131"/>
      <c r="CG568" s="131"/>
      <c r="CH568" s="131"/>
      <c r="CI568" s="131"/>
      <c r="CJ568" s="131"/>
      <c r="CK568" s="131"/>
      <c r="CL568" s="131"/>
      <c r="CM568" s="131"/>
      <c r="CN568" s="131"/>
      <c r="CO568" s="131"/>
      <c r="CP568" s="131"/>
      <c r="CQ568" s="131"/>
      <c r="CR568" s="131"/>
      <c r="CS568" s="131"/>
      <c r="CT568" s="131"/>
      <c r="CU568" s="131"/>
      <c r="CV568" s="131"/>
      <c r="CW568" s="131"/>
      <c r="CX568" s="131"/>
      <c r="CY568" s="131"/>
      <c r="CZ568" s="131"/>
      <c r="DA568" s="131"/>
      <c r="DB568" s="131"/>
      <c r="DC568" s="131"/>
      <c r="DD568" s="131"/>
      <c r="DE568" s="131"/>
      <c r="DF568" s="131"/>
      <c r="DG568" s="131"/>
      <c r="DH568" s="131"/>
      <c r="DI568" s="131"/>
      <c r="DJ568" s="131"/>
      <c r="DK568" s="131"/>
      <c r="DL568" s="131"/>
      <c r="DM568" s="131"/>
      <c r="DN568" s="131"/>
      <c r="DO568" s="131"/>
      <c r="DP568" s="131"/>
      <c r="DQ568" s="131"/>
      <c r="DR568" s="131"/>
      <c r="DS568" s="131"/>
      <c r="DT568" s="131"/>
      <c r="DU568" s="131"/>
      <c r="DV568" s="131"/>
      <c r="DW568" s="131"/>
      <c r="DX568" s="131"/>
      <c r="DY568" s="131"/>
      <c r="DZ568" s="131"/>
      <c r="EA568" s="131"/>
      <c r="EB568" s="131"/>
      <c r="EC568" s="131"/>
      <c r="ED568" s="131"/>
      <c r="EE568" s="131"/>
      <c r="EF568" s="131"/>
      <c r="EG568" s="131"/>
      <c r="EH568" s="131"/>
      <c r="EI568" s="131"/>
      <c r="EJ568" s="131"/>
      <c r="EK568" s="131"/>
      <c r="EL568" s="131"/>
      <c r="EM568" s="131"/>
      <c r="EN568" s="131"/>
      <c r="EO568" s="131"/>
      <c r="EP568" s="131"/>
      <c r="EQ568" s="131"/>
      <c r="ER568" s="131"/>
      <c r="ES568" s="131"/>
      <c r="ET568" s="131"/>
      <c r="EU568" s="131"/>
      <c r="EV568" s="131"/>
      <c r="EW568" s="131"/>
      <c r="EX568" s="131"/>
      <c r="EY568" s="131"/>
      <c r="EZ568" s="131"/>
      <c r="FA568" s="131"/>
      <c r="FB568" s="131"/>
      <c r="FC568" s="131"/>
      <c r="FD568" s="131"/>
      <c r="FE568" s="131"/>
      <c r="FF568" s="131"/>
      <c r="FG568" s="131"/>
      <c r="FH568" s="131"/>
      <c r="FI568" s="131"/>
      <c r="FJ568" s="131"/>
      <c r="FK568" s="131"/>
      <c r="FL568" s="131"/>
      <c r="FM568" s="131"/>
      <c r="FN568" s="131"/>
      <c r="FO568" s="131"/>
      <c r="FP568" s="131"/>
      <c r="FQ568" s="131"/>
      <c r="FR568" s="131"/>
      <c r="FS568" s="131"/>
      <c r="FT568" s="131"/>
      <c r="FU568" s="131"/>
      <c r="FV568" s="131"/>
      <c r="FW568" s="131"/>
      <c r="FX568" s="131"/>
      <c r="FY568" s="131"/>
      <c r="FZ568" s="131"/>
      <c r="GA568" s="131"/>
      <c r="GB568" s="131"/>
      <c r="GC568" s="131"/>
      <c r="GD568" s="131"/>
      <c r="GE568" s="131"/>
      <c r="GF568" s="131"/>
      <c r="GG568" s="131"/>
      <c r="GH568" s="131"/>
      <c r="GI568" s="131"/>
      <c r="GJ568" s="131"/>
      <c r="GK568" s="131"/>
      <c r="GL568" s="131"/>
      <c r="GM568" s="131"/>
      <c r="GN568" s="131"/>
      <c r="GO568" s="131"/>
      <c r="GP568" s="131"/>
      <c r="GQ568" s="131"/>
      <c r="GR568" s="131"/>
      <c r="GS568" s="131"/>
      <c r="GT568" s="131"/>
      <c r="GU568" s="131"/>
      <c r="GV568" s="131"/>
      <c r="GW568" s="131"/>
      <c r="GX568" s="131"/>
      <c r="GY568" s="131"/>
      <c r="GZ568" s="131"/>
      <c r="HA568" s="131"/>
      <c r="HB568" s="131"/>
      <c r="HC568" s="131"/>
      <c r="HD568" s="131"/>
      <c r="HE568" s="131"/>
      <c r="HF568" s="131"/>
      <c r="HG568" s="131"/>
      <c r="HH568" s="131"/>
      <c r="HI568" s="131"/>
      <c r="HJ568" s="131"/>
      <c r="HK568" s="131"/>
      <c r="HL568" s="131"/>
      <c r="HM568" s="131"/>
      <c r="HN568" s="131"/>
      <c r="HO568" s="131"/>
      <c r="HP568" s="131"/>
      <c r="HQ568" s="131"/>
      <c r="HR568" s="131"/>
      <c r="HS568" s="131"/>
      <c r="HT568" s="131"/>
      <c r="HU568" s="131"/>
      <c r="HV568" s="131"/>
      <c r="HW568" s="131"/>
      <c r="HX568" s="131"/>
      <c r="HY568" s="131"/>
      <c r="HZ568" s="131"/>
      <c r="IA568" s="131"/>
      <c r="IB568" s="131"/>
      <c r="IC568" s="131"/>
      <c r="ID568" s="131"/>
      <c r="IE568" s="131"/>
      <c r="IF568" s="131"/>
      <c r="IG568" s="131"/>
      <c r="IH568" s="131"/>
      <c r="II568" s="131"/>
      <c r="IJ568" s="131"/>
      <c r="IK568" s="131"/>
      <c r="IL568" s="131"/>
      <c r="IM568" s="131"/>
      <c r="IN568" s="131"/>
      <c r="IO568" s="131"/>
      <c r="IP568" s="131"/>
      <c r="IQ568" s="131"/>
      <c r="IR568" s="131"/>
      <c r="IS568" s="131"/>
      <c r="IT568" s="131"/>
      <c r="IU568" s="131"/>
      <c r="IV568" s="131"/>
    </row>
    <row r="569" spans="1:256" s="13" customFormat="1" ht="38.25" customHeight="1">
      <c r="A569" s="21" t="s">
        <v>1</v>
      </c>
      <c r="B569" s="246" t="s">
        <v>34</v>
      </c>
      <c r="C569" s="21" t="s">
        <v>25</v>
      </c>
      <c r="D569" s="21" t="s">
        <v>1119</v>
      </c>
      <c r="E569" s="246" t="s">
        <v>1120</v>
      </c>
      <c r="F569" s="21" t="s">
        <v>897</v>
      </c>
      <c r="G569" s="246" t="s">
        <v>103</v>
      </c>
      <c r="H569" s="21">
        <v>517410</v>
      </c>
      <c r="I569" s="21" t="s">
        <v>28</v>
      </c>
      <c r="J569" s="21" t="s">
        <v>109</v>
      </c>
      <c r="K569" s="21" t="s">
        <v>1080</v>
      </c>
      <c r="L569" s="21"/>
      <c r="M569" s="22">
        <v>4500</v>
      </c>
      <c r="N569" s="22">
        <v>18000</v>
      </c>
      <c r="O569" s="21" t="s">
        <v>20</v>
      </c>
      <c r="P569" s="21" t="s">
        <v>1121</v>
      </c>
      <c r="Q569" s="21" t="s">
        <v>279</v>
      </c>
      <c r="R569" s="21" t="s">
        <v>10</v>
      </c>
      <c r="S569" s="74">
        <v>2013</v>
      </c>
      <c r="T569" s="21" t="s">
        <v>1116</v>
      </c>
      <c r="U569" s="21" t="s">
        <v>1117</v>
      </c>
      <c r="V569" s="21" t="s">
        <v>1118</v>
      </c>
      <c r="W569" s="21" t="s">
        <v>66</v>
      </c>
      <c r="X569" s="246" t="s">
        <v>2674</v>
      </c>
      <c r="Y569" s="130"/>
      <c r="Z569" s="130"/>
      <c r="AA569" s="130"/>
      <c r="AB569" s="130"/>
      <c r="AC569" s="130"/>
      <c r="AD569" s="131"/>
      <c r="AE569" s="131"/>
      <c r="AF569" s="131"/>
      <c r="AG569" s="131"/>
      <c r="AH569" s="131"/>
      <c r="AI569" s="131"/>
      <c r="AJ569" s="131"/>
      <c r="AK569" s="131"/>
      <c r="AL569" s="131"/>
      <c r="AM569" s="131"/>
      <c r="AN569" s="131"/>
      <c r="AO569" s="131"/>
      <c r="AP569" s="131"/>
      <c r="AQ569" s="131"/>
      <c r="AR569" s="131"/>
      <c r="AS569" s="131"/>
      <c r="AT569" s="131"/>
      <c r="AU569" s="131"/>
      <c r="AV569" s="131"/>
      <c r="AW569" s="131"/>
      <c r="AX569" s="131"/>
      <c r="AY569" s="131"/>
      <c r="AZ569" s="131"/>
      <c r="BA569" s="131"/>
      <c r="BB569" s="131"/>
      <c r="BC569" s="131"/>
      <c r="BD569" s="131"/>
      <c r="BE569" s="131"/>
      <c r="BF569" s="131"/>
      <c r="BG569" s="131"/>
      <c r="BH569" s="131"/>
      <c r="BI569" s="131"/>
      <c r="BJ569" s="131"/>
      <c r="BK569" s="131"/>
      <c r="BL569" s="131"/>
      <c r="BM569" s="131"/>
      <c r="BN569" s="131"/>
      <c r="BO569" s="131"/>
      <c r="BP569" s="131"/>
      <c r="BQ569" s="131"/>
      <c r="BR569" s="131"/>
      <c r="BS569" s="131"/>
      <c r="BT569" s="131"/>
      <c r="BU569" s="131"/>
      <c r="BV569" s="131"/>
      <c r="BW569" s="131"/>
      <c r="BX569" s="131"/>
      <c r="BY569" s="131"/>
      <c r="BZ569" s="131"/>
      <c r="CA569" s="131"/>
      <c r="CB569" s="131"/>
      <c r="CC569" s="131"/>
      <c r="CD569" s="131"/>
      <c r="CE569" s="131"/>
      <c r="CF569" s="131"/>
      <c r="CG569" s="131"/>
      <c r="CH569" s="131"/>
      <c r="CI569" s="131"/>
      <c r="CJ569" s="131"/>
      <c r="CK569" s="131"/>
      <c r="CL569" s="131"/>
      <c r="CM569" s="131"/>
      <c r="CN569" s="131"/>
      <c r="CO569" s="131"/>
      <c r="CP569" s="131"/>
      <c r="CQ569" s="131"/>
      <c r="CR569" s="131"/>
      <c r="CS569" s="131"/>
      <c r="CT569" s="131"/>
      <c r="CU569" s="131"/>
      <c r="CV569" s="131"/>
      <c r="CW569" s="131"/>
      <c r="CX569" s="131"/>
      <c r="CY569" s="131"/>
      <c r="CZ569" s="131"/>
      <c r="DA569" s="131"/>
      <c r="DB569" s="131"/>
      <c r="DC569" s="131"/>
      <c r="DD569" s="131"/>
      <c r="DE569" s="131"/>
      <c r="DF569" s="131"/>
      <c r="DG569" s="131"/>
      <c r="DH569" s="131"/>
      <c r="DI569" s="131"/>
      <c r="DJ569" s="131"/>
      <c r="DK569" s="131"/>
      <c r="DL569" s="131"/>
      <c r="DM569" s="131"/>
      <c r="DN569" s="131"/>
      <c r="DO569" s="131"/>
      <c r="DP569" s="131"/>
      <c r="DQ569" s="131"/>
      <c r="DR569" s="131"/>
      <c r="DS569" s="131"/>
      <c r="DT569" s="131"/>
      <c r="DU569" s="131"/>
      <c r="DV569" s="131"/>
      <c r="DW569" s="131"/>
      <c r="DX569" s="131"/>
      <c r="DY569" s="131"/>
      <c r="DZ569" s="131"/>
      <c r="EA569" s="131"/>
      <c r="EB569" s="131"/>
      <c r="EC569" s="131"/>
      <c r="ED569" s="131"/>
      <c r="EE569" s="131"/>
      <c r="EF569" s="131"/>
      <c r="EG569" s="131"/>
      <c r="EH569" s="131"/>
      <c r="EI569" s="131"/>
      <c r="EJ569" s="131"/>
      <c r="EK569" s="131"/>
      <c r="EL569" s="131"/>
      <c r="EM569" s="131"/>
      <c r="EN569" s="131"/>
      <c r="EO569" s="131"/>
      <c r="EP569" s="131"/>
      <c r="EQ569" s="131"/>
      <c r="ER569" s="131"/>
      <c r="ES569" s="131"/>
      <c r="ET569" s="131"/>
      <c r="EU569" s="131"/>
      <c r="EV569" s="131"/>
      <c r="EW569" s="131"/>
      <c r="EX569" s="131"/>
      <c r="EY569" s="131"/>
      <c r="EZ569" s="131"/>
      <c r="FA569" s="131"/>
      <c r="FB569" s="131"/>
      <c r="FC569" s="131"/>
      <c r="FD569" s="131"/>
      <c r="FE569" s="131"/>
      <c r="FF569" s="131"/>
      <c r="FG569" s="131"/>
      <c r="FH569" s="131"/>
      <c r="FI569" s="131"/>
      <c r="FJ569" s="131"/>
      <c r="FK569" s="131"/>
      <c r="FL569" s="131"/>
      <c r="FM569" s="131"/>
      <c r="FN569" s="131"/>
      <c r="FO569" s="131"/>
      <c r="FP569" s="131"/>
      <c r="FQ569" s="131"/>
      <c r="FR569" s="131"/>
      <c r="FS569" s="131"/>
      <c r="FT569" s="131"/>
      <c r="FU569" s="131"/>
      <c r="FV569" s="131"/>
      <c r="FW569" s="131"/>
      <c r="FX569" s="131"/>
      <c r="FY569" s="131"/>
      <c r="FZ569" s="131"/>
      <c r="GA569" s="131"/>
      <c r="GB569" s="131"/>
      <c r="GC569" s="131"/>
      <c r="GD569" s="131"/>
      <c r="GE569" s="131"/>
      <c r="GF569" s="131"/>
      <c r="GG569" s="131"/>
      <c r="GH569" s="131"/>
      <c r="GI569" s="131"/>
      <c r="GJ569" s="131"/>
      <c r="GK569" s="131"/>
      <c r="GL569" s="131"/>
      <c r="GM569" s="131"/>
      <c r="GN569" s="131"/>
      <c r="GO569" s="131"/>
      <c r="GP569" s="131"/>
      <c r="GQ569" s="131"/>
      <c r="GR569" s="131"/>
      <c r="GS569" s="131"/>
      <c r="GT569" s="131"/>
      <c r="GU569" s="131"/>
      <c r="GV569" s="131"/>
      <c r="GW569" s="131"/>
      <c r="GX569" s="131"/>
      <c r="GY569" s="131"/>
      <c r="GZ569" s="131"/>
      <c r="HA569" s="131"/>
      <c r="HB569" s="131"/>
      <c r="HC569" s="131"/>
      <c r="HD569" s="131"/>
      <c r="HE569" s="131"/>
      <c r="HF569" s="131"/>
      <c r="HG569" s="131"/>
      <c r="HH569" s="131"/>
      <c r="HI569" s="131"/>
      <c r="HJ569" s="131"/>
      <c r="HK569" s="131"/>
      <c r="HL569" s="131"/>
      <c r="HM569" s="131"/>
      <c r="HN569" s="131"/>
      <c r="HO569" s="131"/>
      <c r="HP569" s="131"/>
      <c r="HQ569" s="131"/>
      <c r="HR569" s="131"/>
      <c r="HS569" s="131"/>
      <c r="HT569" s="131"/>
      <c r="HU569" s="131"/>
      <c r="HV569" s="131"/>
      <c r="HW569" s="131"/>
      <c r="HX569" s="131"/>
      <c r="HY569" s="131"/>
      <c r="HZ569" s="131"/>
      <c r="IA569" s="131"/>
      <c r="IB569" s="131"/>
      <c r="IC569" s="131"/>
      <c r="ID569" s="131"/>
      <c r="IE569" s="131"/>
      <c r="IF569" s="131"/>
      <c r="IG569" s="131"/>
      <c r="IH569" s="131"/>
      <c r="II569" s="131"/>
      <c r="IJ569" s="131"/>
      <c r="IK569" s="131"/>
      <c r="IL569" s="131"/>
      <c r="IM569" s="131"/>
      <c r="IN569" s="131"/>
      <c r="IO569" s="131"/>
      <c r="IP569" s="131"/>
      <c r="IQ569" s="131"/>
      <c r="IR569" s="131"/>
      <c r="IS569" s="131"/>
      <c r="IT569" s="131"/>
      <c r="IU569" s="131"/>
      <c r="IV569" s="131"/>
    </row>
    <row r="570" spans="1:256" s="13" customFormat="1" ht="38.25" customHeight="1">
      <c r="A570" s="21" t="s">
        <v>1</v>
      </c>
      <c r="B570" s="246" t="s">
        <v>34</v>
      </c>
      <c r="C570" s="21" t="s">
        <v>25</v>
      </c>
      <c r="D570" s="21" t="s">
        <v>1112</v>
      </c>
      <c r="E570" s="246" t="s">
        <v>1113</v>
      </c>
      <c r="F570" s="21" t="s">
        <v>897</v>
      </c>
      <c r="G570" s="246" t="s">
        <v>103</v>
      </c>
      <c r="H570" s="21">
        <v>333313</v>
      </c>
      <c r="I570" s="21" t="s">
        <v>1193</v>
      </c>
      <c r="J570" s="21" t="s">
        <v>109</v>
      </c>
      <c r="K570" s="21" t="s">
        <v>1122</v>
      </c>
      <c r="L570" s="21" t="s">
        <v>278</v>
      </c>
      <c r="M570" s="22">
        <v>3500</v>
      </c>
      <c r="N570" s="22">
        <v>14000</v>
      </c>
      <c r="O570" s="21" t="s">
        <v>20</v>
      </c>
      <c r="P570" s="21" t="s">
        <v>1123</v>
      </c>
      <c r="Q570" s="21" t="s">
        <v>279</v>
      </c>
      <c r="R570" s="21" t="s">
        <v>10</v>
      </c>
      <c r="S570" s="74">
        <v>2013</v>
      </c>
      <c r="T570" s="21" t="s">
        <v>1116</v>
      </c>
      <c r="U570" s="21" t="s">
        <v>1117</v>
      </c>
      <c r="V570" s="21" t="s">
        <v>1118</v>
      </c>
      <c r="W570" s="21" t="s">
        <v>66</v>
      </c>
      <c r="X570" s="246" t="s">
        <v>2673</v>
      </c>
      <c r="Y570" s="130"/>
      <c r="Z570" s="130"/>
      <c r="AA570" s="130"/>
      <c r="AB570" s="130"/>
      <c r="AC570" s="130"/>
      <c r="AD570" s="131"/>
      <c r="AE570" s="131"/>
      <c r="AF570" s="131"/>
      <c r="AG570" s="131"/>
      <c r="AH570" s="131"/>
      <c r="AI570" s="131"/>
      <c r="AJ570" s="131"/>
      <c r="AK570" s="131"/>
      <c r="AL570" s="131"/>
      <c r="AM570" s="131"/>
      <c r="AN570" s="131"/>
      <c r="AO570" s="131"/>
      <c r="AP570" s="131"/>
      <c r="AQ570" s="131"/>
      <c r="AR570" s="131"/>
      <c r="AS570" s="131"/>
      <c r="AT570" s="131"/>
      <c r="AU570" s="131"/>
      <c r="AV570" s="131"/>
      <c r="AW570" s="131"/>
      <c r="AX570" s="131"/>
      <c r="AY570" s="131"/>
      <c r="AZ570" s="131"/>
      <c r="BA570" s="131"/>
      <c r="BB570" s="131"/>
      <c r="BC570" s="131"/>
      <c r="BD570" s="131"/>
      <c r="BE570" s="131"/>
      <c r="BF570" s="131"/>
      <c r="BG570" s="131"/>
      <c r="BH570" s="131"/>
      <c r="BI570" s="131"/>
      <c r="BJ570" s="131"/>
      <c r="BK570" s="131"/>
      <c r="BL570" s="131"/>
      <c r="BM570" s="131"/>
      <c r="BN570" s="131"/>
      <c r="BO570" s="131"/>
      <c r="BP570" s="131"/>
      <c r="BQ570" s="131"/>
      <c r="BR570" s="131"/>
      <c r="BS570" s="131"/>
      <c r="BT570" s="131"/>
      <c r="BU570" s="131"/>
      <c r="BV570" s="131"/>
      <c r="BW570" s="131"/>
      <c r="BX570" s="131"/>
      <c r="BY570" s="131"/>
      <c r="BZ570" s="131"/>
      <c r="CA570" s="131"/>
      <c r="CB570" s="131"/>
      <c r="CC570" s="131"/>
      <c r="CD570" s="131"/>
      <c r="CE570" s="131"/>
      <c r="CF570" s="131"/>
      <c r="CG570" s="131"/>
      <c r="CH570" s="131"/>
      <c r="CI570" s="131"/>
      <c r="CJ570" s="131"/>
      <c r="CK570" s="131"/>
      <c r="CL570" s="131"/>
      <c r="CM570" s="131"/>
      <c r="CN570" s="131"/>
      <c r="CO570" s="131"/>
      <c r="CP570" s="131"/>
      <c r="CQ570" s="131"/>
      <c r="CR570" s="131"/>
      <c r="CS570" s="131"/>
      <c r="CT570" s="131"/>
      <c r="CU570" s="131"/>
      <c r="CV570" s="131"/>
      <c r="CW570" s="131"/>
      <c r="CX570" s="131"/>
      <c r="CY570" s="131"/>
      <c r="CZ570" s="131"/>
      <c r="DA570" s="131"/>
      <c r="DB570" s="131"/>
      <c r="DC570" s="131"/>
      <c r="DD570" s="131"/>
      <c r="DE570" s="131"/>
      <c r="DF570" s="131"/>
      <c r="DG570" s="131"/>
      <c r="DH570" s="131"/>
      <c r="DI570" s="131"/>
      <c r="DJ570" s="131"/>
      <c r="DK570" s="131"/>
      <c r="DL570" s="131"/>
      <c r="DM570" s="131"/>
      <c r="DN570" s="131"/>
      <c r="DO570" s="131"/>
      <c r="DP570" s="131"/>
      <c r="DQ570" s="131"/>
      <c r="DR570" s="131"/>
      <c r="DS570" s="131"/>
      <c r="DT570" s="131"/>
      <c r="DU570" s="131"/>
      <c r="DV570" s="131"/>
      <c r="DW570" s="131"/>
      <c r="DX570" s="131"/>
      <c r="DY570" s="131"/>
      <c r="DZ570" s="131"/>
      <c r="EA570" s="131"/>
      <c r="EB570" s="131"/>
      <c r="EC570" s="131"/>
      <c r="ED570" s="131"/>
      <c r="EE570" s="131"/>
      <c r="EF570" s="131"/>
      <c r="EG570" s="131"/>
      <c r="EH570" s="131"/>
      <c r="EI570" s="131"/>
      <c r="EJ570" s="131"/>
      <c r="EK570" s="131"/>
      <c r="EL570" s="131"/>
      <c r="EM570" s="131"/>
      <c r="EN570" s="131"/>
      <c r="EO570" s="131"/>
      <c r="EP570" s="131"/>
      <c r="EQ570" s="131"/>
      <c r="ER570" s="131"/>
      <c r="ES570" s="131"/>
      <c r="ET570" s="131"/>
      <c r="EU570" s="131"/>
      <c r="EV570" s="131"/>
      <c r="EW570" s="131"/>
      <c r="EX570" s="131"/>
      <c r="EY570" s="131"/>
      <c r="EZ570" s="131"/>
      <c r="FA570" s="131"/>
      <c r="FB570" s="131"/>
      <c r="FC570" s="131"/>
      <c r="FD570" s="131"/>
      <c r="FE570" s="131"/>
      <c r="FF570" s="131"/>
      <c r="FG570" s="131"/>
      <c r="FH570" s="131"/>
      <c r="FI570" s="131"/>
      <c r="FJ570" s="131"/>
      <c r="FK570" s="131"/>
      <c r="FL570" s="131"/>
      <c r="FM570" s="131"/>
      <c r="FN570" s="131"/>
      <c r="FO570" s="131"/>
      <c r="FP570" s="131"/>
      <c r="FQ570" s="131"/>
      <c r="FR570" s="131"/>
      <c r="FS570" s="131"/>
      <c r="FT570" s="131"/>
      <c r="FU570" s="131"/>
      <c r="FV570" s="131"/>
      <c r="FW570" s="131"/>
      <c r="FX570" s="131"/>
      <c r="FY570" s="131"/>
      <c r="FZ570" s="131"/>
      <c r="GA570" s="131"/>
      <c r="GB570" s="131"/>
      <c r="GC570" s="131"/>
      <c r="GD570" s="131"/>
      <c r="GE570" s="131"/>
      <c r="GF570" s="131"/>
      <c r="GG570" s="131"/>
      <c r="GH570" s="131"/>
      <c r="GI570" s="131"/>
      <c r="GJ570" s="131"/>
      <c r="GK570" s="131"/>
      <c r="GL570" s="131"/>
      <c r="GM570" s="131"/>
      <c r="GN570" s="131"/>
      <c r="GO570" s="131"/>
      <c r="GP570" s="131"/>
      <c r="GQ570" s="131"/>
      <c r="GR570" s="131"/>
      <c r="GS570" s="131"/>
      <c r="GT570" s="131"/>
      <c r="GU570" s="131"/>
      <c r="GV570" s="131"/>
      <c r="GW570" s="131"/>
      <c r="GX570" s="131"/>
      <c r="GY570" s="131"/>
      <c r="GZ570" s="131"/>
      <c r="HA570" s="131"/>
      <c r="HB570" s="131"/>
      <c r="HC570" s="131"/>
      <c r="HD570" s="131"/>
      <c r="HE570" s="131"/>
      <c r="HF570" s="131"/>
      <c r="HG570" s="131"/>
      <c r="HH570" s="131"/>
      <c r="HI570" s="131"/>
      <c r="HJ570" s="131"/>
      <c r="HK570" s="131"/>
      <c r="HL570" s="131"/>
      <c r="HM570" s="131"/>
      <c r="HN570" s="131"/>
      <c r="HO570" s="131"/>
      <c r="HP570" s="131"/>
      <c r="HQ570" s="131"/>
      <c r="HR570" s="131"/>
      <c r="HS570" s="131"/>
      <c r="HT570" s="131"/>
      <c r="HU570" s="131"/>
      <c r="HV570" s="131"/>
      <c r="HW570" s="131"/>
      <c r="HX570" s="131"/>
      <c r="HY570" s="131"/>
      <c r="HZ570" s="131"/>
      <c r="IA570" s="131"/>
      <c r="IB570" s="131"/>
      <c r="IC570" s="131"/>
      <c r="ID570" s="131"/>
      <c r="IE570" s="131"/>
      <c r="IF570" s="131"/>
      <c r="IG570" s="131"/>
      <c r="IH570" s="131"/>
      <c r="II570" s="131"/>
      <c r="IJ570" s="131"/>
      <c r="IK570" s="131"/>
      <c r="IL570" s="131"/>
      <c r="IM570" s="131"/>
      <c r="IN570" s="131"/>
      <c r="IO570" s="131"/>
      <c r="IP570" s="131"/>
      <c r="IQ570" s="131"/>
      <c r="IR570" s="131"/>
      <c r="IS570" s="131"/>
      <c r="IT570" s="131"/>
      <c r="IU570" s="131"/>
      <c r="IV570" s="131"/>
    </row>
    <row r="571" spans="1:256" s="13" customFormat="1" ht="38.25" customHeight="1">
      <c r="A571" s="21" t="s">
        <v>1</v>
      </c>
      <c r="B571" s="246" t="s">
        <v>34</v>
      </c>
      <c r="C571" s="21" t="s">
        <v>3</v>
      </c>
      <c r="D571" s="21" t="s">
        <v>1124</v>
      </c>
      <c r="E571" s="246" t="s">
        <v>1125</v>
      </c>
      <c r="F571" s="21" t="s">
        <v>1126</v>
      </c>
      <c r="G571" s="246" t="s">
        <v>5</v>
      </c>
      <c r="H571" s="21">
        <v>561210</v>
      </c>
      <c r="I571" s="21" t="s">
        <v>28</v>
      </c>
      <c r="J571" s="21" t="s">
        <v>109</v>
      </c>
      <c r="K571" s="21" t="s">
        <v>1127</v>
      </c>
      <c r="L571" s="21" t="s">
        <v>28</v>
      </c>
      <c r="M571" s="22">
        <v>334900</v>
      </c>
      <c r="N571" s="22">
        <v>1670500</v>
      </c>
      <c r="O571" s="21" t="s">
        <v>20</v>
      </c>
      <c r="P571" s="21" t="s">
        <v>1128</v>
      </c>
      <c r="Q571" s="21" t="s">
        <v>279</v>
      </c>
      <c r="R571" s="21" t="s">
        <v>10</v>
      </c>
      <c r="S571" s="74">
        <v>2013</v>
      </c>
      <c r="T571" s="21" t="s">
        <v>1129</v>
      </c>
      <c r="U571" s="21" t="s">
        <v>1130</v>
      </c>
      <c r="V571" s="21" t="s">
        <v>1131</v>
      </c>
      <c r="W571" s="21" t="s">
        <v>66</v>
      </c>
      <c r="X571" s="21" t="s">
        <v>2675</v>
      </c>
      <c r="Y571" s="130"/>
      <c r="Z571" s="130"/>
      <c r="AA571" s="267"/>
      <c r="AB571" s="267"/>
      <c r="AC571" s="130"/>
      <c r="AD571" s="131"/>
      <c r="AE571" s="131"/>
      <c r="AF571" s="131"/>
      <c r="AG571" s="131"/>
      <c r="AH571" s="131"/>
      <c r="AI571" s="131"/>
      <c r="AJ571" s="131"/>
      <c r="AK571" s="131"/>
      <c r="AL571" s="131"/>
      <c r="AM571" s="131"/>
      <c r="AN571" s="131"/>
      <c r="AO571" s="131"/>
      <c r="AP571" s="131"/>
      <c r="AQ571" s="131"/>
      <c r="AR571" s="131"/>
      <c r="AS571" s="131"/>
      <c r="AT571" s="131"/>
      <c r="AU571" s="131"/>
      <c r="AV571" s="131"/>
      <c r="AW571" s="131"/>
      <c r="AX571" s="131"/>
      <c r="AY571" s="131"/>
      <c r="AZ571" s="131"/>
      <c r="BA571" s="131"/>
      <c r="BB571" s="131"/>
      <c r="BC571" s="131"/>
      <c r="BD571" s="131"/>
      <c r="BE571" s="131"/>
      <c r="BF571" s="131"/>
      <c r="BG571" s="131"/>
      <c r="BH571" s="131"/>
      <c r="BI571" s="131"/>
      <c r="BJ571" s="131"/>
      <c r="BK571" s="131"/>
      <c r="BL571" s="131"/>
      <c r="BM571" s="131"/>
      <c r="BN571" s="131"/>
      <c r="BO571" s="131"/>
      <c r="BP571" s="131"/>
      <c r="BQ571" s="131"/>
      <c r="BR571" s="131"/>
      <c r="BS571" s="131"/>
      <c r="BT571" s="131"/>
      <c r="BU571" s="131"/>
      <c r="BV571" s="131"/>
      <c r="BW571" s="131"/>
      <c r="BX571" s="131"/>
      <c r="BY571" s="131"/>
      <c r="BZ571" s="131"/>
      <c r="CA571" s="131"/>
      <c r="CB571" s="131"/>
      <c r="CC571" s="131"/>
      <c r="CD571" s="131"/>
      <c r="CE571" s="131"/>
      <c r="CF571" s="131"/>
      <c r="CG571" s="131"/>
      <c r="CH571" s="131"/>
      <c r="CI571" s="131"/>
      <c r="CJ571" s="131"/>
      <c r="CK571" s="131"/>
      <c r="CL571" s="131"/>
      <c r="CM571" s="131"/>
      <c r="CN571" s="131"/>
      <c r="CO571" s="131"/>
      <c r="CP571" s="131"/>
      <c r="CQ571" s="131"/>
      <c r="CR571" s="131"/>
      <c r="CS571" s="131"/>
      <c r="CT571" s="131"/>
      <c r="CU571" s="131"/>
      <c r="CV571" s="131"/>
      <c r="CW571" s="131"/>
      <c r="CX571" s="131"/>
      <c r="CY571" s="131"/>
      <c r="CZ571" s="131"/>
      <c r="DA571" s="131"/>
      <c r="DB571" s="131"/>
      <c r="DC571" s="131"/>
      <c r="DD571" s="131"/>
      <c r="DE571" s="131"/>
      <c r="DF571" s="131"/>
      <c r="DG571" s="131"/>
      <c r="DH571" s="131"/>
      <c r="DI571" s="131"/>
      <c r="DJ571" s="131"/>
      <c r="DK571" s="131"/>
      <c r="DL571" s="131"/>
      <c r="DM571" s="131"/>
      <c r="DN571" s="131"/>
      <c r="DO571" s="131"/>
      <c r="DP571" s="131"/>
      <c r="DQ571" s="131"/>
      <c r="DR571" s="131"/>
      <c r="DS571" s="131"/>
      <c r="DT571" s="131"/>
      <c r="DU571" s="131"/>
      <c r="DV571" s="131"/>
      <c r="DW571" s="131"/>
      <c r="DX571" s="131"/>
      <c r="DY571" s="131"/>
      <c r="DZ571" s="131"/>
      <c r="EA571" s="131"/>
      <c r="EB571" s="131"/>
      <c r="EC571" s="131"/>
      <c r="ED571" s="131"/>
      <c r="EE571" s="131"/>
      <c r="EF571" s="131"/>
      <c r="EG571" s="131"/>
      <c r="EH571" s="131"/>
      <c r="EI571" s="131"/>
      <c r="EJ571" s="131"/>
      <c r="EK571" s="131"/>
      <c r="EL571" s="131"/>
      <c r="EM571" s="131"/>
      <c r="EN571" s="131"/>
      <c r="EO571" s="131"/>
      <c r="EP571" s="131"/>
      <c r="EQ571" s="131"/>
      <c r="ER571" s="131"/>
      <c r="ES571" s="131"/>
      <c r="ET571" s="131"/>
      <c r="EU571" s="131"/>
      <c r="EV571" s="131"/>
      <c r="EW571" s="131"/>
      <c r="EX571" s="131"/>
      <c r="EY571" s="131"/>
      <c r="EZ571" s="131"/>
      <c r="FA571" s="131"/>
      <c r="FB571" s="131"/>
      <c r="FC571" s="131"/>
      <c r="FD571" s="131"/>
      <c r="FE571" s="131"/>
      <c r="FF571" s="131"/>
      <c r="FG571" s="131"/>
      <c r="FH571" s="131"/>
      <c r="FI571" s="131"/>
      <c r="FJ571" s="131"/>
      <c r="FK571" s="131"/>
      <c r="FL571" s="131"/>
      <c r="FM571" s="131"/>
      <c r="FN571" s="131"/>
      <c r="FO571" s="131"/>
      <c r="FP571" s="131"/>
      <c r="FQ571" s="131"/>
      <c r="FR571" s="131"/>
      <c r="FS571" s="131"/>
      <c r="FT571" s="131"/>
      <c r="FU571" s="131"/>
      <c r="FV571" s="131"/>
      <c r="FW571" s="131"/>
      <c r="FX571" s="131"/>
      <c r="FY571" s="131"/>
      <c r="FZ571" s="131"/>
      <c r="GA571" s="131"/>
      <c r="GB571" s="131"/>
      <c r="GC571" s="131"/>
      <c r="GD571" s="131"/>
      <c r="GE571" s="131"/>
      <c r="GF571" s="131"/>
      <c r="GG571" s="131"/>
      <c r="GH571" s="131"/>
      <c r="GI571" s="131"/>
      <c r="GJ571" s="131"/>
      <c r="GK571" s="131"/>
      <c r="GL571" s="131"/>
      <c r="GM571" s="131"/>
      <c r="GN571" s="131"/>
      <c r="GO571" s="131"/>
      <c r="GP571" s="131"/>
      <c r="GQ571" s="131"/>
      <c r="GR571" s="131"/>
      <c r="GS571" s="131"/>
      <c r="GT571" s="131"/>
      <c r="GU571" s="131"/>
      <c r="GV571" s="131"/>
      <c r="GW571" s="131"/>
      <c r="GX571" s="131"/>
      <c r="GY571" s="131"/>
      <c r="GZ571" s="131"/>
      <c r="HA571" s="131"/>
      <c r="HB571" s="131"/>
      <c r="HC571" s="131"/>
      <c r="HD571" s="131"/>
      <c r="HE571" s="131"/>
      <c r="HF571" s="131"/>
      <c r="HG571" s="131"/>
      <c r="HH571" s="131"/>
      <c r="HI571" s="131"/>
      <c r="HJ571" s="131"/>
      <c r="HK571" s="131"/>
      <c r="HL571" s="131"/>
      <c r="HM571" s="131"/>
      <c r="HN571" s="131"/>
      <c r="HO571" s="131"/>
      <c r="HP571" s="131"/>
      <c r="HQ571" s="131"/>
      <c r="HR571" s="131"/>
      <c r="HS571" s="131"/>
      <c r="HT571" s="131"/>
      <c r="HU571" s="131"/>
      <c r="HV571" s="131"/>
      <c r="HW571" s="131"/>
      <c r="HX571" s="131"/>
      <c r="HY571" s="131"/>
      <c r="HZ571" s="131"/>
      <c r="IA571" s="131"/>
      <c r="IB571" s="131"/>
      <c r="IC571" s="131"/>
      <c r="ID571" s="131"/>
      <c r="IE571" s="131"/>
      <c r="IF571" s="131"/>
      <c r="IG571" s="131"/>
      <c r="IH571" s="131"/>
      <c r="II571" s="131"/>
      <c r="IJ571" s="131"/>
      <c r="IK571" s="131"/>
      <c r="IL571" s="131"/>
      <c r="IM571" s="131"/>
      <c r="IN571" s="131"/>
      <c r="IO571" s="131"/>
      <c r="IP571" s="131"/>
      <c r="IQ571" s="131"/>
      <c r="IR571" s="131"/>
      <c r="IS571" s="131"/>
      <c r="IT571" s="131"/>
      <c r="IU571" s="131"/>
      <c r="IV571" s="131"/>
    </row>
    <row r="572" spans="1:256" s="13" customFormat="1" ht="38.25" customHeight="1">
      <c r="A572" s="21" t="s">
        <v>1</v>
      </c>
      <c r="B572" s="21" t="s">
        <v>34</v>
      </c>
      <c r="C572" s="21" t="s">
        <v>25</v>
      </c>
      <c r="D572" s="21" t="s">
        <v>1132</v>
      </c>
      <c r="E572" s="21" t="s">
        <v>1133</v>
      </c>
      <c r="F572" s="21" t="s">
        <v>1134</v>
      </c>
      <c r="G572" s="21" t="s">
        <v>98</v>
      </c>
      <c r="H572" s="21">
        <v>541191</v>
      </c>
      <c r="I572" s="21" t="s">
        <v>1135</v>
      </c>
      <c r="J572" s="21" t="s">
        <v>109</v>
      </c>
      <c r="K572" s="21" t="s">
        <v>1136</v>
      </c>
      <c r="L572" s="21" t="s">
        <v>1974</v>
      </c>
      <c r="M572" s="22" t="s">
        <v>1974</v>
      </c>
      <c r="N572" s="22" t="s">
        <v>1974</v>
      </c>
      <c r="O572" s="21" t="s">
        <v>9</v>
      </c>
      <c r="P572" s="21" t="s">
        <v>1137</v>
      </c>
      <c r="Q572" s="21" t="s">
        <v>1138</v>
      </c>
      <c r="R572" s="21" t="s">
        <v>10</v>
      </c>
      <c r="S572" s="74" t="s">
        <v>331</v>
      </c>
      <c r="T572" s="21" t="s">
        <v>1139</v>
      </c>
      <c r="U572" s="21" t="s">
        <v>1140</v>
      </c>
      <c r="V572" s="21" t="s">
        <v>1141</v>
      </c>
      <c r="W572" s="21" t="s">
        <v>66</v>
      </c>
      <c r="X572" s="21" t="s">
        <v>2676</v>
      </c>
      <c r="Y572" s="130"/>
      <c r="Z572" s="267"/>
      <c r="AA572" s="267"/>
      <c r="AB572" s="267"/>
      <c r="AC572" s="130"/>
      <c r="AD572" s="131"/>
      <c r="AE572" s="131"/>
      <c r="AF572" s="131"/>
      <c r="AG572" s="131"/>
      <c r="AH572" s="131"/>
      <c r="AI572" s="131"/>
      <c r="AJ572" s="131"/>
      <c r="AK572" s="131"/>
      <c r="AL572" s="131"/>
      <c r="AM572" s="131"/>
      <c r="AN572" s="131"/>
      <c r="AO572" s="131"/>
      <c r="AP572" s="131"/>
      <c r="AQ572" s="131"/>
      <c r="AR572" s="131"/>
      <c r="AS572" s="131"/>
      <c r="AT572" s="131"/>
      <c r="AU572" s="131"/>
      <c r="AV572" s="131"/>
      <c r="AW572" s="131"/>
      <c r="AX572" s="131"/>
      <c r="AY572" s="131"/>
      <c r="AZ572" s="131"/>
      <c r="BA572" s="131"/>
      <c r="BB572" s="131"/>
      <c r="BC572" s="131"/>
      <c r="BD572" s="131"/>
      <c r="BE572" s="131"/>
      <c r="BF572" s="131"/>
      <c r="BG572" s="131"/>
      <c r="BH572" s="131"/>
      <c r="BI572" s="131"/>
      <c r="BJ572" s="131"/>
      <c r="BK572" s="131"/>
      <c r="BL572" s="131"/>
      <c r="BM572" s="131"/>
      <c r="BN572" s="131"/>
      <c r="BO572" s="131"/>
      <c r="BP572" s="131"/>
      <c r="BQ572" s="131"/>
      <c r="BR572" s="131"/>
      <c r="BS572" s="131"/>
      <c r="BT572" s="131"/>
      <c r="BU572" s="131"/>
      <c r="BV572" s="131"/>
      <c r="BW572" s="131"/>
      <c r="BX572" s="131"/>
      <c r="BY572" s="131"/>
      <c r="BZ572" s="131"/>
      <c r="CA572" s="131"/>
      <c r="CB572" s="131"/>
      <c r="CC572" s="131"/>
      <c r="CD572" s="131"/>
      <c r="CE572" s="131"/>
      <c r="CF572" s="131"/>
      <c r="CG572" s="131"/>
      <c r="CH572" s="131"/>
      <c r="CI572" s="131"/>
      <c r="CJ572" s="131"/>
      <c r="CK572" s="131"/>
      <c r="CL572" s="131"/>
      <c r="CM572" s="131"/>
      <c r="CN572" s="131"/>
      <c r="CO572" s="131"/>
      <c r="CP572" s="131"/>
      <c r="CQ572" s="131"/>
      <c r="CR572" s="131"/>
      <c r="CS572" s="131"/>
      <c r="CT572" s="131"/>
      <c r="CU572" s="131"/>
      <c r="CV572" s="131"/>
      <c r="CW572" s="131"/>
      <c r="CX572" s="131"/>
      <c r="CY572" s="131"/>
      <c r="CZ572" s="131"/>
      <c r="DA572" s="131"/>
      <c r="DB572" s="131"/>
      <c r="DC572" s="131"/>
      <c r="DD572" s="131"/>
      <c r="DE572" s="131"/>
      <c r="DF572" s="131"/>
      <c r="DG572" s="131"/>
      <c r="DH572" s="131"/>
      <c r="DI572" s="131"/>
      <c r="DJ572" s="131"/>
      <c r="DK572" s="131"/>
      <c r="DL572" s="131"/>
      <c r="DM572" s="131"/>
      <c r="DN572" s="131"/>
      <c r="DO572" s="131"/>
      <c r="DP572" s="131"/>
      <c r="DQ572" s="131"/>
      <c r="DR572" s="131"/>
      <c r="DS572" s="131"/>
      <c r="DT572" s="131"/>
      <c r="DU572" s="131"/>
      <c r="DV572" s="131"/>
      <c r="DW572" s="131"/>
      <c r="DX572" s="131"/>
      <c r="DY572" s="131"/>
      <c r="DZ572" s="131"/>
      <c r="EA572" s="131"/>
      <c r="EB572" s="131"/>
      <c r="EC572" s="131"/>
      <c r="ED572" s="131"/>
      <c r="EE572" s="131"/>
      <c r="EF572" s="131"/>
      <c r="EG572" s="131"/>
      <c r="EH572" s="131"/>
      <c r="EI572" s="131"/>
      <c r="EJ572" s="131"/>
      <c r="EK572" s="131"/>
      <c r="EL572" s="131"/>
      <c r="EM572" s="131"/>
      <c r="EN572" s="131"/>
      <c r="EO572" s="131"/>
      <c r="EP572" s="131"/>
      <c r="EQ572" s="131"/>
      <c r="ER572" s="131"/>
      <c r="ES572" s="131"/>
      <c r="ET572" s="131"/>
      <c r="EU572" s="131"/>
      <c r="EV572" s="131"/>
      <c r="EW572" s="131"/>
      <c r="EX572" s="131"/>
      <c r="EY572" s="131"/>
      <c r="EZ572" s="131"/>
      <c r="FA572" s="131"/>
      <c r="FB572" s="131"/>
      <c r="FC572" s="131"/>
      <c r="FD572" s="131"/>
      <c r="FE572" s="131"/>
      <c r="FF572" s="131"/>
      <c r="FG572" s="131"/>
      <c r="FH572" s="131"/>
      <c r="FI572" s="131"/>
      <c r="FJ572" s="131"/>
      <c r="FK572" s="131"/>
      <c r="FL572" s="131"/>
      <c r="FM572" s="131"/>
      <c r="FN572" s="131"/>
      <c r="FO572" s="131"/>
      <c r="FP572" s="131"/>
      <c r="FQ572" s="131"/>
      <c r="FR572" s="131"/>
      <c r="FS572" s="131"/>
      <c r="FT572" s="131"/>
      <c r="FU572" s="131"/>
      <c r="FV572" s="131"/>
      <c r="FW572" s="131"/>
      <c r="FX572" s="131"/>
      <c r="FY572" s="131"/>
      <c r="FZ572" s="131"/>
      <c r="GA572" s="131"/>
      <c r="GB572" s="131"/>
      <c r="GC572" s="131"/>
      <c r="GD572" s="131"/>
      <c r="GE572" s="131"/>
      <c r="GF572" s="131"/>
      <c r="GG572" s="131"/>
      <c r="GH572" s="131"/>
      <c r="GI572" s="131"/>
      <c r="GJ572" s="131"/>
      <c r="GK572" s="131"/>
      <c r="GL572" s="131"/>
      <c r="GM572" s="131"/>
      <c r="GN572" s="131"/>
      <c r="GO572" s="131"/>
      <c r="GP572" s="131"/>
      <c r="GQ572" s="131"/>
      <c r="GR572" s="131"/>
      <c r="GS572" s="131"/>
      <c r="GT572" s="131"/>
      <c r="GU572" s="131"/>
      <c r="GV572" s="131"/>
      <c r="GW572" s="131"/>
      <c r="GX572" s="131"/>
      <c r="GY572" s="131"/>
      <c r="GZ572" s="131"/>
      <c r="HA572" s="131"/>
      <c r="HB572" s="131"/>
      <c r="HC572" s="131"/>
      <c r="HD572" s="131"/>
      <c r="HE572" s="131"/>
      <c r="HF572" s="131"/>
      <c r="HG572" s="131"/>
      <c r="HH572" s="131"/>
      <c r="HI572" s="131"/>
      <c r="HJ572" s="131"/>
      <c r="HK572" s="131"/>
      <c r="HL572" s="131"/>
      <c r="HM572" s="131"/>
      <c r="HN572" s="131"/>
      <c r="HO572" s="131"/>
      <c r="HP572" s="131"/>
      <c r="HQ572" s="131"/>
      <c r="HR572" s="131"/>
      <c r="HS572" s="131"/>
      <c r="HT572" s="131"/>
      <c r="HU572" s="131"/>
      <c r="HV572" s="131"/>
      <c r="HW572" s="131"/>
      <c r="HX572" s="131"/>
      <c r="HY572" s="131"/>
      <c r="HZ572" s="131"/>
      <c r="IA572" s="131"/>
      <c r="IB572" s="131"/>
      <c r="IC572" s="131"/>
      <c r="ID572" s="131"/>
      <c r="IE572" s="131"/>
      <c r="IF572" s="131"/>
      <c r="IG572" s="131"/>
      <c r="IH572" s="131"/>
      <c r="II572" s="131"/>
      <c r="IJ572" s="131"/>
      <c r="IK572" s="131"/>
      <c r="IL572" s="131"/>
      <c r="IM572" s="131"/>
      <c r="IN572" s="131"/>
      <c r="IO572" s="131"/>
      <c r="IP572" s="131"/>
      <c r="IQ572" s="131"/>
      <c r="IR572" s="131"/>
      <c r="IS572" s="131"/>
      <c r="IT572" s="131"/>
      <c r="IU572" s="131"/>
      <c r="IV572" s="131"/>
    </row>
    <row r="573" spans="1:256" s="13" customFormat="1" ht="38.25" customHeight="1">
      <c r="A573" s="21" t="s">
        <v>1</v>
      </c>
      <c r="B573" s="21" t="s">
        <v>34</v>
      </c>
      <c r="C573" s="21" t="s">
        <v>35</v>
      </c>
      <c r="D573" s="21" t="s">
        <v>2677</v>
      </c>
      <c r="E573" s="21" t="s">
        <v>1168</v>
      </c>
      <c r="F573" s="21" t="s">
        <v>1142</v>
      </c>
      <c r="G573" s="21" t="s">
        <v>133</v>
      </c>
      <c r="H573" s="21">
        <v>236220</v>
      </c>
      <c r="I573" s="21" t="s">
        <v>1135</v>
      </c>
      <c r="J573" s="21" t="s">
        <v>109</v>
      </c>
      <c r="K573" s="21" t="s">
        <v>1143</v>
      </c>
      <c r="L573" s="21" t="s">
        <v>278</v>
      </c>
      <c r="M573" s="21">
        <v>5000000</v>
      </c>
      <c r="N573" s="86">
        <v>10000000</v>
      </c>
      <c r="O573" s="21" t="s">
        <v>20</v>
      </c>
      <c r="P573" s="21" t="s">
        <v>278</v>
      </c>
      <c r="Q573" s="21" t="s">
        <v>1138</v>
      </c>
      <c r="R573" s="21" t="s">
        <v>10</v>
      </c>
      <c r="S573" s="74">
        <v>2013</v>
      </c>
      <c r="T573" s="21" t="s">
        <v>1139</v>
      </c>
      <c r="U573" s="21" t="s">
        <v>1140</v>
      </c>
      <c r="V573" s="21" t="s">
        <v>1141</v>
      </c>
      <c r="W573" s="21" t="s">
        <v>66</v>
      </c>
      <c r="X573" s="21" t="s">
        <v>2678</v>
      </c>
      <c r="Y573" s="130"/>
      <c r="Z573" s="267"/>
      <c r="AA573" s="267"/>
      <c r="AB573" s="267"/>
      <c r="AC573" s="130"/>
      <c r="AD573" s="131"/>
      <c r="AE573" s="131"/>
      <c r="AF573" s="131"/>
      <c r="AG573" s="131"/>
      <c r="AH573" s="131"/>
      <c r="AI573" s="131"/>
      <c r="AJ573" s="131"/>
      <c r="AK573" s="131"/>
      <c r="AL573" s="131"/>
      <c r="AM573" s="131"/>
      <c r="AN573" s="131"/>
      <c r="AO573" s="131"/>
      <c r="AP573" s="131"/>
      <c r="AQ573" s="131"/>
      <c r="AR573" s="131"/>
      <c r="AS573" s="131"/>
      <c r="AT573" s="131"/>
      <c r="AU573" s="131"/>
      <c r="AV573" s="131"/>
      <c r="AW573" s="131"/>
      <c r="AX573" s="131"/>
      <c r="AY573" s="131"/>
      <c r="AZ573" s="131"/>
      <c r="BA573" s="131"/>
      <c r="BB573" s="131"/>
      <c r="BC573" s="131"/>
      <c r="BD573" s="131"/>
      <c r="BE573" s="131"/>
      <c r="BF573" s="131"/>
      <c r="BG573" s="131"/>
      <c r="BH573" s="131"/>
      <c r="BI573" s="131"/>
      <c r="BJ573" s="131"/>
      <c r="BK573" s="131"/>
      <c r="BL573" s="131"/>
      <c r="BM573" s="131"/>
      <c r="BN573" s="131"/>
      <c r="BO573" s="131"/>
      <c r="BP573" s="131"/>
      <c r="BQ573" s="131"/>
      <c r="BR573" s="131"/>
      <c r="BS573" s="131"/>
      <c r="BT573" s="131"/>
      <c r="BU573" s="131"/>
      <c r="BV573" s="131"/>
      <c r="BW573" s="131"/>
      <c r="BX573" s="131"/>
      <c r="BY573" s="131"/>
      <c r="BZ573" s="131"/>
      <c r="CA573" s="131"/>
      <c r="CB573" s="131"/>
      <c r="CC573" s="131"/>
      <c r="CD573" s="131"/>
      <c r="CE573" s="131"/>
      <c r="CF573" s="131"/>
      <c r="CG573" s="131"/>
      <c r="CH573" s="131"/>
      <c r="CI573" s="131"/>
      <c r="CJ573" s="131"/>
      <c r="CK573" s="131"/>
      <c r="CL573" s="131"/>
      <c r="CM573" s="131"/>
      <c r="CN573" s="131"/>
      <c r="CO573" s="131"/>
      <c r="CP573" s="131"/>
      <c r="CQ573" s="131"/>
      <c r="CR573" s="131"/>
      <c r="CS573" s="131"/>
      <c r="CT573" s="131"/>
      <c r="CU573" s="131"/>
      <c r="CV573" s="131"/>
      <c r="CW573" s="131"/>
      <c r="CX573" s="131"/>
      <c r="CY573" s="131"/>
      <c r="CZ573" s="131"/>
      <c r="DA573" s="131"/>
      <c r="DB573" s="131"/>
      <c r="DC573" s="131"/>
      <c r="DD573" s="131"/>
      <c r="DE573" s="131"/>
      <c r="DF573" s="131"/>
      <c r="DG573" s="131"/>
      <c r="DH573" s="131"/>
      <c r="DI573" s="131"/>
      <c r="DJ573" s="131"/>
      <c r="DK573" s="131"/>
      <c r="DL573" s="131"/>
      <c r="DM573" s="131"/>
      <c r="DN573" s="131"/>
      <c r="DO573" s="131"/>
      <c r="DP573" s="131"/>
      <c r="DQ573" s="131"/>
      <c r="DR573" s="131"/>
      <c r="DS573" s="131"/>
      <c r="DT573" s="131"/>
      <c r="DU573" s="131"/>
      <c r="DV573" s="131"/>
      <c r="DW573" s="131"/>
      <c r="DX573" s="131"/>
      <c r="DY573" s="131"/>
      <c r="DZ573" s="131"/>
      <c r="EA573" s="131"/>
      <c r="EB573" s="131"/>
      <c r="EC573" s="131"/>
      <c r="ED573" s="131"/>
      <c r="EE573" s="131"/>
      <c r="EF573" s="131"/>
      <c r="EG573" s="131"/>
      <c r="EH573" s="131"/>
      <c r="EI573" s="131"/>
      <c r="EJ573" s="131"/>
      <c r="EK573" s="131"/>
      <c r="EL573" s="131"/>
      <c r="EM573" s="131"/>
      <c r="EN573" s="131"/>
      <c r="EO573" s="131"/>
      <c r="EP573" s="131"/>
      <c r="EQ573" s="131"/>
      <c r="ER573" s="131"/>
      <c r="ES573" s="131"/>
      <c r="ET573" s="131"/>
      <c r="EU573" s="131"/>
      <c r="EV573" s="131"/>
      <c r="EW573" s="131"/>
      <c r="EX573" s="131"/>
      <c r="EY573" s="131"/>
      <c r="EZ573" s="131"/>
      <c r="FA573" s="131"/>
      <c r="FB573" s="131"/>
      <c r="FC573" s="131"/>
      <c r="FD573" s="131"/>
      <c r="FE573" s="131"/>
      <c r="FF573" s="131"/>
      <c r="FG573" s="131"/>
      <c r="FH573" s="131"/>
      <c r="FI573" s="131"/>
      <c r="FJ573" s="131"/>
      <c r="FK573" s="131"/>
      <c r="FL573" s="131"/>
      <c r="FM573" s="131"/>
      <c r="FN573" s="131"/>
      <c r="FO573" s="131"/>
      <c r="FP573" s="131"/>
      <c r="FQ573" s="131"/>
      <c r="FR573" s="131"/>
      <c r="FS573" s="131"/>
      <c r="FT573" s="131"/>
      <c r="FU573" s="131"/>
      <c r="FV573" s="131"/>
      <c r="FW573" s="131"/>
      <c r="FX573" s="131"/>
      <c r="FY573" s="131"/>
      <c r="FZ573" s="131"/>
      <c r="GA573" s="131"/>
      <c r="GB573" s="131"/>
      <c r="GC573" s="131"/>
      <c r="GD573" s="131"/>
      <c r="GE573" s="131"/>
      <c r="GF573" s="131"/>
      <c r="GG573" s="131"/>
      <c r="GH573" s="131"/>
      <c r="GI573" s="131"/>
      <c r="GJ573" s="131"/>
      <c r="GK573" s="131"/>
      <c r="GL573" s="131"/>
      <c r="GM573" s="131"/>
      <c r="GN573" s="131"/>
      <c r="GO573" s="131"/>
      <c r="GP573" s="131"/>
      <c r="GQ573" s="131"/>
      <c r="GR573" s="131"/>
      <c r="GS573" s="131"/>
      <c r="GT573" s="131"/>
      <c r="GU573" s="131"/>
      <c r="GV573" s="131"/>
      <c r="GW573" s="131"/>
      <c r="GX573" s="131"/>
      <c r="GY573" s="131"/>
      <c r="GZ573" s="131"/>
      <c r="HA573" s="131"/>
      <c r="HB573" s="131"/>
      <c r="HC573" s="131"/>
      <c r="HD573" s="131"/>
      <c r="HE573" s="131"/>
      <c r="HF573" s="131"/>
      <c r="HG573" s="131"/>
      <c r="HH573" s="131"/>
      <c r="HI573" s="131"/>
      <c r="HJ573" s="131"/>
      <c r="HK573" s="131"/>
      <c r="HL573" s="131"/>
      <c r="HM573" s="131"/>
      <c r="HN573" s="131"/>
      <c r="HO573" s="131"/>
      <c r="HP573" s="131"/>
      <c r="HQ573" s="131"/>
      <c r="HR573" s="131"/>
      <c r="HS573" s="131"/>
      <c r="HT573" s="131"/>
      <c r="HU573" s="131"/>
      <c r="HV573" s="131"/>
      <c r="HW573" s="131"/>
      <c r="HX573" s="131"/>
      <c r="HY573" s="131"/>
      <c r="HZ573" s="131"/>
      <c r="IA573" s="131"/>
      <c r="IB573" s="131"/>
      <c r="IC573" s="131"/>
      <c r="ID573" s="131"/>
      <c r="IE573" s="131"/>
      <c r="IF573" s="131"/>
      <c r="IG573" s="131"/>
      <c r="IH573" s="131"/>
      <c r="II573" s="131"/>
      <c r="IJ573" s="131"/>
      <c r="IK573" s="131"/>
      <c r="IL573" s="131"/>
      <c r="IM573" s="131"/>
      <c r="IN573" s="131"/>
      <c r="IO573" s="131"/>
      <c r="IP573" s="131"/>
      <c r="IQ573" s="131"/>
      <c r="IR573" s="131"/>
      <c r="IS573" s="131"/>
      <c r="IT573" s="131"/>
      <c r="IU573" s="131"/>
      <c r="IV573" s="131"/>
    </row>
    <row r="574" spans="1:256" s="13" customFormat="1" ht="38.25" customHeight="1">
      <c r="A574" s="21" t="s">
        <v>1</v>
      </c>
      <c r="B574" s="21" t="s">
        <v>34</v>
      </c>
      <c r="C574" s="21" t="s">
        <v>1897</v>
      </c>
      <c r="D574" s="21" t="s">
        <v>1174</v>
      </c>
      <c r="E574" s="21" t="s">
        <v>116</v>
      </c>
      <c r="F574" s="21" t="s">
        <v>1142</v>
      </c>
      <c r="G574" s="21" t="s">
        <v>133</v>
      </c>
      <c r="H574" s="21">
        <v>541618</v>
      </c>
      <c r="I574" s="21"/>
      <c r="J574" s="21" t="s">
        <v>109</v>
      </c>
      <c r="K574" s="21" t="s">
        <v>1143</v>
      </c>
      <c r="L574" s="21" t="s">
        <v>278</v>
      </c>
      <c r="M574" s="21" t="s">
        <v>331</v>
      </c>
      <c r="N574" s="21" t="s">
        <v>331</v>
      </c>
      <c r="O574" s="21" t="s">
        <v>20</v>
      </c>
      <c r="P574" s="21" t="s">
        <v>278</v>
      </c>
      <c r="Q574" s="21" t="s">
        <v>1138</v>
      </c>
      <c r="R574" s="21" t="s">
        <v>31</v>
      </c>
      <c r="S574" s="74" t="s">
        <v>443</v>
      </c>
      <c r="T574" s="21" t="s">
        <v>1139</v>
      </c>
      <c r="U574" s="21" t="s">
        <v>1140</v>
      </c>
      <c r="V574" s="21" t="s">
        <v>1141</v>
      </c>
      <c r="W574" s="21" t="s">
        <v>66</v>
      </c>
      <c r="X574" s="21" t="s">
        <v>2679</v>
      </c>
      <c r="Y574" s="130"/>
      <c r="Z574" s="267"/>
      <c r="AA574" s="130"/>
      <c r="AB574" s="267"/>
      <c r="AC574" s="130"/>
      <c r="AD574" s="131"/>
      <c r="AE574" s="131"/>
      <c r="AF574" s="131"/>
      <c r="AG574" s="131"/>
      <c r="AH574" s="131"/>
      <c r="AI574" s="131"/>
      <c r="AJ574" s="131"/>
      <c r="AK574" s="131"/>
      <c r="AL574" s="131"/>
      <c r="AM574" s="131"/>
      <c r="AN574" s="131"/>
      <c r="AO574" s="131"/>
      <c r="AP574" s="131"/>
      <c r="AQ574" s="131"/>
      <c r="AR574" s="131"/>
      <c r="AS574" s="131"/>
      <c r="AT574" s="131"/>
      <c r="AU574" s="131"/>
      <c r="AV574" s="131"/>
      <c r="AW574" s="131"/>
      <c r="AX574" s="131"/>
      <c r="AY574" s="131"/>
      <c r="AZ574" s="131"/>
      <c r="BA574" s="131"/>
      <c r="BB574" s="131"/>
      <c r="BC574" s="131"/>
      <c r="BD574" s="131"/>
      <c r="BE574" s="131"/>
      <c r="BF574" s="131"/>
      <c r="BG574" s="131"/>
      <c r="BH574" s="131"/>
      <c r="BI574" s="131"/>
      <c r="BJ574" s="131"/>
      <c r="BK574" s="131"/>
      <c r="BL574" s="131"/>
      <c r="BM574" s="131"/>
      <c r="BN574" s="131"/>
      <c r="BO574" s="131"/>
      <c r="BP574" s="131"/>
      <c r="BQ574" s="131"/>
      <c r="BR574" s="131"/>
      <c r="BS574" s="131"/>
      <c r="BT574" s="131"/>
      <c r="BU574" s="131"/>
      <c r="BV574" s="131"/>
      <c r="BW574" s="131"/>
      <c r="BX574" s="131"/>
      <c r="BY574" s="131"/>
      <c r="BZ574" s="131"/>
      <c r="CA574" s="131"/>
      <c r="CB574" s="131"/>
      <c r="CC574" s="131"/>
      <c r="CD574" s="131"/>
      <c r="CE574" s="131"/>
      <c r="CF574" s="131"/>
      <c r="CG574" s="131"/>
      <c r="CH574" s="131"/>
      <c r="CI574" s="131"/>
      <c r="CJ574" s="131"/>
      <c r="CK574" s="131"/>
      <c r="CL574" s="131"/>
      <c r="CM574" s="131"/>
      <c r="CN574" s="131"/>
      <c r="CO574" s="131"/>
      <c r="CP574" s="131"/>
      <c r="CQ574" s="131"/>
      <c r="CR574" s="131"/>
      <c r="CS574" s="131"/>
      <c r="CT574" s="131"/>
      <c r="CU574" s="131"/>
      <c r="CV574" s="131"/>
      <c r="CW574" s="131"/>
      <c r="CX574" s="131"/>
      <c r="CY574" s="131"/>
      <c r="CZ574" s="131"/>
      <c r="DA574" s="131"/>
      <c r="DB574" s="131"/>
      <c r="DC574" s="131"/>
      <c r="DD574" s="131"/>
      <c r="DE574" s="131"/>
      <c r="DF574" s="131"/>
      <c r="DG574" s="131"/>
      <c r="DH574" s="131"/>
      <c r="DI574" s="131"/>
      <c r="DJ574" s="131"/>
      <c r="DK574" s="131"/>
      <c r="DL574" s="131"/>
      <c r="DM574" s="131"/>
      <c r="DN574" s="131"/>
      <c r="DO574" s="131"/>
      <c r="DP574" s="131"/>
      <c r="DQ574" s="131"/>
      <c r="DR574" s="131"/>
      <c r="DS574" s="131"/>
      <c r="DT574" s="131"/>
      <c r="DU574" s="131"/>
      <c r="DV574" s="131"/>
      <c r="DW574" s="131"/>
      <c r="DX574" s="131"/>
      <c r="DY574" s="131"/>
      <c r="DZ574" s="131"/>
      <c r="EA574" s="131"/>
      <c r="EB574" s="131"/>
      <c r="EC574" s="131"/>
      <c r="ED574" s="131"/>
      <c r="EE574" s="131"/>
      <c r="EF574" s="131"/>
      <c r="EG574" s="131"/>
      <c r="EH574" s="131"/>
      <c r="EI574" s="131"/>
      <c r="EJ574" s="131"/>
      <c r="EK574" s="131"/>
      <c r="EL574" s="131"/>
      <c r="EM574" s="131"/>
      <c r="EN574" s="131"/>
      <c r="EO574" s="131"/>
      <c r="EP574" s="131"/>
      <c r="EQ574" s="131"/>
      <c r="ER574" s="131"/>
      <c r="ES574" s="131"/>
      <c r="ET574" s="131"/>
      <c r="EU574" s="131"/>
      <c r="EV574" s="131"/>
      <c r="EW574" s="131"/>
      <c r="EX574" s="131"/>
      <c r="EY574" s="131"/>
      <c r="EZ574" s="131"/>
      <c r="FA574" s="131"/>
      <c r="FB574" s="131"/>
      <c r="FC574" s="131"/>
      <c r="FD574" s="131"/>
      <c r="FE574" s="131"/>
      <c r="FF574" s="131"/>
      <c r="FG574" s="131"/>
      <c r="FH574" s="131"/>
      <c r="FI574" s="131"/>
      <c r="FJ574" s="131"/>
      <c r="FK574" s="131"/>
      <c r="FL574" s="131"/>
      <c r="FM574" s="131"/>
      <c r="FN574" s="131"/>
      <c r="FO574" s="131"/>
      <c r="FP574" s="131"/>
      <c r="FQ574" s="131"/>
      <c r="FR574" s="131"/>
      <c r="FS574" s="131"/>
      <c r="FT574" s="131"/>
      <c r="FU574" s="131"/>
      <c r="FV574" s="131"/>
      <c r="FW574" s="131"/>
      <c r="FX574" s="131"/>
      <c r="FY574" s="131"/>
      <c r="FZ574" s="131"/>
      <c r="GA574" s="131"/>
      <c r="GB574" s="131"/>
      <c r="GC574" s="131"/>
      <c r="GD574" s="131"/>
      <c r="GE574" s="131"/>
      <c r="GF574" s="131"/>
      <c r="GG574" s="131"/>
      <c r="GH574" s="131"/>
      <c r="GI574" s="131"/>
      <c r="GJ574" s="131"/>
      <c r="GK574" s="131"/>
      <c r="GL574" s="131"/>
      <c r="GM574" s="131"/>
      <c r="GN574" s="131"/>
      <c r="GO574" s="131"/>
      <c r="GP574" s="131"/>
      <c r="GQ574" s="131"/>
      <c r="GR574" s="131"/>
      <c r="GS574" s="131"/>
      <c r="GT574" s="131"/>
      <c r="GU574" s="131"/>
      <c r="GV574" s="131"/>
      <c r="GW574" s="131"/>
      <c r="GX574" s="131"/>
      <c r="GY574" s="131"/>
      <c r="GZ574" s="131"/>
      <c r="HA574" s="131"/>
      <c r="HB574" s="131"/>
      <c r="HC574" s="131"/>
      <c r="HD574" s="131"/>
      <c r="HE574" s="131"/>
      <c r="HF574" s="131"/>
      <c r="HG574" s="131"/>
      <c r="HH574" s="131"/>
      <c r="HI574" s="131"/>
      <c r="HJ574" s="131"/>
      <c r="HK574" s="131"/>
      <c r="HL574" s="131"/>
      <c r="HM574" s="131"/>
      <c r="HN574" s="131"/>
      <c r="HO574" s="131"/>
      <c r="HP574" s="131"/>
      <c r="HQ574" s="131"/>
      <c r="HR574" s="131"/>
      <c r="HS574" s="131"/>
      <c r="HT574" s="131"/>
      <c r="HU574" s="131"/>
      <c r="HV574" s="131"/>
      <c r="HW574" s="131"/>
      <c r="HX574" s="131"/>
      <c r="HY574" s="131"/>
      <c r="HZ574" s="131"/>
      <c r="IA574" s="131"/>
      <c r="IB574" s="131"/>
      <c r="IC574" s="131"/>
      <c r="ID574" s="131"/>
      <c r="IE574" s="131"/>
      <c r="IF574" s="131"/>
      <c r="IG574" s="131"/>
      <c r="IH574" s="131"/>
      <c r="II574" s="131"/>
      <c r="IJ574" s="131"/>
      <c r="IK574" s="131"/>
      <c r="IL574" s="131"/>
      <c r="IM574" s="131"/>
      <c r="IN574" s="131"/>
      <c r="IO574" s="131"/>
      <c r="IP574" s="131"/>
      <c r="IQ574" s="131"/>
      <c r="IR574" s="131"/>
      <c r="IS574" s="131"/>
      <c r="IT574" s="131"/>
      <c r="IU574" s="131"/>
      <c r="IV574" s="131"/>
    </row>
    <row r="575" spans="1:256" s="13" customFormat="1" ht="38.25" customHeight="1">
      <c r="A575" s="21" t="s">
        <v>1</v>
      </c>
      <c r="B575" s="246" t="s">
        <v>34</v>
      </c>
      <c r="C575" s="21" t="s">
        <v>25</v>
      </c>
      <c r="D575" s="246" t="s">
        <v>1099</v>
      </c>
      <c r="E575" s="21"/>
      <c r="F575" s="21" t="s">
        <v>1920</v>
      </c>
      <c r="G575" s="246" t="s">
        <v>103</v>
      </c>
      <c r="H575" s="21">
        <v>561210</v>
      </c>
      <c r="I575" s="21" t="s">
        <v>28</v>
      </c>
      <c r="J575" s="21" t="s">
        <v>109</v>
      </c>
      <c r="K575" s="21" t="s">
        <v>1071</v>
      </c>
      <c r="L575" s="21" t="s">
        <v>28</v>
      </c>
      <c r="M575" s="22">
        <v>6800000</v>
      </c>
      <c r="N575" s="22">
        <v>7500000</v>
      </c>
      <c r="O575" s="21" t="s">
        <v>20</v>
      </c>
      <c r="P575" s="21" t="s">
        <v>1100</v>
      </c>
      <c r="Q575" s="21" t="s">
        <v>279</v>
      </c>
      <c r="R575" s="21" t="s">
        <v>21</v>
      </c>
      <c r="S575" s="74">
        <v>2013</v>
      </c>
      <c r="T575" s="21" t="s">
        <v>1101</v>
      </c>
      <c r="U575" s="21" t="s">
        <v>1102</v>
      </c>
      <c r="V575" s="21" t="s">
        <v>1103</v>
      </c>
      <c r="W575" s="21" t="s">
        <v>66</v>
      </c>
      <c r="X575" s="246" t="s">
        <v>2680</v>
      </c>
      <c r="Y575" s="130"/>
      <c r="Z575" s="267"/>
      <c r="AA575" s="267"/>
      <c r="AB575" s="267"/>
      <c r="AC575" s="130"/>
      <c r="AD575" s="131"/>
      <c r="AE575" s="131"/>
      <c r="AF575" s="131"/>
      <c r="AG575" s="131"/>
      <c r="AH575" s="131"/>
      <c r="AI575" s="131"/>
      <c r="AJ575" s="131"/>
      <c r="AK575" s="131"/>
      <c r="AL575" s="131"/>
      <c r="AM575" s="131"/>
      <c r="AN575" s="131"/>
      <c r="AO575" s="131"/>
      <c r="AP575" s="131"/>
      <c r="AQ575" s="131"/>
      <c r="AR575" s="131"/>
      <c r="AS575" s="131"/>
      <c r="AT575" s="131"/>
      <c r="AU575" s="131"/>
      <c r="AV575" s="131"/>
      <c r="AW575" s="131"/>
      <c r="AX575" s="131"/>
      <c r="AY575" s="131"/>
      <c r="AZ575" s="131"/>
      <c r="BA575" s="131"/>
      <c r="BB575" s="131"/>
      <c r="BC575" s="131"/>
      <c r="BD575" s="131"/>
      <c r="BE575" s="131"/>
      <c r="BF575" s="131"/>
      <c r="BG575" s="131"/>
      <c r="BH575" s="131"/>
      <c r="BI575" s="131"/>
      <c r="BJ575" s="131"/>
      <c r="BK575" s="131"/>
      <c r="BL575" s="131"/>
      <c r="BM575" s="131"/>
      <c r="BN575" s="131"/>
      <c r="BO575" s="131"/>
      <c r="BP575" s="131"/>
      <c r="BQ575" s="131"/>
      <c r="BR575" s="131"/>
      <c r="BS575" s="131"/>
      <c r="BT575" s="131"/>
      <c r="BU575" s="131"/>
      <c r="BV575" s="131"/>
      <c r="BW575" s="131"/>
      <c r="BX575" s="131"/>
      <c r="BY575" s="131"/>
      <c r="BZ575" s="131"/>
      <c r="CA575" s="131"/>
      <c r="CB575" s="131"/>
      <c r="CC575" s="131"/>
      <c r="CD575" s="131"/>
      <c r="CE575" s="131"/>
      <c r="CF575" s="131"/>
      <c r="CG575" s="131"/>
      <c r="CH575" s="131"/>
      <c r="CI575" s="131"/>
      <c r="CJ575" s="131"/>
      <c r="CK575" s="131"/>
      <c r="CL575" s="131"/>
      <c r="CM575" s="131"/>
      <c r="CN575" s="131"/>
      <c r="CO575" s="131"/>
      <c r="CP575" s="131"/>
      <c r="CQ575" s="131"/>
      <c r="CR575" s="131"/>
      <c r="CS575" s="131"/>
      <c r="CT575" s="131"/>
      <c r="CU575" s="131"/>
      <c r="CV575" s="131"/>
      <c r="CW575" s="131"/>
      <c r="CX575" s="131"/>
      <c r="CY575" s="131"/>
      <c r="CZ575" s="131"/>
      <c r="DA575" s="131"/>
      <c r="DB575" s="131"/>
      <c r="DC575" s="131"/>
      <c r="DD575" s="131"/>
      <c r="DE575" s="131"/>
      <c r="DF575" s="131"/>
      <c r="DG575" s="131"/>
      <c r="DH575" s="131"/>
      <c r="DI575" s="131"/>
      <c r="DJ575" s="131"/>
      <c r="DK575" s="131"/>
      <c r="DL575" s="131"/>
      <c r="DM575" s="131"/>
      <c r="DN575" s="131"/>
      <c r="DO575" s="131"/>
      <c r="DP575" s="131"/>
      <c r="DQ575" s="131"/>
      <c r="DR575" s="131"/>
      <c r="DS575" s="131"/>
      <c r="DT575" s="131"/>
      <c r="DU575" s="131"/>
      <c r="DV575" s="131"/>
      <c r="DW575" s="131"/>
      <c r="DX575" s="131"/>
      <c r="DY575" s="131"/>
      <c r="DZ575" s="131"/>
      <c r="EA575" s="131"/>
      <c r="EB575" s="131"/>
      <c r="EC575" s="131"/>
      <c r="ED575" s="131"/>
      <c r="EE575" s="131"/>
      <c r="EF575" s="131"/>
      <c r="EG575" s="131"/>
      <c r="EH575" s="131"/>
      <c r="EI575" s="131"/>
      <c r="EJ575" s="131"/>
      <c r="EK575" s="131"/>
      <c r="EL575" s="131"/>
      <c r="EM575" s="131"/>
      <c r="EN575" s="131"/>
      <c r="EO575" s="131"/>
      <c r="EP575" s="131"/>
      <c r="EQ575" s="131"/>
      <c r="ER575" s="131"/>
      <c r="ES575" s="131"/>
      <c r="ET575" s="131"/>
      <c r="EU575" s="131"/>
      <c r="EV575" s="131"/>
      <c r="EW575" s="131"/>
      <c r="EX575" s="131"/>
      <c r="EY575" s="131"/>
      <c r="EZ575" s="131"/>
      <c r="FA575" s="131"/>
      <c r="FB575" s="131"/>
      <c r="FC575" s="131"/>
      <c r="FD575" s="131"/>
      <c r="FE575" s="131"/>
      <c r="FF575" s="131"/>
      <c r="FG575" s="131"/>
      <c r="FH575" s="131"/>
      <c r="FI575" s="131"/>
      <c r="FJ575" s="131"/>
      <c r="FK575" s="131"/>
      <c r="FL575" s="131"/>
      <c r="FM575" s="131"/>
      <c r="FN575" s="131"/>
      <c r="FO575" s="131"/>
      <c r="FP575" s="131"/>
      <c r="FQ575" s="131"/>
      <c r="FR575" s="131"/>
      <c r="FS575" s="131"/>
      <c r="FT575" s="131"/>
      <c r="FU575" s="131"/>
      <c r="FV575" s="131"/>
      <c r="FW575" s="131"/>
      <c r="FX575" s="131"/>
      <c r="FY575" s="131"/>
      <c r="FZ575" s="131"/>
      <c r="GA575" s="131"/>
      <c r="GB575" s="131"/>
      <c r="GC575" s="131"/>
      <c r="GD575" s="131"/>
      <c r="GE575" s="131"/>
      <c r="GF575" s="131"/>
      <c r="GG575" s="131"/>
      <c r="GH575" s="131"/>
      <c r="GI575" s="131"/>
      <c r="GJ575" s="131"/>
      <c r="GK575" s="131"/>
      <c r="GL575" s="131"/>
      <c r="GM575" s="131"/>
      <c r="GN575" s="131"/>
      <c r="GO575" s="131"/>
      <c r="GP575" s="131"/>
      <c r="GQ575" s="131"/>
      <c r="GR575" s="131"/>
      <c r="GS575" s="131"/>
      <c r="GT575" s="131"/>
      <c r="GU575" s="131"/>
      <c r="GV575" s="131"/>
      <c r="GW575" s="131"/>
      <c r="GX575" s="131"/>
      <c r="GY575" s="131"/>
      <c r="GZ575" s="131"/>
      <c r="HA575" s="131"/>
      <c r="HB575" s="131"/>
      <c r="HC575" s="131"/>
      <c r="HD575" s="131"/>
      <c r="HE575" s="131"/>
      <c r="HF575" s="131"/>
      <c r="HG575" s="131"/>
      <c r="HH575" s="131"/>
      <c r="HI575" s="131"/>
      <c r="HJ575" s="131"/>
      <c r="HK575" s="131"/>
      <c r="HL575" s="131"/>
      <c r="HM575" s="131"/>
      <c r="HN575" s="131"/>
      <c r="HO575" s="131"/>
      <c r="HP575" s="131"/>
      <c r="HQ575" s="131"/>
      <c r="HR575" s="131"/>
      <c r="HS575" s="131"/>
      <c r="HT575" s="131"/>
      <c r="HU575" s="131"/>
      <c r="HV575" s="131"/>
      <c r="HW575" s="131"/>
      <c r="HX575" s="131"/>
      <c r="HY575" s="131"/>
      <c r="HZ575" s="131"/>
      <c r="IA575" s="131"/>
      <c r="IB575" s="131"/>
      <c r="IC575" s="131"/>
      <c r="ID575" s="131"/>
      <c r="IE575" s="131"/>
      <c r="IF575" s="131"/>
      <c r="IG575" s="131"/>
      <c r="IH575" s="131"/>
      <c r="II575" s="131"/>
      <c r="IJ575" s="131"/>
      <c r="IK575" s="131"/>
      <c r="IL575" s="131"/>
      <c r="IM575" s="131"/>
      <c r="IN575" s="131"/>
      <c r="IO575" s="131"/>
      <c r="IP575" s="131"/>
      <c r="IQ575" s="131"/>
      <c r="IR575" s="131"/>
      <c r="IS575" s="131"/>
      <c r="IT575" s="131"/>
      <c r="IU575" s="131"/>
      <c r="IV575" s="131"/>
    </row>
    <row r="576" spans="1:256" s="13" customFormat="1" ht="38.25" customHeight="1">
      <c r="A576" s="21" t="s">
        <v>1</v>
      </c>
      <c r="B576" s="246" t="s">
        <v>34</v>
      </c>
      <c r="C576" s="21" t="s">
        <v>25</v>
      </c>
      <c r="D576" s="21" t="s">
        <v>1104</v>
      </c>
      <c r="E576" s="246" t="s">
        <v>1105</v>
      </c>
      <c r="F576" s="21" t="s">
        <v>897</v>
      </c>
      <c r="G576" s="246" t="s">
        <v>103</v>
      </c>
      <c r="H576" s="21">
        <v>561320</v>
      </c>
      <c r="I576" s="21" t="s">
        <v>1106</v>
      </c>
      <c r="J576" s="21" t="s">
        <v>109</v>
      </c>
      <c r="K576" s="21" t="s">
        <v>1106</v>
      </c>
      <c r="L576" s="21" t="s">
        <v>1106</v>
      </c>
      <c r="M576" s="22">
        <v>1400000</v>
      </c>
      <c r="N576" s="22">
        <v>1409928</v>
      </c>
      <c r="O576" s="21" t="s">
        <v>20</v>
      </c>
      <c r="P576" s="21" t="s">
        <v>1107</v>
      </c>
      <c r="Q576" s="21" t="s">
        <v>279</v>
      </c>
      <c r="R576" s="21" t="s">
        <v>10</v>
      </c>
      <c r="S576" s="74">
        <v>2013</v>
      </c>
      <c r="T576" s="21" t="s">
        <v>1108</v>
      </c>
      <c r="U576" s="21" t="s">
        <v>1109</v>
      </c>
      <c r="V576" s="21" t="s">
        <v>1110</v>
      </c>
      <c r="W576" s="21" t="s">
        <v>66</v>
      </c>
      <c r="X576" s="246" t="s">
        <v>2681</v>
      </c>
      <c r="Y576" s="130"/>
      <c r="Z576" s="267"/>
      <c r="AA576" s="267"/>
      <c r="AB576" s="267"/>
      <c r="AC576" s="130"/>
      <c r="AD576" s="131"/>
      <c r="AE576" s="131"/>
      <c r="AF576" s="131"/>
      <c r="AG576" s="131"/>
      <c r="AH576" s="131"/>
      <c r="AI576" s="131"/>
      <c r="AJ576" s="131"/>
      <c r="AK576" s="131"/>
      <c r="AL576" s="131"/>
      <c r="AM576" s="131"/>
      <c r="AN576" s="131"/>
      <c r="AO576" s="131"/>
      <c r="AP576" s="131"/>
      <c r="AQ576" s="131"/>
      <c r="AR576" s="131"/>
      <c r="AS576" s="131"/>
      <c r="AT576" s="131"/>
      <c r="AU576" s="131"/>
      <c r="AV576" s="131"/>
      <c r="AW576" s="131"/>
      <c r="AX576" s="131"/>
      <c r="AY576" s="131"/>
      <c r="AZ576" s="131"/>
      <c r="BA576" s="131"/>
      <c r="BB576" s="131"/>
      <c r="BC576" s="131"/>
      <c r="BD576" s="131"/>
      <c r="BE576" s="131"/>
      <c r="BF576" s="131"/>
      <c r="BG576" s="131"/>
      <c r="BH576" s="131"/>
      <c r="BI576" s="131"/>
      <c r="BJ576" s="131"/>
      <c r="BK576" s="131"/>
      <c r="BL576" s="131"/>
      <c r="BM576" s="131"/>
      <c r="BN576" s="131"/>
      <c r="BO576" s="131"/>
      <c r="BP576" s="131"/>
      <c r="BQ576" s="131"/>
      <c r="BR576" s="131"/>
      <c r="BS576" s="131"/>
      <c r="BT576" s="131"/>
      <c r="BU576" s="131"/>
      <c r="BV576" s="131"/>
      <c r="BW576" s="131"/>
      <c r="BX576" s="131"/>
      <c r="BY576" s="131"/>
      <c r="BZ576" s="131"/>
      <c r="CA576" s="131"/>
      <c r="CB576" s="131"/>
      <c r="CC576" s="131"/>
      <c r="CD576" s="131"/>
      <c r="CE576" s="131"/>
      <c r="CF576" s="131"/>
      <c r="CG576" s="131"/>
      <c r="CH576" s="131"/>
      <c r="CI576" s="131"/>
      <c r="CJ576" s="131"/>
      <c r="CK576" s="131"/>
      <c r="CL576" s="131"/>
      <c r="CM576" s="131"/>
      <c r="CN576" s="131"/>
      <c r="CO576" s="131"/>
      <c r="CP576" s="131"/>
      <c r="CQ576" s="131"/>
      <c r="CR576" s="131"/>
      <c r="CS576" s="131"/>
      <c r="CT576" s="131"/>
      <c r="CU576" s="131"/>
      <c r="CV576" s="131"/>
      <c r="CW576" s="131"/>
      <c r="CX576" s="131"/>
      <c r="CY576" s="131"/>
      <c r="CZ576" s="131"/>
      <c r="DA576" s="131"/>
      <c r="DB576" s="131"/>
      <c r="DC576" s="131"/>
      <c r="DD576" s="131"/>
      <c r="DE576" s="131"/>
      <c r="DF576" s="131"/>
      <c r="DG576" s="131"/>
      <c r="DH576" s="131"/>
      <c r="DI576" s="131"/>
      <c r="DJ576" s="131"/>
      <c r="DK576" s="131"/>
      <c r="DL576" s="131"/>
      <c r="DM576" s="131"/>
      <c r="DN576" s="131"/>
      <c r="DO576" s="131"/>
      <c r="DP576" s="131"/>
      <c r="DQ576" s="131"/>
      <c r="DR576" s="131"/>
      <c r="DS576" s="131"/>
      <c r="DT576" s="131"/>
      <c r="DU576" s="131"/>
      <c r="DV576" s="131"/>
      <c r="DW576" s="131"/>
      <c r="DX576" s="131"/>
      <c r="DY576" s="131"/>
      <c r="DZ576" s="131"/>
      <c r="EA576" s="131"/>
      <c r="EB576" s="131"/>
      <c r="EC576" s="131"/>
      <c r="ED576" s="131"/>
      <c r="EE576" s="131"/>
      <c r="EF576" s="131"/>
      <c r="EG576" s="131"/>
      <c r="EH576" s="131"/>
      <c r="EI576" s="131"/>
      <c r="EJ576" s="131"/>
      <c r="EK576" s="131"/>
      <c r="EL576" s="131"/>
      <c r="EM576" s="131"/>
      <c r="EN576" s="131"/>
      <c r="EO576" s="131"/>
      <c r="EP576" s="131"/>
      <c r="EQ576" s="131"/>
      <c r="ER576" s="131"/>
      <c r="ES576" s="131"/>
      <c r="ET576" s="131"/>
      <c r="EU576" s="131"/>
      <c r="EV576" s="131"/>
      <c r="EW576" s="131"/>
      <c r="EX576" s="131"/>
      <c r="EY576" s="131"/>
      <c r="EZ576" s="131"/>
      <c r="FA576" s="131"/>
      <c r="FB576" s="131"/>
      <c r="FC576" s="131"/>
      <c r="FD576" s="131"/>
      <c r="FE576" s="131"/>
      <c r="FF576" s="131"/>
      <c r="FG576" s="131"/>
      <c r="FH576" s="131"/>
      <c r="FI576" s="131"/>
      <c r="FJ576" s="131"/>
      <c r="FK576" s="131"/>
      <c r="FL576" s="131"/>
      <c r="FM576" s="131"/>
      <c r="FN576" s="131"/>
      <c r="FO576" s="131"/>
      <c r="FP576" s="131"/>
      <c r="FQ576" s="131"/>
      <c r="FR576" s="131"/>
      <c r="FS576" s="131"/>
      <c r="FT576" s="131"/>
      <c r="FU576" s="131"/>
      <c r="FV576" s="131"/>
      <c r="FW576" s="131"/>
      <c r="FX576" s="131"/>
      <c r="FY576" s="131"/>
      <c r="FZ576" s="131"/>
      <c r="GA576" s="131"/>
      <c r="GB576" s="131"/>
      <c r="GC576" s="131"/>
      <c r="GD576" s="131"/>
      <c r="GE576" s="131"/>
      <c r="GF576" s="131"/>
      <c r="GG576" s="131"/>
      <c r="GH576" s="131"/>
      <c r="GI576" s="131"/>
      <c r="GJ576" s="131"/>
      <c r="GK576" s="131"/>
      <c r="GL576" s="131"/>
      <c r="GM576" s="131"/>
      <c r="GN576" s="131"/>
      <c r="GO576" s="131"/>
      <c r="GP576" s="131"/>
      <c r="GQ576" s="131"/>
      <c r="GR576" s="131"/>
      <c r="GS576" s="131"/>
      <c r="GT576" s="131"/>
      <c r="GU576" s="131"/>
      <c r="GV576" s="131"/>
      <c r="GW576" s="131"/>
      <c r="GX576" s="131"/>
      <c r="GY576" s="131"/>
      <c r="GZ576" s="131"/>
      <c r="HA576" s="131"/>
      <c r="HB576" s="131"/>
      <c r="HC576" s="131"/>
      <c r="HD576" s="131"/>
      <c r="HE576" s="131"/>
      <c r="HF576" s="131"/>
      <c r="HG576" s="131"/>
      <c r="HH576" s="131"/>
      <c r="HI576" s="131"/>
      <c r="HJ576" s="131"/>
      <c r="HK576" s="131"/>
      <c r="HL576" s="131"/>
      <c r="HM576" s="131"/>
      <c r="HN576" s="131"/>
      <c r="HO576" s="131"/>
      <c r="HP576" s="131"/>
      <c r="HQ576" s="131"/>
      <c r="HR576" s="131"/>
      <c r="HS576" s="131"/>
      <c r="HT576" s="131"/>
      <c r="HU576" s="131"/>
      <c r="HV576" s="131"/>
      <c r="HW576" s="131"/>
      <c r="HX576" s="131"/>
      <c r="HY576" s="131"/>
      <c r="HZ576" s="131"/>
      <c r="IA576" s="131"/>
      <c r="IB576" s="131"/>
      <c r="IC576" s="131"/>
      <c r="ID576" s="131"/>
      <c r="IE576" s="131"/>
      <c r="IF576" s="131"/>
      <c r="IG576" s="131"/>
      <c r="IH576" s="131"/>
      <c r="II576" s="131"/>
      <c r="IJ576" s="131"/>
      <c r="IK576" s="131"/>
      <c r="IL576" s="131"/>
      <c r="IM576" s="131"/>
      <c r="IN576" s="131"/>
      <c r="IO576" s="131"/>
      <c r="IP576" s="131"/>
      <c r="IQ576" s="131"/>
      <c r="IR576" s="131"/>
      <c r="IS576" s="131"/>
      <c r="IT576" s="131"/>
      <c r="IU576" s="131"/>
      <c r="IV576" s="131"/>
    </row>
    <row r="577" spans="1:256" s="13" customFormat="1" ht="38.25" customHeight="1">
      <c r="A577" s="21" t="s">
        <v>1</v>
      </c>
      <c r="B577" s="21" t="s">
        <v>34</v>
      </c>
      <c r="C577" s="21" t="s">
        <v>1897</v>
      </c>
      <c r="D577" s="21" t="s">
        <v>2682</v>
      </c>
      <c r="E577" s="21" t="s">
        <v>26</v>
      </c>
      <c r="F577" s="21"/>
      <c r="G577" s="21" t="s">
        <v>1962</v>
      </c>
      <c r="H577" s="21">
        <v>541310</v>
      </c>
      <c r="I577" s="21" t="s">
        <v>1135</v>
      </c>
      <c r="J577" s="21" t="s">
        <v>109</v>
      </c>
      <c r="K577" s="21" t="s">
        <v>2683</v>
      </c>
      <c r="L577" s="21" t="s">
        <v>28</v>
      </c>
      <c r="M577" s="22">
        <v>1500</v>
      </c>
      <c r="N577" s="22">
        <v>2000000</v>
      </c>
      <c r="O577" s="21" t="s">
        <v>20</v>
      </c>
      <c r="P577" s="21" t="s">
        <v>372</v>
      </c>
      <c r="Q577" s="21" t="s">
        <v>1148</v>
      </c>
      <c r="R577" s="21" t="s">
        <v>10</v>
      </c>
      <c r="S577" s="74">
        <v>2013</v>
      </c>
      <c r="T577" s="21" t="s">
        <v>2684</v>
      </c>
      <c r="U577" s="21" t="s">
        <v>2685</v>
      </c>
      <c r="V577" s="21" t="s">
        <v>2686</v>
      </c>
      <c r="W577" s="21" t="s">
        <v>66</v>
      </c>
      <c r="X577" s="21" t="s">
        <v>2687</v>
      </c>
      <c r="Y577" s="130"/>
      <c r="Z577" s="267"/>
      <c r="AA577" s="267"/>
      <c r="AB577" s="267"/>
      <c r="AC577" s="130"/>
      <c r="AD577" s="131"/>
      <c r="AE577" s="131"/>
      <c r="AF577" s="131"/>
      <c r="AG577" s="131"/>
      <c r="AH577" s="131"/>
      <c r="AI577" s="131"/>
      <c r="AJ577" s="131"/>
      <c r="AK577" s="131"/>
      <c r="AL577" s="131"/>
      <c r="AM577" s="131"/>
      <c r="AN577" s="131"/>
      <c r="AO577" s="131"/>
      <c r="AP577" s="131"/>
      <c r="AQ577" s="131"/>
      <c r="AR577" s="131"/>
      <c r="AS577" s="131"/>
      <c r="AT577" s="131"/>
      <c r="AU577" s="131"/>
      <c r="AV577" s="131"/>
      <c r="AW577" s="131"/>
      <c r="AX577" s="131"/>
      <c r="AY577" s="131"/>
      <c r="AZ577" s="131"/>
      <c r="BA577" s="131"/>
      <c r="BB577" s="131"/>
      <c r="BC577" s="131"/>
      <c r="BD577" s="131"/>
      <c r="BE577" s="131"/>
      <c r="BF577" s="131"/>
      <c r="BG577" s="131"/>
      <c r="BH577" s="131"/>
      <c r="BI577" s="131"/>
      <c r="BJ577" s="131"/>
      <c r="BK577" s="131"/>
      <c r="BL577" s="131"/>
      <c r="BM577" s="131"/>
      <c r="BN577" s="131"/>
      <c r="BO577" s="131"/>
      <c r="BP577" s="131"/>
      <c r="BQ577" s="131"/>
      <c r="BR577" s="131"/>
      <c r="BS577" s="131"/>
      <c r="BT577" s="131"/>
      <c r="BU577" s="131"/>
      <c r="BV577" s="131"/>
      <c r="BW577" s="131"/>
      <c r="BX577" s="131"/>
      <c r="BY577" s="131"/>
      <c r="BZ577" s="131"/>
      <c r="CA577" s="131"/>
      <c r="CB577" s="131"/>
      <c r="CC577" s="131"/>
      <c r="CD577" s="131"/>
      <c r="CE577" s="131"/>
      <c r="CF577" s="131"/>
      <c r="CG577" s="131"/>
      <c r="CH577" s="131"/>
      <c r="CI577" s="131"/>
      <c r="CJ577" s="131"/>
      <c r="CK577" s="131"/>
      <c r="CL577" s="131"/>
      <c r="CM577" s="131"/>
      <c r="CN577" s="131"/>
      <c r="CO577" s="131"/>
      <c r="CP577" s="131"/>
      <c r="CQ577" s="131"/>
      <c r="CR577" s="131"/>
      <c r="CS577" s="131"/>
      <c r="CT577" s="131"/>
      <c r="CU577" s="131"/>
      <c r="CV577" s="131"/>
      <c r="CW577" s="131"/>
      <c r="CX577" s="131"/>
      <c r="CY577" s="131"/>
      <c r="CZ577" s="131"/>
      <c r="DA577" s="131"/>
      <c r="DB577" s="131"/>
      <c r="DC577" s="131"/>
      <c r="DD577" s="131"/>
      <c r="DE577" s="131"/>
      <c r="DF577" s="131"/>
      <c r="DG577" s="131"/>
      <c r="DH577" s="131"/>
      <c r="DI577" s="131"/>
      <c r="DJ577" s="131"/>
      <c r="DK577" s="131"/>
      <c r="DL577" s="131"/>
      <c r="DM577" s="131"/>
      <c r="DN577" s="131"/>
      <c r="DO577" s="131"/>
      <c r="DP577" s="131"/>
      <c r="DQ577" s="131"/>
      <c r="DR577" s="131"/>
      <c r="DS577" s="131"/>
      <c r="DT577" s="131"/>
      <c r="DU577" s="131"/>
      <c r="DV577" s="131"/>
      <c r="DW577" s="131"/>
      <c r="DX577" s="131"/>
      <c r="DY577" s="131"/>
      <c r="DZ577" s="131"/>
      <c r="EA577" s="131"/>
      <c r="EB577" s="131"/>
      <c r="EC577" s="131"/>
      <c r="ED577" s="131"/>
      <c r="EE577" s="131"/>
      <c r="EF577" s="131"/>
      <c r="EG577" s="131"/>
      <c r="EH577" s="131"/>
      <c r="EI577" s="131"/>
      <c r="EJ577" s="131"/>
      <c r="EK577" s="131"/>
      <c r="EL577" s="131"/>
      <c r="EM577" s="131"/>
      <c r="EN577" s="131"/>
      <c r="EO577" s="131"/>
      <c r="EP577" s="131"/>
      <c r="EQ577" s="131"/>
      <c r="ER577" s="131"/>
      <c r="ES577" s="131"/>
      <c r="ET577" s="131"/>
      <c r="EU577" s="131"/>
      <c r="EV577" s="131"/>
      <c r="EW577" s="131"/>
      <c r="EX577" s="131"/>
      <c r="EY577" s="131"/>
      <c r="EZ577" s="131"/>
      <c r="FA577" s="131"/>
      <c r="FB577" s="131"/>
      <c r="FC577" s="131"/>
      <c r="FD577" s="131"/>
      <c r="FE577" s="131"/>
      <c r="FF577" s="131"/>
      <c r="FG577" s="131"/>
      <c r="FH577" s="131"/>
      <c r="FI577" s="131"/>
      <c r="FJ577" s="131"/>
      <c r="FK577" s="131"/>
      <c r="FL577" s="131"/>
      <c r="FM577" s="131"/>
      <c r="FN577" s="131"/>
      <c r="FO577" s="131"/>
      <c r="FP577" s="131"/>
      <c r="FQ577" s="131"/>
      <c r="FR577" s="131"/>
      <c r="FS577" s="131"/>
      <c r="FT577" s="131"/>
      <c r="FU577" s="131"/>
      <c r="FV577" s="131"/>
      <c r="FW577" s="131"/>
      <c r="FX577" s="131"/>
      <c r="FY577" s="131"/>
      <c r="FZ577" s="131"/>
      <c r="GA577" s="131"/>
      <c r="GB577" s="131"/>
      <c r="GC577" s="131"/>
      <c r="GD577" s="131"/>
      <c r="GE577" s="131"/>
      <c r="GF577" s="131"/>
      <c r="GG577" s="131"/>
      <c r="GH577" s="131"/>
      <c r="GI577" s="131"/>
      <c r="GJ577" s="131"/>
      <c r="GK577" s="131"/>
      <c r="GL577" s="131"/>
      <c r="GM577" s="131"/>
      <c r="GN577" s="131"/>
      <c r="GO577" s="131"/>
      <c r="GP577" s="131"/>
      <c r="GQ577" s="131"/>
      <c r="GR577" s="131"/>
      <c r="GS577" s="131"/>
      <c r="GT577" s="131"/>
      <c r="GU577" s="131"/>
      <c r="GV577" s="131"/>
      <c r="GW577" s="131"/>
      <c r="GX577" s="131"/>
      <c r="GY577" s="131"/>
      <c r="GZ577" s="131"/>
      <c r="HA577" s="131"/>
      <c r="HB577" s="131"/>
      <c r="HC577" s="131"/>
      <c r="HD577" s="131"/>
      <c r="HE577" s="131"/>
      <c r="HF577" s="131"/>
      <c r="HG577" s="131"/>
      <c r="HH577" s="131"/>
      <c r="HI577" s="131"/>
      <c r="HJ577" s="131"/>
      <c r="HK577" s="131"/>
      <c r="HL577" s="131"/>
      <c r="HM577" s="131"/>
      <c r="HN577" s="131"/>
      <c r="HO577" s="131"/>
      <c r="HP577" s="131"/>
      <c r="HQ577" s="131"/>
      <c r="HR577" s="131"/>
      <c r="HS577" s="131"/>
      <c r="HT577" s="131"/>
      <c r="HU577" s="131"/>
      <c r="HV577" s="131"/>
      <c r="HW577" s="131"/>
      <c r="HX577" s="131"/>
      <c r="HY577" s="131"/>
      <c r="HZ577" s="131"/>
      <c r="IA577" s="131"/>
      <c r="IB577" s="131"/>
      <c r="IC577" s="131"/>
      <c r="ID577" s="131"/>
      <c r="IE577" s="131"/>
      <c r="IF577" s="131"/>
      <c r="IG577" s="131"/>
      <c r="IH577" s="131"/>
      <c r="II577" s="131"/>
      <c r="IJ577" s="131"/>
      <c r="IK577" s="131"/>
      <c r="IL577" s="131"/>
      <c r="IM577" s="131"/>
      <c r="IN577" s="131"/>
      <c r="IO577" s="131"/>
      <c r="IP577" s="131"/>
      <c r="IQ577" s="131"/>
      <c r="IR577" s="131"/>
      <c r="IS577" s="131"/>
      <c r="IT577" s="131"/>
      <c r="IU577" s="131"/>
      <c r="IV577" s="131"/>
    </row>
    <row r="578" spans="1:256" s="13" customFormat="1" ht="38.25" customHeight="1">
      <c r="A578" s="21" t="s">
        <v>1</v>
      </c>
      <c r="B578" s="21" t="s">
        <v>34</v>
      </c>
      <c r="C578" s="21" t="s">
        <v>1897</v>
      </c>
      <c r="D578" s="21" t="s">
        <v>1144</v>
      </c>
      <c r="E578" s="21" t="s">
        <v>1145</v>
      </c>
      <c r="F578" s="21"/>
      <c r="G578" s="21" t="s">
        <v>1963</v>
      </c>
      <c r="H578" s="21">
        <v>541310</v>
      </c>
      <c r="I578" s="21" t="s">
        <v>1135</v>
      </c>
      <c r="J578" s="21" t="s">
        <v>1146</v>
      </c>
      <c r="K578" s="21" t="s">
        <v>1147</v>
      </c>
      <c r="L578" s="21" t="s">
        <v>278</v>
      </c>
      <c r="M578" s="22">
        <v>1500</v>
      </c>
      <c r="N578" s="22">
        <v>1000000</v>
      </c>
      <c r="O578" s="21" t="s">
        <v>20</v>
      </c>
      <c r="P578" s="21" t="s">
        <v>278</v>
      </c>
      <c r="Q578" s="21" t="s">
        <v>1148</v>
      </c>
      <c r="R578" s="21" t="s">
        <v>10</v>
      </c>
      <c r="S578" s="74">
        <v>2013</v>
      </c>
      <c r="T578" s="21" t="s">
        <v>2684</v>
      </c>
      <c r="U578" s="21" t="s">
        <v>2685</v>
      </c>
      <c r="V578" s="21" t="s">
        <v>2686</v>
      </c>
      <c r="W578" s="21" t="s">
        <v>66</v>
      </c>
      <c r="X578" s="21" t="s">
        <v>2688</v>
      </c>
      <c r="Y578" s="130"/>
      <c r="Z578" s="267"/>
      <c r="AA578" s="267"/>
      <c r="AB578" s="267"/>
      <c r="AC578" s="130"/>
      <c r="AD578" s="131"/>
      <c r="AE578" s="131"/>
      <c r="AF578" s="131"/>
      <c r="AG578" s="131"/>
      <c r="AH578" s="131"/>
      <c r="AI578" s="131"/>
      <c r="AJ578" s="131"/>
      <c r="AK578" s="131"/>
      <c r="AL578" s="131"/>
      <c r="AM578" s="131"/>
      <c r="AN578" s="131"/>
      <c r="AO578" s="131"/>
      <c r="AP578" s="131"/>
      <c r="AQ578" s="131"/>
      <c r="AR578" s="131"/>
      <c r="AS578" s="131"/>
      <c r="AT578" s="131"/>
      <c r="AU578" s="131"/>
      <c r="AV578" s="131"/>
      <c r="AW578" s="131"/>
      <c r="AX578" s="131"/>
      <c r="AY578" s="131"/>
      <c r="AZ578" s="131"/>
      <c r="BA578" s="131"/>
      <c r="BB578" s="131"/>
      <c r="BC578" s="131"/>
      <c r="BD578" s="131"/>
      <c r="BE578" s="131"/>
      <c r="BF578" s="131"/>
      <c r="BG578" s="131"/>
      <c r="BH578" s="131"/>
      <c r="BI578" s="131"/>
      <c r="BJ578" s="131"/>
      <c r="BK578" s="131"/>
      <c r="BL578" s="131"/>
      <c r="BM578" s="131"/>
      <c r="BN578" s="131"/>
      <c r="BO578" s="131"/>
      <c r="BP578" s="131"/>
      <c r="BQ578" s="131"/>
      <c r="BR578" s="131"/>
      <c r="BS578" s="131"/>
      <c r="BT578" s="131"/>
      <c r="BU578" s="131"/>
      <c r="BV578" s="131"/>
      <c r="BW578" s="131"/>
      <c r="BX578" s="131"/>
      <c r="BY578" s="131"/>
      <c r="BZ578" s="131"/>
      <c r="CA578" s="131"/>
      <c r="CB578" s="131"/>
      <c r="CC578" s="131"/>
      <c r="CD578" s="131"/>
      <c r="CE578" s="131"/>
      <c r="CF578" s="131"/>
      <c r="CG578" s="131"/>
      <c r="CH578" s="131"/>
      <c r="CI578" s="131"/>
      <c r="CJ578" s="131"/>
      <c r="CK578" s="131"/>
      <c r="CL578" s="131"/>
      <c r="CM578" s="131"/>
      <c r="CN578" s="131"/>
      <c r="CO578" s="131"/>
      <c r="CP578" s="131"/>
      <c r="CQ578" s="131"/>
      <c r="CR578" s="131"/>
      <c r="CS578" s="131"/>
      <c r="CT578" s="131"/>
      <c r="CU578" s="131"/>
      <c r="CV578" s="131"/>
      <c r="CW578" s="131"/>
      <c r="CX578" s="131"/>
      <c r="CY578" s="131"/>
      <c r="CZ578" s="131"/>
      <c r="DA578" s="131"/>
      <c r="DB578" s="131"/>
      <c r="DC578" s="131"/>
      <c r="DD578" s="131"/>
      <c r="DE578" s="131"/>
      <c r="DF578" s="131"/>
      <c r="DG578" s="131"/>
      <c r="DH578" s="131"/>
      <c r="DI578" s="131"/>
      <c r="DJ578" s="131"/>
      <c r="DK578" s="131"/>
      <c r="DL578" s="131"/>
      <c r="DM578" s="131"/>
      <c r="DN578" s="131"/>
      <c r="DO578" s="131"/>
      <c r="DP578" s="131"/>
      <c r="DQ578" s="131"/>
      <c r="DR578" s="131"/>
      <c r="DS578" s="131"/>
      <c r="DT578" s="131"/>
      <c r="DU578" s="131"/>
      <c r="DV578" s="131"/>
      <c r="DW578" s="131"/>
      <c r="DX578" s="131"/>
      <c r="DY578" s="131"/>
      <c r="DZ578" s="131"/>
      <c r="EA578" s="131"/>
      <c r="EB578" s="131"/>
      <c r="EC578" s="131"/>
      <c r="ED578" s="131"/>
      <c r="EE578" s="131"/>
      <c r="EF578" s="131"/>
      <c r="EG578" s="131"/>
      <c r="EH578" s="131"/>
      <c r="EI578" s="131"/>
      <c r="EJ578" s="131"/>
      <c r="EK578" s="131"/>
      <c r="EL578" s="131"/>
      <c r="EM578" s="131"/>
      <c r="EN578" s="131"/>
      <c r="EO578" s="131"/>
      <c r="EP578" s="131"/>
      <c r="EQ578" s="131"/>
      <c r="ER578" s="131"/>
      <c r="ES578" s="131"/>
      <c r="ET578" s="131"/>
      <c r="EU578" s="131"/>
      <c r="EV578" s="131"/>
      <c r="EW578" s="131"/>
      <c r="EX578" s="131"/>
      <c r="EY578" s="131"/>
      <c r="EZ578" s="131"/>
      <c r="FA578" s="131"/>
      <c r="FB578" s="131"/>
      <c r="FC578" s="131"/>
      <c r="FD578" s="131"/>
      <c r="FE578" s="131"/>
      <c r="FF578" s="131"/>
      <c r="FG578" s="131"/>
      <c r="FH578" s="131"/>
      <c r="FI578" s="131"/>
      <c r="FJ578" s="131"/>
      <c r="FK578" s="131"/>
      <c r="FL578" s="131"/>
      <c r="FM578" s="131"/>
      <c r="FN578" s="131"/>
      <c r="FO578" s="131"/>
      <c r="FP578" s="131"/>
      <c r="FQ578" s="131"/>
      <c r="FR578" s="131"/>
      <c r="FS578" s="131"/>
      <c r="FT578" s="131"/>
      <c r="FU578" s="131"/>
      <c r="FV578" s="131"/>
      <c r="FW578" s="131"/>
      <c r="FX578" s="131"/>
      <c r="FY578" s="131"/>
      <c r="FZ578" s="131"/>
      <c r="GA578" s="131"/>
      <c r="GB578" s="131"/>
      <c r="GC578" s="131"/>
      <c r="GD578" s="131"/>
      <c r="GE578" s="131"/>
      <c r="GF578" s="131"/>
      <c r="GG578" s="131"/>
      <c r="GH578" s="131"/>
      <c r="GI578" s="131"/>
      <c r="GJ578" s="131"/>
      <c r="GK578" s="131"/>
      <c r="GL578" s="131"/>
      <c r="GM578" s="131"/>
      <c r="GN578" s="131"/>
      <c r="GO578" s="131"/>
      <c r="GP578" s="131"/>
      <c r="GQ578" s="131"/>
      <c r="GR578" s="131"/>
      <c r="GS578" s="131"/>
      <c r="GT578" s="131"/>
      <c r="GU578" s="131"/>
      <c r="GV578" s="131"/>
      <c r="GW578" s="131"/>
      <c r="GX578" s="131"/>
      <c r="GY578" s="131"/>
      <c r="GZ578" s="131"/>
      <c r="HA578" s="131"/>
      <c r="HB578" s="131"/>
      <c r="HC578" s="131"/>
      <c r="HD578" s="131"/>
      <c r="HE578" s="131"/>
      <c r="HF578" s="131"/>
      <c r="HG578" s="131"/>
      <c r="HH578" s="131"/>
      <c r="HI578" s="131"/>
      <c r="HJ578" s="131"/>
      <c r="HK578" s="131"/>
      <c r="HL578" s="131"/>
      <c r="HM578" s="131"/>
      <c r="HN578" s="131"/>
      <c r="HO578" s="131"/>
      <c r="HP578" s="131"/>
      <c r="HQ578" s="131"/>
      <c r="HR578" s="131"/>
      <c r="HS578" s="131"/>
      <c r="HT578" s="131"/>
      <c r="HU578" s="131"/>
      <c r="HV578" s="131"/>
      <c r="HW578" s="131"/>
      <c r="HX578" s="131"/>
      <c r="HY578" s="131"/>
      <c r="HZ578" s="131"/>
      <c r="IA578" s="131"/>
      <c r="IB578" s="131"/>
      <c r="IC578" s="131"/>
      <c r="ID578" s="131"/>
      <c r="IE578" s="131"/>
      <c r="IF578" s="131"/>
      <c r="IG578" s="131"/>
      <c r="IH578" s="131"/>
      <c r="II578" s="131"/>
      <c r="IJ578" s="131"/>
      <c r="IK578" s="131"/>
      <c r="IL578" s="131"/>
      <c r="IM578" s="131"/>
      <c r="IN578" s="131"/>
      <c r="IO578" s="131"/>
      <c r="IP578" s="131"/>
      <c r="IQ578" s="131"/>
      <c r="IR578" s="131"/>
      <c r="IS578" s="131"/>
      <c r="IT578" s="131"/>
      <c r="IU578" s="131"/>
      <c r="IV578" s="131"/>
    </row>
    <row r="579" spans="1:256" s="13" customFormat="1" ht="38.25" customHeight="1">
      <c r="A579" s="21" t="s">
        <v>1</v>
      </c>
      <c r="B579" s="21" t="s">
        <v>34</v>
      </c>
      <c r="C579" s="21"/>
      <c r="D579" s="21" t="s">
        <v>1144</v>
      </c>
      <c r="E579" s="21" t="s">
        <v>1145</v>
      </c>
      <c r="F579" s="21"/>
      <c r="G579" s="21" t="s">
        <v>98</v>
      </c>
      <c r="H579" s="21">
        <v>541310</v>
      </c>
      <c r="I579" s="21" t="s">
        <v>1135</v>
      </c>
      <c r="J579" s="21" t="s">
        <v>1146</v>
      </c>
      <c r="K579" s="21" t="s">
        <v>1147</v>
      </c>
      <c r="L579" s="21" t="s">
        <v>278</v>
      </c>
      <c r="M579" s="22">
        <v>1500</v>
      </c>
      <c r="N579" s="22">
        <v>1000000</v>
      </c>
      <c r="O579" s="21" t="s">
        <v>20</v>
      </c>
      <c r="P579" s="21" t="s">
        <v>278</v>
      </c>
      <c r="Q579" s="21" t="s">
        <v>1148</v>
      </c>
      <c r="R579" s="21" t="s">
        <v>10</v>
      </c>
      <c r="S579" s="74">
        <v>2013</v>
      </c>
      <c r="T579" s="21" t="s">
        <v>2684</v>
      </c>
      <c r="U579" s="21" t="s">
        <v>2685</v>
      </c>
      <c r="V579" s="21" t="s">
        <v>2686</v>
      </c>
      <c r="W579" s="21" t="s">
        <v>66</v>
      </c>
      <c r="X579" s="21" t="s">
        <v>2688</v>
      </c>
      <c r="Y579" s="130"/>
      <c r="Z579" s="267"/>
      <c r="AA579" s="267"/>
      <c r="AB579" s="267"/>
      <c r="AC579" s="130"/>
      <c r="AD579" s="131"/>
      <c r="AE579" s="131"/>
      <c r="AF579" s="131"/>
      <c r="AG579" s="131"/>
      <c r="AH579" s="131"/>
      <c r="AI579" s="131"/>
      <c r="AJ579" s="131"/>
      <c r="AK579" s="131"/>
      <c r="AL579" s="131"/>
      <c r="AM579" s="131"/>
      <c r="AN579" s="131"/>
      <c r="AO579" s="131"/>
      <c r="AP579" s="131"/>
      <c r="AQ579" s="131"/>
      <c r="AR579" s="131"/>
      <c r="AS579" s="131"/>
      <c r="AT579" s="131"/>
      <c r="AU579" s="131"/>
      <c r="AV579" s="131"/>
      <c r="AW579" s="131"/>
      <c r="AX579" s="131"/>
      <c r="AY579" s="131"/>
      <c r="AZ579" s="131"/>
      <c r="BA579" s="131"/>
      <c r="BB579" s="131"/>
      <c r="BC579" s="131"/>
      <c r="BD579" s="131"/>
      <c r="BE579" s="131"/>
      <c r="BF579" s="131"/>
      <c r="BG579" s="131"/>
      <c r="BH579" s="131"/>
      <c r="BI579" s="131"/>
      <c r="BJ579" s="131"/>
      <c r="BK579" s="131"/>
      <c r="BL579" s="131"/>
      <c r="BM579" s="131"/>
      <c r="BN579" s="131"/>
      <c r="BO579" s="131"/>
      <c r="BP579" s="131"/>
      <c r="BQ579" s="131"/>
      <c r="BR579" s="131"/>
      <c r="BS579" s="131"/>
      <c r="BT579" s="131"/>
      <c r="BU579" s="131"/>
      <c r="BV579" s="131"/>
      <c r="BW579" s="131"/>
      <c r="BX579" s="131"/>
      <c r="BY579" s="131"/>
      <c r="BZ579" s="131"/>
      <c r="CA579" s="131"/>
      <c r="CB579" s="131"/>
      <c r="CC579" s="131"/>
      <c r="CD579" s="131"/>
      <c r="CE579" s="131"/>
      <c r="CF579" s="131"/>
      <c r="CG579" s="131"/>
      <c r="CH579" s="131"/>
      <c r="CI579" s="131"/>
      <c r="CJ579" s="131"/>
      <c r="CK579" s="131"/>
      <c r="CL579" s="131"/>
      <c r="CM579" s="131"/>
      <c r="CN579" s="131"/>
      <c r="CO579" s="131"/>
      <c r="CP579" s="131"/>
      <c r="CQ579" s="131"/>
      <c r="CR579" s="131"/>
      <c r="CS579" s="131"/>
      <c r="CT579" s="131"/>
      <c r="CU579" s="131"/>
      <c r="CV579" s="131"/>
      <c r="CW579" s="131"/>
      <c r="CX579" s="131"/>
      <c r="CY579" s="131"/>
      <c r="CZ579" s="131"/>
      <c r="DA579" s="131"/>
      <c r="DB579" s="131"/>
      <c r="DC579" s="131"/>
      <c r="DD579" s="131"/>
      <c r="DE579" s="131"/>
      <c r="DF579" s="131"/>
      <c r="DG579" s="131"/>
      <c r="DH579" s="131"/>
      <c r="DI579" s="131"/>
      <c r="DJ579" s="131"/>
      <c r="DK579" s="131"/>
      <c r="DL579" s="131"/>
      <c r="DM579" s="131"/>
      <c r="DN579" s="131"/>
      <c r="DO579" s="131"/>
      <c r="DP579" s="131"/>
      <c r="DQ579" s="131"/>
      <c r="DR579" s="131"/>
      <c r="DS579" s="131"/>
      <c r="DT579" s="131"/>
      <c r="DU579" s="131"/>
      <c r="DV579" s="131"/>
      <c r="DW579" s="131"/>
      <c r="DX579" s="131"/>
      <c r="DY579" s="131"/>
      <c r="DZ579" s="131"/>
      <c r="EA579" s="131"/>
      <c r="EB579" s="131"/>
      <c r="EC579" s="131"/>
      <c r="ED579" s="131"/>
      <c r="EE579" s="131"/>
      <c r="EF579" s="131"/>
      <c r="EG579" s="131"/>
      <c r="EH579" s="131"/>
      <c r="EI579" s="131"/>
      <c r="EJ579" s="131"/>
      <c r="EK579" s="131"/>
      <c r="EL579" s="131"/>
      <c r="EM579" s="131"/>
      <c r="EN579" s="131"/>
      <c r="EO579" s="131"/>
      <c r="EP579" s="131"/>
      <c r="EQ579" s="131"/>
      <c r="ER579" s="131"/>
      <c r="ES579" s="131"/>
      <c r="ET579" s="131"/>
      <c r="EU579" s="131"/>
      <c r="EV579" s="131"/>
      <c r="EW579" s="131"/>
      <c r="EX579" s="131"/>
      <c r="EY579" s="131"/>
      <c r="EZ579" s="131"/>
      <c r="FA579" s="131"/>
      <c r="FB579" s="131"/>
      <c r="FC579" s="131"/>
      <c r="FD579" s="131"/>
      <c r="FE579" s="131"/>
      <c r="FF579" s="131"/>
      <c r="FG579" s="131"/>
      <c r="FH579" s="131"/>
      <c r="FI579" s="131"/>
      <c r="FJ579" s="131"/>
      <c r="FK579" s="131"/>
      <c r="FL579" s="131"/>
      <c r="FM579" s="131"/>
      <c r="FN579" s="131"/>
      <c r="FO579" s="131"/>
      <c r="FP579" s="131"/>
      <c r="FQ579" s="131"/>
      <c r="FR579" s="131"/>
      <c r="FS579" s="131"/>
      <c r="FT579" s="131"/>
      <c r="FU579" s="131"/>
      <c r="FV579" s="131"/>
      <c r="FW579" s="131"/>
      <c r="FX579" s="131"/>
      <c r="FY579" s="131"/>
      <c r="FZ579" s="131"/>
      <c r="GA579" s="131"/>
      <c r="GB579" s="131"/>
      <c r="GC579" s="131"/>
      <c r="GD579" s="131"/>
      <c r="GE579" s="131"/>
      <c r="GF579" s="131"/>
      <c r="GG579" s="131"/>
      <c r="GH579" s="131"/>
      <c r="GI579" s="131"/>
      <c r="GJ579" s="131"/>
      <c r="GK579" s="131"/>
      <c r="GL579" s="131"/>
      <c r="GM579" s="131"/>
      <c r="GN579" s="131"/>
      <c r="GO579" s="131"/>
      <c r="GP579" s="131"/>
      <c r="GQ579" s="131"/>
      <c r="GR579" s="131"/>
      <c r="GS579" s="131"/>
      <c r="GT579" s="131"/>
      <c r="GU579" s="131"/>
      <c r="GV579" s="131"/>
      <c r="GW579" s="131"/>
      <c r="GX579" s="131"/>
      <c r="GY579" s="131"/>
      <c r="GZ579" s="131"/>
      <c r="HA579" s="131"/>
      <c r="HB579" s="131"/>
      <c r="HC579" s="131"/>
      <c r="HD579" s="131"/>
      <c r="HE579" s="131"/>
      <c r="HF579" s="131"/>
      <c r="HG579" s="131"/>
      <c r="HH579" s="131"/>
      <c r="HI579" s="131"/>
      <c r="HJ579" s="131"/>
      <c r="HK579" s="131"/>
      <c r="HL579" s="131"/>
      <c r="HM579" s="131"/>
      <c r="HN579" s="131"/>
      <c r="HO579" s="131"/>
      <c r="HP579" s="131"/>
      <c r="HQ579" s="131"/>
      <c r="HR579" s="131"/>
      <c r="HS579" s="131"/>
      <c r="HT579" s="131"/>
      <c r="HU579" s="131"/>
      <c r="HV579" s="131"/>
      <c r="HW579" s="131"/>
      <c r="HX579" s="131"/>
      <c r="HY579" s="131"/>
      <c r="HZ579" s="131"/>
      <c r="IA579" s="131"/>
      <c r="IB579" s="131"/>
      <c r="IC579" s="131"/>
      <c r="ID579" s="131"/>
      <c r="IE579" s="131"/>
      <c r="IF579" s="131"/>
      <c r="IG579" s="131"/>
      <c r="IH579" s="131"/>
      <c r="II579" s="131"/>
      <c r="IJ579" s="131"/>
      <c r="IK579" s="131"/>
      <c r="IL579" s="131"/>
      <c r="IM579" s="131"/>
      <c r="IN579" s="131"/>
      <c r="IO579" s="131"/>
      <c r="IP579" s="131"/>
      <c r="IQ579" s="131"/>
      <c r="IR579" s="131"/>
      <c r="IS579" s="131"/>
      <c r="IT579" s="131"/>
      <c r="IU579" s="131"/>
      <c r="IV579" s="131"/>
    </row>
    <row r="580" spans="1:256" s="13" customFormat="1" ht="38.25" customHeight="1">
      <c r="A580" s="21" t="s">
        <v>1</v>
      </c>
      <c r="B580" s="21" t="s">
        <v>34</v>
      </c>
      <c r="C580" s="21"/>
      <c r="D580" s="21" t="s">
        <v>1144</v>
      </c>
      <c r="E580" s="21" t="s">
        <v>1145</v>
      </c>
      <c r="F580" s="21"/>
      <c r="G580" s="21" t="s">
        <v>1962</v>
      </c>
      <c r="H580" s="21">
        <v>541310</v>
      </c>
      <c r="I580" s="21" t="s">
        <v>1135</v>
      </c>
      <c r="J580" s="21" t="s">
        <v>1146</v>
      </c>
      <c r="K580" s="21" t="s">
        <v>1147</v>
      </c>
      <c r="L580" s="21" t="s">
        <v>278</v>
      </c>
      <c r="M580" s="22">
        <v>1500</v>
      </c>
      <c r="N580" s="22">
        <v>1000000</v>
      </c>
      <c r="O580" s="21" t="s">
        <v>20</v>
      </c>
      <c r="P580" s="21" t="s">
        <v>278</v>
      </c>
      <c r="Q580" s="21" t="s">
        <v>1148</v>
      </c>
      <c r="R580" s="21" t="s">
        <v>10</v>
      </c>
      <c r="S580" s="74">
        <v>2013</v>
      </c>
      <c r="T580" s="21" t="s">
        <v>2684</v>
      </c>
      <c r="U580" s="21" t="s">
        <v>2685</v>
      </c>
      <c r="V580" s="21" t="s">
        <v>2686</v>
      </c>
      <c r="W580" s="21" t="s">
        <v>66</v>
      </c>
      <c r="X580" s="21" t="s">
        <v>2688</v>
      </c>
      <c r="Y580" s="130"/>
      <c r="Z580" s="267"/>
      <c r="AA580" s="267"/>
      <c r="AB580" s="267"/>
      <c r="AC580" s="130"/>
      <c r="AD580" s="131"/>
      <c r="AE580" s="131"/>
      <c r="AF580" s="131"/>
      <c r="AG580" s="131"/>
      <c r="AH580" s="131"/>
      <c r="AI580" s="131"/>
      <c r="AJ580" s="131"/>
      <c r="AK580" s="131"/>
      <c r="AL580" s="131"/>
      <c r="AM580" s="131"/>
      <c r="AN580" s="131"/>
      <c r="AO580" s="131"/>
      <c r="AP580" s="131"/>
      <c r="AQ580" s="131"/>
      <c r="AR580" s="131"/>
      <c r="AS580" s="131"/>
      <c r="AT580" s="131"/>
      <c r="AU580" s="131"/>
      <c r="AV580" s="131"/>
      <c r="AW580" s="131"/>
      <c r="AX580" s="131"/>
      <c r="AY580" s="131"/>
      <c r="AZ580" s="131"/>
      <c r="BA580" s="131"/>
      <c r="BB580" s="131"/>
      <c r="BC580" s="131"/>
      <c r="BD580" s="131"/>
      <c r="BE580" s="131"/>
      <c r="BF580" s="131"/>
      <c r="BG580" s="131"/>
      <c r="BH580" s="131"/>
      <c r="BI580" s="131"/>
      <c r="BJ580" s="131"/>
      <c r="BK580" s="131"/>
      <c r="BL580" s="131"/>
      <c r="BM580" s="131"/>
      <c r="BN580" s="131"/>
      <c r="BO580" s="131"/>
      <c r="BP580" s="131"/>
      <c r="BQ580" s="131"/>
      <c r="BR580" s="131"/>
      <c r="BS580" s="131"/>
      <c r="BT580" s="131"/>
      <c r="BU580" s="131"/>
      <c r="BV580" s="131"/>
      <c r="BW580" s="131"/>
      <c r="BX580" s="131"/>
      <c r="BY580" s="131"/>
      <c r="BZ580" s="131"/>
      <c r="CA580" s="131"/>
      <c r="CB580" s="131"/>
      <c r="CC580" s="131"/>
      <c r="CD580" s="131"/>
      <c r="CE580" s="131"/>
      <c r="CF580" s="131"/>
      <c r="CG580" s="131"/>
      <c r="CH580" s="131"/>
      <c r="CI580" s="131"/>
      <c r="CJ580" s="131"/>
      <c r="CK580" s="131"/>
      <c r="CL580" s="131"/>
      <c r="CM580" s="131"/>
      <c r="CN580" s="131"/>
      <c r="CO580" s="131"/>
      <c r="CP580" s="131"/>
      <c r="CQ580" s="131"/>
      <c r="CR580" s="131"/>
      <c r="CS580" s="131"/>
      <c r="CT580" s="131"/>
      <c r="CU580" s="131"/>
      <c r="CV580" s="131"/>
      <c r="CW580" s="131"/>
      <c r="CX580" s="131"/>
      <c r="CY580" s="131"/>
      <c r="CZ580" s="131"/>
      <c r="DA580" s="131"/>
      <c r="DB580" s="131"/>
      <c r="DC580" s="131"/>
      <c r="DD580" s="131"/>
      <c r="DE580" s="131"/>
      <c r="DF580" s="131"/>
      <c r="DG580" s="131"/>
      <c r="DH580" s="131"/>
      <c r="DI580" s="131"/>
      <c r="DJ580" s="131"/>
      <c r="DK580" s="131"/>
      <c r="DL580" s="131"/>
      <c r="DM580" s="131"/>
      <c r="DN580" s="131"/>
      <c r="DO580" s="131"/>
      <c r="DP580" s="131"/>
      <c r="DQ580" s="131"/>
      <c r="DR580" s="131"/>
      <c r="DS580" s="131"/>
      <c r="DT580" s="131"/>
      <c r="DU580" s="131"/>
      <c r="DV580" s="131"/>
      <c r="DW580" s="131"/>
      <c r="DX580" s="131"/>
      <c r="DY580" s="131"/>
      <c r="DZ580" s="131"/>
      <c r="EA580" s="131"/>
      <c r="EB580" s="131"/>
      <c r="EC580" s="131"/>
      <c r="ED580" s="131"/>
      <c r="EE580" s="131"/>
      <c r="EF580" s="131"/>
      <c r="EG580" s="131"/>
      <c r="EH580" s="131"/>
      <c r="EI580" s="131"/>
      <c r="EJ580" s="131"/>
      <c r="EK580" s="131"/>
      <c r="EL580" s="131"/>
      <c r="EM580" s="131"/>
      <c r="EN580" s="131"/>
      <c r="EO580" s="131"/>
      <c r="EP580" s="131"/>
      <c r="EQ580" s="131"/>
      <c r="ER580" s="131"/>
      <c r="ES580" s="131"/>
      <c r="ET580" s="131"/>
      <c r="EU580" s="131"/>
      <c r="EV580" s="131"/>
      <c r="EW580" s="131"/>
      <c r="EX580" s="131"/>
      <c r="EY580" s="131"/>
      <c r="EZ580" s="131"/>
      <c r="FA580" s="131"/>
      <c r="FB580" s="131"/>
      <c r="FC580" s="131"/>
      <c r="FD580" s="131"/>
      <c r="FE580" s="131"/>
      <c r="FF580" s="131"/>
      <c r="FG580" s="131"/>
      <c r="FH580" s="131"/>
      <c r="FI580" s="131"/>
      <c r="FJ580" s="131"/>
      <c r="FK580" s="131"/>
      <c r="FL580" s="131"/>
      <c r="FM580" s="131"/>
      <c r="FN580" s="131"/>
      <c r="FO580" s="131"/>
      <c r="FP580" s="131"/>
      <c r="FQ580" s="131"/>
      <c r="FR580" s="131"/>
      <c r="FS580" s="131"/>
      <c r="FT580" s="131"/>
      <c r="FU580" s="131"/>
      <c r="FV580" s="131"/>
      <c r="FW580" s="131"/>
      <c r="FX580" s="131"/>
      <c r="FY580" s="131"/>
      <c r="FZ580" s="131"/>
      <c r="GA580" s="131"/>
      <c r="GB580" s="131"/>
      <c r="GC580" s="131"/>
      <c r="GD580" s="131"/>
      <c r="GE580" s="131"/>
      <c r="GF580" s="131"/>
      <c r="GG580" s="131"/>
      <c r="GH580" s="131"/>
      <c r="GI580" s="131"/>
      <c r="GJ580" s="131"/>
      <c r="GK580" s="131"/>
      <c r="GL580" s="131"/>
      <c r="GM580" s="131"/>
      <c r="GN580" s="131"/>
      <c r="GO580" s="131"/>
      <c r="GP580" s="131"/>
      <c r="GQ580" s="131"/>
      <c r="GR580" s="131"/>
      <c r="GS580" s="131"/>
      <c r="GT580" s="131"/>
      <c r="GU580" s="131"/>
      <c r="GV580" s="131"/>
      <c r="GW580" s="131"/>
      <c r="GX580" s="131"/>
      <c r="GY580" s="131"/>
      <c r="GZ580" s="131"/>
      <c r="HA580" s="131"/>
      <c r="HB580" s="131"/>
      <c r="HC580" s="131"/>
      <c r="HD580" s="131"/>
      <c r="HE580" s="131"/>
      <c r="HF580" s="131"/>
      <c r="HG580" s="131"/>
      <c r="HH580" s="131"/>
      <c r="HI580" s="131"/>
      <c r="HJ580" s="131"/>
      <c r="HK580" s="131"/>
      <c r="HL580" s="131"/>
      <c r="HM580" s="131"/>
      <c r="HN580" s="131"/>
      <c r="HO580" s="131"/>
      <c r="HP580" s="131"/>
      <c r="HQ580" s="131"/>
      <c r="HR580" s="131"/>
      <c r="HS580" s="131"/>
      <c r="HT580" s="131"/>
      <c r="HU580" s="131"/>
      <c r="HV580" s="131"/>
      <c r="HW580" s="131"/>
      <c r="HX580" s="131"/>
      <c r="HY580" s="131"/>
      <c r="HZ580" s="131"/>
      <c r="IA580" s="131"/>
      <c r="IB580" s="131"/>
      <c r="IC580" s="131"/>
      <c r="ID580" s="131"/>
      <c r="IE580" s="131"/>
      <c r="IF580" s="131"/>
      <c r="IG580" s="131"/>
      <c r="IH580" s="131"/>
      <c r="II580" s="131"/>
      <c r="IJ580" s="131"/>
      <c r="IK580" s="131"/>
      <c r="IL580" s="131"/>
      <c r="IM580" s="131"/>
      <c r="IN580" s="131"/>
      <c r="IO580" s="131"/>
      <c r="IP580" s="131"/>
      <c r="IQ580" s="131"/>
      <c r="IR580" s="131"/>
      <c r="IS580" s="131"/>
      <c r="IT580" s="131"/>
      <c r="IU580" s="131"/>
      <c r="IV580" s="131"/>
    </row>
    <row r="581" spans="1:256" s="13" customFormat="1" ht="38.25" customHeight="1">
      <c r="A581" s="21" t="s">
        <v>1</v>
      </c>
      <c r="B581" s="21" t="s">
        <v>34</v>
      </c>
      <c r="C581" s="21" t="s">
        <v>1149</v>
      </c>
      <c r="D581" s="21" t="s">
        <v>1150</v>
      </c>
      <c r="E581" s="21" t="s">
        <v>138</v>
      </c>
      <c r="F581" s="21"/>
      <c r="G581" s="21" t="s">
        <v>1964</v>
      </c>
      <c r="H581" s="21">
        <v>236220</v>
      </c>
      <c r="I581" s="21"/>
      <c r="J581" s="21" t="s">
        <v>109</v>
      </c>
      <c r="K581" s="21" t="s">
        <v>1151</v>
      </c>
      <c r="L581" s="21" t="s">
        <v>1978</v>
      </c>
      <c r="M581" s="22">
        <v>10000000</v>
      </c>
      <c r="N581" s="22">
        <v>20000000</v>
      </c>
      <c r="O581" s="21" t="s">
        <v>20</v>
      </c>
      <c r="P581" s="21" t="s">
        <v>278</v>
      </c>
      <c r="Q581" s="21" t="s">
        <v>1138</v>
      </c>
      <c r="R581" s="249" t="s">
        <v>21</v>
      </c>
      <c r="S581" s="74">
        <v>2013</v>
      </c>
      <c r="T581" s="21" t="s">
        <v>1153</v>
      </c>
      <c r="U581" s="21" t="s">
        <v>1154</v>
      </c>
      <c r="V581" s="21" t="s">
        <v>1155</v>
      </c>
      <c r="W581" s="21" t="s">
        <v>66</v>
      </c>
      <c r="X581" s="21" t="s">
        <v>1984</v>
      </c>
      <c r="Y581" s="130"/>
      <c r="Z581" s="130"/>
      <c r="AA581" s="130"/>
      <c r="AB581" s="130"/>
      <c r="AC581" s="130"/>
      <c r="AD581" s="131"/>
      <c r="AE581" s="131"/>
      <c r="AF581" s="131"/>
      <c r="AG581" s="131"/>
      <c r="AH581" s="131"/>
      <c r="AI581" s="131"/>
      <c r="AJ581" s="131"/>
      <c r="AK581" s="131"/>
      <c r="AL581" s="131"/>
      <c r="AM581" s="131"/>
      <c r="AN581" s="131"/>
      <c r="AO581" s="131"/>
      <c r="AP581" s="131"/>
      <c r="AQ581" s="131"/>
      <c r="AR581" s="131"/>
      <c r="AS581" s="131"/>
      <c r="AT581" s="131"/>
      <c r="AU581" s="131"/>
      <c r="AV581" s="131"/>
      <c r="AW581" s="131"/>
      <c r="AX581" s="131"/>
      <c r="AY581" s="131"/>
      <c r="AZ581" s="131"/>
      <c r="BA581" s="131"/>
      <c r="BB581" s="131"/>
      <c r="BC581" s="131"/>
      <c r="BD581" s="131"/>
      <c r="BE581" s="131"/>
      <c r="BF581" s="131"/>
      <c r="BG581" s="131"/>
      <c r="BH581" s="131"/>
      <c r="BI581" s="131"/>
      <c r="BJ581" s="131"/>
      <c r="BK581" s="131"/>
      <c r="BL581" s="131"/>
      <c r="BM581" s="131"/>
      <c r="BN581" s="131"/>
      <c r="BO581" s="131"/>
      <c r="BP581" s="131"/>
      <c r="BQ581" s="131"/>
      <c r="BR581" s="131"/>
      <c r="BS581" s="131"/>
      <c r="BT581" s="131"/>
      <c r="BU581" s="131"/>
      <c r="BV581" s="131"/>
      <c r="BW581" s="131"/>
      <c r="BX581" s="131"/>
      <c r="BY581" s="131"/>
      <c r="BZ581" s="131"/>
      <c r="CA581" s="131"/>
      <c r="CB581" s="131"/>
      <c r="CC581" s="131"/>
      <c r="CD581" s="131"/>
      <c r="CE581" s="131"/>
      <c r="CF581" s="131"/>
      <c r="CG581" s="131"/>
      <c r="CH581" s="131"/>
      <c r="CI581" s="131"/>
      <c r="CJ581" s="131"/>
      <c r="CK581" s="131"/>
      <c r="CL581" s="131"/>
      <c r="CM581" s="131"/>
      <c r="CN581" s="131"/>
      <c r="CO581" s="131"/>
      <c r="CP581" s="131"/>
      <c r="CQ581" s="131"/>
      <c r="CR581" s="131"/>
      <c r="CS581" s="131"/>
      <c r="CT581" s="131"/>
      <c r="CU581" s="131"/>
      <c r="CV581" s="131"/>
      <c r="CW581" s="131"/>
      <c r="CX581" s="131"/>
      <c r="CY581" s="131"/>
      <c r="CZ581" s="131"/>
      <c r="DA581" s="131"/>
      <c r="DB581" s="131"/>
      <c r="DC581" s="131"/>
      <c r="DD581" s="131"/>
      <c r="DE581" s="131"/>
      <c r="DF581" s="131"/>
      <c r="DG581" s="131"/>
      <c r="DH581" s="131"/>
      <c r="DI581" s="131"/>
      <c r="DJ581" s="131"/>
      <c r="DK581" s="131"/>
      <c r="DL581" s="131"/>
      <c r="DM581" s="131"/>
      <c r="DN581" s="131"/>
      <c r="DO581" s="131"/>
      <c r="DP581" s="131"/>
      <c r="DQ581" s="131"/>
      <c r="DR581" s="131"/>
      <c r="DS581" s="131"/>
      <c r="DT581" s="131"/>
      <c r="DU581" s="131"/>
      <c r="DV581" s="131"/>
      <c r="DW581" s="131"/>
      <c r="DX581" s="131"/>
      <c r="DY581" s="131"/>
      <c r="DZ581" s="131"/>
      <c r="EA581" s="131"/>
      <c r="EB581" s="131"/>
      <c r="EC581" s="131"/>
      <c r="ED581" s="131"/>
      <c r="EE581" s="131"/>
      <c r="EF581" s="131"/>
      <c r="EG581" s="131"/>
      <c r="EH581" s="131"/>
      <c r="EI581" s="131"/>
      <c r="EJ581" s="131"/>
      <c r="EK581" s="131"/>
      <c r="EL581" s="131"/>
      <c r="EM581" s="131"/>
      <c r="EN581" s="131"/>
      <c r="EO581" s="131"/>
      <c r="EP581" s="131"/>
      <c r="EQ581" s="131"/>
      <c r="ER581" s="131"/>
      <c r="ES581" s="131"/>
      <c r="ET581" s="131"/>
      <c r="EU581" s="131"/>
      <c r="EV581" s="131"/>
      <c r="EW581" s="131"/>
      <c r="EX581" s="131"/>
      <c r="EY581" s="131"/>
      <c r="EZ581" s="131"/>
      <c r="FA581" s="131"/>
      <c r="FB581" s="131"/>
      <c r="FC581" s="131"/>
      <c r="FD581" s="131"/>
      <c r="FE581" s="131"/>
      <c r="FF581" s="131"/>
      <c r="FG581" s="131"/>
      <c r="FH581" s="131"/>
      <c r="FI581" s="131"/>
      <c r="FJ581" s="131"/>
      <c r="FK581" s="131"/>
      <c r="FL581" s="131"/>
      <c r="FM581" s="131"/>
      <c r="FN581" s="131"/>
      <c r="FO581" s="131"/>
      <c r="FP581" s="131"/>
      <c r="FQ581" s="131"/>
      <c r="FR581" s="131"/>
      <c r="FS581" s="131"/>
      <c r="FT581" s="131"/>
      <c r="FU581" s="131"/>
      <c r="FV581" s="131"/>
      <c r="FW581" s="131"/>
      <c r="FX581" s="131"/>
      <c r="FY581" s="131"/>
      <c r="FZ581" s="131"/>
      <c r="GA581" s="131"/>
      <c r="GB581" s="131"/>
      <c r="GC581" s="131"/>
      <c r="GD581" s="131"/>
      <c r="GE581" s="131"/>
      <c r="GF581" s="131"/>
      <c r="GG581" s="131"/>
      <c r="GH581" s="131"/>
      <c r="GI581" s="131"/>
      <c r="GJ581" s="131"/>
      <c r="GK581" s="131"/>
      <c r="GL581" s="131"/>
      <c r="GM581" s="131"/>
      <c r="GN581" s="131"/>
      <c r="GO581" s="131"/>
      <c r="GP581" s="131"/>
      <c r="GQ581" s="131"/>
      <c r="GR581" s="131"/>
      <c r="GS581" s="131"/>
      <c r="GT581" s="131"/>
      <c r="GU581" s="131"/>
      <c r="GV581" s="131"/>
      <c r="GW581" s="131"/>
      <c r="GX581" s="131"/>
      <c r="GY581" s="131"/>
      <c r="GZ581" s="131"/>
      <c r="HA581" s="131"/>
      <c r="HB581" s="131"/>
      <c r="HC581" s="131"/>
      <c r="HD581" s="131"/>
      <c r="HE581" s="131"/>
      <c r="HF581" s="131"/>
      <c r="HG581" s="131"/>
      <c r="HH581" s="131"/>
      <c r="HI581" s="131"/>
      <c r="HJ581" s="131"/>
      <c r="HK581" s="131"/>
      <c r="HL581" s="131"/>
      <c r="HM581" s="131"/>
      <c r="HN581" s="131"/>
      <c r="HO581" s="131"/>
      <c r="HP581" s="131"/>
      <c r="HQ581" s="131"/>
      <c r="HR581" s="131"/>
      <c r="HS581" s="131"/>
      <c r="HT581" s="131"/>
      <c r="HU581" s="131"/>
      <c r="HV581" s="131"/>
      <c r="HW581" s="131"/>
      <c r="HX581" s="131"/>
      <c r="HY581" s="131"/>
      <c r="HZ581" s="131"/>
      <c r="IA581" s="131"/>
      <c r="IB581" s="131"/>
      <c r="IC581" s="131"/>
      <c r="ID581" s="131"/>
      <c r="IE581" s="131"/>
      <c r="IF581" s="131"/>
      <c r="IG581" s="131"/>
      <c r="IH581" s="131"/>
      <c r="II581" s="131"/>
      <c r="IJ581" s="131"/>
      <c r="IK581" s="131"/>
      <c r="IL581" s="131"/>
      <c r="IM581" s="131"/>
      <c r="IN581" s="131"/>
      <c r="IO581" s="131"/>
      <c r="IP581" s="131"/>
      <c r="IQ581" s="131"/>
      <c r="IR581" s="131"/>
      <c r="IS581" s="131"/>
      <c r="IT581" s="131"/>
      <c r="IU581" s="131"/>
      <c r="IV581" s="131"/>
    </row>
    <row r="582" spans="1:256" s="13" customFormat="1" ht="38.25" customHeight="1">
      <c r="A582" s="21" t="s">
        <v>1</v>
      </c>
      <c r="B582" s="21" t="s">
        <v>34</v>
      </c>
      <c r="C582" s="21" t="s">
        <v>1897</v>
      </c>
      <c r="D582" s="21" t="s">
        <v>1156</v>
      </c>
      <c r="E582" s="21" t="s">
        <v>1157</v>
      </c>
      <c r="F582" s="21"/>
      <c r="G582" s="21" t="s">
        <v>103</v>
      </c>
      <c r="H582" s="21">
        <v>541220</v>
      </c>
      <c r="I582" s="21" t="s">
        <v>1135</v>
      </c>
      <c r="J582" s="21" t="s">
        <v>109</v>
      </c>
      <c r="K582" s="21" t="s">
        <v>1135</v>
      </c>
      <c r="L582" s="21" t="s">
        <v>278</v>
      </c>
      <c r="M582" s="22">
        <v>1500</v>
      </c>
      <c r="N582" s="22">
        <v>2000000</v>
      </c>
      <c r="O582" s="21" t="s">
        <v>20</v>
      </c>
      <c r="P582" s="21" t="s">
        <v>278</v>
      </c>
      <c r="Q582" s="21" t="s">
        <v>1138</v>
      </c>
      <c r="R582" s="21" t="s">
        <v>704</v>
      </c>
      <c r="S582" s="74">
        <v>2013</v>
      </c>
      <c r="T582" s="21" t="s">
        <v>1158</v>
      </c>
      <c r="U582" s="21" t="s">
        <v>1159</v>
      </c>
      <c r="V582" s="21" t="s">
        <v>1160</v>
      </c>
      <c r="W582" s="21" t="s">
        <v>66</v>
      </c>
      <c r="X582" s="21" t="s">
        <v>2689</v>
      </c>
      <c r="Y582" s="130"/>
      <c r="Z582" s="267"/>
      <c r="AA582" s="130"/>
      <c r="AB582" s="130"/>
      <c r="AC582" s="130"/>
      <c r="AD582" s="131"/>
      <c r="AE582" s="131"/>
      <c r="AF582" s="131"/>
      <c r="AG582" s="131"/>
      <c r="AH582" s="131"/>
      <c r="AI582" s="131"/>
      <c r="AJ582" s="131"/>
      <c r="AK582" s="131"/>
      <c r="AL582" s="131"/>
      <c r="AM582" s="131"/>
      <c r="AN582" s="131"/>
      <c r="AO582" s="131"/>
      <c r="AP582" s="131"/>
      <c r="AQ582" s="131"/>
      <c r="AR582" s="131"/>
      <c r="AS582" s="131"/>
      <c r="AT582" s="131"/>
      <c r="AU582" s="131"/>
      <c r="AV582" s="131"/>
      <c r="AW582" s="131"/>
      <c r="AX582" s="131"/>
      <c r="AY582" s="131"/>
      <c r="AZ582" s="131"/>
      <c r="BA582" s="131"/>
      <c r="BB582" s="131"/>
      <c r="BC582" s="131"/>
      <c r="BD582" s="131"/>
      <c r="BE582" s="131"/>
      <c r="BF582" s="131"/>
      <c r="BG582" s="131"/>
      <c r="BH582" s="131"/>
      <c r="BI582" s="131"/>
      <c r="BJ582" s="131"/>
      <c r="BK582" s="131"/>
      <c r="BL582" s="131"/>
      <c r="BM582" s="131"/>
      <c r="BN582" s="131"/>
      <c r="BO582" s="131"/>
      <c r="BP582" s="131"/>
      <c r="BQ582" s="131"/>
      <c r="BR582" s="131"/>
      <c r="BS582" s="131"/>
      <c r="BT582" s="131"/>
      <c r="BU582" s="131"/>
      <c r="BV582" s="131"/>
      <c r="BW582" s="131"/>
      <c r="BX582" s="131"/>
      <c r="BY582" s="131"/>
      <c r="BZ582" s="131"/>
      <c r="CA582" s="131"/>
      <c r="CB582" s="131"/>
      <c r="CC582" s="131"/>
      <c r="CD582" s="131"/>
      <c r="CE582" s="131"/>
      <c r="CF582" s="131"/>
      <c r="CG582" s="131"/>
      <c r="CH582" s="131"/>
      <c r="CI582" s="131"/>
      <c r="CJ582" s="131"/>
      <c r="CK582" s="131"/>
      <c r="CL582" s="131"/>
      <c r="CM582" s="131"/>
      <c r="CN582" s="131"/>
      <c r="CO582" s="131"/>
      <c r="CP582" s="131"/>
      <c r="CQ582" s="131"/>
      <c r="CR582" s="131"/>
      <c r="CS582" s="131"/>
      <c r="CT582" s="131"/>
      <c r="CU582" s="131"/>
      <c r="CV582" s="131"/>
      <c r="CW582" s="131"/>
      <c r="CX582" s="131"/>
      <c r="CY582" s="131"/>
      <c r="CZ582" s="131"/>
      <c r="DA582" s="131"/>
      <c r="DB582" s="131"/>
      <c r="DC582" s="131"/>
      <c r="DD582" s="131"/>
      <c r="DE582" s="131"/>
      <c r="DF582" s="131"/>
      <c r="DG582" s="131"/>
      <c r="DH582" s="131"/>
      <c r="DI582" s="131"/>
      <c r="DJ582" s="131"/>
      <c r="DK582" s="131"/>
      <c r="DL582" s="131"/>
      <c r="DM582" s="131"/>
      <c r="DN582" s="131"/>
      <c r="DO582" s="131"/>
      <c r="DP582" s="131"/>
      <c r="DQ582" s="131"/>
      <c r="DR582" s="131"/>
      <c r="DS582" s="131"/>
      <c r="DT582" s="131"/>
      <c r="DU582" s="131"/>
      <c r="DV582" s="131"/>
      <c r="DW582" s="131"/>
      <c r="DX582" s="131"/>
      <c r="DY582" s="131"/>
      <c r="DZ582" s="131"/>
      <c r="EA582" s="131"/>
      <c r="EB582" s="131"/>
      <c r="EC582" s="131"/>
      <c r="ED582" s="131"/>
      <c r="EE582" s="131"/>
      <c r="EF582" s="131"/>
      <c r="EG582" s="131"/>
      <c r="EH582" s="131"/>
      <c r="EI582" s="131"/>
      <c r="EJ582" s="131"/>
      <c r="EK582" s="131"/>
      <c r="EL582" s="131"/>
      <c r="EM582" s="131"/>
      <c r="EN582" s="131"/>
      <c r="EO582" s="131"/>
      <c r="EP582" s="131"/>
      <c r="EQ582" s="131"/>
      <c r="ER582" s="131"/>
      <c r="ES582" s="131"/>
      <c r="ET582" s="131"/>
      <c r="EU582" s="131"/>
      <c r="EV582" s="131"/>
      <c r="EW582" s="131"/>
      <c r="EX582" s="131"/>
      <c r="EY582" s="131"/>
      <c r="EZ582" s="131"/>
      <c r="FA582" s="131"/>
      <c r="FB582" s="131"/>
      <c r="FC582" s="131"/>
      <c r="FD582" s="131"/>
      <c r="FE582" s="131"/>
      <c r="FF582" s="131"/>
      <c r="FG582" s="131"/>
      <c r="FH582" s="131"/>
      <c r="FI582" s="131"/>
      <c r="FJ582" s="131"/>
      <c r="FK582" s="131"/>
      <c r="FL582" s="131"/>
      <c r="FM582" s="131"/>
      <c r="FN582" s="131"/>
      <c r="FO582" s="131"/>
      <c r="FP582" s="131"/>
      <c r="FQ582" s="131"/>
      <c r="FR582" s="131"/>
      <c r="FS582" s="131"/>
      <c r="FT582" s="131"/>
      <c r="FU582" s="131"/>
      <c r="FV582" s="131"/>
      <c r="FW582" s="131"/>
      <c r="FX582" s="131"/>
      <c r="FY582" s="131"/>
      <c r="FZ582" s="131"/>
      <c r="GA582" s="131"/>
      <c r="GB582" s="131"/>
      <c r="GC582" s="131"/>
      <c r="GD582" s="131"/>
      <c r="GE582" s="131"/>
      <c r="GF582" s="131"/>
      <c r="GG582" s="131"/>
      <c r="GH582" s="131"/>
      <c r="GI582" s="131"/>
      <c r="GJ582" s="131"/>
      <c r="GK582" s="131"/>
      <c r="GL582" s="131"/>
      <c r="GM582" s="131"/>
      <c r="GN582" s="131"/>
      <c r="GO582" s="131"/>
      <c r="GP582" s="131"/>
      <c r="GQ582" s="131"/>
      <c r="GR582" s="131"/>
      <c r="GS582" s="131"/>
      <c r="GT582" s="131"/>
      <c r="GU582" s="131"/>
      <c r="GV582" s="131"/>
      <c r="GW582" s="131"/>
      <c r="GX582" s="131"/>
      <c r="GY582" s="131"/>
      <c r="GZ582" s="131"/>
      <c r="HA582" s="131"/>
      <c r="HB582" s="131"/>
      <c r="HC582" s="131"/>
      <c r="HD582" s="131"/>
      <c r="HE582" s="131"/>
      <c r="HF582" s="131"/>
      <c r="HG582" s="131"/>
      <c r="HH582" s="131"/>
      <c r="HI582" s="131"/>
      <c r="HJ582" s="131"/>
      <c r="HK582" s="131"/>
      <c r="HL582" s="131"/>
      <c r="HM582" s="131"/>
      <c r="HN582" s="131"/>
      <c r="HO582" s="131"/>
      <c r="HP582" s="131"/>
      <c r="HQ582" s="131"/>
      <c r="HR582" s="131"/>
      <c r="HS582" s="131"/>
      <c r="HT582" s="131"/>
      <c r="HU582" s="131"/>
      <c r="HV582" s="131"/>
      <c r="HW582" s="131"/>
      <c r="HX582" s="131"/>
      <c r="HY582" s="131"/>
      <c r="HZ582" s="131"/>
      <c r="IA582" s="131"/>
      <c r="IB582" s="131"/>
      <c r="IC582" s="131"/>
      <c r="ID582" s="131"/>
      <c r="IE582" s="131"/>
      <c r="IF582" s="131"/>
      <c r="IG582" s="131"/>
      <c r="IH582" s="131"/>
      <c r="II582" s="131"/>
      <c r="IJ582" s="131"/>
      <c r="IK582" s="131"/>
      <c r="IL582" s="131"/>
      <c r="IM582" s="131"/>
      <c r="IN582" s="131"/>
      <c r="IO582" s="131"/>
      <c r="IP582" s="131"/>
      <c r="IQ582" s="131"/>
      <c r="IR582" s="131"/>
      <c r="IS582" s="131"/>
      <c r="IT582" s="131"/>
      <c r="IU582" s="131"/>
      <c r="IV582" s="131"/>
    </row>
    <row r="583" spans="1:256" s="13" customFormat="1" ht="38.25" customHeight="1">
      <c r="A583" s="21" t="s">
        <v>1</v>
      </c>
      <c r="B583" s="21" t="s">
        <v>34</v>
      </c>
      <c r="C583" s="21" t="s">
        <v>1161</v>
      </c>
      <c r="D583" s="21" t="s">
        <v>1162</v>
      </c>
      <c r="E583" s="21" t="s">
        <v>1145</v>
      </c>
      <c r="F583" s="21" t="s">
        <v>2690</v>
      </c>
      <c r="G583" s="21" t="s">
        <v>5</v>
      </c>
      <c r="H583" s="21">
        <v>541310</v>
      </c>
      <c r="I583" s="21" t="s">
        <v>1135</v>
      </c>
      <c r="J583" s="21" t="s">
        <v>109</v>
      </c>
      <c r="K583" s="21" t="s">
        <v>1135</v>
      </c>
      <c r="L583" s="21"/>
      <c r="M583" s="22">
        <v>2000000</v>
      </c>
      <c r="N583" s="22">
        <v>5000000</v>
      </c>
      <c r="O583" s="21" t="s">
        <v>20</v>
      </c>
      <c r="P583" s="21" t="s">
        <v>278</v>
      </c>
      <c r="Q583" s="21" t="s">
        <v>279</v>
      </c>
      <c r="R583" s="21" t="s">
        <v>41</v>
      </c>
      <c r="S583" s="74">
        <v>2013</v>
      </c>
      <c r="T583" s="21" t="s">
        <v>1163</v>
      </c>
      <c r="U583" s="21" t="s">
        <v>1164</v>
      </c>
      <c r="V583" s="21" t="s">
        <v>1165</v>
      </c>
      <c r="W583" s="21" t="s">
        <v>66</v>
      </c>
      <c r="X583" s="21" t="s">
        <v>1152</v>
      </c>
      <c r="Y583" s="130"/>
      <c r="Z583" s="130"/>
      <c r="AA583" s="130"/>
      <c r="AB583" s="130"/>
      <c r="AC583" s="130"/>
      <c r="AD583" s="131"/>
      <c r="AE583" s="131"/>
      <c r="AF583" s="131"/>
      <c r="AG583" s="131"/>
      <c r="AH583" s="131"/>
      <c r="AI583" s="131"/>
      <c r="AJ583" s="131"/>
      <c r="AK583" s="131"/>
      <c r="AL583" s="131"/>
      <c r="AM583" s="131"/>
      <c r="AN583" s="131"/>
      <c r="AO583" s="131"/>
      <c r="AP583" s="131"/>
      <c r="AQ583" s="131"/>
      <c r="AR583" s="131"/>
      <c r="AS583" s="131"/>
      <c r="AT583" s="131"/>
      <c r="AU583" s="131"/>
      <c r="AV583" s="131"/>
      <c r="AW583" s="131"/>
      <c r="AX583" s="131"/>
      <c r="AY583" s="131"/>
      <c r="AZ583" s="131"/>
      <c r="BA583" s="131"/>
      <c r="BB583" s="131"/>
      <c r="BC583" s="131"/>
      <c r="BD583" s="131"/>
      <c r="BE583" s="131"/>
      <c r="BF583" s="131"/>
      <c r="BG583" s="131"/>
      <c r="BH583" s="131"/>
      <c r="BI583" s="131"/>
      <c r="BJ583" s="131"/>
      <c r="BK583" s="131"/>
      <c r="BL583" s="131"/>
      <c r="BM583" s="131"/>
      <c r="BN583" s="131"/>
      <c r="BO583" s="131"/>
      <c r="BP583" s="131"/>
      <c r="BQ583" s="131"/>
      <c r="BR583" s="131"/>
      <c r="BS583" s="131"/>
      <c r="BT583" s="131"/>
      <c r="BU583" s="131"/>
      <c r="BV583" s="131"/>
      <c r="BW583" s="131"/>
      <c r="BX583" s="131"/>
      <c r="BY583" s="131"/>
      <c r="BZ583" s="131"/>
      <c r="CA583" s="131"/>
      <c r="CB583" s="131"/>
      <c r="CC583" s="131"/>
      <c r="CD583" s="131"/>
      <c r="CE583" s="131"/>
      <c r="CF583" s="131"/>
      <c r="CG583" s="131"/>
      <c r="CH583" s="131"/>
      <c r="CI583" s="131"/>
      <c r="CJ583" s="131"/>
      <c r="CK583" s="131"/>
      <c r="CL583" s="131"/>
      <c r="CM583" s="131"/>
      <c r="CN583" s="131"/>
      <c r="CO583" s="131"/>
      <c r="CP583" s="131"/>
      <c r="CQ583" s="131"/>
      <c r="CR583" s="131"/>
      <c r="CS583" s="131"/>
      <c r="CT583" s="131"/>
      <c r="CU583" s="131"/>
      <c r="CV583" s="131"/>
      <c r="CW583" s="131"/>
      <c r="CX583" s="131"/>
      <c r="CY583" s="131"/>
      <c r="CZ583" s="131"/>
      <c r="DA583" s="131"/>
      <c r="DB583" s="131"/>
      <c r="DC583" s="131"/>
      <c r="DD583" s="131"/>
      <c r="DE583" s="131"/>
      <c r="DF583" s="131"/>
      <c r="DG583" s="131"/>
      <c r="DH583" s="131"/>
      <c r="DI583" s="131"/>
      <c r="DJ583" s="131"/>
      <c r="DK583" s="131"/>
      <c r="DL583" s="131"/>
      <c r="DM583" s="131"/>
      <c r="DN583" s="131"/>
      <c r="DO583" s="131"/>
      <c r="DP583" s="131"/>
      <c r="DQ583" s="131"/>
      <c r="DR583" s="131"/>
      <c r="DS583" s="131"/>
      <c r="DT583" s="131"/>
      <c r="DU583" s="131"/>
      <c r="DV583" s="131"/>
      <c r="DW583" s="131"/>
      <c r="DX583" s="131"/>
      <c r="DY583" s="131"/>
      <c r="DZ583" s="131"/>
      <c r="EA583" s="131"/>
      <c r="EB583" s="131"/>
      <c r="EC583" s="131"/>
      <c r="ED583" s="131"/>
      <c r="EE583" s="131"/>
      <c r="EF583" s="131"/>
      <c r="EG583" s="131"/>
      <c r="EH583" s="131"/>
      <c r="EI583" s="131"/>
      <c r="EJ583" s="131"/>
      <c r="EK583" s="131"/>
      <c r="EL583" s="131"/>
      <c r="EM583" s="131"/>
      <c r="EN583" s="131"/>
      <c r="EO583" s="131"/>
      <c r="EP583" s="131"/>
      <c r="EQ583" s="131"/>
      <c r="ER583" s="131"/>
      <c r="ES583" s="131"/>
      <c r="ET583" s="131"/>
      <c r="EU583" s="131"/>
      <c r="EV583" s="131"/>
      <c r="EW583" s="131"/>
      <c r="EX583" s="131"/>
      <c r="EY583" s="131"/>
      <c r="EZ583" s="131"/>
      <c r="FA583" s="131"/>
      <c r="FB583" s="131"/>
      <c r="FC583" s="131"/>
      <c r="FD583" s="131"/>
      <c r="FE583" s="131"/>
      <c r="FF583" s="131"/>
      <c r="FG583" s="131"/>
      <c r="FH583" s="131"/>
      <c r="FI583" s="131"/>
      <c r="FJ583" s="131"/>
      <c r="FK583" s="131"/>
      <c r="FL583" s="131"/>
      <c r="FM583" s="131"/>
      <c r="FN583" s="131"/>
      <c r="FO583" s="131"/>
      <c r="FP583" s="131"/>
      <c r="FQ583" s="131"/>
      <c r="FR583" s="131"/>
      <c r="FS583" s="131"/>
      <c r="FT583" s="131"/>
      <c r="FU583" s="131"/>
      <c r="FV583" s="131"/>
      <c r="FW583" s="131"/>
      <c r="FX583" s="131"/>
      <c r="FY583" s="131"/>
      <c r="FZ583" s="131"/>
      <c r="GA583" s="131"/>
      <c r="GB583" s="131"/>
      <c r="GC583" s="131"/>
      <c r="GD583" s="131"/>
      <c r="GE583" s="131"/>
      <c r="GF583" s="131"/>
      <c r="GG583" s="131"/>
      <c r="GH583" s="131"/>
      <c r="GI583" s="131"/>
      <c r="GJ583" s="131"/>
      <c r="GK583" s="131"/>
      <c r="GL583" s="131"/>
      <c r="GM583" s="131"/>
      <c r="GN583" s="131"/>
      <c r="GO583" s="131"/>
      <c r="GP583" s="131"/>
      <c r="GQ583" s="131"/>
      <c r="GR583" s="131"/>
      <c r="GS583" s="131"/>
      <c r="GT583" s="131"/>
      <c r="GU583" s="131"/>
      <c r="GV583" s="131"/>
      <c r="GW583" s="131"/>
      <c r="GX583" s="131"/>
      <c r="GY583" s="131"/>
      <c r="GZ583" s="131"/>
      <c r="HA583" s="131"/>
      <c r="HB583" s="131"/>
      <c r="HC583" s="131"/>
      <c r="HD583" s="131"/>
      <c r="HE583" s="131"/>
      <c r="HF583" s="131"/>
      <c r="HG583" s="131"/>
      <c r="HH583" s="131"/>
      <c r="HI583" s="131"/>
      <c r="HJ583" s="131"/>
      <c r="HK583" s="131"/>
      <c r="HL583" s="131"/>
      <c r="HM583" s="131"/>
      <c r="HN583" s="131"/>
      <c r="HO583" s="131"/>
      <c r="HP583" s="131"/>
      <c r="HQ583" s="131"/>
      <c r="HR583" s="131"/>
      <c r="HS583" s="131"/>
      <c r="HT583" s="131"/>
      <c r="HU583" s="131"/>
      <c r="HV583" s="131"/>
      <c r="HW583" s="131"/>
      <c r="HX583" s="131"/>
      <c r="HY583" s="131"/>
      <c r="HZ583" s="131"/>
      <c r="IA583" s="131"/>
      <c r="IB583" s="131"/>
      <c r="IC583" s="131"/>
      <c r="ID583" s="131"/>
      <c r="IE583" s="131"/>
      <c r="IF583" s="131"/>
      <c r="IG583" s="131"/>
      <c r="IH583" s="131"/>
      <c r="II583" s="131"/>
      <c r="IJ583" s="131"/>
      <c r="IK583" s="131"/>
      <c r="IL583" s="131"/>
      <c r="IM583" s="131"/>
      <c r="IN583" s="131"/>
      <c r="IO583" s="131"/>
      <c r="IP583" s="131"/>
      <c r="IQ583" s="131"/>
      <c r="IR583" s="131"/>
      <c r="IS583" s="131"/>
      <c r="IT583" s="131"/>
      <c r="IU583" s="131"/>
      <c r="IV583" s="131"/>
    </row>
    <row r="584" spans="1:256" s="13" customFormat="1" ht="38.25" customHeight="1">
      <c r="A584" s="21" t="s">
        <v>1</v>
      </c>
      <c r="B584" s="21" t="s">
        <v>34</v>
      </c>
      <c r="C584" s="21"/>
      <c r="D584" s="21" t="s">
        <v>1167</v>
      </c>
      <c r="E584" s="21" t="s">
        <v>1168</v>
      </c>
      <c r="F584" s="21" t="s">
        <v>1169</v>
      </c>
      <c r="G584" s="21" t="s">
        <v>103</v>
      </c>
      <c r="H584" s="21">
        <v>236220</v>
      </c>
      <c r="I584" s="21"/>
      <c r="J584" s="21" t="s">
        <v>109</v>
      </c>
      <c r="K584" s="21" t="s">
        <v>1143</v>
      </c>
      <c r="L584" s="21" t="s">
        <v>278</v>
      </c>
      <c r="M584" s="22"/>
      <c r="N584" s="22"/>
      <c r="O584" s="21" t="s">
        <v>20</v>
      </c>
      <c r="P584" s="21" t="s">
        <v>278</v>
      </c>
      <c r="Q584" s="21" t="s">
        <v>1138</v>
      </c>
      <c r="R584" s="21" t="s">
        <v>10</v>
      </c>
      <c r="S584" s="74" t="s">
        <v>443</v>
      </c>
      <c r="T584" s="21" t="s">
        <v>1170</v>
      </c>
      <c r="U584" s="21" t="s">
        <v>1171</v>
      </c>
      <c r="V584" s="21" t="s">
        <v>1172</v>
      </c>
      <c r="W584" s="21" t="s">
        <v>66</v>
      </c>
      <c r="X584" s="21" t="s">
        <v>1173</v>
      </c>
      <c r="Y584" s="130"/>
      <c r="Z584" s="267"/>
      <c r="AA584" s="130"/>
      <c r="AB584" s="267"/>
      <c r="AC584" s="130"/>
      <c r="AD584" s="131"/>
      <c r="AE584" s="131"/>
      <c r="AF584" s="131"/>
      <c r="AG584" s="131"/>
      <c r="AH584" s="131"/>
      <c r="AI584" s="131"/>
      <c r="AJ584" s="131"/>
      <c r="AK584" s="131"/>
      <c r="AL584" s="131"/>
      <c r="AM584" s="131"/>
      <c r="AN584" s="131"/>
      <c r="AO584" s="131"/>
      <c r="AP584" s="131"/>
      <c r="AQ584" s="131"/>
      <c r="AR584" s="131"/>
      <c r="AS584" s="131"/>
      <c r="AT584" s="131"/>
      <c r="AU584" s="131"/>
      <c r="AV584" s="131"/>
      <c r="AW584" s="131"/>
      <c r="AX584" s="131"/>
      <c r="AY584" s="131"/>
      <c r="AZ584" s="131"/>
      <c r="BA584" s="131"/>
      <c r="BB584" s="131"/>
      <c r="BC584" s="131"/>
      <c r="BD584" s="131"/>
      <c r="BE584" s="131"/>
      <c r="BF584" s="131"/>
      <c r="BG584" s="131"/>
      <c r="BH584" s="131"/>
      <c r="BI584" s="131"/>
      <c r="BJ584" s="131"/>
      <c r="BK584" s="131"/>
      <c r="BL584" s="131"/>
      <c r="BM584" s="131"/>
      <c r="BN584" s="131"/>
      <c r="BO584" s="131"/>
      <c r="BP584" s="131"/>
      <c r="BQ584" s="131"/>
      <c r="BR584" s="131"/>
      <c r="BS584" s="131"/>
      <c r="BT584" s="131"/>
      <c r="BU584" s="131"/>
      <c r="BV584" s="131"/>
      <c r="BW584" s="131"/>
      <c r="BX584" s="131"/>
      <c r="BY584" s="131"/>
      <c r="BZ584" s="131"/>
      <c r="CA584" s="131"/>
      <c r="CB584" s="131"/>
      <c r="CC584" s="131"/>
      <c r="CD584" s="131"/>
      <c r="CE584" s="131"/>
      <c r="CF584" s="131"/>
      <c r="CG584" s="131"/>
      <c r="CH584" s="131"/>
      <c r="CI584" s="131"/>
      <c r="CJ584" s="131"/>
      <c r="CK584" s="131"/>
      <c r="CL584" s="131"/>
      <c r="CM584" s="131"/>
      <c r="CN584" s="131"/>
      <c r="CO584" s="131"/>
      <c r="CP584" s="131"/>
      <c r="CQ584" s="131"/>
      <c r="CR584" s="131"/>
      <c r="CS584" s="131"/>
      <c r="CT584" s="131"/>
      <c r="CU584" s="131"/>
      <c r="CV584" s="131"/>
      <c r="CW584" s="131"/>
      <c r="CX584" s="131"/>
      <c r="CY584" s="131"/>
      <c r="CZ584" s="131"/>
      <c r="DA584" s="131"/>
      <c r="DB584" s="131"/>
      <c r="DC584" s="131"/>
      <c r="DD584" s="131"/>
      <c r="DE584" s="131"/>
      <c r="DF584" s="131"/>
      <c r="DG584" s="131"/>
      <c r="DH584" s="131"/>
      <c r="DI584" s="131"/>
      <c r="DJ584" s="131"/>
      <c r="DK584" s="131"/>
      <c r="DL584" s="131"/>
      <c r="DM584" s="131"/>
      <c r="DN584" s="131"/>
      <c r="DO584" s="131"/>
      <c r="DP584" s="131"/>
      <c r="DQ584" s="131"/>
      <c r="DR584" s="131"/>
      <c r="DS584" s="131"/>
      <c r="DT584" s="131"/>
      <c r="DU584" s="131"/>
      <c r="DV584" s="131"/>
      <c r="DW584" s="131"/>
      <c r="DX584" s="131"/>
      <c r="DY584" s="131"/>
      <c r="DZ584" s="131"/>
      <c r="EA584" s="131"/>
      <c r="EB584" s="131"/>
      <c r="EC584" s="131"/>
      <c r="ED584" s="131"/>
      <c r="EE584" s="131"/>
      <c r="EF584" s="131"/>
      <c r="EG584" s="131"/>
      <c r="EH584" s="131"/>
      <c r="EI584" s="131"/>
      <c r="EJ584" s="131"/>
      <c r="EK584" s="131"/>
      <c r="EL584" s="131"/>
      <c r="EM584" s="131"/>
      <c r="EN584" s="131"/>
      <c r="EO584" s="131"/>
      <c r="EP584" s="131"/>
      <c r="EQ584" s="131"/>
      <c r="ER584" s="131"/>
      <c r="ES584" s="131"/>
      <c r="ET584" s="131"/>
      <c r="EU584" s="131"/>
      <c r="EV584" s="131"/>
      <c r="EW584" s="131"/>
      <c r="EX584" s="131"/>
      <c r="EY584" s="131"/>
      <c r="EZ584" s="131"/>
      <c r="FA584" s="131"/>
      <c r="FB584" s="131"/>
      <c r="FC584" s="131"/>
      <c r="FD584" s="131"/>
      <c r="FE584" s="131"/>
      <c r="FF584" s="131"/>
      <c r="FG584" s="131"/>
      <c r="FH584" s="131"/>
      <c r="FI584" s="131"/>
      <c r="FJ584" s="131"/>
      <c r="FK584" s="131"/>
      <c r="FL584" s="131"/>
      <c r="FM584" s="131"/>
      <c r="FN584" s="131"/>
      <c r="FO584" s="131"/>
      <c r="FP584" s="131"/>
      <c r="FQ584" s="131"/>
      <c r="FR584" s="131"/>
      <c r="FS584" s="131"/>
      <c r="FT584" s="131"/>
      <c r="FU584" s="131"/>
      <c r="FV584" s="131"/>
      <c r="FW584" s="131"/>
      <c r="FX584" s="131"/>
      <c r="FY584" s="131"/>
      <c r="FZ584" s="131"/>
      <c r="GA584" s="131"/>
      <c r="GB584" s="131"/>
      <c r="GC584" s="131"/>
      <c r="GD584" s="131"/>
      <c r="GE584" s="131"/>
      <c r="GF584" s="131"/>
      <c r="GG584" s="131"/>
      <c r="GH584" s="131"/>
      <c r="GI584" s="131"/>
      <c r="GJ584" s="131"/>
      <c r="GK584" s="131"/>
      <c r="GL584" s="131"/>
      <c r="GM584" s="131"/>
      <c r="GN584" s="131"/>
      <c r="GO584" s="131"/>
      <c r="GP584" s="131"/>
      <c r="GQ584" s="131"/>
      <c r="GR584" s="131"/>
      <c r="GS584" s="131"/>
      <c r="GT584" s="131"/>
      <c r="GU584" s="131"/>
      <c r="GV584" s="131"/>
      <c r="GW584" s="131"/>
      <c r="GX584" s="131"/>
      <c r="GY584" s="131"/>
      <c r="GZ584" s="131"/>
      <c r="HA584" s="131"/>
      <c r="HB584" s="131"/>
      <c r="HC584" s="131"/>
      <c r="HD584" s="131"/>
      <c r="HE584" s="131"/>
      <c r="HF584" s="131"/>
      <c r="HG584" s="131"/>
      <c r="HH584" s="131"/>
      <c r="HI584" s="131"/>
      <c r="HJ584" s="131"/>
      <c r="HK584" s="131"/>
      <c r="HL584" s="131"/>
      <c r="HM584" s="131"/>
      <c r="HN584" s="131"/>
      <c r="HO584" s="131"/>
      <c r="HP584" s="131"/>
      <c r="HQ584" s="131"/>
      <c r="HR584" s="131"/>
      <c r="HS584" s="131"/>
      <c r="HT584" s="131"/>
      <c r="HU584" s="131"/>
      <c r="HV584" s="131"/>
      <c r="HW584" s="131"/>
      <c r="HX584" s="131"/>
      <c r="HY584" s="131"/>
      <c r="HZ584" s="131"/>
      <c r="IA584" s="131"/>
      <c r="IB584" s="131"/>
      <c r="IC584" s="131"/>
      <c r="ID584" s="131"/>
      <c r="IE584" s="131"/>
      <c r="IF584" s="131"/>
      <c r="IG584" s="131"/>
      <c r="IH584" s="131"/>
      <c r="II584" s="131"/>
      <c r="IJ584" s="131"/>
      <c r="IK584" s="131"/>
      <c r="IL584" s="131"/>
      <c r="IM584" s="131"/>
      <c r="IN584" s="131"/>
      <c r="IO584" s="131"/>
      <c r="IP584" s="131"/>
      <c r="IQ584" s="131"/>
      <c r="IR584" s="131"/>
      <c r="IS584" s="131"/>
      <c r="IT584" s="131"/>
      <c r="IU584" s="131"/>
      <c r="IV584" s="131"/>
    </row>
    <row r="585" spans="1:256" s="13" customFormat="1" ht="38.25" customHeight="1">
      <c r="A585" s="21" t="s">
        <v>1</v>
      </c>
      <c r="B585" s="21" t="s">
        <v>34</v>
      </c>
      <c r="C585" s="21"/>
      <c r="D585" s="21" t="s">
        <v>1174</v>
      </c>
      <c r="E585" s="21" t="s">
        <v>116</v>
      </c>
      <c r="F585" s="21" t="s">
        <v>1169</v>
      </c>
      <c r="G585" s="21" t="s">
        <v>103</v>
      </c>
      <c r="H585" s="21">
        <v>541618</v>
      </c>
      <c r="I585" s="21"/>
      <c r="J585" s="21" t="s">
        <v>109</v>
      </c>
      <c r="K585" s="21" t="s">
        <v>1143</v>
      </c>
      <c r="L585" s="21" t="s">
        <v>278</v>
      </c>
      <c r="M585" s="22"/>
      <c r="N585" s="22"/>
      <c r="O585" s="21" t="s">
        <v>20</v>
      </c>
      <c r="P585" s="21" t="s">
        <v>278</v>
      </c>
      <c r="Q585" s="21" t="s">
        <v>1138</v>
      </c>
      <c r="R585" s="21" t="s">
        <v>10</v>
      </c>
      <c r="S585" s="74" t="s">
        <v>443</v>
      </c>
      <c r="T585" s="21" t="s">
        <v>1170</v>
      </c>
      <c r="U585" s="21" t="s">
        <v>1171</v>
      </c>
      <c r="V585" s="21" t="s">
        <v>1172</v>
      </c>
      <c r="W585" s="21" t="s">
        <v>66</v>
      </c>
      <c r="X585" s="21" t="s">
        <v>1175</v>
      </c>
      <c r="Y585" s="130"/>
      <c r="Z585" s="267"/>
      <c r="AA585" s="267"/>
      <c r="AB585" s="267"/>
      <c r="AC585" s="130"/>
      <c r="AD585" s="131"/>
      <c r="AE585" s="131"/>
      <c r="AF585" s="131"/>
      <c r="AG585" s="131"/>
      <c r="AH585" s="131"/>
      <c r="AI585" s="131"/>
      <c r="AJ585" s="131"/>
      <c r="AK585" s="131"/>
      <c r="AL585" s="131"/>
      <c r="AM585" s="131"/>
      <c r="AN585" s="131"/>
      <c r="AO585" s="131"/>
      <c r="AP585" s="131"/>
      <c r="AQ585" s="131"/>
      <c r="AR585" s="131"/>
      <c r="AS585" s="131"/>
      <c r="AT585" s="131"/>
      <c r="AU585" s="131"/>
      <c r="AV585" s="131"/>
      <c r="AW585" s="131"/>
      <c r="AX585" s="131"/>
      <c r="AY585" s="131"/>
      <c r="AZ585" s="131"/>
      <c r="BA585" s="131"/>
      <c r="BB585" s="131"/>
      <c r="BC585" s="131"/>
      <c r="BD585" s="131"/>
      <c r="BE585" s="131"/>
      <c r="BF585" s="131"/>
      <c r="BG585" s="131"/>
      <c r="BH585" s="131"/>
      <c r="BI585" s="131"/>
      <c r="BJ585" s="131"/>
      <c r="BK585" s="131"/>
      <c r="BL585" s="131"/>
      <c r="BM585" s="131"/>
      <c r="BN585" s="131"/>
      <c r="BO585" s="131"/>
      <c r="BP585" s="131"/>
      <c r="BQ585" s="131"/>
      <c r="BR585" s="131"/>
      <c r="BS585" s="131"/>
      <c r="BT585" s="131"/>
      <c r="BU585" s="131"/>
      <c r="BV585" s="131"/>
      <c r="BW585" s="131"/>
      <c r="BX585" s="131"/>
      <c r="BY585" s="131"/>
      <c r="BZ585" s="131"/>
      <c r="CA585" s="131"/>
      <c r="CB585" s="131"/>
      <c r="CC585" s="131"/>
      <c r="CD585" s="131"/>
      <c r="CE585" s="131"/>
      <c r="CF585" s="131"/>
      <c r="CG585" s="131"/>
      <c r="CH585" s="131"/>
      <c r="CI585" s="131"/>
      <c r="CJ585" s="131"/>
      <c r="CK585" s="131"/>
      <c r="CL585" s="131"/>
      <c r="CM585" s="131"/>
      <c r="CN585" s="131"/>
      <c r="CO585" s="131"/>
      <c r="CP585" s="131"/>
      <c r="CQ585" s="131"/>
      <c r="CR585" s="131"/>
      <c r="CS585" s="131"/>
      <c r="CT585" s="131"/>
      <c r="CU585" s="131"/>
      <c r="CV585" s="131"/>
      <c r="CW585" s="131"/>
      <c r="CX585" s="131"/>
      <c r="CY585" s="131"/>
      <c r="CZ585" s="131"/>
      <c r="DA585" s="131"/>
      <c r="DB585" s="131"/>
      <c r="DC585" s="131"/>
      <c r="DD585" s="131"/>
      <c r="DE585" s="131"/>
      <c r="DF585" s="131"/>
      <c r="DG585" s="131"/>
      <c r="DH585" s="131"/>
      <c r="DI585" s="131"/>
      <c r="DJ585" s="131"/>
      <c r="DK585" s="131"/>
      <c r="DL585" s="131"/>
      <c r="DM585" s="131"/>
      <c r="DN585" s="131"/>
      <c r="DO585" s="131"/>
      <c r="DP585" s="131"/>
      <c r="DQ585" s="131"/>
      <c r="DR585" s="131"/>
      <c r="DS585" s="131"/>
      <c r="DT585" s="131"/>
      <c r="DU585" s="131"/>
      <c r="DV585" s="131"/>
      <c r="DW585" s="131"/>
      <c r="DX585" s="131"/>
      <c r="DY585" s="131"/>
      <c r="DZ585" s="131"/>
      <c r="EA585" s="131"/>
      <c r="EB585" s="131"/>
      <c r="EC585" s="131"/>
      <c r="ED585" s="131"/>
      <c r="EE585" s="131"/>
      <c r="EF585" s="131"/>
      <c r="EG585" s="131"/>
      <c r="EH585" s="131"/>
      <c r="EI585" s="131"/>
      <c r="EJ585" s="131"/>
      <c r="EK585" s="131"/>
      <c r="EL585" s="131"/>
      <c r="EM585" s="131"/>
      <c r="EN585" s="131"/>
      <c r="EO585" s="131"/>
      <c r="EP585" s="131"/>
      <c r="EQ585" s="131"/>
      <c r="ER585" s="131"/>
      <c r="ES585" s="131"/>
      <c r="ET585" s="131"/>
      <c r="EU585" s="131"/>
      <c r="EV585" s="131"/>
      <c r="EW585" s="131"/>
      <c r="EX585" s="131"/>
      <c r="EY585" s="131"/>
      <c r="EZ585" s="131"/>
      <c r="FA585" s="131"/>
      <c r="FB585" s="131"/>
      <c r="FC585" s="131"/>
      <c r="FD585" s="131"/>
      <c r="FE585" s="131"/>
      <c r="FF585" s="131"/>
      <c r="FG585" s="131"/>
      <c r="FH585" s="131"/>
      <c r="FI585" s="131"/>
      <c r="FJ585" s="131"/>
      <c r="FK585" s="131"/>
      <c r="FL585" s="131"/>
      <c r="FM585" s="131"/>
      <c r="FN585" s="131"/>
      <c r="FO585" s="131"/>
      <c r="FP585" s="131"/>
      <c r="FQ585" s="131"/>
      <c r="FR585" s="131"/>
      <c r="FS585" s="131"/>
      <c r="FT585" s="131"/>
      <c r="FU585" s="131"/>
      <c r="FV585" s="131"/>
      <c r="FW585" s="131"/>
      <c r="FX585" s="131"/>
      <c r="FY585" s="131"/>
      <c r="FZ585" s="131"/>
      <c r="GA585" s="131"/>
      <c r="GB585" s="131"/>
      <c r="GC585" s="131"/>
      <c r="GD585" s="131"/>
      <c r="GE585" s="131"/>
      <c r="GF585" s="131"/>
      <c r="GG585" s="131"/>
      <c r="GH585" s="131"/>
      <c r="GI585" s="131"/>
      <c r="GJ585" s="131"/>
      <c r="GK585" s="131"/>
      <c r="GL585" s="131"/>
      <c r="GM585" s="131"/>
      <c r="GN585" s="131"/>
      <c r="GO585" s="131"/>
      <c r="GP585" s="131"/>
      <c r="GQ585" s="131"/>
      <c r="GR585" s="131"/>
      <c r="GS585" s="131"/>
      <c r="GT585" s="131"/>
      <c r="GU585" s="131"/>
      <c r="GV585" s="131"/>
      <c r="GW585" s="131"/>
      <c r="GX585" s="131"/>
      <c r="GY585" s="131"/>
      <c r="GZ585" s="131"/>
      <c r="HA585" s="131"/>
      <c r="HB585" s="131"/>
      <c r="HC585" s="131"/>
      <c r="HD585" s="131"/>
      <c r="HE585" s="131"/>
      <c r="HF585" s="131"/>
      <c r="HG585" s="131"/>
      <c r="HH585" s="131"/>
      <c r="HI585" s="131"/>
      <c r="HJ585" s="131"/>
      <c r="HK585" s="131"/>
      <c r="HL585" s="131"/>
      <c r="HM585" s="131"/>
      <c r="HN585" s="131"/>
      <c r="HO585" s="131"/>
      <c r="HP585" s="131"/>
      <c r="HQ585" s="131"/>
      <c r="HR585" s="131"/>
      <c r="HS585" s="131"/>
      <c r="HT585" s="131"/>
      <c r="HU585" s="131"/>
      <c r="HV585" s="131"/>
      <c r="HW585" s="131"/>
      <c r="HX585" s="131"/>
      <c r="HY585" s="131"/>
      <c r="HZ585" s="131"/>
      <c r="IA585" s="131"/>
      <c r="IB585" s="131"/>
      <c r="IC585" s="131"/>
      <c r="ID585" s="131"/>
      <c r="IE585" s="131"/>
      <c r="IF585" s="131"/>
      <c r="IG585" s="131"/>
      <c r="IH585" s="131"/>
      <c r="II585" s="131"/>
      <c r="IJ585" s="131"/>
      <c r="IK585" s="131"/>
      <c r="IL585" s="131"/>
      <c r="IM585" s="131"/>
      <c r="IN585" s="131"/>
      <c r="IO585" s="131"/>
      <c r="IP585" s="131"/>
      <c r="IQ585" s="131"/>
      <c r="IR585" s="131"/>
      <c r="IS585" s="131"/>
      <c r="IT585" s="131"/>
      <c r="IU585" s="131"/>
      <c r="IV585" s="131"/>
    </row>
    <row r="586" spans="1:256" s="13" customFormat="1" ht="38.25" customHeight="1">
      <c r="A586" s="21" t="s">
        <v>1</v>
      </c>
      <c r="B586" s="21" t="s">
        <v>34</v>
      </c>
      <c r="C586" s="21"/>
      <c r="D586" s="21" t="s">
        <v>1176</v>
      </c>
      <c r="E586" s="21" t="s">
        <v>1177</v>
      </c>
      <c r="F586" s="21" t="s">
        <v>1169</v>
      </c>
      <c r="G586" s="21" t="s">
        <v>103</v>
      </c>
      <c r="H586" s="21">
        <v>561621</v>
      </c>
      <c r="I586" s="21"/>
      <c r="J586" s="21" t="s">
        <v>109</v>
      </c>
      <c r="K586" s="21" t="s">
        <v>40</v>
      </c>
      <c r="L586" s="21" t="s">
        <v>278</v>
      </c>
      <c r="M586" s="22"/>
      <c r="N586" s="22"/>
      <c r="O586" s="21" t="s">
        <v>20</v>
      </c>
      <c r="P586" s="21" t="s">
        <v>1178</v>
      </c>
      <c r="Q586" s="21" t="s">
        <v>1138</v>
      </c>
      <c r="R586" s="21" t="s">
        <v>10</v>
      </c>
      <c r="S586" s="74" t="s">
        <v>443</v>
      </c>
      <c r="T586" s="21" t="s">
        <v>1170</v>
      </c>
      <c r="U586" s="21" t="s">
        <v>1171</v>
      </c>
      <c r="V586" s="21" t="s">
        <v>1172</v>
      </c>
      <c r="W586" s="21" t="s">
        <v>66</v>
      </c>
      <c r="X586" s="21" t="s">
        <v>1166</v>
      </c>
      <c r="Y586" s="130"/>
      <c r="Z586" s="267"/>
      <c r="AA586" s="130"/>
      <c r="AB586" s="267"/>
      <c r="AC586" s="130"/>
      <c r="AD586" s="131"/>
      <c r="AE586" s="131"/>
      <c r="AF586" s="131"/>
      <c r="AG586" s="131"/>
      <c r="AH586" s="131"/>
      <c r="AI586" s="131"/>
      <c r="AJ586" s="131"/>
      <c r="AK586" s="131"/>
      <c r="AL586" s="131"/>
      <c r="AM586" s="131"/>
      <c r="AN586" s="131"/>
      <c r="AO586" s="131"/>
      <c r="AP586" s="131"/>
      <c r="AQ586" s="131"/>
      <c r="AR586" s="131"/>
      <c r="AS586" s="131"/>
      <c r="AT586" s="131"/>
      <c r="AU586" s="131"/>
      <c r="AV586" s="131"/>
      <c r="AW586" s="131"/>
      <c r="AX586" s="131"/>
      <c r="AY586" s="131"/>
      <c r="AZ586" s="131"/>
      <c r="BA586" s="131"/>
      <c r="BB586" s="131"/>
      <c r="BC586" s="131"/>
      <c r="BD586" s="131"/>
      <c r="BE586" s="131"/>
      <c r="BF586" s="131"/>
      <c r="BG586" s="131"/>
      <c r="BH586" s="131"/>
      <c r="BI586" s="131"/>
      <c r="BJ586" s="131"/>
      <c r="BK586" s="131"/>
      <c r="BL586" s="131"/>
      <c r="BM586" s="131"/>
      <c r="BN586" s="131"/>
      <c r="BO586" s="131"/>
      <c r="BP586" s="131"/>
      <c r="BQ586" s="131"/>
      <c r="BR586" s="131"/>
      <c r="BS586" s="131"/>
      <c r="BT586" s="131"/>
      <c r="BU586" s="131"/>
      <c r="BV586" s="131"/>
      <c r="BW586" s="131"/>
      <c r="BX586" s="131"/>
      <c r="BY586" s="131"/>
      <c r="BZ586" s="131"/>
      <c r="CA586" s="131"/>
      <c r="CB586" s="131"/>
      <c r="CC586" s="131"/>
      <c r="CD586" s="131"/>
      <c r="CE586" s="131"/>
      <c r="CF586" s="131"/>
      <c r="CG586" s="131"/>
      <c r="CH586" s="131"/>
      <c r="CI586" s="131"/>
      <c r="CJ586" s="131"/>
      <c r="CK586" s="131"/>
      <c r="CL586" s="131"/>
      <c r="CM586" s="131"/>
      <c r="CN586" s="131"/>
      <c r="CO586" s="131"/>
      <c r="CP586" s="131"/>
      <c r="CQ586" s="131"/>
      <c r="CR586" s="131"/>
      <c r="CS586" s="131"/>
      <c r="CT586" s="131"/>
      <c r="CU586" s="131"/>
      <c r="CV586" s="131"/>
      <c r="CW586" s="131"/>
      <c r="CX586" s="131"/>
      <c r="CY586" s="131"/>
      <c r="CZ586" s="131"/>
      <c r="DA586" s="131"/>
      <c r="DB586" s="131"/>
      <c r="DC586" s="131"/>
      <c r="DD586" s="131"/>
      <c r="DE586" s="131"/>
      <c r="DF586" s="131"/>
      <c r="DG586" s="131"/>
      <c r="DH586" s="131"/>
      <c r="DI586" s="131"/>
      <c r="DJ586" s="131"/>
      <c r="DK586" s="131"/>
      <c r="DL586" s="131"/>
      <c r="DM586" s="131"/>
      <c r="DN586" s="131"/>
      <c r="DO586" s="131"/>
      <c r="DP586" s="131"/>
      <c r="DQ586" s="131"/>
      <c r="DR586" s="131"/>
      <c r="DS586" s="131"/>
      <c r="DT586" s="131"/>
      <c r="DU586" s="131"/>
      <c r="DV586" s="131"/>
      <c r="DW586" s="131"/>
      <c r="DX586" s="131"/>
      <c r="DY586" s="131"/>
      <c r="DZ586" s="131"/>
      <c r="EA586" s="131"/>
      <c r="EB586" s="131"/>
      <c r="EC586" s="131"/>
      <c r="ED586" s="131"/>
      <c r="EE586" s="131"/>
      <c r="EF586" s="131"/>
      <c r="EG586" s="131"/>
      <c r="EH586" s="131"/>
      <c r="EI586" s="131"/>
      <c r="EJ586" s="131"/>
      <c r="EK586" s="131"/>
      <c r="EL586" s="131"/>
      <c r="EM586" s="131"/>
      <c r="EN586" s="131"/>
      <c r="EO586" s="131"/>
      <c r="EP586" s="131"/>
      <c r="EQ586" s="131"/>
      <c r="ER586" s="131"/>
      <c r="ES586" s="131"/>
      <c r="ET586" s="131"/>
      <c r="EU586" s="131"/>
      <c r="EV586" s="131"/>
      <c r="EW586" s="131"/>
      <c r="EX586" s="131"/>
      <c r="EY586" s="131"/>
      <c r="EZ586" s="131"/>
      <c r="FA586" s="131"/>
      <c r="FB586" s="131"/>
      <c r="FC586" s="131"/>
      <c r="FD586" s="131"/>
      <c r="FE586" s="131"/>
      <c r="FF586" s="131"/>
      <c r="FG586" s="131"/>
      <c r="FH586" s="131"/>
      <c r="FI586" s="131"/>
      <c r="FJ586" s="131"/>
      <c r="FK586" s="131"/>
      <c r="FL586" s="131"/>
      <c r="FM586" s="131"/>
      <c r="FN586" s="131"/>
      <c r="FO586" s="131"/>
      <c r="FP586" s="131"/>
      <c r="FQ586" s="131"/>
      <c r="FR586" s="131"/>
      <c r="FS586" s="131"/>
      <c r="FT586" s="131"/>
      <c r="FU586" s="131"/>
      <c r="FV586" s="131"/>
      <c r="FW586" s="131"/>
      <c r="FX586" s="131"/>
      <c r="FY586" s="131"/>
      <c r="FZ586" s="131"/>
      <c r="GA586" s="131"/>
      <c r="GB586" s="131"/>
      <c r="GC586" s="131"/>
      <c r="GD586" s="131"/>
      <c r="GE586" s="131"/>
      <c r="GF586" s="131"/>
      <c r="GG586" s="131"/>
      <c r="GH586" s="131"/>
      <c r="GI586" s="131"/>
      <c r="GJ586" s="131"/>
      <c r="GK586" s="131"/>
      <c r="GL586" s="131"/>
      <c r="GM586" s="131"/>
      <c r="GN586" s="131"/>
      <c r="GO586" s="131"/>
      <c r="GP586" s="131"/>
      <c r="GQ586" s="131"/>
      <c r="GR586" s="131"/>
      <c r="GS586" s="131"/>
      <c r="GT586" s="131"/>
      <c r="GU586" s="131"/>
      <c r="GV586" s="131"/>
      <c r="GW586" s="131"/>
      <c r="GX586" s="131"/>
      <c r="GY586" s="131"/>
      <c r="GZ586" s="131"/>
      <c r="HA586" s="131"/>
      <c r="HB586" s="131"/>
      <c r="HC586" s="131"/>
      <c r="HD586" s="131"/>
      <c r="HE586" s="131"/>
      <c r="HF586" s="131"/>
      <c r="HG586" s="131"/>
      <c r="HH586" s="131"/>
      <c r="HI586" s="131"/>
      <c r="HJ586" s="131"/>
      <c r="HK586" s="131"/>
      <c r="HL586" s="131"/>
      <c r="HM586" s="131"/>
      <c r="HN586" s="131"/>
      <c r="HO586" s="131"/>
      <c r="HP586" s="131"/>
      <c r="HQ586" s="131"/>
      <c r="HR586" s="131"/>
      <c r="HS586" s="131"/>
      <c r="HT586" s="131"/>
      <c r="HU586" s="131"/>
      <c r="HV586" s="131"/>
      <c r="HW586" s="131"/>
      <c r="HX586" s="131"/>
      <c r="HY586" s="131"/>
      <c r="HZ586" s="131"/>
      <c r="IA586" s="131"/>
      <c r="IB586" s="131"/>
      <c r="IC586" s="131"/>
      <c r="ID586" s="131"/>
      <c r="IE586" s="131"/>
      <c r="IF586" s="131"/>
      <c r="IG586" s="131"/>
      <c r="IH586" s="131"/>
      <c r="II586" s="131"/>
      <c r="IJ586" s="131"/>
      <c r="IK586" s="131"/>
      <c r="IL586" s="131"/>
      <c r="IM586" s="131"/>
      <c r="IN586" s="131"/>
      <c r="IO586" s="131"/>
      <c r="IP586" s="131"/>
      <c r="IQ586" s="131"/>
      <c r="IR586" s="131"/>
      <c r="IS586" s="131"/>
      <c r="IT586" s="131"/>
      <c r="IU586" s="131"/>
      <c r="IV586" s="131"/>
    </row>
    <row r="587" spans="1:256" s="13" customFormat="1" ht="38.25">
      <c r="A587" s="18" t="s">
        <v>1</v>
      </c>
      <c r="B587" s="21" t="s">
        <v>44</v>
      </c>
      <c r="C587" s="125" t="s">
        <v>35</v>
      </c>
      <c r="D587" s="125" t="s">
        <v>1308</v>
      </c>
      <c r="E587" s="125" t="s">
        <v>116</v>
      </c>
      <c r="F587" s="125"/>
      <c r="G587" s="125" t="s">
        <v>217</v>
      </c>
      <c r="H587" s="125">
        <v>541620</v>
      </c>
      <c r="I587" s="125"/>
      <c r="J587" s="125" t="s">
        <v>1309</v>
      </c>
      <c r="K587" s="125" t="s">
        <v>50</v>
      </c>
      <c r="L587" s="125"/>
      <c r="M587" s="268"/>
      <c r="N587" s="269"/>
      <c r="O587" s="125" t="s">
        <v>20</v>
      </c>
      <c r="P587" s="125" t="s">
        <v>1212</v>
      </c>
      <c r="Q587" s="125" t="s">
        <v>279</v>
      </c>
      <c r="R587" s="125" t="s">
        <v>41</v>
      </c>
      <c r="S587" s="270">
        <v>2013</v>
      </c>
      <c r="T587" s="125" t="s">
        <v>1310</v>
      </c>
      <c r="U587" s="125" t="s">
        <v>1311</v>
      </c>
      <c r="V587" s="271" t="s">
        <v>1312</v>
      </c>
      <c r="W587" s="282" t="s">
        <v>2008</v>
      </c>
      <c r="X587" s="21"/>
      <c r="Y587" s="124"/>
      <c r="Z587" s="124"/>
      <c r="AA587" s="124"/>
      <c r="AB587" s="124"/>
      <c r="AC587" s="124"/>
      <c r="AD587" s="124"/>
    </row>
    <row r="588" spans="1:256" s="13" customFormat="1" ht="38.25">
      <c r="A588" s="18" t="s">
        <v>1</v>
      </c>
      <c r="B588" s="21" t="s">
        <v>44</v>
      </c>
      <c r="C588" s="125" t="s">
        <v>35</v>
      </c>
      <c r="D588" s="125" t="s">
        <v>1303</v>
      </c>
      <c r="E588" s="125" t="s">
        <v>138</v>
      </c>
      <c r="F588" s="125" t="s">
        <v>1304</v>
      </c>
      <c r="G588" s="125" t="s">
        <v>2691</v>
      </c>
      <c r="H588" s="125">
        <v>236220</v>
      </c>
      <c r="I588" s="125" t="s">
        <v>28</v>
      </c>
      <c r="J588" s="125"/>
      <c r="K588" s="125" t="s">
        <v>50</v>
      </c>
      <c r="L588" s="125" t="s">
        <v>1182</v>
      </c>
      <c r="M588" s="269"/>
      <c r="N588" s="269"/>
      <c r="O588" s="125" t="s">
        <v>20</v>
      </c>
      <c r="P588" s="125"/>
      <c r="Q588" s="125" t="s">
        <v>279</v>
      </c>
      <c r="R588" s="125" t="s">
        <v>10</v>
      </c>
      <c r="S588" s="270">
        <v>2013</v>
      </c>
      <c r="T588" s="125" t="s">
        <v>1305</v>
      </c>
      <c r="U588" s="125" t="s">
        <v>1306</v>
      </c>
      <c r="V588" s="271" t="s">
        <v>1307</v>
      </c>
      <c r="W588" s="282" t="s">
        <v>2008</v>
      </c>
      <c r="X588" s="21" t="s">
        <v>372</v>
      </c>
      <c r="Y588" s="124"/>
      <c r="Z588" s="124"/>
      <c r="AA588" s="124"/>
      <c r="AB588" s="124"/>
      <c r="AC588" s="124"/>
      <c r="AD588" s="124"/>
    </row>
    <row r="589" spans="1:256" s="13" customFormat="1" ht="38.25">
      <c r="A589" s="18" t="s">
        <v>1</v>
      </c>
      <c r="B589" s="21" t="s">
        <v>44</v>
      </c>
      <c r="C589" s="125" t="s">
        <v>35</v>
      </c>
      <c r="D589" s="125" t="s">
        <v>1285</v>
      </c>
      <c r="E589" s="125" t="s">
        <v>26</v>
      </c>
      <c r="F589" s="125" t="s">
        <v>1273</v>
      </c>
      <c r="G589" s="125" t="s">
        <v>179</v>
      </c>
      <c r="H589" s="125">
        <v>541310</v>
      </c>
      <c r="I589" s="125" t="s">
        <v>28</v>
      </c>
      <c r="J589" s="125" t="s">
        <v>1286</v>
      </c>
      <c r="K589" s="125" t="s">
        <v>30</v>
      </c>
      <c r="L589" s="125"/>
      <c r="M589" s="269">
        <v>1500000</v>
      </c>
      <c r="N589" s="269">
        <v>2000000</v>
      </c>
      <c r="O589" s="125" t="s">
        <v>20</v>
      </c>
      <c r="P589" s="125"/>
      <c r="Q589" s="125" t="s">
        <v>279</v>
      </c>
      <c r="R589" s="125" t="s">
        <v>31</v>
      </c>
      <c r="S589" s="270">
        <v>2013</v>
      </c>
      <c r="T589" s="125" t="s">
        <v>1287</v>
      </c>
      <c r="U589" s="125" t="s">
        <v>1288</v>
      </c>
      <c r="V589" s="271" t="s">
        <v>1289</v>
      </c>
      <c r="W589" s="282" t="s">
        <v>2008</v>
      </c>
      <c r="X589" s="21"/>
      <c r="Y589" s="124"/>
      <c r="Z589" s="281"/>
      <c r="AA589" s="281"/>
      <c r="AB589" s="124"/>
      <c r="AC589" s="124"/>
      <c r="AD589" s="124"/>
    </row>
    <row r="590" spans="1:256" s="13" customFormat="1" ht="38.25">
      <c r="A590" s="18" t="s">
        <v>1</v>
      </c>
      <c r="B590" s="21" t="s">
        <v>44</v>
      </c>
      <c r="C590" s="125" t="s">
        <v>35</v>
      </c>
      <c r="D590" s="125" t="s">
        <v>1290</v>
      </c>
      <c r="E590" s="125" t="s">
        <v>26</v>
      </c>
      <c r="F590" s="125"/>
      <c r="G590" s="125" t="s">
        <v>2692</v>
      </c>
      <c r="H590" s="125">
        <v>541310</v>
      </c>
      <c r="I590" s="125" t="s">
        <v>1291</v>
      </c>
      <c r="J590" s="125" t="s">
        <v>1292</v>
      </c>
      <c r="K590" s="125" t="s">
        <v>30</v>
      </c>
      <c r="L590" s="125"/>
      <c r="M590" s="269">
        <v>2500</v>
      </c>
      <c r="N590" s="269">
        <v>20000000</v>
      </c>
      <c r="O590" s="125" t="s">
        <v>20</v>
      </c>
      <c r="P590" s="125" t="s">
        <v>1212</v>
      </c>
      <c r="Q590" s="125" t="s">
        <v>279</v>
      </c>
      <c r="R590" s="125" t="s">
        <v>31</v>
      </c>
      <c r="S590" s="270">
        <v>2013</v>
      </c>
      <c r="T590" s="125" t="s">
        <v>1293</v>
      </c>
      <c r="U590" s="125" t="s">
        <v>1294</v>
      </c>
      <c r="V590" s="271" t="s">
        <v>1295</v>
      </c>
      <c r="W590" s="282" t="s">
        <v>2008</v>
      </c>
      <c r="X590" s="21"/>
      <c r="Y590" s="124"/>
      <c r="Z590" s="124"/>
      <c r="AA590" s="124"/>
      <c r="AB590" s="124"/>
      <c r="AC590" s="124"/>
      <c r="AD590" s="124"/>
    </row>
    <row r="591" spans="1:256" s="13" customFormat="1" ht="38.25">
      <c r="A591" s="18" t="s">
        <v>1</v>
      </c>
      <c r="B591" s="21" t="s">
        <v>44</v>
      </c>
      <c r="C591" s="125" t="s">
        <v>35</v>
      </c>
      <c r="D591" s="125" t="s">
        <v>1296</v>
      </c>
      <c r="E591" s="125" t="s">
        <v>138</v>
      </c>
      <c r="F591" s="125" t="s">
        <v>1254</v>
      </c>
      <c r="G591" s="125" t="s">
        <v>121</v>
      </c>
      <c r="H591" s="125">
        <v>236220</v>
      </c>
      <c r="I591" s="125" t="s">
        <v>28</v>
      </c>
      <c r="J591" s="125" t="s">
        <v>1286</v>
      </c>
      <c r="K591" s="125" t="s">
        <v>50</v>
      </c>
      <c r="L591" s="125"/>
      <c r="M591" s="269">
        <v>1000000</v>
      </c>
      <c r="N591" s="269">
        <v>5000000</v>
      </c>
      <c r="O591" s="125" t="s">
        <v>20</v>
      </c>
      <c r="P591" s="125" t="s">
        <v>278</v>
      </c>
      <c r="Q591" s="125" t="s">
        <v>279</v>
      </c>
      <c r="R591" s="125" t="s">
        <v>21</v>
      </c>
      <c r="S591" s="270">
        <v>2013</v>
      </c>
      <c r="T591" s="125" t="s">
        <v>1297</v>
      </c>
      <c r="U591" s="125" t="s">
        <v>1298</v>
      </c>
      <c r="V591" s="271" t="s">
        <v>1299</v>
      </c>
      <c r="W591" s="282" t="s">
        <v>2008</v>
      </c>
      <c r="X591" s="21"/>
      <c r="Y591" s="124"/>
      <c r="Z591" s="281"/>
      <c r="AA591" s="281"/>
      <c r="AB591" s="124"/>
      <c r="AC591" s="124"/>
      <c r="AD591" s="124"/>
    </row>
    <row r="592" spans="1:256" s="13" customFormat="1" ht="38.25">
      <c r="A592" s="18" t="s">
        <v>1</v>
      </c>
      <c r="B592" s="21" t="s">
        <v>44</v>
      </c>
      <c r="C592" s="125" t="s">
        <v>35</v>
      </c>
      <c r="D592" s="125" t="s">
        <v>1300</v>
      </c>
      <c r="E592" s="125" t="s">
        <v>116</v>
      </c>
      <c r="F592" s="125" t="s">
        <v>1254</v>
      </c>
      <c r="G592" s="125" t="s">
        <v>121</v>
      </c>
      <c r="H592" s="125">
        <v>541310</v>
      </c>
      <c r="I592" s="125" t="s">
        <v>1301</v>
      </c>
      <c r="J592" s="125" t="s">
        <v>1286</v>
      </c>
      <c r="K592" s="125" t="s">
        <v>50</v>
      </c>
      <c r="L592" s="125"/>
      <c r="M592" s="269">
        <v>250000</v>
      </c>
      <c r="N592" s="269">
        <v>500000</v>
      </c>
      <c r="O592" s="125" t="s">
        <v>20</v>
      </c>
      <c r="P592" s="125" t="s">
        <v>278</v>
      </c>
      <c r="Q592" s="125" t="s">
        <v>279</v>
      </c>
      <c r="R592" s="125" t="s">
        <v>10</v>
      </c>
      <c r="S592" s="270">
        <v>2013</v>
      </c>
      <c r="T592" s="125" t="s">
        <v>1297</v>
      </c>
      <c r="U592" s="125" t="s">
        <v>1302</v>
      </c>
      <c r="V592" s="271" t="s">
        <v>1299</v>
      </c>
      <c r="W592" s="282" t="s">
        <v>2008</v>
      </c>
      <c r="X592" s="21"/>
      <c r="Y592" s="124"/>
      <c r="Z592" s="124"/>
      <c r="AA592" s="124"/>
      <c r="AB592" s="124"/>
      <c r="AC592" s="124"/>
      <c r="AD592" s="124"/>
    </row>
    <row r="593" spans="1:30" s="13" customFormat="1" ht="38.25">
      <c r="A593" s="18" t="s">
        <v>1</v>
      </c>
      <c r="B593" s="21" t="s">
        <v>44</v>
      </c>
      <c r="C593" s="125" t="s">
        <v>35</v>
      </c>
      <c r="D593" s="125" t="s">
        <v>1195</v>
      </c>
      <c r="E593" s="125" t="s">
        <v>77</v>
      </c>
      <c r="F593" s="125"/>
      <c r="G593" s="125" t="s">
        <v>1196</v>
      </c>
      <c r="H593" s="125">
        <v>238210</v>
      </c>
      <c r="I593" s="125" t="s">
        <v>1197</v>
      </c>
      <c r="J593" s="125" t="s">
        <v>478</v>
      </c>
      <c r="K593" s="125" t="s">
        <v>50</v>
      </c>
      <c r="L593" s="125" t="s">
        <v>1198</v>
      </c>
      <c r="M593" s="269"/>
      <c r="N593" s="269"/>
      <c r="O593" s="125" t="s">
        <v>20</v>
      </c>
      <c r="P593" s="125"/>
      <c r="Q593" s="125" t="s">
        <v>279</v>
      </c>
      <c r="R593" s="125" t="s">
        <v>31</v>
      </c>
      <c r="S593" s="270">
        <v>2013</v>
      </c>
      <c r="T593" s="125" t="s">
        <v>1199</v>
      </c>
      <c r="U593" s="125" t="s">
        <v>1200</v>
      </c>
      <c r="V593" s="271" t="s">
        <v>1201</v>
      </c>
      <c r="W593" s="282" t="s">
        <v>2008</v>
      </c>
      <c r="X593" s="283" t="s">
        <v>1202</v>
      </c>
      <c r="Y593" s="124"/>
      <c r="Z593" s="281"/>
      <c r="AA593" s="281"/>
      <c r="AB593" s="281"/>
      <c r="AC593" s="124"/>
      <c r="AD593" s="124"/>
    </row>
    <row r="594" spans="1:30" s="13" customFormat="1" ht="38.25">
      <c r="A594" s="18" t="s">
        <v>1</v>
      </c>
      <c r="B594" s="21" t="s">
        <v>44</v>
      </c>
      <c r="C594" s="125" t="s">
        <v>35</v>
      </c>
      <c r="D594" s="125" t="s">
        <v>1203</v>
      </c>
      <c r="E594" s="125" t="s">
        <v>138</v>
      </c>
      <c r="F594" s="125"/>
      <c r="G594" s="125" t="s">
        <v>1196</v>
      </c>
      <c r="H594" s="125">
        <v>236220</v>
      </c>
      <c r="I594" s="125" t="s">
        <v>28</v>
      </c>
      <c r="J594" s="125" t="s">
        <v>18</v>
      </c>
      <c r="K594" s="125" t="s">
        <v>50</v>
      </c>
      <c r="L594" s="125" t="s">
        <v>1182</v>
      </c>
      <c r="M594" s="269">
        <v>2000</v>
      </c>
      <c r="N594" s="269">
        <v>6000000</v>
      </c>
      <c r="O594" s="125" t="s">
        <v>20</v>
      </c>
      <c r="P594" s="125" t="s">
        <v>1194</v>
      </c>
      <c r="Q594" s="125" t="s">
        <v>279</v>
      </c>
      <c r="R594" s="125" t="s">
        <v>21</v>
      </c>
      <c r="S594" s="270">
        <v>2013</v>
      </c>
      <c r="T594" s="125" t="s">
        <v>1204</v>
      </c>
      <c r="U594" s="125" t="s">
        <v>1205</v>
      </c>
      <c r="V594" s="271" t="s">
        <v>1206</v>
      </c>
      <c r="W594" s="282" t="s">
        <v>2008</v>
      </c>
      <c r="X594" s="283" t="s">
        <v>1186</v>
      </c>
      <c r="Y594" s="124"/>
      <c r="Z594" s="124"/>
      <c r="AA594" s="124"/>
      <c r="AB594" s="124"/>
      <c r="AC594" s="124"/>
      <c r="AD594" s="124"/>
    </row>
    <row r="595" spans="1:30" s="13" customFormat="1" ht="38.25">
      <c r="A595" s="18" t="s">
        <v>1</v>
      </c>
      <c r="B595" s="21" t="s">
        <v>44</v>
      </c>
      <c r="C595" s="125" t="s">
        <v>35</v>
      </c>
      <c r="D595" s="125" t="s">
        <v>1203</v>
      </c>
      <c r="E595" s="125" t="s">
        <v>138</v>
      </c>
      <c r="F595" s="125"/>
      <c r="G595" s="125" t="s">
        <v>1196</v>
      </c>
      <c r="H595" s="125">
        <v>236220</v>
      </c>
      <c r="I595" s="125" t="s">
        <v>2693</v>
      </c>
      <c r="J595" s="125" t="s">
        <v>18</v>
      </c>
      <c r="K595" s="125" t="s">
        <v>50</v>
      </c>
      <c r="L595" s="125" t="s">
        <v>1207</v>
      </c>
      <c r="M595" s="269">
        <v>2000</v>
      </c>
      <c r="N595" s="269">
        <v>6000000</v>
      </c>
      <c r="O595" s="125" t="s">
        <v>20</v>
      </c>
      <c r="P595" s="125" t="s">
        <v>1208</v>
      </c>
      <c r="Q595" s="125" t="s">
        <v>279</v>
      </c>
      <c r="R595" s="125" t="s">
        <v>21</v>
      </c>
      <c r="S595" s="270">
        <v>2013</v>
      </c>
      <c r="T595" s="125" t="s">
        <v>1209</v>
      </c>
      <c r="U595" s="125" t="s">
        <v>1210</v>
      </c>
      <c r="V595" s="271" t="s">
        <v>2694</v>
      </c>
      <c r="W595" s="282" t="s">
        <v>2008</v>
      </c>
      <c r="X595" s="283" t="s">
        <v>1186</v>
      </c>
      <c r="Y595" s="124"/>
      <c r="Z595" s="124"/>
      <c r="AA595" s="124"/>
      <c r="AB595" s="124"/>
      <c r="AC595" s="124"/>
      <c r="AD595" s="124"/>
    </row>
    <row r="596" spans="1:30" s="13" customFormat="1" ht="38.25">
      <c r="A596" s="18" t="s">
        <v>1</v>
      </c>
      <c r="B596" s="21" t="s">
        <v>44</v>
      </c>
      <c r="C596" s="125" t="s">
        <v>35</v>
      </c>
      <c r="D596" s="125" t="s">
        <v>1234</v>
      </c>
      <c r="E596" s="125" t="s">
        <v>77</v>
      </c>
      <c r="F596" s="125" t="s">
        <v>2695</v>
      </c>
      <c r="G596" s="125" t="s">
        <v>121</v>
      </c>
      <c r="H596" s="125">
        <v>238290</v>
      </c>
      <c r="I596" s="125"/>
      <c r="J596" s="125" t="s">
        <v>478</v>
      </c>
      <c r="K596" s="125" t="s">
        <v>50</v>
      </c>
      <c r="L596" s="125" t="s">
        <v>1252</v>
      </c>
      <c r="M596" s="269">
        <v>10000</v>
      </c>
      <c r="N596" s="269">
        <v>60000</v>
      </c>
      <c r="O596" s="125" t="s">
        <v>20</v>
      </c>
      <c r="P596" s="125" t="s">
        <v>1253</v>
      </c>
      <c r="Q596" s="125" t="s">
        <v>279</v>
      </c>
      <c r="R596" s="125" t="s">
        <v>31</v>
      </c>
      <c r="S596" s="270">
        <v>2013</v>
      </c>
      <c r="T596" s="125" t="s">
        <v>1188</v>
      </c>
      <c r="U596" s="125" t="s">
        <v>1232</v>
      </c>
      <c r="V596" s="271" t="s">
        <v>1189</v>
      </c>
      <c r="W596" s="282" t="s">
        <v>2008</v>
      </c>
      <c r="X596" s="21" t="s">
        <v>1252</v>
      </c>
      <c r="Y596" s="124"/>
      <c r="Z596" s="281"/>
      <c r="AA596" s="281"/>
      <c r="AB596" s="124"/>
      <c r="AC596" s="124"/>
      <c r="AD596" s="124"/>
    </row>
    <row r="597" spans="1:30" s="13" customFormat="1" ht="38.25">
      <c r="A597" s="18" t="s">
        <v>1</v>
      </c>
      <c r="B597" s="21" t="s">
        <v>44</v>
      </c>
      <c r="C597" s="125" t="s">
        <v>35</v>
      </c>
      <c r="D597" s="125" t="s">
        <v>1238</v>
      </c>
      <c r="E597" s="125" t="s">
        <v>120</v>
      </c>
      <c r="F597" s="125" t="s">
        <v>1254</v>
      </c>
      <c r="G597" s="125" t="s">
        <v>121</v>
      </c>
      <c r="H597" s="125">
        <v>561720</v>
      </c>
      <c r="I597" s="125"/>
      <c r="J597" s="125" t="s">
        <v>478</v>
      </c>
      <c r="K597" s="125" t="s">
        <v>50</v>
      </c>
      <c r="L597" s="125" t="s">
        <v>1252</v>
      </c>
      <c r="M597" s="269">
        <v>62500</v>
      </c>
      <c r="N597" s="269">
        <v>315000</v>
      </c>
      <c r="O597" s="125" t="s">
        <v>20</v>
      </c>
      <c r="P597" s="125" t="s">
        <v>1255</v>
      </c>
      <c r="Q597" s="125" t="s">
        <v>279</v>
      </c>
      <c r="R597" s="125" t="s">
        <v>31</v>
      </c>
      <c r="S597" s="270">
        <v>2013</v>
      </c>
      <c r="T597" s="125" t="s">
        <v>1188</v>
      </c>
      <c r="U597" s="125" t="s">
        <v>1232</v>
      </c>
      <c r="V597" s="271" t="s">
        <v>1189</v>
      </c>
      <c r="W597" s="282" t="s">
        <v>2008</v>
      </c>
      <c r="X597" s="21" t="s">
        <v>1252</v>
      </c>
      <c r="Y597" s="124"/>
      <c r="Z597" s="281"/>
      <c r="AA597" s="281"/>
      <c r="AB597" s="124"/>
      <c r="AC597" s="124"/>
      <c r="AD597" s="124"/>
    </row>
    <row r="598" spans="1:30" s="13" customFormat="1" ht="38.25">
      <c r="A598" s="18" t="s">
        <v>1</v>
      </c>
      <c r="B598" s="21" t="s">
        <v>44</v>
      </c>
      <c r="C598" s="125" t="s">
        <v>35</v>
      </c>
      <c r="D598" s="125" t="s">
        <v>1234</v>
      </c>
      <c r="E598" s="275" t="s">
        <v>77</v>
      </c>
      <c r="F598" s="125" t="s">
        <v>1256</v>
      </c>
      <c r="G598" s="125" t="s">
        <v>121</v>
      </c>
      <c r="H598" s="125">
        <v>238290</v>
      </c>
      <c r="I598" s="125"/>
      <c r="J598" s="125" t="s">
        <v>478</v>
      </c>
      <c r="K598" s="125" t="s">
        <v>50</v>
      </c>
      <c r="L598" s="125" t="s">
        <v>1252</v>
      </c>
      <c r="M598" s="269"/>
      <c r="N598" s="269"/>
      <c r="O598" s="125" t="s">
        <v>20</v>
      </c>
      <c r="P598" s="125" t="s">
        <v>1253</v>
      </c>
      <c r="Q598" s="125" t="s">
        <v>279</v>
      </c>
      <c r="R598" s="125" t="s">
        <v>21</v>
      </c>
      <c r="S598" s="270">
        <v>2013</v>
      </c>
      <c r="T598" s="125" t="s">
        <v>1190</v>
      </c>
      <c r="U598" s="125" t="s">
        <v>1257</v>
      </c>
      <c r="V598" s="271" t="s">
        <v>1191</v>
      </c>
      <c r="W598" s="282" t="s">
        <v>2008</v>
      </c>
      <c r="X598" s="21" t="s">
        <v>1252</v>
      </c>
      <c r="Y598" s="124"/>
      <c r="Z598" s="124"/>
      <c r="AA598" s="124"/>
      <c r="AB598" s="124"/>
      <c r="AC598" s="124"/>
      <c r="AD598" s="124"/>
    </row>
    <row r="599" spans="1:30" s="13" customFormat="1" ht="38.25">
      <c r="A599" s="18" t="s">
        <v>1</v>
      </c>
      <c r="B599" s="21" t="s">
        <v>44</v>
      </c>
      <c r="C599" s="125" t="s">
        <v>35</v>
      </c>
      <c r="D599" s="125" t="s">
        <v>1234</v>
      </c>
      <c r="E599" s="275" t="s">
        <v>77</v>
      </c>
      <c r="F599" s="125" t="s">
        <v>1258</v>
      </c>
      <c r="G599" s="125" t="s">
        <v>121</v>
      </c>
      <c r="H599" s="125">
        <v>238290</v>
      </c>
      <c r="I599" s="125"/>
      <c r="J599" s="125" t="s">
        <v>478</v>
      </c>
      <c r="K599" s="125" t="s">
        <v>50</v>
      </c>
      <c r="L599" s="125" t="s">
        <v>1252</v>
      </c>
      <c r="M599" s="269"/>
      <c r="N599" s="269"/>
      <c r="O599" s="125" t="s">
        <v>20</v>
      </c>
      <c r="P599" s="125" t="s">
        <v>1259</v>
      </c>
      <c r="Q599" s="125" t="s">
        <v>279</v>
      </c>
      <c r="R599" s="125" t="s">
        <v>41</v>
      </c>
      <c r="S599" s="270">
        <v>2013</v>
      </c>
      <c r="T599" s="125" t="s">
        <v>1190</v>
      </c>
      <c r="U599" s="125" t="s">
        <v>1257</v>
      </c>
      <c r="V599" s="271" t="s">
        <v>1191</v>
      </c>
      <c r="W599" s="282" t="s">
        <v>2008</v>
      </c>
      <c r="X599" s="21" t="s">
        <v>1252</v>
      </c>
      <c r="Y599" s="124"/>
      <c r="Z599" s="124"/>
      <c r="AA599" s="124"/>
      <c r="AB599" s="124"/>
      <c r="AC599" s="124"/>
      <c r="AD599" s="124"/>
    </row>
    <row r="600" spans="1:30" s="13" customFormat="1" ht="51">
      <c r="A600" s="18" t="s">
        <v>1</v>
      </c>
      <c r="B600" s="21" t="s">
        <v>44</v>
      </c>
      <c r="C600" s="125" t="s">
        <v>35</v>
      </c>
      <c r="D600" s="125" t="s">
        <v>1234</v>
      </c>
      <c r="E600" s="125" t="s">
        <v>77</v>
      </c>
      <c r="F600" s="125" t="s">
        <v>1229</v>
      </c>
      <c r="G600" s="125" t="s">
        <v>2696</v>
      </c>
      <c r="H600" s="125">
        <v>238290</v>
      </c>
      <c r="I600" s="125" t="s">
        <v>1193</v>
      </c>
      <c r="J600" s="125" t="s">
        <v>478</v>
      </c>
      <c r="K600" s="125" t="s">
        <v>50</v>
      </c>
      <c r="L600" s="125" t="s">
        <v>1198</v>
      </c>
      <c r="M600" s="269">
        <v>36866.94</v>
      </c>
      <c r="N600" s="269">
        <v>190334.69</v>
      </c>
      <c r="O600" s="125" t="s">
        <v>20</v>
      </c>
      <c r="P600" s="125" t="s">
        <v>1235</v>
      </c>
      <c r="Q600" s="125" t="s">
        <v>279</v>
      </c>
      <c r="R600" s="125" t="s">
        <v>10</v>
      </c>
      <c r="S600" s="270">
        <v>2013</v>
      </c>
      <c r="T600" s="125" t="s">
        <v>1236</v>
      </c>
      <c r="U600" s="125" t="s">
        <v>1237</v>
      </c>
      <c r="V600" s="271" t="s">
        <v>1192</v>
      </c>
      <c r="W600" s="282" t="s">
        <v>2008</v>
      </c>
      <c r="X600" s="21" t="s">
        <v>2697</v>
      </c>
      <c r="Y600" s="124"/>
      <c r="Z600" s="124"/>
      <c r="AA600" s="124"/>
      <c r="AB600" s="281"/>
      <c r="AC600" s="124"/>
      <c r="AD600" s="124"/>
    </row>
    <row r="601" spans="1:30" s="13" customFormat="1" ht="51">
      <c r="A601" s="18" t="s">
        <v>1</v>
      </c>
      <c r="B601" s="21" t="s">
        <v>44</v>
      </c>
      <c r="C601" s="275" t="s">
        <v>3</v>
      </c>
      <c r="D601" s="275" t="s">
        <v>1238</v>
      </c>
      <c r="E601" s="275" t="s">
        <v>77</v>
      </c>
      <c r="F601" s="275" t="s">
        <v>1239</v>
      </c>
      <c r="G601" s="275" t="s">
        <v>2696</v>
      </c>
      <c r="H601" s="275">
        <v>561720</v>
      </c>
      <c r="I601" s="275" t="s">
        <v>1181</v>
      </c>
      <c r="J601" s="275" t="s">
        <v>478</v>
      </c>
      <c r="K601" s="275" t="s">
        <v>50</v>
      </c>
      <c r="L601" s="275" t="s">
        <v>1198</v>
      </c>
      <c r="M601" s="276">
        <v>76831.28</v>
      </c>
      <c r="N601" s="276">
        <v>384156.6</v>
      </c>
      <c r="O601" s="125" t="s">
        <v>20</v>
      </c>
      <c r="P601" s="275" t="s">
        <v>1255</v>
      </c>
      <c r="Q601" s="275" t="s">
        <v>279</v>
      </c>
      <c r="R601" s="275" t="s">
        <v>10</v>
      </c>
      <c r="S601" s="275">
        <v>2013</v>
      </c>
      <c r="T601" s="275" t="s">
        <v>2698</v>
      </c>
      <c r="U601" s="275" t="s">
        <v>1240</v>
      </c>
      <c r="V601" s="272" t="s">
        <v>2699</v>
      </c>
      <c r="W601" s="282" t="s">
        <v>2008</v>
      </c>
      <c r="X601" s="18" t="s">
        <v>2700</v>
      </c>
      <c r="Y601" s="124"/>
      <c r="Z601" s="281"/>
      <c r="AA601" s="281"/>
      <c r="AB601" s="281"/>
      <c r="AC601" s="124"/>
      <c r="AD601" s="124"/>
    </row>
    <row r="602" spans="1:30" s="13" customFormat="1" ht="76.5">
      <c r="A602" s="18" t="s">
        <v>1</v>
      </c>
      <c r="B602" s="21" t="s">
        <v>44</v>
      </c>
      <c r="C602" s="125" t="s">
        <v>1187</v>
      </c>
      <c r="D602" s="125" t="s">
        <v>1223</v>
      </c>
      <c r="E602" s="125" t="s">
        <v>26</v>
      </c>
      <c r="F602" s="125"/>
      <c r="G602" s="125" t="s">
        <v>151</v>
      </c>
      <c r="H602" s="125">
        <v>541310</v>
      </c>
      <c r="I602" s="125" t="s">
        <v>28</v>
      </c>
      <c r="J602" s="125" t="s">
        <v>18</v>
      </c>
      <c r="K602" s="125" t="s">
        <v>50</v>
      </c>
      <c r="L602" s="125" t="s">
        <v>1182</v>
      </c>
      <c r="M602" s="269">
        <v>250</v>
      </c>
      <c r="N602" s="269">
        <v>1500000</v>
      </c>
      <c r="O602" s="125" t="s">
        <v>20</v>
      </c>
      <c r="P602" s="125" t="s">
        <v>1212</v>
      </c>
      <c r="Q602" s="125" t="s">
        <v>279</v>
      </c>
      <c r="R602" s="125" t="s">
        <v>21</v>
      </c>
      <c r="S602" s="270">
        <v>2013</v>
      </c>
      <c r="T602" s="125" t="s">
        <v>1224</v>
      </c>
      <c r="U602" s="125" t="s">
        <v>1225</v>
      </c>
      <c r="V602" s="271" t="s">
        <v>1226</v>
      </c>
      <c r="W602" s="282" t="s">
        <v>2008</v>
      </c>
      <c r="X602" s="21" t="s">
        <v>1227</v>
      </c>
      <c r="Y602" s="124"/>
      <c r="Z602" s="124"/>
      <c r="AA602" s="124"/>
      <c r="AB602" s="124"/>
      <c r="AC602" s="124"/>
      <c r="AD602" s="124"/>
    </row>
    <row r="603" spans="1:30" s="13" customFormat="1" ht="38.25">
      <c r="A603" s="18" t="s">
        <v>1</v>
      </c>
      <c r="B603" s="21" t="s">
        <v>44</v>
      </c>
      <c r="C603" s="125" t="s">
        <v>35</v>
      </c>
      <c r="D603" s="125" t="s">
        <v>1246</v>
      </c>
      <c r="E603" s="125" t="s">
        <v>77</v>
      </c>
      <c r="F603" s="125" t="s">
        <v>1247</v>
      </c>
      <c r="G603" s="125" t="s">
        <v>151</v>
      </c>
      <c r="H603" s="125">
        <v>238210</v>
      </c>
      <c r="I603" s="125" t="s">
        <v>28</v>
      </c>
      <c r="J603" s="125" t="s">
        <v>79</v>
      </c>
      <c r="K603" s="125" t="s">
        <v>50</v>
      </c>
      <c r="L603" s="125" t="s">
        <v>1182</v>
      </c>
      <c r="M603" s="269">
        <v>2000000</v>
      </c>
      <c r="N603" s="269">
        <v>2000000</v>
      </c>
      <c r="O603" s="125" t="s">
        <v>20</v>
      </c>
      <c r="P603" s="125" t="s">
        <v>1248</v>
      </c>
      <c r="Q603" s="125" t="s">
        <v>279</v>
      </c>
      <c r="R603" s="125" t="s">
        <v>21</v>
      </c>
      <c r="S603" s="270">
        <v>2013</v>
      </c>
      <c r="T603" s="125" t="s">
        <v>1249</v>
      </c>
      <c r="U603" s="125" t="s">
        <v>1250</v>
      </c>
      <c r="V603" s="271" t="s">
        <v>1251</v>
      </c>
      <c r="W603" s="282" t="s">
        <v>2008</v>
      </c>
      <c r="X603" s="21" t="s">
        <v>1186</v>
      </c>
      <c r="Y603" s="124"/>
      <c r="Z603" s="124"/>
      <c r="AA603" s="124"/>
      <c r="AB603" s="124"/>
      <c r="AC603" s="124"/>
      <c r="AD603" s="124"/>
    </row>
    <row r="604" spans="1:30" s="13" customFormat="1" ht="38.25">
      <c r="A604" s="18" t="s">
        <v>1</v>
      </c>
      <c r="B604" s="21" t="s">
        <v>44</v>
      </c>
      <c r="C604" s="125" t="s">
        <v>35</v>
      </c>
      <c r="D604" s="125" t="s">
        <v>1246</v>
      </c>
      <c r="E604" s="275" t="s">
        <v>77</v>
      </c>
      <c r="F604" s="125" t="s">
        <v>1247</v>
      </c>
      <c r="G604" s="125" t="s">
        <v>151</v>
      </c>
      <c r="H604" s="125">
        <v>238290</v>
      </c>
      <c r="I604" s="125"/>
      <c r="J604" s="125" t="s">
        <v>478</v>
      </c>
      <c r="K604" s="125" t="s">
        <v>50</v>
      </c>
      <c r="L604" s="125" t="s">
        <v>1252</v>
      </c>
      <c r="M604" s="269"/>
      <c r="N604" s="269"/>
      <c r="O604" s="125" t="s">
        <v>20</v>
      </c>
      <c r="P604" s="125"/>
      <c r="Q604" s="125" t="s">
        <v>279</v>
      </c>
      <c r="R604" s="125" t="s">
        <v>41</v>
      </c>
      <c r="S604" s="270">
        <v>2013</v>
      </c>
      <c r="T604" s="125" t="s">
        <v>1249</v>
      </c>
      <c r="U604" s="125" t="s">
        <v>1250</v>
      </c>
      <c r="V604" s="271" t="s">
        <v>1251</v>
      </c>
      <c r="W604" s="282" t="s">
        <v>2008</v>
      </c>
      <c r="X604" s="21" t="s">
        <v>1252</v>
      </c>
      <c r="Y604" s="124"/>
      <c r="Z604" s="124"/>
      <c r="AA604" s="124"/>
      <c r="AB604" s="124"/>
      <c r="AC604" s="124"/>
      <c r="AD604" s="124"/>
    </row>
    <row r="605" spans="1:30" s="13" customFormat="1" ht="38.25">
      <c r="A605" s="18" t="s">
        <v>1</v>
      </c>
      <c r="B605" s="21" t="s">
        <v>44</v>
      </c>
      <c r="C605" s="125" t="s">
        <v>35</v>
      </c>
      <c r="D605" s="125" t="s">
        <v>1246</v>
      </c>
      <c r="E605" s="275" t="s">
        <v>77</v>
      </c>
      <c r="F605" s="125" t="s">
        <v>1260</v>
      </c>
      <c r="G605" s="125" t="s">
        <v>151</v>
      </c>
      <c r="H605" s="125">
        <v>238290</v>
      </c>
      <c r="I605" s="125"/>
      <c r="J605" s="125" t="s">
        <v>478</v>
      </c>
      <c r="K605" s="125" t="s">
        <v>50</v>
      </c>
      <c r="L605" s="125" t="s">
        <v>1252</v>
      </c>
      <c r="M605" s="269"/>
      <c r="N605" s="269"/>
      <c r="O605" s="125" t="s">
        <v>20</v>
      </c>
      <c r="P605" s="125"/>
      <c r="Q605" s="125" t="s">
        <v>279</v>
      </c>
      <c r="R605" s="125" t="s">
        <v>41</v>
      </c>
      <c r="S605" s="270">
        <v>2013</v>
      </c>
      <c r="T605" s="125" t="s">
        <v>1261</v>
      </c>
      <c r="U605" s="125" t="s">
        <v>1262</v>
      </c>
      <c r="V605" s="271" t="s">
        <v>1263</v>
      </c>
      <c r="W605" s="282" t="s">
        <v>2008</v>
      </c>
      <c r="X605" s="21" t="s">
        <v>1252</v>
      </c>
      <c r="Y605" s="124"/>
      <c r="Z605" s="124"/>
      <c r="AA605" s="124"/>
      <c r="AB605" s="124"/>
      <c r="AC605" s="124"/>
      <c r="AD605" s="124"/>
    </row>
    <row r="606" spans="1:30" s="13" customFormat="1" ht="38.25">
      <c r="A606" s="18" t="s">
        <v>1</v>
      </c>
      <c r="B606" s="21" t="s">
        <v>44</v>
      </c>
      <c r="C606" s="125" t="s">
        <v>35</v>
      </c>
      <c r="D606" s="125" t="s">
        <v>1246</v>
      </c>
      <c r="E606" s="275" t="s">
        <v>77</v>
      </c>
      <c r="F606" s="125" t="s">
        <v>1264</v>
      </c>
      <c r="G606" s="125" t="s">
        <v>151</v>
      </c>
      <c r="H606" s="125">
        <v>238290</v>
      </c>
      <c r="I606" s="125"/>
      <c r="J606" s="125" t="s">
        <v>478</v>
      </c>
      <c r="K606" s="125" t="s">
        <v>50</v>
      </c>
      <c r="L606" s="125" t="s">
        <v>1252</v>
      </c>
      <c r="M606" s="269"/>
      <c r="N606" s="269"/>
      <c r="O606" s="125" t="s">
        <v>20</v>
      </c>
      <c r="P606" s="125"/>
      <c r="Q606" s="125" t="s">
        <v>279</v>
      </c>
      <c r="R606" s="125" t="s">
        <v>41</v>
      </c>
      <c r="S606" s="270">
        <v>2013</v>
      </c>
      <c r="T606" s="125" t="s">
        <v>1265</v>
      </c>
      <c r="U606" s="125" t="s">
        <v>1266</v>
      </c>
      <c r="V606" s="271" t="s">
        <v>1267</v>
      </c>
      <c r="W606" s="282" t="s">
        <v>2008</v>
      </c>
      <c r="X606" s="21" t="s">
        <v>1252</v>
      </c>
      <c r="Y606" s="124"/>
      <c r="Z606" s="124"/>
      <c r="AA606" s="124"/>
      <c r="AB606" s="124"/>
      <c r="AC606" s="124"/>
      <c r="AD606" s="124"/>
    </row>
    <row r="607" spans="1:30" s="13" customFormat="1" ht="38.25">
      <c r="A607" s="18" t="s">
        <v>1</v>
      </c>
      <c r="B607" s="21" t="s">
        <v>44</v>
      </c>
      <c r="C607" s="125" t="s">
        <v>35</v>
      </c>
      <c r="D607" s="125" t="s">
        <v>1246</v>
      </c>
      <c r="E607" s="275" t="s">
        <v>77</v>
      </c>
      <c r="F607" s="125" t="s">
        <v>1268</v>
      </c>
      <c r="G607" s="125" t="s">
        <v>151</v>
      </c>
      <c r="H607" s="125">
        <v>238290</v>
      </c>
      <c r="I607" s="125"/>
      <c r="J607" s="125" t="s">
        <v>478</v>
      </c>
      <c r="K607" s="125" t="s">
        <v>50</v>
      </c>
      <c r="L607" s="125" t="s">
        <v>1252</v>
      </c>
      <c r="M607" s="269"/>
      <c r="N607" s="269"/>
      <c r="O607" s="125" t="s">
        <v>20</v>
      </c>
      <c r="P607" s="125"/>
      <c r="Q607" s="125" t="s">
        <v>279</v>
      </c>
      <c r="R607" s="125" t="s">
        <v>21</v>
      </c>
      <c r="S607" s="270">
        <v>2013</v>
      </c>
      <c r="T607" s="125" t="s">
        <v>1269</v>
      </c>
      <c r="U607" s="125" t="s">
        <v>1270</v>
      </c>
      <c r="V607" s="271" t="s">
        <v>1271</v>
      </c>
      <c r="W607" s="282" t="s">
        <v>2008</v>
      </c>
      <c r="X607" s="21" t="s">
        <v>1252</v>
      </c>
      <c r="Y607" s="124"/>
      <c r="Z607" s="124"/>
      <c r="AA607" s="124"/>
      <c r="AB607" s="124"/>
      <c r="AC607" s="124"/>
      <c r="AD607" s="124"/>
    </row>
    <row r="608" spans="1:30" s="13" customFormat="1" ht="89.25">
      <c r="A608" s="18" t="s">
        <v>1</v>
      </c>
      <c r="B608" s="21" t="s">
        <v>44</v>
      </c>
      <c r="C608" s="125" t="s">
        <v>35</v>
      </c>
      <c r="D608" s="125" t="s">
        <v>1215</v>
      </c>
      <c r="E608" s="125" t="s">
        <v>138</v>
      </c>
      <c r="F608" s="125" t="s">
        <v>2701</v>
      </c>
      <c r="G608" s="125" t="s">
        <v>2702</v>
      </c>
      <c r="H608" s="125">
        <v>236220</v>
      </c>
      <c r="I608" s="125" t="s">
        <v>28</v>
      </c>
      <c r="J608" s="125" t="s">
        <v>18</v>
      </c>
      <c r="K608" s="125" t="s">
        <v>50</v>
      </c>
      <c r="L608" s="125" t="s">
        <v>1182</v>
      </c>
      <c r="M608" s="269">
        <v>2500</v>
      </c>
      <c r="N608" s="269">
        <v>2000000</v>
      </c>
      <c r="O608" s="125" t="s">
        <v>20</v>
      </c>
      <c r="P608" s="125" t="s">
        <v>1216</v>
      </c>
      <c r="Q608" s="125" t="s">
        <v>279</v>
      </c>
      <c r="R608" s="125" t="s">
        <v>10</v>
      </c>
      <c r="S608" s="270">
        <v>2013</v>
      </c>
      <c r="T608" s="125" t="s">
        <v>1217</v>
      </c>
      <c r="U608" s="125" t="s">
        <v>1218</v>
      </c>
      <c r="V608" s="271" t="s">
        <v>1219</v>
      </c>
      <c r="W608" s="282" t="s">
        <v>2008</v>
      </c>
      <c r="X608" s="21" t="s">
        <v>2703</v>
      </c>
      <c r="Y608" s="124"/>
      <c r="Z608" s="281"/>
      <c r="AA608" s="281"/>
      <c r="AB608" s="281"/>
      <c r="AC608" s="124"/>
      <c r="AD608" s="124"/>
    </row>
    <row r="609" spans="1:30" s="13" customFormat="1" ht="89.25">
      <c r="A609" s="18" t="s">
        <v>1</v>
      </c>
      <c r="B609" s="21" t="s">
        <v>44</v>
      </c>
      <c r="C609" s="125" t="s">
        <v>35</v>
      </c>
      <c r="D609" s="125" t="s">
        <v>1215</v>
      </c>
      <c r="E609" s="125" t="s">
        <v>138</v>
      </c>
      <c r="F609" s="125" t="s">
        <v>1221</v>
      </c>
      <c r="G609" s="125" t="s">
        <v>2702</v>
      </c>
      <c r="H609" s="125">
        <v>236220</v>
      </c>
      <c r="I609" s="125" t="s">
        <v>28</v>
      </c>
      <c r="J609" s="125" t="s">
        <v>18</v>
      </c>
      <c r="K609" s="125" t="s">
        <v>50</v>
      </c>
      <c r="L609" s="125" t="s">
        <v>1182</v>
      </c>
      <c r="M609" s="269">
        <v>2500</v>
      </c>
      <c r="N609" s="269">
        <v>2000000</v>
      </c>
      <c r="O609" s="125" t="s">
        <v>20</v>
      </c>
      <c r="P609" s="125" t="s">
        <v>1222</v>
      </c>
      <c r="Q609" s="125" t="s">
        <v>279</v>
      </c>
      <c r="R609" s="125" t="s">
        <v>10</v>
      </c>
      <c r="S609" s="270">
        <v>2013</v>
      </c>
      <c r="T609" s="125" t="s">
        <v>1217</v>
      </c>
      <c r="U609" s="125" t="s">
        <v>1218</v>
      </c>
      <c r="V609" s="271" t="s">
        <v>1219</v>
      </c>
      <c r="W609" s="282" t="s">
        <v>2008</v>
      </c>
      <c r="X609" s="21" t="s">
        <v>2703</v>
      </c>
      <c r="Y609" s="124"/>
      <c r="Z609" s="281"/>
      <c r="AA609" s="281"/>
      <c r="AB609" s="281"/>
      <c r="AC609" s="124"/>
      <c r="AD609" s="124"/>
    </row>
    <row r="610" spans="1:30" s="13" customFormat="1" ht="38.25">
      <c r="A610" s="18" t="s">
        <v>1</v>
      </c>
      <c r="B610" s="21" t="s">
        <v>44</v>
      </c>
      <c r="C610" s="125" t="s">
        <v>35</v>
      </c>
      <c r="D610" s="125" t="s">
        <v>1272</v>
      </c>
      <c r="E610" s="125" t="s">
        <v>138</v>
      </c>
      <c r="F610" s="125" t="s">
        <v>1273</v>
      </c>
      <c r="G610" s="125" t="s">
        <v>179</v>
      </c>
      <c r="H610" s="125">
        <v>236220</v>
      </c>
      <c r="I610" s="125"/>
      <c r="J610" s="125" t="s">
        <v>557</v>
      </c>
      <c r="K610" s="125" t="s">
        <v>50</v>
      </c>
      <c r="L610" s="125" t="s">
        <v>19</v>
      </c>
      <c r="M610" s="269">
        <v>250000</v>
      </c>
      <c r="N610" s="269">
        <v>500000</v>
      </c>
      <c r="O610" s="125" t="s">
        <v>20</v>
      </c>
      <c r="P610" s="125" t="s">
        <v>278</v>
      </c>
      <c r="Q610" s="125" t="s">
        <v>279</v>
      </c>
      <c r="R610" s="125" t="s">
        <v>21</v>
      </c>
      <c r="S610" s="270">
        <v>2013</v>
      </c>
      <c r="T610" s="125" t="s">
        <v>1274</v>
      </c>
      <c r="U610" s="125" t="s">
        <v>1275</v>
      </c>
      <c r="V610" s="271" t="s">
        <v>1276</v>
      </c>
      <c r="W610" s="282" t="s">
        <v>2008</v>
      </c>
      <c r="X610" s="21" t="s">
        <v>1277</v>
      </c>
      <c r="Y610" s="124"/>
      <c r="Z610" s="281"/>
      <c r="AA610" s="281"/>
      <c r="AB610" s="281"/>
      <c r="AC610" s="124"/>
      <c r="AD610" s="124"/>
    </row>
    <row r="611" spans="1:30" s="13" customFormat="1" ht="38.25">
      <c r="A611" s="18" t="s">
        <v>1</v>
      </c>
      <c r="B611" s="21" t="s">
        <v>44</v>
      </c>
      <c r="C611" s="125" t="s">
        <v>35</v>
      </c>
      <c r="D611" s="125" t="s">
        <v>1278</v>
      </c>
      <c r="E611" s="125" t="s">
        <v>138</v>
      </c>
      <c r="F611" s="125" t="s">
        <v>1273</v>
      </c>
      <c r="G611" s="125" t="s">
        <v>179</v>
      </c>
      <c r="H611" s="125">
        <v>236220</v>
      </c>
      <c r="I611" s="125"/>
      <c r="J611" s="125" t="s">
        <v>557</v>
      </c>
      <c r="K611" s="125" t="s">
        <v>50</v>
      </c>
      <c r="L611" s="125" t="s">
        <v>19</v>
      </c>
      <c r="M611" s="269">
        <v>250000</v>
      </c>
      <c r="N611" s="269">
        <v>500000</v>
      </c>
      <c r="O611" s="125" t="s">
        <v>20</v>
      </c>
      <c r="P611" s="125" t="s">
        <v>278</v>
      </c>
      <c r="Q611" s="125" t="s">
        <v>279</v>
      </c>
      <c r="R611" s="125" t="s">
        <v>21</v>
      </c>
      <c r="S611" s="270">
        <v>2013</v>
      </c>
      <c r="T611" s="125" t="s">
        <v>1274</v>
      </c>
      <c r="U611" s="125" t="s">
        <v>1275</v>
      </c>
      <c r="V611" s="271" t="s">
        <v>1276</v>
      </c>
      <c r="W611" s="282" t="s">
        <v>2008</v>
      </c>
      <c r="X611" s="21" t="s">
        <v>1277</v>
      </c>
      <c r="Y611" s="124"/>
      <c r="Z611" s="281"/>
      <c r="AA611" s="281"/>
      <c r="AB611" s="281"/>
      <c r="AC611" s="124"/>
      <c r="AD611" s="124"/>
    </row>
    <row r="612" spans="1:30" s="13" customFormat="1" ht="38.25">
      <c r="A612" s="18" t="s">
        <v>1</v>
      </c>
      <c r="B612" s="21" t="s">
        <v>44</v>
      </c>
      <c r="C612" s="275" t="s">
        <v>35</v>
      </c>
      <c r="D612" s="272" t="s">
        <v>1228</v>
      </c>
      <c r="E612" s="273" t="s">
        <v>77</v>
      </c>
      <c r="F612" s="274" t="s">
        <v>1229</v>
      </c>
      <c r="G612" s="275" t="s">
        <v>2704</v>
      </c>
      <c r="H612" s="275">
        <v>238220</v>
      </c>
      <c r="I612" s="275"/>
      <c r="J612" s="275" t="s">
        <v>1230</v>
      </c>
      <c r="K612" s="275" t="s">
        <v>50</v>
      </c>
      <c r="L612" s="275" t="s">
        <v>1198</v>
      </c>
      <c r="M612" s="275">
        <v>350000</v>
      </c>
      <c r="N612" s="276">
        <v>1800000</v>
      </c>
      <c r="O612" s="125" t="s">
        <v>20</v>
      </c>
      <c r="P612" s="275" t="s">
        <v>1231</v>
      </c>
      <c r="Q612" s="275" t="s">
        <v>279</v>
      </c>
      <c r="R612" s="275" t="s">
        <v>21</v>
      </c>
      <c r="S612" s="275">
        <v>2013</v>
      </c>
      <c r="T612" s="275" t="s">
        <v>1188</v>
      </c>
      <c r="U612" s="275" t="s">
        <v>1232</v>
      </c>
      <c r="V612" s="272" t="s">
        <v>1189</v>
      </c>
      <c r="W612" s="282" t="s">
        <v>2008</v>
      </c>
      <c r="X612" s="18" t="s">
        <v>1233</v>
      </c>
      <c r="Y612" s="124"/>
      <c r="Z612" s="281"/>
      <c r="AA612" s="281"/>
      <c r="AB612" s="281"/>
      <c r="AC612" s="124"/>
      <c r="AD612" s="124"/>
    </row>
    <row r="613" spans="1:30" s="13" customFormat="1" ht="38.25">
      <c r="A613" s="18" t="s">
        <v>1</v>
      </c>
      <c r="B613" s="21" t="s">
        <v>44</v>
      </c>
      <c r="C613" s="275" t="s">
        <v>1187</v>
      </c>
      <c r="D613" s="275" t="s">
        <v>1228</v>
      </c>
      <c r="E613" s="275" t="s">
        <v>77</v>
      </c>
      <c r="F613" s="275" t="s">
        <v>1241</v>
      </c>
      <c r="G613" s="275" t="s">
        <v>2704</v>
      </c>
      <c r="H613" s="275">
        <v>561720</v>
      </c>
      <c r="I613" s="275"/>
      <c r="J613" s="275" t="s">
        <v>18</v>
      </c>
      <c r="K613" s="275" t="s">
        <v>50</v>
      </c>
      <c r="L613" s="275" t="s">
        <v>1198</v>
      </c>
      <c r="M613" s="275"/>
      <c r="N613" s="275"/>
      <c r="O613" s="125" t="s">
        <v>20</v>
      </c>
      <c r="P613" s="275" t="s">
        <v>654</v>
      </c>
      <c r="Q613" s="275" t="s">
        <v>279</v>
      </c>
      <c r="R613" s="275" t="s">
        <v>21</v>
      </c>
      <c r="S613" s="275">
        <v>2013</v>
      </c>
      <c r="T613" s="275" t="s">
        <v>1242</v>
      </c>
      <c r="U613" s="275" t="s">
        <v>1243</v>
      </c>
      <c r="V613" s="272" t="s">
        <v>1244</v>
      </c>
      <c r="W613" s="282" t="s">
        <v>2008</v>
      </c>
      <c r="X613" s="18" t="s">
        <v>1233</v>
      </c>
      <c r="Y613" s="124"/>
      <c r="Z613" s="281"/>
      <c r="AA613" s="281"/>
      <c r="AB613" s="281"/>
      <c r="AC613" s="124"/>
      <c r="AD613" s="124"/>
    </row>
    <row r="614" spans="1:30" s="13" customFormat="1" ht="38.25">
      <c r="A614" s="18" t="s">
        <v>1</v>
      </c>
      <c r="B614" s="21" t="s">
        <v>44</v>
      </c>
      <c r="C614" s="125" t="s">
        <v>1187</v>
      </c>
      <c r="D614" s="125" t="s">
        <v>1234</v>
      </c>
      <c r="E614" s="275" t="s">
        <v>77</v>
      </c>
      <c r="F614" s="125" t="s">
        <v>1241</v>
      </c>
      <c r="G614" s="125" t="s">
        <v>2704</v>
      </c>
      <c r="H614" s="125">
        <v>561720</v>
      </c>
      <c r="I614" s="125"/>
      <c r="J614" s="275" t="s">
        <v>18</v>
      </c>
      <c r="K614" s="275" t="s">
        <v>50</v>
      </c>
      <c r="L614" s="275" t="s">
        <v>1198</v>
      </c>
      <c r="M614" s="269"/>
      <c r="N614" s="269"/>
      <c r="O614" s="125" t="s">
        <v>20</v>
      </c>
      <c r="P614" s="125" t="s">
        <v>1245</v>
      </c>
      <c r="Q614" s="275" t="s">
        <v>279</v>
      </c>
      <c r="R614" s="275" t="s">
        <v>21</v>
      </c>
      <c r="S614" s="275">
        <v>2013</v>
      </c>
      <c r="T614" s="275" t="s">
        <v>1242</v>
      </c>
      <c r="U614" s="275" t="s">
        <v>1243</v>
      </c>
      <c r="V614" s="272" t="s">
        <v>1244</v>
      </c>
      <c r="W614" s="282" t="s">
        <v>2008</v>
      </c>
      <c r="X614" s="18" t="s">
        <v>1233</v>
      </c>
      <c r="Y614" s="124"/>
      <c r="Z614" s="281"/>
      <c r="AA614" s="281"/>
      <c r="AB614" s="281"/>
      <c r="AC614" s="124"/>
      <c r="AD614" s="124"/>
    </row>
    <row r="615" spans="1:30" s="13" customFormat="1" ht="38.25">
      <c r="A615" s="18" t="s">
        <v>1</v>
      </c>
      <c r="B615" s="21" t="s">
        <v>44</v>
      </c>
      <c r="C615" s="125" t="s">
        <v>35</v>
      </c>
      <c r="D615" s="125" t="s">
        <v>1179</v>
      </c>
      <c r="E615" s="125" t="s">
        <v>138</v>
      </c>
      <c r="F615" s="125" t="s">
        <v>1180</v>
      </c>
      <c r="G615" s="125" t="s">
        <v>213</v>
      </c>
      <c r="H615" s="125">
        <v>236220</v>
      </c>
      <c r="I615" s="125" t="s">
        <v>19</v>
      </c>
      <c r="J615" s="125" t="s">
        <v>2174</v>
      </c>
      <c r="K615" s="125" t="s">
        <v>50</v>
      </c>
      <c r="L615" s="125" t="s">
        <v>19</v>
      </c>
      <c r="M615" s="269">
        <v>194000</v>
      </c>
      <c r="N615" s="269">
        <v>300000</v>
      </c>
      <c r="O615" s="125" t="s">
        <v>20</v>
      </c>
      <c r="P615" s="125" t="s">
        <v>278</v>
      </c>
      <c r="Q615" s="125" t="s">
        <v>279</v>
      </c>
      <c r="R615" s="125" t="s">
        <v>10</v>
      </c>
      <c r="S615" s="270">
        <v>2013</v>
      </c>
      <c r="T615" s="125" t="s">
        <v>1183</v>
      </c>
      <c r="U615" s="125" t="s">
        <v>1184</v>
      </c>
      <c r="V615" s="271" t="s">
        <v>1185</v>
      </c>
      <c r="W615" s="282" t="s">
        <v>2008</v>
      </c>
      <c r="X615" s="21" t="s">
        <v>1186</v>
      </c>
      <c r="Y615" s="124"/>
      <c r="Z615" s="281"/>
      <c r="AA615" s="281"/>
      <c r="AB615" s="124"/>
      <c r="AC615" s="124"/>
      <c r="AD615" s="124"/>
    </row>
    <row r="616" spans="1:30" s="13" customFormat="1" ht="89.25">
      <c r="A616" s="18" t="s">
        <v>1</v>
      </c>
      <c r="B616" s="21" t="s">
        <v>44</v>
      </c>
      <c r="C616" s="125" t="s">
        <v>35</v>
      </c>
      <c r="D616" s="125" t="s">
        <v>1215</v>
      </c>
      <c r="E616" s="125" t="s">
        <v>138</v>
      </c>
      <c r="F616" s="125" t="s">
        <v>2705</v>
      </c>
      <c r="G616" s="125" t="s">
        <v>213</v>
      </c>
      <c r="H616" s="125">
        <v>236220</v>
      </c>
      <c r="I616" s="125" t="s">
        <v>28</v>
      </c>
      <c r="J616" s="125" t="s">
        <v>18</v>
      </c>
      <c r="K616" s="125" t="s">
        <v>50</v>
      </c>
      <c r="L616" s="125" t="s">
        <v>1182</v>
      </c>
      <c r="M616" s="269">
        <v>2500</v>
      </c>
      <c r="N616" s="269">
        <v>2000000</v>
      </c>
      <c r="O616" s="125" t="s">
        <v>20</v>
      </c>
      <c r="P616" s="125" t="s">
        <v>278</v>
      </c>
      <c r="Q616" s="125" t="s">
        <v>279</v>
      </c>
      <c r="R616" s="125" t="s">
        <v>10</v>
      </c>
      <c r="S616" s="270">
        <v>2013</v>
      </c>
      <c r="T616" s="125" t="s">
        <v>1220</v>
      </c>
      <c r="U616" s="125" t="s">
        <v>1218</v>
      </c>
      <c r="V616" s="271" t="s">
        <v>1219</v>
      </c>
      <c r="W616" s="282" t="s">
        <v>2008</v>
      </c>
      <c r="X616" s="21" t="s">
        <v>2703</v>
      </c>
      <c r="Y616" s="124"/>
      <c r="Z616" s="281"/>
      <c r="AA616" s="281"/>
      <c r="AB616" s="281"/>
      <c r="AC616" s="124"/>
      <c r="AD616" s="124"/>
    </row>
    <row r="617" spans="1:30" s="13" customFormat="1" ht="38.25">
      <c r="A617" s="18" t="s">
        <v>1</v>
      </c>
      <c r="B617" s="21" t="s">
        <v>44</v>
      </c>
      <c r="C617" s="125" t="s">
        <v>3</v>
      </c>
      <c r="D617" s="125" t="s">
        <v>1279</v>
      </c>
      <c r="E617" s="125" t="s">
        <v>120</v>
      </c>
      <c r="F617" s="125" t="s">
        <v>1281</v>
      </c>
      <c r="G617" s="125" t="s">
        <v>213</v>
      </c>
      <c r="H617" s="125">
        <v>561720</v>
      </c>
      <c r="I617" s="125" t="s">
        <v>1193</v>
      </c>
      <c r="J617" s="125" t="s">
        <v>478</v>
      </c>
      <c r="K617" s="125" t="s">
        <v>50</v>
      </c>
      <c r="L617" s="125" t="s">
        <v>1252</v>
      </c>
      <c r="M617" s="269"/>
      <c r="N617" s="269">
        <v>598846.56000000006</v>
      </c>
      <c r="O617" s="125" t="s">
        <v>20</v>
      </c>
      <c r="P617" s="125" t="s">
        <v>2706</v>
      </c>
      <c r="Q617" s="125" t="s">
        <v>279</v>
      </c>
      <c r="R617" s="125" t="s">
        <v>10</v>
      </c>
      <c r="S617" s="270">
        <v>2013</v>
      </c>
      <c r="T617" s="125" t="s">
        <v>1282</v>
      </c>
      <c r="U617" s="125" t="s">
        <v>1283</v>
      </c>
      <c r="V617" s="271" t="s">
        <v>1284</v>
      </c>
      <c r="W617" s="282" t="s">
        <v>2008</v>
      </c>
      <c r="X617" s="21" t="s">
        <v>2707</v>
      </c>
      <c r="Y617" s="124"/>
      <c r="Z617" s="281"/>
      <c r="AA617" s="281"/>
      <c r="AB617" s="281"/>
      <c r="AC617" s="124"/>
      <c r="AD617" s="124"/>
    </row>
    <row r="618" spans="1:30" s="13" customFormat="1" ht="38.25">
      <c r="A618" s="18" t="s">
        <v>1</v>
      </c>
      <c r="B618" s="21" t="s">
        <v>44</v>
      </c>
      <c r="C618" s="125" t="s">
        <v>35</v>
      </c>
      <c r="D618" s="125" t="s">
        <v>2708</v>
      </c>
      <c r="E618" s="125" t="s">
        <v>138</v>
      </c>
      <c r="F618" s="125" t="s">
        <v>2709</v>
      </c>
      <c r="G618" s="125" t="s">
        <v>153</v>
      </c>
      <c r="H618" s="125">
        <v>238120</v>
      </c>
      <c r="I618" s="125" t="s">
        <v>19</v>
      </c>
      <c r="J618" s="125" t="s">
        <v>2174</v>
      </c>
      <c r="K618" s="125" t="s">
        <v>50</v>
      </c>
      <c r="L618" s="125" t="s">
        <v>19</v>
      </c>
      <c r="M618" s="269">
        <v>150000</v>
      </c>
      <c r="N618" s="269">
        <v>300000</v>
      </c>
      <c r="O618" s="125" t="s">
        <v>20</v>
      </c>
      <c r="P618" s="125" t="s">
        <v>278</v>
      </c>
      <c r="Q618" s="125" t="s">
        <v>279</v>
      </c>
      <c r="R618" s="125"/>
      <c r="S618" s="270">
        <v>2013</v>
      </c>
      <c r="T618" s="125" t="s">
        <v>1183</v>
      </c>
      <c r="U618" s="125" t="s">
        <v>1184</v>
      </c>
      <c r="V618" s="271" t="s">
        <v>1185</v>
      </c>
      <c r="W618" s="282" t="s">
        <v>2008</v>
      </c>
      <c r="X618" s="21" t="s">
        <v>1186</v>
      </c>
      <c r="Y618" s="124"/>
      <c r="Z618" s="281"/>
      <c r="AA618" s="281"/>
      <c r="AB618" s="124"/>
      <c r="AC618" s="124"/>
      <c r="AD618" s="124"/>
    </row>
    <row r="619" spans="1:30" s="13" customFormat="1" ht="51">
      <c r="A619" s="18" t="s">
        <v>1</v>
      </c>
      <c r="B619" s="21" t="s">
        <v>44</v>
      </c>
      <c r="C619" s="125" t="s">
        <v>35</v>
      </c>
      <c r="D619" s="125" t="s">
        <v>2711</v>
      </c>
      <c r="E619" s="125" t="s">
        <v>138</v>
      </c>
      <c r="F619" s="125" t="s">
        <v>1229</v>
      </c>
      <c r="G619" s="125" t="s">
        <v>2696</v>
      </c>
      <c r="H619" s="125">
        <v>236220</v>
      </c>
      <c r="I619" s="125" t="s">
        <v>28</v>
      </c>
      <c r="J619" s="125" t="s">
        <v>2174</v>
      </c>
      <c r="K619" s="125" t="s">
        <v>50</v>
      </c>
      <c r="L619" s="125" t="s">
        <v>1182</v>
      </c>
      <c r="M619" s="269">
        <v>500000</v>
      </c>
      <c r="N619" s="269">
        <v>900000</v>
      </c>
      <c r="O619" s="125" t="s">
        <v>20</v>
      </c>
      <c r="P619" s="125" t="s">
        <v>278</v>
      </c>
      <c r="Q619" s="125" t="s">
        <v>279</v>
      </c>
      <c r="R619" s="125" t="s">
        <v>21</v>
      </c>
      <c r="S619" s="270">
        <v>2013</v>
      </c>
      <c r="T619" s="125" t="s">
        <v>1236</v>
      </c>
      <c r="U619" s="125" t="s">
        <v>1237</v>
      </c>
      <c r="V619" s="271" t="s">
        <v>1192</v>
      </c>
      <c r="W619" s="282" t="s">
        <v>2008</v>
      </c>
      <c r="X619" s="21" t="s">
        <v>2712</v>
      </c>
      <c r="Y619" s="124"/>
      <c r="Z619" s="281"/>
      <c r="AA619" s="281"/>
      <c r="AB619" s="124"/>
      <c r="AC619" s="124"/>
      <c r="AD619" s="124"/>
    </row>
    <row r="620" spans="1:30" s="13" customFormat="1" ht="38.25">
      <c r="A620" s="18" t="s">
        <v>1</v>
      </c>
      <c r="B620" s="21" t="s">
        <v>44</v>
      </c>
      <c r="C620" s="125" t="s">
        <v>35</v>
      </c>
      <c r="D620" s="125" t="s">
        <v>2713</v>
      </c>
      <c r="E620" s="125" t="s">
        <v>138</v>
      </c>
      <c r="F620" s="125" t="s">
        <v>1229</v>
      </c>
      <c r="G620" s="125" t="s">
        <v>2696</v>
      </c>
      <c r="H620" s="125">
        <v>236220</v>
      </c>
      <c r="I620" s="125" t="s">
        <v>28</v>
      </c>
      <c r="J620" s="125" t="s">
        <v>2174</v>
      </c>
      <c r="K620" s="125" t="s">
        <v>50</v>
      </c>
      <c r="L620" s="125" t="s">
        <v>1182</v>
      </c>
      <c r="M620" s="269">
        <v>200000</v>
      </c>
      <c r="N620" s="269">
        <v>200000</v>
      </c>
      <c r="O620" s="125" t="s">
        <v>20</v>
      </c>
      <c r="P620" s="125" t="s">
        <v>278</v>
      </c>
      <c r="Q620" s="125" t="s">
        <v>279</v>
      </c>
      <c r="R620" s="125" t="s">
        <v>41</v>
      </c>
      <c r="S620" s="270">
        <v>2013</v>
      </c>
      <c r="T620" s="125" t="s">
        <v>1236</v>
      </c>
      <c r="U620" s="125" t="s">
        <v>1237</v>
      </c>
      <c r="V620" s="271" t="s">
        <v>2699</v>
      </c>
      <c r="W620" s="282" t="s">
        <v>2008</v>
      </c>
      <c r="X620" s="21" t="s">
        <v>2714</v>
      </c>
      <c r="Y620" s="124"/>
      <c r="Z620" s="281"/>
      <c r="AA620" s="281"/>
      <c r="AB620" s="124"/>
      <c r="AC620" s="124"/>
      <c r="AD620" s="124"/>
    </row>
    <row r="621" spans="1:30" s="13" customFormat="1" ht="38.25">
      <c r="A621" s="18" t="s">
        <v>1</v>
      </c>
      <c r="B621" s="21" t="s">
        <v>44</v>
      </c>
      <c r="C621" s="125" t="s">
        <v>35</v>
      </c>
      <c r="D621" s="125" t="s">
        <v>2715</v>
      </c>
      <c r="E621" s="125" t="s">
        <v>138</v>
      </c>
      <c r="F621" s="125" t="s">
        <v>2716</v>
      </c>
      <c r="G621" s="125" t="s">
        <v>2696</v>
      </c>
      <c r="H621" s="125">
        <v>238220</v>
      </c>
      <c r="I621" s="125" t="s">
        <v>28</v>
      </c>
      <c r="J621" s="125" t="s">
        <v>2174</v>
      </c>
      <c r="K621" s="125" t="s">
        <v>50</v>
      </c>
      <c r="L621" s="125" t="s">
        <v>1182</v>
      </c>
      <c r="M621" s="269">
        <v>260000</v>
      </c>
      <c r="N621" s="269">
        <v>260000</v>
      </c>
      <c r="O621" s="125" t="s">
        <v>20</v>
      </c>
      <c r="P621" s="125" t="s">
        <v>278</v>
      </c>
      <c r="Q621" s="125" t="s">
        <v>279</v>
      </c>
      <c r="R621" s="125" t="s">
        <v>21</v>
      </c>
      <c r="S621" s="270">
        <v>2013</v>
      </c>
      <c r="T621" s="125" t="s">
        <v>2698</v>
      </c>
      <c r="U621" s="125" t="s">
        <v>2717</v>
      </c>
      <c r="V621" s="271" t="s">
        <v>2699</v>
      </c>
      <c r="W621" s="282" t="s">
        <v>2008</v>
      </c>
      <c r="X621" s="21" t="s">
        <v>2714</v>
      </c>
      <c r="Y621" s="124"/>
      <c r="Z621" s="281"/>
      <c r="AA621" s="281"/>
      <c r="AB621" s="124"/>
      <c r="AC621" s="124"/>
      <c r="AD621" s="124"/>
    </row>
    <row r="622" spans="1:30" s="13" customFormat="1" ht="38.25">
      <c r="A622" s="18" t="s">
        <v>1</v>
      </c>
      <c r="B622" s="21" t="s">
        <v>44</v>
      </c>
      <c r="C622" s="125" t="s">
        <v>35</v>
      </c>
      <c r="D622" s="125" t="s">
        <v>2718</v>
      </c>
      <c r="E622" s="125" t="s">
        <v>138</v>
      </c>
      <c r="F622" s="125" t="s">
        <v>2716</v>
      </c>
      <c r="G622" s="125" t="s">
        <v>2696</v>
      </c>
      <c r="H622" s="125">
        <v>238290</v>
      </c>
      <c r="I622" s="125" t="s">
        <v>71</v>
      </c>
      <c r="J622" s="125" t="s">
        <v>2174</v>
      </c>
      <c r="K622" s="125" t="s">
        <v>50</v>
      </c>
      <c r="L622" s="125" t="s">
        <v>1252</v>
      </c>
      <c r="M622" s="269">
        <v>15000</v>
      </c>
      <c r="N622" s="269">
        <v>25000</v>
      </c>
      <c r="O622" s="125" t="s">
        <v>9</v>
      </c>
      <c r="P622" s="125" t="s">
        <v>278</v>
      </c>
      <c r="Q622" s="125" t="s">
        <v>279</v>
      </c>
      <c r="R622" s="125" t="s">
        <v>21</v>
      </c>
      <c r="S622" s="270">
        <v>2013</v>
      </c>
      <c r="T622" s="125" t="s">
        <v>2698</v>
      </c>
      <c r="U622" s="125" t="s">
        <v>2717</v>
      </c>
      <c r="V622" s="271" t="s">
        <v>2699</v>
      </c>
      <c r="W622" s="282" t="s">
        <v>2008</v>
      </c>
      <c r="X622" s="21" t="s">
        <v>2719</v>
      </c>
      <c r="Y622" s="124"/>
      <c r="Z622" s="281"/>
      <c r="AA622" s="281"/>
      <c r="AB622" s="124"/>
      <c r="AC622" s="124"/>
      <c r="AD622" s="124"/>
    </row>
    <row r="623" spans="1:30" s="13" customFormat="1" ht="38.25">
      <c r="A623" s="18" t="s">
        <v>1</v>
      </c>
      <c r="B623" s="21" t="s">
        <v>44</v>
      </c>
      <c r="C623" s="125" t="s">
        <v>35</v>
      </c>
      <c r="D623" s="125" t="s">
        <v>2720</v>
      </c>
      <c r="E623" s="125" t="s">
        <v>138</v>
      </c>
      <c r="F623" s="125" t="s">
        <v>2721</v>
      </c>
      <c r="G623" s="125" t="s">
        <v>2696</v>
      </c>
      <c r="H623" s="125">
        <v>238220</v>
      </c>
      <c r="I623" s="125" t="s">
        <v>28</v>
      </c>
      <c r="J623" s="125" t="s">
        <v>2174</v>
      </c>
      <c r="K623" s="125" t="s">
        <v>50</v>
      </c>
      <c r="L623" s="125" t="s">
        <v>1182</v>
      </c>
      <c r="M623" s="269">
        <v>200000</v>
      </c>
      <c r="N623" s="269">
        <v>200000</v>
      </c>
      <c r="O623" s="125" t="s">
        <v>20</v>
      </c>
      <c r="P623" s="125" t="s">
        <v>278</v>
      </c>
      <c r="Q623" s="125" t="s">
        <v>279</v>
      </c>
      <c r="R623" s="125" t="s">
        <v>31</v>
      </c>
      <c r="S623" s="270">
        <v>2013</v>
      </c>
      <c r="T623" s="125" t="s">
        <v>2698</v>
      </c>
      <c r="U623" s="125" t="s">
        <v>2717</v>
      </c>
      <c r="V623" s="271" t="s">
        <v>2699</v>
      </c>
      <c r="W623" s="282" t="s">
        <v>2008</v>
      </c>
      <c r="X623" s="21" t="s">
        <v>2714</v>
      </c>
      <c r="Y623" s="124"/>
      <c r="Z623" s="281"/>
      <c r="AA623" s="281"/>
      <c r="AB623" s="124"/>
      <c r="AC623" s="124"/>
      <c r="AD623" s="124"/>
    </row>
    <row r="624" spans="1:30" s="13" customFormat="1" ht="38.25">
      <c r="A624" s="18" t="s">
        <v>1</v>
      </c>
      <c r="B624" s="21" t="s">
        <v>44</v>
      </c>
      <c r="C624" s="125" t="s">
        <v>35</v>
      </c>
      <c r="D624" s="125" t="s">
        <v>2722</v>
      </c>
      <c r="E624" s="125" t="s">
        <v>138</v>
      </c>
      <c r="F624" s="125" t="s">
        <v>1229</v>
      </c>
      <c r="G624" s="125" t="s">
        <v>2696</v>
      </c>
      <c r="H624" s="125">
        <v>238390</v>
      </c>
      <c r="I624" s="125" t="s">
        <v>28</v>
      </c>
      <c r="J624" s="125" t="s">
        <v>2174</v>
      </c>
      <c r="K624" s="125" t="s">
        <v>50</v>
      </c>
      <c r="L624" s="125" t="s">
        <v>1182</v>
      </c>
      <c r="M624" s="269">
        <v>80000</v>
      </c>
      <c r="N624" s="269">
        <v>80000</v>
      </c>
      <c r="O624" s="125" t="s">
        <v>20</v>
      </c>
      <c r="P624" s="125" t="s">
        <v>278</v>
      </c>
      <c r="Q624" s="125" t="s">
        <v>279</v>
      </c>
      <c r="R624" s="125" t="s">
        <v>21</v>
      </c>
      <c r="S624" s="270">
        <v>2013</v>
      </c>
      <c r="T624" s="125" t="s">
        <v>2723</v>
      </c>
      <c r="U624" s="125" t="s">
        <v>2724</v>
      </c>
      <c r="V624" s="271" t="s">
        <v>2725</v>
      </c>
      <c r="W624" s="282" t="s">
        <v>2008</v>
      </c>
      <c r="X624" s="21" t="s">
        <v>1186</v>
      </c>
      <c r="Y624" s="124"/>
      <c r="Z624" s="281"/>
      <c r="AA624" s="281"/>
      <c r="AB624" s="124"/>
      <c r="AC624" s="124"/>
      <c r="AD624" s="124"/>
    </row>
    <row r="625" spans="1:30" s="13" customFormat="1" ht="38.25">
      <c r="A625" s="18" t="s">
        <v>1</v>
      </c>
      <c r="B625" s="21" t="s">
        <v>44</v>
      </c>
      <c r="C625" s="125" t="s">
        <v>35</v>
      </c>
      <c r="D625" s="125" t="s">
        <v>2726</v>
      </c>
      <c r="E625" s="125" t="s">
        <v>138</v>
      </c>
      <c r="F625" s="125" t="s">
        <v>1229</v>
      </c>
      <c r="G625" s="125" t="s">
        <v>2696</v>
      </c>
      <c r="H625" s="125">
        <v>238220</v>
      </c>
      <c r="I625" s="125" t="s">
        <v>28</v>
      </c>
      <c r="J625" s="125" t="s">
        <v>2174</v>
      </c>
      <c r="K625" s="125" t="s">
        <v>50</v>
      </c>
      <c r="L625" s="125" t="s">
        <v>1182</v>
      </c>
      <c r="M625" s="269">
        <v>73000</v>
      </c>
      <c r="N625" s="269">
        <v>73000</v>
      </c>
      <c r="O625" s="125" t="s">
        <v>20</v>
      </c>
      <c r="P625" s="125" t="s">
        <v>278</v>
      </c>
      <c r="Q625" s="125" t="s">
        <v>2727</v>
      </c>
      <c r="R625" s="125" t="s">
        <v>21</v>
      </c>
      <c r="S625" s="270">
        <v>2013</v>
      </c>
      <c r="T625" s="125" t="s">
        <v>1236</v>
      </c>
      <c r="U625" s="125" t="s">
        <v>1237</v>
      </c>
      <c r="V625" s="271" t="s">
        <v>1192</v>
      </c>
      <c r="W625" s="282" t="s">
        <v>2008</v>
      </c>
      <c r="X625" s="21" t="s">
        <v>2728</v>
      </c>
      <c r="Y625" s="124"/>
      <c r="Z625" s="281"/>
      <c r="AA625" s="281"/>
      <c r="AB625" s="124"/>
      <c r="AC625" s="124"/>
      <c r="AD625" s="124"/>
    </row>
    <row r="626" spans="1:30" s="13" customFormat="1" ht="38.25">
      <c r="A626" s="18" t="s">
        <v>1</v>
      </c>
      <c r="B626" s="21" t="s">
        <v>44</v>
      </c>
      <c r="C626" s="125" t="s">
        <v>35</v>
      </c>
      <c r="D626" s="125" t="s">
        <v>2729</v>
      </c>
      <c r="E626" s="125" t="s">
        <v>138</v>
      </c>
      <c r="F626" s="125" t="s">
        <v>1241</v>
      </c>
      <c r="G626" s="125" t="s">
        <v>2691</v>
      </c>
      <c r="H626" s="125">
        <v>238990</v>
      </c>
      <c r="I626" s="125" t="s">
        <v>28</v>
      </c>
      <c r="J626" s="125" t="s">
        <v>2174</v>
      </c>
      <c r="K626" s="125" t="s">
        <v>50</v>
      </c>
      <c r="L626" s="125" t="s">
        <v>1182</v>
      </c>
      <c r="M626" s="269">
        <v>140000</v>
      </c>
      <c r="N626" s="269">
        <v>140000</v>
      </c>
      <c r="O626" s="125" t="s">
        <v>20</v>
      </c>
      <c r="P626" s="125" t="s">
        <v>278</v>
      </c>
      <c r="Q626" s="125" t="s">
        <v>279</v>
      </c>
      <c r="R626" s="125" t="s">
        <v>21</v>
      </c>
      <c r="S626" s="270">
        <v>2013</v>
      </c>
      <c r="T626" s="125" t="s">
        <v>2730</v>
      </c>
      <c r="U626" s="125" t="s">
        <v>2731</v>
      </c>
      <c r="V626" s="271" t="s">
        <v>2732</v>
      </c>
      <c r="W626" s="282" t="s">
        <v>2008</v>
      </c>
      <c r="X626" s="21" t="s">
        <v>1186</v>
      </c>
      <c r="Y626" s="124"/>
      <c r="Z626" s="281"/>
      <c r="AA626" s="281"/>
      <c r="AB626" s="124"/>
      <c r="AC626" s="124"/>
      <c r="AD626" s="124"/>
    </row>
    <row r="627" spans="1:30" s="13" customFormat="1" ht="38.25">
      <c r="A627" s="18" t="s">
        <v>1</v>
      </c>
      <c r="B627" s="21" t="s">
        <v>44</v>
      </c>
      <c r="C627" s="125" t="s">
        <v>35</v>
      </c>
      <c r="D627" s="125" t="s">
        <v>2733</v>
      </c>
      <c r="E627" s="125" t="s">
        <v>138</v>
      </c>
      <c r="F627" s="125" t="s">
        <v>2734</v>
      </c>
      <c r="G627" s="125" t="s">
        <v>2691</v>
      </c>
      <c r="H627" s="125">
        <v>238990</v>
      </c>
      <c r="I627" s="125" t="s">
        <v>28</v>
      </c>
      <c r="J627" s="125" t="s">
        <v>2174</v>
      </c>
      <c r="K627" s="125" t="s">
        <v>50</v>
      </c>
      <c r="L627" s="125" t="s">
        <v>1182</v>
      </c>
      <c r="M627" s="269">
        <v>20000</v>
      </c>
      <c r="N627" s="269">
        <v>20000</v>
      </c>
      <c r="O627" s="125" t="s">
        <v>9</v>
      </c>
      <c r="P627" s="125" t="s">
        <v>278</v>
      </c>
      <c r="Q627" s="125" t="s">
        <v>279</v>
      </c>
      <c r="R627" s="125" t="s">
        <v>21</v>
      </c>
      <c r="S627" s="270">
        <v>2013</v>
      </c>
      <c r="T627" s="125" t="s">
        <v>2730</v>
      </c>
      <c r="U627" s="125" t="s">
        <v>2731</v>
      </c>
      <c r="V627" s="271" t="s">
        <v>2732</v>
      </c>
      <c r="W627" s="282" t="s">
        <v>2008</v>
      </c>
      <c r="X627" s="21"/>
      <c r="Y627" s="124"/>
      <c r="Z627" s="281"/>
      <c r="AA627" s="281"/>
      <c r="AB627" s="124"/>
      <c r="AC627" s="124"/>
      <c r="AD627" s="124"/>
    </row>
    <row r="628" spans="1:30" s="13" customFormat="1" ht="38.25">
      <c r="A628" s="18" t="s">
        <v>1</v>
      </c>
      <c r="B628" s="21" t="s">
        <v>44</v>
      </c>
      <c r="C628" s="125" t="s">
        <v>35</v>
      </c>
      <c r="D628" s="125" t="s">
        <v>2735</v>
      </c>
      <c r="E628" s="125" t="s">
        <v>138</v>
      </c>
      <c r="F628" s="125" t="s">
        <v>1241</v>
      </c>
      <c r="G628" s="125" t="s">
        <v>2691</v>
      </c>
      <c r="H628" s="125">
        <v>238140</v>
      </c>
      <c r="I628" s="125" t="s">
        <v>28</v>
      </c>
      <c r="J628" s="125" t="s">
        <v>2174</v>
      </c>
      <c r="K628" s="125" t="s">
        <v>50</v>
      </c>
      <c r="L628" s="125" t="s">
        <v>1182</v>
      </c>
      <c r="M628" s="269">
        <v>28000</v>
      </c>
      <c r="N628" s="269">
        <v>28000</v>
      </c>
      <c r="O628" s="125" t="s">
        <v>20</v>
      </c>
      <c r="P628" s="125" t="s">
        <v>278</v>
      </c>
      <c r="Q628" s="125" t="s">
        <v>279</v>
      </c>
      <c r="R628" s="125" t="s">
        <v>31</v>
      </c>
      <c r="S628" s="270">
        <v>2013</v>
      </c>
      <c r="T628" s="125" t="s">
        <v>2730</v>
      </c>
      <c r="U628" s="125" t="s">
        <v>2731</v>
      </c>
      <c r="V628" s="271" t="s">
        <v>2732</v>
      </c>
      <c r="W628" s="282" t="s">
        <v>2008</v>
      </c>
      <c r="X628" s="21" t="s">
        <v>1186</v>
      </c>
      <c r="Y628" s="124"/>
      <c r="Z628" s="281"/>
      <c r="AA628" s="281"/>
      <c r="AB628" s="124"/>
      <c r="AC628" s="124"/>
      <c r="AD628" s="124"/>
    </row>
    <row r="629" spans="1:30" s="13" customFormat="1" ht="38.25">
      <c r="A629" s="18" t="s">
        <v>1</v>
      </c>
      <c r="B629" s="21" t="s">
        <v>44</v>
      </c>
      <c r="C629" s="125" t="s">
        <v>35</v>
      </c>
      <c r="D629" s="125" t="s">
        <v>2736</v>
      </c>
      <c r="E629" s="125" t="s">
        <v>138</v>
      </c>
      <c r="F629" s="125" t="s">
        <v>1258</v>
      </c>
      <c r="G629" s="125" t="s">
        <v>2691</v>
      </c>
      <c r="H629" s="125">
        <v>23130</v>
      </c>
      <c r="I629" s="125" t="s">
        <v>28</v>
      </c>
      <c r="J629" s="125" t="s">
        <v>2174</v>
      </c>
      <c r="K629" s="125" t="s">
        <v>50</v>
      </c>
      <c r="L629" s="125" t="s">
        <v>1182</v>
      </c>
      <c r="M629" s="269"/>
      <c r="N629" s="269"/>
      <c r="O629" s="125" t="s">
        <v>20</v>
      </c>
      <c r="P629" s="125" t="s">
        <v>278</v>
      </c>
      <c r="Q629" s="125" t="s">
        <v>279</v>
      </c>
      <c r="R629" s="125" t="s">
        <v>31</v>
      </c>
      <c r="S629" s="270">
        <v>2013</v>
      </c>
      <c r="T629" s="125" t="s">
        <v>1190</v>
      </c>
      <c r="U629" s="125" t="s">
        <v>1257</v>
      </c>
      <c r="V629" s="271" t="s">
        <v>1191</v>
      </c>
      <c r="W629" s="282" t="s">
        <v>2008</v>
      </c>
      <c r="X629" s="21" t="s">
        <v>2714</v>
      </c>
      <c r="Y629" s="124"/>
      <c r="Z629" s="281"/>
      <c r="AA629" s="281"/>
      <c r="AB629" s="124"/>
      <c r="AC629" s="124"/>
      <c r="AD629" s="124"/>
    </row>
    <row r="630" spans="1:30" s="13" customFormat="1" ht="38.25">
      <c r="A630" s="18" t="s">
        <v>1</v>
      </c>
      <c r="B630" s="21" t="s">
        <v>44</v>
      </c>
      <c r="C630" s="125" t="s">
        <v>35</v>
      </c>
      <c r="D630" s="125" t="s">
        <v>2737</v>
      </c>
      <c r="E630" s="125" t="s">
        <v>138</v>
      </c>
      <c r="F630" s="125" t="s">
        <v>1258</v>
      </c>
      <c r="G630" s="125" t="s">
        <v>2691</v>
      </c>
      <c r="H630" s="125">
        <v>238990</v>
      </c>
      <c r="I630" s="125" t="s">
        <v>28</v>
      </c>
      <c r="J630" s="125" t="s">
        <v>2174</v>
      </c>
      <c r="K630" s="125" t="s">
        <v>50</v>
      </c>
      <c r="L630" s="125" t="s">
        <v>1182</v>
      </c>
      <c r="M630" s="269"/>
      <c r="N630" s="269"/>
      <c r="O630" s="125" t="s">
        <v>9</v>
      </c>
      <c r="P630" s="125" t="s">
        <v>278</v>
      </c>
      <c r="Q630" s="125" t="s">
        <v>279</v>
      </c>
      <c r="R630" s="277" t="s">
        <v>41</v>
      </c>
      <c r="S630" s="270">
        <v>2013</v>
      </c>
      <c r="T630" s="125" t="s">
        <v>1190</v>
      </c>
      <c r="U630" s="125" t="s">
        <v>1257</v>
      </c>
      <c r="V630" s="271" t="s">
        <v>1191</v>
      </c>
      <c r="W630" s="282" t="s">
        <v>2008</v>
      </c>
      <c r="X630" s="21" t="s">
        <v>2714</v>
      </c>
      <c r="Y630" s="124"/>
      <c r="Z630" s="281"/>
      <c r="AA630" s="281"/>
      <c r="AB630" s="124"/>
      <c r="AC630" s="124"/>
      <c r="AD630" s="124"/>
    </row>
    <row r="631" spans="1:30" s="13" customFormat="1" ht="38.25">
      <c r="A631" s="18" t="s">
        <v>1</v>
      </c>
      <c r="B631" s="21" t="s">
        <v>44</v>
      </c>
      <c r="C631" s="125" t="s">
        <v>35</v>
      </c>
      <c r="D631" s="125" t="s">
        <v>2738</v>
      </c>
      <c r="E631" s="125" t="s">
        <v>138</v>
      </c>
      <c r="F631" s="125" t="s">
        <v>1241</v>
      </c>
      <c r="G631" s="125" t="s">
        <v>2691</v>
      </c>
      <c r="H631" s="125">
        <v>238130</v>
      </c>
      <c r="I631" s="125" t="s">
        <v>28</v>
      </c>
      <c r="J631" s="125" t="s">
        <v>2174</v>
      </c>
      <c r="K631" s="125" t="s">
        <v>50</v>
      </c>
      <c r="L631" s="125" t="s">
        <v>1182</v>
      </c>
      <c r="M631" s="269"/>
      <c r="N631" s="269"/>
      <c r="O631" s="125" t="s">
        <v>20</v>
      </c>
      <c r="P631" s="125" t="s">
        <v>278</v>
      </c>
      <c r="Q631" s="125" t="s">
        <v>279</v>
      </c>
      <c r="R631" s="125" t="s">
        <v>31</v>
      </c>
      <c r="S631" s="270">
        <v>2013</v>
      </c>
      <c r="T631" s="125" t="s">
        <v>1190</v>
      </c>
      <c r="U631" s="125" t="s">
        <v>1257</v>
      </c>
      <c r="V631" s="271" t="s">
        <v>1191</v>
      </c>
      <c r="W631" s="282" t="s">
        <v>2008</v>
      </c>
      <c r="X631" s="21" t="s">
        <v>2714</v>
      </c>
      <c r="Y631" s="124"/>
      <c r="Z631" s="281"/>
      <c r="AA631" s="281"/>
      <c r="AB631" s="124"/>
      <c r="AC631" s="124"/>
      <c r="AD631" s="124"/>
    </row>
    <row r="632" spans="1:30" s="13" customFormat="1" ht="38.25">
      <c r="A632" s="18" t="s">
        <v>1</v>
      </c>
      <c r="B632" s="21" t="s">
        <v>44</v>
      </c>
      <c r="C632" s="125" t="s">
        <v>35</v>
      </c>
      <c r="D632" s="125" t="s">
        <v>1635</v>
      </c>
      <c r="E632" s="125" t="s">
        <v>138</v>
      </c>
      <c r="F632" s="125" t="s">
        <v>2739</v>
      </c>
      <c r="G632" s="125" t="s">
        <v>2691</v>
      </c>
      <c r="H632" s="125">
        <v>238120</v>
      </c>
      <c r="I632" s="125" t="s">
        <v>28</v>
      </c>
      <c r="J632" s="125" t="s">
        <v>2174</v>
      </c>
      <c r="K632" s="125" t="s">
        <v>50</v>
      </c>
      <c r="L632" s="125" t="s">
        <v>1182</v>
      </c>
      <c r="M632" s="269"/>
      <c r="N632" s="269"/>
      <c r="O632" s="125" t="s">
        <v>20</v>
      </c>
      <c r="P632" s="125" t="s">
        <v>278</v>
      </c>
      <c r="Q632" s="125" t="s">
        <v>279</v>
      </c>
      <c r="R632" s="125" t="s">
        <v>31</v>
      </c>
      <c r="S632" s="270">
        <v>2013</v>
      </c>
      <c r="T632" s="125" t="s">
        <v>1190</v>
      </c>
      <c r="U632" s="125" t="s">
        <v>1257</v>
      </c>
      <c r="V632" s="271" t="s">
        <v>1191</v>
      </c>
      <c r="W632" s="282" t="s">
        <v>2008</v>
      </c>
      <c r="X632" s="21" t="s">
        <v>2714</v>
      </c>
      <c r="Y632" s="124"/>
      <c r="Z632" s="281"/>
      <c r="AA632" s="281"/>
      <c r="AB632" s="124"/>
      <c r="AC632" s="124"/>
      <c r="AD632" s="124"/>
    </row>
    <row r="633" spans="1:30" s="13" customFormat="1" ht="38.25">
      <c r="A633" s="18" t="s">
        <v>1</v>
      </c>
      <c r="B633" s="21" t="s">
        <v>44</v>
      </c>
      <c r="C633" s="125" t="s">
        <v>35</v>
      </c>
      <c r="D633" s="125" t="s">
        <v>2740</v>
      </c>
      <c r="E633" s="125" t="s">
        <v>77</v>
      </c>
      <c r="F633" s="125" t="s">
        <v>2741</v>
      </c>
      <c r="G633" s="125" t="s">
        <v>2691</v>
      </c>
      <c r="H633" s="125">
        <v>238990</v>
      </c>
      <c r="I633" s="125" t="s">
        <v>28</v>
      </c>
      <c r="J633" s="125" t="s">
        <v>2174</v>
      </c>
      <c r="K633" s="125" t="s">
        <v>50</v>
      </c>
      <c r="L633" s="125" t="s">
        <v>1252</v>
      </c>
      <c r="M633" s="269">
        <v>45885</v>
      </c>
      <c r="N633" s="269">
        <v>45885</v>
      </c>
      <c r="O633" s="125" t="s">
        <v>20</v>
      </c>
      <c r="P633" s="125" t="s">
        <v>2742</v>
      </c>
      <c r="Q633" s="125" t="s">
        <v>279</v>
      </c>
      <c r="R633" s="125" t="s">
        <v>31</v>
      </c>
      <c r="S633" s="270">
        <v>2013</v>
      </c>
      <c r="T633" s="125" t="s">
        <v>1190</v>
      </c>
      <c r="U633" s="125" t="s">
        <v>1257</v>
      </c>
      <c r="V633" s="271" t="s">
        <v>1191</v>
      </c>
      <c r="W633" s="282" t="s">
        <v>2008</v>
      </c>
      <c r="X633" s="21" t="s">
        <v>1202</v>
      </c>
      <c r="Y633" s="124"/>
      <c r="Z633" s="281"/>
      <c r="AA633" s="281"/>
      <c r="AB633" s="281"/>
      <c r="AC633" s="124"/>
      <c r="AD633" s="124"/>
    </row>
    <row r="634" spans="1:30" s="13" customFormat="1" ht="38.25">
      <c r="A634" s="18" t="s">
        <v>1</v>
      </c>
      <c r="B634" s="21" t="s">
        <v>44</v>
      </c>
      <c r="C634" s="125" t="s">
        <v>3</v>
      </c>
      <c r="D634" s="125" t="s">
        <v>2743</v>
      </c>
      <c r="E634" s="125" t="s">
        <v>77</v>
      </c>
      <c r="F634" s="125" t="s">
        <v>1280</v>
      </c>
      <c r="G634" s="125" t="s">
        <v>153</v>
      </c>
      <c r="H634" s="125">
        <v>238290</v>
      </c>
      <c r="I634" s="125" t="s">
        <v>28</v>
      </c>
      <c r="J634" s="125" t="s">
        <v>2710</v>
      </c>
      <c r="K634" s="125" t="s">
        <v>50</v>
      </c>
      <c r="L634" s="125" t="s">
        <v>1252</v>
      </c>
      <c r="M634" s="269">
        <v>34284.79</v>
      </c>
      <c r="N634" s="269">
        <v>149704.09</v>
      </c>
      <c r="O634" s="125" t="s">
        <v>20</v>
      </c>
      <c r="P634" s="125" t="s">
        <v>2744</v>
      </c>
      <c r="Q634" s="125" t="s">
        <v>279</v>
      </c>
      <c r="R634" s="125" t="s">
        <v>10</v>
      </c>
      <c r="S634" s="270">
        <v>2013</v>
      </c>
      <c r="T634" s="125" t="s">
        <v>2745</v>
      </c>
      <c r="U634" s="125" t="s">
        <v>2746</v>
      </c>
      <c r="V634" s="271" t="s">
        <v>2747</v>
      </c>
      <c r="W634" s="282" t="s">
        <v>2008</v>
      </c>
      <c r="X634" s="21" t="s">
        <v>1202</v>
      </c>
      <c r="Y634" s="124"/>
      <c r="Z634" s="281"/>
      <c r="AA634" s="281"/>
      <c r="AB634" s="124"/>
      <c r="AC634" s="124"/>
      <c r="AD634" s="124"/>
    </row>
    <row r="635" spans="1:30" ht="38.25" customHeight="1">
      <c r="A635" s="21" t="s">
        <v>1</v>
      </c>
      <c r="B635" s="21" t="s">
        <v>53</v>
      </c>
      <c r="C635" s="21" t="s">
        <v>45</v>
      </c>
      <c r="D635" s="21" t="s">
        <v>1464</v>
      </c>
      <c r="E635" s="21" t="s">
        <v>138</v>
      </c>
      <c r="F635" s="21" t="s">
        <v>1327</v>
      </c>
      <c r="G635" s="21" t="s">
        <v>157</v>
      </c>
      <c r="H635" s="21">
        <v>561210</v>
      </c>
      <c r="I635" s="21" t="s">
        <v>28</v>
      </c>
      <c r="J635" s="21" t="s">
        <v>86</v>
      </c>
      <c r="K635" s="21" t="s">
        <v>73</v>
      </c>
      <c r="L635" s="21" t="s">
        <v>278</v>
      </c>
      <c r="M635" s="22">
        <v>14504.02</v>
      </c>
      <c r="N635" s="22">
        <v>14504.02</v>
      </c>
      <c r="O635" s="21" t="s">
        <v>9</v>
      </c>
      <c r="P635" s="21" t="s">
        <v>1301</v>
      </c>
      <c r="Q635" s="21" t="s">
        <v>279</v>
      </c>
      <c r="R635" s="21" t="s">
        <v>21</v>
      </c>
      <c r="S635" s="74">
        <v>2013</v>
      </c>
      <c r="T635" s="21" t="s">
        <v>1465</v>
      </c>
      <c r="U635" s="21" t="s">
        <v>1999</v>
      </c>
      <c r="V635" s="75" t="s">
        <v>1466</v>
      </c>
      <c r="W635" s="95" t="s">
        <v>2009</v>
      </c>
      <c r="X635" s="21"/>
    </row>
    <row r="636" spans="1:30" ht="38.25" customHeight="1">
      <c r="A636" s="21" t="s">
        <v>1</v>
      </c>
      <c r="B636" s="21" t="s">
        <v>53</v>
      </c>
      <c r="C636" s="21" t="s">
        <v>3</v>
      </c>
      <c r="D636" s="21" t="s">
        <v>1461</v>
      </c>
      <c r="E636" s="21" t="s">
        <v>138</v>
      </c>
      <c r="F636" s="21" t="s">
        <v>1327</v>
      </c>
      <c r="G636" s="21" t="s">
        <v>157</v>
      </c>
      <c r="H636" s="21">
        <v>561210</v>
      </c>
      <c r="I636" s="21" t="s">
        <v>28</v>
      </c>
      <c r="J636" s="21" t="s">
        <v>86</v>
      </c>
      <c r="K636" s="21" t="s">
        <v>40</v>
      </c>
      <c r="L636" s="21" t="s">
        <v>278</v>
      </c>
      <c r="M636" s="22">
        <v>4385</v>
      </c>
      <c r="N636" s="22">
        <v>4385</v>
      </c>
      <c r="O636" s="21" t="s">
        <v>9</v>
      </c>
      <c r="P636" s="21" t="s">
        <v>1431</v>
      </c>
      <c r="Q636" s="21" t="s">
        <v>279</v>
      </c>
      <c r="R636" s="21" t="s">
        <v>10</v>
      </c>
      <c r="S636" s="74" t="s">
        <v>443</v>
      </c>
      <c r="T636" s="21" t="s">
        <v>1462</v>
      </c>
      <c r="U636" s="21" t="s">
        <v>1998</v>
      </c>
      <c r="V636" s="75" t="s">
        <v>1463</v>
      </c>
      <c r="W636" s="95" t="s">
        <v>2009</v>
      </c>
      <c r="X636" s="21"/>
    </row>
    <row r="637" spans="1:30" ht="38.25" customHeight="1">
      <c r="A637" s="21" t="s">
        <v>1</v>
      </c>
      <c r="B637" s="21" t="s">
        <v>53</v>
      </c>
      <c r="C637" s="21" t="s">
        <v>3</v>
      </c>
      <c r="D637" s="21" t="s">
        <v>1467</v>
      </c>
      <c r="E637" s="21" t="s">
        <v>77</v>
      </c>
      <c r="F637" s="21" t="s">
        <v>1327</v>
      </c>
      <c r="G637" s="21" t="s">
        <v>157</v>
      </c>
      <c r="H637" s="21"/>
      <c r="I637" s="21" t="s">
        <v>28</v>
      </c>
      <c r="J637" s="21" t="s">
        <v>29</v>
      </c>
      <c r="K637" s="21" t="s">
        <v>40</v>
      </c>
      <c r="L637" s="21" t="s">
        <v>278</v>
      </c>
      <c r="M637" s="22">
        <v>44920</v>
      </c>
      <c r="N637" s="22">
        <v>74705</v>
      </c>
      <c r="O637" s="21" t="s">
        <v>20</v>
      </c>
      <c r="P637" s="21" t="s">
        <v>1301</v>
      </c>
      <c r="Q637" s="21" t="s">
        <v>279</v>
      </c>
      <c r="R637" s="21" t="s">
        <v>10</v>
      </c>
      <c r="S637" s="74" t="s">
        <v>443</v>
      </c>
      <c r="T637" s="21" t="s">
        <v>1462</v>
      </c>
      <c r="U637" s="21" t="s">
        <v>1998</v>
      </c>
      <c r="V637" s="75" t="s">
        <v>1463</v>
      </c>
      <c r="W637" s="95" t="s">
        <v>2009</v>
      </c>
      <c r="X637" s="21"/>
    </row>
    <row r="638" spans="1:30" ht="38.25" customHeight="1">
      <c r="A638" s="21" t="s">
        <v>1</v>
      </c>
      <c r="B638" s="21" t="s">
        <v>53</v>
      </c>
      <c r="C638" s="21" t="s">
        <v>3</v>
      </c>
      <c r="D638" s="21" t="s">
        <v>1468</v>
      </c>
      <c r="E638" s="21" t="s">
        <v>77</v>
      </c>
      <c r="F638" s="21" t="s">
        <v>1327</v>
      </c>
      <c r="G638" s="21" t="s">
        <v>157</v>
      </c>
      <c r="H638" s="21">
        <v>236220</v>
      </c>
      <c r="I638" s="21" t="s">
        <v>17</v>
      </c>
      <c r="J638" s="21" t="s">
        <v>79</v>
      </c>
      <c r="K638" s="21" t="s">
        <v>73</v>
      </c>
      <c r="L638" s="21" t="s">
        <v>278</v>
      </c>
      <c r="M638" s="22">
        <v>95338.97</v>
      </c>
      <c r="N638" s="22">
        <v>95338.97</v>
      </c>
      <c r="O638" s="21" t="s">
        <v>20</v>
      </c>
      <c r="P638" s="21" t="s">
        <v>1469</v>
      </c>
      <c r="Q638" s="21" t="s">
        <v>279</v>
      </c>
      <c r="R638" s="21" t="s">
        <v>10</v>
      </c>
      <c r="S638" s="74" t="s">
        <v>443</v>
      </c>
      <c r="T638" s="21" t="s">
        <v>1462</v>
      </c>
      <c r="U638" s="21" t="s">
        <v>1998</v>
      </c>
      <c r="V638" s="75" t="s">
        <v>1463</v>
      </c>
      <c r="W638" s="95" t="s">
        <v>2009</v>
      </c>
      <c r="X638" s="21"/>
    </row>
    <row r="639" spans="1:30" ht="38.25" customHeight="1">
      <c r="A639" s="21" t="s">
        <v>1</v>
      </c>
      <c r="B639" s="21" t="s">
        <v>53</v>
      </c>
      <c r="C639" s="21" t="s">
        <v>45</v>
      </c>
      <c r="D639" s="21" t="s">
        <v>1470</v>
      </c>
      <c r="E639" s="21" t="s">
        <v>138</v>
      </c>
      <c r="F639" s="21" t="s">
        <v>1327</v>
      </c>
      <c r="G639" s="21" t="s">
        <v>157</v>
      </c>
      <c r="H639" s="21">
        <v>236220</v>
      </c>
      <c r="I639" s="21" t="s">
        <v>28</v>
      </c>
      <c r="J639" s="21" t="s">
        <v>109</v>
      </c>
      <c r="K639" s="21" t="s">
        <v>40</v>
      </c>
      <c r="L639" s="21" t="s">
        <v>278</v>
      </c>
      <c r="M639" s="22">
        <v>60000</v>
      </c>
      <c r="N639" s="22">
        <v>60000</v>
      </c>
      <c r="O639" s="21"/>
      <c r="P639" s="21" t="s">
        <v>1301</v>
      </c>
      <c r="Q639" s="21" t="s">
        <v>279</v>
      </c>
      <c r="R639" s="21" t="s">
        <v>31</v>
      </c>
      <c r="S639" s="74" t="s">
        <v>443</v>
      </c>
      <c r="T639" s="21" t="s">
        <v>1462</v>
      </c>
      <c r="U639" s="21" t="s">
        <v>1998</v>
      </c>
      <c r="V639" s="75" t="s">
        <v>1463</v>
      </c>
      <c r="W639" s="95" t="s">
        <v>2009</v>
      </c>
      <c r="X639" s="21"/>
    </row>
    <row r="640" spans="1:30" ht="38.25" customHeight="1">
      <c r="A640" s="21" t="s">
        <v>1</v>
      </c>
      <c r="B640" s="21" t="s">
        <v>53</v>
      </c>
      <c r="C640" s="21" t="s">
        <v>45</v>
      </c>
      <c r="D640" s="21" t="s">
        <v>1470</v>
      </c>
      <c r="E640" s="21" t="s">
        <v>138</v>
      </c>
      <c r="F640" s="21" t="s">
        <v>1327</v>
      </c>
      <c r="G640" s="21" t="s">
        <v>157</v>
      </c>
      <c r="H640" s="21">
        <v>236220</v>
      </c>
      <c r="I640" s="21" t="s">
        <v>28</v>
      </c>
      <c r="J640" s="21" t="s">
        <v>19</v>
      </c>
      <c r="K640" s="21" t="s">
        <v>40</v>
      </c>
      <c r="L640" s="21" t="s">
        <v>278</v>
      </c>
      <c r="M640" s="22">
        <v>60000</v>
      </c>
      <c r="N640" s="22">
        <v>60000</v>
      </c>
      <c r="O640" s="21"/>
      <c r="P640" s="21" t="s">
        <v>1301</v>
      </c>
      <c r="Q640" s="21" t="s">
        <v>279</v>
      </c>
      <c r="R640" s="21" t="s">
        <v>31</v>
      </c>
      <c r="S640" s="74" t="s">
        <v>443</v>
      </c>
      <c r="T640" s="21" t="s">
        <v>1462</v>
      </c>
      <c r="U640" s="21" t="s">
        <v>1998</v>
      </c>
      <c r="V640" s="75" t="s">
        <v>1463</v>
      </c>
      <c r="W640" s="95" t="s">
        <v>2009</v>
      </c>
      <c r="X640" s="21"/>
    </row>
    <row r="641" spans="1:24" ht="38.25" customHeight="1">
      <c r="A641" s="21" t="s">
        <v>1</v>
      </c>
      <c r="B641" s="21" t="s">
        <v>53</v>
      </c>
      <c r="C641" s="21" t="s">
        <v>45</v>
      </c>
      <c r="D641" s="21" t="s">
        <v>1471</v>
      </c>
      <c r="E641" s="21" t="s">
        <v>77</v>
      </c>
      <c r="F641" s="21" t="s">
        <v>1327</v>
      </c>
      <c r="G641" s="21" t="s">
        <v>157</v>
      </c>
      <c r="H641" s="21">
        <v>561210</v>
      </c>
      <c r="I641" s="21" t="s">
        <v>2748</v>
      </c>
      <c r="J641" s="21" t="s">
        <v>109</v>
      </c>
      <c r="K641" s="21" t="s">
        <v>73</v>
      </c>
      <c r="L641" s="21" t="s">
        <v>278</v>
      </c>
      <c r="M641" s="22">
        <v>22000</v>
      </c>
      <c r="N641" s="22">
        <v>22000</v>
      </c>
      <c r="O641" s="21"/>
      <c r="P641" s="21" t="s">
        <v>1301</v>
      </c>
      <c r="Q641" s="21" t="s">
        <v>279</v>
      </c>
      <c r="R641" s="21" t="s">
        <v>21</v>
      </c>
      <c r="S641" s="74" t="s">
        <v>1472</v>
      </c>
      <c r="T641" s="21" t="s">
        <v>1465</v>
      </c>
      <c r="U641" s="21" t="s">
        <v>1999</v>
      </c>
      <c r="V641" s="75" t="s">
        <v>1466</v>
      </c>
      <c r="W641" s="95" t="s">
        <v>2009</v>
      </c>
      <c r="X641" s="21"/>
    </row>
    <row r="642" spans="1:24" ht="38.25" customHeight="1">
      <c r="A642" s="21" t="s">
        <v>1</v>
      </c>
      <c r="B642" s="21" t="s">
        <v>53</v>
      </c>
      <c r="C642" s="21" t="s">
        <v>45</v>
      </c>
      <c r="D642" s="21" t="s">
        <v>1473</v>
      </c>
      <c r="E642" s="21" t="s">
        <v>77</v>
      </c>
      <c r="F642" s="21" t="s">
        <v>1327</v>
      </c>
      <c r="G642" s="21" t="s">
        <v>157</v>
      </c>
      <c r="H642" s="21">
        <v>236220</v>
      </c>
      <c r="I642" s="21" t="s">
        <v>2749</v>
      </c>
      <c r="J642" s="21" t="s">
        <v>109</v>
      </c>
      <c r="K642" s="21" t="s">
        <v>73</v>
      </c>
      <c r="L642" s="21" t="s">
        <v>278</v>
      </c>
      <c r="M642" s="22">
        <v>50000</v>
      </c>
      <c r="N642" s="22">
        <v>50000</v>
      </c>
      <c r="O642" s="21"/>
      <c r="P642" s="21" t="s">
        <v>1301</v>
      </c>
      <c r="Q642" s="21" t="s">
        <v>279</v>
      </c>
      <c r="R642" s="21" t="s">
        <v>2750</v>
      </c>
      <c r="S642" s="74" t="s">
        <v>443</v>
      </c>
      <c r="T642" s="21" t="s">
        <v>1474</v>
      </c>
      <c r="U642" s="21" t="s">
        <v>1998</v>
      </c>
      <c r="V642" s="75" t="s">
        <v>1475</v>
      </c>
      <c r="W642" s="95" t="s">
        <v>2009</v>
      </c>
      <c r="X642" s="21"/>
    </row>
    <row r="643" spans="1:24" ht="38.25" customHeight="1">
      <c r="A643" s="21" t="s">
        <v>1</v>
      </c>
      <c r="B643" s="21" t="s">
        <v>53</v>
      </c>
      <c r="C643" s="21" t="s">
        <v>45</v>
      </c>
      <c r="D643" s="21" t="s">
        <v>1476</v>
      </c>
      <c r="E643" s="21" t="s">
        <v>138</v>
      </c>
      <c r="F643" s="21" t="s">
        <v>1327</v>
      </c>
      <c r="G643" s="21" t="s">
        <v>157</v>
      </c>
      <c r="H643" s="21">
        <v>561210</v>
      </c>
      <c r="I643" s="21" t="s">
        <v>2749</v>
      </c>
      <c r="J643" s="21" t="s">
        <v>109</v>
      </c>
      <c r="K643" s="21" t="s">
        <v>73</v>
      </c>
      <c r="L643" s="21" t="s">
        <v>278</v>
      </c>
      <c r="M643" s="22">
        <v>32041</v>
      </c>
      <c r="N643" s="22">
        <v>32041</v>
      </c>
      <c r="O643" s="21"/>
      <c r="P643" s="21" t="s">
        <v>1301</v>
      </c>
      <c r="Q643" s="21" t="s">
        <v>279</v>
      </c>
      <c r="R643" s="21" t="s">
        <v>2751</v>
      </c>
      <c r="S643" s="74" t="s">
        <v>443</v>
      </c>
      <c r="T643" s="21" t="s">
        <v>1462</v>
      </c>
      <c r="U643" s="21" t="s">
        <v>1998</v>
      </c>
      <c r="V643" s="75" t="s">
        <v>1463</v>
      </c>
      <c r="W643" s="95" t="s">
        <v>2009</v>
      </c>
      <c r="X643" s="21"/>
    </row>
    <row r="644" spans="1:24" ht="38.25" customHeight="1">
      <c r="A644" s="21" t="s">
        <v>1</v>
      </c>
      <c r="B644" s="21" t="s">
        <v>53</v>
      </c>
      <c r="C644" s="21" t="s">
        <v>45</v>
      </c>
      <c r="D644" s="21" t="s">
        <v>1477</v>
      </c>
      <c r="E644" s="21" t="s">
        <v>138</v>
      </c>
      <c r="F644" s="21" t="s">
        <v>1327</v>
      </c>
      <c r="G644" s="21" t="s">
        <v>157</v>
      </c>
      <c r="H644" s="21">
        <v>236220</v>
      </c>
      <c r="I644" s="21" t="s">
        <v>28</v>
      </c>
      <c r="J644" s="21" t="s">
        <v>109</v>
      </c>
      <c r="K644" s="21" t="s">
        <v>40</v>
      </c>
      <c r="L644" s="21" t="s">
        <v>278</v>
      </c>
      <c r="M644" s="22">
        <v>75000</v>
      </c>
      <c r="N644" s="22">
        <v>75000</v>
      </c>
      <c r="O644" s="21"/>
      <c r="P644" s="21" t="s">
        <v>1301</v>
      </c>
      <c r="Q644" s="21" t="s">
        <v>279</v>
      </c>
      <c r="R644" s="21" t="s">
        <v>31</v>
      </c>
      <c r="S644" s="74" t="s">
        <v>443</v>
      </c>
      <c r="T644" s="21" t="s">
        <v>1462</v>
      </c>
      <c r="U644" s="21" t="s">
        <v>1998</v>
      </c>
      <c r="V644" s="75" t="s">
        <v>1463</v>
      </c>
      <c r="W644" s="95" t="s">
        <v>2009</v>
      </c>
      <c r="X644" s="21"/>
    </row>
    <row r="645" spans="1:24" ht="38.25" customHeight="1">
      <c r="A645" s="21" t="s">
        <v>1</v>
      </c>
      <c r="B645" s="21" t="s">
        <v>53</v>
      </c>
      <c r="C645" s="21" t="s">
        <v>45</v>
      </c>
      <c r="D645" s="21" t="s">
        <v>1477</v>
      </c>
      <c r="E645" s="21" t="s">
        <v>138</v>
      </c>
      <c r="F645" s="21" t="s">
        <v>1327</v>
      </c>
      <c r="G645" s="21" t="s">
        <v>157</v>
      </c>
      <c r="H645" s="21">
        <v>236220</v>
      </c>
      <c r="I645" s="21" t="s">
        <v>28</v>
      </c>
      <c r="J645" s="21" t="s">
        <v>109</v>
      </c>
      <c r="K645" s="21" t="s">
        <v>40</v>
      </c>
      <c r="L645" s="21" t="s">
        <v>278</v>
      </c>
      <c r="M645" s="22">
        <v>75000</v>
      </c>
      <c r="N645" s="22">
        <v>75000</v>
      </c>
      <c r="O645" s="21"/>
      <c r="P645" s="21" t="s">
        <v>1301</v>
      </c>
      <c r="Q645" s="21" t="s">
        <v>279</v>
      </c>
      <c r="R645" s="21" t="s">
        <v>31</v>
      </c>
      <c r="S645" s="74" t="s">
        <v>443</v>
      </c>
      <c r="T645" s="21" t="s">
        <v>1462</v>
      </c>
      <c r="U645" s="21" t="s">
        <v>1998</v>
      </c>
      <c r="V645" s="75" t="s">
        <v>1463</v>
      </c>
      <c r="W645" s="95" t="s">
        <v>2009</v>
      </c>
      <c r="X645" s="21"/>
    </row>
    <row r="646" spans="1:24" ht="38.25" customHeight="1">
      <c r="A646" s="21" t="s">
        <v>1</v>
      </c>
      <c r="B646" s="21" t="s">
        <v>53</v>
      </c>
      <c r="C646" s="21" t="s">
        <v>45</v>
      </c>
      <c r="D646" s="21" t="s">
        <v>1478</v>
      </c>
      <c r="E646" s="21" t="s">
        <v>138</v>
      </c>
      <c r="F646" s="21" t="s">
        <v>1327</v>
      </c>
      <c r="G646" s="21" t="s">
        <v>157</v>
      </c>
      <c r="H646" s="21">
        <v>561210</v>
      </c>
      <c r="I646" s="21" t="s">
        <v>2749</v>
      </c>
      <c r="J646" s="21" t="s">
        <v>109</v>
      </c>
      <c r="K646" s="21" t="s">
        <v>40</v>
      </c>
      <c r="L646" s="21" t="s">
        <v>278</v>
      </c>
      <c r="M646" s="22">
        <v>35000</v>
      </c>
      <c r="N646" s="22">
        <v>35000</v>
      </c>
      <c r="O646" s="21"/>
      <c r="P646" s="21" t="s">
        <v>1301</v>
      </c>
      <c r="Q646" s="21" t="s">
        <v>279</v>
      </c>
      <c r="R646" s="21" t="s">
        <v>2751</v>
      </c>
      <c r="S646" s="74" t="s">
        <v>443</v>
      </c>
      <c r="T646" s="21" t="s">
        <v>1462</v>
      </c>
      <c r="U646" s="21" t="s">
        <v>1998</v>
      </c>
      <c r="V646" s="75" t="s">
        <v>1463</v>
      </c>
      <c r="W646" s="95" t="s">
        <v>2009</v>
      </c>
      <c r="X646" s="21"/>
    </row>
    <row r="647" spans="1:24" ht="38.25" customHeight="1">
      <c r="A647" s="21" t="s">
        <v>1</v>
      </c>
      <c r="B647" s="21" t="s">
        <v>53</v>
      </c>
      <c r="C647" s="21" t="s">
        <v>45</v>
      </c>
      <c r="D647" s="21" t="s">
        <v>1479</v>
      </c>
      <c r="E647" s="21" t="s">
        <v>138</v>
      </c>
      <c r="F647" s="21" t="s">
        <v>1327</v>
      </c>
      <c r="G647" s="21" t="s">
        <v>157</v>
      </c>
      <c r="H647" s="21">
        <v>236220</v>
      </c>
      <c r="I647" s="21" t="s">
        <v>2748</v>
      </c>
      <c r="J647" s="21" t="s">
        <v>109</v>
      </c>
      <c r="K647" s="21" t="s">
        <v>40</v>
      </c>
      <c r="L647" s="21" t="s">
        <v>278</v>
      </c>
      <c r="M647" s="22">
        <v>90000</v>
      </c>
      <c r="N647" s="22">
        <v>90000</v>
      </c>
      <c r="O647" s="21"/>
      <c r="P647" s="21" t="s">
        <v>1301</v>
      </c>
      <c r="Q647" s="21" t="s">
        <v>279</v>
      </c>
      <c r="R647" s="21" t="s">
        <v>2751</v>
      </c>
      <c r="S647" s="74" t="s">
        <v>443</v>
      </c>
      <c r="T647" s="21" t="s">
        <v>1462</v>
      </c>
      <c r="U647" s="21" t="s">
        <v>1998</v>
      </c>
      <c r="V647" s="75" t="s">
        <v>1463</v>
      </c>
      <c r="W647" s="95" t="s">
        <v>2009</v>
      </c>
      <c r="X647" s="21"/>
    </row>
    <row r="648" spans="1:24" ht="38.25" customHeight="1">
      <c r="A648" s="21" t="s">
        <v>1</v>
      </c>
      <c r="B648" s="21" t="s">
        <v>53</v>
      </c>
      <c r="C648" s="21" t="s">
        <v>45</v>
      </c>
      <c r="D648" s="21" t="s">
        <v>2752</v>
      </c>
      <c r="E648" s="21" t="s">
        <v>224</v>
      </c>
      <c r="F648" s="21" t="s">
        <v>1373</v>
      </c>
      <c r="G648" s="21" t="s">
        <v>157</v>
      </c>
      <c r="H648" s="21">
        <v>238990</v>
      </c>
      <c r="I648" s="21" t="s">
        <v>28</v>
      </c>
      <c r="J648" s="21" t="s">
        <v>18</v>
      </c>
      <c r="K648" s="21" t="s">
        <v>40</v>
      </c>
      <c r="L648" s="21" t="s">
        <v>449</v>
      </c>
      <c r="M648" s="22">
        <v>100000</v>
      </c>
      <c r="N648" s="22">
        <v>150000</v>
      </c>
      <c r="O648" s="21" t="s">
        <v>20</v>
      </c>
      <c r="P648" s="21" t="s">
        <v>449</v>
      </c>
      <c r="Q648" s="21" t="s">
        <v>279</v>
      </c>
      <c r="R648" s="21" t="s">
        <v>31</v>
      </c>
      <c r="S648" s="74">
        <v>2013</v>
      </c>
      <c r="T648" s="21" t="s">
        <v>1440</v>
      </c>
      <c r="U648" s="21" t="s">
        <v>1441</v>
      </c>
      <c r="V648" s="75" t="s">
        <v>1442</v>
      </c>
      <c r="W648" s="95" t="s">
        <v>2009</v>
      </c>
      <c r="X648" s="21" t="s">
        <v>2753</v>
      </c>
    </row>
    <row r="649" spans="1:24" ht="38.25" customHeight="1">
      <c r="A649" s="21" t="s">
        <v>1</v>
      </c>
      <c r="B649" s="21" t="s">
        <v>53</v>
      </c>
      <c r="C649" s="21" t="s">
        <v>45</v>
      </c>
      <c r="D649" s="21" t="s">
        <v>2754</v>
      </c>
      <c r="E649" s="21" t="s">
        <v>224</v>
      </c>
      <c r="F649" s="21" t="s">
        <v>1373</v>
      </c>
      <c r="G649" s="21" t="s">
        <v>157</v>
      </c>
      <c r="H649" s="21">
        <v>238310</v>
      </c>
      <c r="I649" s="21" t="s">
        <v>28</v>
      </c>
      <c r="J649" s="21" t="s">
        <v>109</v>
      </c>
      <c r="K649" s="21" t="s">
        <v>73</v>
      </c>
      <c r="L649" s="21" t="s">
        <v>1443</v>
      </c>
      <c r="M649" s="22">
        <v>75000</v>
      </c>
      <c r="N649" s="22">
        <v>100000</v>
      </c>
      <c r="O649" s="21" t="s">
        <v>20</v>
      </c>
      <c r="P649" s="21" t="s">
        <v>449</v>
      </c>
      <c r="Q649" s="21" t="s">
        <v>279</v>
      </c>
      <c r="R649" s="21" t="s">
        <v>21</v>
      </c>
      <c r="S649" s="74">
        <v>2013</v>
      </c>
      <c r="T649" s="21" t="s">
        <v>2755</v>
      </c>
      <c r="U649" s="21" t="s">
        <v>2756</v>
      </c>
      <c r="V649" s="75" t="s">
        <v>2757</v>
      </c>
      <c r="W649" s="95" t="s">
        <v>2009</v>
      </c>
      <c r="X649" s="21" t="s">
        <v>2753</v>
      </c>
    </row>
    <row r="650" spans="1:24" ht="38.25" customHeight="1">
      <c r="A650" s="21" t="s">
        <v>1</v>
      </c>
      <c r="B650" s="21" t="s">
        <v>53</v>
      </c>
      <c r="C650" s="21" t="s">
        <v>45</v>
      </c>
      <c r="D650" s="21" t="s">
        <v>1448</v>
      </c>
      <c r="E650" s="21" t="s">
        <v>147</v>
      </c>
      <c r="F650" s="21" t="s">
        <v>1373</v>
      </c>
      <c r="G650" s="21" t="s">
        <v>157</v>
      </c>
      <c r="H650" s="21">
        <v>238220</v>
      </c>
      <c r="I650" s="21" t="s">
        <v>28</v>
      </c>
      <c r="J650" s="21" t="s">
        <v>109</v>
      </c>
      <c r="K650" s="21" t="s">
        <v>1328</v>
      </c>
      <c r="L650" s="21" t="s">
        <v>1449</v>
      </c>
      <c r="M650" s="22">
        <v>25000</v>
      </c>
      <c r="N650" s="22">
        <v>35000</v>
      </c>
      <c r="O650" s="21" t="s">
        <v>20</v>
      </c>
      <c r="P650" s="21" t="s">
        <v>449</v>
      </c>
      <c r="Q650" s="21" t="s">
        <v>279</v>
      </c>
      <c r="R650" s="21" t="s">
        <v>31</v>
      </c>
      <c r="S650" s="74">
        <v>2013</v>
      </c>
      <c r="T650" s="21" t="s">
        <v>1440</v>
      </c>
      <c r="U650" s="21" t="s">
        <v>1441</v>
      </c>
      <c r="V650" s="75" t="s">
        <v>1442</v>
      </c>
      <c r="W650" s="95" t="s">
        <v>2009</v>
      </c>
      <c r="X650" s="21" t="s">
        <v>2753</v>
      </c>
    </row>
    <row r="651" spans="1:24" ht="38.25" customHeight="1">
      <c r="A651" s="21" t="s">
        <v>1</v>
      </c>
      <c r="B651" s="21" t="s">
        <v>53</v>
      </c>
      <c r="C651" s="21" t="s">
        <v>45</v>
      </c>
      <c r="D651" s="21" t="s">
        <v>1450</v>
      </c>
      <c r="E651" s="21" t="s">
        <v>147</v>
      </c>
      <c r="F651" s="21" t="s">
        <v>1373</v>
      </c>
      <c r="G651" s="21" t="s">
        <v>157</v>
      </c>
      <c r="H651" s="21">
        <v>238990</v>
      </c>
      <c r="I651" s="21" t="s">
        <v>28</v>
      </c>
      <c r="J651" s="21" t="s">
        <v>109</v>
      </c>
      <c r="K651" s="21" t="s">
        <v>1328</v>
      </c>
      <c r="L651" s="21" t="s">
        <v>1449</v>
      </c>
      <c r="M651" s="22">
        <v>15000</v>
      </c>
      <c r="N651" s="22">
        <v>30000</v>
      </c>
      <c r="O651" s="21" t="s">
        <v>9</v>
      </c>
      <c r="P651" s="21" t="s">
        <v>449</v>
      </c>
      <c r="Q651" s="21" t="s">
        <v>279</v>
      </c>
      <c r="R651" s="21" t="s">
        <v>21</v>
      </c>
      <c r="S651" s="74">
        <v>2013</v>
      </c>
      <c r="T651" s="21" t="s">
        <v>1440</v>
      </c>
      <c r="U651" s="21" t="s">
        <v>1441</v>
      </c>
      <c r="V651" s="75" t="s">
        <v>1442</v>
      </c>
      <c r="W651" s="95" t="s">
        <v>2009</v>
      </c>
      <c r="X651" s="21" t="s">
        <v>2753</v>
      </c>
    </row>
    <row r="652" spans="1:24" ht="38.25" customHeight="1">
      <c r="A652" s="21" t="s">
        <v>1</v>
      </c>
      <c r="B652" s="21" t="s">
        <v>53</v>
      </c>
      <c r="C652" s="21" t="s">
        <v>45</v>
      </c>
      <c r="D652" s="21" t="s">
        <v>1452</v>
      </c>
      <c r="E652" s="21" t="s">
        <v>147</v>
      </c>
      <c r="F652" s="21" t="s">
        <v>1373</v>
      </c>
      <c r="G652" s="21" t="s">
        <v>157</v>
      </c>
      <c r="H652" s="21">
        <v>238220</v>
      </c>
      <c r="I652" s="21" t="s">
        <v>28</v>
      </c>
      <c r="J652" s="21" t="s">
        <v>109</v>
      </c>
      <c r="K652" s="21" t="s">
        <v>1328</v>
      </c>
      <c r="L652" s="21" t="s">
        <v>1979</v>
      </c>
      <c r="M652" s="22">
        <v>25000</v>
      </c>
      <c r="N652" s="22">
        <v>35000</v>
      </c>
      <c r="O652" s="21" t="s">
        <v>20</v>
      </c>
      <c r="P652" s="21" t="s">
        <v>449</v>
      </c>
      <c r="Q652" s="21" t="s">
        <v>279</v>
      </c>
      <c r="R652" s="21" t="s">
        <v>31</v>
      </c>
      <c r="S652" s="74">
        <v>2013</v>
      </c>
      <c r="T652" s="21" t="s">
        <v>1440</v>
      </c>
      <c r="U652" s="21" t="s">
        <v>1441</v>
      </c>
      <c r="V652" s="75" t="s">
        <v>1442</v>
      </c>
      <c r="W652" s="95" t="s">
        <v>2009</v>
      </c>
      <c r="X652" s="21" t="s">
        <v>2753</v>
      </c>
    </row>
    <row r="653" spans="1:24" ht="38.25" customHeight="1">
      <c r="A653" s="21" t="s">
        <v>1</v>
      </c>
      <c r="B653" s="21" t="s">
        <v>53</v>
      </c>
      <c r="C653" s="21" t="s">
        <v>45</v>
      </c>
      <c r="D653" s="21" t="s">
        <v>2758</v>
      </c>
      <c r="E653" s="21" t="s">
        <v>138</v>
      </c>
      <c r="F653" s="21" t="s">
        <v>1373</v>
      </c>
      <c r="G653" s="21" t="s">
        <v>157</v>
      </c>
      <c r="H653" s="21">
        <v>561210</v>
      </c>
      <c r="I653" s="21" t="s">
        <v>28</v>
      </c>
      <c r="J653" s="21" t="s">
        <v>109</v>
      </c>
      <c r="K653" s="21" t="s">
        <v>1328</v>
      </c>
      <c r="L653" s="21" t="s">
        <v>1979</v>
      </c>
      <c r="M653" s="22">
        <v>20000</v>
      </c>
      <c r="N653" s="22">
        <v>35000</v>
      </c>
      <c r="O653" s="21" t="s">
        <v>9</v>
      </c>
      <c r="P653" s="21" t="s">
        <v>278</v>
      </c>
      <c r="Q653" s="21" t="s">
        <v>279</v>
      </c>
      <c r="R653" s="21" t="s">
        <v>41</v>
      </c>
      <c r="S653" s="74">
        <v>2013</v>
      </c>
      <c r="T653" s="21" t="s">
        <v>1440</v>
      </c>
      <c r="U653" s="21" t="s">
        <v>1456</v>
      </c>
      <c r="V653" s="75" t="s">
        <v>1442</v>
      </c>
      <c r="W653" s="95" t="s">
        <v>2009</v>
      </c>
      <c r="X653" s="21" t="s">
        <v>2753</v>
      </c>
    </row>
    <row r="654" spans="1:24" ht="38.25" customHeight="1">
      <c r="A654" s="21" t="s">
        <v>1</v>
      </c>
      <c r="B654" s="21" t="s">
        <v>53</v>
      </c>
      <c r="C654" s="21" t="s">
        <v>45</v>
      </c>
      <c r="D654" s="21" t="s">
        <v>2759</v>
      </c>
      <c r="E654" s="21" t="s">
        <v>138</v>
      </c>
      <c r="F654" s="21" t="s">
        <v>1327</v>
      </c>
      <c r="G654" s="21" t="s">
        <v>157</v>
      </c>
      <c r="H654" s="21">
        <v>236220</v>
      </c>
      <c r="I654" s="21" t="s">
        <v>6</v>
      </c>
      <c r="J654" s="21" t="s">
        <v>109</v>
      </c>
      <c r="K654" s="21" t="s">
        <v>2760</v>
      </c>
      <c r="L654" s="21"/>
      <c r="M654" s="22">
        <v>500000</v>
      </c>
      <c r="N654" s="22">
        <v>1000000</v>
      </c>
      <c r="O654" s="21" t="s">
        <v>20</v>
      </c>
      <c r="P654" s="21" t="s">
        <v>1974</v>
      </c>
      <c r="Q654" s="21" t="s">
        <v>633</v>
      </c>
      <c r="R654" s="21" t="s">
        <v>21</v>
      </c>
      <c r="S654" s="74">
        <v>2013</v>
      </c>
      <c r="T654" s="21" t="s">
        <v>1331</v>
      </c>
      <c r="U654" s="21" t="s">
        <v>1332</v>
      </c>
      <c r="V654" s="75" t="s">
        <v>1333</v>
      </c>
      <c r="W654" s="95" t="s">
        <v>2009</v>
      </c>
      <c r="X654" s="21"/>
    </row>
    <row r="655" spans="1:24" ht="38.25" customHeight="1">
      <c r="A655" s="21" t="s">
        <v>1</v>
      </c>
      <c r="B655" s="21" t="s">
        <v>53</v>
      </c>
      <c r="C655" s="21" t="s">
        <v>3</v>
      </c>
      <c r="D655" s="21" t="s">
        <v>1326</v>
      </c>
      <c r="E655" s="21" t="s">
        <v>138</v>
      </c>
      <c r="F655" s="21" t="s">
        <v>1327</v>
      </c>
      <c r="G655" s="21" t="s">
        <v>157</v>
      </c>
      <c r="H655" s="21">
        <v>236220</v>
      </c>
      <c r="I655" s="21" t="s">
        <v>71</v>
      </c>
      <c r="J655" s="21" t="s">
        <v>109</v>
      </c>
      <c r="K655" s="21" t="s">
        <v>40</v>
      </c>
      <c r="L655" s="21" t="s">
        <v>2761</v>
      </c>
      <c r="M655" s="22">
        <v>110000</v>
      </c>
      <c r="N655" s="22">
        <v>115000</v>
      </c>
      <c r="O655" s="21" t="s">
        <v>20</v>
      </c>
      <c r="P655" s="21" t="s">
        <v>1974</v>
      </c>
      <c r="Q655" s="21" t="s">
        <v>633</v>
      </c>
      <c r="R655" s="21" t="s">
        <v>10</v>
      </c>
      <c r="S655" s="74">
        <v>2013</v>
      </c>
      <c r="T655" s="21" t="s">
        <v>1323</v>
      </c>
      <c r="U655" s="21" t="s">
        <v>1324</v>
      </c>
      <c r="V655" s="75" t="s">
        <v>1325</v>
      </c>
      <c r="W655" s="21" t="s">
        <v>2009</v>
      </c>
      <c r="X655" s="21"/>
    </row>
    <row r="656" spans="1:24" ht="38.25" customHeight="1">
      <c r="A656" s="21" t="s">
        <v>1</v>
      </c>
      <c r="B656" s="21" t="s">
        <v>53</v>
      </c>
      <c r="C656" s="21" t="s">
        <v>3</v>
      </c>
      <c r="D656" s="21" t="s">
        <v>1330</v>
      </c>
      <c r="E656" s="21" t="s">
        <v>138</v>
      </c>
      <c r="F656" s="21" t="s">
        <v>1350</v>
      </c>
      <c r="G656" s="21" t="s">
        <v>127</v>
      </c>
      <c r="H656" s="21">
        <v>236220</v>
      </c>
      <c r="I656" s="21" t="s">
        <v>71</v>
      </c>
      <c r="J656" s="21" t="s">
        <v>109</v>
      </c>
      <c r="K656" s="21" t="s">
        <v>40</v>
      </c>
      <c r="L656" s="21" t="s">
        <v>2762</v>
      </c>
      <c r="M656" s="22">
        <v>250000</v>
      </c>
      <c r="N656" s="22">
        <v>500000</v>
      </c>
      <c r="O656" s="21" t="s">
        <v>20</v>
      </c>
      <c r="P656" s="21" t="s">
        <v>2763</v>
      </c>
      <c r="Q656" s="21" t="s">
        <v>633</v>
      </c>
      <c r="R656" s="21" t="s">
        <v>10</v>
      </c>
      <c r="S656" s="74">
        <v>2013</v>
      </c>
      <c r="T656" s="21" t="s">
        <v>1331</v>
      </c>
      <c r="U656" s="21" t="s">
        <v>1332</v>
      </c>
      <c r="V656" s="75" t="s">
        <v>1333</v>
      </c>
      <c r="W656" s="21" t="s">
        <v>2009</v>
      </c>
      <c r="X656" s="21" t="s">
        <v>2764</v>
      </c>
    </row>
    <row r="657" spans="1:24" ht="38.25" customHeight="1">
      <c r="A657" s="21" t="s">
        <v>1</v>
      </c>
      <c r="B657" s="21" t="s">
        <v>53</v>
      </c>
      <c r="C657" s="21" t="s">
        <v>35</v>
      </c>
      <c r="D657" s="21" t="s">
        <v>1410</v>
      </c>
      <c r="E657" s="21" t="s">
        <v>120</v>
      </c>
      <c r="F657" s="21" t="s">
        <v>1327</v>
      </c>
      <c r="G657" s="21" t="s">
        <v>157</v>
      </c>
      <c r="H657" s="21">
        <v>624310</v>
      </c>
      <c r="I657" s="21" t="s">
        <v>71</v>
      </c>
      <c r="J657" s="21" t="s">
        <v>109</v>
      </c>
      <c r="K657" s="21" t="s">
        <v>50</v>
      </c>
      <c r="L657" s="21" t="s">
        <v>1397</v>
      </c>
      <c r="M657" s="22">
        <v>312000</v>
      </c>
      <c r="N657" s="22">
        <v>1500000</v>
      </c>
      <c r="O657" s="21" t="s">
        <v>20</v>
      </c>
      <c r="P657" s="21" t="s">
        <v>1411</v>
      </c>
      <c r="Q657" s="21" t="s">
        <v>1399</v>
      </c>
      <c r="R657" s="21" t="s">
        <v>10</v>
      </c>
      <c r="S657" s="74">
        <v>2013</v>
      </c>
      <c r="T657" s="21" t="s">
        <v>1406</v>
      </c>
      <c r="U657" s="21" t="s">
        <v>1409</v>
      </c>
      <c r="V657" s="75" t="s">
        <v>1407</v>
      </c>
      <c r="W657" s="21" t="s">
        <v>2009</v>
      </c>
      <c r="X657" s="21"/>
    </row>
    <row r="658" spans="1:24" ht="38.25" customHeight="1">
      <c r="A658" s="21" t="s">
        <v>1</v>
      </c>
      <c r="B658" s="21" t="s">
        <v>53</v>
      </c>
      <c r="C658" s="21" t="s">
        <v>35</v>
      </c>
      <c r="D658" s="21" t="s">
        <v>1396</v>
      </c>
      <c r="E658" s="21" t="s">
        <v>120</v>
      </c>
      <c r="F658" s="21" t="s">
        <v>1358</v>
      </c>
      <c r="G658" s="21" t="s">
        <v>161</v>
      </c>
      <c r="H658" s="21">
        <v>561720</v>
      </c>
      <c r="I658" s="21" t="s">
        <v>71</v>
      </c>
      <c r="J658" s="21" t="s">
        <v>109</v>
      </c>
      <c r="K658" s="21" t="s">
        <v>50</v>
      </c>
      <c r="L658" s="21" t="s">
        <v>1397</v>
      </c>
      <c r="M658" s="22">
        <v>680000</v>
      </c>
      <c r="N658" s="22">
        <v>3400000</v>
      </c>
      <c r="O658" s="21" t="s">
        <v>20</v>
      </c>
      <c r="P658" s="21" t="s">
        <v>1408</v>
      </c>
      <c r="Q658" s="21" t="s">
        <v>1399</v>
      </c>
      <c r="R658" s="21" t="s">
        <v>10</v>
      </c>
      <c r="S658" s="74">
        <v>2013</v>
      </c>
      <c r="T658" s="21" t="s">
        <v>1406</v>
      </c>
      <c r="U658" s="21" t="s">
        <v>1409</v>
      </c>
      <c r="V658" s="75" t="s">
        <v>1407</v>
      </c>
      <c r="W658" s="21" t="s">
        <v>2009</v>
      </c>
      <c r="X658" s="21"/>
    </row>
    <row r="659" spans="1:24" ht="38.25" customHeight="1">
      <c r="A659" s="21" t="s">
        <v>1</v>
      </c>
      <c r="B659" s="21" t="s">
        <v>53</v>
      </c>
      <c r="C659" s="21" t="s">
        <v>35</v>
      </c>
      <c r="D659" s="21" t="s">
        <v>1415</v>
      </c>
      <c r="E659" s="21" t="s">
        <v>77</v>
      </c>
      <c r="F659" s="21" t="s">
        <v>1373</v>
      </c>
      <c r="G659" s="21" t="s">
        <v>157</v>
      </c>
      <c r="H659" s="21">
        <v>561210</v>
      </c>
      <c r="I659" s="21" t="s">
        <v>6</v>
      </c>
      <c r="J659" s="21" t="s">
        <v>109</v>
      </c>
      <c r="K659" s="21" t="s">
        <v>80</v>
      </c>
      <c r="L659" s="21" t="s">
        <v>80</v>
      </c>
      <c r="M659" s="22">
        <v>10000000</v>
      </c>
      <c r="N659" s="22">
        <v>15000000</v>
      </c>
      <c r="O659" s="21" t="s">
        <v>20</v>
      </c>
      <c r="P659" s="21" t="s">
        <v>1416</v>
      </c>
      <c r="Q659" s="21" t="s">
        <v>1399</v>
      </c>
      <c r="R659" s="21" t="s">
        <v>41</v>
      </c>
      <c r="S659" s="74">
        <v>2013</v>
      </c>
      <c r="T659" s="21" t="s">
        <v>1341</v>
      </c>
      <c r="U659" s="21" t="s">
        <v>1342</v>
      </c>
      <c r="V659" s="75" t="s">
        <v>1343</v>
      </c>
      <c r="W659" s="21" t="s">
        <v>2009</v>
      </c>
      <c r="X659" s="21"/>
    </row>
    <row r="660" spans="1:24" ht="38.25" customHeight="1">
      <c r="A660" s="21" t="s">
        <v>1</v>
      </c>
      <c r="B660" s="21" t="s">
        <v>53</v>
      </c>
      <c r="C660" s="21" t="s">
        <v>35</v>
      </c>
      <c r="D660" s="21" t="s">
        <v>1412</v>
      </c>
      <c r="E660" s="21" t="s">
        <v>26</v>
      </c>
      <c r="F660" s="21" t="s">
        <v>1413</v>
      </c>
      <c r="G660" s="21" t="s">
        <v>157</v>
      </c>
      <c r="H660" s="21">
        <v>541350</v>
      </c>
      <c r="I660" s="21" t="s">
        <v>6</v>
      </c>
      <c r="J660" s="21" t="s">
        <v>1309</v>
      </c>
      <c r="K660" s="21" t="s">
        <v>29</v>
      </c>
      <c r="L660" s="21" t="s">
        <v>29</v>
      </c>
      <c r="M660" s="22">
        <v>95000</v>
      </c>
      <c r="N660" s="22">
        <v>110000</v>
      </c>
      <c r="O660" s="21" t="s">
        <v>20</v>
      </c>
      <c r="P660" s="21" t="s">
        <v>1414</v>
      </c>
      <c r="Q660" s="21" t="s">
        <v>1399</v>
      </c>
      <c r="R660" s="21" t="s">
        <v>31</v>
      </c>
      <c r="S660" s="74">
        <v>2013</v>
      </c>
      <c r="T660" s="21" t="s">
        <v>1341</v>
      </c>
      <c r="U660" s="21" t="s">
        <v>1342</v>
      </c>
      <c r="V660" s="75" t="s">
        <v>1343</v>
      </c>
      <c r="W660" s="21" t="s">
        <v>2009</v>
      </c>
      <c r="X660" s="21"/>
    </row>
    <row r="661" spans="1:24" ht="38.25" customHeight="1">
      <c r="A661" s="21" t="s">
        <v>1</v>
      </c>
      <c r="B661" s="21" t="s">
        <v>53</v>
      </c>
      <c r="C661" s="21" t="s">
        <v>35</v>
      </c>
      <c r="D661" s="21" t="s">
        <v>1419</v>
      </c>
      <c r="E661" s="21" t="s">
        <v>120</v>
      </c>
      <c r="F661" s="21" t="s">
        <v>1373</v>
      </c>
      <c r="G661" s="21" t="s">
        <v>157</v>
      </c>
      <c r="H661" s="21">
        <v>561720</v>
      </c>
      <c r="I661" s="21" t="s">
        <v>71</v>
      </c>
      <c r="J661" s="21" t="s">
        <v>109</v>
      </c>
      <c r="K661" s="21" t="s">
        <v>50</v>
      </c>
      <c r="L661" s="21" t="s">
        <v>1397</v>
      </c>
      <c r="M661" s="22">
        <v>7500000</v>
      </c>
      <c r="N661" s="22">
        <v>8500000</v>
      </c>
      <c r="O661" s="21" t="s">
        <v>20</v>
      </c>
      <c r="P661" s="21" t="s">
        <v>1420</v>
      </c>
      <c r="Q661" s="21" t="s">
        <v>1399</v>
      </c>
      <c r="R661" s="21" t="s">
        <v>10</v>
      </c>
      <c r="S661" s="74">
        <v>2013</v>
      </c>
      <c r="T661" s="21" t="s">
        <v>1421</v>
      </c>
      <c r="U661" s="21" t="s">
        <v>1422</v>
      </c>
      <c r="V661" s="75" t="s">
        <v>1423</v>
      </c>
      <c r="W661" s="21" t="s">
        <v>2009</v>
      </c>
      <c r="X661" s="21"/>
    </row>
    <row r="662" spans="1:24" ht="38.25" customHeight="1">
      <c r="A662" s="21" t="s">
        <v>1</v>
      </c>
      <c r="B662" s="21" t="s">
        <v>53</v>
      </c>
      <c r="C662" s="21" t="s">
        <v>35</v>
      </c>
      <c r="D662" s="21" t="s">
        <v>1424</v>
      </c>
      <c r="E662" s="21" t="s">
        <v>120</v>
      </c>
      <c r="F662" s="21" t="s">
        <v>1373</v>
      </c>
      <c r="G662" s="21" t="s">
        <v>157</v>
      </c>
      <c r="H662" s="21">
        <v>561210</v>
      </c>
      <c r="I662" s="21" t="s">
        <v>71</v>
      </c>
      <c r="J662" s="21" t="s">
        <v>109</v>
      </c>
      <c r="K662" s="21" t="s">
        <v>50</v>
      </c>
      <c r="L662" s="21" t="s">
        <v>1425</v>
      </c>
      <c r="M662" s="22">
        <v>450000</v>
      </c>
      <c r="N662" s="22">
        <v>475000</v>
      </c>
      <c r="O662" s="21" t="s">
        <v>20</v>
      </c>
      <c r="P662" s="21" t="s">
        <v>1426</v>
      </c>
      <c r="Q662" s="21" t="s">
        <v>1399</v>
      </c>
      <c r="R662" s="21" t="s">
        <v>10</v>
      </c>
      <c r="S662" s="74">
        <v>2013</v>
      </c>
      <c r="T662" s="21" t="s">
        <v>1421</v>
      </c>
      <c r="U662" s="21" t="s">
        <v>1422</v>
      </c>
      <c r="V662" s="75" t="s">
        <v>1423</v>
      </c>
      <c r="W662" s="21" t="s">
        <v>2009</v>
      </c>
      <c r="X662" s="21"/>
    </row>
    <row r="663" spans="1:24" ht="38.25" customHeight="1">
      <c r="A663" s="21" t="s">
        <v>1</v>
      </c>
      <c r="B663" s="21" t="s">
        <v>53</v>
      </c>
      <c r="C663" s="21" t="s">
        <v>35</v>
      </c>
      <c r="D663" s="21" t="s">
        <v>1417</v>
      </c>
      <c r="E663" s="21" t="s">
        <v>120</v>
      </c>
      <c r="F663" s="21" t="s">
        <v>1327</v>
      </c>
      <c r="G663" s="21" t="s">
        <v>157</v>
      </c>
      <c r="H663" s="21">
        <v>561790</v>
      </c>
      <c r="I663" s="21" t="s">
        <v>28</v>
      </c>
      <c r="J663" s="21" t="s">
        <v>109</v>
      </c>
      <c r="K663" s="21" t="s">
        <v>50</v>
      </c>
      <c r="L663" s="21" t="s">
        <v>1395</v>
      </c>
      <c r="M663" s="22">
        <v>0</v>
      </c>
      <c r="N663" s="22">
        <v>0</v>
      </c>
      <c r="O663" s="21" t="s">
        <v>20</v>
      </c>
      <c r="P663" s="21" t="s">
        <v>1418</v>
      </c>
      <c r="Q663" s="21" t="s">
        <v>1399</v>
      </c>
      <c r="R663" s="21" t="s">
        <v>10</v>
      </c>
      <c r="S663" s="74">
        <v>2013</v>
      </c>
      <c r="T663" s="21" t="s">
        <v>1391</v>
      </c>
      <c r="U663" s="21" t="s">
        <v>1392</v>
      </c>
      <c r="V663" s="75" t="s">
        <v>2765</v>
      </c>
      <c r="W663" s="21" t="s">
        <v>2009</v>
      </c>
      <c r="X663" s="21" t="s">
        <v>2766</v>
      </c>
    </row>
    <row r="664" spans="1:24" ht="38.25" customHeight="1">
      <c r="A664" s="21" t="s">
        <v>1</v>
      </c>
      <c r="B664" s="21" t="s">
        <v>53</v>
      </c>
      <c r="C664" s="21" t="s">
        <v>35</v>
      </c>
      <c r="D664" s="21" t="s">
        <v>1396</v>
      </c>
      <c r="E664" s="21" t="s">
        <v>120</v>
      </c>
      <c r="F664" s="21" t="s">
        <v>1327</v>
      </c>
      <c r="G664" s="21" t="s">
        <v>157</v>
      </c>
      <c r="H664" s="21">
        <v>561720</v>
      </c>
      <c r="I664" s="21" t="s">
        <v>71</v>
      </c>
      <c r="J664" s="21" t="s">
        <v>109</v>
      </c>
      <c r="K664" s="21" t="s">
        <v>50</v>
      </c>
      <c r="L664" s="21" t="s">
        <v>1397</v>
      </c>
      <c r="M664" s="22">
        <v>1786296.12</v>
      </c>
      <c r="N664" s="22">
        <v>1800000</v>
      </c>
      <c r="O664" s="21" t="s">
        <v>20</v>
      </c>
      <c r="P664" s="21" t="s">
        <v>1408</v>
      </c>
      <c r="Q664" s="21" t="s">
        <v>1399</v>
      </c>
      <c r="R664" s="21" t="s">
        <v>31</v>
      </c>
      <c r="S664" s="74">
        <v>2013</v>
      </c>
      <c r="T664" s="21" t="s">
        <v>1406</v>
      </c>
      <c r="U664" s="21" t="s">
        <v>1409</v>
      </c>
      <c r="V664" s="75" t="s">
        <v>1407</v>
      </c>
      <c r="W664" s="21" t="s">
        <v>2009</v>
      </c>
      <c r="X664" s="21"/>
    </row>
    <row r="665" spans="1:24" ht="38.25" customHeight="1">
      <c r="A665" s="21" t="s">
        <v>1</v>
      </c>
      <c r="B665" s="21" t="s">
        <v>53</v>
      </c>
      <c r="C665" s="21" t="s">
        <v>45</v>
      </c>
      <c r="D665" s="21" t="s">
        <v>1337</v>
      </c>
      <c r="E665" s="21" t="s">
        <v>138</v>
      </c>
      <c r="F665" s="21" t="s">
        <v>1337</v>
      </c>
      <c r="G665" s="21" t="s">
        <v>157</v>
      </c>
      <c r="H665" s="21">
        <v>236220</v>
      </c>
      <c r="I665" s="21" t="s">
        <v>6</v>
      </c>
      <c r="J665" s="21" t="s">
        <v>109</v>
      </c>
      <c r="K665" s="21" t="s">
        <v>40</v>
      </c>
      <c r="L665" s="21" t="s">
        <v>1328</v>
      </c>
      <c r="M665" s="22">
        <v>250000</v>
      </c>
      <c r="N665" s="22">
        <v>500000</v>
      </c>
      <c r="O665" s="21" t="s">
        <v>20</v>
      </c>
      <c r="P665" s="21" t="s">
        <v>1974</v>
      </c>
      <c r="Q665" s="21" t="s">
        <v>633</v>
      </c>
      <c r="R665" s="21" t="s">
        <v>10</v>
      </c>
      <c r="S665" s="74">
        <v>2013</v>
      </c>
      <c r="T665" s="21" t="s">
        <v>1988</v>
      </c>
      <c r="U665" s="21" t="s">
        <v>1335</v>
      </c>
      <c r="V665" s="75" t="s">
        <v>1336</v>
      </c>
      <c r="W665" s="21" t="s">
        <v>2009</v>
      </c>
      <c r="X665" s="21" t="s">
        <v>1924</v>
      </c>
    </row>
    <row r="666" spans="1:24" ht="38.25" customHeight="1">
      <c r="A666" s="21" t="s">
        <v>1</v>
      </c>
      <c r="B666" s="21" t="s">
        <v>53</v>
      </c>
      <c r="C666" s="21" t="s">
        <v>45</v>
      </c>
      <c r="D666" s="21" t="s">
        <v>1334</v>
      </c>
      <c r="E666" s="21" t="s">
        <v>138</v>
      </c>
      <c r="F666" s="21" t="s">
        <v>1371</v>
      </c>
      <c r="G666" s="21" t="s">
        <v>161</v>
      </c>
      <c r="H666" s="21">
        <v>541310</v>
      </c>
      <c r="I666" s="21" t="s">
        <v>6</v>
      </c>
      <c r="J666" s="21" t="s">
        <v>109</v>
      </c>
      <c r="K666" s="21" t="s">
        <v>40</v>
      </c>
      <c r="L666" s="21" t="s">
        <v>1328</v>
      </c>
      <c r="M666" s="22">
        <v>25000</v>
      </c>
      <c r="N666" s="22">
        <v>100000</v>
      </c>
      <c r="O666" s="21" t="s">
        <v>20</v>
      </c>
      <c r="P666" s="21" t="s">
        <v>1974</v>
      </c>
      <c r="Q666" s="21" t="s">
        <v>633</v>
      </c>
      <c r="R666" s="21" t="s">
        <v>10</v>
      </c>
      <c r="S666" s="74">
        <v>2013</v>
      </c>
      <c r="T666" s="21" t="s">
        <v>1988</v>
      </c>
      <c r="U666" s="21" t="s">
        <v>1335</v>
      </c>
      <c r="V666" s="75" t="s">
        <v>1336</v>
      </c>
      <c r="W666" s="21" t="s">
        <v>2009</v>
      </c>
      <c r="X666" s="21" t="s">
        <v>1923</v>
      </c>
    </row>
    <row r="667" spans="1:24" ht="38.25" customHeight="1">
      <c r="A667" s="21" t="s">
        <v>1</v>
      </c>
      <c r="B667" s="21" t="s">
        <v>53</v>
      </c>
      <c r="C667" s="21" t="s">
        <v>45</v>
      </c>
      <c r="D667" s="21" t="s">
        <v>1353</v>
      </c>
      <c r="E667" s="21" t="s">
        <v>138</v>
      </c>
      <c r="F667" s="21" t="s">
        <v>1354</v>
      </c>
      <c r="G667" s="21" t="s">
        <v>127</v>
      </c>
      <c r="H667" s="21" t="s">
        <v>331</v>
      </c>
      <c r="I667" s="21" t="s">
        <v>6</v>
      </c>
      <c r="J667" s="21" t="s">
        <v>109</v>
      </c>
      <c r="K667" s="21" t="s">
        <v>1328</v>
      </c>
      <c r="L667" s="21" t="s">
        <v>1328</v>
      </c>
      <c r="M667" s="22">
        <v>15000</v>
      </c>
      <c r="N667" s="22">
        <v>150000</v>
      </c>
      <c r="O667" s="21" t="s">
        <v>9</v>
      </c>
      <c r="P667" s="21" t="s">
        <v>278</v>
      </c>
      <c r="Q667" s="21" t="s">
        <v>279</v>
      </c>
      <c r="R667" s="21" t="s">
        <v>31</v>
      </c>
      <c r="S667" s="74">
        <v>2013</v>
      </c>
      <c r="T667" s="21" t="s">
        <v>1346</v>
      </c>
      <c r="U667" s="21" t="s">
        <v>1347</v>
      </c>
      <c r="V667" s="75" t="s">
        <v>1348</v>
      </c>
      <c r="W667" s="21" t="s">
        <v>2009</v>
      </c>
      <c r="X667" s="21"/>
    </row>
    <row r="668" spans="1:24" ht="38.25" customHeight="1">
      <c r="A668" s="21" t="s">
        <v>1</v>
      </c>
      <c r="B668" s="21" t="s">
        <v>53</v>
      </c>
      <c r="C668" s="21" t="s">
        <v>45</v>
      </c>
      <c r="D668" s="21" t="s">
        <v>1357</v>
      </c>
      <c r="E668" s="21" t="s">
        <v>138</v>
      </c>
      <c r="F668" s="21" t="s">
        <v>1350</v>
      </c>
      <c r="G668" s="21" t="s">
        <v>127</v>
      </c>
      <c r="H668" s="21" t="s">
        <v>331</v>
      </c>
      <c r="I668" s="21" t="s">
        <v>6</v>
      </c>
      <c r="J668" s="21" t="s">
        <v>109</v>
      </c>
      <c r="K668" s="21" t="s">
        <v>1328</v>
      </c>
      <c r="L668" s="21" t="s">
        <v>1328</v>
      </c>
      <c r="M668" s="22">
        <v>15000</v>
      </c>
      <c r="N668" s="22">
        <v>150000</v>
      </c>
      <c r="O668" s="21" t="s">
        <v>9</v>
      </c>
      <c r="P668" s="21" t="s">
        <v>278</v>
      </c>
      <c r="Q668" s="21" t="s">
        <v>279</v>
      </c>
      <c r="R668" s="21" t="s">
        <v>10</v>
      </c>
      <c r="S668" s="74">
        <v>2013</v>
      </c>
      <c r="T668" s="21" t="s">
        <v>1346</v>
      </c>
      <c r="U668" s="21" t="s">
        <v>1347</v>
      </c>
      <c r="V668" s="75" t="s">
        <v>1348</v>
      </c>
      <c r="W668" s="21" t="s">
        <v>2009</v>
      </c>
      <c r="X668" s="21"/>
    </row>
    <row r="669" spans="1:24" ht="38.25" customHeight="1">
      <c r="A669" s="21" t="s">
        <v>1</v>
      </c>
      <c r="B669" s="21" t="s">
        <v>53</v>
      </c>
      <c r="C669" s="21" t="s">
        <v>45</v>
      </c>
      <c r="D669" s="21" t="s">
        <v>1356</v>
      </c>
      <c r="E669" s="21" t="s">
        <v>138</v>
      </c>
      <c r="F669" s="21" t="s">
        <v>1338</v>
      </c>
      <c r="G669" s="21" t="s">
        <v>127</v>
      </c>
      <c r="H669" s="21" t="s">
        <v>331</v>
      </c>
      <c r="I669" s="21" t="s">
        <v>6</v>
      </c>
      <c r="J669" s="21" t="s">
        <v>109</v>
      </c>
      <c r="K669" s="21" t="s">
        <v>1328</v>
      </c>
      <c r="L669" s="21" t="s">
        <v>1328</v>
      </c>
      <c r="M669" s="22">
        <v>26000</v>
      </c>
      <c r="N669" s="22">
        <v>150000</v>
      </c>
      <c r="O669" s="21" t="s">
        <v>20</v>
      </c>
      <c r="P669" s="21" t="s">
        <v>278</v>
      </c>
      <c r="Q669" s="21" t="s">
        <v>279</v>
      </c>
      <c r="R669" s="21" t="s">
        <v>21</v>
      </c>
      <c r="S669" s="74">
        <v>2013</v>
      </c>
      <c r="T669" s="21" t="s">
        <v>1346</v>
      </c>
      <c r="U669" s="21" t="s">
        <v>1347</v>
      </c>
      <c r="V669" s="75" t="s">
        <v>1348</v>
      </c>
      <c r="W669" s="21" t="s">
        <v>2009</v>
      </c>
      <c r="X669" s="21"/>
    </row>
    <row r="670" spans="1:24" ht="38.25" customHeight="1">
      <c r="A670" s="21" t="s">
        <v>1</v>
      </c>
      <c r="B670" s="21" t="s">
        <v>53</v>
      </c>
      <c r="C670" s="21" t="s">
        <v>45</v>
      </c>
      <c r="D670" s="21" t="s">
        <v>1344</v>
      </c>
      <c r="E670" s="21" t="s">
        <v>135</v>
      </c>
      <c r="F670" s="21" t="s">
        <v>1345</v>
      </c>
      <c r="G670" s="21" t="s">
        <v>127</v>
      </c>
      <c r="H670" s="21" t="s">
        <v>331</v>
      </c>
      <c r="I670" s="21" t="s">
        <v>6</v>
      </c>
      <c r="J670" s="21" t="s">
        <v>109</v>
      </c>
      <c r="K670" s="21" t="s">
        <v>1328</v>
      </c>
      <c r="L670" s="21" t="s">
        <v>1328</v>
      </c>
      <c r="M670" s="22">
        <v>50700</v>
      </c>
      <c r="N670" s="22">
        <v>150000</v>
      </c>
      <c r="O670" s="21" t="s">
        <v>20</v>
      </c>
      <c r="P670" s="21" t="s">
        <v>278</v>
      </c>
      <c r="Q670" s="21" t="s">
        <v>279</v>
      </c>
      <c r="R670" s="21" t="s">
        <v>21</v>
      </c>
      <c r="S670" s="74">
        <v>2013</v>
      </c>
      <c r="T670" s="21" t="s">
        <v>1346</v>
      </c>
      <c r="U670" s="21" t="s">
        <v>1347</v>
      </c>
      <c r="V670" s="75" t="s">
        <v>1348</v>
      </c>
      <c r="W670" s="21" t="s">
        <v>2009</v>
      </c>
      <c r="X670" s="21"/>
    </row>
    <row r="671" spans="1:24" ht="38.25" customHeight="1">
      <c r="A671" s="21" t="s">
        <v>1</v>
      </c>
      <c r="B671" s="21" t="s">
        <v>53</v>
      </c>
      <c r="C671" s="21" t="s">
        <v>45</v>
      </c>
      <c r="D671" s="21" t="s">
        <v>1349</v>
      </c>
      <c r="E671" s="21" t="s">
        <v>135</v>
      </c>
      <c r="F671" s="21" t="s">
        <v>1345</v>
      </c>
      <c r="G671" s="21" t="s">
        <v>127</v>
      </c>
      <c r="H671" s="21" t="s">
        <v>331</v>
      </c>
      <c r="I671" s="21" t="s">
        <v>6</v>
      </c>
      <c r="J671" s="21" t="s">
        <v>109</v>
      </c>
      <c r="K671" s="21" t="s">
        <v>1328</v>
      </c>
      <c r="L671" s="21" t="s">
        <v>1328</v>
      </c>
      <c r="M671" s="22">
        <v>95000</v>
      </c>
      <c r="N671" s="22">
        <v>150000</v>
      </c>
      <c r="O671" s="21" t="s">
        <v>20</v>
      </c>
      <c r="P671" s="21" t="s">
        <v>278</v>
      </c>
      <c r="Q671" s="21" t="s">
        <v>279</v>
      </c>
      <c r="R671" s="21" t="s">
        <v>10</v>
      </c>
      <c r="S671" s="74">
        <v>2013</v>
      </c>
      <c r="T671" s="21" t="s">
        <v>1346</v>
      </c>
      <c r="U671" s="21" t="s">
        <v>1347</v>
      </c>
      <c r="V671" s="75" t="s">
        <v>1348</v>
      </c>
      <c r="W671" s="21" t="s">
        <v>2009</v>
      </c>
      <c r="X671" s="21"/>
    </row>
    <row r="672" spans="1:24" ht="38.25" customHeight="1">
      <c r="A672" s="21" t="s">
        <v>1</v>
      </c>
      <c r="B672" s="21" t="s">
        <v>53</v>
      </c>
      <c r="C672" s="21" t="s">
        <v>45</v>
      </c>
      <c r="D672" s="21" t="s">
        <v>1351</v>
      </c>
      <c r="E672" s="21" t="s">
        <v>135</v>
      </c>
      <c r="F672" s="21" t="s">
        <v>1339</v>
      </c>
      <c r="G672" s="21" t="s">
        <v>127</v>
      </c>
      <c r="H672" s="21" t="s">
        <v>331</v>
      </c>
      <c r="I672" s="21" t="s">
        <v>6</v>
      </c>
      <c r="J672" s="21" t="s">
        <v>109</v>
      </c>
      <c r="K672" s="21" t="s">
        <v>1328</v>
      </c>
      <c r="L672" s="21" t="s">
        <v>1328</v>
      </c>
      <c r="M672" s="22">
        <v>44000</v>
      </c>
      <c r="N672" s="22">
        <v>150000</v>
      </c>
      <c r="O672" s="21" t="s">
        <v>20</v>
      </c>
      <c r="P672" s="21" t="s">
        <v>278</v>
      </c>
      <c r="Q672" s="21" t="s">
        <v>279</v>
      </c>
      <c r="R672" s="21" t="s">
        <v>31</v>
      </c>
      <c r="S672" s="74">
        <v>2013</v>
      </c>
      <c r="T672" s="21" t="s">
        <v>1346</v>
      </c>
      <c r="U672" s="21" t="s">
        <v>1347</v>
      </c>
      <c r="V672" s="75" t="s">
        <v>1348</v>
      </c>
      <c r="W672" s="21" t="s">
        <v>2009</v>
      </c>
      <c r="X672" s="21"/>
    </row>
    <row r="673" spans="1:24" ht="38.25" customHeight="1">
      <c r="A673" s="21" t="s">
        <v>1</v>
      </c>
      <c r="B673" s="21" t="s">
        <v>53</v>
      </c>
      <c r="C673" s="21" t="s">
        <v>45</v>
      </c>
      <c r="D673" s="21" t="s">
        <v>1352</v>
      </c>
      <c r="E673" s="21" t="s">
        <v>135</v>
      </c>
      <c r="F673" s="21" t="s">
        <v>1339</v>
      </c>
      <c r="G673" s="21" t="s">
        <v>127</v>
      </c>
      <c r="H673" s="21" t="s">
        <v>331</v>
      </c>
      <c r="I673" s="21" t="s">
        <v>6</v>
      </c>
      <c r="J673" s="21" t="s">
        <v>109</v>
      </c>
      <c r="K673" s="21" t="s">
        <v>1328</v>
      </c>
      <c r="L673" s="21" t="s">
        <v>1328</v>
      </c>
      <c r="M673" s="22">
        <v>90000</v>
      </c>
      <c r="N673" s="22">
        <v>150000</v>
      </c>
      <c r="O673" s="21" t="s">
        <v>20</v>
      </c>
      <c r="P673" s="21" t="s">
        <v>278</v>
      </c>
      <c r="Q673" s="21" t="s">
        <v>279</v>
      </c>
      <c r="R673" s="21" t="s">
        <v>10</v>
      </c>
      <c r="S673" s="74">
        <v>2013</v>
      </c>
      <c r="T673" s="21" t="s">
        <v>1346</v>
      </c>
      <c r="U673" s="21" t="s">
        <v>1347</v>
      </c>
      <c r="V673" s="75" t="s">
        <v>1348</v>
      </c>
      <c r="W673" s="21" t="s">
        <v>2009</v>
      </c>
      <c r="X673" s="21"/>
    </row>
    <row r="674" spans="1:24" ht="38.25" customHeight="1">
      <c r="A674" s="21" t="s">
        <v>1</v>
      </c>
      <c r="B674" s="21" t="s">
        <v>53</v>
      </c>
      <c r="C674" s="21" t="s">
        <v>45</v>
      </c>
      <c r="D674" s="21" t="s">
        <v>1355</v>
      </c>
      <c r="E674" s="21" t="s">
        <v>138</v>
      </c>
      <c r="F674" s="21" t="s">
        <v>1339</v>
      </c>
      <c r="G674" s="21" t="s">
        <v>127</v>
      </c>
      <c r="H674" s="21" t="s">
        <v>331</v>
      </c>
      <c r="I674" s="21" t="s">
        <v>6</v>
      </c>
      <c r="J674" s="21" t="s">
        <v>109</v>
      </c>
      <c r="K674" s="21" t="s">
        <v>1328</v>
      </c>
      <c r="L674" s="21" t="s">
        <v>1328</v>
      </c>
      <c r="M674" s="22">
        <v>15000</v>
      </c>
      <c r="N674" s="22">
        <v>150000</v>
      </c>
      <c r="O674" s="21" t="s">
        <v>9</v>
      </c>
      <c r="P674" s="21" t="s">
        <v>278</v>
      </c>
      <c r="Q674" s="21" t="s">
        <v>279</v>
      </c>
      <c r="R674" s="21" t="s">
        <v>10</v>
      </c>
      <c r="S674" s="74">
        <v>2013</v>
      </c>
      <c r="T674" s="21" t="s">
        <v>1346</v>
      </c>
      <c r="U674" s="21" t="s">
        <v>1347</v>
      </c>
      <c r="V674" s="75" t="s">
        <v>1348</v>
      </c>
      <c r="W674" s="21" t="s">
        <v>2009</v>
      </c>
      <c r="X674" s="21"/>
    </row>
    <row r="675" spans="1:24" ht="38.25" customHeight="1">
      <c r="A675" s="21" t="s">
        <v>1</v>
      </c>
      <c r="B675" s="21" t="s">
        <v>53</v>
      </c>
      <c r="C675" s="21" t="s">
        <v>45</v>
      </c>
      <c r="D675" s="21" t="s">
        <v>1372</v>
      </c>
      <c r="E675" s="21" t="s">
        <v>138</v>
      </c>
      <c r="F675" s="21" t="s">
        <v>1373</v>
      </c>
      <c r="G675" s="21" t="s">
        <v>157</v>
      </c>
      <c r="H675" s="21">
        <v>236220</v>
      </c>
      <c r="I675" s="21" t="s">
        <v>28</v>
      </c>
      <c r="J675" s="21" t="s">
        <v>18</v>
      </c>
      <c r="K675" s="21" t="s">
        <v>40</v>
      </c>
      <c r="L675" s="21" t="s">
        <v>40</v>
      </c>
      <c r="M675" s="22">
        <v>82000</v>
      </c>
      <c r="N675" s="22">
        <v>87000</v>
      </c>
      <c r="O675" s="21" t="s">
        <v>20</v>
      </c>
      <c r="P675" s="21" t="s">
        <v>278</v>
      </c>
      <c r="Q675" s="21" t="s">
        <v>279</v>
      </c>
      <c r="R675" s="21" t="s">
        <v>10</v>
      </c>
      <c r="S675" s="74">
        <v>2013</v>
      </c>
      <c r="T675" s="21" t="s">
        <v>1374</v>
      </c>
      <c r="U675" s="21" t="s">
        <v>1375</v>
      </c>
      <c r="V675" s="75" t="s">
        <v>1376</v>
      </c>
      <c r="W675" s="21" t="s">
        <v>2009</v>
      </c>
      <c r="X675" s="21"/>
    </row>
    <row r="676" spans="1:24" ht="38.25" customHeight="1">
      <c r="A676" s="21" t="s">
        <v>1</v>
      </c>
      <c r="B676" s="21" t="s">
        <v>53</v>
      </c>
      <c r="C676" s="21" t="s">
        <v>45</v>
      </c>
      <c r="D676" s="21" t="s">
        <v>1377</v>
      </c>
      <c r="E676" s="21" t="s">
        <v>138</v>
      </c>
      <c r="F676" s="21" t="s">
        <v>1373</v>
      </c>
      <c r="G676" s="21" t="s">
        <v>157</v>
      </c>
      <c r="H676" s="21">
        <v>236220</v>
      </c>
      <c r="I676" s="21" t="s">
        <v>28</v>
      </c>
      <c r="J676" s="21" t="s">
        <v>18</v>
      </c>
      <c r="K676" s="21" t="s">
        <v>40</v>
      </c>
      <c r="L676" s="21" t="s">
        <v>40</v>
      </c>
      <c r="M676" s="22">
        <v>140000</v>
      </c>
      <c r="N676" s="22">
        <v>150000</v>
      </c>
      <c r="O676" s="21" t="s">
        <v>20</v>
      </c>
      <c r="P676" s="21" t="s">
        <v>278</v>
      </c>
      <c r="Q676" s="21" t="s">
        <v>279</v>
      </c>
      <c r="R676" s="21" t="s">
        <v>10</v>
      </c>
      <c r="S676" s="74">
        <v>2013</v>
      </c>
      <c r="T676" s="21" t="s">
        <v>1374</v>
      </c>
      <c r="U676" s="21" t="s">
        <v>1375</v>
      </c>
      <c r="V676" s="75" t="s">
        <v>1376</v>
      </c>
      <c r="W676" s="21" t="s">
        <v>2009</v>
      </c>
      <c r="X676" s="21"/>
    </row>
    <row r="677" spans="1:24" ht="38.25" customHeight="1">
      <c r="A677" s="21" t="s">
        <v>1</v>
      </c>
      <c r="B677" s="21" t="s">
        <v>53</v>
      </c>
      <c r="C677" s="21" t="s">
        <v>45</v>
      </c>
      <c r="D677" s="21" t="s">
        <v>1382</v>
      </c>
      <c r="E677" s="21" t="s">
        <v>138</v>
      </c>
      <c r="F677" s="21" t="s">
        <v>1373</v>
      </c>
      <c r="G677" s="21" t="s">
        <v>157</v>
      </c>
      <c r="H677" s="21">
        <v>236220</v>
      </c>
      <c r="I677" s="21" t="s">
        <v>28</v>
      </c>
      <c r="J677" s="21" t="s">
        <v>79</v>
      </c>
      <c r="K677" s="21" t="s">
        <v>19</v>
      </c>
      <c r="L677" s="21" t="s">
        <v>331</v>
      </c>
      <c r="M677" s="22">
        <v>140000</v>
      </c>
      <c r="N677" s="22">
        <v>150000</v>
      </c>
      <c r="O677" s="21" t="s">
        <v>20</v>
      </c>
      <c r="P677" s="21" t="s">
        <v>278</v>
      </c>
      <c r="Q677" s="21" t="s">
        <v>279</v>
      </c>
      <c r="R677" s="21" t="s">
        <v>31</v>
      </c>
      <c r="S677" s="74">
        <v>2013</v>
      </c>
      <c r="T677" s="21" t="s">
        <v>1374</v>
      </c>
      <c r="U677" s="21" t="s">
        <v>1375</v>
      </c>
      <c r="V677" s="75" t="s">
        <v>1376</v>
      </c>
      <c r="W677" s="21" t="s">
        <v>2009</v>
      </c>
      <c r="X677" s="21"/>
    </row>
    <row r="678" spans="1:24" ht="38.25" customHeight="1">
      <c r="A678" s="21" t="s">
        <v>1</v>
      </c>
      <c r="B678" s="21" t="s">
        <v>53</v>
      </c>
      <c r="C678" s="21" t="s">
        <v>45</v>
      </c>
      <c r="D678" s="21" t="s">
        <v>1383</v>
      </c>
      <c r="E678" s="21" t="s">
        <v>138</v>
      </c>
      <c r="F678" s="21" t="s">
        <v>1373</v>
      </c>
      <c r="G678" s="21" t="s">
        <v>157</v>
      </c>
      <c r="H678" s="21">
        <v>236220</v>
      </c>
      <c r="I678" s="21" t="s">
        <v>28</v>
      </c>
      <c r="J678" s="21" t="s">
        <v>18</v>
      </c>
      <c r="K678" s="21" t="s">
        <v>40</v>
      </c>
      <c r="L678" s="21" t="s">
        <v>40</v>
      </c>
      <c r="M678" s="22">
        <v>45000</v>
      </c>
      <c r="N678" s="22">
        <v>54000</v>
      </c>
      <c r="O678" s="21" t="s">
        <v>20</v>
      </c>
      <c r="P678" s="21" t="s">
        <v>278</v>
      </c>
      <c r="Q678" s="21" t="s">
        <v>279</v>
      </c>
      <c r="R678" s="21" t="s">
        <v>10</v>
      </c>
      <c r="S678" s="74">
        <v>2013</v>
      </c>
      <c r="T678" s="21" t="s">
        <v>1374</v>
      </c>
      <c r="U678" s="21" t="s">
        <v>1375</v>
      </c>
      <c r="V678" s="75" t="s">
        <v>1376</v>
      </c>
      <c r="W678" s="21" t="s">
        <v>2009</v>
      </c>
      <c r="X678" s="21"/>
    </row>
    <row r="679" spans="1:24" ht="38.25" customHeight="1">
      <c r="A679" s="21" t="s">
        <v>1</v>
      </c>
      <c r="B679" s="21" t="s">
        <v>53</v>
      </c>
      <c r="C679" s="21" t="s">
        <v>45</v>
      </c>
      <c r="D679" s="21" t="s">
        <v>1384</v>
      </c>
      <c r="E679" s="21" t="s">
        <v>138</v>
      </c>
      <c r="F679" s="21" t="s">
        <v>1373</v>
      </c>
      <c r="G679" s="21" t="s">
        <v>157</v>
      </c>
      <c r="H679" s="21">
        <v>236220</v>
      </c>
      <c r="I679" s="21" t="s">
        <v>28</v>
      </c>
      <c r="J679" s="21" t="s">
        <v>18</v>
      </c>
      <c r="K679" s="21" t="s">
        <v>40</v>
      </c>
      <c r="L679" s="21" t="s">
        <v>40</v>
      </c>
      <c r="M679" s="22">
        <v>45000</v>
      </c>
      <c r="N679" s="22">
        <v>50000</v>
      </c>
      <c r="O679" s="21" t="s">
        <v>20</v>
      </c>
      <c r="P679" s="21" t="s">
        <v>278</v>
      </c>
      <c r="Q679" s="21" t="s">
        <v>279</v>
      </c>
      <c r="R679" s="21" t="s">
        <v>10</v>
      </c>
      <c r="S679" s="74">
        <v>2013</v>
      </c>
      <c r="T679" s="21" t="s">
        <v>1374</v>
      </c>
      <c r="U679" s="21" t="s">
        <v>1375</v>
      </c>
      <c r="V679" s="75" t="s">
        <v>1376</v>
      </c>
      <c r="W679" s="21" t="s">
        <v>2009</v>
      </c>
      <c r="X679" s="21"/>
    </row>
    <row r="680" spans="1:24" ht="38.25" customHeight="1">
      <c r="A680" s="21" t="s">
        <v>1</v>
      </c>
      <c r="B680" s="21" t="s">
        <v>53</v>
      </c>
      <c r="C680" s="21" t="s">
        <v>45</v>
      </c>
      <c r="D680" s="21" t="s">
        <v>1385</v>
      </c>
      <c r="E680" s="21" t="s">
        <v>138</v>
      </c>
      <c r="F680" s="21" t="s">
        <v>1373</v>
      </c>
      <c r="G680" s="21" t="s">
        <v>157</v>
      </c>
      <c r="H680" s="21">
        <v>236220</v>
      </c>
      <c r="I680" s="21" t="s">
        <v>28</v>
      </c>
      <c r="J680" s="21" t="s">
        <v>18</v>
      </c>
      <c r="K680" s="21" t="s">
        <v>40</v>
      </c>
      <c r="L680" s="21" t="s">
        <v>40</v>
      </c>
      <c r="M680" s="22">
        <v>60000</v>
      </c>
      <c r="N680" s="22">
        <v>65000</v>
      </c>
      <c r="O680" s="21" t="s">
        <v>20</v>
      </c>
      <c r="P680" s="21" t="s">
        <v>278</v>
      </c>
      <c r="Q680" s="21" t="s">
        <v>279</v>
      </c>
      <c r="R680" s="21" t="s">
        <v>21</v>
      </c>
      <c r="S680" s="74">
        <v>2013</v>
      </c>
      <c r="T680" s="21" t="s">
        <v>1374</v>
      </c>
      <c r="U680" s="21" t="s">
        <v>1375</v>
      </c>
      <c r="V680" s="75" t="s">
        <v>1376</v>
      </c>
      <c r="W680" s="21" t="s">
        <v>2009</v>
      </c>
      <c r="X680" s="21"/>
    </row>
    <row r="681" spans="1:24" ht="38.25" customHeight="1">
      <c r="A681" s="21" t="s">
        <v>1</v>
      </c>
      <c r="B681" s="21" t="s">
        <v>53</v>
      </c>
      <c r="C681" s="21" t="s">
        <v>45</v>
      </c>
      <c r="D681" s="21" t="s">
        <v>1386</v>
      </c>
      <c r="E681" s="21" t="s">
        <v>138</v>
      </c>
      <c r="F681" s="21" t="s">
        <v>1373</v>
      </c>
      <c r="G681" s="21" t="s">
        <v>157</v>
      </c>
      <c r="H681" s="21">
        <v>236220</v>
      </c>
      <c r="I681" s="21" t="s">
        <v>28</v>
      </c>
      <c r="J681" s="21" t="s">
        <v>18</v>
      </c>
      <c r="K681" s="21" t="s">
        <v>40</v>
      </c>
      <c r="L681" s="21" t="s">
        <v>40</v>
      </c>
      <c r="M681" s="22">
        <v>20000</v>
      </c>
      <c r="N681" s="22">
        <v>25000</v>
      </c>
      <c r="O681" s="21" t="s">
        <v>9</v>
      </c>
      <c r="P681" s="21" t="s">
        <v>278</v>
      </c>
      <c r="Q681" s="21" t="s">
        <v>279</v>
      </c>
      <c r="R681" s="21" t="s">
        <v>10</v>
      </c>
      <c r="S681" s="74">
        <v>2013</v>
      </c>
      <c r="T681" s="21" t="s">
        <v>1374</v>
      </c>
      <c r="U681" s="21" t="s">
        <v>1375</v>
      </c>
      <c r="V681" s="75" t="s">
        <v>1376</v>
      </c>
      <c r="W681" s="21" t="s">
        <v>2009</v>
      </c>
      <c r="X681" s="21"/>
    </row>
    <row r="682" spans="1:24" ht="38.25" customHeight="1">
      <c r="A682" s="21" t="s">
        <v>1</v>
      </c>
      <c r="B682" s="21" t="s">
        <v>53</v>
      </c>
      <c r="C682" s="21" t="s">
        <v>45</v>
      </c>
      <c r="D682" s="21" t="s">
        <v>1387</v>
      </c>
      <c r="E682" s="21" t="s">
        <v>97</v>
      </c>
      <c r="F682" s="21" t="s">
        <v>1373</v>
      </c>
      <c r="G682" s="21" t="s">
        <v>157</v>
      </c>
      <c r="H682" s="21">
        <v>561210</v>
      </c>
      <c r="I682" s="21" t="s">
        <v>28</v>
      </c>
      <c r="J682" s="21" t="s">
        <v>29</v>
      </c>
      <c r="K682" s="21" t="s">
        <v>29</v>
      </c>
      <c r="L682" s="21" t="s">
        <v>29</v>
      </c>
      <c r="M682" s="22">
        <v>27000</v>
      </c>
      <c r="N682" s="22">
        <v>30000</v>
      </c>
      <c r="O682" s="21" t="s">
        <v>20</v>
      </c>
      <c r="P682" s="21" t="s">
        <v>1388</v>
      </c>
      <c r="Q682" s="21" t="s">
        <v>576</v>
      </c>
      <c r="R682" s="21" t="s">
        <v>31</v>
      </c>
      <c r="S682" s="74">
        <v>2013</v>
      </c>
      <c r="T682" s="21" t="s">
        <v>1374</v>
      </c>
      <c r="U682" s="21" t="s">
        <v>1375</v>
      </c>
      <c r="V682" s="75" t="s">
        <v>1376</v>
      </c>
      <c r="W682" s="21" t="s">
        <v>2009</v>
      </c>
      <c r="X682" s="21"/>
    </row>
    <row r="683" spans="1:24" ht="38.25" customHeight="1">
      <c r="A683" s="21" t="s">
        <v>1</v>
      </c>
      <c r="B683" s="21" t="s">
        <v>53</v>
      </c>
      <c r="C683" s="21" t="s">
        <v>45</v>
      </c>
      <c r="D683" s="21" t="s">
        <v>1322</v>
      </c>
      <c r="E683" s="21" t="s">
        <v>138</v>
      </c>
      <c r="F683" s="21" t="s">
        <v>1327</v>
      </c>
      <c r="G683" s="21" t="s">
        <v>157</v>
      </c>
      <c r="H683" s="21">
        <v>236220</v>
      </c>
      <c r="I683" s="21" t="s">
        <v>17</v>
      </c>
      <c r="J683" s="21" t="s">
        <v>109</v>
      </c>
      <c r="K683" s="21" t="s">
        <v>8</v>
      </c>
      <c r="L683" s="21" t="s">
        <v>1091</v>
      </c>
      <c r="M683" s="22">
        <v>182113.58</v>
      </c>
      <c r="N683" s="22">
        <v>182113.58</v>
      </c>
      <c r="O683" s="21" t="s">
        <v>20</v>
      </c>
      <c r="P683" s="21" t="s">
        <v>1301</v>
      </c>
      <c r="Q683" s="21" t="s">
        <v>633</v>
      </c>
      <c r="R683" s="21" t="s">
        <v>10</v>
      </c>
      <c r="S683" s="74">
        <v>2013</v>
      </c>
      <c r="T683" s="21" t="s">
        <v>1319</v>
      </c>
      <c r="U683" s="21" t="s">
        <v>1320</v>
      </c>
      <c r="V683" s="75" t="s">
        <v>1321</v>
      </c>
      <c r="W683" s="21" t="s">
        <v>2009</v>
      </c>
      <c r="X683" s="21" t="s">
        <v>1922</v>
      </c>
    </row>
    <row r="684" spans="1:24" ht="38.25" customHeight="1">
      <c r="A684" s="21" t="s">
        <v>1</v>
      </c>
      <c r="B684" s="21" t="s">
        <v>53</v>
      </c>
      <c r="C684" s="21" t="s">
        <v>45</v>
      </c>
      <c r="D684" s="21" t="s">
        <v>1316</v>
      </c>
      <c r="E684" s="21" t="s">
        <v>138</v>
      </c>
      <c r="F684" s="21" t="s">
        <v>1965</v>
      </c>
      <c r="G684" s="21" t="s">
        <v>157</v>
      </c>
      <c r="H684" s="21">
        <v>236220</v>
      </c>
      <c r="I684" s="21" t="s">
        <v>71</v>
      </c>
      <c r="J684" s="21" t="s">
        <v>109</v>
      </c>
      <c r="K684" s="21" t="s">
        <v>40</v>
      </c>
      <c r="L684" s="21" t="s">
        <v>1317</v>
      </c>
      <c r="M684" s="22">
        <v>300000</v>
      </c>
      <c r="N684" s="22">
        <v>300000</v>
      </c>
      <c r="O684" s="21" t="s">
        <v>20</v>
      </c>
      <c r="P684" s="21" t="s">
        <v>1318</v>
      </c>
      <c r="Q684" s="21" t="s">
        <v>633</v>
      </c>
      <c r="R684" s="21" t="s">
        <v>10</v>
      </c>
      <c r="S684" s="74">
        <v>2013</v>
      </c>
      <c r="T684" s="21" t="s">
        <v>1319</v>
      </c>
      <c r="U684" s="21" t="s">
        <v>1320</v>
      </c>
      <c r="V684" s="75" t="s">
        <v>1321</v>
      </c>
      <c r="W684" s="21" t="s">
        <v>2009</v>
      </c>
      <c r="X684" s="21"/>
    </row>
    <row r="685" spans="1:24" ht="38.25" customHeight="1">
      <c r="A685" s="21" t="s">
        <v>1</v>
      </c>
      <c r="B685" s="21" t="s">
        <v>53</v>
      </c>
      <c r="C685" s="21" t="s">
        <v>45</v>
      </c>
      <c r="D685" s="21" t="s">
        <v>1396</v>
      </c>
      <c r="E685" s="21" t="s">
        <v>120</v>
      </c>
      <c r="F685" s="21" t="s">
        <v>1337</v>
      </c>
      <c r="G685" s="21" t="s">
        <v>157</v>
      </c>
      <c r="H685" s="21">
        <v>561720</v>
      </c>
      <c r="I685" s="21" t="s">
        <v>71</v>
      </c>
      <c r="J685" s="21" t="s">
        <v>109</v>
      </c>
      <c r="K685" s="21" t="s">
        <v>50</v>
      </c>
      <c r="L685" s="21" t="s">
        <v>1397</v>
      </c>
      <c r="M685" s="22">
        <v>105000</v>
      </c>
      <c r="N685" s="22">
        <v>115000</v>
      </c>
      <c r="O685" s="21" t="s">
        <v>20</v>
      </c>
      <c r="P685" s="21" t="s">
        <v>1398</v>
      </c>
      <c r="Q685" s="21" t="s">
        <v>1399</v>
      </c>
      <c r="R685" s="21" t="s">
        <v>10</v>
      </c>
      <c r="S685" s="74">
        <v>2013</v>
      </c>
      <c r="T685" s="21" t="s">
        <v>1391</v>
      </c>
      <c r="U685" s="21" t="s">
        <v>1392</v>
      </c>
      <c r="V685" s="75" t="s">
        <v>1393</v>
      </c>
      <c r="W685" s="21" t="s">
        <v>2009</v>
      </c>
      <c r="X685" s="21"/>
    </row>
    <row r="686" spans="1:24" ht="38.25" customHeight="1">
      <c r="A686" s="21" t="s">
        <v>1</v>
      </c>
      <c r="B686" s="21" t="s">
        <v>53</v>
      </c>
      <c r="C686" s="21" t="s">
        <v>3</v>
      </c>
      <c r="D686" s="21" t="s">
        <v>1394</v>
      </c>
      <c r="E686" s="21" t="s">
        <v>77</v>
      </c>
      <c r="F686" s="21" t="s">
        <v>1373</v>
      </c>
      <c r="G686" s="21" t="s">
        <v>157</v>
      </c>
      <c r="H686" s="21">
        <v>561210</v>
      </c>
      <c r="I686" s="21" t="s">
        <v>28</v>
      </c>
      <c r="J686" s="21" t="s">
        <v>109</v>
      </c>
      <c r="K686" s="21" t="s">
        <v>73</v>
      </c>
      <c r="L686" s="21" t="s">
        <v>1395</v>
      </c>
      <c r="M686" s="22">
        <v>3594816</v>
      </c>
      <c r="N686" s="22">
        <v>13000000</v>
      </c>
      <c r="O686" s="21" t="s">
        <v>20</v>
      </c>
      <c r="P686" s="21" t="s">
        <v>1439</v>
      </c>
      <c r="Q686" s="21" t="s">
        <v>279</v>
      </c>
      <c r="R686" s="21" t="s">
        <v>10</v>
      </c>
      <c r="S686" s="74">
        <v>2013</v>
      </c>
      <c r="T686" s="21" t="s">
        <v>1391</v>
      </c>
      <c r="U686" s="21" t="s">
        <v>1392</v>
      </c>
      <c r="V686" s="75" t="s">
        <v>1393</v>
      </c>
      <c r="W686" s="21" t="s">
        <v>2009</v>
      </c>
      <c r="X686" s="21" t="s">
        <v>2767</v>
      </c>
    </row>
    <row r="687" spans="1:24" ht="38.25" customHeight="1">
      <c r="A687" s="21" t="s">
        <v>1</v>
      </c>
      <c r="B687" s="21" t="s">
        <v>53</v>
      </c>
      <c r="C687" s="21" t="s">
        <v>45</v>
      </c>
      <c r="D687" s="21" t="s">
        <v>2768</v>
      </c>
      <c r="E687" s="21" t="s">
        <v>224</v>
      </c>
      <c r="F687" s="21" t="s">
        <v>1373</v>
      </c>
      <c r="G687" s="21" t="s">
        <v>157</v>
      </c>
      <c r="H687" s="21">
        <v>238990</v>
      </c>
      <c r="I687" s="21" t="s">
        <v>28</v>
      </c>
      <c r="J687" s="21" t="s">
        <v>109</v>
      </c>
      <c r="K687" s="21" t="s">
        <v>73</v>
      </c>
      <c r="L687" s="21" t="s">
        <v>449</v>
      </c>
      <c r="M687" s="22">
        <v>25000</v>
      </c>
      <c r="N687" s="22">
        <v>100000</v>
      </c>
      <c r="O687" s="21" t="s">
        <v>20</v>
      </c>
      <c r="P687" s="21" t="s">
        <v>449</v>
      </c>
      <c r="Q687" s="21" t="s">
        <v>279</v>
      </c>
      <c r="R687" s="21" t="s">
        <v>21</v>
      </c>
      <c r="S687" s="74">
        <v>2013</v>
      </c>
      <c r="T687" s="21" t="s">
        <v>1444</v>
      </c>
      <c r="U687" s="21" t="s">
        <v>1445</v>
      </c>
      <c r="V687" s="75" t="s">
        <v>1446</v>
      </c>
      <c r="W687" s="21" t="s">
        <v>2009</v>
      </c>
      <c r="X687" s="21" t="s">
        <v>2753</v>
      </c>
    </row>
    <row r="688" spans="1:24" ht="38.25" customHeight="1">
      <c r="A688" s="21" t="s">
        <v>1</v>
      </c>
      <c r="B688" s="21" t="s">
        <v>53</v>
      </c>
      <c r="C688" s="21" t="s">
        <v>45</v>
      </c>
      <c r="D688" s="21" t="s">
        <v>2769</v>
      </c>
      <c r="E688" s="21" t="s">
        <v>224</v>
      </c>
      <c r="F688" s="21" t="s">
        <v>1373</v>
      </c>
      <c r="G688" s="21" t="s">
        <v>157</v>
      </c>
      <c r="H688" s="21">
        <v>238140</v>
      </c>
      <c r="I688" s="21" t="s">
        <v>28</v>
      </c>
      <c r="J688" s="21" t="s">
        <v>109</v>
      </c>
      <c r="K688" s="21" t="s">
        <v>73</v>
      </c>
      <c r="L688" s="21" t="s">
        <v>449</v>
      </c>
      <c r="M688" s="22">
        <v>80000</v>
      </c>
      <c r="N688" s="22">
        <v>125000</v>
      </c>
      <c r="O688" s="21" t="s">
        <v>20</v>
      </c>
      <c r="P688" s="21" t="s">
        <v>449</v>
      </c>
      <c r="Q688" s="21" t="s">
        <v>279</v>
      </c>
      <c r="R688" s="21" t="s">
        <v>21</v>
      </c>
      <c r="S688" s="74">
        <v>2013</v>
      </c>
      <c r="T688" s="21" t="s">
        <v>1444</v>
      </c>
      <c r="U688" s="21" t="s">
        <v>1445</v>
      </c>
      <c r="V688" s="75" t="s">
        <v>1446</v>
      </c>
      <c r="W688" s="21" t="s">
        <v>2009</v>
      </c>
      <c r="X688" s="21" t="s">
        <v>2753</v>
      </c>
    </row>
    <row r="689" spans="1:24" ht="38.25" customHeight="1">
      <c r="A689" s="21" t="s">
        <v>1</v>
      </c>
      <c r="B689" s="21" t="s">
        <v>53</v>
      </c>
      <c r="C689" s="21" t="s">
        <v>45</v>
      </c>
      <c r="D689" s="21" t="s">
        <v>1447</v>
      </c>
      <c r="E689" s="21" t="s">
        <v>135</v>
      </c>
      <c r="F689" s="21" t="s">
        <v>1373</v>
      </c>
      <c r="G689" s="21" t="s">
        <v>157</v>
      </c>
      <c r="H689" s="21">
        <v>238220</v>
      </c>
      <c r="I689" s="21" t="s">
        <v>28</v>
      </c>
      <c r="J689" s="21" t="s">
        <v>18</v>
      </c>
      <c r="K689" s="21" t="s">
        <v>40</v>
      </c>
      <c r="L689" s="21" t="s">
        <v>2770</v>
      </c>
      <c r="M689" s="22">
        <v>25000</v>
      </c>
      <c r="N689" s="22">
        <v>40000</v>
      </c>
      <c r="O689" s="21" t="s">
        <v>20</v>
      </c>
      <c r="P689" s="21" t="s">
        <v>2771</v>
      </c>
      <c r="Q689" s="21" t="s">
        <v>279</v>
      </c>
      <c r="R689" s="21" t="s">
        <v>31</v>
      </c>
      <c r="S689" s="74">
        <v>2013</v>
      </c>
      <c r="T689" s="21" t="s">
        <v>2772</v>
      </c>
      <c r="U689" s="21"/>
      <c r="V689" s="75" t="s">
        <v>2773</v>
      </c>
      <c r="W689" s="21" t="s">
        <v>2009</v>
      </c>
      <c r="X689" s="21" t="s">
        <v>2774</v>
      </c>
    </row>
    <row r="690" spans="1:24" ht="38.25" customHeight="1">
      <c r="A690" s="21" t="s">
        <v>1</v>
      </c>
      <c r="B690" s="21" t="s">
        <v>53</v>
      </c>
      <c r="C690" s="21" t="s">
        <v>45</v>
      </c>
      <c r="D690" s="21" t="s">
        <v>1451</v>
      </c>
      <c r="E690" s="21" t="s">
        <v>224</v>
      </c>
      <c r="F690" s="21" t="s">
        <v>1373</v>
      </c>
      <c r="G690" s="21" t="s">
        <v>157</v>
      </c>
      <c r="H690" s="21">
        <v>238320</v>
      </c>
      <c r="I690" s="21" t="s">
        <v>28</v>
      </c>
      <c r="J690" s="21" t="s">
        <v>109</v>
      </c>
      <c r="K690" s="21" t="s">
        <v>1328</v>
      </c>
      <c r="L690" s="21" t="s">
        <v>1449</v>
      </c>
      <c r="M690" s="22">
        <v>75000</v>
      </c>
      <c r="N690" s="22">
        <v>125000</v>
      </c>
      <c r="O690" s="21" t="s">
        <v>20</v>
      </c>
      <c r="P690" s="21" t="s">
        <v>449</v>
      </c>
      <c r="Q690" s="21" t="s">
        <v>279</v>
      </c>
      <c r="R690" s="21" t="s">
        <v>31</v>
      </c>
      <c r="S690" s="74">
        <v>2013</v>
      </c>
      <c r="T690" s="21" t="s">
        <v>1444</v>
      </c>
      <c r="U690" s="21" t="s">
        <v>1445</v>
      </c>
      <c r="V690" s="75" t="s">
        <v>1446</v>
      </c>
      <c r="W690" s="21" t="s">
        <v>2009</v>
      </c>
      <c r="X690" s="21" t="s">
        <v>2753</v>
      </c>
    </row>
    <row r="691" spans="1:24" ht="38.25" customHeight="1">
      <c r="A691" s="21" t="s">
        <v>1</v>
      </c>
      <c r="B691" s="21" t="s">
        <v>53</v>
      </c>
      <c r="C691" s="21" t="s">
        <v>45</v>
      </c>
      <c r="D691" s="21" t="s">
        <v>2775</v>
      </c>
      <c r="E691" s="21" t="s">
        <v>224</v>
      </c>
      <c r="F691" s="21" t="s">
        <v>1373</v>
      </c>
      <c r="G691" s="21" t="s">
        <v>157</v>
      </c>
      <c r="H691" s="21">
        <v>238130</v>
      </c>
      <c r="I691" s="21" t="s">
        <v>28</v>
      </c>
      <c r="J691" s="21" t="s">
        <v>109</v>
      </c>
      <c r="K691" s="21" t="s">
        <v>73</v>
      </c>
      <c r="L691" s="21" t="s">
        <v>449</v>
      </c>
      <c r="M691" s="22">
        <v>15000</v>
      </c>
      <c r="N691" s="22">
        <v>30000</v>
      </c>
      <c r="O691" s="21" t="s">
        <v>20</v>
      </c>
      <c r="P691" s="21" t="s">
        <v>449</v>
      </c>
      <c r="Q691" s="21" t="s">
        <v>279</v>
      </c>
      <c r="R691" s="21" t="s">
        <v>31</v>
      </c>
      <c r="S691" s="74">
        <v>2013</v>
      </c>
      <c r="T691" s="21" t="s">
        <v>1444</v>
      </c>
      <c r="U691" s="21" t="s">
        <v>1445</v>
      </c>
      <c r="V691" s="75" t="s">
        <v>1446</v>
      </c>
      <c r="W691" s="21" t="s">
        <v>2009</v>
      </c>
      <c r="X691" s="21" t="s">
        <v>2753</v>
      </c>
    </row>
    <row r="692" spans="1:24" ht="38.25" customHeight="1">
      <c r="A692" s="21" t="s">
        <v>1</v>
      </c>
      <c r="B692" s="21" t="s">
        <v>53</v>
      </c>
      <c r="C692" s="21" t="s">
        <v>45</v>
      </c>
      <c r="D692" s="21" t="s">
        <v>2776</v>
      </c>
      <c r="E692" s="21" t="s">
        <v>224</v>
      </c>
      <c r="F692" s="21" t="s">
        <v>1373</v>
      </c>
      <c r="G692" s="21" t="s">
        <v>157</v>
      </c>
      <c r="H692" s="21">
        <v>238140</v>
      </c>
      <c r="I692" s="21" t="s">
        <v>28</v>
      </c>
      <c r="J692" s="21" t="s">
        <v>18</v>
      </c>
      <c r="K692" s="21" t="s">
        <v>40</v>
      </c>
      <c r="L692" s="21" t="s">
        <v>449</v>
      </c>
      <c r="M692" s="22">
        <v>25000</v>
      </c>
      <c r="N692" s="22">
        <v>35000</v>
      </c>
      <c r="O692" s="21" t="s">
        <v>20</v>
      </c>
      <c r="P692" s="21" t="s">
        <v>449</v>
      </c>
      <c r="Q692" s="21" t="s">
        <v>279</v>
      </c>
      <c r="R692" s="21" t="s">
        <v>21</v>
      </c>
      <c r="S692" s="74">
        <v>2013</v>
      </c>
      <c r="T692" s="21" t="s">
        <v>1444</v>
      </c>
      <c r="U692" s="21" t="s">
        <v>1445</v>
      </c>
      <c r="V692" s="75" t="s">
        <v>1446</v>
      </c>
      <c r="W692" s="21" t="s">
        <v>2009</v>
      </c>
      <c r="X692" s="21" t="s">
        <v>2753</v>
      </c>
    </row>
    <row r="693" spans="1:24" ht="38.25" customHeight="1">
      <c r="A693" s="21" t="s">
        <v>1</v>
      </c>
      <c r="B693" s="21" t="s">
        <v>53</v>
      </c>
      <c r="C693" s="21" t="s">
        <v>45</v>
      </c>
      <c r="D693" s="21" t="s">
        <v>2777</v>
      </c>
      <c r="E693" s="21" t="s">
        <v>224</v>
      </c>
      <c r="F693" s="21" t="s">
        <v>1373</v>
      </c>
      <c r="G693" s="21" t="s">
        <v>157</v>
      </c>
      <c r="H693" s="21">
        <v>238330</v>
      </c>
      <c r="I693" s="21" t="s">
        <v>28</v>
      </c>
      <c r="J693" s="21" t="s">
        <v>18</v>
      </c>
      <c r="K693" s="21" t="s">
        <v>40</v>
      </c>
      <c r="L693" s="21" t="s">
        <v>449</v>
      </c>
      <c r="M693" s="22">
        <v>50000</v>
      </c>
      <c r="N693" s="22">
        <v>90000</v>
      </c>
      <c r="O693" s="21" t="s">
        <v>20</v>
      </c>
      <c r="P693" s="21" t="s">
        <v>449</v>
      </c>
      <c r="Q693" s="21" t="s">
        <v>279</v>
      </c>
      <c r="R693" s="21" t="s">
        <v>31</v>
      </c>
      <c r="S693" s="74">
        <v>2013</v>
      </c>
      <c r="T693" s="21" t="s">
        <v>1444</v>
      </c>
      <c r="U693" s="21" t="s">
        <v>1445</v>
      </c>
      <c r="V693" s="75" t="s">
        <v>1446</v>
      </c>
      <c r="W693" s="21" t="s">
        <v>2009</v>
      </c>
      <c r="X693" s="21" t="s">
        <v>2753</v>
      </c>
    </row>
    <row r="694" spans="1:24" ht="38.25" customHeight="1">
      <c r="A694" s="21" t="s">
        <v>1</v>
      </c>
      <c r="B694" s="21" t="s">
        <v>53</v>
      </c>
      <c r="C694" s="21" t="s">
        <v>45</v>
      </c>
      <c r="D694" s="21" t="s">
        <v>2778</v>
      </c>
      <c r="E694" s="21" t="s">
        <v>224</v>
      </c>
      <c r="F694" s="21" t="s">
        <v>1373</v>
      </c>
      <c r="G694" s="21" t="s">
        <v>157</v>
      </c>
      <c r="H694" s="21">
        <v>238330</v>
      </c>
      <c r="I694" s="21" t="s">
        <v>28</v>
      </c>
      <c r="J694" s="21" t="s">
        <v>18</v>
      </c>
      <c r="K694" s="21" t="s">
        <v>40</v>
      </c>
      <c r="L694" s="21" t="s">
        <v>449</v>
      </c>
      <c r="M694" s="22">
        <v>40000</v>
      </c>
      <c r="N694" s="22">
        <v>60000</v>
      </c>
      <c r="O694" s="21" t="s">
        <v>20</v>
      </c>
      <c r="P694" s="21" t="s">
        <v>449</v>
      </c>
      <c r="Q694" s="21" t="s">
        <v>279</v>
      </c>
      <c r="R694" s="21" t="s">
        <v>21</v>
      </c>
      <c r="S694" s="74">
        <v>2013</v>
      </c>
      <c r="T694" s="21" t="s">
        <v>1444</v>
      </c>
      <c r="U694" s="21" t="s">
        <v>1445</v>
      </c>
      <c r="V694" s="75" t="s">
        <v>1446</v>
      </c>
      <c r="W694" s="21" t="s">
        <v>2009</v>
      </c>
      <c r="X694" s="21" t="s">
        <v>2779</v>
      </c>
    </row>
    <row r="695" spans="1:24" ht="38.25" customHeight="1">
      <c r="A695" s="21" t="s">
        <v>1</v>
      </c>
      <c r="B695" s="21" t="s">
        <v>53</v>
      </c>
      <c r="C695" s="21" t="s">
        <v>45</v>
      </c>
      <c r="D695" s="21" t="s">
        <v>1453</v>
      </c>
      <c r="E695" s="21" t="s">
        <v>224</v>
      </c>
      <c r="F695" s="21" t="s">
        <v>1373</v>
      </c>
      <c r="G695" s="21" t="s">
        <v>157</v>
      </c>
      <c r="H695" s="21">
        <v>238130</v>
      </c>
      <c r="I695" s="21" t="s">
        <v>28</v>
      </c>
      <c r="J695" s="21" t="s">
        <v>18</v>
      </c>
      <c r="K695" s="21" t="s">
        <v>40</v>
      </c>
      <c r="L695" s="21" t="s">
        <v>449</v>
      </c>
      <c r="M695" s="22">
        <v>10000</v>
      </c>
      <c r="N695" s="22">
        <v>20000</v>
      </c>
      <c r="O695" s="21" t="s">
        <v>9</v>
      </c>
      <c r="P695" s="21" t="s">
        <v>449</v>
      </c>
      <c r="Q695" s="21" t="s">
        <v>279</v>
      </c>
      <c r="R695" s="21" t="s">
        <v>21</v>
      </c>
      <c r="S695" s="74">
        <v>2013</v>
      </c>
      <c r="T695" s="21" t="s">
        <v>2755</v>
      </c>
      <c r="U695" s="21" t="s">
        <v>2756</v>
      </c>
      <c r="V695" s="75" t="s">
        <v>2757</v>
      </c>
      <c r="W695" s="21" t="s">
        <v>2009</v>
      </c>
      <c r="X695" s="21" t="s">
        <v>2780</v>
      </c>
    </row>
    <row r="696" spans="1:24" ht="38.25" customHeight="1">
      <c r="A696" s="21" t="s">
        <v>1</v>
      </c>
      <c r="B696" s="21" t="s">
        <v>53</v>
      </c>
      <c r="C696" s="21" t="s">
        <v>45</v>
      </c>
      <c r="D696" s="21" t="s">
        <v>1454</v>
      </c>
      <c r="E696" s="21" t="s">
        <v>224</v>
      </c>
      <c r="F696" s="21" t="s">
        <v>1373</v>
      </c>
      <c r="G696" s="21" t="s">
        <v>157</v>
      </c>
      <c r="H696" s="21">
        <v>238320</v>
      </c>
      <c r="I696" s="21" t="s">
        <v>28</v>
      </c>
      <c r="J696" s="21" t="s">
        <v>18</v>
      </c>
      <c r="K696" s="21" t="s">
        <v>40</v>
      </c>
      <c r="L696" s="21"/>
      <c r="M696" s="22">
        <v>40000</v>
      </c>
      <c r="N696" s="22">
        <v>60000</v>
      </c>
      <c r="O696" s="21" t="s">
        <v>20</v>
      </c>
      <c r="P696" s="21" t="s">
        <v>449</v>
      </c>
      <c r="Q696" s="21" t="s">
        <v>279</v>
      </c>
      <c r="R696" s="21" t="s">
        <v>2781</v>
      </c>
      <c r="S696" s="74">
        <v>2013</v>
      </c>
      <c r="T696" s="21" t="s">
        <v>2755</v>
      </c>
      <c r="U696" s="21" t="s">
        <v>2756</v>
      </c>
      <c r="V696" s="75" t="s">
        <v>2757</v>
      </c>
      <c r="W696" s="21" t="s">
        <v>2009</v>
      </c>
      <c r="X696" s="21" t="s">
        <v>2782</v>
      </c>
    </row>
    <row r="697" spans="1:24" ht="38.25" customHeight="1">
      <c r="A697" s="21" t="s">
        <v>1</v>
      </c>
      <c r="B697" s="21" t="s">
        <v>53</v>
      </c>
      <c r="C697" s="21" t="s">
        <v>45</v>
      </c>
      <c r="D697" s="21" t="s">
        <v>1455</v>
      </c>
      <c r="E697" s="21" t="s">
        <v>224</v>
      </c>
      <c r="F697" s="21" t="s">
        <v>1373</v>
      </c>
      <c r="G697" s="21" t="s">
        <v>157</v>
      </c>
      <c r="H697" s="21">
        <v>238320</v>
      </c>
      <c r="I697" s="21" t="s">
        <v>28</v>
      </c>
      <c r="J697" s="21" t="s">
        <v>18</v>
      </c>
      <c r="K697" s="21" t="s">
        <v>40</v>
      </c>
      <c r="L697" s="21"/>
      <c r="M697" s="22">
        <v>10000</v>
      </c>
      <c r="N697" s="22">
        <v>20000</v>
      </c>
      <c r="O697" s="21" t="s">
        <v>9</v>
      </c>
      <c r="P697" s="21" t="s">
        <v>449</v>
      </c>
      <c r="Q697" s="21" t="s">
        <v>279</v>
      </c>
      <c r="R697" s="21" t="s">
        <v>41</v>
      </c>
      <c r="S697" s="74">
        <v>2013</v>
      </c>
      <c r="T697" s="21" t="s">
        <v>1444</v>
      </c>
      <c r="U697" s="21" t="s">
        <v>1445</v>
      </c>
      <c r="V697" s="75" t="s">
        <v>1446</v>
      </c>
      <c r="W697" s="21" t="s">
        <v>2009</v>
      </c>
      <c r="X697" s="21"/>
    </row>
    <row r="698" spans="1:24" ht="38.25" customHeight="1">
      <c r="A698" s="21" t="s">
        <v>1</v>
      </c>
      <c r="B698" s="21" t="s">
        <v>53</v>
      </c>
      <c r="C698" s="21" t="s">
        <v>35</v>
      </c>
      <c r="D698" s="21" t="s">
        <v>1419</v>
      </c>
      <c r="E698" s="21" t="s">
        <v>120</v>
      </c>
      <c r="F698" s="21" t="s">
        <v>1327</v>
      </c>
      <c r="G698" s="21" t="s">
        <v>130</v>
      </c>
      <c r="H698" s="21">
        <v>561720</v>
      </c>
      <c r="I698" s="21" t="s">
        <v>71</v>
      </c>
      <c r="J698" s="21" t="s">
        <v>109</v>
      </c>
      <c r="K698" s="21" t="s">
        <v>50</v>
      </c>
      <c r="L698" s="21" t="s">
        <v>1397</v>
      </c>
      <c r="M698" s="22">
        <v>472230.56</v>
      </c>
      <c r="N698" s="22">
        <v>2597268.08</v>
      </c>
      <c r="O698" s="21" t="s">
        <v>20</v>
      </c>
      <c r="P698" s="21" t="s">
        <v>1411</v>
      </c>
      <c r="Q698" s="21" t="s">
        <v>1399</v>
      </c>
      <c r="R698" s="21" t="s">
        <v>31</v>
      </c>
      <c r="S698" s="74">
        <v>2013</v>
      </c>
      <c r="T698" s="21" t="s">
        <v>1427</v>
      </c>
      <c r="U698" s="21" t="s">
        <v>1428</v>
      </c>
      <c r="V698" s="75" t="s">
        <v>1429</v>
      </c>
      <c r="W698" s="21" t="s">
        <v>2009</v>
      </c>
      <c r="X698" s="21"/>
    </row>
    <row r="699" spans="1:24" ht="38.25" customHeight="1">
      <c r="A699" s="21" t="s">
        <v>1</v>
      </c>
      <c r="B699" s="21" t="s">
        <v>53</v>
      </c>
      <c r="C699" s="21" t="s">
        <v>45</v>
      </c>
      <c r="D699" s="21" t="s">
        <v>1419</v>
      </c>
      <c r="E699" s="21" t="s">
        <v>120</v>
      </c>
      <c r="F699" s="21" t="s">
        <v>1373</v>
      </c>
      <c r="G699" s="21" t="s">
        <v>157</v>
      </c>
      <c r="H699" s="21">
        <v>561720</v>
      </c>
      <c r="I699" s="21" t="s">
        <v>71</v>
      </c>
      <c r="J699" s="21" t="s">
        <v>109</v>
      </c>
      <c r="K699" s="21" t="s">
        <v>50</v>
      </c>
      <c r="L699" s="21" t="s">
        <v>1397</v>
      </c>
      <c r="M699" s="22">
        <v>2000000</v>
      </c>
      <c r="N699" s="22">
        <v>10500000</v>
      </c>
      <c r="O699" s="21" t="s">
        <v>20</v>
      </c>
      <c r="P699" s="21" t="s">
        <v>1435</v>
      </c>
      <c r="Q699" s="21" t="s">
        <v>1399</v>
      </c>
      <c r="R699" s="21" t="s">
        <v>21</v>
      </c>
      <c r="S699" s="74">
        <v>2013</v>
      </c>
      <c r="T699" s="21" t="s">
        <v>1436</v>
      </c>
      <c r="U699" s="21" t="s">
        <v>1437</v>
      </c>
      <c r="V699" s="75" t="s">
        <v>1438</v>
      </c>
      <c r="W699" s="21" t="s">
        <v>2009</v>
      </c>
      <c r="X699" s="21"/>
    </row>
    <row r="700" spans="1:24" ht="38.25" customHeight="1">
      <c r="A700" s="21" t="s">
        <v>1</v>
      </c>
      <c r="B700" s="21" t="s">
        <v>53</v>
      </c>
      <c r="C700" s="21" t="s">
        <v>45</v>
      </c>
      <c r="D700" s="21" t="s">
        <v>1363</v>
      </c>
      <c r="E700" s="21" t="s">
        <v>138</v>
      </c>
      <c r="F700" s="21" t="s">
        <v>1364</v>
      </c>
      <c r="G700" s="21" t="s">
        <v>161</v>
      </c>
      <c r="H700" s="21">
        <v>236220</v>
      </c>
      <c r="I700" s="21" t="s">
        <v>6</v>
      </c>
      <c r="J700" s="21" t="s">
        <v>109</v>
      </c>
      <c r="K700" s="21" t="s">
        <v>1328</v>
      </c>
      <c r="L700" s="21" t="s">
        <v>1328</v>
      </c>
      <c r="M700" s="22">
        <v>38000</v>
      </c>
      <c r="N700" s="22">
        <v>46000</v>
      </c>
      <c r="O700" s="21" t="s">
        <v>20</v>
      </c>
      <c r="P700" s="21" t="s">
        <v>278</v>
      </c>
      <c r="Q700" s="21" t="s">
        <v>279</v>
      </c>
      <c r="R700" s="21" t="s">
        <v>6</v>
      </c>
      <c r="S700" s="74">
        <v>2013</v>
      </c>
      <c r="T700" s="21" t="s">
        <v>1361</v>
      </c>
      <c r="U700" s="21" t="s">
        <v>1997</v>
      </c>
      <c r="V700" s="75" t="s">
        <v>1362</v>
      </c>
      <c r="W700" s="21" t="s">
        <v>2009</v>
      </c>
      <c r="X700" s="21"/>
    </row>
    <row r="701" spans="1:24" ht="38.25" customHeight="1">
      <c r="A701" s="21" t="s">
        <v>1</v>
      </c>
      <c r="B701" s="21" t="s">
        <v>53</v>
      </c>
      <c r="C701" s="21" t="s">
        <v>45</v>
      </c>
      <c r="D701" s="21" t="s">
        <v>1367</v>
      </c>
      <c r="E701" s="21" t="s">
        <v>138</v>
      </c>
      <c r="F701" s="21" t="s">
        <v>1368</v>
      </c>
      <c r="G701" s="21" t="s">
        <v>161</v>
      </c>
      <c r="H701" s="21">
        <v>236220</v>
      </c>
      <c r="I701" s="21" t="s">
        <v>6</v>
      </c>
      <c r="J701" s="21" t="s">
        <v>109</v>
      </c>
      <c r="K701" s="21" t="s">
        <v>1328</v>
      </c>
      <c r="L701" s="21" t="s">
        <v>1328</v>
      </c>
      <c r="M701" s="22">
        <v>102000</v>
      </c>
      <c r="N701" s="22">
        <v>125000</v>
      </c>
      <c r="O701" s="21" t="s">
        <v>20</v>
      </c>
      <c r="P701" s="21" t="s">
        <v>278</v>
      </c>
      <c r="Q701" s="21" t="s">
        <v>279</v>
      </c>
      <c r="R701" s="21" t="s">
        <v>6</v>
      </c>
      <c r="S701" s="74">
        <v>2013</v>
      </c>
      <c r="T701" s="21" t="s">
        <v>1361</v>
      </c>
      <c r="U701" s="21" t="s">
        <v>1997</v>
      </c>
      <c r="V701" s="75" t="s">
        <v>1362</v>
      </c>
      <c r="W701" s="21" t="s">
        <v>2009</v>
      </c>
      <c r="X701" s="21"/>
    </row>
    <row r="702" spans="1:24" ht="38.25" customHeight="1">
      <c r="A702" s="21" t="s">
        <v>1</v>
      </c>
      <c r="B702" s="21" t="s">
        <v>53</v>
      </c>
      <c r="C702" s="21" t="s">
        <v>45</v>
      </c>
      <c r="D702" s="21" t="s">
        <v>1370</v>
      </c>
      <c r="E702" s="21" t="s">
        <v>138</v>
      </c>
      <c r="F702" s="21" t="s">
        <v>1371</v>
      </c>
      <c r="G702" s="21" t="s">
        <v>161</v>
      </c>
      <c r="H702" s="21">
        <v>236220</v>
      </c>
      <c r="I702" s="21" t="s">
        <v>6</v>
      </c>
      <c r="J702" s="21" t="s">
        <v>109</v>
      </c>
      <c r="K702" s="21" t="s">
        <v>1328</v>
      </c>
      <c r="L702" s="21" t="s">
        <v>1328</v>
      </c>
      <c r="M702" s="22">
        <v>114000</v>
      </c>
      <c r="N702" s="22">
        <v>140000</v>
      </c>
      <c r="O702" s="21" t="s">
        <v>20</v>
      </c>
      <c r="P702" s="21" t="s">
        <v>278</v>
      </c>
      <c r="Q702" s="21" t="s">
        <v>279</v>
      </c>
      <c r="R702" s="21" t="s">
        <v>6</v>
      </c>
      <c r="S702" s="74">
        <v>2013</v>
      </c>
      <c r="T702" s="21" t="s">
        <v>1361</v>
      </c>
      <c r="U702" s="21" t="s">
        <v>1997</v>
      </c>
      <c r="V702" s="75" t="s">
        <v>1362</v>
      </c>
      <c r="W702" s="21" t="s">
        <v>2009</v>
      </c>
      <c r="X702" s="21"/>
    </row>
    <row r="703" spans="1:24" ht="38.25" customHeight="1">
      <c r="A703" s="21" t="s">
        <v>1</v>
      </c>
      <c r="B703" s="21" t="s">
        <v>53</v>
      </c>
      <c r="C703" s="21" t="s">
        <v>45</v>
      </c>
      <c r="D703" s="21" t="s">
        <v>615</v>
      </c>
      <c r="E703" s="21" t="s">
        <v>120</v>
      </c>
      <c r="F703" s="21" t="s">
        <v>1358</v>
      </c>
      <c r="G703" s="21" t="s">
        <v>161</v>
      </c>
      <c r="H703" s="21">
        <v>561720</v>
      </c>
      <c r="I703" s="21" t="s">
        <v>17</v>
      </c>
      <c r="J703" s="21" t="s">
        <v>109</v>
      </c>
      <c r="K703" s="21" t="s">
        <v>8</v>
      </c>
      <c r="L703" s="21" t="s">
        <v>1359</v>
      </c>
      <c r="M703" s="22">
        <v>34000</v>
      </c>
      <c r="N703" s="22">
        <v>40000</v>
      </c>
      <c r="O703" s="21" t="s">
        <v>20</v>
      </c>
      <c r="P703" s="21" t="s">
        <v>1360</v>
      </c>
      <c r="Q703" s="21" t="s">
        <v>279</v>
      </c>
      <c r="R703" s="21" t="s">
        <v>10</v>
      </c>
      <c r="S703" s="74">
        <v>2013</v>
      </c>
      <c r="T703" s="21" t="s">
        <v>1361</v>
      </c>
      <c r="U703" s="21" t="s">
        <v>1997</v>
      </c>
      <c r="V703" s="75" t="s">
        <v>1362</v>
      </c>
      <c r="W703" s="21" t="s">
        <v>2009</v>
      </c>
      <c r="X703" s="21"/>
    </row>
    <row r="704" spans="1:24" ht="38.25" customHeight="1">
      <c r="A704" s="21" t="s">
        <v>1</v>
      </c>
      <c r="B704" s="21" t="s">
        <v>53</v>
      </c>
      <c r="C704" s="21" t="s">
        <v>45</v>
      </c>
      <c r="D704" s="21" t="s">
        <v>1365</v>
      </c>
      <c r="E704" s="21" t="s">
        <v>138</v>
      </c>
      <c r="F704" s="21" t="s">
        <v>1358</v>
      </c>
      <c r="G704" s="21" t="s">
        <v>161</v>
      </c>
      <c r="H704" s="21">
        <v>236220</v>
      </c>
      <c r="I704" s="21" t="s">
        <v>6</v>
      </c>
      <c r="J704" s="21" t="s">
        <v>109</v>
      </c>
      <c r="K704" s="21" t="s">
        <v>1328</v>
      </c>
      <c r="L704" s="21" t="s">
        <v>1328</v>
      </c>
      <c r="M704" s="22">
        <v>22000</v>
      </c>
      <c r="N704" s="22">
        <v>28000</v>
      </c>
      <c r="O704" s="21" t="s">
        <v>20</v>
      </c>
      <c r="P704" s="21" t="s">
        <v>278</v>
      </c>
      <c r="Q704" s="21" t="s">
        <v>279</v>
      </c>
      <c r="R704" s="21" t="s">
        <v>6</v>
      </c>
      <c r="S704" s="74">
        <v>2013</v>
      </c>
      <c r="T704" s="21" t="s">
        <v>1361</v>
      </c>
      <c r="U704" s="21" t="s">
        <v>1997</v>
      </c>
      <c r="V704" s="75" t="s">
        <v>1362</v>
      </c>
      <c r="W704" s="21" t="s">
        <v>2009</v>
      </c>
      <c r="X704" s="21"/>
    </row>
    <row r="705" spans="1:24" ht="38.25" customHeight="1">
      <c r="A705" s="21" t="s">
        <v>1</v>
      </c>
      <c r="B705" s="21" t="s">
        <v>53</v>
      </c>
      <c r="C705" s="21" t="s">
        <v>45</v>
      </c>
      <c r="D705" s="21" t="s">
        <v>1366</v>
      </c>
      <c r="E705" s="21" t="s">
        <v>138</v>
      </c>
      <c r="F705" s="21" t="s">
        <v>1358</v>
      </c>
      <c r="G705" s="21" t="s">
        <v>161</v>
      </c>
      <c r="H705" s="21">
        <v>236220</v>
      </c>
      <c r="I705" s="21" t="s">
        <v>6</v>
      </c>
      <c r="J705" s="21" t="s">
        <v>109</v>
      </c>
      <c r="K705" s="21" t="s">
        <v>1328</v>
      </c>
      <c r="L705" s="21" t="s">
        <v>1328</v>
      </c>
      <c r="M705" s="22">
        <v>22000</v>
      </c>
      <c r="N705" s="22">
        <v>28000</v>
      </c>
      <c r="O705" s="21" t="s">
        <v>20</v>
      </c>
      <c r="P705" s="21" t="s">
        <v>278</v>
      </c>
      <c r="Q705" s="21" t="s">
        <v>279</v>
      </c>
      <c r="R705" s="21" t="s">
        <v>6</v>
      </c>
      <c r="S705" s="74">
        <v>2013</v>
      </c>
      <c r="T705" s="21" t="s">
        <v>1361</v>
      </c>
      <c r="U705" s="21" t="s">
        <v>1997</v>
      </c>
      <c r="V705" s="75" t="s">
        <v>1362</v>
      </c>
      <c r="W705" s="21" t="s">
        <v>2009</v>
      </c>
      <c r="X705" s="21"/>
    </row>
    <row r="706" spans="1:24" ht="38.25" customHeight="1">
      <c r="A706" s="21" t="s">
        <v>1</v>
      </c>
      <c r="B706" s="21" t="s">
        <v>53</v>
      </c>
      <c r="C706" s="21" t="s">
        <v>45</v>
      </c>
      <c r="D706" s="21" t="s">
        <v>1369</v>
      </c>
      <c r="E706" s="21" t="s">
        <v>138</v>
      </c>
      <c r="F706" s="21" t="s">
        <v>1358</v>
      </c>
      <c r="G706" s="21" t="s">
        <v>161</v>
      </c>
      <c r="H706" s="21">
        <v>236220</v>
      </c>
      <c r="I706" s="21" t="s">
        <v>6</v>
      </c>
      <c r="J706" s="21" t="s">
        <v>109</v>
      </c>
      <c r="K706" s="21" t="s">
        <v>1328</v>
      </c>
      <c r="L706" s="21" t="s">
        <v>1328</v>
      </c>
      <c r="M706" s="22">
        <v>122000</v>
      </c>
      <c r="N706" s="22">
        <v>148000</v>
      </c>
      <c r="O706" s="21" t="s">
        <v>20</v>
      </c>
      <c r="P706" s="21" t="s">
        <v>278</v>
      </c>
      <c r="Q706" s="21" t="s">
        <v>279</v>
      </c>
      <c r="R706" s="21" t="s">
        <v>6</v>
      </c>
      <c r="S706" s="74">
        <v>2013</v>
      </c>
      <c r="T706" s="21" t="s">
        <v>1361</v>
      </c>
      <c r="U706" s="21" t="s">
        <v>1997</v>
      </c>
      <c r="V706" s="75" t="s">
        <v>1362</v>
      </c>
      <c r="W706" s="21" t="s">
        <v>2009</v>
      </c>
      <c r="X706" s="21"/>
    </row>
    <row r="707" spans="1:24" ht="38.25" customHeight="1">
      <c r="A707" s="21" t="s">
        <v>1</v>
      </c>
      <c r="B707" s="21" t="s">
        <v>53</v>
      </c>
      <c r="C707" s="21" t="s">
        <v>3</v>
      </c>
      <c r="D707" s="21" t="s">
        <v>1394</v>
      </c>
      <c r="E707" s="21" t="s">
        <v>77</v>
      </c>
      <c r="F707" s="21" t="s">
        <v>1337</v>
      </c>
      <c r="G707" s="21" t="s">
        <v>157</v>
      </c>
      <c r="H707" s="21">
        <v>561210</v>
      </c>
      <c r="I707" s="21" t="s">
        <v>28</v>
      </c>
      <c r="J707" s="21" t="s">
        <v>109</v>
      </c>
      <c r="K707" s="21" t="s">
        <v>29</v>
      </c>
      <c r="L707" s="21" t="s">
        <v>1404</v>
      </c>
      <c r="M707" s="22">
        <v>315000</v>
      </c>
      <c r="N707" s="22">
        <v>538000</v>
      </c>
      <c r="O707" s="21" t="s">
        <v>20</v>
      </c>
      <c r="P707" s="21" t="s">
        <v>1405</v>
      </c>
      <c r="Q707" s="21" t="s">
        <v>1399</v>
      </c>
      <c r="R707" s="21" t="s">
        <v>41</v>
      </c>
      <c r="S707" s="74">
        <v>2013</v>
      </c>
      <c r="T707" s="21" t="s">
        <v>1400</v>
      </c>
      <c r="U707" s="21" t="s">
        <v>1401</v>
      </c>
      <c r="V707" s="75" t="s">
        <v>1402</v>
      </c>
      <c r="W707" s="21" t="s">
        <v>2009</v>
      </c>
      <c r="X707" s="21"/>
    </row>
    <row r="708" spans="1:24" ht="38.25" customHeight="1">
      <c r="A708" s="21" t="s">
        <v>1</v>
      </c>
      <c r="B708" s="21" t="s">
        <v>53</v>
      </c>
      <c r="C708" s="21" t="s">
        <v>3</v>
      </c>
      <c r="D708" s="21" t="s">
        <v>1396</v>
      </c>
      <c r="E708" s="21" t="s">
        <v>120</v>
      </c>
      <c r="F708" s="21" t="s">
        <v>1371</v>
      </c>
      <c r="G708" s="21" t="s">
        <v>161</v>
      </c>
      <c r="H708" s="21">
        <v>561720</v>
      </c>
      <c r="I708" s="21" t="s">
        <v>71</v>
      </c>
      <c r="J708" s="21" t="s">
        <v>109</v>
      </c>
      <c r="K708" s="21" t="s">
        <v>50</v>
      </c>
      <c r="L708" s="21" t="s">
        <v>1397</v>
      </c>
      <c r="M708" s="22">
        <v>92000</v>
      </c>
      <c r="N708" s="22">
        <v>600000</v>
      </c>
      <c r="O708" s="21" t="s">
        <v>20</v>
      </c>
      <c r="P708" s="21" t="s">
        <v>1403</v>
      </c>
      <c r="Q708" s="21" t="s">
        <v>1399</v>
      </c>
      <c r="R708" s="21" t="s">
        <v>41</v>
      </c>
      <c r="S708" s="74">
        <v>2013</v>
      </c>
      <c r="T708" s="21" t="s">
        <v>1400</v>
      </c>
      <c r="U708" s="21" t="s">
        <v>1401</v>
      </c>
      <c r="V708" s="75" t="s">
        <v>1402</v>
      </c>
      <c r="W708" s="21" t="s">
        <v>2009</v>
      </c>
      <c r="X708" s="21"/>
    </row>
    <row r="709" spans="1:24" ht="38.25" customHeight="1">
      <c r="A709" s="21" t="s">
        <v>1</v>
      </c>
      <c r="B709" s="21" t="s">
        <v>53</v>
      </c>
      <c r="C709" s="21" t="s">
        <v>45</v>
      </c>
      <c r="D709" s="21" t="s">
        <v>1457</v>
      </c>
      <c r="E709" s="21" t="s">
        <v>120</v>
      </c>
      <c r="F709" s="21" t="s">
        <v>1327</v>
      </c>
      <c r="G709" s="21" t="s">
        <v>157</v>
      </c>
      <c r="H709" s="21">
        <v>561720</v>
      </c>
      <c r="I709" s="21" t="s">
        <v>17</v>
      </c>
      <c r="J709" s="21" t="s">
        <v>79</v>
      </c>
      <c r="K709" s="21" t="s">
        <v>73</v>
      </c>
      <c r="L709" s="21" t="s">
        <v>278</v>
      </c>
      <c r="M709" s="22">
        <v>7403</v>
      </c>
      <c r="N709" s="22">
        <v>7403</v>
      </c>
      <c r="O709" s="21" t="s">
        <v>9</v>
      </c>
      <c r="P709" s="21" t="s">
        <v>1458</v>
      </c>
      <c r="Q709" s="21" t="s">
        <v>279</v>
      </c>
      <c r="R709" s="21" t="s">
        <v>21</v>
      </c>
      <c r="S709" s="74" t="s">
        <v>443</v>
      </c>
      <c r="T709" s="21" t="s">
        <v>1459</v>
      </c>
      <c r="U709" s="21" t="s">
        <v>1998</v>
      </c>
      <c r="V709" s="75" t="s">
        <v>1460</v>
      </c>
      <c r="W709" s="21" t="s">
        <v>2009</v>
      </c>
      <c r="X709" s="21"/>
    </row>
    <row r="710" spans="1:24" ht="38.25" customHeight="1">
      <c r="A710" s="21" t="s">
        <v>1</v>
      </c>
      <c r="B710" s="21" t="s">
        <v>53</v>
      </c>
      <c r="C710" s="21" t="s">
        <v>3</v>
      </c>
      <c r="D710" s="21" t="s">
        <v>1329</v>
      </c>
      <c r="E710" s="21" t="s">
        <v>138</v>
      </c>
      <c r="F710" s="21" t="s">
        <v>1327</v>
      </c>
      <c r="G710" s="21" t="s">
        <v>157</v>
      </c>
      <c r="H710" s="21">
        <v>236220</v>
      </c>
      <c r="I710" s="21" t="s">
        <v>71</v>
      </c>
      <c r="J710" s="21" t="s">
        <v>109</v>
      </c>
      <c r="K710" s="21" t="s">
        <v>40</v>
      </c>
      <c r="L710" s="21" t="s">
        <v>2761</v>
      </c>
      <c r="M710" s="22">
        <v>100000</v>
      </c>
      <c r="N710" s="22">
        <v>120000</v>
      </c>
      <c r="O710" s="21" t="s">
        <v>20</v>
      </c>
      <c r="P710" s="21" t="s">
        <v>1974</v>
      </c>
      <c r="Q710" s="21" t="s">
        <v>633</v>
      </c>
      <c r="R710" s="21" t="s">
        <v>10</v>
      </c>
      <c r="S710" s="74">
        <v>2013</v>
      </c>
      <c r="T710" s="21" t="s">
        <v>1314</v>
      </c>
      <c r="U710" s="21" t="s">
        <v>1324</v>
      </c>
      <c r="V710" s="75" t="s">
        <v>1315</v>
      </c>
      <c r="W710" s="21" t="s">
        <v>2009</v>
      </c>
      <c r="X710" s="21"/>
    </row>
    <row r="711" spans="1:24" ht="38.25" customHeight="1">
      <c r="A711" s="21" t="s">
        <v>1</v>
      </c>
      <c r="B711" s="21" t="s">
        <v>53</v>
      </c>
      <c r="C711" s="21" t="s">
        <v>45</v>
      </c>
      <c r="D711" s="21" t="s">
        <v>1419</v>
      </c>
      <c r="E711" s="21" t="s">
        <v>120</v>
      </c>
      <c r="F711" s="21" t="s">
        <v>1368</v>
      </c>
      <c r="G711" s="21" t="s">
        <v>161</v>
      </c>
      <c r="H711" s="21">
        <v>561720</v>
      </c>
      <c r="I711" s="21" t="s">
        <v>71</v>
      </c>
      <c r="J711" s="21" t="s">
        <v>109</v>
      </c>
      <c r="K711" s="21" t="s">
        <v>50</v>
      </c>
      <c r="L711" s="21" t="s">
        <v>1397</v>
      </c>
      <c r="M711" s="22">
        <v>800000</v>
      </c>
      <c r="N711" s="22">
        <v>4000000</v>
      </c>
      <c r="O711" s="21" t="s">
        <v>20</v>
      </c>
      <c r="P711" s="21" t="s">
        <v>1408</v>
      </c>
      <c r="Q711" s="21" t="s">
        <v>1399</v>
      </c>
      <c r="R711" s="21" t="s">
        <v>21</v>
      </c>
      <c r="S711" s="74">
        <v>2013</v>
      </c>
      <c r="T711" s="21" t="s">
        <v>1432</v>
      </c>
      <c r="U711" s="21" t="s">
        <v>1433</v>
      </c>
      <c r="V711" s="75" t="s">
        <v>1434</v>
      </c>
      <c r="W711" s="21" t="s">
        <v>2009</v>
      </c>
      <c r="X711" s="21"/>
    </row>
    <row r="712" spans="1:24" ht="38.25" customHeight="1">
      <c r="A712" s="21" t="s">
        <v>1</v>
      </c>
      <c r="B712" s="21" t="s">
        <v>53</v>
      </c>
      <c r="C712" s="21" t="s">
        <v>45</v>
      </c>
      <c r="D712" s="21" t="s">
        <v>1378</v>
      </c>
      <c r="E712" s="21" t="s">
        <v>138</v>
      </c>
      <c r="F712" s="21" t="s">
        <v>1373</v>
      </c>
      <c r="G712" s="21" t="s">
        <v>157</v>
      </c>
      <c r="H712" s="21">
        <v>236220</v>
      </c>
      <c r="I712" s="21" t="s">
        <v>28</v>
      </c>
      <c r="J712" s="21" t="s">
        <v>18</v>
      </c>
      <c r="K712" s="21" t="s">
        <v>40</v>
      </c>
      <c r="L712" s="21" t="s">
        <v>40</v>
      </c>
      <c r="M712" s="22">
        <v>48000</v>
      </c>
      <c r="N712" s="22">
        <v>53000</v>
      </c>
      <c r="O712" s="21" t="s">
        <v>20</v>
      </c>
      <c r="P712" s="21" t="s">
        <v>278</v>
      </c>
      <c r="Q712" s="21" t="s">
        <v>279</v>
      </c>
      <c r="R712" s="21" t="s">
        <v>10</v>
      </c>
      <c r="S712" s="74">
        <v>2013</v>
      </c>
      <c r="T712" s="21" t="s">
        <v>1379</v>
      </c>
      <c r="U712" s="21" t="s">
        <v>1380</v>
      </c>
      <c r="V712" s="75" t="s">
        <v>1381</v>
      </c>
      <c r="W712" s="21" t="s">
        <v>2009</v>
      </c>
      <c r="X712" s="21"/>
    </row>
    <row r="713" spans="1:24" ht="38.25" customHeight="1">
      <c r="A713" s="21" t="s">
        <v>1</v>
      </c>
      <c r="B713" s="21" t="s">
        <v>53</v>
      </c>
      <c r="C713" s="21" t="s">
        <v>45</v>
      </c>
      <c r="D713" s="21" t="s">
        <v>1389</v>
      </c>
      <c r="E713" s="21" t="s">
        <v>97</v>
      </c>
      <c r="F713" s="21" t="s">
        <v>1373</v>
      </c>
      <c r="G713" s="21" t="s">
        <v>157</v>
      </c>
      <c r="H713" s="21">
        <v>925120</v>
      </c>
      <c r="I713" s="21" t="s">
        <v>28</v>
      </c>
      <c r="J713" s="21" t="s">
        <v>79</v>
      </c>
      <c r="K713" s="21" t="s">
        <v>19</v>
      </c>
      <c r="L713" s="21" t="s">
        <v>80</v>
      </c>
      <c r="M713" s="22">
        <v>70000</v>
      </c>
      <c r="N713" s="22">
        <v>75000</v>
      </c>
      <c r="O713" s="21" t="s">
        <v>20</v>
      </c>
      <c r="P713" s="21" t="s">
        <v>1390</v>
      </c>
      <c r="Q713" s="21" t="s">
        <v>576</v>
      </c>
      <c r="R713" s="21" t="s">
        <v>41</v>
      </c>
      <c r="S713" s="74">
        <v>2013</v>
      </c>
      <c r="T713" s="21" t="s">
        <v>1379</v>
      </c>
      <c r="U713" s="21" t="s">
        <v>1380</v>
      </c>
      <c r="V713" s="75" t="s">
        <v>1381</v>
      </c>
      <c r="W713" s="21" t="s">
        <v>2009</v>
      </c>
      <c r="X713" s="21"/>
    </row>
    <row r="714" spans="1:24" ht="38.25" customHeight="1">
      <c r="A714" s="21" t="s">
        <v>1</v>
      </c>
      <c r="B714" s="21" t="s">
        <v>61</v>
      </c>
      <c r="C714" s="21" t="s">
        <v>25</v>
      </c>
      <c r="D714" s="21" t="s">
        <v>1514</v>
      </c>
      <c r="E714" s="21" t="s">
        <v>26</v>
      </c>
      <c r="F714" s="21" t="s">
        <v>1515</v>
      </c>
      <c r="G714" s="21" t="s">
        <v>199</v>
      </c>
      <c r="H714" s="21">
        <v>541310</v>
      </c>
      <c r="I714" s="21" t="s">
        <v>71</v>
      </c>
      <c r="J714" s="21" t="s">
        <v>86</v>
      </c>
      <c r="K714" s="21" t="s">
        <v>1516</v>
      </c>
      <c r="L714" s="131" t="s">
        <v>278</v>
      </c>
      <c r="M714" s="278"/>
      <c r="N714" s="22"/>
      <c r="O714" s="21" t="s">
        <v>1974</v>
      </c>
      <c r="P714" s="21" t="s">
        <v>1517</v>
      </c>
      <c r="Q714" s="21" t="s">
        <v>279</v>
      </c>
      <c r="R714" s="21" t="s">
        <v>10</v>
      </c>
      <c r="S714" s="74" t="s">
        <v>443</v>
      </c>
      <c r="T714" s="21" t="s">
        <v>1518</v>
      </c>
      <c r="U714" s="21" t="s">
        <v>1519</v>
      </c>
      <c r="V714" s="75" t="s">
        <v>1520</v>
      </c>
      <c r="W714" s="21" t="s">
        <v>88</v>
      </c>
      <c r="X714" s="21" t="s">
        <v>2346</v>
      </c>
    </row>
    <row r="715" spans="1:24" ht="38.25" customHeight="1">
      <c r="A715" s="21" t="s">
        <v>1</v>
      </c>
      <c r="B715" s="21" t="s">
        <v>61</v>
      </c>
      <c r="C715" s="21" t="s">
        <v>25</v>
      </c>
      <c r="D715" s="21" t="s">
        <v>1487</v>
      </c>
      <c r="E715" s="21" t="s">
        <v>138</v>
      </c>
      <c r="F715" s="21" t="s">
        <v>1488</v>
      </c>
      <c r="G715" s="21" t="s">
        <v>47</v>
      </c>
      <c r="H715" s="21">
        <v>236220</v>
      </c>
      <c r="I715" s="21" t="s">
        <v>6</v>
      </c>
      <c r="J715" s="21" t="s">
        <v>18</v>
      </c>
      <c r="K715" s="21" t="s">
        <v>80</v>
      </c>
      <c r="L715" s="131" t="s">
        <v>80</v>
      </c>
      <c r="M715" s="278">
        <v>2000</v>
      </c>
      <c r="N715" s="22">
        <v>5000000</v>
      </c>
      <c r="O715" s="21" t="s">
        <v>20</v>
      </c>
      <c r="P715" s="21" t="s">
        <v>1490</v>
      </c>
      <c r="Q715" s="21" t="s">
        <v>279</v>
      </c>
      <c r="R715" s="21" t="s">
        <v>10</v>
      </c>
      <c r="S715" s="74" t="s">
        <v>443</v>
      </c>
      <c r="T715" s="21" t="s">
        <v>1491</v>
      </c>
      <c r="U715" s="21" t="s">
        <v>1492</v>
      </c>
      <c r="V715" s="75" t="s">
        <v>2783</v>
      </c>
      <c r="W715" s="21" t="s">
        <v>88</v>
      </c>
      <c r="X715" s="21"/>
    </row>
    <row r="716" spans="1:24" ht="38.25" customHeight="1">
      <c r="A716" s="21" t="s">
        <v>1</v>
      </c>
      <c r="B716" s="21" t="s">
        <v>61</v>
      </c>
      <c r="C716" s="21" t="s">
        <v>25</v>
      </c>
      <c r="D716" s="21" t="s">
        <v>1487</v>
      </c>
      <c r="E716" s="21" t="s">
        <v>138</v>
      </c>
      <c r="F716" s="21" t="s">
        <v>1488</v>
      </c>
      <c r="G716" s="21" t="s">
        <v>136</v>
      </c>
      <c r="H716" s="21">
        <v>236220</v>
      </c>
      <c r="I716" s="21" t="s">
        <v>6</v>
      </c>
      <c r="J716" s="21" t="s">
        <v>18</v>
      </c>
      <c r="K716" s="21" t="s">
        <v>80</v>
      </c>
      <c r="L716" s="131" t="s">
        <v>80</v>
      </c>
      <c r="M716" s="278">
        <v>2000</v>
      </c>
      <c r="N716" s="22">
        <v>5000000</v>
      </c>
      <c r="O716" s="21" t="s">
        <v>20</v>
      </c>
      <c r="P716" s="21" t="s">
        <v>1493</v>
      </c>
      <c r="Q716" s="21" t="s">
        <v>279</v>
      </c>
      <c r="R716" s="21" t="s">
        <v>10</v>
      </c>
      <c r="S716" s="74" t="s">
        <v>443</v>
      </c>
      <c r="T716" s="21" t="s">
        <v>1491</v>
      </c>
      <c r="U716" s="21" t="s">
        <v>1492</v>
      </c>
      <c r="V716" s="75" t="s">
        <v>2783</v>
      </c>
      <c r="W716" s="21" t="s">
        <v>88</v>
      </c>
      <c r="X716" s="21"/>
    </row>
    <row r="717" spans="1:24" ht="38.25" customHeight="1">
      <c r="A717" s="21" t="s">
        <v>1</v>
      </c>
      <c r="B717" s="21" t="s">
        <v>61</v>
      </c>
      <c r="C717" s="21" t="s">
        <v>25</v>
      </c>
      <c r="D717" s="21" t="s">
        <v>1487</v>
      </c>
      <c r="E717" s="21" t="s">
        <v>138</v>
      </c>
      <c r="F717" s="21" t="s">
        <v>1488</v>
      </c>
      <c r="G717" s="21" t="s">
        <v>169</v>
      </c>
      <c r="H717" s="21">
        <v>236220</v>
      </c>
      <c r="I717" s="21" t="s">
        <v>6</v>
      </c>
      <c r="J717" s="21" t="s">
        <v>18</v>
      </c>
      <c r="K717" s="21" t="s">
        <v>80</v>
      </c>
      <c r="L717" s="131" t="s">
        <v>80</v>
      </c>
      <c r="M717" s="278">
        <v>2000</v>
      </c>
      <c r="N717" s="22">
        <v>5000000</v>
      </c>
      <c r="O717" s="21" t="s">
        <v>20</v>
      </c>
      <c r="P717" s="21" t="s">
        <v>1494</v>
      </c>
      <c r="Q717" s="21" t="s">
        <v>279</v>
      </c>
      <c r="R717" s="21" t="s">
        <v>10</v>
      </c>
      <c r="S717" s="74" t="s">
        <v>443</v>
      </c>
      <c r="T717" s="21" t="s">
        <v>1491</v>
      </c>
      <c r="U717" s="21" t="s">
        <v>1492</v>
      </c>
      <c r="V717" s="75" t="s">
        <v>2783</v>
      </c>
      <c r="W717" s="21" t="s">
        <v>88</v>
      </c>
      <c r="X717" s="21"/>
    </row>
    <row r="718" spans="1:24" ht="38.25" customHeight="1">
      <c r="A718" s="21" t="s">
        <v>1</v>
      </c>
      <c r="B718" s="21" t="s">
        <v>61</v>
      </c>
      <c r="C718" s="21" t="s">
        <v>25</v>
      </c>
      <c r="D718" s="21" t="s">
        <v>1487</v>
      </c>
      <c r="E718" s="21" t="s">
        <v>138</v>
      </c>
      <c r="F718" s="21" t="s">
        <v>1488</v>
      </c>
      <c r="G718" s="21" t="s">
        <v>181</v>
      </c>
      <c r="H718" s="21">
        <v>236220</v>
      </c>
      <c r="I718" s="21" t="s">
        <v>6</v>
      </c>
      <c r="J718" s="21" t="s">
        <v>18</v>
      </c>
      <c r="K718" s="21" t="s">
        <v>80</v>
      </c>
      <c r="L718" s="131" t="s">
        <v>80</v>
      </c>
      <c r="M718" s="278">
        <v>2000</v>
      </c>
      <c r="N718" s="22">
        <v>5000000</v>
      </c>
      <c r="O718" s="21" t="s">
        <v>20</v>
      </c>
      <c r="P718" s="21" t="s">
        <v>1495</v>
      </c>
      <c r="Q718" s="21" t="s">
        <v>279</v>
      </c>
      <c r="R718" s="21" t="s">
        <v>10</v>
      </c>
      <c r="S718" s="74" t="s">
        <v>443</v>
      </c>
      <c r="T718" s="21" t="s">
        <v>1491</v>
      </c>
      <c r="U718" s="21" t="s">
        <v>1492</v>
      </c>
      <c r="V718" s="75" t="s">
        <v>2783</v>
      </c>
      <c r="W718" s="21" t="s">
        <v>88</v>
      </c>
      <c r="X718" s="21"/>
    </row>
    <row r="719" spans="1:24" ht="38.25" customHeight="1">
      <c r="A719" s="21" t="s">
        <v>1</v>
      </c>
      <c r="B719" s="21" t="s">
        <v>61</v>
      </c>
      <c r="C719" s="21" t="s">
        <v>25</v>
      </c>
      <c r="D719" s="21" t="s">
        <v>1487</v>
      </c>
      <c r="E719" s="21" t="s">
        <v>138</v>
      </c>
      <c r="F719" s="21" t="s">
        <v>1488</v>
      </c>
      <c r="G719" s="21" t="s">
        <v>199</v>
      </c>
      <c r="H719" s="21">
        <v>236220</v>
      </c>
      <c r="I719" s="21" t="s">
        <v>6</v>
      </c>
      <c r="J719" s="21" t="s">
        <v>18</v>
      </c>
      <c r="K719" s="21" t="s">
        <v>80</v>
      </c>
      <c r="L719" s="131" t="s">
        <v>80</v>
      </c>
      <c r="M719" s="278">
        <v>2000</v>
      </c>
      <c r="N719" s="22">
        <v>5000000</v>
      </c>
      <c r="O719" s="21" t="s">
        <v>20</v>
      </c>
      <c r="P719" s="21" t="s">
        <v>1496</v>
      </c>
      <c r="Q719" s="21" t="s">
        <v>279</v>
      </c>
      <c r="R719" s="21" t="s">
        <v>10</v>
      </c>
      <c r="S719" s="74" t="s">
        <v>443</v>
      </c>
      <c r="T719" s="21" t="s">
        <v>1491</v>
      </c>
      <c r="U719" s="21" t="s">
        <v>1492</v>
      </c>
      <c r="V719" s="75" t="s">
        <v>2783</v>
      </c>
      <c r="W719" s="21" t="s">
        <v>88</v>
      </c>
      <c r="X719" s="21"/>
    </row>
    <row r="720" spans="1:24" ht="38.25" customHeight="1">
      <c r="A720" s="21" t="s">
        <v>1</v>
      </c>
      <c r="B720" s="21" t="s">
        <v>61</v>
      </c>
      <c r="C720" s="21" t="s">
        <v>25</v>
      </c>
      <c r="D720" s="21" t="s">
        <v>2784</v>
      </c>
      <c r="E720" s="21" t="s">
        <v>1562</v>
      </c>
      <c r="F720" s="21" t="s">
        <v>217</v>
      </c>
      <c r="G720" s="21" t="s">
        <v>217</v>
      </c>
      <c r="H720" s="21">
        <v>541620</v>
      </c>
      <c r="I720" s="21" t="s">
        <v>17</v>
      </c>
      <c r="J720" s="21" t="s">
        <v>2785</v>
      </c>
      <c r="K720" s="21" t="s">
        <v>73</v>
      </c>
      <c r="L720" s="131" t="s">
        <v>1498</v>
      </c>
      <c r="M720" s="278">
        <v>0</v>
      </c>
      <c r="N720" s="22">
        <v>3500000</v>
      </c>
      <c r="O720" s="21" t="s">
        <v>20</v>
      </c>
      <c r="P720" s="21" t="s">
        <v>1563</v>
      </c>
      <c r="Q720" s="21" t="s">
        <v>279</v>
      </c>
      <c r="R720" s="21" t="s">
        <v>21</v>
      </c>
      <c r="S720" s="74" t="s">
        <v>443</v>
      </c>
      <c r="T720" s="21" t="s">
        <v>2786</v>
      </c>
      <c r="U720" s="21" t="s">
        <v>2787</v>
      </c>
      <c r="V720" s="75" t="s">
        <v>2788</v>
      </c>
      <c r="W720" s="21" t="s">
        <v>88</v>
      </c>
      <c r="X720" s="21" t="s">
        <v>1211</v>
      </c>
    </row>
    <row r="721" spans="1:24" ht="38.25" customHeight="1">
      <c r="A721" s="21" t="s">
        <v>1</v>
      </c>
      <c r="B721" s="21" t="s">
        <v>61</v>
      </c>
      <c r="C721" s="21" t="s">
        <v>3</v>
      </c>
      <c r="D721" s="21" t="s">
        <v>1535</v>
      </c>
      <c r="E721" s="21" t="s">
        <v>135</v>
      </c>
      <c r="F721" s="21" t="s">
        <v>1536</v>
      </c>
      <c r="G721" s="21" t="s">
        <v>199</v>
      </c>
      <c r="H721" s="21">
        <v>236115</v>
      </c>
      <c r="I721" s="21" t="s">
        <v>71</v>
      </c>
      <c r="J721" s="21" t="s">
        <v>109</v>
      </c>
      <c r="K721" s="21" t="s">
        <v>19</v>
      </c>
      <c r="L721" s="131" t="s">
        <v>278</v>
      </c>
      <c r="M721" s="278">
        <v>14000000</v>
      </c>
      <c r="N721" s="22">
        <v>14000000</v>
      </c>
      <c r="O721" s="21" t="s">
        <v>20</v>
      </c>
      <c r="P721" s="21" t="s">
        <v>1537</v>
      </c>
      <c r="Q721" s="21" t="s">
        <v>279</v>
      </c>
      <c r="R721" s="21" t="s">
        <v>31</v>
      </c>
      <c r="S721" s="74">
        <v>2012</v>
      </c>
      <c r="T721" s="21" t="s">
        <v>1538</v>
      </c>
      <c r="U721" s="21" t="s">
        <v>1539</v>
      </c>
      <c r="V721" s="75" t="s">
        <v>1540</v>
      </c>
      <c r="W721" s="21" t="s">
        <v>88</v>
      </c>
      <c r="X721" s="21" t="s">
        <v>2789</v>
      </c>
    </row>
    <row r="722" spans="1:24" ht="38.25" customHeight="1">
      <c r="A722" s="21" t="s">
        <v>1</v>
      </c>
      <c r="B722" s="21" t="s">
        <v>61</v>
      </c>
      <c r="C722" s="21" t="s">
        <v>25</v>
      </c>
      <c r="D722" s="21" t="s">
        <v>1541</v>
      </c>
      <c r="E722" s="21" t="s">
        <v>135</v>
      </c>
      <c r="F722" s="21" t="s">
        <v>217</v>
      </c>
      <c r="G722" s="21" t="s">
        <v>217</v>
      </c>
      <c r="H722" s="21">
        <v>236220</v>
      </c>
      <c r="I722" s="21" t="s">
        <v>6</v>
      </c>
      <c r="J722" s="21" t="s">
        <v>109</v>
      </c>
      <c r="K722" s="21" t="s">
        <v>19</v>
      </c>
      <c r="L722" s="131" t="s">
        <v>1498</v>
      </c>
      <c r="M722" s="278">
        <v>1000</v>
      </c>
      <c r="N722" s="22">
        <v>25000000</v>
      </c>
      <c r="O722" s="21" t="s">
        <v>20</v>
      </c>
      <c r="P722" s="21" t="s">
        <v>278</v>
      </c>
      <c r="Q722" s="21" t="s">
        <v>279</v>
      </c>
      <c r="R722" s="21" t="s">
        <v>21</v>
      </c>
      <c r="S722" s="74">
        <v>2013</v>
      </c>
      <c r="T722" s="21" t="s">
        <v>1538</v>
      </c>
      <c r="U722" s="21" t="s">
        <v>1539</v>
      </c>
      <c r="V722" s="75" t="s">
        <v>1540</v>
      </c>
      <c r="W722" s="21" t="s">
        <v>88</v>
      </c>
      <c r="X722" s="21" t="s">
        <v>1925</v>
      </c>
    </row>
    <row r="723" spans="1:24" ht="38.25" customHeight="1">
      <c r="A723" s="21" t="s">
        <v>1</v>
      </c>
      <c r="B723" s="21" t="s">
        <v>61</v>
      </c>
      <c r="C723" s="21" t="s">
        <v>25</v>
      </c>
      <c r="D723" s="21" t="s">
        <v>1542</v>
      </c>
      <c r="E723" s="21" t="s">
        <v>135</v>
      </c>
      <c r="F723" s="21" t="s">
        <v>217</v>
      </c>
      <c r="G723" s="21" t="s">
        <v>1543</v>
      </c>
      <c r="H723" s="21">
        <v>236220</v>
      </c>
      <c r="I723" s="21" t="s">
        <v>6</v>
      </c>
      <c r="J723" s="21" t="s">
        <v>109</v>
      </c>
      <c r="K723" s="21" t="s">
        <v>73</v>
      </c>
      <c r="L723" s="131" t="s">
        <v>1498</v>
      </c>
      <c r="M723" s="278">
        <v>1000</v>
      </c>
      <c r="N723" s="22">
        <v>10000000</v>
      </c>
      <c r="O723" s="21" t="s">
        <v>20</v>
      </c>
      <c r="P723" s="21" t="s">
        <v>278</v>
      </c>
      <c r="Q723" s="21" t="s">
        <v>279</v>
      </c>
      <c r="R723" s="21" t="s">
        <v>21</v>
      </c>
      <c r="S723" s="74">
        <v>2013</v>
      </c>
      <c r="T723" s="21" t="s">
        <v>1538</v>
      </c>
      <c r="U723" s="21" t="s">
        <v>1539</v>
      </c>
      <c r="V723" s="75" t="s">
        <v>1540</v>
      </c>
      <c r="W723" s="21" t="s">
        <v>88</v>
      </c>
      <c r="X723" s="21" t="s">
        <v>1543</v>
      </c>
    </row>
    <row r="724" spans="1:24" ht="38.25" customHeight="1">
      <c r="A724" s="21" t="s">
        <v>1</v>
      </c>
      <c r="B724" s="21" t="s">
        <v>61</v>
      </c>
      <c r="C724" s="21" t="s">
        <v>25</v>
      </c>
      <c r="D724" s="21" t="s">
        <v>1521</v>
      </c>
      <c r="E724" s="21" t="s">
        <v>26</v>
      </c>
      <c r="F724" s="21" t="s">
        <v>217</v>
      </c>
      <c r="G724" s="21" t="s">
        <v>47</v>
      </c>
      <c r="H724" s="21">
        <v>541310</v>
      </c>
      <c r="I724" s="21" t="s">
        <v>6</v>
      </c>
      <c r="J724" s="21" t="s">
        <v>18</v>
      </c>
      <c r="K724" s="21" t="s">
        <v>1516</v>
      </c>
      <c r="L724" s="131" t="s">
        <v>80</v>
      </c>
      <c r="M724" s="278">
        <v>1000</v>
      </c>
      <c r="N724" s="22">
        <v>2000000</v>
      </c>
      <c r="O724" s="21" t="s">
        <v>20</v>
      </c>
      <c r="P724" s="21" t="s">
        <v>1523</v>
      </c>
      <c r="Q724" s="21" t="s">
        <v>279</v>
      </c>
      <c r="R724" s="21" t="s">
        <v>21</v>
      </c>
      <c r="S724" s="74" t="s">
        <v>443</v>
      </c>
      <c r="T724" s="21" t="s">
        <v>1524</v>
      </c>
      <c r="U724" s="21" t="s">
        <v>1525</v>
      </c>
      <c r="V724" s="75" t="s">
        <v>1526</v>
      </c>
      <c r="W724" s="21" t="s">
        <v>88</v>
      </c>
      <c r="X724" s="21" t="s">
        <v>1522</v>
      </c>
    </row>
    <row r="725" spans="1:24" ht="38.25" customHeight="1">
      <c r="A725" s="21" t="s">
        <v>1</v>
      </c>
      <c r="B725" s="21" t="s">
        <v>61</v>
      </c>
      <c r="C725" s="21" t="s">
        <v>25</v>
      </c>
      <c r="D725" s="21" t="s">
        <v>1521</v>
      </c>
      <c r="E725" s="21" t="s">
        <v>26</v>
      </c>
      <c r="F725" s="21" t="s">
        <v>217</v>
      </c>
      <c r="G725" s="21" t="s">
        <v>136</v>
      </c>
      <c r="H725" s="21">
        <v>541310</v>
      </c>
      <c r="I725" s="21" t="s">
        <v>6</v>
      </c>
      <c r="J725" s="21" t="s">
        <v>18</v>
      </c>
      <c r="K725" s="21" t="s">
        <v>1516</v>
      </c>
      <c r="L725" s="131" t="s">
        <v>80</v>
      </c>
      <c r="M725" s="278">
        <v>1000</v>
      </c>
      <c r="N725" s="22">
        <v>2000000</v>
      </c>
      <c r="O725" s="21" t="s">
        <v>20</v>
      </c>
      <c r="P725" s="21" t="s">
        <v>1528</v>
      </c>
      <c r="Q725" s="21" t="s">
        <v>279</v>
      </c>
      <c r="R725" s="21" t="s">
        <v>31</v>
      </c>
      <c r="S725" s="74" t="s">
        <v>443</v>
      </c>
      <c r="T725" s="21" t="s">
        <v>1524</v>
      </c>
      <c r="U725" s="21" t="s">
        <v>1525</v>
      </c>
      <c r="V725" s="75" t="s">
        <v>1526</v>
      </c>
      <c r="W725" s="21" t="s">
        <v>88</v>
      </c>
      <c r="X725" s="21" t="s">
        <v>1527</v>
      </c>
    </row>
    <row r="726" spans="1:24" ht="38.25" customHeight="1">
      <c r="A726" s="21" t="s">
        <v>1</v>
      </c>
      <c r="B726" s="21" t="s">
        <v>61</v>
      </c>
      <c r="C726" s="21" t="s">
        <v>25</v>
      </c>
      <c r="D726" s="21" t="s">
        <v>1521</v>
      </c>
      <c r="E726" s="21" t="s">
        <v>26</v>
      </c>
      <c r="F726" s="21" t="s">
        <v>217</v>
      </c>
      <c r="G726" s="21" t="s">
        <v>181</v>
      </c>
      <c r="H726" s="21">
        <v>541310</v>
      </c>
      <c r="I726" s="21" t="s">
        <v>6</v>
      </c>
      <c r="J726" s="21" t="s">
        <v>18</v>
      </c>
      <c r="K726" s="21" t="s">
        <v>1516</v>
      </c>
      <c r="L726" s="131" t="s">
        <v>80</v>
      </c>
      <c r="M726" s="278">
        <v>1000</v>
      </c>
      <c r="N726" s="22">
        <v>2000000</v>
      </c>
      <c r="O726" s="21" t="s">
        <v>20</v>
      </c>
      <c r="P726" s="21" t="s">
        <v>1530</v>
      </c>
      <c r="Q726" s="21" t="s">
        <v>279</v>
      </c>
      <c r="R726" s="21" t="s">
        <v>31</v>
      </c>
      <c r="S726" s="74" t="s">
        <v>443</v>
      </c>
      <c r="T726" s="21" t="s">
        <v>1524</v>
      </c>
      <c r="U726" s="21" t="s">
        <v>1525</v>
      </c>
      <c r="V726" s="75" t="s">
        <v>1526</v>
      </c>
      <c r="W726" s="21" t="s">
        <v>88</v>
      </c>
      <c r="X726" s="21" t="s">
        <v>1529</v>
      </c>
    </row>
    <row r="727" spans="1:24" ht="38.25" customHeight="1">
      <c r="A727" s="21" t="s">
        <v>1</v>
      </c>
      <c r="B727" s="21" t="s">
        <v>61</v>
      </c>
      <c r="C727" s="21" t="s">
        <v>25</v>
      </c>
      <c r="D727" s="21" t="s">
        <v>1521</v>
      </c>
      <c r="E727" s="21" t="s">
        <v>26</v>
      </c>
      <c r="F727" s="21" t="s">
        <v>1531</v>
      </c>
      <c r="G727" s="21" t="s">
        <v>199</v>
      </c>
      <c r="H727" s="21">
        <v>541310</v>
      </c>
      <c r="I727" s="21" t="s">
        <v>6</v>
      </c>
      <c r="J727" s="21" t="s">
        <v>18</v>
      </c>
      <c r="K727" s="21" t="s">
        <v>1516</v>
      </c>
      <c r="L727" s="131" t="s">
        <v>80</v>
      </c>
      <c r="M727" s="278">
        <v>1000</v>
      </c>
      <c r="N727" s="22">
        <v>2000000</v>
      </c>
      <c r="O727" s="21" t="s">
        <v>20</v>
      </c>
      <c r="P727" s="21" t="s">
        <v>1532</v>
      </c>
      <c r="Q727" s="21" t="s">
        <v>279</v>
      </c>
      <c r="R727" s="21" t="s">
        <v>21</v>
      </c>
      <c r="S727" s="74" t="s">
        <v>443</v>
      </c>
      <c r="T727" s="21" t="s">
        <v>1524</v>
      </c>
      <c r="U727" s="21" t="s">
        <v>1525</v>
      </c>
      <c r="V727" s="75" t="s">
        <v>1526</v>
      </c>
      <c r="W727" s="21" t="s">
        <v>88</v>
      </c>
      <c r="X727" s="21" t="s">
        <v>1531</v>
      </c>
    </row>
    <row r="728" spans="1:24" ht="38.25" customHeight="1">
      <c r="A728" s="21" t="s">
        <v>1</v>
      </c>
      <c r="B728" s="21" t="s">
        <v>61</v>
      </c>
      <c r="C728" s="21" t="s">
        <v>25</v>
      </c>
      <c r="D728" s="21" t="s">
        <v>1521</v>
      </c>
      <c r="E728" s="21" t="s">
        <v>26</v>
      </c>
      <c r="F728" s="21" t="s">
        <v>1533</v>
      </c>
      <c r="G728" s="21" t="s">
        <v>199</v>
      </c>
      <c r="H728" s="21">
        <v>541310</v>
      </c>
      <c r="I728" s="21" t="s">
        <v>6</v>
      </c>
      <c r="J728" s="21" t="s">
        <v>18</v>
      </c>
      <c r="K728" s="21" t="s">
        <v>1516</v>
      </c>
      <c r="L728" s="131" t="s">
        <v>80</v>
      </c>
      <c r="M728" s="278">
        <v>1000</v>
      </c>
      <c r="N728" s="22">
        <v>2000000</v>
      </c>
      <c r="O728" s="21" t="s">
        <v>20</v>
      </c>
      <c r="P728" s="21" t="s">
        <v>1534</v>
      </c>
      <c r="Q728" s="21" t="s">
        <v>279</v>
      </c>
      <c r="R728" s="21" t="s">
        <v>21</v>
      </c>
      <c r="S728" s="74" t="s">
        <v>443</v>
      </c>
      <c r="T728" s="21" t="s">
        <v>1524</v>
      </c>
      <c r="U728" s="21" t="s">
        <v>1525</v>
      </c>
      <c r="V728" s="75" t="s">
        <v>1526</v>
      </c>
      <c r="W728" s="21" t="s">
        <v>88</v>
      </c>
      <c r="X728" s="21" t="s">
        <v>2790</v>
      </c>
    </row>
    <row r="729" spans="1:24" ht="38.25" customHeight="1">
      <c r="A729" s="21" t="s">
        <v>1</v>
      </c>
      <c r="B729" s="21" t="s">
        <v>61</v>
      </c>
      <c r="C729" s="21" t="s">
        <v>25</v>
      </c>
      <c r="D729" s="21" t="s">
        <v>1508</v>
      </c>
      <c r="E729" s="21" t="s">
        <v>120</v>
      </c>
      <c r="F729" s="21" t="s">
        <v>2791</v>
      </c>
      <c r="G729" s="21" t="s">
        <v>199</v>
      </c>
      <c r="H729" s="21">
        <v>221122</v>
      </c>
      <c r="I729" s="21" t="s">
        <v>1489</v>
      </c>
      <c r="J729" s="21" t="s">
        <v>109</v>
      </c>
      <c r="K729" s="21" t="s">
        <v>19</v>
      </c>
      <c r="L729" s="131" t="s">
        <v>1498</v>
      </c>
      <c r="M729" s="278">
        <v>60000000</v>
      </c>
      <c r="N729" s="22">
        <v>90000000</v>
      </c>
      <c r="O729" s="21" t="s">
        <v>20</v>
      </c>
      <c r="P729" s="21" t="s">
        <v>1509</v>
      </c>
      <c r="Q729" s="21" t="s">
        <v>279</v>
      </c>
      <c r="R729" s="21" t="s">
        <v>31</v>
      </c>
      <c r="S729" s="74" t="s">
        <v>443</v>
      </c>
      <c r="T729" s="21" t="s">
        <v>1510</v>
      </c>
      <c r="U729" s="21" t="s">
        <v>1511</v>
      </c>
      <c r="V729" s="75" t="s">
        <v>1512</v>
      </c>
      <c r="W729" s="21" t="s">
        <v>88</v>
      </c>
      <c r="X729" s="21" t="s">
        <v>1513</v>
      </c>
    </row>
    <row r="730" spans="1:24" ht="38.25" customHeight="1">
      <c r="A730" s="21" t="s">
        <v>1</v>
      </c>
      <c r="B730" s="21" t="s">
        <v>61</v>
      </c>
      <c r="C730" s="21" t="s">
        <v>3</v>
      </c>
      <c r="D730" s="21" t="s">
        <v>1487</v>
      </c>
      <c r="E730" s="21" t="s">
        <v>135</v>
      </c>
      <c r="F730" s="21" t="s">
        <v>1504</v>
      </c>
      <c r="G730" s="21" t="s">
        <v>199</v>
      </c>
      <c r="H730" s="21">
        <v>236220</v>
      </c>
      <c r="I730" s="21" t="s">
        <v>1181</v>
      </c>
      <c r="J730" s="21" t="s">
        <v>109</v>
      </c>
      <c r="K730" s="21" t="s">
        <v>73</v>
      </c>
      <c r="L730" s="131" t="s">
        <v>278</v>
      </c>
      <c r="M730" s="278" t="s">
        <v>1485</v>
      </c>
      <c r="N730" s="22" t="s">
        <v>1485</v>
      </c>
      <c r="O730" s="21" t="s">
        <v>9</v>
      </c>
      <c r="P730" s="21" t="s">
        <v>278</v>
      </c>
      <c r="Q730" s="21" t="s">
        <v>279</v>
      </c>
      <c r="R730" s="21" t="s">
        <v>10</v>
      </c>
      <c r="S730" s="74">
        <v>2013</v>
      </c>
      <c r="T730" s="21" t="s">
        <v>1544</v>
      </c>
      <c r="U730" s="21" t="s">
        <v>1545</v>
      </c>
      <c r="V730" s="75" t="s">
        <v>2792</v>
      </c>
      <c r="W730" s="21" t="s">
        <v>1546</v>
      </c>
      <c r="X730" s="21"/>
    </row>
    <row r="731" spans="1:24" ht="38.25" customHeight="1">
      <c r="A731" s="21" t="s">
        <v>1</v>
      </c>
      <c r="B731" s="21" t="s">
        <v>61</v>
      </c>
      <c r="C731" s="21" t="s">
        <v>25</v>
      </c>
      <c r="D731" s="21" t="s">
        <v>1487</v>
      </c>
      <c r="E731" s="21" t="s">
        <v>135</v>
      </c>
      <c r="F731" s="21" t="s">
        <v>1504</v>
      </c>
      <c r="G731" s="21" t="s">
        <v>199</v>
      </c>
      <c r="H731" s="21">
        <v>236220</v>
      </c>
      <c r="I731" s="21" t="s">
        <v>6</v>
      </c>
      <c r="J731" s="21" t="s">
        <v>86</v>
      </c>
      <c r="K731" s="21" t="s">
        <v>40</v>
      </c>
      <c r="L731" s="131" t="s">
        <v>278</v>
      </c>
      <c r="M731" s="278">
        <v>150000</v>
      </c>
      <c r="N731" s="22">
        <v>250000</v>
      </c>
      <c r="O731" s="21" t="s">
        <v>20</v>
      </c>
      <c r="P731" s="21" t="s">
        <v>278</v>
      </c>
      <c r="Q731" s="21" t="s">
        <v>279</v>
      </c>
      <c r="R731" s="21" t="s">
        <v>10</v>
      </c>
      <c r="S731" s="74">
        <v>2013</v>
      </c>
      <c r="T731" s="21" t="s">
        <v>1544</v>
      </c>
      <c r="U731" s="21" t="s">
        <v>1545</v>
      </c>
      <c r="V731" s="75" t="s">
        <v>2793</v>
      </c>
      <c r="W731" s="21" t="s">
        <v>1547</v>
      </c>
      <c r="X731" s="21"/>
    </row>
    <row r="732" spans="1:24" ht="38.25" customHeight="1">
      <c r="A732" s="21" t="s">
        <v>1</v>
      </c>
      <c r="B732" s="21" t="s">
        <v>61</v>
      </c>
      <c r="C732" s="21" t="s">
        <v>25</v>
      </c>
      <c r="D732" s="21" t="s">
        <v>1554</v>
      </c>
      <c r="E732" s="21" t="s">
        <v>1555</v>
      </c>
      <c r="F732" s="21" t="s">
        <v>1556</v>
      </c>
      <c r="G732" s="21" t="s">
        <v>199</v>
      </c>
      <c r="H732" s="21">
        <v>541330</v>
      </c>
      <c r="I732" s="21" t="s">
        <v>71</v>
      </c>
      <c r="J732" s="21" t="s">
        <v>86</v>
      </c>
      <c r="K732" s="21" t="s">
        <v>40</v>
      </c>
      <c r="L732" s="131" t="s">
        <v>278</v>
      </c>
      <c r="M732" s="278">
        <v>25000</v>
      </c>
      <c r="N732" s="22">
        <v>150000</v>
      </c>
      <c r="O732" s="21" t="s">
        <v>20</v>
      </c>
      <c r="P732" s="21" t="s">
        <v>1557</v>
      </c>
      <c r="Q732" s="21" t="s">
        <v>279</v>
      </c>
      <c r="R732" s="21" t="s">
        <v>10</v>
      </c>
      <c r="S732" s="74">
        <v>2013</v>
      </c>
      <c r="T732" s="21" t="s">
        <v>1558</v>
      </c>
      <c r="U732" s="21" t="s">
        <v>1559</v>
      </c>
      <c r="V732" s="75" t="s">
        <v>1560</v>
      </c>
      <c r="W732" s="21" t="s">
        <v>88</v>
      </c>
      <c r="X732" s="21"/>
    </row>
    <row r="733" spans="1:24" ht="38.25" customHeight="1">
      <c r="A733" s="21" t="s">
        <v>1</v>
      </c>
      <c r="B733" s="21" t="s">
        <v>61</v>
      </c>
      <c r="C733" s="21" t="s">
        <v>25</v>
      </c>
      <c r="D733" s="21" t="s">
        <v>1480</v>
      </c>
      <c r="E733" s="21" t="s">
        <v>138</v>
      </c>
      <c r="F733" s="21" t="s">
        <v>1556</v>
      </c>
      <c r="G733" s="21" t="s">
        <v>199</v>
      </c>
      <c r="H733" s="21">
        <v>236220</v>
      </c>
      <c r="I733" s="21" t="s">
        <v>28</v>
      </c>
      <c r="J733" s="21" t="s">
        <v>86</v>
      </c>
      <c r="K733" s="21" t="s">
        <v>40</v>
      </c>
      <c r="L733" s="131" t="s">
        <v>278</v>
      </c>
      <c r="M733" s="278">
        <v>250000</v>
      </c>
      <c r="N733" s="22">
        <v>500000</v>
      </c>
      <c r="O733" s="21" t="s">
        <v>20</v>
      </c>
      <c r="P733" s="21" t="s">
        <v>40</v>
      </c>
      <c r="Q733" s="21" t="s">
        <v>279</v>
      </c>
      <c r="R733" s="21" t="s">
        <v>10</v>
      </c>
      <c r="S733" s="74">
        <v>2013</v>
      </c>
      <c r="T733" s="21" t="s">
        <v>1558</v>
      </c>
      <c r="U733" s="21" t="s">
        <v>1559</v>
      </c>
      <c r="V733" s="75" t="s">
        <v>1560</v>
      </c>
      <c r="W733" s="21" t="s">
        <v>88</v>
      </c>
      <c r="X733" s="21"/>
    </row>
    <row r="734" spans="1:24" ht="38.25" customHeight="1">
      <c r="A734" s="21" t="s">
        <v>1</v>
      </c>
      <c r="B734" s="21" t="s">
        <v>61</v>
      </c>
      <c r="C734" s="21" t="s">
        <v>25</v>
      </c>
      <c r="D734" s="21" t="s">
        <v>1480</v>
      </c>
      <c r="E734" s="21" t="s">
        <v>138</v>
      </c>
      <c r="F734" s="21" t="s">
        <v>1561</v>
      </c>
      <c r="G734" s="21" t="s">
        <v>199</v>
      </c>
      <c r="H734" s="21">
        <v>236220</v>
      </c>
      <c r="I734" s="21" t="s">
        <v>28</v>
      </c>
      <c r="J734" s="21" t="s">
        <v>86</v>
      </c>
      <c r="K734" s="21" t="s">
        <v>40</v>
      </c>
      <c r="L734" s="131" t="s">
        <v>278</v>
      </c>
      <c r="M734" s="278">
        <v>150000</v>
      </c>
      <c r="N734" s="22">
        <v>250000</v>
      </c>
      <c r="O734" s="21" t="s">
        <v>20</v>
      </c>
      <c r="P734" s="21" t="s">
        <v>40</v>
      </c>
      <c r="Q734" s="21" t="s">
        <v>279</v>
      </c>
      <c r="R734" s="21" t="s">
        <v>10</v>
      </c>
      <c r="S734" s="74">
        <v>2013</v>
      </c>
      <c r="T734" s="21" t="s">
        <v>1558</v>
      </c>
      <c r="U734" s="21" t="s">
        <v>1559</v>
      </c>
      <c r="V734" s="75" t="s">
        <v>1560</v>
      </c>
      <c r="W734" s="21" t="s">
        <v>88</v>
      </c>
      <c r="X734" s="21"/>
    </row>
    <row r="735" spans="1:24" ht="38.25" customHeight="1">
      <c r="A735" s="21" t="s">
        <v>1</v>
      </c>
      <c r="B735" s="21" t="s">
        <v>61</v>
      </c>
      <c r="C735" s="21" t="s">
        <v>25</v>
      </c>
      <c r="D735" s="21" t="s">
        <v>1480</v>
      </c>
      <c r="E735" s="21" t="s">
        <v>138</v>
      </c>
      <c r="F735" s="21" t="s">
        <v>1481</v>
      </c>
      <c r="G735" s="21" t="s">
        <v>199</v>
      </c>
      <c r="H735" s="21">
        <v>236220</v>
      </c>
      <c r="I735" s="21" t="s">
        <v>28</v>
      </c>
      <c r="J735" s="21" t="s">
        <v>86</v>
      </c>
      <c r="K735" s="21" t="s">
        <v>40</v>
      </c>
      <c r="L735" s="131" t="s">
        <v>278</v>
      </c>
      <c r="M735" s="278">
        <v>25000</v>
      </c>
      <c r="N735" s="22">
        <v>150000</v>
      </c>
      <c r="O735" s="21" t="s">
        <v>20</v>
      </c>
      <c r="P735" s="21" t="s">
        <v>40</v>
      </c>
      <c r="Q735" s="21" t="s">
        <v>279</v>
      </c>
      <c r="R735" s="21" t="s">
        <v>10</v>
      </c>
      <c r="S735" s="74">
        <v>2013</v>
      </c>
      <c r="T735" s="21" t="s">
        <v>1482</v>
      </c>
      <c r="U735" s="21" t="s">
        <v>1483</v>
      </c>
      <c r="V735" s="75" t="s">
        <v>1484</v>
      </c>
      <c r="W735" s="21" t="s">
        <v>88</v>
      </c>
      <c r="X735" s="21"/>
    </row>
    <row r="736" spans="1:24" ht="38.25" customHeight="1">
      <c r="A736" s="21" t="s">
        <v>1</v>
      </c>
      <c r="B736" s="21" t="s">
        <v>61</v>
      </c>
      <c r="C736" s="21" t="s">
        <v>25</v>
      </c>
      <c r="D736" s="21" t="s">
        <v>1480</v>
      </c>
      <c r="E736" s="21" t="s">
        <v>138</v>
      </c>
      <c r="F736" s="21" t="s">
        <v>1481</v>
      </c>
      <c r="G736" s="21" t="s">
        <v>199</v>
      </c>
      <c r="H736" s="21">
        <v>236220</v>
      </c>
      <c r="I736" s="21" t="s">
        <v>28</v>
      </c>
      <c r="J736" s="21" t="s">
        <v>86</v>
      </c>
      <c r="K736" s="21" t="s">
        <v>40</v>
      </c>
      <c r="L736" s="131" t="s">
        <v>278</v>
      </c>
      <c r="M736" s="278" t="s">
        <v>1485</v>
      </c>
      <c r="N736" s="22" t="s">
        <v>1485</v>
      </c>
      <c r="O736" s="21" t="s">
        <v>9</v>
      </c>
      <c r="P736" s="21" t="s">
        <v>40</v>
      </c>
      <c r="Q736" s="21" t="s">
        <v>279</v>
      </c>
      <c r="R736" s="21" t="s">
        <v>10</v>
      </c>
      <c r="S736" s="74">
        <v>2013</v>
      </c>
      <c r="T736" s="21" t="s">
        <v>1482</v>
      </c>
      <c r="U736" s="21" t="s">
        <v>1483</v>
      </c>
      <c r="V736" s="75" t="s">
        <v>1484</v>
      </c>
      <c r="W736" s="21" t="s">
        <v>88</v>
      </c>
      <c r="X736" s="21"/>
    </row>
    <row r="737" spans="1:94" ht="38.25" customHeight="1">
      <c r="A737" s="21" t="s">
        <v>1</v>
      </c>
      <c r="B737" s="21" t="s">
        <v>61</v>
      </c>
      <c r="C737" s="21" t="s">
        <v>25</v>
      </c>
      <c r="D737" s="21" t="s">
        <v>1480</v>
      </c>
      <c r="E737" s="21" t="s">
        <v>138</v>
      </c>
      <c r="F737" s="21" t="s">
        <v>1486</v>
      </c>
      <c r="G737" s="21" t="s">
        <v>199</v>
      </c>
      <c r="H737" s="21">
        <v>236220</v>
      </c>
      <c r="I737" s="21" t="s">
        <v>28</v>
      </c>
      <c r="J737" s="21" t="s">
        <v>86</v>
      </c>
      <c r="K737" s="21" t="s">
        <v>40</v>
      </c>
      <c r="L737" s="131" t="s">
        <v>278</v>
      </c>
      <c r="M737" s="278" t="s">
        <v>1485</v>
      </c>
      <c r="N737" s="22" t="s">
        <v>1485</v>
      </c>
      <c r="O737" s="21" t="s">
        <v>9</v>
      </c>
      <c r="P737" s="21" t="s">
        <v>40</v>
      </c>
      <c r="Q737" s="21" t="s">
        <v>279</v>
      </c>
      <c r="R737" s="21" t="s">
        <v>10</v>
      </c>
      <c r="S737" s="74">
        <v>2013</v>
      </c>
      <c r="T737" s="21" t="s">
        <v>1482</v>
      </c>
      <c r="U737" s="21" t="s">
        <v>1483</v>
      </c>
      <c r="V737" s="75" t="s">
        <v>1484</v>
      </c>
      <c r="W737" s="21" t="s">
        <v>88</v>
      </c>
      <c r="X737" s="21"/>
    </row>
    <row r="738" spans="1:94" ht="38.25" customHeight="1">
      <c r="A738" s="21" t="s">
        <v>1</v>
      </c>
      <c r="B738" s="21" t="s">
        <v>61</v>
      </c>
      <c r="C738" s="21" t="s">
        <v>25</v>
      </c>
      <c r="D738" s="21" t="s">
        <v>1480</v>
      </c>
      <c r="E738" s="21" t="s">
        <v>138</v>
      </c>
      <c r="F738" s="21" t="s">
        <v>1481</v>
      </c>
      <c r="G738" s="21" t="s">
        <v>199</v>
      </c>
      <c r="H738" s="21">
        <v>236220</v>
      </c>
      <c r="I738" s="21" t="s">
        <v>28</v>
      </c>
      <c r="J738" s="21" t="s">
        <v>86</v>
      </c>
      <c r="K738" s="21" t="s">
        <v>40</v>
      </c>
      <c r="L738" s="131" t="s">
        <v>278</v>
      </c>
      <c r="M738" s="278" t="s">
        <v>1485</v>
      </c>
      <c r="N738" s="22" t="s">
        <v>1485</v>
      </c>
      <c r="O738" s="21" t="s">
        <v>9</v>
      </c>
      <c r="P738" s="21" t="s">
        <v>40</v>
      </c>
      <c r="Q738" s="21" t="s">
        <v>279</v>
      </c>
      <c r="R738" s="21" t="s">
        <v>10</v>
      </c>
      <c r="S738" s="74">
        <v>2013</v>
      </c>
      <c r="T738" s="21" t="s">
        <v>1482</v>
      </c>
      <c r="U738" s="21" t="s">
        <v>1483</v>
      </c>
      <c r="V738" s="75" t="s">
        <v>1484</v>
      </c>
      <c r="W738" s="21" t="s">
        <v>88</v>
      </c>
      <c r="X738" s="21"/>
    </row>
    <row r="739" spans="1:94" ht="38.25" customHeight="1">
      <c r="A739" s="21" t="s">
        <v>1</v>
      </c>
      <c r="B739" s="21" t="s">
        <v>61</v>
      </c>
      <c r="C739" s="21" t="s">
        <v>25</v>
      </c>
      <c r="D739" s="21" t="s">
        <v>1480</v>
      </c>
      <c r="E739" s="21" t="s">
        <v>138</v>
      </c>
      <c r="F739" s="21" t="s">
        <v>1481</v>
      </c>
      <c r="G739" s="21" t="s">
        <v>199</v>
      </c>
      <c r="H739" s="21">
        <v>236220</v>
      </c>
      <c r="I739" s="21" t="s">
        <v>28</v>
      </c>
      <c r="J739" s="21" t="s">
        <v>86</v>
      </c>
      <c r="K739" s="21" t="s">
        <v>40</v>
      </c>
      <c r="L739" s="131" t="s">
        <v>278</v>
      </c>
      <c r="M739" s="278" t="s">
        <v>1485</v>
      </c>
      <c r="N739" s="22" t="s">
        <v>1485</v>
      </c>
      <c r="O739" s="21" t="s">
        <v>9</v>
      </c>
      <c r="P739" s="21" t="s">
        <v>40</v>
      </c>
      <c r="Q739" s="21" t="s">
        <v>279</v>
      </c>
      <c r="R739" s="21" t="s">
        <v>10</v>
      </c>
      <c r="S739" s="74">
        <v>2013</v>
      </c>
      <c r="T739" s="21" t="s">
        <v>1482</v>
      </c>
      <c r="U739" s="21" t="s">
        <v>1483</v>
      </c>
      <c r="V739" s="75" t="s">
        <v>1484</v>
      </c>
      <c r="W739" s="21" t="s">
        <v>88</v>
      </c>
      <c r="X739" s="21"/>
    </row>
    <row r="740" spans="1:94" ht="38.25" customHeight="1">
      <c r="A740" s="21" t="s">
        <v>1</v>
      </c>
      <c r="B740" s="21" t="s">
        <v>61</v>
      </c>
      <c r="C740" s="21" t="s">
        <v>25</v>
      </c>
      <c r="D740" s="21" t="s">
        <v>1480</v>
      </c>
      <c r="E740" s="21" t="s">
        <v>138</v>
      </c>
      <c r="F740" s="21" t="s">
        <v>1481</v>
      </c>
      <c r="G740" s="21" t="s">
        <v>199</v>
      </c>
      <c r="H740" s="21">
        <v>236220</v>
      </c>
      <c r="I740" s="21" t="s">
        <v>28</v>
      </c>
      <c r="J740" s="21" t="s">
        <v>86</v>
      </c>
      <c r="K740" s="21" t="s">
        <v>40</v>
      </c>
      <c r="L740" s="131" t="s">
        <v>278</v>
      </c>
      <c r="M740" s="278" t="s">
        <v>1485</v>
      </c>
      <c r="N740" s="22" t="s">
        <v>1485</v>
      </c>
      <c r="O740" s="21" t="s">
        <v>9</v>
      </c>
      <c r="P740" s="21" t="s">
        <v>40</v>
      </c>
      <c r="Q740" s="21" t="s">
        <v>279</v>
      </c>
      <c r="R740" s="21" t="s">
        <v>10</v>
      </c>
      <c r="S740" s="74">
        <v>2013</v>
      </c>
      <c r="T740" s="21" t="s">
        <v>1482</v>
      </c>
      <c r="U740" s="21" t="s">
        <v>1483</v>
      </c>
      <c r="V740" s="75" t="s">
        <v>1484</v>
      </c>
      <c r="W740" s="21" t="s">
        <v>88</v>
      </c>
      <c r="X740" s="21"/>
    </row>
    <row r="741" spans="1:94" ht="38.25" customHeight="1">
      <c r="A741" s="21" t="s">
        <v>1</v>
      </c>
      <c r="B741" s="21" t="s">
        <v>61</v>
      </c>
      <c r="C741" s="21" t="s">
        <v>25</v>
      </c>
      <c r="D741" s="21" t="s">
        <v>1480</v>
      </c>
      <c r="E741" s="21" t="s">
        <v>138</v>
      </c>
      <c r="F741" s="21" t="s">
        <v>1564</v>
      </c>
      <c r="G741" s="21" t="s">
        <v>199</v>
      </c>
      <c r="H741" s="21">
        <v>236220</v>
      </c>
      <c r="I741" s="21" t="s">
        <v>28</v>
      </c>
      <c r="J741" s="21" t="s">
        <v>86</v>
      </c>
      <c r="K741" s="21" t="s">
        <v>40</v>
      </c>
      <c r="L741" s="131" t="s">
        <v>278</v>
      </c>
      <c r="M741" s="278">
        <v>25000</v>
      </c>
      <c r="N741" s="22">
        <v>150000</v>
      </c>
      <c r="O741" s="21" t="s">
        <v>20</v>
      </c>
      <c r="P741" s="21" t="s">
        <v>40</v>
      </c>
      <c r="Q741" s="21" t="s">
        <v>279</v>
      </c>
      <c r="R741" s="21" t="s">
        <v>10</v>
      </c>
      <c r="S741" s="74">
        <v>2013</v>
      </c>
      <c r="T741" s="21" t="s">
        <v>1482</v>
      </c>
      <c r="U741" s="21" t="s">
        <v>1483</v>
      </c>
      <c r="V741" s="75" t="s">
        <v>1484</v>
      </c>
      <c r="W741" s="21" t="s">
        <v>88</v>
      </c>
      <c r="X741" s="21"/>
    </row>
    <row r="742" spans="1:94" ht="38.25" customHeight="1">
      <c r="A742" s="21" t="s">
        <v>1</v>
      </c>
      <c r="B742" s="21" t="s">
        <v>61</v>
      </c>
      <c r="C742" s="21" t="s">
        <v>25</v>
      </c>
      <c r="D742" s="21" t="s">
        <v>1480</v>
      </c>
      <c r="E742" s="21" t="s">
        <v>138</v>
      </c>
      <c r="F742" s="21" t="s">
        <v>1504</v>
      </c>
      <c r="G742" s="21" t="s">
        <v>199</v>
      </c>
      <c r="H742" s="21">
        <v>236220</v>
      </c>
      <c r="I742" s="21" t="s">
        <v>17</v>
      </c>
      <c r="J742" s="21" t="s">
        <v>109</v>
      </c>
      <c r="K742" s="21" t="s">
        <v>8</v>
      </c>
      <c r="L742" s="131" t="s">
        <v>1498</v>
      </c>
      <c r="M742" s="278" t="s">
        <v>1485</v>
      </c>
      <c r="N742" s="22" t="s">
        <v>1485</v>
      </c>
      <c r="O742" s="21" t="s">
        <v>9</v>
      </c>
      <c r="P742" s="21" t="s">
        <v>278</v>
      </c>
      <c r="Q742" s="21" t="s">
        <v>279</v>
      </c>
      <c r="R742" s="21" t="s">
        <v>41</v>
      </c>
      <c r="S742" s="74" t="s">
        <v>1548</v>
      </c>
      <c r="T742" s="21" t="s">
        <v>1549</v>
      </c>
      <c r="U742" s="21" t="s">
        <v>1550</v>
      </c>
      <c r="V742" s="75" t="s">
        <v>1551</v>
      </c>
      <c r="W742" s="21" t="s">
        <v>88</v>
      </c>
      <c r="X742" s="21"/>
    </row>
    <row r="743" spans="1:94" ht="38.25" customHeight="1">
      <c r="A743" s="21" t="s">
        <v>1</v>
      </c>
      <c r="B743" s="21" t="s">
        <v>61</v>
      </c>
      <c r="C743" s="21" t="s">
        <v>3</v>
      </c>
      <c r="D743" s="21" t="s">
        <v>1480</v>
      </c>
      <c r="E743" s="21" t="s">
        <v>138</v>
      </c>
      <c r="F743" s="21" t="s">
        <v>1504</v>
      </c>
      <c r="G743" s="21" t="s">
        <v>199</v>
      </c>
      <c r="H743" s="21">
        <v>236220</v>
      </c>
      <c r="I743" s="21" t="s">
        <v>17</v>
      </c>
      <c r="J743" s="21" t="s">
        <v>109</v>
      </c>
      <c r="K743" s="21" t="s">
        <v>8</v>
      </c>
      <c r="L743" s="131" t="s">
        <v>1498</v>
      </c>
      <c r="M743" s="278" t="s">
        <v>1485</v>
      </c>
      <c r="N743" s="22" t="s">
        <v>1485</v>
      </c>
      <c r="O743" s="21" t="s">
        <v>9</v>
      </c>
      <c r="P743" s="21" t="s">
        <v>278</v>
      </c>
      <c r="Q743" s="21" t="s">
        <v>279</v>
      </c>
      <c r="R743" s="21" t="s">
        <v>41</v>
      </c>
      <c r="S743" s="74" t="s">
        <v>1548</v>
      </c>
      <c r="T743" s="21" t="s">
        <v>1549</v>
      </c>
      <c r="U743" s="21" t="s">
        <v>1550</v>
      </c>
      <c r="V743" s="75" t="s">
        <v>1551</v>
      </c>
      <c r="W743" s="21" t="s">
        <v>88</v>
      </c>
      <c r="X743" s="21"/>
    </row>
    <row r="744" spans="1:94" ht="38.25" customHeight="1">
      <c r="A744" s="21" t="s">
        <v>1</v>
      </c>
      <c r="B744" s="21" t="s">
        <v>61</v>
      </c>
      <c r="C744" s="21" t="s">
        <v>3</v>
      </c>
      <c r="D744" s="21" t="s">
        <v>1480</v>
      </c>
      <c r="E744" s="21" t="s">
        <v>138</v>
      </c>
      <c r="F744" s="21" t="s">
        <v>1552</v>
      </c>
      <c r="G744" s="21" t="s">
        <v>199</v>
      </c>
      <c r="H744" s="21">
        <v>236220</v>
      </c>
      <c r="I744" s="21" t="s">
        <v>17</v>
      </c>
      <c r="J744" s="21" t="s">
        <v>109</v>
      </c>
      <c r="K744" s="21" t="s">
        <v>8</v>
      </c>
      <c r="L744" s="131" t="s">
        <v>1498</v>
      </c>
      <c r="M744" s="278" t="s">
        <v>1485</v>
      </c>
      <c r="N744" s="22" t="s">
        <v>1485</v>
      </c>
      <c r="O744" s="21" t="s">
        <v>9</v>
      </c>
      <c r="P744" s="21" t="s">
        <v>278</v>
      </c>
      <c r="Q744" s="21" t="s">
        <v>279</v>
      </c>
      <c r="R744" s="21" t="s">
        <v>41</v>
      </c>
      <c r="S744" s="74" t="s">
        <v>1548</v>
      </c>
      <c r="T744" s="21" t="s">
        <v>1549</v>
      </c>
      <c r="U744" s="21" t="s">
        <v>1550</v>
      </c>
      <c r="V744" s="75" t="s">
        <v>1551</v>
      </c>
      <c r="W744" s="21" t="s">
        <v>88</v>
      </c>
      <c r="X744" s="21"/>
    </row>
    <row r="745" spans="1:94" ht="38.25" customHeight="1">
      <c r="A745" s="21" t="s">
        <v>1</v>
      </c>
      <c r="B745" s="21" t="s">
        <v>61</v>
      </c>
      <c r="C745" s="21" t="s">
        <v>3</v>
      </c>
      <c r="D745" s="21" t="s">
        <v>1480</v>
      </c>
      <c r="E745" s="21" t="s">
        <v>138</v>
      </c>
      <c r="F745" s="21" t="s">
        <v>1553</v>
      </c>
      <c r="G745" s="21" t="s">
        <v>199</v>
      </c>
      <c r="H745" s="21">
        <v>236220</v>
      </c>
      <c r="I745" s="21" t="s">
        <v>71</v>
      </c>
      <c r="J745" s="21" t="s">
        <v>109</v>
      </c>
      <c r="K745" s="21" t="s">
        <v>40</v>
      </c>
      <c r="L745" s="131" t="s">
        <v>278</v>
      </c>
      <c r="M745" s="278">
        <v>150000</v>
      </c>
      <c r="N745" s="22">
        <v>150000</v>
      </c>
      <c r="O745" s="21" t="s">
        <v>20</v>
      </c>
      <c r="P745" s="21" t="s">
        <v>278</v>
      </c>
      <c r="Q745" s="21" t="s">
        <v>279</v>
      </c>
      <c r="R745" s="21" t="s">
        <v>41</v>
      </c>
      <c r="S745" s="74" t="s">
        <v>1548</v>
      </c>
      <c r="T745" s="21" t="s">
        <v>1549</v>
      </c>
      <c r="U745" s="21" t="s">
        <v>1550</v>
      </c>
      <c r="V745" s="75" t="s">
        <v>1551</v>
      </c>
      <c r="W745" s="21" t="s">
        <v>88</v>
      </c>
      <c r="X745" s="21"/>
    </row>
    <row r="746" spans="1:94" ht="38.25" customHeight="1">
      <c r="A746" s="21" t="s">
        <v>1</v>
      </c>
      <c r="B746" s="21" t="s">
        <v>61</v>
      </c>
      <c r="C746" s="21" t="s">
        <v>25</v>
      </c>
      <c r="D746" s="21" t="s">
        <v>1246</v>
      </c>
      <c r="E746" s="21" t="s">
        <v>1497</v>
      </c>
      <c r="F746" s="21" t="s">
        <v>1481</v>
      </c>
      <c r="G746" s="21" t="s">
        <v>199</v>
      </c>
      <c r="H746" s="21">
        <v>561210</v>
      </c>
      <c r="I746" s="21" t="s">
        <v>28</v>
      </c>
      <c r="J746" s="21" t="s">
        <v>18</v>
      </c>
      <c r="K746" s="21" t="s">
        <v>73</v>
      </c>
      <c r="L746" s="131" t="s">
        <v>1498</v>
      </c>
      <c r="M746" s="278">
        <v>1000000</v>
      </c>
      <c r="N746" s="22">
        <v>5000000</v>
      </c>
      <c r="O746" s="21" t="s">
        <v>20</v>
      </c>
      <c r="P746" s="21" t="s">
        <v>1499</v>
      </c>
      <c r="Q746" s="21" t="s">
        <v>279</v>
      </c>
      <c r="R746" s="21" t="s">
        <v>10</v>
      </c>
      <c r="S746" s="74" t="s">
        <v>443</v>
      </c>
      <c r="T746" s="21" t="s">
        <v>1500</v>
      </c>
      <c r="U746" s="21" t="s">
        <v>1501</v>
      </c>
      <c r="V746" s="75" t="s">
        <v>1502</v>
      </c>
      <c r="W746" s="21" t="s">
        <v>88</v>
      </c>
      <c r="X746" s="21" t="s">
        <v>2794</v>
      </c>
    </row>
    <row r="747" spans="1:94" ht="38.25" customHeight="1">
      <c r="A747" s="21" t="s">
        <v>1</v>
      </c>
      <c r="B747" s="21" t="s">
        <v>61</v>
      </c>
      <c r="C747" s="21" t="s">
        <v>25</v>
      </c>
      <c r="D747" s="21" t="s">
        <v>1503</v>
      </c>
      <c r="E747" s="21" t="s">
        <v>120</v>
      </c>
      <c r="F747" s="21" t="s">
        <v>1504</v>
      </c>
      <c r="G747" s="21" t="s">
        <v>199</v>
      </c>
      <c r="H747" s="21">
        <v>561720</v>
      </c>
      <c r="I747" s="21" t="s">
        <v>1505</v>
      </c>
      <c r="J747" s="21" t="s">
        <v>18</v>
      </c>
      <c r="K747" s="21" t="s">
        <v>1505</v>
      </c>
      <c r="L747" s="279" t="s">
        <v>1506</v>
      </c>
      <c r="M747" s="280">
        <v>330000</v>
      </c>
      <c r="N747" s="22">
        <v>3000000</v>
      </c>
      <c r="O747" s="21" t="s">
        <v>20</v>
      </c>
      <c r="P747" s="21" t="s">
        <v>1507</v>
      </c>
      <c r="Q747" s="21" t="s">
        <v>279</v>
      </c>
      <c r="R747" s="21" t="s">
        <v>10</v>
      </c>
      <c r="S747" s="74" t="s">
        <v>443</v>
      </c>
      <c r="T747" s="21" t="s">
        <v>1500</v>
      </c>
      <c r="U747" s="21" t="s">
        <v>1501</v>
      </c>
      <c r="V747" s="75" t="s">
        <v>1502</v>
      </c>
      <c r="W747" s="21" t="s">
        <v>88</v>
      </c>
      <c r="X747" s="21"/>
    </row>
    <row r="748" spans="1:94" s="13" customFormat="1" ht="38.25" customHeight="1">
      <c r="A748" s="95" t="s">
        <v>1</v>
      </c>
      <c r="B748" s="18" t="s">
        <v>68</v>
      </c>
      <c r="C748" s="21" t="s">
        <v>35</v>
      </c>
      <c r="D748" s="21" t="s">
        <v>1569</v>
      </c>
      <c r="E748" s="256" t="s">
        <v>138</v>
      </c>
      <c r="F748" s="21" t="s">
        <v>1570</v>
      </c>
      <c r="G748" s="243" t="s">
        <v>159</v>
      </c>
      <c r="H748" s="21">
        <v>236220</v>
      </c>
      <c r="I748" s="21" t="s">
        <v>1969</v>
      </c>
      <c r="J748" s="21" t="s">
        <v>546</v>
      </c>
      <c r="K748" s="21" t="s">
        <v>1566</v>
      </c>
      <c r="L748" s="243"/>
      <c r="M748" s="284">
        <v>0</v>
      </c>
      <c r="N748" s="22">
        <v>25000</v>
      </c>
      <c r="O748" s="21" t="s">
        <v>1571</v>
      </c>
      <c r="P748" s="18"/>
      <c r="Q748" s="21" t="s">
        <v>279</v>
      </c>
      <c r="R748" s="21" t="s">
        <v>10</v>
      </c>
      <c r="S748" s="74">
        <v>2013</v>
      </c>
      <c r="T748" s="21" t="s">
        <v>1567</v>
      </c>
      <c r="U748" s="21" t="s">
        <v>2000</v>
      </c>
      <c r="V748" s="75" t="s">
        <v>1568</v>
      </c>
      <c r="W748" s="21" t="s">
        <v>2010</v>
      </c>
      <c r="X748" s="21"/>
      <c r="Y748" s="124"/>
      <c r="Z748" s="245"/>
      <c r="AA748" s="245"/>
      <c r="AB748" s="245"/>
      <c r="AC748" s="124"/>
      <c r="AD748" s="124"/>
      <c r="AE748" s="124"/>
      <c r="AF748" s="124"/>
      <c r="AG748" s="124"/>
      <c r="AH748" s="124"/>
      <c r="AI748" s="124"/>
      <c r="AJ748" s="124"/>
      <c r="AK748" s="124"/>
      <c r="AL748" s="124"/>
      <c r="AM748" s="124"/>
      <c r="AN748" s="124"/>
      <c r="AO748" s="124"/>
      <c r="AP748" s="124"/>
      <c r="AQ748" s="124"/>
      <c r="AR748" s="124"/>
      <c r="AS748" s="124"/>
      <c r="AT748" s="124"/>
      <c r="AU748" s="124"/>
      <c r="AV748" s="124"/>
      <c r="AW748" s="124"/>
      <c r="AX748" s="124"/>
      <c r="AY748" s="124"/>
      <c r="AZ748" s="124"/>
      <c r="BA748" s="124"/>
      <c r="BB748" s="124"/>
      <c r="BC748" s="124"/>
      <c r="BD748" s="124"/>
      <c r="BE748" s="124"/>
      <c r="BF748" s="124"/>
      <c r="BG748" s="124"/>
      <c r="BH748" s="124"/>
      <c r="BI748" s="124"/>
      <c r="BJ748" s="124"/>
      <c r="BK748" s="124"/>
      <c r="BL748" s="124"/>
      <c r="BM748" s="124"/>
      <c r="BN748" s="124"/>
      <c r="BO748" s="124"/>
      <c r="BP748" s="124"/>
      <c r="BQ748" s="124"/>
      <c r="BR748" s="124"/>
      <c r="BS748" s="124"/>
      <c r="BT748" s="124"/>
      <c r="BU748" s="124"/>
      <c r="BV748" s="124"/>
      <c r="BW748" s="124"/>
      <c r="BX748" s="124"/>
      <c r="BY748" s="124"/>
      <c r="BZ748" s="124"/>
      <c r="CA748" s="124"/>
      <c r="CB748" s="124"/>
      <c r="CC748" s="124"/>
      <c r="CD748" s="124"/>
      <c r="CE748" s="124"/>
      <c r="CF748" s="124"/>
      <c r="CG748" s="124"/>
      <c r="CH748" s="124"/>
      <c r="CI748" s="124"/>
      <c r="CJ748" s="124"/>
      <c r="CK748" s="124"/>
      <c r="CL748" s="124"/>
      <c r="CM748" s="124"/>
      <c r="CN748" s="124"/>
      <c r="CO748" s="124"/>
      <c r="CP748" s="124"/>
    </row>
    <row r="749" spans="1:94" s="13" customFormat="1" ht="38.25" customHeight="1">
      <c r="A749" s="95" t="s">
        <v>1</v>
      </c>
      <c r="B749" s="18" t="s">
        <v>68</v>
      </c>
      <c r="C749" s="21" t="s">
        <v>25</v>
      </c>
      <c r="D749" s="21" t="s">
        <v>1572</v>
      </c>
      <c r="E749" s="285"/>
      <c r="F749" s="18" t="s">
        <v>1926</v>
      </c>
      <c r="G749" s="243" t="s">
        <v>159</v>
      </c>
      <c r="H749" s="21">
        <v>562910</v>
      </c>
      <c r="I749" s="21" t="s">
        <v>6</v>
      </c>
      <c r="J749" s="21" t="s">
        <v>546</v>
      </c>
      <c r="K749" s="21" t="s">
        <v>50</v>
      </c>
      <c r="L749" s="243"/>
      <c r="M749" s="284">
        <v>25000</v>
      </c>
      <c r="N749" s="22">
        <v>150000</v>
      </c>
      <c r="O749" s="21" t="s">
        <v>20</v>
      </c>
      <c r="P749" s="18"/>
      <c r="Q749" s="21" t="s">
        <v>279</v>
      </c>
      <c r="R749" s="21" t="s">
        <v>21</v>
      </c>
      <c r="S749" s="74">
        <v>2013</v>
      </c>
      <c r="T749" s="21" t="s">
        <v>1574</v>
      </c>
      <c r="U749" s="21" t="s">
        <v>2001</v>
      </c>
      <c r="V749" s="75" t="s">
        <v>1575</v>
      </c>
      <c r="W749" s="21" t="s">
        <v>2010</v>
      </c>
      <c r="X749" s="18" t="s">
        <v>1927</v>
      </c>
      <c r="Y749" s="124"/>
      <c r="Z749" s="124"/>
      <c r="AA749" s="124"/>
      <c r="AB749" s="124"/>
      <c r="AC749" s="124"/>
      <c r="AD749" s="124"/>
      <c r="AE749" s="124"/>
      <c r="AF749" s="124"/>
      <c r="AG749" s="124"/>
      <c r="AH749" s="124"/>
      <c r="AI749" s="124"/>
      <c r="AJ749" s="124"/>
      <c r="AK749" s="124"/>
      <c r="AL749" s="124"/>
      <c r="AM749" s="124"/>
      <c r="AN749" s="124"/>
      <c r="AO749" s="124"/>
      <c r="AP749" s="124"/>
      <c r="AQ749" s="124"/>
      <c r="AR749" s="124"/>
      <c r="AS749" s="124"/>
      <c r="AT749" s="124"/>
      <c r="AU749" s="124"/>
      <c r="AV749" s="124"/>
      <c r="AW749" s="124"/>
      <c r="AX749" s="124"/>
      <c r="AY749" s="124"/>
      <c r="AZ749" s="124"/>
      <c r="BA749" s="124"/>
      <c r="BB749" s="124"/>
      <c r="BC749" s="124"/>
      <c r="BD749" s="124"/>
      <c r="BE749" s="124"/>
      <c r="BF749" s="124"/>
      <c r="BG749" s="124"/>
      <c r="BH749" s="124"/>
      <c r="BI749" s="124"/>
      <c r="BJ749" s="124"/>
      <c r="BK749" s="124"/>
      <c r="BL749" s="124"/>
      <c r="BM749" s="124"/>
      <c r="BN749" s="124"/>
      <c r="BO749" s="124"/>
      <c r="BP749" s="124"/>
      <c r="BQ749" s="124"/>
      <c r="BR749" s="124"/>
      <c r="BS749" s="124"/>
      <c r="BT749" s="124"/>
      <c r="BU749" s="124"/>
      <c r="BV749" s="124"/>
      <c r="BW749" s="124"/>
      <c r="BX749" s="124"/>
      <c r="BY749" s="124"/>
      <c r="BZ749" s="124"/>
      <c r="CA749" s="124"/>
      <c r="CB749" s="124"/>
      <c r="CC749" s="124"/>
      <c r="CD749" s="124"/>
      <c r="CE749" s="124"/>
      <c r="CF749" s="124"/>
      <c r="CG749" s="124"/>
      <c r="CH749" s="124"/>
      <c r="CI749" s="124"/>
      <c r="CJ749" s="124"/>
      <c r="CK749" s="124"/>
      <c r="CL749" s="124"/>
      <c r="CM749" s="124"/>
      <c r="CN749" s="124"/>
      <c r="CO749" s="124"/>
      <c r="CP749" s="124"/>
    </row>
    <row r="750" spans="1:94" s="13" customFormat="1" ht="38.25" customHeight="1">
      <c r="A750" s="95" t="s">
        <v>1</v>
      </c>
      <c r="B750" s="18" t="s">
        <v>68</v>
      </c>
      <c r="C750" s="21" t="s">
        <v>25</v>
      </c>
      <c r="D750" s="21" t="s">
        <v>1576</v>
      </c>
      <c r="E750" s="286" t="s">
        <v>77</v>
      </c>
      <c r="F750" s="18" t="s">
        <v>1565</v>
      </c>
      <c r="G750" s="243" t="s">
        <v>159</v>
      </c>
      <c r="H750" s="21">
        <v>238220</v>
      </c>
      <c r="I750" s="21" t="s">
        <v>6</v>
      </c>
      <c r="J750" s="21" t="s">
        <v>546</v>
      </c>
      <c r="K750" s="21" t="s">
        <v>50</v>
      </c>
      <c r="L750" s="243"/>
      <c r="M750" s="284">
        <v>25000</v>
      </c>
      <c r="N750" s="22">
        <v>150000</v>
      </c>
      <c r="O750" s="21" t="s">
        <v>20</v>
      </c>
      <c r="P750" s="18"/>
      <c r="Q750" s="21" t="s">
        <v>279</v>
      </c>
      <c r="R750" s="21" t="s">
        <v>21</v>
      </c>
      <c r="S750" s="74">
        <v>2013</v>
      </c>
      <c r="T750" s="21" t="s">
        <v>1574</v>
      </c>
      <c r="U750" s="14" t="s">
        <v>2002</v>
      </c>
      <c r="V750" s="75" t="s">
        <v>1575</v>
      </c>
      <c r="W750" s="21" t="s">
        <v>2010</v>
      </c>
      <c r="X750" s="18" t="s">
        <v>1928</v>
      </c>
      <c r="Y750" s="124"/>
      <c r="Z750" s="124"/>
      <c r="AA750" s="124"/>
      <c r="AB750" s="124"/>
      <c r="AC750" s="124"/>
      <c r="AD750" s="124"/>
      <c r="AE750" s="124"/>
      <c r="AF750" s="124"/>
      <c r="AG750" s="124"/>
      <c r="AH750" s="124"/>
      <c r="AI750" s="124"/>
      <c r="AJ750" s="124"/>
      <c r="AK750" s="124"/>
      <c r="AL750" s="124"/>
      <c r="AM750" s="124"/>
      <c r="AN750" s="124"/>
      <c r="AO750" s="124"/>
      <c r="AP750" s="124"/>
      <c r="AQ750" s="124"/>
      <c r="AR750" s="124"/>
      <c r="AS750" s="124"/>
      <c r="AT750" s="124"/>
      <c r="AU750" s="124"/>
      <c r="AV750" s="124"/>
      <c r="AW750" s="124"/>
      <c r="AX750" s="124"/>
      <c r="AY750" s="124"/>
      <c r="AZ750" s="124"/>
      <c r="BA750" s="124"/>
      <c r="BB750" s="124"/>
      <c r="BC750" s="124"/>
      <c r="BD750" s="124"/>
      <c r="BE750" s="124"/>
      <c r="BF750" s="124"/>
      <c r="BG750" s="124"/>
      <c r="BH750" s="124"/>
      <c r="BI750" s="124"/>
      <c r="BJ750" s="124"/>
      <c r="BK750" s="124"/>
      <c r="BL750" s="124"/>
      <c r="BM750" s="124"/>
      <c r="BN750" s="124"/>
      <c r="BO750" s="124"/>
      <c r="BP750" s="124"/>
      <c r="BQ750" s="124"/>
      <c r="BR750" s="124"/>
      <c r="BS750" s="124"/>
      <c r="BT750" s="124"/>
      <c r="BU750" s="124"/>
      <c r="BV750" s="124"/>
      <c r="BW750" s="124"/>
      <c r="BX750" s="124"/>
      <c r="BY750" s="124"/>
      <c r="BZ750" s="124"/>
      <c r="CA750" s="124"/>
      <c r="CB750" s="124"/>
      <c r="CC750" s="124"/>
      <c r="CD750" s="124"/>
      <c r="CE750" s="124"/>
      <c r="CF750" s="124"/>
      <c r="CG750" s="124"/>
      <c r="CH750" s="124"/>
      <c r="CI750" s="124"/>
      <c r="CJ750" s="124"/>
      <c r="CK750" s="124"/>
      <c r="CL750" s="124"/>
      <c r="CM750" s="124"/>
      <c r="CN750" s="124"/>
      <c r="CO750" s="124"/>
      <c r="CP750" s="124"/>
    </row>
    <row r="751" spans="1:94" s="13" customFormat="1" ht="38.25" customHeight="1">
      <c r="A751" s="95" t="s">
        <v>1</v>
      </c>
      <c r="B751" s="18" t="s">
        <v>68</v>
      </c>
      <c r="C751" s="21" t="s">
        <v>25</v>
      </c>
      <c r="D751" s="21" t="s">
        <v>1577</v>
      </c>
      <c r="E751" s="286" t="s">
        <v>77</v>
      </c>
      <c r="F751" s="18" t="s">
        <v>1929</v>
      </c>
      <c r="G751" s="243" t="s">
        <v>159</v>
      </c>
      <c r="H751" s="21">
        <v>541690</v>
      </c>
      <c r="I751" s="21" t="s">
        <v>6</v>
      </c>
      <c r="J751" s="21" t="s">
        <v>546</v>
      </c>
      <c r="K751" s="21" t="s">
        <v>50</v>
      </c>
      <c r="L751" s="243"/>
      <c r="M751" s="284">
        <v>0</v>
      </c>
      <c r="N751" s="22">
        <v>25000</v>
      </c>
      <c r="O751" s="21" t="s">
        <v>1571</v>
      </c>
      <c r="P751" s="18"/>
      <c r="Q751" s="21" t="s">
        <v>279</v>
      </c>
      <c r="R751" s="21" t="s">
        <v>10</v>
      </c>
      <c r="S751" s="74">
        <v>2013</v>
      </c>
      <c r="T751" s="21" t="s">
        <v>1574</v>
      </c>
      <c r="U751" s="14" t="s">
        <v>2002</v>
      </c>
      <c r="V751" s="75" t="s">
        <v>1575</v>
      </c>
      <c r="W751" s="21" t="s">
        <v>2010</v>
      </c>
      <c r="X751" s="21" t="s">
        <v>1930</v>
      </c>
      <c r="Y751" s="124"/>
      <c r="Z751" s="124"/>
      <c r="AA751" s="124"/>
      <c r="AB751" s="124"/>
      <c r="AC751" s="124"/>
      <c r="AD751" s="124"/>
      <c r="AE751" s="124"/>
      <c r="AF751" s="124"/>
      <c r="AG751" s="124"/>
      <c r="AH751" s="124"/>
      <c r="AI751" s="124"/>
      <c r="AJ751" s="124"/>
      <c r="AK751" s="124"/>
      <c r="AL751" s="124"/>
      <c r="AM751" s="124"/>
      <c r="AN751" s="124"/>
      <c r="AO751" s="124"/>
      <c r="AP751" s="124"/>
      <c r="AQ751" s="124"/>
      <c r="AR751" s="124"/>
      <c r="AS751" s="124"/>
      <c r="AT751" s="124"/>
      <c r="AU751" s="124"/>
      <c r="AV751" s="124"/>
      <c r="AW751" s="124"/>
      <c r="AX751" s="124"/>
      <c r="AY751" s="124"/>
      <c r="AZ751" s="124"/>
      <c r="BA751" s="124"/>
      <c r="BB751" s="124"/>
      <c r="BC751" s="124"/>
      <c r="BD751" s="124"/>
      <c r="BE751" s="124"/>
      <c r="BF751" s="124"/>
      <c r="BG751" s="124"/>
      <c r="BH751" s="124"/>
      <c r="BI751" s="124"/>
      <c r="BJ751" s="124"/>
      <c r="BK751" s="124"/>
      <c r="BL751" s="124"/>
      <c r="BM751" s="124"/>
      <c r="BN751" s="124"/>
      <c r="BO751" s="124"/>
      <c r="BP751" s="124"/>
      <c r="BQ751" s="124"/>
      <c r="BR751" s="124"/>
      <c r="BS751" s="124"/>
      <c r="BT751" s="124"/>
      <c r="BU751" s="124"/>
      <c r="BV751" s="124"/>
      <c r="BW751" s="124"/>
      <c r="BX751" s="124"/>
      <c r="BY751" s="124"/>
      <c r="BZ751" s="124"/>
      <c r="CA751" s="124"/>
      <c r="CB751" s="124"/>
      <c r="CC751" s="124"/>
      <c r="CD751" s="124"/>
      <c r="CE751" s="124"/>
      <c r="CF751" s="124"/>
      <c r="CG751" s="124"/>
      <c r="CH751" s="124"/>
      <c r="CI751" s="124"/>
      <c r="CJ751" s="124"/>
      <c r="CK751" s="124"/>
      <c r="CL751" s="124"/>
      <c r="CM751" s="124"/>
      <c r="CN751" s="124"/>
      <c r="CO751" s="124"/>
      <c r="CP751" s="124"/>
    </row>
    <row r="752" spans="1:94" s="13" customFormat="1" ht="38.25" customHeight="1">
      <c r="A752" s="95" t="s">
        <v>1</v>
      </c>
      <c r="B752" s="18" t="s">
        <v>68</v>
      </c>
      <c r="C752" s="21" t="s">
        <v>25</v>
      </c>
      <c r="D752" s="21" t="s">
        <v>1578</v>
      </c>
      <c r="E752" s="256" t="s">
        <v>138</v>
      </c>
      <c r="F752" s="18" t="s">
        <v>1931</v>
      </c>
      <c r="G752" s="243" t="s">
        <v>159</v>
      </c>
      <c r="H752" s="21">
        <v>238120</v>
      </c>
      <c r="I752" s="21" t="s">
        <v>6</v>
      </c>
      <c r="J752" s="21" t="s">
        <v>546</v>
      </c>
      <c r="K752" s="21" t="s">
        <v>50</v>
      </c>
      <c r="L752" s="243"/>
      <c r="M752" s="284">
        <v>25000</v>
      </c>
      <c r="N752" s="22">
        <v>150000</v>
      </c>
      <c r="O752" s="21" t="s">
        <v>20</v>
      </c>
      <c r="P752" s="18"/>
      <c r="Q752" s="21" t="s">
        <v>279</v>
      </c>
      <c r="R752" s="21" t="s">
        <v>1983</v>
      </c>
      <c r="S752" s="74">
        <v>2013</v>
      </c>
      <c r="T752" s="21" t="s">
        <v>1579</v>
      </c>
      <c r="U752" s="21" t="s">
        <v>2003</v>
      </c>
      <c r="V752" s="75" t="s">
        <v>1580</v>
      </c>
      <c r="W752" s="21" t="s">
        <v>2010</v>
      </c>
      <c r="X752" s="18" t="s">
        <v>1930</v>
      </c>
      <c r="Y752" s="124"/>
      <c r="Z752" s="124"/>
      <c r="AA752" s="124"/>
      <c r="AB752" s="124"/>
      <c r="AC752" s="124"/>
      <c r="AD752" s="124"/>
      <c r="AE752" s="124"/>
      <c r="AF752" s="124"/>
      <c r="AG752" s="124"/>
      <c r="AH752" s="124"/>
      <c r="AI752" s="124"/>
      <c r="AJ752" s="124"/>
      <c r="AK752" s="124"/>
      <c r="AL752" s="124"/>
      <c r="AM752" s="124"/>
      <c r="AN752" s="124"/>
      <c r="AO752" s="124"/>
      <c r="AP752" s="124"/>
      <c r="AQ752" s="124"/>
      <c r="AR752" s="124"/>
      <c r="AS752" s="124"/>
      <c r="AT752" s="124"/>
      <c r="AU752" s="124"/>
      <c r="AV752" s="124"/>
      <c r="AW752" s="124"/>
      <c r="AX752" s="124"/>
      <c r="AY752" s="124"/>
      <c r="AZ752" s="124"/>
      <c r="BA752" s="124"/>
      <c r="BB752" s="124"/>
      <c r="BC752" s="124"/>
      <c r="BD752" s="124"/>
      <c r="BE752" s="124"/>
      <c r="BF752" s="124"/>
      <c r="BG752" s="124"/>
      <c r="BH752" s="124"/>
      <c r="BI752" s="124"/>
      <c r="BJ752" s="124"/>
      <c r="BK752" s="124"/>
      <c r="BL752" s="124"/>
      <c r="BM752" s="124"/>
      <c r="BN752" s="124"/>
      <c r="BO752" s="124"/>
      <c r="BP752" s="124"/>
      <c r="BQ752" s="124"/>
      <c r="BR752" s="124"/>
      <c r="BS752" s="124"/>
      <c r="BT752" s="124"/>
      <c r="BU752" s="124"/>
      <c r="BV752" s="124"/>
      <c r="BW752" s="124"/>
      <c r="BX752" s="124"/>
      <c r="BY752" s="124"/>
      <c r="BZ752" s="124"/>
      <c r="CA752" s="124"/>
      <c r="CB752" s="124"/>
      <c r="CC752" s="124"/>
      <c r="CD752" s="124"/>
      <c r="CE752" s="124"/>
      <c r="CF752" s="124"/>
      <c r="CG752" s="124"/>
      <c r="CH752" s="124"/>
      <c r="CI752" s="124"/>
      <c r="CJ752" s="124"/>
      <c r="CK752" s="124"/>
      <c r="CL752" s="124"/>
      <c r="CM752" s="124"/>
      <c r="CN752" s="124"/>
      <c r="CO752" s="124"/>
      <c r="CP752" s="124"/>
    </row>
    <row r="753" spans="1:94" s="13" customFormat="1" ht="38.25" customHeight="1">
      <c r="A753" s="95" t="s">
        <v>1</v>
      </c>
      <c r="B753" s="18" t="s">
        <v>68</v>
      </c>
      <c r="C753" s="21" t="s">
        <v>25</v>
      </c>
      <c r="D753" s="21" t="s">
        <v>1581</v>
      </c>
      <c r="E753" s="256" t="s">
        <v>138</v>
      </c>
      <c r="F753" s="18" t="s">
        <v>1631</v>
      </c>
      <c r="G753" s="243" t="s">
        <v>195</v>
      </c>
      <c r="H753" s="21">
        <v>238320</v>
      </c>
      <c r="I753" s="21" t="s">
        <v>28</v>
      </c>
      <c r="J753" s="21" t="s">
        <v>546</v>
      </c>
      <c r="K753" s="21" t="s">
        <v>50</v>
      </c>
      <c r="L753" s="243"/>
      <c r="M753" s="284">
        <v>25000</v>
      </c>
      <c r="N753" s="22">
        <v>150000</v>
      </c>
      <c r="O753" s="21" t="s">
        <v>20</v>
      </c>
      <c r="P753" s="18"/>
      <c r="Q753" s="21" t="s">
        <v>279</v>
      </c>
      <c r="R753" s="21" t="s">
        <v>10</v>
      </c>
      <c r="S753" s="74">
        <v>2013</v>
      </c>
      <c r="T753" s="21" t="s">
        <v>1582</v>
      </c>
      <c r="U753" s="21" t="s">
        <v>1583</v>
      </c>
      <c r="V753" s="75" t="s">
        <v>1584</v>
      </c>
      <c r="W753" s="21" t="s">
        <v>2010</v>
      </c>
      <c r="X753" s="18" t="s">
        <v>1932</v>
      </c>
      <c r="Y753" s="124"/>
      <c r="Z753" s="245"/>
      <c r="AA753" s="245"/>
      <c r="AB753" s="245"/>
      <c r="AC753" s="124"/>
      <c r="AD753" s="124"/>
      <c r="AE753" s="124"/>
      <c r="AF753" s="124"/>
      <c r="AG753" s="124"/>
      <c r="AH753" s="124"/>
      <c r="AI753" s="124"/>
      <c r="AJ753" s="124"/>
      <c r="AK753" s="124"/>
      <c r="AL753" s="124"/>
      <c r="AM753" s="124"/>
      <c r="AN753" s="124"/>
      <c r="AO753" s="124"/>
      <c r="AP753" s="124"/>
      <c r="AQ753" s="124"/>
      <c r="AR753" s="124"/>
      <c r="AS753" s="124"/>
      <c r="AT753" s="124"/>
      <c r="AU753" s="124"/>
      <c r="AV753" s="124"/>
      <c r="AW753" s="124"/>
      <c r="AX753" s="124"/>
      <c r="AY753" s="124"/>
      <c r="AZ753" s="124"/>
      <c r="BA753" s="124"/>
      <c r="BB753" s="124"/>
      <c r="BC753" s="124"/>
      <c r="BD753" s="124"/>
      <c r="BE753" s="124"/>
      <c r="BF753" s="124"/>
      <c r="BG753" s="124"/>
      <c r="BH753" s="124"/>
      <c r="BI753" s="124"/>
      <c r="BJ753" s="124"/>
      <c r="BK753" s="124"/>
      <c r="BL753" s="124"/>
      <c r="BM753" s="124"/>
      <c r="BN753" s="124"/>
      <c r="BO753" s="124"/>
      <c r="BP753" s="124"/>
      <c r="BQ753" s="124"/>
      <c r="BR753" s="124"/>
      <c r="BS753" s="124"/>
      <c r="BT753" s="124"/>
      <c r="BU753" s="124"/>
      <c r="BV753" s="124"/>
      <c r="BW753" s="124"/>
      <c r="BX753" s="124"/>
      <c r="BY753" s="124"/>
      <c r="BZ753" s="124"/>
      <c r="CA753" s="124"/>
      <c r="CB753" s="124"/>
      <c r="CC753" s="124"/>
      <c r="CD753" s="124"/>
      <c r="CE753" s="124"/>
      <c r="CF753" s="124"/>
      <c r="CG753" s="124"/>
      <c r="CH753" s="124"/>
      <c r="CI753" s="124"/>
      <c r="CJ753" s="124"/>
      <c r="CK753" s="124"/>
      <c r="CL753" s="124"/>
      <c r="CM753" s="124"/>
      <c r="CN753" s="124"/>
      <c r="CO753" s="124"/>
      <c r="CP753" s="124"/>
    </row>
    <row r="754" spans="1:94" s="13" customFormat="1" ht="38.25" customHeight="1">
      <c r="A754" s="95" t="s">
        <v>1</v>
      </c>
      <c r="B754" s="18" t="s">
        <v>68</v>
      </c>
      <c r="C754" s="21" t="s">
        <v>25</v>
      </c>
      <c r="D754" s="21" t="s">
        <v>1585</v>
      </c>
      <c r="E754" s="256" t="s">
        <v>138</v>
      </c>
      <c r="F754" s="18" t="s">
        <v>1933</v>
      </c>
      <c r="G754" s="243" t="s">
        <v>195</v>
      </c>
      <c r="H754" s="21">
        <v>236220</v>
      </c>
      <c r="I754" s="21" t="s">
        <v>28</v>
      </c>
      <c r="J754" s="21" t="s">
        <v>546</v>
      </c>
      <c r="K754" s="21" t="s">
        <v>50</v>
      </c>
      <c r="L754" s="243"/>
      <c r="M754" s="284">
        <v>0</v>
      </c>
      <c r="N754" s="22">
        <v>25000</v>
      </c>
      <c r="O754" s="21" t="s">
        <v>9</v>
      </c>
      <c r="P754" s="18"/>
      <c r="Q754" s="21" t="s">
        <v>279</v>
      </c>
      <c r="R754" s="21" t="s">
        <v>10</v>
      </c>
      <c r="S754" s="74">
        <v>2013</v>
      </c>
      <c r="T754" s="21" t="s">
        <v>1582</v>
      </c>
      <c r="U754" s="21" t="s">
        <v>1583</v>
      </c>
      <c r="V754" s="75" t="s">
        <v>1584</v>
      </c>
      <c r="W754" s="21" t="s">
        <v>2010</v>
      </c>
      <c r="X754" s="18" t="s">
        <v>1934</v>
      </c>
      <c r="Y754" s="124"/>
      <c r="Z754" s="245"/>
      <c r="AA754" s="245"/>
      <c r="AB754" s="245"/>
      <c r="AC754" s="124"/>
      <c r="AD754" s="124"/>
      <c r="AE754" s="124"/>
      <c r="AF754" s="124"/>
      <c r="AG754" s="124"/>
      <c r="AH754" s="124"/>
      <c r="AI754" s="124"/>
      <c r="AJ754" s="124"/>
      <c r="AK754" s="124"/>
      <c r="AL754" s="124"/>
      <c r="AM754" s="124"/>
      <c r="AN754" s="124"/>
      <c r="AO754" s="124"/>
      <c r="AP754" s="124"/>
      <c r="AQ754" s="124"/>
      <c r="AR754" s="124"/>
      <c r="AS754" s="124"/>
      <c r="AT754" s="124"/>
      <c r="AU754" s="124"/>
      <c r="AV754" s="124"/>
      <c r="AW754" s="124"/>
      <c r="AX754" s="124"/>
      <c r="AY754" s="124"/>
      <c r="AZ754" s="124"/>
      <c r="BA754" s="124"/>
      <c r="BB754" s="124"/>
      <c r="BC754" s="124"/>
      <c r="BD754" s="124"/>
      <c r="BE754" s="124"/>
      <c r="BF754" s="124"/>
      <c r="BG754" s="124"/>
      <c r="BH754" s="124"/>
      <c r="BI754" s="124"/>
      <c r="BJ754" s="124"/>
      <c r="BK754" s="124"/>
      <c r="BL754" s="124"/>
      <c r="BM754" s="124"/>
      <c r="BN754" s="124"/>
      <c r="BO754" s="124"/>
      <c r="BP754" s="124"/>
      <c r="BQ754" s="124"/>
      <c r="BR754" s="124"/>
      <c r="BS754" s="124"/>
      <c r="BT754" s="124"/>
      <c r="BU754" s="124"/>
      <c r="BV754" s="124"/>
      <c r="BW754" s="124"/>
      <c r="BX754" s="124"/>
      <c r="BY754" s="124"/>
      <c r="BZ754" s="124"/>
      <c r="CA754" s="124"/>
      <c r="CB754" s="124"/>
      <c r="CC754" s="124"/>
      <c r="CD754" s="124"/>
      <c r="CE754" s="124"/>
      <c r="CF754" s="124"/>
      <c r="CG754" s="124"/>
      <c r="CH754" s="124"/>
      <c r="CI754" s="124"/>
      <c r="CJ754" s="124"/>
      <c r="CK754" s="124"/>
      <c r="CL754" s="124"/>
      <c r="CM754" s="124"/>
      <c r="CN754" s="124"/>
      <c r="CO754" s="124"/>
      <c r="CP754" s="124"/>
    </row>
    <row r="755" spans="1:94" s="13" customFormat="1" ht="38.25" customHeight="1">
      <c r="A755" s="95" t="s">
        <v>1</v>
      </c>
      <c r="B755" s="18" t="s">
        <v>68</v>
      </c>
      <c r="C755" s="21" t="s">
        <v>25</v>
      </c>
      <c r="D755" s="21" t="s">
        <v>1586</v>
      </c>
      <c r="E755" s="256" t="s">
        <v>138</v>
      </c>
      <c r="F755" s="18" t="s">
        <v>1631</v>
      </c>
      <c r="G755" s="243" t="s">
        <v>195</v>
      </c>
      <c r="H755" s="21">
        <v>237120</v>
      </c>
      <c r="I755" s="21" t="s">
        <v>28</v>
      </c>
      <c r="J755" s="21" t="s">
        <v>546</v>
      </c>
      <c r="K755" s="21" t="s">
        <v>50</v>
      </c>
      <c r="L755" s="243"/>
      <c r="M755" s="284">
        <v>25000</v>
      </c>
      <c r="N755" s="22">
        <v>150000</v>
      </c>
      <c r="O755" s="21" t="s">
        <v>20</v>
      </c>
      <c r="P755" s="18"/>
      <c r="Q755" s="21" t="s">
        <v>279</v>
      </c>
      <c r="R755" s="21" t="s">
        <v>21</v>
      </c>
      <c r="S755" s="74">
        <v>2013</v>
      </c>
      <c r="T755" s="21" t="s">
        <v>1582</v>
      </c>
      <c r="U755" s="21" t="s">
        <v>1583</v>
      </c>
      <c r="V755" s="75" t="s">
        <v>1584</v>
      </c>
      <c r="W755" s="21" t="s">
        <v>2010</v>
      </c>
      <c r="X755" s="18" t="s">
        <v>1932</v>
      </c>
      <c r="Y755" s="124"/>
      <c r="Z755" s="245"/>
      <c r="AA755" s="245"/>
      <c r="AB755" s="245"/>
      <c r="AC755" s="124"/>
      <c r="AD755" s="124"/>
      <c r="AE755" s="124"/>
      <c r="AF755" s="124"/>
      <c r="AG755" s="124"/>
      <c r="AH755" s="124"/>
      <c r="AI755" s="124"/>
      <c r="AJ755" s="124"/>
      <c r="AK755" s="124"/>
      <c r="AL755" s="124"/>
      <c r="AM755" s="124"/>
      <c r="AN755" s="124"/>
      <c r="AO755" s="124"/>
      <c r="AP755" s="124"/>
      <c r="AQ755" s="124"/>
      <c r="AR755" s="124"/>
      <c r="AS755" s="124"/>
      <c r="AT755" s="124"/>
      <c r="AU755" s="124"/>
      <c r="AV755" s="124"/>
      <c r="AW755" s="124"/>
      <c r="AX755" s="124"/>
      <c r="AY755" s="124"/>
      <c r="AZ755" s="124"/>
      <c r="BA755" s="124"/>
      <c r="BB755" s="124"/>
      <c r="BC755" s="124"/>
      <c r="BD755" s="124"/>
      <c r="BE755" s="124"/>
      <c r="BF755" s="124"/>
      <c r="BG755" s="124"/>
      <c r="BH755" s="124"/>
      <c r="BI755" s="124"/>
      <c r="BJ755" s="124"/>
      <c r="BK755" s="124"/>
      <c r="BL755" s="124"/>
      <c r="BM755" s="124"/>
      <c r="BN755" s="124"/>
      <c r="BO755" s="124"/>
      <c r="BP755" s="124"/>
      <c r="BQ755" s="124"/>
      <c r="BR755" s="124"/>
      <c r="BS755" s="124"/>
      <c r="BT755" s="124"/>
      <c r="BU755" s="124"/>
      <c r="BV755" s="124"/>
      <c r="BW755" s="124"/>
      <c r="BX755" s="124"/>
      <c r="BY755" s="124"/>
      <c r="BZ755" s="124"/>
      <c r="CA755" s="124"/>
      <c r="CB755" s="124"/>
      <c r="CC755" s="124"/>
      <c r="CD755" s="124"/>
      <c r="CE755" s="124"/>
      <c r="CF755" s="124"/>
      <c r="CG755" s="124"/>
      <c r="CH755" s="124"/>
      <c r="CI755" s="124"/>
      <c r="CJ755" s="124"/>
      <c r="CK755" s="124"/>
      <c r="CL755" s="124"/>
      <c r="CM755" s="124"/>
      <c r="CN755" s="124"/>
      <c r="CO755" s="124"/>
      <c r="CP755" s="124"/>
    </row>
    <row r="756" spans="1:94" s="13" customFormat="1" ht="38.25" customHeight="1">
      <c r="A756" s="95" t="s">
        <v>1</v>
      </c>
      <c r="B756" s="18" t="s">
        <v>68</v>
      </c>
      <c r="C756" s="21" t="s">
        <v>1898</v>
      </c>
      <c r="D756" s="21" t="s">
        <v>1587</v>
      </c>
      <c r="E756" s="256" t="s">
        <v>120</v>
      </c>
      <c r="F756" s="18" t="s">
        <v>1935</v>
      </c>
      <c r="G756" s="243" t="s">
        <v>175</v>
      </c>
      <c r="H756" s="21">
        <v>561790</v>
      </c>
      <c r="I756" s="21" t="s">
        <v>6</v>
      </c>
      <c r="J756" s="21" t="s">
        <v>1589</v>
      </c>
      <c r="K756" s="21" t="s">
        <v>50</v>
      </c>
      <c r="L756" s="243"/>
      <c r="M756" s="284">
        <v>25000</v>
      </c>
      <c r="N756" s="22">
        <v>150000</v>
      </c>
      <c r="O756" s="21" t="s">
        <v>20</v>
      </c>
      <c r="P756" s="18"/>
      <c r="Q756" s="21" t="s">
        <v>279</v>
      </c>
      <c r="R756" s="21" t="s">
        <v>41</v>
      </c>
      <c r="S756" s="74">
        <v>2013</v>
      </c>
      <c r="T756" s="21" t="s">
        <v>1590</v>
      </c>
      <c r="U756" s="21" t="s">
        <v>1591</v>
      </c>
      <c r="V756" s="75" t="s">
        <v>1592</v>
      </c>
      <c r="W756" s="21" t="s">
        <v>2010</v>
      </c>
      <c r="X756" s="18" t="s">
        <v>1930</v>
      </c>
      <c r="Y756" s="124"/>
      <c r="Z756" s="281"/>
      <c r="AA756" s="281"/>
      <c r="AB756" s="281"/>
      <c r="AC756" s="124"/>
      <c r="AD756" s="124"/>
      <c r="AE756" s="124"/>
      <c r="AF756" s="124"/>
      <c r="AG756" s="124"/>
      <c r="AH756" s="124"/>
      <c r="AI756" s="124"/>
      <c r="AJ756" s="124"/>
      <c r="AK756" s="124"/>
      <c r="AL756" s="124"/>
      <c r="AM756" s="124"/>
      <c r="AN756" s="124"/>
      <c r="AO756" s="124"/>
      <c r="AP756" s="124"/>
      <c r="AQ756" s="124"/>
      <c r="AR756" s="124"/>
      <c r="AS756" s="124"/>
      <c r="AT756" s="124"/>
      <c r="AU756" s="124"/>
      <c r="AV756" s="124"/>
      <c r="AW756" s="124"/>
      <c r="AX756" s="124"/>
      <c r="AY756" s="124"/>
      <c r="AZ756" s="124"/>
      <c r="BA756" s="124"/>
      <c r="BB756" s="124"/>
      <c r="BC756" s="124"/>
      <c r="BD756" s="124"/>
      <c r="BE756" s="124"/>
      <c r="BF756" s="124"/>
      <c r="BG756" s="124"/>
      <c r="BH756" s="124"/>
      <c r="BI756" s="124"/>
      <c r="BJ756" s="124"/>
      <c r="BK756" s="124"/>
      <c r="BL756" s="124"/>
      <c r="BM756" s="124"/>
      <c r="BN756" s="124"/>
      <c r="BO756" s="124"/>
      <c r="BP756" s="124"/>
      <c r="BQ756" s="124"/>
      <c r="BR756" s="124"/>
      <c r="BS756" s="124"/>
      <c r="BT756" s="124"/>
      <c r="BU756" s="124"/>
      <c r="BV756" s="124"/>
      <c r="BW756" s="124"/>
      <c r="BX756" s="124"/>
      <c r="BY756" s="124"/>
      <c r="BZ756" s="124"/>
      <c r="CA756" s="124"/>
      <c r="CB756" s="124"/>
      <c r="CC756" s="124"/>
      <c r="CD756" s="124"/>
      <c r="CE756" s="124"/>
      <c r="CF756" s="124"/>
      <c r="CG756" s="124"/>
      <c r="CH756" s="124"/>
      <c r="CI756" s="124"/>
      <c r="CJ756" s="124"/>
      <c r="CK756" s="124"/>
      <c r="CL756" s="124"/>
      <c r="CM756" s="124"/>
      <c r="CN756" s="124"/>
      <c r="CO756" s="124"/>
      <c r="CP756" s="124"/>
    </row>
    <row r="757" spans="1:94" s="13" customFormat="1" ht="38.25" customHeight="1">
      <c r="A757" s="95" t="s">
        <v>1</v>
      </c>
      <c r="B757" s="18" t="s">
        <v>68</v>
      </c>
      <c r="C757" s="21" t="s">
        <v>1898</v>
      </c>
      <c r="D757" s="21" t="s">
        <v>1593</v>
      </c>
      <c r="E757" s="256" t="s">
        <v>120</v>
      </c>
      <c r="F757" s="18" t="s">
        <v>217</v>
      </c>
      <c r="G757" s="243" t="s">
        <v>175</v>
      </c>
      <c r="H757" s="21">
        <v>561210</v>
      </c>
      <c r="I757" s="21" t="s">
        <v>6</v>
      </c>
      <c r="J757" s="21" t="s">
        <v>1589</v>
      </c>
      <c r="K757" s="21" t="s">
        <v>50</v>
      </c>
      <c r="L757" s="243"/>
      <c r="M757" s="284">
        <v>25000</v>
      </c>
      <c r="N757" s="22">
        <v>10000000</v>
      </c>
      <c r="O757" s="21" t="s">
        <v>20</v>
      </c>
      <c r="P757" s="21" t="s">
        <v>1214</v>
      </c>
      <c r="Q757" s="21" t="s">
        <v>279</v>
      </c>
      <c r="R757" s="21" t="s">
        <v>31</v>
      </c>
      <c r="S757" s="74">
        <v>2013</v>
      </c>
      <c r="T757" s="21" t="s">
        <v>1590</v>
      </c>
      <c r="U757" s="21" t="s">
        <v>1591</v>
      </c>
      <c r="V757" s="75" t="s">
        <v>1592</v>
      </c>
      <c r="W757" s="21" t="s">
        <v>2010</v>
      </c>
      <c r="X757" s="18" t="s">
        <v>1936</v>
      </c>
      <c r="Y757" s="124"/>
      <c r="Z757" s="124"/>
      <c r="AA757" s="124"/>
      <c r="AB757" s="124"/>
      <c r="AC757" s="124"/>
      <c r="AD757" s="124"/>
      <c r="AE757" s="124"/>
      <c r="AF757" s="124"/>
      <c r="AG757" s="124"/>
      <c r="AH757" s="124"/>
      <c r="AI757" s="124"/>
      <c r="AJ757" s="124"/>
      <c r="AK757" s="124"/>
      <c r="AL757" s="124"/>
      <c r="AM757" s="124"/>
      <c r="AN757" s="124"/>
      <c r="AO757" s="124"/>
      <c r="AP757" s="124"/>
      <c r="AQ757" s="124"/>
      <c r="AR757" s="124"/>
      <c r="AS757" s="124"/>
      <c r="AT757" s="124"/>
      <c r="AU757" s="124"/>
      <c r="AV757" s="124"/>
      <c r="AW757" s="124"/>
      <c r="AX757" s="124"/>
      <c r="AY757" s="124"/>
      <c r="AZ757" s="124"/>
      <c r="BA757" s="124"/>
      <c r="BB757" s="124"/>
      <c r="BC757" s="124"/>
      <c r="BD757" s="124"/>
      <c r="BE757" s="124"/>
      <c r="BF757" s="124"/>
      <c r="BG757" s="124"/>
      <c r="BH757" s="124"/>
      <c r="BI757" s="124"/>
      <c r="BJ757" s="124"/>
      <c r="BK757" s="124"/>
      <c r="BL757" s="124"/>
      <c r="BM757" s="124"/>
      <c r="BN757" s="124"/>
      <c r="BO757" s="124"/>
      <c r="BP757" s="124"/>
      <c r="BQ757" s="124"/>
      <c r="BR757" s="124"/>
      <c r="BS757" s="124"/>
      <c r="BT757" s="124"/>
      <c r="BU757" s="124"/>
      <c r="BV757" s="124"/>
      <c r="BW757" s="124"/>
      <c r="BX757" s="124"/>
      <c r="BY757" s="124"/>
      <c r="BZ757" s="124"/>
      <c r="CA757" s="124"/>
      <c r="CB757" s="124"/>
      <c r="CC757" s="124"/>
      <c r="CD757" s="124"/>
      <c r="CE757" s="124"/>
      <c r="CF757" s="124"/>
      <c r="CG757" s="124"/>
      <c r="CH757" s="124"/>
      <c r="CI757" s="124"/>
      <c r="CJ757" s="124"/>
      <c r="CK757" s="124"/>
      <c r="CL757" s="124"/>
      <c r="CM757" s="124"/>
      <c r="CN757" s="124"/>
      <c r="CO757" s="124"/>
      <c r="CP757" s="124"/>
    </row>
    <row r="758" spans="1:94" s="13" customFormat="1" ht="38.25" customHeight="1">
      <c r="A758" s="95" t="s">
        <v>1</v>
      </c>
      <c r="B758" s="18" t="s">
        <v>68</v>
      </c>
      <c r="C758" s="21" t="s">
        <v>1898</v>
      </c>
      <c r="D758" s="21" t="s">
        <v>1594</v>
      </c>
      <c r="E758" s="256" t="s">
        <v>138</v>
      </c>
      <c r="F758" s="21" t="s">
        <v>1595</v>
      </c>
      <c r="G758" s="243" t="s">
        <v>175</v>
      </c>
      <c r="H758" s="21">
        <v>236220</v>
      </c>
      <c r="I758" s="21" t="s">
        <v>6</v>
      </c>
      <c r="J758" s="21" t="s">
        <v>1589</v>
      </c>
      <c r="K758" s="21" t="s">
        <v>50</v>
      </c>
      <c r="L758" s="243"/>
      <c r="M758" s="284">
        <v>25000</v>
      </c>
      <c r="N758" s="22">
        <v>150000</v>
      </c>
      <c r="O758" s="21" t="s">
        <v>20</v>
      </c>
      <c r="P758" s="18"/>
      <c r="Q758" s="21" t="s">
        <v>279</v>
      </c>
      <c r="R758" s="18"/>
      <c r="S758" s="74">
        <v>2013</v>
      </c>
      <c r="T758" s="21" t="s">
        <v>1590</v>
      </c>
      <c r="U758" s="21" t="s">
        <v>1591</v>
      </c>
      <c r="V758" s="75" t="s">
        <v>1592</v>
      </c>
      <c r="W758" s="21" t="s">
        <v>2010</v>
      </c>
      <c r="X758" s="21"/>
      <c r="Y758" s="124"/>
      <c r="Z758" s="281"/>
      <c r="AA758" s="281"/>
      <c r="AB758" s="281"/>
      <c r="AC758" s="124"/>
      <c r="AD758" s="124"/>
      <c r="AE758" s="124"/>
      <c r="AF758" s="124"/>
      <c r="AG758" s="124"/>
      <c r="AH758" s="124"/>
      <c r="AI758" s="124"/>
      <c r="AJ758" s="124"/>
      <c r="AK758" s="124"/>
      <c r="AL758" s="124"/>
      <c r="AM758" s="124"/>
      <c r="AN758" s="124"/>
      <c r="AO758" s="124"/>
      <c r="AP758" s="124"/>
      <c r="AQ758" s="124"/>
      <c r="AR758" s="124"/>
      <c r="AS758" s="124"/>
      <c r="AT758" s="124"/>
      <c r="AU758" s="124"/>
      <c r="AV758" s="124"/>
      <c r="AW758" s="124"/>
      <c r="AX758" s="124"/>
      <c r="AY758" s="124"/>
      <c r="AZ758" s="124"/>
      <c r="BA758" s="124"/>
      <c r="BB758" s="124"/>
      <c r="BC758" s="124"/>
      <c r="BD758" s="124"/>
      <c r="BE758" s="124"/>
      <c r="BF758" s="124"/>
      <c r="BG758" s="124"/>
      <c r="BH758" s="124"/>
      <c r="BI758" s="124"/>
      <c r="BJ758" s="124"/>
      <c r="BK758" s="124"/>
      <c r="BL758" s="124"/>
      <c r="BM758" s="124"/>
      <c r="BN758" s="124"/>
      <c r="BO758" s="124"/>
      <c r="BP758" s="124"/>
      <c r="BQ758" s="124"/>
      <c r="BR758" s="124"/>
      <c r="BS758" s="124"/>
      <c r="BT758" s="124"/>
      <c r="BU758" s="124"/>
      <c r="BV758" s="124"/>
      <c r="BW758" s="124"/>
      <c r="BX758" s="124"/>
      <c r="BY758" s="124"/>
      <c r="BZ758" s="124"/>
      <c r="CA758" s="124"/>
      <c r="CB758" s="124"/>
      <c r="CC758" s="124"/>
      <c r="CD758" s="124"/>
      <c r="CE758" s="124"/>
      <c r="CF758" s="124"/>
      <c r="CG758" s="124"/>
      <c r="CH758" s="124"/>
      <c r="CI758" s="124"/>
      <c r="CJ758" s="124"/>
      <c r="CK758" s="124"/>
      <c r="CL758" s="124"/>
      <c r="CM758" s="124"/>
      <c r="CN758" s="124"/>
      <c r="CO758" s="124"/>
      <c r="CP758" s="124"/>
    </row>
    <row r="759" spans="1:94" s="13" customFormat="1" ht="38.25" customHeight="1">
      <c r="A759" s="95" t="s">
        <v>1</v>
      </c>
      <c r="B759" s="18" t="s">
        <v>68</v>
      </c>
      <c r="C759" s="21" t="s">
        <v>1898</v>
      </c>
      <c r="D759" s="21" t="s">
        <v>1596</v>
      </c>
      <c r="E759" s="256" t="s">
        <v>138</v>
      </c>
      <c r="F759" s="21" t="s">
        <v>1597</v>
      </c>
      <c r="G759" s="243" t="s">
        <v>175</v>
      </c>
      <c r="H759" s="21">
        <v>238990</v>
      </c>
      <c r="I759" s="21" t="s">
        <v>6</v>
      </c>
      <c r="J759" s="21" t="s">
        <v>1589</v>
      </c>
      <c r="K759" s="21" t="s">
        <v>50</v>
      </c>
      <c r="L759" s="243"/>
      <c r="M759" s="284">
        <v>25000</v>
      </c>
      <c r="N759" s="22">
        <v>150000</v>
      </c>
      <c r="O759" s="21" t="s">
        <v>20</v>
      </c>
      <c r="P759" s="18"/>
      <c r="Q759" s="21" t="s">
        <v>279</v>
      </c>
      <c r="R759" s="21" t="s">
        <v>21</v>
      </c>
      <c r="S759" s="74">
        <v>2013</v>
      </c>
      <c r="T759" s="21" t="s">
        <v>1590</v>
      </c>
      <c r="U759" s="21" t="s">
        <v>1591</v>
      </c>
      <c r="V759" s="75" t="s">
        <v>1592</v>
      </c>
      <c r="W759" s="21" t="s">
        <v>2010</v>
      </c>
      <c r="X759" s="21"/>
      <c r="Y759" s="124"/>
      <c r="Z759" s="281"/>
      <c r="AA759" s="281"/>
      <c r="AB759" s="281"/>
      <c r="AC759" s="124"/>
      <c r="AD759" s="124"/>
      <c r="AE759" s="124"/>
      <c r="AF759" s="124"/>
      <c r="AG759" s="124"/>
      <c r="AH759" s="124"/>
      <c r="AI759" s="124"/>
      <c r="AJ759" s="124"/>
      <c r="AK759" s="124"/>
      <c r="AL759" s="124"/>
      <c r="AM759" s="124"/>
      <c r="AN759" s="124"/>
      <c r="AO759" s="124"/>
      <c r="AP759" s="124"/>
      <c r="AQ759" s="124"/>
      <c r="AR759" s="124"/>
      <c r="AS759" s="124"/>
      <c r="AT759" s="124"/>
      <c r="AU759" s="124"/>
      <c r="AV759" s="124"/>
      <c r="AW759" s="124"/>
      <c r="AX759" s="124"/>
      <c r="AY759" s="124"/>
      <c r="AZ759" s="124"/>
      <c r="BA759" s="124"/>
      <c r="BB759" s="124"/>
      <c r="BC759" s="124"/>
      <c r="BD759" s="124"/>
      <c r="BE759" s="124"/>
      <c r="BF759" s="124"/>
      <c r="BG759" s="124"/>
      <c r="BH759" s="124"/>
      <c r="BI759" s="124"/>
      <c r="BJ759" s="124"/>
      <c r="BK759" s="124"/>
      <c r="BL759" s="124"/>
      <c r="BM759" s="124"/>
      <c r="BN759" s="124"/>
      <c r="BO759" s="124"/>
      <c r="BP759" s="124"/>
      <c r="BQ759" s="124"/>
      <c r="BR759" s="124"/>
      <c r="BS759" s="124"/>
      <c r="BT759" s="124"/>
      <c r="BU759" s="124"/>
      <c r="BV759" s="124"/>
      <c r="BW759" s="124"/>
      <c r="BX759" s="124"/>
      <c r="BY759" s="124"/>
      <c r="BZ759" s="124"/>
      <c r="CA759" s="124"/>
      <c r="CB759" s="124"/>
      <c r="CC759" s="124"/>
      <c r="CD759" s="124"/>
      <c r="CE759" s="124"/>
      <c r="CF759" s="124"/>
      <c r="CG759" s="124"/>
      <c r="CH759" s="124"/>
      <c r="CI759" s="124"/>
      <c r="CJ759" s="124"/>
      <c r="CK759" s="124"/>
      <c r="CL759" s="124"/>
      <c r="CM759" s="124"/>
      <c r="CN759" s="124"/>
      <c r="CO759" s="124"/>
      <c r="CP759" s="124"/>
    </row>
    <row r="760" spans="1:94" s="13" customFormat="1" ht="38.25" customHeight="1">
      <c r="A760" s="95" t="s">
        <v>1</v>
      </c>
      <c r="B760" s="18" t="s">
        <v>68</v>
      </c>
      <c r="C760" s="21" t="s">
        <v>1898</v>
      </c>
      <c r="D760" s="21" t="s">
        <v>1598</v>
      </c>
      <c r="E760" s="256" t="s">
        <v>138</v>
      </c>
      <c r="F760" s="21" t="s">
        <v>1599</v>
      </c>
      <c r="G760" s="243" t="s">
        <v>175</v>
      </c>
      <c r="H760" s="21">
        <v>238990</v>
      </c>
      <c r="I760" s="21" t="s">
        <v>6</v>
      </c>
      <c r="J760" s="21" t="s">
        <v>1589</v>
      </c>
      <c r="K760" s="21" t="s">
        <v>50</v>
      </c>
      <c r="L760" s="243"/>
      <c r="M760" s="284">
        <v>25000</v>
      </c>
      <c r="N760" s="22">
        <v>150000</v>
      </c>
      <c r="O760" s="21" t="s">
        <v>20</v>
      </c>
      <c r="P760" s="18"/>
      <c r="Q760" s="21" t="s">
        <v>279</v>
      </c>
      <c r="R760" s="21" t="s">
        <v>21</v>
      </c>
      <c r="S760" s="74">
        <v>2013</v>
      </c>
      <c r="T760" s="21" t="s">
        <v>1590</v>
      </c>
      <c r="U760" s="21" t="s">
        <v>1591</v>
      </c>
      <c r="V760" s="75" t="s">
        <v>1592</v>
      </c>
      <c r="W760" s="21" t="s">
        <v>2010</v>
      </c>
      <c r="X760" s="21"/>
      <c r="Y760" s="124"/>
      <c r="Z760" s="281"/>
      <c r="AA760" s="281"/>
      <c r="AB760" s="281"/>
      <c r="AC760" s="124"/>
      <c r="AD760" s="124"/>
      <c r="AE760" s="124"/>
      <c r="AF760" s="124"/>
      <c r="AG760" s="124"/>
      <c r="AH760" s="124"/>
      <c r="AI760" s="124"/>
      <c r="AJ760" s="124"/>
      <c r="AK760" s="124"/>
      <c r="AL760" s="124"/>
      <c r="AM760" s="124"/>
      <c r="AN760" s="124"/>
      <c r="AO760" s="124"/>
      <c r="AP760" s="124"/>
      <c r="AQ760" s="124"/>
      <c r="AR760" s="124"/>
      <c r="AS760" s="124"/>
      <c r="AT760" s="124"/>
      <c r="AU760" s="124"/>
      <c r="AV760" s="124"/>
      <c r="AW760" s="124"/>
      <c r="AX760" s="124"/>
      <c r="AY760" s="124"/>
      <c r="AZ760" s="124"/>
      <c r="BA760" s="124"/>
      <c r="BB760" s="124"/>
      <c r="BC760" s="124"/>
      <c r="BD760" s="124"/>
      <c r="BE760" s="124"/>
      <c r="BF760" s="124"/>
      <c r="BG760" s="124"/>
      <c r="BH760" s="124"/>
      <c r="BI760" s="124"/>
      <c r="BJ760" s="124"/>
      <c r="BK760" s="124"/>
      <c r="BL760" s="124"/>
      <c r="BM760" s="124"/>
      <c r="BN760" s="124"/>
      <c r="BO760" s="124"/>
      <c r="BP760" s="124"/>
      <c r="BQ760" s="124"/>
      <c r="BR760" s="124"/>
      <c r="BS760" s="124"/>
      <c r="BT760" s="124"/>
      <c r="BU760" s="124"/>
      <c r="BV760" s="124"/>
      <c r="BW760" s="124"/>
      <c r="BX760" s="124"/>
      <c r="BY760" s="124"/>
      <c r="BZ760" s="124"/>
      <c r="CA760" s="124"/>
      <c r="CB760" s="124"/>
      <c r="CC760" s="124"/>
      <c r="CD760" s="124"/>
      <c r="CE760" s="124"/>
      <c r="CF760" s="124"/>
      <c r="CG760" s="124"/>
      <c r="CH760" s="124"/>
      <c r="CI760" s="124"/>
      <c r="CJ760" s="124"/>
      <c r="CK760" s="124"/>
      <c r="CL760" s="124"/>
      <c r="CM760" s="124"/>
      <c r="CN760" s="124"/>
      <c r="CO760" s="124"/>
      <c r="CP760" s="124"/>
    </row>
    <row r="761" spans="1:94" s="13" customFormat="1" ht="38.25" customHeight="1">
      <c r="A761" s="95" t="s">
        <v>1</v>
      </c>
      <c r="B761" s="18" t="s">
        <v>68</v>
      </c>
      <c r="C761" s="21" t="s">
        <v>1898</v>
      </c>
      <c r="D761" s="21" t="s">
        <v>1600</v>
      </c>
      <c r="E761" s="256" t="s">
        <v>138</v>
      </c>
      <c r="F761" s="21" t="s">
        <v>1601</v>
      </c>
      <c r="G761" s="243" t="s">
        <v>175</v>
      </c>
      <c r="H761" s="21">
        <v>238140</v>
      </c>
      <c r="I761" s="21" t="s">
        <v>6</v>
      </c>
      <c r="J761" s="21" t="s">
        <v>1589</v>
      </c>
      <c r="K761" s="21" t="s">
        <v>50</v>
      </c>
      <c r="L761" s="243"/>
      <c r="M761" s="284">
        <v>25000</v>
      </c>
      <c r="N761" s="22">
        <v>250000</v>
      </c>
      <c r="O761" s="21" t="s">
        <v>20</v>
      </c>
      <c r="P761" s="18"/>
      <c r="Q761" s="21" t="s">
        <v>279</v>
      </c>
      <c r="R761" s="21" t="s">
        <v>21</v>
      </c>
      <c r="S761" s="74">
        <v>2013</v>
      </c>
      <c r="T761" s="21" t="s">
        <v>1590</v>
      </c>
      <c r="U761" s="21" t="s">
        <v>1591</v>
      </c>
      <c r="V761" s="75" t="s">
        <v>1592</v>
      </c>
      <c r="W761" s="21" t="s">
        <v>2010</v>
      </c>
      <c r="X761" s="21"/>
      <c r="Y761" s="124"/>
      <c r="Z761" s="281"/>
      <c r="AA761" s="281"/>
      <c r="AB761" s="281"/>
      <c r="AC761" s="124"/>
      <c r="AD761" s="124"/>
      <c r="AE761" s="124"/>
      <c r="AF761" s="124"/>
      <c r="AG761" s="124"/>
      <c r="AH761" s="124"/>
      <c r="AI761" s="124"/>
      <c r="AJ761" s="124"/>
      <c r="AK761" s="124"/>
      <c r="AL761" s="124"/>
      <c r="AM761" s="124"/>
      <c r="AN761" s="124"/>
      <c r="AO761" s="124"/>
      <c r="AP761" s="124"/>
      <c r="AQ761" s="124"/>
      <c r="AR761" s="124"/>
      <c r="AS761" s="124"/>
      <c r="AT761" s="124"/>
      <c r="AU761" s="124"/>
      <c r="AV761" s="124"/>
      <c r="AW761" s="124"/>
      <c r="AX761" s="124"/>
      <c r="AY761" s="124"/>
      <c r="AZ761" s="124"/>
      <c r="BA761" s="124"/>
      <c r="BB761" s="124"/>
      <c r="BC761" s="124"/>
      <c r="BD761" s="124"/>
      <c r="BE761" s="124"/>
      <c r="BF761" s="124"/>
      <c r="BG761" s="124"/>
      <c r="BH761" s="124"/>
      <c r="BI761" s="124"/>
      <c r="BJ761" s="124"/>
      <c r="BK761" s="124"/>
      <c r="BL761" s="124"/>
      <c r="BM761" s="124"/>
      <c r="BN761" s="124"/>
      <c r="BO761" s="124"/>
      <c r="BP761" s="124"/>
      <c r="BQ761" s="124"/>
      <c r="BR761" s="124"/>
      <c r="BS761" s="124"/>
      <c r="BT761" s="124"/>
      <c r="BU761" s="124"/>
      <c r="BV761" s="124"/>
      <c r="BW761" s="124"/>
      <c r="BX761" s="124"/>
      <c r="BY761" s="124"/>
      <c r="BZ761" s="124"/>
      <c r="CA761" s="124"/>
      <c r="CB761" s="124"/>
      <c r="CC761" s="124"/>
      <c r="CD761" s="124"/>
      <c r="CE761" s="124"/>
      <c r="CF761" s="124"/>
      <c r="CG761" s="124"/>
      <c r="CH761" s="124"/>
      <c r="CI761" s="124"/>
      <c r="CJ761" s="124"/>
      <c r="CK761" s="124"/>
      <c r="CL761" s="124"/>
      <c r="CM761" s="124"/>
      <c r="CN761" s="124"/>
      <c r="CO761" s="124"/>
      <c r="CP761" s="124"/>
    </row>
    <row r="762" spans="1:94" s="13" customFormat="1" ht="38.25" customHeight="1">
      <c r="A762" s="95" t="s">
        <v>1</v>
      </c>
      <c r="B762" s="18" t="s">
        <v>68</v>
      </c>
      <c r="C762" s="21" t="s">
        <v>1898</v>
      </c>
      <c r="D762" s="21" t="s">
        <v>1602</v>
      </c>
      <c r="E762" s="256" t="s">
        <v>138</v>
      </c>
      <c r="F762" s="21" t="s">
        <v>1603</v>
      </c>
      <c r="G762" s="243" t="s">
        <v>175</v>
      </c>
      <c r="H762" s="21">
        <v>238140</v>
      </c>
      <c r="I762" s="21" t="s">
        <v>6</v>
      </c>
      <c r="J762" s="21" t="s">
        <v>1589</v>
      </c>
      <c r="K762" s="21" t="s">
        <v>50</v>
      </c>
      <c r="L762" s="243"/>
      <c r="M762" s="284">
        <v>25000</v>
      </c>
      <c r="N762" s="22">
        <v>150000</v>
      </c>
      <c r="O762" s="21" t="s">
        <v>20</v>
      </c>
      <c r="P762" s="18"/>
      <c r="Q762" s="21" t="s">
        <v>279</v>
      </c>
      <c r="R762" s="21" t="s">
        <v>21</v>
      </c>
      <c r="S762" s="74">
        <v>2013</v>
      </c>
      <c r="T762" s="21" t="s">
        <v>1590</v>
      </c>
      <c r="U762" s="21" t="s">
        <v>1591</v>
      </c>
      <c r="V762" s="75" t="s">
        <v>1592</v>
      </c>
      <c r="W762" s="21" t="s">
        <v>2010</v>
      </c>
      <c r="X762" s="21"/>
      <c r="Y762" s="124"/>
      <c r="Z762" s="281"/>
      <c r="AA762" s="281"/>
      <c r="AB762" s="281"/>
      <c r="AC762" s="124"/>
      <c r="AD762" s="124"/>
      <c r="AE762" s="124"/>
      <c r="AF762" s="124"/>
      <c r="AG762" s="124"/>
      <c r="AH762" s="124"/>
      <c r="AI762" s="124"/>
      <c r="AJ762" s="124"/>
      <c r="AK762" s="124"/>
      <c r="AL762" s="124"/>
      <c r="AM762" s="124"/>
      <c r="AN762" s="124"/>
      <c r="AO762" s="124"/>
      <c r="AP762" s="124"/>
      <c r="AQ762" s="124"/>
      <c r="AR762" s="124"/>
      <c r="AS762" s="124"/>
      <c r="AT762" s="124"/>
      <c r="AU762" s="124"/>
      <c r="AV762" s="124"/>
      <c r="AW762" s="124"/>
      <c r="AX762" s="124"/>
      <c r="AY762" s="124"/>
      <c r="AZ762" s="124"/>
      <c r="BA762" s="124"/>
      <c r="BB762" s="124"/>
      <c r="BC762" s="124"/>
      <c r="BD762" s="124"/>
      <c r="BE762" s="124"/>
      <c r="BF762" s="124"/>
      <c r="BG762" s="124"/>
      <c r="BH762" s="124"/>
      <c r="BI762" s="124"/>
      <c r="BJ762" s="124"/>
      <c r="BK762" s="124"/>
      <c r="BL762" s="124"/>
      <c r="BM762" s="124"/>
      <c r="BN762" s="124"/>
      <c r="BO762" s="124"/>
      <c r="BP762" s="124"/>
      <c r="BQ762" s="124"/>
      <c r="BR762" s="124"/>
      <c r="BS762" s="124"/>
      <c r="BT762" s="124"/>
      <c r="BU762" s="124"/>
      <c r="BV762" s="124"/>
      <c r="BW762" s="124"/>
      <c r="BX762" s="124"/>
      <c r="BY762" s="124"/>
      <c r="BZ762" s="124"/>
      <c r="CA762" s="124"/>
      <c r="CB762" s="124"/>
      <c r="CC762" s="124"/>
      <c r="CD762" s="124"/>
      <c r="CE762" s="124"/>
      <c r="CF762" s="124"/>
      <c r="CG762" s="124"/>
      <c r="CH762" s="124"/>
      <c r="CI762" s="124"/>
      <c r="CJ762" s="124"/>
      <c r="CK762" s="124"/>
      <c r="CL762" s="124"/>
      <c r="CM762" s="124"/>
      <c r="CN762" s="124"/>
      <c r="CO762" s="124"/>
      <c r="CP762" s="124"/>
    </row>
    <row r="763" spans="1:94" s="13" customFormat="1" ht="38.25" customHeight="1">
      <c r="A763" s="95" t="s">
        <v>1</v>
      </c>
      <c r="B763" s="18" t="s">
        <v>68</v>
      </c>
      <c r="C763" s="21" t="s">
        <v>25</v>
      </c>
      <c r="D763" s="21" t="s">
        <v>1604</v>
      </c>
      <c r="E763" s="256" t="s">
        <v>1588</v>
      </c>
      <c r="F763" s="21" t="s">
        <v>1605</v>
      </c>
      <c r="G763" s="243" t="s">
        <v>159</v>
      </c>
      <c r="H763" s="21">
        <v>561210</v>
      </c>
      <c r="I763" s="21" t="s">
        <v>6</v>
      </c>
      <c r="J763" s="21" t="s">
        <v>1606</v>
      </c>
      <c r="K763" s="21" t="s">
        <v>1573</v>
      </c>
      <c r="L763" s="243"/>
      <c r="M763" s="284">
        <v>100000</v>
      </c>
      <c r="N763" s="22">
        <v>250000</v>
      </c>
      <c r="O763" s="21" t="s">
        <v>20</v>
      </c>
      <c r="P763" s="18"/>
      <c r="Q763" s="21" t="s">
        <v>279</v>
      </c>
      <c r="R763" s="21" t="s">
        <v>31</v>
      </c>
      <c r="S763" s="74">
        <v>2013</v>
      </c>
      <c r="T763" s="21" t="s">
        <v>1607</v>
      </c>
      <c r="U763" s="21" t="s">
        <v>1608</v>
      </c>
      <c r="V763" s="75" t="s">
        <v>1609</v>
      </c>
      <c r="W763" s="21" t="s">
        <v>2010</v>
      </c>
      <c r="X763" s="21"/>
      <c r="Y763" s="124"/>
      <c r="Z763" s="245"/>
      <c r="AA763" s="245"/>
      <c r="AB763" s="245"/>
      <c r="AC763" s="124"/>
      <c r="AD763" s="124"/>
      <c r="AE763" s="124"/>
      <c r="AF763" s="124"/>
      <c r="AG763" s="124"/>
      <c r="AH763" s="124"/>
      <c r="AI763" s="124"/>
      <c r="AJ763" s="124"/>
      <c r="AK763" s="124"/>
      <c r="AL763" s="124"/>
      <c r="AM763" s="124"/>
      <c r="AN763" s="124"/>
      <c r="AO763" s="124"/>
      <c r="AP763" s="124"/>
      <c r="AQ763" s="124"/>
      <c r="AR763" s="124"/>
      <c r="AS763" s="124"/>
      <c r="AT763" s="124"/>
      <c r="AU763" s="124"/>
      <c r="AV763" s="124"/>
      <c r="AW763" s="124"/>
      <c r="AX763" s="124"/>
      <c r="AY763" s="124"/>
      <c r="AZ763" s="124"/>
      <c r="BA763" s="124"/>
      <c r="BB763" s="124"/>
      <c r="BC763" s="124"/>
      <c r="BD763" s="124"/>
      <c r="BE763" s="124"/>
      <c r="BF763" s="124"/>
      <c r="BG763" s="124"/>
      <c r="BH763" s="124"/>
      <c r="BI763" s="124"/>
      <c r="BJ763" s="124"/>
      <c r="BK763" s="124"/>
      <c r="BL763" s="124"/>
      <c r="BM763" s="124"/>
      <c r="BN763" s="124"/>
      <c r="BO763" s="124"/>
      <c r="BP763" s="124"/>
      <c r="BQ763" s="124"/>
      <c r="BR763" s="124"/>
      <c r="BS763" s="124"/>
      <c r="BT763" s="124"/>
      <c r="BU763" s="124"/>
      <c r="BV763" s="124"/>
      <c r="BW763" s="124"/>
      <c r="BX763" s="124"/>
      <c r="BY763" s="124"/>
      <c r="BZ763" s="124"/>
      <c r="CA763" s="124"/>
      <c r="CB763" s="124"/>
      <c r="CC763" s="124"/>
      <c r="CD763" s="124"/>
      <c r="CE763" s="124"/>
      <c r="CF763" s="124"/>
      <c r="CG763" s="124"/>
      <c r="CH763" s="124"/>
      <c r="CI763" s="124"/>
      <c r="CJ763" s="124"/>
      <c r="CK763" s="124"/>
      <c r="CL763" s="124"/>
      <c r="CM763" s="124"/>
      <c r="CN763" s="124"/>
      <c r="CO763" s="124"/>
      <c r="CP763" s="124"/>
    </row>
    <row r="764" spans="1:94" s="13" customFormat="1" ht="38.25" customHeight="1">
      <c r="A764" s="95" t="s">
        <v>1</v>
      </c>
      <c r="B764" s="18" t="s">
        <v>68</v>
      </c>
      <c r="C764" s="21" t="s">
        <v>25</v>
      </c>
      <c r="D764" s="21" t="s">
        <v>1610</v>
      </c>
      <c r="E764" s="256" t="s">
        <v>1588</v>
      </c>
      <c r="F764" s="21" t="s">
        <v>1611</v>
      </c>
      <c r="G764" s="243" t="s">
        <v>159</v>
      </c>
      <c r="H764" s="21">
        <v>561720</v>
      </c>
      <c r="I764" s="21" t="s">
        <v>6</v>
      </c>
      <c r="J764" s="21" t="s">
        <v>1606</v>
      </c>
      <c r="K764" s="21" t="s">
        <v>1573</v>
      </c>
      <c r="L764" s="243"/>
      <c r="M764" s="284">
        <v>25000</v>
      </c>
      <c r="N764" s="22">
        <v>150000</v>
      </c>
      <c r="O764" s="21" t="s">
        <v>20</v>
      </c>
      <c r="P764" s="18"/>
      <c r="Q764" s="21" t="s">
        <v>279</v>
      </c>
      <c r="R764" s="21" t="s">
        <v>21</v>
      </c>
      <c r="S764" s="74">
        <v>2013</v>
      </c>
      <c r="T764" s="21" t="s">
        <v>1607</v>
      </c>
      <c r="U764" s="21" t="s">
        <v>1608</v>
      </c>
      <c r="V764" s="75" t="s">
        <v>1609</v>
      </c>
      <c r="W764" s="21" t="s">
        <v>2010</v>
      </c>
      <c r="X764" s="21"/>
      <c r="Y764" s="124"/>
      <c r="Z764" s="245"/>
      <c r="AA764" s="245"/>
      <c r="AB764" s="245"/>
      <c r="AC764" s="124"/>
      <c r="AD764" s="124"/>
      <c r="AE764" s="124"/>
      <c r="AF764" s="124"/>
      <c r="AG764" s="124"/>
      <c r="AH764" s="124"/>
      <c r="AI764" s="124"/>
      <c r="AJ764" s="124"/>
      <c r="AK764" s="124"/>
      <c r="AL764" s="124"/>
      <c r="AM764" s="124"/>
      <c r="AN764" s="124"/>
      <c r="AO764" s="124"/>
      <c r="AP764" s="124"/>
      <c r="AQ764" s="124"/>
      <c r="AR764" s="124"/>
      <c r="AS764" s="124"/>
      <c r="AT764" s="124"/>
      <c r="AU764" s="124"/>
      <c r="AV764" s="124"/>
      <c r="AW764" s="124"/>
      <c r="AX764" s="124"/>
      <c r="AY764" s="124"/>
      <c r="AZ764" s="124"/>
      <c r="BA764" s="124"/>
      <c r="BB764" s="124"/>
      <c r="BC764" s="124"/>
      <c r="BD764" s="124"/>
      <c r="BE764" s="124"/>
      <c r="BF764" s="124"/>
      <c r="BG764" s="124"/>
      <c r="BH764" s="124"/>
      <c r="BI764" s="124"/>
      <c r="BJ764" s="124"/>
      <c r="BK764" s="124"/>
      <c r="BL764" s="124"/>
      <c r="BM764" s="124"/>
      <c r="BN764" s="124"/>
      <c r="BO764" s="124"/>
      <c r="BP764" s="124"/>
      <c r="BQ764" s="124"/>
      <c r="BR764" s="124"/>
      <c r="BS764" s="124"/>
      <c r="BT764" s="124"/>
      <c r="BU764" s="124"/>
      <c r="BV764" s="124"/>
      <c r="BW764" s="124"/>
      <c r="BX764" s="124"/>
      <c r="BY764" s="124"/>
      <c r="BZ764" s="124"/>
      <c r="CA764" s="124"/>
      <c r="CB764" s="124"/>
      <c r="CC764" s="124"/>
      <c r="CD764" s="124"/>
      <c r="CE764" s="124"/>
      <c r="CF764" s="124"/>
      <c r="CG764" s="124"/>
      <c r="CH764" s="124"/>
      <c r="CI764" s="124"/>
      <c r="CJ764" s="124"/>
      <c r="CK764" s="124"/>
      <c r="CL764" s="124"/>
      <c r="CM764" s="124"/>
      <c r="CN764" s="124"/>
      <c r="CO764" s="124"/>
      <c r="CP764" s="124"/>
    </row>
    <row r="765" spans="1:94" s="13" customFormat="1" ht="38.25" customHeight="1">
      <c r="A765" s="95" t="s">
        <v>1</v>
      </c>
      <c r="B765" s="18" t="s">
        <v>68</v>
      </c>
      <c r="C765" s="21" t="s">
        <v>25</v>
      </c>
      <c r="D765" s="21" t="s">
        <v>1612</v>
      </c>
      <c r="E765" s="256" t="s">
        <v>138</v>
      </c>
      <c r="F765" s="21" t="s">
        <v>1613</v>
      </c>
      <c r="G765" s="243" t="s">
        <v>215</v>
      </c>
      <c r="H765" s="18"/>
      <c r="I765" s="21" t="s">
        <v>6</v>
      </c>
      <c r="J765" s="21" t="s">
        <v>546</v>
      </c>
      <c r="K765" s="21" t="s">
        <v>50</v>
      </c>
      <c r="L765" s="243"/>
      <c r="M765" s="284">
        <v>25000</v>
      </c>
      <c r="N765" s="22">
        <v>45000</v>
      </c>
      <c r="O765" s="21" t="s">
        <v>20</v>
      </c>
      <c r="P765" s="18"/>
      <c r="Q765" s="21" t="s">
        <v>279</v>
      </c>
      <c r="R765" s="21" t="s">
        <v>21</v>
      </c>
      <c r="S765" s="74">
        <v>2013</v>
      </c>
      <c r="T765" s="21" t="s">
        <v>1614</v>
      </c>
      <c r="U765" s="21" t="s">
        <v>1615</v>
      </c>
      <c r="V765" s="75" t="s">
        <v>1616</v>
      </c>
      <c r="W765" s="21" t="s">
        <v>2010</v>
      </c>
      <c r="X765" s="21"/>
      <c r="Y765" s="130"/>
      <c r="Z765" s="245"/>
      <c r="AA765" s="245"/>
      <c r="AB765" s="245"/>
      <c r="AC765" s="124"/>
      <c r="AD765" s="124"/>
      <c r="AE765" s="124"/>
      <c r="AF765" s="124"/>
      <c r="AG765" s="124"/>
      <c r="AH765" s="124"/>
      <c r="AI765" s="124"/>
      <c r="AJ765" s="124"/>
      <c r="AK765" s="124"/>
      <c r="AL765" s="124"/>
      <c r="AM765" s="124"/>
      <c r="AN765" s="124"/>
      <c r="AO765" s="124"/>
      <c r="AP765" s="124"/>
      <c r="AQ765" s="124"/>
      <c r="AR765" s="124"/>
      <c r="AS765" s="124"/>
      <c r="AT765" s="124"/>
      <c r="AU765" s="124"/>
      <c r="AV765" s="124"/>
      <c r="AW765" s="124"/>
      <c r="AX765" s="124"/>
      <c r="AY765" s="124"/>
      <c r="AZ765" s="124"/>
      <c r="BA765" s="124"/>
      <c r="BB765" s="124"/>
      <c r="BC765" s="124"/>
      <c r="BD765" s="124"/>
      <c r="BE765" s="124"/>
      <c r="BF765" s="124"/>
      <c r="BG765" s="124"/>
      <c r="BH765" s="124"/>
      <c r="BI765" s="124"/>
      <c r="BJ765" s="124"/>
      <c r="BK765" s="124"/>
      <c r="BL765" s="124"/>
      <c r="BM765" s="124"/>
      <c r="BN765" s="124"/>
      <c r="BO765" s="124"/>
      <c r="BP765" s="124"/>
      <c r="BQ765" s="124"/>
      <c r="BR765" s="124"/>
      <c r="BS765" s="124"/>
      <c r="BT765" s="124"/>
      <c r="BU765" s="124"/>
      <c r="BV765" s="124"/>
      <c r="BW765" s="124"/>
      <c r="BX765" s="124"/>
      <c r="BY765" s="124"/>
      <c r="BZ765" s="124"/>
      <c r="CA765" s="124"/>
      <c r="CB765" s="124"/>
      <c r="CC765" s="124"/>
      <c r="CD765" s="124"/>
      <c r="CE765" s="124"/>
      <c r="CF765" s="124"/>
      <c r="CG765" s="124"/>
      <c r="CH765" s="124"/>
      <c r="CI765" s="124"/>
      <c r="CJ765" s="124"/>
      <c r="CK765" s="124"/>
      <c r="CL765" s="124"/>
      <c r="CM765" s="124"/>
      <c r="CN765" s="124"/>
      <c r="CO765" s="124"/>
      <c r="CP765" s="124"/>
    </row>
    <row r="766" spans="1:94" s="13" customFormat="1" ht="38.25" customHeight="1">
      <c r="A766" s="95" t="s">
        <v>1</v>
      </c>
      <c r="B766" s="18" t="s">
        <v>68</v>
      </c>
      <c r="C766" s="21" t="s">
        <v>25</v>
      </c>
      <c r="D766" s="21" t="s">
        <v>1617</v>
      </c>
      <c r="E766" s="256" t="s">
        <v>138</v>
      </c>
      <c r="F766" s="21" t="s">
        <v>1613</v>
      </c>
      <c r="G766" s="243" t="s">
        <v>215</v>
      </c>
      <c r="H766" s="21">
        <v>236220</v>
      </c>
      <c r="I766" s="21" t="s">
        <v>6</v>
      </c>
      <c r="J766" s="21" t="s">
        <v>546</v>
      </c>
      <c r="K766" s="21" t="s">
        <v>50</v>
      </c>
      <c r="L766" s="243"/>
      <c r="M766" s="284">
        <v>20000</v>
      </c>
      <c r="N766" s="22">
        <v>24000</v>
      </c>
      <c r="O766" s="21" t="s">
        <v>9</v>
      </c>
      <c r="P766" s="18"/>
      <c r="Q766" s="21" t="s">
        <v>279</v>
      </c>
      <c r="R766" s="21" t="s">
        <v>21</v>
      </c>
      <c r="S766" s="74">
        <v>2013</v>
      </c>
      <c r="T766" s="21" t="s">
        <v>1614</v>
      </c>
      <c r="U766" s="21" t="s">
        <v>1615</v>
      </c>
      <c r="V766" s="75" t="s">
        <v>1616</v>
      </c>
      <c r="W766" s="21" t="s">
        <v>2010</v>
      </c>
      <c r="X766" s="21"/>
      <c r="Y766" s="130"/>
      <c r="Z766" s="245"/>
      <c r="AA766" s="245"/>
      <c r="AB766" s="245"/>
      <c r="AC766" s="124"/>
      <c r="AD766" s="124"/>
      <c r="AE766" s="124"/>
      <c r="AF766" s="124"/>
      <c r="AG766" s="124"/>
      <c r="AH766" s="124"/>
      <c r="AI766" s="124"/>
      <c r="AJ766" s="124"/>
      <c r="AK766" s="124"/>
      <c r="AL766" s="124"/>
      <c r="AM766" s="124"/>
      <c r="AN766" s="124"/>
      <c r="AO766" s="124"/>
      <c r="AP766" s="124"/>
      <c r="AQ766" s="124"/>
      <c r="AR766" s="124"/>
      <c r="AS766" s="124"/>
      <c r="AT766" s="124"/>
      <c r="AU766" s="124"/>
      <c r="AV766" s="124"/>
      <c r="AW766" s="124"/>
      <c r="AX766" s="124"/>
      <c r="AY766" s="124"/>
      <c r="AZ766" s="124"/>
      <c r="BA766" s="124"/>
      <c r="BB766" s="124"/>
      <c r="BC766" s="124"/>
      <c r="BD766" s="124"/>
      <c r="BE766" s="124"/>
      <c r="BF766" s="124"/>
      <c r="BG766" s="124"/>
      <c r="BH766" s="124"/>
      <c r="BI766" s="124"/>
      <c r="BJ766" s="124"/>
      <c r="BK766" s="124"/>
      <c r="BL766" s="124"/>
      <c r="BM766" s="124"/>
      <c r="BN766" s="124"/>
      <c r="BO766" s="124"/>
      <c r="BP766" s="124"/>
      <c r="BQ766" s="124"/>
      <c r="BR766" s="124"/>
      <c r="BS766" s="124"/>
      <c r="BT766" s="124"/>
      <c r="BU766" s="124"/>
      <c r="BV766" s="124"/>
      <c r="BW766" s="124"/>
      <c r="BX766" s="124"/>
      <c r="BY766" s="124"/>
      <c r="BZ766" s="124"/>
      <c r="CA766" s="124"/>
      <c r="CB766" s="124"/>
      <c r="CC766" s="124"/>
      <c r="CD766" s="124"/>
      <c r="CE766" s="124"/>
      <c r="CF766" s="124"/>
      <c r="CG766" s="124"/>
      <c r="CH766" s="124"/>
      <c r="CI766" s="124"/>
      <c r="CJ766" s="124"/>
      <c r="CK766" s="124"/>
      <c r="CL766" s="124"/>
      <c r="CM766" s="124"/>
      <c r="CN766" s="124"/>
      <c r="CO766" s="124"/>
      <c r="CP766" s="124"/>
    </row>
    <row r="767" spans="1:94" s="13" customFormat="1" ht="38.25" customHeight="1">
      <c r="A767" s="95" t="s">
        <v>1</v>
      </c>
      <c r="B767" s="18" t="s">
        <v>68</v>
      </c>
      <c r="C767" s="21" t="s">
        <v>25</v>
      </c>
      <c r="D767" s="21" t="s">
        <v>1618</v>
      </c>
      <c r="E767" s="256" t="s">
        <v>138</v>
      </c>
      <c r="F767" s="21" t="s">
        <v>1619</v>
      </c>
      <c r="G767" s="243" t="s">
        <v>215</v>
      </c>
      <c r="H767" s="21">
        <v>236220</v>
      </c>
      <c r="I767" s="21" t="s">
        <v>6</v>
      </c>
      <c r="J767" s="21" t="s">
        <v>546</v>
      </c>
      <c r="K767" s="21" t="s">
        <v>50</v>
      </c>
      <c r="L767" s="243"/>
      <c r="M767" s="284">
        <v>65000</v>
      </c>
      <c r="N767" s="22">
        <v>90000</v>
      </c>
      <c r="O767" s="21" t="s">
        <v>20</v>
      </c>
      <c r="P767" s="18"/>
      <c r="Q767" s="21" t="s">
        <v>279</v>
      </c>
      <c r="R767" s="21" t="s">
        <v>21</v>
      </c>
      <c r="S767" s="74">
        <v>2013</v>
      </c>
      <c r="T767" s="21" t="s">
        <v>1614</v>
      </c>
      <c r="U767" s="21" t="s">
        <v>1615</v>
      </c>
      <c r="V767" s="75" t="s">
        <v>1616</v>
      </c>
      <c r="W767" s="21" t="s">
        <v>2010</v>
      </c>
      <c r="X767" s="21"/>
      <c r="Y767" s="130"/>
      <c r="Z767" s="245"/>
      <c r="AA767" s="245"/>
      <c r="AB767" s="245"/>
      <c r="AC767" s="124"/>
      <c r="AD767" s="124"/>
      <c r="AE767" s="124"/>
      <c r="AF767" s="124"/>
      <c r="AG767" s="124"/>
      <c r="AH767" s="124"/>
      <c r="AI767" s="124"/>
      <c r="AJ767" s="124"/>
      <c r="AK767" s="124"/>
      <c r="AL767" s="124"/>
      <c r="AM767" s="124"/>
      <c r="AN767" s="124"/>
      <c r="AO767" s="124"/>
      <c r="AP767" s="124"/>
      <c r="AQ767" s="124"/>
      <c r="AR767" s="124"/>
      <c r="AS767" s="124"/>
      <c r="AT767" s="124"/>
      <c r="AU767" s="124"/>
      <c r="AV767" s="124"/>
      <c r="AW767" s="124"/>
      <c r="AX767" s="124"/>
      <c r="AY767" s="124"/>
      <c r="AZ767" s="124"/>
      <c r="BA767" s="124"/>
      <c r="BB767" s="124"/>
      <c r="BC767" s="124"/>
      <c r="BD767" s="124"/>
      <c r="BE767" s="124"/>
      <c r="BF767" s="124"/>
      <c r="BG767" s="124"/>
      <c r="BH767" s="124"/>
      <c r="BI767" s="124"/>
      <c r="BJ767" s="124"/>
      <c r="BK767" s="124"/>
      <c r="BL767" s="124"/>
      <c r="BM767" s="124"/>
      <c r="BN767" s="124"/>
      <c r="BO767" s="124"/>
      <c r="BP767" s="124"/>
      <c r="BQ767" s="124"/>
      <c r="BR767" s="124"/>
      <c r="BS767" s="124"/>
      <c r="BT767" s="124"/>
      <c r="BU767" s="124"/>
      <c r="BV767" s="124"/>
      <c r="BW767" s="124"/>
      <c r="BX767" s="124"/>
      <c r="BY767" s="124"/>
      <c r="BZ767" s="124"/>
      <c r="CA767" s="124"/>
      <c r="CB767" s="124"/>
      <c r="CC767" s="124"/>
      <c r="CD767" s="124"/>
      <c r="CE767" s="124"/>
      <c r="CF767" s="124"/>
      <c r="CG767" s="124"/>
      <c r="CH767" s="124"/>
      <c r="CI767" s="124"/>
      <c r="CJ767" s="124"/>
      <c r="CK767" s="124"/>
      <c r="CL767" s="124"/>
      <c r="CM767" s="124"/>
      <c r="CN767" s="124"/>
      <c r="CO767" s="124"/>
      <c r="CP767" s="124"/>
    </row>
    <row r="768" spans="1:94" s="13" customFormat="1" ht="38.25" customHeight="1">
      <c r="A768" s="95" t="s">
        <v>1</v>
      </c>
      <c r="B768" s="18" t="s">
        <v>68</v>
      </c>
      <c r="C768" s="21" t="s">
        <v>25</v>
      </c>
      <c r="D768" s="21" t="s">
        <v>1620</v>
      </c>
      <c r="E768" s="256" t="s">
        <v>138</v>
      </c>
      <c r="F768" s="21" t="s">
        <v>1621</v>
      </c>
      <c r="G768" s="243" t="s">
        <v>201</v>
      </c>
      <c r="H768" s="21">
        <v>236220</v>
      </c>
      <c r="I768" s="21" t="s">
        <v>6</v>
      </c>
      <c r="J768" s="21" t="s">
        <v>546</v>
      </c>
      <c r="K768" s="21" t="s">
        <v>50</v>
      </c>
      <c r="L768" s="243"/>
      <c r="M768" s="284">
        <v>60000</v>
      </c>
      <c r="N768" s="22">
        <v>150000</v>
      </c>
      <c r="O768" s="21" t="s">
        <v>20</v>
      </c>
      <c r="P768" s="18"/>
      <c r="Q768" s="21" t="s">
        <v>279</v>
      </c>
      <c r="R768" s="21" t="s">
        <v>31</v>
      </c>
      <c r="S768" s="74">
        <v>2013</v>
      </c>
      <c r="T768" s="21" t="s">
        <v>1623</v>
      </c>
      <c r="U768" s="21" t="s">
        <v>1624</v>
      </c>
      <c r="V768" s="75" t="s">
        <v>1625</v>
      </c>
      <c r="W768" s="21" t="s">
        <v>2010</v>
      </c>
      <c r="X768" s="21"/>
      <c r="Y768" s="124"/>
      <c r="Z768" s="124"/>
      <c r="AA768" s="124"/>
      <c r="AB768" s="124"/>
      <c r="AC768" s="124"/>
      <c r="AD768" s="124"/>
      <c r="AE768" s="124"/>
      <c r="AF768" s="124"/>
      <c r="AG768" s="124"/>
      <c r="AH768" s="124"/>
      <c r="AI768" s="124"/>
      <c r="AJ768" s="124"/>
      <c r="AK768" s="124"/>
      <c r="AL768" s="124"/>
      <c r="AM768" s="124"/>
      <c r="AN768" s="124"/>
      <c r="AO768" s="124"/>
      <c r="AP768" s="124"/>
      <c r="AQ768" s="124"/>
      <c r="AR768" s="124"/>
      <c r="AS768" s="124"/>
      <c r="AT768" s="124"/>
      <c r="AU768" s="124"/>
      <c r="AV768" s="124"/>
      <c r="AW768" s="124"/>
      <c r="AX768" s="124"/>
      <c r="AY768" s="124"/>
      <c r="AZ768" s="124"/>
      <c r="BA768" s="124"/>
      <c r="BB768" s="124"/>
      <c r="BC768" s="124"/>
      <c r="BD768" s="124"/>
      <c r="BE768" s="124"/>
      <c r="BF768" s="124"/>
      <c r="BG768" s="124"/>
      <c r="BH768" s="124"/>
      <c r="BI768" s="124"/>
      <c r="BJ768" s="124"/>
      <c r="BK768" s="124"/>
      <c r="BL768" s="124"/>
      <c r="BM768" s="124"/>
      <c r="BN768" s="124"/>
      <c r="BO768" s="124"/>
      <c r="BP768" s="124"/>
      <c r="BQ768" s="124"/>
      <c r="BR768" s="124"/>
      <c r="BS768" s="124"/>
      <c r="BT768" s="124"/>
      <c r="BU768" s="124"/>
      <c r="BV768" s="124"/>
      <c r="BW768" s="124"/>
      <c r="BX768" s="124"/>
      <c r="BY768" s="124"/>
      <c r="BZ768" s="124"/>
      <c r="CA768" s="124"/>
      <c r="CB768" s="124"/>
      <c r="CC768" s="124"/>
      <c r="CD768" s="124"/>
      <c r="CE768" s="124"/>
      <c r="CF768" s="124"/>
      <c r="CG768" s="124"/>
      <c r="CH768" s="124"/>
      <c r="CI768" s="124"/>
      <c r="CJ768" s="124"/>
      <c r="CK768" s="124"/>
      <c r="CL768" s="124"/>
      <c r="CM768" s="124"/>
      <c r="CN768" s="124"/>
      <c r="CO768" s="124"/>
      <c r="CP768" s="124"/>
    </row>
    <row r="769" spans="1:94" s="13" customFormat="1" ht="38.25" customHeight="1">
      <c r="A769" s="95" t="s">
        <v>1</v>
      </c>
      <c r="B769" s="18" t="s">
        <v>68</v>
      </c>
      <c r="C769" s="21" t="s">
        <v>25</v>
      </c>
      <c r="D769" s="21" t="s">
        <v>1626</v>
      </c>
      <c r="E769" s="256" t="s">
        <v>138</v>
      </c>
      <c r="F769" s="21" t="s">
        <v>1627</v>
      </c>
      <c r="G769" s="243" t="s">
        <v>201</v>
      </c>
      <c r="H769" s="21">
        <v>236220</v>
      </c>
      <c r="I769" s="21" t="s">
        <v>6</v>
      </c>
      <c r="J769" s="21" t="s">
        <v>546</v>
      </c>
      <c r="K769" s="21" t="s">
        <v>50</v>
      </c>
      <c r="L769" s="243"/>
      <c r="M769" s="284">
        <v>40000</v>
      </c>
      <c r="N769" s="22">
        <v>150000</v>
      </c>
      <c r="O769" s="21" t="s">
        <v>20</v>
      </c>
      <c r="P769" s="18"/>
      <c r="Q769" s="21" t="s">
        <v>279</v>
      </c>
      <c r="R769" s="21" t="s">
        <v>31</v>
      </c>
      <c r="S769" s="74">
        <v>2013</v>
      </c>
      <c r="T769" s="21" t="s">
        <v>1623</v>
      </c>
      <c r="U769" s="21" t="s">
        <v>1624</v>
      </c>
      <c r="V769" s="75" t="s">
        <v>1625</v>
      </c>
      <c r="W769" s="21" t="s">
        <v>2010</v>
      </c>
      <c r="X769" s="21"/>
      <c r="Y769" s="124"/>
      <c r="Z769" s="124"/>
      <c r="AA769" s="124"/>
      <c r="AB769" s="124"/>
      <c r="AC769" s="124"/>
      <c r="AD769" s="124"/>
      <c r="AE769" s="124"/>
      <c r="AF769" s="124"/>
      <c r="AG769" s="124"/>
      <c r="AH769" s="124"/>
      <c r="AI769" s="124"/>
      <c r="AJ769" s="124"/>
      <c r="AK769" s="124"/>
      <c r="AL769" s="124"/>
      <c r="AM769" s="124"/>
      <c r="AN769" s="124"/>
      <c r="AO769" s="124"/>
      <c r="AP769" s="124"/>
      <c r="AQ769" s="124"/>
      <c r="AR769" s="124"/>
      <c r="AS769" s="124"/>
      <c r="AT769" s="124"/>
      <c r="AU769" s="124"/>
      <c r="AV769" s="124"/>
      <c r="AW769" s="124"/>
      <c r="AX769" s="124"/>
      <c r="AY769" s="124"/>
      <c r="AZ769" s="124"/>
      <c r="BA769" s="124"/>
      <c r="BB769" s="124"/>
      <c r="BC769" s="124"/>
      <c r="BD769" s="124"/>
      <c r="BE769" s="124"/>
      <c r="BF769" s="124"/>
      <c r="BG769" s="124"/>
      <c r="BH769" s="124"/>
      <c r="BI769" s="124"/>
      <c r="BJ769" s="124"/>
      <c r="BK769" s="124"/>
      <c r="BL769" s="124"/>
      <c r="BM769" s="124"/>
      <c r="BN769" s="124"/>
      <c r="BO769" s="124"/>
      <c r="BP769" s="124"/>
      <c r="BQ769" s="124"/>
      <c r="BR769" s="124"/>
      <c r="BS769" s="124"/>
      <c r="BT769" s="124"/>
      <c r="BU769" s="124"/>
      <c r="BV769" s="124"/>
      <c r="BW769" s="124"/>
      <c r="BX769" s="124"/>
      <c r="BY769" s="124"/>
      <c r="BZ769" s="124"/>
      <c r="CA769" s="124"/>
      <c r="CB769" s="124"/>
      <c r="CC769" s="124"/>
      <c r="CD769" s="124"/>
      <c r="CE769" s="124"/>
      <c r="CF769" s="124"/>
      <c r="CG769" s="124"/>
      <c r="CH769" s="124"/>
      <c r="CI769" s="124"/>
      <c r="CJ769" s="124"/>
      <c r="CK769" s="124"/>
      <c r="CL769" s="124"/>
      <c r="CM769" s="124"/>
      <c r="CN769" s="124"/>
      <c r="CO769" s="124"/>
      <c r="CP769" s="124"/>
    </row>
    <row r="770" spans="1:94" s="13" customFormat="1" ht="38.25" customHeight="1">
      <c r="A770" s="95" t="s">
        <v>1</v>
      </c>
      <c r="B770" s="18" t="s">
        <v>68</v>
      </c>
      <c r="C770" s="21" t="s">
        <v>25</v>
      </c>
      <c r="D770" s="21" t="s">
        <v>1628</v>
      </c>
      <c r="E770" s="256" t="s">
        <v>138</v>
      </c>
      <c r="F770" s="21" t="s">
        <v>1627</v>
      </c>
      <c r="G770" s="243" t="s">
        <v>201</v>
      </c>
      <c r="H770" s="21">
        <v>236220</v>
      </c>
      <c r="I770" s="21" t="s">
        <v>6</v>
      </c>
      <c r="J770" s="21" t="s">
        <v>546</v>
      </c>
      <c r="K770" s="21" t="s">
        <v>50</v>
      </c>
      <c r="L770" s="243"/>
      <c r="M770" s="284">
        <v>100000</v>
      </c>
      <c r="N770" s="22">
        <v>150000</v>
      </c>
      <c r="O770" s="21" t="s">
        <v>20</v>
      </c>
      <c r="P770" s="18"/>
      <c r="Q770" s="21" t="s">
        <v>279</v>
      </c>
      <c r="R770" s="21" t="s">
        <v>31</v>
      </c>
      <c r="S770" s="74">
        <v>2013</v>
      </c>
      <c r="T770" s="21" t="s">
        <v>1623</v>
      </c>
      <c r="U770" s="21" t="s">
        <v>1624</v>
      </c>
      <c r="V770" s="75" t="s">
        <v>1625</v>
      </c>
      <c r="W770" s="21" t="s">
        <v>2010</v>
      </c>
      <c r="X770" s="21"/>
      <c r="Y770" s="124"/>
      <c r="Z770" s="124"/>
      <c r="AA770" s="124"/>
      <c r="AB770" s="124"/>
      <c r="AC770" s="124"/>
      <c r="AD770" s="124"/>
      <c r="AE770" s="124"/>
      <c r="AF770" s="124"/>
      <c r="AG770" s="124"/>
      <c r="AH770" s="124"/>
      <c r="AI770" s="124"/>
      <c r="AJ770" s="124"/>
      <c r="AK770" s="124"/>
      <c r="AL770" s="124"/>
      <c r="AM770" s="124"/>
      <c r="AN770" s="124"/>
      <c r="AO770" s="124"/>
      <c r="AP770" s="124"/>
      <c r="AQ770" s="124"/>
      <c r="AR770" s="124"/>
      <c r="AS770" s="124"/>
      <c r="AT770" s="124"/>
      <c r="AU770" s="124"/>
      <c r="AV770" s="124"/>
      <c r="AW770" s="124"/>
      <c r="AX770" s="124"/>
      <c r="AY770" s="124"/>
      <c r="AZ770" s="124"/>
      <c r="BA770" s="124"/>
      <c r="BB770" s="124"/>
      <c r="BC770" s="124"/>
      <c r="BD770" s="124"/>
      <c r="BE770" s="124"/>
      <c r="BF770" s="124"/>
      <c r="BG770" s="124"/>
      <c r="BH770" s="124"/>
      <c r="BI770" s="124"/>
      <c r="BJ770" s="124"/>
      <c r="BK770" s="124"/>
      <c r="BL770" s="124"/>
      <c r="BM770" s="124"/>
      <c r="BN770" s="124"/>
      <c r="BO770" s="124"/>
      <c r="BP770" s="124"/>
      <c r="BQ770" s="124"/>
      <c r="BR770" s="124"/>
      <c r="BS770" s="124"/>
      <c r="BT770" s="124"/>
      <c r="BU770" s="124"/>
      <c r="BV770" s="124"/>
      <c r="BW770" s="124"/>
      <c r="BX770" s="124"/>
      <c r="BY770" s="124"/>
      <c r="BZ770" s="124"/>
      <c r="CA770" s="124"/>
      <c r="CB770" s="124"/>
      <c r="CC770" s="124"/>
      <c r="CD770" s="124"/>
      <c r="CE770" s="124"/>
      <c r="CF770" s="124"/>
      <c r="CG770" s="124"/>
      <c r="CH770" s="124"/>
      <c r="CI770" s="124"/>
      <c r="CJ770" s="124"/>
      <c r="CK770" s="124"/>
      <c r="CL770" s="124"/>
      <c r="CM770" s="124"/>
      <c r="CN770" s="124"/>
      <c r="CO770" s="124"/>
      <c r="CP770" s="124"/>
    </row>
    <row r="771" spans="1:94" s="13" customFormat="1" ht="38.25" customHeight="1">
      <c r="A771" s="95" t="s">
        <v>1</v>
      </c>
      <c r="B771" s="18" t="s">
        <v>68</v>
      </c>
      <c r="C771" s="21" t="s">
        <v>25</v>
      </c>
      <c r="D771" s="21" t="s">
        <v>1629</v>
      </c>
      <c r="E771" s="256" t="s">
        <v>138</v>
      </c>
      <c r="F771" s="21" t="s">
        <v>1630</v>
      </c>
      <c r="G771" s="243" t="s">
        <v>201</v>
      </c>
      <c r="H771" s="21">
        <v>236220</v>
      </c>
      <c r="I771" s="21" t="s">
        <v>6</v>
      </c>
      <c r="J771" s="21" t="s">
        <v>546</v>
      </c>
      <c r="K771" s="21" t="s">
        <v>50</v>
      </c>
      <c r="L771" s="243"/>
      <c r="M771" s="284">
        <v>50000</v>
      </c>
      <c r="N771" s="22">
        <v>150000</v>
      </c>
      <c r="O771" s="21" t="s">
        <v>20</v>
      </c>
      <c r="P771" s="18"/>
      <c r="Q771" s="21" t="s">
        <v>279</v>
      </c>
      <c r="R771" s="21" t="s">
        <v>31</v>
      </c>
      <c r="S771" s="74">
        <v>2013</v>
      </c>
      <c r="T771" s="21" t="s">
        <v>1623</v>
      </c>
      <c r="U771" s="21" t="s">
        <v>1624</v>
      </c>
      <c r="V771" s="75" t="s">
        <v>1625</v>
      </c>
      <c r="W771" s="21" t="s">
        <v>2010</v>
      </c>
      <c r="X771" s="21"/>
      <c r="Y771" s="124"/>
      <c r="Z771" s="124"/>
      <c r="AA771" s="124"/>
      <c r="AB771" s="124"/>
      <c r="AC771" s="124"/>
      <c r="AD771" s="124"/>
      <c r="AE771" s="124"/>
      <c r="AF771" s="124"/>
      <c r="AG771" s="124"/>
      <c r="AH771" s="124"/>
      <c r="AI771" s="124"/>
      <c r="AJ771" s="124"/>
      <c r="AK771" s="124"/>
      <c r="AL771" s="124"/>
      <c r="AM771" s="124"/>
      <c r="AN771" s="124"/>
      <c r="AO771" s="124"/>
      <c r="AP771" s="124"/>
      <c r="AQ771" s="124"/>
      <c r="AR771" s="124"/>
      <c r="AS771" s="124"/>
      <c r="AT771" s="124"/>
      <c r="AU771" s="124"/>
      <c r="AV771" s="124"/>
      <c r="AW771" s="124"/>
      <c r="AX771" s="124"/>
      <c r="AY771" s="124"/>
      <c r="AZ771" s="124"/>
      <c r="BA771" s="124"/>
      <c r="BB771" s="124"/>
      <c r="BC771" s="124"/>
      <c r="BD771" s="124"/>
      <c r="BE771" s="124"/>
      <c r="BF771" s="124"/>
      <c r="BG771" s="124"/>
      <c r="BH771" s="124"/>
      <c r="BI771" s="124"/>
      <c r="BJ771" s="124"/>
      <c r="BK771" s="124"/>
      <c r="BL771" s="124"/>
      <c r="BM771" s="124"/>
      <c r="BN771" s="124"/>
      <c r="BO771" s="124"/>
      <c r="BP771" s="124"/>
      <c r="BQ771" s="124"/>
      <c r="BR771" s="124"/>
      <c r="BS771" s="124"/>
      <c r="BT771" s="124"/>
      <c r="BU771" s="124"/>
      <c r="BV771" s="124"/>
      <c r="BW771" s="124"/>
      <c r="BX771" s="124"/>
      <c r="BY771" s="124"/>
      <c r="BZ771" s="124"/>
      <c r="CA771" s="124"/>
      <c r="CB771" s="124"/>
      <c r="CC771" s="124"/>
      <c r="CD771" s="124"/>
      <c r="CE771" s="124"/>
      <c r="CF771" s="124"/>
      <c r="CG771" s="124"/>
      <c r="CH771" s="124"/>
      <c r="CI771" s="124"/>
      <c r="CJ771" s="124"/>
      <c r="CK771" s="124"/>
      <c r="CL771" s="124"/>
      <c r="CM771" s="124"/>
      <c r="CN771" s="124"/>
      <c r="CO771" s="124"/>
      <c r="CP771" s="124"/>
    </row>
    <row r="772" spans="1:94" s="13" customFormat="1" ht="38.25" customHeight="1">
      <c r="A772" s="95" t="s">
        <v>1</v>
      </c>
      <c r="B772" s="18" t="s">
        <v>68</v>
      </c>
      <c r="C772" s="21" t="s">
        <v>25</v>
      </c>
      <c r="D772" s="21" t="s">
        <v>1626</v>
      </c>
      <c r="E772" s="256" t="s">
        <v>138</v>
      </c>
      <c r="F772" s="21" t="s">
        <v>1631</v>
      </c>
      <c r="G772" s="266" t="s">
        <v>195</v>
      </c>
      <c r="H772" s="18"/>
      <c r="I772" s="21" t="s">
        <v>6</v>
      </c>
      <c r="J772" s="21" t="s">
        <v>546</v>
      </c>
      <c r="K772" s="21" t="s">
        <v>50</v>
      </c>
      <c r="L772" s="243"/>
      <c r="M772" s="284">
        <v>250000</v>
      </c>
      <c r="N772" s="22">
        <v>500000</v>
      </c>
      <c r="O772" s="21" t="s">
        <v>20</v>
      </c>
      <c r="P772" s="18"/>
      <c r="Q772" s="21" t="s">
        <v>279</v>
      </c>
      <c r="R772" s="21" t="s">
        <v>31</v>
      </c>
      <c r="S772" s="74">
        <v>2013</v>
      </c>
      <c r="T772" s="21" t="s">
        <v>1632</v>
      </c>
      <c r="U772" s="21" t="s">
        <v>1633</v>
      </c>
      <c r="V772" s="75" t="s">
        <v>1634</v>
      </c>
      <c r="W772" s="21" t="s">
        <v>2010</v>
      </c>
      <c r="X772" s="21"/>
      <c r="Y772" s="124"/>
      <c r="Z772" s="245"/>
      <c r="AA772" s="245"/>
      <c r="AB772" s="245"/>
      <c r="AC772" s="124"/>
      <c r="AD772" s="124"/>
      <c r="AE772" s="124"/>
      <c r="AF772" s="124"/>
      <c r="AG772" s="124"/>
      <c r="AH772" s="124"/>
      <c r="AI772" s="124"/>
      <c r="AJ772" s="124"/>
      <c r="AK772" s="124"/>
      <c r="AL772" s="124"/>
      <c r="AM772" s="124"/>
      <c r="AN772" s="124"/>
      <c r="AO772" s="124"/>
      <c r="AP772" s="124"/>
      <c r="AQ772" s="124"/>
      <c r="AR772" s="124"/>
      <c r="AS772" s="124"/>
      <c r="AT772" s="124"/>
      <c r="AU772" s="124"/>
      <c r="AV772" s="124"/>
      <c r="AW772" s="124"/>
      <c r="AX772" s="124"/>
      <c r="AY772" s="124"/>
      <c r="AZ772" s="124"/>
      <c r="BA772" s="124"/>
      <c r="BB772" s="124"/>
      <c r="BC772" s="124"/>
      <c r="BD772" s="124"/>
      <c r="BE772" s="124"/>
      <c r="BF772" s="124"/>
      <c r="BG772" s="124"/>
      <c r="BH772" s="124"/>
      <c r="BI772" s="124"/>
      <c r="BJ772" s="124"/>
      <c r="BK772" s="124"/>
      <c r="BL772" s="124"/>
      <c r="BM772" s="124"/>
      <c r="BN772" s="124"/>
      <c r="BO772" s="124"/>
      <c r="BP772" s="124"/>
      <c r="BQ772" s="124"/>
      <c r="BR772" s="124"/>
      <c r="BS772" s="124"/>
      <c r="BT772" s="124"/>
      <c r="BU772" s="124"/>
      <c r="BV772" s="124"/>
      <c r="BW772" s="124"/>
      <c r="BX772" s="124"/>
      <c r="BY772" s="124"/>
      <c r="BZ772" s="124"/>
      <c r="CA772" s="124"/>
      <c r="CB772" s="124"/>
      <c r="CC772" s="124"/>
      <c r="CD772" s="124"/>
      <c r="CE772" s="124"/>
      <c r="CF772" s="124"/>
      <c r="CG772" s="124"/>
      <c r="CH772" s="124"/>
      <c r="CI772" s="124"/>
      <c r="CJ772" s="124"/>
      <c r="CK772" s="124"/>
      <c r="CL772" s="124"/>
      <c r="CM772" s="124"/>
      <c r="CN772" s="124"/>
      <c r="CO772" s="124"/>
      <c r="CP772" s="124"/>
    </row>
    <row r="773" spans="1:94" s="13" customFormat="1" ht="38.25" customHeight="1">
      <c r="A773" s="95" t="s">
        <v>1</v>
      </c>
      <c r="B773" s="18" t="s">
        <v>68</v>
      </c>
      <c r="C773" s="21" t="s">
        <v>25</v>
      </c>
      <c r="D773" s="21" t="s">
        <v>2795</v>
      </c>
      <c r="E773" s="256" t="s">
        <v>1555</v>
      </c>
      <c r="F773" s="21" t="s">
        <v>1627</v>
      </c>
      <c r="G773" s="266" t="s">
        <v>201</v>
      </c>
      <c r="H773" s="21">
        <v>541330</v>
      </c>
      <c r="I773" s="21" t="s">
        <v>6</v>
      </c>
      <c r="J773" s="21" t="s">
        <v>546</v>
      </c>
      <c r="K773" s="21" t="s">
        <v>40</v>
      </c>
      <c r="L773" s="266" t="s">
        <v>2796</v>
      </c>
      <c r="M773" s="284">
        <v>250000</v>
      </c>
      <c r="N773" s="22">
        <v>500000</v>
      </c>
      <c r="O773" s="21" t="s">
        <v>20</v>
      </c>
      <c r="P773" s="18"/>
      <c r="Q773" s="21" t="s">
        <v>279</v>
      </c>
      <c r="R773" s="21" t="s">
        <v>10</v>
      </c>
      <c r="S773" s="74">
        <v>2013</v>
      </c>
      <c r="T773" s="21" t="s">
        <v>2797</v>
      </c>
      <c r="U773" s="21" t="s">
        <v>2798</v>
      </c>
      <c r="V773" s="214" t="s">
        <v>2799</v>
      </c>
      <c r="W773" s="21" t="s">
        <v>2010</v>
      </c>
      <c r="X773" s="21"/>
      <c r="Y773" s="124"/>
      <c r="Z773" s="245"/>
      <c r="AA773" s="245"/>
      <c r="AB773" s="245"/>
      <c r="AC773" s="124"/>
      <c r="AD773" s="124"/>
      <c r="AE773" s="124"/>
      <c r="AF773" s="124"/>
      <c r="AG773" s="124"/>
      <c r="AH773" s="124"/>
      <c r="AI773" s="124"/>
      <c r="AJ773" s="124"/>
      <c r="AK773" s="124"/>
      <c r="AL773" s="124"/>
      <c r="AM773" s="124"/>
      <c r="AN773" s="124"/>
      <c r="AO773" s="124"/>
      <c r="AP773" s="124"/>
      <c r="AQ773" s="124"/>
      <c r="AR773" s="124"/>
      <c r="AS773" s="124"/>
      <c r="AT773" s="124"/>
      <c r="AU773" s="124"/>
      <c r="AV773" s="124"/>
      <c r="AW773" s="124"/>
      <c r="AX773" s="124"/>
      <c r="AY773" s="124"/>
      <c r="AZ773" s="124"/>
      <c r="BA773" s="124"/>
      <c r="BB773" s="124"/>
      <c r="BC773" s="124"/>
      <c r="BD773" s="124"/>
      <c r="BE773" s="124"/>
      <c r="BF773" s="124"/>
      <c r="BG773" s="124"/>
      <c r="BH773" s="124"/>
      <c r="BI773" s="124"/>
      <c r="BJ773" s="124"/>
      <c r="BK773" s="124"/>
      <c r="BL773" s="124"/>
      <c r="BM773" s="124"/>
      <c r="BN773" s="124"/>
      <c r="BO773" s="124"/>
      <c r="BP773" s="124"/>
      <c r="BQ773" s="124"/>
      <c r="BR773" s="124"/>
      <c r="BS773" s="124"/>
      <c r="BT773" s="124"/>
      <c r="BU773" s="124"/>
      <c r="BV773" s="124"/>
      <c r="BW773" s="124"/>
      <c r="BX773" s="124"/>
      <c r="BY773" s="124"/>
      <c r="BZ773" s="124"/>
      <c r="CA773" s="124"/>
      <c r="CB773" s="124"/>
      <c r="CC773" s="124"/>
      <c r="CD773" s="124"/>
      <c r="CE773" s="124"/>
      <c r="CF773" s="124"/>
      <c r="CG773" s="124"/>
      <c r="CH773" s="124"/>
      <c r="CI773" s="124"/>
      <c r="CJ773" s="124"/>
      <c r="CK773" s="124"/>
      <c r="CL773" s="124"/>
      <c r="CM773" s="124"/>
      <c r="CN773" s="124"/>
      <c r="CO773" s="124"/>
      <c r="CP773" s="124"/>
    </row>
    <row r="774" spans="1:94" s="13" customFormat="1" ht="38.25" customHeight="1">
      <c r="A774" s="95" t="s">
        <v>1</v>
      </c>
      <c r="B774" s="18" t="s">
        <v>68</v>
      </c>
      <c r="C774" s="21" t="s">
        <v>25</v>
      </c>
      <c r="D774" s="21" t="s">
        <v>847</v>
      </c>
      <c r="E774" s="256" t="s">
        <v>138</v>
      </c>
      <c r="F774" s="21" t="s">
        <v>1603</v>
      </c>
      <c r="G774" s="266" t="s">
        <v>175</v>
      </c>
      <c r="H774" s="21">
        <v>236220</v>
      </c>
      <c r="I774" s="21" t="s">
        <v>6</v>
      </c>
      <c r="J774" s="21" t="s">
        <v>546</v>
      </c>
      <c r="K774" s="21" t="s">
        <v>50</v>
      </c>
      <c r="L774" s="243"/>
      <c r="M774" s="284">
        <v>100000</v>
      </c>
      <c r="N774" s="22">
        <v>250000</v>
      </c>
      <c r="O774" s="21" t="s">
        <v>20</v>
      </c>
      <c r="P774" s="18"/>
      <c r="Q774" s="21" t="s">
        <v>279</v>
      </c>
      <c r="R774" s="21" t="s">
        <v>31</v>
      </c>
      <c r="S774" s="74">
        <v>2013</v>
      </c>
      <c r="T774" s="21" t="s">
        <v>1632</v>
      </c>
      <c r="U774" s="21" t="s">
        <v>1633</v>
      </c>
      <c r="V774" s="75" t="s">
        <v>1634</v>
      </c>
      <c r="W774" s="21" t="s">
        <v>2010</v>
      </c>
      <c r="X774" s="21"/>
      <c r="Y774" s="124"/>
      <c r="Z774" s="245"/>
      <c r="AA774" s="245"/>
      <c r="AB774" s="245"/>
      <c r="AC774" s="124"/>
      <c r="AD774" s="124"/>
      <c r="AE774" s="124"/>
      <c r="AF774" s="124"/>
      <c r="AG774" s="124"/>
      <c r="AH774" s="124"/>
      <c r="AI774" s="124"/>
      <c r="AJ774" s="124"/>
      <c r="AK774" s="124"/>
      <c r="AL774" s="124"/>
      <c r="AM774" s="124"/>
      <c r="AN774" s="124"/>
      <c r="AO774" s="124"/>
      <c r="AP774" s="124"/>
      <c r="AQ774" s="124"/>
      <c r="AR774" s="124"/>
      <c r="AS774" s="124"/>
      <c r="AT774" s="124"/>
      <c r="AU774" s="124"/>
      <c r="AV774" s="124"/>
      <c r="AW774" s="124"/>
      <c r="AX774" s="124"/>
      <c r="AY774" s="124"/>
      <c r="AZ774" s="124"/>
      <c r="BA774" s="124"/>
      <c r="BB774" s="124"/>
      <c r="BC774" s="124"/>
      <c r="BD774" s="124"/>
      <c r="BE774" s="124"/>
      <c r="BF774" s="124"/>
      <c r="BG774" s="124"/>
      <c r="BH774" s="124"/>
      <c r="BI774" s="124"/>
      <c r="BJ774" s="124"/>
      <c r="BK774" s="124"/>
      <c r="BL774" s="124"/>
      <c r="BM774" s="124"/>
      <c r="BN774" s="124"/>
      <c r="BO774" s="124"/>
      <c r="BP774" s="124"/>
      <c r="BQ774" s="124"/>
      <c r="BR774" s="124"/>
      <c r="BS774" s="124"/>
      <c r="BT774" s="124"/>
      <c r="BU774" s="124"/>
      <c r="BV774" s="124"/>
      <c r="BW774" s="124"/>
      <c r="BX774" s="124"/>
      <c r="BY774" s="124"/>
      <c r="BZ774" s="124"/>
      <c r="CA774" s="124"/>
      <c r="CB774" s="124"/>
      <c r="CC774" s="124"/>
      <c r="CD774" s="124"/>
      <c r="CE774" s="124"/>
      <c r="CF774" s="124"/>
      <c r="CG774" s="124"/>
      <c r="CH774" s="124"/>
      <c r="CI774" s="124"/>
      <c r="CJ774" s="124"/>
      <c r="CK774" s="124"/>
      <c r="CL774" s="124"/>
      <c r="CM774" s="124"/>
      <c r="CN774" s="124"/>
      <c r="CO774" s="124"/>
      <c r="CP774" s="124"/>
    </row>
    <row r="775" spans="1:94" s="13" customFormat="1" ht="38.25" customHeight="1">
      <c r="A775" s="95" t="s">
        <v>1</v>
      </c>
      <c r="B775" s="18" t="s">
        <v>68</v>
      </c>
      <c r="C775" s="21" t="s">
        <v>35</v>
      </c>
      <c r="D775" s="21" t="s">
        <v>1635</v>
      </c>
      <c r="E775" s="256" t="s">
        <v>138</v>
      </c>
      <c r="F775" s="21" t="s">
        <v>1613</v>
      </c>
      <c r="G775" s="266" t="s">
        <v>215</v>
      </c>
      <c r="H775" s="21">
        <v>236220</v>
      </c>
      <c r="I775" s="21" t="s">
        <v>17</v>
      </c>
      <c r="J775" s="21" t="s">
        <v>546</v>
      </c>
      <c r="K775" s="21" t="s">
        <v>50</v>
      </c>
      <c r="L775" s="243"/>
      <c r="M775" s="284">
        <v>250000</v>
      </c>
      <c r="N775" s="22">
        <v>500000</v>
      </c>
      <c r="O775" s="21" t="s">
        <v>20</v>
      </c>
      <c r="P775" s="18"/>
      <c r="Q775" s="21" t="s">
        <v>279</v>
      </c>
      <c r="R775" s="21" t="s">
        <v>10</v>
      </c>
      <c r="S775" s="74">
        <v>2013</v>
      </c>
      <c r="T775" s="21" t="s">
        <v>1632</v>
      </c>
      <c r="U775" s="21" t="s">
        <v>1633</v>
      </c>
      <c r="V775" s="75" t="s">
        <v>1634</v>
      </c>
      <c r="W775" s="21" t="s">
        <v>2010</v>
      </c>
      <c r="X775" s="21"/>
      <c r="Y775" s="124"/>
      <c r="Z775" s="245"/>
      <c r="AA775" s="245"/>
      <c r="AB775" s="245"/>
      <c r="AC775" s="124"/>
      <c r="AD775" s="124"/>
      <c r="AE775" s="124"/>
      <c r="AF775" s="124"/>
      <c r="AG775" s="124"/>
      <c r="AH775" s="124"/>
      <c r="AI775" s="124"/>
      <c r="AJ775" s="124"/>
      <c r="AK775" s="124"/>
      <c r="AL775" s="124"/>
      <c r="AM775" s="124"/>
      <c r="AN775" s="124"/>
      <c r="AO775" s="124"/>
      <c r="AP775" s="124"/>
      <c r="AQ775" s="124"/>
      <c r="AR775" s="124"/>
      <c r="AS775" s="124"/>
      <c r="AT775" s="124"/>
      <c r="AU775" s="124"/>
      <c r="AV775" s="124"/>
      <c r="AW775" s="124"/>
      <c r="AX775" s="124"/>
      <c r="AY775" s="124"/>
      <c r="AZ775" s="124"/>
      <c r="BA775" s="124"/>
      <c r="BB775" s="124"/>
      <c r="BC775" s="124"/>
      <c r="BD775" s="124"/>
      <c r="BE775" s="124"/>
      <c r="BF775" s="124"/>
      <c r="BG775" s="124"/>
      <c r="BH775" s="124"/>
      <c r="BI775" s="124"/>
      <c r="BJ775" s="124"/>
      <c r="BK775" s="124"/>
      <c r="BL775" s="124"/>
      <c r="BM775" s="124"/>
      <c r="BN775" s="124"/>
      <c r="BO775" s="124"/>
      <c r="BP775" s="124"/>
      <c r="BQ775" s="124"/>
      <c r="BR775" s="124"/>
      <c r="BS775" s="124"/>
      <c r="BT775" s="124"/>
      <c r="BU775" s="124"/>
      <c r="BV775" s="124"/>
      <c r="BW775" s="124"/>
      <c r="BX775" s="124"/>
      <c r="BY775" s="124"/>
      <c r="BZ775" s="124"/>
      <c r="CA775" s="124"/>
      <c r="CB775" s="124"/>
      <c r="CC775" s="124"/>
      <c r="CD775" s="124"/>
      <c r="CE775" s="124"/>
      <c r="CF775" s="124"/>
      <c r="CG775" s="124"/>
      <c r="CH775" s="124"/>
      <c r="CI775" s="124"/>
      <c r="CJ775" s="124"/>
      <c r="CK775" s="124"/>
      <c r="CL775" s="124"/>
      <c r="CM775" s="124"/>
      <c r="CN775" s="124"/>
      <c r="CO775" s="124"/>
      <c r="CP775" s="124"/>
    </row>
    <row r="776" spans="1:94" s="13" customFormat="1" ht="38.25" customHeight="1">
      <c r="A776" s="95" t="s">
        <v>1</v>
      </c>
      <c r="B776" s="18" t="s">
        <v>68</v>
      </c>
      <c r="C776" s="21" t="s">
        <v>25</v>
      </c>
      <c r="D776" s="21" t="s">
        <v>1626</v>
      </c>
      <c r="E776" s="256" t="s">
        <v>138</v>
      </c>
      <c r="F776" s="21" t="s">
        <v>1619</v>
      </c>
      <c r="G776" s="266" t="s">
        <v>215</v>
      </c>
      <c r="H776" s="21">
        <v>236220</v>
      </c>
      <c r="I776" s="21" t="s">
        <v>6</v>
      </c>
      <c r="J776" s="21" t="s">
        <v>546</v>
      </c>
      <c r="K776" s="21" t="s">
        <v>50</v>
      </c>
      <c r="L776" s="243"/>
      <c r="M776" s="284">
        <v>100000</v>
      </c>
      <c r="N776" s="22">
        <v>250000</v>
      </c>
      <c r="O776" s="21" t="s">
        <v>20</v>
      </c>
      <c r="P776" s="18"/>
      <c r="Q776" s="21" t="s">
        <v>279</v>
      </c>
      <c r="R776" s="21" t="s">
        <v>31</v>
      </c>
      <c r="S776" s="74">
        <v>2013</v>
      </c>
      <c r="T776" s="21" t="s">
        <v>1632</v>
      </c>
      <c r="U776" s="21" t="s">
        <v>1633</v>
      </c>
      <c r="V776" s="75" t="s">
        <v>1634</v>
      </c>
      <c r="W776" s="21" t="s">
        <v>2010</v>
      </c>
      <c r="X776" s="21"/>
      <c r="Y776" s="124"/>
      <c r="Z776" s="245"/>
      <c r="AA776" s="245"/>
      <c r="AB776" s="245"/>
      <c r="AC776" s="124"/>
      <c r="AD776" s="124"/>
      <c r="AE776" s="124"/>
      <c r="AF776" s="124"/>
      <c r="AG776" s="124"/>
      <c r="AH776" s="124"/>
      <c r="AI776" s="124"/>
      <c r="AJ776" s="124"/>
      <c r="AK776" s="124"/>
      <c r="AL776" s="124"/>
      <c r="AM776" s="124"/>
      <c r="AN776" s="124"/>
      <c r="AO776" s="124"/>
      <c r="AP776" s="124"/>
      <c r="AQ776" s="124"/>
      <c r="AR776" s="124"/>
      <c r="AS776" s="124"/>
      <c r="AT776" s="124"/>
      <c r="AU776" s="124"/>
      <c r="AV776" s="124"/>
      <c r="AW776" s="124"/>
      <c r="AX776" s="124"/>
      <c r="AY776" s="124"/>
      <c r="AZ776" s="124"/>
      <c r="BA776" s="124"/>
      <c r="BB776" s="124"/>
      <c r="BC776" s="124"/>
      <c r="BD776" s="124"/>
      <c r="BE776" s="124"/>
      <c r="BF776" s="124"/>
      <c r="BG776" s="124"/>
      <c r="BH776" s="124"/>
      <c r="BI776" s="124"/>
      <c r="BJ776" s="124"/>
      <c r="BK776" s="124"/>
      <c r="BL776" s="124"/>
      <c r="BM776" s="124"/>
      <c r="BN776" s="124"/>
      <c r="BO776" s="124"/>
      <c r="BP776" s="124"/>
      <c r="BQ776" s="124"/>
      <c r="BR776" s="124"/>
      <c r="BS776" s="124"/>
      <c r="BT776" s="124"/>
      <c r="BU776" s="124"/>
      <c r="BV776" s="124"/>
      <c r="BW776" s="124"/>
      <c r="BX776" s="124"/>
      <c r="BY776" s="124"/>
      <c r="BZ776" s="124"/>
      <c r="CA776" s="124"/>
      <c r="CB776" s="124"/>
      <c r="CC776" s="124"/>
      <c r="CD776" s="124"/>
      <c r="CE776" s="124"/>
      <c r="CF776" s="124"/>
      <c r="CG776" s="124"/>
      <c r="CH776" s="124"/>
      <c r="CI776" s="124"/>
      <c r="CJ776" s="124"/>
      <c r="CK776" s="124"/>
      <c r="CL776" s="124"/>
      <c r="CM776" s="124"/>
      <c r="CN776" s="124"/>
      <c r="CO776" s="124"/>
      <c r="CP776" s="124"/>
    </row>
    <row r="777" spans="1:94" s="13" customFormat="1" ht="38.25" customHeight="1">
      <c r="A777" s="95" t="s">
        <v>1</v>
      </c>
      <c r="B777" s="18" t="s">
        <v>68</v>
      </c>
      <c r="C777" s="21" t="s">
        <v>25</v>
      </c>
      <c r="D777" s="21" t="s">
        <v>1636</v>
      </c>
      <c r="E777" s="256" t="s">
        <v>138</v>
      </c>
      <c r="F777" s="21" t="s">
        <v>1627</v>
      </c>
      <c r="G777" s="266" t="s">
        <v>201</v>
      </c>
      <c r="H777" s="21">
        <v>236220</v>
      </c>
      <c r="I777" s="21" t="s">
        <v>1622</v>
      </c>
      <c r="J777" s="21" t="s">
        <v>546</v>
      </c>
      <c r="K777" s="21" t="s">
        <v>50</v>
      </c>
      <c r="L777" s="243"/>
      <c r="M777" s="284">
        <v>100000</v>
      </c>
      <c r="N777" s="22">
        <v>250000</v>
      </c>
      <c r="O777" s="21" t="s">
        <v>20</v>
      </c>
      <c r="P777" s="18"/>
      <c r="Q777" s="21" t="s">
        <v>279</v>
      </c>
      <c r="R777" s="21" t="s">
        <v>31</v>
      </c>
      <c r="S777" s="74">
        <v>2013</v>
      </c>
      <c r="T777" s="21" t="s">
        <v>1637</v>
      </c>
      <c r="U777" s="21" t="s">
        <v>1638</v>
      </c>
      <c r="V777" s="75" t="s">
        <v>1639</v>
      </c>
      <c r="W777" s="21" t="s">
        <v>2010</v>
      </c>
      <c r="X777" s="21"/>
      <c r="Y777" s="124"/>
      <c r="Z777" s="124"/>
      <c r="AA777" s="124"/>
      <c r="AB777" s="124"/>
      <c r="AC777" s="124"/>
      <c r="AD777" s="124"/>
      <c r="AE777" s="124"/>
      <c r="AF777" s="124"/>
      <c r="AG777" s="124"/>
      <c r="AH777" s="124"/>
      <c r="AI777" s="124"/>
      <c r="AJ777" s="124"/>
      <c r="AK777" s="124"/>
      <c r="AL777" s="124"/>
      <c r="AM777" s="124"/>
      <c r="AN777" s="124"/>
      <c r="AO777" s="124"/>
      <c r="AP777" s="124"/>
      <c r="AQ777" s="124"/>
      <c r="AR777" s="124"/>
      <c r="AS777" s="124"/>
      <c r="AT777" s="124"/>
      <c r="AU777" s="124"/>
      <c r="AV777" s="124"/>
      <c r="AW777" s="124"/>
      <c r="AX777" s="124"/>
      <c r="AY777" s="124"/>
      <c r="AZ777" s="124"/>
      <c r="BA777" s="124"/>
      <c r="BB777" s="124"/>
      <c r="BC777" s="124"/>
      <c r="BD777" s="124"/>
      <c r="BE777" s="124"/>
      <c r="BF777" s="124"/>
      <c r="BG777" s="124"/>
      <c r="BH777" s="124"/>
      <c r="BI777" s="124"/>
      <c r="BJ777" s="124"/>
      <c r="BK777" s="124"/>
      <c r="BL777" s="124"/>
      <c r="BM777" s="124"/>
      <c r="BN777" s="124"/>
      <c r="BO777" s="124"/>
      <c r="BP777" s="124"/>
      <c r="BQ777" s="124"/>
      <c r="BR777" s="124"/>
      <c r="BS777" s="124"/>
      <c r="BT777" s="124"/>
      <c r="BU777" s="124"/>
      <c r="BV777" s="124"/>
      <c r="BW777" s="124"/>
      <c r="BX777" s="124"/>
      <c r="BY777" s="124"/>
      <c r="BZ777" s="124"/>
      <c r="CA777" s="124"/>
      <c r="CB777" s="124"/>
      <c r="CC777" s="124"/>
      <c r="CD777" s="124"/>
      <c r="CE777" s="124"/>
      <c r="CF777" s="124"/>
      <c r="CG777" s="124"/>
      <c r="CH777" s="124"/>
      <c r="CI777" s="124"/>
      <c r="CJ777" s="124"/>
      <c r="CK777" s="124"/>
      <c r="CL777" s="124"/>
      <c r="CM777" s="124"/>
      <c r="CN777" s="124"/>
      <c r="CO777" s="124"/>
      <c r="CP777" s="124"/>
    </row>
    <row r="778" spans="1:94" s="13" customFormat="1" ht="38.25" customHeight="1">
      <c r="A778" s="95" t="s">
        <v>1</v>
      </c>
      <c r="B778" s="18" t="s">
        <v>68</v>
      </c>
      <c r="C778" s="21" t="s">
        <v>25</v>
      </c>
      <c r="D778" s="21" t="s">
        <v>1640</v>
      </c>
      <c r="E778" s="256" t="s">
        <v>138</v>
      </c>
      <c r="F778" s="21" t="s">
        <v>1630</v>
      </c>
      <c r="G778" s="266" t="s">
        <v>201</v>
      </c>
      <c r="H778" s="21" t="s">
        <v>1641</v>
      </c>
      <c r="I778" s="21" t="s">
        <v>1622</v>
      </c>
      <c r="J778" s="21" t="s">
        <v>546</v>
      </c>
      <c r="K778" s="21" t="s">
        <v>50</v>
      </c>
      <c r="L778" s="243"/>
      <c r="M778" s="284">
        <v>100000</v>
      </c>
      <c r="N778" s="22">
        <v>250000</v>
      </c>
      <c r="O778" s="21" t="s">
        <v>20</v>
      </c>
      <c r="P778" s="18"/>
      <c r="Q778" s="21" t="s">
        <v>279</v>
      </c>
      <c r="R778" s="21" t="s">
        <v>31</v>
      </c>
      <c r="S778" s="74">
        <v>2013</v>
      </c>
      <c r="T778" s="21" t="s">
        <v>1637</v>
      </c>
      <c r="U778" s="21" t="s">
        <v>1638</v>
      </c>
      <c r="V778" s="75" t="s">
        <v>1639</v>
      </c>
      <c r="W778" s="21" t="s">
        <v>2010</v>
      </c>
      <c r="X778" s="21"/>
      <c r="Y778" s="124"/>
      <c r="Z778" s="124"/>
      <c r="AA778" s="124"/>
      <c r="AB778" s="124"/>
      <c r="AC778" s="124"/>
      <c r="AD778" s="124"/>
      <c r="AE778" s="124"/>
      <c r="AF778" s="124"/>
      <c r="AG778" s="124"/>
      <c r="AH778" s="124"/>
      <c r="AI778" s="124"/>
      <c r="AJ778" s="124"/>
      <c r="AK778" s="124"/>
      <c r="AL778" s="124"/>
      <c r="AM778" s="124"/>
      <c r="AN778" s="124"/>
      <c r="AO778" s="124"/>
      <c r="AP778" s="124"/>
      <c r="AQ778" s="124"/>
      <c r="AR778" s="124"/>
      <c r="AS778" s="124"/>
      <c r="AT778" s="124"/>
      <c r="AU778" s="124"/>
      <c r="AV778" s="124"/>
      <c r="AW778" s="124"/>
      <c r="AX778" s="124"/>
      <c r="AY778" s="124"/>
      <c r="AZ778" s="124"/>
      <c r="BA778" s="124"/>
      <c r="BB778" s="124"/>
      <c r="BC778" s="124"/>
      <c r="BD778" s="124"/>
      <c r="BE778" s="124"/>
      <c r="BF778" s="124"/>
      <c r="BG778" s="124"/>
      <c r="BH778" s="124"/>
      <c r="BI778" s="124"/>
      <c r="BJ778" s="124"/>
      <c r="BK778" s="124"/>
      <c r="BL778" s="124"/>
      <c r="BM778" s="124"/>
      <c r="BN778" s="124"/>
      <c r="BO778" s="124"/>
      <c r="BP778" s="124"/>
      <c r="BQ778" s="124"/>
      <c r="BR778" s="124"/>
      <c r="BS778" s="124"/>
      <c r="BT778" s="124"/>
      <c r="BU778" s="124"/>
      <c r="BV778" s="124"/>
      <c r="BW778" s="124"/>
      <c r="BX778" s="124"/>
      <c r="BY778" s="124"/>
      <c r="BZ778" s="124"/>
      <c r="CA778" s="124"/>
      <c r="CB778" s="124"/>
      <c r="CC778" s="124"/>
      <c r="CD778" s="124"/>
      <c r="CE778" s="124"/>
      <c r="CF778" s="124"/>
      <c r="CG778" s="124"/>
      <c r="CH778" s="124"/>
      <c r="CI778" s="124"/>
      <c r="CJ778" s="124"/>
      <c r="CK778" s="124"/>
      <c r="CL778" s="124"/>
      <c r="CM778" s="124"/>
      <c r="CN778" s="124"/>
      <c r="CO778" s="124"/>
      <c r="CP778" s="124"/>
    </row>
    <row r="779" spans="1:94" s="13" customFormat="1" ht="38.25" customHeight="1">
      <c r="A779" s="95" t="s">
        <v>1</v>
      </c>
      <c r="B779" s="18" t="s">
        <v>68</v>
      </c>
      <c r="C779" s="21" t="s">
        <v>25</v>
      </c>
      <c r="D779" s="21" t="s">
        <v>1642</v>
      </c>
      <c r="E779" s="256" t="s">
        <v>138</v>
      </c>
      <c r="F779" s="21" t="s">
        <v>1601</v>
      </c>
      <c r="G779" s="266" t="s">
        <v>175</v>
      </c>
      <c r="H779" s="21" t="s">
        <v>1641</v>
      </c>
      <c r="I779" s="21" t="s">
        <v>1622</v>
      </c>
      <c r="J779" s="21" t="s">
        <v>546</v>
      </c>
      <c r="K779" s="21" t="s">
        <v>50</v>
      </c>
      <c r="L779" s="243"/>
      <c r="M779" s="284">
        <v>100000</v>
      </c>
      <c r="N779" s="22">
        <v>250000</v>
      </c>
      <c r="O779" s="21" t="s">
        <v>20</v>
      </c>
      <c r="P779" s="18"/>
      <c r="Q779" s="21" t="s">
        <v>279</v>
      </c>
      <c r="R779" s="21" t="s">
        <v>31</v>
      </c>
      <c r="S779" s="74">
        <v>2013</v>
      </c>
      <c r="T779" s="21" t="s">
        <v>1632</v>
      </c>
      <c r="U779" s="21" t="s">
        <v>1633</v>
      </c>
      <c r="V779" s="75" t="s">
        <v>1634</v>
      </c>
      <c r="W779" s="21" t="s">
        <v>2010</v>
      </c>
      <c r="X779" s="21"/>
      <c r="Y779" s="130"/>
      <c r="Z779" s="124"/>
      <c r="AA779" s="124"/>
      <c r="AB779" s="124"/>
      <c r="AC779" s="124"/>
      <c r="AD779" s="124"/>
      <c r="AE779" s="124"/>
      <c r="AF779" s="124"/>
      <c r="AG779" s="124"/>
      <c r="AH779" s="124"/>
      <c r="AI779" s="124"/>
      <c r="AJ779" s="124"/>
      <c r="AK779" s="124"/>
      <c r="AL779" s="124"/>
      <c r="AM779" s="124"/>
      <c r="AN779" s="124"/>
      <c r="AO779" s="124"/>
      <c r="AP779" s="124"/>
      <c r="AQ779" s="124"/>
      <c r="AR779" s="124"/>
      <c r="AS779" s="124"/>
      <c r="AT779" s="124"/>
      <c r="AU779" s="124"/>
      <c r="AV779" s="124"/>
      <c r="AW779" s="124"/>
      <c r="AX779" s="124"/>
      <c r="AY779" s="124"/>
      <c r="AZ779" s="124"/>
      <c r="BA779" s="124"/>
      <c r="BB779" s="124"/>
      <c r="BC779" s="124"/>
      <c r="BD779" s="124"/>
      <c r="BE779" s="124"/>
      <c r="BF779" s="124"/>
      <c r="BG779" s="124"/>
      <c r="BH779" s="124"/>
      <c r="BI779" s="124"/>
      <c r="BJ779" s="124"/>
      <c r="BK779" s="124"/>
      <c r="BL779" s="124"/>
      <c r="BM779" s="124"/>
      <c r="BN779" s="124"/>
      <c r="BO779" s="124"/>
      <c r="BP779" s="124"/>
      <c r="BQ779" s="124"/>
      <c r="BR779" s="124"/>
      <c r="BS779" s="124"/>
      <c r="BT779" s="124"/>
      <c r="BU779" s="124"/>
      <c r="BV779" s="124"/>
      <c r="BW779" s="124"/>
      <c r="BX779" s="124"/>
      <c r="BY779" s="124"/>
      <c r="BZ779" s="124"/>
      <c r="CA779" s="124"/>
      <c r="CB779" s="124"/>
      <c r="CC779" s="124"/>
      <c r="CD779" s="124"/>
      <c r="CE779" s="124"/>
      <c r="CF779" s="124"/>
      <c r="CG779" s="124"/>
      <c r="CH779" s="124"/>
      <c r="CI779" s="124"/>
      <c r="CJ779" s="124"/>
      <c r="CK779" s="124"/>
      <c r="CL779" s="124"/>
      <c r="CM779" s="124"/>
      <c r="CN779" s="124"/>
      <c r="CO779" s="124"/>
      <c r="CP779" s="124"/>
    </row>
    <row r="780" spans="1:94" s="13" customFormat="1" ht="38.25" customHeight="1">
      <c r="A780" s="95" t="s">
        <v>1</v>
      </c>
      <c r="B780" s="18" t="s">
        <v>68</v>
      </c>
      <c r="C780" s="21" t="s">
        <v>25</v>
      </c>
      <c r="D780" s="21" t="s">
        <v>1643</v>
      </c>
      <c r="E780" s="256" t="s">
        <v>138</v>
      </c>
      <c r="F780" s="21" t="s">
        <v>1621</v>
      </c>
      <c r="G780" s="266" t="s">
        <v>201</v>
      </c>
      <c r="H780" s="21" t="s">
        <v>1641</v>
      </c>
      <c r="I780" s="21" t="s">
        <v>1622</v>
      </c>
      <c r="J780" s="21" t="s">
        <v>546</v>
      </c>
      <c r="K780" s="21" t="s">
        <v>50</v>
      </c>
      <c r="L780" s="243"/>
      <c r="M780" s="284">
        <v>100000</v>
      </c>
      <c r="N780" s="22">
        <v>250000</v>
      </c>
      <c r="O780" s="21" t="s">
        <v>20</v>
      </c>
      <c r="P780" s="18"/>
      <c r="Q780" s="21" t="s">
        <v>279</v>
      </c>
      <c r="R780" s="21" t="s">
        <v>31</v>
      </c>
      <c r="S780" s="74">
        <v>2013</v>
      </c>
      <c r="T780" s="21" t="s">
        <v>1637</v>
      </c>
      <c r="U780" s="21" t="s">
        <v>1638</v>
      </c>
      <c r="V780" s="75" t="s">
        <v>1639</v>
      </c>
      <c r="W780" s="21" t="s">
        <v>2010</v>
      </c>
      <c r="X780" s="21"/>
      <c r="Y780" s="124"/>
      <c r="Z780" s="124"/>
      <c r="AA780" s="124"/>
      <c r="AB780" s="124"/>
      <c r="AC780" s="124"/>
      <c r="AD780" s="124"/>
      <c r="AE780" s="124"/>
      <c r="AF780" s="124"/>
      <c r="AG780" s="124"/>
      <c r="AH780" s="124"/>
      <c r="AI780" s="124"/>
      <c r="AJ780" s="124"/>
      <c r="AK780" s="124"/>
      <c r="AL780" s="124"/>
      <c r="AM780" s="124"/>
      <c r="AN780" s="124"/>
      <c r="AO780" s="124"/>
      <c r="AP780" s="124"/>
      <c r="AQ780" s="124"/>
      <c r="AR780" s="124"/>
      <c r="AS780" s="124"/>
      <c r="AT780" s="124"/>
      <c r="AU780" s="124"/>
      <c r="AV780" s="124"/>
      <c r="AW780" s="124"/>
      <c r="AX780" s="124"/>
      <c r="AY780" s="124"/>
      <c r="AZ780" s="124"/>
      <c r="BA780" s="124"/>
      <c r="BB780" s="124"/>
      <c r="BC780" s="124"/>
      <c r="BD780" s="124"/>
      <c r="BE780" s="124"/>
      <c r="BF780" s="124"/>
      <c r="BG780" s="124"/>
      <c r="BH780" s="124"/>
      <c r="BI780" s="124"/>
      <c r="BJ780" s="124"/>
      <c r="BK780" s="124"/>
      <c r="BL780" s="124"/>
      <c r="BM780" s="124"/>
      <c r="BN780" s="124"/>
      <c r="BO780" s="124"/>
      <c r="BP780" s="124"/>
      <c r="BQ780" s="124"/>
      <c r="BR780" s="124"/>
      <c r="BS780" s="124"/>
      <c r="BT780" s="124"/>
      <c r="BU780" s="124"/>
      <c r="BV780" s="124"/>
      <c r="BW780" s="124"/>
      <c r="BX780" s="124"/>
      <c r="BY780" s="124"/>
      <c r="BZ780" s="124"/>
      <c r="CA780" s="124"/>
      <c r="CB780" s="124"/>
      <c r="CC780" s="124"/>
      <c r="CD780" s="124"/>
      <c r="CE780" s="124"/>
      <c r="CF780" s="124"/>
      <c r="CG780" s="124"/>
      <c r="CH780" s="124"/>
      <c r="CI780" s="124"/>
      <c r="CJ780" s="124"/>
      <c r="CK780" s="124"/>
      <c r="CL780" s="124"/>
      <c r="CM780" s="124"/>
      <c r="CN780" s="124"/>
      <c r="CO780" s="124"/>
      <c r="CP780" s="124"/>
    </row>
    <row r="781" spans="1:94" s="13" customFormat="1" ht="38.25" customHeight="1">
      <c r="A781" s="95" t="s">
        <v>1</v>
      </c>
      <c r="B781" s="18" t="s">
        <v>68</v>
      </c>
      <c r="C781" s="21" t="s">
        <v>25</v>
      </c>
      <c r="D781" s="21" t="s">
        <v>1644</v>
      </c>
      <c r="E781" s="256" t="s">
        <v>138</v>
      </c>
      <c r="F781" s="21" t="s">
        <v>1630</v>
      </c>
      <c r="G781" s="266" t="s">
        <v>201</v>
      </c>
      <c r="H781" s="21" t="s">
        <v>1641</v>
      </c>
      <c r="I781" s="21" t="s">
        <v>1622</v>
      </c>
      <c r="J781" s="21" t="s">
        <v>546</v>
      </c>
      <c r="K781" s="21" t="s">
        <v>50</v>
      </c>
      <c r="L781" s="243"/>
      <c r="M781" s="284">
        <v>100000</v>
      </c>
      <c r="N781" s="22">
        <v>250000</v>
      </c>
      <c r="O781" s="21" t="s">
        <v>20</v>
      </c>
      <c r="P781" s="18"/>
      <c r="Q781" s="21" t="s">
        <v>279</v>
      </c>
      <c r="R781" s="21" t="s">
        <v>31</v>
      </c>
      <c r="S781" s="74">
        <v>2013</v>
      </c>
      <c r="T781" s="21" t="s">
        <v>1637</v>
      </c>
      <c r="U781" s="21" t="s">
        <v>1638</v>
      </c>
      <c r="V781" s="75" t="s">
        <v>1639</v>
      </c>
      <c r="W781" s="21" t="s">
        <v>2010</v>
      </c>
      <c r="X781" s="21"/>
      <c r="Y781" s="124"/>
      <c r="Z781" s="281"/>
      <c r="AA781" s="281"/>
      <c r="AB781" s="281"/>
      <c r="AC781" s="124"/>
      <c r="AD781" s="124"/>
      <c r="AE781" s="124"/>
      <c r="AF781" s="124"/>
      <c r="AG781" s="124"/>
      <c r="AH781" s="124"/>
      <c r="AI781" s="124"/>
      <c r="AJ781" s="124"/>
      <c r="AK781" s="124"/>
      <c r="AL781" s="124"/>
      <c r="AM781" s="124"/>
      <c r="AN781" s="124"/>
      <c r="AO781" s="124"/>
      <c r="AP781" s="124"/>
      <c r="AQ781" s="124"/>
      <c r="AR781" s="124"/>
      <c r="AS781" s="124"/>
      <c r="AT781" s="124"/>
      <c r="AU781" s="124"/>
      <c r="AV781" s="124"/>
      <c r="AW781" s="124"/>
      <c r="AX781" s="124"/>
      <c r="AY781" s="124"/>
      <c r="AZ781" s="124"/>
      <c r="BA781" s="124"/>
      <c r="BB781" s="124"/>
      <c r="BC781" s="124"/>
      <c r="BD781" s="124"/>
      <c r="BE781" s="124"/>
      <c r="BF781" s="124"/>
      <c r="BG781" s="124"/>
      <c r="BH781" s="124"/>
      <c r="BI781" s="124"/>
      <c r="BJ781" s="124"/>
      <c r="BK781" s="124"/>
      <c r="BL781" s="124"/>
      <c r="BM781" s="124"/>
      <c r="BN781" s="124"/>
      <c r="BO781" s="124"/>
      <c r="BP781" s="124"/>
      <c r="BQ781" s="124"/>
      <c r="BR781" s="124"/>
      <c r="BS781" s="124"/>
      <c r="BT781" s="124"/>
      <c r="BU781" s="124"/>
      <c r="BV781" s="124"/>
      <c r="BW781" s="124"/>
      <c r="BX781" s="124"/>
      <c r="BY781" s="124"/>
      <c r="BZ781" s="124"/>
      <c r="CA781" s="124"/>
      <c r="CB781" s="124"/>
      <c r="CC781" s="124"/>
      <c r="CD781" s="124"/>
      <c r="CE781" s="124"/>
      <c r="CF781" s="124"/>
      <c r="CG781" s="124"/>
      <c r="CH781" s="124"/>
      <c r="CI781" s="124"/>
      <c r="CJ781" s="124"/>
      <c r="CK781" s="124"/>
      <c r="CL781" s="124"/>
      <c r="CM781" s="124"/>
      <c r="CN781" s="124"/>
      <c r="CO781" s="124"/>
      <c r="CP781" s="124"/>
    </row>
    <row r="782" spans="1:94" s="13" customFormat="1" ht="38.25" customHeight="1">
      <c r="A782" s="95" t="s">
        <v>1</v>
      </c>
      <c r="B782" s="18" t="s">
        <v>68</v>
      </c>
      <c r="C782" s="21" t="s">
        <v>25</v>
      </c>
      <c r="D782" s="21" t="s">
        <v>1645</v>
      </c>
      <c r="E782" s="256" t="s">
        <v>138</v>
      </c>
      <c r="F782" s="21" t="s">
        <v>1619</v>
      </c>
      <c r="G782" s="266" t="s">
        <v>215</v>
      </c>
      <c r="H782" s="21" t="s">
        <v>1641</v>
      </c>
      <c r="I782" s="21" t="s">
        <v>1622</v>
      </c>
      <c r="J782" s="21" t="s">
        <v>546</v>
      </c>
      <c r="K782" s="21" t="s">
        <v>50</v>
      </c>
      <c r="L782" s="243"/>
      <c r="M782" s="284">
        <v>100000</v>
      </c>
      <c r="N782" s="22">
        <v>250000</v>
      </c>
      <c r="O782" s="21" t="s">
        <v>20</v>
      </c>
      <c r="P782" s="18"/>
      <c r="Q782" s="21" t="s">
        <v>279</v>
      </c>
      <c r="R782" s="21" t="s">
        <v>10</v>
      </c>
      <c r="S782" s="74">
        <v>2013</v>
      </c>
      <c r="T782" s="21" t="s">
        <v>2797</v>
      </c>
      <c r="U782" s="21" t="s">
        <v>2798</v>
      </c>
      <c r="V782" s="214" t="s">
        <v>2799</v>
      </c>
      <c r="W782" s="21" t="s">
        <v>2010</v>
      </c>
      <c r="X782" s="21"/>
      <c r="Y782" s="124"/>
      <c r="Z782" s="245"/>
      <c r="AA782" s="245"/>
      <c r="AB782" s="245"/>
      <c r="AC782" s="124"/>
      <c r="AD782" s="124"/>
      <c r="AE782" s="124"/>
      <c r="AF782" s="124"/>
      <c r="AG782" s="124"/>
      <c r="AH782" s="124"/>
      <c r="AI782" s="124"/>
      <c r="AJ782" s="124"/>
      <c r="AK782" s="124"/>
      <c r="AL782" s="124"/>
      <c r="AM782" s="124"/>
      <c r="AN782" s="124"/>
      <c r="AO782" s="124"/>
      <c r="AP782" s="124"/>
      <c r="AQ782" s="124"/>
      <c r="AR782" s="124"/>
      <c r="AS782" s="124"/>
      <c r="AT782" s="124"/>
      <c r="AU782" s="124"/>
      <c r="AV782" s="124"/>
      <c r="AW782" s="124"/>
      <c r="AX782" s="124"/>
      <c r="AY782" s="124"/>
      <c r="AZ782" s="124"/>
      <c r="BA782" s="124"/>
      <c r="BB782" s="124"/>
      <c r="BC782" s="124"/>
      <c r="BD782" s="124"/>
      <c r="BE782" s="124"/>
      <c r="BF782" s="124"/>
      <c r="BG782" s="124"/>
      <c r="BH782" s="124"/>
      <c r="BI782" s="124"/>
      <c r="BJ782" s="124"/>
      <c r="BK782" s="124"/>
      <c r="BL782" s="124"/>
      <c r="BM782" s="124"/>
      <c r="BN782" s="124"/>
      <c r="BO782" s="124"/>
      <c r="BP782" s="124"/>
      <c r="BQ782" s="124"/>
      <c r="BR782" s="124"/>
      <c r="BS782" s="124"/>
      <c r="BT782" s="124"/>
      <c r="BU782" s="124"/>
      <c r="BV782" s="124"/>
      <c r="BW782" s="124"/>
      <c r="BX782" s="124"/>
      <c r="BY782" s="124"/>
      <c r="BZ782" s="124"/>
      <c r="CA782" s="124"/>
      <c r="CB782" s="124"/>
      <c r="CC782" s="124"/>
      <c r="CD782" s="124"/>
      <c r="CE782" s="124"/>
      <c r="CF782" s="124"/>
      <c r="CG782" s="124"/>
      <c r="CH782" s="124"/>
      <c r="CI782" s="124"/>
      <c r="CJ782" s="124"/>
      <c r="CK782" s="124"/>
      <c r="CL782" s="124"/>
      <c r="CM782" s="124"/>
      <c r="CN782" s="124"/>
      <c r="CO782" s="124"/>
      <c r="CP782" s="124"/>
    </row>
    <row r="783" spans="1:94" s="13" customFormat="1" ht="38.25" customHeight="1">
      <c r="A783" s="95" t="s">
        <v>1</v>
      </c>
      <c r="B783" s="18" t="s">
        <v>68</v>
      </c>
      <c r="C783" s="21" t="s">
        <v>35</v>
      </c>
      <c r="D783" s="21" t="s">
        <v>1646</v>
      </c>
      <c r="E783" s="256" t="s">
        <v>1647</v>
      </c>
      <c r="F783" s="21" t="s">
        <v>1921</v>
      </c>
      <c r="G783" s="266" t="s">
        <v>195</v>
      </c>
      <c r="H783" s="21">
        <v>561210</v>
      </c>
      <c r="I783" s="21" t="s">
        <v>1622</v>
      </c>
      <c r="J783" s="21" t="s">
        <v>546</v>
      </c>
      <c r="K783" s="21" t="s">
        <v>29</v>
      </c>
      <c r="L783" s="266" t="s">
        <v>1404</v>
      </c>
      <c r="M783" s="284">
        <v>1000000</v>
      </c>
      <c r="N783" s="22">
        <v>5000000</v>
      </c>
      <c r="O783" s="21" t="s">
        <v>20</v>
      </c>
      <c r="P783" s="18"/>
      <c r="Q783" s="18"/>
      <c r="R783" s="21" t="s">
        <v>10</v>
      </c>
      <c r="S783" s="74">
        <v>2013</v>
      </c>
      <c r="T783" s="21" t="s">
        <v>1648</v>
      </c>
      <c r="U783" s="21" t="s">
        <v>1649</v>
      </c>
      <c r="V783" s="75" t="s">
        <v>1650</v>
      </c>
      <c r="W783" s="21" t="s">
        <v>2010</v>
      </c>
      <c r="X783" s="21"/>
      <c r="Y783" s="124"/>
      <c r="Z783" s="245"/>
      <c r="AA783" s="245"/>
      <c r="AB783" s="245"/>
      <c r="AC783" s="124"/>
      <c r="AD783" s="124"/>
      <c r="AE783" s="124"/>
      <c r="AF783" s="124"/>
      <c r="AG783" s="124"/>
      <c r="AH783" s="124"/>
      <c r="AI783" s="124"/>
      <c r="AJ783" s="124"/>
      <c r="AK783" s="124"/>
      <c r="AL783" s="124"/>
      <c r="AM783" s="124"/>
      <c r="AN783" s="124"/>
      <c r="AO783" s="124"/>
      <c r="AP783" s="124"/>
      <c r="AQ783" s="124"/>
      <c r="AR783" s="124"/>
      <c r="AS783" s="124"/>
      <c r="AT783" s="124"/>
      <c r="AU783" s="124"/>
      <c r="AV783" s="124"/>
      <c r="AW783" s="124"/>
      <c r="AX783" s="124"/>
      <c r="AY783" s="124"/>
      <c r="AZ783" s="124"/>
      <c r="BA783" s="124"/>
      <c r="BB783" s="124"/>
      <c r="BC783" s="124"/>
      <c r="BD783" s="124"/>
      <c r="BE783" s="124"/>
      <c r="BF783" s="124"/>
      <c r="BG783" s="124"/>
      <c r="BH783" s="124"/>
      <c r="BI783" s="124"/>
      <c r="BJ783" s="124"/>
      <c r="BK783" s="124"/>
      <c r="BL783" s="124"/>
      <c r="BM783" s="124"/>
      <c r="BN783" s="124"/>
      <c r="BO783" s="124"/>
      <c r="BP783" s="124"/>
      <c r="BQ783" s="124"/>
      <c r="BR783" s="124"/>
      <c r="BS783" s="124"/>
      <c r="BT783" s="124"/>
      <c r="BU783" s="124"/>
      <c r="BV783" s="124"/>
      <c r="BW783" s="124"/>
      <c r="BX783" s="124"/>
      <c r="BY783" s="124"/>
      <c r="BZ783" s="124"/>
      <c r="CA783" s="124"/>
      <c r="CB783" s="124"/>
      <c r="CC783" s="124"/>
      <c r="CD783" s="124"/>
      <c r="CE783" s="124"/>
      <c r="CF783" s="124"/>
      <c r="CG783" s="124"/>
      <c r="CH783" s="124"/>
      <c r="CI783" s="124"/>
      <c r="CJ783" s="124"/>
      <c r="CK783" s="124"/>
      <c r="CL783" s="124"/>
      <c r="CM783" s="124"/>
      <c r="CN783" s="124"/>
      <c r="CO783" s="124"/>
      <c r="CP783" s="124"/>
    </row>
    <row r="784" spans="1:94" s="210" customFormat="1" ht="38.25" customHeight="1">
      <c r="A784" s="20" t="s">
        <v>1</v>
      </c>
      <c r="B784" s="17" t="s">
        <v>68</v>
      </c>
      <c r="C784" s="20" t="s">
        <v>2398</v>
      </c>
      <c r="D784" s="20" t="s">
        <v>2399</v>
      </c>
      <c r="E784" s="20" t="s">
        <v>138</v>
      </c>
      <c r="F784" s="20" t="s">
        <v>2400</v>
      </c>
      <c r="G784" s="21" t="s">
        <v>63</v>
      </c>
      <c r="H784" s="20">
        <v>236220</v>
      </c>
      <c r="I784" s="20" t="s">
        <v>1622</v>
      </c>
      <c r="J784" s="20" t="s">
        <v>546</v>
      </c>
      <c r="K784" s="20" t="s">
        <v>50</v>
      </c>
      <c r="L784" s="20" t="s">
        <v>2401</v>
      </c>
      <c r="M784" s="22">
        <v>900000</v>
      </c>
      <c r="N784" s="23">
        <v>900000</v>
      </c>
      <c r="O784" s="20" t="s">
        <v>20</v>
      </c>
      <c r="P784" s="17" t="s">
        <v>372</v>
      </c>
      <c r="Q784" s="17" t="s">
        <v>279</v>
      </c>
      <c r="R784" s="20" t="s">
        <v>41</v>
      </c>
      <c r="S784" s="24">
        <v>2013</v>
      </c>
      <c r="T784" s="20" t="s">
        <v>2402</v>
      </c>
      <c r="U784" s="21" t="s">
        <v>2403</v>
      </c>
      <c r="V784" s="209" t="s">
        <v>2404</v>
      </c>
      <c r="W784" s="94" t="s">
        <v>2010</v>
      </c>
      <c r="X784" s="20"/>
      <c r="Y784" s="91"/>
      <c r="Z784" s="91"/>
      <c r="AA784" s="91"/>
      <c r="AB784" s="91"/>
      <c r="AC784" s="91"/>
      <c r="AD784" s="91"/>
      <c r="AE784" s="91"/>
      <c r="AF784" s="91"/>
      <c r="AG784" s="91"/>
      <c r="AH784" s="91"/>
      <c r="AI784" s="91"/>
      <c r="AJ784" s="91"/>
      <c r="AK784" s="91"/>
      <c r="AL784" s="91"/>
      <c r="AM784" s="91"/>
      <c r="AN784" s="91"/>
      <c r="AO784" s="91"/>
      <c r="AP784" s="91"/>
      <c r="AQ784" s="91"/>
      <c r="AR784" s="91"/>
      <c r="AS784" s="91"/>
      <c r="AT784" s="91"/>
      <c r="AU784" s="91"/>
      <c r="AV784" s="91"/>
      <c r="AW784" s="91"/>
      <c r="AX784" s="91"/>
      <c r="AY784" s="91"/>
      <c r="AZ784" s="91"/>
      <c r="BA784" s="91"/>
      <c r="BB784" s="91"/>
      <c r="BC784" s="91"/>
      <c r="BD784" s="91"/>
      <c r="BE784" s="91"/>
      <c r="BF784" s="91"/>
      <c r="BG784" s="91"/>
      <c r="BH784" s="91"/>
      <c r="BI784" s="91"/>
      <c r="BJ784" s="91"/>
      <c r="BK784" s="91"/>
      <c r="BL784" s="91"/>
      <c r="BM784" s="91"/>
      <c r="BN784" s="91"/>
      <c r="BO784" s="91"/>
      <c r="BP784" s="91"/>
      <c r="BQ784" s="91"/>
      <c r="BR784" s="91"/>
      <c r="BS784" s="91"/>
      <c r="BT784" s="91"/>
      <c r="BU784" s="91"/>
      <c r="BV784" s="91"/>
      <c r="BW784" s="91"/>
      <c r="BX784" s="91"/>
      <c r="BY784" s="91"/>
      <c r="BZ784" s="91"/>
      <c r="CA784" s="91"/>
      <c r="CB784" s="91"/>
      <c r="CC784" s="91"/>
      <c r="CD784" s="91"/>
      <c r="CE784" s="91"/>
      <c r="CF784" s="91"/>
      <c r="CG784" s="91"/>
      <c r="CH784" s="91"/>
      <c r="CI784" s="91"/>
      <c r="CJ784" s="91"/>
      <c r="CK784" s="91"/>
      <c r="CL784" s="91"/>
      <c r="CM784" s="91"/>
      <c r="CN784" s="91"/>
      <c r="CO784" s="91"/>
      <c r="CP784" s="91"/>
    </row>
    <row r="785" spans="1:94" s="210" customFormat="1" ht="38.25" customHeight="1">
      <c r="A785" s="20" t="s">
        <v>1</v>
      </c>
      <c r="B785" s="17" t="s">
        <v>68</v>
      </c>
      <c r="C785" s="20" t="s">
        <v>2405</v>
      </c>
      <c r="D785" s="20" t="s">
        <v>2406</v>
      </c>
      <c r="E785" s="20" t="s">
        <v>2407</v>
      </c>
      <c r="F785" s="20" t="s">
        <v>2400</v>
      </c>
      <c r="G785" s="21" t="s">
        <v>63</v>
      </c>
      <c r="H785" s="20">
        <v>561990</v>
      </c>
      <c r="I785" s="20" t="s">
        <v>773</v>
      </c>
      <c r="J785" s="20" t="s">
        <v>546</v>
      </c>
      <c r="K785" s="20" t="s">
        <v>50</v>
      </c>
      <c r="L785" s="20" t="s">
        <v>2401</v>
      </c>
      <c r="M785" s="22">
        <v>2100000</v>
      </c>
      <c r="N785" s="23">
        <v>2100000</v>
      </c>
      <c r="O785" s="20" t="s">
        <v>20</v>
      </c>
      <c r="P785" s="17" t="s">
        <v>2408</v>
      </c>
      <c r="Q785" s="17" t="s">
        <v>2409</v>
      </c>
      <c r="R785" s="20" t="s">
        <v>41</v>
      </c>
      <c r="S785" s="24">
        <v>2013</v>
      </c>
      <c r="T785" s="20" t="s">
        <v>2410</v>
      </c>
      <c r="U785" s="21" t="s">
        <v>2411</v>
      </c>
      <c r="V785" s="209" t="s">
        <v>2412</v>
      </c>
      <c r="W785" s="94" t="s">
        <v>2010</v>
      </c>
      <c r="X785" s="20" t="s">
        <v>2413</v>
      </c>
      <c r="Y785" s="91"/>
      <c r="Z785" s="91"/>
      <c r="AA785" s="91"/>
      <c r="AB785" s="91"/>
      <c r="AC785" s="91"/>
      <c r="AD785" s="91"/>
      <c r="AE785" s="91"/>
      <c r="AF785" s="91"/>
      <c r="AG785" s="91"/>
      <c r="AH785" s="91"/>
      <c r="AI785" s="91"/>
      <c r="AJ785" s="91"/>
      <c r="AK785" s="91"/>
      <c r="AL785" s="91"/>
      <c r="AM785" s="91"/>
      <c r="AN785" s="91"/>
      <c r="AO785" s="91"/>
      <c r="AP785" s="91"/>
      <c r="AQ785" s="91"/>
      <c r="AR785" s="91"/>
      <c r="AS785" s="91"/>
      <c r="AT785" s="91"/>
      <c r="AU785" s="91"/>
      <c r="AV785" s="91"/>
      <c r="AW785" s="91"/>
      <c r="AX785" s="91"/>
      <c r="AY785" s="91"/>
      <c r="AZ785" s="91"/>
      <c r="BA785" s="91"/>
      <c r="BB785" s="91"/>
      <c r="BC785" s="91"/>
      <c r="BD785" s="91"/>
      <c r="BE785" s="91"/>
      <c r="BF785" s="91"/>
      <c r="BG785" s="91"/>
      <c r="BH785" s="91"/>
      <c r="BI785" s="91"/>
      <c r="BJ785" s="91"/>
      <c r="BK785" s="91"/>
      <c r="BL785" s="91"/>
      <c r="BM785" s="91"/>
      <c r="BN785" s="91"/>
      <c r="BO785" s="91"/>
      <c r="BP785" s="91"/>
      <c r="BQ785" s="91"/>
      <c r="BR785" s="91"/>
      <c r="BS785" s="91"/>
      <c r="BT785" s="91"/>
      <c r="BU785" s="91"/>
      <c r="BV785" s="91"/>
      <c r="BW785" s="91"/>
      <c r="BX785" s="91"/>
      <c r="BY785" s="91"/>
      <c r="BZ785" s="91"/>
      <c r="CA785" s="91"/>
      <c r="CB785" s="91"/>
      <c r="CC785" s="91"/>
      <c r="CD785" s="91"/>
      <c r="CE785" s="91"/>
      <c r="CF785" s="91"/>
      <c r="CG785" s="91"/>
      <c r="CH785" s="91"/>
      <c r="CI785" s="91"/>
      <c r="CJ785" s="91"/>
      <c r="CK785" s="91"/>
      <c r="CL785" s="91"/>
      <c r="CM785" s="91"/>
      <c r="CN785" s="91"/>
      <c r="CO785" s="91"/>
      <c r="CP785" s="91"/>
    </row>
    <row r="786" spans="1:94" s="210" customFormat="1" ht="38.25" customHeight="1">
      <c r="A786" s="20" t="s">
        <v>1</v>
      </c>
      <c r="B786" s="17" t="s">
        <v>68</v>
      </c>
      <c r="C786" s="20" t="s">
        <v>2405</v>
      </c>
      <c r="D786" s="20" t="s">
        <v>2414</v>
      </c>
      <c r="E786" s="20" t="s">
        <v>379</v>
      </c>
      <c r="F786" s="20" t="s">
        <v>2400</v>
      </c>
      <c r="G786" s="21" t="s">
        <v>63</v>
      </c>
      <c r="H786" s="20">
        <v>561720</v>
      </c>
      <c r="I786" s="20" t="s">
        <v>1070</v>
      </c>
      <c r="J786" s="20" t="s">
        <v>546</v>
      </c>
      <c r="K786" s="20" t="s">
        <v>50</v>
      </c>
      <c r="L786" s="20" t="s">
        <v>2401</v>
      </c>
      <c r="M786" s="22">
        <v>5500000</v>
      </c>
      <c r="N786" s="23">
        <v>5500000</v>
      </c>
      <c r="O786" s="20" t="s">
        <v>20</v>
      </c>
      <c r="P786" s="17" t="s">
        <v>2415</v>
      </c>
      <c r="Q786" s="17" t="s">
        <v>2416</v>
      </c>
      <c r="R786" s="20" t="s">
        <v>31</v>
      </c>
      <c r="S786" s="24">
        <v>2013</v>
      </c>
      <c r="T786" s="20" t="s">
        <v>2417</v>
      </c>
      <c r="U786" s="21" t="s">
        <v>2418</v>
      </c>
      <c r="V786" s="209" t="s">
        <v>2419</v>
      </c>
      <c r="W786" s="94" t="s">
        <v>2010</v>
      </c>
      <c r="X786" s="20" t="s">
        <v>2413</v>
      </c>
      <c r="Y786" s="91"/>
      <c r="Z786" s="91"/>
      <c r="AA786" s="91"/>
      <c r="AB786" s="91"/>
      <c r="AC786" s="91"/>
      <c r="AD786" s="91"/>
      <c r="AE786" s="91"/>
      <c r="AF786" s="91"/>
      <c r="AG786" s="91"/>
      <c r="AH786" s="91"/>
      <c r="AI786" s="91"/>
      <c r="AJ786" s="91"/>
      <c r="AK786" s="91"/>
      <c r="AL786" s="91"/>
      <c r="AM786" s="91"/>
      <c r="AN786" s="91"/>
      <c r="AO786" s="91"/>
      <c r="AP786" s="91"/>
      <c r="AQ786" s="91"/>
      <c r="AR786" s="91"/>
      <c r="AS786" s="91"/>
      <c r="AT786" s="91"/>
      <c r="AU786" s="91"/>
      <c r="AV786" s="91"/>
      <c r="AW786" s="91"/>
      <c r="AX786" s="91"/>
      <c r="AY786" s="91"/>
      <c r="AZ786" s="91"/>
      <c r="BA786" s="91"/>
      <c r="BB786" s="91"/>
      <c r="BC786" s="91"/>
      <c r="BD786" s="91"/>
      <c r="BE786" s="91"/>
      <c r="BF786" s="91"/>
      <c r="BG786" s="91"/>
      <c r="BH786" s="91"/>
      <c r="BI786" s="91"/>
      <c r="BJ786" s="91"/>
      <c r="BK786" s="91"/>
      <c r="BL786" s="91"/>
      <c r="BM786" s="91"/>
      <c r="BN786" s="91"/>
      <c r="BO786" s="91"/>
      <c r="BP786" s="91"/>
      <c r="BQ786" s="91"/>
      <c r="BR786" s="91"/>
      <c r="BS786" s="91"/>
      <c r="BT786" s="91"/>
      <c r="BU786" s="91"/>
      <c r="BV786" s="91"/>
      <c r="BW786" s="91"/>
      <c r="BX786" s="91"/>
      <c r="BY786" s="91"/>
      <c r="BZ786" s="91"/>
      <c r="CA786" s="91"/>
      <c r="CB786" s="91"/>
      <c r="CC786" s="91"/>
      <c r="CD786" s="91"/>
      <c r="CE786" s="91"/>
      <c r="CF786" s="91"/>
      <c r="CG786" s="91"/>
      <c r="CH786" s="91"/>
      <c r="CI786" s="91"/>
      <c r="CJ786" s="91"/>
      <c r="CK786" s="91"/>
      <c r="CL786" s="91"/>
      <c r="CM786" s="91"/>
      <c r="CN786" s="91"/>
      <c r="CO786" s="91"/>
      <c r="CP786" s="91"/>
    </row>
    <row r="787" spans="1:94" s="210" customFormat="1" ht="38.25" customHeight="1">
      <c r="A787" s="20" t="s">
        <v>1</v>
      </c>
      <c r="B787" s="17" t="s">
        <v>68</v>
      </c>
      <c r="C787" s="20" t="s">
        <v>2405</v>
      </c>
      <c r="D787" s="20" t="s">
        <v>2420</v>
      </c>
      <c r="E787" s="20" t="s">
        <v>2421</v>
      </c>
      <c r="F787" s="20" t="s">
        <v>2400</v>
      </c>
      <c r="G787" s="21" t="s">
        <v>63</v>
      </c>
      <c r="H787" s="20">
        <v>561710</v>
      </c>
      <c r="I787" s="20" t="s">
        <v>1622</v>
      </c>
      <c r="J787" s="20" t="s">
        <v>546</v>
      </c>
      <c r="K787" s="20" t="s">
        <v>2422</v>
      </c>
      <c r="L787" s="20" t="s">
        <v>2423</v>
      </c>
      <c r="M787" s="22">
        <v>100000</v>
      </c>
      <c r="N787" s="23">
        <v>100000</v>
      </c>
      <c r="O787" s="20" t="s">
        <v>20</v>
      </c>
      <c r="P787" s="17" t="s">
        <v>2424</v>
      </c>
      <c r="Q787" s="17" t="s">
        <v>2425</v>
      </c>
      <c r="R787" s="20" t="s">
        <v>31</v>
      </c>
      <c r="S787" s="24">
        <v>2013</v>
      </c>
      <c r="T787" s="20" t="s">
        <v>2426</v>
      </c>
      <c r="U787" s="21" t="s">
        <v>2427</v>
      </c>
      <c r="V787" s="209" t="s">
        <v>2428</v>
      </c>
      <c r="W787" s="94" t="s">
        <v>2010</v>
      </c>
      <c r="X787" s="20" t="s">
        <v>2413</v>
      </c>
      <c r="Y787" s="91"/>
      <c r="Z787" s="91"/>
      <c r="AA787" s="91"/>
      <c r="AB787" s="91"/>
      <c r="AC787" s="91"/>
      <c r="AD787" s="91"/>
      <c r="AE787" s="91"/>
      <c r="AF787" s="91"/>
      <c r="AG787" s="91"/>
      <c r="AH787" s="91"/>
      <c r="AI787" s="91"/>
      <c r="AJ787" s="91"/>
      <c r="AK787" s="91"/>
      <c r="AL787" s="91"/>
      <c r="AM787" s="91"/>
      <c r="AN787" s="91"/>
      <c r="AO787" s="91"/>
      <c r="AP787" s="91"/>
      <c r="AQ787" s="91"/>
      <c r="AR787" s="91"/>
      <c r="AS787" s="91"/>
      <c r="AT787" s="91"/>
      <c r="AU787" s="91"/>
      <c r="AV787" s="91"/>
      <c r="AW787" s="91"/>
      <c r="AX787" s="91"/>
      <c r="AY787" s="91"/>
      <c r="AZ787" s="91"/>
      <c r="BA787" s="91"/>
      <c r="BB787" s="91"/>
      <c r="BC787" s="91"/>
      <c r="BD787" s="91"/>
      <c r="BE787" s="91"/>
      <c r="BF787" s="91"/>
      <c r="BG787" s="91"/>
      <c r="BH787" s="91"/>
      <c r="BI787" s="91"/>
      <c r="BJ787" s="91"/>
      <c r="BK787" s="91"/>
      <c r="BL787" s="91"/>
      <c r="BM787" s="91"/>
      <c r="BN787" s="91"/>
      <c r="BO787" s="91"/>
      <c r="BP787" s="91"/>
      <c r="BQ787" s="91"/>
      <c r="BR787" s="91"/>
      <c r="BS787" s="91"/>
      <c r="BT787" s="91"/>
      <c r="BU787" s="91"/>
      <c r="BV787" s="91"/>
      <c r="BW787" s="91"/>
      <c r="BX787" s="91"/>
      <c r="BY787" s="91"/>
      <c r="BZ787" s="91"/>
      <c r="CA787" s="91"/>
      <c r="CB787" s="91"/>
      <c r="CC787" s="91"/>
      <c r="CD787" s="91"/>
      <c r="CE787" s="91"/>
      <c r="CF787" s="91"/>
      <c r="CG787" s="91"/>
      <c r="CH787" s="91"/>
      <c r="CI787" s="91"/>
      <c r="CJ787" s="91"/>
      <c r="CK787" s="91"/>
      <c r="CL787" s="91"/>
      <c r="CM787" s="91"/>
      <c r="CN787" s="91"/>
      <c r="CO787" s="91"/>
      <c r="CP787" s="91"/>
    </row>
    <row r="788" spans="1:94" s="210" customFormat="1" ht="38.25" customHeight="1">
      <c r="A788" s="20" t="s">
        <v>1</v>
      </c>
      <c r="B788" s="17" t="s">
        <v>68</v>
      </c>
      <c r="C788" s="20" t="s">
        <v>2405</v>
      </c>
      <c r="D788" s="20" t="s">
        <v>2429</v>
      </c>
      <c r="E788" s="20" t="s">
        <v>2430</v>
      </c>
      <c r="F788" s="20" t="s">
        <v>2400</v>
      </c>
      <c r="G788" s="21" t="s">
        <v>63</v>
      </c>
      <c r="H788" s="20">
        <v>561210</v>
      </c>
      <c r="I788" s="20" t="s">
        <v>1622</v>
      </c>
      <c r="J788" s="20" t="s">
        <v>546</v>
      </c>
      <c r="K788" s="20" t="s">
        <v>2422</v>
      </c>
      <c r="L788" s="20" t="s">
        <v>2423</v>
      </c>
      <c r="M788" s="22">
        <v>7500000</v>
      </c>
      <c r="N788" s="23">
        <v>7500000</v>
      </c>
      <c r="O788" s="20" t="s">
        <v>20</v>
      </c>
      <c r="P788" s="17" t="s">
        <v>2431</v>
      </c>
      <c r="Q788" s="17" t="s">
        <v>2425</v>
      </c>
      <c r="R788" s="20" t="s">
        <v>31</v>
      </c>
      <c r="S788" s="24">
        <v>2013</v>
      </c>
      <c r="T788" s="20" t="s">
        <v>2402</v>
      </c>
      <c r="U788" s="21" t="s">
        <v>2403</v>
      </c>
      <c r="V788" s="209" t="s">
        <v>2404</v>
      </c>
      <c r="W788" s="94" t="s">
        <v>2010</v>
      </c>
      <c r="X788" s="20" t="s">
        <v>2413</v>
      </c>
      <c r="Y788" s="91"/>
      <c r="Z788" s="91"/>
      <c r="AA788" s="91"/>
      <c r="AB788" s="91"/>
      <c r="AC788" s="91"/>
      <c r="AD788" s="91"/>
      <c r="AE788" s="91"/>
      <c r="AF788" s="91"/>
      <c r="AG788" s="91"/>
      <c r="AH788" s="91"/>
      <c r="AI788" s="91"/>
      <c r="AJ788" s="91"/>
      <c r="AK788" s="91"/>
      <c r="AL788" s="91"/>
      <c r="AM788" s="91"/>
      <c r="AN788" s="91"/>
      <c r="AO788" s="91"/>
      <c r="AP788" s="91"/>
      <c r="AQ788" s="91"/>
      <c r="AR788" s="91"/>
      <c r="AS788" s="91"/>
      <c r="AT788" s="91"/>
      <c r="AU788" s="91"/>
      <c r="AV788" s="91"/>
      <c r="AW788" s="91"/>
      <c r="AX788" s="91"/>
      <c r="AY788" s="91"/>
      <c r="AZ788" s="91"/>
      <c r="BA788" s="91"/>
      <c r="BB788" s="91"/>
      <c r="BC788" s="91"/>
      <c r="BD788" s="91"/>
      <c r="BE788" s="91"/>
      <c r="BF788" s="91"/>
      <c r="BG788" s="91"/>
      <c r="BH788" s="91"/>
      <c r="BI788" s="91"/>
      <c r="BJ788" s="91"/>
      <c r="BK788" s="91"/>
      <c r="BL788" s="91"/>
      <c r="BM788" s="91"/>
      <c r="BN788" s="91"/>
      <c r="BO788" s="91"/>
      <c r="BP788" s="91"/>
      <c r="BQ788" s="91"/>
      <c r="BR788" s="91"/>
      <c r="BS788" s="91"/>
      <c r="BT788" s="91"/>
      <c r="BU788" s="91"/>
      <c r="BV788" s="91"/>
      <c r="BW788" s="91"/>
      <c r="BX788" s="91"/>
      <c r="BY788" s="91"/>
      <c r="BZ788" s="91"/>
      <c r="CA788" s="91"/>
      <c r="CB788" s="91"/>
      <c r="CC788" s="91"/>
      <c r="CD788" s="91"/>
      <c r="CE788" s="91"/>
      <c r="CF788" s="91"/>
      <c r="CG788" s="91"/>
      <c r="CH788" s="91"/>
      <c r="CI788" s="91"/>
      <c r="CJ788" s="91"/>
      <c r="CK788" s="91"/>
      <c r="CL788" s="91"/>
      <c r="CM788" s="91"/>
      <c r="CN788" s="91"/>
      <c r="CO788" s="91"/>
      <c r="CP788" s="91"/>
    </row>
    <row r="789" spans="1:94" s="210" customFormat="1" ht="38.25" customHeight="1" thickBot="1">
      <c r="A789" s="20" t="s">
        <v>1</v>
      </c>
      <c r="B789" s="17" t="s">
        <v>68</v>
      </c>
      <c r="C789" s="20" t="s">
        <v>2405</v>
      </c>
      <c r="D789" s="20" t="s">
        <v>2432</v>
      </c>
      <c r="E789" s="20" t="s">
        <v>1647</v>
      </c>
      <c r="F789" s="20" t="s">
        <v>2400</v>
      </c>
      <c r="G789" s="21" t="s">
        <v>63</v>
      </c>
      <c r="H789" s="20">
        <v>561210</v>
      </c>
      <c r="I789" s="20" t="s">
        <v>1070</v>
      </c>
      <c r="J789" s="20" t="s">
        <v>546</v>
      </c>
      <c r="K789" s="20" t="s">
        <v>50</v>
      </c>
      <c r="L789" s="20" t="s">
        <v>2401</v>
      </c>
      <c r="M789" s="22">
        <v>85000000</v>
      </c>
      <c r="N789" s="23">
        <v>18000000</v>
      </c>
      <c r="O789" s="20" t="s">
        <v>20</v>
      </c>
      <c r="P789" s="17" t="s">
        <v>2433</v>
      </c>
      <c r="Q789" s="17" t="s">
        <v>2425</v>
      </c>
      <c r="R789" s="20" t="s">
        <v>41</v>
      </c>
      <c r="S789" s="24">
        <v>2013</v>
      </c>
      <c r="T789" s="20" t="s">
        <v>2434</v>
      </c>
      <c r="U789" s="21" t="s">
        <v>2435</v>
      </c>
      <c r="V789" s="209" t="s">
        <v>2436</v>
      </c>
      <c r="W789" s="94" t="s">
        <v>2010</v>
      </c>
      <c r="X789" s="20" t="s">
        <v>2437</v>
      </c>
      <c r="Y789" s="91"/>
      <c r="Z789" s="91"/>
      <c r="AA789" s="91"/>
      <c r="AB789" s="91"/>
      <c r="AC789" s="91"/>
      <c r="AD789" s="91"/>
      <c r="AE789" s="91"/>
      <c r="AF789" s="91"/>
      <c r="AG789" s="91"/>
      <c r="AH789" s="91"/>
      <c r="AI789" s="91"/>
      <c r="AJ789" s="91"/>
      <c r="AK789" s="91"/>
      <c r="AL789" s="91"/>
      <c r="AM789" s="91"/>
      <c r="AN789" s="91"/>
      <c r="AO789" s="91"/>
      <c r="AP789" s="91"/>
      <c r="AQ789" s="91"/>
      <c r="AR789" s="91"/>
      <c r="AS789" s="91"/>
      <c r="AT789" s="91"/>
      <c r="AU789" s="91"/>
      <c r="AV789" s="91"/>
      <c r="AW789" s="91"/>
      <c r="AX789" s="91"/>
      <c r="AY789" s="91"/>
      <c r="AZ789" s="91"/>
      <c r="BA789" s="91"/>
      <c r="BB789" s="91"/>
      <c r="BC789" s="91"/>
      <c r="BD789" s="91"/>
      <c r="BE789" s="91"/>
      <c r="BF789" s="91"/>
      <c r="BG789" s="91"/>
      <c r="BH789" s="91"/>
      <c r="BI789" s="91"/>
      <c r="BJ789" s="91"/>
      <c r="BK789" s="91"/>
      <c r="BL789" s="91"/>
      <c r="BM789" s="91"/>
      <c r="BN789" s="91"/>
      <c r="BO789" s="91"/>
      <c r="BP789" s="91"/>
      <c r="BQ789" s="91"/>
      <c r="BR789" s="91"/>
      <c r="BS789" s="91"/>
      <c r="BT789" s="91"/>
      <c r="BU789" s="91"/>
      <c r="BV789" s="91"/>
      <c r="BW789" s="91"/>
      <c r="BX789" s="91"/>
      <c r="BY789" s="91"/>
      <c r="BZ789" s="91"/>
      <c r="CA789" s="91"/>
      <c r="CB789" s="91"/>
      <c r="CC789" s="91"/>
      <c r="CD789" s="91"/>
      <c r="CE789" s="91"/>
      <c r="CF789" s="91"/>
      <c r="CG789" s="91"/>
      <c r="CH789" s="91"/>
      <c r="CI789" s="91"/>
      <c r="CJ789" s="91"/>
      <c r="CK789" s="91"/>
      <c r="CL789" s="91"/>
      <c r="CM789" s="91"/>
      <c r="CN789" s="91"/>
      <c r="CO789" s="91"/>
      <c r="CP789" s="91"/>
    </row>
    <row r="790" spans="1:94" ht="38.25" customHeight="1">
      <c r="A790" s="287" t="s">
        <v>1</v>
      </c>
      <c r="B790" s="14" t="s">
        <v>76</v>
      </c>
      <c r="C790" s="14" t="s">
        <v>45</v>
      </c>
      <c r="D790" s="14" t="s">
        <v>1651</v>
      </c>
      <c r="E790" s="288" t="s">
        <v>138</v>
      </c>
      <c r="F790" s="14" t="s">
        <v>1652</v>
      </c>
      <c r="G790" s="289" t="s">
        <v>37</v>
      </c>
      <c r="H790" s="221">
        <v>238220</v>
      </c>
      <c r="I790" s="221" t="s">
        <v>28</v>
      </c>
      <c r="J790" s="221" t="s">
        <v>109</v>
      </c>
      <c r="K790" s="221" t="s">
        <v>28</v>
      </c>
      <c r="L790" s="221" t="s">
        <v>1147</v>
      </c>
      <c r="M790" s="290">
        <v>100000</v>
      </c>
      <c r="N790" s="290">
        <v>100000</v>
      </c>
      <c r="O790" s="221" t="s">
        <v>9</v>
      </c>
      <c r="P790" s="221" t="s">
        <v>278</v>
      </c>
      <c r="Q790" s="221" t="s">
        <v>279</v>
      </c>
      <c r="R790" s="221" t="s">
        <v>10</v>
      </c>
      <c r="S790" s="291">
        <v>2013</v>
      </c>
      <c r="T790" s="221" t="s">
        <v>1653</v>
      </c>
      <c r="U790" s="221" t="s">
        <v>1654</v>
      </c>
      <c r="V790" s="292" t="s">
        <v>1655</v>
      </c>
      <c r="W790" s="221" t="s">
        <v>2011</v>
      </c>
      <c r="X790" s="14" t="s">
        <v>3</v>
      </c>
    </row>
    <row r="791" spans="1:94" ht="38.25" customHeight="1">
      <c r="A791" s="105" t="s">
        <v>1</v>
      </c>
      <c r="B791" s="14" t="s">
        <v>76</v>
      </c>
      <c r="C791" s="14" t="s">
        <v>45</v>
      </c>
      <c r="D791" s="14" t="s">
        <v>1656</v>
      </c>
      <c r="E791" s="286" t="s">
        <v>138</v>
      </c>
      <c r="F791" s="14" t="s">
        <v>1652</v>
      </c>
      <c r="G791" s="242" t="s">
        <v>37</v>
      </c>
      <c r="H791" s="14">
        <v>238220</v>
      </c>
      <c r="I791" s="14" t="s">
        <v>28</v>
      </c>
      <c r="J791" s="14" t="s">
        <v>109</v>
      </c>
      <c r="K791" s="14" t="s">
        <v>28</v>
      </c>
      <c r="L791" s="14" t="s">
        <v>1147</v>
      </c>
      <c r="M791" s="250">
        <v>175000</v>
      </c>
      <c r="N791" s="250">
        <v>175000</v>
      </c>
      <c r="O791" s="14" t="s">
        <v>9</v>
      </c>
      <c r="P791" s="14" t="s">
        <v>278</v>
      </c>
      <c r="Q791" s="14" t="s">
        <v>279</v>
      </c>
      <c r="R791" s="14" t="s">
        <v>10</v>
      </c>
      <c r="S791" s="293">
        <v>2013</v>
      </c>
      <c r="T791" s="14" t="s">
        <v>1657</v>
      </c>
      <c r="U791" s="14" t="s">
        <v>1658</v>
      </c>
      <c r="V791" s="294" t="s">
        <v>1659</v>
      </c>
      <c r="W791" s="14" t="s">
        <v>2011</v>
      </c>
      <c r="X791" s="14" t="s">
        <v>1187</v>
      </c>
    </row>
    <row r="792" spans="1:94" ht="38.25" customHeight="1">
      <c r="A792" s="105" t="s">
        <v>1</v>
      </c>
      <c r="B792" s="14" t="s">
        <v>76</v>
      </c>
      <c r="C792" s="14" t="s">
        <v>45</v>
      </c>
      <c r="D792" s="14" t="s">
        <v>1660</v>
      </c>
      <c r="E792" s="286" t="s">
        <v>138</v>
      </c>
      <c r="F792" s="14" t="s">
        <v>1652</v>
      </c>
      <c r="G792" s="242" t="s">
        <v>37</v>
      </c>
      <c r="H792" s="14">
        <v>238220</v>
      </c>
      <c r="I792" s="14" t="s">
        <v>28</v>
      </c>
      <c r="J792" s="14" t="s">
        <v>109</v>
      </c>
      <c r="K792" s="14" t="s">
        <v>28</v>
      </c>
      <c r="L792" s="14" t="s">
        <v>1147</v>
      </c>
      <c r="M792" s="250">
        <v>50400</v>
      </c>
      <c r="N792" s="250">
        <v>50400</v>
      </c>
      <c r="O792" s="14" t="s">
        <v>9</v>
      </c>
      <c r="P792" s="14" t="s">
        <v>278</v>
      </c>
      <c r="Q792" s="14" t="s">
        <v>279</v>
      </c>
      <c r="R792" s="14" t="s">
        <v>10</v>
      </c>
      <c r="S792" s="293">
        <v>2013</v>
      </c>
      <c r="T792" s="14" t="s">
        <v>1653</v>
      </c>
      <c r="U792" s="14" t="s">
        <v>1654</v>
      </c>
      <c r="V792" s="294" t="s">
        <v>1655</v>
      </c>
      <c r="W792" s="14" t="s">
        <v>2011</v>
      </c>
      <c r="X792" s="14" t="s">
        <v>3</v>
      </c>
    </row>
    <row r="793" spans="1:94" ht="38.25" customHeight="1">
      <c r="A793" s="105" t="s">
        <v>1</v>
      </c>
      <c r="B793" s="14" t="s">
        <v>76</v>
      </c>
      <c r="C793" s="14" t="s">
        <v>45</v>
      </c>
      <c r="D793" s="14" t="s">
        <v>1661</v>
      </c>
      <c r="E793" s="286" t="s">
        <v>138</v>
      </c>
      <c r="F793" s="14" t="s">
        <v>1652</v>
      </c>
      <c r="G793" s="242" t="s">
        <v>37</v>
      </c>
      <c r="H793" s="14">
        <v>238220</v>
      </c>
      <c r="I793" s="14" t="s">
        <v>28</v>
      </c>
      <c r="J793" s="14" t="s">
        <v>109</v>
      </c>
      <c r="K793" s="14" t="s">
        <v>28</v>
      </c>
      <c r="L793" s="14" t="s">
        <v>1147</v>
      </c>
      <c r="M793" s="250">
        <v>72500</v>
      </c>
      <c r="N793" s="250">
        <v>72500</v>
      </c>
      <c r="O793" s="14" t="s">
        <v>9</v>
      </c>
      <c r="P793" s="14" t="s">
        <v>278</v>
      </c>
      <c r="Q793" s="14" t="s">
        <v>279</v>
      </c>
      <c r="R793" s="14" t="s">
        <v>10</v>
      </c>
      <c r="S793" s="293">
        <v>2013</v>
      </c>
      <c r="T793" s="14" t="s">
        <v>1653</v>
      </c>
      <c r="U793" s="14" t="s">
        <v>1654</v>
      </c>
      <c r="V793" s="294" t="s">
        <v>1655</v>
      </c>
      <c r="W793" s="14" t="s">
        <v>2011</v>
      </c>
      <c r="X793" s="14" t="s">
        <v>2800</v>
      </c>
    </row>
    <row r="794" spans="1:94" ht="38.25" customHeight="1">
      <c r="A794" s="105" t="s">
        <v>1</v>
      </c>
      <c r="B794" s="14" t="s">
        <v>76</v>
      </c>
      <c r="C794" s="14" t="s">
        <v>45</v>
      </c>
      <c r="D794" s="14" t="s">
        <v>1662</v>
      </c>
      <c r="E794" s="286" t="s">
        <v>138</v>
      </c>
      <c r="F794" s="14" t="s">
        <v>1652</v>
      </c>
      <c r="G794" s="242" t="s">
        <v>37</v>
      </c>
      <c r="H794" s="14">
        <v>238220</v>
      </c>
      <c r="I794" s="14" t="s">
        <v>28</v>
      </c>
      <c r="J794" s="14" t="s">
        <v>109</v>
      </c>
      <c r="K794" s="14" t="s">
        <v>28</v>
      </c>
      <c r="L794" s="14" t="s">
        <v>1147</v>
      </c>
      <c r="M794" s="250">
        <v>60200</v>
      </c>
      <c r="N794" s="250">
        <v>60200</v>
      </c>
      <c r="O794" s="14" t="s">
        <v>9</v>
      </c>
      <c r="P794" s="14" t="s">
        <v>278</v>
      </c>
      <c r="Q794" s="14" t="s">
        <v>279</v>
      </c>
      <c r="R794" s="14" t="s">
        <v>10</v>
      </c>
      <c r="S794" s="293">
        <v>2013</v>
      </c>
      <c r="T794" s="14" t="s">
        <v>1653</v>
      </c>
      <c r="U794" s="14" t="s">
        <v>1654</v>
      </c>
      <c r="V794" s="294" t="s">
        <v>1655</v>
      </c>
      <c r="W794" s="14" t="s">
        <v>2011</v>
      </c>
      <c r="X794" s="14" t="s">
        <v>3</v>
      </c>
    </row>
    <row r="795" spans="1:94" ht="38.25" customHeight="1">
      <c r="A795" s="105" t="s">
        <v>1</v>
      </c>
      <c r="B795" s="14" t="s">
        <v>76</v>
      </c>
      <c r="C795" s="14" t="s">
        <v>45</v>
      </c>
      <c r="D795" s="14" t="s">
        <v>1663</v>
      </c>
      <c r="E795" s="286" t="s">
        <v>138</v>
      </c>
      <c r="F795" s="14" t="s">
        <v>1652</v>
      </c>
      <c r="G795" s="242" t="s">
        <v>37</v>
      </c>
      <c r="H795" s="14">
        <v>238220</v>
      </c>
      <c r="I795" s="14" t="s">
        <v>28</v>
      </c>
      <c r="J795" s="14" t="s">
        <v>109</v>
      </c>
      <c r="K795" s="14" t="s">
        <v>28</v>
      </c>
      <c r="L795" s="14" t="s">
        <v>1147</v>
      </c>
      <c r="M795" s="250">
        <v>29100</v>
      </c>
      <c r="N795" s="250">
        <v>29100</v>
      </c>
      <c r="O795" s="14" t="s">
        <v>9</v>
      </c>
      <c r="P795" s="14" t="s">
        <v>278</v>
      </c>
      <c r="Q795" s="14" t="s">
        <v>279</v>
      </c>
      <c r="R795" s="14" t="s">
        <v>10</v>
      </c>
      <c r="S795" s="293">
        <v>2013</v>
      </c>
      <c r="T795" s="14" t="s">
        <v>1653</v>
      </c>
      <c r="U795" s="14" t="s">
        <v>1654</v>
      </c>
      <c r="V795" s="294" t="s">
        <v>1655</v>
      </c>
      <c r="W795" s="14" t="s">
        <v>2011</v>
      </c>
      <c r="X795" s="14" t="s">
        <v>2800</v>
      </c>
    </row>
    <row r="796" spans="1:94" ht="38.25" customHeight="1">
      <c r="A796" s="105" t="s">
        <v>1</v>
      </c>
      <c r="B796" s="14" t="s">
        <v>76</v>
      </c>
      <c r="C796" s="14" t="s">
        <v>45</v>
      </c>
      <c r="D796" s="14" t="s">
        <v>1664</v>
      </c>
      <c r="E796" s="286" t="s">
        <v>138</v>
      </c>
      <c r="F796" s="14" t="s">
        <v>1652</v>
      </c>
      <c r="G796" s="242" t="s">
        <v>37</v>
      </c>
      <c r="H796" s="14">
        <v>238220</v>
      </c>
      <c r="I796" s="14" t="s">
        <v>28</v>
      </c>
      <c r="J796" s="14" t="s">
        <v>109</v>
      </c>
      <c r="K796" s="14" t="s">
        <v>28</v>
      </c>
      <c r="L796" s="14" t="s">
        <v>1147</v>
      </c>
      <c r="M796" s="250">
        <v>83900</v>
      </c>
      <c r="N796" s="250">
        <v>83900</v>
      </c>
      <c r="O796" s="14" t="s">
        <v>9</v>
      </c>
      <c r="P796" s="14" t="s">
        <v>278</v>
      </c>
      <c r="Q796" s="14" t="s">
        <v>279</v>
      </c>
      <c r="R796" s="14" t="s">
        <v>10</v>
      </c>
      <c r="S796" s="293">
        <v>2013</v>
      </c>
      <c r="T796" s="14" t="s">
        <v>1653</v>
      </c>
      <c r="U796" s="14" t="s">
        <v>1654</v>
      </c>
      <c r="V796" s="294" t="s">
        <v>1655</v>
      </c>
      <c r="W796" s="14" t="s">
        <v>2011</v>
      </c>
      <c r="X796" s="14" t="s">
        <v>3</v>
      </c>
    </row>
    <row r="797" spans="1:94" ht="38.25" customHeight="1">
      <c r="A797" s="105" t="s">
        <v>1</v>
      </c>
      <c r="B797" s="14" t="s">
        <v>76</v>
      </c>
      <c r="C797" s="14" t="s">
        <v>1187</v>
      </c>
      <c r="D797" s="14" t="s">
        <v>1670</v>
      </c>
      <c r="E797" s="286" t="s">
        <v>135</v>
      </c>
      <c r="F797" s="14" t="s">
        <v>1666</v>
      </c>
      <c r="G797" s="242" t="s">
        <v>55</v>
      </c>
      <c r="H797" s="14">
        <v>236220</v>
      </c>
      <c r="I797" s="14" t="s">
        <v>28</v>
      </c>
      <c r="J797" s="14" t="s">
        <v>79</v>
      </c>
      <c r="K797" s="14" t="s">
        <v>40</v>
      </c>
      <c r="L797" s="14" t="s">
        <v>1340</v>
      </c>
      <c r="M797" s="250">
        <v>10000</v>
      </c>
      <c r="N797" s="250">
        <v>750000</v>
      </c>
      <c r="O797" s="14" t="s">
        <v>1671</v>
      </c>
      <c r="P797" s="14" t="s">
        <v>1672</v>
      </c>
      <c r="Q797" s="14" t="s">
        <v>1673</v>
      </c>
      <c r="R797" s="14" t="s">
        <v>10</v>
      </c>
      <c r="S797" s="293">
        <v>2013</v>
      </c>
      <c r="T797" s="14" t="s">
        <v>1667</v>
      </c>
      <c r="U797" s="14" t="s">
        <v>1668</v>
      </c>
      <c r="V797" s="294" t="s">
        <v>1669</v>
      </c>
      <c r="W797" s="14" t="s">
        <v>2011</v>
      </c>
      <c r="X797" s="14" t="s">
        <v>1674</v>
      </c>
    </row>
    <row r="798" spans="1:94" ht="38.25" customHeight="1">
      <c r="A798" s="105" t="s">
        <v>1</v>
      </c>
      <c r="B798" s="14" t="s">
        <v>76</v>
      </c>
      <c r="C798" s="14" t="s">
        <v>1675</v>
      </c>
      <c r="D798" s="14" t="s">
        <v>1676</v>
      </c>
      <c r="E798" s="286" t="s">
        <v>120</v>
      </c>
      <c r="F798" s="14" t="s">
        <v>1677</v>
      </c>
      <c r="G798" s="242" t="s">
        <v>55</v>
      </c>
      <c r="H798" s="14">
        <v>238220</v>
      </c>
      <c r="I798" s="14" t="s">
        <v>1678</v>
      </c>
      <c r="J798" s="14" t="s">
        <v>546</v>
      </c>
      <c r="K798" s="14" t="s">
        <v>28</v>
      </c>
      <c r="L798" s="14" t="s">
        <v>1679</v>
      </c>
      <c r="M798" s="250">
        <v>100000</v>
      </c>
      <c r="N798" s="250">
        <v>250000</v>
      </c>
      <c r="O798" s="14" t="s">
        <v>20</v>
      </c>
      <c r="P798" s="14" t="s">
        <v>278</v>
      </c>
      <c r="Q798" s="14" t="s">
        <v>279</v>
      </c>
      <c r="R798" s="14" t="s">
        <v>10</v>
      </c>
      <c r="S798" s="293">
        <v>2013</v>
      </c>
      <c r="T798" s="14" t="s">
        <v>1680</v>
      </c>
      <c r="U798" s="14" t="s">
        <v>1681</v>
      </c>
      <c r="V798" s="294" t="s">
        <v>1682</v>
      </c>
      <c r="W798" s="14" t="s">
        <v>2011</v>
      </c>
      <c r="X798" s="14" t="s">
        <v>1675</v>
      </c>
    </row>
    <row r="799" spans="1:94" ht="38.25" customHeight="1">
      <c r="A799" s="105" t="s">
        <v>1</v>
      </c>
      <c r="B799" s="14" t="s">
        <v>76</v>
      </c>
      <c r="C799" s="14" t="s">
        <v>1675</v>
      </c>
      <c r="D799" s="14" t="s">
        <v>1683</v>
      </c>
      <c r="E799" s="286" t="s">
        <v>138</v>
      </c>
      <c r="F799" s="14" t="s">
        <v>1684</v>
      </c>
      <c r="G799" s="242" t="s">
        <v>55</v>
      </c>
      <c r="H799" s="14">
        <v>238220</v>
      </c>
      <c r="I799" s="14" t="s">
        <v>1678</v>
      </c>
      <c r="J799" s="14" t="s">
        <v>546</v>
      </c>
      <c r="K799" s="14" t="s">
        <v>28</v>
      </c>
      <c r="L799" s="14" t="s">
        <v>1679</v>
      </c>
      <c r="M799" s="250">
        <v>250000</v>
      </c>
      <c r="N799" s="250">
        <v>500000</v>
      </c>
      <c r="O799" s="14" t="s">
        <v>20</v>
      </c>
      <c r="P799" s="14" t="s">
        <v>278</v>
      </c>
      <c r="Q799" s="14" t="s">
        <v>279</v>
      </c>
      <c r="R799" s="14" t="s">
        <v>21</v>
      </c>
      <c r="S799" s="293">
        <v>2013</v>
      </c>
      <c r="T799" s="14" t="s">
        <v>1680</v>
      </c>
      <c r="U799" s="14" t="s">
        <v>1681</v>
      </c>
      <c r="V799" s="294" t="s">
        <v>1682</v>
      </c>
      <c r="W799" s="14" t="s">
        <v>2011</v>
      </c>
      <c r="X799" s="14" t="s">
        <v>1675</v>
      </c>
    </row>
    <row r="800" spans="1:94" ht="38.25" customHeight="1">
      <c r="A800" s="105" t="s">
        <v>1</v>
      </c>
      <c r="B800" s="14" t="s">
        <v>76</v>
      </c>
      <c r="C800" s="14" t="s">
        <v>1675</v>
      </c>
      <c r="D800" s="14" t="s">
        <v>1685</v>
      </c>
      <c r="E800" s="286" t="s">
        <v>138</v>
      </c>
      <c r="F800" s="14" t="s">
        <v>1684</v>
      </c>
      <c r="G800" s="242" t="s">
        <v>55</v>
      </c>
      <c r="H800" s="14">
        <v>238220</v>
      </c>
      <c r="I800" s="14" t="s">
        <v>1678</v>
      </c>
      <c r="J800" s="14" t="s">
        <v>546</v>
      </c>
      <c r="K800" s="14" t="s">
        <v>28</v>
      </c>
      <c r="L800" s="14" t="s">
        <v>1679</v>
      </c>
      <c r="M800" s="250">
        <v>250000</v>
      </c>
      <c r="N800" s="250">
        <v>500000</v>
      </c>
      <c r="O800" s="14" t="s">
        <v>20</v>
      </c>
      <c r="P800" s="14" t="s">
        <v>278</v>
      </c>
      <c r="Q800" s="14" t="s">
        <v>279</v>
      </c>
      <c r="R800" s="14" t="s">
        <v>21</v>
      </c>
      <c r="S800" s="293">
        <v>2013</v>
      </c>
      <c r="T800" s="14" t="s">
        <v>1680</v>
      </c>
      <c r="U800" s="14" t="s">
        <v>1681</v>
      </c>
      <c r="V800" s="294" t="s">
        <v>1682</v>
      </c>
      <c r="W800" s="14" t="s">
        <v>2011</v>
      </c>
      <c r="X800" s="14" t="s">
        <v>1675</v>
      </c>
    </row>
    <row r="801" spans="1:24" ht="38.25" customHeight="1">
      <c r="A801" s="105" t="s">
        <v>1</v>
      </c>
      <c r="B801" s="14" t="s">
        <v>76</v>
      </c>
      <c r="C801" s="14" t="s">
        <v>1675</v>
      </c>
      <c r="D801" s="14" t="s">
        <v>1686</v>
      </c>
      <c r="E801" s="286" t="s">
        <v>138</v>
      </c>
      <c r="F801" s="14" t="s">
        <v>1687</v>
      </c>
      <c r="G801" s="242" t="s">
        <v>55</v>
      </c>
      <c r="H801" s="14">
        <v>238220</v>
      </c>
      <c r="I801" s="14" t="s">
        <v>1678</v>
      </c>
      <c r="J801" s="14" t="s">
        <v>546</v>
      </c>
      <c r="K801" s="14" t="s">
        <v>28</v>
      </c>
      <c r="L801" s="14" t="s">
        <v>1679</v>
      </c>
      <c r="M801" s="250">
        <v>250000</v>
      </c>
      <c r="N801" s="250">
        <v>500000</v>
      </c>
      <c r="O801" s="14" t="s">
        <v>20</v>
      </c>
      <c r="P801" s="14" t="s">
        <v>278</v>
      </c>
      <c r="Q801" s="14" t="s">
        <v>279</v>
      </c>
      <c r="R801" s="14" t="s">
        <v>21</v>
      </c>
      <c r="S801" s="293">
        <v>2013</v>
      </c>
      <c r="T801" s="14" t="s">
        <v>1680</v>
      </c>
      <c r="U801" s="14" t="s">
        <v>1681</v>
      </c>
      <c r="V801" s="294" t="s">
        <v>1682</v>
      </c>
      <c r="W801" s="14" t="s">
        <v>2011</v>
      </c>
      <c r="X801" s="14" t="s">
        <v>1675</v>
      </c>
    </row>
    <row r="802" spans="1:24" ht="38.25" customHeight="1">
      <c r="A802" s="105" t="s">
        <v>1</v>
      </c>
      <c r="B802" s="14" t="s">
        <v>76</v>
      </c>
      <c r="C802" s="14" t="s">
        <v>1675</v>
      </c>
      <c r="D802" s="14" t="s">
        <v>1688</v>
      </c>
      <c r="E802" s="286" t="s">
        <v>120</v>
      </c>
      <c r="F802" s="14" t="s">
        <v>1687</v>
      </c>
      <c r="G802" s="242" t="s">
        <v>55</v>
      </c>
      <c r="H802" s="14">
        <v>238220</v>
      </c>
      <c r="I802" s="14" t="s">
        <v>1678</v>
      </c>
      <c r="J802" s="14" t="s">
        <v>546</v>
      </c>
      <c r="K802" s="14" t="s">
        <v>28</v>
      </c>
      <c r="L802" s="14" t="s">
        <v>1679</v>
      </c>
      <c r="M802" s="250">
        <v>250000</v>
      </c>
      <c r="N802" s="250">
        <v>500000</v>
      </c>
      <c r="O802" s="14" t="s">
        <v>20</v>
      </c>
      <c r="P802" s="14" t="s">
        <v>278</v>
      </c>
      <c r="Q802" s="14" t="s">
        <v>279</v>
      </c>
      <c r="R802" s="14" t="s">
        <v>31</v>
      </c>
      <c r="S802" s="293">
        <v>2013</v>
      </c>
      <c r="T802" s="14" t="s">
        <v>1680</v>
      </c>
      <c r="U802" s="14" t="s">
        <v>1681</v>
      </c>
      <c r="V802" s="294" t="s">
        <v>1682</v>
      </c>
      <c r="W802" s="14" t="s">
        <v>2011</v>
      </c>
      <c r="X802" s="14" t="s">
        <v>1675</v>
      </c>
    </row>
    <row r="803" spans="1:24" ht="38.25" customHeight="1">
      <c r="A803" s="105" t="s">
        <v>1</v>
      </c>
      <c r="B803" s="14" t="s">
        <v>76</v>
      </c>
      <c r="C803" s="14" t="s">
        <v>1675</v>
      </c>
      <c r="D803" s="14" t="s">
        <v>1689</v>
      </c>
      <c r="E803" s="286" t="s">
        <v>120</v>
      </c>
      <c r="F803" s="14" t="s">
        <v>1684</v>
      </c>
      <c r="G803" s="242" t="s">
        <v>55</v>
      </c>
      <c r="H803" s="14">
        <v>238220</v>
      </c>
      <c r="I803" s="14" t="s">
        <v>1678</v>
      </c>
      <c r="J803" s="14" t="s">
        <v>546</v>
      </c>
      <c r="K803" s="14" t="s">
        <v>28</v>
      </c>
      <c r="L803" s="14" t="s">
        <v>1679</v>
      </c>
      <c r="M803" s="250">
        <v>0</v>
      </c>
      <c r="N803" s="250">
        <v>25000</v>
      </c>
      <c r="O803" s="14" t="s">
        <v>9</v>
      </c>
      <c r="P803" s="14" t="s">
        <v>278</v>
      </c>
      <c r="Q803" s="14" t="s">
        <v>279</v>
      </c>
      <c r="R803" s="14" t="s">
        <v>21</v>
      </c>
      <c r="S803" s="293">
        <v>2013</v>
      </c>
      <c r="T803" s="14" t="s">
        <v>1680</v>
      </c>
      <c r="U803" s="14" t="s">
        <v>1681</v>
      </c>
      <c r="V803" s="294" t="s">
        <v>1682</v>
      </c>
      <c r="W803" s="14" t="s">
        <v>2011</v>
      </c>
      <c r="X803" s="14" t="s">
        <v>3</v>
      </c>
    </row>
    <row r="804" spans="1:24" ht="38.25" customHeight="1">
      <c r="A804" s="105" t="s">
        <v>1</v>
      </c>
      <c r="B804" s="14" t="s">
        <v>76</v>
      </c>
      <c r="C804" s="14" t="s">
        <v>1675</v>
      </c>
      <c r="D804" s="14" t="s">
        <v>1690</v>
      </c>
      <c r="E804" s="286" t="s">
        <v>138</v>
      </c>
      <c r="F804" s="14" t="s">
        <v>1684</v>
      </c>
      <c r="G804" s="242" t="s">
        <v>55</v>
      </c>
      <c r="H804" s="14">
        <v>238220</v>
      </c>
      <c r="I804" s="14" t="s">
        <v>1678</v>
      </c>
      <c r="J804" s="14" t="s">
        <v>546</v>
      </c>
      <c r="K804" s="14" t="s">
        <v>28</v>
      </c>
      <c r="L804" s="14" t="s">
        <v>1679</v>
      </c>
      <c r="M804" s="250">
        <v>250000</v>
      </c>
      <c r="N804" s="250">
        <v>500000</v>
      </c>
      <c r="O804" s="14" t="s">
        <v>20</v>
      </c>
      <c r="P804" s="14" t="s">
        <v>278</v>
      </c>
      <c r="Q804" s="14" t="s">
        <v>279</v>
      </c>
      <c r="R804" s="14" t="s">
        <v>21</v>
      </c>
      <c r="S804" s="293">
        <v>2013</v>
      </c>
      <c r="T804" s="14" t="s">
        <v>1680</v>
      </c>
      <c r="U804" s="14" t="s">
        <v>1681</v>
      </c>
      <c r="V804" s="294" t="s">
        <v>1682</v>
      </c>
      <c r="W804" s="14" t="s">
        <v>2011</v>
      </c>
      <c r="X804" s="14" t="s">
        <v>1675</v>
      </c>
    </row>
    <row r="805" spans="1:24" ht="38.25" customHeight="1">
      <c r="A805" s="105" t="s">
        <v>1</v>
      </c>
      <c r="B805" s="14" t="s">
        <v>76</v>
      </c>
      <c r="C805" s="14" t="s">
        <v>1675</v>
      </c>
      <c r="D805" s="14" t="s">
        <v>1691</v>
      </c>
      <c r="E805" s="286" t="s">
        <v>120</v>
      </c>
      <c r="F805" s="14" t="s">
        <v>1684</v>
      </c>
      <c r="G805" s="242" t="s">
        <v>55</v>
      </c>
      <c r="H805" s="14">
        <v>238220</v>
      </c>
      <c r="I805" s="14" t="s">
        <v>1678</v>
      </c>
      <c r="J805" s="14" t="s">
        <v>546</v>
      </c>
      <c r="K805" s="14" t="s">
        <v>28</v>
      </c>
      <c r="L805" s="14" t="s">
        <v>1679</v>
      </c>
      <c r="M805" s="250">
        <v>25000</v>
      </c>
      <c r="N805" s="250">
        <v>100000</v>
      </c>
      <c r="O805" s="14" t="s">
        <v>20</v>
      </c>
      <c r="P805" s="14" t="s">
        <v>278</v>
      </c>
      <c r="Q805" s="14" t="s">
        <v>279</v>
      </c>
      <c r="R805" s="14" t="s">
        <v>41</v>
      </c>
      <c r="S805" s="293">
        <v>2013</v>
      </c>
      <c r="T805" s="14" t="s">
        <v>1680</v>
      </c>
      <c r="U805" s="14" t="s">
        <v>1681</v>
      </c>
      <c r="V805" s="294" t="s">
        <v>1682</v>
      </c>
      <c r="W805" s="14" t="s">
        <v>2011</v>
      </c>
      <c r="X805" s="14" t="s">
        <v>1675</v>
      </c>
    </row>
    <row r="806" spans="1:24" ht="38.25" customHeight="1">
      <c r="A806" s="105" t="s">
        <v>1</v>
      </c>
      <c r="B806" s="14" t="s">
        <v>76</v>
      </c>
      <c r="C806" s="14" t="s">
        <v>1675</v>
      </c>
      <c r="D806" s="14" t="s">
        <v>1692</v>
      </c>
      <c r="E806" s="286" t="s">
        <v>138</v>
      </c>
      <c r="F806" s="14" t="s">
        <v>1687</v>
      </c>
      <c r="G806" s="242" t="s">
        <v>55</v>
      </c>
      <c r="H806" s="14">
        <v>238220</v>
      </c>
      <c r="I806" s="14" t="s">
        <v>1678</v>
      </c>
      <c r="J806" s="14" t="s">
        <v>546</v>
      </c>
      <c r="K806" s="14" t="s">
        <v>28</v>
      </c>
      <c r="L806" s="14" t="s">
        <v>1679</v>
      </c>
      <c r="M806" s="250">
        <v>25000</v>
      </c>
      <c r="N806" s="250">
        <v>100000</v>
      </c>
      <c r="O806" s="14" t="s">
        <v>20</v>
      </c>
      <c r="P806" s="14" t="s">
        <v>278</v>
      </c>
      <c r="Q806" s="14" t="s">
        <v>279</v>
      </c>
      <c r="R806" s="14" t="s">
        <v>41</v>
      </c>
      <c r="S806" s="293">
        <v>2013</v>
      </c>
      <c r="T806" s="14" t="s">
        <v>1680</v>
      </c>
      <c r="U806" s="14" t="s">
        <v>1681</v>
      </c>
      <c r="V806" s="294" t="s">
        <v>1682</v>
      </c>
      <c r="W806" s="14" t="s">
        <v>2011</v>
      </c>
      <c r="X806" s="14" t="s">
        <v>1675</v>
      </c>
    </row>
    <row r="807" spans="1:24" ht="38.25" customHeight="1">
      <c r="A807" s="105" t="s">
        <v>1</v>
      </c>
      <c r="B807" s="14" t="s">
        <v>76</v>
      </c>
      <c r="C807" s="14" t="s">
        <v>1675</v>
      </c>
      <c r="D807" s="14" t="s">
        <v>1727</v>
      </c>
      <c r="E807" s="286" t="s">
        <v>77</v>
      </c>
      <c r="F807" s="14" t="s">
        <v>1723</v>
      </c>
      <c r="G807" s="242" t="s">
        <v>37</v>
      </c>
      <c r="H807" s="14">
        <v>236220</v>
      </c>
      <c r="I807" s="14" t="s">
        <v>28</v>
      </c>
      <c r="J807" s="14" t="s">
        <v>109</v>
      </c>
      <c r="K807" s="14" t="s">
        <v>40</v>
      </c>
      <c r="L807" s="14" t="s">
        <v>1340</v>
      </c>
      <c r="M807" s="250">
        <v>500000</v>
      </c>
      <c r="N807" s="250">
        <v>1000000</v>
      </c>
      <c r="O807" s="14" t="s">
        <v>20</v>
      </c>
      <c r="P807" s="14" t="s">
        <v>278</v>
      </c>
      <c r="Q807" s="14" t="s">
        <v>279</v>
      </c>
      <c r="R807" s="14" t="s">
        <v>31</v>
      </c>
      <c r="S807" s="293">
        <v>2013</v>
      </c>
      <c r="T807" s="14" t="s">
        <v>1728</v>
      </c>
      <c r="U807" s="14" t="s">
        <v>1729</v>
      </c>
      <c r="V807" s="294" t="s">
        <v>1730</v>
      </c>
      <c r="W807" s="14" t="s">
        <v>2011</v>
      </c>
      <c r="X807" s="14" t="s">
        <v>1675</v>
      </c>
    </row>
    <row r="808" spans="1:24" ht="38.25" customHeight="1">
      <c r="A808" s="105" t="s">
        <v>1</v>
      </c>
      <c r="B808" s="14" t="s">
        <v>76</v>
      </c>
      <c r="C808" s="14" t="s">
        <v>1675</v>
      </c>
      <c r="D808" s="14" t="s">
        <v>1693</v>
      </c>
      <c r="E808" s="286" t="s">
        <v>138</v>
      </c>
      <c r="F808" s="14" t="s">
        <v>1687</v>
      </c>
      <c r="G808" s="242" t="s">
        <v>55</v>
      </c>
      <c r="H808" s="14">
        <v>238220</v>
      </c>
      <c r="I808" s="14" t="s">
        <v>1678</v>
      </c>
      <c r="J808" s="14" t="s">
        <v>546</v>
      </c>
      <c r="K808" s="14" t="s">
        <v>28</v>
      </c>
      <c r="L808" s="14" t="s">
        <v>1679</v>
      </c>
      <c r="M808" s="250">
        <v>100000</v>
      </c>
      <c r="N808" s="250">
        <v>250000</v>
      </c>
      <c r="O808" s="14" t="s">
        <v>20</v>
      </c>
      <c r="P808" s="14" t="s">
        <v>278</v>
      </c>
      <c r="Q808" s="14" t="s">
        <v>279</v>
      </c>
      <c r="R808" s="14" t="s">
        <v>31</v>
      </c>
      <c r="S808" s="293">
        <v>2013</v>
      </c>
      <c r="T808" s="14" t="s">
        <v>1680</v>
      </c>
      <c r="U808" s="14" t="s">
        <v>1681</v>
      </c>
      <c r="V808" s="294" t="s">
        <v>1682</v>
      </c>
      <c r="W808" s="14" t="s">
        <v>2011</v>
      </c>
      <c r="X808" s="14" t="s">
        <v>1675</v>
      </c>
    </row>
    <row r="809" spans="1:24" ht="38.25" customHeight="1">
      <c r="A809" s="105" t="s">
        <v>1</v>
      </c>
      <c r="B809" s="14" t="s">
        <v>76</v>
      </c>
      <c r="C809" s="14"/>
      <c r="D809" s="14" t="s">
        <v>1665</v>
      </c>
      <c r="E809" s="286" t="s">
        <v>120</v>
      </c>
      <c r="F809" s="14" t="s">
        <v>1694</v>
      </c>
      <c r="G809" s="242" t="s">
        <v>113</v>
      </c>
      <c r="H809" s="14">
        <v>561730</v>
      </c>
      <c r="I809" s="14" t="s">
        <v>1678</v>
      </c>
      <c r="J809" s="14" t="s">
        <v>546</v>
      </c>
      <c r="K809" s="14" t="s">
        <v>28</v>
      </c>
      <c r="L809" s="14" t="s">
        <v>1340</v>
      </c>
      <c r="M809" s="250">
        <v>190000</v>
      </c>
      <c r="N809" s="250">
        <v>950000</v>
      </c>
      <c r="O809" s="14" t="s">
        <v>20</v>
      </c>
      <c r="P809" s="14" t="s">
        <v>1695</v>
      </c>
      <c r="Q809" s="14" t="s">
        <v>279</v>
      </c>
      <c r="R809" s="14" t="s">
        <v>21</v>
      </c>
      <c r="S809" s="293">
        <v>2013</v>
      </c>
      <c r="T809" s="14" t="s">
        <v>1696</v>
      </c>
      <c r="U809" s="14" t="s">
        <v>1697</v>
      </c>
      <c r="V809" s="294" t="s">
        <v>1698</v>
      </c>
      <c r="W809" s="14" t="s">
        <v>2011</v>
      </c>
      <c r="X809" s="14" t="s">
        <v>1675</v>
      </c>
    </row>
    <row r="810" spans="1:24" ht="38.25" customHeight="1">
      <c r="A810" s="105" t="s">
        <v>1</v>
      </c>
      <c r="B810" s="14" t="s">
        <v>76</v>
      </c>
      <c r="C810" s="14"/>
      <c r="D810" s="14" t="s">
        <v>1700</v>
      </c>
      <c r="E810" s="286" t="s">
        <v>120</v>
      </c>
      <c r="F810" s="14" t="s">
        <v>1701</v>
      </c>
      <c r="G810" s="242" t="s">
        <v>55</v>
      </c>
      <c r="H810" s="14">
        <v>561720</v>
      </c>
      <c r="I810" s="14" t="s">
        <v>1678</v>
      </c>
      <c r="J810" s="14" t="s">
        <v>546</v>
      </c>
      <c r="K810" s="14" t="s">
        <v>28</v>
      </c>
      <c r="L810" s="14" t="s">
        <v>1340</v>
      </c>
      <c r="M810" s="250">
        <v>590000</v>
      </c>
      <c r="N810" s="250">
        <v>2950000</v>
      </c>
      <c r="O810" s="14" t="s">
        <v>20</v>
      </c>
      <c r="P810" s="14" t="s">
        <v>1702</v>
      </c>
      <c r="Q810" s="14" t="s">
        <v>279</v>
      </c>
      <c r="R810" s="14" t="s">
        <v>31</v>
      </c>
      <c r="S810" s="293">
        <v>2013</v>
      </c>
      <c r="T810" s="14" t="s">
        <v>1696</v>
      </c>
      <c r="U810" s="14" t="s">
        <v>1697</v>
      </c>
      <c r="V810" s="294" t="s">
        <v>1698</v>
      </c>
      <c r="W810" s="14" t="s">
        <v>2011</v>
      </c>
      <c r="X810" s="14" t="s">
        <v>1675</v>
      </c>
    </row>
    <row r="811" spans="1:24" ht="38.25" customHeight="1">
      <c r="A811" s="105" t="s">
        <v>1</v>
      </c>
      <c r="B811" s="14" t="s">
        <v>76</v>
      </c>
      <c r="C811" s="14" t="s">
        <v>45</v>
      </c>
      <c r="D811" s="14" t="s">
        <v>1699</v>
      </c>
      <c r="E811" s="286" t="s">
        <v>97</v>
      </c>
      <c r="F811" s="14" t="s">
        <v>1666</v>
      </c>
      <c r="G811" s="242" t="s">
        <v>55</v>
      </c>
      <c r="H811" s="14">
        <v>238220</v>
      </c>
      <c r="I811" s="14" t="s">
        <v>1678</v>
      </c>
      <c r="J811" s="14" t="s">
        <v>546</v>
      </c>
      <c r="K811" s="14" t="s">
        <v>28</v>
      </c>
      <c r="L811" s="14" t="s">
        <v>1340</v>
      </c>
      <c r="M811" s="250">
        <v>2793945</v>
      </c>
      <c r="N811" s="250">
        <v>2793945</v>
      </c>
      <c r="O811" s="14" t="s">
        <v>20</v>
      </c>
      <c r="P811" s="14" t="s">
        <v>278</v>
      </c>
      <c r="Q811" s="14" t="s">
        <v>279</v>
      </c>
      <c r="R811" s="14" t="s">
        <v>31</v>
      </c>
      <c r="S811" s="293">
        <v>2013</v>
      </c>
      <c r="T811" s="14" t="s">
        <v>1703</v>
      </c>
      <c r="U811" s="14" t="s">
        <v>1704</v>
      </c>
      <c r="V811" s="294" t="s">
        <v>1705</v>
      </c>
      <c r="W811" s="14" t="s">
        <v>2011</v>
      </c>
      <c r="X811" s="14" t="s">
        <v>1675</v>
      </c>
    </row>
    <row r="812" spans="1:24" ht="38.25" customHeight="1">
      <c r="A812" s="105" t="s">
        <v>1</v>
      </c>
      <c r="B812" s="14" t="s">
        <v>76</v>
      </c>
      <c r="C812" s="14" t="s">
        <v>45</v>
      </c>
      <c r="D812" s="14" t="s">
        <v>1700</v>
      </c>
      <c r="E812" s="286" t="s">
        <v>120</v>
      </c>
      <c r="F812" s="14" t="s">
        <v>1666</v>
      </c>
      <c r="G812" s="242" t="s">
        <v>55</v>
      </c>
      <c r="H812" s="14">
        <v>561720</v>
      </c>
      <c r="I812" s="14" t="s">
        <v>1678</v>
      </c>
      <c r="J812" s="14" t="s">
        <v>546</v>
      </c>
      <c r="K812" s="14" t="s">
        <v>28</v>
      </c>
      <c r="L812" s="14" t="s">
        <v>1340</v>
      </c>
      <c r="M812" s="250">
        <v>3526690</v>
      </c>
      <c r="N812" s="250">
        <v>3526690</v>
      </c>
      <c r="O812" s="14" t="s">
        <v>20</v>
      </c>
      <c r="P812" s="14" t="s">
        <v>1706</v>
      </c>
      <c r="Q812" s="14" t="s">
        <v>279</v>
      </c>
      <c r="R812" s="14" t="s">
        <v>31</v>
      </c>
      <c r="S812" s="293">
        <v>2013</v>
      </c>
      <c r="T812" s="14" t="s">
        <v>1703</v>
      </c>
      <c r="U812" s="14" t="s">
        <v>1704</v>
      </c>
      <c r="V812" s="294" t="s">
        <v>1705</v>
      </c>
      <c r="W812" s="14" t="s">
        <v>2011</v>
      </c>
      <c r="X812" s="14" t="s">
        <v>1675</v>
      </c>
    </row>
    <row r="813" spans="1:24" ht="38.25" customHeight="1">
      <c r="A813" s="105" t="s">
        <v>1</v>
      </c>
      <c r="B813" s="14" t="s">
        <v>76</v>
      </c>
      <c r="C813" s="14" t="s">
        <v>45</v>
      </c>
      <c r="D813" s="14" t="s">
        <v>1699</v>
      </c>
      <c r="E813" s="286" t="s">
        <v>97</v>
      </c>
      <c r="F813" s="14" t="s">
        <v>1707</v>
      </c>
      <c r="G813" s="242" t="s">
        <v>55</v>
      </c>
      <c r="H813" s="14">
        <v>561210</v>
      </c>
      <c r="I813" s="14" t="s">
        <v>1970</v>
      </c>
      <c r="J813" s="14" t="s">
        <v>546</v>
      </c>
      <c r="K813" s="14" t="s">
        <v>1708</v>
      </c>
      <c r="L813" s="14" t="s">
        <v>1709</v>
      </c>
      <c r="M813" s="250">
        <v>10000000</v>
      </c>
      <c r="N813" s="250">
        <v>12000000</v>
      </c>
      <c r="O813" s="14" t="s">
        <v>20</v>
      </c>
      <c r="P813" s="14" t="s">
        <v>1710</v>
      </c>
      <c r="Q813" s="14" t="s">
        <v>279</v>
      </c>
      <c r="R813" s="14" t="s">
        <v>10</v>
      </c>
      <c r="S813" s="293">
        <v>2013</v>
      </c>
      <c r="T813" s="14" t="s">
        <v>1711</v>
      </c>
      <c r="U813" s="14" t="s">
        <v>1712</v>
      </c>
      <c r="V813" s="294" t="s">
        <v>1713</v>
      </c>
      <c r="W813" s="14" t="s">
        <v>2011</v>
      </c>
      <c r="X813" s="14" t="s">
        <v>2455</v>
      </c>
    </row>
    <row r="814" spans="1:24" ht="38.25" customHeight="1">
      <c r="A814" s="105" t="s">
        <v>1</v>
      </c>
      <c r="B814" s="14" t="s">
        <v>76</v>
      </c>
      <c r="C814" s="14"/>
      <c r="D814" s="14" t="s">
        <v>1714</v>
      </c>
      <c r="E814" s="286" t="s">
        <v>120</v>
      </c>
      <c r="F814" s="14" t="s">
        <v>1715</v>
      </c>
      <c r="G814" s="242" t="s">
        <v>55</v>
      </c>
      <c r="H814" s="14">
        <v>561720</v>
      </c>
      <c r="I814" s="14" t="s">
        <v>616</v>
      </c>
      <c r="J814" s="14" t="s">
        <v>546</v>
      </c>
      <c r="K814" s="14" t="s">
        <v>8</v>
      </c>
      <c r="L814" s="14" t="s">
        <v>1716</v>
      </c>
      <c r="M814" s="250">
        <v>8000000</v>
      </c>
      <c r="N814" s="250">
        <v>9000000</v>
      </c>
      <c r="O814" s="14" t="s">
        <v>20</v>
      </c>
      <c r="P814" s="14" t="s">
        <v>1717</v>
      </c>
      <c r="Q814" s="14" t="s">
        <v>279</v>
      </c>
      <c r="R814" s="14" t="s">
        <v>2801</v>
      </c>
      <c r="S814" s="293">
        <v>2013</v>
      </c>
      <c r="T814" s="14" t="s">
        <v>1711</v>
      </c>
      <c r="U814" s="14" t="s">
        <v>1712</v>
      </c>
      <c r="V814" s="294" t="s">
        <v>1713</v>
      </c>
      <c r="W814" s="14" t="s">
        <v>2011</v>
      </c>
      <c r="X814" s="14" t="s">
        <v>1675</v>
      </c>
    </row>
    <row r="815" spans="1:24" ht="38.25" customHeight="1">
      <c r="A815" s="105" t="s">
        <v>1</v>
      </c>
      <c r="B815" s="14" t="s">
        <v>76</v>
      </c>
      <c r="C815" s="14" t="s">
        <v>1675</v>
      </c>
      <c r="D815" s="14" t="s">
        <v>1718</v>
      </c>
      <c r="E815" s="286" t="s">
        <v>77</v>
      </c>
      <c r="F815" s="14" t="s">
        <v>1677</v>
      </c>
      <c r="G815" s="242" t="s">
        <v>55</v>
      </c>
      <c r="H815" s="14">
        <v>237110</v>
      </c>
      <c r="I815" s="14" t="s">
        <v>17</v>
      </c>
      <c r="J815" s="14" t="s">
        <v>109</v>
      </c>
      <c r="K815" s="14" t="s">
        <v>324</v>
      </c>
      <c r="L815" s="14" t="s">
        <v>1340</v>
      </c>
      <c r="M815" s="250">
        <v>500000</v>
      </c>
      <c r="N815" s="250">
        <v>1000000</v>
      </c>
      <c r="O815" s="14" t="s">
        <v>20</v>
      </c>
      <c r="P815" s="14" t="s">
        <v>278</v>
      </c>
      <c r="Q815" s="14" t="s">
        <v>279</v>
      </c>
      <c r="R815" s="14" t="s">
        <v>21</v>
      </c>
      <c r="S815" s="293">
        <v>2013</v>
      </c>
      <c r="T815" s="14" t="s">
        <v>1719</v>
      </c>
      <c r="U815" s="14" t="s">
        <v>1720</v>
      </c>
      <c r="V815" s="294" t="s">
        <v>1721</v>
      </c>
      <c r="W815" s="14" t="s">
        <v>2011</v>
      </c>
      <c r="X815" s="14" t="s">
        <v>1675</v>
      </c>
    </row>
    <row r="816" spans="1:24" ht="38.25" customHeight="1">
      <c r="A816" s="105" t="s">
        <v>1</v>
      </c>
      <c r="B816" s="14" t="s">
        <v>76</v>
      </c>
      <c r="C816" s="14" t="s">
        <v>45</v>
      </c>
      <c r="D816" s="14" t="s">
        <v>1722</v>
      </c>
      <c r="E816" s="286" t="s">
        <v>138</v>
      </c>
      <c r="F816" s="14" t="s">
        <v>1723</v>
      </c>
      <c r="G816" s="242" t="s">
        <v>37</v>
      </c>
      <c r="H816" s="14">
        <v>236210</v>
      </c>
      <c r="I816" s="14" t="s">
        <v>28</v>
      </c>
      <c r="J816" s="14" t="s">
        <v>109</v>
      </c>
      <c r="K816" s="14" t="s">
        <v>40</v>
      </c>
      <c r="L816" s="14" t="s">
        <v>1340</v>
      </c>
      <c r="M816" s="250">
        <v>1000000</v>
      </c>
      <c r="N816" s="250">
        <v>5000000</v>
      </c>
      <c r="O816" s="14" t="s">
        <v>20</v>
      </c>
      <c r="P816" s="14" t="s">
        <v>278</v>
      </c>
      <c r="Q816" s="14" t="s">
        <v>279</v>
      </c>
      <c r="R816" s="14" t="s">
        <v>31</v>
      </c>
      <c r="S816" s="293">
        <v>2013</v>
      </c>
      <c r="T816" s="14" t="s">
        <v>1724</v>
      </c>
      <c r="U816" s="14" t="s">
        <v>1725</v>
      </c>
      <c r="V816" s="294" t="s">
        <v>1726</v>
      </c>
      <c r="W816" s="14" t="s">
        <v>2011</v>
      </c>
      <c r="X816" s="14" t="s">
        <v>1675</v>
      </c>
    </row>
    <row r="817" spans="1:24" ht="38.25" customHeight="1" thickBot="1">
      <c r="A817" s="105" t="s">
        <v>1</v>
      </c>
      <c r="B817" s="14" t="s">
        <v>76</v>
      </c>
      <c r="C817" s="14" t="s">
        <v>1675</v>
      </c>
      <c r="D817" s="14" t="s">
        <v>1731</v>
      </c>
      <c r="E817" s="286" t="s">
        <v>138</v>
      </c>
      <c r="F817" s="14" t="s">
        <v>1687</v>
      </c>
      <c r="G817" s="242" t="s">
        <v>55</v>
      </c>
      <c r="H817" s="14">
        <v>236210</v>
      </c>
      <c r="I817" s="14" t="s">
        <v>28</v>
      </c>
      <c r="J817" s="14" t="s">
        <v>109</v>
      </c>
      <c r="K817" s="14" t="s">
        <v>19</v>
      </c>
      <c r="L817" s="14" t="s">
        <v>1340</v>
      </c>
      <c r="M817" s="250">
        <v>250000</v>
      </c>
      <c r="N817" s="250">
        <v>500000</v>
      </c>
      <c r="O817" s="14" t="s">
        <v>20</v>
      </c>
      <c r="P817" s="14" t="s">
        <v>278</v>
      </c>
      <c r="Q817" s="14" t="s">
        <v>279</v>
      </c>
      <c r="R817" s="14" t="s">
        <v>21</v>
      </c>
      <c r="S817" s="293">
        <v>2013</v>
      </c>
      <c r="T817" s="14" t="s">
        <v>1728</v>
      </c>
      <c r="U817" s="14" t="s">
        <v>1729</v>
      </c>
      <c r="V817" s="294" t="s">
        <v>1730</v>
      </c>
      <c r="W817" s="14" t="s">
        <v>2011</v>
      </c>
      <c r="X817" s="14" t="s">
        <v>1675</v>
      </c>
    </row>
    <row r="818" spans="1:24" ht="38.25" customHeight="1" thickBot="1">
      <c r="A818" s="105" t="s">
        <v>1</v>
      </c>
      <c r="B818" s="14" t="s">
        <v>76</v>
      </c>
      <c r="C818" s="14" t="s">
        <v>45</v>
      </c>
      <c r="D818" s="14" t="s">
        <v>1699</v>
      </c>
      <c r="E818" s="286" t="s">
        <v>97</v>
      </c>
      <c r="F818" s="14" t="s">
        <v>2802</v>
      </c>
      <c r="G818" s="242" t="s">
        <v>55</v>
      </c>
      <c r="H818" s="14">
        <v>561210</v>
      </c>
      <c r="I818" s="14" t="s">
        <v>17</v>
      </c>
      <c r="J818" s="14" t="s">
        <v>546</v>
      </c>
      <c r="K818" s="14" t="s">
        <v>324</v>
      </c>
      <c r="L818" s="14" t="s">
        <v>1679</v>
      </c>
      <c r="M818" s="250">
        <v>2100000</v>
      </c>
      <c r="N818" s="250">
        <v>2300000</v>
      </c>
      <c r="O818" s="14" t="s">
        <v>20</v>
      </c>
      <c r="P818" s="14" t="s">
        <v>2803</v>
      </c>
      <c r="Q818" s="14" t="s">
        <v>279</v>
      </c>
      <c r="R818" s="14" t="s">
        <v>41</v>
      </c>
      <c r="S818" s="293">
        <v>2013</v>
      </c>
      <c r="T818" s="14" t="s">
        <v>2804</v>
      </c>
      <c r="U818" s="14" t="s">
        <v>2805</v>
      </c>
      <c r="V818" s="294" t="s">
        <v>2806</v>
      </c>
      <c r="W818" s="295" t="s">
        <v>2011</v>
      </c>
      <c r="X818" s="14" t="s">
        <v>1675</v>
      </c>
    </row>
    <row r="819" spans="1:24" ht="38.25" customHeight="1">
      <c r="A819" s="105" t="s">
        <v>1</v>
      </c>
      <c r="B819" s="14" t="s">
        <v>76</v>
      </c>
      <c r="C819" s="14" t="s">
        <v>45</v>
      </c>
      <c r="D819" s="14" t="s">
        <v>1699</v>
      </c>
      <c r="E819" s="286" t="s">
        <v>97</v>
      </c>
      <c r="F819" s="14" t="s">
        <v>2802</v>
      </c>
      <c r="G819" s="242" t="s">
        <v>55</v>
      </c>
      <c r="H819" s="14">
        <v>561210</v>
      </c>
      <c r="I819" s="14" t="s">
        <v>17</v>
      </c>
      <c r="J819" s="14" t="s">
        <v>546</v>
      </c>
      <c r="K819" s="14" t="s">
        <v>324</v>
      </c>
      <c r="L819" s="14" t="s">
        <v>1679</v>
      </c>
      <c r="M819" s="250">
        <v>2100000</v>
      </c>
      <c r="N819" s="250">
        <v>2300000</v>
      </c>
      <c r="O819" s="14" t="s">
        <v>20</v>
      </c>
      <c r="P819" s="14" t="s">
        <v>2803</v>
      </c>
      <c r="Q819" s="14" t="s">
        <v>279</v>
      </c>
      <c r="R819" s="14" t="s">
        <v>41</v>
      </c>
      <c r="S819" s="293">
        <v>2013</v>
      </c>
      <c r="T819" s="14" t="s">
        <v>2804</v>
      </c>
      <c r="U819" s="14" t="s">
        <v>2805</v>
      </c>
      <c r="V819" s="294" t="s">
        <v>2806</v>
      </c>
      <c r="W819" s="221" t="s">
        <v>2011</v>
      </c>
      <c r="X819" s="14" t="s">
        <v>1675</v>
      </c>
    </row>
    <row r="820" spans="1:24" ht="38.25" customHeight="1">
      <c r="A820" s="105" t="s">
        <v>1</v>
      </c>
      <c r="B820" s="14" t="s">
        <v>83</v>
      </c>
      <c r="C820" s="14" t="s">
        <v>45</v>
      </c>
      <c r="D820" s="14" t="s">
        <v>441</v>
      </c>
      <c r="E820" s="286" t="s">
        <v>138</v>
      </c>
      <c r="F820" s="14" t="s">
        <v>442</v>
      </c>
      <c r="G820" s="242" t="s">
        <v>209</v>
      </c>
      <c r="H820" s="14">
        <v>236220</v>
      </c>
      <c r="I820" s="14" t="s">
        <v>6</v>
      </c>
      <c r="J820" s="14" t="s">
        <v>1975</v>
      </c>
      <c r="K820" s="14" t="s">
        <v>80</v>
      </c>
      <c r="L820" s="14"/>
      <c r="M820" s="250">
        <v>700000</v>
      </c>
      <c r="N820" s="250">
        <v>1000000</v>
      </c>
      <c r="O820" s="14" t="s">
        <v>20</v>
      </c>
      <c r="P820" s="14" t="s">
        <v>278</v>
      </c>
      <c r="Q820" s="14" t="s">
        <v>279</v>
      </c>
      <c r="R820" s="14" t="s">
        <v>21</v>
      </c>
      <c r="S820" s="293" t="s">
        <v>443</v>
      </c>
      <c r="T820" s="14" t="s">
        <v>444</v>
      </c>
      <c r="U820" s="14" t="s">
        <v>445</v>
      </c>
      <c r="V820" s="14" t="s">
        <v>446</v>
      </c>
      <c r="W820" s="105" t="s">
        <v>2012</v>
      </c>
      <c r="X820" s="14"/>
    </row>
    <row r="821" spans="1:24" ht="38.25" customHeight="1">
      <c r="A821" s="105" t="s">
        <v>1</v>
      </c>
      <c r="B821" s="14" t="s">
        <v>83</v>
      </c>
      <c r="C821" s="14" t="s">
        <v>45</v>
      </c>
      <c r="D821" s="14" t="s">
        <v>447</v>
      </c>
      <c r="E821" s="286" t="s">
        <v>138</v>
      </c>
      <c r="F821" s="14" t="s">
        <v>448</v>
      </c>
      <c r="G821" s="242" t="s">
        <v>209</v>
      </c>
      <c r="H821" s="14">
        <v>236220</v>
      </c>
      <c r="I821" s="14" t="s">
        <v>28</v>
      </c>
      <c r="J821" s="14" t="s">
        <v>1976</v>
      </c>
      <c r="K821" s="14" t="s">
        <v>40</v>
      </c>
      <c r="L821" s="14" t="s">
        <v>278</v>
      </c>
      <c r="M821" s="250">
        <v>1000000</v>
      </c>
      <c r="N821" s="250">
        <v>200000</v>
      </c>
      <c r="O821" s="14" t="s">
        <v>20</v>
      </c>
      <c r="P821" s="14" t="s">
        <v>278</v>
      </c>
      <c r="Q821" s="14"/>
      <c r="R821" s="14" t="s">
        <v>21</v>
      </c>
      <c r="S821" s="293" t="s">
        <v>443</v>
      </c>
      <c r="T821" s="14" t="s">
        <v>444</v>
      </c>
      <c r="U821" s="14" t="s">
        <v>445</v>
      </c>
      <c r="V821" s="14" t="s">
        <v>446</v>
      </c>
      <c r="W821" s="105" t="s">
        <v>2012</v>
      </c>
      <c r="X821" s="14"/>
    </row>
    <row r="822" spans="1:24" ht="38.25" customHeight="1">
      <c r="A822" s="105" t="s">
        <v>1</v>
      </c>
      <c r="B822" s="14" t="s">
        <v>83</v>
      </c>
      <c r="C822" s="14" t="s">
        <v>45</v>
      </c>
      <c r="D822" s="14" t="s">
        <v>450</v>
      </c>
      <c r="E822" s="286" t="s">
        <v>138</v>
      </c>
      <c r="F822" s="14" t="s">
        <v>451</v>
      </c>
      <c r="G822" s="242" t="s">
        <v>209</v>
      </c>
      <c r="H822" s="14">
        <v>236220</v>
      </c>
      <c r="I822" s="14" t="s">
        <v>28</v>
      </c>
      <c r="J822" s="14" t="s">
        <v>1976</v>
      </c>
      <c r="K822" s="14" t="s">
        <v>40</v>
      </c>
      <c r="L822" s="14" t="s">
        <v>278</v>
      </c>
      <c r="M822" s="250">
        <v>25000</v>
      </c>
      <c r="N822" s="250">
        <v>30000</v>
      </c>
      <c r="O822" s="14" t="s">
        <v>20</v>
      </c>
      <c r="P822" s="14" t="s">
        <v>278</v>
      </c>
      <c r="Q822" s="14"/>
      <c r="R822" s="14" t="s">
        <v>21</v>
      </c>
      <c r="S822" s="293" t="s">
        <v>443</v>
      </c>
      <c r="T822" s="14" t="s">
        <v>444</v>
      </c>
      <c r="U822" s="14" t="s">
        <v>445</v>
      </c>
      <c r="V822" s="14" t="s">
        <v>446</v>
      </c>
      <c r="W822" s="105" t="s">
        <v>2012</v>
      </c>
      <c r="X822" s="14"/>
    </row>
    <row r="823" spans="1:24" ht="38.25" customHeight="1">
      <c r="A823" s="105" t="s">
        <v>1</v>
      </c>
      <c r="B823" s="14" t="s">
        <v>83</v>
      </c>
      <c r="C823" s="14" t="s">
        <v>45</v>
      </c>
      <c r="D823" s="14" t="s">
        <v>452</v>
      </c>
      <c r="E823" s="286" t="s">
        <v>138</v>
      </c>
      <c r="F823" s="14" t="s">
        <v>453</v>
      </c>
      <c r="G823" s="242" t="s">
        <v>209</v>
      </c>
      <c r="H823" s="14">
        <v>238190</v>
      </c>
      <c r="I823" s="14" t="s">
        <v>28</v>
      </c>
      <c r="J823" s="14" t="s">
        <v>454</v>
      </c>
      <c r="K823" s="14" t="s">
        <v>40</v>
      </c>
      <c r="L823" s="14" t="s">
        <v>278</v>
      </c>
      <c r="M823" s="250">
        <v>2000000</v>
      </c>
      <c r="N823" s="250">
        <v>3000000</v>
      </c>
      <c r="O823" s="14" t="s">
        <v>20</v>
      </c>
      <c r="P823" s="14" t="s">
        <v>278</v>
      </c>
      <c r="Q823" s="14" t="s">
        <v>279</v>
      </c>
      <c r="R823" s="14" t="s">
        <v>10</v>
      </c>
      <c r="S823" s="293" t="s">
        <v>443</v>
      </c>
      <c r="T823" s="14" t="s">
        <v>456</v>
      </c>
      <c r="U823" s="14" t="s">
        <v>457</v>
      </c>
      <c r="V823" s="14" t="s">
        <v>458</v>
      </c>
      <c r="W823" s="105" t="s">
        <v>2012</v>
      </c>
      <c r="X823" s="14" t="s">
        <v>459</v>
      </c>
    </row>
    <row r="824" spans="1:24" ht="38.25" customHeight="1">
      <c r="A824" s="105" t="s">
        <v>1</v>
      </c>
      <c r="B824" s="14" t="s">
        <v>83</v>
      </c>
      <c r="C824" s="14" t="s">
        <v>45</v>
      </c>
      <c r="D824" s="14" t="s">
        <v>460</v>
      </c>
      <c r="E824" s="286" t="s">
        <v>77</v>
      </c>
      <c r="F824" s="14" t="s">
        <v>461</v>
      </c>
      <c r="G824" s="242" t="s">
        <v>16</v>
      </c>
      <c r="H824" s="14">
        <v>561621</v>
      </c>
      <c r="I824" s="14" t="s">
        <v>28</v>
      </c>
      <c r="J824" s="14" t="s">
        <v>462</v>
      </c>
      <c r="K824" s="14" t="s">
        <v>40</v>
      </c>
      <c r="L824" s="14" t="s">
        <v>278</v>
      </c>
      <c r="M824" s="250">
        <v>10000</v>
      </c>
      <c r="N824" s="250">
        <v>15000</v>
      </c>
      <c r="O824" s="14" t="s">
        <v>9</v>
      </c>
      <c r="P824" s="14" t="s">
        <v>463</v>
      </c>
      <c r="Q824" s="14" t="s">
        <v>279</v>
      </c>
      <c r="R824" s="14" t="s">
        <v>10</v>
      </c>
      <c r="S824" s="293" t="s">
        <v>443</v>
      </c>
      <c r="T824" s="14" t="s">
        <v>456</v>
      </c>
      <c r="U824" s="14" t="s">
        <v>457</v>
      </c>
      <c r="V824" s="14" t="s">
        <v>458</v>
      </c>
      <c r="W824" s="105" t="s">
        <v>2012</v>
      </c>
      <c r="X824" s="14" t="s">
        <v>459</v>
      </c>
    </row>
    <row r="825" spans="1:24" ht="38.25" customHeight="1">
      <c r="A825" s="105" t="s">
        <v>1</v>
      </c>
      <c r="B825" s="14" t="s">
        <v>83</v>
      </c>
      <c r="C825" s="14" t="s">
        <v>45</v>
      </c>
      <c r="D825" s="14" t="s">
        <v>464</v>
      </c>
      <c r="E825" s="286" t="s">
        <v>77</v>
      </c>
      <c r="F825" s="14" t="s">
        <v>465</v>
      </c>
      <c r="G825" s="242" t="s">
        <v>209</v>
      </c>
      <c r="H825" s="14">
        <v>238810</v>
      </c>
      <c r="I825" s="14" t="s">
        <v>28</v>
      </c>
      <c r="J825" s="14" t="s">
        <v>466</v>
      </c>
      <c r="K825" s="14" t="s">
        <v>73</v>
      </c>
      <c r="L825" s="14" t="s">
        <v>278</v>
      </c>
      <c r="M825" s="250">
        <v>350000</v>
      </c>
      <c r="N825" s="250">
        <v>500000</v>
      </c>
      <c r="O825" s="14" t="s">
        <v>20</v>
      </c>
      <c r="P825" s="14" t="s">
        <v>278</v>
      </c>
      <c r="Q825" s="14" t="s">
        <v>467</v>
      </c>
      <c r="R825" s="14" t="s">
        <v>10</v>
      </c>
      <c r="S825" s="293" t="s">
        <v>443</v>
      </c>
      <c r="T825" s="14" t="s">
        <v>456</v>
      </c>
      <c r="U825" s="14" t="s">
        <v>457</v>
      </c>
      <c r="V825" s="14" t="s">
        <v>458</v>
      </c>
      <c r="W825" s="105" t="s">
        <v>2012</v>
      </c>
      <c r="X825" s="14" t="s">
        <v>468</v>
      </c>
    </row>
    <row r="826" spans="1:24" ht="38.25" customHeight="1">
      <c r="A826" s="105" t="s">
        <v>1</v>
      </c>
      <c r="B826" s="14" t="s">
        <v>83</v>
      </c>
      <c r="C826" s="14" t="s">
        <v>45</v>
      </c>
      <c r="D826" s="14" t="s">
        <v>469</v>
      </c>
      <c r="E826" s="286" t="s">
        <v>77</v>
      </c>
      <c r="F826" s="14" t="s">
        <v>465</v>
      </c>
      <c r="G826" s="242" t="s">
        <v>209</v>
      </c>
      <c r="H826" s="14">
        <v>238810</v>
      </c>
      <c r="I826" s="14" t="s">
        <v>28</v>
      </c>
      <c r="J826" s="14" t="s">
        <v>466</v>
      </c>
      <c r="K826" s="14" t="s">
        <v>73</v>
      </c>
      <c r="L826" s="14" t="s">
        <v>278</v>
      </c>
      <c r="M826" s="250">
        <v>950000</v>
      </c>
      <c r="N826" s="250">
        <v>1500000</v>
      </c>
      <c r="O826" s="14" t="s">
        <v>20</v>
      </c>
      <c r="P826" s="14" t="s">
        <v>278</v>
      </c>
      <c r="Q826" s="14" t="s">
        <v>467</v>
      </c>
      <c r="R826" s="14" t="s">
        <v>10</v>
      </c>
      <c r="S826" s="293" t="s">
        <v>443</v>
      </c>
      <c r="T826" s="14" t="s">
        <v>456</v>
      </c>
      <c r="U826" s="14" t="s">
        <v>457</v>
      </c>
      <c r="V826" s="14" t="s">
        <v>458</v>
      </c>
      <c r="W826" s="105" t="s">
        <v>2012</v>
      </c>
      <c r="X826" s="14" t="s">
        <v>468</v>
      </c>
    </row>
    <row r="827" spans="1:24" ht="38.25" customHeight="1">
      <c r="A827" s="105" t="s">
        <v>1</v>
      </c>
      <c r="B827" s="14" t="s">
        <v>83</v>
      </c>
      <c r="C827" s="293" t="s">
        <v>3</v>
      </c>
      <c r="D827" s="14" t="s">
        <v>470</v>
      </c>
      <c r="E827" s="286" t="s">
        <v>138</v>
      </c>
      <c r="F827" s="14" t="s">
        <v>471</v>
      </c>
      <c r="G827" s="242" t="s">
        <v>183</v>
      </c>
      <c r="H827" s="14">
        <v>236220</v>
      </c>
      <c r="I827" s="14" t="s">
        <v>288</v>
      </c>
      <c r="J827" s="14" t="s">
        <v>466</v>
      </c>
      <c r="K827" s="14" t="s">
        <v>288</v>
      </c>
      <c r="L827" s="14" t="s">
        <v>278</v>
      </c>
      <c r="M827" s="250">
        <v>1000000</v>
      </c>
      <c r="N827" s="250">
        <v>1500000</v>
      </c>
      <c r="O827" s="14" t="s">
        <v>20</v>
      </c>
      <c r="P827" s="14" t="s">
        <v>278</v>
      </c>
      <c r="Q827" s="14" t="s">
        <v>467</v>
      </c>
      <c r="R827" s="14" t="s">
        <v>10</v>
      </c>
      <c r="S827" s="293" t="s">
        <v>443</v>
      </c>
      <c r="T827" s="14" t="s">
        <v>472</v>
      </c>
      <c r="U827" s="14" t="s">
        <v>473</v>
      </c>
      <c r="V827" s="14" t="s">
        <v>474</v>
      </c>
      <c r="W827" s="105" t="s">
        <v>2012</v>
      </c>
      <c r="X827" s="14" t="s">
        <v>475</v>
      </c>
    </row>
    <row r="828" spans="1:24" ht="38.25" customHeight="1">
      <c r="A828" s="105" t="s">
        <v>1</v>
      </c>
      <c r="B828" s="14" t="s">
        <v>83</v>
      </c>
      <c r="C828" s="14" t="s">
        <v>45</v>
      </c>
      <c r="D828" s="14" t="s">
        <v>476</v>
      </c>
      <c r="E828" s="286" t="s">
        <v>116</v>
      </c>
      <c r="F828" s="14" t="s">
        <v>471</v>
      </c>
      <c r="G828" s="242" t="s">
        <v>183</v>
      </c>
      <c r="H828" s="14">
        <v>236220</v>
      </c>
      <c r="I828" s="14" t="s">
        <v>28</v>
      </c>
      <c r="J828" s="14" t="s">
        <v>477</v>
      </c>
      <c r="K828" s="14" t="s">
        <v>478</v>
      </c>
      <c r="L828" s="14" t="s">
        <v>278</v>
      </c>
      <c r="M828" s="250">
        <v>175000</v>
      </c>
      <c r="N828" s="250">
        <v>250000</v>
      </c>
      <c r="O828" s="14" t="s">
        <v>20</v>
      </c>
      <c r="P828" s="14" t="s">
        <v>278</v>
      </c>
      <c r="Q828" s="14" t="s">
        <v>279</v>
      </c>
      <c r="R828" s="14" t="s">
        <v>21</v>
      </c>
      <c r="S828" s="293" t="s">
        <v>443</v>
      </c>
      <c r="T828" s="14" t="s">
        <v>479</v>
      </c>
      <c r="U828" s="14" t="s">
        <v>480</v>
      </c>
      <c r="V828" s="14" t="s">
        <v>481</v>
      </c>
      <c r="W828" s="105" t="s">
        <v>2012</v>
      </c>
      <c r="X828" s="14"/>
    </row>
    <row r="829" spans="1:24" ht="38.25" customHeight="1">
      <c r="A829" s="105" t="s">
        <v>1</v>
      </c>
      <c r="B829" s="14" t="s">
        <v>83</v>
      </c>
      <c r="C829" s="14" t="s">
        <v>45</v>
      </c>
      <c r="D829" s="14" t="s">
        <v>482</v>
      </c>
      <c r="E829" s="286" t="s">
        <v>138</v>
      </c>
      <c r="F829" s="14" t="s">
        <v>471</v>
      </c>
      <c r="G829" s="242" t="s">
        <v>183</v>
      </c>
      <c r="H829" s="14">
        <v>236220</v>
      </c>
      <c r="I829" s="14" t="s">
        <v>28</v>
      </c>
      <c r="J829" s="14" t="s">
        <v>1975</v>
      </c>
      <c r="K829" s="14" t="s">
        <v>73</v>
      </c>
      <c r="L829" s="14" t="s">
        <v>278</v>
      </c>
      <c r="M829" s="250">
        <v>1000000</v>
      </c>
      <c r="N829" s="250">
        <v>1500000</v>
      </c>
      <c r="O829" s="14" t="s">
        <v>20</v>
      </c>
      <c r="P829" s="14" t="s">
        <v>278</v>
      </c>
      <c r="Q829" s="14" t="s">
        <v>279</v>
      </c>
      <c r="R829" s="14" t="s">
        <v>21</v>
      </c>
      <c r="S829" s="293" t="s">
        <v>443</v>
      </c>
      <c r="T829" s="14" t="s">
        <v>479</v>
      </c>
      <c r="U829" s="14" t="s">
        <v>480</v>
      </c>
      <c r="V829" s="14" t="s">
        <v>481</v>
      </c>
      <c r="W829" s="105" t="s">
        <v>2012</v>
      </c>
      <c r="X829" s="14" t="s">
        <v>483</v>
      </c>
    </row>
    <row r="830" spans="1:24" ht="38.25" customHeight="1">
      <c r="A830" s="105" t="s">
        <v>1</v>
      </c>
      <c r="B830" s="14" t="s">
        <v>83</v>
      </c>
      <c r="C830" s="14" t="s">
        <v>45</v>
      </c>
      <c r="D830" s="14" t="s">
        <v>484</v>
      </c>
      <c r="E830" s="286" t="s">
        <v>138</v>
      </c>
      <c r="F830" s="14" t="s">
        <v>461</v>
      </c>
      <c r="G830" s="242" t="s">
        <v>16</v>
      </c>
      <c r="H830" s="14">
        <v>236220</v>
      </c>
      <c r="I830" s="14" t="s">
        <v>28</v>
      </c>
      <c r="J830" s="14" t="s">
        <v>1975</v>
      </c>
      <c r="K830" s="14" t="s">
        <v>73</v>
      </c>
      <c r="L830" s="14" t="s">
        <v>278</v>
      </c>
      <c r="M830" s="250">
        <v>1500000</v>
      </c>
      <c r="N830" s="250">
        <v>2000000</v>
      </c>
      <c r="O830" s="14" t="s">
        <v>20</v>
      </c>
      <c r="P830" s="14" t="s">
        <v>278</v>
      </c>
      <c r="Q830" s="14" t="s">
        <v>279</v>
      </c>
      <c r="R830" s="14" t="s">
        <v>31</v>
      </c>
      <c r="S830" s="293" t="s">
        <v>443</v>
      </c>
      <c r="T830" s="14" t="s">
        <v>479</v>
      </c>
      <c r="U830" s="14" t="s">
        <v>480</v>
      </c>
      <c r="V830" s="14" t="s">
        <v>481</v>
      </c>
      <c r="W830" s="105" t="s">
        <v>2012</v>
      </c>
      <c r="X830" s="14" t="s">
        <v>483</v>
      </c>
    </row>
    <row r="831" spans="1:24" ht="38.25" customHeight="1">
      <c r="A831" s="105" t="s">
        <v>1</v>
      </c>
      <c r="B831" s="14" t="s">
        <v>83</v>
      </c>
      <c r="C831" s="14" t="s">
        <v>45</v>
      </c>
      <c r="D831" s="14" t="s">
        <v>486</v>
      </c>
      <c r="E831" s="286" t="s">
        <v>138</v>
      </c>
      <c r="F831" s="14" t="s">
        <v>487</v>
      </c>
      <c r="G831" s="242" t="s">
        <v>16</v>
      </c>
      <c r="H831" s="14">
        <v>236220</v>
      </c>
      <c r="I831" s="14" t="s">
        <v>28</v>
      </c>
      <c r="J831" s="14" t="s">
        <v>1975</v>
      </c>
      <c r="K831" s="14" t="s">
        <v>73</v>
      </c>
      <c r="L831" s="14" t="s">
        <v>278</v>
      </c>
      <c r="M831" s="250">
        <v>100000</v>
      </c>
      <c r="N831" s="250">
        <v>150000</v>
      </c>
      <c r="O831" s="14" t="s">
        <v>20</v>
      </c>
      <c r="P831" s="14" t="s">
        <v>278</v>
      </c>
      <c r="Q831" s="14" t="s">
        <v>279</v>
      </c>
      <c r="R831" s="14" t="s">
        <v>31</v>
      </c>
      <c r="S831" s="293" t="s">
        <v>443</v>
      </c>
      <c r="T831" s="14" t="s">
        <v>479</v>
      </c>
      <c r="U831" s="14" t="s">
        <v>480</v>
      </c>
      <c r="V831" s="14" t="s">
        <v>481</v>
      </c>
      <c r="W831" s="105" t="s">
        <v>2012</v>
      </c>
      <c r="X831" s="14" t="s">
        <v>483</v>
      </c>
    </row>
    <row r="832" spans="1:24" ht="38.25" customHeight="1">
      <c r="A832" s="105" t="s">
        <v>1</v>
      </c>
      <c r="B832" s="14" t="s">
        <v>83</v>
      </c>
      <c r="C832" s="14" t="s">
        <v>45</v>
      </c>
      <c r="D832" s="14" t="s">
        <v>488</v>
      </c>
      <c r="E832" s="286" t="s">
        <v>138</v>
      </c>
      <c r="F832" s="14" t="s">
        <v>489</v>
      </c>
      <c r="G832" s="242" t="s">
        <v>209</v>
      </c>
      <c r="H832" s="14">
        <v>238160</v>
      </c>
      <c r="I832" s="14" t="s">
        <v>6</v>
      </c>
      <c r="J832" s="14" t="s">
        <v>1974</v>
      </c>
      <c r="K832" s="14" t="s">
        <v>80</v>
      </c>
      <c r="L832" s="14" t="s">
        <v>80</v>
      </c>
      <c r="M832" s="250">
        <v>8000</v>
      </c>
      <c r="N832" s="250">
        <v>12000</v>
      </c>
      <c r="O832" s="14" t="s">
        <v>9</v>
      </c>
      <c r="P832" s="14" t="s">
        <v>278</v>
      </c>
      <c r="Q832" s="14" t="s">
        <v>279</v>
      </c>
      <c r="R832" s="14" t="s">
        <v>10</v>
      </c>
      <c r="S832" s="293" t="s">
        <v>443</v>
      </c>
      <c r="T832" s="14" t="s">
        <v>490</v>
      </c>
      <c r="U832" s="14" t="s">
        <v>491</v>
      </c>
      <c r="V832" s="14" t="s">
        <v>492</v>
      </c>
      <c r="W832" s="105" t="s">
        <v>2012</v>
      </c>
      <c r="X832" s="14"/>
    </row>
    <row r="833" spans="1:24" ht="38.25" customHeight="1">
      <c r="A833" s="105" t="s">
        <v>1</v>
      </c>
      <c r="B833" s="14" t="s">
        <v>83</v>
      </c>
      <c r="C833" s="14" t="s">
        <v>45</v>
      </c>
      <c r="D833" s="14" t="s">
        <v>493</v>
      </c>
      <c r="E833" s="286" t="s">
        <v>138</v>
      </c>
      <c r="F833" s="14" t="s">
        <v>453</v>
      </c>
      <c r="G833" s="242" t="s">
        <v>209</v>
      </c>
      <c r="H833" s="14">
        <v>238190</v>
      </c>
      <c r="I833" s="14" t="s">
        <v>6</v>
      </c>
      <c r="J833" s="14" t="s">
        <v>1974</v>
      </c>
      <c r="K833" s="14" t="s">
        <v>80</v>
      </c>
      <c r="L833" s="14" t="s">
        <v>80</v>
      </c>
      <c r="M833" s="250">
        <v>2000000</v>
      </c>
      <c r="N833" s="250">
        <v>2500000</v>
      </c>
      <c r="O833" s="14" t="s">
        <v>20</v>
      </c>
      <c r="P833" s="14" t="s">
        <v>278</v>
      </c>
      <c r="Q833" s="14" t="s">
        <v>279</v>
      </c>
      <c r="R833" s="14" t="s">
        <v>10</v>
      </c>
      <c r="S833" s="293" t="s">
        <v>443</v>
      </c>
      <c r="T833" s="14" t="s">
        <v>490</v>
      </c>
      <c r="U833" s="14" t="s">
        <v>491</v>
      </c>
      <c r="V833" s="14" t="s">
        <v>492</v>
      </c>
      <c r="W833" s="105" t="s">
        <v>2012</v>
      </c>
      <c r="X833" s="14"/>
    </row>
    <row r="834" spans="1:24" ht="38.25" customHeight="1">
      <c r="A834" s="105" t="s">
        <v>1</v>
      </c>
      <c r="B834" s="14" t="s">
        <v>83</v>
      </c>
      <c r="C834" s="14" t="s">
        <v>45</v>
      </c>
      <c r="D834" s="14" t="s">
        <v>494</v>
      </c>
      <c r="E834" s="286" t="s">
        <v>138</v>
      </c>
      <c r="F834" s="14" t="s">
        <v>495</v>
      </c>
      <c r="G834" s="242" t="s">
        <v>209</v>
      </c>
      <c r="H834" s="14">
        <v>236220</v>
      </c>
      <c r="I834" s="14" t="s">
        <v>6</v>
      </c>
      <c r="J834" s="14" t="s">
        <v>1974</v>
      </c>
      <c r="K834" s="14" t="s">
        <v>80</v>
      </c>
      <c r="L834" s="14"/>
      <c r="M834" s="250">
        <v>25000</v>
      </c>
      <c r="N834" s="250">
        <v>30000</v>
      </c>
      <c r="O834" s="14" t="s">
        <v>20</v>
      </c>
      <c r="P834" s="14" t="s">
        <v>278</v>
      </c>
      <c r="Q834" s="14" t="s">
        <v>279</v>
      </c>
      <c r="R834" s="14" t="s">
        <v>10</v>
      </c>
      <c r="S834" s="293" t="s">
        <v>443</v>
      </c>
      <c r="T834" s="14" t="s">
        <v>490</v>
      </c>
      <c r="U834" s="14" t="s">
        <v>491</v>
      </c>
      <c r="V834" s="14" t="s">
        <v>492</v>
      </c>
      <c r="W834" s="105" t="s">
        <v>2012</v>
      </c>
      <c r="X834" s="14"/>
    </row>
    <row r="835" spans="1:24" ht="38.25" customHeight="1">
      <c r="A835" s="14" t="s">
        <v>1</v>
      </c>
      <c r="B835" s="14" t="s">
        <v>83</v>
      </c>
      <c r="C835" s="14" t="s">
        <v>45</v>
      </c>
      <c r="D835" s="14" t="s">
        <v>496</v>
      </c>
      <c r="E835" s="14" t="s">
        <v>138</v>
      </c>
      <c r="F835" s="14" t="s">
        <v>497</v>
      </c>
      <c r="G835" s="14" t="s">
        <v>209</v>
      </c>
      <c r="H835" s="14">
        <v>238190</v>
      </c>
      <c r="I835" s="14" t="s">
        <v>6</v>
      </c>
      <c r="J835" s="14" t="s">
        <v>1974</v>
      </c>
      <c r="K835" s="14" t="s">
        <v>80</v>
      </c>
      <c r="L835" s="14"/>
      <c r="M835" s="250">
        <v>45000</v>
      </c>
      <c r="N835" s="250">
        <v>60000</v>
      </c>
      <c r="O835" s="14" t="s">
        <v>20</v>
      </c>
      <c r="P835" s="14" t="s">
        <v>278</v>
      </c>
      <c r="Q835" s="14" t="s">
        <v>279</v>
      </c>
      <c r="R835" s="14" t="s">
        <v>10</v>
      </c>
      <c r="S835" s="293" t="s">
        <v>443</v>
      </c>
      <c r="T835" s="14" t="s">
        <v>490</v>
      </c>
      <c r="U835" s="14" t="s">
        <v>491</v>
      </c>
      <c r="V835" s="14" t="s">
        <v>492</v>
      </c>
      <c r="W835" s="105" t="s">
        <v>2012</v>
      </c>
      <c r="X835" s="14"/>
    </row>
    <row r="836" spans="1:24" ht="38.25" customHeight="1">
      <c r="A836" s="14" t="s">
        <v>1</v>
      </c>
      <c r="B836" s="14" t="s">
        <v>83</v>
      </c>
      <c r="C836" s="14" t="s">
        <v>45</v>
      </c>
      <c r="D836" s="14" t="s">
        <v>498</v>
      </c>
      <c r="E836" s="14" t="s">
        <v>138</v>
      </c>
      <c r="F836" s="14" t="s">
        <v>453</v>
      </c>
      <c r="G836" s="14" t="s">
        <v>209</v>
      </c>
      <c r="H836" s="14">
        <v>238220</v>
      </c>
      <c r="I836" s="14" t="s">
        <v>6</v>
      </c>
      <c r="J836" s="14" t="s">
        <v>1974</v>
      </c>
      <c r="K836" s="14" t="s">
        <v>80</v>
      </c>
      <c r="L836" s="14"/>
      <c r="M836" s="250">
        <v>400000</v>
      </c>
      <c r="N836" s="250">
        <v>600000</v>
      </c>
      <c r="O836" s="14" t="s">
        <v>20</v>
      </c>
      <c r="P836" s="14" t="s">
        <v>278</v>
      </c>
      <c r="Q836" s="14" t="s">
        <v>279</v>
      </c>
      <c r="R836" s="14" t="s">
        <v>21</v>
      </c>
      <c r="S836" s="293" t="s">
        <v>443</v>
      </c>
      <c r="T836" s="14" t="s">
        <v>490</v>
      </c>
      <c r="U836" s="14" t="s">
        <v>491</v>
      </c>
      <c r="V836" s="14" t="s">
        <v>492</v>
      </c>
      <c r="W836" s="105" t="s">
        <v>2012</v>
      </c>
      <c r="X836" s="14"/>
    </row>
    <row r="837" spans="1:24" ht="38.25" customHeight="1">
      <c r="A837" s="14" t="s">
        <v>1</v>
      </c>
      <c r="B837" s="14" t="s">
        <v>83</v>
      </c>
      <c r="C837" s="14" t="s">
        <v>45</v>
      </c>
      <c r="D837" s="14" t="s">
        <v>499</v>
      </c>
      <c r="E837" s="14" t="s">
        <v>138</v>
      </c>
      <c r="F837" s="14" t="s">
        <v>453</v>
      </c>
      <c r="G837" s="14" t="s">
        <v>209</v>
      </c>
      <c r="H837" s="14">
        <v>238330</v>
      </c>
      <c r="I837" s="14" t="s">
        <v>6</v>
      </c>
      <c r="J837" s="14" t="s">
        <v>1974</v>
      </c>
      <c r="K837" s="14" t="s">
        <v>80</v>
      </c>
      <c r="L837" s="14"/>
      <c r="M837" s="250">
        <v>100000</v>
      </c>
      <c r="N837" s="250">
        <v>150000</v>
      </c>
      <c r="O837" s="14" t="s">
        <v>20</v>
      </c>
      <c r="P837" s="14" t="s">
        <v>278</v>
      </c>
      <c r="Q837" s="14" t="s">
        <v>279</v>
      </c>
      <c r="R837" s="14" t="s">
        <v>21</v>
      </c>
      <c r="S837" s="293" t="s">
        <v>443</v>
      </c>
      <c r="T837" s="14" t="s">
        <v>490</v>
      </c>
      <c r="U837" s="14" t="s">
        <v>491</v>
      </c>
      <c r="V837" s="14" t="s">
        <v>492</v>
      </c>
      <c r="W837" s="105" t="s">
        <v>2012</v>
      </c>
      <c r="X837" s="14"/>
    </row>
    <row r="838" spans="1:24" ht="38.25" customHeight="1">
      <c r="A838" s="14" t="s">
        <v>1</v>
      </c>
      <c r="B838" s="14" t="s">
        <v>83</v>
      </c>
      <c r="C838" s="14" t="s">
        <v>45</v>
      </c>
      <c r="D838" s="14" t="s">
        <v>500</v>
      </c>
      <c r="E838" s="14" t="s">
        <v>138</v>
      </c>
      <c r="F838" s="14" t="s">
        <v>501</v>
      </c>
      <c r="G838" s="14" t="s">
        <v>209</v>
      </c>
      <c r="H838" s="14">
        <v>236220</v>
      </c>
      <c r="I838" s="14" t="s">
        <v>6</v>
      </c>
      <c r="J838" s="14" t="s">
        <v>1974</v>
      </c>
      <c r="K838" s="14" t="s">
        <v>80</v>
      </c>
      <c r="L838" s="14"/>
      <c r="M838" s="250">
        <v>60000</v>
      </c>
      <c r="N838" s="250">
        <v>80000</v>
      </c>
      <c r="O838" s="14" t="s">
        <v>20</v>
      </c>
      <c r="P838" s="14" t="s">
        <v>278</v>
      </c>
      <c r="Q838" s="14" t="s">
        <v>279</v>
      </c>
      <c r="R838" s="14" t="s">
        <v>10</v>
      </c>
      <c r="S838" s="293" t="s">
        <v>443</v>
      </c>
      <c r="T838" s="14" t="s">
        <v>490</v>
      </c>
      <c r="U838" s="14" t="s">
        <v>491</v>
      </c>
      <c r="V838" s="14" t="s">
        <v>492</v>
      </c>
      <c r="W838" s="105" t="s">
        <v>2012</v>
      </c>
      <c r="X838" s="14"/>
    </row>
    <row r="839" spans="1:24" ht="38.25" customHeight="1">
      <c r="A839" s="14" t="s">
        <v>1</v>
      </c>
      <c r="B839" s="14" t="s">
        <v>83</v>
      </c>
      <c r="C839" s="14" t="s">
        <v>45</v>
      </c>
      <c r="D839" s="14" t="s">
        <v>502</v>
      </c>
      <c r="E839" s="14" t="s">
        <v>138</v>
      </c>
      <c r="F839" s="14" t="s">
        <v>503</v>
      </c>
      <c r="G839" s="14" t="s">
        <v>16</v>
      </c>
      <c r="H839" s="14">
        <v>236220</v>
      </c>
      <c r="I839" s="14" t="s">
        <v>6</v>
      </c>
      <c r="J839" s="14" t="s">
        <v>1974</v>
      </c>
      <c r="K839" s="14" t="s">
        <v>80</v>
      </c>
      <c r="L839" s="14"/>
      <c r="M839" s="250">
        <v>300000</v>
      </c>
      <c r="N839" s="250">
        <v>350000</v>
      </c>
      <c r="O839" s="14" t="s">
        <v>20</v>
      </c>
      <c r="P839" s="14" t="s">
        <v>278</v>
      </c>
      <c r="Q839" s="14" t="s">
        <v>279</v>
      </c>
      <c r="R839" s="14"/>
      <c r="S839" s="293" t="s">
        <v>443</v>
      </c>
      <c r="T839" s="14" t="s">
        <v>504</v>
      </c>
      <c r="U839" s="14" t="s">
        <v>505</v>
      </c>
      <c r="V839" s="14" t="s">
        <v>506</v>
      </c>
      <c r="W839" s="105" t="s">
        <v>2012</v>
      </c>
      <c r="X839" s="14"/>
    </row>
    <row r="840" spans="1:24" ht="38.25" customHeight="1">
      <c r="A840" s="14" t="s">
        <v>1</v>
      </c>
      <c r="B840" s="14" t="s">
        <v>83</v>
      </c>
      <c r="C840" s="14" t="s">
        <v>45</v>
      </c>
      <c r="D840" s="14" t="s">
        <v>507</v>
      </c>
      <c r="E840" s="14" t="s">
        <v>138</v>
      </c>
      <c r="F840" s="14" t="s">
        <v>487</v>
      </c>
      <c r="G840" s="14" t="s">
        <v>16</v>
      </c>
      <c r="H840" s="14">
        <v>238220</v>
      </c>
      <c r="I840" s="14" t="s">
        <v>6</v>
      </c>
      <c r="J840" s="14" t="s">
        <v>1974</v>
      </c>
      <c r="K840" s="14" t="s">
        <v>80</v>
      </c>
      <c r="L840" s="14"/>
      <c r="M840" s="250">
        <v>50000</v>
      </c>
      <c r="N840" s="250">
        <v>70000</v>
      </c>
      <c r="O840" s="14" t="s">
        <v>20</v>
      </c>
      <c r="P840" s="14" t="s">
        <v>278</v>
      </c>
      <c r="Q840" s="14" t="s">
        <v>279</v>
      </c>
      <c r="R840" s="14"/>
      <c r="S840" s="293" t="s">
        <v>443</v>
      </c>
      <c r="T840" s="14" t="s">
        <v>504</v>
      </c>
      <c r="U840" s="14" t="s">
        <v>505</v>
      </c>
      <c r="V840" s="14" t="s">
        <v>506</v>
      </c>
      <c r="W840" s="105" t="s">
        <v>2012</v>
      </c>
      <c r="X840" s="14"/>
    </row>
    <row r="841" spans="1:24" ht="38.25" customHeight="1">
      <c r="A841" s="14" t="s">
        <v>1</v>
      </c>
      <c r="B841" s="14" t="s">
        <v>83</v>
      </c>
      <c r="C841" s="14" t="s">
        <v>45</v>
      </c>
      <c r="D841" s="14" t="s">
        <v>508</v>
      </c>
      <c r="E841" s="14" t="s">
        <v>138</v>
      </c>
      <c r="F841" s="14" t="s">
        <v>461</v>
      </c>
      <c r="G841" s="14" t="s">
        <v>16</v>
      </c>
      <c r="H841" s="14">
        <v>238210</v>
      </c>
      <c r="I841" s="14" t="s">
        <v>6</v>
      </c>
      <c r="J841" s="14" t="s">
        <v>1974</v>
      </c>
      <c r="K841" s="14" t="s">
        <v>80</v>
      </c>
      <c r="L841" s="14"/>
      <c r="M841" s="250">
        <v>700000</v>
      </c>
      <c r="N841" s="250">
        <v>800000</v>
      </c>
      <c r="O841" s="14" t="s">
        <v>20</v>
      </c>
      <c r="P841" s="14" t="s">
        <v>278</v>
      </c>
      <c r="Q841" s="14" t="s">
        <v>279</v>
      </c>
      <c r="R841" s="14" t="s">
        <v>10</v>
      </c>
      <c r="S841" s="293" t="s">
        <v>509</v>
      </c>
      <c r="T841" s="14" t="s">
        <v>504</v>
      </c>
      <c r="U841" s="14" t="s">
        <v>505</v>
      </c>
      <c r="V841" s="14" t="s">
        <v>506</v>
      </c>
      <c r="W841" s="105" t="s">
        <v>2012</v>
      </c>
      <c r="X841" s="14"/>
    </row>
    <row r="842" spans="1:24" ht="38.25" customHeight="1">
      <c r="A842" s="14" t="s">
        <v>1</v>
      </c>
      <c r="B842" s="14" t="s">
        <v>83</v>
      </c>
      <c r="C842" s="14" t="s">
        <v>45</v>
      </c>
      <c r="D842" s="14" t="s">
        <v>510</v>
      </c>
      <c r="E842" s="14" t="s">
        <v>138</v>
      </c>
      <c r="F842" s="14" t="s">
        <v>487</v>
      </c>
      <c r="G842" s="14" t="s">
        <v>16</v>
      </c>
      <c r="H842" s="14">
        <v>236220</v>
      </c>
      <c r="I842" s="14" t="s">
        <v>6</v>
      </c>
      <c r="J842" s="14" t="s">
        <v>1974</v>
      </c>
      <c r="K842" s="14" t="s">
        <v>80</v>
      </c>
      <c r="L842" s="14"/>
      <c r="M842" s="250">
        <v>230000</v>
      </c>
      <c r="N842" s="250">
        <v>275000</v>
      </c>
      <c r="O842" s="14" t="s">
        <v>20</v>
      </c>
      <c r="P842" s="14" t="s">
        <v>278</v>
      </c>
      <c r="Q842" s="14" t="s">
        <v>279</v>
      </c>
      <c r="R842" s="14" t="s">
        <v>10</v>
      </c>
      <c r="S842" s="293" t="s">
        <v>509</v>
      </c>
      <c r="T842" s="14" t="s">
        <v>504</v>
      </c>
      <c r="U842" s="14" t="s">
        <v>505</v>
      </c>
      <c r="V842" s="14" t="s">
        <v>506</v>
      </c>
      <c r="W842" s="105" t="s">
        <v>2012</v>
      </c>
      <c r="X842" s="14"/>
    </row>
    <row r="843" spans="1:24" ht="38.25" customHeight="1">
      <c r="A843" s="14" t="s">
        <v>1</v>
      </c>
      <c r="B843" s="14" t="s">
        <v>83</v>
      </c>
      <c r="C843" s="14" t="s">
        <v>2810</v>
      </c>
      <c r="D843" s="14" t="s">
        <v>511</v>
      </c>
      <c r="E843" s="14" t="s">
        <v>138</v>
      </c>
      <c r="F843" s="14" t="s">
        <v>501</v>
      </c>
      <c r="G843" s="14" t="s">
        <v>209</v>
      </c>
      <c r="H843" s="14">
        <v>238320</v>
      </c>
      <c r="I843" s="14" t="s">
        <v>6</v>
      </c>
      <c r="J843" s="14" t="s">
        <v>1974</v>
      </c>
      <c r="K843" s="14" t="s">
        <v>80</v>
      </c>
      <c r="L843" s="14" t="s">
        <v>80</v>
      </c>
      <c r="M843" s="250">
        <v>24000</v>
      </c>
      <c r="N843" s="250">
        <v>35000</v>
      </c>
      <c r="O843" s="14" t="s">
        <v>20</v>
      </c>
      <c r="P843" s="14" t="s">
        <v>278</v>
      </c>
      <c r="Q843" s="14" t="s">
        <v>279</v>
      </c>
      <c r="R843" s="14" t="s">
        <v>10</v>
      </c>
      <c r="S843" s="293" t="s">
        <v>443</v>
      </c>
      <c r="T843" s="14" t="s">
        <v>512</v>
      </c>
      <c r="U843" s="14" t="s">
        <v>513</v>
      </c>
      <c r="V843" s="14" t="s">
        <v>514</v>
      </c>
      <c r="W843" s="105" t="s">
        <v>2012</v>
      </c>
      <c r="X843" s="14" t="s">
        <v>3</v>
      </c>
    </row>
    <row r="844" spans="1:24" ht="38.25" customHeight="1">
      <c r="A844" s="14" t="s">
        <v>1</v>
      </c>
      <c r="B844" s="14" t="s">
        <v>83</v>
      </c>
      <c r="C844" s="14" t="s">
        <v>45</v>
      </c>
      <c r="D844" s="14" t="s">
        <v>515</v>
      </c>
      <c r="E844" s="14" t="s">
        <v>138</v>
      </c>
      <c r="F844" s="14" t="s">
        <v>501</v>
      </c>
      <c r="G844" s="14" t="s">
        <v>209</v>
      </c>
      <c r="H844" s="14">
        <v>238190</v>
      </c>
      <c r="I844" s="14" t="s">
        <v>6</v>
      </c>
      <c r="J844" s="14" t="s">
        <v>1974</v>
      </c>
      <c r="K844" s="14" t="s">
        <v>80</v>
      </c>
      <c r="L844" s="14" t="s">
        <v>80</v>
      </c>
      <c r="M844" s="250">
        <v>85000</v>
      </c>
      <c r="N844" s="250">
        <v>100000</v>
      </c>
      <c r="O844" s="14" t="s">
        <v>20</v>
      </c>
      <c r="P844" s="14" t="s">
        <v>278</v>
      </c>
      <c r="Q844" s="14" t="s">
        <v>279</v>
      </c>
      <c r="R844" s="14" t="s">
        <v>10</v>
      </c>
      <c r="S844" s="293" t="s">
        <v>509</v>
      </c>
      <c r="T844" s="14" t="s">
        <v>512</v>
      </c>
      <c r="U844" s="14" t="s">
        <v>513</v>
      </c>
      <c r="V844" s="14" t="s">
        <v>514</v>
      </c>
      <c r="W844" s="105" t="s">
        <v>2012</v>
      </c>
      <c r="X844" s="14"/>
    </row>
    <row r="845" spans="1:24" ht="38.25" customHeight="1">
      <c r="A845" s="14" t="s">
        <v>1</v>
      </c>
      <c r="B845" s="14" t="s">
        <v>83</v>
      </c>
      <c r="C845" s="14" t="s">
        <v>45</v>
      </c>
      <c r="D845" s="14" t="s">
        <v>516</v>
      </c>
      <c r="E845" s="14" t="s">
        <v>138</v>
      </c>
      <c r="F845" s="14" t="s">
        <v>501</v>
      </c>
      <c r="G845" s="14" t="s">
        <v>209</v>
      </c>
      <c r="H845" s="14">
        <v>238330</v>
      </c>
      <c r="I845" s="14" t="s">
        <v>6</v>
      </c>
      <c r="J845" s="14" t="s">
        <v>1974</v>
      </c>
      <c r="K845" s="14" t="s">
        <v>80</v>
      </c>
      <c r="L845" s="14" t="s">
        <v>80</v>
      </c>
      <c r="M845" s="250">
        <v>475000</v>
      </c>
      <c r="N845" s="250">
        <v>550000</v>
      </c>
      <c r="O845" s="14" t="s">
        <v>20</v>
      </c>
      <c r="P845" s="14" t="s">
        <v>278</v>
      </c>
      <c r="Q845" s="14" t="s">
        <v>279</v>
      </c>
      <c r="R845" s="14" t="s">
        <v>10</v>
      </c>
      <c r="S845" s="293" t="s">
        <v>509</v>
      </c>
      <c r="T845" s="14" t="s">
        <v>512</v>
      </c>
      <c r="U845" s="14" t="s">
        <v>513</v>
      </c>
      <c r="V845" s="14" t="s">
        <v>514</v>
      </c>
      <c r="W845" s="105" t="s">
        <v>2012</v>
      </c>
      <c r="X845" s="14"/>
    </row>
    <row r="846" spans="1:24" ht="38.25" customHeight="1">
      <c r="A846" s="14" t="s">
        <v>1</v>
      </c>
      <c r="B846" s="14" t="s">
        <v>83</v>
      </c>
      <c r="C846" s="14" t="s">
        <v>45</v>
      </c>
      <c r="D846" s="14" t="s">
        <v>517</v>
      </c>
      <c r="E846" s="14" t="s">
        <v>138</v>
      </c>
      <c r="F846" s="14" t="s">
        <v>518</v>
      </c>
      <c r="G846" s="14" t="s">
        <v>183</v>
      </c>
      <c r="H846" s="14">
        <v>236220</v>
      </c>
      <c r="I846" s="14" t="s">
        <v>28</v>
      </c>
      <c r="J846" s="14" t="s">
        <v>1976</v>
      </c>
      <c r="K846" s="14" t="s">
        <v>519</v>
      </c>
      <c r="L846" s="14" t="s">
        <v>278</v>
      </c>
      <c r="M846" s="250">
        <v>100000</v>
      </c>
      <c r="N846" s="250">
        <v>180000</v>
      </c>
      <c r="O846" s="14" t="s">
        <v>20</v>
      </c>
      <c r="P846" s="14" t="s">
        <v>278</v>
      </c>
      <c r="Q846" s="14" t="s">
        <v>279</v>
      </c>
      <c r="R846" s="14" t="s">
        <v>21</v>
      </c>
      <c r="S846" s="293" t="s">
        <v>443</v>
      </c>
      <c r="T846" s="14" t="s">
        <v>520</v>
      </c>
      <c r="U846" s="14" t="s">
        <v>521</v>
      </c>
      <c r="V846" s="14" t="s">
        <v>522</v>
      </c>
      <c r="W846" s="105" t="s">
        <v>2012</v>
      </c>
      <c r="X846" s="14" t="s">
        <v>523</v>
      </c>
    </row>
    <row r="847" spans="1:24" ht="38.25" customHeight="1">
      <c r="A847" s="14" t="s">
        <v>1</v>
      </c>
      <c r="B847" s="14" t="s">
        <v>83</v>
      </c>
      <c r="C847" s="14" t="s">
        <v>45</v>
      </c>
      <c r="D847" s="14" t="s">
        <v>524</v>
      </c>
      <c r="E847" s="14" t="s">
        <v>138</v>
      </c>
      <c r="F847" s="14" t="s">
        <v>471</v>
      </c>
      <c r="G847" s="14" t="s">
        <v>183</v>
      </c>
      <c r="H847" s="14">
        <v>236220</v>
      </c>
      <c r="I847" s="14" t="s">
        <v>28</v>
      </c>
      <c r="J847" s="14" t="s">
        <v>1976</v>
      </c>
      <c r="K847" s="14" t="s">
        <v>519</v>
      </c>
      <c r="L847" s="14" t="s">
        <v>278</v>
      </c>
      <c r="M847" s="250">
        <v>60000</v>
      </c>
      <c r="N847" s="250">
        <v>75000</v>
      </c>
      <c r="O847" s="14" t="s">
        <v>20</v>
      </c>
      <c r="P847" s="14" t="s">
        <v>278</v>
      </c>
      <c r="Q847" s="14" t="s">
        <v>279</v>
      </c>
      <c r="R847" s="14" t="s">
        <v>21</v>
      </c>
      <c r="S847" s="293" t="s">
        <v>443</v>
      </c>
      <c r="T847" s="14" t="s">
        <v>520</v>
      </c>
      <c r="U847" s="14" t="s">
        <v>521</v>
      </c>
      <c r="V847" s="14" t="s">
        <v>522</v>
      </c>
      <c r="W847" s="105" t="s">
        <v>2012</v>
      </c>
      <c r="X847" s="14" t="s">
        <v>523</v>
      </c>
    </row>
    <row r="848" spans="1:24" ht="38.25" customHeight="1">
      <c r="A848" s="14" t="s">
        <v>1</v>
      </c>
      <c r="B848" s="14" t="s">
        <v>83</v>
      </c>
      <c r="C848" s="14" t="s">
        <v>45</v>
      </c>
      <c r="D848" s="14" t="s">
        <v>525</v>
      </c>
      <c r="E848" s="14" t="s">
        <v>26</v>
      </c>
      <c r="F848" s="14" t="s">
        <v>526</v>
      </c>
      <c r="G848" s="14" t="s">
        <v>183</v>
      </c>
      <c r="H848" s="14">
        <v>541310</v>
      </c>
      <c r="I848" s="14" t="s">
        <v>28</v>
      </c>
      <c r="J848" s="14" t="s">
        <v>1976</v>
      </c>
      <c r="K848" s="14" t="s">
        <v>40</v>
      </c>
      <c r="L848" s="14" t="s">
        <v>278</v>
      </c>
      <c r="M848" s="250">
        <v>8000</v>
      </c>
      <c r="N848" s="250">
        <v>15000</v>
      </c>
      <c r="O848" s="14" t="s">
        <v>9</v>
      </c>
      <c r="P848" s="14" t="s">
        <v>278</v>
      </c>
      <c r="Q848" s="14" t="s">
        <v>279</v>
      </c>
      <c r="R848" s="14" t="s">
        <v>21</v>
      </c>
      <c r="S848" s="293" t="s">
        <v>443</v>
      </c>
      <c r="T848" s="14" t="s">
        <v>527</v>
      </c>
      <c r="U848" s="14" t="s">
        <v>528</v>
      </c>
      <c r="V848" s="14" t="s">
        <v>529</v>
      </c>
      <c r="W848" s="105" t="s">
        <v>2012</v>
      </c>
      <c r="X848" s="14" t="s">
        <v>523</v>
      </c>
    </row>
    <row r="849" spans="1:24" ht="38.25" customHeight="1">
      <c r="A849" s="14" t="s">
        <v>1</v>
      </c>
      <c r="B849" s="14" t="s">
        <v>83</v>
      </c>
      <c r="C849" s="14" t="s">
        <v>45</v>
      </c>
      <c r="D849" s="14" t="s">
        <v>525</v>
      </c>
      <c r="E849" s="14" t="s">
        <v>26</v>
      </c>
      <c r="F849" s="14" t="s">
        <v>518</v>
      </c>
      <c r="G849" s="14" t="s">
        <v>183</v>
      </c>
      <c r="H849" s="14">
        <v>541310</v>
      </c>
      <c r="I849" s="14" t="s">
        <v>28</v>
      </c>
      <c r="J849" s="14" t="s">
        <v>1976</v>
      </c>
      <c r="K849" s="14" t="s">
        <v>40</v>
      </c>
      <c r="L849" s="14" t="s">
        <v>278</v>
      </c>
      <c r="M849" s="250">
        <v>10000</v>
      </c>
      <c r="N849" s="250">
        <v>20000</v>
      </c>
      <c r="O849" s="14" t="s">
        <v>9</v>
      </c>
      <c r="P849" s="14" t="s">
        <v>278</v>
      </c>
      <c r="Q849" s="14" t="s">
        <v>279</v>
      </c>
      <c r="R849" s="14" t="s">
        <v>21</v>
      </c>
      <c r="S849" s="293" t="s">
        <v>443</v>
      </c>
      <c r="T849" s="14" t="s">
        <v>530</v>
      </c>
      <c r="U849" s="14" t="s">
        <v>531</v>
      </c>
      <c r="V849" s="14" t="s">
        <v>532</v>
      </c>
      <c r="W849" s="105" t="s">
        <v>2012</v>
      </c>
      <c r="X849" s="14" t="s">
        <v>523</v>
      </c>
    </row>
    <row r="850" spans="1:24" ht="38.25" customHeight="1">
      <c r="A850" s="14" t="s">
        <v>1</v>
      </c>
      <c r="B850" s="14" t="s">
        <v>83</v>
      </c>
      <c r="C850" s="14" t="s">
        <v>45</v>
      </c>
      <c r="D850" s="14" t="s">
        <v>533</v>
      </c>
      <c r="E850" s="14" t="s">
        <v>26</v>
      </c>
      <c r="F850" s="14" t="s">
        <v>518</v>
      </c>
      <c r="G850" s="14" t="s">
        <v>183</v>
      </c>
      <c r="H850" s="14">
        <v>541310</v>
      </c>
      <c r="I850" s="14" t="s">
        <v>28</v>
      </c>
      <c r="J850" s="14" t="s">
        <v>1976</v>
      </c>
      <c r="K850" s="14" t="s">
        <v>519</v>
      </c>
      <c r="L850" s="14" t="s">
        <v>278</v>
      </c>
      <c r="M850" s="250">
        <v>25000</v>
      </c>
      <c r="N850" s="250">
        <v>40000</v>
      </c>
      <c r="O850" s="14" t="s">
        <v>20</v>
      </c>
      <c r="P850" s="14" t="s">
        <v>278</v>
      </c>
      <c r="Q850" s="14" t="s">
        <v>279</v>
      </c>
      <c r="R850" s="14" t="s">
        <v>10</v>
      </c>
      <c r="S850" s="293" t="s">
        <v>509</v>
      </c>
      <c r="T850" s="14" t="s">
        <v>530</v>
      </c>
      <c r="U850" s="14" t="s">
        <v>531</v>
      </c>
      <c r="V850" s="14" t="s">
        <v>532</v>
      </c>
      <c r="W850" s="105" t="s">
        <v>2012</v>
      </c>
      <c r="X850" s="14" t="s">
        <v>523</v>
      </c>
    </row>
    <row r="851" spans="1:24" ht="38.25" customHeight="1">
      <c r="A851" s="14" t="s">
        <v>1</v>
      </c>
      <c r="B851" s="14" t="s">
        <v>83</v>
      </c>
      <c r="C851" s="14" t="s">
        <v>45</v>
      </c>
      <c r="D851" s="14" t="s">
        <v>534</v>
      </c>
      <c r="E851" s="14" t="s">
        <v>138</v>
      </c>
      <c r="F851" s="14" t="s">
        <v>471</v>
      </c>
      <c r="G851" s="14" t="s">
        <v>183</v>
      </c>
      <c r="H851" s="14">
        <v>236220</v>
      </c>
      <c r="I851" s="14" t="s">
        <v>28</v>
      </c>
      <c r="J851" s="14" t="s">
        <v>1976</v>
      </c>
      <c r="K851" s="14" t="s">
        <v>519</v>
      </c>
      <c r="L851" s="14" t="s">
        <v>278</v>
      </c>
      <c r="M851" s="250">
        <v>200000</v>
      </c>
      <c r="N851" s="250">
        <v>275000</v>
      </c>
      <c r="O851" s="14" t="s">
        <v>20</v>
      </c>
      <c r="P851" s="14" t="s">
        <v>278</v>
      </c>
      <c r="Q851" s="14" t="s">
        <v>279</v>
      </c>
      <c r="R851" s="14" t="s">
        <v>21</v>
      </c>
      <c r="S851" s="293" t="s">
        <v>443</v>
      </c>
      <c r="T851" s="14" t="s">
        <v>527</v>
      </c>
      <c r="U851" s="14" t="s">
        <v>528</v>
      </c>
      <c r="V851" s="14" t="s">
        <v>529</v>
      </c>
      <c r="W851" s="105" t="s">
        <v>2012</v>
      </c>
      <c r="X851" s="14" t="s">
        <v>523</v>
      </c>
    </row>
    <row r="852" spans="1:24" ht="38.25" customHeight="1">
      <c r="A852" s="14" t="s">
        <v>1</v>
      </c>
      <c r="B852" s="14" t="s">
        <v>83</v>
      </c>
      <c r="C852" s="14" t="s">
        <v>45</v>
      </c>
      <c r="D852" s="14" t="s">
        <v>535</v>
      </c>
      <c r="E852" s="14" t="s">
        <v>77</v>
      </c>
      <c r="F852" s="14" t="s">
        <v>471</v>
      </c>
      <c r="G852" s="14" t="s">
        <v>183</v>
      </c>
      <c r="H852" s="14">
        <v>236220</v>
      </c>
      <c r="I852" s="14" t="s">
        <v>28</v>
      </c>
      <c r="J852" s="14" t="s">
        <v>1976</v>
      </c>
      <c r="K852" s="14" t="s">
        <v>1980</v>
      </c>
      <c r="L852" s="14" t="s">
        <v>278</v>
      </c>
      <c r="M852" s="250">
        <v>40000</v>
      </c>
      <c r="N852" s="250">
        <v>55000</v>
      </c>
      <c r="O852" s="14" t="s">
        <v>20</v>
      </c>
      <c r="P852" s="14" t="s">
        <v>278</v>
      </c>
      <c r="Q852" s="14" t="s">
        <v>279</v>
      </c>
      <c r="R852" s="14" t="s">
        <v>21</v>
      </c>
      <c r="S852" s="293" t="s">
        <v>443</v>
      </c>
      <c r="T852" s="14" t="s">
        <v>520</v>
      </c>
      <c r="U852" s="14" t="s">
        <v>521</v>
      </c>
      <c r="V852" s="14" t="s">
        <v>522</v>
      </c>
      <c r="W852" s="105" t="s">
        <v>2012</v>
      </c>
      <c r="X852" s="14" t="s">
        <v>523</v>
      </c>
    </row>
    <row r="853" spans="1:24" ht="38.25" customHeight="1">
      <c r="A853" s="14" t="s">
        <v>1</v>
      </c>
      <c r="B853" s="14" t="s">
        <v>83</v>
      </c>
      <c r="C853" s="14" t="s">
        <v>2811</v>
      </c>
      <c r="D853" s="14" t="s">
        <v>536</v>
      </c>
      <c r="E853" s="14" t="s">
        <v>97</v>
      </c>
      <c r="F853" s="14" t="s">
        <v>501</v>
      </c>
      <c r="G853" s="14" t="s">
        <v>209</v>
      </c>
      <c r="H853" s="14">
        <v>561210</v>
      </c>
      <c r="I853" s="14" t="s">
        <v>6</v>
      </c>
      <c r="J853" s="14" t="s">
        <v>537</v>
      </c>
      <c r="K853" s="14" t="s">
        <v>29</v>
      </c>
      <c r="L853" s="14" t="s">
        <v>80</v>
      </c>
      <c r="M853" s="250">
        <v>7000000</v>
      </c>
      <c r="N853" s="250">
        <v>900000</v>
      </c>
      <c r="O853" s="14" t="s">
        <v>20</v>
      </c>
      <c r="P853" s="14" t="s">
        <v>463</v>
      </c>
      <c r="Q853" s="14" t="s">
        <v>279</v>
      </c>
      <c r="R853" s="14" t="s">
        <v>21</v>
      </c>
      <c r="S853" s="293" t="s">
        <v>443</v>
      </c>
      <c r="T853" s="14" t="s">
        <v>538</v>
      </c>
      <c r="U853" s="14" t="s">
        <v>539</v>
      </c>
      <c r="V853" s="14" t="s">
        <v>540</v>
      </c>
      <c r="W853" s="105" t="s">
        <v>2012</v>
      </c>
      <c r="X853" s="14" t="s">
        <v>541</v>
      </c>
    </row>
    <row r="854" spans="1:24" ht="38.25" customHeight="1">
      <c r="A854" s="14" t="s">
        <v>1</v>
      </c>
      <c r="B854" s="14" t="s">
        <v>83</v>
      </c>
      <c r="C854" s="14" t="s">
        <v>2811</v>
      </c>
      <c r="D854" s="14" t="s">
        <v>536</v>
      </c>
      <c r="E854" s="14" t="s">
        <v>97</v>
      </c>
      <c r="F854" s="14" t="s">
        <v>542</v>
      </c>
      <c r="G854" s="14" t="s">
        <v>209</v>
      </c>
      <c r="H854" s="14">
        <v>561210</v>
      </c>
      <c r="I854" s="14" t="s">
        <v>6</v>
      </c>
      <c r="J854" s="14" t="s">
        <v>537</v>
      </c>
      <c r="K854" s="14" t="s">
        <v>29</v>
      </c>
      <c r="L854" s="14" t="s">
        <v>80</v>
      </c>
      <c r="M854" s="250">
        <v>9000000</v>
      </c>
      <c r="N854" s="250">
        <v>12000000</v>
      </c>
      <c r="O854" s="14" t="s">
        <v>20</v>
      </c>
      <c r="P854" s="14" t="s">
        <v>543</v>
      </c>
      <c r="Q854" s="14" t="s">
        <v>279</v>
      </c>
      <c r="R854" s="14" t="s">
        <v>21</v>
      </c>
      <c r="S854" s="293" t="s">
        <v>443</v>
      </c>
      <c r="T854" s="14" t="s">
        <v>538</v>
      </c>
      <c r="U854" s="14" t="s">
        <v>539</v>
      </c>
      <c r="V854" s="14" t="s">
        <v>540</v>
      </c>
      <c r="W854" s="105" t="s">
        <v>2012</v>
      </c>
      <c r="X854" s="14" t="s">
        <v>541</v>
      </c>
    </row>
    <row r="855" spans="1:24" ht="38.25" customHeight="1">
      <c r="A855" s="14" t="s">
        <v>1</v>
      </c>
      <c r="B855" s="14" t="s">
        <v>83</v>
      </c>
      <c r="C855" s="14" t="s">
        <v>45</v>
      </c>
      <c r="D855" s="14" t="s">
        <v>544</v>
      </c>
      <c r="E855" s="14" t="s">
        <v>97</v>
      </c>
      <c r="F855" s="14" t="s">
        <v>545</v>
      </c>
      <c r="G855" s="14" t="s">
        <v>209</v>
      </c>
      <c r="H855" s="14">
        <v>561210</v>
      </c>
      <c r="I855" s="14" t="s">
        <v>28</v>
      </c>
      <c r="J855" s="14" t="s">
        <v>546</v>
      </c>
      <c r="K855" s="14" t="s">
        <v>547</v>
      </c>
      <c r="L855" s="14" t="s">
        <v>278</v>
      </c>
      <c r="M855" s="250" t="s">
        <v>1974</v>
      </c>
      <c r="N855" s="250" t="s">
        <v>1974</v>
      </c>
      <c r="O855" s="14" t="s">
        <v>20</v>
      </c>
      <c r="P855" s="14" t="s">
        <v>548</v>
      </c>
      <c r="Q855" s="14" t="s">
        <v>279</v>
      </c>
      <c r="R855" s="14" t="s">
        <v>41</v>
      </c>
      <c r="S855" s="293" t="s">
        <v>443</v>
      </c>
      <c r="T855" s="14" t="s">
        <v>549</v>
      </c>
      <c r="U855" s="14" t="s">
        <v>550</v>
      </c>
      <c r="V855" s="14" t="s">
        <v>551</v>
      </c>
      <c r="W855" s="105" t="s">
        <v>2012</v>
      </c>
      <c r="X855" s="14" t="s">
        <v>541</v>
      </c>
    </row>
    <row r="856" spans="1:24" ht="38.25" customHeight="1">
      <c r="A856" s="14" t="s">
        <v>1</v>
      </c>
      <c r="B856" s="14" t="s">
        <v>83</v>
      </c>
      <c r="C856" s="14" t="s">
        <v>2811</v>
      </c>
      <c r="D856" s="14" t="s">
        <v>544</v>
      </c>
      <c r="E856" s="14" t="s">
        <v>97</v>
      </c>
      <c r="F856" s="14" t="s">
        <v>552</v>
      </c>
      <c r="G856" s="14" t="s">
        <v>16</v>
      </c>
      <c r="H856" s="14">
        <v>561210</v>
      </c>
      <c r="I856" s="14" t="s">
        <v>28</v>
      </c>
      <c r="J856" s="14" t="s">
        <v>546</v>
      </c>
      <c r="K856" s="14" t="s">
        <v>547</v>
      </c>
      <c r="L856" s="14" t="s">
        <v>278</v>
      </c>
      <c r="M856" s="250">
        <v>500000</v>
      </c>
      <c r="N856" s="250">
        <v>600000</v>
      </c>
      <c r="O856" s="14" t="s">
        <v>20</v>
      </c>
      <c r="P856" s="14" t="s">
        <v>463</v>
      </c>
      <c r="Q856" s="14" t="s">
        <v>279</v>
      </c>
      <c r="R856" s="14" t="s">
        <v>21</v>
      </c>
      <c r="S856" s="293" t="s">
        <v>443</v>
      </c>
      <c r="T856" s="14" t="s">
        <v>553</v>
      </c>
      <c r="U856" s="14" t="s">
        <v>554</v>
      </c>
      <c r="V856" s="14" t="s">
        <v>555</v>
      </c>
      <c r="W856" s="105" t="s">
        <v>2012</v>
      </c>
      <c r="X856" s="14" t="s">
        <v>541</v>
      </c>
    </row>
    <row r="857" spans="1:24" ht="38.25" customHeight="1">
      <c r="A857" s="14" t="s">
        <v>1</v>
      </c>
      <c r="B857" s="14" t="s">
        <v>83</v>
      </c>
      <c r="C857" s="14" t="s">
        <v>45</v>
      </c>
      <c r="D857" s="14" t="s">
        <v>2812</v>
      </c>
      <c r="E857" s="14" t="s">
        <v>138</v>
      </c>
      <c r="F857" s="14" t="s">
        <v>2813</v>
      </c>
      <c r="G857" s="14" t="s">
        <v>16</v>
      </c>
      <c r="H857" s="14">
        <v>236220</v>
      </c>
      <c r="I857" s="14" t="s">
        <v>28</v>
      </c>
      <c r="J857" s="14" t="s">
        <v>546</v>
      </c>
      <c r="K857" s="14" t="s">
        <v>547</v>
      </c>
      <c r="L857" s="14" t="s">
        <v>278</v>
      </c>
      <c r="M857" s="250" t="s">
        <v>278</v>
      </c>
      <c r="N857" s="250" t="s">
        <v>278</v>
      </c>
      <c r="O857" s="14" t="s">
        <v>20</v>
      </c>
      <c r="P857" s="14"/>
      <c r="Q857" s="14" t="s">
        <v>2814</v>
      </c>
      <c r="R857" s="14" t="s">
        <v>31</v>
      </c>
      <c r="S857" s="293" t="s">
        <v>443</v>
      </c>
      <c r="T857" s="14" t="s">
        <v>2815</v>
      </c>
      <c r="U857" s="14" t="s">
        <v>2816</v>
      </c>
      <c r="V857" s="296" t="s">
        <v>2817</v>
      </c>
      <c r="W857" s="105" t="s">
        <v>2012</v>
      </c>
      <c r="X857" s="14" t="s">
        <v>541</v>
      </c>
    </row>
    <row r="858" spans="1:24" ht="38.25" customHeight="1">
      <c r="A858" s="14" t="s">
        <v>1</v>
      </c>
      <c r="B858" s="14" t="s">
        <v>83</v>
      </c>
      <c r="C858" s="14" t="s">
        <v>45</v>
      </c>
      <c r="D858" s="14" t="s">
        <v>2818</v>
      </c>
      <c r="E858" s="14" t="s">
        <v>26</v>
      </c>
      <c r="F858" s="14" t="s">
        <v>2813</v>
      </c>
      <c r="G858" s="14" t="s">
        <v>16</v>
      </c>
      <c r="H858" s="14">
        <v>541310</v>
      </c>
      <c r="I858" s="14" t="s">
        <v>28</v>
      </c>
      <c r="J858" s="14" t="s">
        <v>546</v>
      </c>
      <c r="K858" s="14" t="s">
        <v>547</v>
      </c>
      <c r="L858" s="14" t="s">
        <v>278</v>
      </c>
      <c r="M858" s="250" t="s">
        <v>278</v>
      </c>
      <c r="N858" s="250" t="s">
        <v>278</v>
      </c>
      <c r="O858" s="14" t="s">
        <v>20</v>
      </c>
      <c r="P858" s="14"/>
      <c r="Q858" s="14" t="s">
        <v>2814</v>
      </c>
      <c r="R858" s="14" t="s">
        <v>31</v>
      </c>
      <c r="S858" s="293" t="s">
        <v>443</v>
      </c>
      <c r="T858" s="14" t="s">
        <v>2815</v>
      </c>
      <c r="U858" s="14" t="s">
        <v>2816</v>
      </c>
      <c r="V858" s="296" t="s">
        <v>2817</v>
      </c>
      <c r="W858" s="105" t="s">
        <v>2012</v>
      </c>
      <c r="X858" s="14" t="s">
        <v>541</v>
      </c>
    </row>
    <row r="859" spans="1:24" ht="38.25" customHeight="1">
      <c r="A859" s="14" t="s">
        <v>1</v>
      </c>
      <c r="B859" s="14" t="s">
        <v>83</v>
      </c>
      <c r="C859" s="14" t="s">
        <v>45</v>
      </c>
      <c r="D859" s="14" t="s">
        <v>2819</v>
      </c>
      <c r="E859" s="14" t="s">
        <v>138</v>
      </c>
      <c r="F859" s="14" t="s">
        <v>2820</v>
      </c>
      <c r="G859" s="14" t="s">
        <v>183</v>
      </c>
      <c r="H859" s="14">
        <v>236220</v>
      </c>
      <c r="I859" s="14" t="s">
        <v>28</v>
      </c>
      <c r="J859" s="14" t="s">
        <v>546</v>
      </c>
      <c r="K859" s="14" t="s">
        <v>547</v>
      </c>
      <c r="L859" s="14" t="s">
        <v>278</v>
      </c>
      <c r="M859" s="250" t="s">
        <v>278</v>
      </c>
      <c r="N859" s="250" t="s">
        <v>278</v>
      </c>
      <c r="O859" s="14" t="s">
        <v>20</v>
      </c>
      <c r="P859" s="14"/>
      <c r="Q859" s="14" t="s">
        <v>2814</v>
      </c>
      <c r="R859" s="14" t="s">
        <v>31</v>
      </c>
      <c r="S859" s="293" t="s">
        <v>443</v>
      </c>
      <c r="T859" s="14" t="s">
        <v>456</v>
      </c>
      <c r="U859" s="14" t="s">
        <v>2821</v>
      </c>
      <c r="V859" s="296" t="s">
        <v>458</v>
      </c>
      <c r="W859" s="105" t="s">
        <v>2012</v>
      </c>
      <c r="X859" s="14" t="s">
        <v>541</v>
      </c>
    </row>
    <row r="860" spans="1:24" ht="38.25" customHeight="1">
      <c r="A860" s="14" t="s">
        <v>1</v>
      </c>
      <c r="B860" s="14" t="s">
        <v>83</v>
      </c>
      <c r="C860" s="14" t="s">
        <v>45</v>
      </c>
      <c r="D860" s="14" t="s">
        <v>2812</v>
      </c>
      <c r="E860" s="14" t="s">
        <v>138</v>
      </c>
      <c r="F860" s="14" t="s">
        <v>2820</v>
      </c>
      <c r="G860" s="14" t="s">
        <v>183</v>
      </c>
      <c r="H860" s="14">
        <v>236220</v>
      </c>
      <c r="I860" s="14" t="s">
        <v>28</v>
      </c>
      <c r="J860" s="14" t="s">
        <v>546</v>
      </c>
      <c r="K860" s="14" t="s">
        <v>547</v>
      </c>
      <c r="L860" s="14" t="s">
        <v>278</v>
      </c>
      <c r="M860" s="250" t="s">
        <v>278</v>
      </c>
      <c r="N860" s="250" t="s">
        <v>278</v>
      </c>
      <c r="O860" s="14" t="s">
        <v>20</v>
      </c>
      <c r="P860" s="14"/>
      <c r="Q860" s="14" t="s">
        <v>2814</v>
      </c>
      <c r="R860" s="14" t="s">
        <v>41</v>
      </c>
      <c r="S860" s="293" t="s">
        <v>443</v>
      </c>
      <c r="T860" s="14" t="s">
        <v>479</v>
      </c>
      <c r="U860" s="14" t="s">
        <v>2822</v>
      </c>
      <c r="V860" s="296" t="s">
        <v>481</v>
      </c>
      <c r="W860" s="105" t="s">
        <v>2012</v>
      </c>
      <c r="X860" s="14" t="s">
        <v>541</v>
      </c>
    </row>
    <row r="861" spans="1:24" ht="38.25" customHeight="1">
      <c r="A861" s="14" t="s">
        <v>1</v>
      </c>
      <c r="B861" s="14" t="s">
        <v>83</v>
      </c>
      <c r="C861" s="14" t="s">
        <v>45</v>
      </c>
      <c r="D861" s="14" t="s">
        <v>2812</v>
      </c>
      <c r="E861" s="14" t="s">
        <v>138</v>
      </c>
      <c r="F861" s="14" t="s">
        <v>2823</v>
      </c>
      <c r="G861" s="14" t="s">
        <v>209</v>
      </c>
      <c r="H861" s="14">
        <v>236220</v>
      </c>
      <c r="I861" s="14" t="s">
        <v>28</v>
      </c>
      <c r="J861" s="14" t="s">
        <v>546</v>
      </c>
      <c r="K861" s="14" t="s">
        <v>547</v>
      </c>
      <c r="L861" s="14" t="s">
        <v>278</v>
      </c>
      <c r="M861" s="250" t="s">
        <v>278</v>
      </c>
      <c r="N861" s="250" t="s">
        <v>278</v>
      </c>
      <c r="O861" s="14" t="s">
        <v>20</v>
      </c>
      <c r="P861" s="14"/>
      <c r="Q861" s="14" t="s">
        <v>2814</v>
      </c>
      <c r="R861" s="14" t="s">
        <v>41</v>
      </c>
      <c r="S861" s="293" t="s">
        <v>443</v>
      </c>
      <c r="T861" s="14" t="s">
        <v>479</v>
      </c>
      <c r="U861" s="14" t="s">
        <v>2822</v>
      </c>
      <c r="V861" s="296" t="s">
        <v>481</v>
      </c>
      <c r="W861" s="105" t="s">
        <v>2012</v>
      </c>
      <c r="X861" s="14" t="s">
        <v>541</v>
      </c>
    </row>
    <row r="862" spans="1:24" ht="38.25" customHeight="1">
      <c r="A862" s="14" t="s">
        <v>1</v>
      </c>
      <c r="B862" s="14" t="s">
        <v>83</v>
      </c>
      <c r="C862" s="14" t="s">
        <v>45</v>
      </c>
      <c r="D862" s="14" t="s">
        <v>2819</v>
      </c>
      <c r="E862" s="14" t="s">
        <v>138</v>
      </c>
      <c r="F862" s="14" t="s">
        <v>461</v>
      </c>
      <c r="G862" s="14" t="s">
        <v>16</v>
      </c>
      <c r="H862" s="14">
        <v>236220</v>
      </c>
      <c r="I862" s="14" t="s">
        <v>28</v>
      </c>
      <c r="J862" s="14" t="s">
        <v>546</v>
      </c>
      <c r="K862" s="14" t="s">
        <v>547</v>
      </c>
      <c r="L862" s="14" t="s">
        <v>278</v>
      </c>
      <c r="M862" s="250" t="s">
        <v>278</v>
      </c>
      <c r="N862" s="250" t="s">
        <v>278</v>
      </c>
      <c r="O862" s="14" t="s">
        <v>20</v>
      </c>
      <c r="P862" s="14"/>
      <c r="Q862" s="14" t="s">
        <v>2814</v>
      </c>
      <c r="R862" s="14" t="s">
        <v>41</v>
      </c>
      <c r="S862" s="293" t="s">
        <v>443</v>
      </c>
      <c r="T862" s="14" t="s">
        <v>479</v>
      </c>
      <c r="U862" s="14" t="s">
        <v>2822</v>
      </c>
      <c r="V862" s="296" t="s">
        <v>481</v>
      </c>
      <c r="W862" s="105" t="s">
        <v>2012</v>
      </c>
      <c r="X862" s="14" t="s">
        <v>541</v>
      </c>
    </row>
    <row r="863" spans="1:24" ht="38.25" customHeight="1">
      <c r="A863" s="14" t="s">
        <v>1</v>
      </c>
      <c r="B863" s="14" t="s">
        <v>83</v>
      </c>
      <c r="C863" s="14" t="s">
        <v>45</v>
      </c>
      <c r="D863" s="14" t="s">
        <v>2824</v>
      </c>
      <c r="E863" s="14" t="s">
        <v>26</v>
      </c>
      <c r="F863" s="14" t="s">
        <v>1211</v>
      </c>
      <c r="G863" s="14" t="s">
        <v>1543</v>
      </c>
      <c r="H863" s="14">
        <v>236220</v>
      </c>
      <c r="I863" s="14" t="s">
        <v>28</v>
      </c>
      <c r="J863" s="14" t="s">
        <v>546</v>
      </c>
      <c r="K863" s="14" t="s">
        <v>547</v>
      </c>
      <c r="L863" s="14" t="s">
        <v>278</v>
      </c>
      <c r="M863" s="250" t="s">
        <v>278</v>
      </c>
      <c r="N863" s="250" t="s">
        <v>278</v>
      </c>
      <c r="O863" s="14" t="s">
        <v>20</v>
      </c>
      <c r="P863" s="14"/>
      <c r="Q863" s="14" t="s">
        <v>2814</v>
      </c>
      <c r="R863" s="14" t="s">
        <v>41</v>
      </c>
      <c r="S863" s="293" t="s">
        <v>443</v>
      </c>
      <c r="T863" s="14" t="s">
        <v>456</v>
      </c>
      <c r="U863" s="14" t="s">
        <v>2821</v>
      </c>
      <c r="V863" s="296" t="s">
        <v>458</v>
      </c>
      <c r="W863" s="105" t="s">
        <v>2012</v>
      </c>
      <c r="X863" s="14" t="s">
        <v>541</v>
      </c>
    </row>
    <row r="864" spans="1:24" ht="38.25" customHeight="1">
      <c r="A864" s="14" t="s">
        <v>1</v>
      </c>
      <c r="B864" s="14" t="s">
        <v>83</v>
      </c>
      <c r="C864" s="14" t="s">
        <v>45</v>
      </c>
      <c r="D864" s="14" t="s">
        <v>2825</v>
      </c>
      <c r="E864" s="14" t="s">
        <v>26</v>
      </c>
      <c r="F864" s="14" t="s">
        <v>1211</v>
      </c>
      <c r="G864" s="14" t="s">
        <v>1543</v>
      </c>
      <c r="H864" s="14">
        <v>236220</v>
      </c>
      <c r="I864" s="14" t="s">
        <v>28</v>
      </c>
      <c r="J864" s="14" t="s">
        <v>546</v>
      </c>
      <c r="K864" s="14" t="s">
        <v>547</v>
      </c>
      <c r="L864" s="14" t="s">
        <v>278</v>
      </c>
      <c r="M864" s="250" t="s">
        <v>278</v>
      </c>
      <c r="N864" s="250" t="s">
        <v>278</v>
      </c>
      <c r="O864" s="14" t="s">
        <v>20</v>
      </c>
      <c r="P864" s="14"/>
      <c r="Q864" s="14" t="s">
        <v>2814</v>
      </c>
      <c r="R864" s="14" t="s">
        <v>41</v>
      </c>
      <c r="S864" s="293" t="s">
        <v>443</v>
      </c>
      <c r="T864" s="14" t="s">
        <v>2815</v>
      </c>
      <c r="U864" s="14" t="s">
        <v>2816</v>
      </c>
      <c r="V864" s="296" t="s">
        <v>2817</v>
      </c>
      <c r="W864" s="105" t="s">
        <v>2012</v>
      </c>
      <c r="X864" s="14" t="s">
        <v>541</v>
      </c>
    </row>
    <row r="865" spans="1:24" ht="38.25" customHeight="1">
      <c r="A865" s="14" t="s">
        <v>1</v>
      </c>
      <c r="B865" s="14" t="s">
        <v>83</v>
      </c>
      <c r="C865" s="14" t="s">
        <v>45</v>
      </c>
      <c r="D865" s="14" t="s">
        <v>2812</v>
      </c>
      <c r="E865" s="14" t="s">
        <v>138</v>
      </c>
      <c r="F865" s="14" t="s">
        <v>2826</v>
      </c>
      <c r="G865" s="14" t="s">
        <v>209</v>
      </c>
      <c r="H865" s="14">
        <v>236220</v>
      </c>
      <c r="I865" s="14" t="s">
        <v>28</v>
      </c>
      <c r="J865" s="14" t="s">
        <v>546</v>
      </c>
      <c r="K865" s="14" t="s">
        <v>547</v>
      </c>
      <c r="L865" s="14" t="s">
        <v>278</v>
      </c>
      <c r="M865" s="250" t="s">
        <v>278</v>
      </c>
      <c r="N865" s="250" t="s">
        <v>278</v>
      </c>
      <c r="O865" s="14" t="s">
        <v>20</v>
      </c>
      <c r="P865" s="14"/>
      <c r="Q865" s="14" t="s">
        <v>2814</v>
      </c>
      <c r="R865" s="14" t="s">
        <v>41</v>
      </c>
      <c r="S865" s="293" t="s">
        <v>443</v>
      </c>
      <c r="T865" s="14" t="s">
        <v>2827</v>
      </c>
      <c r="U865" s="14" t="s">
        <v>2828</v>
      </c>
      <c r="V865" s="296" t="s">
        <v>2829</v>
      </c>
      <c r="W865" s="105" t="s">
        <v>2012</v>
      </c>
      <c r="X865" s="14" t="s">
        <v>541</v>
      </c>
    </row>
    <row r="866" spans="1:24" ht="38.25" customHeight="1">
      <c r="A866" s="14" t="s">
        <v>1</v>
      </c>
      <c r="B866" s="14" t="s">
        <v>83</v>
      </c>
      <c r="C866" s="14" t="s">
        <v>45</v>
      </c>
      <c r="D866" s="14" t="s">
        <v>2812</v>
      </c>
      <c r="E866" s="14" t="s">
        <v>138</v>
      </c>
      <c r="F866" s="14" t="s">
        <v>501</v>
      </c>
      <c r="G866" s="14" t="s">
        <v>209</v>
      </c>
      <c r="H866" s="14">
        <v>236220</v>
      </c>
      <c r="I866" s="14" t="s">
        <v>28</v>
      </c>
      <c r="J866" s="14" t="s">
        <v>546</v>
      </c>
      <c r="K866" s="14" t="s">
        <v>547</v>
      </c>
      <c r="L866" s="14" t="s">
        <v>278</v>
      </c>
      <c r="M866" s="250" t="s">
        <v>278</v>
      </c>
      <c r="N866" s="250" t="s">
        <v>278</v>
      </c>
      <c r="O866" s="14" t="s">
        <v>20</v>
      </c>
      <c r="P866" s="14"/>
      <c r="Q866" s="14" t="s">
        <v>2814</v>
      </c>
      <c r="R866" s="14" t="s">
        <v>41</v>
      </c>
      <c r="S866" s="293" t="s">
        <v>443</v>
      </c>
      <c r="T866" s="14" t="s">
        <v>472</v>
      </c>
      <c r="U866" s="14" t="s">
        <v>473</v>
      </c>
      <c r="V866" s="296" t="s">
        <v>474</v>
      </c>
      <c r="W866" s="105" t="s">
        <v>2012</v>
      </c>
      <c r="X866" s="14" t="s">
        <v>541</v>
      </c>
    </row>
    <row r="867" spans="1:24" ht="38.25" customHeight="1">
      <c r="A867" s="14" t="s">
        <v>1</v>
      </c>
      <c r="B867" s="14" t="s">
        <v>83</v>
      </c>
      <c r="C867" s="14" t="s">
        <v>45</v>
      </c>
      <c r="D867" s="14" t="s">
        <v>2830</v>
      </c>
      <c r="E867" s="14" t="s">
        <v>26</v>
      </c>
      <c r="F867" s="14" t="s">
        <v>1211</v>
      </c>
      <c r="G867" s="14" t="s">
        <v>1543</v>
      </c>
      <c r="H867" s="14">
        <v>236220</v>
      </c>
      <c r="I867" s="14" t="s">
        <v>28</v>
      </c>
      <c r="J867" s="14" t="s">
        <v>546</v>
      </c>
      <c r="K867" s="14" t="s">
        <v>547</v>
      </c>
      <c r="L867" s="14" t="s">
        <v>278</v>
      </c>
      <c r="M867" s="250" t="s">
        <v>278</v>
      </c>
      <c r="N867" s="250" t="s">
        <v>278</v>
      </c>
      <c r="O867" s="14" t="s">
        <v>20</v>
      </c>
      <c r="P867" s="14"/>
      <c r="Q867" s="14" t="s">
        <v>2814</v>
      </c>
      <c r="R867" s="14" t="s">
        <v>41</v>
      </c>
      <c r="S867" s="293" t="s">
        <v>443</v>
      </c>
      <c r="T867" s="14" t="s">
        <v>472</v>
      </c>
      <c r="U867" s="14" t="s">
        <v>473</v>
      </c>
      <c r="V867" s="296" t="s">
        <v>474</v>
      </c>
      <c r="W867" s="105" t="s">
        <v>2012</v>
      </c>
      <c r="X867" s="14" t="s">
        <v>541</v>
      </c>
    </row>
    <row r="868" spans="1:24" ht="38.25" customHeight="1">
      <c r="A868" s="14" t="s">
        <v>1</v>
      </c>
      <c r="B868" s="14" t="s">
        <v>83</v>
      </c>
      <c r="C868" s="14" t="s">
        <v>45</v>
      </c>
      <c r="D868" s="14" t="s">
        <v>2831</v>
      </c>
      <c r="E868" s="14" t="s">
        <v>26</v>
      </c>
      <c r="F868" s="14" t="s">
        <v>1211</v>
      </c>
      <c r="G868" s="14" t="s">
        <v>1543</v>
      </c>
      <c r="H868" s="14">
        <v>236220</v>
      </c>
      <c r="I868" s="14" t="s">
        <v>28</v>
      </c>
      <c r="J868" s="14" t="s">
        <v>546</v>
      </c>
      <c r="K868" s="14" t="s">
        <v>547</v>
      </c>
      <c r="L868" s="14" t="s">
        <v>278</v>
      </c>
      <c r="M868" s="250" t="s">
        <v>278</v>
      </c>
      <c r="N868" s="250" t="s">
        <v>278</v>
      </c>
      <c r="O868" s="14" t="s">
        <v>20</v>
      </c>
      <c r="P868" s="14"/>
      <c r="Q868" s="14" t="s">
        <v>2814</v>
      </c>
      <c r="R868" s="14" t="s">
        <v>41</v>
      </c>
      <c r="S868" s="293" t="s">
        <v>443</v>
      </c>
      <c r="T868" s="14" t="s">
        <v>2815</v>
      </c>
      <c r="U868" s="14" t="s">
        <v>2816</v>
      </c>
      <c r="V868" s="296" t="s">
        <v>2817</v>
      </c>
      <c r="W868" s="105" t="s">
        <v>2012</v>
      </c>
      <c r="X868" s="14" t="s">
        <v>541</v>
      </c>
    </row>
    <row r="869" spans="1:24" ht="38.25" customHeight="1">
      <c r="A869" s="69" t="s">
        <v>1</v>
      </c>
      <c r="B869" s="69" t="s">
        <v>90</v>
      </c>
      <c r="C869" s="69" t="s">
        <v>35</v>
      </c>
      <c r="D869" s="69" t="s">
        <v>276</v>
      </c>
      <c r="E869" s="69" t="s">
        <v>138</v>
      </c>
      <c r="F869" s="69" t="s">
        <v>277</v>
      </c>
      <c r="G869" s="69" t="s">
        <v>85</v>
      </c>
      <c r="H869" s="69">
        <v>238190</v>
      </c>
      <c r="I869" s="69" t="s">
        <v>6</v>
      </c>
      <c r="J869" s="69" t="s">
        <v>109</v>
      </c>
      <c r="K869" s="69" t="s">
        <v>19</v>
      </c>
      <c r="L869" s="69"/>
      <c r="M869" s="69">
        <v>850000</v>
      </c>
      <c r="N869" s="69">
        <v>850000</v>
      </c>
      <c r="O869" s="69" t="s">
        <v>20</v>
      </c>
      <c r="P869" s="69" t="s">
        <v>278</v>
      </c>
      <c r="Q869" s="69" t="s">
        <v>279</v>
      </c>
      <c r="R869" s="69" t="s">
        <v>41</v>
      </c>
      <c r="S869" s="69" t="s">
        <v>280</v>
      </c>
      <c r="T869" s="69" t="s">
        <v>281</v>
      </c>
      <c r="U869" s="69" t="s">
        <v>282</v>
      </c>
      <c r="V869" s="69" t="s">
        <v>283</v>
      </c>
      <c r="W869" s="69" t="s">
        <v>2013</v>
      </c>
      <c r="X869" s="69"/>
    </row>
    <row r="870" spans="1:24" ht="38.25" customHeight="1">
      <c r="A870" s="69" t="s">
        <v>1</v>
      </c>
      <c r="B870" s="69" t="s">
        <v>90</v>
      </c>
      <c r="C870" s="69" t="s">
        <v>35</v>
      </c>
      <c r="D870" s="69" t="s">
        <v>284</v>
      </c>
      <c r="E870" s="69" t="s">
        <v>77</v>
      </c>
      <c r="F870" s="69" t="s">
        <v>277</v>
      </c>
      <c r="G870" s="69" t="s">
        <v>85</v>
      </c>
      <c r="H870" s="69">
        <v>238290</v>
      </c>
      <c r="I870" s="69" t="s">
        <v>285</v>
      </c>
      <c r="J870" s="69" t="s">
        <v>109</v>
      </c>
      <c r="K870" s="69" t="s">
        <v>19</v>
      </c>
      <c r="L870" s="69" t="s">
        <v>286</v>
      </c>
      <c r="M870" s="69">
        <v>530000</v>
      </c>
      <c r="N870" s="69">
        <v>530000</v>
      </c>
      <c r="O870" s="69" t="s">
        <v>20</v>
      </c>
      <c r="P870" s="69" t="s">
        <v>278</v>
      </c>
      <c r="Q870" s="69" t="s">
        <v>279</v>
      </c>
      <c r="R870" s="69" t="s">
        <v>41</v>
      </c>
      <c r="S870" s="69" t="s">
        <v>280</v>
      </c>
      <c r="T870" s="69" t="s">
        <v>281</v>
      </c>
      <c r="U870" s="69" t="s">
        <v>282</v>
      </c>
      <c r="V870" s="69" t="s">
        <v>283</v>
      </c>
      <c r="W870" s="69" t="s">
        <v>2013</v>
      </c>
      <c r="X870" s="69"/>
    </row>
    <row r="871" spans="1:24" ht="38.25" customHeight="1">
      <c r="A871" s="69" t="s">
        <v>1</v>
      </c>
      <c r="B871" s="69" t="s">
        <v>90</v>
      </c>
      <c r="C871" s="69" t="s">
        <v>35</v>
      </c>
      <c r="D871" s="69" t="s">
        <v>287</v>
      </c>
      <c r="E871" s="69" t="s">
        <v>77</v>
      </c>
      <c r="F871" s="69" t="s">
        <v>277</v>
      </c>
      <c r="G871" s="69" t="s">
        <v>85</v>
      </c>
      <c r="H871" s="69">
        <v>238220</v>
      </c>
      <c r="I871" s="69" t="s">
        <v>17</v>
      </c>
      <c r="J871" s="69" t="s">
        <v>109</v>
      </c>
      <c r="K871" s="69" t="s">
        <v>19</v>
      </c>
      <c r="L871" s="69" t="s">
        <v>286</v>
      </c>
      <c r="M871" s="69">
        <v>500000</v>
      </c>
      <c r="N871" s="69">
        <v>500000</v>
      </c>
      <c r="O871" s="69" t="s">
        <v>20</v>
      </c>
      <c r="P871" s="69" t="s">
        <v>278</v>
      </c>
      <c r="Q871" s="69" t="s">
        <v>279</v>
      </c>
      <c r="R871" s="69" t="s">
        <v>41</v>
      </c>
      <c r="S871" s="69" t="s">
        <v>280</v>
      </c>
      <c r="T871" s="69" t="s">
        <v>281</v>
      </c>
      <c r="U871" s="69" t="s">
        <v>282</v>
      </c>
      <c r="V871" s="69" t="s">
        <v>283</v>
      </c>
      <c r="W871" s="69" t="s">
        <v>2013</v>
      </c>
      <c r="X871" s="69"/>
    </row>
    <row r="872" spans="1:24" ht="38.25" customHeight="1">
      <c r="A872" s="69" t="s">
        <v>1</v>
      </c>
      <c r="B872" s="69" t="s">
        <v>90</v>
      </c>
      <c r="C872" s="69" t="s">
        <v>45</v>
      </c>
      <c r="D872" s="69" t="s">
        <v>289</v>
      </c>
      <c r="E872" s="69" t="s">
        <v>138</v>
      </c>
      <c r="F872" s="69" t="s">
        <v>277</v>
      </c>
      <c r="G872" s="69" t="s">
        <v>85</v>
      </c>
      <c r="H872" s="69">
        <v>238990</v>
      </c>
      <c r="I872" s="69" t="s">
        <v>1971</v>
      </c>
      <c r="J872" s="69" t="s">
        <v>109</v>
      </c>
      <c r="K872" s="69" t="s">
        <v>8</v>
      </c>
      <c r="L872" s="69" t="s">
        <v>286</v>
      </c>
      <c r="M872" s="69">
        <v>240000</v>
      </c>
      <c r="N872" s="69">
        <v>240000</v>
      </c>
      <c r="O872" s="69" t="s">
        <v>20</v>
      </c>
      <c r="P872" s="69" t="s">
        <v>278</v>
      </c>
      <c r="Q872" s="69" t="s">
        <v>279</v>
      </c>
      <c r="R872" s="69" t="s">
        <v>10</v>
      </c>
      <c r="S872" s="69" t="s">
        <v>280</v>
      </c>
      <c r="T872" s="69" t="s">
        <v>290</v>
      </c>
      <c r="U872" s="69" t="s">
        <v>291</v>
      </c>
      <c r="V872" s="69" t="s">
        <v>292</v>
      </c>
      <c r="W872" s="69" t="s">
        <v>2013</v>
      </c>
      <c r="X872" s="69"/>
    </row>
    <row r="873" spans="1:24" ht="38.25" customHeight="1">
      <c r="A873" s="69" t="s">
        <v>1</v>
      </c>
      <c r="B873" s="69" t="s">
        <v>90</v>
      </c>
      <c r="C873" s="69" t="s">
        <v>45</v>
      </c>
      <c r="D873" s="69" t="s">
        <v>293</v>
      </c>
      <c r="E873" s="69" t="s">
        <v>138</v>
      </c>
      <c r="F873" s="69" t="s">
        <v>277</v>
      </c>
      <c r="G873" s="69" t="s">
        <v>85</v>
      </c>
      <c r="H873" s="69">
        <v>238140</v>
      </c>
      <c r="I873" s="69" t="s">
        <v>28</v>
      </c>
      <c r="J873" s="69" t="s">
        <v>1977</v>
      </c>
      <c r="K873" s="69" t="s">
        <v>40</v>
      </c>
      <c r="L873" s="69" t="s">
        <v>286</v>
      </c>
      <c r="M873" s="69">
        <v>420000</v>
      </c>
      <c r="N873" s="69">
        <v>420000</v>
      </c>
      <c r="O873" s="69" t="s">
        <v>20</v>
      </c>
      <c r="P873" s="69" t="s">
        <v>278</v>
      </c>
      <c r="Q873" s="69" t="s">
        <v>279</v>
      </c>
      <c r="R873" s="69" t="s">
        <v>10</v>
      </c>
      <c r="S873" s="69" t="s">
        <v>280</v>
      </c>
      <c r="T873" s="69" t="s">
        <v>290</v>
      </c>
      <c r="U873" s="69" t="s">
        <v>291</v>
      </c>
      <c r="V873" s="69" t="s">
        <v>292</v>
      </c>
      <c r="W873" s="69" t="s">
        <v>2013</v>
      </c>
      <c r="X873" s="69"/>
    </row>
    <row r="874" spans="1:24" ht="38.25" customHeight="1">
      <c r="A874" s="69" t="s">
        <v>1</v>
      </c>
      <c r="B874" s="69" t="s">
        <v>90</v>
      </c>
      <c r="C874" s="69" t="s">
        <v>45</v>
      </c>
      <c r="D874" s="69" t="s">
        <v>294</v>
      </c>
      <c r="E874" s="69" t="s">
        <v>138</v>
      </c>
      <c r="F874" s="69" t="s">
        <v>277</v>
      </c>
      <c r="G874" s="69" t="s">
        <v>85</v>
      </c>
      <c r="H874" s="69">
        <v>562910</v>
      </c>
      <c r="I874" s="69" t="s">
        <v>1971</v>
      </c>
      <c r="J874" s="69" t="s">
        <v>109</v>
      </c>
      <c r="K874" s="69" t="s">
        <v>8</v>
      </c>
      <c r="L874" s="69" t="s">
        <v>286</v>
      </c>
      <c r="M874" s="69">
        <v>266310</v>
      </c>
      <c r="N874" s="69">
        <v>266310</v>
      </c>
      <c r="O874" s="69" t="s">
        <v>20</v>
      </c>
      <c r="P874" s="69" t="s">
        <v>278</v>
      </c>
      <c r="Q874" s="69" t="s">
        <v>279</v>
      </c>
      <c r="R874" s="69" t="s">
        <v>10</v>
      </c>
      <c r="S874" s="69" t="s">
        <v>280</v>
      </c>
      <c r="T874" s="69" t="s">
        <v>295</v>
      </c>
      <c r="U874" s="69" t="s">
        <v>296</v>
      </c>
      <c r="V874" s="69" t="s">
        <v>297</v>
      </c>
      <c r="W874" s="69" t="s">
        <v>2013</v>
      </c>
      <c r="X874" s="69"/>
    </row>
    <row r="875" spans="1:24" ht="38.25" customHeight="1">
      <c r="A875" s="69" t="s">
        <v>1</v>
      </c>
      <c r="B875" s="69" t="s">
        <v>90</v>
      </c>
      <c r="C875" s="69" t="s">
        <v>45</v>
      </c>
      <c r="D875" s="69" t="s">
        <v>298</v>
      </c>
      <c r="E875" s="69" t="s">
        <v>138</v>
      </c>
      <c r="F875" s="69" t="s">
        <v>277</v>
      </c>
      <c r="G875" s="69" t="s">
        <v>85</v>
      </c>
      <c r="H875" s="69">
        <v>238210</v>
      </c>
      <c r="I875" s="69" t="s">
        <v>17</v>
      </c>
      <c r="J875" s="69" t="s">
        <v>109</v>
      </c>
      <c r="K875" s="69" t="s">
        <v>50</v>
      </c>
      <c r="L875" s="69" t="s">
        <v>286</v>
      </c>
      <c r="M875" s="69">
        <v>29017</v>
      </c>
      <c r="N875" s="69">
        <v>29017</v>
      </c>
      <c r="O875" s="69" t="s">
        <v>20</v>
      </c>
      <c r="P875" s="69" t="s">
        <v>278</v>
      </c>
      <c r="Q875" s="69" t="s">
        <v>279</v>
      </c>
      <c r="R875" s="69" t="s">
        <v>10</v>
      </c>
      <c r="S875" s="69" t="s">
        <v>280</v>
      </c>
      <c r="T875" s="69" t="s">
        <v>299</v>
      </c>
      <c r="U875" s="69" t="s">
        <v>300</v>
      </c>
      <c r="V875" s="69" t="s">
        <v>301</v>
      </c>
      <c r="W875" s="69" t="s">
        <v>2013</v>
      </c>
      <c r="X875" s="69"/>
    </row>
    <row r="876" spans="1:24" ht="38.25" customHeight="1">
      <c r="A876" s="69" t="s">
        <v>1</v>
      </c>
      <c r="B876" s="69" t="s">
        <v>90</v>
      </c>
      <c r="C876" s="69" t="s">
        <v>45</v>
      </c>
      <c r="D876" s="69" t="s">
        <v>302</v>
      </c>
      <c r="E876" s="69" t="s">
        <v>77</v>
      </c>
      <c r="F876" s="69" t="s">
        <v>277</v>
      </c>
      <c r="G876" s="69" t="s">
        <v>85</v>
      </c>
      <c r="H876" s="69">
        <v>236220</v>
      </c>
      <c r="I876" s="69" t="s">
        <v>17</v>
      </c>
      <c r="J876" s="69" t="s">
        <v>109</v>
      </c>
      <c r="K876" s="69" t="s">
        <v>50</v>
      </c>
      <c r="L876" s="69" t="s">
        <v>286</v>
      </c>
      <c r="M876" s="69">
        <v>114000</v>
      </c>
      <c r="N876" s="69">
        <v>114000</v>
      </c>
      <c r="O876" s="69" t="s">
        <v>20</v>
      </c>
      <c r="P876" s="69" t="s">
        <v>278</v>
      </c>
      <c r="Q876" s="69" t="s">
        <v>279</v>
      </c>
      <c r="R876" s="69" t="s">
        <v>21</v>
      </c>
      <c r="S876" s="69" t="s">
        <v>280</v>
      </c>
      <c r="T876" s="69" t="s">
        <v>303</v>
      </c>
      <c r="U876" s="69" t="s">
        <v>304</v>
      </c>
      <c r="V876" s="69" t="s">
        <v>305</v>
      </c>
      <c r="W876" s="69" t="s">
        <v>2013</v>
      </c>
      <c r="X876" s="69"/>
    </row>
    <row r="877" spans="1:24" ht="38.25" customHeight="1">
      <c r="A877" s="69" t="s">
        <v>1</v>
      </c>
      <c r="B877" s="69" t="s">
        <v>90</v>
      </c>
      <c r="C877" s="69" t="s">
        <v>35</v>
      </c>
      <c r="D877" s="69" t="s">
        <v>306</v>
      </c>
      <c r="E877" s="69" t="s">
        <v>77</v>
      </c>
      <c r="F877" s="69" t="s">
        <v>277</v>
      </c>
      <c r="G877" s="69" t="s">
        <v>85</v>
      </c>
      <c r="H877" s="69">
        <v>236210</v>
      </c>
      <c r="I877" s="69" t="s">
        <v>285</v>
      </c>
      <c r="J877" s="69" t="s">
        <v>109</v>
      </c>
      <c r="K877" s="69" t="s">
        <v>19</v>
      </c>
      <c r="L877" s="69" t="s">
        <v>286</v>
      </c>
      <c r="M877" s="69">
        <v>300000</v>
      </c>
      <c r="N877" s="69">
        <v>300000</v>
      </c>
      <c r="O877" s="69" t="s">
        <v>20</v>
      </c>
      <c r="P877" s="69" t="s">
        <v>278</v>
      </c>
      <c r="Q877" s="69" t="s">
        <v>279</v>
      </c>
      <c r="R877" s="69" t="s">
        <v>21</v>
      </c>
      <c r="S877" s="69" t="s">
        <v>280</v>
      </c>
      <c r="T877" s="69" t="s">
        <v>307</v>
      </c>
      <c r="U877" s="69" t="s">
        <v>308</v>
      </c>
      <c r="V877" s="69" t="s">
        <v>309</v>
      </c>
      <c r="W877" s="69" t="s">
        <v>2013</v>
      </c>
      <c r="X877" s="69"/>
    </row>
    <row r="878" spans="1:24" ht="38.25" customHeight="1">
      <c r="A878" s="69" t="s">
        <v>1</v>
      </c>
      <c r="B878" s="69" t="s">
        <v>90</v>
      </c>
      <c r="C878" s="69" t="s">
        <v>35</v>
      </c>
      <c r="D878" s="69" t="s">
        <v>310</v>
      </c>
      <c r="E878" s="69" t="s">
        <v>138</v>
      </c>
      <c r="F878" s="69" t="s">
        <v>277</v>
      </c>
      <c r="G878" s="69" t="s">
        <v>85</v>
      </c>
      <c r="H878" s="69">
        <v>238160</v>
      </c>
      <c r="I878" s="69" t="s">
        <v>285</v>
      </c>
      <c r="J878" s="69" t="s">
        <v>109</v>
      </c>
      <c r="K878" s="69" t="s">
        <v>19</v>
      </c>
      <c r="L878" s="69" t="s">
        <v>286</v>
      </c>
      <c r="M878" s="69">
        <v>400000</v>
      </c>
      <c r="N878" s="69">
        <v>400000</v>
      </c>
      <c r="O878" s="69" t="s">
        <v>20</v>
      </c>
      <c r="P878" s="69" t="s">
        <v>278</v>
      </c>
      <c r="Q878" s="69" t="s">
        <v>279</v>
      </c>
      <c r="R878" s="69" t="s">
        <v>21</v>
      </c>
      <c r="S878" s="69" t="s">
        <v>280</v>
      </c>
      <c r="T878" s="69" t="s">
        <v>311</v>
      </c>
      <c r="U878" s="69" t="s">
        <v>312</v>
      </c>
      <c r="V878" s="69" t="s">
        <v>313</v>
      </c>
      <c r="W878" s="69" t="s">
        <v>2013</v>
      </c>
      <c r="X878" s="69"/>
    </row>
    <row r="879" spans="1:24" ht="38.25" customHeight="1">
      <c r="A879" s="69" t="s">
        <v>1</v>
      </c>
      <c r="B879" s="69" t="s">
        <v>90</v>
      </c>
      <c r="C879" s="69" t="s">
        <v>35</v>
      </c>
      <c r="D879" s="69" t="s">
        <v>314</v>
      </c>
      <c r="E879" s="69" t="s">
        <v>77</v>
      </c>
      <c r="F879" s="69" t="s">
        <v>277</v>
      </c>
      <c r="G879" s="69" t="s">
        <v>85</v>
      </c>
      <c r="H879" s="69">
        <v>238140</v>
      </c>
      <c r="I879" s="69" t="s">
        <v>56</v>
      </c>
      <c r="J879" s="69" t="s">
        <v>109</v>
      </c>
      <c r="K879" s="69" t="s">
        <v>50</v>
      </c>
      <c r="L879" s="69" t="s">
        <v>286</v>
      </c>
      <c r="M879" s="69">
        <v>100000</v>
      </c>
      <c r="N879" s="69">
        <v>100000</v>
      </c>
      <c r="O879" s="69" t="s">
        <v>20</v>
      </c>
      <c r="P879" s="69" t="s">
        <v>278</v>
      </c>
      <c r="Q879" s="69" t="s">
        <v>279</v>
      </c>
      <c r="R879" s="69" t="s">
        <v>21</v>
      </c>
      <c r="S879" s="69" t="s">
        <v>280</v>
      </c>
      <c r="T879" s="69" t="s">
        <v>290</v>
      </c>
      <c r="U879" s="69" t="s">
        <v>291</v>
      </c>
      <c r="V879" s="69" t="s">
        <v>292</v>
      </c>
      <c r="W879" s="69" t="s">
        <v>2013</v>
      </c>
      <c r="X879" s="69"/>
    </row>
    <row r="880" spans="1:24" ht="38.25" customHeight="1">
      <c r="A880" s="92" t="s">
        <v>1</v>
      </c>
      <c r="B880" s="92" t="s">
        <v>90</v>
      </c>
      <c r="C880" s="92" t="s">
        <v>35</v>
      </c>
      <c r="D880" s="92" t="s">
        <v>315</v>
      </c>
      <c r="E880" s="92" t="s">
        <v>77</v>
      </c>
      <c r="F880" s="92" t="s">
        <v>277</v>
      </c>
      <c r="G880" s="92" t="s">
        <v>85</v>
      </c>
      <c r="H880" s="92">
        <v>221310</v>
      </c>
      <c r="I880" s="92" t="s">
        <v>38</v>
      </c>
      <c r="J880" s="92" t="s">
        <v>109</v>
      </c>
      <c r="K880" s="92" t="s">
        <v>50</v>
      </c>
      <c r="L880" s="92" t="s">
        <v>286</v>
      </c>
      <c r="M880" s="92">
        <v>150000</v>
      </c>
      <c r="N880" s="92">
        <v>150000</v>
      </c>
      <c r="O880" s="92" t="s">
        <v>20</v>
      </c>
      <c r="P880" s="92" t="s">
        <v>278</v>
      </c>
      <c r="Q880" s="92" t="s">
        <v>279</v>
      </c>
      <c r="R880" s="92" t="s">
        <v>21</v>
      </c>
      <c r="S880" s="92" t="s">
        <v>280</v>
      </c>
      <c r="T880" s="92" t="s">
        <v>281</v>
      </c>
      <c r="U880" s="92" t="s">
        <v>282</v>
      </c>
      <c r="V880" s="92" t="s">
        <v>283</v>
      </c>
      <c r="W880" s="92" t="s">
        <v>2013</v>
      </c>
      <c r="X880" s="92"/>
    </row>
    <row r="881" spans="1:24" ht="38.25" customHeight="1">
      <c r="A881" s="92" t="s">
        <v>1</v>
      </c>
      <c r="B881" s="92" t="s">
        <v>90</v>
      </c>
      <c r="C881" s="92" t="s">
        <v>35</v>
      </c>
      <c r="D881" s="92" t="s">
        <v>316</v>
      </c>
      <c r="E881" s="92" t="s">
        <v>77</v>
      </c>
      <c r="F881" s="92" t="s">
        <v>277</v>
      </c>
      <c r="G881" s="92" t="s">
        <v>85</v>
      </c>
      <c r="H881" s="92">
        <v>238220</v>
      </c>
      <c r="I881" s="92" t="s">
        <v>28</v>
      </c>
      <c r="J881" s="92" t="s">
        <v>109</v>
      </c>
      <c r="K881" s="92" t="s">
        <v>19</v>
      </c>
      <c r="L881" s="92" t="s">
        <v>286</v>
      </c>
      <c r="M881" s="92">
        <v>100000</v>
      </c>
      <c r="N881" s="92">
        <v>100000</v>
      </c>
      <c r="O881" s="92" t="s">
        <v>20</v>
      </c>
      <c r="P881" s="92" t="s">
        <v>278</v>
      </c>
      <c r="Q881" s="92" t="s">
        <v>279</v>
      </c>
      <c r="R881" s="92" t="s">
        <v>31</v>
      </c>
      <c r="S881" s="92" t="s">
        <v>280</v>
      </c>
      <c r="T881" s="92" t="s">
        <v>311</v>
      </c>
      <c r="U881" s="92" t="s">
        <v>312</v>
      </c>
      <c r="V881" s="92" t="s">
        <v>313</v>
      </c>
      <c r="W881" s="92" t="s">
        <v>2013</v>
      </c>
      <c r="X881" s="92"/>
    </row>
    <row r="882" spans="1:24" ht="38.25" customHeight="1">
      <c r="A882" s="92" t="s">
        <v>1</v>
      </c>
      <c r="B882" s="92" t="s">
        <v>90</v>
      </c>
      <c r="C882" s="92" t="s">
        <v>35</v>
      </c>
      <c r="D882" s="92" t="s">
        <v>317</v>
      </c>
      <c r="E882" s="92" t="s">
        <v>77</v>
      </c>
      <c r="F882" s="92" t="s">
        <v>277</v>
      </c>
      <c r="G882" s="92" t="s">
        <v>85</v>
      </c>
      <c r="H882" s="92">
        <v>238290</v>
      </c>
      <c r="I882" s="92" t="s">
        <v>28</v>
      </c>
      <c r="J882" s="92" t="s">
        <v>109</v>
      </c>
      <c r="K882" s="92" t="s">
        <v>8</v>
      </c>
      <c r="L882" s="92" t="s">
        <v>286</v>
      </c>
      <c r="M882" s="92">
        <v>80000</v>
      </c>
      <c r="N882" s="92">
        <v>80000</v>
      </c>
      <c r="O882" s="92" t="s">
        <v>20</v>
      </c>
      <c r="P882" s="92" t="s">
        <v>278</v>
      </c>
      <c r="Q882" s="92" t="s">
        <v>279</v>
      </c>
      <c r="R882" s="92" t="s">
        <v>41</v>
      </c>
      <c r="S882" s="92" t="s">
        <v>280</v>
      </c>
      <c r="T882" s="92" t="s">
        <v>311</v>
      </c>
      <c r="U882" s="92" t="s">
        <v>312</v>
      </c>
      <c r="V882" s="92" t="s">
        <v>313</v>
      </c>
      <c r="W882" s="92" t="s">
        <v>2013</v>
      </c>
      <c r="X882" s="92"/>
    </row>
    <row r="883" spans="1:24" ht="38.25" customHeight="1">
      <c r="A883" s="92" t="s">
        <v>1</v>
      </c>
      <c r="B883" s="92" t="s">
        <v>90</v>
      </c>
      <c r="C883" s="92" t="s">
        <v>35</v>
      </c>
      <c r="D883" s="92" t="s">
        <v>318</v>
      </c>
      <c r="E883" s="92" t="s">
        <v>77</v>
      </c>
      <c r="F883" s="92" t="s">
        <v>277</v>
      </c>
      <c r="G883" s="92" t="s">
        <v>85</v>
      </c>
      <c r="H883" s="92">
        <v>238220</v>
      </c>
      <c r="I883" s="92" t="s">
        <v>285</v>
      </c>
      <c r="J883" s="92" t="s">
        <v>109</v>
      </c>
      <c r="K883" s="92" t="s">
        <v>8</v>
      </c>
      <c r="L883" s="92" t="s">
        <v>286</v>
      </c>
      <c r="M883" s="92">
        <v>100000</v>
      </c>
      <c r="N883" s="92">
        <v>100000</v>
      </c>
      <c r="O883" s="92" t="s">
        <v>20</v>
      </c>
      <c r="P883" s="92" t="s">
        <v>278</v>
      </c>
      <c r="Q883" s="92" t="s">
        <v>279</v>
      </c>
      <c r="R883" s="92" t="s">
        <v>31</v>
      </c>
      <c r="S883" s="92" t="s">
        <v>280</v>
      </c>
      <c r="T883" s="92" t="s">
        <v>311</v>
      </c>
      <c r="U883" s="92" t="s">
        <v>312</v>
      </c>
      <c r="V883" s="92" t="s">
        <v>313</v>
      </c>
      <c r="W883" s="92" t="s">
        <v>2013</v>
      </c>
      <c r="X883" s="92"/>
    </row>
    <row r="884" spans="1:24" ht="38.25" customHeight="1">
      <c r="A884" s="92" t="s">
        <v>1</v>
      </c>
      <c r="B884" s="92" t="s">
        <v>90</v>
      </c>
      <c r="C884" s="92" t="s">
        <v>35</v>
      </c>
      <c r="D884" s="92" t="s">
        <v>319</v>
      </c>
      <c r="E884" s="92" t="s">
        <v>138</v>
      </c>
      <c r="F884" s="92" t="s">
        <v>277</v>
      </c>
      <c r="G884" s="92" t="s">
        <v>85</v>
      </c>
      <c r="H884" s="92">
        <v>238210</v>
      </c>
      <c r="I884" s="92" t="s">
        <v>28</v>
      </c>
      <c r="J884" s="92" t="s">
        <v>109</v>
      </c>
      <c r="K884" s="92" t="s">
        <v>50</v>
      </c>
      <c r="L884" s="92" t="s">
        <v>286</v>
      </c>
      <c r="M884" s="92">
        <v>100000</v>
      </c>
      <c r="N884" s="92">
        <v>100000</v>
      </c>
      <c r="O884" s="92" t="s">
        <v>20</v>
      </c>
      <c r="P884" s="92" t="s">
        <v>278</v>
      </c>
      <c r="Q884" s="92" t="s">
        <v>279</v>
      </c>
      <c r="R884" s="92" t="s">
        <v>31</v>
      </c>
      <c r="S884" s="92" t="s">
        <v>280</v>
      </c>
      <c r="T884" s="92" t="s">
        <v>311</v>
      </c>
      <c r="U884" s="92" t="s">
        <v>312</v>
      </c>
      <c r="V884" s="92" t="s">
        <v>313</v>
      </c>
      <c r="W884" s="92" t="s">
        <v>2013</v>
      </c>
      <c r="X884" s="92"/>
    </row>
    <row r="885" spans="1:24" ht="38.25" customHeight="1">
      <c r="A885" s="92" t="s">
        <v>1</v>
      </c>
      <c r="B885" s="92" t="s">
        <v>90</v>
      </c>
      <c r="C885" s="92" t="s">
        <v>35</v>
      </c>
      <c r="D885" s="92" t="s">
        <v>320</v>
      </c>
      <c r="E885" s="92" t="s">
        <v>77</v>
      </c>
      <c r="F885" s="92" t="s">
        <v>277</v>
      </c>
      <c r="G885" s="92" t="s">
        <v>85</v>
      </c>
      <c r="H885" s="92">
        <v>238220</v>
      </c>
      <c r="I885" s="92" t="s">
        <v>48</v>
      </c>
      <c r="J885" s="92" t="s">
        <v>109</v>
      </c>
      <c r="K885" s="92" t="s">
        <v>50</v>
      </c>
      <c r="L885" s="92" t="s">
        <v>286</v>
      </c>
      <c r="M885" s="92">
        <v>75000</v>
      </c>
      <c r="N885" s="92">
        <v>75000</v>
      </c>
      <c r="O885" s="92" t="s">
        <v>20</v>
      </c>
      <c r="P885" s="92" t="s">
        <v>278</v>
      </c>
      <c r="Q885" s="92" t="s">
        <v>279</v>
      </c>
      <c r="R885" s="92" t="s">
        <v>31</v>
      </c>
      <c r="S885" s="92" t="s">
        <v>280</v>
      </c>
      <c r="T885" s="92" t="s">
        <v>299</v>
      </c>
      <c r="U885" s="92" t="s">
        <v>300</v>
      </c>
      <c r="V885" s="92" t="s">
        <v>301</v>
      </c>
      <c r="W885" s="92" t="s">
        <v>2013</v>
      </c>
      <c r="X885" s="92"/>
    </row>
    <row r="886" spans="1:24" ht="38.25" customHeight="1">
      <c r="A886" s="92" t="s">
        <v>1</v>
      </c>
      <c r="B886" s="92" t="s">
        <v>90</v>
      </c>
      <c r="C886" s="92" t="s">
        <v>35</v>
      </c>
      <c r="D886" s="92" t="s">
        <v>321</v>
      </c>
      <c r="E886" s="92" t="s">
        <v>138</v>
      </c>
      <c r="F886" s="92" t="s">
        <v>277</v>
      </c>
      <c r="G886" s="92" t="s">
        <v>85</v>
      </c>
      <c r="H886" s="92">
        <v>238210</v>
      </c>
      <c r="I886" s="92" t="s">
        <v>17</v>
      </c>
      <c r="J886" s="92" t="s">
        <v>109</v>
      </c>
      <c r="K886" s="92" t="s">
        <v>19</v>
      </c>
      <c r="L886" s="92" t="s">
        <v>286</v>
      </c>
      <c r="M886" s="92">
        <v>500000</v>
      </c>
      <c r="N886" s="92">
        <v>500000</v>
      </c>
      <c r="O886" s="92" t="s">
        <v>20</v>
      </c>
      <c r="P886" s="92" t="s">
        <v>278</v>
      </c>
      <c r="Q886" s="92" t="s">
        <v>279</v>
      </c>
      <c r="R886" s="92" t="s">
        <v>31</v>
      </c>
      <c r="S886" s="92" t="s">
        <v>280</v>
      </c>
      <c r="T886" s="92" t="s">
        <v>299</v>
      </c>
      <c r="U886" s="92" t="s">
        <v>300</v>
      </c>
      <c r="V886" s="92" t="s">
        <v>301</v>
      </c>
      <c r="W886" s="92" t="s">
        <v>2013</v>
      </c>
      <c r="X886" s="92"/>
    </row>
    <row r="887" spans="1:24" ht="38.25" customHeight="1">
      <c r="A887" s="92" t="s">
        <v>1</v>
      </c>
      <c r="B887" s="92" t="s">
        <v>90</v>
      </c>
      <c r="C887" s="92" t="s">
        <v>35</v>
      </c>
      <c r="D887" s="92" t="s">
        <v>322</v>
      </c>
      <c r="E887" s="92" t="s">
        <v>138</v>
      </c>
      <c r="F887" s="92" t="s">
        <v>277</v>
      </c>
      <c r="G887" s="92" t="s">
        <v>85</v>
      </c>
      <c r="H887" s="92">
        <v>238210</v>
      </c>
      <c r="I887" s="92" t="s">
        <v>6</v>
      </c>
      <c r="J887" s="92" t="s">
        <v>109</v>
      </c>
      <c r="K887" s="92" t="s">
        <v>19</v>
      </c>
      <c r="L887" s="92"/>
      <c r="M887" s="92">
        <v>1500000</v>
      </c>
      <c r="N887" s="92">
        <v>1500000</v>
      </c>
      <c r="O887" s="92" t="s">
        <v>20</v>
      </c>
      <c r="P887" s="92" t="s">
        <v>278</v>
      </c>
      <c r="Q887" s="92" t="s">
        <v>279</v>
      </c>
      <c r="R887" s="92" t="s">
        <v>31</v>
      </c>
      <c r="S887" s="92" t="s">
        <v>280</v>
      </c>
      <c r="T887" s="92" t="s">
        <v>281</v>
      </c>
      <c r="U887" s="92" t="s">
        <v>282</v>
      </c>
      <c r="V887" s="92" t="s">
        <v>283</v>
      </c>
      <c r="W887" s="92" t="s">
        <v>2013</v>
      </c>
      <c r="X887" s="92"/>
    </row>
    <row r="888" spans="1:24" ht="38.25" customHeight="1">
      <c r="A888" s="92" t="s">
        <v>1</v>
      </c>
      <c r="B888" s="92" t="s">
        <v>90</v>
      </c>
      <c r="C888" s="92" t="s">
        <v>1898</v>
      </c>
      <c r="D888" s="92" t="s">
        <v>323</v>
      </c>
      <c r="E888" s="92"/>
      <c r="F888" s="92" t="s">
        <v>277</v>
      </c>
      <c r="G888" s="92" t="s">
        <v>85</v>
      </c>
      <c r="H888" s="92">
        <v>236220</v>
      </c>
      <c r="I888" s="92" t="s">
        <v>28</v>
      </c>
      <c r="J888" s="92" t="s">
        <v>109</v>
      </c>
      <c r="K888" s="92" t="s">
        <v>17</v>
      </c>
      <c r="L888" s="92"/>
      <c r="M888" s="92">
        <v>75000</v>
      </c>
      <c r="N888" s="92">
        <v>125000</v>
      </c>
      <c r="O888" s="92" t="s">
        <v>20</v>
      </c>
      <c r="P888" s="92" t="s">
        <v>325</v>
      </c>
      <c r="Q888" s="92" t="s">
        <v>279</v>
      </c>
      <c r="R888" s="92" t="s">
        <v>10</v>
      </c>
      <c r="S888" s="92">
        <v>2013</v>
      </c>
      <c r="T888" s="92" t="s">
        <v>1989</v>
      </c>
      <c r="U888" s="92" t="s">
        <v>2004</v>
      </c>
      <c r="V888" s="92" t="s">
        <v>326</v>
      </c>
      <c r="W888" s="92" t="s">
        <v>2013</v>
      </c>
      <c r="X888" s="92"/>
    </row>
    <row r="889" spans="1:24" ht="38.25" customHeight="1">
      <c r="A889" s="92" t="s">
        <v>1</v>
      </c>
      <c r="B889" s="92" t="s">
        <v>90</v>
      </c>
      <c r="C889" s="92" t="s">
        <v>1898</v>
      </c>
      <c r="D889" s="92" t="s">
        <v>323</v>
      </c>
      <c r="E889" s="92"/>
      <c r="F889" s="92" t="s">
        <v>277</v>
      </c>
      <c r="G889" s="92" t="s">
        <v>85</v>
      </c>
      <c r="H889" s="92">
        <v>236220</v>
      </c>
      <c r="I889" s="92" t="s">
        <v>28</v>
      </c>
      <c r="J889" s="92" t="s">
        <v>109</v>
      </c>
      <c r="K889" s="92" t="s">
        <v>17</v>
      </c>
      <c r="L889" s="92"/>
      <c r="M889" s="92">
        <v>200000</v>
      </c>
      <c r="N889" s="92">
        <v>400000</v>
      </c>
      <c r="O889" s="92" t="s">
        <v>20</v>
      </c>
      <c r="P889" s="92" t="s">
        <v>325</v>
      </c>
      <c r="Q889" s="92" t="s">
        <v>279</v>
      </c>
      <c r="R889" s="92" t="s">
        <v>21</v>
      </c>
      <c r="S889" s="92">
        <v>2013</v>
      </c>
      <c r="T889" s="92" t="s">
        <v>1989</v>
      </c>
      <c r="U889" s="92" t="s">
        <v>2004</v>
      </c>
      <c r="V889" s="92" t="s">
        <v>326</v>
      </c>
      <c r="W889" s="92" t="s">
        <v>2013</v>
      </c>
      <c r="X889" s="92"/>
    </row>
    <row r="890" spans="1:24" ht="38.25" customHeight="1">
      <c r="A890" s="92" t="s">
        <v>1</v>
      </c>
      <c r="B890" s="92" t="s">
        <v>90</v>
      </c>
      <c r="C890" s="92" t="s">
        <v>1898</v>
      </c>
      <c r="D890" s="92" t="s">
        <v>323</v>
      </c>
      <c r="E890" s="92"/>
      <c r="F890" s="92" t="s">
        <v>277</v>
      </c>
      <c r="G890" s="92" t="s">
        <v>85</v>
      </c>
      <c r="H890" s="92">
        <v>236220</v>
      </c>
      <c r="I890" s="92" t="s">
        <v>28</v>
      </c>
      <c r="J890" s="92" t="s">
        <v>109</v>
      </c>
      <c r="K890" s="92" t="s">
        <v>17</v>
      </c>
      <c r="L890" s="92"/>
      <c r="M890" s="92">
        <v>1000000</v>
      </c>
      <c r="N890" s="92">
        <v>2000000</v>
      </c>
      <c r="O890" s="92" t="s">
        <v>20</v>
      </c>
      <c r="P890" s="92" t="s">
        <v>325</v>
      </c>
      <c r="Q890" s="92" t="s">
        <v>279</v>
      </c>
      <c r="R890" s="92" t="s">
        <v>21</v>
      </c>
      <c r="S890" s="92">
        <v>2013</v>
      </c>
      <c r="T890" s="92" t="s">
        <v>1989</v>
      </c>
      <c r="U890" s="92" t="s">
        <v>2004</v>
      </c>
      <c r="V890" s="92" t="s">
        <v>326</v>
      </c>
      <c r="W890" s="92" t="s">
        <v>2013</v>
      </c>
      <c r="X890" s="92"/>
    </row>
    <row r="891" spans="1:24" ht="38.25" customHeight="1">
      <c r="A891" s="92" t="s">
        <v>1</v>
      </c>
      <c r="B891" s="92" t="s">
        <v>90</v>
      </c>
      <c r="C891" s="92" t="s">
        <v>1898</v>
      </c>
      <c r="D891" s="92" t="s">
        <v>323</v>
      </c>
      <c r="E891" s="92"/>
      <c r="F891" s="92" t="s">
        <v>277</v>
      </c>
      <c r="G891" s="92" t="s">
        <v>85</v>
      </c>
      <c r="H891" s="92">
        <v>236220</v>
      </c>
      <c r="I891" s="92" t="s">
        <v>28</v>
      </c>
      <c r="J891" s="92" t="s">
        <v>109</v>
      </c>
      <c r="K891" s="92" t="s">
        <v>17</v>
      </c>
      <c r="L891" s="92"/>
      <c r="M891" s="92">
        <v>750000</v>
      </c>
      <c r="N891" s="92">
        <v>1000000</v>
      </c>
      <c r="O891" s="92" t="s">
        <v>20</v>
      </c>
      <c r="P891" s="92" t="s">
        <v>325</v>
      </c>
      <c r="Q891" s="92" t="s">
        <v>279</v>
      </c>
      <c r="R891" s="92" t="s">
        <v>31</v>
      </c>
      <c r="S891" s="92">
        <v>2013</v>
      </c>
      <c r="T891" s="92" t="s">
        <v>1989</v>
      </c>
      <c r="U891" s="92" t="s">
        <v>2004</v>
      </c>
      <c r="V891" s="92" t="s">
        <v>326</v>
      </c>
      <c r="W891" s="92" t="s">
        <v>2013</v>
      </c>
      <c r="X891" s="92"/>
    </row>
    <row r="892" spans="1:24" ht="38.25" customHeight="1">
      <c r="A892" s="92" t="s">
        <v>1</v>
      </c>
      <c r="B892" s="92" t="s">
        <v>90</v>
      </c>
      <c r="C892" s="92" t="s">
        <v>1898</v>
      </c>
      <c r="D892" s="92" t="s">
        <v>323</v>
      </c>
      <c r="E892" s="92"/>
      <c r="F892" s="92" t="s">
        <v>277</v>
      </c>
      <c r="G892" s="92" t="s">
        <v>85</v>
      </c>
      <c r="H892" s="92">
        <v>236220</v>
      </c>
      <c r="I892" s="92" t="s">
        <v>28</v>
      </c>
      <c r="J892" s="92" t="s">
        <v>109</v>
      </c>
      <c r="K892" s="92" t="s">
        <v>17</v>
      </c>
      <c r="L892" s="92"/>
      <c r="M892" s="92">
        <v>150000</v>
      </c>
      <c r="N892" s="92">
        <v>300000</v>
      </c>
      <c r="O892" s="92" t="s">
        <v>20</v>
      </c>
      <c r="P892" s="92" t="s">
        <v>325</v>
      </c>
      <c r="Q892" s="92" t="s">
        <v>279</v>
      </c>
      <c r="R892" s="92" t="s">
        <v>41</v>
      </c>
      <c r="S892" s="92">
        <v>2013</v>
      </c>
      <c r="T892" s="92" t="s">
        <v>1989</v>
      </c>
      <c r="U892" s="92" t="s">
        <v>2004</v>
      </c>
      <c r="V892" s="92" t="s">
        <v>326</v>
      </c>
      <c r="W892" s="92" t="s">
        <v>2013</v>
      </c>
      <c r="X892" s="92"/>
    </row>
    <row r="893" spans="1:24" ht="38.25" customHeight="1">
      <c r="A893" s="92" t="s">
        <v>1</v>
      </c>
      <c r="B893" s="92" t="s">
        <v>90</v>
      </c>
      <c r="C893" s="92" t="s">
        <v>1898</v>
      </c>
      <c r="D893" s="92" t="s">
        <v>323</v>
      </c>
      <c r="E893" s="92"/>
      <c r="F893" s="92" t="s">
        <v>277</v>
      </c>
      <c r="G893" s="92" t="s">
        <v>85</v>
      </c>
      <c r="H893" s="92">
        <v>236220</v>
      </c>
      <c r="I893" s="92" t="s">
        <v>28</v>
      </c>
      <c r="J893" s="92" t="s">
        <v>109</v>
      </c>
      <c r="K893" s="92" t="s">
        <v>17</v>
      </c>
      <c r="L893" s="92"/>
      <c r="M893" s="92">
        <v>200000</v>
      </c>
      <c r="N893" s="92">
        <v>400000</v>
      </c>
      <c r="O893" s="92" t="s">
        <v>20</v>
      </c>
      <c r="P893" s="92" t="s">
        <v>325</v>
      </c>
      <c r="Q893" s="92" t="s">
        <v>279</v>
      </c>
      <c r="R893" s="92" t="s">
        <v>31</v>
      </c>
      <c r="S893" s="92">
        <v>2013</v>
      </c>
      <c r="T893" s="92" t="s">
        <v>1989</v>
      </c>
      <c r="U893" s="92" t="s">
        <v>2004</v>
      </c>
      <c r="V893" s="92" t="s">
        <v>326</v>
      </c>
      <c r="W893" s="92" t="s">
        <v>2013</v>
      </c>
      <c r="X893" s="92"/>
    </row>
    <row r="894" spans="1:24" ht="38.25" customHeight="1">
      <c r="A894" s="92" t="s">
        <v>1</v>
      </c>
      <c r="B894" s="92" t="s">
        <v>90</v>
      </c>
      <c r="C894" s="92" t="s">
        <v>1898</v>
      </c>
      <c r="D894" s="92" t="s">
        <v>323</v>
      </c>
      <c r="E894" s="92"/>
      <c r="F894" s="92" t="s">
        <v>277</v>
      </c>
      <c r="G894" s="92" t="s">
        <v>85</v>
      </c>
      <c r="H894" s="92">
        <v>236220</v>
      </c>
      <c r="I894" s="92" t="s">
        <v>28</v>
      </c>
      <c r="J894" s="92" t="s">
        <v>109</v>
      </c>
      <c r="K894" s="92" t="s">
        <v>17</v>
      </c>
      <c r="L894" s="92"/>
      <c r="M894" s="92">
        <v>1000000</v>
      </c>
      <c r="N894" s="92">
        <v>2000000</v>
      </c>
      <c r="O894" s="92" t="s">
        <v>20</v>
      </c>
      <c r="P894" s="92" t="s">
        <v>325</v>
      </c>
      <c r="Q894" s="92" t="s">
        <v>279</v>
      </c>
      <c r="R894" s="92" t="s">
        <v>21</v>
      </c>
      <c r="S894" s="92">
        <v>2013</v>
      </c>
      <c r="T894" s="92" t="s">
        <v>1989</v>
      </c>
      <c r="U894" s="92" t="s">
        <v>2004</v>
      </c>
      <c r="V894" s="92" t="s">
        <v>326</v>
      </c>
      <c r="W894" s="92" t="s">
        <v>2013</v>
      </c>
      <c r="X894" s="92"/>
    </row>
    <row r="895" spans="1:24" ht="38.25" customHeight="1">
      <c r="A895" s="92" t="s">
        <v>1</v>
      </c>
      <c r="B895" s="92" t="s">
        <v>90</v>
      </c>
      <c r="C895" s="92" t="s">
        <v>1898</v>
      </c>
      <c r="D895" s="92" t="s">
        <v>323</v>
      </c>
      <c r="E895" s="92"/>
      <c r="F895" s="92" t="s">
        <v>277</v>
      </c>
      <c r="G895" s="92" t="s">
        <v>85</v>
      </c>
      <c r="H895" s="92">
        <v>236220</v>
      </c>
      <c r="I895" s="92" t="s">
        <v>28</v>
      </c>
      <c r="J895" s="92" t="s">
        <v>109</v>
      </c>
      <c r="K895" s="92" t="s">
        <v>17</v>
      </c>
      <c r="L895" s="92"/>
      <c r="M895" s="92">
        <v>3000000</v>
      </c>
      <c r="N895" s="92">
        <v>60000000</v>
      </c>
      <c r="O895" s="92" t="s">
        <v>20</v>
      </c>
      <c r="P895" s="92" t="s">
        <v>325</v>
      </c>
      <c r="Q895" s="92" t="s">
        <v>279</v>
      </c>
      <c r="R895" s="92" t="s">
        <v>31</v>
      </c>
      <c r="S895" s="92">
        <v>2013</v>
      </c>
      <c r="T895" s="92" t="s">
        <v>1989</v>
      </c>
      <c r="U895" s="92" t="s">
        <v>2004</v>
      </c>
      <c r="V895" s="92" t="s">
        <v>326</v>
      </c>
      <c r="W895" s="92" t="s">
        <v>2013</v>
      </c>
      <c r="X895" s="92"/>
    </row>
    <row r="896" spans="1:24" ht="38.25" customHeight="1">
      <c r="A896" s="92" t="s">
        <v>1</v>
      </c>
      <c r="B896" s="92" t="s">
        <v>90</v>
      </c>
      <c r="C896" s="92" t="s">
        <v>1898</v>
      </c>
      <c r="D896" s="92" t="s">
        <v>323</v>
      </c>
      <c r="E896" s="92"/>
      <c r="F896" s="92" t="s">
        <v>277</v>
      </c>
      <c r="G896" s="92" t="s">
        <v>85</v>
      </c>
      <c r="H896" s="92">
        <v>236220</v>
      </c>
      <c r="I896" s="92" t="s">
        <v>28</v>
      </c>
      <c r="J896" s="92" t="s">
        <v>109</v>
      </c>
      <c r="K896" s="92" t="s">
        <v>17</v>
      </c>
      <c r="L896" s="92"/>
      <c r="M896" s="92">
        <v>1000000</v>
      </c>
      <c r="N896" s="92">
        <v>2000000</v>
      </c>
      <c r="O896" s="92" t="s">
        <v>20</v>
      </c>
      <c r="P896" s="92" t="s">
        <v>325</v>
      </c>
      <c r="Q896" s="92" t="s">
        <v>279</v>
      </c>
      <c r="R896" s="92" t="s">
        <v>21</v>
      </c>
      <c r="S896" s="92">
        <v>2013</v>
      </c>
      <c r="T896" s="92" t="s">
        <v>1989</v>
      </c>
      <c r="U896" s="92" t="s">
        <v>2004</v>
      </c>
      <c r="V896" s="92" t="s">
        <v>326</v>
      </c>
      <c r="W896" s="92" t="s">
        <v>2013</v>
      </c>
      <c r="X896" s="92"/>
    </row>
    <row r="897" spans="1:24" ht="38.25" customHeight="1">
      <c r="A897" s="92" t="s">
        <v>1</v>
      </c>
      <c r="B897" s="92" t="s">
        <v>90</v>
      </c>
      <c r="C897" s="92" t="s">
        <v>1898</v>
      </c>
      <c r="D897" s="92" t="s">
        <v>323</v>
      </c>
      <c r="E897" s="92"/>
      <c r="F897" s="92" t="s">
        <v>277</v>
      </c>
      <c r="G897" s="92" t="s">
        <v>85</v>
      </c>
      <c r="H897" s="92">
        <v>236220</v>
      </c>
      <c r="I897" s="92" t="s">
        <v>28</v>
      </c>
      <c r="J897" s="92" t="s">
        <v>109</v>
      </c>
      <c r="K897" s="92" t="s">
        <v>17</v>
      </c>
      <c r="L897" s="92"/>
      <c r="M897" s="92">
        <v>1000000</v>
      </c>
      <c r="N897" s="92">
        <v>2000000</v>
      </c>
      <c r="O897" s="92" t="s">
        <v>20</v>
      </c>
      <c r="P897" s="92" t="s">
        <v>325</v>
      </c>
      <c r="Q897" s="92" t="s">
        <v>279</v>
      </c>
      <c r="R897" s="92" t="s">
        <v>31</v>
      </c>
      <c r="S897" s="92">
        <v>2013</v>
      </c>
      <c r="T897" s="92" t="s">
        <v>1989</v>
      </c>
      <c r="U897" s="92" t="s">
        <v>2004</v>
      </c>
      <c r="V897" s="92" t="s">
        <v>326</v>
      </c>
      <c r="W897" s="92" t="s">
        <v>2013</v>
      </c>
      <c r="X897" s="92"/>
    </row>
    <row r="898" spans="1:24" ht="38.25" customHeight="1">
      <c r="A898" s="92" t="s">
        <v>1</v>
      </c>
      <c r="B898" s="92" t="s">
        <v>90</v>
      </c>
      <c r="C898" s="92" t="s">
        <v>1898</v>
      </c>
      <c r="D898" s="92" t="s">
        <v>323</v>
      </c>
      <c r="E898" s="92"/>
      <c r="F898" s="92" t="s">
        <v>277</v>
      </c>
      <c r="G898" s="92" t="s">
        <v>85</v>
      </c>
      <c r="H898" s="92">
        <v>236220</v>
      </c>
      <c r="I898" s="92" t="s">
        <v>28</v>
      </c>
      <c r="J898" s="92" t="s">
        <v>109</v>
      </c>
      <c r="K898" s="92" t="s">
        <v>17</v>
      </c>
      <c r="L898" s="92"/>
      <c r="M898" s="92">
        <v>1000000</v>
      </c>
      <c r="N898" s="92">
        <v>2000000</v>
      </c>
      <c r="O898" s="92" t="s">
        <v>20</v>
      </c>
      <c r="P898" s="92" t="s">
        <v>325</v>
      </c>
      <c r="Q898" s="92" t="s">
        <v>279</v>
      </c>
      <c r="R898" s="92" t="s">
        <v>41</v>
      </c>
      <c r="S898" s="92">
        <v>2013</v>
      </c>
      <c r="T898" s="92" t="s">
        <v>1989</v>
      </c>
      <c r="U898" s="92" t="s">
        <v>2004</v>
      </c>
      <c r="V898" s="92" t="s">
        <v>326</v>
      </c>
      <c r="W898" s="92" t="s">
        <v>2013</v>
      </c>
      <c r="X898" s="92"/>
    </row>
    <row r="899" spans="1:24" ht="38.25" customHeight="1">
      <c r="A899" s="92" t="s">
        <v>1</v>
      </c>
      <c r="B899" s="92" t="s">
        <v>90</v>
      </c>
      <c r="C899" s="92" t="s">
        <v>1898</v>
      </c>
      <c r="D899" s="92" t="s">
        <v>323</v>
      </c>
      <c r="E899" s="92"/>
      <c r="F899" s="92" t="s">
        <v>277</v>
      </c>
      <c r="G899" s="92" t="s">
        <v>85</v>
      </c>
      <c r="H899" s="92">
        <v>236220</v>
      </c>
      <c r="I899" s="92" t="s">
        <v>28</v>
      </c>
      <c r="J899" s="92" t="s">
        <v>109</v>
      </c>
      <c r="K899" s="92" t="s">
        <v>17</v>
      </c>
      <c r="L899" s="92"/>
      <c r="M899" s="92">
        <v>150000</v>
      </c>
      <c r="N899" s="92">
        <v>300000</v>
      </c>
      <c r="O899" s="92" t="s">
        <v>20</v>
      </c>
      <c r="P899" s="92" t="s">
        <v>325</v>
      </c>
      <c r="Q899" s="92" t="s">
        <v>279</v>
      </c>
      <c r="R899" s="92" t="s">
        <v>21</v>
      </c>
      <c r="S899" s="92">
        <v>2013</v>
      </c>
      <c r="T899" s="92" t="s">
        <v>1989</v>
      </c>
      <c r="U899" s="92" t="s">
        <v>2004</v>
      </c>
      <c r="V899" s="92" t="s">
        <v>326</v>
      </c>
      <c r="W899" s="92" t="s">
        <v>2013</v>
      </c>
      <c r="X899" s="92"/>
    </row>
    <row r="900" spans="1:24" ht="38.25" customHeight="1">
      <c r="A900" s="92" t="s">
        <v>1</v>
      </c>
      <c r="B900" s="92" t="s">
        <v>90</v>
      </c>
      <c r="C900" s="92" t="s">
        <v>1898</v>
      </c>
      <c r="D900" s="92" t="s">
        <v>323</v>
      </c>
      <c r="E900" s="92"/>
      <c r="F900" s="92" t="s">
        <v>277</v>
      </c>
      <c r="G900" s="92" t="s">
        <v>85</v>
      </c>
      <c r="H900" s="92">
        <v>236220</v>
      </c>
      <c r="I900" s="92" t="s">
        <v>28</v>
      </c>
      <c r="J900" s="92" t="s">
        <v>109</v>
      </c>
      <c r="K900" s="92" t="s">
        <v>17</v>
      </c>
      <c r="L900" s="92"/>
      <c r="M900" s="92">
        <v>10000</v>
      </c>
      <c r="N900" s="92">
        <v>20000</v>
      </c>
      <c r="O900" s="92" t="s">
        <v>9</v>
      </c>
      <c r="P900" s="92" t="s">
        <v>325</v>
      </c>
      <c r="Q900" s="92" t="s">
        <v>279</v>
      </c>
      <c r="R900" s="92" t="s">
        <v>10</v>
      </c>
      <c r="S900" s="92">
        <v>2013</v>
      </c>
      <c r="T900" s="92" t="s">
        <v>1989</v>
      </c>
      <c r="U900" s="92" t="s">
        <v>2004</v>
      </c>
      <c r="V900" s="92" t="s">
        <v>326</v>
      </c>
      <c r="W900" s="92" t="s">
        <v>2013</v>
      </c>
      <c r="X900" s="92"/>
    </row>
    <row r="901" spans="1:24" ht="38.25" customHeight="1">
      <c r="A901" s="92" t="s">
        <v>1</v>
      </c>
      <c r="B901" s="92" t="s">
        <v>90</v>
      </c>
      <c r="C901" s="92" t="s">
        <v>1898</v>
      </c>
      <c r="D901" s="92" t="s">
        <v>323</v>
      </c>
      <c r="E901" s="92"/>
      <c r="F901" s="92" t="s">
        <v>277</v>
      </c>
      <c r="G901" s="92" t="s">
        <v>85</v>
      </c>
      <c r="H901" s="92">
        <v>236220</v>
      </c>
      <c r="I901" s="92" t="s">
        <v>28</v>
      </c>
      <c r="J901" s="92" t="s">
        <v>109</v>
      </c>
      <c r="K901" s="92" t="s">
        <v>17</v>
      </c>
      <c r="L901" s="92"/>
      <c r="M901" s="92">
        <v>200000</v>
      </c>
      <c r="N901" s="92">
        <v>400000</v>
      </c>
      <c r="O901" s="92" t="s">
        <v>20</v>
      </c>
      <c r="P901" s="92" t="s">
        <v>325</v>
      </c>
      <c r="Q901" s="92" t="s">
        <v>279</v>
      </c>
      <c r="R901" s="92" t="s">
        <v>21</v>
      </c>
      <c r="S901" s="92">
        <v>2013</v>
      </c>
      <c r="T901" s="92" t="s">
        <v>1989</v>
      </c>
      <c r="U901" s="92" t="s">
        <v>2004</v>
      </c>
      <c r="V901" s="92" t="s">
        <v>326</v>
      </c>
      <c r="W901" s="92" t="s">
        <v>2013</v>
      </c>
      <c r="X901" s="92"/>
    </row>
    <row r="902" spans="1:24" ht="38.25" customHeight="1">
      <c r="A902" s="92" t="s">
        <v>1</v>
      </c>
      <c r="B902" s="92" t="s">
        <v>90</v>
      </c>
      <c r="C902" s="92" t="s">
        <v>1898</v>
      </c>
      <c r="D902" s="92" t="s">
        <v>323</v>
      </c>
      <c r="E902" s="92"/>
      <c r="F902" s="92" t="s">
        <v>277</v>
      </c>
      <c r="G902" s="92" t="s">
        <v>85</v>
      </c>
      <c r="H902" s="92">
        <v>236220</v>
      </c>
      <c r="I902" s="92" t="s">
        <v>28</v>
      </c>
      <c r="J902" s="92" t="s">
        <v>109</v>
      </c>
      <c r="K902" s="92" t="s">
        <v>17</v>
      </c>
      <c r="L902" s="92"/>
      <c r="M902" s="92">
        <v>75000</v>
      </c>
      <c r="N902" s="92">
        <v>150000</v>
      </c>
      <c r="O902" s="92" t="s">
        <v>20</v>
      </c>
      <c r="P902" s="92" t="s">
        <v>325</v>
      </c>
      <c r="Q902" s="92" t="s">
        <v>279</v>
      </c>
      <c r="R902" s="92" t="s">
        <v>21</v>
      </c>
      <c r="S902" s="92">
        <v>2013</v>
      </c>
      <c r="T902" s="92" t="s">
        <v>1989</v>
      </c>
      <c r="U902" s="92" t="s">
        <v>2004</v>
      </c>
      <c r="V902" s="92" t="s">
        <v>326</v>
      </c>
      <c r="W902" s="92" t="s">
        <v>2013</v>
      </c>
      <c r="X902" s="92"/>
    </row>
    <row r="903" spans="1:24" ht="38.25" customHeight="1">
      <c r="A903" s="92" t="s">
        <v>1</v>
      </c>
      <c r="B903" s="92" t="s">
        <v>90</v>
      </c>
      <c r="C903" s="92" t="s">
        <v>1898</v>
      </c>
      <c r="D903" s="92" t="s">
        <v>323</v>
      </c>
      <c r="E903" s="92"/>
      <c r="F903" s="92" t="s">
        <v>277</v>
      </c>
      <c r="G903" s="92" t="s">
        <v>85</v>
      </c>
      <c r="H903" s="92">
        <v>236220</v>
      </c>
      <c r="I903" s="92" t="s">
        <v>28</v>
      </c>
      <c r="J903" s="92" t="s">
        <v>109</v>
      </c>
      <c r="K903" s="92" t="s">
        <v>17</v>
      </c>
      <c r="L903" s="92"/>
      <c r="M903" s="92">
        <v>500000</v>
      </c>
      <c r="N903" s="92">
        <v>1000000</v>
      </c>
      <c r="O903" s="92" t="s">
        <v>20</v>
      </c>
      <c r="P903" s="92" t="s">
        <v>325</v>
      </c>
      <c r="Q903" s="92" t="s">
        <v>279</v>
      </c>
      <c r="R903" s="92" t="s">
        <v>31</v>
      </c>
      <c r="S903" s="92">
        <v>2013</v>
      </c>
      <c r="T903" s="92" t="s">
        <v>1989</v>
      </c>
      <c r="U903" s="92" t="s">
        <v>2004</v>
      </c>
      <c r="V903" s="92" t="s">
        <v>326</v>
      </c>
      <c r="W903" s="92" t="s">
        <v>2013</v>
      </c>
      <c r="X903" s="92"/>
    </row>
    <row r="904" spans="1:24" ht="38.25" customHeight="1">
      <c r="A904" s="92" t="s">
        <v>1</v>
      </c>
      <c r="B904" s="92" t="s">
        <v>90</v>
      </c>
      <c r="C904" s="92" t="s">
        <v>1898</v>
      </c>
      <c r="D904" s="92" t="s">
        <v>323</v>
      </c>
      <c r="E904" s="92"/>
      <c r="F904" s="92" t="s">
        <v>277</v>
      </c>
      <c r="G904" s="92" t="s">
        <v>85</v>
      </c>
      <c r="H904" s="92">
        <v>236220</v>
      </c>
      <c r="I904" s="92" t="s">
        <v>28</v>
      </c>
      <c r="J904" s="92" t="s">
        <v>109</v>
      </c>
      <c r="K904" s="92" t="s">
        <v>17</v>
      </c>
      <c r="L904" s="92"/>
      <c r="M904" s="92">
        <v>50000</v>
      </c>
      <c r="N904" s="92">
        <v>100000</v>
      </c>
      <c r="O904" s="92" t="s">
        <v>20</v>
      </c>
      <c r="P904" s="92" t="s">
        <v>325</v>
      </c>
      <c r="Q904" s="92" t="s">
        <v>279</v>
      </c>
      <c r="R904" s="92" t="s">
        <v>21</v>
      </c>
      <c r="S904" s="92">
        <v>2013</v>
      </c>
      <c r="T904" s="92" t="s">
        <v>1989</v>
      </c>
      <c r="U904" s="92" t="s">
        <v>2004</v>
      </c>
      <c r="V904" s="92" t="s">
        <v>326</v>
      </c>
      <c r="W904" s="92" t="s">
        <v>2013</v>
      </c>
      <c r="X904" s="92"/>
    </row>
    <row r="905" spans="1:24" ht="38.25" customHeight="1">
      <c r="A905" s="92" t="s">
        <v>1</v>
      </c>
      <c r="B905" s="92" t="s">
        <v>90</v>
      </c>
      <c r="C905" s="92" t="s">
        <v>1898</v>
      </c>
      <c r="D905" s="92" t="s">
        <v>323</v>
      </c>
      <c r="E905" s="92"/>
      <c r="F905" s="92" t="s">
        <v>277</v>
      </c>
      <c r="G905" s="92" t="s">
        <v>85</v>
      </c>
      <c r="H905" s="92">
        <v>236220</v>
      </c>
      <c r="I905" s="92" t="s">
        <v>28</v>
      </c>
      <c r="J905" s="92" t="s">
        <v>109</v>
      </c>
      <c r="K905" s="92" t="s">
        <v>17</v>
      </c>
      <c r="L905" s="92"/>
      <c r="M905" s="92">
        <v>50000</v>
      </c>
      <c r="N905" s="92">
        <v>75000</v>
      </c>
      <c r="O905" s="92" t="s">
        <v>20</v>
      </c>
      <c r="P905" s="92" t="s">
        <v>325</v>
      </c>
      <c r="Q905" s="92" t="s">
        <v>279</v>
      </c>
      <c r="R905" s="92" t="s">
        <v>10</v>
      </c>
      <c r="S905" s="92">
        <v>2013</v>
      </c>
      <c r="T905" s="92" t="s">
        <v>1989</v>
      </c>
      <c r="U905" s="92" t="s">
        <v>2004</v>
      </c>
      <c r="V905" s="92" t="s">
        <v>326</v>
      </c>
      <c r="W905" s="92" t="s">
        <v>2013</v>
      </c>
      <c r="X905" s="92"/>
    </row>
    <row r="906" spans="1:24" ht="38.25" customHeight="1">
      <c r="A906" s="92" t="s">
        <v>1</v>
      </c>
      <c r="B906" s="92" t="s">
        <v>90</v>
      </c>
      <c r="C906" s="92" t="s">
        <v>1898</v>
      </c>
      <c r="D906" s="92" t="s">
        <v>328</v>
      </c>
      <c r="E906" s="92"/>
      <c r="F906" s="92" t="s">
        <v>277</v>
      </c>
      <c r="G906" s="92" t="s">
        <v>85</v>
      </c>
      <c r="H906" s="92">
        <v>238110</v>
      </c>
      <c r="I906" s="92" t="s">
        <v>17</v>
      </c>
      <c r="J906" s="92" t="s">
        <v>109</v>
      </c>
      <c r="K906" s="92" t="s">
        <v>329</v>
      </c>
      <c r="L906" s="92" t="s">
        <v>330</v>
      </c>
      <c r="M906" s="92">
        <v>40000</v>
      </c>
      <c r="N906" s="92">
        <v>100000</v>
      </c>
      <c r="O906" s="92" t="s">
        <v>20</v>
      </c>
      <c r="P906" s="92" t="s">
        <v>1974</v>
      </c>
      <c r="Q906" s="92" t="s">
        <v>279</v>
      </c>
      <c r="R906" s="92" t="s">
        <v>21</v>
      </c>
      <c r="S906" s="92">
        <v>2013</v>
      </c>
      <c r="T906" s="92" t="s">
        <v>332</v>
      </c>
      <c r="U906" s="92" t="s">
        <v>333</v>
      </c>
      <c r="V906" s="92" t="s">
        <v>334</v>
      </c>
      <c r="W906" s="92" t="s">
        <v>2013</v>
      </c>
      <c r="X906" s="92" t="s">
        <v>335</v>
      </c>
    </row>
    <row r="907" spans="1:24" ht="38.25" customHeight="1">
      <c r="A907" s="92" t="s">
        <v>1</v>
      </c>
      <c r="B907" s="92" t="s">
        <v>90</v>
      </c>
      <c r="C907" s="92" t="s">
        <v>1898</v>
      </c>
      <c r="D907" s="92" t="s">
        <v>337</v>
      </c>
      <c r="E907" s="92"/>
      <c r="F907" s="92" t="s">
        <v>277</v>
      </c>
      <c r="G907" s="92" t="s">
        <v>85</v>
      </c>
      <c r="H907" s="92">
        <v>561790</v>
      </c>
      <c r="I907" s="92" t="s">
        <v>1972</v>
      </c>
      <c r="J907" s="92" t="s">
        <v>109</v>
      </c>
      <c r="K907" s="92" t="s">
        <v>329</v>
      </c>
      <c r="L907" s="92" t="s">
        <v>330</v>
      </c>
      <c r="M907" s="92">
        <v>30000</v>
      </c>
      <c r="N907" s="92">
        <v>30000</v>
      </c>
      <c r="O907" s="92" t="s">
        <v>20</v>
      </c>
      <c r="P907" s="92" t="s">
        <v>338</v>
      </c>
      <c r="Q907" s="92" t="s">
        <v>279</v>
      </c>
      <c r="R907" s="92" t="s">
        <v>10</v>
      </c>
      <c r="S907" s="92">
        <v>2013</v>
      </c>
      <c r="T907" s="92" t="s">
        <v>332</v>
      </c>
      <c r="U907" s="92" t="s">
        <v>333</v>
      </c>
      <c r="V907" s="92" t="s">
        <v>334</v>
      </c>
      <c r="W907" s="92" t="s">
        <v>2013</v>
      </c>
      <c r="X907" s="92"/>
    </row>
    <row r="908" spans="1:24" ht="38.25" customHeight="1">
      <c r="A908" s="92" t="s">
        <v>1</v>
      </c>
      <c r="B908" s="92" t="s">
        <v>90</v>
      </c>
      <c r="C908" s="92" t="s">
        <v>1898</v>
      </c>
      <c r="D908" s="92" t="s">
        <v>339</v>
      </c>
      <c r="E908" s="92"/>
      <c r="F908" s="92" t="s">
        <v>277</v>
      </c>
      <c r="G908" s="92" t="s">
        <v>85</v>
      </c>
      <c r="H908" s="92">
        <v>238220</v>
      </c>
      <c r="I908" s="92" t="s">
        <v>17</v>
      </c>
      <c r="J908" s="92" t="s">
        <v>109</v>
      </c>
      <c r="K908" s="92" t="s">
        <v>329</v>
      </c>
      <c r="L908" s="92" t="s">
        <v>330</v>
      </c>
      <c r="M908" s="92">
        <v>400000</v>
      </c>
      <c r="N908" s="92">
        <v>900000</v>
      </c>
      <c r="O908" s="92" t="s">
        <v>20</v>
      </c>
      <c r="P908" s="92" t="s">
        <v>340</v>
      </c>
      <c r="Q908" s="92" t="s">
        <v>279</v>
      </c>
      <c r="R908" s="92" t="s">
        <v>10</v>
      </c>
      <c r="S908" s="92">
        <v>2013</v>
      </c>
      <c r="T908" s="92" t="s">
        <v>341</v>
      </c>
      <c r="U908" s="92" t="s">
        <v>342</v>
      </c>
      <c r="V908" s="92" t="s">
        <v>343</v>
      </c>
      <c r="W908" s="92" t="s">
        <v>2013</v>
      </c>
      <c r="X908" s="92"/>
    </row>
    <row r="909" spans="1:24" ht="38.25" customHeight="1">
      <c r="A909" s="92" t="s">
        <v>1</v>
      </c>
      <c r="B909" s="92" t="s">
        <v>90</v>
      </c>
      <c r="C909" s="92" t="s">
        <v>1898</v>
      </c>
      <c r="D909" s="92" t="s">
        <v>344</v>
      </c>
      <c r="E909" s="92"/>
      <c r="F909" s="92" t="s">
        <v>277</v>
      </c>
      <c r="G909" s="92" t="s">
        <v>85</v>
      </c>
      <c r="H909" s="92">
        <v>561790</v>
      </c>
      <c r="I909" s="92" t="s">
        <v>1970</v>
      </c>
      <c r="J909" s="92" t="s">
        <v>109</v>
      </c>
      <c r="K909" s="92" t="s">
        <v>346</v>
      </c>
      <c r="L909" s="92" t="s">
        <v>347</v>
      </c>
      <c r="M909" s="92">
        <v>40000</v>
      </c>
      <c r="N909" s="92">
        <v>100000</v>
      </c>
      <c r="O909" s="92"/>
      <c r="P909" s="92" t="s">
        <v>1974</v>
      </c>
      <c r="Q909" s="92" t="s">
        <v>279</v>
      </c>
      <c r="R909" s="92" t="s">
        <v>31</v>
      </c>
      <c r="S909" s="92">
        <v>2013</v>
      </c>
      <c r="T909" s="92" t="s">
        <v>332</v>
      </c>
      <c r="U909" s="92" t="s">
        <v>333</v>
      </c>
      <c r="V909" s="92" t="s">
        <v>334</v>
      </c>
      <c r="W909" s="92" t="s">
        <v>2013</v>
      </c>
      <c r="X909" s="92"/>
    </row>
    <row r="910" spans="1:24" ht="38.25" customHeight="1">
      <c r="A910" s="92" t="s">
        <v>1</v>
      </c>
      <c r="B910" s="92" t="s">
        <v>90</v>
      </c>
      <c r="C910" s="92" t="s">
        <v>1898</v>
      </c>
      <c r="D910" s="92" t="s">
        <v>348</v>
      </c>
      <c r="E910" s="92"/>
      <c r="F910" s="92" t="s">
        <v>277</v>
      </c>
      <c r="G910" s="92" t="s">
        <v>85</v>
      </c>
      <c r="H910" s="92">
        <v>236118</v>
      </c>
      <c r="I910" s="92" t="s">
        <v>17</v>
      </c>
      <c r="J910" s="92" t="s">
        <v>109</v>
      </c>
      <c r="K910" s="92" t="s">
        <v>329</v>
      </c>
      <c r="L910" s="92" t="s">
        <v>330</v>
      </c>
      <c r="M910" s="92">
        <v>184600</v>
      </c>
      <c r="N910" s="92">
        <v>184600</v>
      </c>
      <c r="O910" s="92" t="s">
        <v>20</v>
      </c>
      <c r="P910" s="92" t="s">
        <v>349</v>
      </c>
      <c r="Q910" s="92" t="s">
        <v>279</v>
      </c>
      <c r="R910" s="92" t="s">
        <v>10</v>
      </c>
      <c r="S910" s="92">
        <v>2013</v>
      </c>
      <c r="T910" s="92" t="s">
        <v>332</v>
      </c>
      <c r="U910" s="92" t="s">
        <v>2005</v>
      </c>
      <c r="V910" s="92" t="s">
        <v>334</v>
      </c>
      <c r="W910" s="92" t="s">
        <v>2013</v>
      </c>
      <c r="X910" s="92" t="s">
        <v>335</v>
      </c>
    </row>
    <row r="911" spans="1:24" ht="38.25" customHeight="1">
      <c r="A911" s="92" t="s">
        <v>1</v>
      </c>
      <c r="B911" s="92" t="s">
        <v>90</v>
      </c>
      <c r="C911" s="92" t="s">
        <v>1898</v>
      </c>
      <c r="D911" s="92" t="s">
        <v>350</v>
      </c>
      <c r="E911" s="92"/>
      <c r="F911" s="92" t="s">
        <v>277</v>
      </c>
      <c r="G911" s="92" t="s">
        <v>85</v>
      </c>
      <c r="H911" s="92">
        <v>236118</v>
      </c>
      <c r="I911" s="92" t="s">
        <v>17</v>
      </c>
      <c r="J911" s="92" t="s">
        <v>109</v>
      </c>
      <c r="K911" s="92" t="s">
        <v>329</v>
      </c>
      <c r="L911" s="92" t="s">
        <v>330</v>
      </c>
      <c r="M911" s="92">
        <v>28790</v>
      </c>
      <c r="N911" s="92">
        <v>28790</v>
      </c>
      <c r="O911" s="92" t="s">
        <v>20</v>
      </c>
      <c r="P911" s="92" t="s">
        <v>351</v>
      </c>
      <c r="Q911" s="92" t="s">
        <v>279</v>
      </c>
      <c r="R911" s="92" t="s">
        <v>21</v>
      </c>
      <c r="S911" s="92">
        <v>2013</v>
      </c>
      <c r="T911" s="92" t="s">
        <v>332</v>
      </c>
      <c r="U911" s="92" t="s">
        <v>333</v>
      </c>
      <c r="V911" s="92" t="s">
        <v>334</v>
      </c>
      <c r="W911" s="92" t="s">
        <v>2013</v>
      </c>
      <c r="X911" s="92" t="s">
        <v>352</v>
      </c>
    </row>
    <row r="912" spans="1:24" ht="38.25" customHeight="1">
      <c r="A912" s="92" t="s">
        <v>1</v>
      </c>
      <c r="B912" s="92" t="s">
        <v>90</v>
      </c>
      <c r="C912" s="92" t="s">
        <v>1898</v>
      </c>
      <c r="D912" s="92" t="s">
        <v>353</v>
      </c>
      <c r="E912" s="92"/>
      <c r="F912" s="92" t="s">
        <v>277</v>
      </c>
      <c r="G912" s="92" t="s">
        <v>85</v>
      </c>
      <c r="H912" s="92"/>
      <c r="I912" s="92" t="s">
        <v>71</v>
      </c>
      <c r="J912" s="92" t="s">
        <v>109</v>
      </c>
      <c r="K912" s="92" t="s">
        <v>329</v>
      </c>
      <c r="L912" s="92" t="s">
        <v>354</v>
      </c>
      <c r="M912" s="92">
        <v>57000</v>
      </c>
      <c r="N912" s="92">
        <v>57000</v>
      </c>
      <c r="O912" s="92" t="s">
        <v>20</v>
      </c>
      <c r="P912" s="92" t="s">
        <v>355</v>
      </c>
      <c r="Q912" s="92" t="s">
        <v>279</v>
      </c>
      <c r="R912" s="92" t="s">
        <v>21</v>
      </c>
      <c r="S912" s="92">
        <v>2013</v>
      </c>
      <c r="T912" s="92" t="s">
        <v>332</v>
      </c>
      <c r="U912" s="92" t="s">
        <v>333</v>
      </c>
      <c r="V912" s="92" t="s">
        <v>334</v>
      </c>
      <c r="W912" s="92" t="s">
        <v>2013</v>
      </c>
      <c r="X912" s="92" t="s">
        <v>352</v>
      </c>
    </row>
    <row r="913" spans="1:24" ht="38.25" customHeight="1">
      <c r="A913" s="92" t="s">
        <v>1</v>
      </c>
      <c r="B913" s="92" t="s">
        <v>90</v>
      </c>
      <c r="C913" s="92" t="s">
        <v>1898</v>
      </c>
      <c r="D913" s="92" t="s">
        <v>356</v>
      </c>
      <c r="E913" s="92"/>
      <c r="F913" s="92" t="s">
        <v>277</v>
      </c>
      <c r="G913" s="92" t="s">
        <v>85</v>
      </c>
      <c r="H913" s="92"/>
      <c r="I913" s="92" t="s">
        <v>71</v>
      </c>
      <c r="J913" s="92" t="s">
        <v>109</v>
      </c>
      <c r="K913" s="92" t="s">
        <v>329</v>
      </c>
      <c r="L913" s="92" t="s">
        <v>357</v>
      </c>
      <c r="M913" s="92">
        <v>200000</v>
      </c>
      <c r="N913" s="92">
        <v>200000</v>
      </c>
      <c r="O913" s="92" t="s">
        <v>20</v>
      </c>
      <c r="P913" s="92" t="s">
        <v>358</v>
      </c>
      <c r="Q913" s="92" t="s">
        <v>279</v>
      </c>
      <c r="R913" s="92" t="s">
        <v>10</v>
      </c>
      <c r="S913" s="92">
        <v>2013</v>
      </c>
      <c r="T913" s="92" t="s">
        <v>332</v>
      </c>
      <c r="U913" s="92" t="s">
        <v>333</v>
      </c>
      <c r="V913" s="92" t="s">
        <v>334</v>
      </c>
      <c r="W913" s="92" t="s">
        <v>2013</v>
      </c>
      <c r="X913" s="92"/>
    </row>
    <row r="914" spans="1:24" ht="38.25" customHeight="1">
      <c r="A914" s="92" t="s">
        <v>1</v>
      </c>
      <c r="B914" s="92" t="s">
        <v>90</v>
      </c>
      <c r="C914" s="92" t="s">
        <v>1898</v>
      </c>
      <c r="D914" s="92" t="s">
        <v>359</v>
      </c>
      <c r="E914" s="92"/>
      <c r="F914" s="92" t="s">
        <v>277</v>
      </c>
      <c r="G914" s="92" t="s">
        <v>85</v>
      </c>
      <c r="H914" s="92"/>
      <c r="I914" s="92" t="s">
        <v>28</v>
      </c>
      <c r="J914" s="92" t="s">
        <v>109</v>
      </c>
      <c r="K914" s="92" t="s">
        <v>329</v>
      </c>
      <c r="L914" s="92" t="s">
        <v>360</v>
      </c>
      <c r="M914" s="92">
        <v>200000</v>
      </c>
      <c r="N914" s="92">
        <v>200000</v>
      </c>
      <c r="O914" s="92" t="s">
        <v>20</v>
      </c>
      <c r="P914" s="92" t="s">
        <v>361</v>
      </c>
      <c r="Q914" s="92" t="s">
        <v>279</v>
      </c>
      <c r="R914" s="92" t="s">
        <v>10</v>
      </c>
      <c r="S914" s="92">
        <v>2013</v>
      </c>
      <c r="T914" s="92" t="s">
        <v>332</v>
      </c>
      <c r="U914" s="92" t="s">
        <v>333</v>
      </c>
      <c r="V914" s="92" t="s">
        <v>334</v>
      </c>
      <c r="W914" s="92" t="s">
        <v>2013</v>
      </c>
      <c r="X914" s="92"/>
    </row>
    <row r="915" spans="1:24" ht="38.25" customHeight="1">
      <c r="A915" s="92" t="s">
        <v>1</v>
      </c>
      <c r="B915" s="92" t="s">
        <v>90</v>
      </c>
      <c r="C915" s="92" t="s">
        <v>1898</v>
      </c>
      <c r="D915" s="92" t="s">
        <v>362</v>
      </c>
      <c r="E915" s="92"/>
      <c r="F915" s="92" t="s">
        <v>277</v>
      </c>
      <c r="G915" s="92" t="s">
        <v>85</v>
      </c>
      <c r="H915" s="92">
        <v>238990</v>
      </c>
      <c r="I915" s="92" t="s">
        <v>1970</v>
      </c>
      <c r="J915" s="92" t="s">
        <v>109</v>
      </c>
      <c r="K915" s="92" t="s">
        <v>346</v>
      </c>
      <c r="L915" s="92" t="s">
        <v>347</v>
      </c>
      <c r="M915" s="92">
        <v>500000</v>
      </c>
      <c r="N915" s="92">
        <v>500000</v>
      </c>
      <c r="O915" s="92" t="s">
        <v>20</v>
      </c>
      <c r="P915" s="92" t="s">
        <v>1974</v>
      </c>
      <c r="Q915" s="92" t="s">
        <v>279</v>
      </c>
      <c r="R915" s="92" t="s">
        <v>21</v>
      </c>
      <c r="S915" s="92">
        <v>2013</v>
      </c>
      <c r="T915" s="92" t="s">
        <v>332</v>
      </c>
      <c r="U915" s="92" t="s">
        <v>333</v>
      </c>
      <c r="V915" s="92" t="s">
        <v>334</v>
      </c>
      <c r="W915" s="92" t="s">
        <v>2013</v>
      </c>
      <c r="X915" s="92"/>
    </row>
    <row r="916" spans="1:24" ht="38.25" customHeight="1">
      <c r="A916" s="92" t="s">
        <v>1</v>
      </c>
      <c r="B916" s="92" t="s">
        <v>90</v>
      </c>
      <c r="C916" s="92" t="s">
        <v>1898</v>
      </c>
      <c r="D916" s="92" t="s">
        <v>363</v>
      </c>
      <c r="E916" s="92"/>
      <c r="F916" s="92" t="s">
        <v>277</v>
      </c>
      <c r="G916" s="92" t="s">
        <v>85</v>
      </c>
      <c r="H916" s="92">
        <v>236118</v>
      </c>
      <c r="I916" s="92" t="s">
        <v>17</v>
      </c>
      <c r="J916" s="92" t="s">
        <v>109</v>
      </c>
      <c r="K916" s="92" t="s">
        <v>329</v>
      </c>
      <c r="L916" s="92" t="s">
        <v>330</v>
      </c>
      <c r="M916" s="92">
        <v>300000</v>
      </c>
      <c r="N916" s="92">
        <v>300000</v>
      </c>
      <c r="O916" s="92" t="s">
        <v>20</v>
      </c>
      <c r="P916" s="92" t="s">
        <v>1974</v>
      </c>
      <c r="Q916" s="92" t="s">
        <v>364</v>
      </c>
      <c r="R916" s="92" t="s">
        <v>31</v>
      </c>
      <c r="S916" s="92">
        <v>2013</v>
      </c>
      <c r="T916" s="92" t="s">
        <v>341</v>
      </c>
      <c r="U916" s="92" t="s">
        <v>342</v>
      </c>
      <c r="V916" s="92" t="s">
        <v>343</v>
      </c>
      <c r="W916" s="92" t="s">
        <v>2013</v>
      </c>
      <c r="X916" s="92"/>
    </row>
    <row r="917" spans="1:24" ht="38.25" customHeight="1">
      <c r="A917" s="92" t="s">
        <v>1</v>
      </c>
      <c r="B917" s="92" t="s">
        <v>90</v>
      </c>
      <c r="C917" s="92" t="s">
        <v>1898</v>
      </c>
      <c r="D917" s="92" t="s">
        <v>336</v>
      </c>
      <c r="E917" s="92"/>
      <c r="F917" s="92" t="s">
        <v>277</v>
      </c>
      <c r="G917" s="92" t="s">
        <v>85</v>
      </c>
      <c r="H917" s="92">
        <v>237110</v>
      </c>
      <c r="I917" s="92" t="s">
        <v>17</v>
      </c>
      <c r="J917" s="92" t="s">
        <v>109</v>
      </c>
      <c r="K917" s="92" t="s">
        <v>329</v>
      </c>
      <c r="L917" s="92" t="s">
        <v>330</v>
      </c>
      <c r="M917" s="92">
        <v>35000</v>
      </c>
      <c r="N917" s="92">
        <v>35000</v>
      </c>
      <c r="O917" s="92" t="s">
        <v>20</v>
      </c>
      <c r="P917" s="92" t="s">
        <v>1974</v>
      </c>
      <c r="Q917" s="92" t="s">
        <v>279</v>
      </c>
      <c r="R917" s="92" t="s">
        <v>21</v>
      </c>
      <c r="S917" s="92">
        <v>2013</v>
      </c>
      <c r="T917" s="92" t="s">
        <v>332</v>
      </c>
      <c r="U917" s="92" t="s">
        <v>333</v>
      </c>
      <c r="V917" s="92" t="s">
        <v>334</v>
      </c>
      <c r="W917" s="92" t="s">
        <v>2013</v>
      </c>
      <c r="X917" s="92" t="s">
        <v>335</v>
      </c>
    </row>
    <row r="918" spans="1:24" ht="38.25" customHeight="1">
      <c r="A918" s="92" t="s">
        <v>1</v>
      </c>
      <c r="B918" s="92" t="s">
        <v>90</v>
      </c>
      <c r="C918" s="92" t="s">
        <v>1898</v>
      </c>
      <c r="D918" s="92" t="s">
        <v>365</v>
      </c>
      <c r="E918" s="92"/>
      <c r="F918" s="92" t="s">
        <v>277</v>
      </c>
      <c r="G918" s="92" t="s">
        <v>85</v>
      </c>
      <c r="H918" s="92">
        <v>238220</v>
      </c>
      <c r="I918" s="92" t="s">
        <v>17</v>
      </c>
      <c r="J918" s="92" t="s">
        <v>109</v>
      </c>
      <c r="K918" s="92" t="s">
        <v>329</v>
      </c>
      <c r="L918" s="92" t="s">
        <v>330</v>
      </c>
      <c r="M918" s="92">
        <v>1600000</v>
      </c>
      <c r="N918" s="92">
        <v>1600000</v>
      </c>
      <c r="O918" s="92" t="s">
        <v>20</v>
      </c>
      <c r="P918" s="92" t="s">
        <v>340</v>
      </c>
      <c r="Q918" s="92" t="s">
        <v>279</v>
      </c>
      <c r="R918" s="92" t="s">
        <v>21</v>
      </c>
      <c r="S918" s="92">
        <v>2013</v>
      </c>
      <c r="T918" s="92" t="s">
        <v>341</v>
      </c>
      <c r="U918" s="92" t="s">
        <v>342</v>
      </c>
      <c r="V918" s="92" t="s">
        <v>343</v>
      </c>
      <c r="W918" s="92" t="s">
        <v>2013</v>
      </c>
      <c r="X918" s="92"/>
    </row>
    <row r="919" spans="1:24" ht="38.25" customHeight="1">
      <c r="A919" s="92" t="s">
        <v>1</v>
      </c>
      <c r="B919" s="92" t="s">
        <v>90</v>
      </c>
      <c r="C919" s="92" t="s">
        <v>1898</v>
      </c>
      <c r="D919" s="92" t="s">
        <v>366</v>
      </c>
      <c r="E919" s="92"/>
      <c r="F919" s="92" t="s">
        <v>277</v>
      </c>
      <c r="G919" s="92" t="s">
        <v>85</v>
      </c>
      <c r="H919" s="92">
        <v>236118</v>
      </c>
      <c r="I919" s="92" t="s">
        <v>17</v>
      </c>
      <c r="J919" s="92" t="s">
        <v>109</v>
      </c>
      <c r="K919" s="92" t="s">
        <v>329</v>
      </c>
      <c r="L919" s="92" t="s">
        <v>330</v>
      </c>
      <c r="M919" s="92">
        <v>100000</v>
      </c>
      <c r="N919" s="92">
        <v>100000</v>
      </c>
      <c r="O919" s="92" t="s">
        <v>20</v>
      </c>
      <c r="P919" s="92" t="s">
        <v>1974</v>
      </c>
      <c r="Q919" s="92" t="s">
        <v>279</v>
      </c>
      <c r="R919" s="92" t="s">
        <v>31</v>
      </c>
      <c r="S919" s="92">
        <v>2013</v>
      </c>
      <c r="T919" s="92" t="s">
        <v>332</v>
      </c>
      <c r="U919" s="92" t="s">
        <v>342</v>
      </c>
      <c r="V919" s="92" t="s">
        <v>334</v>
      </c>
      <c r="W919" s="92" t="s">
        <v>2013</v>
      </c>
      <c r="X919" s="92"/>
    </row>
    <row r="920" spans="1:24" ht="38.25" customHeight="1">
      <c r="A920" s="92" t="s">
        <v>1</v>
      </c>
      <c r="B920" s="92" t="s">
        <v>90</v>
      </c>
      <c r="C920" s="92" t="s">
        <v>1898</v>
      </c>
      <c r="D920" s="92" t="s">
        <v>367</v>
      </c>
      <c r="E920" s="92"/>
      <c r="F920" s="92" t="s">
        <v>277</v>
      </c>
      <c r="G920" s="92" t="s">
        <v>85</v>
      </c>
      <c r="H920" s="92">
        <v>236118</v>
      </c>
      <c r="I920" s="92" t="s">
        <v>1970</v>
      </c>
      <c r="J920" s="92" t="s">
        <v>109</v>
      </c>
      <c r="K920" s="92" t="s">
        <v>346</v>
      </c>
      <c r="L920" s="92" t="s">
        <v>347</v>
      </c>
      <c r="M920" s="92">
        <v>300000</v>
      </c>
      <c r="N920" s="92">
        <v>300000</v>
      </c>
      <c r="O920" s="92" t="s">
        <v>20</v>
      </c>
      <c r="P920" s="92" t="s">
        <v>1974</v>
      </c>
      <c r="Q920" s="92" t="s">
        <v>279</v>
      </c>
      <c r="R920" s="92" t="s">
        <v>31</v>
      </c>
      <c r="S920" s="92">
        <v>2013</v>
      </c>
      <c r="T920" s="92" t="s">
        <v>332</v>
      </c>
      <c r="U920" s="92" t="s">
        <v>342</v>
      </c>
      <c r="V920" s="92" t="s">
        <v>334</v>
      </c>
      <c r="W920" s="92" t="s">
        <v>2013</v>
      </c>
      <c r="X920" s="92"/>
    </row>
    <row r="921" spans="1:24" ht="38.25" customHeight="1">
      <c r="A921" s="92" t="s">
        <v>1</v>
      </c>
      <c r="B921" s="92" t="s">
        <v>90</v>
      </c>
      <c r="C921" s="92" t="s">
        <v>1898</v>
      </c>
      <c r="D921" s="92" t="s">
        <v>368</v>
      </c>
      <c r="E921" s="92"/>
      <c r="F921" s="92" t="s">
        <v>277</v>
      </c>
      <c r="G921" s="92" t="s">
        <v>85</v>
      </c>
      <c r="H921" s="92">
        <v>238990</v>
      </c>
      <c r="I921" s="92" t="s">
        <v>1970</v>
      </c>
      <c r="J921" s="92" t="s">
        <v>109</v>
      </c>
      <c r="K921" s="92" t="s">
        <v>346</v>
      </c>
      <c r="L921" s="92" t="s">
        <v>347</v>
      </c>
      <c r="M921" s="92">
        <v>30000</v>
      </c>
      <c r="N921" s="92">
        <v>30000</v>
      </c>
      <c r="O921" s="92" t="s">
        <v>20</v>
      </c>
      <c r="P921" s="92" t="s">
        <v>1974</v>
      </c>
      <c r="Q921" s="92" t="s">
        <v>279</v>
      </c>
      <c r="R921" s="92" t="s">
        <v>31</v>
      </c>
      <c r="S921" s="92">
        <v>2013</v>
      </c>
      <c r="T921" s="92" t="s">
        <v>341</v>
      </c>
      <c r="U921" s="92" t="s">
        <v>342</v>
      </c>
      <c r="V921" s="92" t="s">
        <v>343</v>
      </c>
      <c r="W921" s="92" t="s">
        <v>2013</v>
      </c>
      <c r="X921" s="92"/>
    </row>
    <row r="922" spans="1:24" ht="38.25" customHeight="1">
      <c r="A922" s="92" t="s">
        <v>1</v>
      </c>
      <c r="B922" s="92" t="s">
        <v>90</v>
      </c>
      <c r="C922" s="92" t="s">
        <v>1898</v>
      </c>
      <c r="D922" s="92" t="s">
        <v>369</v>
      </c>
      <c r="E922" s="92"/>
      <c r="F922" s="92" t="s">
        <v>277</v>
      </c>
      <c r="G922" s="92" t="s">
        <v>85</v>
      </c>
      <c r="H922" s="92">
        <v>238220</v>
      </c>
      <c r="I922" s="92" t="s">
        <v>1970</v>
      </c>
      <c r="J922" s="92" t="s">
        <v>109</v>
      </c>
      <c r="K922" s="92" t="s">
        <v>346</v>
      </c>
      <c r="L922" s="92" t="s">
        <v>347</v>
      </c>
      <c r="M922" s="92">
        <v>20000</v>
      </c>
      <c r="N922" s="92">
        <v>20000</v>
      </c>
      <c r="O922" s="92" t="s">
        <v>9</v>
      </c>
      <c r="P922" s="92" t="s">
        <v>1974</v>
      </c>
      <c r="Q922" s="92" t="s">
        <v>279</v>
      </c>
      <c r="R922" s="92" t="s">
        <v>21</v>
      </c>
      <c r="S922" s="92">
        <v>2013</v>
      </c>
      <c r="T922" s="92" t="s">
        <v>341</v>
      </c>
      <c r="U922" s="92" t="s">
        <v>342</v>
      </c>
      <c r="V922" s="92" t="s">
        <v>343</v>
      </c>
      <c r="W922" s="92" t="s">
        <v>2013</v>
      </c>
      <c r="X922" s="92" t="s">
        <v>2832</v>
      </c>
    </row>
    <row r="923" spans="1:24" ht="38.25" customHeight="1">
      <c r="A923" s="92" t="s">
        <v>1</v>
      </c>
      <c r="B923" s="92" t="s">
        <v>90</v>
      </c>
      <c r="C923" s="92" t="s">
        <v>45</v>
      </c>
      <c r="D923" s="92" t="s">
        <v>370</v>
      </c>
      <c r="E923" s="92" t="s">
        <v>371</v>
      </c>
      <c r="F923" s="92" t="s">
        <v>277</v>
      </c>
      <c r="G923" s="92" t="s">
        <v>85</v>
      </c>
      <c r="H923" s="92">
        <v>236220</v>
      </c>
      <c r="I923" s="92" t="s">
        <v>28</v>
      </c>
      <c r="J923" s="92" t="s">
        <v>109</v>
      </c>
      <c r="K923" s="92" t="s">
        <v>80</v>
      </c>
      <c r="L923" s="92" t="s">
        <v>278</v>
      </c>
      <c r="M923" s="92">
        <v>65280</v>
      </c>
      <c r="N923" s="92">
        <v>100000</v>
      </c>
      <c r="O923" s="92" t="s">
        <v>20</v>
      </c>
      <c r="P923" s="92" t="s">
        <v>372</v>
      </c>
      <c r="Q923" s="92" t="s">
        <v>279</v>
      </c>
      <c r="R923" s="92" t="s">
        <v>10</v>
      </c>
      <c r="S923" s="92">
        <v>2013</v>
      </c>
      <c r="T923" s="92" t="s">
        <v>373</v>
      </c>
      <c r="U923" s="92" t="s">
        <v>374</v>
      </c>
      <c r="V923" s="92" t="s">
        <v>375</v>
      </c>
      <c r="W923" s="92" t="s">
        <v>2013</v>
      </c>
      <c r="X923" s="92"/>
    </row>
    <row r="924" spans="1:24" ht="38.25" customHeight="1">
      <c r="A924" s="92" t="s">
        <v>1</v>
      </c>
      <c r="B924" s="92" t="s">
        <v>90</v>
      </c>
      <c r="C924" s="92" t="s">
        <v>45</v>
      </c>
      <c r="D924" s="92" t="s">
        <v>376</v>
      </c>
      <c r="E924" s="92" t="s">
        <v>371</v>
      </c>
      <c r="F924" s="92" t="s">
        <v>277</v>
      </c>
      <c r="G924" s="92" t="s">
        <v>85</v>
      </c>
      <c r="H924" s="92">
        <v>236220</v>
      </c>
      <c r="I924" s="92" t="s">
        <v>28</v>
      </c>
      <c r="J924" s="92" t="s">
        <v>109</v>
      </c>
      <c r="K924" s="92" t="s">
        <v>80</v>
      </c>
      <c r="L924" s="92" t="s">
        <v>278</v>
      </c>
      <c r="M924" s="92">
        <v>137000</v>
      </c>
      <c r="N924" s="92">
        <v>150000</v>
      </c>
      <c r="O924" s="92" t="s">
        <v>20</v>
      </c>
      <c r="P924" s="92" t="s">
        <v>372</v>
      </c>
      <c r="Q924" s="92" t="s">
        <v>279</v>
      </c>
      <c r="R924" s="92" t="s">
        <v>10</v>
      </c>
      <c r="S924" s="92">
        <v>2013</v>
      </c>
      <c r="T924" s="92" t="s">
        <v>373</v>
      </c>
      <c r="U924" s="92" t="s">
        <v>374</v>
      </c>
      <c r="V924" s="92" t="s">
        <v>375</v>
      </c>
      <c r="W924" s="92" t="s">
        <v>2013</v>
      </c>
      <c r="X924" s="92"/>
    </row>
    <row r="925" spans="1:24" ht="38.25" customHeight="1">
      <c r="A925" s="92" t="s">
        <v>1</v>
      </c>
      <c r="B925" s="92" t="s">
        <v>90</v>
      </c>
      <c r="C925" s="92" t="s">
        <v>45</v>
      </c>
      <c r="D925" s="92" t="s">
        <v>377</v>
      </c>
      <c r="E925" s="92" t="s">
        <v>371</v>
      </c>
      <c r="F925" s="92" t="s">
        <v>277</v>
      </c>
      <c r="G925" s="92" t="s">
        <v>85</v>
      </c>
      <c r="H925" s="92">
        <v>236220</v>
      </c>
      <c r="I925" s="92" t="s">
        <v>28</v>
      </c>
      <c r="J925" s="92" t="s">
        <v>109</v>
      </c>
      <c r="K925" s="92" t="s">
        <v>80</v>
      </c>
      <c r="L925" s="92" t="s">
        <v>278</v>
      </c>
      <c r="M925" s="92">
        <v>90619</v>
      </c>
      <c r="N925" s="92">
        <v>125000</v>
      </c>
      <c r="O925" s="92" t="s">
        <v>20</v>
      </c>
      <c r="P925" s="92" t="s">
        <v>372</v>
      </c>
      <c r="Q925" s="92" t="s">
        <v>279</v>
      </c>
      <c r="R925" s="92" t="s">
        <v>10</v>
      </c>
      <c r="S925" s="92">
        <v>2013</v>
      </c>
      <c r="T925" s="92" t="s">
        <v>373</v>
      </c>
      <c r="U925" s="92" t="s">
        <v>374</v>
      </c>
      <c r="V925" s="92" t="s">
        <v>375</v>
      </c>
      <c r="W925" s="92" t="s">
        <v>2013</v>
      </c>
      <c r="X925" s="92"/>
    </row>
    <row r="926" spans="1:24" ht="38.25" customHeight="1">
      <c r="A926" s="92" t="s">
        <v>1</v>
      </c>
      <c r="B926" s="92" t="s">
        <v>90</v>
      </c>
      <c r="C926" s="92" t="s">
        <v>45</v>
      </c>
      <c r="D926" s="92" t="s">
        <v>378</v>
      </c>
      <c r="E926" s="92" t="s">
        <v>379</v>
      </c>
      <c r="F926" s="92" t="s">
        <v>277</v>
      </c>
      <c r="G926" s="92" t="s">
        <v>85</v>
      </c>
      <c r="H926" s="92">
        <v>561720</v>
      </c>
      <c r="I926" s="92" t="s">
        <v>28</v>
      </c>
      <c r="J926" s="92" t="s">
        <v>109</v>
      </c>
      <c r="K926" s="92" t="s">
        <v>80</v>
      </c>
      <c r="L926" s="92" t="s">
        <v>278</v>
      </c>
      <c r="M926" s="92">
        <v>2700000</v>
      </c>
      <c r="N926" s="92">
        <v>3000000</v>
      </c>
      <c r="O926" s="92" t="s">
        <v>20</v>
      </c>
      <c r="P926" s="92" t="s">
        <v>372</v>
      </c>
      <c r="Q926" s="92" t="s">
        <v>279</v>
      </c>
      <c r="R926" s="92" t="s">
        <v>10</v>
      </c>
      <c r="S926" s="92">
        <v>2013</v>
      </c>
      <c r="T926" s="92" t="s">
        <v>373</v>
      </c>
      <c r="U926" s="92" t="s">
        <v>374</v>
      </c>
      <c r="V926" s="92" t="s">
        <v>375</v>
      </c>
      <c r="W926" s="92" t="s">
        <v>2013</v>
      </c>
      <c r="X926" s="92"/>
    </row>
    <row r="927" spans="1:24" ht="38.25" customHeight="1">
      <c r="A927" s="92" t="s">
        <v>1</v>
      </c>
      <c r="B927" s="92" t="s">
        <v>90</v>
      </c>
      <c r="C927" s="92" t="s">
        <v>45</v>
      </c>
      <c r="D927" s="92" t="s">
        <v>380</v>
      </c>
      <c r="E927" s="92" t="s">
        <v>379</v>
      </c>
      <c r="F927" s="92" t="s">
        <v>277</v>
      </c>
      <c r="G927" s="92" t="s">
        <v>85</v>
      </c>
      <c r="H927" s="92">
        <v>561720</v>
      </c>
      <c r="I927" s="92" t="s">
        <v>28</v>
      </c>
      <c r="J927" s="92" t="s">
        <v>109</v>
      </c>
      <c r="K927" s="92" t="s">
        <v>80</v>
      </c>
      <c r="L927" s="92" t="s">
        <v>278</v>
      </c>
      <c r="M927" s="92">
        <v>116538</v>
      </c>
      <c r="N927" s="92">
        <v>170000</v>
      </c>
      <c r="O927" s="92" t="s">
        <v>20</v>
      </c>
      <c r="P927" s="92" t="s">
        <v>372</v>
      </c>
      <c r="Q927" s="92" t="s">
        <v>279</v>
      </c>
      <c r="R927" s="92" t="s">
        <v>10</v>
      </c>
      <c r="S927" s="92">
        <v>2013</v>
      </c>
      <c r="T927" s="92" t="s">
        <v>2833</v>
      </c>
      <c r="U927" s="92" t="s">
        <v>2834</v>
      </c>
      <c r="V927" s="92" t="s">
        <v>2835</v>
      </c>
      <c r="W927" s="92" t="s">
        <v>2013</v>
      </c>
      <c r="X927" s="92"/>
    </row>
    <row r="928" spans="1:24" ht="38.25" customHeight="1">
      <c r="A928" s="92" t="s">
        <v>1</v>
      </c>
      <c r="B928" s="92" t="s">
        <v>90</v>
      </c>
      <c r="C928" s="92" t="s">
        <v>25</v>
      </c>
      <c r="D928" s="92" t="s">
        <v>381</v>
      </c>
      <c r="E928" s="92" t="s">
        <v>77</v>
      </c>
      <c r="F928" s="92" t="s">
        <v>277</v>
      </c>
      <c r="G928" s="92" t="s">
        <v>85</v>
      </c>
      <c r="H928" s="92"/>
      <c r="I928" s="92"/>
      <c r="J928" s="92" t="s">
        <v>109</v>
      </c>
      <c r="K928" s="92" t="s">
        <v>80</v>
      </c>
      <c r="L928" s="92" t="s">
        <v>278</v>
      </c>
      <c r="M928" s="92">
        <v>148500</v>
      </c>
      <c r="N928" s="92">
        <v>200000</v>
      </c>
      <c r="O928" s="92" t="s">
        <v>20</v>
      </c>
      <c r="P928" s="92"/>
      <c r="Q928" s="92"/>
      <c r="R928" s="92" t="s">
        <v>6</v>
      </c>
      <c r="S928" s="92">
        <v>2013</v>
      </c>
      <c r="T928" s="92" t="s">
        <v>382</v>
      </c>
      <c r="U928" s="92" t="s">
        <v>383</v>
      </c>
      <c r="V928" s="92" t="s">
        <v>384</v>
      </c>
      <c r="W928" s="92" t="s">
        <v>2013</v>
      </c>
      <c r="X928" s="92" t="s">
        <v>1937</v>
      </c>
    </row>
    <row r="929" spans="1:24" ht="38.25" customHeight="1">
      <c r="A929" s="92" t="s">
        <v>1</v>
      </c>
      <c r="B929" s="92" t="s">
        <v>90</v>
      </c>
      <c r="C929" s="92" t="s">
        <v>25</v>
      </c>
      <c r="D929" s="92" t="s">
        <v>385</v>
      </c>
      <c r="E929" s="92" t="s">
        <v>77</v>
      </c>
      <c r="F929" s="92" t="s">
        <v>277</v>
      </c>
      <c r="G929" s="92" t="s">
        <v>85</v>
      </c>
      <c r="H929" s="92"/>
      <c r="I929" s="92"/>
      <c r="J929" s="92" t="s">
        <v>109</v>
      </c>
      <c r="K929" s="92" t="s">
        <v>80</v>
      </c>
      <c r="L929" s="92" t="s">
        <v>278</v>
      </c>
      <c r="M929" s="92">
        <v>89100</v>
      </c>
      <c r="N929" s="92">
        <v>100000</v>
      </c>
      <c r="O929" s="92" t="s">
        <v>20</v>
      </c>
      <c r="P929" s="92"/>
      <c r="Q929" s="92"/>
      <c r="R929" s="92" t="s">
        <v>6</v>
      </c>
      <c r="S929" s="92">
        <v>2013</v>
      </c>
      <c r="T929" s="92" t="s">
        <v>382</v>
      </c>
      <c r="U929" s="92" t="s">
        <v>383</v>
      </c>
      <c r="V929" s="92" t="s">
        <v>384</v>
      </c>
      <c r="W929" s="92" t="s">
        <v>2013</v>
      </c>
      <c r="X929" s="92" t="s">
        <v>1937</v>
      </c>
    </row>
    <row r="930" spans="1:24" ht="38.25" customHeight="1">
      <c r="A930" s="92" t="s">
        <v>1</v>
      </c>
      <c r="B930" s="92" t="s">
        <v>90</v>
      </c>
      <c r="C930" s="92" t="s">
        <v>25</v>
      </c>
      <c r="D930" s="92" t="s">
        <v>386</v>
      </c>
      <c r="E930" s="92" t="s">
        <v>138</v>
      </c>
      <c r="F930" s="92" t="s">
        <v>277</v>
      </c>
      <c r="G930" s="92" t="s">
        <v>85</v>
      </c>
      <c r="H930" s="92"/>
      <c r="I930" s="92"/>
      <c r="J930" s="92" t="s">
        <v>109</v>
      </c>
      <c r="K930" s="92" t="s">
        <v>80</v>
      </c>
      <c r="L930" s="92" t="s">
        <v>278</v>
      </c>
      <c r="M930" s="92">
        <v>124230</v>
      </c>
      <c r="N930" s="92">
        <v>150000</v>
      </c>
      <c r="O930" s="92" t="s">
        <v>20</v>
      </c>
      <c r="P930" s="92"/>
      <c r="Q930" s="92"/>
      <c r="R930" s="92" t="s">
        <v>6</v>
      </c>
      <c r="S930" s="92">
        <v>2013</v>
      </c>
      <c r="T930" s="92" t="s">
        <v>382</v>
      </c>
      <c r="U930" s="92" t="s">
        <v>383</v>
      </c>
      <c r="V930" s="92" t="s">
        <v>384</v>
      </c>
      <c r="W930" s="92" t="s">
        <v>2013</v>
      </c>
      <c r="X930" s="92" t="s">
        <v>1937</v>
      </c>
    </row>
    <row r="931" spans="1:24" ht="38.25" customHeight="1">
      <c r="A931" s="92" t="s">
        <v>1</v>
      </c>
      <c r="B931" s="92" t="s">
        <v>90</v>
      </c>
      <c r="C931" s="92" t="s">
        <v>25</v>
      </c>
      <c r="D931" s="92" t="s">
        <v>387</v>
      </c>
      <c r="E931" s="92" t="s">
        <v>138</v>
      </c>
      <c r="F931" s="92" t="s">
        <v>277</v>
      </c>
      <c r="G931" s="92" t="s">
        <v>85</v>
      </c>
      <c r="H931" s="92"/>
      <c r="I931" s="92"/>
      <c r="J931" s="92" t="s">
        <v>109</v>
      </c>
      <c r="K931" s="92" t="s">
        <v>80</v>
      </c>
      <c r="L931" s="92" t="s">
        <v>278</v>
      </c>
      <c r="M931" s="92">
        <v>71500</v>
      </c>
      <c r="N931" s="92">
        <v>90000</v>
      </c>
      <c r="O931" s="92" t="s">
        <v>20</v>
      </c>
      <c r="P931" s="92"/>
      <c r="Q931" s="92"/>
      <c r="R931" s="92" t="s">
        <v>6</v>
      </c>
      <c r="S931" s="92">
        <v>2013</v>
      </c>
      <c r="T931" s="92" t="s">
        <v>382</v>
      </c>
      <c r="U931" s="92" t="s">
        <v>383</v>
      </c>
      <c r="V931" s="92" t="s">
        <v>384</v>
      </c>
      <c r="W931" s="92" t="s">
        <v>2013</v>
      </c>
      <c r="X931" s="92" t="s">
        <v>1937</v>
      </c>
    </row>
    <row r="932" spans="1:24" ht="38.25" customHeight="1">
      <c r="A932" s="92" t="s">
        <v>1</v>
      </c>
      <c r="B932" s="92" t="s">
        <v>90</v>
      </c>
      <c r="C932" s="92" t="s">
        <v>25</v>
      </c>
      <c r="D932" s="92" t="s">
        <v>388</v>
      </c>
      <c r="E932" s="92" t="s">
        <v>77</v>
      </c>
      <c r="F932" s="92" t="s">
        <v>277</v>
      </c>
      <c r="G932" s="92" t="s">
        <v>85</v>
      </c>
      <c r="H932" s="92"/>
      <c r="I932" s="92"/>
      <c r="J932" s="92" t="s">
        <v>109</v>
      </c>
      <c r="K932" s="92" t="s">
        <v>80</v>
      </c>
      <c r="L932" s="92" t="s">
        <v>278</v>
      </c>
      <c r="M932" s="92">
        <v>177359</v>
      </c>
      <c r="N932" s="92">
        <v>200000</v>
      </c>
      <c r="O932" s="92" t="s">
        <v>20</v>
      </c>
      <c r="P932" s="92"/>
      <c r="Q932" s="92"/>
      <c r="R932" s="92" t="s">
        <v>2836</v>
      </c>
      <c r="S932" s="92">
        <v>2013</v>
      </c>
      <c r="T932" s="92" t="s">
        <v>389</v>
      </c>
      <c r="U932" s="92" t="s">
        <v>390</v>
      </c>
      <c r="V932" s="92" t="s">
        <v>391</v>
      </c>
      <c r="W932" s="92" t="s">
        <v>2013</v>
      </c>
      <c r="X932" s="92" t="s">
        <v>1937</v>
      </c>
    </row>
    <row r="933" spans="1:24" ht="38.25" customHeight="1">
      <c r="A933" s="92" t="s">
        <v>1</v>
      </c>
      <c r="B933" s="92" t="s">
        <v>90</v>
      </c>
      <c r="C933" s="92" t="s">
        <v>25</v>
      </c>
      <c r="D933" s="92" t="s">
        <v>392</v>
      </c>
      <c r="E933" s="92" t="s">
        <v>138</v>
      </c>
      <c r="F933" s="92" t="s">
        <v>277</v>
      </c>
      <c r="G933" s="92" t="s">
        <v>85</v>
      </c>
      <c r="H933" s="92"/>
      <c r="I933" s="92"/>
      <c r="J933" s="92" t="s">
        <v>109</v>
      </c>
      <c r="K933" s="92" t="s">
        <v>80</v>
      </c>
      <c r="L933" s="92" t="s">
        <v>278</v>
      </c>
      <c r="M933" s="92">
        <v>1515000</v>
      </c>
      <c r="N933" s="92">
        <v>2000000</v>
      </c>
      <c r="O933" s="92" t="s">
        <v>20</v>
      </c>
      <c r="P933" s="92"/>
      <c r="Q933" s="92"/>
      <c r="R933" s="92" t="s">
        <v>2837</v>
      </c>
      <c r="S933" s="92">
        <v>2013</v>
      </c>
      <c r="T933" s="92" t="s">
        <v>389</v>
      </c>
      <c r="U933" s="92" t="s">
        <v>390</v>
      </c>
      <c r="V933" s="92" t="s">
        <v>391</v>
      </c>
      <c r="W933" s="92" t="s">
        <v>2013</v>
      </c>
      <c r="X933" s="92" t="s">
        <v>1937</v>
      </c>
    </row>
    <row r="934" spans="1:24" ht="38.25" customHeight="1">
      <c r="A934" s="92" t="s">
        <v>1</v>
      </c>
      <c r="B934" s="92" t="s">
        <v>90</v>
      </c>
      <c r="C934" s="92" t="s">
        <v>25</v>
      </c>
      <c r="D934" s="92" t="s">
        <v>393</v>
      </c>
      <c r="E934" s="92" t="s">
        <v>138</v>
      </c>
      <c r="F934" s="92" t="s">
        <v>277</v>
      </c>
      <c r="G934" s="92" t="s">
        <v>85</v>
      </c>
      <c r="H934" s="92"/>
      <c r="I934" s="92"/>
      <c r="J934" s="92" t="s">
        <v>109</v>
      </c>
      <c r="K934" s="92" t="s">
        <v>80</v>
      </c>
      <c r="L934" s="92" t="s">
        <v>278</v>
      </c>
      <c r="M934" s="92">
        <v>59180</v>
      </c>
      <c r="N934" s="92">
        <v>80000</v>
      </c>
      <c r="O934" s="92" t="s">
        <v>20</v>
      </c>
      <c r="P934" s="92"/>
      <c r="Q934" s="92"/>
      <c r="R934" s="92" t="s">
        <v>2837</v>
      </c>
      <c r="S934" s="92">
        <v>2013</v>
      </c>
      <c r="T934" s="92" t="s">
        <v>389</v>
      </c>
      <c r="U934" s="92" t="s">
        <v>390</v>
      </c>
      <c r="V934" s="92" t="s">
        <v>391</v>
      </c>
      <c r="W934" s="92" t="s">
        <v>2013</v>
      </c>
      <c r="X934" s="92" t="s">
        <v>1937</v>
      </c>
    </row>
    <row r="935" spans="1:24" ht="38.25" customHeight="1">
      <c r="A935" s="92" t="s">
        <v>1</v>
      </c>
      <c r="B935" s="92" t="s">
        <v>90</v>
      </c>
      <c r="C935" s="92" t="s">
        <v>25</v>
      </c>
      <c r="D935" s="92" t="s">
        <v>394</v>
      </c>
      <c r="E935" s="92" t="s">
        <v>77</v>
      </c>
      <c r="F935" s="92" t="s">
        <v>277</v>
      </c>
      <c r="G935" s="92" t="s">
        <v>85</v>
      </c>
      <c r="H935" s="92"/>
      <c r="I935" s="92"/>
      <c r="J935" s="92" t="s">
        <v>109</v>
      </c>
      <c r="K935" s="92" t="s">
        <v>80</v>
      </c>
      <c r="L935" s="92" t="s">
        <v>278</v>
      </c>
      <c r="M935" s="92">
        <v>2100000</v>
      </c>
      <c r="N935" s="92">
        <v>2500000</v>
      </c>
      <c r="O935" s="92" t="s">
        <v>20</v>
      </c>
      <c r="P935" s="92"/>
      <c r="Q935" s="92"/>
      <c r="R935" s="92" t="s">
        <v>6</v>
      </c>
      <c r="S935" s="92">
        <v>2013</v>
      </c>
      <c r="T935" s="92" t="s">
        <v>1990</v>
      </c>
      <c r="U935" s="92" t="s">
        <v>395</v>
      </c>
      <c r="V935" s="92" t="s">
        <v>396</v>
      </c>
      <c r="W935" s="92" t="s">
        <v>2013</v>
      </c>
      <c r="X935" s="92" t="s">
        <v>1938</v>
      </c>
    </row>
    <row r="936" spans="1:24" ht="38.25" customHeight="1">
      <c r="A936" s="92" t="s">
        <v>1</v>
      </c>
      <c r="B936" s="92" t="s">
        <v>90</v>
      </c>
      <c r="C936" s="92" t="s">
        <v>25</v>
      </c>
      <c r="D936" s="92" t="s">
        <v>397</v>
      </c>
      <c r="E936" s="92" t="s">
        <v>77</v>
      </c>
      <c r="F936" s="92" t="s">
        <v>277</v>
      </c>
      <c r="G936" s="92" t="s">
        <v>85</v>
      </c>
      <c r="H936" s="92"/>
      <c r="I936" s="92"/>
      <c r="J936" s="92" t="s">
        <v>109</v>
      </c>
      <c r="K936" s="92" t="s">
        <v>80</v>
      </c>
      <c r="L936" s="92" t="s">
        <v>278</v>
      </c>
      <c r="M936" s="92">
        <v>2391094</v>
      </c>
      <c r="N936" s="92">
        <v>2500000</v>
      </c>
      <c r="O936" s="92" t="s">
        <v>20</v>
      </c>
      <c r="P936" s="92"/>
      <c r="Q936" s="92"/>
      <c r="R936" s="92" t="s">
        <v>6</v>
      </c>
      <c r="S936" s="92">
        <v>2013</v>
      </c>
      <c r="T936" s="92" t="s">
        <v>398</v>
      </c>
      <c r="U936" s="92" t="s">
        <v>2006</v>
      </c>
      <c r="V936" s="92" t="s">
        <v>399</v>
      </c>
      <c r="W936" s="92" t="s">
        <v>2013</v>
      </c>
      <c r="X936" s="92" t="s">
        <v>1939</v>
      </c>
    </row>
    <row r="937" spans="1:24" ht="38.25" customHeight="1">
      <c r="A937" s="92" t="s">
        <v>1</v>
      </c>
      <c r="B937" s="92" t="s">
        <v>90</v>
      </c>
      <c r="C937" s="92" t="s">
        <v>25</v>
      </c>
      <c r="D937" s="92" t="s">
        <v>400</v>
      </c>
      <c r="E937" s="92" t="s">
        <v>77</v>
      </c>
      <c r="F937" s="92" t="s">
        <v>277</v>
      </c>
      <c r="G937" s="92" t="s">
        <v>85</v>
      </c>
      <c r="H937" s="92"/>
      <c r="I937" s="92"/>
      <c r="J937" s="92" t="s">
        <v>109</v>
      </c>
      <c r="K937" s="92" t="s">
        <v>80</v>
      </c>
      <c r="L937" s="92" t="s">
        <v>278</v>
      </c>
      <c r="M937" s="92">
        <v>100000</v>
      </c>
      <c r="N937" s="92">
        <v>125000</v>
      </c>
      <c r="O937" s="92" t="s">
        <v>20</v>
      </c>
      <c r="P937" s="92"/>
      <c r="Q937" s="92"/>
      <c r="R937" s="92" t="s">
        <v>6</v>
      </c>
      <c r="S937" s="92">
        <v>2013</v>
      </c>
      <c r="T937" s="92" t="s">
        <v>1991</v>
      </c>
      <c r="U937" s="92" t="s">
        <v>401</v>
      </c>
      <c r="V937" s="92" t="s">
        <v>402</v>
      </c>
      <c r="W937" s="92" t="s">
        <v>2013</v>
      </c>
      <c r="X937" s="92" t="s">
        <v>1940</v>
      </c>
    </row>
    <row r="938" spans="1:24" ht="38.25" customHeight="1">
      <c r="A938" s="92" t="s">
        <v>1</v>
      </c>
      <c r="B938" s="92" t="s">
        <v>90</v>
      </c>
      <c r="C938" s="92" t="s">
        <v>25</v>
      </c>
      <c r="D938" s="92" t="s">
        <v>403</v>
      </c>
      <c r="E938" s="92" t="s">
        <v>138</v>
      </c>
      <c r="F938" s="92" t="s">
        <v>277</v>
      </c>
      <c r="G938" s="92" t="s">
        <v>85</v>
      </c>
      <c r="H938" s="92"/>
      <c r="I938" s="92"/>
      <c r="J938" s="92" t="s">
        <v>109</v>
      </c>
      <c r="K938" s="92" t="s">
        <v>80</v>
      </c>
      <c r="L938" s="92" t="s">
        <v>278</v>
      </c>
      <c r="M938" s="92">
        <v>330000</v>
      </c>
      <c r="N938" s="92">
        <v>350000</v>
      </c>
      <c r="O938" s="92" t="s">
        <v>20</v>
      </c>
      <c r="P938" s="92"/>
      <c r="Q938" s="92"/>
      <c r="R938" s="92" t="s">
        <v>6</v>
      </c>
      <c r="S938" s="92">
        <v>2013</v>
      </c>
      <c r="T938" s="92" t="s">
        <v>404</v>
      </c>
      <c r="U938" s="92" t="s">
        <v>405</v>
      </c>
      <c r="V938" s="92" t="s">
        <v>406</v>
      </c>
      <c r="W938" s="92" t="s">
        <v>2013</v>
      </c>
      <c r="X938" s="92" t="s">
        <v>1940</v>
      </c>
    </row>
    <row r="939" spans="1:24" ht="38.25" customHeight="1">
      <c r="A939" s="92" t="s">
        <v>1</v>
      </c>
      <c r="B939" s="92" t="s">
        <v>90</v>
      </c>
      <c r="C939" s="92" t="s">
        <v>25</v>
      </c>
      <c r="D939" s="92" t="s">
        <v>407</v>
      </c>
      <c r="E939" s="92" t="s">
        <v>138</v>
      </c>
      <c r="F939" s="92" t="s">
        <v>277</v>
      </c>
      <c r="G939" s="92" t="s">
        <v>85</v>
      </c>
      <c r="H939" s="92"/>
      <c r="I939" s="92"/>
      <c r="J939" s="92" t="s">
        <v>109</v>
      </c>
      <c r="K939" s="92" t="s">
        <v>80</v>
      </c>
      <c r="L939" s="92" t="s">
        <v>278</v>
      </c>
      <c r="M939" s="92">
        <v>192500</v>
      </c>
      <c r="N939" s="92">
        <v>200000</v>
      </c>
      <c r="O939" s="92" t="s">
        <v>20</v>
      </c>
      <c r="P939" s="92"/>
      <c r="Q939" s="92"/>
      <c r="R939" s="92" t="s">
        <v>6</v>
      </c>
      <c r="S939" s="92">
        <v>2013</v>
      </c>
      <c r="T939" s="92" t="s">
        <v>408</v>
      </c>
      <c r="U939" s="92" t="s">
        <v>409</v>
      </c>
      <c r="V939" s="92" t="s">
        <v>410</v>
      </c>
      <c r="W939" s="92" t="s">
        <v>2013</v>
      </c>
      <c r="X939" s="92" t="s">
        <v>1940</v>
      </c>
    </row>
    <row r="940" spans="1:24" ht="38.25" customHeight="1">
      <c r="A940" s="92" t="s">
        <v>1</v>
      </c>
      <c r="B940" s="92" t="s">
        <v>90</v>
      </c>
      <c r="C940" s="92" t="s">
        <v>25</v>
      </c>
      <c r="D940" s="92" t="s">
        <v>411</v>
      </c>
      <c r="E940" s="92" t="s">
        <v>77</v>
      </c>
      <c r="F940" s="92" t="s">
        <v>277</v>
      </c>
      <c r="G940" s="92" t="s">
        <v>85</v>
      </c>
      <c r="H940" s="92"/>
      <c r="I940" s="92"/>
      <c r="J940" s="92" t="s">
        <v>109</v>
      </c>
      <c r="K940" s="92" t="s">
        <v>80</v>
      </c>
      <c r="L940" s="92" t="s">
        <v>278</v>
      </c>
      <c r="M940" s="92">
        <v>549852</v>
      </c>
      <c r="N940" s="92">
        <v>650000</v>
      </c>
      <c r="O940" s="92" t="s">
        <v>20</v>
      </c>
      <c r="P940" s="92"/>
      <c r="Q940" s="92"/>
      <c r="R940" s="92" t="s">
        <v>6</v>
      </c>
      <c r="S940" s="92">
        <v>2013</v>
      </c>
      <c r="T940" s="92" t="s">
        <v>412</v>
      </c>
      <c r="U940" s="92" t="s">
        <v>413</v>
      </c>
      <c r="V940" s="92" t="s">
        <v>414</v>
      </c>
      <c r="W940" s="92" t="s">
        <v>2013</v>
      </c>
      <c r="X940" s="92" t="s">
        <v>1941</v>
      </c>
    </row>
    <row r="941" spans="1:24" ht="38.25" customHeight="1">
      <c r="A941" s="92" t="s">
        <v>1</v>
      </c>
      <c r="B941" s="92" t="s">
        <v>90</v>
      </c>
      <c r="C941" s="92" t="s">
        <v>25</v>
      </c>
      <c r="D941" s="92" t="s">
        <v>415</v>
      </c>
      <c r="E941" s="92" t="s">
        <v>54</v>
      </c>
      <c r="F941" s="92" t="s">
        <v>277</v>
      </c>
      <c r="G941" s="92" t="s">
        <v>85</v>
      </c>
      <c r="H941" s="92"/>
      <c r="I941" s="92"/>
      <c r="J941" s="92" t="s">
        <v>109</v>
      </c>
      <c r="K941" s="92" t="s">
        <v>80</v>
      </c>
      <c r="L941" s="92" t="s">
        <v>278</v>
      </c>
      <c r="M941" s="92">
        <v>73210</v>
      </c>
      <c r="N941" s="92">
        <v>90000</v>
      </c>
      <c r="O941" s="92" t="s">
        <v>20</v>
      </c>
      <c r="P941" s="92"/>
      <c r="Q941" s="92"/>
      <c r="R941" s="92" t="s">
        <v>6</v>
      </c>
      <c r="S941" s="92">
        <v>2013</v>
      </c>
      <c r="T941" s="92" t="s">
        <v>416</v>
      </c>
      <c r="U941" s="92" t="s">
        <v>2007</v>
      </c>
      <c r="V941" s="92" t="s">
        <v>417</v>
      </c>
      <c r="W941" s="92" t="s">
        <v>2013</v>
      </c>
      <c r="X941" s="92" t="s">
        <v>1941</v>
      </c>
    </row>
    <row r="942" spans="1:24" ht="38.25" customHeight="1">
      <c r="A942" s="92" t="s">
        <v>1</v>
      </c>
      <c r="B942" s="92" t="s">
        <v>90</v>
      </c>
      <c r="C942" s="92" t="s">
        <v>25</v>
      </c>
      <c r="D942" s="92" t="s">
        <v>403</v>
      </c>
      <c r="E942" s="92" t="s">
        <v>138</v>
      </c>
      <c r="F942" s="92" t="s">
        <v>277</v>
      </c>
      <c r="G942" s="92" t="s">
        <v>85</v>
      </c>
      <c r="H942" s="92"/>
      <c r="I942" s="92"/>
      <c r="J942" s="92" t="s">
        <v>109</v>
      </c>
      <c r="K942" s="92" t="s">
        <v>80</v>
      </c>
      <c r="L942" s="92" t="s">
        <v>278</v>
      </c>
      <c r="M942" s="92">
        <v>132000</v>
      </c>
      <c r="N942" s="92">
        <v>150000</v>
      </c>
      <c r="O942" s="92" t="s">
        <v>20</v>
      </c>
      <c r="P942" s="92"/>
      <c r="Q942" s="92"/>
      <c r="R942" s="92" t="s">
        <v>6</v>
      </c>
      <c r="S942" s="92">
        <v>2013</v>
      </c>
      <c r="T942" s="92" t="s">
        <v>404</v>
      </c>
      <c r="U942" s="92" t="s">
        <v>405</v>
      </c>
      <c r="V942" s="92" t="s">
        <v>406</v>
      </c>
      <c r="W942" s="92" t="s">
        <v>2013</v>
      </c>
      <c r="X942" s="92" t="s">
        <v>1942</v>
      </c>
    </row>
    <row r="943" spans="1:24" ht="38.25" customHeight="1">
      <c r="A943" s="92" t="s">
        <v>1</v>
      </c>
      <c r="B943" s="92" t="s">
        <v>90</v>
      </c>
      <c r="C943" s="92" t="s">
        <v>25</v>
      </c>
      <c r="D943" s="92" t="s">
        <v>418</v>
      </c>
      <c r="E943" s="92" t="s">
        <v>77</v>
      </c>
      <c r="F943" s="92" t="s">
        <v>277</v>
      </c>
      <c r="G943" s="92" t="s">
        <v>85</v>
      </c>
      <c r="H943" s="92"/>
      <c r="I943" s="92"/>
      <c r="J943" s="92" t="s">
        <v>109</v>
      </c>
      <c r="K943" s="92" t="s">
        <v>80</v>
      </c>
      <c r="L943" s="92" t="s">
        <v>278</v>
      </c>
      <c r="M943" s="92">
        <v>220000</v>
      </c>
      <c r="N943" s="92">
        <v>250000</v>
      </c>
      <c r="O943" s="92" t="s">
        <v>20</v>
      </c>
      <c r="P943" s="92"/>
      <c r="Q943" s="92"/>
      <c r="R943" s="92" t="s">
        <v>6</v>
      </c>
      <c r="S943" s="92">
        <v>2013</v>
      </c>
      <c r="T943" s="92" t="s">
        <v>1992</v>
      </c>
      <c r="U943" s="92" t="s">
        <v>405</v>
      </c>
      <c r="V943" s="92" t="s">
        <v>406</v>
      </c>
      <c r="W943" s="92" t="s">
        <v>2013</v>
      </c>
      <c r="X943" s="92" t="s">
        <v>1942</v>
      </c>
    </row>
    <row r="944" spans="1:24" ht="38.25" customHeight="1">
      <c r="A944" s="92" t="s">
        <v>1</v>
      </c>
      <c r="B944" s="92" t="s">
        <v>90</v>
      </c>
      <c r="C944" s="92" t="s">
        <v>25</v>
      </c>
      <c r="D944" s="92" t="s">
        <v>419</v>
      </c>
      <c r="E944" s="92" t="s">
        <v>77</v>
      </c>
      <c r="F944" s="92" t="s">
        <v>277</v>
      </c>
      <c r="G944" s="92" t="s">
        <v>85</v>
      </c>
      <c r="H944" s="92"/>
      <c r="I944" s="92"/>
      <c r="J944" s="92" t="s">
        <v>109</v>
      </c>
      <c r="K944" s="92" t="s">
        <v>80</v>
      </c>
      <c r="L944" s="92" t="s">
        <v>278</v>
      </c>
      <c r="M944" s="92">
        <v>500000</v>
      </c>
      <c r="N944" s="92">
        <v>600000</v>
      </c>
      <c r="O944" s="92" t="s">
        <v>20</v>
      </c>
      <c r="P944" s="92"/>
      <c r="Q944" s="92"/>
      <c r="R944" s="92" t="s">
        <v>6</v>
      </c>
      <c r="S944" s="92">
        <v>2014</v>
      </c>
      <c r="T944" s="92" t="s">
        <v>1993</v>
      </c>
      <c r="U944" s="92" t="s">
        <v>420</v>
      </c>
      <c r="V944" s="92" t="s">
        <v>421</v>
      </c>
      <c r="W944" s="92" t="s">
        <v>2013</v>
      </c>
      <c r="X944" s="92" t="s">
        <v>1942</v>
      </c>
    </row>
    <row r="945" spans="1:24" ht="38.25" customHeight="1">
      <c r="A945" s="92" t="s">
        <v>1</v>
      </c>
      <c r="B945" s="92" t="s">
        <v>90</v>
      </c>
      <c r="C945" s="92" t="s">
        <v>25</v>
      </c>
      <c r="D945" s="92" t="s">
        <v>407</v>
      </c>
      <c r="E945" s="92" t="s">
        <v>138</v>
      </c>
      <c r="F945" s="92" t="s">
        <v>277</v>
      </c>
      <c r="G945" s="92" t="s">
        <v>85</v>
      </c>
      <c r="H945" s="92"/>
      <c r="I945" s="92"/>
      <c r="J945" s="92" t="s">
        <v>109</v>
      </c>
      <c r="K945" s="92" t="s">
        <v>80</v>
      </c>
      <c r="L945" s="92" t="s">
        <v>278</v>
      </c>
      <c r="M945" s="92">
        <v>179300</v>
      </c>
      <c r="N945" s="92">
        <v>200000</v>
      </c>
      <c r="O945" s="92" t="s">
        <v>20</v>
      </c>
      <c r="P945" s="92"/>
      <c r="Q945" s="92"/>
      <c r="R945" s="92" t="s">
        <v>6</v>
      </c>
      <c r="S945" s="92">
        <v>2013</v>
      </c>
      <c r="T945" s="92" t="s">
        <v>408</v>
      </c>
      <c r="U945" s="92" t="s">
        <v>409</v>
      </c>
      <c r="V945" s="92" t="s">
        <v>410</v>
      </c>
      <c r="W945" s="92" t="s">
        <v>2013</v>
      </c>
      <c r="X945" s="92" t="s">
        <v>1942</v>
      </c>
    </row>
    <row r="946" spans="1:24" ht="38.25" customHeight="1">
      <c r="A946" s="92" t="s">
        <v>1</v>
      </c>
      <c r="B946" s="92" t="s">
        <v>90</v>
      </c>
      <c r="C946" s="92" t="s">
        <v>25</v>
      </c>
      <c r="D946" s="92" t="s">
        <v>418</v>
      </c>
      <c r="E946" s="92" t="s">
        <v>77</v>
      </c>
      <c r="F946" s="92" t="s">
        <v>277</v>
      </c>
      <c r="G946" s="92" t="s">
        <v>85</v>
      </c>
      <c r="H946" s="92"/>
      <c r="I946" s="92"/>
      <c r="J946" s="92" t="s">
        <v>109</v>
      </c>
      <c r="K946" s="92" t="s">
        <v>80</v>
      </c>
      <c r="L946" s="92" t="s">
        <v>278</v>
      </c>
      <c r="M946" s="92">
        <v>110000</v>
      </c>
      <c r="N946" s="92">
        <v>150000</v>
      </c>
      <c r="O946" s="92" t="s">
        <v>20</v>
      </c>
      <c r="P946" s="92"/>
      <c r="Q946" s="92"/>
      <c r="R946" s="92" t="s">
        <v>6</v>
      </c>
      <c r="S946" s="92">
        <v>2013</v>
      </c>
      <c r="T946" s="92" t="s">
        <v>1992</v>
      </c>
      <c r="U946" s="92" t="s">
        <v>405</v>
      </c>
      <c r="V946" s="92" t="s">
        <v>406</v>
      </c>
      <c r="W946" s="92" t="s">
        <v>2013</v>
      </c>
      <c r="X946" s="92" t="s">
        <v>1943</v>
      </c>
    </row>
    <row r="947" spans="1:24" ht="38.25" customHeight="1">
      <c r="A947" s="92" t="s">
        <v>1</v>
      </c>
      <c r="B947" s="92" t="s">
        <v>90</v>
      </c>
      <c r="C947" s="92" t="s">
        <v>25</v>
      </c>
      <c r="D947" s="92" t="s">
        <v>403</v>
      </c>
      <c r="E947" s="92" t="s">
        <v>138</v>
      </c>
      <c r="F947" s="92" t="s">
        <v>277</v>
      </c>
      <c r="G947" s="92" t="s">
        <v>85</v>
      </c>
      <c r="H947" s="92"/>
      <c r="I947" s="92"/>
      <c r="J947" s="92" t="s">
        <v>109</v>
      </c>
      <c r="K947" s="92" t="s">
        <v>80</v>
      </c>
      <c r="L947" s="92" t="s">
        <v>278</v>
      </c>
      <c r="M947" s="92">
        <v>132000</v>
      </c>
      <c r="N947" s="92">
        <v>150000</v>
      </c>
      <c r="O947" s="92" t="s">
        <v>20</v>
      </c>
      <c r="P947" s="92"/>
      <c r="Q947" s="92"/>
      <c r="R947" s="92" t="s">
        <v>6</v>
      </c>
      <c r="S947" s="92">
        <v>2013</v>
      </c>
      <c r="T947" s="92" t="s">
        <v>1992</v>
      </c>
      <c r="U947" s="92" t="s">
        <v>405</v>
      </c>
      <c r="V947" s="92" t="s">
        <v>406</v>
      </c>
      <c r="W947" s="92" t="s">
        <v>2013</v>
      </c>
      <c r="X947" s="92" t="s">
        <v>1943</v>
      </c>
    </row>
    <row r="948" spans="1:24" ht="38.25" customHeight="1">
      <c r="A948" s="92" t="s">
        <v>1</v>
      </c>
      <c r="B948" s="92" t="s">
        <v>90</v>
      </c>
      <c r="C948" s="92" t="s">
        <v>25</v>
      </c>
      <c r="D948" s="92" t="s">
        <v>407</v>
      </c>
      <c r="E948" s="92" t="s">
        <v>138</v>
      </c>
      <c r="F948" s="92" t="s">
        <v>277</v>
      </c>
      <c r="G948" s="92" t="s">
        <v>85</v>
      </c>
      <c r="H948" s="92"/>
      <c r="I948" s="92"/>
      <c r="J948" s="92" t="s">
        <v>109</v>
      </c>
      <c r="K948" s="92" t="s">
        <v>80</v>
      </c>
      <c r="L948" s="92" t="s">
        <v>278</v>
      </c>
      <c r="M948" s="92">
        <v>282700</v>
      </c>
      <c r="N948" s="92">
        <v>300000</v>
      </c>
      <c r="O948" s="92" t="s">
        <v>20</v>
      </c>
      <c r="P948" s="92"/>
      <c r="Q948" s="92"/>
      <c r="R948" s="92" t="s">
        <v>6</v>
      </c>
      <c r="S948" s="92">
        <v>2013</v>
      </c>
      <c r="T948" s="92" t="s">
        <v>408</v>
      </c>
      <c r="U948" s="92" t="s">
        <v>409</v>
      </c>
      <c r="V948" s="92" t="s">
        <v>410</v>
      </c>
      <c r="W948" s="92" t="s">
        <v>2013</v>
      </c>
      <c r="X948" s="92" t="s">
        <v>1943</v>
      </c>
    </row>
    <row r="949" spans="1:24" ht="38.25" customHeight="1">
      <c r="A949" s="92" t="s">
        <v>1</v>
      </c>
      <c r="B949" s="92" t="s">
        <v>90</v>
      </c>
      <c r="C949" s="92" t="s">
        <v>25</v>
      </c>
      <c r="D949" s="92" t="s">
        <v>418</v>
      </c>
      <c r="E949" s="92" t="s">
        <v>77</v>
      </c>
      <c r="F949" s="92" t="s">
        <v>277</v>
      </c>
      <c r="G949" s="92" t="s">
        <v>85</v>
      </c>
      <c r="H949" s="92"/>
      <c r="I949" s="92"/>
      <c r="J949" s="92" t="s">
        <v>109</v>
      </c>
      <c r="K949" s="92" t="s">
        <v>80</v>
      </c>
      <c r="L949" s="92" t="s">
        <v>278</v>
      </c>
      <c r="M949" s="92">
        <v>275000</v>
      </c>
      <c r="N949" s="92">
        <v>300000</v>
      </c>
      <c r="O949" s="92" t="s">
        <v>20</v>
      </c>
      <c r="P949" s="92"/>
      <c r="Q949" s="92"/>
      <c r="R949" s="92" t="s">
        <v>6</v>
      </c>
      <c r="S949" s="92">
        <v>2013</v>
      </c>
      <c r="T949" s="92" t="s">
        <v>1992</v>
      </c>
      <c r="U949" s="92" t="s">
        <v>405</v>
      </c>
      <c r="V949" s="92" t="s">
        <v>406</v>
      </c>
      <c r="W949" s="92" t="s">
        <v>2013</v>
      </c>
      <c r="X949" s="92" t="s">
        <v>1944</v>
      </c>
    </row>
    <row r="950" spans="1:24" ht="38.25" customHeight="1">
      <c r="A950" s="92" t="s">
        <v>1</v>
      </c>
      <c r="B950" s="92" t="s">
        <v>90</v>
      </c>
      <c r="C950" s="92" t="s">
        <v>25</v>
      </c>
      <c r="D950" s="92" t="s">
        <v>403</v>
      </c>
      <c r="E950" s="92" t="s">
        <v>138</v>
      </c>
      <c r="F950" s="92" t="s">
        <v>277</v>
      </c>
      <c r="G950" s="92" t="s">
        <v>85</v>
      </c>
      <c r="H950" s="92"/>
      <c r="I950" s="92"/>
      <c r="J950" s="92" t="s">
        <v>109</v>
      </c>
      <c r="K950" s="92" t="s">
        <v>80</v>
      </c>
      <c r="L950" s="92" t="s">
        <v>278</v>
      </c>
      <c r="M950" s="92">
        <v>132000</v>
      </c>
      <c r="N950" s="92">
        <v>150000</v>
      </c>
      <c r="O950" s="92" t="s">
        <v>20</v>
      </c>
      <c r="P950" s="92"/>
      <c r="Q950" s="92"/>
      <c r="R950" s="92" t="s">
        <v>6</v>
      </c>
      <c r="S950" s="92">
        <v>2013</v>
      </c>
      <c r="T950" s="92" t="s">
        <v>1992</v>
      </c>
      <c r="U950" s="92" t="s">
        <v>405</v>
      </c>
      <c r="V950" s="92" t="s">
        <v>406</v>
      </c>
      <c r="W950" s="92" t="s">
        <v>2013</v>
      </c>
      <c r="X950" s="92" t="s">
        <v>1944</v>
      </c>
    </row>
    <row r="951" spans="1:24" ht="38.25" customHeight="1">
      <c r="A951" s="92" t="s">
        <v>1</v>
      </c>
      <c r="B951" s="92" t="s">
        <v>90</v>
      </c>
      <c r="C951" s="92" t="s">
        <v>25</v>
      </c>
      <c r="D951" s="92" t="s">
        <v>407</v>
      </c>
      <c r="E951" s="92" t="s">
        <v>138</v>
      </c>
      <c r="F951" s="92" t="s">
        <v>277</v>
      </c>
      <c r="G951" s="92" t="s">
        <v>85</v>
      </c>
      <c r="H951" s="92"/>
      <c r="I951" s="92"/>
      <c r="J951" s="92" t="s">
        <v>109</v>
      </c>
      <c r="K951" s="92" t="s">
        <v>80</v>
      </c>
      <c r="L951" s="92" t="s">
        <v>278</v>
      </c>
      <c r="M951" s="92">
        <v>13200</v>
      </c>
      <c r="N951" s="92">
        <v>15000</v>
      </c>
      <c r="O951" s="92" t="s">
        <v>9</v>
      </c>
      <c r="P951" s="92"/>
      <c r="Q951" s="92"/>
      <c r="R951" s="92" t="s">
        <v>6</v>
      </c>
      <c r="S951" s="92">
        <v>2013</v>
      </c>
      <c r="T951" s="92" t="s">
        <v>408</v>
      </c>
      <c r="U951" s="92" t="s">
        <v>409</v>
      </c>
      <c r="V951" s="92" t="s">
        <v>410</v>
      </c>
      <c r="W951" s="92" t="s">
        <v>2013</v>
      </c>
      <c r="X951" s="92" t="s">
        <v>1944</v>
      </c>
    </row>
    <row r="952" spans="1:24" ht="38.25" customHeight="1">
      <c r="A952" s="92" t="s">
        <v>1</v>
      </c>
      <c r="B952" s="92" t="s">
        <v>90</v>
      </c>
      <c r="C952" s="92" t="s">
        <v>25</v>
      </c>
      <c r="D952" s="92" t="s">
        <v>422</v>
      </c>
      <c r="E952" s="92" t="s">
        <v>77</v>
      </c>
      <c r="F952" s="92" t="s">
        <v>1946</v>
      </c>
      <c r="G952" s="92" t="s">
        <v>145</v>
      </c>
      <c r="H952" s="92"/>
      <c r="I952" s="92"/>
      <c r="J952" s="92" t="s">
        <v>109</v>
      </c>
      <c r="K952" s="92" t="s">
        <v>80</v>
      </c>
      <c r="L952" s="92" t="s">
        <v>278</v>
      </c>
      <c r="M952" s="92">
        <v>40700</v>
      </c>
      <c r="N952" s="92">
        <v>50000</v>
      </c>
      <c r="O952" s="92" t="s">
        <v>20</v>
      </c>
      <c r="P952" s="92"/>
      <c r="Q952" s="92"/>
      <c r="R952" s="92" t="s">
        <v>6</v>
      </c>
      <c r="S952" s="92">
        <v>2013</v>
      </c>
      <c r="T952" s="92" t="s">
        <v>423</v>
      </c>
      <c r="U952" s="92" t="s">
        <v>424</v>
      </c>
      <c r="V952" s="92" t="s">
        <v>425</v>
      </c>
      <c r="W952" s="92" t="s">
        <v>2013</v>
      </c>
      <c r="X952" s="92" t="s">
        <v>1945</v>
      </c>
    </row>
    <row r="953" spans="1:24" ht="38.25" customHeight="1">
      <c r="A953" s="92" t="s">
        <v>1</v>
      </c>
      <c r="B953" s="92" t="s">
        <v>90</v>
      </c>
      <c r="C953" s="92" t="s">
        <v>3</v>
      </c>
      <c r="D953" s="92" t="s">
        <v>426</v>
      </c>
      <c r="E953" s="92" t="s">
        <v>77</v>
      </c>
      <c r="F953" s="92" t="s">
        <v>1947</v>
      </c>
      <c r="G953" s="92" t="s">
        <v>145</v>
      </c>
      <c r="H953" s="92">
        <v>237310</v>
      </c>
      <c r="I953" s="92" t="s">
        <v>28</v>
      </c>
      <c r="J953" s="92" t="s">
        <v>109</v>
      </c>
      <c r="K953" s="92" t="s">
        <v>8</v>
      </c>
      <c r="L953" s="92" t="s">
        <v>278</v>
      </c>
      <c r="M953" s="92">
        <v>385853</v>
      </c>
      <c r="N953" s="92">
        <v>400000</v>
      </c>
      <c r="O953" s="92" t="s">
        <v>20</v>
      </c>
      <c r="P953" s="92" t="s">
        <v>2838</v>
      </c>
      <c r="Q953" s="92"/>
      <c r="R953" s="92">
        <v>4</v>
      </c>
      <c r="S953" s="92">
        <v>2012</v>
      </c>
      <c r="T953" s="92" t="s">
        <v>1990</v>
      </c>
      <c r="U953" s="92" t="s">
        <v>395</v>
      </c>
      <c r="V953" s="92" t="s">
        <v>396</v>
      </c>
      <c r="W953" s="92" t="s">
        <v>2013</v>
      </c>
      <c r="X953" s="92" t="s">
        <v>1948</v>
      </c>
    </row>
    <row r="954" spans="1:24" ht="38.25" customHeight="1">
      <c r="A954" s="92" t="s">
        <v>1</v>
      </c>
      <c r="B954" s="92" t="s">
        <v>90</v>
      </c>
      <c r="C954" s="92" t="s">
        <v>25</v>
      </c>
      <c r="D954" s="92" t="s">
        <v>427</v>
      </c>
      <c r="E954" s="92" t="s">
        <v>77</v>
      </c>
      <c r="F954" s="92" t="s">
        <v>1947</v>
      </c>
      <c r="G954" s="92" t="s">
        <v>145</v>
      </c>
      <c r="H954" s="92"/>
      <c r="I954" s="92"/>
      <c r="J954" s="92" t="s">
        <v>109</v>
      </c>
      <c r="K954" s="92" t="s">
        <v>80</v>
      </c>
      <c r="L954" s="92" t="s">
        <v>278</v>
      </c>
      <c r="M954" s="92"/>
      <c r="N954" s="92"/>
      <c r="O954" s="92"/>
      <c r="P954" s="92"/>
      <c r="Q954" s="92"/>
      <c r="R954" s="92" t="s">
        <v>6</v>
      </c>
      <c r="S954" s="92">
        <v>2013</v>
      </c>
      <c r="T954" s="92" t="s">
        <v>1994</v>
      </c>
      <c r="U954" s="92" t="s">
        <v>413</v>
      </c>
      <c r="V954" s="92" t="s">
        <v>414</v>
      </c>
      <c r="W954" s="92" t="s">
        <v>2013</v>
      </c>
      <c r="X954" s="92" t="s">
        <v>1948</v>
      </c>
    </row>
    <row r="955" spans="1:24" ht="38.25" customHeight="1">
      <c r="A955" s="92" t="s">
        <v>1</v>
      </c>
      <c r="B955" s="92" t="s">
        <v>90</v>
      </c>
      <c r="C955" s="92" t="s">
        <v>25</v>
      </c>
      <c r="D955" s="92" t="s">
        <v>428</v>
      </c>
      <c r="E955" s="92" t="s">
        <v>138</v>
      </c>
      <c r="F955" s="92" t="s">
        <v>1949</v>
      </c>
      <c r="G955" s="92" t="s">
        <v>145</v>
      </c>
      <c r="H955" s="92"/>
      <c r="I955" s="92"/>
      <c r="J955" s="92" t="s">
        <v>109</v>
      </c>
      <c r="K955" s="92" t="s">
        <v>80</v>
      </c>
      <c r="L955" s="92" t="s">
        <v>278</v>
      </c>
      <c r="M955" s="92">
        <v>869000</v>
      </c>
      <c r="N955" s="92">
        <v>950000</v>
      </c>
      <c r="O955" s="92" t="s">
        <v>20</v>
      </c>
      <c r="P955" s="92"/>
      <c r="Q955" s="92"/>
      <c r="R955" s="92" t="s">
        <v>6</v>
      </c>
      <c r="S955" s="92">
        <v>2013</v>
      </c>
      <c r="T955" s="92" t="s">
        <v>2839</v>
      </c>
      <c r="U955" s="92" t="s">
        <v>429</v>
      </c>
      <c r="V955" s="92" t="s">
        <v>2840</v>
      </c>
      <c r="W955" s="92" t="s">
        <v>2013</v>
      </c>
      <c r="X955" s="92" t="s">
        <v>1950</v>
      </c>
    </row>
    <row r="956" spans="1:24" ht="38.25" customHeight="1">
      <c r="A956" s="92" t="s">
        <v>1</v>
      </c>
      <c r="B956" s="92" t="s">
        <v>90</v>
      </c>
      <c r="C956" s="92" t="s">
        <v>25</v>
      </c>
      <c r="D956" s="92" t="s">
        <v>430</v>
      </c>
      <c r="E956" s="92" t="s">
        <v>138</v>
      </c>
      <c r="F956" s="92" t="s">
        <v>1946</v>
      </c>
      <c r="G956" s="92" t="s">
        <v>145</v>
      </c>
      <c r="H956" s="92"/>
      <c r="I956" s="92"/>
      <c r="J956" s="92" t="s">
        <v>109</v>
      </c>
      <c r="K956" s="92" t="s">
        <v>80</v>
      </c>
      <c r="L956" s="92" t="s">
        <v>278</v>
      </c>
      <c r="M956" s="92">
        <v>500000</v>
      </c>
      <c r="N956" s="92">
        <v>550000</v>
      </c>
      <c r="O956" s="92" t="s">
        <v>20</v>
      </c>
      <c r="P956" s="92"/>
      <c r="Q956" s="92"/>
      <c r="R956" s="92" t="s">
        <v>6</v>
      </c>
      <c r="S956" s="92">
        <v>2013</v>
      </c>
      <c r="T956" s="92" t="s">
        <v>423</v>
      </c>
      <c r="U956" s="92" t="s">
        <v>424</v>
      </c>
      <c r="V956" s="92" t="s">
        <v>425</v>
      </c>
      <c r="W956" s="92" t="s">
        <v>2013</v>
      </c>
      <c r="X956" s="92" t="s">
        <v>1951</v>
      </c>
    </row>
    <row r="957" spans="1:24" ht="38.25" customHeight="1">
      <c r="A957" s="92" t="s">
        <v>1</v>
      </c>
      <c r="B957" s="92" t="s">
        <v>90</v>
      </c>
      <c r="C957" s="92" t="s">
        <v>25</v>
      </c>
      <c r="D957" s="92" t="s">
        <v>431</v>
      </c>
      <c r="E957" s="92" t="s">
        <v>77</v>
      </c>
      <c r="F957" s="92" t="s">
        <v>1946</v>
      </c>
      <c r="G957" s="92" t="s">
        <v>145</v>
      </c>
      <c r="H957" s="92"/>
      <c r="I957" s="92"/>
      <c r="J957" s="92" t="s">
        <v>109</v>
      </c>
      <c r="K957" s="92" t="s">
        <v>80</v>
      </c>
      <c r="L957" s="92" t="s">
        <v>278</v>
      </c>
      <c r="M957" s="92">
        <v>40700</v>
      </c>
      <c r="N957" s="92">
        <v>50000</v>
      </c>
      <c r="O957" s="92" t="s">
        <v>20</v>
      </c>
      <c r="P957" s="92"/>
      <c r="Q957" s="92"/>
      <c r="R957" s="92" t="s">
        <v>6</v>
      </c>
      <c r="S957" s="92">
        <v>2013</v>
      </c>
      <c r="T957" s="92" t="s">
        <v>423</v>
      </c>
      <c r="U957" s="92" t="s">
        <v>424</v>
      </c>
      <c r="V957" s="92" t="s">
        <v>425</v>
      </c>
      <c r="W957" s="92" t="s">
        <v>2013</v>
      </c>
      <c r="X957" s="92" t="s">
        <v>1952</v>
      </c>
    </row>
    <row r="958" spans="1:24" ht="38.25" customHeight="1">
      <c r="A958" s="92" t="s">
        <v>1</v>
      </c>
      <c r="B958" s="92" t="s">
        <v>90</v>
      </c>
      <c r="C958" s="92" t="s">
        <v>25</v>
      </c>
      <c r="D958" s="92" t="s">
        <v>432</v>
      </c>
      <c r="E958" s="92" t="s">
        <v>77</v>
      </c>
      <c r="F958" s="92"/>
      <c r="G958" s="92" t="s">
        <v>145</v>
      </c>
      <c r="H958" s="92"/>
      <c r="I958" s="92"/>
      <c r="J958" s="92" t="s">
        <v>109</v>
      </c>
      <c r="K958" s="92" t="s">
        <v>80</v>
      </c>
      <c r="L958" s="92" t="s">
        <v>278</v>
      </c>
      <c r="M958" s="92">
        <v>40700</v>
      </c>
      <c r="N958" s="92">
        <v>50000</v>
      </c>
      <c r="O958" s="92" t="s">
        <v>20</v>
      </c>
      <c r="P958" s="92"/>
      <c r="Q958" s="92"/>
      <c r="R958" s="92" t="s">
        <v>6</v>
      </c>
      <c r="S958" s="92">
        <v>2013</v>
      </c>
      <c r="T958" s="92" t="s">
        <v>423</v>
      </c>
      <c r="U958" s="92" t="s">
        <v>424</v>
      </c>
      <c r="V958" s="92" t="s">
        <v>425</v>
      </c>
      <c r="W958" s="92" t="s">
        <v>2013</v>
      </c>
      <c r="X958" s="92" t="s">
        <v>1953</v>
      </c>
    </row>
    <row r="959" spans="1:24" ht="38.25" customHeight="1">
      <c r="A959" s="92" t="s">
        <v>1</v>
      </c>
      <c r="B959" s="92" t="s">
        <v>90</v>
      </c>
      <c r="C959" s="92" t="s">
        <v>25</v>
      </c>
      <c r="D959" s="92" t="s">
        <v>432</v>
      </c>
      <c r="E959" s="92" t="s">
        <v>77</v>
      </c>
      <c r="F959" s="92"/>
      <c r="G959" s="92" t="s">
        <v>145</v>
      </c>
      <c r="H959" s="92"/>
      <c r="I959" s="92"/>
      <c r="J959" s="92" t="s">
        <v>109</v>
      </c>
      <c r="K959" s="92" t="s">
        <v>80</v>
      </c>
      <c r="L959" s="92" t="s">
        <v>278</v>
      </c>
      <c r="M959" s="92">
        <v>40700</v>
      </c>
      <c r="N959" s="92">
        <v>50000</v>
      </c>
      <c r="O959" s="92" t="s">
        <v>20</v>
      </c>
      <c r="P959" s="92"/>
      <c r="Q959" s="92"/>
      <c r="R959" s="92" t="s">
        <v>6</v>
      </c>
      <c r="S959" s="92">
        <v>2013</v>
      </c>
      <c r="T959" s="92" t="s">
        <v>423</v>
      </c>
      <c r="U959" s="92" t="s">
        <v>424</v>
      </c>
      <c r="V959" s="92" t="s">
        <v>425</v>
      </c>
      <c r="W959" s="92" t="s">
        <v>2013</v>
      </c>
      <c r="X959" s="92" t="s">
        <v>1954</v>
      </c>
    </row>
    <row r="960" spans="1:24" ht="38.25" customHeight="1">
      <c r="A960" s="92" t="s">
        <v>1</v>
      </c>
      <c r="B960" s="92" t="s">
        <v>90</v>
      </c>
      <c r="C960" s="92" t="s">
        <v>25</v>
      </c>
      <c r="D960" s="92" t="s">
        <v>432</v>
      </c>
      <c r="E960" s="92" t="s">
        <v>77</v>
      </c>
      <c r="F960" s="92"/>
      <c r="G960" s="92" t="s">
        <v>145</v>
      </c>
      <c r="H960" s="92"/>
      <c r="I960" s="92"/>
      <c r="J960" s="92" t="s">
        <v>109</v>
      </c>
      <c r="K960" s="92" t="s">
        <v>80</v>
      </c>
      <c r="L960" s="92" t="s">
        <v>278</v>
      </c>
      <c r="M960" s="92">
        <v>40700</v>
      </c>
      <c r="N960" s="92">
        <v>50000</v>
      </c>
      <c r="O960" s="92" t="s">
        <v>20</v>
      </c>
      <c r="P960" s="92"/>
      <c r="Q960" s="92"/>
      <c r="R960" s="92" t="s">
        <v>6</v>
      </c>
      <c r="S960" s="92">
        <v>2013</v>
      </c>
      <c r="T960" s="92" t="s">
        <v>1995</v>
      </c>
      <c r="U960" s="92" t="s">
        <v>424</v>
      </c>
      <c r="V960" s="92" t="s">
        <v>425</v>
      </c>
      <c r="W960" s="92" t="s">
        <v>2013</v>
      </c>
      <c r="X960" s="92" t="s">
        <v>1955</v>
      </c>
    </row>
    <row r="961" spans="1:94" ht="38.25" customHeight="1">
      <c r="A961" s="92" t="s">
        <v>1</v>
      </c>
      <c r="B961" s="92" t="s">
        <v>90</v>
      </c>
      <c r="C961" s="92" t="s">
        <v>25</v>
      </c>
      <c r="D961" s="92" t="s">
        <v>431</v>
      </c>
      <c r="E961" s="92" t="s">
        <v>77</v>
      </c>
      <c r="F961" s="92"/>
      <c r="G961" s="92" t="s">
        <v>145</v>
      </c>
      <c r="H961" s="92"/>
      <c r="I961" s="92"/>
      <c r="J961" s="92" t="s">
        <v>109</v>
      </c>
      <c r="K961" s="92" t="s">
        <v>80</v>
      </c>
      <c r="L961" s="92" t="s">
        <v>278</v>
      </c>
      <c r="M961" s="92">
        <v>40700</v>
      </c>
      <c r="N961" s="92">
        <v>50000</v>
      </c>
      <c r="O961" s="92" t="s">
        <v>20</v>
      </c>
      <c r="P961" s="92"/>
      <c r="Q961" s="92"/>
      <c r="R961" s="92" t="s">
        <v>6</v>
      </c>
      <c r="S961" s="92">
        <v>2013</v>
      </c>
      <c r="T961" s="92" t="s">
        <v>423</v>
      </c>
      <c r="U961" s="92" t="s">
        <v>424</v>
      </c>
      <c r="V961" s="92" t="s">
        <v>425</v>
      </c>
      <c r="W961" s="92" t="s">
        <v>2013</v>
      </c>
      <c r="X961" s="92" t="s">
        <v>1956</v>
      </c>
    </row>
    <row r="962" spans="1:94" ht="38.25" customHeight="1">
      <c r="A962" s="92" t="s">
        <v>1</v>
      </c>
      <c r="B962" s="92" t="s">
        <v>90</v>
      </c>
      <c r="C962" s="92" t="s">
        <v>25</v>
      </c>
      <c r="D962" s="92" t="s">
        <v>433</v>
      </c>
      <c r="E962" s="92" t="s">
        <v>77</v>
      </c>
      <c r="F962" s="92" t="s">
        <v>1957</v>
      </c>
      <c r="G962" s="92" t="s">
        <v>145</v>
      </c>
      <c r="H962" s="92"/>
      <c r="I962" s="92"/>
      <c r="J962" s="92" t="s">
        <v>109</v>
      </c>
      <c r="K962" s="92" t="s">
        <v>80</v>
      </c>
      <c r="L962" s="92" t="s">
        <v>278</v>
      </c>
      <c r="M962" s="92">
        <v>13200</v>
      </c>
      <c r="N962" s="92">
        <v>20000</v>
      </c>
      <c r="O962" s="92" t="s">
        <v>9</v>
      </c>
      <c r="P962" s="92"/>
      <c r="Q962" s="92"/>
      <c r="R962" s="92" t="s">
        <v>6</v>
      </c>
      <c r="S962" s="92">
        <v>2013</v>
      </c>
      <c r="T962" s="92"/>
      <c r="U962" s="92"/>
      <c r="V962" s="92"/>
      <c r="W962" s="92" t="s">
        <v>2013</v>
      </c>
      <c r="X962" s="92" t="s">
        <v>1958</v>
      </c>
    </row>
    <row r="963" spans="1:94" ht="38.25" customHeight="1">
      <c r="A963" s="92" t="s">
        <v>1</v>
      </c>
      <c r="B963" s="92" t="s">
        <v>90</v>
      </c>
      <c r="C963" s="92" t="s">
        <v>25</v>
      </c>
      <c r="D963" s="92" t="s">
        <v>434</v>
      </c>
      <c r="E963" s="92" t="s">
        <v>77</v>
      </c>
      <c r="F963" s="92" t="s">
        <v>1957</v>
      </c>
      <c r="G963" s="92" t="s">
        <v>145</v>
      </c>
      <c r="H963" s="92"/>
      <c r="I963" s="92"/>
      <c r="J963" s="92" t="s">
        <v>109</v>
      </c>
      <c r="K963" s="92" t="s">
        <v>80</v>
      </c>
      <c r="L963" s="92" t="s">
        <v>278</v>
      </c>
      <c r="M963" s="92">
        <v>286000</v>
      </c>
      <c r="N963" s="92">
        <v>300000</v>
      </c>
      <c r="O963" s="92" t="s">
        <v>20</v>
      </c>
      <c r="P963" s="92"/>
      <c r="Q963" s="92"/>
      <c r="R963" s="92" t="s">
        <v>6</v>
      </c>
      <c r="S963" s="92">
        <v>2013</v>
      </c>
      <c r="T963" s="92"/>
      <c r="U963" s="92"/>
      <c r="V963" s="92"/>
      <c r="W963" s="92" t="s">
        <v>2013</v>
      </c>
      <c r="X963" s="92" t="s">
        <v>1958</v>
      </c>
    </row>
    <row r="964" spans="1:94" ht="38.25" customHeight="1">
      <c r="A964" s="92" t="s">
        <v>1</v>
      </c>
      <c r="B964" s="92" t="s">
        <v>90</v>
      </c>
      <c r="C964" s="92" t="s">
        <v>25</v>
      </c>
      <c r="D964" s="92" t="s">
        <v>435</v>
      </c>
      <c r="E964" s="92" t="s">
        <v>77</v>
      </c>
      <c r="F964" s="92" t="s">
        <v>1957</v>
      </c>
      <c r="G964" s="92" t="s">
        <v>145</v>
      </c>
      <c r="H964" s="92"/>
      <c r="I964" s="92"/>
      <c r="J964" s="92" t="s">
        <v>109</v>
      </c>
      <c r="K964" s="92" t="s">
        <v>80</v>
      </c>
      <c r="L964" s="92" t="s">
        <v>278</v>
      </c>
      <c r="M964" s="92">
        <v>596282</v>
      </c>
      <c r="N964" s="92">
        <v>650000</v>
      </c>
      <c r="O964" s="92" t="s">
        <v>20</v>
      </c>
      <c r="P964" s="92"/>
      <c r="Q964" s="92"/>
      <c r="R964" s="92" t="s">
        <v>6</v>
      </c>
      <c r="S964" s="92">
        <v>2013</v>
      </c>
      <c r="T964" s="92" t="s">
        <v>382</v>
      </c>
      <c r="U964" s="92" t="s">
        <v>383</v>
      </c>
      <c r="V964" s="92" t="s">
        <v>384</v>
      </c>
      <c r="W964" s="92" t="s">
        <v>2013</v>
      </c>
      <c r="X964" s="92" t="s">
        <v>1959</v>
      </c>
    </row>
    <row r="965" spans="1:94" ht="38.25" customHeight="1">
      <c r="A965" s="92" t="s">
        <v>1</v>
      </c>
      <c r="B965" s="92" t="s">
        <v>90</v>
      </c>
      <c r="C965" s="92" t="s">
        <v>25</v>
      </c>
      <c r="D965" s="92" t="s">
        <v>436</v>
      </c>
      <c r="E965" s="92" t="s">
        <v>77</v>
      </c>
      <c r="F965" s="92" t="s">
        <v>1957</v>
      </c>
      <c r="G965" s="92" t="s">
        <v>145</v>
      </c>
      <c r="H965" s="92"/>
      <c r="I965" s="92"/>
      <c r="J965" s="92" t="s">
        <v>109</v>
      </c>
      <c r="K965" s="92" t="s">
        <v>80</v>
      </c>
      <c r="L965" s="92" t="s">
        <v>278</v>
      </c>
      <c r="M965" s="92">
        <v>56000</v>
      </c>
      <c r="N965" s="92">
        <v>60000</v>
      </c>
      <c r="O965" s="92" t="s">
        <v>20</v>
      </c>
      <c r="P965" s="92"/>
      <c r="Q965" s="92"/>
      <c r="R965" s="92" t="s">
        <v>6</v>
      </c>
      <c r="S965" s="92">
        <v>2013</v>
      </c>
      <c r="T965" s="92" t="s">
        <v>437</v>
      </c>
      <c r="U965" s="92" t="s">
        <v>438</v>
      </c>
      <c r="V965" s="92" t="s">
        <v>439</v>
      </c>
      <c r="W965" s="92" t="s">
        <v>2013</v>
      </c>
      <c r="X965" s="92" t="s">
        <v>1960</v>
      </c>
    </row>
    <row r="966" spans="1:94" ht="38.25" customHeight="1">
      <c r="A966" s="92" t="s">
        <v>1</v>
      </c>
      <c r="B966" s="92" t="s">
        <v>90</v>
      </c>
      <c r="C966" s="92" t="s">
        <v>25</v>
      </c>
      <c r="D966" s="92" t="s">
        <v>440</v>
      </c>
      <c r="E966" s="92" t="s">
        <v>77</v>
      </c>
      <c r="F966" s="92" t="s">
        <v>1957</v>
      </c>
      <c r="G966" s="92" t="s">
        <v>145</v>
      </c>
      <c r="H966" s="92"/>
      <c r="I966" s="92"/>
      <c r="J966" s="92" t="s">
        <v>109</v>
      </c>
      <c r="K966" s="92" t="s">
        <v>80</v>
      </c>
      <c r="L966" s="92" t="s">
        <v>278</v>
      </c>
      <c r="M966" s="92">
        <v>28325</v>
      </c>
      <c r="N966" s="92">
        <v>30000</v>
      </c>
      <c r="O966" s="92" t="s">
        <v>20</v>
      </c>
      <c r="P966" s="92"/>
      <c r="Q966" s="92"/>
      <c r="R966" s="92" t="s">
        <v>6</v>
      </c>
      <c r="S966" s="92">
        <v>2013</v>
      </c>
      <c r="T966" s="92" t="s">
        <v>437</v>
      </c>
      <c r="U966" s="92" t="s">
        <v>438</v>
      </c>
      <c r="V966" s="92" t="s">
        <v>439</v>
      </c>
      <c r="W966" s="92" t="s">
        <v>2013</v>
      </c>
      <c r="X966" s="92" t="s">
        <v>1959</v>
      </c>
    </row>
    <row r="967" spans="1:94" ht="38.25" customHeight="1">
      <c r="A967" s="14" t="s">
        <v>12</v>
      </c>
      <c r="B967" s="14" t="s">
        <v>53</v>
      </c>
      <c r="C967" s="46" t="s">
        <v>3</v>
      </c>
      <c r="D967" s="70" t="s">
        <v>2230</v>
      </c>
      <c r="E967" s="14" t="s">
        <v>116</v>
      </c>
      <c r="F967" s="46" t="s">
        <v>2231</v>
      </c>
      <c r="G967" s="46" t="s">
        <v>55</v>
      </c>
      <c r="H967" s="52">
        <v>541611</v>
      </c>
      <c r="I967" s="14" t="s">
        <v>6</v>
      </c>
      <c r="J967" s="14" t="s">
        <v>57</v>
      </c>
      <c r="K967" s="46" t="s">
        <v>29</v>
      </c>
      <c r="L967" s="14" t="s">
        <v>331</v>
      </c>
      <c r="M967" s="187" t="s">
        <v>1974</v>
      </c>
      <c r="N967" s="187" t="s">
        <v>1974</v>
      </c>
      <c r="O967" s="48" t="s">
        <v>20</v>
      </c>
      <c r="P967" s="14" t="s">
        <v>640</v>
      </c>
      <c r="Q967" s="46" t="s">
        <v>279</v>
      </c>
      <c r="R967" s="46" t="s">
        <v>10</v>
      </c>
      <c r="S967" s="49">
        <v>2013</v>
      </c>
      <c r="T967" s="65" t="s">
        <v>2232</v>
      </c>
      <c r="U967" s="65" t="s">
        <v>2233</v>
      </c>
      <c r="V967" s="298" t="s">
        <v>2234</v>
      </c>
      <c r="W967" s="105" t="s">
        <v>2841</v>
      </c>
      <c r="X967" s="46"/>
    </row>
    <row r="968" spans="1:94" ht="38.25" customHeight="1">
      <c r="A968" s="14" t="s">
        <v>12</v>
      </c>
      <c r="B968" s="14" t="s">
        <v>53</v>
      </c>
      <c r="C968" s="46" t="s">
        <v>45</v>
      </c>
      <c r="D968" s="70" t="s">
        <v>2235</v>
      </c>
      <c r="E968" s="14" t="s">
        <v>116</v>
      </c>
      <c r="F968" s="46" t="s">
        <v>1327</v>
      </c>
      <c r="G968" s="46" t="s">
        <v>157</v>
      </c>
      <c r="H968" s="52">
        <v>541611</v>
      </c>
      <c r="I968" s="14" t="s">
        <v>6</v>
      </c>
      <c r="J968" s="14" t="s">
        <v>109</v>
      </c>
      <c r="K968" s="46" t="s">
        <v>80</v>
      </c>
      <c r="L968" s="14" t="s">
        <v>331</v>
      </c>
      <c r="M968" s="187" t="s">
        <v>1974</v>
      </c>
      <c r="N968" s="187" t="s">
        <v>1974</v>
      </c>
      <c r="O968" s="48" t="s">
        <v>20</v>
      </c>
      <c r="P968" s="14" t="s">
        <v>2236</v>
      </c>
      <c r="Q968" s="46" t="s">
        <v>279</v>
      </c>
      <c r="R968" s="46" t="s">
        <v>21</v>
      </c>
      <c r="S968" s="49">
        <v>2013</v>
      </c>
      <c r="T968" s="14" t="s">
        <v>2237</v>
      </c>
      <c r="U968" s="65" t="s">
        <v>2238</v>
      </c>
      <c r="V968" s="298" t="s">
        <v>2239</v>
      </c>
      <c r="W968" s="105" t="s">
        <v>2841</v>
      </c>
      <c r="X968" s="46"/>
    </row>
    <row r="969" spans="1:94" ht="38.25" customHeight="1">
      <c r="A969" s="14" t="s">
        <v>12</v>
      </c>
      <c r="B969" s="14" t="s">
        <v>53</v>
      </c>
      <c r="C969" s="46"/>
      <c r="D969" s="53" t="s">
        <v>2254</v>
      </c>
      <c r="E969" s="14" t="s">
        <v>107</v>
      </c>
      <c r="F969" s="46" t="s">
        <v>1327</v>
      </c>
      <c r="G969" s="46" t="s">
        <v>157</v>
      </c>
      <c r="H969" s="46">
        <v>425120</v>
      </c>
      <c r="I969" s="14" t="s">
        <v>28</v>
      </c>
      <c r="J969" s="14" t="s">
        <v>143</v>
      </c>
      <c r="K969" s="14" t="s">
        <v>28</v>
      </c>
      <c r="L969" s="14" t="s">
        <v>2240</v>
      </c>
      <c r="M969" s="187" t="s">
        <v>1974</v>
      </c>
      <c r="N969" s="187" t="s">
        <v>1974</v>
      </c>
      <c r="O969" s="48" t="s">
        <v>20</v>
      </c>
      <c r="P969" s="14" t="s">
        <v>640</v>
      </c>
      <c r="Q969" s="46" t="s">
        <v>279</v>
      </c>
      <c r="R969" s="46" t="s">
        <v>10</v>
      </c>
      <c r="S969" s="49">
        <v>2013</v>
      </c>
      <c r="T969" s="65" t="s">
        <v>2232</v>
      </c>
      <c r="U969" s="65" t="s">
        <v>2233</v>
      </c>
      <c r="V969" s="298" t="s">
        <v>2234</v>
      </c>
      <c r="W969" s="105" t="s">
        <v>2841</v>
      </c>
      <c r="X969" s="46"/>
    </row>
    <row r="970" spans="1:94" ht="38.25" customHeight="1">
      <c r="A970" s="14" t="s">
        <v>12</v>
      </c>
      <c r="B970" s="14" t="s">
        <v>53</v>
      </c>
      <c r="C970" s="46"/>
      <c r="D970" s="14" t="s">
        <v>2255</v>
      </c>
      <c r="E970" s="14" t="s">
        <v>36</v>
      </c>
      <c r="F970" s="46" t="s">
        <v>1327</v>
      </c>
      <c r="G970" s="46" t="s">
        <v>157</v>
      </c>
      <c r="H970" s="46">
        <v>238210</v>
      </c>
      <c r="I970" s="14" t="s">
        <v>6</v>
      </c>
      <c r="J970" s="14" t="s">
        <v>109</v>
      </c>
      <c r="K970" s="14" t="s">
        <v>29</v>
      </c>
      <c r="L970" s="14" t="s">
        <v>331</v>
      </c>
      <c r="M970" s="187" t="s">
        <v>1974</v>
      </c>
      <c r="N970" s="187" t="s">
        <v>1974</v>
      </c>
      <c r="O970" s="48" t="s">
        <v>20</v>
      </c>
      <c r="P970" s="14" t="s">
        <v>640</v>
      </c>
      <c r="Q970" s="46" t="s">
        <v>279</v>
      </c>
      <c r="R970" s="46" t="s">
        <v>10</v>
      </c>
      <c r="S970" s="49">
        <v>2013</v>
      </c>
      <c r="T970" s="14" t="s">
        <v>2241</v>
      </c>
      <c r="U970" s="14" t="s">
        <v>2242</v>
      </c>
      <c r="V970" s="299" t="s">
        <v>2243</v>
      </c>
      <c r="W970" s="105" t="s">
        <v>2841</v>
      </c>
      <c r="X970" s="46"/>
    </row>
    <row r="971" spans="1:94" s="13" customFormat="1" ht="38.25" customHeight="1">
      <c r="A971" s="14" t="s">
        <v>12</v>
      </c>
      <c r="B971" s="14" t="s">
        <v>53</v>
      </c>
      <c r="C971" s="46"/>
      <c r="D971" s="53" t="s">
        <v>2244</v>
      </c>
      <c r="E971" s="14" t="s">
        <v>237</v>
      </c>
      <c r="F971" s="46" t="s">
        <v>1327</v>
      </c>
      <c r="G971" s="46" t="s">
        <v>157</v>
      </c>
      <c r="H971" s="66">
        <v>337214</v>
      </c>
      <c r="I971" s="14" t="s">
        <v>28</v>
      </c>
      <c r="J971" s="14" t="s">
        <v>57</v>
      </c>
      <c r="K971" s="67" t="s">
        <v>28</v>
      </c>
      <c r="L971" s="67" t="s">
        <v>2245</v>
      </c>
      <c r="M971" s="187" t="s">
        <v>1974</v>
      </c>
      <c r="N971" s="187" t="s">
        <v>1974</v>
      </c>
      <c r="O971" s="48" t="s">
        <v>20</v>
      </c>
      <c r="P971" s="67" t="s">
        <v>2246</v>
      </c>
      <c r="Q971" s="67" t="s">
        <v>614</v>
      </c>
      <c r="R971" s="46" t="s">
        <v>10</v>
      </c>
      <c r="S971" s="49">
        <v>2013</v>
      </c>
      <c r="T971" s="65" t="s">
        <v>2232</v>
      </c>
      <c r="U971" s="65" t="s">
        <v>2233</v>
      </c>
      <c r="V971" s="298" t="s">
        <v>2234</v>
      </c>
      <c r="W971" s="105" t="s">
        <v>2841</v>
      </c>
      <c r="X971" s="68"/>
      <c r="Y971" s="124"/>
      <c r="Z971" s="124"/>
      <c r="AA971" s="124"/>
      <c r="AB971" s="124"/>
      <c r="AC971" s="124"/>
      <c r="AD971" s="124"/>
      <c r="AE971" s="124"/>
      <c r="AF971" s="124"/>
      <c r="AG971" s="124"/>
      <c r="AH971" s="124"/>
      <c r="AI971" s="124"/>
      <c r="AJ971" s="124"/>
      <c r="AK971" s="124"/>
      <c r="AL971" s="124"/>
      <c r="AM971" s="124"/>
      <c r="AN971" s="124"/>
      <c r="AO971" s="124"/>
      <c r="AP971" s="124"/>
      <c r="AQ971" s="124"/>
      <c r="AR971" s="124"/>
      <c r="AS971" s="124"/>
      <c r="AT971" s="124"/>
      <c r="AU971" s="124"/>
      <c r="AV971" s="124"/>
      <c r="AW971" s="124"/>
      <c r="AX971" s="124"/>
      <c r="AY971" s="124"/>
      <c r="AZ971" s="124"/>
      <c r="BA971" s="124"/>
      <c r="BB971" s="124"/>
      <c r="BC971" s="124"/>
      <c r="BD971" s="124"/>
      <c r="BE971" s="124"/>
      <c r="BF971" s="124"/>
      <c r="BG971" s="124"/>
      <c r="BH971" s="124"/>
      <c r="BI971" s="124"/>
      <c r="BJ971" s="124"/>
      <c r="BK971" s="124"/>
      <c r="BL971" s="124"/>
      <c r="BM971" s="124"/>
      <c r="BN971" s="124"/>
      <c r="BO971" s="124"/>
      <c r="BP971" s="124"/>
      <c r="BQ971" s="124"/>
      <c r="BR971" s="124"/>
      <c r="BS971" s="124"/>
      <c r="BT971" s="124"/>
      <c r="BU971" s="124"/>
      <c r="BV971" s="124"/>
      <c r="BW971" s="124"/>
      <c r="BX971" s="124"/>
      <c r="BY971" s="124"/>
      <c r="BZ971" s="124"/>
      <c r="CA971" s="124"/>
      <c r="CB971" s="124"/>
      <c r="CC971" s="124"/>
      <c r="CD971" s="124"/>
      <c r="CE971" s="124"/>
      <c r="CF971" s="124"/>
      <c r="CG971" s="124"/>
      <c r="CH971" s="124"/>
      <c r="CI971" s="124"/>
      <c r="CJ971" s="124"/>
      <c r="CK971" s="124"/>
      <c r="CL971" s="124"/>
      <c r="CM971" s="124"/>
      <c r="CN971" s="124"/>
      <c r="CO971" s="124"/>
      <c r="CP971" s="124"/>
    </row>
    <row r="972" spans="1:94" ht="38.25" customHeight="1">
      <c r="A972" s="14" t="s">
        <v>12</v>
      </c>
      <c r="B972" s="14" t="s">
        <v>53</v>
      </c>
      <c r="C972" s="46" t="s">
        <v>45</v>
      </c>
      <c r="D972" s="14" t="s">
        <v>2256</v>
      </c>
      <c r="E972" s="14" t="s">
        <v>36</v>
      </c>
      <c r="F972" s="46" t="s">
        <v>1327</v>
      </c>
      <c r="G972" s="46" t="s">
        <v>157</v>
      </c>
      <c r="H972" s="68">
        <v>238210</v>
      </c>
      <c r="I972" s="14" t="s">
        <v>6</v>
      </c>
      <c r="J972" s="14" t="s">
        <v>109</v>
      </c>
      <c r="K972" s="46" t="s">
        <v>29</v>
      </c>
      <c r="L972" s="65" t="s">
        <v>331</v>
      </c>
      <c r="M972" s="187" t="s">
        <v>1974</v>
      </c>
      <c r="N972" s="187" t="s">
        <v>1974</v>
      </c>
      <c r="O972" s="48" t="s">
        <v>20</v>
      </c>
      <c r="P972" s="65" t="s">
        <v>640</v>
      </c>
      <c r="Q972" s="68" t="s">
        <v>279</v>
      </c>
      <c r="R972" s="46" t="s">
        <v>10</v>
      </c>
      <c r="S972" s="49">
        <v>2013</v>
      </c>
      <c r="T972" s="65" t="s">
        <v>2241</v>
      </c>
      <c r="U972" s="65" t="s">
        <v>2242</v>
      </c>
      <c r="V972" s="298" t="s">
        <v>2243</v>
      </c>
      <c r="W972" s="105" t="s">
        <v>2841</v>
      </c>
      <c r="X972" s="68"/>
    </row>
    <row r="973" spans="1:94" ht="38.25" customHeight="1">
      <c r="A973" s="14" t="s">
        <v>12</v>
      </c>
      <c r="B973" s="14" t="s">
        <v>53</v>
      </c>
      <c r="C973" s="46" t="s">
        <v>45</v>
      </c>
      <c r="D973" s="69" t="s">
        <v>1104</v>
      </c>
      <c r="E973" s="14" t="s">
        <v>116</v>
      </c>
      <c r="F973" s="46" t="s">
        <v>1327</v>
      </c>
      <c r="G973" s="46" t="s">
        <v>157</v>
      </c>
      <c r="H973" s="68">
        <v>541611</v>
      </c>
      <c r="I973" s="14" t="s">
        <v>28</v>
      </c>
      <c r="J973" s="14" t="s">
        <v>57</v>
      </c>
      <c r="K973" s="65" t="s">
        <v>1135</v>
      </c>
      <c r="L973" s="65" t="s">
        <v>2247</v>
      </c>
      <c r="M973" s="187" t="s">
        <v>1974</v>
      </c>
      <c r="N973" s="187" t="s">
        <v>1974</v>
      </c>
      <c r="O973" s="48" t="s">
        <v>20</v>
      </c>
      <c r="P973" s="65" t="s">
        <v>2248</v>
      </c>
      <c r="Q973" s="68" t="s">
        <v>279</v>
      </c>
      <c r="R973" s="46" t="s">
        <v>10</v>
      </c>
      <c r="S973" s="49">
        <v>2013</v>
      </c>
      <c r="T973" s="65" t="s">
        <v>2232</v>
      </c>
      <c r="U973" s="65" t="s">
        <v>2233</v>
      </c>
      <c r="V973" s="298" t="s">
        <v>2234</v>
      </c>
      <c r="W973" s="105" t="s">
        <v>2841</v>
      </c>
      <c r="X973" s="68"/>
    </row>
    <row r="974" spans="1:94" ht="38.25" customHeight="1">
      <c r="A974" s="14" t="s">
        <v>12</v>
      </c>
      <c r="B974" s="14" t="s">
        <v>53</v>
      </c>
      <c r="C974" s="46" t="s">
        <v>45</v>
      </c>
      <c r="D974" s="69" t="s">
        <v>2249</v>
      </c>
      <c r="E974" s="14" t="s">
        <v>107</v>
      </c>
      <c r="F974" s="46" t="s">
        <v>1430</v>
      </c>
      <c r="G974" s="46" t="s">
        <v>130</v>
      </c>
      <c r="H974" s="68">
        <v>425120</v>
      </c>
      <c r="I974" s="14" t="s">
        <v>6</v>
      </c>
      <c r="J974" s="14" t="s">
        <v>57</v>
      </c>
      <c r="K974" s="46" t="s">
        <v>80</v>
      </c>
      <c r="L974" s="65" t="s">
        <v>331</v>
      </c>
      <c r="M974" s="187" t="s">
        <v>1974</v>
      </c>
      <c r="N974" s="187" t="s">
        <v>1974</v>
      </c>
      <c r="O974" s="48" t="s">
        <v>20</v>
      </c>
      <c r="P974" s="65" t="s">
        <v>2250</v>
      </c>
      <c r="Q974" s="68" t="s">
        <v>279</v>
      </c>
      <c r="R974" s="46" t="s">
        <v>21</v>
      </c>
      <c r="S974" s="49">
        <v>2013</v>
      </c>
      <c r="T974" s="65" t="s">
        <v>2237</v>
      </c>
      <c r="U974" s="65" t="s">
        <v>2238</v>
      </c>
      <c r="V974" s="298" t="s">
        <v>2239</v>
      </c>
      <c r="W974" s="105" t="s">
        <v>2841</v>
      </c>
      <c r="X974" s="65"/>
    </row>
    <row r="975" spans="1:94" ht="38.25" customHeight="1">
      <c r="A975" s="14" t="s">
        <v>12</v>
      </c>
      <c r="B975" s="14" t="s">
        <v>53</v>
      </c>
      <c r="C975" s="46" t="s">
        <v>45</v>
      </c>
      <c r="D975" s="69" t="s">
        <v>2249</v>
      </c>
      <c r="E975" s="14" t="s">
        <v>107</v>
      </c>
      <c r="F975" s="46" t="s">
        <v>1373</v>
      </c>
      <c r="G975" s="46" t="s">
        <v>157</v>
      </c>
      <c r="H975" s="68">
        <v>425120</v>
      </c>
      <c r="I975" s="14" t="s">
        <v>6</v>
      </c>
      <c r="J975" s="14" t="s">
        <v>57</v>
      </c>
      <c r="K975" s="46" t="s">
        <v>80</v>
      </c>
      <c r="L975" s="65" t="s">
        <v>331</v>
      </c>
      <c r="M975" s="187" t="s">
        <v>1974</v>
      </c>
      <c r="N975" s="187" t="s">
        <v>1974</v>
      </c>
      <c r="O975" s="48" t="s">
        <v>20</v>
      </c>
      <c r="P975" s="65" t="s">
        <v>640</v>
      </c>
      <c r="Q975" s="68" t="s">
        <v>279</v>
      </c>
      <c r="R975" s="46" t="s">
        <v>21</v>
      </c>
      <c r="S975" s="49">
        <v>2013</v>
      </c>
      <c r="T975" s="65" t="s">
        <v>2237</v>
      </c>
      <c r="U975" s="65" t="s">
        <v>2238</v>
      </c>
      <c r="V975" s="298" t="s">
        <v>2239</v>
      </c>
      <c r="W975" s="105" t="s">
        <v>2841</v>
      </c>
      <c r="X975" s="68"/>
    </row>
    <row r="976" spans="1:94" ht="38.25" customHeight="1">
      <c r="A976" s="154" t="s">
        <v>12</v>
      </c>
      <c r="B976" s="154" t="s">
        <v>53</v>
      </c>
      <c r="C976" s="155" t="s">
        <v>45</v>
      </c>
      <c r="D976" s="156" t="s">
        <v>2249</v>
      </c>
      <c r="E976" s="154" t="s">
        <v>107</v>
      </c>
      <c r="F976" s="155" t="s">
        <v>2251</v>
      </c>
      <c r="G976" s="155" t="s">
        <v>130</v>
      </c>
      <c r="H976" s="157">
        <v>425120</v>
      </c>
      <c r="I976" s="154" t="s">
        <v>6</v>
      </c>
      <c r="J976" s="154" t="s">
        <v>57</v>
      </c>
      <c r="K976" s="155" t="s">
        <v>80</v>
      </c>
      <c r="L976" s="158" t="s">
        <v>331</v>
      </c>
      <c r="M976" s="187" t="s">
        <v>1974</v>
      </c>
      <c r="N976" s="187" t="s">
        <v>1974</v>
      </c>
      <c r="O976" s="159" t="s">
        <v>20</v>
      </c>
      <c r="P976" s="158" t="s">
        <v>2252</v>
      </c>
      <c r="Q976" s="157" t="s">
        <v>279</v>
      </c>
      <c r="R976" s="155" t="s">
        <v>21</v>
      </c>
      <c r="S976" s="160">
        <v>2013</v>
      </c>
      <c r="T976" s="158" t="s">
        <v>2237</v>
      </c>
      <c r="U976" s="158" t="s">
        <v>2238</v>
      </c>
      <c r="V976" s="300" t="s">
        <v>2239</v>
      </c>
      <c r="W976" s="105" t="s">
        <v>2841</v>
      </c>
      <c r="X976" s="65"/>
    </row>
    <row r="977" spans="1:8870" ht="38.25" customHeight="1">
      <c r="A977" s="14" t="s">
        <v>12</v>
      </c>
      <c r="B977" s="14" t="s">
        <v>53</v>
      </c>
      <c r="C977" s="46" t="s">
        <v>45</v>
      </c>
      <c r="D977" s="69" t="s">
        <v>2249</v>
      </c>
      <c r="E977" s="14" t="s">
        <v>107</v>
      </c>
      <c r="F977" s="46" t="s">
        <v>1338</v>
      </c>
      <c r="G977" s="46" t="s">
        <v>127</v>
      </c>
      <c r="H977" s="68">
        <v>425120</v>
      </c>
      <c r="I977" s="14" t="s">
        <v>6</v>
      </c>
      <c r="J977" s="14" t="s">
        <v>57</v>
      </c>
      <c r="K977" s="46" t="s">
        <v>80</v>
      </c>
      <c r="L977" s="65" t="s">
        <v>331</v>
      </c>
      <c r="M977" s="187" t="s">
        <v>1974</v>
      </c>
      <c r="N977" s="187" t="s">
        <v>1974</v>
      </c>
      <c r="O977" s="48" t="s">
        <v>20</v>
      </c>
      <c r="P977" s="65" t="s">
        <v>2253</v>
      </c>
      <c r="Q977" s="68" t="s">
        <v>279</v>
      </c>
      <c r="R977" s="46" t="s">
        <v>21</v>
      </c>
      <c r="S977" s="49">
        <v>2013</v>
      </c>
      <c r="T977" s="65" t="s">
        <v>2237</v>
      </c>
      <c r="U977" s="65" t="s">
        <v>2238</v>
      </c>
      <c r="V977" s="298" t="s">
        <v>2239</v>
      </c>
      <c r="W977" s="105" t="s">
        <v>2841</v>
      </c>
      <c r="X977" s="65"/>
    </row>
    <row r="978" spans="1:8870" ht="38.25" customHeight="1">
      <c r="A978" s="14" t="s">
        <v>12</v>
      </c>
      <c r="B978" s="162" t="s">
        <v>76</v>
      </c>
      <c r="C978" s="162" t="s">
        <v>3</v>
      </c>
      <c r="D978" s="161" t="s">
        <v>2456</v>
      </c>
      <c r="E978" s="161" t="s">
        <v>15</v>
      </c>
      <c r="F978" s="161" t="s">
        <v>1564</v>
      </c>
      <c r="G978" s="162" t="s">
        <v>207</v>
      </c>
      <c r="H978" s="162">
        <v>541611</v>
      </c>
      <c r="I978" s="162" t="s">
        <v>327</v>
      </c>
      <c r="J978" s="162" t="s">
        <v>2462</v>
      </c>
      <c r="K978" s="161" t="s">
        <v>8</v>
      </c>
      <c r="L978" s="162" t="s">
        <v>278</v>
      </c>
      <c r="M978" s="232">
        <v>467368</v>
      </c>
      <c r="N978" s="232">
        <v>1355100</v>
      </c>
      <c r="O978" s="162" t="s">
        <v>20</v>
      </c>
      <c r="P978" s="162" t="s">
        <v>278</v>
      </c>
      <c r="Q978" s="162" t="s">
        <v>279</v>
      </c>
      <c r="R978" s="161" t="s">
        <v>10</v>
      </c>
      <c r="S978" s="163">
        <v>2013</v>
      </c>
      <c r="T978" s="161" t="s">
        <v>2465</v>
      </c>
      <c r="U978" s="162" t="s">
        <v>2466</v>
      </c>
      <c r="V978" s="234" t="s">
        <v>2467</v>
      </c>
      <c r="W978" s="235" t="s">
        <v>100</v>
      </c>
      <c r="X978" s="236"/>
    </row>
    <row r="979" spans="1:8870" ht="38.25" customHeight="1">
      <c r="A979" s="14" t="s">
        <v>12</v>
      </c>
      <c r="B979" s="162" t="s">
        <v>76</v>
      </c>
      <c r="C979" s="29" t="s">
        <v>45</v>
      </c>
      <c r="D979" s="29" t="s">
        <v>2457</v>
      </c>
      <c r="E979" s="29" t="s">
        <v>15</v>
      </c>
      <c r="F979" s="150" t="s">
        <v>1564</v>
      </c>
      <c r="G979" s="150" t="s">
        <v>207</v>
      </c>
      <c r="H979" s="150">
        <v>541611</v>
      </c>
      <c r="I979" s="29" t="s">
        <v>64</v>
      </c>
      <c r="J979" s="150" t="s">
        <v>2462</v>
      </c>
      <c r="K979" s="29" t="s">
        <v>1080</v>
      </c>
      <c r="L979" s="150" t="s">
        <v>278</v>
      </c>
      <c r="M979" s="150"/>
      <c r="N979" s="233">
        <v>1169787000</v>
      </c>
      <c r="O979" s="150" t="s">
        <v>20</v>
      </c>
      <c r="P979" s="150" t="s">
        <v>278</v>
      </c>
      <c r="Q979" s="150" t="s">
        <v>279</v>
      </c>
      <c r="R979" s="29" t="s">
        <v>21</v>
      </c>
      <c r="S979" s="152">
        <v>2013</v>
      </c>
      <c r="T979" s="29" t="s">
        <v>2465</v>
      </c>
      <c r="U979" s="150" t="s">
        <v>2466</v>
      </c>
      <c r="V979" s="237" t="s">
        <v>2467</v>
      </c>
      <c r="W979" s="14" t="s">
        <v>100</v>
      </c>
      <c r="X979" s="238"/>
    </row>
    <row r="980" spans="1:8870" ht="38.25" customHeight="1">
      <c r="A980" s="14" t="s">
        <v>12</v>
      </c>
      <c r="B980" s="162" t="s">
        <v>76</v>
      </c>
      <c r="C980" s="29" t="s">
        <v>45</v>
      </c>
      <c r="D980" s="29" t="s">
        <v>2458</v>
      </c>
      <c r="E980" s="29" t="s">
        <v>259</v>
      </c>
      <c r="F980" s="29" t="s">
        <v>2460</v>
      </c>
      <c r="G980" s="150" t="s">
        <v>2461</v>
      </c>
      <c r="H980" s="150">
        <v>541611</v>
      </c>
      <c r="I980" s="29" t="s">
        <v>2463</v>
      </c>
      <c r="J980" s="29" t="s">
        <v>109</v>
      </c>
      <c r="K980" s="29" t="s">
        <v>18</v>
      </c>
      <c r="L980" s="29" t="s">
        <v>2842</v>
      </c>
      <c r="M980" s="150"/>
      <c r="N980" s="233">
        <v>9000000</v>
      </c>
      <c r="O980" s="150" t="s">
        <v>20</v>
      </c>
      <c r="P980" s="150" t="s">
        <v>278</v>
      </c>
      <c r="Q980" s="150" t="s">
        <v>279</v>
      </c>
      <c r="R980" s="29" t="s">
        <v>2468</v>
      </c>
      <c r="S980" s="152">
        <v>2013</v>
      </c>
      <c r="T980" s="29" t="s">
        <v>2465</v>
      </c>
      <c r="U980" s="150" t="s">
        <v>2466</v>
      </c>
      <c r="V980" s="237" t="s">
        <v>2467</v>
      </c>
      <c r="W980" s="14" t="s">
        <v>100</v>
      </c>
      <c r="X980" s="29" t="s">
        <v>2469</v>
      </c>
    </row>
    <row r="981" spans="1:8870" ht="38.25" customHeight="1">
      <c r="A981" s="14" t="s">
        <v>12</v>
      </c>
      <c r="B981" s="162" t="s">
        <v>76</v>
      </c>
      <c r="C981" s="29" t="s">
        <v>45</v>
      </c>
      <c r="D981" s="29" t="s">
        <v>2459</v>
      </c>
      <c r="E981" s="29" t="s">
        <v>259</v>
      </c>
      <c r="F981" s="29" t="s">
        <v>1666</v>
      </c>
      <c r="G981" s="150" t="s">
        <v>55</v>
      </c>
      <c r="H981" s="150">
        <v>541611</v>
      </c>
      <c r="I981" s="150" t="s">
        <v>327</v>
      </c>
      <c r="J981" s="29" t="s">
        <v>2464</v>
      </c>
      <c r="K981" s="29" t="s">
        <v>1080</v>
      </c>
      <c r="L981" s="150" t="s">
        <v>278</v>
      </c>
      <c r="M981" s="150"/>
      <c r="N981" s="233">
        <v>950000</v>
      </c>
      <c r="O981" s="150" t="s">
        <v>20</v>
      </c>
      <c r="P981" s="150" t="s">
        <v>278</v>
      </c>
      <c r="Q981" s="150" t="s">
        <v>279</v>
      </c>
      <c r="R981" s="29" t="s">
        <v>2468</v>
      </c>
      <c r="S981" s="152">
        <v>2013</v>
      </c>
      <c r="T981" s="29" t="s">
        <v>2465</v>
      </c>
      <c r="U981" s="150" t="s">
        <v>2466</v>
      </c>
      <c r="V981" s="237" t="s">
        <v>2467</v>
      </c>
      <c r="W981" s="14" t="s">
        <v>100</v>
      </c>
      <c r="X981" s="238"/>
    </row>
    <row r="982" spans="1:8870" ht="38.25" customHeight="1">
      <c r="A982" s="153" t="s">
        <v>12</v>
      </c>
      <c r="B982" s="153" t="s">
        <v>83</v>
      </c>
      <c r="C982" s="212" t="s">
        <v>3</v>
      </c>
      <c r="D982" s="153" t="s">
        <v>2438</v>
      </c>
      <c r="E982" s="153" t="s">
        <v>36</v>
      </c>
      <c r="F982" s="212" t="s">
        <v>453</v>
      </c>
      <c r="G982" s="212" t="s">
        <v>209</v>
      </c>
      <c r="H982" s="212">
        <v>517110</v>
      </c>
      <c r="I982" s="153" t="s">
        <v>28</v>
      </c>
      <c r="J982" s="153" t="s">
        <v>29</v>
      </c>
      <c r="K982" s="153" t="s">
        <v>6</v>
      </c>
      <c r="L982" s="153" t="s">
        <v>2439</v>
      </c>
      <c r="M982" s="211">
        <v>1500000</v>
      </c>
      <c r="N982" s="211">
        <v>200000</v>
      </c>
      <c r="O982" s="211" t="s">
        <v>20</v>
      </c>
      <c r="P982" s="212" t="s">
        <v>2319</v>
      </c>
      <c r="Q982" s="212" t="s">
        <v>279</v>
      </c>
      <c r="R982" s="212" t="s">
        <v>41</v>
      </c>
      <c r="S982" s="213">
        <v>2013</v>
      </c>
      <c r="T982" s="153" t="s">
        <v>2313</v>
      </c>
      <c r="U982" s="153" t="s">
        <v>2314</v>
      </c>
      <c r="V982" s="214" t="s">
        <v>2440</v>
      </c>
      <c r="W982" s="153" t="s">
        <v>105</v>
      </c>
      <c r="X982" s="21" t="s">
        <v>2441</v>
      </c>
    </row>
    <row r="983" spans="1:8870" ht="38.25" customHeight="1">
      <c r="A983" s="216" t="s">
        <v>12</v>
      </c>
      <c r="B983" s="216" t="s">
        <v>83</v>
      </c>
      <c r="C983" s="304" t="s">
        <v>3</v>
      </c>
      <c r="D983" s="216" t="s">
        <v>2310</v>
      </c>
      <c r="E983" s="216" t="s">
        <v>116</v>
      </c>
      <c r="F983" s="304" t="s">
        <v>453</v>
      </c>
      <c r="G983" s="304" t="s">
        <v>209</v>
      </c>
      <c r="H983" s="305">
        <v>561210</v>
      </c>
      <c r="I983" s="216" t="s">
        <v>71</v>
      </c>
      <c r="J983" s="216" t="s">
        <v>29</v>
      </c>
      <c r="K983" s="304" t="s">
        <v>29</v>
      </c>
      <c r="L983" s="216" t="s">
        <v>2442</v>
      </c>
      <c r="M983" s="217">
        <v>478000</v>
      </c>
      <c r="N983" s="306">
        <v>478000</v>
      </c>
      <c r="O983" s="217" t="s">
        <v>20</v>
      </c>
      <c r="P983" s="216" t="s">
        <v>2311</v>
      </c>
      <c r="Q983" s="304" t="s">
        <v>2312</v>
      </c>
      <c r="R983" s="304"/>
      <c r="S983" s="307">
        <v>2013</v>
      </c>
      <c r="T983" s="216" t="s">
        <v>2313</v>
      </c>
      <c r="U983" s="216" t="s">
        <v>2314</v>
      </c>
      <c r="V983" s="83" t="s">
        <v>2440</v>
      </c>
      <c r="W983" s="216" t="s">
        <v>105</v>
      </c>
      <c r="X983" s="21" t="s">
        <v>2443</v>
      </c>
    </row>
    <row r="984" spans="1:8870" ht="38.25" customHeight="1">
      <c r="A984" s="153" t="s">
        <v>12</v>
      </c>
      <c r="B984" s="153" t="s">
        <v>83</v>
      </c>
      <c r="C984" s="212" t="s">
        <v>3</v>
      </c>
      <c r="D984" s="153" t="s">
        <v>2315</v>
      </c>
      <c r="E984" s="153" t="s">
        <v>97</v>
      </c>
      <c r="F984" s="212" t="s">
        <v>461</v>
      </c>
      <c r="G984" s="212" t="s">
        <v>16</v>
      </c>
      <c r="H984" s="308">
        <v>541614</v>
      </c>
      <c r="I984" s="153" t="s">
        <v>71</v>
      </c>
      <c r="J984" s="153" t="s">
        <v>29</v>
      </c>
      <c r="K984" s="212" t="s">
        <v>29</v>
      </c>
      <c r="L984" s="14" t="s">
        <v>2444</v>
      </c>
      <c r="M984" s="48">
        <v>500000</v>
      </c>
      <c r="N984" s="187">
        <v>1000000</v>
      </c>
      <c r="O984" s="211" t="s">
        <v>20</v>
      </c>
      <c r="P984" s="153" t="s">
        <v>2311</v>
      </c>
      <c r="Q984" s="212" t="s">
        <v>2312</v>
      </c>
      <c r="R984" s="212" t="s">
        <v>41</v>
      </c>
      <c r="S984" s="213">
        <v>2013</v>
      </c>
      <c r="T984" s="153" t="s">
        <v>2452</v>
      </c>
      <c r="U984" s="153" t="s">
        <v>2316</v>
      </c>
      <c r="V984" s="75" t="s">
        <v>2843</v>
      </c>
      <c r="W984" s="153" t="s">
        <v>105</v>
      </c>
      <c r="X984" s="21" t="s">
        <v>2445</v>
      </c>
    </row>
    <row r="985" spans="1:8870" ht="38.25" customHeight="1">
      <c r="A985" s="153" t="s">
        <v>12</v>
      </c>
      <c r="B985" s="153" t="s">
        <v>83</v>
      </c>
      <c r="C985" s="212" t="s">
        <v>3</v>
      </c>
      <c r="D985" s="153" t="s">
        <v>2317</v>
      </c>
      <c r="E985" s="153" t="s">
        <v>36</v>
      </c>
      <c r="F985" s="212" t="s">
        <v>461</v>
      </c>
      <c r="G985" s="212" t="s">
        <v>2318</v>
      </c>
      <c r="H985" s="308">
        <v>334220</v>
      </c>
      <c r="I985" s="153" t="s">
        <v>28</v>
      </c>
      <c r="J985" s="153" t="s">
        <v>109</v>
      </c>
      <c r="K985" s="212" t="s">
        <v>19</v>
      </c>
      <c r="L985" s="154" t="s">
        <v>2446</v>
      </c>
      <c r="M985" s="302">
        <v>1700000</v>
      </c>
      <c r="N985" s="302">
        <v>2000000</v>
      </c>
      <c r="O985" s="211" t="s">
        <v>20</v>
      </c>
      <c r="P985" s="153" t="s">
        <v>2319</v>
      </c>
      <c r="Q985" s="212" t="s">
        <v>2312</v>
      </c>
      <c r="R985" s="212" t="s">
        <v>41</v>
      </c>
      <c r="S985" s="213">
        <v>2013</v>
      </c>
      <c r="T985" s="153" t="s">
        <v>2452</v>
      </c>
      <c r="U985" s="153" t="s">
        <v>2316</v>
      </c>
      <c r="V985" s="75" t="s">
        <v>2843</v>
      </c>
      <c r="W985" s="153" t="s">
        <v>105</v>
      </c>
      <c r="X985" s="154" t="s">
        <v>2844</v>
      </c>
    </row>
    <row r="986" spans="1:8870" ht="38.25" customHeight="1">
      <c r="A986" s="153" t="s">
        <v>12</v>
      </c>
      <c r="B986" s="153" t="s">
        <v>83</v>
      </c>
      <c r="C986" s="212" t="s">
        <v>3</v>
      </c>
      <c r="D986" s="153" t="s">
        <v>2317</v>
      </c>
      <c r="E986" s="153" t="s">
        <v>36</v>
      </c>
      <c r="F986" s="212" t="s">
        <v>461</v>
      </c>
      <c r="G986" s="212" t="s">
        <v>16</v>
      </c>
      <c r="H986" s="308">
        <v>334220</v>
      </c>
      <c r="I986" s="153" t="s">
        <v>28</v>
      </c>
      <c r="J986" s="153" t="s">
        <v>109</v>
      </c>
      <c r="K986" s="212" t="s">
        <v>19</v>
      </c>
      <c r="L986" s="154" t="s">
        <v>2446</v>
      </c>
      <c r="M986" s="302">
        <v>1700000</v>
      </c>
      <c r="N986" s="302">
        <v>2000000</v>
      </c>
      <c r="O986" s="211" t="s">
        <v>20</v>
      </c>
      <c r="P986" s="153" t="s">
        <v>2319</v>
      </c>
      <c r="Q986" s="212" t="s">
        <v>2312</v>
      </c>
      <c r="R986" s="212" t="s">
        <v>31</v>
      </c>
      <c r="S986" s="213">
        <v>2013</v>
      </c>
      <c r="T986" s="153" t="s">
        <v>2452</v>
      </c>
      <c r="U986" s="153" t="s">
        <v>2316</v>
      </c>
      <c r="V986" s="75" t="s">
        <v>2843</v>
      </c>
      <c r="W986" s="153" t="s">
        <v>105</v>
      </c>
      <c r="X986" s="154" t="s">
        <v>2844</v>
      </c>
    </row>
    <row r="987" spans="1:8870" ht="38.25" customHeight="1">
      <c r="A987" s="27" t="s">
        <v>12</v>
      </c>
      <c r="B987" s="27" t="s">
        <v>83</v>
      </c>
      <c r="C987" s="46" t="s">
        <v>3</v>
      </c>
      <c r="D987" s="301" t="s">
        <v>2320</v>
      </c>
      <c r="E987" s="27" t="s">
        <v>36</v>
      </c>
      <c r="F987" s="218"/>
      <c r="G987" s="218" t="s">
        <v>209</v>
      </c>
      <c r="H987" s="150">
        <v>517110</v>
      </c>
      <c r="I987" s="14" t="s">
        <v>28</v>
      </c>
      <c r="J987" s="27" t="s">
        <v>109</v>
      </c>
      <c r="K987" s="218" t="s">
        <v>2450</v>
      </c>
      <c r="L987" s="27" t="s">
        <v>2454</v>
      </c>
      <c r="M987" s="219">
        <v>2300000</v>
      </c>
      <c r="N987" s="220">
        <v>2300000</v>
      </c>
      <c r="O987" s="151" t="s">
        <v>20</v>
      </c>
      <c r="P987" s="29" t="s">
        <v>2321</v>
      </c>
      <c r="Q987" s="29" t="s">
        <v>279</v>
      </c>
      <c r="R987" s="218" t="s">
        <v>10</v>
      </c>
      <c r="S987" s="303">
        <v>2013</v>
      </c>
      <c r="T987" s="29" t="s">
        <v>2452</v>
      </c>
      <c r="U987" s="29" t="s">
        <v>2316</v>
      </c>
      <c r="V987" s="25" t="s">
        <v>2843</v>
      </c>
      <c r="W987" s="29" t="s">
        <v>105</v>
      </c>
      <c r="X987" s="218"/>
    </row>
    <row r="988" spans="1:8870" ht="38.25" customHeight="1" thickBot="1">
      <c r="A988" s="27" t="s">
        <v>12</v>
      </c>
      <c r="B988" s="27" t="s">
        <v>83</v>
      </c>
      <c r="C988" s="218" t="s">
        <v>3</v>
      </c>
      <c r="D988" s="27" t="s">
        <v>2322</v>
      </c>
      <c r="E988" s="27" t="s">
        <v>84</v>
      </c>
      <c r="F988" s="218" t="s">
        <v>501</v>
      </c>
      <c r="G988" s="218" t="s">
        <v>209</v>
      </c>
      <c r="H988" s="150"/>
      <c r="I988" s="27"/>
      <c r="J988" s="27" t="s">
        <v>109</v>
      </c>
      <c r="K988" s="218" t="s">
        <v>73</v>
      </c>
      <c r="L988" s="27"/>
      <c r="M988" s="219"/>
      <c r="N988" s="220">
        <v>25000</v>
      </c>
      <c r="O988" s="151" t="s">
        <v>9</v>
      </c>
      <c r="P988" s="153" t="s">
        <v>2323</v>
      </c>
      <c r="Q988" s="150" t="s">
        <v>279</v>
      </c>
      <c r="R988" s="218" t="s">
        <v>10</v>
      </c>
      <c r="S988" s="152">
        <v>2013</v>
      </c>
      <c r="T988" s="29" t="s">
        <v>2324</v>
      </c>
      <c r="U988" s="29" t="s">
        <v>2325</v>
      </c>
      <c r="V988" s="25" t="s">
        <v>2845</v>
      </c>
      <c r="W988" s="29" t="s">
        <v>105</v>
      </c>
      <c r="X988" s="218"/>
    </row>
    <row r="989" spans="1:8870" ht="38.25" customHeight="1" thickBot="1">
      <c r="A989" s="27" t="s">
        <v>12</v>
      </c>
      <c r="B989" s="27" t="s">
        <v>83</v>
      </c>
      <c r="C989" s="218" t="s">
        <v>2447</v>
      </c>
      <c r="D989" s="27" t="s">
        <v>2448</v>
      </c>
      <c r="E989" s="27" t="s">
        <v>97</v>
      </c>
      <c r="F989" s="218" t="s">
        <v>2449</v>
      </c>
      <c r="G989" s="221" t="s">
        <v>55</v>
      </c>
      <c r="H989" s="222">
        <v>517110</v>
      </c>
      <c r="I989" s="27" t="s">
        <v>71</v>
      </c>
      <c r="J989" s="27" t="s">
        <v>109</v>
      </c>
      <c r="K989" s="218" t="s">
        <v>2450</v>
      </c>
      <c r="L989" s="27" t="s">
        <v>2451</v>
      </c>
      <c r="M989" s="219">
        <v>500000</v>
      </c>
      <c r="N989" s="220">
        <v>500000</v>
      </c>
      <c r="O989" s="219" t="s">
        <v>20</v>
      </c>
      <c r="P989" s="27" t="s">
        <v>278</v>
      </c>
      <c r="Q989" s="218" t="s">
        <v>279</v>
      </c>
      <c r="R989" s="27" t="s">
        <v>21</v>
      </c>
      <c r="S989" s="223">
        <v>2013</v>
      </c>
      <c r="T989" s="27" t="s">
        <v>2452</v>
      </c>
      <c r="U989" s="27" t="s">
        <v>2316</v>
      </c>
      <c r="V989" s="224" t="s">
        <v>2843</v>
      </c>
      <c r="W989" s="27" t="s">
        <v>105</v>
      </c>
      <c r="X989" s="27" t="s">
        <v>2453</v>
      </c>
    </row>
    <row r="990" spans="1:8870" s="18" customFormat="1" ht="38.25" customHeight="1" thickBot="1">
      <c r="A990" s="21" t="s">
        <v>1</v>
      </c>
      <c r="B990" s="18" t="s">
        <v>1855</v>
      </c>
      <c r="C990" s="21" t="s">
        <v>3</v>
      </c>
      <c r="D990" s="312" t="s">
        <v>2846</v>
      </c>
      <c r="E990" s="21" t="s">
        <v>740</v>
      </c>
      <c r="F990" s="18" t="s">
        <v>277</v>
      </c>
      <c r="G990" s="21" t="s">
        <v>85</v>
      </c>
      <c r="H990" s="18">
        <v>541519</v>
      </c>
      <c r="I990" s="18" t="s">
        <v>2847</v>
      </c>
      <c r="J990" s="21" t="s">
        <v>109</v>
      </c>
      <c r="K990" s="18" t="s">
        <v>2848</v>
      </c>
      <c r="L990" s="21" t="s">
        <v>2849</v>
      </c>
      <c r="M990" s="22">
        <v>3000000</v>
      </c>
      <c r="N990" s="22">
        <v>6000000</v>
      </c>
      <c r="O990" s="21" t="s">
        <v>20</v>
      </c>
      <c r="P990" s="18" t="s">
        <v>2850</v>
      </c>
      <c r="Q990" s="18" t="s">
        <v>2851</v>
      </c>
      <c r="R990" s="21" t="s">
        <v>2852</v>
      </c>
      <c r="S990" s="74">
        <v>2013</v>
      </c>
      <c r="T990" s="21" t="s">
        <v>2853</v>
      </c>
      <c r="U990" s="21" t="s">
        <v>2854</v>
      </c>
      <c r="V990" s="214" t="s">
        <v>2855</v>
      </c>
      <c r="W990" s="105" t="s">
        <v>32</v>
      </c>
      <c r="X990" s="18" t="s">
        <v>2856</v>
      </c>
      <c r="Y990" s="124"/>
      <c r="Z990" s="124"/>
      <c r="AA990" s="124"/>
      <c r="AB990" s="124"/>
      <c r="AC990" s="124"/>
      <c r="AD990" s="124"/>
      <c r="AE990" s="124"/>
      <c r="AF990" s="124"/>
      <c r="AG990" s="124"/>
      <c r="AH990" s="124"/>
      <c r="AI990" s="124"/>
      <c r="AJ990" s="124"/>
      <c r="AK990" s="124"/>
      <c r="AL990" s="124"/>
      <c r="AM990" s="124"/>
      <c r="AN990" s="124"/>
      <c r="AO990" s="124"/>
      <c r="AP990" s="124"/>
      <c r="AQ990" s="124"/>
      <c r="AR990" s="124"/>
      <c r="AS990" s="124"/>
      <c r="AT990" s="124"/>
      <c r="AU990" s="124"/>
      <c r="AV990" s="124"/>
      <c r="AW990" s="124"/>
      <c r="AX990" s="124"/>
      <c r="AY990" s="124"/>
      <c r="AZ990" s="124"/>
      <c r="BA990" s="124"/>
      <c r="BB990" s="124"/>
      <c r="BC990" s="124"/>
      <c r="BD990" s="124"/>
      <c r="BE990" s="124"/>
      <c r="BF990" s="124"/>
      <c r="BG990" s="124"/>
      <c r="BH990" s="124"/>
      <c r="BI990" s="124"/>
      <c r="BJ990" s="124"/>
      <c r="BK990" s="124"/>
      <c r="BL990" s="124"/>
      <c r="BM990" s="124"/>
      <c r="BN990" s="124"/>
      <c r="BO990" s="124"/>
      <c r="BP990" s="124"/>
      <c r="BQ990" s="124"/>
      <c r="BR990" s="124"/>
      <c r="BS990" s="124"/>
      <c r="BT990" s="124"/>
      <c r="BU990" s="124"/>
      <c r="BV990" s="124"/>
      <c r="BW990" s="124"/>
      <c r="BX990" s="124"/>
      <c r="BY990" s="124"/>
      <c r="BZ990" s="124"/>
      <c r="CA990" s="124"/>
      <c r="CB990" s="124"/>
      <c r="CC990" s="124"/>
      <c r="CD990" s="124"/>
      <c r="CE990" s="124"/>
      <c r="CF990" s="124"/>
      <c r="CG990" s="124"/>
      <c r="CH990" s="124"/>
      <c r="CI990" s="124"/>
      <c r="CJ990" s="124"/>
      <c r="CK990" s="124"/>
      <c r="CL990" s="124"/>
      <c r="CM990" s="124"/>
      <c r="CN990" s="124"/>
      <c r="CO990" s="124"/>
      <c r="CP990" s="124"/>
      <c r="CQ990" s="124"/>
      <c r="CR990" s="124"/>
      <c r="CS990" s="124"/>
      <c r="CT990" s="124"/>
      <c r="CU990" s="124"/>
      <c r="CV990" s="124"/>
      <c r="CW990" s="124"/>
      <c r="CX990" s="124"/>
      <c r="CY990" s="124"/>
      <c r="CZ990" s="124"/>
      <c r="DA990" s="124"/>
      <c r="DB990" s="124"/>
      <c r="DC990" s="124"/>
      <c r="DD990" s="124"/>
      <c r="DE990" s="124"/>
      <c r="DF990" s="124"/>
      <c r="DG990" s="124"/>
      <c r="DH990" s="124"/>
      <c r="DI990" s="124"/>
      <c r="DJ990" s="124"/>
      <c r="DK990" s="124"/>
      <c r="DL990" s="124"/>
      <c r="DM990" s="124"/>
      <c r="DN990" s="124"/>
      <c r="DO990" s="124"/>
      <c r="DP990" s="124"/>
      <c r="DQ990" s="124"/>
      <c r="DR990" s="124"/>
      <c r="DS990" s="124"/>
      <c r="DT990" s="124"/>
      <c r="DU990" s="124"/>
      <c r="DV990" s="124"/>
      <c r="DW990" s="124"/>
      <c r="DX990" s="124"/>
      <c r="DY990" s="124"/>
      <c r="DZ990" s="124"/>
      <c r="EA990" s="124"/>
      <c r="EB990" s="124"/>
      <c r="EC990" s="124"/>
      <c r="ED990" s="124"/>
      <c r="EE990" s="124"/>
      <c r="EF990" s="124"/>
      <c r="EG990" s="124"/>
      <c r="EH990" s="124"/>
      <c r="EI990" s="124"/>
      <c r="EJ990" s="124"/>
      <c r="EK990" s="124"/>
      <c r="EL990" s="124"/>
      <c r="EM990" s="124"/>
      <c r="EN990" s="124"/>
      <c r="EO990" s="124"/>
      <c r="EP990" s="124"/>
      <c r="EQ990" s="124"/>
      <c r="ER990" s="124"/>
      <c r="ES990" s="124"/>
      <c r="ET990" s="124"/>
      <c r="EU990" s="124"/>
      <c r="EV990" s="124"/>
      <c r="EW990" s="124"/>
      <c r="EX990" s="124"/>
      <c r="EY990" s="124"/>
      <c r="EZ990" s="124"/>
      <c r="FA990" s="124"/>
      <c r="FB990" s="124"/>
      <c r="FC990" s="124"/>
      <c r="FD990" s="124"/>
      <c r="FE990" s="124"/>
      <c r="FF990" s="124"/>
      <c r="FG990" s="124"/>
      <c r="FH990" s="124"/>
      <c r="FI990" s="124"/>
      <c r="FJ990" s="124"/>
      <c r="FK990" s="124"/>
      <c r="FL990" s="124"/>
      <c r="FM990" s="124"/>
      <c r="FN990" s="124"/>
      <c r="FO990" s="124"/>
      <c r="FP990" s="124"/>
      <c r="FQ990" s="124"/>
      <c r="FR990" s="124"/>
      <c r="FS990" s="124"/>
      <c r="FT990" s="124"/>
      <c r="FU990" s="124"/>
      <c r="FV990" s="124"/>
      <c r="FW990" s="124"/>
      <c r="FX990" s="124"/>
      <c r="FY990" s="124"/>
      <c r="FZ990" s="124"/>
      <c r="GA990" s="124"/>
      <c r="GB990" s="124"/>
      <c r="GC990" s="124"/>
      <c r="GD990" s="124"/>
      <c r="GE990" s="124"/>
      <c r="GF990" s="124"/>
      <c r="GG990" s="124"/>
      <c r="GH990" s="124"/>
      <c r="GI990" s="124"/>
      <c r="GJ990" s="124"/>
      <c r="GK990" s="124"/>
      <c r="GL990" s="124"/>
      <c r="GM990" s="124"/>
      <c r="GN990" s="124"/>
      <c r="GO990" s="124"/>
      <c r="GP990" s="124"/>
      <c r="GQ990" s="124"/>
      <c r="GR990" s="124"/>
      <c r="GS990" s="124"/>
      <c r="GT990" s="124"/>
      <c r="GU990" s="124"/>
      <c r="GV990" s="124"/>
      <c r="GW990" s="124"/>
      <c r="GX990" s="124"/>
      <c r="GY990" s="124"/>
      <c r="GZ990" s="124"/>
      <c r="HA990" s="124"/>
      <c r="HB990" s="124"/>
      <c r="HC990" s="124"/>
      <c r="HD990" s="124"/>
      <c r="HE990" s="124"/>
      <c r="HF990" s="124"/>
      <c r="HG990" s="124"/>
      <c r="HH990" s="124"/>
      <c r="HI990" s="124"/>
      <c r="HJ990" s="124"/>
      <c r="HK990" s="124"/>
      <c r="HL990" s="124"/>
      <c r="HM990" s="124"/>
      <c r="HN990" s="124"/>
      <c r="HO990" s="124"/>
      <c r="HP990" s="124"/>
      <c r="HQ990" s="124"/>
      <c r="HR990" s="124"/>
      <c r="HS990" s="124"/>
      <c r="HT990" s="124"/>
      <c r="HU990" s="124"/>
      <c r="HV990" s="124"/>
      <c r="HW990" s="124"/>
      <c r="HX990" s="124"/>
      <c r="HY990" s="124"/>
      <c r="HZ990" s="124"/>
      <c r="IA990" s="124"/>
      <c r="IB990" s="124"/>
      <c r="IC990" s="124"/>
      <c r="ID990" s="124"/>
      <c r="IE990" s="124"/>
      <c r="IF990" s="124"/>
      <c r="IG990" s="124"/>
      <c r="IH990" s="124"/>
      <c r="II990" s="124"/>
      <c r="IJ990" s="124"/>
      <c r="IK990" s="124"/>
      <c r="IL990" s="124"/>
      <c r="IM990" s="124"/>
      <c r="IN990" s="124"/>
      <c r="IO990" s="124"/>
      <c r="IP990" s="124"/>
      <c r="IQ990" s="124"/>
      <c r="IR990" s="124"/>
      <c r="IS990" s="124"/>
      <c r="IT990" s="124"/>
      <c r="IU990" s="124"/>
      <c r="IV990" s="124"/>
      <c r="IW990" s="124"/>
      <c r="IX990" s="124"/>
      <c r="IY990" s="124"/>
      <c r="IZ990" s="124"/>
      <c r="JA990" s="124"/>
      <c r="JB990" s="124"/>
      <c r="JC990" s="124"/>
      <c r="JD990" s="124"/>
      <c r="JE990" s="124"/>
      <c r="JF990" s="124"/>
      <c r="JG990" s="124"/>
      <c r="JH990" s="124"/>
      <c r="JI990" s="124"/>
      <c r="JJ990" s="124"/>
      <c r="JK990" s="124"/>
      <c r="JL990" s="124"/>
      <c r="JM990" s="124"/>
      <c r="JN990" s="124"/>
      <c r="JO990" s="124"/>
      <c r="JP990" s="124"/>
      <c r="JQ990" s="124"/>
      <c r="JR990" s="124"/>
      <c r="JS990" s="124"/>
      <c r="JT990" s="124"/>
      <c r="JU990" s="124"/>
      <c r="JV990" s="124"/>
      <c r="JW990" s="124"/>
      <c r="JX990" s="124"/>
      <c r="JY990" s="124"/>
      <c r="JZ990" s="124"/>
      <c r="KA990" s="124"/>
      <c r="KB990" s="124"/>
      <c r="KC990" s="124"/>
      <c r="KD990" s="124"/>
      <c r="KE990" s="124"/>
      <c r="KF990" s="124"/>
      <c r="KG990" s="124"/>
      <c r="KH990" s="124"/>
      <c r="KI990" s="124"/>
      <c r="KJ990" s="124"/>
      <c r="KK990" s="124"/>
      <c r="KL990" s="124"/>
      <c r="KM990" s="124"/>
      <c r="KN990" s="124"/>
      <c r="KO990" s="124"/>
      <c r="KP990" s="124"/>
      <c r="KQ990" s="124"/>
      <c r="KR990" s="124"/>
      <c r="KS990" s="124"/>
      <c r="KT990" s="124"/>
      <c r="KU990" s="124"/>
      <c r="KV990" s="124"/>
      <c r="KW990" s="124"/>
      <c r="KX990" s="124"/>
      <c r="KY990" s="124"/>
      <c r="KZ990" s="124"/>
      <c r="LA990" s="124"/>
      <c r="LB990" s="124"/>
      <c r="LC990" s="124"/>
      <c r="LD990" s="124"/>
      <c r="LE990" s="124"/>
      <c r="LF990" s="124"/>
      <c r="LG990" s="124"/>
      <c r="LH990" s="124"/>
      <c r="LI990" s="124"/>
      <c r="LJ990" s="124"/>
      <c r="LK990" s="124"/>
      <c r="LL990" s="124"/>
      <c r="LM990" s="124"/>
      <c r="LN990" s="124"/>
      <c r="LO990" s="124"/>
      <c r="LP990" s="124"/>
      <c r="LQ990" s="124"/>
      <c r="LR990" s="124"/>
      <c r="LS990" s="124"/>
      <c r="LT990" s="124"/>
      <c r="LU990" s="124"/>
      <c r="LV990" s="124"/>
      <c r="LW990" s="124"/>
      <c r="LX990" s="124"/>
      <c r="LY990" s="124"/>
      <c r="LZ990" s="124"/>
      <c r="MA990" s="124"/>
      <c r="MB990" s="124"/>
      <c r="MC990" s="124"/>
      <c r="MD990" s="124"/>
      <c r="ME990" s="124"/>
      <c r="MF990" s="124"/>
      <c r="MG990" s="124"/>
      <c r="MH990" s="124"/>
      <c r="MI990" s="124"/>
      <c r="MJ990" s="124"/>
      <c r="MK990" s="124"/>
      <c r="ML990" s="124"/>
      <c r="MM990" s="124"/>
      <c r="MN990" s="124"/>
      <c r="MO990" s="124"/>
      <c r="MP990" s="124"/>
      <c r="MQ990" s="124"/>
      <c r="MR990" s="124"/>
      <c r="MS990" s="124"/>
      <c r="MT990" s="124"/>
      <c r="MU990" s="124"/>
      <c r="MV990" s="124"/>
      <c r="MW990" s="124"/>
      <c r="MX990" s="124"/>
      <c r="MY990" s="124"/>
      <c r="MZ990" s="124"/>
      <c r="NA990" s="124"/>
      <c r="NB990" s="124"/>
      <c r="NC990" s="124"/>
      <c r="ND990" s="124"/>
      <c r="NE990" s="124"/>
      <c r="NF990" s="124"/>
      <c r="NG990" s="124"/>
      <c r="NH990" s="124"/>
      <c r="NI990" s="124"/>
      <c r="NJ990" s="124"/>
      <c r="NK990" s="124"/>
      <c r="NL990" s="124"/>
      <c r="NM990" s="124"/>
      <c r="NN990" s="124"/>
      <c r="NO990" s="124"/>
      <c r="NP990" s="124"/>
      <c r="NQ990" s="124"/>
      <c r="NR990" s="124"/>
      <c r="NS990" s="124"/>
      <c r="NT990" s="124"/>
      <c r="NU990" s="124"/>
      <c r="NV990" s="124"/>
      <c r="NW990" s="124"/>
      <c r="NX990" s="124"/>
      <c r="NY990" s="124"/>
      <c r="NZ990" s="124"/>
      <c r="OA990" s="124"/>
      <c r="OB990" s="124"/>
      <c r="OC990" s="124"/>
      <c r="OD990" s="124"/>
      <c r="OE990" s="124"/>
      <c r="OF990" s="124"/>
      <c r="OG990" s="124"/>
      <c r="OH990" s="124"/>
      <c r="OI990" s="124"/>
      <c r="OJ990" s="124"/>
      <c r="OK990" s="124"/>
      <c r="OL990" s="124"/>
      <c r="OM990" s="124"/>
      <c r="ON990" s="124"/>
      <c r="OO990" s="124"/>
      <c r="OP990" s="124"/>
      <c r="OQ990" s="124"/>
      <c r="OR990" s="124"/>
      <c r="OS990" s="124"/>
      <c r="OT990" s="124"/>
      <c r="OU990" s="124"/>
      <c r="OV990" s="124"/>
      <c r="OW990" s="124"/>
      <c r="OX990" s="124"/>
      <c r="OY990" s="124"/>
      <c r="OZ990" s="124"/>
      <c r="PA990" s="124"/>
      <c r="PB990" s="124"/>
      <c r="PC990" s="124"/>
      <c r="PD990" s="124"/>
      <c r="PE990" s="124"/>
      <c r="PF990" s="124"/>
      <c r="PG990" s="124"/>
      <c r="PH990" s="124"/>
      <c r="PI990" s="124"/>
      <c r="PJ990" s="124"/>
      <c r="PK990" s="124"/>
      <c r="PL990" s="124"/>
      <c r="PM990" s="124"/>
      <c r="PN990" s="124"/>
      <c r="PO990" s="124"/>
      <c r="PP990" s="124"/>
      <c r="PQ990" s="124"/>
      <c r="PR990" s="124"/>
      <c r="PS990" s="124"/>
      <c r="PT990" s="124"/>
      <c r="PU990" s="124"/>
      <c r="PV990" s="124"/>
      <c r="PW990" s="124"/>
      <c r="PX990" s="124"/>
      <c r="PY990" s="124"/>
      <c r="PZ990" s="124"/>
      <c r="QA990" s="124"/>
      <c r="QB990" s="124"/>
      <c r="QC990" s="124"/>
      <c r="QD990" s="124"/>
      <c r="QE990" s="124"/>
      <c r="QF990" s="124"/>
      <c r="QG990" s="124"/>
      <c r="QH990" s="124"/>
      <c r="QI990" s="124"/>
      <c r="QJ990" s="124"/>
      <c r="QK990" s="124"/>
      <c r="QL990" s="124"/>
      <c r="QM990" s="124"/>
      <c r="QN990" s="124"/>
      <c r="QO990" s="124"/>
      <c r="QP990" s="124"/>
      <c r="QQ990" s="124"/>
      <c r="QR990" s="124"/>
      <c r="QS990" s="124"/>
      <c r="QT990" s="124"/>
      <c r="QU990" s="124"/>
      <c r="QV990" s="124"/>
      <c r="QW990" s="124"/>
      <c r="QX990" s="124"/>
      <c r="QY990" s="124"/>
      <c r="QZ990" s="124"/>
      <c r="RA990" s="124"/>
      <c r="RB990" s="124"/>
      <c r="RC990" s="124"/>
      <c r="RD990" s="124"/>
      <c r="RE990" s="124"/>
      <c r="RF990" s="124"/>
      <c r="RG990" s="124"/>
      <c r="RH990" s="124"/>
      <c r="RI990" s="124"/>
      <c r="RJ990" s="124"/>
      <c r="RK990" s="124"/>
      <c r="RL990" s="124"/>
      <c r="RM990" s="124"/>
      <c r="RN990" s="124"/>
      <c r="RO990" s="124"/>
      <c r="RP990" s="124"/>
      <c r="RQ990" s="124"/>
      <c r="RR990" s="124"/>
      <c r="RS990" s="124"/>
      <c r="RT990" s="124"/>
      <c r="RU990" s="124"/>
      <c r="RV990" s="124"/>
      <c r="RW990" s="124"/>
      <c r="RX990" s="124"/>
      <c r="RY990" s="124"/>
      <c r="RZ990" s="124"/>
      <c r="SA990" s="124"/>
      <c r="SB990" s="124"/>
      <c r="SC990" s="124"/>
      <c r="SD990" s="124"/>
      <c r="SE990" s="124"/>
      <c r="SF990" s="124"/>
      <c r="SG990" s="124"/>
      <c r="SH990" s="124"/>
      <c r="SI990" s="124"/>
      <c r="SJ990" s="124"/>
      <c r="SK990" s="124"/>
      <c r="SL990" s="124"/>
      <c r="SM990" s="124"/>
      <c r="SN990" s="124"/>
      <c r="SO990" s="124"/>
      <c r="SP990" s="124"/>
      <c r="SQ990" s="124"/>
      <c r="SR990" s="124"/>
      <c r="SS990" s="124"/>
      <c r="ST990" s="124"/>
      <c r="SU990" s="124"/>
      <c r="SV990" s="124"/>
      <c r="SW990" s="124"/>
      <c r="SX990" s="124"/>
      <c r="SY990" s="124"/>
      <c r="SZ990" s="124"/>
      <c r="TA990" s="124"/>
      <c r="TB990" s="124"/>
      <c r="TC990" s="124"/>
      <c r="TD990" s="124"/>
      <c r="TE990" s="124"/>
      <c r="TF990" s="124"/>
      <c r="TG990" s="124"/>
      <c r="TH990" s="124"/>
      <c r="TI990" s="124"/>
      <c r="TJ990" s="124"/>
      <c r="TK990" s="124"/>
      <c r="TL990" s="124"/>
      <c r="TM990" s="124"/>
      <c r="TN990" s="124"/>
      <c r="TO990" s="124"/>
      <c r="TP990" s="124"/>
      <c r="TQ990" s="124"/>
      <c r="TR990" s="124"/>
      <c r="TS990" s="124"/>
      <c r="TT990" s="124"/>
      <c r="TU990" s="124"/>
      <c r="TV990" s="124"/>
      <c r="TW990" s="124"/>
      <c r="TX990" s="124"/>
      <c r="TY990" s="124"/>
      <c r="TZ990" s="124"/>
      <c r="UA990" s="124"/>
      <c r="UB990" s="124"/>
      <c r="UC990" s="124"/>
      <c r="UD990" s="124"/>
      <c r="UE990" s="124"/>
      <c r="UF990" s="124"/>
      <c r="UG990" s="124"/>
      <c r="UH990" s="124"/>
      <c r="UI990" s="124"/>
      <c r="UJ990" s="124"/>
      <c r="UK990" s="124"/>
      <c r="UL990" s="124"/>
      <c r="UM990" s="124"/>
      <c r="UN990" s="124"/>
      <c r="UO990" s="124"/>
      <c r="UP990" s="124"/>
      <c r="UQ990" s="124"/>
      <c r="UR990" s="124"/>
      <c r="US990" s="124"/>
      <c r="UT990" s="124"/>
      <c r="UU990" s="124"/>
      <c r="UV990" s="124"/>
      <c r="UW990" s="124"/>
      <c r="UX990" s="124"/>
      <c r="UY990" s="124"/>
      <c r="UZ990" s="124"/>
      <c r="VA990" s="124"/>
      <c r="VB990" s="124"/>
      <c r="VC990" s="124"/>
      <c r="VD990" s="124"/>
      <c r="VE990" s="124"/>
      <c r="VF990" s="124"/>
      <c r="VG990" s="124"/>
      <c r="VH990" s="124"/>
      <c r="VI990" s="124"/>
      <c r="VJ990" s="124"/>
      <c r="VK990" s="124"/>
      <c r="VL990" s="124"/>
      <c r="VM990" s="124"/>
      <c r="VN990" s="124"/>
      <c r="VO990" s="124"/>
      <c r="VP990" s="124"/>
      <c r="VQ990" s="124"/>
      <c r="VR990" s="124"/>
      <c r="VS990" s="124"/>
      <c r="VT990" s="124"/>
      <c r="VU990" s="124"/>
      <c r="VV990" s="124"/>
      <c r="VW990" s="124"/>
      <c r="VX990" s="124"/>
      <c r="VY990" s="124"/>
      <c r="VZ990" s="124"/>
      <c r="WA990" s="124"/>
      <c r="WB990" s="124"/>
      <c r="WC990" s="124"/>
      <c r="WD990" s="124"/>
      <c r="WE990" s="124"/>
      <c r="WF990" s="124"/>
      <c r="WG990" s="124"/>
      <c r="WH990" s="124"/>
      <c r="WI990" s="124"/>
      <c r="WJ990" s="124"/>
      <c r="WK990" s="124"/>
      <c r="WL990" s="124"/>
      <c r="WM990" s="124"/>
      <c r="WN990" s="124"/>
      <c r="WO990" s="124"/>
      <c r="WP990" s="124"/>
      <c r="WQ990" s="124"/>
      <c r="WR990" s="124"/>
      <c r="WS990" s="124"/>
      <c r="WT990" s="124"/>
      <c r="WU990" s="124"/>
      <c r="WV990" s="124"/>
      <c r="WW990" s="124"/>
      <c r="WX990" s="124"/>
      <c r="WY990" s="124"/>
      <c r="WZ990" s="124"/>
      <c r="XA990" s="124"/>
      <c r="XB990" s="124"/>
      <c r="XC990" s="124"/>
      <c r="XD990" s="124"/>
      <c r="XE990" s="124"/>
      <c r="XF990" s="124"/>
      <c r="XG990" s="124"/>
      <c r="XH990" s="124"/>
      <c r="XI990" s="124"/>
      <c r="XJ990" s="124"/>
      <c r="XK990" s="124"/>
      <c r="XL990" s="124"/>
      <c r="XM990" s="124"/>
      <c r="XN990" s="124"/>
      <c r="XO990" s="124"/>
      <c r="XP990" s="124"/>
      <c r="XQ990" s="124"/>
      <c r="XR990" s="124"/>
      <c r="XS990" s="124"/>
      <c r="XT990" s="124"/>
      <c r="XU990" s="124"/>
      <c r="XV990" s="124"/>
      <c r="XW990" s="124"/>
      <c r="XX990" s="124"/>
      <c r="XY990" s="124"/>
      <c r="XZ990" s="124"/>
      <c r="YA990" s="124"/>
      <c r="YB990" s="124"/>
      <c r="YC990" s="124"/>
      <c r="YD990" s="124"/>
      <c r="YE990" s="124"/>
      <c r="YF990" s="124"/>
      <c r="YG990" s="124"/>
      <c r="YH990" s="124"/>
      <c r="YI990" s="124"/>
      <c r="YJ990" s="124"/>
      <c r="YK990" s="124"/>
      <c r="YL990" s="124"/>
      <c r="YM990" s="124"/>
      <c r="YN990" s="124"/>
      <c r="YO990" s="124"/>
      <c r="YP990" s="124"/>
      <c r="YQ990" s="124"/>
      <c r="YR990" s="124"/>
      <c r="YS990" s="124"/>
      <c r="YT990" s="124"/>
      <c r="YU990" s="124"/>
      <c r="YV990" s="124"/>
      <c r="YW990" s="124"/>
      <c r="YX990" s="124"/>
      <c r="YY990" s="124"/>
      <c r="YZ990" s="124"/>
      <c r="ZA990" s="124"/>
      <c r="ZB990" s="124"/>
      <c r="ZC990" s="124"/>
      <c r="ZD990" s="124"/>
      <c r="ZE990" s="124"/>
      <c r="ZF990" s="124"/>
      <c r="ZG990" s="124"/>
      <c r="ZH990" s="124"/>
      <c r="ZI990" s="124"/>
      <c r="ZJ990" s="124"/>
      <c r="ZK990" s="124"/>
      <c r="ZL990" s="124"/>
      <c r="ZM990" s="124"/>
      <c r="ZN990" s="124"/>
      <c r="ZO990" s="124"/>
      <c r="ZP990" s="124"/>
      <c r="ZQ990" s="124"/>
      <c r="ZR990" s="124"/>
      <c r="ZS990" s="124"/>
      <c r="ZT990" s="124"/>
      <c r="ZU990" s="124"/>
      <c r="ZV990" s="124"/>
      <c r="ZW990" s="124"/>
      <c r="ZX990" s="124"/>
      <c r="ZY990" s="124"/>
      <c r="ZZ990" s="124"/>
      <c r="AAA990" s="124"/>
      <c r="AAB990" s="124"/>
      <c r="AAC990" s="124"/>
      <c r="AAD990" s="124"/>
      <c r="AAE990" s="124"/>
      <c r="AAF990" s="124"/>
      <c r="AAG990" s="124"/>
      <c r="AAH990" s="124"/>
      <c r="AAI990" s="124"/>
      <c r="AAJ990" s="124"/>
      <c r="AAK990" s="124"/>
      <c r="AAL990" s="124"/>
      <c r="AAM990" s="124"/>
      <c r="AAN990" s="124"/>
      <c r="AAO990" s="124"/>
      <c r="AAP990" s="124"/>
      <c r="AAQ990" s="124"/>
      <c r="AAR990" s="124"/>
      <c r="AAS990" s="124"/>
      <c r="AAT990" s="124"/>
      <c r="AAU990" s="124"/>
      <c r="AAV990" s="124"/>
      <c r="AAW990" s="124"/>
      <c r="AAX990" s="124"/>
      <c r="AAY990" s="124"/>
      <c r="AAZ990" s="124"/>
      <c r="ABA990" s="124"/>
      <c r="ABB990" s="124"/>
      <c r="ABC990" s="124"/>
      <c r="ABD990" s="124"/>
      <c r="ABE990" s="124"/>
      <c r="ABF990" s="124"/>
      <c r="ABG990" s="124"/>
      <c r="ABH990" s="124"/>
      <c r="ABI990" s="124"/>
      <c r="ABJ990" s="124"/>
      <c r="ABK990" s="124"/>
      <c r="ABL990" s="124"/>
      <c r="ABM990" s="124"/>
      <c r="ABN990" s="124"/>
      <c r="ABO990" s="124"/>
      <c r="ABP990" s="124"/>
      <c r="ABQ990" s="124"/>
      <c r="ABR990" s="124"/>
      <c r="ABS990" s="124"/>
      <c r="ABT990" s="124"/>
      <c r="ABU990" s="124"/>
      <c r="ABV990" s="124"/>
      <c r="ABW990" s="124"/>
      <c r="ABX990" s="124"/>
      <c r="ABY990" s="124"/>
      <c r="ABZ990" s="124"/>
      <c r="ACA990" s="124"/>
      <c r="ACB990" s="124"/>
      <c r="ACC990" s="124"/>
      <c r="ACD990" s="124"/>
      <c r="ACE990" s="124"/>
      <c r="ACF990" s="124"/>
      <c r="ACG990" s="124"/>
      <c r="ACH990" s="124"/>
      <c r="ACI990" s="124"/>
      <c r="ACJ990" s="124"/>
      <c r="ACK990" s="124"/>
      <c r="ACL990" s="124"/>
      <c r="ACM990" s="124"/>
      <c r="ACN990" s="124"/>
      <c r="ACO990" s="124"/>
      <c r="ACP990" s="124"/>
      <c r="ACQ990" s="124"/>
      <c r="ACR990" s="124"/>
      <c r="ACS990" s="124"/>
      <c r="ACT990" s="124"/>
      <c r="ACU990" s="124"/>
      <c r="ACV990" s="124"/>
      <c r="ACW990" s="124"/>
      <c r="ACX990" s="124"/>
      <c r="ACY990" s="124"/>
      <c r="ACZ990" s="124"/>
      <c r="ADA990" s="124"/>
      <c r="ADB990" s="124"/>
      <c r="ADC990" s="124"/>
      <c r="ADD990" s="124"/>
      <c r="ADE990" s="124"/>
      <c r="ADF990" s="124"/>
      <c r="ADG990" s="124"/>
      <c r="ADH990" s="124"/>
      <c r="ADI990" s="124"/>
      <c r="ADJ990" s="124"/>
      <c r="ADK990" s="124"/>
      <c r="ADL990" s="124"/>
      <c r="ADM990" s="124"/>
      <c r="ADN990" s="124"/>
      <c r="ADO990" s="124"/>
      <c r="ADP990" s="124"/>
      <c r="ADQ990" s="124"/>
      <c r="ADR990" s="124"/>
      <c r="ADS990" s="124"/>
      <c r="ADT990" s="124"/>
      <c r="ADU990" s="124"/>
      <c r="ADV990" s="124"/>
      <c r="ADW990" s="124"/>
      <c r="ADX990" s="124"/>
      <c r="ADY990" s="124"/>
      <c r="ADZ990" s="124"/>
      <c r="AEA990" s="124"/>
      <c r="AEB990" s="124"/>
      <c r="AEC990" s="124"/>
      <c r="AED990" s="124"/>
      <c r="AEE990" s="124"/>
      <c r="AEF990" s="124"/>
      <c r="AEG990" s="124"/>
      <c r="AEH990" s="124"/>
      <c r="AEI990" s="124"/>
      <c r="AEJ990" s="124"/>
      <c r="AEK990" s="124"/>
      <c r="AEL990" s="124"/>
      <c r="AEM990" s="124"/>
      <c r="AEN990" s="124"/>
      <c r="AEO990" s="124"/>
      <c r="AEP990" s="124"/>
      <c r="AEQ990" s="124"/>
      <c r="AER990" s="124"/>
      <c r="AES990" s="124"/>
      <c r="AET990" s="124"/>
      <c r="AEU990" s="124"/>
      <c r="AEV990" s="124"/>
      <c r="AEW990" s="124"/>
      <c r="AEX990" s="124"/>
      <c r="AEY990" s="124"/>
      <c r="AEZ990" s="124"/>
      <c r="AFA990" s="124"/>
      <c r="AFB990" s="124"/>
      <c r="AFC990" s="124"/>
      <c r="AFD990" s="124"/>
      <c r="AFE990" s="124"/>
      <c r="AFF990" s="124"/>
      <c r="AFG990" s="124"/>
      <c r="AFH990" s="124"/>
      <c r="AFI990" s="124"/>
      <c r="AFJ990" s="124"/>
      <c r="AFK990" s="124"/>
      <c r="AFL990" s="124"/>
      <c r="AFM990" s="124"/>
      <c r="AFN990" s="124"/>
      <c r="AFO990" s="124"/>
      <c r="AFP990" s="124"/>
      <c r="AFQ990" s="124"/>
      <c r="AFR990" s="124"/>
      <c r="AFS990" s="124"/>
      <c r="AFT990" s="124"/>
      <c r="AFU990" s="124"/>
      <c r="AFV990" s="124"/>
      <c r="AFW990" s="124"/>
      <c r="AFX990" s="124"/>
      <c r="AFY990" s="124"/>
      <c r="AFZ990" s="124"/>
      <c r="AGA990" s="124"/>
      <c r="AGB990" s="124"/>
      <c r="AGC990" s="124"/>
      <c r="AGD990" s="124"/>
      <c r="AGE990" s="124"/>
      <c r="AGF990" s="124"/>
      <c r="AGG990" s="124"/>
      <c r="AGH990" s="124"/>
      <c r="AGI990" s="124"/>
      <c r="AGJ990" s="124"/>
      <c r="AGK990" s="124"/>
      <c r="AGL990" s="124"/>
      <c r="AGM990" s="124"/>
      <c r="AGN990" s="124"/>
      <c r="AGO990" s="124"/>
      <c r="AGP990" s="124"/>
      <c r="AGQ990" s="124"/>
      <c r="AGR990" s="124"/>
      <c r="AGS990" s="124"/>
      <c r="AGT990" s="124"/>
      <c r="AGU990" s="124"/>
      <c r="AGV990" s="124"/>
      <c r="AGW990" s="124"/>
      <c r="AGX990" s="124"/>
      <c r="AGY990" s="124"/>
      <c r="AGZ990" s="124"/>
      <c r="AHA990" s="124"/>
      <c r="AHB990" s="124"/>
      <c r="AHC990" s="124"/>
      <c r="AHD990" s="124"/>
      <c r="AHE990" s="124"/>
      <c r="AHF990" s="124"/>
      <c r="AHG990" s="124"/>
      <c r="AHH990" s="124"/>
      <c r="AHI990" s="124"/>
      <c r="AHJ990" s="124"/>
      <c r="AHK990" s="124"/>
      <c r="AHL990" s="124"/>
      <c r="AHM990" s="124"/>
      <c r="AHN990" s="124"/>
      <c r="AHO990" s="124"/>
      <c r="AHP990" s="124"/>
      <c r="AHQ990" s="124"/>
      <c r="AHR990" s="124"/>
      <c r="AHS990" s="124"/>
      <c r="AHT990" s="124"/>
      <c r="AHU990" s="124"/>
      <c r="AHV990" s="124"/>
      <c r="AHW990" s="124"/>
      <c r="AHX990" s="124"/>
      <c r="AHY990" s="124"/>
      <c r="AHZ990" s="124"/>
      <c r="AIA990" s="124"/>
      <c r="AIB990" s="124"/>
      <c r="AIC990" s="124"/>
      <c r="AID990" s="124"/>
      <c r="AIE990" s="124"/>
      <c r="AIF990" s="124"/>
      <c r="AIG990" s="124"/>
      <c r="AIH990" s="124"/>
      <c r="AII990" s="124"/>
      <c r="AIJ990" s="124"/>
      <c r="AIK990" s="124"/>
      <c r="AIL990" s="124"/>
      <c r="AIM990" s="124"/>
      <c r="AIN990" s="124"/>
      <c r="AIO990" s="124"/>
      <c r="AIP990" s="124"/>
      <c r="AIQ990" s="124"/>
      <c r="AIR990" s="124"/>
      <c r="AIS990" s="124"/>
      <c r="AIT990" s="124"/>
      <c r="AIU990" s="124"/>
      <c r="AIV990" s="124"/>
      <c r="AIW990" s="124"/>
      <c r="AIX990" s="124"/>
      <c r="AIY990" s="124"/>
      <c r="AIZ990" s="124"/>
      <c r="AJA990" s="124"/>
      <c r="AJB990" s="124"/>
      <c r="AJC990" s="124"/>
      <c r="AJD990" s="124"/>
      <c r="AJE990" s="124"/>
      <c r="AJF990" s="124"/>
      <c r="AJG990" s="124"/>
      <c r="AJH990" s="124"/>
      <c r="AJI990" s="124"/>
      <c r="AJJ990" s="124"/>
      <c r="AJK990" s="124"/>
      <c r="AJL990" s="124"/>
      <c r="AJM990" s="124"/>
      <c r="AJN990" s="124"/>
      <c r="AJO990" s="124"/>
      <c r="AJP990" s="124"/>
      <c r="AJQ990" s="124"/>
      <c r="AJR990" s="124"/>
      <c r="AJS990" s="124"/>
      <c r="AJT990" s="124"/>
      <c r="AJU990" s="124"/>
      <c r="AJV990" s="124"/>
      <c r="AJW990" s="124"/>
      <c r="AJX990" s="124"/>
      <c r="AJY990" s="124"/>
      <c r="AJZ990" s="124"/>
      <c r="AKA990" s="124"/>
      <c r="AKB990" s="124"/>
      <c r="AKC990" s="124"/>
      <c r="AKD990" s="124"/>
      <c r="AKE990" s="124"/>
      <c r="AKF990" s="124"/>
      <c r="AKG990" s="124"/>
      <c r="AKH990" s="124"/>
      <c r="AKI990" s="124"/>
      <c r="AKJ990" s="124"/>
      <c r="AKK990" s="124"/>
      <c r="AKL990" s="124"/>
      <c r="AKM990" s="124"/>
      <c r="AKN990" s="124"/>
      <c r="AKO990" s="124"/>
      <c r="AKP990" s="124"/>
      <c r="AKQ990" s="124"/>
      <c r="AKR990" s="124"/>
      <c r="AKS990" s="124"/>
      <c r="AKT990" s="124"/>
      <c r="AKU990" s="124"/>
      <c r="AKV990" s="124"/>
      <c r="AKW990" s="124"/>
      <c r="AKX990" s="124"/>
      <c r="AKY990" s="124"/>
      <c r="AKZ990" s="124"/>
      <c r="ALA990" s="124"/>
      <c r="ALB990" s="124"/>
      <c r="ALC990" s="124"/>
      <c r="ALD990" s="124"/>
      <c r="ALE990" s="124"/>
      <c r="ALF990" s="124"/>
      <c r="ALG990" s="124"/>
      <c r="ALH990" s="124"/>
      <c r="ALI990" s="124"/>
      <c r="ALJ990" s="124"/>
      <c r="ALK990" s="124"/>
      <c r="ALL990" s="124"/>
      <c r="ALM990" s="124"/>
      <c r="ALN990" s="124"/>
      <c r="ALO990" s="124"/>
      <c r="ALP990" s="124"/>
      <c r="ALQ990" s="124"/>
      <c r="ALR990" s="124"/>
      <c r="ALS990" s="124"/>
      <c r="ALT990" s="124"/>
      <c r="ALU990" s="124"/>
      <c r="ALV990" s="124"/>
      <c r="ALW990" s="124"/>
      <c r="ALX990" s="124"/>
      <c r="ALY990" s="124"/>
      <c r="ALZ990" s="124"/>
      <c r="AMA990" s="124"/>
      <c r="AMB990" s="124"/>
      <c r="AMC990" s="124"/>
      <c r="AMD990" s="124"/>
      <c r="AME990" s="124"/>
      <c r="AMF990" s="124"/>
      <c r="AMG990" s="124"/>
      <c r="AMH990" s="124"/>
      <c r="AMI990" s="124"/>
      <c r="AMJ990" s="124"/>
      <c r="AMK990" s="124"/>
      <c r="AML990" s="124"/>
      <c r="AMM990" s="124"/>
      <c r="AMN990" s="124"/>
      <c r="AMO990" s="124"/>
      <c r="AMP990" s="124"/>
      <c r="AMQ990" s="124"/>
      <c r="AMR990" s="124"/>
      <c r="AMS990" s="124"/>
      <c r="AMT990" s="124"/>
      <c r="AMU990" s="124"/>
      <c r="AMV990" s="124"/>
      <c r="AMW990" s="124"/>
      <c r="AMX990" s="124"/>
      <c r="AMY990" s="124"/>
      <c r="AMZ990" s="124"/>
      <c r="ANA990" s="124"/>
      <c r="ANB990" s="124"/>
      <c r="ANC990" s="124"/>
      <c r="AND990" s="124"/>
      <c r="ANE990" s="124"/>
      <c r="ANF990" s="124"/>
      <c r="ANG990" s="124"/>
      <c r="ANH990" s="124"/>
      <c r="ANI990" s="124"/>
      <c r="ANJ990" s="124"/>
      <c r="ANK990" s="124"/>
      <c r="ANL990" s="124"/>
      <c r="ANM990" s="124"/>
      <c r="ANN990" s="124"/>
      <c r="ANO990" s="124"/>
      <c r="ANP990" s="124"/>
      <c r="ANQ990" s="124"/>
      <c r="ANR990" s="124"/>
      <c r="ANS990" s="124"/>
      <c r="ANT990" s="124"/>
      <c r="ANU990" s="124"/>
      <c r="ANV990" s="124"/>
      <c r="ANW990" s="124"/>
      <c r="ANX990" s="124"/>
      <c r="ANY990" s="124"/>
      <c r="ANZ990" s="124"/>
      <c r="AOA990" s="124"/>
      <c r="AOB990" s="124"/>
      <c r="AOC990" s="124"/>
      <c r="AOD990" s="124"/>
      <c r="AOE990" s="124"/>
      <c r="AOF990" s="124"/>
      <c r="AOG990" s="124"/>
      <c r="AOH990" s="124"/>
      <c r="AOI990" s="124"/>
      <c r="AOJ990" s="124"/>
      <c r="AOK990" s="124"/>
      <c r="AOL990" s="124"/>
      <c r="AOM990" s="124"/>
      <c r="AON990" s="124"/>
      <c r="AOO990" s="124"/>
      <c r="AOP990" s="124"/>
      <c r="AOQ990" s="124"/>
      <c r="AOR990" s="124"/>
      <c r="AOS990" s="124"/>
      <c r="AOT990" s="124"/>
      <c r="AOU990" s="124"/>
      <c r="AOV990" s="124"/>
      <c r="AOW990" s="124"/>
      <c r="AOX990" s="124"/>
      <c r="AOY990" s="124"/>
      <c r="AOZ990" s="124"/>
      <c r="APA990" s="124"/>
      <c r="APB990" s="124"/>
      <c r="APC990" s="124"/>
      <c r="APD990" s="124"/>
      <c r="APE990" s="124"/>
      <c r="APF990" s="124"/>
      <c r="APG990" s="124"/>
      <c r="APH990" s="124"/>
      <c r="API990" s="124"/>
      <c r="APJ990" s="124"/>
      <c r="APK990" s="124"/>
      <c r="APL990" s="124"/>
      <c r="APM990" s="124"/>
      <c r="APN990" s="124"/>
      <c r="APO990" s="124"/>
      <c r="APP990" s="124"/>
      <c r="APQ990" s="124"/>
      <c r="APR990" s="124"/>
      <c r="APS990" s="124"/>
      <c r="APT990" s="124"/>
      <c r="APU990" s="124"/>
      <c r="APV990" s="124"/>
      <c r="APW990" s="124"/>
      <c r="APX990" s="124"/>
      <c r="APY990" s="124"/>
      <c r="APZ990" s="124"/>
      <c r="AQA990" s="124"/>
      <c r="AQB990" s="124"/>
      <c r="AQC990" s="124"/>
      <c r="AQD990" s="124"/>
      <c r="AQE990" s="124"/>
      <c r="AQF990" s="124"/>
      <c r="AQG990" s="124"/>
      <c r="AQH990" s="124"/>
      <c r="AQI990" s="124"/>
      <c r="AQJ990" s="124"/>
      <c r="AQK990" s="124"/>
      <c r="AQL990" s="124"/>
      <c r="AQM990" s="124"/>
      <c r="AQN990" s="124"/>
      <c r="AQO990" s="124"/>
      <c r="AQP990" s="124"/>
      <c r="AQQ990" s="124"/>
      <c r="AQR990" s="124"/>
      <c r="AQS990" s="124"/>
      <c r="AQT990" s="124"/>
      <c r="AQU990" s="124"/>
      <c r="AQV990" s="124"/>
      <c r="AQW990" s="124"/>
      <c r="AQX990" s="124"/>
      <c r="AQY990" s="124"/>
      <c r="AQZ990" s="124"/>
      <c r="ARA990" s="124"/>
      <c r="ARB990" s="124"/>
      <c r="ARC990" s="124"/>
      <c r="ARD990" s="124"/>
      <c r="ARE990" s="124"/>
      <c r="ARF990" s="124"/>
      <c r="ARG990" s="124"/>
      <c r="ARH990" s="124"/>
      <c r="ARI990" s="124"/>
      <c r="ARJ990" s="124"/>
      <c r="ARK990" s="124"/>
      <c r="ARL990" s="124"/>
      <c r="ARM990" s="124"/>
      <c r="ARN990" s="124"/>
      <c r="ARO990" s="124"/>
      <c r="ARP990" s="124"/>
      <c r="ARQ990" s="124"/>
      <c r="ARR990" s="124"/>
      <c r="ARS990" s="124"/>
      <c r="ART990" s="124"/>
      <c r="ARU990" s="124"/>
      <c r="ARV990" s="124"/>
      <c r="ARW990" s="124"/>
      <c r="ARX990" s="124"/>
      <c r="ARY990" s="124"/>
      <c r="ARZ990" s="124"/>
      <c r="ASA990" s="124"/>
      <c r="ASB990" s="124"/>
      <c r="ASC990" s="124"/>
      <c r="ASD990" s="124"/>
      <c r="ASE990" s="124"/>
      <c r="ASF990" s="124"/>
      <c r="ASG990" s="124"/>
      <c r="ASH990" s="124"/>
      <c r="ASI990" s="124"/>
      <c r="ASJ990" s="124"/>
      <c r="ASK990" s="124"/>
      <c r="ASL990" s="124"/>
      <c r="ASM990" s="124"/>
      <c r="ASN990" s="124"/>
      <c r="ASO990" s="124"/>
      <c r="ASP990" s="124"/>
      <c r="ASQ990" s="124"/>
      <c r="ASR990" s="124"/>
      <c r="ASS990" s="124"/>
      <c r="AST990" s="124"/>
      <c r="ASU990" s="124"/>
      <c r="ASV990" s="124"/>
      <c r="ASW990" s="124"/>
      <c r="ASX990" s="124"/>
      <c r="ASY990" s="124"/>
      <c r="ASZ990" s="124"/>
      <c r="ATA990" s="124"/>
      <c r="ATB990" s="124"/>
      <c r="ATC990" s="124"/>
      <c r="ATD990" s="124"/>
      <c r="ATE990" s="124"/>
      <c r="ATF990" s="124"/>
      <c r="ATG990" s="124"/>
      <c r="ATH990" s="124"/>
      <c r="ATI990" s="124"/>
      <c r="ATJ990" s="124"/>
      <c r="ATK990" s="124"/>
      <c r="ATL990" s="124"/>
      <c r="ATM990" s="124"/>
      <c r="ATN990" s="124"/>
      <c r="ATO990" s="124"/>
      <c r="ATP990" s="124"/>
      <c r="ATQ990" s="124"/>
      <c r="ATR990" s="124"/>
      <c r="ATS990" s="124"/>
      <c r="ATT990" s="124"/>
      <c r="ATU990" s="124"/>
      <c r="ATV990" s="124"/>
      <c r="ATW990" s="124"/>
      <c r="ATX990" s="124"/>
      <c r="ATY990" s="124"/>
      <c r="ATZ990" s="124"/>
      <c r="AUA990" s="124"/>
      <c r="AUB990" s="124"/>
      <c r="AUC990" s="124"/>
      <c r="AUD990" s="124"/>
      <c r="AUE990" s="124"/>
      <c r="AUF990" s="124"/>
      <c r="AUG990" s="124"/>
      <c r="AUH990" s="124"/>
      <c r="AUI990" s="124"/>
      <c r="AUJ990" s="124"/>
      <c r="AUK990" s="124"/>
      <c r="AUL990" s="124"/>
      <c r="AUM990" s="124"/>
      <c r="AUN990" s="124"/>
      <c r="AUO990" s="124"/>
      <c r="AUP990" s="124"/>
      <c r="AUQ990" s="124"/>
      <c r="AUR990" s="124"/>
      <c r="AUS990" s="124"/>
      <c r="AUT990" s="124"/>
      <c r="AUU990" s="124"/>
      <c r="AUV990" s="124"/>
      <c r="AUW990" s="124"/>
      <c r="AUX990" s="124"/>
      <c r="AUY990" s="124"/>
      <c r="AUZ990" s="124"/>
      <c r="AVA990" s="124"/>
      <c r="AVB990" s="124"/>
      <c r="AVC990" s="124"/>
      <c r="AVD990" s="124"/>
      <c r="AVE990" s="124"/>
      <c r="AVF990" s="124"/>
      <c r="AVG990" s="124"/>
      <c r="AVH990" s="124"/>
      <c r="AVI990" s="124"/>
      <c r="AVJ990" s="124"/>
      <c r="AVK990" s="124"/>
      <c r="AVL990" s="124"/>
      <c r="AVM990" s="124"/>
      <c r="AVN990" s="124"/>
      <c r="AVO990" s="124"/>
      <c r="AVP990" s="124"/>
      <c r="AVQ990" s="124"/>
      <c r="AVR990" s="124"/>
      <c r="AVS990" s="124"/>
      <c r="AVT990" s="124"/>
      <c r="AVU990" s="124"/>
      <c r="AVV990" s="124"/>
      <c r="AVW990" s="124"/>
      <c r="AVX990" s="124"/>
      <c r="AVY990" s="124"/>
      <c r="AVZ990" s="124"/>
      <c r="AWA990" s="124"/>
      <c r="AWB990" s="124"/>
      <c r="AWC990" s="124"/>
      <c r="AWD990" s="124"/>
      <c r="AWE990" s="124"/>
      <c r="AWF990" s="124"/>
      <c r="AWG990" s="124"/>
      <c r="AWH990" s="124"/>
      <c r="AWI990" s="124"/>
      <c r="AWJ990" s="124"/>
      <c r="AWK990" s="124"/>
      <c r="AWL990" s="124"/>
      <c r="AWM990" s="124"/>
      <c r="AWN990" s="124"/>
      <c r="AWO990" s="124"/>
      <c r="AWP990" s="124"/>
      <c r="AWQ990" s="124"/>
      <c r="AWR990" s="124"/>
      <c r="AWS990" s="124"/>
      <c r="AWT990" s="124"/>
      <c r="AWU990" s="124"/>
      <c r="AWV990" s="124"/>
      <c r="AWW990" s="124"/>
      <c r="AWX990" s="124"/>
      <c r="AWY990" s="124"/>
      <c r="AWZ990" s="124"/>
      <c r="AXA990" s="124"/>
      <c r="AXB990" s="124"/>
      <c r="AXC990" s="124"/>
      <c r="AXD990" s="124"/>
      <c r="AXE990" s="124"/>
      <c r="AXF990" s="124"/>
      <c r="AXG990" s="124"/>
      <c r="AXH990" s="124"/>
      <c r="AXI990" s="124"/>
      <c r="AXJ990" s="124"/>
      <c r="AXK990" s="124"/>
      <c r="AXL990" s="124"/>
      <c r="AXM990" s="124"/>
      <c r="AXN990" s="124"/>
      <c r="AXO990" s="124"/>
      <c r="AXP990" s="124"/>
      <c r="AXQ990" s="124"/>
      <c r="AXR990" s="124"/>
      <c r="AXS990" s="124"/>
      <c r="AXT990" s="124"/>
      <c r="AXU990" s="124"/>
      <c r="AXV990" s="124"/>
      <c r="AXW990" s="124"/>
      <c r="AXX990" s="124"/>
      <c r="AXY990" s="124"/>
      <c r="AXZ990" s="124"/>
      <c r="AYA990" s="124"/>
      <c r="AYB990" s="124"/>
      <c r="AYC990" s="124"/>
      <c r="AYD990" s="124"/>
      <c r="AYE990" s="124"/>
      <c r="AYF990" s="124"/>
      <c r="AYG990" s="124"/>
      <c r="AYH990" s="124"/>
      <c r="AYI990" s="124"/>
      <c r="AYJ990" s="124"/>
      <c r="AYK990" s="124"/>
      <c r="AYL990" s="124"/>
      <c r="AYM990" s="124"/>
      <c r="AYN990" s="124"/>
      <c r="AYO990" s="124"/>
      <c r="AYP990" s="124"/>
      <c r="AYQ990" s="124"/>
      <c r="AYR990" s="124"/>
      <c r="AYS990" s="124"/>
      <c r="AYT990" s="124"/>
      <c r="AYU990" s="124"/>
      <c r="AYV990" s="124"/>
      <c r="AYW990" s="124"/>
      <c r="AYX990" s="124"/>
      <c r="AYY990" s="124"/>
      <c r="AYZ990" s="124"/>
      <c r="AZA990" s="124"/>
      <c r="AZB990" s="124"/>
      <c r="AZC990" s="124"/>
      <c r="AZD990" s="124"/>
      <c r="AZE990" s="124"/>
      <c r="AZF990" s="124"/>
      <c r="AZG990" s="124"/>
      <c r="AZH990" s="124"/>
      <c r="AZI990" s="124"/>
      <c r="AZJ990" s="124"/>
      <c r="AZK990" s="124"/>
      <c r="AZL990" s="124"/>
      <c r="AZM990" s="124"/>
      <c r="AZN990" s="124"/>
      <c r="AZO990" s="124"/>
      <c r="AZP990" s="124"/>
      <c r="AZQ990" s="124"/>
      <c r="AZR990" s="124"/>
      <c r="AZS990" s="124"/>
      <c r="AZT990" s="124"/>
      <c r="AZU990" s="124"/>
      <c r="AZV990" s="124"/>
      <c r="AZW990" s="124"/>
      <c r="AZX990" s="124"/>
      <c r="AZY990" s="124"/>
      <c r="AZZ990" s="124"/>
      <c r="BAA990" s="124"/>
      <c r="BAB990" s="124"/>
      <c r="BAC990" s="124"/>
      <c r="BAD990" s="124"/>
      <c r="BAE990" s="124"/>
      <c r="BAF990" s="124"/>
      <c r="BAG990" s="124"/>
      <c r="BAH990" s="124"/>
      <c r="BAI990" s="124"/>
      <c r="BAJ990" s="124"/>
      <c r="BAK990" s="124"/>
      <c r="BAL990" s="124"/>
      <c r="BAM990" s="124"/>
      <c r="BAN990" s="124"/>
      <c r="BAO990" s="124"/>
      <c r="BAP990" s="124"/>
      <c r="BAQ990" s="124"/>
      <c r="BAR990" s="124"/>
      <c r="BAS990" s="124"/>
      <c r="BAT990" s="124"/>
      <c r="BAU990" s="124"/>
      <c r="BAV990" s="124"/>
      <c r="BAW990" s="124"/>
      <c r="BAX990" s="124"/>
      <c r="BAY990" s="124"/>
      <c r="BAZ990" s="124"/>
      <c r="BBA990" s="124"/>
      <c r="BBB990" s="124"/>
      <c r="BBC990" s="124"/>
      <c r="BBD990" s="124"/>
      <c r="BBE990" s="124"/>
      <c r="BBF990" s="124"/>
      <c r="BBG990" s="124"/>
      <c r="BBH990" s="124"/>
      <c r="BBI990" s="124"/>
      <c r="BBJ990" s="124"/>
      <c r="BBK990" s="124"/>
      <c r="BBL990" s="124"/>
      <c r="BBM990" s="124"/>
      <c r="BBN990" s="124"/>
      <c r="BBO990" s="124"/>
      <c r="BBP990" s="124"/>
      <c r="BBQ990" s="124"/>
      <c r="BBR990" s="124"/>
      <c r="BBS990" s="124"/>
      <c r="BBT990" s="124"/>
      <c r="BBU990" s="124"/>
      <c r="BBV990" s="124"/>
      <c r="BBW990" s="124"/>
      <c r="BBX990" s="124"/>
      <c r="BBY990" s="124"/>
      <c r="BBZ990" s="124"/>
      <c r="BCA990" s="124"/>
      <c r="BCB990" s="124"/>
      <c r="BCC990" s="124"/>
      <c r="BCD990" s="124"/>
      <c r="BCE990" s="124"/>
      <c r="BCF990" s="124"/>
      <c r="BCG990" s="124"/>
      <c r="BCH990" s="124"/>
      <c r="BCI990" s="124"/>
      <c r="BCJ990" s="124"/>
      <c r="BCK990" s="124"/>
      <c r="BCL990" s="124"/>
      <c r="BCM990" s="124"/>
      <c r="BCN990" s="124"/>
      <c r="BCO990" s="124"/>
      <c r="BCP990" s="124"/>
      <c r="BCQ990" s="124"/>
      <c r="BCR990" s="124"/>
      <c r="BCS990" s="124"/>
      <c r="BCT990" s="124"/>
      <c r="BCU990" s="124"/>
      <c r="BCV990" s="124"/>
      <c r="BCW990" s="124"/>
      <c r="BCX990" s="124"/>
      <c r="BCY990" s="124"/>
      <c r="BCZ990" s="124"/>
      <c r="BDA990" s="124"/>
      <c r="BDB990" s="124"/>
      <c r="BDC990" s="124"/>
      <c r="BDD990" s="124"/>
      <c r="BDE990" s="124"/>
      <c r="BDF990" s="124"/>
      <c r="BDG990" s="124"/>
      <c r="BDH990" s="124"/>
      <c r="BDI990" s="124"/>
      <c r="BDJ990" s="124"/>
      <c r="BDK990" s="124"/>
      <c r="BDL990" s="124"/>
      <c r="BDM990" s="124"/>
      <c r="BDN990" s="124"/>
      <c r="BDO990" s="124"/>
      <c r="BDP990" s="124"/>
      <c r="BDQ990" s="124"/>
      <c r="BDR990" s="124"/>
      <c r="BDS990" s="124"/>
      <c r="BDT990" s="124"/>
      <c r="BDU990" s="124"/>
      <c r="BDV990" s="124"/>
      <c r="BDW990" s="124"/>
      <c r="BDX990" s="124"/>
      <c r="BDY990" s="124"/>
      <c r="BDZ990" s="124"/>
      <c r="BEA990" s="124"/>
      <c r="BEB990" s="124"/>
      <c r="BEC990" s="124"/>
      <c r="BED990" s="124"/>
      <c r="BEE990" s="124"/>
      <c r="BEF990" s="124"/>
      <c r="BEG990" s="124"/>
      <c r="BEH990" s="124"/>
      <c r="BEI990" s="124"/>
      <c r="BEJ990" s="124"/>
      <c r="BEK990" s="124"/>
      <c r="BEL990" s="124"/>
      <c r="BEM990" s="124"/>
      <c r="BEN990" s="124"/>
      <c r="BEO990" s="124"/>
      <c r="BEP990" s="124"/>
      <c r="BEQ990" s="124"/>
      <c r="BER990" s="124"/>
      <c r="BES990" s="124"/>
      <c r="BET990" s="124"/>
      <c r="BEU990" s="124"/>
      <c r="BEV990" s="124"/>
      <c r="BEW990" s="124"/>
      <c r="BEX990" s="124"/>
      <c r="BEY990" s="124"/>
      <c r="BEZ990" s="124"/>
      <c r="BFA990" s="124"/>
      <c r="BFB990" s="124"/>
      <c r="BFC990" s="124"/>
      <c r="BFD990" s="124"/>
      <c r="BFE990" s="124"/>
      <c r="BFF990" s="124"/>
      <c r="BFG990" s="124"/>
      <c r="BFH990" s="124"/>
      <c r="BFI990" s="124"/>
      <c r="BFJ990" s="124"/>
      <c r="BFK990" s="124"/>
      <c r="BFL990" s="124"/>
      <c r="BFM990" s="124"/>
      <c r="BFN990" s="124"/>
      <c r="BFO990" s="124"/>
      <c r="BFP990" s="124"/>
      <c r="BFQ990" s="124"/>
      <c r="BFR990" s="124"/>
      <c r="BFS990" s="124"/>
      <c r="BFT990" s="124"/>
      <c r="BFU990" s="124"/>
      <c r="BFV990" s="124"/>
      <c r="BFW990" s="124"/>
      <c r="BFX990" s="124"/>
      <c r="BFY990" s="124"/>
      <c r="BFZ990" s="124"/>
      <c r="BGA990" s="124"/>
      <c r="BGB990" s="124"/>
      <c r="BGC990" s="124"/>
      <c r="BGD990" s="124"/>
      <c r="BGE990" s="124"/>
      <c r="BGF990" s="124"/>
      <c r="BGG990" s="124"/>
      <c r="BGH990" s="124"/>
      <c r="BGI990" s="124"/>
      <c r="BGJ990" s="124"/>
      <c r="BGK990" s="124"/>
      <c r="BGL990" s="124"/>
      <c r="BGM990" s="124"/>
      <c r="BGN990" s="124"/>
      <c r="BGO990" s="124"/>
      <c r="BGP990" s="124"/>
      <c r="BGQ990" s="124"/>
      <c r="BGR990" s="124"/>
      <c r="BGS990" s="124"/>
      <c r="BGT990" s="124"/>
      <c r="BGU990" s="124"/>
      <c r="BGV990" s="124"/>
      <c r="BGW990" s="124"/>
      <c r="BGX990" s="124"/>
      <c r="BGY990" s="124"/>
      <c r="BGZ990" s="124"/>
      <c r="BHA990" s="124"/>
      <c r="BHB990" s="124"/>
      <c r="BHC990" s="124"/>
      <c r="BHD990" s="124"/>
      <c r="BHE990" s="124"/>
      <c r="BHF990" s="124"/>
      <c r="BHG990" s="124"/>
      <c r="BHH990" s="124"/>
      <c r="BHI990" s="124"/>
      <c r="BHJ990" s="124"/>
      <c r="BHK990" s="124"/>
      <c r="BHL990" s="124"/>
      <c r="BHM990" s="124"/>
      <c r="BHN990" s="124"/>
      <c r="BHO990" s="124"/>
      <c r="BHP990" s="124"/>
      <c r="BHQ990" s="124"/>
      <c r="BHR990" s="124"/>
      <c r="BHS990" s="124"/>
      <c r="BHT990" s="124"/>
      <c r="BHU990" s="124"/>
      <c r="BHV990" s="124"/>
      <c r="BHW990" s="124"/>
      <c r="BHX990" s="124"/>
      <c r="BHY990" s="124"/>
      <c r="BHZ990" s="124"/>
      <c r="BIA990" s="124"/>
      <c r="BIB990" s="124"/>
      <c r="BIC990" s="124"/>
      <c r="BID990" s="124"/>
      <c r="BIE990" s="124"/>
      <c r="BIF990" s="124"/>
      <c r="BIG990" s="124"/>
      <c r="BIH990" s="124"/>
      <c r="BII990" s="124"/>
      <c r="BIJ990" s="124"/>
      <c r="BIK990" s="124"/>
      <c r="BIL990" s="124"/>
      <c r="BIM990" s="124"/>
      <c r="BIN990" s="124"/>
      <c r="BIO990" s="124"/>
      <c r="BIP990" s="124"/>
      <c r="BIQ990" s="124"/>
      <c r="BIR990" s="124"/>
      <c r="BIS990" s="124"/>
      <c r="BIT990" s="124"/>
      <c r="BIU990" s="124"/>
      <c r="BIV990" s="124"/>
      <c r="BIW990" s="124"/>
      <c r="BIX990" s="124"/>
      <c r="BIY990" s="124"/>
      <c r="BIZ990" s="124"/>
      <c r="BJA990" s="124"/>
      <c r="BJB990" s="124"/>
      <c r="BJC990" s="124"/>
      <c r="BJD990" s="124"/>
      <c r="BJE990" s="124"/>
      <c r="BJF990" s="124"/>
      <c r="BJG990" s="124"/>
      <c r="BJH990" s="124"/>
      <c r="BJI990" s="124"/>
      <c r="BJJ990" s="124"/>
      <c r="BJK990" s="124"/>
      <c r="BJL990" s="124"/>
      <c r="BJM990" s="124"/>
      <c r="BJN990" s="124"/>
      <c r="BJO990" s="124"/>
      <c r="BJP990" s="124"/>
      <c r="BJQ990" s="124"/>
      <c r="BJR990" s="124"/>
      <c r="BJS990" s="124"/>
      <c r="BJT990" s="124"/>
      <c r="BJU990" s="124"/>
      <c r="BJV990" s="124"/>
      <c r="BJW990" s="124"/>
      <c r="BJX990" s="124"/>
      <c r="BJY990" s="124"/>
      <c r="BJZ990" s="124"/>
      <c r="BKA990" s="124"/>
      <c r="BKB990" s="124"/>
      <c r="BKC990" s="124"/>
      <c r="BKD990" s="124"/>
      <c r="BKE990" s="124"/>
      <c r="BKF990" s="124"/>
      <c r="BKG990" s="124"/>
      <c r="BKH990" s="124"/>
      <c r="BKI990" s="124"/>
      <c r="BKJ990" s="124"/>
      <c r="BKK990" s="124"/>
      <c r="BKL990" s="124"/>
      <c r="BKM990" s="124"/>
      <c r="BKN990" s="124"/>
      <c r="BKO990" s="124"/>
      <c r="BKP990" s="124"/>
      <c r="BKQ990" s="124"/>
      <c r="BKR990" s="124"/>
      <c r="BKS990" s="124"/>
      <c r="BKT990" s="124"/>
      <c r="BKU990" s="124"/>
      <c r="BKV990" s="124"/>
      <c r="BKW990" s="124"/>
      <c r="BKX990" s="124"/>
      <c r="BKY990" s="124"/>
      <c r="BKZ990" s="124"/>
      <c r="BLA990" s="124"/>
      <c r="BLB990" s="124"/>
      <c r="BLC990" s="124"/>
      <c r="BLD990" s="124"/>
      <c r="BLE990" s="124"/>
      <c r="BLF990" s="124"/>
      <c r="BLG990" s="124"/>
      <c r="BLH990" s="124"/>
      <c r="BLI990" s="124"/>
      <c r="BLJ990" s="124"/>
      <c r="BLK990" s="124"/>
      <c r="BLL990" s="124"/>
      <c r="BLM990" s="124"/>
      <c r="BLN990" s="124"/>
      <c r="BLO990" s="124"/>
      <c r="BLP990" s="124"/>
      <c r="BLQ990" s="124"/>
      <c r="BLR990" s="124"/>
      <c r="BLS990" s="124"/>
      <c r="BLT990" s="124"/>
      <c r="BLU990" s="124"/>
      <c r="BLV990" s="124"/>
      <c r="BLW990" s="124"/>
      <c r="BLX990" s="124"/>
      <c r="BLY990" s="124"/>
      <c r="BLZ990" s="124"/>
      <c r="BMA990" s="124"/>
      <c r="BMB990" s="124"/>
      <c r="BMC990" s="124"/>
      <c r="BMD990" s="124"/>
      <c r="BME990" s="124"/>
      <c r="BMF990" s="124"/>
      <c r="BMG990" s="124"/>
      <c r="BMH990" s="124"/>
      <c r="BMI990" s="124"/>
      <c r="BMJ990" s="124"/>
      <c r="BMK990" s="124"/>
      <c r="BML990" s="124"/>
      <c r="BMM990" s="124"/>
      <c r="BMN990" s="124"/>
      <c r="BMO990" s="124"/>
      <c r="BMP990" s="124"/>
      <c r="BMQ990" s="124"/>
      <c r="BMR990" s="124"/>
      <c r="BMS990" s="124"/>
      <c r="BMT990" s="124"/>
      <c r="BMU990" s="124"/>
      <c r="BMV990" s="124"/>
      <c r="BMW990" s="124"/>
      <c r="BMX990" s="124"/>
      <c r="BMY990" s="124"/>
      <c r="BMZ990" s="124"/>
      <c r="BNA990" s="124"/>
      <c r="BNB990" s="124"/>
      <c r="BNC990" s="124"/>
      <c r="BND990" s="124"/>
      <c r="BNE990" s="124"/>
      <c r="BNF990" s="124"/>
      <c r="BNG990" s="124"/>
      <c r="BNH990" s="124"/>
      <c r="BNI990" s="124"/>
      <c r="BNJ990" s="124"/>
      <c r="BNK990" s="124"/>
      <c r="BNL990" s="124"/>
      <c r="BNM990" s="124"/>
      <c r="BNN990" s="124"/>
      <c r="BNO990" s="124"/>
      <c r="BNP990" s="124"/>
      <c r="BNQ990" s="124"/>
      <c r="BNR990" s="124"/>
      <c r="BNS990" s="124"/>
      <c r="BNT990" s="124"/>
      <c r="BNU990" s="124"/>
      <c r="BNV990" s="124"/>
      <c r="BNW990" s="124"/>
      <c r="BNX990" s="124"/>
      <c r="BNY990" s="124"/>
      <c r="BNZ990" s="124"/>
      <c r="BOA990" s="124"/>
      <c r="BOB990" s="124"/>
      <c r="BOC990" s="124"/>
      <c r="BOD990" s="124"/>
      <c r="BOE990" s="124"/>
      <c r="BOF990" s="124"/>
      <c r="BOG990" s="124"/>
      <c r="BOH990" s="124"/>
      <c r="BOI990" s="124"/>
      <c r="BOJ990" s="124"/>
      <c r="BOK990" s="124"/>
      <c r="BOL990" s="124"/>
      <c r="BOM990" s="124"/>
      <c r="BON990" s="124"/>
      <c r="BOO990" s="124"/>
      <c r="BOP990" s="124"/>
      <c r="BOQ990" s="124"/>
      <c r="BOR990" s="124"/>
      <c r="BOS990" s="124"/>
      <c r="BOT990" s="124"/>
      <c r="BOU990" s="124"/>
      <c r="BOV990" s="124"/>
      <c r="BOW990" s="124"/>
      <c r="BOX990" s="124"/>
      <c r="BOY990" s="124"/>
      <c r="BOZ990" s="124"/>
      <c r="BPA990" s="124"/>
      <c r="BPB990" s="124"/>
      <c r="BPC990" s="124"/>
      <c r="BPD990" s="124"/>
      <c r="BPE990" s="124"/>
      <c r="BPF990" s="124"/>
      <c r="BPG990" s="124"/>
      <c r="BPH990" s="124"/>
      <c r="BPI990" s="124"/>
      <c r="BPJ990" s="124"/>
      <c r="BPK990" s="124"/>
      <c r="BPL990" s="124"/>
      <c r="BPM990" s="124"/>
      <c r="BPN990" s="124"/>
      <c r="BPO990" s="124"/>
      <c r="BPP990" s="124"/>
      <c r="BPQ990" s="124"/>
      <c r="BPR990" s="124"/>
      <c r="BPS990" s="124"/>
      <c r="BPT990" s="124"/>
      <c r="BPU990" s="124"/>
      <c r="BPV990" s="124"/>
      <c r="BPW990" s="124"/>
      <c r="BPX990" s="124"/>
      <c r="BPY990" s="124"/>
      <c r="BPZ990" s="124"/>
      <c r="BQA990" s="124"/>
      <c r="BQB990" s="124"/>
      <c r="BQC990" s="124"/>
      <c r="BQD990" s="124"/>
      <c r="BQE990" s="124"/>
      <c r="BQF990" s="124"/>
      <c r="BQG990" s="124"/>
      <c r="BQH990" s="124"/>
      <c r="BQI990" s="124"/>
      <c r="BQJ990" s="124"/>
      <c r="BQK990" s="124"/>
      <c r="BQL990" s="124"/>
      <c r="BQM990" s="124"/>
      <c r="BQN990" s="124"/>
      <c r="BQO990" s="124"/>
      <c r="BQP990" s="124"/>
      <c r="BQQ990" s="124"/>
      <c r="BQR990" s="124"/>
      <c r="BQS990" s="124"/>
      <c r="BQT990" s="124"/>
      <c r="BQU990" s="124"/>
      <c r="BQV990" s="124"/>
      <c r="BQW990" s="124"/>
      <c r="BQX990" s="124"/>
      <c r="BQY990" s="124"/>
      <c r="BQZ990" s="124"/>
      <c r="BRA990" s="124"/>
      <c r="BRB990" s="124"/>
      <c r="BRC990" s="124"/>
      <c r="BRD990" s="124"/>
      <c r="BRE990" s="124"/>
      <c r="BRF990" s="124"/>
      <c r="BRG990" s="124"/>
      <c r="BRH990" s="124"/>
      <c r="BRI990" s="124"/>
      <c r="BRJ990" s="124"/>
      <c r="BRK990" s="124"/>
      <c r="BRL990" s="124"/>
      <c r="BRM990" s="124"/>
      <c r="BRN990" s="124"/>
      <c r="BRO990" s="124"/>
      <c r="BRP990" s="124"/>
      <c r="BRQ990" s="124"/>
      <c r="BRR990" s="124"/>
      <c r="BRS990" s="124"/>
      <c r="BRT990" s="124"/>
      <c r="BRU990" s="124"/>
      <c r="BRV990" s="124"/>
      <c r="BRW990" s="124"/>
      <c r="BRX990" s="124"/>
      <c r="BRY990" s="124"/>
      <c r="BRZ990" s="124"/>
      <c r="BSA990" s="124"/>
      <c r="BSB990" s="124"/>
      <c r="BSC990" s="124"/>
      <c r="BSD990" s="124"/>
      <c r="BSE990" s="124"/>
      <c r="BSF990" s="124"/>
      <c r="BSG990" s="124"/>
      <c r="BSH990" s="124"/>
      <c r="BSI990" s="124"/>
      <c r="BSJ990" s="124"/>
      <c r="BSK990" s="124"/>
      <c r="BSL990" s="124"/>
      <c r="BSM990" s="124"/>
      <c r="BSN990" s="124"/>
      <c r="BSO990" s="124"/>
      <c r="BSP990" s="124"/>
      <c r="BSQ990" s="124"/>
      <c r="BSR990" s="124"/>
      <c r="BSS990" s="124"/>
      <c r="BST990" s="124"/>
      <c r="BSU990" s="124"/>
      <c r="BSV990" s="124"/>
      <c r="BSW990" s="124"/>
      <c r="BSX990" s="124"/>
      <c r="BSY990" s="124"/>
      <c r="BSZ990" s="124"/>
      <c r="BTA990" s="124"/>
      <c r="BTB990" s="124"/>
      <c r="BTC990" s="124"/>
      <c r="BTD990" s="124"/>
      <c r="BTE990" s="124"/>
      <c r="BTF990" s="124"/>
      <c r="BTG990" s="124"/>
      <c r="BTH990" s="124"/>
      <c r="BTI990" s="124"/>
      <c r="BTJ990" s="124"/>
      <c r="BTK990" s="124"/>
      <c r="BTL990" s="124"/>
      <c r="BTM990" s="124"/>
      <c r="BTN990" s="124"/>
      <c r="BTO990" s="124"/>
      <c r="BTP990" s="124"/>
      <c r="BTQ990" s="124"/>
      <c r="BTR990" s="124"/>
      <c r="BTS990" s="124"/>
      <c r="BTT990" s="124"/>
      <c r="BTU990" s="124"/>
      <c r="BTV990" s="124"/>
      <c r="BTW990" s="124"/>
      <c r="BTX990" s="124"/>
      <c r="BTY990" s="124"/>
      <c r="BTZ990" s="124"/>
      <c r="BUA990" s="124"/>
      <c r="BUB990" s="124"/>
      <c r="BUC990" s="124"/>
      <c r="BUD990" s="124"/>
      <c r="BUE990" s="124"/>
      <c r="BUF990" s="124"/>
      <c r="BUG990" s="124"/>
      <c r="BUH990" s="124"/>
      <c r="BUI990" s="124"/>
      <c r="BUJ990" s="124"/>
      <c r="BUK990" s="124"/>
      <c r="BUL990" s="124"/>
      <c r="BUM990" s="124"/>
      <c r="BUN990" s="124"/>
      <c r="BUO990" s="124"/>
      <c r="BUP990" s="124"/>
      <c r="BUQ990" s="124"/>
      <c r="BUR990" s="124"/>
      <c r="BUS990" s="124"/>
      <c r="BUT990" s="124"/>
      <c r="BUU990" s="124"/>
      <c r="BUV990" s="124"/>
      <c r="BUW990" s="124"/>
      <c r="BUX990" s="124"/>
      <c r="BUY990" s="124"/>
      <c r="BUZ990" s="124"/>
      <c r="BVA990" s="124"/>
      <c r="BVB990" s="124"/>
      <c r="BVC990" s="124"/>
      <c r="BVD990" s="124"/>
      <c r="BVE990" s="124"/>
      <c r="BVF990" s="124"/>
      <c r="BVG990" s="124"/>
      <c r="BVH990" s="124"/>
      <c r="BVI990" s="124"/>
      <c r="BVJ990" s="124"/>
      <c r="BVK990" s="124"/>
      <c r="BVL990" s="124"/>
      <c r="BVM990" s="124"/>
      <c r="BVN990" s="124"/>
      <c r="BVO990" s="124"/>
      <c r="BVP990" s="124"/>
      <c r="BVQ990" s="124"/>
      <c r="BVR990" s="124"/>
      <c r="BVS990" s="124"/>
      <c r="BVT990" s="124"/>
      <c r="BVU990" s="124"/>
      <c r="BVV990" s="124"/>
      <c r="BVW990" s="124"/>
      <c r="BVX990" s="124"/>
      <c r="BVY990" s="124"/>
      <c r="BVZ990" s="124"/>
      <c r="BWA990" s="124"/>
      <c r="BWB990" s="124"/>
      <c r="BWC990" s="124"/>
      <c r="BWD990" s="124"/>
      <c r="BWE990" s="124"/>
      <c r="BWF990" s="124"/>
      <c r="BWG990" s="124"/>
      <c r="BWH990" s="124"/>
      <c r="BWI990" s="124"/>
      <c r="BWJ990" s="124"/>
      <c r="BWK990" s="124"/>
      <c r="BWL990" s="124"/>
      <c r="BWM990" s="124"/>
      <c r="BWN990" s="124"/>
      <c r="BWO990" s="124"/>
      <c r="BWP990" s="124"/>
      <c r="BWQ990" s="124"/>
      <c r="BWR990" s="124"/>
      <c r="BWS990" s="124"/>
      <c r="BWT990" s="124"/>
      <c r="BWU990" s="124"/>
      <c r="BWV990" s="124"/>
      <c r="BWW990" s="124"/>
      <c r="BWX990" s="124"/>
      <c r="BWY990" s="124"/>
      <c r="BWZ990" s="124"/>
      <c r="BXA990" s="124"/>
      <c r="BXB990" s="124"/>
      <c r="BXC990" s="124"/>
      <c r="BXD990" s="124"/>
      <c r="BXE990" s="124"/>
      <c r="BXF990" s="124"/>
      <c r="BXG990" s="124"/>
      <c r="BXH990" s="124"/>
      <c r="BXI990" s="124"/>
      <c r="BXJ990" s="124"/>
      <c r="BXK990" s="124"/>
      <c r="BXL990" s="124"/>
      <c r="BXM990" s="124"/>
      <c r="BXN990" s="124"/>
      <c r="BXO990" s="124"/>
      <c r="BXP990" s="124"/>
      <c r="BXQ990" s="124"/>
      <c r="BXR990" s="124"/>
      <c r="BXS990" s="124"/>
      <c r="BXT990" s="124"/>
      <c r="BXU990" s="124"/>
      <c r="BXV990" s="124"/>
      <c r="BXW990" s="124"/>
      <c r="BXX990" s="124"/>
      <c r="BXY990" s="124"/>
      <c r="BXZ990" s="124"/>
      <c r="BYA990" s="124"/>
      <c r="BYB990" s="124"/>
      <c r="BYC990" s="124"/>
      <c r="BYD990" s="124"/>
      <c r="BYE990" s="124"/>
      <c r="BYF990" s="124"/>
      <c r="BYG990" s="124"/>
      <c r="BYH990" s="124"/>
      <c r="BYI990" s="124"/>
      <c r="BYJ990" s="124"/>
      <c r="BYK990" s="124"/>
      <c r="BYL990" s="124"/>
      <c r="BYM990" s="124"/>
      <c r="BYN990" s="124"/>
      <c r="BYO990" s="124"/>
      <c r="BYP990" s="124"/>
      <c r="BYQ990" s="124"/>
      <c r="BYR990" s="124"/>
      <c r="BYS990" s="124"/>
      <c r="BYT990" s="124"/>
      <c r="BYU990" s="124"/>
      <c r="BYV990" s="124"/>
      <c r="BYW990" s="124"/>
      <c r="BYX990" s="124"/>
      <c r="BYY990" s="124"/>
      <c r="BYZ990" s="124"/>
      <c r="BZA990" s="124"/>
      <c r="BZB990" s="124"/>
      <c r="BZC990" s="124"/>
      <c r="BZD990" s="124"/>
      <c r="BZE990" s="124"/>
      <c r="BZF990" s="124"/>
      <c r="BZG990" s="124"/>
      <c r="BZH990" s="124"/>
      <c r="BZI990" s="124"/>
      <c r="BZJ990" s="124"/>
      <c r="BZK990" s="124"/>
      <c r="BZL990" s="124"/>
      <c r="BZM990" s="124"/>
      <c r="BZN990" s="124"/>
      <c r="BZO990" s="124"/>
      <c r="BZP990" s="124"/>
      <c r="BZQ990" s="124"/>
      <c r="BZR990" s="124"/>
      <c r="BZS990" s="124"/>
      <c r="BZT990" s="124"/>
      <c r="BZU990" s="124"/>
      <c r="BZV990" s="124"/>
      <c r="BZW990" s="124"/>
      <c r="BZX990" s="124"/>
      <c r="BZY990" s="124"/>
      <c r="BZZ990" s="124"/>
      <c r="CAA990" s="124"/>
      <c r="CAB990" s="124"/>
      <c r="CAC990" s="124"/>
      <c r="CAD990" s="124"/>
      <c r="CAE990" s="124"/>
      <c r="CAF990" s="124"/>
      <c r="CAG990" s="124"/>
      <c r="CAH990" s="124"/>
      <c r="CAI990" s="124"/>
      <c r="CAJ990" s="124"/>
      <c r="CAK990" s="124"/>
      <c r="CAL990" s="124"/>
      <c r="CAM990" s="124"/>
      <c r="CAN990" s="124"/>
      <c r="CAO990" s="124"/>
      <c r="CAP990" s="124"/>
      <c r="CAQ990" s="124"/>
      <c r="CAR990" s="124"/>
      <c r="CAS990" s="124"/>
      <c r="CAT990" s="124"/>
      <c r="CAU990" s="124"/>
      <c r="CAV990" s="124"/>
      <c r="CAW990" s="124"/>
      <c r="CAX990" s="124"/>
      <c r="CAY990" s="124"/>
      <c r="CAZ990" s="124"/>
      <c r="CBA990" s="124"/>
      <c r="CBB990" s="124"/>
      <c r="CBC990" s="124"/>
      <c r="CBD990" s="124"/>
      <c r="CBE990" s="124"/>
      <c r="CBF990" s="124"/>
      <c r="CBG990" s="124"/>
      <c r="CBH990" s="124"/>
      <c r="CBI990" s="124"/>
      <c r="CBJ990" s="124"/>
      <c r="CBK990" s="124"/>
      <c r="CBL990" s="124"/>
      <c r="CBM990" s="124"/>
      <c r="CBN990" s="124"/>
      <c r="CBO990" s="124"/>
      <c r="CBP990" s="124"/>
      <c r="CBQ990" s="124"/>
      <c r="CBR990" s="124"/>
      <c r="CBS990" s="124"/>
      <c r="CBT990" s="124"/>
      <c r="CBU990" s="124"/>
      <c r="CBV990" s="124"/>
      <c r="CBW990" s="124"/>
      <c r="CBX990" s="124"/>
      <c r="CBY990" s="124"/>
      <c r="CBZ990" s="124"/>
      <c r="CCA990" s="124"/>
      <c r="CCB990" s="124"/>
      <c r="CCC990" s="124"/>
      <c r="CCD990" s="124"/>
      <c r="CCE990" s="124"/>
      <c r="CCF990" s="124"/>
      <c r="CCG990" s="124"/>
      <c r="CCH990" s="124"/>
      <c r="CCI990" s="124"/>
      <c r="CCJ990" s="124"/>
      <c r="CCK990" s="124"/>
      <c r="CCL990" s="124"/>
      <c r="CCM990" s="124"/>
      <c r="CCN990" s="124"/>
      <c r="CCO990" s="124"/>
      <c r="CCP990" s="124"/>
      <c r="CCQ990" s="124"/>
      <c r="CCR990" s="124"/>
      <c r="CCS990" s="124"/>
      <c r="CCT990" s="124"/>
      <c r="CCU990" s="124"/>
      <c r="CCV990" s="124"/>
      <c r="CCW990" s="124"/>
      <c r="CCX990" s="124"/>
      <c r="CCY990" s="124"/>
      <c r="CCZ990" s="124"/>
      <c r="CDA990" s="124"/>
      <c r="CDB990" s="124"/>
      <c r="CDC990" s="124"/>
      <c r="CDD990" s="124"/>
      <c r="CDE990" s="124"/>
      <c r="CDF990" s="124"/>
      <c r="CDG990" s="124"/>
      <c r="CDH990" s="124"/>
      <c r="CDI990" s="124"/>
      <c r="CDJ990" s="124"/>
      <c r="CDK990" s="124"/>
      <c r="CDL990" s="124"/>
      <c r="CDM990" s="124"/>
      <c r="CDN990" s="124"/>
      <c r="CDO990" s="124"/>
      <c r="CDP990" s="124"/>
      <c r="CDQ990" s="124"/>
      <c r="CDR990" s="124"/>
      <c r="CDS990" s="124"/>
      <c r="CDT990" s="124"/>
      <c r="CDU990" s="124"/>
      <c r="CDV990" s="124"/>
      <c r="CDW990" s="124"/>
      <c r="CDX990" s="124"/>
      <c r="CDY990" s="124"/>
      <c r="CDZ990" s="124"/>
      <c r="CEA990" s="124"/>
      <c r="CEB990" s="124"/>
      <c r="CEC990" s="124"/>
      <c r="CED990" s="124"/>
      <c r="CEE990" s="124"/>
      <c r="CEF990" s="124"/>
      <c r="CEG990" s="124"/>
      <c r="CEH990" s="124"/>
      <c r="CEI990" s="124"/>
      <c r="CEJ990" s="124"/>
      <c r="CEK990" s="124"/>
      <c r="CEL990" s="124"/>
      <c r="CEM990" s="124"/>
      <c r="CEN990" s="124"/>
      <c r="CEO990" s="124"/>
      <c r="CEP990" s="124"/>
      <c r="CEQ990" s="124"/>
      <c r="CER990" s="124"/>
      <c r="CES990" s="124"/>
      <c r="CET990" s="124"/>
      <c r="CEU990" s="124"/>
      <c r="CEV990" s="124"/>
      <c r="CEW990" s="124"/>
      <c r="CEX990" s="124"/>
      <c r="CEY990" s="124"/>
      <c r="CEZ990" s="124"/>
      <c r="CFA990" s="124"/>
      <c r="CFB990" s="124"/>
      <c r="CFC990" s="124"/>
      <c r="CFD990" s="124"/>
      <c r="CFE990" s="124"/>
      <c r="CFF990" s="124"/>
      <c r="CFG990" s="124"/>
      <c r="CFH990" s="124"/>
      <c r="CFI990" s="124"/>
      <c r="CFJ990" s="124"/>
      <c r="CFK990" s="124"/>
      <c r="CFL990" s="124"/>
      <c r="CFM990" s="124"/>
      <c r="CFN990" s="124"/>
      <c r="CFO990" s="124"/>
      <c r="CFP990" s="124"/>
      <c r="CFQ990" s="124"/>
      <c r="CFR990" s="124"/>
      <c r="CFS990" s="124"/>
      <c r="CFT990" s="124"/>
      <c r="CFU990" s="124"/>
      <c r="CFV990" s="124"/>
      <c r="CFW990" s="124"/>
      <c r="CFX990" s="124"/>
      <c r="CFY990" s="124"/>
      <c r="CFZ990" s="124"/>
      <c r="CGA990" s="124"/>
      <c r="CGB990" s="124"/>
      <c r="CGC990" s="124"/>
      <c r="CGD990" s="124"/>
      <c r="CGE990" s="124"/>
      <c r="CGF990" s="124"/>
      <c r="CGG990" s="124"/>
      <c r="CGH990" s="124"/>
      <c r="CGI990" s="124"/>
      <c r="CGJ990" s="124"/>
      <c r="CGK990" s="124"/>
      <c r="CGL990" s="124"/>
      <c r="CGM990" s="124"/>
      <c r="CGN990" s="124"/>
      <c r="CGO990" s="124"/>
      <c r="CGP990" s="124"/>
      <c r="CGQ990" s="124"/>
      <c r="CGR990" s="124"/>
      <c r="CGS990" s="124"/>
      <c r="CGT990" s="124"/>
      <c r="CGU990" s="124"/>
      <c r="CGV990" s="124"/>
      <c r="CGW990" s="124"/>
      <c r="CGX990" s="124"/>
      <c r="CGY990" s="124"/>
      <c r="CGZ990" s="124"/>
      <c r="CHA990" s="124"/>
      <c r="CHB990" s="124"/>
      <c r="CHC990" s="124"/>
      <c r="CHD990" s="124"/>
      <c r="CHE990" s="124"/>
      <c r="CHF990" s="124"/>
      <c r="CHG990" s="124"/>
      <c r="CHH990" s="124"/>
      <c r="CHI990" s="124"/>
      <c r="CHJ990" s="124"/>
      <c r="CHK990" s="124"/>
      <c r="CHL990" s="124"/>
      <c r="CHM990" s="124"/>
      <c r="CHN990" s="124"/>
      <c r="CHO990" s="124"/>
      <c r="CHP990" s="124"/>
      <c r="CHQ990" s="124"/>
      <c r="CHR990" s="124"/>
      <c r="CHS990" s="124"/>
      <c r="CHT990" s="124"/>
      <c r="CHU990" s="124"/>
      <c r="CHV990" s="124"/>
      <c r="CHW990" s="124"/>
      <c r="CHX990" s="124"/>
      <c r="CHY990" s="124"/>
      <c r="CHZ990" s="124"/>
      <c r="CIA990" s="124"/>
      <c r="CIB990" s="124"/>
      <c r="CIC990" s="124"/>
      <c r="CID990" s="124"/>
      <c r="CIE990" s="124"/>
      <c r="CIF990" s="124"/>
      <c r="CIG990" s="124"/>
      <c r="CIH990" s="124"/>
      <c r="CII990" s="124"/>
      <c r="CIJ990" s="124"/>
      <c r="CIK990" s="124"/>
      <c r="CIL990" s="124"/>
      <c r="CIM990" s="124"/>
      <c r="CIN990" s="124"/>
      <c r="CIO990" s="124"/>
      <c r="CIP990" s="124"/>
      <c r="CIQ990" s="124"/>
      <c r="CIR990" s="124"/>
      <c r="CIS990" s="124"/>
      <c r="CIT990" s="124"/>
      <c r="CIU990" s="124"/>
      <c r="CIV990" s="124"/>
      <c r="CIW990" s="124"/>
      <c r="CIX990" s="124"/>
      <c r="CIY990" s="124"/>
      <c r="CIZ990" s="124"/>
      <c r="CJA990" s="124"/>
      <c r="CJB990" s="124"/>
      <c r="CJC990" s="124"/>
      <c r="CJD990" s="124"/>
      <c r="CJE990" s="124"/>
      <c r="CJF990" s="124"/>
      <c r="CJG990" s="124"/>
      <c r="CJH990" s="124"/>
      <c r="CJI990" s="124"/>
      <c r="CJJ990" s="124"/>
      <c r="CJK990" s="124"/>
      <c r="CJL990" s="124"/>
      <c r="CJM990" s="124"/>
      <c r="CJN990" s="124"/>
      <c r="CJO990" s="124"/>
      <c r="CJP990" s="124"/>
      <c r="CJQ990" s="124"/>
      <c r="CJR990" s="124"/>
      <c r="CJS990" s="124"/>
      <c r="CJT990" s="124"/>
      <c r="CJU990" s="124"/>
      <c r="CJV990" s="124"/>
      <c r="CJW990" s="124"/>
      <c r="CJX990" s="124"/>
      <c r="CJY990" s="124"/>
      <c r="CJZ990" s="124"/>
      <c r="CKA990" s="124"/>
      <c r="CKB990" s="124"/>
      <c r="CKC990" s="124"/>
      <c r="CKD990" s="124"/>
      <c r="CKE990" s="124"/>
      <c r="CKF990" s="124"/>
      <c r="CKG990" s="124"/>
      <c r="CKH990" s="124"/>
      <c r="CKI990" s="124"/>
      <c r="CKJ990" s="124"/>
      <c r="CKK990" s="124"/>
      <c r="CKL990" s="124"/>
      <c r="CKM990" s="124"/>
      <c r="CKN990" s="124"/>
      <c r="CKO990" s="124"/>
      <c r="CKP990" s="124"/>
      <c r="CKQ990" s="124"/>
      <c r="CKR990" s="124"/>
      <c r="CKS990" s="124"/>
      <c r="CKT990" s="124"/>
      <c r="CKU990" s="124"/>
      <c r="CKV990" s="124"/>
      <c r="CKW990" s="124"/>
      <c r="CKX990" s="124"/>
      <c r="CKY990" s="124"/>
      <c r="CKZ990" s="124"/>
      <c r="CLA990" s="124"/>
      <c r="CLB990" s="124"/>
      <c r="CLC990" s="124"/>
      <c r="CLD990" s="124"/>
      <c r="CLE990" s="124"/>
      <c r="CLF990" s="124"/>
      <c r="CLG990" s="124"/>
      <c r="CLH990" s="124"/>
      <c r="CLI990" s="124"/>
      <c r="CLJ990" s="124"/>
      <c r="CLK990" s="124"/>
      <c r="CLL990" s="124"/>
      <c r="CLM990" s="124"/>
      <c r="CLN990" s="124"/>
      <c r="CLO990" s="124"/>
      <c r="CLP990" s="124"/>
      <c r="CLQ990" s="124"/>
      <c r="CLR990" s="124"/>
      <c r="CLS990" s="124"/>
      <c r="CLT990" s="124"/>
      <c r="CLU990" s="124"/>
      <c r="CLV990" s="124"/>
      <c r="CLW990" s="124"/>
      <c r="CLX990" s="124"/>
      <c r="CLY990" s="124"/>
      <c r="CLZ990" s="124"/>
      <c r="CMA990" s="124"/>
      <c r="CMB990" s="124"/>
      <c r="CMC990" s="124"/>
      <c r="CMD990" s="124"/>
      <c r="CME990" s="124"/>
      <c r="CMF990" s="124"/>
      <c r="CMG990" s="124"/>
      <c r="CMH990" s="124"/>
      <c r="CMI990" s="124"/>
      <c r="CMJ990" s="124"/>
      <c r="CMK990" s="124"/>
      <c r="CML990" s="124"/>
      <c r="CMM990" s="124"/>
      <c r="CMN990" s="124"/>
      <c r="CMO990" s="124"/>
      <c r="CMP990" s="124"/>
      <c r="CMQ990" s="124"/>
      <c r="CMR990" s="124"/>
      <c r="CMS990" s="124"/>
      <c r="CMT990" s="124"/>
      <c r="CMU990" s="124"/>
      <c r="CMV990" s="124"/>
      <c r="CMW990" s="124"/>
      <c r="CMX990" s="124"/>
      <c r="CMY990" s="124"/>
      <c r="CMZ990" s="124"/>
      <c r="CNA990" s="124"/>
      <c r="CNB990" s="124"/>
      <c r="CNC990" s="124"/>
      <c r="CND990" s="124"/>
      <c r="CNE990" s="124"/>
      <c r="CNF990" s="124"/>
      <c r="CNG990" s="124"/>
      <c r="CNH990" s="124"/>
      <c r="CNI990" s="124"/>
      <c r="CNJ990" s="124"/>
      <c r="CNK990" s="124"/>
      <c r="CNL990" s="124"/>
      <c r="CNM990" s="124"/>
      <c r="CNN990" s="124"/>
      <c r="CNO990" s="124"/>
      <c r="CNP990" s="124"/>
      <c r="CNQ990" s="124"/>
      <c r="CNR990" s="124"/>
      <c r="CNS990" s="124"/>
      <c r="CNT990" s="124"/>
      <c r="CNU990" s="124"/>
      <c r="CNV990" s="124"/>
      <c r="CNW990" s="124"/>
      <c r="CNX990" s="124"/>
      <c r="CNY990" s="124"/>
      <c r="CNZ990" s="124"/>
      <c r="COA990" s="124"/>
      <c r="COB990" s="124"/>
      <c r="COC990" s="124"/>
      <c r="COD990" s="124"/>
      <c r="COE990" s="124"/>
      <c r="COF990" s="124"/>
      <c r="COG990" s="124"/>
      <c r="COH990" s="124"/>
      <c r="COI990" s="124"/>
      <c r="COJ990" s="124"/>
      <c r="COK990" s="124"/>
      <c r="COL990" s="124"/>
      <c r="COM990" s="124"/>
      <c r="CON990" s="124"/>
      <c r="COO990" s="124"/>
      <c r="COP990" s="124"/>
      <c r="COQ990" s="124"/>
      <c r="COR990" s="124"/>
      <c r="COS990" s="124"/>
      <c r="COT990" s="124"/>
      <c r="COU990" s="124"/>
      <c r="COV990" s="124"/>
      <c r="COW990" s="124"/>
      <c r="COX990" s="124"/>
      <c r="COY990" s="124"/>
      <c r="COZ990" s="124"/>
      <c r="CPA990" s="124"/>
      <c r="CPB990" s="124"/>
      <c r="CPC990" s="124"/>
      <c r="CPD990" s="124"/>
      <c r="CPE990" s="124"/>
      <c r="CPF990" s="124"/>
      <c r="CPG990" s="124"/>
      <c r="CPH990" s="124"/>
      <c r="CPI990" s="124"/>
      <c r="CPJ990" s="124"/>
      <c r="CPK990" s="124"/>
      <c r="CPL990" s="124"/>
      <c r="CPM990" s="124"/>
      <c r="CPN990" s="124"/>
      <c r="CPO990" s="124"/>
      <c r="CPP990" s="124"/>
      <c r="CPQ990" s="124"/>
      <c r="CPR990" s="124"/>
      <c r="CPS990" s="124"/>
      <c r="CPT990" s="124"/>
      <c r="CPU990" s="124"/>
      <c r="CPV990" s="124"/>
      <c r="CPW990" s="124"/>
      <c r="CPX990" s="124"/>
      <c r="CPY990" s="124"/>
      <c r="CPZ990" s="124"/>
      <c r="CQA990" s="124"/>
      <c r="CQB990" s="124"/>
      <c r="CQC990" s="124"/>
      <c r="CQD990" s="124"/>
      <c r="CQE990" s="124"/>
      <c r="CQF990" s="124"/>
      <c r="CQG990" s="124"/>
      <c r="CQH990" s="124"/>
      <c r="CQI990" s="124"/>
      <c r="CQJ990" s="124"/>
      <c r="CQK990" s="124"/>
      <c r="CQL990" s="124"/>
      <c r="CQM990" s="124"/>
      <c r="CQN990" s="124"/>
      <c r="CQO990" s="124"/>
      <c r="CQP990" s="124"/>
      <c r="CQQ990" s="124"/>
      <c r="CQR990" s="124"/>
      <c r="CQS990" s="124"/>
      <c r="CQT990" s="124"/>
      <c r="CQU990" s="124"/>
      <c r="CQV990" s="124"/>
      <c r="CQW990" s="124"/>
      <c r="CQX990" s="124"/>
      <c r="CQY990" s="124"/>
      <c r="CQZ990" s="124"/>
      <c r="CRA990" s="124"/>
      <c r="CRB990" s="124"/>
      <c r="CRC990" s="124"/>
      <c r="CRD990" s="124"/>
      <c r="CRE990" s="124"/>
      <c r="CRF990" s="124"/>
      <c r="CRG990" s="124"/>
      <c r="CRH990" s="124"/>
      <c r="CRI990" s="124"/>
      <c r="CRJ990" s="124"/>
      <c r="CRK990" s="124"/>
      <c r="CRL990" s="124"/>
      <c r="CRM990" s="124"/>
      <c r="CRN990" s="124"/>
      <c r="CRO990" s="124"/>
      <c r="CRP990" s="124"/>
      <c r="CRQ990" s="124"/>
      <c r="CRR990" s="124"/>
      <c r="CRS990" s="124"/>
      <c r="CRT990" s="124"/>
      <c r="CRU990" s="124"/>
      <c r="CRV990" s="124"/>
      <c r="CRW990" s="124"/>
      <c r="CRX990" s="124"/>
      <c r="CRY990" s="124"/>
      <c r="CRZ990" s="124"/>
      <c r="CSA990" s="124"/>
      <c r="CSB990" s="124"/>
      <c r="CSC990" s="124"/>
      <c r="CSD990" s="124"/>
      <c r="CSE990" s="124"/>
      <c r="CSF990" s="124"/>
      <c r="CSG990" s="124"/>
      <c r="CSH990" s="124"/>
      <c r="CSI990" s="124"/>
      <c r="CSJ990" s="124"/>
      <c r="CSK990" s="124"/>
      <c r="CSL990" s="124"/>
      <c r="CSM990" s="124"/>
      <c r="CSN990" s="124"/>
      <c r="CSO990" s="124"/>
      <c r="CSP990" s="124"/>
      <c r="CSQ990" s="124"/>
      <c r="CSR990" s="124"/>
      <c r="CSS990" s="124"/>
      <c r="CST990" s="124"/>
      <c r="CSU990" s="124"/>
      <c r="CSV990" s="124"/>
      <c r="CSW990" s="124"/>
      <c r="CSX990" s="124"/>
      <c r="CSY990" s="124"/>
      <c r="CSZ990" s="124"/>
      <c r="CTA990" s="124"/>
      <c r="CTB990" s="124"/>
      <c r="CTC990" s="124"/>
      <c r="CTD990" s="124"/>
      <c r="CTE990" s="124"/>
      <c r="CTF990" s="124"/>
      <c r="CTG990" s="124"/>
      <c r="CTH990" s="124"/>
      <c r="CTI990" s="124"/>
      <c r="CTJ990" s="124"/>
      <c r="CTK990" s="124"/>
      <c r="CTL990" s="124"/>
      <c r="CTM990" s="124"/>
      <c r="CTN990" s="124"/>
      <c r="CTO990" s="124"/>
      <c r="CTP990" s="124"/>
      <c r="CTQ990" s="124"/>
      <c r="CTR990" s="124"/>
      <c r="CTS990" s="124"/>
      <c r="CTT990" s="124"/>
      <c r="CTU990" s="124"/>
      <c r="CTV990" s="124"/>
      <c r="CTW990" s="124"/>
      <c r="CTX990" s="124"/>
      <c r="CTY990" s="124"/>
      <c r="CTZ990" s="124"/>
      <c r="CUA990" s="124"/>
      <c r="CUB990" s="124"/>
      <c r="CUC990" s="124"/>
      <c r="CUD990" s="124"/>
      <c r="CUE990" s="124"/>
      <c r="CUF990" s="124"/>
      <c r="CUG990" s="124"/>
      <c r="CUH990" s="124"/>
      <c r="CUI990" s="124"/>
      <c r="CUJ990" s="124"/>
      <c r="CUK990" s="124"/>
      <c r="CUL990" s="124"/>
      <c r="CUM990" s="124"/>
      <c r="CUN990" s="124"/>
      <c r="CUO990" s="124"/>
      <c r="CUP990" s="124"/>
      <c r="CUQ990" s="124"/>
      <c r="CUR990" s="124"/>
      <c r="CUS990" s="124"/>
      <c r="CUT990" s="124"/>
      <c r="CUU990" s="124"/>
      <c r="CUV990" s="124"/>
      <c r="CUW990" s="124"/>
      <c r="CUX990" s="124"/>
      <c r="CUY990" s="124"/>
      <c r="CUZ990" s="124"/>
      <c r="CVA990" s="124"/>
      <c r="CVB990" s="124"/>
      <c r="CVC990" s="124"/>
      <c r="CVD990" s="124"/>
      <c r="CVE990" s="124"/>
      <c r="CVF990" s="124"/>
      <c r="CVG990" s="124"/>
      <c r="CVH990" s="124"/>
      <c r="CVI990" s="124"/>
      <c r="CVJ990" s="124"/>
      <c r="CVK990" s="124"/>
      <c r="CVL990" s="124"/>
      <c r="CVM990" s="124"/>
      <c r="CVN990" s="124"/>
      <c r="CVO990" s="124"/>
      <c r="CVP990" s="124"/>
      <c r="CVQ990" s="124"/>
      <c r="CVR990" s="124"/>
      <c r="CVS990" s="124"/>
      <c r="CVT990" s="124"/>
      <c r="CVU990" s="124"/>
      <c r="CVV990" s="124"/>
      <c r="CVW990" s="124"/>
      <c r="CVX990" s="124"/>
      <c r="CVY990" s="124"/>
      <c r="CVZ990" s="124"/>
      <c r="CWA990" s="124"/>
      <c r="CWB990" s="124"/>
      <c r="CWC990" s="124"/>
      <c r="CWD990" s="124"/>
      <c r="CWE990" s="124"/>
      <c r="CWF990" s="124"/>
      <c r="CWG990" s="124"/>
      <c r="CWH990" s="124"/>
      <c r="CWI990" s="124"/>
      <c r="CWJ990" s="124"/>
      <c r="CWK990" s="124"/>
      <c r="CWL990" s="124"/>
      <c r="CWM990" s="124"/>
      <c r="CWN990" s="124"/>
      <c r="CWO990" s="124"/>
      <c r="CWP990" s="124"/>
      <c r="CWQ990" s="124"/>
      <c r="CWR990" s="124"/>
      <c r="CWS990" s="124"/>
      <c r="CWT990" s="124"/>
      <c r="CWU990" s="124"/>
      <c r="CWV990" s="124"/>
      <c r="CWW990" s="124"/>
      <c r="CWX990" s="124"/>
      <c r="CWY990" s="124"/>
      <c r="CWZ990" s="124"/>
      <c r="CXA990" s="124"/>
      <c r="CXB990" s="124"/>
      <c r="CXC990" s="124"/>
      <c r="CXD990" s="124"/>
      <c r="CXE990" s="124"/>
      <c r="CXF990" s="124"/>
      <c r="CXG990" s="124"/>
      <c r="CXH990" s="124"/>
      <c r="CXI990" s="124"/>
      <c r="CXJ990" s="124"/>
      <c r="CXK990" s="124"/>
      <c r="CXL990" s="124"/>
      <c r="CXM990" s="124"/>
      <c r="CXN990" s="124"/>
      <c r="CXO990" s="124"/>
      <c r="CXP990" s="124"/>
      <c r="CXQ990" s="124"/>
      <c r="CXR990" s="124"/>
      <c r="CXS990" s="124"/>
      <c r="CXT990" s="124"/>
      <c r="CXU990" s="124"/>
      <c r="CXV990" s="124"/>
      <c r="CXW990" s="124"/>
      <c r="CXX990" s="124"/>
      <c r="CXY990" s="124"/>
      <c r="CXZ990" s="124"/>
      <c r="CYA990" s="124"/>
      <c r="CYB990" s="124"/>
      <c r="CYC990" s="124"/>
      <c r="CYD990" s="124"/>
      <c r="CYE990" s="124"/>
      <c r="CYF990" s="124"/>
      <c r="CYG990" s="124"/>
      <c r="CYH990" s="124"/>
      <c r="CYI990" s="124"/>
      <c r="CYJ990" s="124"/>
      <c r="CYK990" s="124"/>
      <c r="CYL990" s="124"/>
      <c r="CYM990" s="124"/>
      <c r="CYN990" s="124"/>
      <c r="CYO990" s="124"/>
      <c r="CYP990" s="124"/>
      <c r="CYQ990" s="124"/>
      <c r="CYR990" s="124"/>
      <c r="CYS990" s="124"/>
      <c r="CYT990" s="124"/>
      <c r="CYU990" s="124"/>
      <c r="CYV990" s="124"/>
      <c r="CYW990" s="124"/>
      <c r="CYX990" s="124"/>
      <c r="CYY990" s="124"/>
      <c r="CYZ990" s="124"/>
      <c r="CZA990" s="124"/>
      <c r="CZB990" s="124"/>
      <c r="CZC990" s="124"/>
      <c r="CZD990" s="124"/>
      <c r="CZE990" s="124"/>
      <c r="CZF990" s="124"/>
      <c r="CZG990" s="124"/>
      <c r="CZH990" s="124"/>
      <c r="CZI990" s="124"/>
      <c r="CZJ990" s="124"/>
      <c r="CZK990" s="124"/>
      <c r="CZL990" s="124"/>
      <c r="CZM990" s="124"/>
      <c r="CZN990" s="124"/>
      <c r="CZO990" s="124"/>
      <c r="CZP990" s="124"/>
      <c r="CZQ990" s="124"/>
      <c r="CZR990" s="124"/>
      <c r="CZS990" s="124"/>
      <c r="CZT990" s="124"/>
      <c r="CZU990" s="124"/>
      <c r="CZV990" s="124"/>
      <c r="CZW990" s="124"/>
      <c r="CZX990" s="124"/>
      <c r="CZY990" s="124"/>
      <c r="CZZ990" s="124"/>
      <c r="DAA990" s="124"/>
      <c r="DAB990" s="124"/>
      <c r="DAC990" s="124"/>
      <c r="DAD990" s="124"/>
      <c r="DAE990" s="124"/>
      <c r="DAF990" s="124"/>
      <c r="DAG990" s="124"/>
      <c r="DAH990" s="124"/>
      <c r="DAI990" s="124"/>
      <c r="DAJ990" s="124"/>
      <c r="DAK990" s="124"/>
      <c r="DAL990" s="124"/>
      <c r="DAM990" s="124"/>
      <c r="DAN990" s="124"/>
      <c r="DAO990" s="124"/>
      <c r="DAP990" s="124"/>
      <c r="DAQ990" s="124"/>
      <c r="DAR990" s="124"/>
      <c r="DAS990" s="124"/>
      <c r="DAT990" s="124"/>
      <c r="DAU990" s="124"/>
      <c r="DAV990" s="124"/>
      <c r="DAW990" s="124"/>
      <c r="DAX990" s="124"/>
      <c r="DAY990" s="124"/>
      <c r="DAZ990" s="124"/>
      <c r="DBA990" s="124"/>
      <c r="DBB990" s="124"/>
      <c r="DBC990" s="124"/>
      <c r="DBD990" s="124"/>
      <c r="DBE990" s="124"/>
      <c r="DBF990" s="124"/>
      <c r="DBG990" s="124"/>
      <c r="DBH990" s="124"/>
      <c r="DBI990" s="124"/>
      <c r="DBJ990" s="124"/>
      <c r="DBK990" s="124"/>
      <c r="DBL990" s="124"/>
      <c r="DBM990" s="124"/>
      <c r="DBN990" s="124"/>
      <c r="DBO990" s="124"/>
      <c r="DBP990" s="124"/>
      <c r="DBQ990" s="124"/>
      <c r="DBR990" s="124"/>
      <c r="DBS990" s="124"/>
      <c r="DBT990" s="124"/>
      <c r="DBU990" s="124"/>
      <c r="DBV990" s="124"/>
      <c r="DBW990" s="124"/>
      <c r="DBX990" s="124"/>
      <c r="DBY990" s="124"/>
      <c r="DBZ990" s="124"/>
      <c r="DCA990" s="124"/>
      <c r="DCB990" s="124"/>
      <c r="DCC990" s="124"/>
      <c r="DCD990" s="124"/>
      <c r="DCE990" s="124"/>
      <c r="DCF990" s="124"/>
      <c r="DCG990" s="124"/>
      <c r="DCH990" s="124"/>
      <c r="DCI990" s="124"/>
      <c r="DCJ990" s="124"/>
      <c r="DCK990" s="124"/>
      <c r="DCL990" s="124"/>
      <c r="DCM990" s="124"/>
      <c r="DCN990" s="124"/>
      <c r="DCO990" s="124"/>
      <c r="DCP990" s="124"/>
      <c r="DCQ990" s="124"/>
      <c r="DCR990" s="124"/>
      <c r="DCS990" s="124"/>
      <c r="DCT990" s="124"/>
      <c r="DCU990" s="124"/>
      <c r="DCV990" s="124"/>
      <c r="DCW990" s="124"/>
      <c r="DCX990" s="124"/>
      <c r="DCY990" s="124"/>
      <c r="DCZ990" s="124"/>
      <c r="DDA990" s="124"/>
      <c r="DDB990" s="124"/>
      <c r="DDC990" s="124"/>
      <c r="DDD990" s="124"/>
      <c r="DDE990" s="124"/>
      <c r="DDF990" s="124"/>
      <c r="DDG990" s="124"/>
      <c r="DDH990" s="124"/>
      <c r="DDI990" s="124"/>
      <c r="DDJ990" s="124"/>
      <c r="DDK990" s="124"/>
      <c r="DDL990" s="124"/>
      <c r="DDM990" s="124"/>
      <c r="DDN990" s="124"/>
      <c r="DDO990" s="124"/>
      <c r="DDP990" s="124"/>
      <c r="DDQ990" s="124"/>
      <c r="DDR990" s="124"/>
      <c r="DDS990" s="124"/>
      <c r="DDT990" s="124"/>
      <c r="DDU990" s="124"/>
      <c r="DDV990" s="124"/>
      <c r="DDW990" s="124"/>
      <c r="DDX990" s="124"/>
      <c r="DDY990" s="124"/>
      <c r="DDZ990" s="124"/>
      <c r="DEA990" s="124"/>
      <c r="DEB990" s="124"/>
      <c r="DEC990" s="124"/>
      <c r="DED990" s="124"/>
      <c r="DEE990" s="124"/>
      <c r="DEF990" s="124"/>
      <c r="DEG990" s="124"/>
      <c r="DEH990" s="124"/>
      <c r="DEI990" s="124"/>
      <c r="DEJ990" s="124"/>
      <c r="DEK990" s="124"/>
      <c r="DEL990" s="124"/>
      <c r="DEM990" s="124"/>
      <c r="DEN990" s="124"/>
      <c r="DEO990" s="124"/>
      <c r="DEP990" s="124"/>
      <c r="DEQ990" s="124"/>
      <c r="DER990" s="124"/>
      <c r="DES990" s="124"/>
      <c r="DET990" s="124"/>
      <c r="DEU990" s="124"/>
      <c r="DEV990" s="124"/>
      <c r="DEW990" s="124"/>
      <c r="DEX990" s="124"/>
      <c r="DEY990" s="124"/>
      <c r="DEZ990" s="124"/>
      <c r="DFA990" s="124"/>
      <c r="DFB990" s="124"/>
      <c r="DFC990" s="124"/>
      <c r="DFD990" s="124"/>
      <c r="DFE990" s="124"/>
      <c r="DFF990" s="124"/>
      <c r="DFG990" s="124"/>
      <c r="DFH990" s="124"/>
      <c r="DFI990" s="124"/>
      <c r="DFJ990" s="124"/>
      <c r="DFK990" s="124"/>
      <c r="DFL990" s="124"/>
      <c r="DFM990" s="124"/>
      <c r="DFN990" s="124"/>
      <c r="DFO990" s="124"/>
      <c r="DFP990" s="124"/>
      <c r="DFQ990" s="124"/>
      <c r="DFR990" s="124"/>
      <c r="DFS990" s="124"/>
      <c r="DFT990" s="124"/>
      <c r="DFU990" s="124"/>
      <c r="DFV990" s="124"/>
      <c r="DFW990" s="124"/>
      <c r="DFX990" s="124"/>
      <c r="DFY990" s="124"/>
      <c r="DFZ990" s="124"/>
      <c r="DGA990" s="124"/>
      <c r="DGB990" s="124"/>
      <c r="DGC990" s="124"/>
      <c r="DGD990" s="124"/>
      <c r="DGE990" s="124"/>
      <c r="DGF990" s="124"/>
      <c r="DGG990" s="124"/>
      <c r="DGH990" s="124"/>
      <c r="DGI990" s="124"/>
      <c r="DGJ990" s="124"/>
      <c r="DGK990" s="124"/>
      <c r="DGL990" s="124"/>
      <c r="DGM990" s="124"/>
      <c r="DGN990" s="124"/>
      <c r="DGO990" s="124"/>
      <c r="DGP990" s="124"/>
      <c r="DGQ990" s="124"/>
      <c r="DGR990" s="124"/>
      <c r="DGS990" s="124"/>
      <c r="DGT990" s="124"/>
      <c r="DGU990" s="124"/>
      <c r="DGV990" s="124"/>
      <c r="DGW990" s="124"/>
      <c r="DGX990" s="124"/>
      <c r="DGY990" s="124"/>
      <c r="DGZ990" s="124"/>
      <c r="DHA990" s="124"/>
      <c r="DHB990" s="124"/>
      <c r="DHC990" s="124"/>
      <c r="DHD990" s="124"/>
      <c r="DHE990" s="124"/>
      <c r="DHF990" s="124"/>
      <c r="DHG990" s="124"/>
      <c r="DHH990" s="124"/>
      <c r="DHI990" s="124"/>
      <c r="DHJ990" s="124"/>
      <c r="DHK990" s="124"/>
      <c r="DHL990" s="124"/>
      <c r="DHM990" s="124"/>
      <c r="DHN990" s="124"/>
      <c r="DHO990" s="124"/>
      <c r="DHP990" s="124"/>
      <c r="DHQ990" s="124"/>
      <c r="DHR990" s="124"/>
      <c r="DHS990" s="124"/>
      <c r="DHT990" s="124"/>
      <c r="DHU990" s="124"/>
      <c r="DHV990" s="124"/>
      <c r="DHW990" s="124"/>
      <c r="DHX990" s="124"/>
      <c r="DHY990" s="124"/>
      <c r="DHZ990" s="124"/>
      <c r="DIA990" s="124"/>
      <c r="DIB990" s="124"/>
      <c r="DIC990" s="124"/>
      <c r="DID990" s="124"/>
      <c r="DIE990" s="124"/>
      <c r="DIF990" s="124"/>
      <c r="DIG990" s="124"/>
      <c r="DIH990" s="124"/>
      <c r="DII990" s="124"/>
      <c r="DIJ990" s="124"/>
      <c r="DIK990" s="124"/>
      <c r="DIL990" s="124"/>
      <c r="DIM990" s="124"/>
      <c r="DIN990" s="124"/>
      <c r="DIO990" s="124"/>
      <c r="DIP990" s="124"/>
      <c r="DIQ990" s="124"/>
      <c r="DIR990" s="124"/>
      <c r="DIS990" s="124"/>
      <c r="DIT990" s="124"/>
      <c r="DIU990" s="124"/>
      <c r="DIV990" s="124"/>
      <c r="DIW990" s="124"/>
      <c r="DIX990" s="124"/>
      <c r="DIY990" s="124"/>
      <c r="DIZ990" s="124"/>
      <c r="DJA990" s="124"/>
      <c r="DJB990" s="124"/>
      <c r="DJC990" s="124"/>
      <c r="DJD990" s="124"/>
      <c r="DJE990" s="124"/>
      <c r="DJF990" s="124"/>
      <c r="DJG990" s="124"/>
      <c r="DJH990" s="124"/>
      <c r="DJI990" s="124"/>
      <c r="DJJ990" s="124"/>
      <c r="DJK990" s="124"/>
      <c r="DJL990" s="124"/>
      <c r="DJM990" s="124"/>
      <c r="DJN990" s="124"/>
      <c r="DJO990" s="124"/>
      <c r="DJP990" s="124"/>
      <c r="DJQ990" s="124"/>
      <c r="DJR990" s="124"/>
      <c r="DJS990" s="124"/>
      <c r="DJT990" s="124"/>
      <c r="DJU990" s="124"/>
      <c r="DJV990" s="124"/>
      <c r="DJW990" s="124"/>
      <c r="DJX990" s="124"/>
      <c r="DJY990" s="124"/>
      <c r="DJZ990" s="124"/>
      <c r="DKA990" s="124"/>
      <c r="DKB990" s="124"/>
      <c r="DKC990" s="124"/>
      <c r="DKD990" s="124"/>
      <c r="DKE990" s="124"/>
      <c r="DKF990" s="124"/>
      <c r="DKG990" s="124"/>
      <c r="DKH990" s="124"/>
      <c r="DKI990" s="124"/>
      <c r="DKJ990" s="124"/>
      <c r="DKK990" s="124"/>
      <c r="DKL990" s="124"/>
      <c r="DKM990" s="124"/>
      <c r="DKN990" s="124"/>
      <c r="DKO990" s="124"/>
      <c r="DKP990" s="124"/>
      <c r="DKQ990" s="124"/>
      <c r="DKR990" s="124"/>
      <c r="DKS990" s="124"/>
      <c r="DKT990" s="124"/>
      <c r="DKU990" s="124"/>
      <c r="DKV990" s="124"/>
      <c r="DKW990" s="124"/>
      <c r="DKX990" s="124"/>
      <c r="DKY990" s="124"/>
      <c r="DKZ990" s="124"/>
      <c r="DLA990" s="124"/>
      <c r="DLB990" s="124"/>
      <c r="DLC990" s="124"/>
      <c r="DLD990" s="124"/>
      <c r="DLE990" s="124"/>
      <c r="DLF990" s="124"/>
      <c r="DLG990" s="124"/>
      <c r="DLH990" s="124"/>
      <c r="DLI990" s="124"/>
      <c r="DLJ990" s="124"/>
      <c r="DLK990" s="124"/>
      <c r="DLL990" s="124"/>
      <c r="DLM990" s="124"/>
      <c r="DLN990" s="124"/>
      <c r="DLO990" s="124"/>
      <c r="DLP990" s="124"/>
      <c r="DLQ990" s="124"/>
      <c r="DLR990" s="124"/>
      <c r="DLS990" s="124"/>
      <c r="DLT990" s="124"/>
      <c r="DLU990" s="124"/>
      <c r="DLV990" s="124"/>
      <c r="DLW990" s="124"/>
      <c r="DLX990" s="124"/>
      <c r="DLY990" s="124"/>
      <c r="DLZ990" s="124"/>
      <c r="DMA990" s="124"/>
      <c r="DMB990" s="124"/>
      <c r="DMC990" s="124"/>
      <c r="DMD990" s="124"/>
      <c r="DME990" s="124"/>
      <c r="DMF990" s="124"/>
      <c r="DMG990" s="124"/>
      <c r="DMH990" s="124"/>
      <c r="DMI990" s="124"/>
      <c r="DMJ990" s="124"/>
      <c r="DMK990" s="124"/>
      <c r="DML990" s="124"/>
      <c r="DMM990" s="124"/>
      <c r="DMN990" s="124"/>
      <c r="DMO990" s="124"/>
      <c r="DMP990" s="124"/>
      <c r="DMQ990" s="124"/>
      <c r="DMR990" s="124"/>
      <c r="DMS990" s="124"/>
      <c r="DMT990" s="124"/>
      <c r="DMU990" s="124"/>
      <c r="DMV990" s="124"/>
      <c r="DMW990" s="124"/>
      <c r="DMX990" s="124"/>
      <c r="DMY990" s="124"/>
      <c r="DMZ990" s="124"/>
      <c r="DNA990" s="124"/>
      <c r="DNB990" s="124"/>
      <c r="DNC990" s="124"/>
      <c r="DND990" s="124"/>
      <c r="DNE990" s="124"/>
      <c r="DNF990" s="124"/>
      <c r="DNG990" s="124"/>
      <c r="DNH990" s="124"/>
      <c r="DNI990" s="124"/>
      <c r="DNJ990" s="124"/>
      <c r="DNK990" s="124"/>
      <c r="DNL990" s="124"/>
      <c r="DNM990" s="124"/>
      <c r="DNN990" s="124"/>
      <c r="DNO990" s="124"/>
      <c r="DNP990" s="124"/>
      <c r="DNQ990" s="124"/>
      <c r="DNR990" s="124"/>
      <c r="DNS990" s="124"/>
      <c r="DNT990" s="124"/>
      <c r="DNU990" s="124"/>
      <c r="DNV990" s="124"/>
      <c r="DNW990" s="124"/>
      <c r="DNX990" s="124"/>
      <c r="DNY990" s="124"/>
      <c r="DNZ990" s="124"/>
      <c r="DOA990" s="124"/>
      <c r="DOB990" s="124"/>
      <c r="DOC990" s="124"/>
      <c r="DOD990" s="124"/>
      <c r="DOE990" s="124"/>
      <c r="DOF990" s="124"/>
      <c r="DOG990" s="124"/>
      <c r="DOH990" s="124"/>
      <c r="DOI990" s="124"/>
      <c r="DOJ990" s="124"/>
      <c r="DOK990" s="124"/>
      <c r="DOL990" s="124"/>
      <c r="DOM990" s="124"/>
      <c r="DON990" s="124"/>
      <c r="DOO990" s="124"/>
      <c r="DOP990" s="124"/>
      <c r="DOQ990" s="124"/>
      <c r="DOR990" s="124"/>
      <c r="DOS990" s="124"/>
      <c r="DOT990" s="124"/>
      <c r="DOU990" s="124"/>
      <c r="DOV990" s="124"/>
      <c r="DOW990" s="124"/>
      <c r="DOX990" s="124"/>
      <c r="DOY990" s="124"/>
      <c r="DOZ990" s="124"/>
      <c r="DPA990" s="124"/>
      <c r="DPB990" s="124"/>
      <c r="DPC990" s="124"/>
      <c r="DPD990" s="124"/>
      <c r="DPE990" s="124"/>
      <c r="DPF990" s="124"/>
      <c r="DPG990" s="124"/>
      <c r="DPH990" s="124"/>
      <c r="DPI990" s="124"/>
      <c r="DPJ990" s="124"/>
      <c r="DPK990" s="124"/>
      <c r="DPL990" s="124"/>
      <c r="DPM990" s="124"/>
      <c r="DPN990" s="124"/>
      <c r="DPO990" s="124"/>
      <c r="DPP990" s="124"/>
      <c r="DPQ990" s="124"/>
      <c r="DPR990" s="124"/>
      <c r="DPS990" s="124"/>
      <c r="DPT990" s="124"/>
      <c r="DPU990" s="124"/>
      <c r="DPV990" s="124"/>
      <c r="DPW990" s="124"/>
      <c r="DPX990" s="124"/>
      <c r="DPY990" s="124"/>
      <c r="DPZ990" s="124"/>
      <c r="DQA990" s="124"/>
      <c r="DQB990" s="124"/>
      <c r="DQC990" s="124"/>
      <c r="DQD990" s="124"/>
      <c r="DQE990" s="124"/>
      <c r="DQF990" s="124"/>
      <c r="DQG990" s="124"/>
      <c r="DQH990" s="124"/>
      <c r="DQI990" s="124"/>
      <c r="DQJ990" s="124"/>
      <c r="DQK990" s="124"/>
      <c r="DQL990" s="124"/>
      <c r="DQM990" s="124"/>
      <c r="DQN990" s="124"/>
      <c r="DQO990" s="124"/>
      <c r="DQP990" s="124"/>
      <c r="DQQ990" s="124"/>
      <c r="DQR990" s="124"/>
      <c r="DQS990" s="124"/>
      <c r="DQT990" s="124"/>
      <c r="DQU990" s="124"/>
      <c r="DQV990" s="124"/>
      <c r="DQW990" s="124"/>
      <c r="DQX990" s="124"/>
      <c r="DQY990" s="124"/>
      <c r="DQZ990" s="124"/>
      <c r="DRA990" s="124"/>
      <c r="DRB990" s="124"/>
      <c r="DRC990" s="124"/>
      <c r="DRD990" s="124"/>
      <c r="DRE990" s="124"/>
      <c r="DRF990" s="124"/>
      <c r="DRG990" s="124"/>
      <c r="DRH990" s="124"/>
      <c r="DRI990" s="124"/>
      <c r="DRJ990" s="124"/>
      <c r="DRK990" s="124"/>
      <c r="DRL990" s="124"/>
      <c r="DRM990" s="124"/>
      <c r="DRN990" s="124"/>
      <c r="DRO990" s="124"/>
      <c r="DRP990" s="124"/>
      <c r="DRQ990" s="124"/>
      <c r="DRR990" s="124"/>
      <c r="DRS990" s="124"/>
      <c r="DRT990" s="124"/>
      <c r="DRU990" s="124"/>
      <c r="DRV990" s="124"/>
      <c r="DRW990" s="124"/>
      <c r="DRX990" s="124"/>
      <c r="DRY990" s="124"/>
      <c r="DRZ990" s="124"/>
      <c r="DSA990" s="124"/>
      <c r="DSB990" s="124"/>
      <c r="DSC990" s="124"/>
      <c r="DSD990" s="124"/>
      <c r="DSE990" s="124"/>
      <c r="DSF990" s="124"/>
      <c r="DSG990" s="124"/>
      <c r="DSH990" s="124"/>
      <c r="DSI990" s="124"/>
      <c r="DSJ990" s="124"/>
      <c r="DSK990" s="124"/>
      <c r="DSL990" s="124"/>
      <c r="DSM990" s="124"/>
      <c r="DSN990" s="124"/>
      <c r="DSO990" s="124"/>
      <c r="DSP990" s="124"/>
      <c r="DSQ990" s="124"/>
      <c r="DSR990" s="124"/>
      <c r="DSS990" s="124"/>
      <c r="DST990" s="124"/>
      <c r="DSU990" s="124"/>
      <c r="DSV990" s="124"/>
      <c r="DSW990" s="124"/>
      <c r="DSX990" s="124"/>
      <c r="DSY990" s="124"/>
      <c r="DSZ990" s="124"/>
      <c r="DTA990" s="124"/>
      <c r="DTB990" s="124"/>
      <c r="DTC990" s="124"/>
      <c r="DTD990" s="124"/>
      <c r="DTE990" s="124"/>
      <c r="DTF990" s="124"/>
      <c r="DTG990" s="124"/>
      <c r="DTH990" s="124"/>
      <c r="DTI990" s="124"/>
      <c r="DTJ990" s="124"/>
      <c r="DTK990" s="124"/>
      <c r="DTL990" s="124"/>
      <c r="DTM990" s="124"/>
      <c r="DTN990" s="124"/>
      <c r="DTO990" s="124"/>
      <c r="DTP990" s="124"/>
      <c r="DTQ990" s="124"/>
      <c r="DTR990" s="124"/>
      <c r="DTS990" s="124"/>
      <c r="DTT990" s="124"/>
      <c r="DTU990" s="124"/>
      <c r="DTV990" s="124"/>
      <c r="DTW990" s="124"/>
      <c r="DTX990" s="124"/>
      <c r="DTY990" s="124"/>
      <c r="DTZ990" s="124"/>
      <c r="DUA990" s="124"/>
      <c r="DUB990" s="124"/>
      <c r="DUC990" s="124"/>
      <c r="DUD990" s="124"/>
      <c r="DUE990" s="124"/>
      <c r="DUF990" s="124"/>
      <c r="DUG990" s="124"/>
      <c r="DUH990" s="124"/>
      <c r="DUI990" s="124"/>
      <c r="DUJ990" s="124"/>
      <c r="DUK990" s="124"/>
      <c r="DUL990" s="124"/>
      <c r="DUM990" s="124"/>
      <c r="DUN990" s="124"/>
      <c r="DUO990" s="124"/>
      <c r="DUP990" s="124"/>
      <c r="DUQ990" s="124"/>
      <c r="DUR990" s="124"/>
      <c r="DUS990" s="124"/>
      <c r="DUT990" s="124"/>
      <c r="DUU990" s="124"/>
      <c r="DUV990" s="124"/>
      <c r="DUW990" s="124"/>
      <c r="DUX990" s="124"/>
      <c r="DUY990" s="124"/>
      <c r="DUZ990" s="124"/>
      <c r="DVA990" s="124"/>
      <c r="DVB990" s="124"/>
      <c r="DVC990" s="124"/>
      <c r="DVD990" s="124"/>
      <c r="DVE990" s="124"/>
      <c r="DVF990" s="124"/>
      <c r="DVG990" s="124"/>
      <c r="DVH990" s="124"/>
      <c r="DVI990" s="124"/>
      <c r="DVJ990" s="124"/>
      <c r="DVK990" s="124"/>
      <c r="DVL990" s="124"/>
      <c r="DVM990" s="124"/>
      <c r="DVN990" s="124"/>
      <c r="DVO990" s="124"/>
      <c r="DVP990" s="124"/>
      <c r="DVQ990" s="124"/>
      <c r="DVR990" s="124"/>
      <c r="DVS990" s="124"/>
      <c r="DVT990" s="124"/>
      <c r="DVU990" s="124"/>
      <c r="DVV990" s="124"/>
      <c r="DVW990" s="124"/>
      <c r="DVX990" s="124"/>
      <c r="DVY990" s="124"/>
      <c r="DVZ990" s="124"/>
      <c r="DWA990" s="124"/>
      <c r="DWB990" s="124"/>
      <c r="DWC990" s="124"/>
      <c r="DWD990" s="124"/>
      <c r="DWE990" s="124"/>
      <c r="DWF990" s="124"/>
      <c r="DWG990" s="124"/>
      <c r="DWH990" s="124"/>
      <c r="DWI990" s="124"/>
      <c r="DWJ990" s="124"/>
      <c r="DWK990" s="124"/>
      <c r="DWL990" s="124"/>
      <c r="DWM990" s="124"/>
      <c r="DWN990" s="124"/>
      <c r="DWO990" s="124"/>
      <c r="DWP990" s="124"/>
      <c r="DWQ990" s="124"/>
      <c r="DWR990" s="124"/>
      <c r="DWS990" s="124"/>
      <c r="DWT990" s="124"/>
      <c r="DWU990" s="124"/>
      <c r="DWV990" s="124"/>
      <c r="DWW990" s="124"/>
      <c r="DWX990" s="124"/>
      <c r="DWY990" s="124"/>
      <c r="DWZ990" s="124"/>
      <c r="DXA990" s="124"/>
      <c r="DXB990" s="124"/>
      <c r="DXC990" s="124"/>
      <c r="DXD990" s="124"/>
      <c r="DXE990" s="124"/>
      <c r="DXF990" s="124"/>
      <c r="DXG990" s="124"/>
      <c r="DXH990" s="124"/>
      <c r="DXI990" s="124"/>
      <c r="DXJ990" s="124"/>
      <c r="DXK990" s="124"/>
      <c r="DXL990" s="124"/>
      <c r="DXM990" s="124"/>
      <c r="DXN990" s="124"/>
      <c r="DXO990" s="124"/>
      <c r="DXP990" s="124"/>
      <c r="DXQ990" s="124"/>
      <c r="DXR990" s="124"/>
      <c r="DXS990" s="124"/>
      <c r="DXT990" s="124"/>
      <c r="DXU990" s="124"/>
      <c r="DXV990" s="124"/>
      <c r="DXW990" s="124"/>
      <c r="DXX990" s="124"/>
      <c r="DXY990" s="124"/>
      <c r="DXZ990" s="124"/>
      <c r="DYA990" s="124"/>
      <c r="DYB990" s="124"/>
      <c r="DYC990" s="124"/>
      <c r="DYD990" s="124"/>
      <c r="DYE990" s="124"/>
      <c r="DYF990" s="124"/>
      <c r="DYG990" s="124"/>
      <c r="DYH990" s="124"/>
      <c r="DYI990" s="124"/>
      <c r="DYJ990" s="124"/>
      <c r="DYK990" s="124"/>
      <c r="DYL990" s="124"/>
      <c r="DYM990" s="124"/>
      <c r="DYN990" s="124"/>
      <c r="DYO990" s="124"/>
      <c r="DYP990" s="124"/>
      <c r="DYQ990" s="124"/>
      <c r="DYR990" s="124"/>
      <c r="DYS990" s="124"/>
      <c r="DYT990" s="124"/>
      <c r="DYU990" s="124"/>
      <c r="DYV990" s="124"/>
      <c r="DYW990" s="124"/>
      <c r="DYX990" s="124"/>
      <c r="DYY990" s="124"/>
      <c r="DYZ990" s="124"/>
      <c r="DZA990" s="124"/>
      <c r="DZB990" s="124"/>
      <c r="DZC990" s="124"/>
      <c r="DZD990" s="124"/>
      <c r="DZE990" s="124"/>
      <c r="DZF990" s="124"/>
      <c r="DZG990" s="124"/>
      <c r="DZH990" s="124"/>
      <c r="DZI990" s="124"/>
      <c r="DZJ990" s="124"/>
      <c r="DZK990" s="124"/>
      <c r="DZL990" s="124"/>
      <c r="DZM990" s="124"/>
      <c r="DZN990" s="124"/>
      <c r="DZO990" s="124"/>
      <c r="DZP990" s="124"/>
      <c r="DZQ990" s="124"/>
      <c r="DZR990" s="124"/>
      <c r="DZS990" s="124"/>
      <c r="DZT990" s="124"/>
      <c r="DZU990" s="124"/>
      <c r="DZV990" s="124"/>
      <c r="DZW990" s="124"/>
      <c r="DZX990" s="124"/>
      <c r="DZY990" s="124"/>
      <c r="DZZ990" s="124"/>
      <c r="EAA990" s="124"/>
      <c r="EAB990" s="124"/>
      <c r="EAC990" s="124"/>
      <c r="EAD990" s="124"/>
      <c r="EAE990" s="124"/>
      <c r="EAF990" s="124"/>
      <c r="EAG990" s="124"/>
      <c r="EAH990" s="124"/>
      <c r="EAI990" s="124"/>
      <c r="EAJ990" s="124"/>
      <c r="EAK990" s="124"/>
      <c r="EAL990" s="124"/>
      <c r="EAM990" s="124"/>
      <c r="EAN990" s="124"/>
      <c r="EAO990" s="124"/>
      <c r="EAP990" s="124"/>
      <c r="EAQ990" s="124"/>
      <c r="EAR990" s="124"/>
      <c r="EAS990" s="124"/>
      <c r="EAT990" s="124"/>
      <c r="EAU990" s="124"/>
      <c r="EAV990" s="124"/>
      <c r="EAW990" s="124"/>
      <c r="EAX990" s="124"/>
      <c r="EAY990" s="124"/>
      <c r="EAZ990" s="124"/>
      <c r="EBA990" s="124"/>
      <c r="EBB990" s="124"/>
      <c r="EBC990" s="124"/>
      <c r="EBD990" s="124"/>
      <c r="EBE990" s="124"/>
      <c r="EBF990" s="124"/>
      <c r="EBG990" s="124"/>
      <c r="EBH990" s="124"/>
      <c r="EBI990" s="124"/>
      <c r="EBJ990" s="124"/>
      <c r="EBK990" s="124"/>
      <c r="EBL990" s="124"/>
      <c r="EBM990" s="124"/>
      <c r="EBN990" s="124"/>
      <c r="EBO990" s="124"/>
      <c r="EBP990" s="124"/>
      <c r="EBQ990" s="124"/>
      <c r="EBR990" s="124"/>
      <c r="EBS990" s="124"/>
      <c r="EBT990" s="124"/>
      <c r="EBU990" s="124"/>
      <c r="EBV990" s="124"/>
      <c r="EBW990" s="124"/>
      <c r="EBX990" s="124"/>
      <c r="EBY990" s="124"/>
      <c r="EBZ990" s="124"/>
      <c r="ECA990" s="124"/>
      <c r="ECB990" s="124"/>
      <c r="ECC990" s="124"/>
      <c r="ECD990" s="124"/>
      <c r="ECE990" s="124"/>
      <c r="ECF990" s="124"/>
      <c r="ECG990" s="124"/>
      <c r="ECH990" s="124"/>
      <c r="ECI990" s="124"/>
      <c r="ECJ990" s="124"/>
      <c r="ECK990" s="124"/>
      <c r="ECL990" s="124"/>
      <c r="ECM990" s="124"/>
      <c r="ECN990" s="124"/>
      <c r="ECO990" s="124"/>
      <c r="ECP990" s="124"/>
      <c r="ECQ990" s="124"/>
      <c r="ECR990" s="124"/>
      <c r="ECS990" s="124"/>
      <c r="ECT990" s="124"/>
      <c r="ECU990" s="124"/>
      <c r="ECV990" s="124"/>
      <c r="ECW990" s="124"/>
      <c r="ECX990" s="124"/>
      <c r="ECY990" s="124"/>
      <c r="ECZ990" s="124"/>
      <c r="EDA990" s="124"/>
      <c r="EDB990" s="124"/>
      <c r="EDC990" s="124"/>
      <c r="EDD990" s="124"/>
      <c r="EDE990" s="124"/>
      <c r="EDF990" s="124"/>
      <c r="EDG990" s="124"/>
      <c r="EDH990" s="124"/>
      <c r="EDI990" s="124"/>
      <c r="EDJ990" s="124"/>
      <c r="EDK990" s="124"/>
      <c r="EDL990" s="124"/>
      <c r="EDM990" s="124"/>
      <c r="EDN990" s="124"/>
      <c r="EDO990" s="124"/>
      <c r="EDP990" s="124"/>
      <c r="EDQ990" s="124"/>
      <c r="EDR990" s="124"/>
      <c r="EDS990" s="124"/>
      <c r="EDT990" s="124"/>
      <c r="EDU990" s="124"/>
      <c r="EDV990" s="124"/>
      <c r="EDW990" s="124"/>
      <c r="EDX990" s="124"/>
      <c r="EDY990" s="124"/>
      <c r="EDZ990" s="124"/>
      <c r="EEA990" s="124"/>
      <c r="EEB990" s="124"/>
      <c r="EEC990" s="124"/>
      <c r="EED990" s="124"/>
      <c r="EEE990" s="124"/>
      <c r="EEF990" s="124"/>
      <c r="EEG990" s="124"/>
      <c r="EEH990" s="124"/>
      <c r="EEI990" s="124"/>
      <c r="EEJ990" s="124"/>
      <c r="EEK990" s="124"/>
      <c r="EEL990" s="124"/>
      <c r="EEM990" s="124"/>
      <c r="EEN990" s="124"/>
      <c r="EEO990" s="124"/>
      <c r="EEP990" s="124"/>
      <c r="EEQ990" s="124"/>
      <c r="EER990" s="124"/>
      <c r="EES990" s="124"/>
      <c r="EET990" s="124"/>
      <c r="EEU990" s="124"/>
      <c r="EEV990" s="124"/>
      <c r="EEW990" s="124"/>
      <c r="EEX990" s="124"/>
      <c r="EEY990" s="124"/>
      <c r="EEZ990" s="124"/>
      <c r="EFA990" s="124"/>
      <c r="EFB990" s="124"/>
      <c r="EFC990" s="124"/>
      <c r="EFD990" s="124"/>
      <c r="EFE990" s="124"/>
      <c r="EFF990" s="124"/>
      <c r="EFG990" s="124"/>
      <c r="EFH990" s="124"/>
      <c r="EFI990" s="124"/>
      <c r="EFJ990" s="124"/>
      <c r="EFK990" s="124"/>
      <c r="EFL990" s="124"/>
      <c r="EFM990" s="124"/>
      <c r="EFN990" s="124"/>
      <c r="EFO990" s="124"/>
      <c r="EFP990" s="124"/>
      <c r="EFQ990" s="124"/>
      <c r="EFR990" s="124"/>
      <c r="EFS990" s="124"/>
      <c r="EFT990" s="124"/>
      <c r="EFU990" s="124"/>
      <c r="EFV990" s="124"/>
      <c r="EFW990" s="124"/>
      <c r="EFX990" s="124"/>
      <c r="EFY990" s="124"/>
      <c r="EFZ990" s="124"/>
      <c r="EGA990" s="124"/>
      <c r="EGB990" s="124"/>
      <c r="EGC990" s="124"/>
      <c r="EGD990" s="124"/>
      <c r="EGE990" s="124"/>
      <c r="EGF990" s="124"/>
      <c r="EGG990" s="124"/>
      <c r="EGH990" s="124"/>
      <c r="EGI990" s="124"/>
      <c r="EGJ990" s="124"/>
      <c r="EGK990" s="124"/>
      <c r="EGL990" s="124"/>
      <c r="EGM990" s="124"/>
      <c r="EGN990" s="124"/>
      <c r="EGO990" s="124"/>
      <c r="EGP990" s="124"/>
      <c r="EGQ990" s="124"/>
      <c r="EGR990" s="124"/>
      <c r="EGS990" s="124"/>
      <c r="EGT990" s="124"/>
      <c r="EGU990" s="124"/>
      <c r="EGV990" s="124"/>
      <c r="EGW990" s="124"/>
      <c r="EGX990" s="124"/>
      <c r="EGY990" s="124"/>
      <c r="EGZ990" s="124"/>
      <c r="EHA990" s="124"/>
      <c r="EHB990" s="124"/>
      <c r="EHC990" s="124"/>
      <c r="EHD990" s="124"/>
      <c r="EHE990" s="124"/>
      <c r="EHF990" s="124"/>
      <c r="EHG990" s="124"/>
      <c r="EHH990" s="124"/>
      <c r="EHI990" s="124"/>
      <c r="EHJ990" s="124"/>
      <c r="EHK990" s="124"/>
      <c r="EHL990" s="124"/>
      <c r="EHM990" s="124"/>
      <c r="EHN990" s="124"/>
      <c r="EHO990" s="124"/>
      <c r="EHP990" s="124"/>
      <c r="EHQ990" s="124"/>
      <c r="EHR990" s="124"/>
      <c r="EHS990" s="124"/>
      <c r="EHT990" s="124"/>
      <c r="EHU990" s="124"/>
      <c r="EHV990" s="124"/>
      <c r="EHW990" s="124"/>
      <c r="EHX990" s="124"/>
      <c r="EHY990" s="124"/>
      <c r="EHZ990" s="124"/>
      <c r="EIA990" s="124"/>
      <c r="EIB990" s="124"/>
      <c r="EIC990" s="124"/>
      <c r="EID990" s="124"/>
      <c r="EIE990" s="124"/>
      <c r="EIF990" s="124"/>
      <c r="EIG990" s="124"/>
      <c r="EIH990" s="124"/>
      <c r="EII990" s="124"/>
      <c r="EIJ990" s="124"/>
      <c r="EIK990" s="124"/>
      <c r="EIL990" s="124"/>
      <c r="EIM990" s="124"/>
      <c r="EIN990" s="124"/>
      <c r="EIO990" s="124"/>
      <c r="EIP990" s="124"/>
      <c r="EIQ990" s="124"/>
      <c r="EIR990" s="124"/>
      <c r="EIS990" s="124"/>
      <c r="EIT990" s="124"/>
      <c r="EIU990" s="124"/>
      <c r="EIV990" s="124"/>
      <c r="EIW990" s="124"/>
      <c r="EIX990" s="124"/>
      <c r="EIY990" s="124"/>
      <c r="EIZ990" s="124"/>
      <c r="EJA990" s="124"/>
      <c r="EJB990" s="124"/>
      <c r="EJC990" s="124"/>
      <c r="EJD990" s="124"/>
      <c r="EJE990" s="124"/>
      <c r="EJF990" s="124"/>
      <c r="EJG990" s="124"/>
      <c r="EJH990" s="124"/>
      <c r="EJI990" s="124"/>
      <c r="EJJ990" s="124"/>
      <c r="EJK990" s="124"/>
      <c r="EJL990" s="124"/>
      <c r="EJM990" s="124"/>
      <c r="EJN990" s="124"/>
      <c r="EJO990" s="124"/>
      <c r="EJP990" s="124"/>
      <c r="EJQ990" s="124"/>
      <c r="EJR990" s="124"/>
      <c r="EJS990" s="124"/>
      <c r="EJT990" s="124"/>
      <c r="EJU990" s="124"/>
      <c r="EJV990" s="124"/>
      <c r="EJW990" s="124"/>
      <c r="EJX990" s="124"/>
      <c r="EJY990" s="124"/>
      <c r="EJZ990" s="124"/>
      <c r="EKA990" s="124"/>
      <c r="EKB990" s="124"/>
      <c r="EKC990" s="124"/>
      <c r="EKD990" s="124"/>
      <c r="EKE990" s="124"/>
      <c r="EKF990" s="124"/>
      <c r="EKG990" s="124"/>
      <c r="EKH990" s="124"/>
      <c r="EKI990" s="124"/>
      <c r="EKJ990" s="124"/>
      <c r="EKK990" s="124"/>
      <c r="EKL990" s="124"/>
      <c r="EKM990" s="124"/>
      <c r="EKN990" s="124"/>
      <c r="EKO990" s="124"/>
      <c r="EKP990" s="124"/>
      <c r="EKQ990" s="124"/>
      <c r="EKR990" s="124"/>
      <c r="EKS990" s="124"/>
      <c r="EKT990" s="124"/>
      <c r="EKU990" s="124"/>
      <c r="EKV990" s="124"/>
      <c r="EKW990" s="124"/>
      <c r="EKX990" s="124"/>
      <c r="EKY990" s="124"/>
      <c r="EKZ990" s="124"/>
      <c r="ELA990" s="124"/>
      <c r="ELB990" s="124"/>
      <c r="ELC990" s="124"/>
      <c r="ELD990" s="124"/>
      <c r="ELE990" s="124"/>
      <c r="ELF990" s="124"/>
      <c r="ELG990" s="124"/>
      <c r="ELH990" s="124"/>
      <c r="ELI990" s="124"/>
      <c r="ELJ990" s="124"/>
      <c r="ELK990" s="124"/>
      <c r="ELL990" s="124"/>
      <c r="ELM990" s="124"/>
      <c r="ELN990" s="124"/>
      <c r="ELO990" s="124"/>
      <c r="ELP990" s="124"/>
      <c r="ELQ990" s="124"/>
      <c r="ELR990" s="124"/>
      <c r="ELS990" s="124"/>
      <c r="ELT990" s="124"/>
      <c r="ELU990" s="124"/>
      <c r="ELV990" s="124"/>
      <c r="ELW990" s="124"/>
      <c r="ELX990" s="124"/>
      <c r="ELY990" s="124"/>
      <c r="ELZ990" s="124"/>
      <c r="EMA990" s="124"/>
      <c r="EMB990" s="124"/>
      <c r="EMC990" s="124"/>
      <c r="EMD990" s="124"/>
      <c r="EME990" s="124"/>
      <c r="EMF990" s="124"/>
      <c r="EMG990" s="124"/>
      <c r="EMH990" s="124"/>
      <c r="EMI990" s="124"/>
      <c r="EMJ990" s="124"/>
      <c r="EMK990" s="124"/>
      <c r="EML990" s="124"/>
      <c r="EMM990" s="124"/>
      <c r="EMN990" s="124"/>
      <c r="EMO990" s="124"/>
      <c r="EMP990" s="124"/>
      <c r="EMQ990" s="124"/>
      <c r="EMR990" s="124"/>
      <c r="EMS990" s="124"/>
      <c r="EMT990" s="124"/>
      <c r="EMU990" s="124"/>
      <c r="EMV990" s="124"/>
      <c r="EMW990" s="124"/>
      <c r="EMX990" s="124"/>
      <c r="EMY990" s="124"/>
      <c r="EMZ990" s="124"/>
      <c r="ENA990" s="124"/>
      <c r="ENB990" s="124"/>
      <c r="ENC990" s="124"/>
      <c r="END990" s="124"/>
      <c r="ENE990" s="124"/>
      <c r="ENF990" s="124"/>
      <c r="ENG990" s="124"/>
      <c r="ENH990" s="124"/>
      <c r="ENI990" s="124"/>
      <c r="ENJ990" s="124"/>
      <c r="ENK990" s="124"/>
      <c r="ENL990" s="124"/>
      <c r="ENM990" s="124"/>
      <c r="ENN990" s="124"/>
      <c r="ENO990" s="124"/>
      <c r="ENP990" s="124"/>
      <c r="ENQ990" s="124"/>
      <c r="ENR990" s="124"/>
      <c r="ENS990" s="124"/>
      <c r="ENT990" s="124"/>
      <c r="ENU990" s="124"/>
      <c r="ENV990" s="124"/>
      <c r="ENW990" s="124"/>
      <c r="ENX990" s="124"/>
      <c r="ENY990" s="124"/>
      <c r="ENZ990" s="124"/>
      <c r="EOA990" s="124"/>
      <c r="EOB990" s="124"/>
      <c r="EOC990" s="124"/>
      <c r="EOD990" s="124"/>
      <c r="EOE990" s="124"/>
      <c r="EOF990" s="124"/>
      <c r="EOG990" s="124"/>
      <c r="EOH990" s="124"/>
      <c r="EOI990" s="124"/>
      <c r="EOJ990" s="124"/>
      <c r="EOK990" s="124"/>
      <c r="EOL990" s="124"/>
      <c r="EOM990" s="124"/>
      <c r="EON990" s="124"/>
      <c r="EOO990" s="124"/>
      <c r="EOP990" s="124"/>
      <c r="EOQ990" s="124"/>
      <c r="EOR990" s="124"/>
      <c r="EOS990" s="124"/>
      <c r="EOT990" s="124"/>
      <c r="EOU990" s="124"/>
      <c r="EOV990" s="124"/>
      <c r="EOW990" s="124"/>
      <c r="EOX990" s="124"/>
      <c r="EOY990" s="124"/>
      <c r="EOZ990" s="124"/>
      <c r="EPA990" s="124"/>
      <c r="EPB990" s="124"/>
      <c r="EPC990" s="124"/>
      <c r="EPD990" s="124"/>
      <c r="EPE990" s="124"/>
      <c r="EPF990" s="124"/>
      <c r="EPG990" s="124"/>
      <c r="EPH990" s="124"/>
      <c r="EPI990" s="124"/>
      <c r="EPJ990" s="124"/>
      <c r="EPK990" s="124"/>
      <c r="EPL990" s="124"/>
      <c r="EPM990" s="124"/>
      <c r="EPN990" s="124"/>
      <c r="EPO990" s="124"/>
      <c r="EPP990" s="124"/>
      <c r="EPQ990" s="124"/>
      <c r="EPR990" s="124"/>
      <c r="EPS990" s="124"/>
      <c r="EPT990" s="124"/>
      <c r="EPU990" s="124"/>
      <c r="EPV990" s="124"/>
      <c r="EPW990" s="124"/>
      <c r="EPX990" s="124"/>
      <c r="EPY990" s="124"/>
      <c r="EPZ990" s="124"/>
      <c r="EQA990" s="124"/>
      <c r="EQB990" s="124"/>
      <c r="EQC990" s="124"/>
      <c r="EQD990" s="124"/>
      <c r="EQE990" s="124"/>
      <c r="EQF990" s="124"/>
      <c r="EQG990" s="124"/>
      <c r="EQH990" s="124"/>
      <c r="EQI990" s="124"/>
      <c r="EQJ990" s="124"/>
      <c r="EQK990" s="124"/>
      <c r="EQL990" s="124"/>
      <c r="EQM990" s="124"/>
      <c r="EQN990" s="124"/>
      <c r="EQO990" s="124"/>
      <c r="EQP990" s="124"/>
      <c r="EQQ990" s="124"/>
      <c r="EQR990" s="124"/>
      <c r="EQS990" s="124"/>
      <c r="EQT990" s="124"/>
      <c r="EQU990" s="124"/>
      <c r="EQV990" s="124"/>
      <c r="EQW990" s="124"/>
      <c r="EQX990" s="124"/>
      <c r="EQY990" s="124"/>
      <c r="EQZ990" s="124"/>
      <c r="ERA990" s="124"/>
      <c r="ERB990" s="124"/>
      <c r="ERC990" s="124"/>
      <c r="ERD990" s="124"/>
      <c r="ERE990" s="124"/>
      <c r="ERF990" s="124"/>
      <c r="ERG990" s="124"/>
      <c r="ERH990" s="124"/>
      <c r="ERI990" s="124"/>
      <c r="ERJ990" s="124"/>
      <c r="ERK990" s="124"/>
      <c r="ERL990" s="124"/>
      <c r="ERM990" s="124"/>
      <c r="ERN990" s="124"/>
      <c r="ERO990" s="124"/>
      <c r="ERP990" s="124"/>
      <c r="ERQ990" s="124"/>
      <c r="ERR990" s="124"/>
      <c r="ERS990" s="124"/>
      <c r="ERT990" s="124"/>
      <c r="ERU990" s="124"/>
      <c r="ERV990" s="124"/>
      <c r="ERW990" s="124"/>
      <c r="ERX990" s="124"/>
      <c r="ERY990" s="124"/>
      <c r="ERZ990" s="124"/>
      <c r="ESA990" s="124"/>
      <c r="ESB990" s="124"/>
      <c r="ESC990" s="124"/>
      <c r="ESD990" s="124"/>
      <c r="ESE990" s="124"/>
      <c r="ESF990" s="124"/>
      <c r="ESG990" s="124"/>
      <c r="ESH990" s="124"/>
      <c r="ESI990" s="124"/>
      <c r="ESJ990" s="124"/>
      <c r="ESK990" s="124"/>
      <c r="ESL990" s="124"/>
      <c r="ESM990" s="124"/>
      <c r="ESN990" s="124"/>
      <c r="ESO990" s="124"/>
      <c r="ESP990" s="124"/>
      <c r="ESQ990" s="124"/>
      <c r="ESR990" s="124"/>
      <c r="ESS990" s="124"/>
      <c r="EST990" s="124"/>
      <c r="ESU990" s="124"/>
      <c r="ESV990" s="124"/>
      <c r="ESW990" s="124"/>
      <c r="ESX990" s="124"/>
      <c r="ESY990" s="124"/>
      <c r="ESZ990" s="124"/>
      <c r="ETA990" s="124"/>
      <c r="ETB990" s="124"/>
      <c r="ETC990" s="124"/>
      <c r="ETD990" s="124"/>
      <c r="ETE990" s="124"/>
      <c r="ETF990" s="124"/>
      <c r="ETG990" s="124"/>
      <c r="ETH990" s="124"/>
      <c r="ETI990" s="124"/>
      <c r="ETJ990" s="124"/>
      <c r="ETK990" s="124"/>
      <c r="ETL990" s="124"/>
      <c r="ETM990" s="124"/>
      <c r="ETN990" s="124"/>
      <c r="ETO990" s="124"/>
      <c r="ETP990" s="124"/>
      <c r="ETQ990" s="124"/>
      <c r="ETR990" s="124"/>
      <c r="ETS990" s="124"/>
      <c r="ETT990" s="124"/>
      <c r="ETU990" s="124"/>
      <c r="ETV990" s="124"/>
      <c r="ETW990" s="124"/>
      <c r="ETX990" s="124"/>
      <c r="ETY990" s="124"/>
      <c r="ETZ990" s="124"/>
      <c r="EUA990" s="124"/>
      <c r="EUB990" s="124"/>
      <c r="EUC990" s="124"/>
      <c r="EUD990" s="124"/>
      <c r="EUE990" s="124"/>
      <c r="EUF990" s="124"/>
      <c r="EUG990" s="124"/>
      <c r="EUH990" s="124"/>
      <c r="EUI990" s="124"/>
      <c r="EUJ990" s="124"/>
      <c r="EUK990" s="124"/>
      <c r="EUL990" s="124"/>
      <c r="EUM990" s="124"/>
      <c r="EUN990" s="124"/>
      <c r="EUO990" s="124"/>
      <c r="EUP990" s="124"/>
      <c r="EUQ990" s="124"/>
      <c r="EUR990" s="124"/>
      <c r="EUS990" s="124"/>
      <c r="EUT990" s="124"/>
      <c r="EUU990" s="124"/>
      <c r="EUV990" s="124"/>
      <c r="EUW990" s="124"/>
      <c r="EUX990" s="124"/>
      <c r="EUY990" s="124"/>
      <c r="EUZ990" s="124"/>
      <c r="EVA990" s="124"/>
      <c r="EVB990" s="124"/>
      <c r="EVC990" s="124"/>
      <c r="EVD990" s="124"/>
      <c r="EVE990" s="124"/>
      <c r="EVF990" s="124"/>
      <c r="EVG990" s="124"/>
      <c r="EVH990" s="124"/>
      <c r="EVI990" s="124"/>
      <c r="EVJ990" s="124"/>
      <c r="EVK990" s="124"/>
      <c r="EVL990" s="124"/>
      <c r="EVM990" s="124"/>
      <c r="EVN990" s="124"/>
      <c r="EVO990" s="124"/>
      <c r="EVP990" s="124"/>
      <c r="EVQ990" s="124"/>
      <c r="EVR990" s="124"/>
      <c r="EVS990" s="124"/>
      <c r="EVT990" s="124"/>
      <c r="EVU990" s="124"/>
      <c r="EVV990" s="124"/>
      <c r="EVW990" s="124"/>
      <c r="EVX990" s="124"/>
      <c r="EVY990" s="124"/>
      <c r="EVZ990" s="124"/>
      <c r="EWA990" s="124"/>
      <c r="EWB990" s="124"/>
      <c r="EWC990" s="124"/>
      <c r="EWD990" s="124"/>
      <c r="EWE990" s="124"/>
      <c r="EWF990" s="124"/>
      <c r="EWG990" s="124"/>
      <c r="EWH990" s="124"/>
      <c r="EWI990" s="124"/>
      <c r="EWJ990" s="124"/>
      <c r="EWK990" s="124"/>
      <c r="EWL990" s="124"/>
      <c r="EWM990" s="124"/>
      <c r="EWN990" s="124"/>
      <c r="EWO990" s="124"/>
      <c r="EWP990" s="124"/>
      <c r="EWQ990" s="124"/>
      <c r="EWR990" s="124"/>
      <c r="EWS990" s="124"/>
      <c r="EWT990" s="124"/>
      <c r="EWU990" s="124"/>
      <c r="EWV990" s="124"/>
      <c r="EWW990" s="124"/>
      <c r="EWX990" s="124"/>
      <c r="EWY990" s="124"/>
      <c r="EWZ990" s="124"/>
      <c r="EXA990" s="124"/>
      <c r="EXB990" s="124"/>
      <c r="EXC990" s="124"/>
      <c r="EXD990" s="124"/>
      <c r="EXE990" s="124"/>
      <c r="EXF990" s="124"/>
      <c r="EXG990" s="124"/>
      <c r="EXH990" s="124"/>
      <c r="EXI990" s="124"/>
      <c r="EXJ990" s="124"/>
      <c r="EXK990" s="124"/>
      <c r="EXL990" s="124"/>
      <c r="EXM990" s="124"/>
      <c r="EXN990" s="124"/>
      <c r="EXO990" s="124"/>
      <c r="EXP990" s="124"/>
      <c r="EXQ990" s="124"/>
      <c r="EXR990" s="124"/>
      <c r="EXS990" s="124"/>
      <c r="EXT990" s="124"/>
      <c r="EXU990" s="124"/>
      <c r="EXV990" s="124"/>
      <c r="EXW990" s="124"/>
      <c r="EXX990" s="124"/>
      <c r="EXY990" s="124"/>
      <c r="EXZ990" s="124"/>
      <c r="EYA990" s="124"/>
      <c r="EYB990" s="124"/>
      <c r="EYC990" s="124"/>
      <c r="EYD990" s="124"/>
      <c r="EYE990" s="124"/>
      <c r="EYF990" s="124"/>
      <c r="EYG990" s="124"/>
      <c r="EYH990" s="124"/>
      <c r="EYI990" s="124"/>
      <c r="EYJ990" s="124"/>
      <c r="EYK990" s="124"/>
      <c r="EYL990" s="124"/>
      <c r="EYM990" s="124"/>
      <c r="EYN990" s="124"/>
      <c r="EYO990" s="124"/>
      <c r="EYP990" s="124"/>
      <c r="EYQ990" s="124"/>
      <c r="EYR990" s="124"/>
      <c r="EYS990" s="124"/>
      <c r="EYT990" s="124"/>
      <c r="EYU990" s="124"/>
      <c r="EYV990" s="124"/>
      <c r="EYW990" s="124"/>
      <c r="EYX990" s="124"/>
      <c r="EYY990" s="124"/>
      <c r="EYZ990" s="124"/>
      <c r="EZA990" s="124"/>
      <c r="EZB990" s="124"/>
      <c r="EZC990" s="124"/>
      <c r="EZD990" s="124"/>
      <c r="EZE990" s="124"/>
      <c r="EZF990" s="124"/>
      <c r="EZG990" s="124"/>
      <c r="EZH990" s="124"/>
      <c r="EZI990" s="124"/>
      <c r="EZJ990" s="124"/>
      <c r="EZK990" s="124"/>
      <c r="EZL990" s="124"/>
      <c r="EZM990" s="124"/>
      <c r="EZN990" s="124"/>
      <c r="EZO990" s="124"/>
      <c r="EZP990" s="124"/>
      <c r="EZQ990" s="124"/>
      <c r="EZR990" s="124"/>
      <c r="EZS990" s="124"/>
      <c r="EZT990" s="124"/>
      <c r="EZU990" s="124"/>
      <c r="EZV990" s="124"/>
      <c r="EZW990" s="124"/>
      <c r="EZX990" s="124"/>
      <c r="EZY990" s="124"/>
      <c r="EZZ990" s="124"/>
      <c r="FAA990" s="124"/>
      <c r="FAB990" s="124"/>
      <c r="FAC990" s="124"/>
      <c r="FAD990" s="124"/>
      <c r="FAE990" s="124"/>
      <c r="FAF990" s="124"/>
      <c r="FAG990" s="124"/>
      <c r="FAH990" s="124"/>
      <c r="FAI990" s="124"/>
      <c r="FAJ990" s="124"/>
      <c r="FAK990" s="124"/>
      <c r="FAL990" s="124"/>
      <c r="FAM990" s="124"/>
      <c r="FAN990" s="124"/>
      <c r="FAO990" s="124"/>
      <c r="FAP990" s="124"/>
      <c r="FAQ990" s="124"/>
      <c r="FAR990" s="124"/>
      <c r="FAS990" s="124"/>
      <c r="FAT990" s="124"/>
      <c r="FAU990" s="124"/>
      <c r="FAV990" s="124"/>
      <c r="FAW990" s="124"/>
      <c r="FAX990" s="124"/>
      <c r="FAY990" s="124"/>
      <c r="FAZ990" s="124"/>
      <c r="FBA990" s="124"/>
      <c r="FBB990" s="124"/>
      <c r="FBC990" s="124"/>
      <c r="FBD990" s="124"/>
      <c r="FBE990" s="124"/>
      <c r="FBF990" s="124"/>
      <c r="FBG990" s="124"/>
      <c r="FBH990" s="124"/>
      <c r="FBI990" s="124"/>
      <c r="FBJ990" s="124"/>
      <c r="FBK990" s="124"/>
      <c r="FBL990" s="124"/>
      <c r="FBM990" s="124"/>
      <c r="FBN990" s="124"/>
      <c r="FBO990" s="124"/>
      <c r="FBP990" s="124"/>
      <c r="FBQ990" s="124"/>
      <c r="FBR990" s="124"/>
      <c r="FBS990" s="124"/>
      <c r="FBT990" s="124"/>
      <c r="FBU990" s="124"/>
      <c r="FBV990" s="124"/>
      <c r="FBW990" s="124"/>
      <c r="FBX990" s="124"/>
      <c r="FBY990" s="124"/>
      <c r="FBZ990" s="124"/>
      <c r="FCA990" s="124"/>
      <c r="FCB990" s="124"/>
      <c r="FCC990" s="124"/>
      <c r="FCD990" s="124"/>
      <c r="FCE990" s="124"/>
      <c r="FCF990" s="124"/>
      <c r="FCG990" s="124"/>
      <c r="FCH990" s="124"/>
      <c r="FCI990" s="124"/>
      <c r="FCJ990" s="124"/>
      <c r="FCK990" s="124"/>
      <c r="FCL990" s="124"/>
      <c r="FCM990" s="124"/>
      <c r="FCN990" s="124"/>
      <c r="FCO990" s="124"/>
      <c r="FCP990" s="124"/>
      <c r="FCQ990" s="124"/>
      <c r="FCR990" s="124"/>
      <c r="FCS990" s="124"/>
      <c r="FCT990" s="124"/>
      <c r="FCU990" s="124"/>
      <c r="FCV990" s="124"/>
      <c r="FCW990" s="124"/>
      <c r="FCX990" s="124"/>
      <c r="FCY990" s="124"/>
      <c r="FCZ990" s="124"/>
      <c r="FDA990" s="124"/>
      <c r="FDB990" s="124"/>
      <c r="FDC990" s="124"/>
      <c r="FDD990" s="124"/>
      <c r="FDE990" s="124"/>
      <c r="FDF990" s="124"/>
      <c r="FDG990" s="124"/>
      <c r="FDH990" s="124"/>
      <c r="FDI990" s="124"/>
      <c r="FDJ990" s="124"/>
      <c r="FDK990" s="124"/>
      <c r="FDL990" s="124"/>
      <c r="FDM990" s="124"/>
      <c r="FDN990" s="124"/>
      <c r="FDO990" s="124"/>
      <c r="FDP990" s="124"/>
      <c r="FDQ990" s="124"/>
      <c r="FDR990" s="124"/>
      <c r="FDS990" s="124"/>
      <c r="FDT990" s="124"/>
      <c r="FDU990" s="124"/>
      <c r="FDV990" s="124"/>
      <c r="FDW990" s="124"/>
      <c r="FDX990" s="124"/>
      <c r="FDY990" s="124"/>
      <c r="FDZ990" s="124"/>
      <c r="FEA990" s="124"/>
      <c r="FEB990" s="124"/>
      <c r="FEC990" s="124"/>
      <c r="FED990" s="124"/>
      <c r="FEE990" s="124"/>
      <c r="FEF990" s="124"/>
      <c r="FEG990" s="124"/>
      <c r="FEH990" s="124"/>
      <c r="FEI990" s="124"/>
      <c r="FEJ990" s="124"/>
      <c r="FEK990" s="124"/>
      <c r="FEL990" s="124"/>
      <c r="FEM990" s="124"/>
      <c r="FEN990" s="124"/>
      <c r="FEO990" s="124"/>
      <c r="FEP990" s="124"/>
      <c r="FEQ990" s="124"/>
      <c r="FER990" s="124"/>
      <c r="FES990" s="124"/>
      <c r="FET990" s="124"/>
      <c r="FEU990" s="124"/>
      <c r="FEV990" s="124"/>
      <c r="FEW990" s="124"/>
      <c r="FEX990" s="124"/>
      <c r="FEY990" s="124"/>
      <c r="FEZ990" s="124"/>
      <c r="FFA990" s="124"/>
      <c r="FFB990" s="124"/>
      <c r="FFC990" s="124"/>
      <c r="FFD990" s="124"/>
      <c r="FFE990" s="124"/>
      <c r="FFF990" s="124"/>
      <c r="FFG990" s="124"/>
      <c r="FFH990" s="124"/>
      <c r="FFI990" s="124"/>
      <c r="FFJ990" s="124"/>
      <c r="FFK990" s="124"/>
      <c r="FFL990" s="124"/>
      <c r="FFM990" s="124"/>
      <c r="FFN990" s="124"/>
      <c r="FFO990" s="124"/>
      <c r="FFP990" s="124"/>
      <c r="FFQ990" s="124"/>
      <c r="FFR990" s="124"/>
      <c r="FFS990" s="124"/>
      <c r="FFT990" s="124"/>
      <c r="FFU990" s="124"/>
      <c r="FFV990" s="124"/>
      <c r="FFW990" s="124"/>
      <c r="FFX990" s="124"/>
      <c r="FFY990" s="124"/>
      <c r="FFZ990" s="124"/>
      <c r="FGA990" s="124"/>
      <c r="FGB990" s="124"/>
      <c r="FGC990" s="124"/>
      <c r="FGD990" s="124"/>
      <c r="FGE990" s="124"/>
      <c r="FGF990" s="124"/>
      <c r="FGG990" s="124"/>
      <c r="FGH990" s="124"/>
      <c r="FGI990" s="124"/>
      <c r="FGJ990" s="124"/>
      <c r="FGK990" s="124"/>
      <c r="FGL990" s="124"/>
      <c r="FGM990" s="124"/>
      <c r="FGN990" s="124"/>
      <c r="FGO990" s="124"/>
      <c r="FGP990" s="124"/>
      <c r="FGQ990" s="124"/>
      <c r="FGR990" s="124"/>
      <c r="FGS990" s="124"/>
      <c r="FGT990" s="124"/>
      <c r="FGU990" s="124"/>
      <c r="FGV990" s="124"/>
      <c r="FGW990" s="124"/>
      <c r="FGX990" s="124"/>
      <c r="FGY990" s="124"/>
      <c r="FGZ990" s="124"/>
      <c r="FHA990" s="124"/>
      <c r="FHB990" s="124"/>
      <c r="FHC990" s="124"/>
      <c r="FHD990" s="124"/>
      <c r="FHE990" s="124"/>
      <c r="FHF990" s="124"/>
      <c r="FHG990" s="124"/>
      <c r="FHH990" s="124"/>
      <c r="FHI990" s="124"/>
      <c r="FHJ990" s="124"/>
      <c r="FHK990" s="124"/>
      <c r="FHL990" s="124"/>
      <c r="FHM990" s="124"/>
      <c r="FHN990" s="124"/>
      <c r="FHO990" s="124"/>
      <c r="FHP990" s="124"/>
      <c r="FHQ990" s="124"/>
      <c r="FHR990" s="124"/>
      <c r="FHS990" s="124"/>
      <c r="FHT990" s="124"/>
      <c r="FHU990" s="124"/>
      <c r="FHV990" s="124"/>
      <c r="FHW990" s="124"/>
      <c r="FHX990" s="124"/>
      <c r="FHY990" s="124"/>
      <c r="FHZ990" s="124"/>
      <c r="FIA990" s="124"/>
      <c r="FIB990" s="124"/>
      <c r="FIC990" s="124"/>
      <c r="FID990" s="124"/>
      <c r="FIE990" s="124"/>
      <c r="FIF990" s="124"/>
      <c r="FIG990" s="124"/>
      <c r="FIH990" s="124"/>
      <c r="FII990" s="124"/>
      <c r="FIJ990" s="124"/>
      <c r="FIK990" s="124"/>
      <c r="FIL990" s="124"/>
      <c r="FIM990" s="124"/>
      <c r="FIN990" s="124"/>
      <c r="FIO990" s="124"/>
      <c r="FIP990" s="124"/>
      <c r="FIQ990" s="124"/>
      <c r="FIR990" s="124"/>
      <c r="FIS990" s="124"/>
      <c r="FIT990" s="124"/>
      <c r="FIU990" s="124"/>
      <c r="FIV990" s="124"/>
      <c r="FIW990" s="124"/>
      <c r="FIX990" s="124"/>
      <c r="FIY990" s="124"/>
      <c r="FIZ990" s="124"/>
      <c r="FJA990" s="124"/>
      <c r="FJB990" s="124"/>
      <c r="FJC990" s="124"/>
      <c r="FJD990" s="124"/>
      <c r="FJE990" s="124"/>
      <c r="FJF990" s="124"/>
      <c r="FJG990" s="124"/>
      <c r="FJH990" s="124"/>
      <c r="FJI990" s="124"/>
      <c r="FJJ990" s="124"/>
      <c r="FJK990" s="124"/>
      <c r="FJL990" s="124"/>
      <c r="FJM990" s="124"/>
      <c r="FJN990" s="124"/>
      <c r="FJO990" s="124"/>
      <c r="FJP990" s="124"/>
      <c r="FJQ990" s="124"/>
      <c r="FJR990" s="124"/>
      <c r="FJS990" s="124"/>
      <c r="FJT990" s="124"/>
      <c r="FJU990" s="124"/>
      <c r="FJV990" s="124"/>
      <c r="FJW990" s="124"/>
      <c r="FJX990" s="124"/>
      <c r="FJY990" s="124"/>
      <c r="FJZ990" s="124"/>
      <c r="FKA990" s="124"/>
      <c r="FKB990" s="124"/>
      <c r="FKC990" s="124"/>
      <c r="FKD990" s="124"/>
      <c r="FKE990" s="124"/>
      <c r="FKF990" s="124"/>
      <c r="FKG990" s="124"/>
      <c r="FKH990" s="124"/>
      <c r="FKI990" s="124"/>
      <c r="FKJ990" s="124"/>
      <c r="FKK990" s="124"/>
      <c r="FKL990" s="124"/>
      <c r="FKM990" s="124"/>
      <c r="FKN990" s="124"/>
      <c r="FKO990" s="124"/>
      <c r="FKP990" s="124"/>
      <c r="FKQ990" s="124"/>
      <c r="FKR990" s="124"/>
      <c r="FKS990" s="124"/>
      <c r="FKT990" s="124"/>
      <c r="FKU990" s="124"/>
      <c r="FKV990" s="124"/>
      <c r="FKW990" s="124"/>
      <c r="FKX990" s="124"/>
      <c r="FKY990" s="124"/>
      <c r="FKZ990" s="124"/>
      <c r="FLA990" s="124"/>
      <c r="FLB990" s="124"/>
      <c r="FLC990" s="124"/>
      <c r="FLD990" s="124"/>
      <c r="FLE990" s="124"/>
      <c r="FLF990" s="124"/>
      <c r="FLG990" s="124"/>
      <c r="FLH990" s="124"/>
      <c r="FLI990" s="124"/>
      <c r="FLJ990" s="124"/>
      <c r="FLK990" s="124"/>
      <c r="FLL990" s="124"/>
      <c r="FLM990" s="124"/>
      <c r="FLN990" s="124"/>
      <c r="FLO990" s="124"/>
      <c r="FLP990" s="124"/>
      <c r="FLQ990" s="124"/>
      <c r="FLR990" s="124"/>
      <c r="FLS990" s="124"/>
      <c r="FLT990" s="124"/>
      <c r="FLU990" s="124"/>
      <c r="FLV990" s="124"/>
      <c r="FLW990" s="124"/>
      <c r="FLX990" s="124"/>
      <c r="FLY990" s="124"/>
      <c r="FLZ990" s="124"/>
      <c r="FMA990" s="124"/>
      <c r="FMB990" s="124"/>
      <c r="FMC990" s="124"/>
      <c r="FMD990" s="124"/>
      <c r="FME990" s="124"/>
      <c r="FMF990" s="124"/>
      <c r="FMG990" s="124"/>
      <c r="FMH990" s="124"/>
      <c r="FMI990" s="124"/>
      <c r="FMJ990" s="124"/>
      <c r="FMK990" s="124"/>
      <c r="FML990" s="124"/>
      <c r="FMM990" s="124"/>
      <c r="FMN990" s="124"/>
      <c r="FMO990" s="124"/>
      <c r="FMP990" s="124"/>
      <c r="FMQ990" s="124"/>
      <c r="FMR990" s="124"/>
      <c r="FMS990" s="124"/>
      <c r="FMT990" s="124"/>
      <c r="FMU990" s="124"/>
      <c r="FMV990" s="124"/>
      <c r="FMW990" s="124"/>
      <c r="FMX990" s="124"/>
      <c r="FMY990" s="124"/>
      <c r="FMZ990" s="124"/>
      <c r="FNA990" s="124"/>
      <c r="FNB990" s="124"/>
      <c r="FNC990" s="124"/>
      <c r="FND990" s="124"/>
      <c r="FNE990" s="124"/>
      <c r="FNF990" s="124"/>
      <c r="FNG990" s="124"/>
      <c r="FNH990" s="124"/>
      <c r="FNI990" s="124"/>
      <c r="FNJ990" s="124"/>
      <c r="FNK990" s="124"/>
      <c r="FNL990" s="124"/>
      <c r="FNM990" s="124"/>
      <c r="FNN990" s="124"/>
      <c r="FNO990" s="124"/>
      <c r="FNP990" s="124"/>
      <c r="FNQ990" s="124"/>
      <c r="FNR990" s="124"/>
      <c r="FNS990" s="124"/>
      <c r="FNT990" s="124"/>
      <c r="FNU990" s="124"/>
      <c r="FNV990" s="124"/>
      <c r="FNW990" s="124"/>
      <c r="FNX990" s="124"/>
      <c r="FNY990" s="124"/>
      <c r="FNZ990" s="124"/>
      <c r="FOA990" s="124"/>
      <c r="FOB990" s="124"/>
      <c r="FOC990" s="124"/>
      <c r="FOD990" s="124"/>
      <c r="FOE990" s="124"/>
      <c r="FOF990" s="124"/>
      <c r="FOG990" s="124"/>
      <c r="FOH990" s="124"/>
      <c r="FOI990" s="124"/>
      <c r="FOJ990" s="124"/>
      <c r="FOK990" s="124"/>
      <c r="FOL990" s="124"/>
      <c r="FOM990" s="124"/>
      <c r="FON990" s="124"/>
      <c r="FOO990" s="124"/>
      <c r="FOP990" s="124"/>
      <c r="FOQ990" s="124"/>
      <c r="FOR990" s="124"/>
      <c r="FOS990" s="124"/>
      <c r="FOT990" s="124"/>
      <c r="FOU990" s="124"/>
      <c r="FOV990" s="124"/>
      <c r="FOW990" s="124"/>
      <c r="FOX990" s="124"/>
      <c r="FOY990" s="124"/>
      <c r="FOZ990" s="124"/>
      <c r="FPA990" s="124"/>
      <c r="FPB990" s="124"/>
      <c r="FPC990" s="124"/>
      <c r="FPD990" s="124"/>
      <c r="FPE990" s="124"/>
      <c r="FPF990" s="124"/>
      <c r="FPG990" s="124"/>
      <c r="FPH990" s="124"/>
      <c r="FPI990" s="124"/>
      <c r="FPJ990" s="124"/>
      <c r="FPK990" s="124"/>
      <c r="FPL990" s="124"/>
      <c r="FPM990" s="124"/>
      <c r="FPN990" s="124"/>
      <c r="FPO990" s="124"/>
      <c r="FPP990" s="124"/>
      <c r="FPQ990" s="124"/>
      <c r="FPR990" s="124"/>
      <c r="FPS990" s="124"/>
      <c r="FPT990" s="124"/>
      <c r="FPU990" s="124"/>
      <c r="FPV990" s="124"/>
      <c r="FPW990" s="124"/>
      <c r="FPX990" s="124"/>
      <c r="FPY990" s="124"/>
      <c r="FPZ990" s="124"/>
      <c r="FQA990" s="124"/>
      <c r="FQB990" s="124"/>
      <c r="FQC990" s="124"/>
      <c r="FQD990" s="124"/>
      <c r="FQE990" s="124"/>
      <c r="FQF990" s="124"/>
      <c r="FQG990" s="124"/>
      <c r="FQH990" s="124"/>
      <c r="FQI990" s="124"/>
      <c r="FQJ990" s="124"/>
      <c r="FQK990" s="124"/>
      <c r="FQL990" s="124"/>
      <c r="FQM990" s="124"/>
      <c r="FQN990" s="124"/>
      <c r="FQO990" s="124"/>
      <c r="FQP990" s="124"/>
      <c r="FQQ990" s="124"/>
      <c r="FQR990" s="124"/>
      <c r="FQS990" s="124"/>
      <c r="FQT990" s="124"/>
      <c r="FQU990" s="124"/>
      <c r="FQV990" s="124"/>
      <c r="FQW990" s="124"/>
      <c r="FQX990" s="124"/>
      <c r="FQY990" s="124"/>
      <c r="FQZ990" s="124"/>
      <c r="FRA990" s="124"/>
      <c r="FRB990" s="124"/>
      <c r="FRC990" s="124"/>
      <c r="FRD990" s="124"/>
      <c r="FRE990" s="124"/>
      <c r="FRF990" s="124"/>
      <c r="FRG990" s="124"/>
      <c r="FRH990" s="124"/>
      <c r="FRI990" s="124"/>
      <c r="FRJ990" s="124"/>
      <c r="FRK990" s="124"/>
      <c r="FRL990" s="124"/>
      <c r="FRM990" s="124"/>
      <c r="FRN990" s="124"/>
      <c r="FRO990" s="124"/>
      <c r="FRP990" s="124"/>
      <c r="FRQ990" s="124"/>
      <c r="FRR990" s="124"/>
      <c r="FRS990" s="124"/>
      <c r="FRT990" s="124"/>
      <c r="FRU990" s="124"/>
      <c r="FRV990" s="124"/>
      <c r="FRW990" s="124"/>
      <c r="FRX990" s="124"/>
      <c r="FRY990" s="124"/>
      <c r="FRZ990" s="124"/>
      <c r="FSA990" s="124"/>
      <c r="FSB990" s="124"/>
      <c r="FSC990" s="124"/>
      <c r="FSD990" s="124"/>
      <c r="FSE990" s="124"/>
      <c r="FSF990" s="124"/>
      <c r="FSG990" s="124"/>
      <c r="FSH990" s="124"/>
      <c r="FSI990" s="124"/>
      <c r="FSJ990" s="124"/>
      <c r="FSK990" s="124"/>
      <c r="FSL990" s="124"/>
      <c r="FSM990" s="124"/>
      <c r="FSN990" s="124"/>
      <c r="FSO990" s="124"/>
      <c r="FSP990" s="124"/>
      <c r="FSQ990" s="124"/>
      <c r="FSR990" s="124"/>
      <c r="FSS990" s="124"/>
      <c r="FST990" s="124"/>
      <c r="FSU990" s="124"/>
      <c r="FSV990" s="124"/>
      <c r="FSW990" s="124"/>
      <c r="FSX990" s="124"/>
      <c r="FSY990" s="124"/>
      <c r="FSZ990" s="124"/>
      <c r="FTA990" s="124"/>
      <c r="FTB990" s="124"/>
      <c r="FTC990" s="124"/>
      <c r="FTD990" s="124"/>
      <c r="FTE990" s="124"/>
      <c r="FTF990" s="124"/>
      <c r="FTG990" s="124"/>
      <c r="FTH990" s="124"/>
      <c r="FTI990" s="124"/>
      <c r="FTJ990" s="124"/>
      <c r="FTK990" s="124"/>
      <c r="FTL990" s="124"/>
      <c r="FTM990" s="124"/>
      <c r="FTN990" s="124"/>
      <c r="FTO990" s="124"/>
      <c r="FTP990" s="124"/>
      <c r="FTQ990" s="124"/>
      <c r="FTR990" s="124"/>
      <c r="FTS990" s="124"/>
      <c r="FTT990" s="124"/>
      <c r="FTU990" s="124"/>
      <c r="FTV990" s="124"/>
      <c r="FTW990" s="124"/>
      <c r="FTX990" s="124"/>
      <c r="FTY990" s="124"/>
      <c r="FTZ990" s="124"/>
      <c r="FUA990" s="124"/>
      <c r="FUB990" s="124"/>
      <c r="FUC990" s="124"/>
      <c r="FUD990" s="124"/>
      <c r="FUE990" s="124"/>
      <c r="FUF990" s="124"/>
      <c r="FUG990" s="124"/>
      <c r="FUH990" s="124"/>
      <c r="FUI990" s="124"/>
      <c r="FUJ990" s="124"/>
      <c r="FUK990" s="124"/>
      <c r="FUL990" s="124"/>
      <c r="FUM990" s="124"/>
      <c r="FUN990" s="124"/>
      <c r="FUO990" s="124"/>
      <c r="FUP990" s="124"/>
      <c r="FUQ990" s="124"/>
      <c r="FUR990" s="124"/>
      <c r="FUS990" s="124"/>
      <c r="FUT990" s="124"/>
      <c r="FUU990" s="124"/>
      <c r="FUV990" s="124"/>
      <c r="FUW990" s="124"/>
      <c r="FUX990" s="124"/>
      <c r="FUY990" s="124"/>
      <c r="FUZ990" s="124"/>
      <c r="FVA990" s="124"/>
      <c r="FVB990" s="124"/>
      <c r="FVC990" s="124"/>
      <c r="FVD990" s="124"/>
      <c r="FVE990" s="124"/>
      <c r="FVF990" s="124"/>
      <c r="FVG990" s="124"/>
      <c r="FVH990" s="124"/>
      <c r="FVI990" s="124"/>
      <c r="FVJ990" s="124"/>
      <c r="FVK990" s="124"/>
      <c r="FVL990" s="124"/>
      <c r="FVM990" s="124"/>
      <c r="FVN990" s="124"/>
      <c r="FVO990" s="124"/>
      <c r="FVP990" s="124"/>
      <c r="FVQ990" s="124"/>
      <c r="FVR990" s="124"/>
      <c r="FVS990" s="124"/>
      <c r="FVT990" s="124"/>
      <c r="FVU990" s="124"/>
      <c r="FVV990" s="124"/>
      <c r="FVW990" s="124"/>
      <c r="FVX990" s="124"/>
      <c r="FVY990" s="124"/>
      <c r="FVZ990" s="124"/>
      <c r="FWA990" s="124"/>
      <c r="FWB990" s="124"/>
      <c r="FWC990" s="124"/>
      <c r="FWD990" s="124"/>
      <c r="FWE990" s="124"/>
      <c r="FWF990" s="124"/>
      <c r="FWG990" s="124"/>
      <c r="FWH990" s="124"/>
      <c r="FWI990" s="124"/>
      <c r="FWJ990" s="124"/>
      <c r="FWK990" s="124"/>
      <c r="FWL990" s="124"/>
      <c r="FWM990" s="124"/>
      <c r="FWN990" s="124"/>
      <c r="FWO990" s="124"/>
      <c r="FWP990" s="124"/>
      <c r="FWQ990" s="124"/>
      <c r="FWR990" s="124"/>
      <c r="FWS990" s="124"/>
      <c r="FWT990" s="124"/>
      <c r="FWU990" s="124"/>
      <c r="FWV990" s="124"/>
      <c r="FWW990" s="124"/>
      <c r="FWX990" s="124"/>
      <c r="FWY990" s="124"/>
      <c r="FWZ990" s="124"/>
      <c r="FXA990" s="124"/>
      <c r="FXB990" s="124"/>
      <c r="FXC990" s="124"/>
      <c r="FXD990" s="124"/>
      <c r="FXE990" s="124"/>
      <c r="FXF990" s="124"/>
      <c r="FXG990" s="124"/>
      <c r="FXH990" s="124"/>
      <c r="FXI990" s="124"/>
      <c r="FXJ990" s="124"/>
      <c r="FXK990" s="124"/>
      <c r="FXL990" s="124"/>
      <c r="FXM990" s="124"/>
      <c r="FXN990" s="124"/>
      <c r="FXO990" s="124"/>
      <c r="FXP990" s="124"/>
      <c r="FXQ990" s="124"/>
      <c r="FXR990" s="124"/>
      <c r="FXS990" s="124"/>
      <c r="FXT990" s="124"/>
      <c r="FXU990" s="124"/>
      <c r="FXV990" s="124"/>
      <c r="FXW990" s="124"/>
      <c r="FXX990" s="124"/>
      <c r="FXY990" s="124"/>
      <c r="FXZ990" s="124"/>
      <c r="FYA990" s="124"/>
      <c r="FYB990" s="124"/>
      <c r="FYC990" s="124"/>
      <c r="FYD990" s="124"/>
      <c r="FYE990" s="124"/>
      <c r="FYF990" s="124"/>
      <c r="FYG990" s="124"/>
      <c r="FYH990" s="124"/>
      <c r="FYI990" s="124"/>
      <c r="FYJ990" s="124"/>
      <c r="FYK990" s="124"/>
      <c r="FYL990" s="124"/>
      <c r="FYM990" s="124"/>
      <c r="FYN990" s="124"/>
      <c r="FYO990" s="124"/>
      <c r="FYP990" s="124"/>
      <c r="FYQ990" s="124"/>
      <c r="FYR990" s="124"/>
      <c r="FYS990" s="124"/>
      <c r="FYT990" s="124"/>
      <c r="FYU990" s="124"/>
      <c r="FYV990" s="124"/>
      <c r="FYW990" s="124"/>
      <c r="FYX990" s="124"/>
      <c r="FYY990" s="124"/>
      <c r="FYZ990" s="124"/>
      <c r="FZA990" s="124"/>
      <c r="FZB990" s="124"/>
      <c r="FZC990" s="124"/>
      <c r="FZD990" s="124"/>
      <c r="FZE990" s="124"/>
      <c r="FZF990" s="124"/>
      <c r="FZG990" s="124"/>
      <c r="FZH990" s="124"/>
      <c r="FZI990" s="124"/>
      <c r="FZJ990" s="124"/>
      <c r="FZK990" s="124"/>
      <c r="FZL990" s="124"/>
      <c r="FZM990" s="124"/>
      <c r="FZN990" s="124"/>
      <c r="FZO990" s="124"/>
      <c r="FZP990" s="124"/>
      <c r="FZQ990" s="124"/>
      <c r="FZR990" s="124"/>
      <c r="FZS990" s="124"/>
      <c r="FZT990" s="124"/>
      <c r="FZU990" s="124"/>
      <c r="FZV990" s="124"/>
      <c r="FZW990" s="124"/>
      <c r="FZX990" s="124"/>
      <c r="FZY990" s="124"/>
      <c r="FZZ990" s="124"/>
      <c r="GAA990" s="124"/>
      <c r="GAB990" s="124"/>
      <c r="GAC990" s="124"/>
      <c r="GAD990" s="124"/>
      <c r="GAE990" s="124"/>
      <c r="GAF990" s="124"/>
      <c r="GAG990" s="124"/>
      <c r="GAH990" s="124"/>
      <c r="GAI990" s="124"/>
      <c r="GAJ990" s="124"/>
      <c r="GAK990" s="124"/>
      <c r="GAL990" s="124"/>
      <c r="GAM990" s="124"/>
      <c r="GAN990" s="124"/>
      <c r="GAO990" s="124"/>
      <c r="GAP990" s="124"/>
      <c r="GAQ990" s="124"/>
      <c r="GAR990" s="124"/>
      <c r="GAS990" s="124"/>
      <c r="GAT990" s="124"/>
      <c r="GAU990" s="124"/>
      <c r="GAV990" s="124"/>
      <c r="GAW990" s="124"/>
      <c r="GAX990" s="124"/>
      <c r="GAY990" s="124"/>
      <c r="GAZ990" s="124"/>
      <c r="GBA990" s="124"/>
      <c r="GBB990" s="124"/>
      <c r="GBC990" s="124"/>
      <c r="GBD990" s="124"/>
      <c r="GBE990" s="124"/>
      <c r="GBF990" s="124"/>
      <c r="GBG990" s="124"/>
      <c r="GBH990" s="124"/>
      <c r="GBI990" s="124"/>
      <c r="GBJ990" s="124"/>
      <c r="GBK990" s="124"/>
      <c r="GBL990" s="124"/>
      <c r="GBM990" s="124"/>
      <c r="GBN990" s="124"/>
      <c r="GBO990" s="124"/>
      <c r="GBP990" s="124"/>
      <c r="GBQ990" s="124"/>
      <c r="GBR990" s="124"/>
      <c r="GBS990" s="124"/>
      <c r="GBT990" s="124"/>
      <c r="GBU990" s="124"/>
      <c r="GBV990" s="124"/>
      <c r="GBW990" s="124"/>
      <c r="GBX990" s="124"/>
      <c r="GBY990" s="124"/>
      <c r="GBZ990" s="124"/>
      <c r="GCA990" s="124"/>
      <c r="GCB990" s="124"/>
      <c r="GCC990" s="124"/>
      <c r="GCD990" s="124"/>
      <c r="GCE990" s="124"/>
      <c r="GCF990" s="124"/>
      <c r="GCG990" s="124"/>
      <c r="GCH990" s="124"/>
      <c r="GCI990" s="124"/>
      <c r="GCJ990" s="124"/>
      <c r="GCK990" s="124"/>
      <c r="GCL990" s="124"/>
      <c r="GCM990" s="124"/>
      <c r="GCN990" s="124"/>
      <c r="GCO990" s="124"/>
      <c r="GCP990" s="124"/>
      <c r="GCQ990" s="124"/>
      <c r="GCR990" s="124"/>
      <c r="GCS990" s="124"/>
      <c r="GCT990" s="124"/>
      <c r="GCU990" s="124"/>
      <c r="GCV990" s="124"/>
      <c r="GCW990" s="124"/>
      <c r="GCX990" s="124"/>
      <c r="GCY990" s="124"/>
      <c r="GCZ990" s="124"/>
      <c r="GDA990" s="124"/>
      <c r="GDB990" s="124"/>
      <c r="GDC990" s="124"/>
      <c r="GDD990" s="124"/>
      <c r="GDE990" s="124"/>
      <c r="GDF990" s="124"/>
      <c r="GDG990" s="124"/>
      <c r="GDH990" s="124"/>
      <c r="GDI990" s="124"/>
      <c r="GDJ990" s="124"/>
      <c r="GDK990" s="124"/>
      <c r="GDL990" s="124"/>
      <c r="GDM990" s="124"/>
      <c r="GDN990" s="124"/>
      <c r="GDO990" s="124"/>
      <c r="GDP990" s="124"/>
      <c r="GDQ990" s="124"/>
      <c r="GDR990" s="124"/>
      <c r="GDS990" s="124"/>
      <c r="GDT990" s="124"/>
      <c r="GDU990" s="124"/>
      <c r="GDV990" s="124"/>
      <c r="GDW990" s="124"/>
      <c r="GDX990" s="124"/>
      <c r="GDY990" s="124"/>
      <c r="GDZ990" s="124"/>
      <c r="GEA990" s="124"/>
      <c r="GEB990" s="124"/>
      <c r="GEC990" s="124"/>
      <c r="GED990" s="124"/>
      <c r="GEE990" s="124"/>
      <c r="GEF990" s="124"/>
      <c r="GEG990" s="124"/>
      <c r="GEH990" s="124"/>
      <c r="GEI990" s="124"/>
      <c r="GEJ990" s="124"/>
      <c r="GEK990" s="124"/>
      <c r="GEL990" s="124"/>
      <c r="GEM990" s="124"/>
      <c r="GEN990" s="124"/>
      <c r="GEO990" s="124"/>
      <c r="GEP990" s="124"/>
      <c r="GEQ990" s="124"/>
      <c r="GER990" s="124"/>
      <c r="GES990" s="124"/>
      <c r="GET990" s="124"/>
      <c r="GEU990" s="124"/>
      <c r="GEV990" s="124"/>
      <c r="GEW990" s="124"/>
      <c r="GEX990" s="124"/>
      <c r="GEY990" s="124"/>
      <c r="GEZ990" s="124"/>
      <c r="GFA990" s="124"/>
      <c r="GFB990" s="124"/>
      <c r="GFC990" s="124"/>
      <c r="GFD990" s="124"/>
      <c r="GFE990" s="124"/>
      <c r="GFF990" s="124"/>
      <c r="GFG990" s="124"/>
      <c r="GFH990" s="124"/>
      <c r="GFI990" s="124"/>
      <c r="GFJ990" s="124"/>
      <c r="GFK990" s="124"/>
      <c r="GFL990" s="124"/>
      <c r="GFM990" s="124"/>
      <c r="GFN990" s="124"/>
      <c r="GFO990" s="124"/>
      <c r="GFP990" s="124"/>
      <c r="GFQ990" s="124"/>
      <c r="GFR990" s="124"/>
      <c r="GFS990" s="124"/>
      <c r="GFT990" s="124"/>
      <c r="GFU990" s="124"/>
      <c r="GFV990" s="124"/>
      <c r="GFW990" s="124"/>
      <c r="GFX990" s="124"/>
      <c r="GFY990" s="124"/>
      <c r="GFZ990" s="124"/>
      <c r="GGA990" s="124"/>
      <c r="GGB990" s="124"/>
      <c r="GGC990" s="124"/>
      <c r="GGD990" s="124"/>
      <c r="GGE990" s="124"/>
      <c r="GGF990" s="124"/>
      <c r="GGG990" s="124"/>
      <c r="GGH990" s="124"/>
      <c r="GGI990" s="124"/>
      <c r="GGJ990" s="124"/>
      <c r="GGK990" s="124"/>
      <c r="GGL990" s="124"/>
      <c r="GGM990" s="124"/>
      <c r="GGN990" s="124"/>
      <c r="GGO990" s="124"/>
      <c r="GGP990" s="124"/>
      <c r="GGQ990" s="124"/>
      <c r="GGR990" s="124"/>
      <c r="GGS990" s="124"/>
      <c r="GGT990" s="124"/>
      <c r="GGU990" s="124"/>
      <c r="GGV990" s="124"/>
      <c r="GGW990" s="124"/>
      <c r="GGX990" s="124"/>
      <c r="GGY990" s="124"/>
      <c r="GGZ990" s="124"/>
      <c r="GHA990" s="124"/>
      <c r="GHB990" s="124"/>
      <c r="GHC990" s="124"/>
      <c r="GHD990" s="124"/>
      <c r="GHE990" s="124"/>
      <c r="GHF990" s="124"/>
      <c r="GHG990" s="124"/>
      <c r="GHH990" s="124"/>
      <c r="GHI990" s="124"/>
      <c r="GHJ990" s="124"/>
      <c r="GHK990" s="124"/>
      <c r="GHL990" s="124"/>
      <c r="GHM990" s="124"/>
      <c r="GHN990" s="124"/>
      <c r="GHO990" s="124"/>
      <c r="GHP990" s="124"/>
      <c r="GHQ990" s="124"/>
      <c r="GHR990" s="124"/>
      <c r="GHS990" s="124"/>
      <c r="GHT990" s="124"/>
      <c r="GHU990" s="124"/>
      <c r="GHV990" s="124"/>
      <c r="GHW990" s="124"/>
      <c r="GHX990" s="124"/>
      <c r="GHY990" s="124"/>
      <c r="GHZ990" s="124"/>
      <c r="GIA990" s="124"/>
      <c r="GIB990" s="124"/>
      <c r="GIC990" s="124"/>
      <c r="GID990" s="124"/>
      <c r="GIE990" s="124"/>
      <c r="GIF990" s="124"/>
      <c r="GIG990" s="124"/>
      <c r="GIH990" s="124"/>
      <c r="GII990" s="124"/>
      <c r="GIJ990" s="124"/>
      <c r="GIK990" s="124"/>
      <c r="GIL990" s="124"/>
      <c r="GIM990" s="124"/>
      <c r="GIN990" s="124"/>
      <c r="GIO990" s="124"/>
      <c r="GIP990" s="124"/>
      <c r="GIQ990" s="124"/>
      <c r="GIR990" s="124"/>
      <c r="GIS990" s="124"/>
      <c r="GIT990" s="124"/>
      <c r="GIU990" s="124"/>
      <c r="GIV990" s="124"/>
      <c r="GIW990" s="124"/>
      <c r="GIX990" s="124"/>
      <c r="GIY990" s="124"/>
      <c r="GIZ990" s="124"/>
      <c r="GJA990" s="124"/>
      <c r="GJB990" s="124"/>
      <c r="GJC990" s="124"/>
      <c r="GJD990" s="124"/>
      <c r="GJE990" s="124"/>
      <c r="GJF990" s="124"/>
      <c r="GJG990" s="124"/>
      <c r="GJH990" s="124"/>
      <c r="GJI990" s="124"/>
      <c r="GJJ990" s="124"/>
      <c r="GJK990" s="124"/>
      <c r="GJL990" s="124"/>
      <c r="GJM990" s="124"/>
      <c r="GJN990" s="124"/>
      <c r="GJO990" s="124"/>
      <c r="GJP990" s="124"/>
      <c r="GJQ990" s="124"/>
      <c r="GJR990" s="124"/>
      <c r="GJS990" s="124"/>
      <c r="GJT990" s="124"/>
      <c r="GJU990" s="124"/>
      <c r="GJV990" s="124"/>
      <c r="GJW990" s="124"/>
      <c r="GJX990" s="124"/>
      <c r="GJY990" s="124"/>
      <c r="GJZ990" s="124"/>
      <c r="GKA990" s="124"/>
      <c r="GKB990" s="124"/>
      <c r="GKC990" s="124"/>
      <c r="GKD990" s="124"/>
      <c r="GKE990" s="124"/>
      <c r="GKF990" s="124"/>
      <c r="GKG990" s="124"/>
      <c r="GKH990" s="124"/>
      <c r="GKI990" s="124"/>
      <c r="GKJ990" s="124"/>
      <c r="GKK990" s="124"/>
      <c r="GKL990" s="124"/>
      <c r="GKM990" s="124"/>
      <c r="GKN990" s="124"/>
      <c r="GKO990" s="124"/>
      <c r="GKP990" s="124"/>
      <c r="GKQ990" s="124"/>
      <c r="GKR990" s="124"/>
      <c r="GKS990" s="124"/>
      <c r="GKT990" s="124"/>
      <c r="GKU990" s="124"/>
      <c r="GKV990" s="124"/>
      <c r="GKW990" s="124"/>
      <c r="GKX990" s="124"/>
      <c r="GKY990" s="124"/>
      <c r="GKZ990" s="124"/>
      <c r="GLA990" s="124"/>
      <c r="GLB990" s="124"/>
      <c r="GLC990" s="124"/>
      <c r="GLD990" s="124"/>
      <c r="GLE990" s="124"/>
      <c r="GLF990" s="124"/>
      <c r="GLG990" s="124"/>
      <c r="GLH990" s="124"/>
      <c r="GLI990" s="124"/>
      <c r="GLJ990" s="124"/>
      <c r="GLK990" s="124"/>
      <c r="GLL990" s="124"/>
      <c r="GLM990" s="124"/>
      <c r="GLN990" s="124"/>
      <c r="GLO990" s="124"/>
      <c r="GLP990" s="124"/>
      <c r="GLQ990" s="124"/>
      <c r="GLR990" s="124"/>
      <c r="GLS990" s="124"/>
      <c r="GLT990" s="124"/>
      <c r="GLU990" s="124"/>
      <c r="GLV990" s="124"/>
      <c r="GLW990" s="124"/>
      <c r="GLX990" s="124"/>
      <c r="GLY990" s="124"/>
      <c r="GLZ990" s="124"/>
      <c r="GMA990" s="124"/>
      <c r="GMB990" s="124"/>
      <c r="GMC990" s="124"/>
      <c r="GMD990" s="124"/>
      <c r="GME990" s="124"/>
      <c r="GMF990" s="124"/>
      <c r="GMG990" s="124"/>
      <c r="GMH990" s="124"/>
      <c r="GMI990" s="124"/>
      <c r="GMJ990" s="124"/>
      <c r="GMK990" s="124"/>
      <c r="GML990" s="124"/>
      <c r="GMM990" s="124"/>
      <c r="GMN990" s="124"/>
      <c r="GMO990" s="124"/>
      <c r="GMP990" s="124"/>
      <c r="GMQ990" s="124"/>
      <c r="GMR990" s="124"/>
      <c r="GMS990" s="124"/>
      <c r="GMT990" s="124"/>
      <c r="GMU990" s="124"/>
      <c r="GMV990" s="124"/>
      <c r="GMW990" s="124"/>
      <c r="GMX990" s="124"/>
      <c r="GMY990" s="124"/>
      <c r="GMZ990" s="124"/>
      <c r="GNA990" s="124"/>
      <c r="GNB990" s="124"/>
      <c r="GNC990" s="124"/>
      <c r="GND990" s="124"/>
      <c r="GNE990" s="124"/>
      <c r="GNF990" s="124"/>
      <c r="GNG990" s="124"/>
      <c r="GNH990" s="124"/>
      <c r="GNI990" s="124"/>
      <c r="GNJ990" s="124"/>
      <c r="GNK990" s="124"/>
      <c r="GNL990" s="124"/>
      <c r="GNM990" s="124"/>
      <c r="GNN990" s="124"/>
      <c r="GNO990" s="124"/>
      <c r="GNP990" s="124"/>
      <c r="GNQ990" s="124"/>
      <c r="GNR990" s="124"/>
      <c r="GNS990" s="124"/>
      <c r="GNT990" s="124"/>
      <c r="GNU990" s="124"/>
      <c r="GNV990" s="124"/>
      <c r="GNW990" s="124"/>
      <c r="GNX990" s="124"/>
      <c r="GNY990" s="124"/>
      <c r="GNZ990" s="124"/>
      <c r="GOA990" s="124"/>
      <c r="GOB990" s="124"/>
      <c r="GOC990" s="124"/>
      <c r="GOD990" s="124"/>
      <c r="GOE990" s="124"/>
      <c r="GOF990" s="124"/>
      <c r="GOG990" s="124"/>
      <c r="GOH990" s="124"/>
      <c r="GOI990" s="124"/>
      <c r="GOJ990" s="124"/>
      <c r="GOK990" s="124"/>
      <c r="GOL990" s="124"/>
      <c r="GOM990" s="124"/>
      <c r="GON990" s="124"/>
      <c r="GOO990" s="124"/>
      <c r="GOP990" s="124"/>
      <c r="GOQ990" s="124"/>
      <c r="GOR990" s="124"/>
      <c r="GOS990" s="124"/>
      <c r="GOT990" s="124"/>
      <c r="GOU990" s="124"/>
      <c r="GOV990" s="124"/>
      <c r="GOW990" s="124"/>
      <c r="GOX990" s="124"/>
      <c r="GOY990" s="124"/>
      <c r="GOZ990" s="124"/>
      <c r="GPA990" s="124"/>
      <c r="GPB990" s="124"/>
      <c r="GPC990" s="124"/>
      <c r="GPD990" s="124"/>
      <c r="GPE990" s="124"/>
      <c r="GPF990" s="124"/>
      <c r="GPG990" s="124"/>
      <c r="GPH990" s="124"/>
      <c r="GPI990" s="124"/>
      <c r="GPJ990" s="124"/>
      <c r="GPK990" s="124"/>
      <c r="GPL990" s="124"/>
      <c r="GPM990" s="124"/>
      <c r="GPN990" s="124"/>
      <c r="GPO990" s="124"/>
      <c r="GPP990" s="124"/>
      <c r="GPQ990" s="124"/>
      <c r="GPR990" s="124"/>
      <c r="GPS990" s="124"/>
      <c r="GPT990" s="124"/>
      <c r="GPU990" s="124"/>
      <c r="GPV990" s="124"/>
      <c r="GPW990" s="124"/>
      <c r="GPX990" s="124"/>
      <c r="GPY990" s="124"/>
      <c r="GPZ990" s="124"/>
      <c r="GQA990" s="124"/>
      <c r="GQB990" s="124"/>
      <c r="GQC990" s="124"/>
      <c r="GQD990" s="124"/>
      <c r="GQE990" s="124"/>
      <c r="GQF990" s="124"/>
      <c r="GQG990" s="124"/>
      <c r="GQH990" s="124"/>
      <c r="GQI990" s="124"/>
      <c r="GQJ990" s="124"/>
      <c r="GQK990" s="124"/>
      <c r="GQL990" s="124"/>
      <c r="GQM990" s="124"/>
      <c r="GQN990" s="124"/>
      <c r="GQO990" s="124"/>
      <c r="GQP990" s="124"/>
      <c r="GQQ990" s="124"/>
      <c r="GQR990" s="124"/>
      <c r="GQS990" s="124"/>
      <c r="GQT990" s="124"/>
      <c r="GQU990" s="124"/>
      <c r="GQV990" s="124"/>
      <c r="GQW990" s="124"/>
      <c r="GQX990" s="124"/>
      <c r="GQY990" s="124"/>
      <c r="GQZ990" s="124"/>
      <c r="GRA990" s="124"/>
      <c r="GRB990" s="124"/>
      <c r="GRC990" s="124"/>
      <c r="GRD990" s="124"/>
      <c r="GRE990" s="124"/>
      <c r="GRF990" s="124"/>
      <c r="GRG990" s="124"/>
      <c r="GRH990" s="124"/>
      <c r="GRI990" s="124"/>
      <c r="GRJ990" s="124"/>
      <c r="GRK990" s="124"/>
      <c r="GRL990" s="124"/>
      <c r="GRM990" s="124"/>
      <c r="GRN990" s="124"/>
      <c r="GRO990" s="124"/>
      <c r="GRP990" s="124"/>
      <c r="GRQ990" s="124"/>
      <c r="GRR990" s="124"/>
      <c r="GRS990" s="124"/>
      <c r="GRT990" s="124"/>
      <c r="GRU990" s="124"/>
      <c r="GRV990" s="124"/>
      <c r="GRW990" s="124"/>
      <c r="GRX990" s="124"/>
      <c r="GRY990" s="124"/>
      <c r="GRZ990" s="124"/>
      <c r="GSA990" s="124"/>
      <c r="GSB990" s="124"/>
      <c r="GSC990" s="124"/>
      <c r="GSD990" s="124"/>
      <c r="GSE990" s="124"/>
      <c r="GSF990" s="124"/>
      <c r="GSG990" s="124"/>
      <c r="GSH990" s="124"/>
      <c r="GSI990" s="124"/>
      <c r="GSJ990" s="124"/>
      <c r="GSK990" s="124"/>
      <c r="GSL990" s="124"/>
      <c r="GSM990" s="124"/>
      <c r="GSN990" s="124"/>
      <c r="GSO990" s="124"/>
      <c r="GSP990" s="124"/>
      <c r="GSQ990" s="124"/>
      <c r="GSR990" s="124"/>
      <c r="GSS990" s="124"/>
      <c r="GST990" s="124"/>
      <c r="GSU990" s="124"/>
      <c r="GSV990" s="124"/>
      <c r="GSW990" s="124"/>
      <c r="GSX990" s="124"/>
      <c r="GSY990" s="124"/>
      <c r="GSZ990" s="124"/>
      <c r="GTA990" s="124"/>
      <c r="GTB990" s="124"/>
      <c r="GTC990" s="124"/>
      <c r="GTD990" s="124"/>
      <c r="GTE990" s="124"/>
      <c r="GTF990" s="124"/>
      <c r="GTG990" s="124"/>
      <c r="GTH990" s="124"/>
      <c r="GTI990" s="124"/>
      <c r="GTJ990" s="124"/>
      <c r="GTK990" s="124"/>
      <c r="GTL990" s="124"/>
      <c r="GTM990" s="124"/>
      <c r="GTN990" s="124"/>
      <c r="GTO990" s="124"/>
      <c r="GTP990" s="124"/>
      <c r="GTQ990" s="124"/>
      <c r="GTR990" s="124"/>
      <c r="GTS990" s="124"/>
      <c r="GTT990" s="124"/>
      <c r="GTU990" s="124"/>
      <c r="GTV990" s="124"/>
      <c r="GTW990" s="124"/>
      <c r="GTX990" s="124"/>
      <c r="GTY990" s="124"/>
      <c r="GTZ990" s="124"/>
      <c r="GUA990" s="124"/>
      <c r="GUB990" s="124"/>
      <c r="GUC990" s="124"/>
      <c r="GUD990" s="124"/>
      <c r="GUE990" s="124"/>
      <c r="GUF990" s="124"/>
      <c r="GUG990" s="124"/>
      <c r="GUH990" s="124"/>
      <c r="GUI990" s="124"/>
      <c r="GUJ990" s="124"/>
      <c r="GUK990" s="124"/>
      <c r="GUL990" s="124"/>
      <c r="GUM990" s="124"/>
      <c r="GUN990" s="124"/>
      <c r="GUO990" s="124"/>
      <c r="GUP990" s="124"/>
      <c r="GUQ990" s="124"/>
      <c r="GUR990" s="124"/>
      <c r="GUS990" s="124"/>
      <c r="GUT990" s="124"/>
      <c r="GUU990" s="124"/>
      <c r="GUV990" s="124"/>
      <c r="GUW990" s="124"/>
      <c r="GUX990" s="124"/>
      <c r="GUY990" s="124"/>
      <c r="GUZ990" s="124"/>
      <c r="GVA990" s="124"/>
      <c r="GVB990" s="124"/>
      <c r="GVC990" s="124"/>
      <c r="GVD990" s="124"/>
      <c r="GVE990" s="124"/>
      <c r="GVF990" s="124"/>
      <c r="GVG990" s="124"/>
      <c r="GVH990" s="124"/>
      <c r="GVI990" s="124"/>
      <c r="GVJ990" s="124"/>
      <c r="GVK990" s="124"/>
      <c r="GVL990" s="124"/>
      <c r="GVM990" s="124"/>
      <c r="GVN990" s="124"/>
      <c r="GVO990" s="124"/>
      <c r="GVP990" s="124"/>
      <c r="GVQ990" s="124"/>
      <c r="GVR990" s="124"/>
      <c r="GVS990" s="124"/>
      <c r="GVT990" s="124"/>
      <c r="GVU990" s="124"/>
      <c r="GVV990" s="124"/>
      <c r="GVW990" s="124"/>
      <c r="GVX990" s="124"/>
      <c r="GVY990" s="124"/>
      <c r="GVZ990" s="124"/>
      <c r="GWA990" s="124"/>
      <c r="GWB990" s="124"/>
      <c r="GWC990" s="124"/>
      <c r="GWD990" s="124"/>
      <c r="GWE990" s="124"/>
      <c r="GWF990" s="124"/>
      <c r="GWG990" s="124"/>
      <c r="GWH990" s="124"/>
      <c r="GWI990" s="124"/>
      <c r="GWJ990" s="124"/>
      <c r="GWK990" s="124"/>
      <c r="GWL990" s="124"/>
      <c r="GWM990" s="124"/>
      <c r="GWN990" s="124"/>
      <c r="GWO990" s="124"/>
      <c r="GWP990" s="124"/>
      <c r="GWQ990" s="124"/>
      <c r="GWR990" s="124"/>
      <c r="GWS990" s="124"/>
      <c r="GWT990" s="124"/>
      <c r="GWU990" s="124"/>
      <c r="GWV990" s="124"/>
      <c r="GWW990" s="124"/>
      <c r="GWX990" s="124"/>
      <c r="GWY990" s="124"/>
      <c r="GWZ990" s="124"/>
      <c r="GXA990" s="124"/>
      <c r="GXB990" s="124"/>
      <c r="GXC990" s="124"/>
      <c r="GXD990" s="124"/>
      <c r="GXE990" s="124"/>
      <c r="GXF990" s="124"/>
      <c r="GXG990" s="124"/>
      <c r="GXH990" s="124"/>
      <c r="GXI990" s="124"/>
      <c r="GXJ990" s="124"/>
      <c r="GXK990" s="124"/>
      <c r="GXL990" s="124"/>
      <c r="GXM990" s="124"/>
      <c r="GXN990" s="124"/>
      <c r="GXO990" s="124"/>
      <c r="GXP990" s="124"/>
      <c r="GXQ990" s="124"/>
      <c r="GXR990" s="124"/>
      <c r="GXS990" s="124"/>
      <c r="GXT990" s="124"/>
      <c r="GXU990" s="124"/>
      <c r="GXV990" s="124"/>
      <c r="GXW990" s="124"/>
      <c r="GXX990" s="124"/>
      <c r="GXY990" s="124"/>
      <c r="GXZ990" s="124"/>
      <c r="GYA990" s="124"/>
      <c r="GYB990" s="124"/>
      <c r="GYC990" s="124"/>
      <c r="GYD990" s="124"/>
      <c r="GYE990" s="124"/>
      <c r="GYF990" s="124"/>
      <c r="GYG990" s="124"/>
      <c r="GYH990" s="124"/>
      <c r="GYI990" s="124"/>
      <c r="GYJ990" s="124"/>
      <c r="GYK990" s="124"/>
      <c r="GYL990" s="124"/>
      <c r="GYM990" s="124"/>
      <c r="GYN990" s="124"/>
      <c r="GYO990" s="124"/>
      <c r="GYP990" s="124"/>
      <c r="GYQ990" s="124"/>
      <c r="GYR990" s="124"/>
      <c r="GYS990" s="124"/>
      <c r="GYT990" s="124"/>
      <c r="GYU990" s="124"/>
      <c r="GYV990" s="124"/>
      <c r="GYW990" s="124"/>
      <c r="GYX990" s="124"/>
      <c r="GYY990" s="124"/>
      <c r="GYZ990" s="124"/>
      <c r="GZA990" s="124"/>
      <c r="GZB990" s="124"/>
      <c r="GZC990" s="124"/>
      <c r="GZD990" s="124"/>
      <c r="GZE990" s="124"/>
      <c r="GZF990" s="124"/>
      <c r="GZG990" s="124"/>
      <c r="GZH990" s="124"/>
      <c r="GZI990" s="124"/>
      <c r="GZJ990" s="124"/>
      <c r="GZK990" s="124"/>
      <c r="GZL990" s="124"/>
      <c r="GZM990" s="124"/>
      <c r="GZN990" s="124"/>
      <c r="GZO990" s="124"/>
      <c r="GZP990" s="124"/>
      <c r="GZQ990" s="124"/>
      <c r="GZR990" s="124"/>
      <c r="GZS990" s="124"/>
      <c r="GZT990" s="124"/>
      <c r="GZU990" s="124"/>
      <c r="GZV990" s="124"/>
      <c r="GZW990" s="124"/>
      <c r="GZX990" s="124"/>
      <c r="GZY990" s="124"/>
      <c r="GZZ990" s="124"/>
      <c r="HAA990" s="124"/>
      <c r="HAB990" s="124"/>
      <c r="HAC990" s="124"/>
      <c r="HAD990" s="124"/>
      <c r="HAE990" s="124"/>
      <c r="HAF990" s="124"/>
      <c r="HAG990" s="124"/>
      <c r="HAH990" s="124"/>
      <c r="HAI990" s="124"/>
      <c r="HAJ990" s="124"/>
      <c r="HAK990" s="124"/>
      <c r="HAL990" s="124"/>
      <c r="HAM990" s="124"/>
      <c r="HAN990" s="124"/>
      <c r="HAO990" s="124"/>
      <c r="HAP990" s="124"/>
      <c r="HAQ990" s="124"/>
      <c r="HAR990" s="124"/>
      <c r="HAS990" s="124"/>
      <c r="HAT990" s="124"/>
      <c r="HAU990" s="124"/>
      <c r="HAV990" s="124"/>
      <c r="HAW990" s="124"/>
      <c r="HAX990" s="124"/>
      <c r="HAY990" s="124"/>
      <c r="HAZ990" s="124"/>
      <c r="HBA990" s="124"/>
      <c r="HBB990" s="124"/>
      <c r="HBC990" s="124"/>
      <c r="HBD990" s="124"/>
      <c r="HBE990" s="124"/>
      <c r="HBF990" s="124"/>
      <c r="HBG990" s="124"/>
      <c r="HBH990" s="124"/>
      <c r="HBI990" s="124"/>
      <c r="HBJ990" s="124"/>
      <c r="HBK990" s="124"/>
      <c r="HBL990" s="124"/>
      <c r="HBM990" s="124"/>
      <c r="HBN990" s="124"/>
      <c r="HBO990" s="124"/>
      <c r="HBP990" s="124"/>
      <c r="HBQ990" s="124"/>
      <c r="HBR990" s="124"/>
      <c r="HBS990" s="124"/>
      <c r="HBT990" s="124"/>
      <c r="HBU990" s="124"/>
      <c r="HBV990" s="124"/>
      <c r="HBW990" s="124"/>
      <c r="HBX990" s="124"/>
      <c r="HBY990" s="124"/>
      <c r="HBZ990" s="124"/>
      <c r="HCA990" s="124"/>
      <c r="HCB990" s="124"/>
      <c r="HCC990" s="124"/>
      <c r="HCD990" s="124"/>
      <c r="HCE990" s="124"/>
      <c r="HCF990" s="124"/>
      <c r="HCG990" s="124"/>
      <c r="HCH990" s="124"/>
      <c r="HCI990" s="124"/>
      <c r="HCJ990" s="124"/>
      <c r="HCK990" s="124"/>
      <c r="HCL990" s="124"/>
      <c r="HCM990" s="124"/>
      <c r="HCN990" s="124"/>
      <c r="HCO990" s="124"/>
      <c r="HCP990" s="124"/>
      <c r="HCQ990" s="124"/>
      <c r="HCR990" s="124"/>
      <c r="HCS990" s="124"/>
      <c r="HCT990" s="124"/>
      <c r="HCU990" s="124"/>
      <c r="HCV990" s="124"/>
      <c r="HCW990" s="124"/>
      <c r="HCX990" s="124"/>
      <c r="HCY990" s="124"/>
      <c r="HCZ990" s="124"/>
      <c r="HDA990" s="124"/>
      <c r="HDB990" s="124"/>
      <c r="HDC990" s="124"/>
      <c r="HDD990" s="124"/>
      <c r="HDE990" s="124"/>
      <c r="HDF990" s="124"/>
      <c r="HDG990" s="124"/>
      <c r="HDH990" s="124"/>
      <c r="HDI990" s="124"/>
      <c r="HDJ990" s="124"/>
      <c r="HDK990" s="124"/>
      <c r="HDL990" s="124"/>
      <c r="HDM990" s="124"/>
      <c r="HDN990" s="124"/>
      <c r="HDO990" s="124"/>
      <c r="HDP990" s="124"/>
      <c r="HDQ990" s="124"/>
      <c r="HDR990" s="124"/>
      <c r="HDS990" s="124"/>
      <c r="HDT990" s="124"/>
      <c r="HDU990" s="124"/>
      <c r="HDV990" s="124"/>
      <c r="HDW990" s="124"/>
      <c r="HDX990" s="124"/>
      <c r="HDY990" s="124"/>
      <c r="HDZ990" s="124"/>
      <c r="HEA990" s="124"/>
      <c r="HEB990" s="124"/>
      <c r="HEC990" s="124"/>
      <c r="HED990" s="124"/>
      <c r="HEE990" s="124"/>
      <c r="HEF990" s="124"/>
      <c r="HEG990" s="124"/>
      <c r="HEH990" s="124"/>
      <c r="HEI990" s="124"/>
      <c r="HEJ990" s="124"/>
      <c r="HEK990" s="124"/>
      <c r="HEL990" s="124"/>
      <c r="HEM990" s="124"/>
      <c r="HEN990" s="124"/>
      <c r="HEO990" s="124"/>
      <c r="HEP990" s="124"/>
      <c r="HEQ990" s="124"/>
      <c r="HER990" s="124"/>
      <c r="HES990" s="124"/>
      <c r="HET990" s="124"/>
      <c r="HEU990" s="124"/>
      <c r="HEV990" s="124"/>
      <c r="HEW990" s="124"/>
      <c r="HEX990" s="124"/>
      <c r="HEY990" s="124"/>
      <c r="HEZ990" s="124"/>
      <c r="HFA990" s="124"/>
      <c r="HFB990" s="124"/>
      <c r="HFC990" s="124"/>
      <c r="HFD990" s="124"/>
      <c r="HFE990" s="124"/>
      <c r="HFF990" s="124"/>
      <c r="HFG990" s="124"/>
      <c r="HFH990" s="124"/>
      <c r="HFI990" s="124"/>
      <c r="HFJ990" s="124"/>
      <c r="HFK990" s="124"/>
      <c r="HFL990" s="124"/>
      <c r="HFM990" s="124"/>
      <c r="HFN990" s="124"/>
      <c r="HFO990" s="124"/>
      <c r="HFP990" s="124"/>
      <c r="HFQ990" s="124"/>
      <c r="HFR990" s="124"/>
      <c r="HFS990" s="124"/>
      <c r="HFT990" s="124"/>
      <c r="HFU990" s="124"/>
      <c r="HFV990" s="124"/>
      <c r="HFW990" s="124"/>
      <c r="HFX990" s="124"/>
      <c r="HFY990" s="124"/>
      <c r="HFZ990" s="124"/>
      <c r="HGA990" s="124"/>
      <c r="HGB990" s="124"/>
      <c r="HGC990" s="124"/>
      <c r="HGD990" s="124"/>
      <c r="HGE990" s="124"/>
      <c r="HGF990" s="124"/>
      <c r="HGG990" s="124"/>
      <c r="HGH990" s="124"/>
      <c r="HGI990" s="124"/>
      <c r="HGJ990" s="124"/>
      <c r="HGK990" s="124"/>
      <c r="HGL990" s="124"/>
      <c r="HGM990" s="124"/>
      <c r="HGN990" s="124"/>
      <c r="HGO990" s="124"/>
      <c r="HGP990" s="124"/>
      <c r="HGQ990" s="124"/>
      <c r="HGR990" s="124"/>
      <c r="HGS990" s="124"/>
      <c r="HGT990" s="124"/>
      <c r="HGU990" s="124"/>
      <c r="HGV990" s="124"/>
      <c r="HGW990" s="124"/>
      <c r="HGX990" s="124"/>
      <c r="HGY990" s="124"/>
      <c r="HGZ990" s="124"/>
      <c r="HHA990" s="124"/>
      <c r="HHB990" s="124"/>
      <c r="HHC990" s="124"/>
      <c r="HHD990" s="124"/>
      <c r="HHE990" s="124"/>
      <c r="HHF990" s="124"/>
      <c r="HHG990" s="124"/>
      <c r="HHH990" s="124"/>
      <c r="HHI990" s="124"/>
      <c r="HHJ990" s="124"/>
      <c r="HHK990" s="124"/>
      <c r="HHL990" s="124"/>
      <c r="HHM990" s="124"/>
      <c r="HHN990" s="124"/>
      <c r="HHO990" s="124"/>
      <c r="HHP990" s="124"/>
      <c r="HHQ990" s="124"/>
      <c r="HHR990" s="124"/>
      <c r="HHS990" s="124"/>
      <c r="HHT990" s="124"/>
      <c r="HHU990" s="124"/>
      <c r="HHV990" s="124"/>
      <c r="HHW990" s="124"/>
      <c r="HHX990" s="124"/>
      <c r="HHY990" s="124"/>
      <c r="HHZ990" s="124"/>
      <c r="HIA990" s="124"/>
      <c r="HIB990" s="124"/>
      <c r="HIC990" s="124"/>
      <c r="HID990" s="124"/>
      <c r="HIE990" s="124"/>
      <c r="HIF990" s="124"/>
      <c r="HIG990" s="124"/>
      <c r="HIH990" s="124"/>
      <c r="HII990" s="124"/>
      <c r="HIJ990" s="124"/>
      <c r="HIK990" s="124"/>
      <c r="HIL990" s="124"/>
      <c r="HIM990" s="124"/>
      <c r="HIN990" s="124"/>
      <c r="HIO990" s="124"/>
      <c r="HIP990" s="124"/>
      <c r="HIQ990" s="124"/>
      <c r="HIR990" s="124"/>
      <c r="HIS990" s="124"/>
      <c r="HIT990" s="124"/>
      <c r="HIU990" s="124"/>
      <c r="HIV990" s="124"/>
      <c r="HIW990" s="124"/>
      <c r="HIX990" s="124"/>
      <c r="HIY990" s="124"/>
      <c r="HIZ990" s="124"/>
      <c r="HJA990" s="124"/>
      <c r="HJB990" s="124"/>
      <c r="HJC990" s="124"/>
      <c r="HJD990" s="124"/>
      <c r="HJE990" s="124"/>
      <c r="HJF990" s="124"/>
      <c r="HJG990" s="124"/>
      <c r="HJH990" s="124"/>
      <c r="HJI990" s="124"/>
      <c r="HJJ990" s="124"/>
      <c r="HJK990" s="124"/>
      <c r="HJL990" s="124"/>
      <c r="HJM990" s="124"/>
      <c r="HJN990" s="124"/>
      <c r="HJO990" s="124"/>
      <c r="HJP990" s="124"/>
      <c r="HJQ990" s="124"/>
      <c r="HJR990" s="124"/>
      <c r="HJS990" s="124"/>
      <c r="HJT990" s="124"/>
      <c r="HJU990" s="124"/>
      <c r="HJV990" s="124"/>
      <c r="HJW990" s="124"/>
      <c r="HJX990" s="124"/>
      <c r="HJY990" s="124"/>
      <c r="HJZ990" s="124"/>
      <c r="HKA990" s="124"/>
      <c r="HKB990" s="124"/>
      <c r="HKC990" s="124"/>
      <c r="HKD990" s="124"/>
      <c r="HKE990" s="124"/>
      <c r="HKF990" s="124"/>
      <c r="HKG990" s="124"/>
      <c r="HKH990" s="124"/>
      <c r="HKI990" s="124"/>
      <c r="HKJ990" s="124"/>
      <c r="HKK990" s="124"/>
      <c r="HKL990" s="124"/>
      <c r="HKM990" s="124"/>
      <c r="HKN990" s="124"/>
      <c r="HKO990" s="124"/>
      <c r="HKP990" s="124"/>
      <c r="HKQ990" s="124"/>
      <c r="HKR990" s="124"/>
      <c r="HKS990" s="124"/>
      <c r="HKT990" s="124"/>
      <c r="HKU990" s="124"/>
      <c r="HKV990" s="124"/>
      <c r="HKW990" s="124"/>
      <c r="HKX990" s="124"/>
      <c r="HKY990" s="124"/>
      <c r="HKZ990" s="124"/>
      <c r="HLA990" s="124"/>
      <c r="HLB990" s="124"/>
      <c r="HLC990" s="124"/>
      <c r="HLD990" s="124"/>
      <c r="HLE990" s="124"/>
      <c r="HLF990" s="124"/>
      <c r="HLG990" s="124"/>
      <c r="HLH990" s="124"/>
      <c r="HLI990" s="124"/>
      <c r="HLJ990" s="124"/>
      <c r="HLK990" s="124"/>
      <c r="HLL990" s="124"/>
      <c r="HLM990" s="124"/>
      <c r="HLN990" s="124"/>
      <c r="HLO990" s="124"/>
      <c r="HLP990" s="124"/>
      <c r="HLQ990" s="124"/>
      <c r="HLR990" s="124"/>
      <c r="HLS990" s="124"/>
      <c r="HLT990" s="124"/>
      <c r="HLU990" s="124"/>
      <c r="HLV990" s="124"/>
      <c r="HLW990" s="124"/>
      <c r="HLX990" s="124"/>
      <c r="HLY990" s="124"/>
      <c r="HLZ990" s="124"/>
      <c r="HMA990" s="124"/>
      <c r="HMB990" s="124"/>
      <c r="HMC990" s="124"/>
      <c r="HMD990" s="124"/>
      <c r="HME990" s="124"/>
      <c r="HMF990" s="124"/>
      <c r="HMG990" s="124"/>
      <c r="HMH990" s="124"/>
      <c r="HMI990" s="124"/>
      <c r="HMJ990" s="124"/>
      <c r="HMK990" s="124"/>
      <c r="HML990" s="124"/>
      <c r="HMM990" s="124"/>
      <c r="HMN990" s="124"/>
      <c r="HMO990" s="124"/>
      <c r="HMP990" s="124"/>
      <c r="HMQ990" s="124"/>
      <c r="HMR990" s="124"/>
      <c r="HMS990" s="124"/>
      <c r="HMT990" s="124"/>
      <c r="HMU990" s="124"/>
      <c r="HMV990" s="124"/>
      <c r="HMW990" s="124"/>
      <c r="HMX990" s="124"/>
      <c r="HMY990" s="124"/>
      <c r="HMZ990" s="124"/>
      <c r="HNA990" s="124"/>
      <c r="HNB990" s="124"/>
      <c r="HNC990" s="124"/>
      <c r="HND990" s="124"/>
      <c r="HNE990" s="124"/>
      <c r="HNF990" s="124"/>
      <c r="HNG990" s="124"/>
      <c r="HNH990" s="124"/>
      <c r="HNI990" s="124"/>
      <c r="HNJ990" s="124"/>
      <c r="HNK990" s="124"/>
      <c r="HNL990" s="124"/>
      <c r="HNM990" s="124"/>
      <c r="HNN990" s="124"/>
      <c r="HNO990" s="124"/>
      <c r="HNP990" s="124"/>
      <c r="HNQ990" s="124"/>
      <c r="HNR990" s="124"/>
      <c r="HNS990" s="124"/>
      <c r="HNT990" s="124"/>
      <c r="HNU990" s="124"/>
      <c r="HNV990" s="124"/>
      <c r="HNW990" s="124"/>
      <c r="HNX990" s="124"/>
      <c r="HNY990" s="124"/>
      <c r="HNZ990" s="124"/>
      <c r="HOA990" s="124"/>
      <c r="HOB990" s="124"/>
      <c r="HOC990" s="124"/>
      <c r="HOD990" s="124"/>
      <c r="HOE990" s="124"/>
      <c r="HOF990" s="124"/>
      <c r="HOG990" s="124"/>
      <c r="HOH990" s="124"/>
      <c r="HOI990" s="124"/>
      <c r="HOJ990" s="124"/>
      <c r="HOK990" s="124"/>
      <c r="HOL990" s="124"/>
      <c r="HOM990" s="124"/>
      <c r="HON990" s="124"/>
      <c r="HOO990" s="124"/>
      <c r="HOP990" s="124"/>
      <c r="HOQ990" s="124"/>
      <c r="HOR990" s="124"/>
      <c r="HOS990" s="124"/>
      <c r="HOT990" s="124"/>
      <c r="HOU990" s="124"/>
      <c r="HOV990" s="124"/>
      <c r="HOW990" s="124"/>
      <c r="HOX990" s="124"/>
      <c r="HOY990" s="124"/>
      <c r="HOZ990" s="124"/>
      <c r="HPA990" s="124"/>
      <c r="HPB990" s="124"/>
      <c r="HPC990" s="124"/>
      <c r="HPD990" s="124"/>
      <c r="HPE990" s="124"/>
      <c r="HPF990" s="124"/>
      <c r="HPG990" s="124"/>
      <c r="HPH990" s="124"/>
      <c r="HPI990" s="124"/>
      <c r="HPJ990" s="124"/>
      <c r="HPK990" s="124"/>
      <c r="HPL990" s="124"/>
      <c r="HPM990" s="124"/>
      <c r="HPN990" s="124"/>
      <c r="HPO990" s="124"/>
      <c r="HPP990" s="124"/>
      <c r="HPQ990" s="124"/>
      <c r="HPR990" s="124"/>
      <c r="HPS990" s="124"/>
      <c r="HPT990" s="124"/>
      <c r="HPU990" s="124"/>
      <c r="HPV990" s="124"/>
      <c r="HPW990" s="124"/>
      <c r="HPX990" s="124"/>
      <c r="HPY990" s="124"/>
      <c r="HPZ990" s="124"/>
      <c r="HQA990" s="124"/>
      <c r="HQB990" s="124"/>
      <c r="HQC990" s="124"/>
      <c r="HQD990" s="124"/>
      <c r="HQE990" s="124"/>
      <c r="HQF990" s="124"/>
      <c r="HQG990" s="124"/>
      <c r="HQH990" s="124"/>
      <c r="HQI990" s="124"/>
      <c r="HQJ990" s="124"/>
      <c r="HQK990" s="124"/>
      <c r="HQL990" s="124"/>
      <c r="HQM990" s="124"/>
      <c r="HQN990" s="124"/>
      <c r="HQO990" s="124"/>
      <c r="HQP990" s="124"/>
      <c r="HQQ990" s="124"/>
      <c r="HQR990" s="124"/>
      <c r="HQS990" s="124"/>
      <c r="HQT990" s="124"/>
      <c r="HQU990" s="124"/>
      <c r="HQV990" s="124"/>
      <c r="HQW990" s="124"/>
      <c r="HQX990" s="124"/>
      <c r="HQY990" s="124"/>
      <c r="HQZ990" s="124"/>
      <c r="HRA990" s="124"/>
      <c r="HRB990" s="124"/>
      <c r="HRC990" s="124"/>
      <c r="HRD990" s="124"/>
      <c r="HRE990" s="124"/>
      <c r="HRF990" s="124"/>
      <c r="HRG990" s="124"/>
      <c r="HRH990" s="124"/>
      <c r="HRI990" s="124"/>
      <c r="HRJ990" s="124"/>
      <c r="HRK990" s="124"/>
      <c r="HRL990" s="124"/>
      <c r="HRM990" s="124"/>
      <c r="HRN990" s="124"/>
      <c r="HRO990" s="124"/>
      <c r="HRP990" s="124"/>
      <c r="HRQ990" s="124"/>
      <c r="HRR990" s="124"/>
      <c r="HRS990" s="124"/>
      <c r="HRT990" s="124"/>
      <c r="HRU990" s="124"/>
      <c r="HRV990" s="124"/>
      <c r="HRW990" s="124"/>
      <c r="HRX990" s="124"/>
      <c r="HRY990" s="124"/>
      <c r="HRZ990" s="124"/>
      <c r="HSA990" s="124"/>
      <c r="HSB990" s="124"/>
      <c r="HSC990" s="124"/>
      <c r="HSD990" s="124"/>
      <c r="HSE990" s="124"/>
      <c r="HSF990" s="124"/>
      <c r="HSG990" s="124"/>
      <c r="HSH990" s="124"/>
      <c r="HSI990" s="124"/>
      <c r="HSJ990" s="124"/>
      <c r="HSK990" s="124"/>
      <c r="HSL990" s="124"/>
      <c r="HSM990" s="124"/>
      <c r="HSN990" s="124"/>
      <c r="HSO990" s="124"/>
      <c r="HSP990" s="124"/>
      <c r="HSQ990" s="124"/>
      <c r="HSR990" s="124"/>
      <c r="HSS990" s="124"/>
      <c r="HST990" s="124"/>
      <c r="HSU990" s="124"/>
      <c r="HSV990" s="124"/>
      <c r="HSW990" s="124"/>
      <c r="HSX990" s="124"/>
      <c r="HSY990" s="124"/>
      <c r="HSZ990" s="124"/>
      <c r="HTA990" s="124"/>
      <c r="HTB990" s="124"/>
      <c r="HTC990" s="124"/>
      <c r="HTD990" s="124"/>
      <c r="HTE990" s="124"/>
      <c r="HTF990" s="124"/>
      <c r="HTG990" s="124"/>
      <c r="HTH990" s="124"/>
      <c r="HTI990" s="124"/>
      <c r="HTJ990" s="124"/>
      <c r="HTK990" s="124"/>
      <c r="HTL990" s="124"/>
      <c r="HTM990" s="124"/>
      <c r="HTN990" s="124"/>
      <c r="HTO990" s="124"/>
      <c r="HTP990" s="124"/>
      <c r="HTQ990" s="124"/>
      <c r="HTR990" s="124"/>
      <c r="HTS990" s="124"/>
      <c r="HTT990" s="124"/>
      <c r="HTU990" s="124"/>
      <c r="HTV990" s="124"/>
      <c r="HTW990" s="124"/>
      <c r="HTX990" s="124"/>
      <c r="HTY990" s="124"/>
      <c r="HTZ990" s="124"/>
      <c r="HUA990" s="124"/>
      <c r="HUB990" s="124"/>
      <c r="HUC990" s="124"/>
      <c r="HUD990" s="124"/>
      <c r="HUE990" s="124"/>
      <c r="HUF990" s="124"/>
      <c r="HUG990" s="124"/>
      <c r="HUH990" s="124"/>
      <c r="HUI990" s="124"/>
      <c r="HUJ990" s="124"/>
      <c r="HUK990" s="124"/>
      <c r="HUL990" s="124"/>
      <c r="HUM990" s="124"/>
      <c r="HUN990" s="124"/>
      <c r="HUO990" s="124"/>
      <c r="HUP990" s="124"/>
      <c r="HUQ990" s="124"/>
      <c r="HUR990" s="124"/>
      <c r="HUS990" s="124"/>
      <c r="HUT990" s="124"/>
      <c r="HUU990" s="124"/>
      <c r="HUV990" s="124"/>
      <c r="HUW990" s="124"/>
      <c r="HUX990" s="124"/>
      <c r="HUY990" s="124"/>
      <c r="HUZ990" s="124"/>
      <c r="HVA990" s="124"/>
      <c r="HVB990" s="124"/>
      <c r="HVC990" s="124"/>
      <c r="HVD990" s="124"/>
      <c r="HVE990" s="124"/>
      <c r="HVF990" s="124"/>
      <c r="HVG990" s="124"/>
      <c r="HVH990" s="124"/>
      <c r="HVI990" s="124"/>
      <c r="HVJ990" s="124"/>
      <c r="HVK990" s="124"/>
      <c r="HVL990" s="124"/>
      <c r="HVM990" s="124"/>
      <c r="HVN990" s="124"/>
      <c r="HVO990" s="124"/>
      <c r="HVP990" s="124"/>
      <c r="HVQ990" s="124"/>
      <c r="HVR990" s="124"/>
      <c r="HVS990" s="124"/>
      <c r="HVT990" s="124"/>
      <c r="HVU990" s="124"/>
      <c r="HVV990" s="124"/>
      <c r="HVW990" s="124"/>
      <c r="HVX990" s="124"/>
      <c r="HVY990" s="124"/>
      <c r="HVZ990" s="124"/>
      <c r="HWA990" s="124"/>
      <c r="HWB990" s="124"/>
      <c r="HWC990" s="124"/>
      <c r="HWD990" s="124"/>
      <c r="HWE990" s="124"/>
      <c r="HWF990" s="124"/>
      <c r="HWG990" s="124"/>
      <c r="HWH990" s="124"/>
      <c r="HWI990" s="124"/>
      <c r="HWJ990" s="124"/>
      <c r="HWK990" s="124"/>
      <c r="HWL990" s="124"/>
      <c r="HWM990" s="124"/>
      <c r="HWN990" s="124"/>
      <c r="HWO990" s="124"/>
      <c r="HWP990" s="124"/>
      <c r="HWQ990" s="124"/>
      <c r="HWR990" s="124"/>
      <c r="HWS990" s="124"/>
      <c r="HWT990" s="124"/>
      <c r="HWU990" s="124"/>
      <c r="HWV990" s="124"/>
      <c r="HWW990" s="124"/>
      <c r="HWX990" s="124"/>
      <c r="HWY990" s="124"/>
      <c r="HWZ990" s="124"/>
      <c r="HXA990" s="124"/>
      <c r="HXB990" s="124"/>
      <c r="HXC990" s="124"/>
      <c r="HXD990" s="124"/>
      <c r="HXE990" s="124"/>
      <c r="HXF990" s="124"/>
      <c r="HXG990" s="124"/>
      <c r="HXH990" s="124"/>
      <c r="HXI990" s="124"/>
      <c r="HXJ990" s="124"/>
      <c r="HXK990" s="124"/>
      <c r="HXL990" s="124"/>
      <c r="HXM990" s="124"/>
      <c r="HXN990" s="124"/>
      <c r="HXO990" s="124"/>
      <c r="HXP990" s="124"/>
      <c r="HXQ990" s="124"/>
      <c r="HXR990" s="124"/>
      <c r="HXS990" s="124"/>
      <c r="HXT990" s="124"/>
      <c r="HXU990" s="124"/>
      <c r="HXV990" s="124"/>
      <c r="HXW990" s="124"/>
      <c r="HXX990" s="124"/>
      <c r="HXY990" s="124"/>
      <c r="HXZ990" s="124"/>
      <c r="HYA990" s="124"/>
      <c r="HYB990" s="124"/>
      <c r="HYC990" s="124"/>
      <c r="HYD990" s="124"/>
      <c r="HYE990" s="124"/>
      <c r="HYF990" s="124"/>
      <c r="HYG990" s="124"/>
      <c r="HYH990" s="124"/>
      <c r="HYI990" s="124"/>
      <c r="HYJ990" s="124"/>
      <c r="HYK990" s="124"/>
      <c r="HYL990" s="124"/>
      <c r="HYM990" s="124"/>
      <c r="HYN990" s="124"/>
      <c r="HYO990" s="124"/>
      <c r="HYP990" s="124"/>
      <c r="HYQ990" s="124"/>
      <c r="HYR990" s="124"/>
      <c r="HYS990" s="124"/>
      <c r="HYT990" s="124"/>
      <c r="HYU990" s="124"/>
      <c r="HYV990" s="124"/>
      <c r="HYW990" s="124"/>
      <c r="HYX990" s="124"/>
      <c r="HYY990" s="124"/>
      <c r="HYZ990" s="124"/>
      <c r="HZA990" s="124"/>
      <c r="HZB990" s="124"/>
      <c r="HZC990" s="124"/>
      <c r="HZD990" s="124"/>
      <c r="HZE990" s="124"/>
      <c r="HZF990" s="124"/>
      <c r="HZG990" s="124"/>
      <c r="HZH990" s="124"/>
      <c r="HZI990" s="124"/>
      <c r="HZJ990" s="124"/>
      <c r="HZK990" s="124"/>
      <c r="HZL990" s="124"/>
      <c r="HZM990" s="124"/>
      <c r="HZN990" s="124"/>
      <c r="HZO990" s="124"/>
      <c r="HZP990" s="124"/>
      <c r="HZQ990" s="124"/>
      <c r="HZR990" s="124"/>
      <c r="HZS990" s="124"/>
      <c r="HZT990" s="124"/>
      <c r="HZU990" s="124"/>
      <c r="HZV990" s="124"/>
      <c r="HZW990" s="124"/>
      <c r="HZX990" s="124"/>
      <c r="HZY990" s="124"/>
      <c r="HZZ990" s="124"/>
      <c r="IAA990" s="124"/>
      <c r="IAB990" s="124"/>
      <c r="IAC990" s="124"/>
      <c r="IAD990" s="124"/>
      <c r="IAE990" s="124"/>
      <c r="IAF990" s="124"/>
      <c r="IAG990" s="124"/>
      <c r="IAH990" s="124"/>
      <c r="IAI990" s="124"/>
      <c r="IAJ990" s="124"/>
      <c r="IAK990" s="124"/>
      <c r="IAL990" s="124"/>
      <c r="IAM990" s="124"/>
      <c r="IAN990" s="124"/>
      <c r="IAO990" s="124"/>
      <c r="IAP990" s="124"/>
      <c r="IAQ990" s="124"/>
      <c r="IAR990" s="124"/>
      <c r="IAS990" s="124"/>
      <c r="IAT990" s="124"/>
      <c r="IAU990" s="124"/>
      <c r="IAV990" s="124"/>
      <c r="IAW990" s="124"/>
      <c r="IAX990" s="124"/>
      <c r="IAY990" s="124"/>
      <c r="IAZ990" s="124"/>
      <c r="IBA990" s="124"/>
      <c r="IBB990" s="124"/>
      <c r="IBC990" s="124"/>
      <c r="IBD990" s="124"/>
      <c r="IBE990" s="124"/>
      <c r="IBF990" s="124"/>
      <c r="IBG990" s="124"/>
      <c r="IBH990" s="124"/>
      <c r="IBI990" s="124"/>
      <c r="IBJ990" s="124"/>
      <c r="IBK990" s="124"/>
      <c r="IBL990" s="124"/>
      <c r="IBM990" s="124"/>
      <c r="IBN990" s="124"/>
      <c r="IBO990" s="124"/>
      <c r="IBP990" s="124"/>
      <c r="IBQ990" s="124"/>
      <c r="IBR990" s="124"/>
      <c r="IBS990" s="124"/>
      <c r="IBT990" s="124"/>
      <c r="IBU990" s="124"/>
      <c r="IBV990" s="124"/>
      <c r="IBW990" s="124"/>
      <c r="IBX990" s="124"/>
      <c r="IBY990" s="124"/>
      <c r="IBZ990" s="124"/>
      <c r="ICA990" s="124"/>
      <c r="ICB990" s="124"/>
      <c r="ICC990" s="124"/>
      <c r="ICD990" s="124"/>
      <c r="ICE990" s="124"/>
      <c r="ICF990" s="124"/>
      <c r="ICG990" s="124"/>
      <c r="ICH990" s="124"/>
      <c r="ICI990" s="124"/>
      <c r="ICJ990" s="124"/>
      <c r="ICK990" s="124"/>
      <c r="ICL990" s="124"/>
      <c r="ICM990" s="124"/>
      <c r="ICN990" s="124"/>
      <c r="ICO990" s="124"/>
      <c r="ICP990" s="124"/>
      <c r="ICQ990" s="124"/>
      <c r="ICR990" s="124"/>
      <c r="ICS990" s="124"/>
      <c r="ICT990" s="124"/>
      <c r="ICU990" s="124"/>
      <c r="ICV990" s="124"/>
      <c r="ICW990" s="124"/>
      <c r="ICX990" s="124"/>
      <c r="ICY990" s="124"/>
      <c r="ICZ990" s="124"/>
      <c r="IDA990" s="124"/>
      <c r="IDB990" s="124"/>
      <c r="IDC990" s="124"/>
      <c r="IDD990" s="124"/>
      <c r="IDE990" s="124"/>
      <c r="IDF990" s="124"/>
      <c r="IDG990" s="124"/>
      <c r="IDH990" s="124"/>
      <c r="IDI990" s="124"/>
      <c r="IDJ990" s="124"/>
      <c r="IDK990" s="124"/>
      <c r="IDL990" s="124"/>
      <c r="IDM990" s="124"/>
      <c r="IDN990" s="124"/>
      <c r="IDO990" s="124"/>
      <c r="IDP990" s="124"/>
      <c r="IDQ990" s="124"/>
      <c r="IDR990" s="124"/>
      <c r="IDS990" s="124"/>
      <c r="IDT990" s="124"/>
      <c r="IDU990" s="124"/>
      <c r="IDV990" s="124"/>
      <c r="IDW990" s="124"/>
      <c r="IDX990" s="124"/>
      <c r="IDY990" s="124"/>
      <c r="IDZ990" s="124"/>
      <c r="IEA990" s="124"/>
      <c r="IEB990" s="124"/>
      <c r="IEC990" s="124"/>
      <c r="IED990" s="124"/>
      <c r="IEE990" s="124"/>
      <c r="IEF990" s="124"/>
      <c r="IEG990" s="124"/>
      <c r="IEH990" s="124"/>
      <c r="IEI990" s="124"/>
      <c r="IEJ990" s="124"/>
      <c r="IEK990" s="124"/>
      <c r="IEL990" s="124"/>
      <c r="IEM990" s="124"/>
      <c r="IEN990" s="124"/>
      <c r="IEO990" s="124"/>
      <c r="IEP990" s="124"/>
      <c r="IEQ990" s="124"/>
      <c r="IER990" s="124"/>
      <c r="IES990" s="124"/>
      <c r="IET990" s="124"/>
      <c r="IEU990" s="124"/>
      <c r="IEV990" s="124"/>
      <c r="IEW990" s="124"/>
      <c r="IEX990" s="124"/>
      <c r="IEY990" s="124"/>
      <c r="IEZ990" s="124"/>
      <c r="IFA990" s="124"/>
      <c r="IFB990" s="124"/>
      <c r="IFC990" s="124"/>
      <c r="IFD990" s="124"/>
      <c r="IFE990" s="124"/>
      <c r="IFF990" s="124"/>
      <c r="IFG990" s="124"/>
      <c r="IFH990" s="124"/>
      <c r="IFI990" s="124"/>
      <c r="IFJ990" s="124"/>
      <c r="IFK990" s="124"/>
      <c r="IFL990" s="124"/>
      <c r="IFM990" s="124"/>
      <c r="IFN990" s="124"/>
      <c r="IFO990" s="124"/>
      <c r="IFP990" s="124"/>
      <c r="IFQ990" s="124"/>
      <c r="IFR990" s="124"/>
      <c r="IFS990" s="124"/>
      <c r="IFT990" s="124"/>
      <c r="IFU990" s="124"/>
      <c r="IFV990" s="124"/>
      <c r="IFW990" s="124"/>
      <c r="IFX990" s="124"/>
      <c r="IFY990" s="124"/>
      <c r="IFZ990" s="124"/>
      <c r="IGA990" s="124"/>
      <c r="IGB990" s="124"/>
      <c r="IGC990" s="124"/>
      <c r="IGD990" s="124"/>
      <c r="IGE990" s="124"/>
      <c r="IGF990" s="124"/>
      <c r="IGG990" s="124"/>
      <c r="IGH990" s="124"/>
      <c r="IGI990" s="124"/>
      <c r="IGJ990" s="124"/>
      <c r="IGK990" s="124"/>
      <c r="IGL990" s="124"/>
      <c r="IGM990" s="124"/>
      <c r="IGN990" s="124"/>
      <c r="IGO990" s="124"/>
      <c r="IGP990" s="124"/>
      <c r="IGQ990" s="124"/>
      <c r="IGR990" s="124"/>
      <c r="IGS990" s="124"/>
      <c r="IGT990" s="124"/>
      <c r="IGU990" s="124"/>
      <c r="IGV990" s="124"/>
      <c r="IGW990" s="124"/>
      <c r="IGX990" s="124"/>
      <c r="IGY990" s="124"/>
      <c r="IGZ990" s="124"/>
      <c r="IHA990" s="124"/>
      <c r="IHB990" s="124"/>
      <c r="IHC990" s="124"/>
      <c r="IHD990" s="124"/>
      <c r="IHE990" s="124"/>
      <c r="IHF990" s="124"/>
      <c r="IHG990" s="124"/>
      <c r="IHH990" s="124"/>
      <c r="IHI990" s="124"/>
      <c r="IHJ990" s="124"/>
      <c r="IHK990" s="124"/>
      <c r="IHL990" s="124"/>
      <c r="IHM990" s="124"/>
      <c r="IHN990" s="124"/>
      <c r="IHO990" s="124"/>
      <c r="IHP990" s="124"/>
      <c r="IHQ990" s="124"/>
      <c r="IHR990" s="124"/>
      <c r="IHS990" s="124"/>
      <c r="IHT990" s="124"/>
      <c r="IHU990" s="124"/>
      <c r="IHV990" s="124"/>
      <c r="IHW990" s="124"/>
      <c r="IHX990" s="124"/>
      <c r="IHY990" s="124"/>
      <c r="IHZ990" s="124"/>
      <c r="IIA990" s="124"/>
      <c r="IIB990" s="124"/>
      <c r="IIC990" s="124"/>
      <c r="IID990" s="124"/>
      <c r="IIE990" s="124"/>
      <c r="IIF990" s="124"/>
      <c r="IIG990" s="124"/>
      <c r="IIH990" s="124"/>
      <c r="III990" s="124"/>
      <c r="IIJ990" s="124"/>
      <c r="IIK990" s="124"/>
      <c r="IIL990" s="124"/>
      <c r="IIM990" s="124"/>
      <c r="IIN990" s="124"/>
      <c r="IIO990" s="124"/>
      <c r="IIP990" s="124"/>
      <c r="IIQ990" s="124"/>
      <c r="IIR990" s="124"/>
      <c r="IIS990" s="124"/>
      <c r="IIT990" s="124"/>
      <c r="IIU990" s="124"/>
      <c r="IIV990" s="124"/>
      <c r="IIW990" s="124"/>
      <c r="IIX990" s="124"/>
      <c r="IIY990" s="124"/>
      <c r="IIZ990" s="124"/>
      <c r="IJA990" s="124"/>
      <c r="IJB990" s="124"/>
      <c r="IJC990" s="124"/>
      <c r="IJD990" s="124"/>
      <c r="IJE990" s="124"/>
      <c r="IJF990" s="124"/>
      <c r="IJG990" s="124"/>
      <c r="IJH990" s="124"/>
      <c r="IJI990" s="124"/>
      <c r="IJJ990" s="124"/>
      <c r="IJK990" s="124"/>
      <c r="IJL990" s="124"/>
      <c r="IJM990" s="124"/>
      <c r="IJN990" s="124"/>
      <c r="IJO990" s="124"/>
      <c r="IJP990" s="124"/>
      <c r="IJQ990" s="124"/>
      <c r="IJR990" s="124"/>
      <c r="IJS990" s="124"/>
      <c r="IJT990" s="124"/>
      <c r="IJU990" s="124"/>
      <c r="IJV990" s="124"/>
      <c r="IJW990" s="124"/>
      <c r="IJX990" s="124"/>
      <c r="IJY990" s="124"/>
      <c r="IJZ990" s="124"/>
      <c r="IKA990" s="124"/>
      <c r="IKB990" s="124"/>
      <c r="IKC990" s="124"/>
      <c r="IKD990" s="124"/>
      <c r="IKE990" s="124"/>
      <c r="IKF990" s="124"/>
      <c r="IKG990" s="124"/>
      <c r="IKH990" s="124"/>
      <c r="IKI990" s="124"/>
      <c r="IKJ990" s="124"/>
      <c r="IKK990" s="124"/>
      <c r="IKL990" s="124"/>
      <c r="IKM990" s="124"/>
      <c r="IKN990" s="124"/>
      <c r="IKO990" s="124"/>
      <c r="IKP990" s="124"/>
      <c r="IKQ990" s="124"/>
      <c r="IKR990" s="124"/>
      <c r="IKS990" s="124"/>
      <c r="IKT990" s="124"/>
      <c r="IKU990" s="124"/>
      <c r="IKV990" s="124"/>
      <c r="IKW990" s="124"/>
      <c r="IKX990" s="124"/>
      <c r="IKY990" s="124"/>
      <c r="IKZ990" s="124"/>
      <c r="ILA990" s="124"/>
      <c r="ILB990" s="124"/>
      <c r="ILC990" s="124"/>
      <c r="ILD990" s="124"/>
      <c r="ILE990" s="124"/>
      <c r="ILF990" s="124"/>
      <c r="ILG990" s="124"/>
      <c r="ILH990" s="124"/>
      <c r="ILI990" s="124"/>
      <c r="ILJ990" s="124"/>
      <c r="ILK990" s="124"/>
      <c r="ILL990" s="124"/>
      <c r="ILM990" s="124"/>
      <c r="ILN990" s="124"/>
      <c r="ILO990" s="124"/>
      <c r="ILP990" s="124"/>
      <c r="ILQ990" s="124"/>
      <c r="ILR990" s="124"/>
      <c r="ILS990" s="124"/>
      <c r="ILT990" s="124"/>
      <c r="ILU990" s="124"/>
      <c r="ILV990" s="124"/>
      <c r="ILW990" s="124"/>
      <c r="ILX990" s="124"/>
      <c r="ILY990" s="124"/>
      <c r="ILZ990" s="124"/>
      <c r="IMA990" s="124"/>
      <c r="IMB990" s="124"/>
      <c r="IMC990" s="124"/>
      <c r="IMD990" s="124"/>
      <c r="IME990" s="124"/>
      <c r="IMF990" s="124"/>
      <c r="IMG990" s="124"/>
      <c r="IMH990" s="124"/>
      <c r="IMI990" s="124"/>
      <c r="IMJ990" s="124"/>
      <c r="IMK990" s="124"/>
      <c r="IML990" s="124"/>
      <c r="IMM990" s="124"/>
      <c r="IMN990" s="124"/>
      <c r="IMO990" s="124"/>
      <c r="IMP990" s="124"/>
      <c r="IMQ990" s="124"/>
      <c r="IMR990" s="124"/>
      <c r="IMS990" s="124"/>
      <c r="IMT990" s="124"/>
      <c r="IMU990" s="124"/>
      <c r="IMV990" s="124"/>
      <c r="IMW990" s="124"/>
      <c r="IMX990" s="124"/>
      <c r="IMY990" s="124"/>
      <c r="IMZ990" s="124"/>
      <c r="INA990" s="124"/>
      <c r="INB990" s="124"/>
      <c r="INC990" s="124"/>
      <c r="IND990" s="124"/>
      <c r="INE990" s="124"/>
      <c r="INF990" s="124"/>
      <c r="ING990" s="124"/>
      <c r="INH990" s="124"/>
      <c r="INI990" s="124"/>
      <c r="INJ990" s="124"/>
      <c r="INK990" s="124"/>
      <c r="INL990" s="124"/>
      <c r="INM990" s="124"/>
      <c r="INN990" s="124"/>
      <c r="INO990" s="124"/>
      <c r="INP990" s="124"/>
      <c r="INQ990" s="124"/>
      <c r="INR990" s="124"/>
      <c r="INS990" s="124"/>
      <c r="INT990" s="124"/>
      <c r="INU990" s="124"/>
      <c r="INV990" s="124"/>
      <c r="INW990" s="124"/>
      <c r="INX990" s="124"/>
      <c r="INY990" s="124"/>
      <c r="INZ990" s="124"/>
      <c r="IOA990" s="124"/>
      <c r="IOB990" s="124"/>
      <c r="IOC990" s="124"/>
      <c r="IOD990" s="124"/>
      <c r="IOE990" s="124"/>
      <c r="IOF990" s="124"/>
      <c r="IOG990" s="124"/>
      <c r="IOH990" s="124"/>
      <c r="IOI990" s="124"/>
      <c r="IOJ990" s="124"/>
      <c r="IOK990" s="124"/>
      <c r="IOL990" s="124"/>
      <c r="IOM990" s="124"/>
      <c r="ION990" s="124"/>
      <c r="IOO990" s="124"/>
      <c r="IOP990" s="124"/>
      <c r="IOQ990" s="124"/>
      <c r="IOR990" s="124"/>
      <c r="IOS990" s="124"/>
      <c r="IOT990" s="124"/>
      <c r="IOU990" s="124"/>
      <c r="IOV990" s="124"/>
      <c r="IOW990" s="124"/>
      <c r="IOX990" s="124"/>
      <c r="IOY990" s="124"/>
      <c r="IOZ990" s="124"/>
      <c r="IPA990" s="124"/>
      <c r="IPB990" s="124"/>
      <c r="IPC990" s="124"/>
      <c r="IPD990" s="124"/>
      <c r="IPE990" s="124"/>
      <c r="IPF990" s="124"/>
      <c r="IPG990" s="124"/>
      <c r="IPH990" s="124"/>
      <c r="IPI990" s="124"/>
      <c r="IPJ990" s="124"/>
      <c r="IPK990" s="124"/>
      <c r="IPL990" s="124"/>
      <c r="IPM990" s="124"/>
      <c r="IPN990" s="124"/>
      <c r="IPO990" s="124"/>
      <c r="IPP990" s="124"/>
      <c r="IPQ990" s="124"/>
      <c r="IPR990" s="124"/>
      <c r="IPS990" s="124"/>
      <c r="IPT990" s="124"/>
      <c r="IPU990" s="124"/>
      <c r="IPV990" s="124"/>
      <c r="IPW990" s="124"/>
      <c r="IPX990" s="124"/>
      <c r="IPY990" s="124"/>
      <c r="IPZ990" s="124"/>
      <c r="IQA990" s="124"/>
      <c r="IQB990" s="124"/>
      <c r="IQC990" s="124"/>
      <c r="IQD990" s="124"/>
      <c r="IQE990" s="124"/>
      <c r="IQF990" s="124"/>
      <c r="IQG990" s="124"/>
      <c r="IQH990" s="124"/>
      <c r="IQI990" s="124"/>
      <c r="IQJ990" s="124"/>
      <c r="IQK990" s="124"/>
      <c r="IQL990" s="124"/>
      <c r="IQM990" s="124"/>
      <c r="IQN990" s="124"/>
      <c r="IQO990" s="124"/>
      <c r="IQP990" s="124"/>
      <c r="IQQ990" s="124"/>
      <c r="IQR990" s="124"/>
      <c r="IQS990" s="124"/>
      <c r="IQT990" s="124"/>
      <c r="IQU990" s="124"/>
      <c r="IQV990" s="124"/>
      <c r="IQW990" s="124"/>
      <c r="IQX990" s="124"/>
      <c r="IQY990" s="124"/>
      <c r="IQZ990" s="124"/>
      <c r="IRA990" s="124"/>
      <c r="IRB990" s="124"/>
      <c r="IRC990" s="124"/>
      <c r="IRD990" s="124"/>
      <c r="IRE990" s="124"/>
      <c r="IRF990" s="124"/>
      <c r="IRG990" s="124"/>
      <c r="IRH990" s="124"/>
      <c r="IRI990" s="124"/>
      <c r="IRJ990" s="124"/>
      <c r="IRK990" s="124"/>
      <c r="IRL990" s="124"/>
      <c r="IRM990" s="124"/>
      <c r="IRN990" s="124"/>
      <c r="IRO990" s="124"/>
      <c r="IRP990" s="124"/>
      <c r="IRQ990" s="124"/>
      <c r="IRR990" s="124"/>
      <c r="IRS990" s="124"/>
      <c r="IRT990" s="124"/>
      <c r="IRU990" s="124"/>
      <c r="IRV990" s="124"/>
      <c r="IRW990" s="124"/>
      <c r="IRX990" s="124"/>
      <c r="IRY990" s="124"/>
      <c r="IRZ990" s="124"/>
      <c r="ISA990" s="124"/>
      <c r="ISB990" s="124"/>
      <c r="ISC990" s="124"/>
      <c r="ISD990" s="124"/>
      <c r="ISE990" s="124"/>
      <c r="ISF990" s="124"/>
      <c r="ISG990" s="124"/>
      <c r="ISH990" s="124"/>
      <c r="ISI990" s="124"/>
      <c r="ISJ990" s="124"/>
      <c r="ISK990" s="124"/>
      <c r="ISL990" s="124"/>
      <c r="ISM990" s="124"/>
      <c r="ISN990" s="124"/>
      <c r="ISO990" s="124"/>
      <c r="ISP990" s="124"/>
      <c r="ISQ990" s="124"/>
      <c r="ISR990" s="124"/>
      <c r="ISS990" s="124"/>
      <c r="IST990" s="124"/>
      <c r="ISU990" s="124"/>
      <c r="ISV990" s="124"/>
      <c r="ISW990" s="124"/>
      <c r="ISX990" s="124"/>
      <c r="ISY990" s="124"/>
      <c r="ISZ990" s="124"/>
      <c r="ITA990" s="124"/>
      <c r="ITB990" s="124"/>
      <c r="ITC990" s="124"/>
      <c r="ITD990" s="124"/>
      <c r="ITE990" s="124"/>
      <c r="ITF990" s="124"/>
      <c r="ITG990" s="124"/>
      <c r="ITH990" s="124"/>
      <c r="ITI990" s="124"/>
      <c r="ITJ990" s="124"/>
      <c r="ITK990" s="124"/>
      <c r="ITL990" s="124"/>
      <c r="ITM990" s="124"/>
      <c r="ITN990" s="124"/>
      <c r="ITO990" s="124"/>
      <c r="ITP990" s="124"/>
      <c r="ITQ990" s="124"/>
      <c r="ITR990" s="124"/>
      <c r="ITS990" s="124"/>
      <c r="ITT990" s="124"/>
      <c r="ITU990" s="124"/>
      <c r="ITV990" s="124"/>
      <c r="ITW990" s="124"/>
      <c r="ITX990" s="124"/>
      <c r="ITY990" s="124"/>
      <c r="ITZ990" s="124"/>
      <c r="IUA990" s="124"/>
      <c r="IUB990" s="124"/>
      <c r="IUC990" s="124"/>
      <c r="IUD990" s="124"/>
      <c r="IUE990" s="124"/>
      <c r="IUF990" s="124"/>
      <c r="IUG990" s="124"/>
      <c r="IUH990" s="124"/>
      <c r="IUI990" s="124"/>
      <c r="IUJ990" s="124"/>
      <c r="IUK990" s="124"/>
      <c r="IUL990" s="124"/>
      <c r="IUM990" s="124"/>
      <c r="IUN990" s="124"/>
      <c r="IUO990" s="124"/>
      <c r="IUP990" s="124"/>
      <c r="IUQ990" s="124"/>
      <c r="IUR990" s="124"/>
      <c r="IUS990" s="124"/>
      <c r="IUT990" s="124"/>
      <c r="IUU990" s="124"/>
      <c r="IUV990" s="124"/>
      <c r="IUW990" s="124"/>
      <c r="IUX990" s="124"/>
      <c r="IUY990" s="124"/>
      <c r="IUZ990" s="124"/>
      <c r="IVA990" s="124"/>
      <c r="IVB990" s="124"/>
      <c r="IVC990" s="124"/>
      <c r="IVD990" s="124"/>
      <c r="IVE990" s="124"/>
      <c r="IVF990" s="124"/>
      <c r="IVG990" s="124"/>
      <c r="IVH990" s="124"/>
      <c r="IVI990" s="124"/>
      <c r="IVJ990" s="124"/>
      <c r="IVK990" s="124"/>
      <c r="IVL990" s="124"/>
      <c r="IVM990" s="124"/>
      <c r="IVN990" s="124"/>
      <c r="IVO990" s="124"/>
      <c r="IVP990" s="124"/>
      <c r="IVQ990" s="124"/>
      <c r="IVR990" s="124"/>
      <c r="IVS990" s="124"/>
      <c r="IVT990" s="124"/>
      <c r="IVU990" s="124"/>
      <c r="IVV990" s="124"/>
      <c r="IVW990" s="124"/>
      <c r="IVX990" s="124"/>
      <c r="IVY990" s="124"/>
      <c r="IVZ990" s="124"/>
      <c r="IWA990" s="124"/>
      <c r="IWB990" s="124"/>
      <c r="IWC990" s="124"/>
      <c r="IWD990" s="124"/>
      <c r="IWE990" s="124"/>
      <c r="IWF990" s="124"/>
      <c r="IWG990" s="124"/>
      <c r="IWH990" s="124"/>
      <c r="IWI990" s="124"/>
      <c r="IWJ990" s="124"/>
      <c r="IWK990" s="124"/>
      <c r="IWL990" s="124"/>
      <c r="IWM990" s="124"/>
      <c r="IWN990" s="124"/>
      <c r="IWO990" s="124"/>
      <c r="IWP990" s="124"/>
      <c r="IWQ990" s="124"/>
      <c r="IWR990" s="124"/>
      <c r="IWS990" s="124"/>
      <c r="IWT990" s="124"/>
      <c r="IWU990" s="124"/>
      <c r="IWV990" s="124"/>
      <c r="IWW990" s="124"/>
      <c r="IWX990" s="124"/>
      <c r="IWY990" s="124"/>
      <c r="IWZ990" s="124"/>
      <c r="IXA990" s="124"/>
      <c r="IXB990" s="124"/>
      <c r="IXC990" s="124"/>
      <c r="IXD990" s="124"/>
      <c r="IXE990" s="124"/>
      <c r="IXF990" s="124"/>
      <c r="IXG990" s="124"/>
      <c r="IXH990" s="124"/>
      <c r="IXI990" s="124"/>
      <c r="IXJ990" s="124"/>
      <c r="IXK990" s="124"/>
      <c r="IXL990" s="124"/>
      <c r="IXM990" s="124"/>
      <c r="IXN990" s="124"/>
      <c r="IXO990" s="124"/>
      <c r="IXP990" s="124"/>
      <c r="IXQ990" s="124"/>
      <c r="IXR990" s="124"/>
      <c r="IXS990" s="124"/>
      <c r="IXT990" s="124"/>
      <c r="IXU990" s="124"/>
      <c r="IXV990" s="124"/>
      <c r="IXW990" s="124"/>
      <c r="IXX990" s="124"/>
      <c r="IXY990" s="124"/>
      <c r="IXZ990" s="124"/>
      <c r="IYA990" s="124"/>
      <c r="IYB990" s="124"/>
      <c r="IYC990" s="124"/>
      <c r="IYD990" s="124"/>
      <c r="IYE990" s="124"/>
      <c r="IYF990" s="124"/>
      <c r="IYG990" s="124"/>
      <c r="IYH990" s="124"/>
      <c r="IYI990" s="124"/>
      <c r="IYJ990" s="124"/>
      <c r="IYK990" s="124"/>
      <c r="IYL990" s="124"/>
      <c r="IYM990" s="124"/>
      <c r="IYN990" s="124"/>
      <c r="IYO990" s="124"/>
      <c r="IYP990" s="124"/>
      <c r="IYQ990" s="124"/>
      <c r="IYR990" s="124"/>
      <c r="IYS990" s="124"/>
      <c r="IYT990" s="124"/>
      <c r="IYU990" s="124"/>
      <c r="IYV990" s="124"/>
      <c r="IYW990" s="124"/>
      <c r="IYX990" s="124"/>
      <c r="IYY990" s="124"/>
      <c r="IYZ990" s="124"/>
      <c r="IZA990" s="124"/>
      <c r="IZB990" s="124"/>
      <c r="IZC990" s="124"/>
      <c r="IZD990" s="124"/>
      <c r="IZE990" s="124"/>
      <c r="IZF990" s="124"/>
      <c r="IZG990" s="124"/>
      <c r="IZH990" s="124"/>
      <c r="IZI990" s="124"/>
      <c r="IZJ990" s="124"/>
      <c r="IZK990" s="124"/>
      <c r="IZL990" s="124"/>
      <c r="IZM990" s="124"/>
      <c r="IZN990" s="124"/>
      <c r="IZO990" s="124"/>
      <c r="IZP990" s="124"/>
      <c r="IZQ990" s="124"/>
      <c r="IZR990" s="124"/>
      <c r="IZS990" s="124"/>
      <c r="IZT990" s="124"/>
      <c r="IZU990" s="124"/>
      <c r="IZV990" s="124"/>
      <c r="IZW990" s="124"/>
      <c r="IZX990" s="124"/>
      <c r="IZY990" s="124"/>
      <c r="IZZ990" s="124"/>
      <c r="JAA990" s="124"/>
      <c r="JAB990" s="124"/>
      <c r="JAC990" s="124"/>
      <c r="JAD990" s="124"/>
      <c r="JAE990" s="124"/>
      <c r="JAF990" s="124"/>
      <c r="JAG990" s="124"/>
      <c r="JAH990" s="124"/>
      <c r="JAI990" s="124"/>
      <c r="JAJ990" s="124"/>
      <c r="JAK990" s="124"/>
      <c r="JAL990" s="124"/>
      <c r="JAM990" s="124"/>
      <c r="JAN990" s="124"/>
      <c r="JAO990" s="124"/>
      <c r="JAP990" s="124"/>
      <c r="JAQ990" s="124"/>
      <c r="JAR990" s="124"/>
      <c r="JAS990" s="124"/>
      <c r="JAT990" s="124"/>
      <c r="JAU990" s="124"/>
      <c r="JAV990" s="124"/>
      <c r="JAW990" s="124"/>
      <c r="JAX990" s="124"/>
      <c r="JAY990" s="124"/>
      <c r="JAZ990" s="124"/>
      <c r="JBA990" s="124"/>
      <c r="JBB990" s="124"/>
      <c r="JBC990" s="124"/>
      <c r="JBD990" s="124"/>
      <c r="JBE990" s="124"/>
      <c r="JBF990" s="124"/>
      <c r="JBG990" s="124"/>
      <c r="JBH990" s="124"/>
      <c r="JBI990" s="124"/>
      <c r="JBJ990" s="124"/>
      <c r="JBK990" s="124"/>
      <c r="JBL990" s="124"/>
      <c r="JBM990" s="124"/>
      <c r="JBN990" s="124"/>
      <c r="JBO990" s="124"/>
      <c r="JBP990" s="124"/>
      <c r="JBQ990" s="124"/>
      <c r="JBR990" s="124"/>
      <c r="JBS990" s="124"/>
      <c r="JBT990" s="124"/>
      <c r="JBU990" s="124"/>
      <c r="JBV990" s="124"/>
      <c r="JBW990" s="124"/>
      <c r="JBX990" s="124"/>
      <c r="JBY990" s="124"/>
      <c r="JBZ990" s="124"/>
      <c r="JCA990" s="124"/>
      <c r="JCB990" s="124"/>
      <c r="JCC990" s="124"/>
      <c r="JCD990" s="124"/>
      <c r="JCE990" s="124"/>
      <c r="JCF990" s="124"/>
      <c r="JCG990" s="124"/>
      <c r="JCH990" s="124"/>
      <c r="JCI990" s="124"/>
      <c r="JCJ990" s="124"/>
      <c r="JCK990" s="124"/>
      <c r="JCL990" s="124"/>
      <c r="JCM990" s="124"/>
      <c r="JCN990" s="124"/>
      <c r="JCO990" s="124"/>
      <c r="JCP990" s="124"/>
      <c r="JCQ990" s="124"/>
      <c r="JCR990" s="124"/>
      <c r="JCS990" s="124"/>
      <c r="JCT990" s="124"/>
      <c r="JCU990" s="124"/>
      <c r="JCV990" s="124"/>
      <c r="JCW990" s="124"/>
      <c r="JCX990" s="124"/>
      <c r="JCY990" s="124"/>
      <c r="JCZ990" s="124"/>
      <c r="JDA990" s="124"/>
      <c r="JDB990" s="124"/>
      <c r="JDC990" s="124"/>
      <c r="JDD990" s="124"/>
      <c r="JDE990" s="124"/>
      <c r="JDF990" s="124"/>
      <c r="JDG990" s="124"/>
      <c r="JDH990" s="124"/>
      <c r="JDI990" s="124"/>
      <c r="JDJ990" s="124"/>
      <c r="JDK990" s="124"/>
      <c r="JDL990" s="124"/>
      <c r="JDM990" s="124"/>
      <c r="JDN990" s="124"/>
      <c r="JDO990" s="124"/>
      <c r="JDP990" s="124"/>
      <c r="JDQ990" s="124"/>
      <c r="JDR990" s="124"/>
      <c r="JDS990" s="124"/>
      <c r="JDT990" s="124"/>
      <c r="JDU990" s="124"/>
      <c r="JDV990" s="124"/>
      <c r="JDW990" s="124"/>
      <c r="JDX990" s="124"/>
      <c r="JDY990" s="124"/>
      <c r="JDZ990" s="124"/>
      <c r="JEA990" s="124"/>
      <c r="JEB990" s="124"/>
      <c r="JEC990" s="124"/>
      <c r="JED990" s="124"/>
      <c r="JEE990" s="124"/>
      <c r="JEF990" s="124"/>
      <c r="JEG990" s="124"/>
      <c r="JEH990" s="124"/>
      <c r="JEI990" s="124"/>
      <c r="JEJ990" s="124"/>
      <c r="JEK990" s="124"/>
      <c r="JEL990" s="124"/>
      <c r="JEM990" s="124"/>
      <c r="JEN990" s="124"/>
      <c r="JEO990" s="124"/>
      <c r="JEP990" s="124"/>
      <c r="JEQ990" s="124"/>
      <c r="JER990" s="124"/>
      <c r="JES990" s="124"/>
      <c r="JET990" s="124"/>
      <c r="JEU990" s="124"/>
      <c r="JEV990" s="124"/>
      <c r="JEW990" s="124"/>
      <c r="JEX990" s="124"/>
      <c r="JEY990" s="124"/>
      <c r="JEZ990" s="124"/>
      <c r="JFA990" s="124"/>
      <c r="JFB990" s="124"/>
      <c r="JFC990" s="124"/>
      <c r="JFD990" s="124"/>
      <c r="JFE990" s="124"/>
      <c r="JFF990" s="124"/>
      <c r="JFG990" s="124"/>
      <c r="JFH990" s="124"/>
      <c r="JFI990" s="124"/>
      <c r="JFJ990" s="124"/>
      <c r="JFK990" s="124"/>
      <c r="JFL990" s="124"/>
      <c r="JFM990" s="124"/>
      <c r="JFN990" s="124"/>
      <c r="JFO990" s="124"/>
      <c r="JFP990" s="124"/>
      <c r="JFQ990" s="124"/>
      <c r="JFR990" s="124"/>
      <c r="JFS990" s="124"/>
      <c r="JFT990" s="124"/>
      <c r="JFU990" s="124"/>
      <c r="JFV990" s="124"/>
      <c r="JFW990" s="124"/>
      <c r="JFX990" s="124"/>
      <c r="JFY990" s="124"/>
      <c r="JFZ990" s="124"/>
      <c r="JGA990" s="124"/>
      <c r="JGB990" s="124"/>
      <c r="JGC990" s="124"/>
      <c r="JGD990" s="124"/>
      <c r="JGE990" s="124"/>
      <c r="JGF990" s="124"/>
      <c r="JGG990" s="124"/>
      <c r="JGH990" s="124"/>
      <c r="JGI990" s="124"/>
      <c r="JGJ990" s="124"/>
      <c r="JGK990" s="124"/>
      <c r="JGL990" s="124"/>
      <c r="JGM990" s="124"/>
      <c r="JGN990" s="124"/>
      <c r="JGO990" s="124"/>
      <c r="JGP990" s="124"/>
      <c r="JGQ990" s="124"/>
      <c r="JGR990" s="124"/>
      <c r="JGS990" s="124"/>
      <c r="JGT990" s="124"/>
      <c r="JGU990" s="124"/>
      <c r="JGV990" s="124"/>
      <c r="JGW990" s="124"/>
      <c r="JGX990" s="124"/>
      <c r="JGY990" s="124"/>
      <c r="JGZ990" s="124"/>
      <c r="JHA990" s="124"/>
      <c r="JHB990" s="124"/>
      <c r="JHC990" s="124"/>
      <c r="JHD990" s="124"/>
      <c r="JHE990" s="124"/>
      <c r="JHF990" s="124"/>
      <c r="JHG990" s="124"/>
      <c r="JHH990" s="124"/>
      <c r="JHI990" s="124"/>
      <c r="JHJ990" s="124"/>
      <c r="JHK990" s="124"/>
      <c r="JHL990" s="124"/>
      <c r="JHM990" s="124"/>
      <c r="JHN990" s="124"/>
      <c r="JHO990" s="124"/>
      <c r="JHP990" s="124"/>
      <c r="JHQ990" s="124"/>
      <c r="JHR990" s="124"/>
      <c r="JHS990" s="124"/>
      <c r="JHT990" s="124"/>
      <c r="JHU990" s="124"/>
      <c r="JHV990" s="124"/>
      <c r="JHW990" s="124"/>
      <c r="JHX990" s="124"/>
      <c r="JHY990" s="124"/>
      <c r="JHZ990" s="124"/>
      <c r="JIA990" s="124"/>
      <c r="JIB990" s="124"/>
      <c r="JIC990" s="124"/>
      <c r="JID990" s="124"/>
      <c r="JIE990" s="124"/>
      <c r="JIF990" s="124"/>
      <c r="JIG990" s="124"/>
      <c r="JIH990" s="124"/>
      <c r="JII990" s="124"/>
      <c r="JIJ990" s="124"/>
      <c r="JIK990" s="124"/>
      <c r="JIL990" s="124"/>
      <c r="JIM990" s="124"/>
      <c r="JIN990" s="124"/>
      <c r="JIO990" s="124"/>
      <c r="JIP990" s="124"/>
      <c r="JIQ990" s="124"/>
      <c r="JIR990" s="124"/>
      <c r="JIS990" s="124"/>
      <c r="JIT990" s="124"/>
      <c r="JIU990" s="124"/>
      <c r="JIV990" s="124"/>
      <c r="JIW990" s="124"/>
      <c r="JIX990" s="124"/>
      <c r="JIY990" s="124"/>
      <c r="JIZ990" s="124"/>
      <c r="JJA990" s="124"/>
      <c r="JJB990" s="124"/>
      <c r="JJC990" s="124"/>
      <c r="JJD990" s="124"/>
      <c r="JJE990" s="124"/>
      <c r="JJF990" s="124"/>
      <c r="JJG990" s="124"/>
      <c r="JJH990" s="124"/>
      <c r="JJI990" s="124"/>
      <c r="JJJ990" s="124"/>
      <c r="JJK990" s="124"/>
      <c r="JJL990" s="124"/>
      <c r="JJM990" s="124"/>
      <c r="JJN990" s="124"/>
      <c r="JJO990" s="124"/>
      <c r="JJP990" s="124"/>
      <c r="JJQ990" s="124"/>
      <c r="JJR990" s="124"/>
      <c r="JJS990" s="124"/>
      <c r="JJT990" s="124"/>
      <c r="JJU990" s="124"/>
      <c r="JJV990" s="124"/>
      <c r="JJW990" s="124"/>
      <c r="JJX990" s="124"/>
      <c r="JJY990" s="124"/>
      <c r="JJZ990" s="124"/>
      <c r="JKA990" s="124"/>
      <c r="JKB990" s="124"/>
      <c r="JKC990" s="124"/>
      <c r="JKD990" s="124"/>
      <c r="JKE990" s="124"/>
      <c r="JKF990" s="124"/>
      <c r="JKG990" s="124"/>
      <c r="JKH990" s="124"/>
      <c r="JKI990" s="124"/>
      <c r="JKJ990" s="124"/>
      <c r="JKK990" s="124"/>
      <c r="JKL990" s="124"/>
      <c r="JKM990" s="124"/>
      <c r="JKN990" s="124"/>
      <c r="JKO990" s="124"/>
      <c r="JKP990" s="124"/>
      <c r="JKQ990" s="124"/>
      <c r="JKR990" s="124"/>
      <c r="JKS990" s="124"/>
      <c r="JKT990" s="124"/>
      <c r="JKU990" s="124"/>
      <c r="JKV990" s="124"/>
      <c r="JKW990" s="124"/>
      <c r="JKX990" s="124"/>
      <c r="JKY990" s="124"/>
      <c r="JKZ990" s="124"/>
      <c r="JLA990" s="124"/>
      <c r="JLB990" s="124"/>
      <c r="JLC990" s="124"/>
      <c r="JLD990" s="124"/>
      <c r="JLE990" s="124"/>
      <c r="JLF990" s="124"/>
      <c r="JLG990" s="124"/>
      <c r="JLH990" s="124"/>
      <c r="JLI990" s="124"/>
      <c r="JLJ990" s="124"/>
      <c r="JLK990" s="124"/>
      <c r="JLL990" s="124"/>
      <c r="JLM990" s="124"/>
      <c r="JLN990" s="124"/>
      <c r="JLO990" s="124"/>
      <c r="JLP990" s="124"/>
      <c r="JLQ990" s="124"/>
      <c r="JLR990" s="124"/>
      <c r="JLS990" s="124"/>
      <c r="JLT990" s="124"/>
      <c r="JLU990" s="124"/>
      <c r="JLV990" s="124"/>
      <c r="JLW990" s="124"/>
      <c r="JLX990" s="124"/>
      <c r="JLY990" s="124"/>
      <c r="JLZ990" s="124"/>
      <c r="JMA990" s="124"/>
      <c r="JMB990" s="124"/>
      <c r="JMC990" s="124"/>
      <c r="JMD990" s="124"/>
      <c r="JME990" s="124"/>
      <c r="JMF990" s="124"/>
      <c r="JMG990" s="124"/>
      <c r="JMH990" s="124"/>
      <c r="JMI990" s="124"/>
      <c r="JMJ990" s="124"/>
      <c r="JMK990" s="124"/>
      <c r="JML990" s="124"/>
      <c r="JMM990" s="124"/>
      <c r="JMN990" s="124"/>
      <c r="JMO990" s="124"/>
      <c r="JMP990" s="124"/>
      <c r="JMQ990" s="124"/>
      <c r="JMR990" s="124"/>
      <c r="JMS990" s="124"/>
      <c r="JMT990" s="124"/>
      <c r="JMU990" s="124"/>
      <c r="JMV990" s="124"/>
      <c r="JMW990" s="124"/>
      <c r="JMX990" s="124"/>
      <c r="JMY990" s="124"/>
      <c r="JMZ990" s="124"/>
      <c r="JNA990" s="124"/>
      <c r="JNB990" s="124"/>
      <c r="JNC990" s="124"/>
      <c r="JND990" s="124"/>
      <c r="JNE990" s="124"/>
      <c r="JNF990" s="124"/>
      <c r="JNG990" s="124"/>
      <c r="JNH990" s="124"/>
      <c r="JNI990" s="124"/>
      <c r="JNJ990" s="124"/>
      <c r="JNK990" s="124"/>
      <c r="JNL990" s="124"/>
      <c r="JNM990" s="124"/>
      <c r="JNN990" s="124"/>
      <c r="JNO990" s="124"/>
      <c r="JNP990" s="124"/>
      <c r="JNQ990" s="124"/>
      <c r="JNR990" s="124"/>
      <c r="JNS990" s="124"/>
      <c r="JNT990" s="124"/>
      <c r="JNU990" s="124"/>
      <c r="JNV990" s="124"/>
      <c r="JNW990" s="124"/>
      <c r="JNX990" s="124"/>
      <c r="JNY990" s="124"/>
      <c r="JNZ990" s="124"/>
      <c r="JOA990" s="124"/>
      <c r="JOB990" s="124"/>
      <c r="JOC990" s="124"/>
      <c r="JOD990" s="124"/>
      <c r="JOE990" s="124"/>
      <c r="JOF990" s="124"/>
      <c r="JOG990" s="124"/>
      <c r="JOH990" s="124"/>
      <c r="JOI990" s="124"/>
      <c r="JOJ990" s="124"/>
      <c r="JOK990" s="124"/>
      <c r="JOL990" s="124"/>
      <c r="JOM990" s="124"/>
      <c r="JON990" s="124"/>
      <c r="JOO990" s="124"/>
      <c r="JOP990" s="124"/>
      <c r="JOQ990" s="124"/>
      <c r="JOR990" s="124"/>
      <c r="JOS990" s="124"/>
      <c r="JOT990" s="124"/>
      <c r="JOU990" s="124"/>
      <c r="JOV990" s="124"/>
      <c r="JOW990" s="124"/>
      <c r="JOX990" s="124"/>
      <c r="JOY990" s="124"/>
      <c r="JOZ990" s="124"/>
      <c r="JPA990" s="124"/>
      <c r="JPB990" s="124"/>
      <c r="JPC990" s="124"/>
      <c r="JPD990" s="124"/>
      <c r="JPE990" s="124"/>
      <c r="JPF990" s="124"/>
      <c r="JPG990" s="124"/>
      <c r="JPH990" s="124"/>
      <c r="JPI990" s="124"/>
      <c r="JPJ990" s="124"/>
      <c r="JPK990" s="124"/>
      <c r="JPL990" s="124"/>
      <c r="JPM990" s="124"/>
      <c r="JPN990" s="124"/>
      <c r="JPO990" s="124"/>
      <c r="JPP990" s="124"/>
      <c r="JPQ990" s="124"/>
      <c r="JPR990" s="124"/>
      <c r="JPS990" s="124"/>
      <c r="JPT990" s="124"/>
      <c r="JPU990" s="124"/>
      <c r="JPV990" s="124"/>
      <c r="JPW990" s="124"/>
      <c r="JPX990" s="124"/>
      <c r="JPY990" s="124"/>
      <c r="JPZ990" s="124"/>
      <c r="JQA990" s="124"/>
      <c r="JQB990" s="124"/>
      <c r="JQC990" s="124"/>
      <c r="JQD990" s="124"/>
      <c r="JQE990" s="124"/>
      <c r="JQF990" s="124"/>
      <c r="JQG990" s="124"/>
      <c r="JQH990" s="124"/>
      <c r="JQI990" s="124"/>
      <c r="JQJ990" s="124"/>
      <c r="JQK990" s="124"/>
      <c r="JQL990" s="124"/>
      <c r="JQM990" s="124"/>
      <c r="JQN990" s="124"/>
      <c r="JQO990" s="124"/>
      <c r="JQP990" s="124"/>
      <c r="JQQ990" s="124"/>
      <c r="JQR990" s="124"/>
      <c r="JQS990" s="124"/>
      <c r="JQT990" s="124"/>
      <c r="JQU990" s="124"/>
      <c r="JQV990" s="124"/>
      <c r="JQW990" s="124"/>
      <c r="JQX990" s="124"/>
      <c r="JQY990" s="124"/>
      <c r="JQZ990" s="124"/>
      <c r="JRA990" s="124"/>
      <c r="JRB990" s="124"/>
      <c r="JRC990" s="124"/>
      <c r="JRD990" s="124"/>
      <c r="JRE990" s="124"/>
      <c r="JRF990" s="124"/>
      <c r="JRG990" s="124"/>
      <c r="JRH990" s="124"/>
      <c r="JRI990" s="124"/>
      <c r="JRJ990" s="124"/>
      <c r="JRK990" s="124"/>
      <c r="JRL990" s="124"/>
      <c r="JRM990" s="124"/>
      <c r="JRN990" s="124"/>
      <c r="JRO990" s="124"/>
      <c r="JRP990" s="124"/>
      <c r="JRQ990" s="124"/>
      <c r="JRR990" s="124"/>
      <c r="JRS990" s="124"/>
      <c r="JRT990" s="124"/>
      <c r="JRU990" s="124"/>
      <c r="JRV990" s="124"/>
      <c r="JRW990" s="124"/>
      <c r="JRX990" s="124"/>
      <c r="JRY990" s="124"/>
      <c r="JRZ990" s="124"/>
      <c r="JSA990" s="124"/>
      <c r="JSB990" s="124"/>
      <c r="JSC990" s="124"/>
      <c r="JSD990" s="124"/>
      <c r="JSE990" s="124"/>
      <c r="JSF990" s="124"/>
      <c r="JSG990" s="124"/>
      <c r="JSH990" s="124"/>
      <c r="JSI990" s="124"/>
      <c r="JSJ990" s="124"/>
      <c r="JSK990" s="124"/>
      <c r="JSL990" s="124"/>
      <c r="JSM990" s="124"/>
      <c r="JSN990" s="124"/>
      <c r="JSO990" s="124"/>
      <c r="JSP990" s="124"/>
      <c r="JSQ990" s="124"/>
      <c r="JSR990" s="124"/>
      <c r="JSS990" s="124"/>
      <c r="JST990" s="124"/>
      <c r="JSU990" s="124"/>
      <c r="JSV990" s="124"/>
      <c r="JSW990" s="124"/>
      <c r="JSX990" s="124"/>
      <c r="JSY990" s="124"/>
      <c r="JSZ990" s="124"/>
      <c r="JTA990" s="124"/>
      <c r="JTB990" s="124"/>
      <c r="JTC990" s="124"/>
      <c r="JTD990" s="124"/>
      <c r="JTE990" s="124"/>
      <c r="JTF990" s="124"/>
      <c r="JTG990" s="124"/>
      <c r="JTH990" s="124"/>
      <c r="JTI990" s="124"/>
      <c r="JTJ990" s="124"/>
      <c r="JTK990" s="124"/>
      <c r="JTL990" s="124"/>
      <c r="JTM990" s="124"/>
      <c r="JTN990" s="124"/>
      <c r="JTO990" s="124"/>
      <c r="JTP990" s="124"/>
      <c r="JTQ990" s="124"/>
      <c r="JTR990" s="124"/>
      <c r="JTS990" s="124"/>
      <c r="JTT990" s="124"/>
      <c r="JTU990" s="124"/>
      <c r="JTV990" s="124"/>
      <c r="JTW990" s="124"/>
      <c r="JTX990" s="124"/>
      <c r="JTY990" s="124"/>
      <c r="JTZ990" s="124"/>
      <c r="JUA990" s="124"/>
      <c r="JUB990" s="124"/>
      <c r="JUC990" s="124"/>
      <c r="JUD990" s="124"/>
      <c r="JUE990" s="124"/>
      <c r="JUF990" s="124"/>
      <c r="JUG990" s="124"/>
      <c r="JUH990" s="124"/>
      <c r="JUI990" s="124"/>
      <c r="JUJ990" s="124"/>
      <c r="JUK990" s="124"/>
      <c r="JUL990" s="124"/>
      <c r="JUM990" s="124"/>
      <c r="JUN990" s="124"/>
      <c r="JUO990" s="124"/>
      <c r="JUP990" s="124"/>
      <c r="JUQ990" s="124"/>
      <c r="JUR990" s="124"/>
      <c r="JUS990" s="124"/>
      <c r="JUT990" s="124"/>
      <c r="JUU990" s="124"/>
      <c r="JUV990" s="124"/>
      <c r="JUW990" s="124"/>
      <c r="JUX990" s="124"/>
      <c r="JUY990" s="124"/>
      <c r="JUZ990" s="124"/>
      <c r="JVA990" s="124"/>
      <c r="JVB990" s="124"/>
      <c r="JVC990" s="124"/>
      <c r="JVD990" s="124"/>
      <c r="JVE990" s="124"/>
      <c r="JVF990" s="124"/>
      <c r="JVG990" s="124"/>
      <c r="JVH990" s="124"/>
      <c r="JVI990" s="124"/>
      <c r="JVJ990" s="124"/>
      <c r="JVK990" s="124"/>
      <c r="JVL990" s="124"/>
      <c r="JVM990" s="124"/>
      <c r="JVN990" s="124"/>
      <c r="JVO990" s="124"/>
      <c r="JVP990" s="124"/>
      <c r="JVQ990" s="124"/>
      <c r="JVR990" s="124"/>
      <c r="JVS990" s="124"/>
      <c r="JVT990" s="124"/>
      <c r="JVU990" s="124"/>
      <c r="JVV990" s="124"/>
      <c r="JVW990" s="124"/>
      <c r="JVX990" s="124"/>
      <c r="JVY990" s="124"/>
      <c r="JVZ990" s="124"/>
      <c r="JWA990" s="124"/>
      <c r="JWB990" s="124"/>
      <c r="JWC990" s="124"/>
      <c r="JWD990" s="124"/>
      <c r="JWE990" s="124"/>
      <c r="JWF990" s="124"/>
      <c r="JWG990" s="124"/>
      <c r="JWH990" s="124"/>
      <c r="JWI990" s="124"/>
      <c r="JWJ990" s="124"/>
      <c r="JWK990" s="124"/>
      <c r="JWL990" s="124"/>
      <c r="JWM990" s="124"/>
      <c r="JWN990" s="124"/>
      <c r="JWO990" s="124"/>
      <c r="JWP990" s="124"/>
      <c r="JWQ990" s="124"/>
      <c r="JWR990" s="124"/>
      <c r="JWS990" s="124"/>
      <c r="JWT990" s="124"/>
      <c r="JWU990" s="124"/>
      <c r="JWV990" s="124"/>
      <c r="JWW990" s="124"/>
      <c r="JWX990" s="124"/>
      <c r="JWY990" s="124"/>
      <c r="JWZ990" s="124"/>
      <c r="JXA990" s="124"/>
      <c r="JXB990" s="124"/>
      <c r="JXC990" s="124"/>
      <c r="JXD990" s="124"/>
      <c r="JXE990" s="124"/>
      <c r="JXF990" s="124"/>
      <c r="JXG990" s="124"/>
      <c r="JXH990" s="124"/>
      <c r="JXI990" s="124"/>
      <c r="JXJ990" s="124"/>
      <c r="JXK990" s="124"/>
      <c r="JXL990" s="124"/>
      <c r="JXM990" s="124"/>
      <c r="JXN990" s="124"/>
      <c r="JXO990" s="124"/>
      <c r="JXP990" s="124"/>
      <c r="JXQ990" s="124"/>
      <c r="JXR990" s="124"/>
      <c r="JXS990" s="124"/>
      <c r="JXT990" s="124"/>
      <c r="JXU990" s="124"/>
      <c r="JXV990" s="124"/>
      <c r="JXW990" s="124"/>
      <c r="JXX990" s="124"/>
      <c r="JXY990" s="124"/>
      <c r="JXZ990" s="124"/>
      <c r="JYA990" s="124"/>
      <c r="JYB990" s="124"/>
      <c r="JYC990" s="124"/>
      <c r="JYD990" s="124"/>
      <c r="JYE990" s="124"/>
      <c r="JYF990" s="124"/>
      <c r="JYG990" s="124"/>
      <c r="JYH990" s="124"/>
      <c r="JYI990" s="124"/>
      <c r="JYJ990" s="124"/>
      <c r="JYK990" s="124"/>
      <c r="JYL990" s="124"/>
      <c r="JYM990" s="124"/>
      <c r="JYN990" s="124"/>
      <c r="JYO990" s="124"/>
      <c r="JYP990" s="124"/>
      <c r="JYQ990" s="124"/>
      <c r="JYR990" s="124"/>
      <c r="JYS990" s="124"/>
      <c r="JYT990" s="124"/>
      <c r="JYU990" s="124"/>
      <c r="JYV990" s="124"/>
      <c r="JYW990" s="124"/>
      <c r="JYX990" s="124"/>
      <c r="JYY990" s="124"/>
      <c r="JYZ990" s="124"/>
      <c r="JZA990" s="124"/>
      <c r="JZB990" s="124"/>
      <c r="JZC990" s="124"/>
      <c r="JZD990" s="124"/>
      <c r="JZE990" s="124"/>
      <c r="JZF990" s="124"/>
      <c r="JZG990" s="124"/>
      <c r="JZH990" s="124"/>
      <c r="JZI990" s="124"/>
      <c r="JZJ990" s="124"/>
      <c r="JZK990" s="124"/>
      <c r="JZL990" s="124"/>
      <c r="JZM990" s="124"/>
      <c r="JZN990" s="124"/>
      <c r="JZO990" s="124"/>
      <c r="JZP990" s="124"/>
      <c r="JZQ990" s="124"/>
      <c r="JZR990" s="124"/>
      <c r="JZS990" s="124"/>
      <c r="JZT990" s="124"/>
      <c r="JZU990" s="124"/>
      <c r="JZV990" s="124"/>
      <c r="JZW990" s="124"/>
      <c r="JZX990" s="124"/>
      <c r="JZY990" s="124"/>
      <c r="JZZ990" s="124"/>
      <c r="KAA990" s="124"/>
      <c r="KAB990" s="124"/>
      <c r="KAC990" s="124"/>
      <c r="KAD990" s="124"/>
      <c r="KAE990" s="124"/>
      <c r="KAF990" s="124"/>
      <c r="KAG990" s="124"/>
      <c r="KAH990" s="124"/>
      <c r="KAI990" s="124"/>
      <c r="KAJ990" s="124"/>
      <c r="KAK990" s="124"/>
      <c r="KAL990" s="124"/>
      <c r="KAM990" s="124"/>
      <c r="KAN990" s="124"/>
      <c r="KAO990" s="124"/>
      <c r="KAP990" s="124"/>
      <c r="KAQ990" s="124"/>
      <c r="KAR990" s="124"/>
      <c r="KAS990" s="124"/>
      <c r="KAT990" s="124"/>
      <c r="KAU990" s="124"/>
      <c r="KAV990" s="124"/>
      <c r="KAW990" s="124"/>
      <c r="KAX990" s="124"/>
      <c r="KAY990" s="124"/>
      <c r="KAZ990" s="124"/>
      <c r="KBA990" s="124"/>
      <c r="KBB990" s="124"/>
      <c r="KBC990" s="124"/>
      <c r="KBD990" s="124"/>
      <c r="KBE990" s="124"/>
      <c r="KBF990" s="124"/>
      <c r="KBG990" s="124"/>
      <c r="KBH990" s="124"/>
      <c r="KBI990" s="124"/>
      <c r="KBJ990" s="124"/>
      <c r="KBK990" s="124"/>
      <c r="KBL990" s="124"/>
      <c r="KBM990" s="124"/>
      <c r="KBN990" s="124"/>
      <c r="KBO990" s="124"/>
      <c r="KBP990" s="124"/>
      <c r="KBQ990" s="124"/>
      <c r="KBR990" s="124"/>
      <c r="KBS990" s="124"/>
      <c r="KBT990" s="124"/>
      <c r="KBU990" s="124"/>
      <c r="KBV990" s="124"/>
      <c r="KBW990" s="124"/>
      <c r="KBX990" s="124"/>
      <c r="KBY990" s="124"/>
      <c r="KBZ990" s="124"/>
      <c r="KCA990" s="124"/>
      <c r="KCB990" s="124"/>
      <c r="KCC990" s="124"/>
      <c r="KCD990" s="124"/>
      <c r="KCE990" s="124"/>
      <c r="KCF990" s="124"/>
      <c r="KCG990" s="124"/>
      <c r="KCH990" s="124"/>
      <c r="KCI990" s="124"/>
      <c r="KCJ990" s="124"/>
      <c r="KCK990" s="124"/>
      <c r="KCL990" s="124"/>
      <c r="KCM990" s="124"/>
      <c r="KCN990" s="124"/>
      <c r="KCO990" s="124"/>
      <c r="KCP990" s="124"/>
      <c r="KCQ990" s="124"/>
      <c r="KCR990" s="124"/>
      <c r="KCS990" s="124"/>
      <c r="KCT990" s="124"/>
      <c r="KCU990" s="124"/>
      <c r="KCV990" s="124"/>
      <c r="KCW990" s="124"/>
      <c r="KCX990" s="124"/>
      <c r="KCY990" s="124"/>
      <c r="KCZ990" s="124"/>
      <c r="KDA990" s="124"/>
      <c r="KDB990" s="124"/>
      <c r="KDC990" s="124"/>
      <c r="KDD990" s="124"/>
      <c r="KDE990" s="124"/>
      <c r="KDF990" s="124"/>
      <c r="KDG990" s="124"/>
      <c r="KDH990" s="124"/>
      <c r="KDI990" s="124"/>
      <c r="KDJ990" s="124"/>
      <c r="KDK990" s="124"/>
      <c r="KDL990" s="124"/>
      <c r="KDM990" s="124"/>
      <c r="KDN990" s="124"/>
      <c r="KDO990" s="124"/>
      <c r="KDP990" s="124"/>
      <c r="KDQ990" s="124"/>
      <c r="KDR990" s="124"/>
      <c r="KDS990" s="124"/>
      <c r="KDT990" s="124"/>
      <c r="KDU990" s="124"/>
      <c r="KDV990" s="124"/>
      <c r="KDW990" s="124"/>
      <c r="KDX990" s="124"/>
      <c r="KDY990" s="124"/>
      <c r="KDZ990" s="124"/>
      <c r="KEA990" s="124"/>
      <c r="KEB990" s="124"/>
      <c r="KEC990" s="124"/>
      <c r="KED990" s="124"/>
      <c r="KEE990" s="124"/>
      <c r="KEF990" s="124"/>
      <c r="KEG990" s="124"/>
      <c r="KEH990" s="124"/>
      <c r="KEI990" s="124"/>
      <c r="KEJ990" s="124"/>
      <c r="KEK990" s="124"/>
      <c r="KEL990" s="124"/>
      <c r="KEM990" s="124"/>
      <c r="KEN990" s="124"/>
      <c r="KEO990" s="124"/>
      <c r="KEP990" s="124"/>
      <c r="KEQ990" s="124"/>
      <c r="KER990" s="124"/>
      <c r="KES990" s="124"/>
      <c r="KET990" s="124"/>
      <c r="KEU990" s="124"/>
      <c r="KEV990" s="124"/>
      <c r="KEW990" s="124"/>
      <c r="KEX990" s="124"/>
      <c r="KEY990" s="124"/>
      <c r="KEZ990" s="124"/>
      <c r="KFA990" s="124"/>
      <c r="KFB990" s="124"/>
      <c r="KFC990" s="124"/>
      <c r="KFD990" s="124"/>
      <c r="KFE990" s="124"/>
      <c r="KFF990" s="124"/>
      <c r="KFG990" s="124"/>
      <c r="KFH990" s="124"/>
      <c r="KFI990" s="124"/>
      <c r="KFJ990" s="124"/>
      <c r="KFK990" s="124"/>
      <c r="KFL990" s="124"/>
      <c r="KFM990" s="124"/>
      <c r="KFN990" s="124"/>
      <c r="KFO990" s="124"/>
      <c r="KFP990" s="124"/>
      <c r="KFQ990" s="124"/>
      <c r="KFR990" s="124"/>
      <c r="KFS990" s="124"/>
      <c r="KFT990" s="124"/>
      <c r="KFU990" s="124"/>
      <c r="KFV990" s="124"/>
      <c r="KFW990" s="124"/>
      <c r="KFX990" s="124"/>
      <c r="KFY990" s="124"/>
      <c r="KFZ990" s="124"/>
      <c r="KGA990" s="124"/>
      <c r="KGB990" s="124"/>
      <c r="KGC990" s="124"/>
      <c r="KGD990" s="124"/>
      <c r="KGE990" s="124"/>
      <c r="KGF990" s="124"/>
      <c r="KGG990" s="124"/>
      <c r="KGH990" s="124"/>
      <c r="KGI990" s="124"/>
      <c r="KGJ990" s="124"/>
      <c r="KGK990" s="124"/>
      <c r="KGL990" s="124"/>
      <c r="KGM990" s="124"/>
      <c r="KGN990" s="124"/>
      <c r="KGO990" s="124"/>
      <c r="KGP990" s="124"/>
      <c r="KGQ990" s="124"/>
      <c r="KGR990" s="124"/>
      <c r="KGS990" s="124"/>
      <c r="KGT990" s="124"/>
      <c r="KGU990" s="124"/>
      <c r="KGV990" s="124"/>
      <c r="KGW990" s="124"/>
      <c r="KGX990" s="124"/>
      <c r="KGY990" s="124"/>
      <c r="KGZ990" s="124"/>
      <c r="KHA990" s="124"/>
      <c r="KHB990" s="124"/>
      <c r="KHC990" s="124"/>
      <c r="KHD990" s="124"/>
      <c r="KHE990" s="124"/>
      <c r="KHF990" s="124"/>
      <c r="KHG990" s="124"/>
      <c r="KHH990" s="124"/>
      <c r="KHI990" s="124"/>
      <c r="KHJ990" s="124"/>
      <c r="KHK990" s="124"/>
      <c r="KHL990" s="124"/>
      <c r="KHM990" s="124"/>
      <c r="KHN990" s="124"/>
      <c r="KHO990" s="124"/>
      <c r="KHP990" s="124"/>
      <c r="KHQ990" s="124"/>
      <c r="KHR990" s="124"/>
      <c r="KHS990" s="124"/>
      <c r="KHT990" s="124"/>
      <c r="KHU990" s="124"/>
      <c r="KHV990" s="124"/>
      <c r="KHW990" s="124"/>
      <c r="KHX990" s="124"/>
      <c r="KHY990" s="124"/>
      <c r="KHZ990" s="124"/>
      <c r="KIA990" s="124"/>
      <c r="KIB990" s="124"/>
      <c r="KIC990" s="124"/>
      <c r="KID990" s="124"/>
      <c r="KIE990" s="124"/>
      <c r="KIF990" s="124"/>
      <c r="KIG990" s="124"/>
      <c r="KIH990" s="124"/>
      <c r="KII990" s="124"/>
      <c r="KIJ990" s="124"/>
      <c r="KIK990" s="124"/>
      <c r="KIL990" s="124"/>
      <c r="KIM990" s="124"/>
      <c r="KIN990" s="124"/>
      <c r="KIO990" s="124"/>
      <c r="KIP990" s="124"/>
      <c r="KIQ990" s="124"/>
      <c r="KIR990" s="124"/>
      <c r="KIS990" s="124"/>
      <c r="KIT990" s="124"/>
      <c r="KIU990" s="124"/>
      <c r="KIV990" s="124"/>
      <c r="KIW990" s="124"/>
      <c r="KIX990" s="124"/>
      <c r="KIY990" s="124"/>
      <c r="KIZ990" s="124"/>
      <c r="KJA990" s="124"/>
      <c r="KJB990" s="124"/>
      <c r="KJC990" s="124"/>
      <c r="KJD990" s="124"/>
      <c r="KJE990" s="124"/>
      <c r="KJF990" s="124"/>
      <c r="KJG990" s="124"/>
      <c r="KJH990" s="124"/>
      <c r="KJI990" s="124"/>
      <c r="KJJ990" s="124"/>
      <c r="KJK990" s="124"/>
      <c r="KJL990" s="124"/>
      <c r="KJM990" s="124"/>
      <c r="KJN990" s="124"/>
      <c r="KJO990" s="124"/>
      <c r="KJP990" s="124"/>
      <c r="KJQ990" s="124"/>
      <c r="KJR990" s="124"/>
      <c r="KJS990" s="124"/>
      <c r="KJT990" s="124"/>
      <c r="KJU990" s="124"/>
      <c r="KJV990" s="124"/>
      <c r="KJW990" s="124"/>
      <c r="KJX990" s="124"/>
      <c r="KJY990" s="124"/>
      <c r="KJZ990" s="124"/>
      <c r="KKA990" s="124"/>
      <c r="KKB990" s="124"/>
      <c r="KKC990" s="124"/>
      <c r="KKD990" s="124"/>
      <c r="KKE990" s="124"/>
      <c r="KKF990" s="124"/>
      <c r="KKG990" s="124"/>
      <c r="KKH990" s="124"/>
      <c r="KKI990" s="124"/>
      <c r="KKJ990" s="124"/>
      <c r="KKK990" s="124"/>
      <c r="KKL990" s="124"/>
      <c r="KKM990" s="124"/>
      <c r="KKN990" s="124"/>
      <c r="KKO990" s="124"/>
      <c r="KKP990" s="124"/>
      <c r="KKQ990" s="124"/>
      <c r="KKR990" s="124"/>
      <c r="KKS990" s="124"/>
      <c r="KKT990" s="124"/>
      <c r="KKU990" s="124"/>
      <c r="KKV990" s="124"/>
      <c r="KKW990" s="124"/>
      <c r="KKX990" s="124"/>
      <c r="KKY990" s="124"/>
      <c r="KKZ990" s="124"/>
      <c r="KLA990" s="124"/>
      <c r="KLB990" s="124"/>
      <c r="KLC990" s="124"/>
      <c r="KLD990" s="124"/>
      <c r="KLE990" s="124"/>
      <c r="KLF990" s="124"/>
      <c r="KLG990" s="124"/>
      <c r="KLH990" s="124"/>
      <c r="KLI990" s="124"/>
      <c r="KLJ990" s="124"/>
      <c r="KLK990" s="124"/>
      <c r="KLL990" s="124"/>
      <c r="KLM990" s="124"/>
      <c r="KLN990" s="124"/>
      <c r="KLO990" s="124"/>
      <c r="KLP990" s="124"/>
      <c r="KLQ990" s="124"/>
      <c r="KLR990" s="124"/>
      <c r="KLS990" s="124"/>
      <c r="KLT990" s="124"/>
      <c r="KLU990" s="124"/>
      <c r="KLV990" s="124"/>
      <c r="KLW990" s="124"/>
      <c r="KLX990" s="124"/>
      <c r="KLY990" s="124"/>
      <c r="KLZ990" s="124"/>
      <c r="KMA990" s="124"/>
      <c r="KMB990" s="124"/>
      <c r="KMC990" s="124"/>
      <c r="KMD990" s="124"/>
      <c r="KME990" s="124"/>
      <c r="KMF990" s="124"/>
      <c r="KMG990" s="124"/>
      <c r="KMH990" s="124"/>
      <c r="KMI990" s="124"/>
      <c r="KMJ990" s="124"/>
      <c r="KMK990" s="124"/>
      <c r="KML990" s="124"/>
      <c r="KMM990" s="124"/>
      <c r="KMN990" s="124"/>
      <c r="KMO990" s="124"/>
      <c r="KMP990" s="124"/>
      <c r="KMQ990" s="124"/>
      <c r="KMR990" s="124"/>
      <c r="KMS990" s="124"/>
      <c r="KMT990" s="124"/>
      <c r="KMU990" s="124"/>
      <c r="KMV990" s="124"/>
      <c r="KMW990" s="124"/>
      <c r="KMX990" s="124"/>
      <c r="KMY990" s="124"/>
      <c r="KMZ990" s="124"/>
      <c r="KNA990" s="124"/>
      <c r="KNB990" s="124"/>
      <c r="KNC990" s="124"/>
      <c r="KND990" s="124"/>
      <c r="KNE990" s="124"/>
      <c r="KNF990" s="124"/>
      <c r="KNG990" s="124"/>
      <c r="KNH990" s="124"/>
      <c r="KNI990" s="124"/>
      <c r="KNJ990" s="124"/>
      <c r="KNK990" s="124"/>
      <c r="KNL990" s="124"/>
      <c r="KNM990" s="124"/>
      <c r="KNN990" s="124"/>
      <c r="KNO990" s="124"/>
      <c r="KNP990" s="124"/>
      <c r="KNQ990" s="124"/>
      <c r="KNR990" s="124"/>
      <c r="KNS990" s="124"/>
      <c r="KNT990" s="124"/>
      <c r="KNU990" s="124"/>
      <c r="KNV990" s="124"/>
      <c r="KNW990" s="124"/>
      <c r="KNX990" s="124"/>
      <c r="KNY990" s="124"/>
      <c r="KNZ990" s="124"/>
      <c r="KOA990" s="124"/>
      <c r="KOB990" s="124"/>
      <c r="KOC990" s="124"/>
      <c r="KOD990" s="124"/>
      <c r="KOE990" s="124"/>
      <c r="KOF990" s="124"/>
      <c r="KOG990" s="124"/>
      <c r="KOH990" s="124"/>
      <c r="KOI990" s="124"/>
      <c r="KOJ990" s="124"/>
      <c r="KOK990" s="124"/>
      <c r="KOL990" s="124"/>
      <c r="KOM990" s="124"/>
      <c r="KON990" s="124"/>
      <c r="KOO990" s="124"/>
      <c r="KOP990" s="124"/>
      <c r="KOQ990" s="124"/>
      <c r="KOR990" s="124"/>
      <c r="KOS990" s="124"/>
      <c r="KOT990" s="124"/>
      <c r="KOU990" s="124"/>
      <c r="KOV990" s="124"/>
      <c r="KOW990" s="124"/>
      <c r="KOX990" s="124"/>
      <c r="KOY990" s="124"/>
      <c r="KOZ990" s="124"/>
      <c r="KPA990" s="124"/>
      <c r="KPB990" s="124"/>
      <c r="KPC990" s="124"/>
      <c r="KPD990" s="124"/>
      <c r="KPE990" s="124"/>
      <c r="KPF990" s="124"/>
      <c r="KPG990" s="124"/>
      <c r="KPH990" s="124"/>
      <c r="KPI990" s="124"/>
      <c r="KPJ990" s="124"/>
      <c r="KPK990" s="124"/>
      <c r="KPL990" s="124"/>
      <c r="KPM990" s="124"/>
      <c r="KPN990" s="124"/>
      <c r="KPO990" s="124"/>
      <c r="KPP990" s="124"/>
      <c r="KPQ990" s="124"/>
      <c r="KPR990" s="124"/>
      <c r="KPS990" s="124"/>
      <c r="KPT990" s="124"/>
      <c r="KPU990" s="124"/>
      <c r="KPV990" s="124"/>
      <c r="KPW990" s="124"/>
      <c r="KPX990" s="124"/>
      <c r="KPY990" s="124"/>
      <c r="KPZ990" s="124"/>
      <c r="KQA990" s="124"/>
      <c r="KQB990" s="124"/>
      <c r="KQC990" s="124"/>
      <c r="KQD990" s="124"/>
      <c r="KQE990" s="124"/>
      <c r="KQF990" s="124"/>
      <c r="KQG990" s="124"/>
      <c r="KQH990" s="124"/>
      <c r="KQI990" s="124"/>
      <c r="KQJ990" s="124"/>
      <c r="KQK990" s="124"/>
      <c r="KQL990" s="124"/>
      <c r="KQM990" s="124"/>
      <c r="KQN990" s="124"/>
      <c r="KQO990" s="124"/>
      <c r="KQP990" s="124"/>
      <c r="KQQ990" s="124"/>
      <c r="KQR990" s="124"/>
      <c r="KQS990" s="124"/>
      <c r="KQT990" s="124"/>
      <c r="KQU990" s="124"/>
      <c r="KQV990" s="124"/>
      <c r="KQW990" s="124"/>
      <c r="KQX990" s="124"/>
      <c r="KQY990" s="124"/>
      <c r="KQZ990" s="124"/>
      <c r="KRA990" s="124"/>
      <c r="KRB990" s="124"/>
      <c r="KRC990" s="124"/>
      <c r="KRD990" s="124"/>
      <c r="KRE990" s="124"/>
      <c r="KRF990" s="124"/>
      <c r="KRG990" s="124"/>
      <c r="KRH990" s="124"/>
      <c r="KRI990" s="124"/>
      <c r="KRJ990" s="124"/>
      <c r="KRK990" s="124"/>
      <c r="KRL990" s="124"/>
      <c r="KRM990" s="124"/>
      <c r="KRN990" s="124"/>
      <c r="KRO990" s="124"/>
      <c r="KRP990" s="124"/>
      <c r="KRQ990" s="124"/>
      <c r="KRR990" s="124"/>
      <c r="KRS990" s="124"/>
      <c r="KRT990" s="124"/>
      <c r="KRU990" s="124"/>
      <c r="KRV990" s="124"/>
      <c r="KRW990" s="124"/>
      <c r="KRX990" s="124"/>
      <c r="KRY990" s="124"/>
      <c r="KRZ990" s="124"/>
      <c r="KSA990" s="124"/>
      <c r="KSB990" s="124"/>
      <c r="KSC990" s="124"/>
      <c r="KSD990" s="124"/>
      <c r="KSE990" s="124"/>
      <c r="KSF990" s="124"/>
      <c r="KSG990" s="124"/>
      <c r="KSH990" s="124"/>
      <c r="KSI990" s="124"/>
      <c r="KSJ990" s="124"/>
      <c r="KSK990" s="124"/>
      <c r="KSL990" s="124"/>
      <c r="KSM990" s="124"/>
      <c r="KSN990" s="124"/>
      <c r="KSO990" s="124"/>
      <c r="KSP990" s="124"/>
      <c r="KSQ990" s="124"/>
      <c r="KSR990" s="124"/>
      <c r="KSS990" s="124"/>
      <c r="KST990" s="124"/>
      <c r="KSU990" s="124"/>
      <c r="KSV990" s="124"/>
      <c r="KSW990" s="124"/>
      <c r="KSX990" s="124"/>
      <c r="KSY990" s="124"/>
      <c r="KSZ990" s="124"/>
      <c r="KTA990" s="124"/>
      <c r="KTB990" s="124"/>
      <c r="KTC990" s="124"/>
      <c r="KTD990" s="124"/>
      <c r="KTE990" s="124"/>
      <c r="KTF990" s="124"/>
      <c r="KTG990" s="124"/>
      <c r="KTH990" s="124"/>
      <c r="KTI990" s="124"/>
      <c r="KTJ990" s="124"/>
      <c r="KTK990" s="124"/>
      <c r="KTL990" s="124"/>
      <c r="KTM990" s="124"/>
      <c r="KTN990" s="124"/>
      <c r="KTO990" s="124"/>
      <c r="KTP990" s="124"/>
      <c r="KTQ990" s="124"/>
      <c r="KTR990" s="124"/>
      <c r="KTS990" s="124"/>
      <c r="KTT990" s="124"/>
      <c r="KTU990" s="124"/>
      <c r="KTV990" s="124"/>
      <c r="KTW990" s="124"/>
      <c r="KTX990" s="124"/>
      <c r="KTY990" s="124"/>
      <c r="KTZ990" s="124"/>
      <c r="KUA990" s="124"/>
      <c r="KUB990" s="124"/>
      <c r="KUC990" s="124"/>
      <c r="KUD990" s="124"/>
      <c r="KUE990" s="124"/>
      <c r="KUF990" s="124"/>
      <c r="KUG990" s="124"/>
      <c r="KUH990" s="124"/>
      <c r="KUI990" s="124"/>
      <c r="KUJ990" s="124"/>
      <c r="KUK990" s="124"/>
      <c r="KUL990" s="124"/>
      <c r="KUM990" s="124"/>
      <c r="KUN990" s="124"/>
      <c r="KUO990" s="124"/>
      <c r="KUP990" s="124"/>
      <c r="KUQ990" s="124"/>
      <c r="KUR990" s="124"/>
      <c r="KUS990" s="124"/>
      <c r="KUT990" s="124"/>
      <c r="KUU990" s="124"/>
      <c r="KUV990" s="124"/>
      <c r="KUW990" s="124"/>
      <c r="KUX990" s="124"/>
      <c r="KUY990" s="124"/>
      <c r="KUZ990" s="124"/>
      <c r="KVA990" s="124"/>
      <c r="KVB990" s="124"/>
      <c r="KVC990" s="124"/>
      <c r="KVD990" s="124"/>
      <c r="KVE990" s="124"/>
      <c r="KVF990" s="124"/>
      <c r="KVG990" s="124"/>
      <c r="KVH990" s="124"/>
      <c r="KVI990" s="124"/>
      <c r="KVJ990" s="124"/>
      <c r="KVK990" s="124"/>
      <c r="KVL990" s="124"/>
      <c r="KVM990" s="124"/>
      <c r="KVN990" s="124"/>
      <c r="KVO990" s="124"/>
      <c r="KVP990" s="124"/>
      <c r="KVQ990" s="124"/>
      <c r="KVR990" s="124"/>
      <c r="KVS990" s="124"/>
      <c r="KVT990" s="124"/>
      <c r="KVU990" s="124"/>
      <c r="KVV990" s="124"/>
      <c r="KVW990" s="124"/>
      <c r="KVX990" s="124"/>
      <c r="KVY990" s="124"/>
      <c r="KVZ990" s="124"/>
      <c r="KWA990" s="124"/>
      <c r="KWB990" s="124"/>
      <c r="KWC990" s="124"/>
      <c r="KWD990" s="124"/>
      <c r="KWE990" s="124"/>
      <c r="KWF990" s="124"/>
      <c r="KWG990" s="124"/>
      <c r="KWH990" s="124"/>
      <c r="KWI990" s="124"/>
      <c r="KWJ990" s="124"/>
      <c r="KWK990" s="124"/>
      <c r="KWL990" s="124"/>
      <c r="KWM990" s="124"/>
      <c r="KWN990" s="124"/>
      <c r="KWO990" s="124"/>
      <c r="KWP990" s="124"/>
      <c r="KWQ990" s="124"/>
      <c r="KWR990" s="124"/>
      <c r="KWS990" s="124"/>
      <c r="KWT990" s="124"/>
      <c r="KWU990" s="124"/>
      <c r="KWV990" s="124"/>
      <c r="KWW990" s="124"/>
      <c r="KWX990" s="124"/>
      <c r="KWY990" s="124"/>
      <c r="KWZ990" s="124"/>
      <c r="KXA990" s="124"/>
      <c r="KXB990" s="124"/>
      <c r="KXC990" s="124"/>
      <c r="KXD990" s="124"/>
      <c r="KXE990" s="124"/>
      <c r="KXF990" s="124"/>
      <c r="KXG990" s="124"/>
      <c r="KXH990" s="124"/>
      <c r="KXI990" s="124"/>
      <c r="KXJ990" s="124"/>
      <c r="KXK990" s="124"/>
      <c r="KXL990" s="124"/>
      <c r="KXM990" s="124"/>
      <c r="KXN990" s="124"/>
      <c r="KXO990" s="124"/>
      <c r="KXP990" s="124"/>
      <c r="KXQ990" s="124"/>
      <c r="KXR990" s="124"/>
      <c r="KXS990" s="124"/>
      <c r="KXT990" s="124"/>
      <c r="KXU990" s="124"/>
      <c r="KXV990" s="124"/>
      <c r="KXW990" s="124"/>
      <c r="KXX990" s="124"/>
      <c r="KXY990" s="124"/>
      <c r="KXZ990" s="124"/>
      <c r="KYA990" s="124"/>
      <c r="KYB990" s="124"/>
      <c r="KYC990" s="124"/>
      <c r="KYD990" s="124"/>
      <c r="KYE990" s="124"/>
      <c r="KYF990" s="124"/>
      <c r="KYG990" s="124"/>
      <c r="KYH990" s="124"/>
      <c r="KYI990" s="124"/>
      <c r="KYJ990" s="124"/>
      <c r="KYK990" s="124"/>
      <c r="KYL990" s="124"/>
      <c r="KYM990" s="124"/>
      <c r="KYN990" s="124"/>
      <c r="KYO990" s="124"/>
      <c r="KYP990" s="124"/>
      <c r="KYQ990" s="124"/>
      <c r="KYR990" s="124"/>
      <c r="KYS990" s="124"/>
      <c r="KYT990" s="124"/>
      <c r="KYU990" s="124"/>
      <c r="KYV990" s="124"/>
      <c r="KYW990" s="124"/>
      <c r="KYX990" s="124"/>
      <c r="KYY990" s="124"/>
      <c r="KYZ990" s="124"/>
      <c r="KZA990" s="124"/>
      <c r="KZB990" s="124"/>
      <c r="KZC990" s="124"/>
      <c r="KZD990" s="124"/>
      <c r="KZE990" s="124"/>
      <c r="KZF990" s="124"/>
      <c r="KZG990" s="124"/>
      <c r="KZH990" s="124"/>
      <c r="KZI990" s="124"/>
      <c r="KZJ990" s="124"/>
      <c r="KZK990" s="124"/>
      <c r="KZL990" s="124"/>
      <c r="KZM990" s="124"/>
      <c r="KZN990" s="124"/>
      <c r="KZO990" s="124"/>
      <c r="KZP990" s="124"/>
      <c r="KZQ990" s="124"/>
      <c r="KZR990" s="124"/>
      <c r="KZS990" s="124"/>
      <c r="KZT990" s="124"/>
      <c r="KZU990" s="124"/>
      <c r="KZV990" s="124"/>
      <c r="KZW990" s="124"/>
      <c r="KZX990" s="124"/>
      <c r="KZY990" s="124"/>
      <c r="KZZ990" s="124"/>
      <c r="LAA990" s="124"/>
      <c r="LAB990" s="124"/>
      <c r="LAC990" s="124"/>
      <c r="LAD990" s="124"/>
      <c r="LAE990" s="124"/>
      <c r="LAF990" s="124"/>
      <c r="LAG990" s="124"/>
      <c r="LAH990" s="124"/>
      <c r="LAI990" s="124"/>
      <c r="LAJ990" s="124"/>
      <c r="LAK990" s="124"/>
      <c r="LAL990" s="124"/>
      <c r="LAM990" s="124"/>
      <c r="LAN990" s="124"/>
      <c r="LAO990" s="124"/>
      <c r="LAP990" s="124"/>
      <c r="LAQ990" s="124"/>
      <c r="LAR990" s="124"/>
      <c r="LAS990" s="124"/>
      <c r="LAT990" s="124"/>
      <c r="LAU990" s="124"/>
      <c r="LAV990" s="124"/>
      <c r="LAW990" s="124"/>
      <c r="LAX990" s="124"/>
      <c r="LAY990" s="124"/>
      <c r="LAZ990" s="124"/>
      <c r="LBA990" s="124"/>
      <c r="LBB990" s="124"/>
      <c r="LBC990" s="124"/>
      <c r="LBD990" s="124"/>
      <c r="LBE990" s="124"/>
      <c r="LBF990" s="124"/>
      <c r="LBG990" s="124"/>
      <c r="LBH990" s="124"/>
      <c r="LBI990" s="124"/>
      <c r="LBJ990" s="124"/>
      <c r="LBK990" s="124"/>
      <c r="LBL990" s="124"/>
      <c r="LBM990" s="124"/>
      <c r="LBN990" s="124"/>
      <c r="LBO990" s="124"/>
      <c r="LBP990" s="124"/>
      <c r="LBQ990" s="124"/>
      <c r="LBR990" s="124"/>
      <c r="LBS990" s="124"/>
      <c r="LBT990" s="124"/>
      <c r="LBU990" s="124"/>
      <c r="LBV990" s="124"/>
      <c r="LBW990" s="124"/>
      <c r="LBX990" s="124"/>
      <c r="LBY990" s="124"/>
      <c r="LBZ990" s="124"/>
      <c r="LCA990" s="124"/>
      <c r="LCB990" s="124"/>
      <c r="LCC990" s="124"/>
      <c r="LCD990" s="124"/>
      <c r="LCE990" s="124"/>
      <c r="LCF990" s="124"/>
      <c r="LCG990" s="124"/>
      <c r="LCH990" s="124"/>
      <c r="LCI990" s="124"/>
      <c r="LCJ990" s="124"/>
      <c r="LCK990" s="124"/>
      <c r="LCL990" s="124"/>
      <c r="LCM990" s="124"/>
      <c r="LCN990" s="124"/>
      <c r="LCO990" s="124"/>
      <c r="LCP990" s="124"/>
      <c r="LCQ990" s="124"/>
      <c r="LCR990" s="124"/>
      <c r="LCS990" s="124"/>
      <c r="LCT990" s="124"/>
      <c r="LCU990" s="124"/>
      <c r="LCV990" s="124"/>
      <c r="LCW990" s="124"/>
      <c r="LCX990" s="124"/>
      <c r="LCY990" s="124"/>
      <c r="LCZ990" s="124"/>
      <c r="LDA990" s="124"/>
      <c r="LDB990" s="124"/>
      <c r="LDC990" s="124"/>
      <c r="LDD990" s="124"/>
      <c r="LDE990" s="124"/>
      <c r="LDF990" s="124"/>
      <c r="LDG990" s="124"/>
      <c r="LDH990" s="124"/>
      <c r="LDI990" s="124"/>
      <c r="LDJ990" s="124"/>
      <c r="LDK990" s="124"/>
      <c r="LDL990" s="124"/>
      <c r="LDM990" s="124"/>
      <c r="LDN990" s="124"/>
      <c r="LDO990" s="124"/>
      <c r="LDP990" s="124"/>
      <c r="LDQ990" s="124"/>
      <c r="LDR990" s="124"/>
      <c r="LDS990" s="124"/>
      <c r="LDT990" s="124"/>
      <c r="LDU990" s="124"/>
      <c r="LDV990" s="124"/>
      <c r="LDW990" s="124"/>
      <c r="LDX990" s="124"/>
      <c r="LDY990" s="124"/>
      <c r="LDZ990" s="124"/>
      <c r="LEA990" s="124"/>
      <c r="LEB990" s="124"/>
      <c r="LEC990" s="124"/>
      <c r="LED990" s="124"/>
      <c r="LEE990" s="124"/>
      <c r="LEF990" s="124"/>
      <c r="LEG990" s="124"/>
      <c r="LEH990" s="124"/>
      <c r="LEI990" s="124"/>
      <c r="LEJ990" s="124"/>
      <c r="LEK990" s="124"/>
      <c r="LEL990" s="124"/>
      <c r="LEM990" s="124"/>
      <c r="LEN990" s="124"/>
      <c r="LEO990" s="124"/>
      <c r="LEP990" s="124"/>
      <c r="LEQ990" s="124"/>
      <c r="LER990" s="124"/>
      <c r="LES990" s="124"/>
      <c r="LET990" s="124"/>
      <c r="LEU990" s="124"/>
      <c r="LEV990" s="124"/>
      <c r="LEW990" s="124"/>
      <c r="LEX990" s="124"/>
      <c r="LEY990" s="124"/>
      <c r="LEZ990" s="124"/>
      <c r="LFA990" s="124"/>
      <c r="LFB990" s="124"/>
      <c r="LFC990" s="124"/>
      <c r="LFD990" s="124"/>
      <c r="LFE990" s="124"/>
      <c r="LFF990" s="124"/>
      <c r="LFG990" s="124"/>
      <c r="LFH990" s="124"/>
      <c r="LFI990" s="124"/>
      <c r="LFJ990" s="124"/>
      <c r="LFK990" s="124"/>
      <c r="LFL990" s="124"/>
      <c r="LFM990" s="124"/>
      <c r="LFN990" s="124"/>
      <c r="LFO990" s="124"/>
      <c r="LFP990" s="124"/>
      <c r="LFQ990" s="124"/>
      <c r="LFR990" s="124"/>
      <c r="LFS990" s="124"/>
      <c r="LFT990" s="124"/>
      <c r="LFU990" s="124"/>
      <c r="LFV990" s="124"/>
      <c r="LFW990" s="124"/>
      <c r="LFX990" s="124"/>
      <c r="LFY990" s="124"/>
      <c r="LFZ990" s="124"/>
      <c r="LGA990" s="124"/>
      <c r="LGB990" s="124"/>
      <c r="LGC990" s="124"/>
      <c r="LGD990" s="124"/>
      <c r="LGE990" s="124"/>
      <c r="LGF990" s="124"/>
      <c r="LGG990" s="124"/>
      <c r="LGH990" s="124"/>
      <c r="LGI990" s="124"/>
      <c r="LGJ990" s="124"/>
      <c r="LGK990" s="124"/>
      <c r="LGL990" s="124"/>
      <c r="LGM990" s="124"/>
      <c r="LGN990" s="124"/>
      <c r="LGO990" s="124"/>
      <c r="LGP990" s="124"/>
      <c r="LGQ990" s="124"/>
      <c r="LGR990" s="124"/>
      <c r="LGS990" s="124"/>
      <c r="LGT990" s="124"/>
      <c r="LGU990" s="124"/>
      <c r="LGV990" s="124"/>
      <c r="LGW990" s="124"/>
      <c r="LGX990" s="124"/>
      <c r="LGY990" s="124"/>
      <c r="LGZ990" s="124"/>
      <c r="LHA990" s="124"/>
      <c r="LHB990" s="124"/>
      <c r="LHC990" s="124"/>
      <c r="LHD990" s="124"/>
      <c r="LHE990" s="124"/>
      <c r="LHF990" s="124"/>
      <c r="LHG990" s="124"/>
      <c r="LHH990" s="124"/>
      <c r="LHI990" s="124"/>
      <c r="LHJ990" s="124"/>
      <c r="LHK990" s="124"/>
      <c r="LHL990" s="124"/>
      <c r="LHM990" s="124"/>
      <c r="LHN990" s="124"/>
      <c r="LHO990" s="124"/>
      <c r="LHP990" s="124"/>
      <c r="LHQ990" s="124"/>
      <c r="LHR990" s="124"/>
      <c r="LHS990" s="124"/>
      <c r="LHT990" s="124"/>
      <c r="LHU990" s="124"/>
      <c r="LHV990" s="124"/>
      <c r="LHW990" s="124"/>
      <c r="LHX990" s="124"/>
      <c r="LHY990" s="124"/>
      <c r="LHZ990" s="124"/>
      <c r="LIA990" s="124"/>
      <c r="LIB990" s="124"/>
      <c r="LIC990" s="124"/>
      <c r="LID990" s="124"/>
      <c r="LIE990" s="124"/>
      <c r="LIF990" s="124"/>
      <c r="LIG990" s="124"/>
      <c r="LIH990" s="124"/>
      <c r="LII990" s="124"/>
      <c r="LIJ990" s="124"/>
      <c r="LIK990" s="124"/>
      <c r="LIL990" s="124"/>
      <c r="LIM990" s="124"/>
      <c r="LIN990" s="124"/>
      <c r="LIO990" s="124"/>
      <c r="LIP990" s="124"/>
      <c r="LIQ990" s="124"/>
      <c r="LIR990" s="124"/>
      <c r="LIS990" s="124"/>
      <c r="LIT990" s="124"/>
      <c r="LIU990" s="124"/>
      <c r="LIV990" s="124"/>
      <c r="LIW990" s="124"/>
      <c r="LIX990" s="124"/>
      <c r="LIY990" s="124"/>
      <c r="LIZ990" s="124"/>
      <c r="LJA990" s="124"/>
      <c r="LJB990" s="124"/>
      <c r="LJC990" s="124"/>
      <c r="LJD990" s="124"/>
      <c r="LJE990" s="124"/>
      <c r="LJF990" s="124"/>
      <c r="LJG990" s="124"/>
      <c r="LJH990" s="124"/>
      <c r="LJI990" s="124"/>
      <c r="LJJ990" s="124"/>
      <c r="LJK990" s="124"/>
      <c r="LJL990" s="124"/>
      <c r="LJM990" s="124"/>
      <c r="LJN990" s="124"/>
      <c r="LJO990" s="124"/>
      <c r="LJP990" s="124"/>
      <c r="LJQ990" s="124"/>
      <c r="LJR990" s="124"/>
      <c r="LJS990" s="124"/>
      <c r="LJT990" s="124"/>
      <c r="LJU990" s="124"/>
      <c r="LJV990" s="124"/>
      <c r="LJW990" s="124"/>
      <c r="LJX990" s="124"/>
      <c r="LJY990" s="124"/>
      <c r="LJZ990" s="124"/>
      <c r="LKA990" s="124"/>
      <c r="LKB990" s="124"/>
      <c r="LKC990" s="124"/>
      <c r="LKD990" s="124"/>
      <c r="LKE990" s="124"/>
      <c r="LKF990" s="124"/>
      <c r="LKG990" s="124"/>
      <c r="LKH990" s="124"/>
      <c r="LKI990" s="124"/>
      <c r="LKJ990" s="124"/>
      <c r="LKK990" s="124"/>
      <c r="LKL990" s="124"/>
      <c r="LKM990" s="124"/>
      <c r="LKN990" s="124"/>
      <c r="LKO990" s="124"/>
      <c r="LKP990" s="124"/>
      <c r="LKQ990" s="124"/>
      <c r="LKR990" s="124"/>
      <c r="LKS990" s="124"/>
      <c r="LKT990" s="124"/>
      <c r="LKU990" s="124"/>
      <c r="LKV990" s="124"/>
      <c r="LKW990" s="124"/>
      <c r="LKX990" s="124"/>
      <c r="LKY990" s="124"/>
      <c r="LKZ990" s="124"/>
      <c r="LLA990" s="124"/>
      <c r="LLB990" s="124"/>
      <c r="LLC990" s="124"/>
      <c r="LLD990" s="124"/>
      <c r="LLE990" s="124"/>
      <c r="LLF990" s="124"/>
      <c r="LLG990" s="124"/>
      <c r="LLH990" s="124"/>
      <c r="LLI990" s="124"/>
      <c r="LLJ990" s="124"/>
      <c r="LLK990" s="124"/>
      <c r="LLL990" s="124"/>
      <c r="LLM990" s="124"/>
      <c r="LLN990" s="124"/>
      <c r="LLO990" s="124"/>
      <c r="LLP990" s="124"/>
      <c r="LLQ990" s="124"/>
      <c r="LLR990" s="124"/>
      <c r="LLS990" s="124"/>
      <c r="LLT990" s="124"/>
      <c r="LLU990" s="124"/>
      <c r="LLV990" s="124"/>
      <c r="LLW990" s="124"/>
      <c r="LLX990" s="124"/>
      <c r="LLY990" s="124"/>
      <c r="LLZ990" s="124"/>
      <c r="LMA990" s="124"/>
      <c r="LMB990" s="124"/>
      <c r="LMC990" s="124"/>
      <c r="LMD990" s="124"/>
      <c r="LME990" s="124"/>
      <c r="LMF990" s="124"/>
      <c r="LMG990" s="124"/>
      <c r="LMH990" s="124"/>
      <c r="LMI990" s="124"/>
      <c r="LMJ990" s="124"/>
      <c r="LMK990" s="124"/>
      <c r="LML990" s="124"/>
      <c r="LMM990" s="124"/>
      <c r="LMN990" s="124"/>
      <c r="LMO990" s="124"/>
      <c r="LMP990" s="124"/>
      <c r="LMQ990" s="124"/>
      <c r="LMR990" s="124"/>
      <c r="LMS990" s="124"/>
      <c r="LMT990" s="124"/>
      <c r="LMU990" s="124"/>
      <c r="LMV990" s="124"/>
      <c r="LMW990" s="124"/>
      <c r="LMX990" s="124"/>
      <c r="LMY990" s="124"/>
      <c r="LMZ990" s="124"/>
      <c r="LNA990" s="124"/>
      <c r="LNB990" s="124"/>
      <c r="LNC990" s="124"/>
      <c r="LND990" s="124"/>
      <c r="LNE990" s="124"/>
      <c r="LNF990" s="124"/>
      <c r="LNG990" s="124"/>
      <c r="LNH990" s="124"/>
      <c r="LNI990" s="124"/>
      <c r="LNJ990" s="124"/>
      <c r="LNK990" s="124"/>
      <c r="LNL990" s="124"/>
      <c r="LNM990" s="124"/>
      <c r="LNN990" s="124"/>
      <c r="LNO990" s="124"/>
      <c r="LNP990" s="124"/>
      <c r="LNQ990" s="124"/>
      <c r="LNR990" s="124"/>
      <c r="LNS990" s="124"/>
      <c r="LNT990" s="124"/>
      <c r="LNU990" s="124"/>
      <c r="LNV990" s="124"/>
      <c r="LNW990" s="124"/>
      <c r="LNX990" s="124"/>
      <c r="LNY990" s="124"/>
      <c r="LNZ990" s="124"/>
      <c r="LOA990" s="124"/>
      <c r="LOB990" s="124"/>
      <c r="LOC990" s="124"/>
      <c r="LOD990" s="124"/>
      <c r="LOE990" s="124"/>
      <c r="LOF990" s="124"/>
      <c r="LOG990" s="124"/>
      <c r="LOH990" s="124"/>
      <c r="LOI990" s="124"/>
      <c r="LOJ990" s="124"/>
      <c r="LOK990" s="124"/>
      <c r="LOL990" s="124"/>
      <c r="LOM990" s="124"/>
      <c r="LON990" s="124"/>
      <c r="LOO990" s="124"/>
      <c r="LOP990" s="124"/>
      <c r="LOQ990" s="124"/>
      <c r="LOR990" s="124"/>
      <c r="LOS990" s="124"/>
      <c r="LOT990" s="124"/>
      <c r="LOU990" s="124"/>
      <c r="LOV990" s="124"/>
      <c r="LOW990" s="124"/>
      <c r="LOX990" s="124"/>
      <c r="LOY990" s="124"/>
      <c r="LOZ990" s="124"/>
      <c r="LPA990" s="124"/>
      <c r="LPB990" s="124"/>
      <c r="LPC990" s="124"/>
      <c r="LPD990" s="124"/>
      <c r="LPE990" s="124"/>
      <c r="LPF990" s="124"/>
      <c r="LPG990" s="124"/>
      <c r="LPH990" s="124"/>
      <c r="LPI990" s="124"/>
      <c r="LPJ990" s="124"/>
      <c r="LPK990" s="124"/>
      <c r="LPL990" s="124"/>
      <c r="LPM990" s="124"/>
      <c r="LPN990" s="124"/>
      <c r="LPO990" s="124"/>
      <c r="LPP990" s="124"/>
      <c r="LPQ990" s="124"/>
      <c r="LPR990" s="124"/>
      <c r="LPS990" s="124"/>
      <c r="LPT990" s="124"/>
      <c r="LPU990" s="124"/>
      <c r="LPV990" s="124"/>
      <c r="LPW990" s="124"/>
      <c r="LPX990" s="124"/>
      <c r="LPY990" s="124"/>
      <c r="LPZ990" s="124"/>
      <c r="LQA990" s="124"/>
      <c r="LQB990" s="124"/>
      <c r="LQC990" s="124"/>
      <c r="LQD990" s="124"/>
      <c r="LQE990" s="124"/>
      <c r="LQF990" s="124"/>
      <c r="LQG990" s="124"/>
      <c r="LQH990" s="124"/>
      <c r="LQI990" s="124"/>
      <c r="LQJ990" s="124"/>
      <c r="LQK990" s="124"/>
      <c r="LQL990" s="124"/>
      <c r="LQM990" s="124"/>
      <c r="LQN990" s="124"/>
      <c r="LQO990" s="124"/>
      <c r="LQP990" s="124"/>
      <c r="LQQ990" s="124"/>
      <c r="LQR990" s="124"/>
      <c r="LQS990" s="124"/>
      <c r="LQT990" s="124"/>
      <c r="LQU990" s="124"/>
      <c r="LQV990" s="124"/>
      <c r="LQW990" s="124"/>
      <c r="LQX990" s="124"/>
      <c r="LQY990" s="124"/>
      <c r="LQZ990" s="124"/>
      <c r="LRA990" s="124"/>
      <c r="LRB990" s="124"/>
      <c r="LRC990" s="124"/>
      <c r="LRD990" s="124"/>
      <c r="LRE990" s="124"/>
      <c r="LRF990" s="124"/>
      <c r="LRG990" s="124"/>
      <c r="LRH990" s="124"/>
      <c r="LRI990" s="124"/>
      <c r="LRJ990" s="124"/>
      <c r="LRK990" s="124"/>
      <c r="LRL990" s="124"/>
      <c r="LRM990" s="124"/>
      <c r="LRN990" s="124"/>
      <c r="LRO990" s="124"/>
      <c r="LRP990" s="124"/>
      <c r="LRQ990" s="124"/>
      <c r="LRR990" s="124"/>
      <c r="LRS990" s="124"/>
      <c r="LRT990" s="124"/>
      <c r="LRU990" s="124"/>
      <c r="LRV990" s="124"/>
      <c r="LRW990" s="124"/>
      <c r="LRX990" s="124"/>
      <c r="LRY990" s="124"/>
      <c r="LRZ990" s="124"/>
      <c r="LSA990" s="124"/>
      <c r="LSB990" s="124"/>
      <c r="LSC990" s="124"/>
      <c r="LSD990" s="124"/>
      <c r="LSE990" s="124"/>
      <c r="LSF990" s="124"/>
      <c r="LSG990" s="124"/>
      <c r="LSH990" s="124"/>
      <c r="LSI990" s="124"/>
      <c r="LSJ990" s="124"/>
      <c r="LSK990" s="124"/>
      <c r="LSL990" s="124"/>
      <c r="LSM990" s="124"/>
      <c r="LSN990" s="124"/>
      <c r="LSO990" s="124"/>
      <c r="LSP990" s="124"/>
      <c r="LSQ990" s="124"/>
      <c r="LSR990" s="124"/>
      <c r="LSS990" s="124"/>
      <c r="LST990" s="124"/>
      <c r="LSU990" s="124"/>
      <c r="LSV990" s="124"/>
      <c r="LSW990" s="124"/>
      <c r="LSX990" s="124"/>
      <c r="LSY990" s="124"/>
      <c r="LSZ990" s="124"/>
      <c r="LTA990" s="124"/>
      <c r="LTB990" s="124"/>
      <c r="LTC990" s="124"/>
      <c r="LTD990" s="124"/>
      <c r="LTE990" s="124"/>
      <c r="LTF990" s="124"/>
      <c r="LTG990" s="124"/>
      <c r="LTH990" s="124"/>
      <c r="LTI990" s="124"/>
      <c r="LTJ990" s="124"/>
      <c r="LTK990" s="124"/>
      <c r="LTL990" s="124"/>
      <c r="LTM990" s="124"/>
      <c r="LTN990" s="124"/>
      <c r="LTO990" s="124"/>
      <c r="LTP990" s="124"/>
      <c r="LTQ990" s="124"/>
      <c r="LTR990" s="124"/>
      <c r="LTS990" s="124"/>
      <c r="LTT990" s="124"/>
      <c r="LTU990" s="124"/>
      <c r="LTV990" s="124"/>
      <c r="LTW990" s="124"/>
      <c r="LTX990" s="124"/>
      <c r="LTY990" s="124"/>
      <c r="LTZ990" s="124"/>
      <c r="LUA990" s="124"/>
      <c r="LUB990" s="124"/>
      <c r="LUC990" s="124"/>
      <c r="LUD990" s="124"/>
      <c r="LUE990" s="124"/>
      <c r="LUF990" s="124"/>
      <c r="LUG990" s="124"/>
      <c r="LUH990" s="124"/>
      <c r="LUI990" s="124"/>
      <c r="LUJ990" s="124"/>
      <c r="LUK990" s="124"/>
      <c r="LUL990" s="124"/>
      <c r="LUM990" s="124"/>
      <c r="LUN990" s="124"/>
      <c r="LUO990" s="124"/>
      <c r="LUP990" s="124"/>
      <c r="LUQ990" s="124"/>
      <c r="LUR990" s="124"/>
      <c r="LUS990" s="124"/>
      <c r="LUT990" s="124"/>
      <c r="LUU990" s="124"/>
      <c r="LUV990" s="124"/>
      <c r="LUW990" s="124"/>
      <c r="LUX990" s="124"/>
      <c r="LUY990" s="124"/>
      <c r="LUZ990" s="124"/>
      <c r="LVA990" s="124"/>
      <c r="LVB990" s="124"/>
      <c r="LVC990" s="124"/>
      <c r="LVD990" s="124"/>
      <c r="LVE990" s="124"/>
      <c r="LVF990" s="124"/>
      <c r="LVG990" s="124"/>
      <c r="LVH990" s="124"/>
      <c r="LVI990" s="124"/>
      <c r="LVJ990" s="124"/>
      <c r="LVK990" s="124"/>
      <c r="LVL990" s="124"/>
      <c r="LVM990" s="124"/>
      <c r="LVN990" s="124"/>
      <c r="LVO990" s="124"/>
      <c r="LVP990" s="124"/>
      <c r="LVQ990" s="124"/>
      <c r="LVR990" s="124"/>
      <c r="LVS990" s="124"/>
      <c r="LVT990" s="124"/>
      <c r="LVU990" s="124"/>
      <c r="LVV990" s="124"/>
      <c r="LVW990" s="124"/>
      <c r="LVX990" s="124"/>
      <c r="LVY990" s="124"/>
      <c r="LVZ990" s="124"/>
      <c r="LWA990" s="124"/>
      <c r="LWB990" s="124"/>
      <c r="LWC990" s="124"/>
      <c r="LWD990" s="124"/>
      <c r="LWE990" s="124"/>
      <c r="LWF990" s="124"/>
      <c r="LWG990" s="124"/>
      <c r="LWH990" s="124"/>
      <c r="LWI990" s="124"/>
      <c r="LWJ990" s="124"/>
      <c r="LWK990" s="124"/>
      <c r="LWL990" s="124"/>
      <c r="LWM990" s="124"/>
      <c r="LWN990" s="124"/>
      <c r="LWO990" s="124"/>
      <c r="LWP990" s="124"/>
      <c r="LWQ990" s="124"/>
      <c r="LWR990" s="124"/>
      <c r="LWS990" s="124"/>
      <c r="LWT990" s="124"/>
      <c r="LWU990" s="124"/>
      <c r="LWV990" s="124"/>
      <c r="LWW990" s="124"/>
      <c r="LWX990" s="124"/>
      <c r="LWY990" s="124"/>
      <c r="LWZ990" s="124"/>
      <c r="LXA990" s="124"/>
      <c r="LXB990" s="124"/>
      <c r="LXC990" s="124"/>
      <c r="LXD990" s="124"/>
      <c r="LXE990" s="124"/>
      <c r="LXF990" s="124"/>
      <c r="LXG990" s="124"/>
      <c r="LXH990" s="124"/>
      <c r="LXI990" s="124"/>
      <c r="LXJ990" s="124"/>
      <c r="LXK990" s="124"/>
      <c r="LXL990" s="124"/>
      <c r="LXM990" s="124"/>
      <c r="LXN990" s="124"/>
      <c r="LXO990" s="124"/>
      <c r="LXP990" s="124"/>
      <c r="LXQ990" s="124"/>
      <c r="LXR990" s="124"/>
      <c r="LXS990" s="124"/>
      <c r="LXT990" s="124"/>
      <c r="LXU990" s="124"/>
      <c r="LXV990" s="124"/>
      <c r="LXW990" s="124"/>
      <c r="LXX990" s="124"/>
      <c r="LXY990" s="124"/>
      <c r="LXZ990" s="124"/>
      <c r="LYA990" s="124"/>
      <c r="LYB990" s="124"/>
      <c r="LYC990" s="124"/>
      <c r="LYD990" s="124"/>
      <c r="LYE990" s="124"/>
      <c r="LYF990" s="124"/>
      <c r="LYG990" s="124"/>
      <c r="LYH990" s="124"/>
      <c r="LYI990" s="124"/>
      <c r="LYJ990" s="124"/>
      <c r="LYK990" s="124"/>
      <c r="LYL990" s="124"/>
      <c r="LYM990" s="124"/>
      <c r="LYN990" s="124"/>
      <c r="LYO990" s="124"/>
      <c r="LYP990" s="124"/>
      <c r="LYQ990" s="124"/>
      <c r="LYR990" s="124"/>
      <c r="LYS990" s="124"/>
      <c r="LYT990" s="124"/>
      <c r="LYU990" s="124"/>
      <c r="LYV990" s="124"/>
      <c r="LYW990" s="124"/>
      <c r="LYX990" s="124"/>
      <c r="LYY990" s="124"/>
      <c r="LYZ990" s="124"/>
      <c r="LZA990" s="124"/>
      <c r="LZB990" s="124"/>
      <c r="LZC990" s="124"/>
      <c r="LZD990" s="124"/>
      <c r="LZE990" s="124"/>
      <c r="LZF990" s="124"/>
      <c r="LZG990" s="124"/>
      <c r="LZH990" s="124"/>
      <c r="LZI990" s="124"/>
      <c r="LZJ990" s="124"/>
      <c r="LZK990" s="124"/>
      <c r="LZL990" s="124"/>
      <c r="LZM990" s="124"/>
      <c r="LZN990" s="124"/>
      <c r="LZO990" s="124"/>
      <c r="LZP990" s="124"/>
      <c r="LZQ990" s="124"/>
      <c r="LZR990" s="124"/>
      <c r="LZS990" s="124"/>
      <c r="LZT990" s="124"/>
      <c r="LZU990" s="124"/>
      <c r="LZV990" s="124"/>
      <c r="LZW990" s="124"/>
      <c r="LZX990" s="124"/>
      <c r="LZY990" s="124"/>
      <c r="LZZ990" s="124"/>
      <c r="MAA990" s="124"/>
      <c r="MAB990" s="124"/>
      <c r="MAC990" s="124"/>
      <c r="MAD990" s="124"/>
      <c r="MAE990" s="124"/>
      <c r="MAF990" s="124"/>
      <c r="MAG990" s="124"/>
      <c r="MAH990" s="124"/>
      <c r="MAI990" s="124"/>
      <c r="MAJ990" s="124"/>
      <c r="MAK990" s="124"/>
      <c r="MAL990" s="124"/>
      <c r="MAM990" s="124"/>
      <c r="MAN990" s="124"/>
      <c r="MAO990" s="124"/>
      <c r="MAP990" s="124"/>
      <c r="MAQ990" s="124"/>
      <c r="MAR990" s="124"/>
      <c r="MAS990" s="124"/>
      <c r="MAT990" s="124"/>
      <c r="MAU990" s="124"/>
      <c r="MAV990" s="124"/>
      <c r="MAW990" s="124"/>
      <c r="MAX990" s="124"/>
      <c r="MAY990" s="124"/>
      <c r="MAZ990" s="124"/>
      <c r="MBA990" s="124"/>
      <c r="MBB990" s="124"/>
      <c r="MBC990" s="124"/>
      <c r="MBD990" s="124"/>
      <c r="MBE990" s="124"/>
      <c r="MBF990" s="124"/>
      <c r="MBG990" s="124"/>
      <c r="MBH990" s="124"/>
      <c r="MBI990" s="124"/>
      <c r="MBJ990" s="124"/>
      <c r="MBK990" s="124"/>
      <c r="MBL990" s="124"/>
      <c r="MBM990" s="124"/>
      <c r="MBN990" s="124"/>
      <c r="MBO990" s="124"/>
      <c r="MBP990" s="124"/>
      <c r="MBQ990" s="124"/>
      <c r="MBR990" s="124"/>
      <c r="MBS990" s="124"/>
      <c r="MBT990" s="124"/>
      <c r="MBU990" s="124"/>
      <c r="MBV990" s="124"/>
      <c r="MBW990" s="124"/>
      <c r="MBX990" s="124"/>
      <c r="MBY990" s="124"/>
      <c r="MBZ990" s="124"/>
      <c r="MCA990" s="124"/>
      <c r="MCB990" s="124"/>
      <c r="MCC990" s="124"/>
      <c r="MCD990" s="124"/>
    </row>
    <row r="991" spans="1:8870" s="18" customFormat="1" ht="38.25" customHeight="1">
      <c r="A991" s="21" t="s">
        <v>1</v>
      </c>
      <c r="B991" s="18" t="s">
        <v>1855</v>
      </c>
      <c r="C991" s="21" t="s">
        <v>25</v>
      </c>
      <c r="D991" s="312" t="s">
        <v>2857</v>
      </c>
      <c r="E991" s="21" t="s">
        <v>740</v>
      </c>
      <c r="F991" s="18" t="s">
        <v>277</v>
      </c>
      <c r="G991" s="21" t="s">
        <v>85</v>
      </c>
      <c r="H991" s="18">
        <v>541519</v>
      </c>
      <c r="I991" s="18" t="s">
        <v>28</v>
      </c>
      <c r="J991" s="21" t="s">
        <v>109</v>
      </c>
      <c r="K991" s="18" t="s">
        <v>1147</v>
      </c>
      <c r="L991" s="21" t="s">
        <v>561</v>
      </c>
      <c r="M991" s="22">
        <v>5000000</v>
      </c>
      <c r="N991" s="22">
        <v>7000000</v>
      </c>
      <c r="O991" s="21" t="s">
        <v>20</v>
      </c>
      <c r="P991" s="18" t="s">
        <v>2858</v>
      </c>
      <c r="Q991" s="18" t="s">
        <v>2851</v>
      </c>
      <c r="R991" s="21" t="s">
        <v>2836</v>
      </c>
      <c r="S991" s="74">
        <v>2013</v>
      </c>
      <c r="T991" s="21" t="s">
        <v>2859</v>
      </c>
      <c r="U991" s="21" t="s">
        <v>2860</v>
      </c>
      <c r="V991" s="214" t="s">
        <v>2861</v>
      </c>
      <c r="W991" s="105" t="s">
        <v>32</v>
      </c>
      <c r="X991" s="18" t="s">
        <v>2856</v>
      </c>
      <c r="Y991" s="124"/>
      <c r="Z991" s="124"/>
      <c r="AA991" s="124"/>
      <c r="AB991" s="124"/>
      <c r="AC991" s="124"/>
      <c r="AD991" s="124"/>
      <c r="AE991" s="124"/>
      <c r="AF991" s="124"/>
      <c r="AG991" s="124"/>
      <c r="AH991" s="124"/>
      <c r="AI991" s="124"/>
      <c r="AJ991" s="124"/>
      <c r="AK991" s="124"/>
      <c r="AL991" s="124"/>
      <c r="AM991" s="124"/>
      <c r="AN991" s="124"/>
      <c r="AO991" s="124"/>
      <c r="AP991" s="124"/>
      <c r="AQ991" s="124"/>
      <c r="AR991" s="124"/>
      <c r="AS991" s="124"/>
      <c r="AT991" s="124"/>
      <c r="AU991" s="124"/>
      <c r="AV991" s="124"/>
      <c r="AW991" s="124"/>
      <c r="AX991" s="124"/>
      <c r="AY991" s="124"/>
      <c r="AZ991" s="124"/>
      <c r="BA991" s="124"/>
      <c r="BB991" s="124"/>
      <c r="BC991" s="124"/>
      <c r="BD991" s="124"/>
      <c r="BE991" s="124"/>
      <c r="BF991" s="124"/>
      <c r="BG991" s="124"/>
      <c r="BH991" s="124"/>
      <c r="BI991" s="124"/>
      <c r="BJ991" s="124"/>
      <c r="BK991" s="124"/>
      <c r="BL991" s="124"/>
      <c r="BM991" s="124"/>
      <c r="BN991" s="124"/>
      <c r="BO991" s="124"/>
      <c r="BP991" s="124"/>
      <c r="BQ991" s="124"/>
      <c r="BR991" s="124"/>
      <c r="BS991" s="124"/>
      <c r="BT991" s="124"/>
      <c r="BU991" s="124"/>
      <c r="BV991" s="124"/>
      <c r="BW991" s="124"/>
      <c r="BX991" s="124"/>
      <c r="BY991" s="124"/>
      <c r="BZ991" s="124"/>
      <c r="CA991" s="124"/>
      <c r="CB991" s="124"/>
      <c r="CC991" s="124"/>
      <c r="CD991" s="124"/>
      <c r="CE991" s="124"/>
      <c r="CF991" s="124"/>
      <c r="CG991" s="124"/>
      <c r="CH991" s="124"/>
      <c r="CI991" s="124"/>
      <c r="CJ991" s="124"/>
      <c r="CK991" s="124"/>
      <c r="CL991" s="124"/>
      <c r="CM991" s="124"/>
      <c r="CN991" s="124"/>
      <c r="CO991" s="124"/>
      <c r="CP991" s="124"/>
      <c r="CQ991" s="124"/>
      <c r="CR991" s="124"/>
      <c r="CS991" s="124"/>
      <c r="CT991" s="124"/>
      <c r="CU991" s="124"/>
      <c r="CV991" s="124"/>
      <c r="CW991" s="124"/>
      <c r="CX991" s="124"/>
      <c r="CY991" s="124"/>
      <c r="CZ991" s="124"/>
      <c r="DA991" s="124"/>
      <c r="DB991" s="124"/>
      <c r="DC991" s="124"/>
      <c r="DD991" s="124"/>
      <c r="DE991" s="124"/>
      <c r="DF991" s="124"/>
      <c r="DG991" s="124"/>
      <c r="DH991" s="124"/>
      <c r="DI991" s="124"/>
      <c r="DJ991" s="124"/>
      <c r="DK991" s="124"/>
      <c r="DL991" s="124"/>
      <c r="DM991" s="124"/>
      <c r="DN991" s="124"/>
      <c r="DO991" s="124"/>
      <c r="DP991" s="124"/>
      <c r="DQ991" s="124"/>
      <c r="DR991" s="124"/>
      <c r="DS991" s="124"/>
      <c r="DT991" s="124"/>
      <c r="DU991" s="124"/>
      <c r="DV991" s="124"/>
      <c r="DW991" s="124"/>
      <c r="DX991" s="124"/>
      <c r="DY991" s="124"/>
      <c r="DZ991" s="124"/>
      <c r="EA991" s="124"/>
      <c r="EB991" s="124"/>
      <c r="EC991" s="124"/>
      <c r="ED991" s="124"/>
      <c r="EE991" s="124"/>
      <c r="EF991" s="124"/>
      <c r="EG991" s="124"/>
      <c r="EH991" s="124"/>
      <c r="EI991" s="124"/>
      <c r="EJ991" s="124"/>
      <c r="EK991" s="124"/>
      <c r="EL991" s="124"/>
      <c r="EM991" s="124"/>
      <c r="EN991" s="124"/>
      <c r="EO991" s="124"/>
      <c r="EP991" s="124"/>
      <c r="EQ991" s="124"/>
      <c r="ER991" s="124"/>
      <c r="ES991" s="124"/>
      <c r="ET991" s="124"/>
      <c r="EU991" s="124"/>
      <c r="EV991" s="124"/>
      <c r="EW991" s="124"/>
      <c r="EX991" s="124"/>
      <c r="EY991" s="124"/>
      <c r="EZ991" s="124"/>
      <c r="FA991" s="124"/>
      <c r="FB991" s="124"/>
      <c r="FC991" s="124"/>
      <c r="FD991" s="124"/>
      <c r="FE991" s="124"/>
      <c r="FF991" s="124"/>
      <c r="FG991" s="124"/>
      <c r="FH991" s="124"/>
      <c r="FI991" s="124"/>
      <c r="FJ991" s="124"/>
      <c r="FK991" s="124"/>
      <c r="FL991" s="124"/>
      <c r="FM991" s="124"/>
      <c r="FN991" s="124"/>
      <c r="FO991" s="124"/>
      <c r="FP991" s="124"/>
      <c r="FQ991" s="124"/>
      <c r="FR991" s="124"/>
      <c r="FS991" s="124"/>
      <c r="FT991" s="124"/>
      <c r="FU991" s="124"/>
      <c r="FV991" s="124"/>
      <c r="FW991" s="124"/>
      <c r="FX991" s="124"/>
      <c r="FY991" s="124"/>
      <c r="FZ991" s="124"/>
      <c r="GA991" s="124"/>
      <c r="GB991" s="124"/>
      <c r="GC991" s="124"/>
      <c r="GD991" s="124"/>
      <c r="GE991" s="124"/>
      <c r="GF991" s="124"/>
      <c r="GG991" s="124"/>
      <c r="GH991" s="124"/>
      <c r="GI991" s="124"/>
      <c r="GJ991" s="124"/>
      <c r="GK991" s="124"/>
      <c r="GL991" s="124"/>
      <c r="GM991" s="124"/>
      <c r="GN991" s="124"/>
      <c r="GO991" s="124"/>
      <c r="GP991" s="124"/>
      <c r="GQ991" s="124"/>
      <c r="GR991" s="124"/>
      <c r="GS991" s="124"/>
      <c r="GT991" s="124"/>
      <c r="GU991" s="124"/>
      <c r="GV991" s="124"/>
      <c r="GW991" s="124"/>
      <c r="GX991" s="124"/>
      <c r="GY991" s="124"/>
      <c r="GZ991" s="124"/>
      <c r="HA991" s="124"/>
      <c r="HB991" s="124"/>
      <c r="HC991" s="124"/>
      <c r="HD991" s="124"/>
      <c r="HE991" s="124"/>
      <c r="HF991" s="124"/>
      <c r="HG991" s="124"/>
      <c r="HH991" s="124"/>
      <c r="HI991" s="124"/>
      <c r="HJ991" s="124"/>
      <c r="HK991" s="124"/>
      <c r="HL991" s="124"/>
      <c r="HM991" s="124"/>
      <c r="HN991" s="124"/>
      <c r="HO991" s="124"/>
      <c r="HP991" s="124"/>
      <c r="HQ991" s="124"/>
      <c r="HR991" s="124"/>
      <c r="HS991" s="124"/>
      <c r="HT991" s="124"/>
      <c r="HU991" s="124"/>
      <c r="HV991" s="124"/>
      <c r="HW991" s="124"/>
      <c r="HX991" s="124"/>
      <c r="HY991" s="124"/>
      <c r="HZ991" s="124"/>
      <c r="IA991" s="124"/>
      <c r="IB991" s="124"/>
      <c r="IC991" s="124"/>
      <c r="ID991" s="124"/>
      <c r="IE991" s="124"/>
      <c r="IF991" s="124"/>
      <c r="IG991" s="124"/>
      <c r="IH991" s="124"/>
      <c r="II991" s="124"/>
      <c r="IJ991" s="124"/>
      <c r="IK991" s="124"/>
      <c r="IL991" s="124"/>
      <c r="IM991" s="124"/>
      <c r="IN991" s="124"/>
      <c r="IO991" s="124"/>
      <c r="IP991" s="124"/>
      <c r="IQ991" s="124"/>
      <c r="IR991" s="124"/>
      <c r="IS991" s="124"/>
      <c r="IT991" s="124"/>
      <c r="IU991" s="124"/>
      <c r="IV991" s="124"/>
      <c r="IW991" s="124"/>
      <c r="IX991" s="124"/>
      <c r="IY991" s="124"/>
      <c r="IZ991" s="124"/>
      <c r="JA991" s="124"/>
      <c r="JB991" s="124"/>
      <c r="JC991" s="124"/>
      <c r="JD991" s="124"/>
      <c r="JE991" s="124"/>
      <c r="JF991" s="124"/>
      <c r="JG991" s="124"/>
      <c r="JH991" s="124"/>
      <c r="JI991" s="124"/>
      <c r="JJ991" s="124"/>
      <c r="JK991" s="124"/>
      <c r="JL991" s="124"/>
      <c r="JM991" s="124"/>
      <c r="JN991" s="124"/>
      <c r="JO991" s="124"/>
      <c r="JP991" s="124"/>
      <c r="JQ991" s="124"/>
      <c r="JR991" s="124"/>
      <c r="JS991" s="124"/>
      <c r="JT991" s="124"/>
      <c r="JU991" s="124"/>
      <c r="JV991" s="124"/>
      <c r="JW991" s="124"/>
      <c r="JX991" s="124"/>
      <c r="JY991" s="124"/>
      <c r="JZ991" s="124"/>
      <c r="KA991" s="124"/>
      <c r="KB991" s="124"/>
      <c r="KC991" s="124"/>
      <c r="KD991" s="124"/>
      <c r="KE991" s="124"/>
      <c r="KF991" s="124"/>
      <c r="KG991" s="124"/>
      <c r="KH991" s="124"/>
      <c r="KI991" s="124"/>
      <c r="KJ991" s="124"/>
      <c r="KK991" s="124"/>
      <c r="KL991" s="124"/>
      <c r="KM991" s="124"/>
      <c r="KN991" s="124"/>
      <c r="KO991" s="124"/>
      <c r="KP991" s="124"/>
      <c r="KQ991" s="124"/>
      <c r="KR991" s="124"/>
      <c r="KS991" s="124"/>
      <c r="KT991" s="124"/>
      <c r="KU991" s="124"/>
      <c r="KV991" s="124"/>
      <c r="KW991" s="124"/>
      <c r="KX991" s="124"/>
      <c r="KY991" s="124"/>
      <c r="KZ991" s="124"/>
      <c r="LA991" s="124"/>
      <c r="LB991" s="124"/>
      <c r="LC991" s="124"/>
      <c r="LD991" s="124"/>
      <c r="LE991" s="124"/>
      <c r="LF991" s="124"/>
      <c r="LG991" s="124"/>
      <c r="LH991" s="124"/>
      <c r="LI991" s="124"/>
      <c r="LJ991" s="124"/>
      <c r="LK991" s="124"/>
      <c r="LL991" s="124"/>
      <c r="LM991" s="124"/>
      <c r="LN991" s="124"/>
      <c r="LO991" s="124"/>
      <c r="LP991" s="124"/>
      <c r="LQ991" s="124"/>
      <c r="LR991" s="124"/>
      <c r="LS991" s="124"/>
      <c r="LT991" s="124"/>
      <c r="LU991" s="124"/>
      <c r="LV991" s="124"/>
      <c r="LW991" s="124"/>
      <c r="LX991" s="124"/>
      <c r="LY991" s="124"/>
      <c r="LZ991" s="124"/>
      <c r="MA991" s="124"/>
      <c r="MB991" s="124"/>
      <c r="MC991" s="124"/>
      <c r="MD991" s="124"/>
      <c r="ME991" s="124"/>
      <c r="MF991" s="124"/>
      <c r="MG991" s="124"/>
      <c r="MH991" s="124"/>
      <c r="MI991" s="124"/>
      <c r="MJ991" s="124"/>
      <c r="MK991" s="124"/>
      <c r="ML991" s="124"/>
      <c r="MM991" s="124"/>
      <c r="MN991" s="124"/>
      <c r="MO991" s="124"/>
      <c r="MP991" s="124"/>
      <c r="MQ991" s="124"/>
      <c r="MR991" s="124"/>
      <c r="MS991" s="124"/>
      <c r="MT991" s="124"/>
      <c r="MU991" s="124"/>
      <c r="MV991" s="124"/>
      <c r="MW991" s="124"/>
      <c r="MX991" s="124"/>
      <c r="MY991" s="124"/>
      <c r="MZ991" s="124"/>
      <c r="NA991" s="124"/>
      <c r="NB991" s="124"/>
      <c r="NC991" s="124"/>
      <c r="ND991" s="124"/>
      <c r="NE991" s="124"/>
      <c r="NF991" s="124"/>
      <c r="NG991" s="124"/>
      <c r="NH991" s="124"/>
      <c r="NI991" s="124"/>
      <c r="NJ991" s="124"/>
      <c r="NK991" s="124"/>
      <c r="NL991" s="124"/>
      <c r="NM991" s="124"/>
      <c r="NN991" s="124"/>
      <c r="NO991" s="124"/>
      <c r="NP991" s="124"/>
      <c r="NQ991" s="124"/>
      <c r="NR991" s="124"/>
      <c r="NS991" s="124"/>
      <c r="NT991" s="124"/>
      <c r="NU991" s="124"/>
      <c r="NV991" s="124"/>
      <c r="NW991" s="124"/>
      <c r="NX991" s="124"/>
      <c r="NY991" s="124"/>
      <c r="NZ991" s="124"/>
      <c r="OA991" s="124"/>
      <c r="OB991" s="124"/>
      <c r="OC991" s="124"/>
      <c r="OD991" s="124"/>
      <c r="OE991" s="124"/>
      <c r="OF991" s="124"/>
      <c r="OG991" s="124"/>
      <c r="OH991" s="124"/>
      <c r="OI991" s="124"/>
      <c r="OJ991" s="124"/>
      <c r="OK991" s="124"/>
      <c r="OL991" s="124"/>
      <c r="OM991" s="124"/>
      <c r="ON991" s="124"/>
      <c r="OO991" s="124"/>
      <c r="OP991" s="124"/>
      <c r="OQ991" s="124"/>
      <c r="OR991" s="124"/>
      <c r="OS991" s="124"/>
      <c r="OT991" s="124"/>
      <c r="OU991" s="124"/>
      <c r="OV991" s="124"/>
      <c r="OW991" s="124"/>
      <c r="OX991" s="124"/>
      <c r="OY991" s="124"/>
      <c r="OZ991" s="124"/>
      <c r="PA991" s="124"/>
      <c r="PB991" s="124"/>
      <c r="PC991" s="124"/>
      <c r="PD991" s="124"/>
      <c r="PE991" s="124"/>
      <c r="PF991" s="124"/>
      <c r="PG991" s="124"/>
      <c r="PH991" s="124"/>
      <c r="PI991" s="124"/>
      <c r="PJ991" s="124"/>
      <c r="PK991" s="124"/>
      <c r="PL991" s="124"/>
      <c r="PM991" s="124"/>
      <c r="PN991" s="124"/>
      <c r="PO991" s="124"/>
      <c r="PP991" s="124"/>
      <c r="PQ991" s="124"/>
      <c r="PR991" s="124"/>
      <c r="PS991" s="124"/>
      <c r="PT991" s="124"/>
      <c r="PU991" s="124"/>
      <c r="PV991" s="124"/>
      <c r="PW991" s="124"/>
      <c r="PX991" s="124"/>
      <c r="PY991" s="124"/>
      <c r="PZ991" s="124"/>
      <c r="QA991" s="124"/>
      <c r="QB991" s="124"/>
      <c r="QC991" s="124"/>
      <c r="QD991" s="124"/>
      <c r="QE991" s="124"/>
      <c r="QF991" s="124"/>
      <c r="QG991" s="124"/>
      <c r="QH991" s="124"/>
      <c r="QI991" s="124"/>
      <c r="QJ991" s="124"/>
      <c r="QK991" s="124"/>
      <c r="QL991" s="124"/>
      <c r="QM991" s="124"/>
      <c r="QN991" s="124"/>
      <c r="QO991" s="124"/>
      <c r="QP991" s="124"/>
      <c r="QQ991" s="124"/>
      <c r="QR991" s="124"/>
      <c r="QS991" s="124"/>
      <c r="QT991" s="124"/>
      <c r="QU991" s="124"/>
      <c r="QV991" s="124"/>
      <c r="QW991" s="124"/>
      <c r="QX991" s="124"/>
      <c r="QY991" s="124"/>
      <c r="QZ991" s="124"/>
      <c r="RA991" s="124"/>
      <c r="RB991" s="124"/>
      <c r="RC991" s="124"/>
      <c r="RD991" s="124"/>
      <c r="RE991" s="124"/>
      <c r="RF991" s="124"/>
      <c r="RG991" s="124"/>
      <c r="RH991" s="124"/>
      <c r="RI991" s="124"/>
      <c r="RJ991" s="124"/>
      <c r="RK991" s="124"/>
      <c r="RL991" s="124"/>
      <c r="RM991" s="124"/>
      <c r="RN991" s="124"/>
      <c r="RO991" s="124"/>
      <c r="RP991" s="124"/>
      <c r="RQ991" s="124"/>
      <c r="RR991" s="124"/>
      <c r="RS991" s="124"/>
      <c r="RT991" s="124"/>
      <c r="RU991" s="124"/>
      <c r="RV991" s="124"/>
      <c r="RW991" s="124"/>
      <c r="RX991" s="124"/>
      <c r="RY991" s="124"/>
      <c r="RZ991" s="124"/>
      <c r="SA991" s="124"/>
      <c r="SB991" s="124"/>
      <c r="SC991" s="124"/>
      <c r="SD991" s="124"/>
      <c r="SE991" s="124"/>
      <c r="SF991" s="124"/>
      <c r="SG991" s="124"/>
      <c r="SH991" s="124"/>
      <c r="SI991" s="124"/>
      <c r="SJ991" s="124"/>
      <c r="SK991" s="124"/>
      <c r="SL991" s="124"/>
      <c r="SM991" s="124"/>
      <c r="SN991" s="124"/>
      <c r="SO991" s="124"/>
      <c r="SP991" s="124"/>
      <c r="SQ991" s="124"/>
      <c r="SR991" s="124"/>
      <c r="SS991" s="124"/>
      <c r="ST991" s="124"/>
      <c r="SU991" s="124"/>
      <c r="SV991" s="124"/>
      <c r="SW991" s="124"/>
      <c r="SX991" s="124"/>
      <c r="SY991" s="124"/>
      <c r="SZ991" s="124"/>
      <c r="TA991" s="124"/>
      <c r="TB991" s="124"/>
      <c r="TC991" s="124"/>
      <c r="TD991" s="124"/>
      <c r="TE991" s="124"/>
      <c r="TF991" s="124"/>
      <c r="TG991" s="124"/>
      <c r="TH991" s="124"/>
      <c r="TI991" s="124"/>
      <c r="TJ991" s="124"/>
      <c r="TK991" s="124"/>
      <c r="TL991" s="124"/>
      <c r="TM991" s="124"/>
      <c r="TN991" s="124"/>
      <c r="TO991" s="124"/>
      <c r="TP991" s="124"/>
      <c r="TQ991" s="124"/>
      <c r="TR991" s="124"/>
      <c r="TS991" s="124"/>
      <c r="TT991" s="124"/>
      <c r="TU991" s="124"/>
      <c r="TV991" s="124"/>
      <c r="TW991" s="124"/>
      <c r="TX991" s="124"/>
      <c r="TY991" s="124"/>
      <c r="TZ991" s="124"/>
      <c r="UA991" s="124"/>
      <c r="UB991" s="124"/>
      <c r="UC991" s="124"/>
      <c r="UD991" s="124"/>
      <c r="UE991" s="124"/>
      <c r="UF991" s="124"/>
      <c r="UG991" s="124"/>
      <c r="UH991" s="124"/>
      <c r="UI991" s="124"/>
      <c r="UJ991" s="124"/>
      <c r="UK991" s="124"/>
      <c r="UL991" s="124"/>
      <c r="UM991" s="124"/>
      <c r="UN991" s="124"/>
      <c r="UO991" s="124"/>
      <c r="UP991" s="124"/>
      <c r="UQ991" s="124"/>
      <c r="UR991" s="124"/>
      <c r="US991" s="124"/>
      <c r="UT991" s="124"/>
      <c r="UU991" s="124"/>
      <c r="UV991" s="124"/>
      <c r="UW991" s="124"/>
      <c r="UX991" s="124"/>
      <c r="UY991" s="124"/>
      <c r="UZ991" s="124"/>
      <c r="VA991" s="124"/>
      <c r="VB991" s="124"/>
      <c r="VC991" s="124"/>
      <c r="VD991" s="124"/>
      <c r="VE991" s="124"/>
      <c r="VF991" s="124"/>
      <c r="VG991" s="124"/>
      <c r="VH991" s="124"/>
      <c r="VI991" s="124"/>
      <c r="VJ991" s="124"/>
      <c r="VK991" s="124"/>
      <c r="VL991" s="124"/>
      <c r="VM991" s="124"/>
      <c r="VN991" s="124"/>
      <c r="VO991" s="124"/>
      <c r="VP991" s="124"/>
      <c r="VQ991" s="124"/>
      <c r="VR991" s="124"/>
      <c r="VS991" s="124"/>
      <c r="VT991" s="124"/>
      <c r="VU991" s="124"/>
      <c r="VV991" s="124"/>
      <c r="VW991" s="124"/>
      <c r="VX991" s="124"/>
      <c r="VY991" s="124"/>
      <c r="VZ991" s="124"/>
      <c r="WA991" s="124"/>
      <c r="WB991" s="124"/>
      <c r="WC991" s="124"/>
      <c r="WD991" s="124"/>
      <c r="WE991" s="124"/>
      <c r="WF991" s="124"/>
      <c r="WG991" s="124"/>
      <c r="WH991" s="124"/>
      <c r="WI991" s="124"/>
      <c r="WJ991" s="124"/>
      <c r="WK991" s="124"/>
      <c r="WL991" s="124"/>
      <c r="WM991" s="124"/>
      <c r="WN991" s="124"/>
      <c r="WO991" s="124"/>
      <c r="WP991" s="124"/>
      <c r="WQ991" s="124"/>
      <c r="WR991" s="124"/>
      <c r="WS991" s="124"/>
      <c r="WT991" s="124"/>
      <c r="WU991" s="124"/>
      <c r="WV991" s="124"/>
      <c r="WW991" s="124"/>
      <c r="WX991" s="124"/>
      <c r="WY991" s="124"/>
      <c r="WZ991" s="124"/>
      <c r="XA991" s="124"/>
      <c r="XB991" s="124"/>
      <c r="XC991" s="124"/>
      <c r="XD991" s="124"/>
      <c r="XE991" s="124"/>
      <c r="XF991" s="124"/>
      <c r="XG991" s="124"/>
      <c r="XH991" s="124"/>
      <c r="XI991" s="124"/>
      <c r="XJ991" s="124"/>
      <c r="XK991" s="124"/>
      <c r="XL991" s="124"/>
      <c r="XM991" s="124"/>
      <c r="XN991" s="124"/>
      <c r="XO991" s="124"/>
      <c r="XP991" s="124"/>
      <c r="XQ991" s="124"/>
      <c r="XR991" s="124"/>
      <c r="XS991" s="124"/>
      <c r="XT991" s="124"/>
      <c r="XU991" s="124"/>
      <c r="XV991" s="124"/>
      <c r="XW991" s="124"/>
      <c r="XX991" s="124"/>
      <c r="XY991" s="124"/>
      <c r="XZ991" s="124"/>
      <c r="YA991" s="124"/>
      <c r="YB991" s="124"/>
      <c r="YC991" s="124"/>
      <c r="YD991" s="124"/>
      <c r="YE991" s="124"/>
      <c r="YF991" s="124"/>
      <c r="YG991" s="124"/>
      <c r="YH991" s="124"/>
      <c r="YI991" s="124"/>
      <c r="YJ991" s="124"/>
      <c r="YK991" s="124"/>
      <c r="YL991" s="124"/>
      <c r="YM991" s="124"/>
      <c r="YN991" s="124"/>
      <c r="YO991" s="124"/>
      <c r="YP991" s="124"/>
      <c r="YQ991" s="124"/>
      <c r="YR991" s="124"/>
      <c r="YS991" s="124"/>
      <c r="YT991" s="124"/>
      <c r="YU991" s="124"/>
      <c r="YV991" s="124"/>
      <c r="YW991" s="124"/>
      <c r="YX991" s="124"/>
      <c r="YY991" s="124"/>
      <c r="YZ991" s="124"/>
      <c r="ZA991" s="124"/>
      <c r="ZB991" s="124"/>
      <c r="ZC991" s="124"/>
      <c r="ZD991" s="124"/>
      <c r="ZE991" s="124"/>
      <c r="ZF991" s="124"/>
      <c r="ZG991" s="124"/>
      <c r="ZH991" s="124"/>
      <c r="ZI991" s="124"/>
      <c r="ZJ991" s="124"/>
      <c r="ZK991" s="124"/>
      <c r="ZL991" s="124"/>
      <c r="ZM991" s="124"/>
      <c r="ZN991" s="124"/>
      <c r="ZO991" s="124"/>
      <c r="ZP991" s="124"/>
      <c r="ZQ991" s="124"/>
      <c r="ZR991" s="124"/>
      <c r="ZS991" s="124"/>
      <c r="ZT991" s="124"/>
      <c r="ZU991" s="124"/>
      <c r="ZV991" s="124"/>
      <c r="ZW991" s="124"/>
      <c r="ZX991" s="124"/>
      <c r="ZY991" s="124"/>
      <c r="ZZ991" s="124"/>
      <c r="AAA991" s="124"/>
      <c r="AAB991" s="124"/>
      <c r="AAC991" s="124"/>
      <c r="AAD991" s="124"/>
      <c r="AAE991" s="124"/>
      <c r="AAF991" s="124"/>
      <c r="AAG991" s="124"/>
      <c r="AAH991" s="124"/>
      <c r="AAI991" s="124"/>
      <c r="AAJ991" s="124"/>
      <c r="AAK991" s="124"/>
      <c r="AAL991" s="124"/>
      <c r="AAM991" s="124"/>
      <c r="AAN991" s="124"/>
      <c r="AAO991" s="124"/>
      <c r="AAP991" s="124"/>
      <c r="AAQ991" s="124"/>
      <c r="AAR991" s="124"/>
      <c r="AAS991" s="124"/>
      <c r="AAT991" s="124"/>
      <c r="AAU991" s="124"/>
      <c r="AAV991" s="124"/>
      <c r="AAW991" s="124"/>
      <c r="AAX991" s="124"/>
      <c r="AAY991" s="124"/>
      <c r="AAZ991" s="124"/>
      <c r="ABA991" s="124"/>
      <c r="ABB991" s="124"/>
      <c r="ABC991" s="124"/>
      <c r="ABD991" s="124"/>
      <c r="ABE991" s="124"/>
      <c r="ABF991" s="124"/>
      <c r="ABG991" s="124"/>
      <c r="ABH991" s="124"/>
      <c r="ABI991" s="124"/>
      <c r="ABJ991" s="124"/>
      <c r="ABK991" s="124"/>
      <c r="ABL991" s="124"/>
      <c r="ABM991" s="124"/>
      <c r="ABN991" s="124"/>
      <c r="ABO991" s="124"/>
      <c r="ABP991" s="124"/>
      <c r="ABQ991" s="124"/>
      <c r="ABR991" s="124"/>
      <c r="ABS991" s="124"/>
      <c r="ABT991" s="124"/>
      <c r="ABU991" s="124"/>
      <c r="ABV991" s="124"/>
      <c r="ABW991" s="124"/>
      <c r="ABX991" s="124"/>
      <c r="ABY991" s="124"/>
      <c r="ABZ991" s="124"/>
      <c r="ACA991" s="124"/>
      <c r="ACB991" s="124"/>
      <c r="ACC991" s="124"/>
      <c r="ACD991" s="124"/>
      <c r="ACE991" s="124"/>
      <c r="ACF991" s="124"/>
      <c r="ACG991" s="124"/>
      <c r="ACH991" s="124"/>
      <c r="ACI991" s="124"/>
      <c r="ACJ991" s="124"/>
      <c r="ACK991" s="124"/>
      <c r="ACL991" s="124"/>
      <c r="ACM991" s="124"/>
      <c r="ACN991" s="124"/>
      <c r="ACO991" s="124"/>
      <c r="ACP991" s="124"/>
      <c r="ACQ991" s="124"/>
      <c r="ACR991" s="124"/>
      <c r="ACS991" s="124"/>
      <c r="ACT991" s="124"/>
      <c r="ACU991" s="124"/>
      <c r="ACV991" s="124"/>
      <c r="ACW991" s="124"/>
      <c r="ACX991" s="124"/>
      <c r="ACY991" s="124"/>
      <c r="ACZ991" s="124"/>
      <c r="ADA991" s="124"/>
      <c r="ADB991" s="124"/>
      <c r="ADC991" s="124"/>
      <c r="ADD991" s="124"/>
      <c r="ADE991" s="124"/>
      <c r="ADF991" s="124"/>
      <c r="ADG991" s="124"/>
      <c r="ADH991" s="124"/>
      <c r="ADI991" s="124"/>
      <c r="ADJ991" s="124"/>
      <c r="ADK991" s="124"/>
      <c r="ADL991" s="124"/>
      <c r="ADM991" s="124"/>
      <c r="ADN991" s="124"/>
      <c r="ADO991" s="124"/>
      <c r="ADP991" s="124"/>
      <c r="ADQ991" s="124"/>
      <c r="ADR991" s="124"/>
      <c r="ADS991" s="124"/>
      <c r="ADT991" s="124"/>
      <c r="ADU991" s="124"/>
      <c r="ADV991" s="124"/>
      <c r="ADW991" s="124"/>
      <c r="ADX991" s="124"/>
      <c r="ADY991" s="124"/>
      <c r="ADZ991" s="124"/>
      <c r="AEA991" s="124"/>
      <c r="AEB991" s="124"/>
      <c r="AEC991" s="124"/>
      <c r="AED991" s="124"/>
      <c r="AEE991" s="124"/>
      <c r="AEF991" s="124"/>
      <c r="AEG991" s="124"/>
      <c r="AEH991" s="124"/>
      <c r="AEI991" s="124"/>
      <c r="AEJ991" s="124"/>
      <c r="AEK991" s="124"/>
      <c r="AEL991" s="124"/>
      <c r="AEM991" s="124"/>
      <c r="AEN991" s="124"/>
      <c r="AEO991" s="124"/>
      <c r="AEP991" s="124"/>
      <c r="AEQ991" s="124"/>
      <c r="AER991" s="124"/>
      <c r="AES991" s="124"/>
      <c r="AET991" s="124"/>
      <c r="AEU991" s="124"/>
      <c r="AEV991" s="124"/>
      <c r="AEW991" s="124"/>
      <c r="AEX991" s="124"/>
      <c r="AEY991" s="124"/>
      <c r="AEZ991" s="124"/>
      <c r="AFA991" s="124"/>
      <c r="AFB991" s="124"/>
      <c r="AFC991" s="124"/>
      <c r="AFD991" s="124"/>
      <c r="AFE991" s="124"/>
      <c r="AFF991" s="124"/>
      <c r="AFG991" s="124"/>
      <c r="AFH991" s="124"/>
      <c r="AFI991" s="124"/>
      <c r="AFJ991" s="124"/>
      <c r="AFK991" s="124"/>
      <c r="AFL991" s="124"/>
      <c r="AFM991" s="124"/>
      <c r="AFN991" s="124"/>
      <c r="AFO991" s="124"/>
      <c r="AFP991" s="124"/>
      <c r="AFQ991" s="124"/>
      <c r="AFR991" s="124"/>
      <c r="AFS991" s="124"/>
      <c r="AFT991" s="124"/>
      <c r="AFU991" s="124"/>
      <c r="AFV991" s="124"/>
      <c r="AFW991" s="124"/>
      <c r="AFX991" s="124"/>
      <c r="AFY991" s="124"/>
      <c r="AFZ991" s="124"/>
      <c r="AGA991" s="124"/>
      <c r="AGB991" s="124"/>
      <c r="AGC991" s="124"/>
      <c r="AGD991" s="124"/>
      <c r="AGE991" s="124"/>
      <c r="AGF991" s="124"/>
      <c r="AGG991" s="124"/>
      <c r="AGH991" s="124"/>
      <c r="AGI991" s="124"/>
      <c r="AGJ991" s="124"/>
      <c r="AGK991" s="124"/>
      <c r="AGL991" s="124"/>
      <c r="AGM991" s="124"/>
      <c r="AGN991" s="124"/>
      <c r="AGO991" s="124"/>
      <c r="AGP991" s="124"/>
      <c r="AGQ991" s="124"/>
      <c r="AGR991" s="124"/>
      <c r="AGS991" s="124"/>
      <c r="AGT991" s="124"/>
      <c r="AGU991" s="124"/>
      <c r="AGV991" s="124"/>
      <c r="AGW991" s="124"/>
      <c r="AGX991" s="124"/>
      <c r="AGY991" s="124"/>
      <c r="AGZ991" s="124"/>
      <c r="AHA991" s="124"/>
      <c r="AHB991" s="124"/>
      <c r="AHC991" s="124"/>
      <c r="AHD991" s="124"/>
      <c r="AHE991" s="124"/>
      <c r="AHF991" s="124"/>
      <c r="AHG991" s="124"/>
      <c r="AHH991" s="124"/>
      <c r="AHI991" s="124"/>
      <c r="AHJ991" s="124"/>
      <c r="AHK991" s="124"/>
      <c r="AHL991" s="124"/>
      <c r="AHM991" s="124"/>
      <c r="AHN991" s="124"/>
      <c r="AHO991" s="124"/>
      <c r="AHP991" s="124"/>
      <c r="AHQ991" s="124"/>
      <c r="AHR991" s="124"/>
      <c r="AHS991" s="124"/>
      <c r="AHT991" s="124"/>
      <c r="AHU991" s="124"/>
      <c r="AHV991" s="124"/>
      <c r="AHW991" s="124"/>
      <c r="AHX991" s="124"/>
      <c r="AHY991" s="124"/>
      <c r="AHZ991" s="124"/>
      <c r="AIA991" s="124"/>
      <c r="AIB991" s="124"/>
      <c r="AIC991" s="124"/>
      <c r="AID991" s="124"/>
      <c r="AIE991" s="124"/>
      <c r="AIF991" s="124"/>
      <c r="AIG991" s="124"/>
      <c r="AIH991" s="124"/>
      <c r="AII991" s="124"/>
      <c r="AIJ991" s="124"/>
      <c r="AIK991" s="124"/>
      <c r="AIL991" s="124"/>
      <c r="AIM991" s="124"/>
      <c r="AIN991" s="124"/>
      <c r="AIO991" s="124"/>
      <c r="AIP991" s="124"/>
      <c r="AIQ991" s="124"/>
      <c r="AIR991" s="124"/>
      <c r="AIS991" s="124"/>
      <c r="AIT991" s="124"/>
      <c r="AIU991" s="124"/>
      <c r="AIV991" s="124"/>
      <c r="AIW991" s="124"/>
      <c r="AIX991" s="124"/>
      <c r="AIY991" s="124"/>
      <c r="AIZ991" s="124"/>
      <c r="AJA991" s="124"/>
      <c r="AJB991" s="124"/>
      <c r="AJC991" s="124"/>
      <c r="AJD991" s="124"/>
      <c r="AJE991" s="124"/>
      <c r="AJF991" s="124"/>
      <c r="AJG991" s="124"/>
      <c r="AJH991" s="124"/>
      <c r="AJI991" s="124"/>
      <c r="AJJ991" s="124"/>
      <c r="AJK991" s="124"/>
      <c r="AJL991" s="124"/>
      <c r="AJM991" s="124"/>
      <c r="AJN991" s="124"/>
      <c r="AJO991" s="124"/>
      <c r="AJP991" s="124"/>
      <c r="AJQ991" s="124"/>
      <c r="AJR991" s="124"/>
      <c r="AJS991" s="124"/>
      <c r="AJT991" s="124"/>
      <c r="AJU991" s="124"/>
      <c r="AJV991" s="124"/>
      <c r="AJW991" s="124"/>
      <c r="AJX991" s="124"/>
      <c r="AJY991" s="124"/>
      <c r="AJZ991" s="124"/>
      <c r="AKA991" s="124"/>
      <c r="AKB991" s="124"/>
      <c r="AKC991" s="124"/>
      <c r="AKD991" s="124"/>
      <c r="AKE991" s="124"/>
      <c r="AKF991" s="124"/>
      <c r="AKG991" s="124"/>
      <c r="AKH991" s="124"/>
      <c r="AKI991" s="124"/>
      <c r="AKJ991" s="124"/>
      <c r="AKK991" s="124"/>
      <c r="AKL991" s="124"/>
      <c r="AKM991" s="124"/>
      <c r="AKN991" s="124"/>
      <c r="AKO991" s="124"/>
      <c r="AKP991" s="124"/>
      <c r="AKQ991" s="124"/>
      <c r="AKR991" s="124"/>
      <c r="AKS991" s="124"/>
      <c r="AKT991" s="124"/>
      <c r="AKU991" s="124"/>
      <c r="AKV991" s="124"/>
      <c r="AKW991" s="124"/>
      <c r="AKX991" s="124"/>
      <c r="AKY991" s="124"/>
      <c r="AKZ991" s="124"/>
      <c r="ALA991" s="124"/>
      <c r="ALB991" s="124"/>
      <c r="ALC991" s="124"/>
      <c r="ALD991" s="124"/>
      <c r="ALE991" s="124"/>
      <c r="ALF991" s="124"/>
      <c r="ALG991" s="124"/>
      <c r="ALH991" s="124"/>
      <c r="ALI991" s="124"/>
      <c r="ALJ991" s="124"/>
      <c r="ALK991" s="124"/>
      <c r="ALL991" s="124"/>
      <c r="ALM991" s="124"/>
      <c r="ALN991" s="124"/>
      <c r="ALO991" s="124"/>
      <c r="ALP991" s="124"/>
      <c r="ALQ991" s="124"/>
      <c r="ALR991" s="124"/>
      <c r="ALS991" s="124"/>
      <c r="ALT991" s="124"/>
      <c r="ALU991" s="124"/>
      <c r="ALV991" s="124"/>
      <c r="ALW991" s="124"/>
      <c r="ALX991" s="124"/>
      <c r="ALY991" s="124"/>
      <c r="ALZ991" s="124"/>
      <c r="AMA991" s="124"/>
      <c r="AMB991" s="124"/>
      <c r="AMC991" s="124"/>
      <c r="AMD991" s="124"/>
      <c r="AME991" s="124"/>
      <c r="AMF991" s="124"/>
      <c r="AMG991" s="124"/>
      <c r="AMH991" s="124"/>
      <c r="AMI991" s="124"/>
      <c r="AMJ991" s="124"/>
      <c r="AMK991" s="124"/>
      <c r="AML991" s="124"/>
      <c r="AMM991" s="124"/>
      <c r="AMN991" s="124"/>
      <c r="AMO991" s="124"/>
      <c r="AMP991" s="124"/>
      <c r="AMQ991" s="124"/>
      <c r="AMR991" s="124"/>
      <c r="AMS991" s="124"/>
      <c r="AMT991" s="124"/>
      <c r="AMU991" s="124"/>
      <c r="AMV991" s="124"/>
      <c r="AMW991" s="124"/>
      <c r="AMX991" s="124"/>
      <c r="AMY991" s="124"/>
      <c r="AMZ991" s="124"/>
      <c r="ANA991" s="124"/>
      <c r="ANB991" s="124"/>
      <c r="ANC991" s="124"/>
      <c r="AND991" s="124"/>
      <c r="ANE991" s="124"/>
      <c r="ANF991" s="124"/>
      <c r="ANG991" s="124"/>
      <c r="ANH991" s="124"/>
      <c r="ANI991" s="124"/>
      <c r="ANJ991" s="124"/>
      <c r="ANK991" s="124"/>
      <c r="ANL991" s="124"/>
      <c r="ANM991" s="124"/>
      <c r="ANN991" s="124"/>
      <c r="ANO991" s="124"/>
      <c r="ANP991" s="124"/>
      <c r="ANQ991" s="124"/>
      <c r="ANR991" s="124"/>
      <c r="ANS991" s="124"/>
      <c r="ANT991" s="124"/>
      <c r="ANU991" s="124"/>
      <c r="ANV991" s="124"/>
      <c r="ANW991" s="124"/>
      <c r="ANX991" s="124"/>
      <c r="ANY991" s="124"/>
      <c r="ANZ991" s="124"/>
      <c r="AOA991" s="124"/>
      <c r="AOB991" s="124"/>
      <c r="AOC991" s="124"/>
      <c r="AOD991" s="124"/>
      <c r="AOE991" s="124"/>
      <c r="AOF991" s="124"/>
      <c r="AOG991" s="124"/>
      <c r="AOH991" s="124"/>
      <c r="AOI991" s="124"/>
      <c r="AOJ991" s="124"/>
      <c r="AOK991" s="124"/>
      <c r="AOL991" s="124"/>
      <c r="AOM991" s="124"/>
      <c r="AON991" s="124"/>
      <c r="AOO991" s="124"/>
      <c r="AOP991" s="124"/>
      <c r="AOQ991" s="124"/>
      <c r="AOR991" s="124"/>
      <c r="AOS991" s="124"/>
      <c r="AOT991" s="124"/>
      <c r="AOU991" s="124"/>
      <c r="AOV991" s="124"/>
      <c r="AOW991" s="124"/>
      <c r="AOX991" s="124"/>
      <c r="AOY991" s="124"/>
      <c r="AOZ991" s="124"/>
      <c r="APA991" s="124"/>
      <c r="APB991" s="124"/>
      <c r="APC991" s="124"/>
      <c r="APD991" s="124"/>
      <c r="APE991" s="124"/>
      <c r="APF991" s="124"/>
      <c r="APG991" s="124"/>
      <c r="APH991" s="124"/>
      <c r="API991" s="124"/>
      <c r="APJ991" s="124"/>
      <c r="APK991" s="124"/>
      <c r="APL991" s="124"/>
      <c r="APM991" s="124"/>
      <c r="APN991" s="124"/>
      <c r="APO991" s="124"/>
      <c r="APP991" s="124"/>
      <c r="APQ991" s="124"/>
      <c r="APR991" s="124"/>
      <c r="APS991" s="124"/>
      <c r="APT991" s="124"/>
      <c r="APU991" s="124"/>
      <c r="APV991" s="124"/>
      <c r="APW991" s="124"/>
      <c r="APX991" s="124"/>
      <c r="APY991" s="124"/>
      <c r="APZ991" s="124"/>
      <c r="AQA991" s="124"/>
      <c r="AQB991" s="124"/>
      <c r="AQC991" s="124"/>
      <c r="AQD991" s="124"/>
      <c r="AQE991" s="124"/>
      <c r="AQF991" s="124"/>
      <c r="AQG991" s="124"/>
      <c r="AQH991" s="124"/>
      <c r="AQI991" s="124"/>
      <c r="AQJ991" s="124"/>
      <c r="AQK991" s="124"/>
      <c r="AQL991" s="124"/>
      <c r="AQM991" s="124"/>
      <c r="AQN991" s="124"/>
      <c r="AQO991" s="124"/>
      <c r="AQP991" s="124"/>
      <c r="AQQ991" s="124"/>
      <c r="AQR991" s="124"/>
      <c r="AQS991" s="124"/>
      <c r="AQT991" s="124"/>
      <c r="AQU991" s="124"/>
      <c r="AQV991" s="124"/>
      <c r="AQW991" s="124"/>
      <c r="AQX991" s="124"/>
      <c r="AQY991" s="124"/>
      <c r="AQZ991" s="124"/>
      <c r="ARA991" s="124"/>
      <c r="ARB991" s="124"/>
      <c r="ARC991" s="124"/>
      <c r="ARD991" s="124"/>
      <c r="ARE991" s="124"/>
      <c r="ARF991" s="124"/>
      <c r="ARG991" s="124"/>
      <c r="ARH991" s="124"/>
      <c r="ARI991" s="124"/>
      <c r="ARJ991" s="124"/>
      <c r="ARK991" s="124"/>
      <c r="ARL991" s="124"/>
      <c r="ARM991" s="124"/>
      <c r="ARN991" s="124"/>
      <c r="ARO991" s="124"/>
      <c r="ARP991" s="124"/>
      <c r="ARQ991" s="124"/>
      <c r="ARR991" s="124"/>
      <c r="ARS991" s="124"/>
      <c r="ART991" s="124"/>
      <c r="ARU991" s="124"/>
      <c r="ARV991" s="124"/>
      <c r="ARW991" s="124"/>
      <c r="ARX991" s="124"/>
      <c r="ARY991" s="124"/>
      <c r="ARZ991" s="124"/>
      <c r="ASA991" s="124"/>
      <c r="ASB991" s="124"/>
      <c r="ASC991" s="124"/>
      <c r="ASD991" s="124"/>
      <c r="ASE991" s="124"/>
      <c r="ASF991" s="124"/>
      <c r="ASG991" s="124"/>
      <c r="ASH991" s="124"/>
      <c r="ASI991" s="124"/>
      <c r="ASJ991" s="124"/>
      <c r="ASK991" s="124"/>
      <c r="ASL991" s="124"/>
      <c r="ASM991" s="124"/>
      <c r="ASN991" s="124"/>
      <c r="ASO991" s="124"/>
      <c r="ASP991" s="124"/>
      <c r="ASQ991" s="124"/>
      <c r="ASR991" s="124"/>
      <c r="ASS991" s="124"/>
      <c r="AST991" s="124"/>
      <c r="ASU991" s="124"/>
      <c r="ASV991" s="124"/>
      <c r="ASW991" s="124"/>
      <c r="ASX991" s="124"/>
      <c r="ASY991" s="124"/>
      <c r="ASZ991" s="124"/>
      <c r="ATA991" s="124"/>
      <c r="ATB991" s="124"/>
      <c r="ATC991" s="124"/>
      <c r="ATD991" s="124"/>
      <c r="ATE991" s="124"/>
      <c r="ATF991" s="124"/>
      <c r="ATG991" s="124"/>
      <c r="ATH991" s="124"/>
      <c r="ATI991" s="124"/>
      <c r="ATJ991" s="124"/>
      <c r="ATK991" s="124"/>
      <c r="ATL991" s="124"/>
      <c r="ATM991" s="124"/>
      <c r="ATN991" s="124"/>
      <c r="ATO991" s="124"/>
      <c r="ATP991" s="124"/>
      <c r="ATQ991" s="124"/>
      <c r="ATR991" s="124"/>
      <c r="ATS991" s="124"/>
      <c r="ATT991" s="124"/>
      <c r="ATU991" s="124"/>
      <c r="ATV991" s="124"/>
      <c r="ATW991" s="124"/>
      <c r="ATX991" s="124"/>
      <c r="ATY991" s="124"/>
      <c r="ATZ991" s="124"/>
      <c r="AUA991" s="124"/>
      <c r="AUB991" s="124"/>
      <c r="AUC991" s="124"/>
      <c r="AUD991" s="124"/>
      <c r="AUE991" s="124"/>
      <c r="AUF991" s="124"/>
      <c r="AUG991" s="124"/>
      <c r="AUH991" s="124"/>
      <c r="AUI991" s="124"/>
      <c r="AUJ991" s="124"/>
      <c r="AUK991" s="124"/>
      <c r="AUL991" s="124"/>
      <c r="AUM991" s="124"/>
      <c r="AUN991" s="124"/>
      <c r="AUO991" s="124"/>
      <c r="AUP991" s="124"/>
      <c r="AUQ991" s="124"/>
      <c r="AUR991" s="124"/>
      <c r="AUS991" s="124"/>
      <c r="AUT991" s="124"/>
      <c r="AUU991" s="124"/>
      <c r="AUV991" s="124"/>
      <c r="AUW991" s="124"/>
      <c r="AUX991" s="124"/>
      <c r="AUY991" s="124"/>
      <c r="AUZ991" s="124"/>
      <c r="AVA991" s="124"/>
      <c r="AVB991" s="124"/>
      <c r="AVC991" s="124"/>
      <c r="AVD991" s="124"/>
      <c r="AVE991" s="124"/>
      <c r="AVF991" s="124"/>
      <c r="AVG991" s="124"/>
      <c r="AVH991" s="124"/>
      <c r="AVI991" s="124"/>
      <c r="AVJ991" s="124"/>
      <c r="AVK991" s="124"/>
      <c r="AVL991" s="124"/>
      <c r="AVM991" s="124"/>
      <c r="AVN991" s="124"/>
      <c r="AVO991" s="124"/>
      <c r="AVP991" s="124"/>
      <c r="AVQ991" s="124"/>
      <c r="AVR991" s="124"/>
      <c r="AVS991" s="124"/>
      <c r="AVT991" s="124"/>
      <c r="AVU991" s="124"/>
      <c r="AVV991" s="124"/>
      <c r="AVW991" s="124"/>
      <c r="AVX991" s="124"/>
      <c r="AVY991" s="124"/>
      <c r="AVZ991" s="124"/>
      <c r="AWA991" s="124"/>
      <c r="AWB991" s="124"/>
      <c r="AWC991" s="124"/>
      <c r="AWD991" s="124"/>
      <c r="AWE991" s="124"/>
      <c r="AWF991" s="124"/>
      <c r="AWG991" s="124"/>
      <c r="AWH991" s="124"/>
      <c r="AWI991" s="124"/>
      <c r="AWJ991" s="124"/>
      <c r="AWK991" s="124"/>
      <c r="AWL991" s="124"/>
      <c r="AWM991" s="124"/>
      <c r="AWN991" s="124"/>
      <c r="AWO991" s="124"/>
      <c r="AWP991" s="124"/>
      <c r="AWQ991" s="124"/>
      <c r="AWR991" s="124"/>
      <c r="AWS991" s="124"/>
      <c r="AWT991" s="124"/>
      <c r="AWU991" s="124"/>
      <c r="AWV991" s="124"/>
      <c r="AWW991" s="124"/>
      <c r="AWX991" s="124"/>
      <c r="AWY991" s="124"/>
      <c r="AWZ991" s="124"/>
      <c r="AXA991" s="124"/>
      <c r="AXB991" s="124"/>
      <c r="AXC991" s="124"/>
      <c r="AXD991" s="124"/>
      <c r="AXE991" s="124"/>
      <c r="AXF991" s="124"/>
      <c r="AXG991" s="124"/>
      <c r="AXH991" s="124"/>
      <c r="AXI991" s="124"/>
      <c r="AXJ991" s="124"/>
      <c r="AXK991" s="124"/>
      <c r="AXL991" s="124"/>
      <c r="AXM991" s="124"/>
      <c r="AXN991" s="124"/>
      <c r="AXO991" s="124"/>
      <c r="AXP991" s="124"/>
      <c r="AXQ991" s="124"/>
      <c r="AXR991" s="124"/>
      <c r="AXS991" s="124"/>
      <c r="AXT991" s="124"/>
      <c r="AXU991" s="124"/>
      <c r="AXV991" s="124"/>
      <c r="AXW991" s="124"/>
      <c r="AXX991" s="124"/>
      <c r="AXY991" s="124"/>
      <c r="AXZ991" s="124"/>
      <c r="AYA991" s="124"/>
      <c r="AYB991" s="124"/>
      <c r="AYC991" s="124"/>
      <c r="AYD991" s="124"/>
      <c r="AYE991" s="124"/>
      <c r="AYF991" s="124"/>
      <c r="AYG991" s="124"/>
      <c r="AYH991" s="124"/>
      <c r="AYI991" s="124"/>
      <c r="AYJ991" s="124"/>
      <c r="AYK991" s="124"/>
      <c r="AYL991" s="124"/>
      <c r="AYM991" s="124"/>
      <c r="AYN991" s="124"/>
      <c r="AYO991" s="124"/>
      <c r="AYP991" s="124"/>
      <c r="AYQ991" s="124"/>
      <c r="AYR991" s="124"/>
      <c r="AYS991" s="124"/>
      <c r="AYT991" s="124"/>
      <c r="AYU991" s="124"/>
      <c r="AYV991" s="124"/>
      <c r="AYW991" s="124"/>
      <c r="AYX991" s="124"/>
      <c r="AYY991" s="124"/>
      <c r="AYZ991" s="124"/>
      <c r="AZA991" s="124"/>
      <c r="AZB991" s="124"/>
      <c r="AZC991" s="124"/>
      <c r="AZD991" s="124"/>
      <c r="AZE991" s="124"/>
      <c r="AZF991" s="124"/>
      <c r="AZG991" s="124"/>
      <c r="AZH991" s="124"/>
      <c r="AZI991" s="124"/>
      <c r="AZJ991" s="124"/>
      <c r="AZK991" s="124"/>
      <c r="AZL991" s="124"/>
      <c r="AZM991" s="124"/>
      <c r="AZN991" s="124"/>
      <c r="AZO991" s="124"/>
      <c r="AZP991" s="124"/>
      <c r="AZQ991" s="124"/>
      <c r="AZR991" s="124"/>
      <c r="AZS991" s="124"/>
      <c r="AZT991" s="124"/>
      <c r="AZU991" s="124"/>
      <c r="AZV991" s="124"/>
      <c r="AZW991" s="124"/>
      <c r="AZX991" s="124"/>
      <c r="AZY991" s="124"/>
      <c r="AZZ991" s="124"/>
      <c r="BAA991" s="124"/>
      <c r="BAB991" s="124"/>
      <c r="BAC991" s="124"/>
      <c r="BAD991" s="124"/>
      <c r="BAE991" s="124"/>
      <c r="BAF991" s="124"/>
      <c r="BAG991" s="124"/>
      <c r="BAH991" s="124"/>
      <c r="BAI991" s="124"/>
      <c r="BAJ991" s="124"/>
      <c r="BAK991" s="124"/>
      <c r="BAL991" s="124"/>
      <c r="BAM991" s="124"/>
      <c r="BAN991" s="124"/>
      <c r="BAO991" s="124"/>
      <c r="BAP991" s="124"/>
      <c r="BAQ991" s="124"/>
      <c r="BAR991" s="124"/>
      <c r="BAS991" s="124"/>
      <c r="BAT991" s="124"/>
      <c r="BAU991" s="124"/>
      <c r="BAV991" s="124"/>
      <c r="BAW991" s="124"/>
      <c r="BAX991" s="124"/>
      <c r="BAY991" s="124"/>
      <c r="BAZ991" s="124"/>
      <c r="BBA991" s="124"/>
      <c r="BBB991" s="124"/>
      <c r="BBC991" s="124"/>
      <c r="BBD991" s="124"/>
      <c r="BBE991" s="124"/>
      <c r="BBF991" s="124"/>
      <c r="BBG991" s="124"/>
      <c r="BBH991" s="124"/>
      <c r="BBI991" s="124"/>
      <c r="BBJ991" s="124"/>
      <c r="BBK991" s="124"/>
      <c r="BBL991" s="124"/>
      <c r="BBM991" s="124"/>
      <c r="BBN991" s="124"/>
      <c r="BBO991" s="124"/>
      <c r="BBP991" s="124"/>
      <c r="BBQ991" s="124"/>
      <c r="BBR991" s="124"/>
      <c r="BBS991" s="124"/>
      <c r="BBT991" s="124"/>
      <c r="BBU991" s="124"/>
      <c r="BBV991" s="124"/>
      <c r="BBW991" s="124"/>
      <c r="BBX991" s="124"/>
      <c r="BBY991" s="124"/>
      <c r="BBZ991" s="124"/>
      <c r="BCA991" s="124"/>
      <c r="BCB991" s="124"/>
      <c r="BCC991" s="124"/>
      <c r="BCD991" s="124"/>
      <c r="BCE991" s="124"/>
      <c r="BCF991" s="124"/>
      <c r="BCG991" s="124"/>
      <c r="BCH991" s="124"/>
      <c r="BCI991" s="124"/>
      <c r="BCJ991" s="124"/>
      <c r="BCK991" s="124"/>
      <c r="BCL991" s="124"/>
      <c r="BCM991" s="124"/>
      <c r="BCN991" s="124"/>
      <c r="BCO991" s="124"/>
      <c r="BCP991" s="124"/>
      <c r="BCQ991" s="124"/>
      <c r="BCR991" s="124"/>
      <c r="BCS991" s="124"/>
      <c r="BCT991" s="124"/>
      <c r="BCU991" s="124"/>
      <c r="BCV991" s="124"/>
      <c r="BCW991" s="124"/>
      <c r="BCX991" s="124"/>
      <c r="BCY991" s="124"/>
      <c r="BCZ991" s="124"/>
      <c r="BDA991" s="124"/>
      <c r="BDB991" s="124"/>
      <c r="BDC991" s="124"/>
      <c r="BDD991" s="124"/>
      <c r="BDE991" s="124"/>
      <c r="BDF991" s="124"/>
      <c r="BDG991" s="124"/>
      <c r="BDH991" s="124"/>
      <c r="BDI991" s="124"/>
      <c r="BDJ991" s="124"/>
      <c r="BDK991" s="124"/>
      <c r="BDL991" s="124"/>
      <c r="BDM991" s="124"/>
      <c r="BDN991" s="124"/>
      <c r="BDO991" s="124"/>
      <c r="BDP991" s="124"/>
      <c r="BDQ991" s="124"/>
      <c r="BDR991" s="124"/>
      <c r="BDS991" s="124"/>
      <c r="BDT991" s="124"/>
      <c r="BDU991" s="124"/>
      <c r="BDV991" s="124"/>
      <c r="BDW991" s="124"/>
      <c r="BDX991" s="124"/>
      <c r="BDY991" s="124"/>
      <c r="BDZ991" s="124"/>
      <c r="BEA991" s="124"/>
      <c r="BEB991" s="124"/>
      <c r="BEC991" s="124"/>
      <c r="BED991" s="124"/>
      <c r="BEE991" s="124"/>
      <c r="BEF991" s="124"/>
      <c r="BEG991" s="124"/>
      <c r="BEH991" s="124"/>
      <c r="BEI991" s="124"/>
      <c r="BEJ991" s="124"/>
      <c r="BEK991" s="124"/>
      <c r="BEL991" s="124"/>
      <c r="BEM991" s="124"/>
      <c r="BEN991" s="124"/>
      <c r="BEO991" s="124"/>
      <c r="BEP991" s="124"/>
      <c r="BEQ991" s="124"/>
      <c r="BER991" s="124"/>
      <c r="BES991" s="124"/>
      <c r="BET991" s="124"/>
      <c r="BEU991" s="124"/>
      <c r="BEV991" s="124"/>
      <c r="BEW991" s="124"/>
      <c r="BEX991" s="124"/>
      <c r="BEY991" s="124"/>
      <c r="BEZ991" s="124"/>
      <c r="BFA991" s="124"/>
      <c r="BFB991" s="124"/>
      <c r="BFC991" s="124"/>
      <c r="BFD991" s="124"/>
      <c r="BFE991" s="124"/>
      <c r="BFF991" s="124"/>
      <c r="BFG991" s="124"/>
      <c r="BFH991" s="124"/>
      <c r="BFI991" s="124"/>
      <c r="BFJ991" s="124"/>
      <c r="BFK991" s="124"/>
      <c r="BFL991" s="124"/>
      <c r="BFM991" s="124"/>
      <c r="BFN991" s="124"/>
      <c r="BFO991" s="124"/>
      <c r="BFP991" s="124"/>
      <c r="BFQ991" s="124"/>
      <c r="BFR991" s="124"/>
      <c r="BFS991" s="124"/>
      <c r="BFT991" s="124"/>
      <c r="BFU991" s="124"/>
      <c r="BFV991" s="124"/>
      <c r="BFW991" s="124"/>
      <c r="BFX991" s="124"/>
      <c r="BFY991" s="124"/>
      <c r="BFZ991" s="124"/>
      <c r="BGA991" s="124"/>
      <c r="BGB991" s="124"/>
      <c r="BGC991" s="124"/>
      <c r="BGD991" s="124"/>
      <c r="BGE991" s="124"/>
      <c r="BGF991" s="124"/>
      <c r="BGG991" s="124"/>
      <c r="BGH991" s="124"/>
      <c r="BGI991" s="124"/>
      <c r="BGJ991" s="124"/>
      <c r="BGK991" s="124"/>
      <c r="BGL991" s="124"/>
      <c r="BGM991" s="124"/>
      <c r="BGN991" s="124"/>
      <c r="BGO991" s="124"/>
      <c r="BGP991" s="124"/>
      <c r="BGQ991" s="124"/>
      <c r="BGR991" s="124"/>
      <c r="BGS991" s="124"/>
      <c r="BGT991" s="124"/>
      <c r="BGU991" s="124"/>
      <c r="BGV991" s="124"/>
      <c r="BGW991" s="124"/>
      <c r="BGX991" s="124"/>
      <c r="BGY991" s="124"/>
      <c r="BGZ991" s="124"/>
      <c r="BHA991" s="124"/>
      <c r="BHB991" s="124"/>
      <c r="BHC991" s="124"/>
      <c r="BHD991" s="124"/>
      <c r="BHE991" s="124"/>
      <c r="BHF991" s="124"/>
      <c r="BHG991" s="124"/>
      <c r="BHH991" s="124"/>
      <c r="BHI991" s="124"/>
      <c r="BHJ991" s="124"/>
      <c r="BHK991" s="124"/>
      <c r="BHL991" s="124"/>
      <c r="BHM991" s="124"/>
      <c r="BHN991" s="124"/>
      <c r="BHO991" s="124"/>
      <c r="BHP991" s="124"/>
      <c r="BHQ991" s="124"/>
      <c r="BHR991" s="124"/>
      <c r="BHS991" s="124"/>
      <c r="BHT991" s="124"/>
      <c r="BHU991" s="124"/>
      <c r="BHV991" s="124"/>
      <c r="BHW991" s="124"/>
      <c r="BHX991" s="124"/>
      <c r="BHY991" s="124"/>
      <c r="BHZ991" s="124"/>
      <c r="BIA991" s="124"/>
      <c r="BIB991" s="124"/>
      <c r="BIC991" s="124"/>
      <c r="BID991" s="124"/>
      <c r="BIE991" s="124"/>
      <c r="BIF991" s="124"/>
      <c r="BIG991" s="124"/>
      <c r="BIH991" s="124"/>
      <c r="BII991" s="124"/>
      <c r="BIJ991" s="124"/>
      <c r="BIK991" s="124"/>
      <c r="BIL991" s="124"/>
      <c r="BIM991" s="124"/>
      <c r="BIN991" s="124"/>
      <c r="BIO991" s="124"/>
      <c r="BIP991" s="124"/>
      <c r="BIQ991" s="124"/>
      <c r="BIR991" s="124"/>
      <c r="BIS991" s="124"/>
      <c r="BIT991" s="124"/>
      <c r="BIU991" s="124"/>
      <c r="BIV991" s="124"/>
      <c r="BIW991" s="124"/>
      <c r="BIX991" s="124"/>
      <c r="BIY991" s="124"/>
      <c r="BIZ991" s="124"/>
      <c r="BJA991" s="124"/>
      <c r="BJB991" s="124"/>
      <c r="BJC991" s="124"/>
      <c r="BJD991" s="124"/>
      <c r="BJE991" s="124"/>
      <c r="BJF991" s="124"/>
      <c r="BJG991" s="124"/>
      <c r="BJH991" s="124"/>
      <c r="BJI991" s="124"/>
      <c r="BJJ991" s="124"/>
      <c r="BJK991" s="124"/>
      <c r="BJL991" s="124"/>
      <c r="BJM991" s="124"/>
      <c r="BJN991" s="124"/>
      <c r="BJO991" s="124"/>
      <c r="BJP991" s="124"/>
      <c r="BJQ991" s="124"/>
      <c r="BJR991" s="124"/>
      <c r="BJS991" s="124"/>
      <c r="BJT991" s="124"/>
      <c r="BJU991" s="124"/>
      <c r="BJV991" s="124"/>
      <c r="BJW991" s="124"/>
      <c r="BJX991" s="124"/>
      <c r="BJY991" s="124"/>
      <c r="BJZ991" s="124"/>
      <c r="BKA991" s="124"/>
      <c r="BKB991" s="124"/>
      <c r="BKC991" s="124"/>
      <c r="BKD991" s="124"/>
      <c r="BKE991" s="124"/>
      <c r="BKF991" s="124"/>
      <c r="BKG991" s="124"/>
      <c r="BKH991" s="124"/>
      <c r="BKI991" s="124"/>
      <c r="BKJ991" s="124"/>
      <c r="BKK991" s="124"/>
      <c r="BKL991" s="124"/>
      <c r="BKM991" s="124"/>
      <c r="BKN991" s="124"/>
      <c r="BKO991" s="124"/>
      <c r="BKP991" s="124"/>
      <c r="BKQ991" s="124"/>
      <c r="BKR991" s="124"/>
      <c r="BKS991" s="124"/>
      <c r="BKT991" s="124"/>
      <c r="BKU991" s="124"/>
      <c r="BKV991" s="124"/>
      <c r="BKW991" s="124"/>
      <c r="BKX991" s="124"/>
      <c r="BKY991" s="124"/>
      <c r="BKZ991" s="124"/>
      <c r="BLA991" s="124"/>
      <c r="BLB991" s="124"/>
      <c r="BLC991" s="124"/>
      <c r="BLD991" s="124"/>
      <c r="BLE991" s="124"/>
      <c r="BLF991" s="124"/>
      <c r="BLG991" s="124"/>
      <c r="BLH991" s="124"/>
      <c r="BLI991" s="124"/>
      <c r="BLJ991" s="124"/>
      <c r="BLK991" s="124"/>
      <c r="BLL991" s="124"/>
      <c r="BLM991" s="124"/>
      <c r="BLN991" s="124"/>
      <c r="BLO991" s="124"/>
      <c r="BLP991" s="124"/>
      <c r="BLQ991" s="124"/>
      <c r="BLR991" s="124"/>
      <c r="BLS991" s="124"/>
      <c r="BLT991" s="124"/>
      <c r="BLU991" s="124"/>
      <c r="BLV991" s="124"/>
      <c r="BLW991" s="124"/>
      <c r="BLX991" s="124"/>
      <c r="BLY991" s="124"/>
      <c r="BLZ991" s="124"/>
      <c r="BMA991" s="124"/>
      <c r="BMB991" s="124"/>
      <c r="BMC991" s="124"/>
      <c r="BMD991" s="124"/>
      <c r="BME991" s="124"/>
      <c r="BMF991" s="124"/>
      <c r="BMG991" s="124"/>
      <c r="BMH991" s="124"/>
      <c r="BMI991" s="124"/>
      <c r="BMJ991" s="124"/>
      <c r="BMK991" s="124"/>
      <c r="BML991" s="124"/>
      <c r="BMM991" s="124"/>
      <c r="BMN991" s="124"/>
      <c r="BMO991" s="124"/>
      <c r="BMP991" s="124"/>
      <c r="BMQ991" s="124"/>
      <c r="BMR991" s="124"/>
      <c r="BMS991" s="124"/>
      <c r="BMT991" s="124"/>
      <c r="BMU991" s="124"/>
      <c r="BMV991" s="124"/>
      <c r="BMW991" s="124"/>
      <c r="BMX991" s="124"/>
      <c r="BMY991" s="124"/>
      <c r="BMZ991" s="124"/>
      <c r="BNA991" s="124"/>
      <c r="BNB991" s="124"/>
      <c r="BNC991" s="124"/>
      <c r="BND991" s="124"/>
      <c r="BNE991" s="124"/>
      <c r="BNF991" s="124"/>
      <c r="BNG991" s="124"/>
      <c r="BNH991" s="124"/>
      <c r="BNI991" s="124"/>
      <c r="BNJ991" s="124"/>
      <c r="BNK991" s="124"/>
      <c r="BNL991" s="124"/>
      <c r="BNM991" s="124"/>
      <c r="BNN991" s="124"/>
      <c r="BNO991" s="124"/>
      <c r="BNP991" s="124"/>
      <c r="BNQ991" s="124"/>
      <c r="BNR991" s="124"/>
      <c r="BNS991" s="124"/>
      <c r="BNT991" s="124"/>
      <c r="BNU991" s="124"/>
      <c r="BNV991" s="124"/>
      <c r="BNW991" s="124"/>
      <c r="BNX991" s="124"/>
      <c r="BNY991" s="124"/>
      <c r="BNZ991" s="124"/>
      <c r="BOA991" s="124"/>
      <c r="BOB991" s="124"/>
      <c r="BOC991" s="124"/>
      <c r="BOD991" s="124"/>
      <c r="BOE991" s="124"/>
      <c r="BOF991" s="124"/>
      <c r="BOG991" s="124"/>
      <c r="BOH991" s="124"/>
      <c r="BOI991" s="124"/>
      <c r="BOJ991" s="124"/>
      <c r="BOK991" s="124"/>
      <c r="BOL991" s="124"/>
      <c r="BOM991" s="124"/>
      <c r="BON991" s="124"/>
      <c r="BOO991" s="124"/>
      <c r="BOP991" s="124"/>
      <c r="BOQ991" s="124"/>
      <c r="BOR991" s="124"/>
      <c r="BOS991" s="124"/>
      <c r="BOT991" s="124"/>
      <c r="BOU991" s="124"/>
      <c r="BOV991" s="124"/>
      <c r="BOW991" s="124"/>
      <c r="BOX991" s="124"/>
      <c r="BOY991" s="124"/>
      <c r="BOZ991" s="124"/>
      <c r="BPA991" s="124"/>
      <c r="BPB991" s="124"/>
      <c r="BPC991" s="124"/>
      <c r="BPD991" s="124"/>
      <c r="BPE991" s="124"/>
      <c r="BPF991" s="124"/>
      <c r="BPG991" s="124"/>
      <c r="BPH991" s="124"/>
      <c r="BPI991" s="124"/>
      <c r="BPJ991" s="124"/>
      <c r="BPK991" s="124"/>
      <c r="BPL991" s="124"/>
      <c r="BPM991" s="124"/>
      <c r="BPN991" s="124"/>
      <c r="BPO991" s="124"/>
      <c r="BPP991" s="124"/>
      <c r="BPQ991" s="124"/>
      <c r="BPR991" s="124"/>
      <c r="BPS991" s="124"/>
      <c r="BPT991" s="124"/>
      <c r="BPU991" s="124"/>
      <c r="BPV991" s="124"/>
      <c r="BPW991" s="124"/>
      <c r="BPX991" s="124"/>
      <c r="BPY991" s="124"/>
      <c r="BPZ991" s="124"/>
      <c r="BQA991" s="124"/>
      <c r="BQB991" s="124"/>
      <c r="BQC991" s="124"/>
      <c r="BQD991" s="124"/>
      <c r="BQE991" s="124"/>
      <c r="BQF991" s="124"/>
      <c r="BQG991" s="124"/>
      <c r="BQH991" s="124"/>
      <c r="BQI991" s="124"/>
      <c r="BQJ991" s="124"/>
      <c r="BQK991" s="124"/>
      <c r="BQL991" s="124"/>
      <c r="BQM991" s="124"/>
      <c r="BQN991" s="124"/>
      <c r="BQO991" s="124"/>
      <c r="BQP991" s="124"/>
      <c r="BQQ991" s="124"/>
      <c r="BQR991" s="124"/>
      <c r="BQS991" s="124"/>
      <c r="BQT991" s="124"/>
      <c r="BQU991" s="124"/>
      <c r="BQV991" s="124"/>
      <c r="BQW991" s="124"/>
      <c r="BQX991" s="124"/>
      <c r="BQY991" s="124"/>
      <c r="BQZ991" s="124"/>
      <c r="BRA991" s="124"/>
      <c r="BRB991" s="124"/>
      <c r="BRC991" s="124"/>
      <c r="BRD991" s="124"/>
      <c r="BRE991" s="124"/>
      <c r="BRF991" s="124"/>
      <c r="BRG991" s="124"/>
      <c r="BRH991" s="124"/>
      <c r="BRI991" s="124"/>
      <c r="BRJ991" s="124"/>
      <c r="BRK991" s="124"/>
      <c r="BRL991" s="124"/>
      <c r="BRM991" s="124"/>
      <c r="BRN991" s="124"/>
      <c r="BRO991" s="124"/>
      <c r="BRP991" s="124"/>
      <c r="BRQ991" s="124"/>
      <c r="BRR991" s="124"/>
      <c r="BRS991" s="124"/>
      <c r="BRT991" s="124"/>
      <c r="BRU991" s="124"/>
      <c r="BRV991" s="124"/>
      <c r="BRW991" s="124"/>
      <c r="BRX991" s="124"/>
      <c r="BRY991" s="124"/>
      <c r="BRZ991" s="124"/>
      <c r="BSA991" s="124"/>
      <c r="BSB991" s="124"/>
      <c r="BSC991" s="124"/>
      <c r="BSD991" s="124"/>
      <c r="BSE991" s="124"/>
      <c r="BSF991" s="124"/>
      <c r="BSG991" s="124"/>
      <c r="BSH991" s="124"/>
      <c r="BSI991" s="124"/>
      <c r="BSJ991" s="124"/>
      <c r="BSK991" s="124"/>
      <c r="BSL991" s="124"/>
      <c r="BSM991" s="124"/>
      <c r="BSN991" s="124"/>
      <c r="BSO991" s="124"/>
      <c r="BSP991" s="124"/>
      <c r="BSQ991" s="124"/>
      <c r="BSR991" s="124"/>
      <c r="BSS991" s="124"/>
      <c r="BST991" s="124"/>
      <c r="BSU991" s="124"/>
      <c r="BSV991" s="124"/>
      <c r="BSW991" s="124"/>
      <c r="BSX991" s="124"/>
      <c r="BSY991" s="124"/>
      <c r="BSZ991" s="124"/>
      <c r="BTA991" s="124"/>
      <c r="BTB991" s="124"/>
      <c r="BTC991" s="124"/>
      <c r="BTD991" s="124"/>
      <c r="BTE991" s="124"/>
      <c r="BTF991" s="124"/>
      <c r="BTG991" s="124"/>
      <c r="BTH991" s="124"/>
      <c r="BTI991" s="124"/>
      <c r="BTJ991" s="124"/>
      <c r="BTK991" s="124"/>
      <c r="BTL991" s="124"/>
      <c r="BTM991" s="124"/>
      <c r="BTN991" s="124"/>
      <c r="BTO991" s="124"/>
      <c r="BTP991" s="124"/>
      <c r="BTQ991" s="124"/>
      <c r="BTR991" s="124"/>
      <c r="BTS991" s="124"/>
      <c r="BTT991" s="124"/>
      <c r="BTU991" s="124"/>
      <c r="BTV991" s="124"/>
      <c r="BTW991" s="124"/>
      <c r="BTX991" s="124"/>
      <c r="BTY991" s="124"/>
      <c r="BTZ991" s="124"/>
      <c r="BUA991" s="124"/>
      <c r="BUB991" s="124"/>
      <c r="BUC991" s="124"/>
      <c r="BUD991" s="124"/>
      <c r="BUE991" s="124"/>
      <c r="BUF991" s="124"/>
      <c r="BUG991" s="124"/>
      <c r="BUH991" s="124"/>
      <c r="BUI991" s="124"/>
      <c r="BUJ991" s="124"/>
      <c r="BUK991" s="124"/>
      <c r="BUL991" s="124"/>
      <c r="BUM991" s="124"/>
      <c r="BUN991" s="124"/>
      <c r="BUO991" s="124"/>
      <c r="BUP991" s="124"/>
      <c r="BUQ991" s="124"/>
      <c r="BUR991" s="124"/>
      <c r="BUS991" s="124"/>
      <c r="BUT991" s="124"/>
      <c r="BUU991" s="124"/>
      <c r="BUV991" s="124"/>
      <c r="BUW991" s="124"/>
      <c r="BUX991" s="124"/>
      <c r="BUY991" s="124"/>
      <c r="BUZ991" s="124"/>
      <c r="BVA991" s="124"/>
      <c r="BVB991" s="124"/>
      <c r="BVC991" s="124"/>
      <c r="BVD991" s="124"/>
      <c r="BVE991" s="124"/>
      <c r="BVF991" s="124"/>
      <c r="BVG991" s="124"/>
      <c r="BVH991" s="124"/>
      <c r="BVI991" s="124"/>
      <c r="BVJ991" s="124"/>
      <c r="BVK991" s="124"/>
      <c r="BVL991" s="124"/>
      <c r="BVM991" s="124"/>
      <c r="BVN991" s="124"/>
      <c r="BVO991" s="124"/>
      <c r="BVP991" s="124"/>
      <c r="BVQ991" s="124"/>
      <c r="BVR991" s="124"/>
      <c r="BVS991" s="124"/>
      <c r="BVT991" s="124"/>
      <c r="BVU991" s="124"/>
      <c r="BVV991" s="124"/>
      <c r="BVW991" s="124"/>
      <c r="BVX991" s="124"/>
      <c r="BVY991" s="124"/>
      <c r="BVZ991" s="124"/>
      <c r="BWA991" s="124"/>
      <c r="BWB991" s="124"/>
      <c r="BWC991" s="124"/>
      <c r="BWD991" s="124"/>
      <c r="BWE991" s="124"/>
      <c r="BWF991" s="124"/>
      <c r="BWG991" s="124"/>
      <c r="BWH991" s="124"/>
      <c r="BWI991" s="124"/>
      <c r="BWJ991" s="124"/>
      <c r="BWK991" s="124"/>
      <c r="BWL991" s="124"/>
      <c r="BWM991" s="124"/>
      <c r="BWN991" s="124"/>
      <c r="BWO991" s="124"/>
      <c r="BWP991" s="124"/>
      <c r="BWQ991" s="124"/>
      <c r="BWR991" s="124"/>
      <c r="BWS991" s="124"/>
      <c r="BWT991" s="124"/>
      <c r="BWU991" s="124"/>
      <c r="BWV991" s="124"/>
      <c r="BWW991" s="124"/>
      <c r="BWX991" s="124"/>
      <c r="BWY991" s="124"/>
      <c r="BWZ991" s="124"/>
      <c r="BXA991" s="124"/>
      <c r="BXB991" s="124"/>
      <c r="BXC991" s="124"/>
      <c r="BXD991" s="124"/>
      <c r="BXE991" s="124"/>
      <c r="BXF991" s="124"/>
      <c r="BXG991" s="124"/>
      <c r="BXH991" s="124"/>
      <c r="BXI991" s="124"/>
      <c r="BXJ991" s="124"/>
      <c r="BXK991" s="124"/>
      <c r="BXL991" s="124"/>
      <c r="BXM991" s="124"/>
      <c r="BXN991" s="124"/>
      <c r="BXO991" s="124"/>
      <c r="BXP991" s="124"/>
      <c r="BXQ991" s="124"/>
      <c r="BXR991" s="124"/>
      <c r="BXS991" s="124"/>
      <c r="BXT991" s="124"/>
      <c r="BXU991" s="124"/>
      <c r="BXV991" s="124"/>
      <c r="BXW991" s="124"/>
      <c r="BXX991" s="124"/>
      <c r="BXY991" s="124"/>
      <c r="BXZ991" s="124"/>
      <c r="BYA991" s="124"/>
      <c r="BYB991" s="124"/>
      <c r="BYC991" s="124"/>
      <c r="BYD991" s="124"/>
      <c r="BYE991" s="124"/>
      <c r="BYF991" s="124"/>
      <c r="BYG991" s="124"/>
      <c r="BYH991" s="124"/>
      <c r="BYI991" s="124"/>
      <c r="BYJ991" s="124"/>
      <c r="BYK991" s="124"/>
      <c r="BYL991" s="124"/>
      <c r="BYM991" s="124"/>
      <c r="BYN991" s="124"/>
      <c r="BYO991" s="124"/>
      <c r="BYP991" s="124"/>
      <c r="BYQ991" s="124"/>
      <c r="BYR991" s="124"/>
      <c r="BYS991" s="124"/>
      <c r="BYT991" s="124"/>
      <c r="BYU991" s="124"/>
      <c r="BYV991" s="124"/>
      <c r="BYW991" s="124"/>
      <c r="BYX991" s="124"/>
      <c r="BYY991" s="124"/>
      <c r="BYZ991" s="124"/>
      <c r="BZA991" s="124"/>
      <c r="BZB991" s="124"/>
      <c r="BZC991" s="124"/>
      <c r="BZD991" s="124"/>
      <c r="BZE991" s="124"/>
      <c r="BZF991" s="124"/>
      <c r="BZG991" s="124"/>
      <c r="BZH991" s="124"/>
      <c r="BZI991" s="124"/>
      <c r="BZJ991" s="124"/>
      <c r="BZK991" s="124"/>
      <c r="BZL991" s="124"/>
      <c r="BZM991" s="124"/>
      <c r="BZN991" s="124"/>
      <c r="BZO991" s="124"/>
      <c r="BZP991" s="124"/>
      <c r="BZQ991" s="124"/>
      <c r="BZR991" s="124"/>
      <c r="BZS991" s="124"/>
      <c r="BZT991" s="124"/>
      <c r="BZU991" s="124"/>
      <c r="BZV991" s="124"/>
      <c r="BZW991" s="124"/>
      <c r="BZX991" s="124"/>
      <c r="BZY991" s="124"/>
      <c r="BZZ991" s="124"/>
      <c r="CAA991" s="124"/>
      <c r="CAB991" s="124"/>
      <c r="CAC991" s="124"/>
      <c r="CAD991" s="124"/>
      <c r="CAE991" s="124"/>
      <c r="CAF991" s="124"/>
      <c r="CAG991" s="124"/>
      <c r="CAH991" s="124"/>
      <c r="CAI991" s="124"/>
      <c r="CAJ991" s="124"/>
      <c r="CAK991" s="124"/>
      <c r="CAL991" s="124"/>
      <c r="CAM991" s="124"/>
      <c r="CAN991" s="124"/>
      <c r="CAO991" s="124"/>
      <c r="CAP991" s="124"/>
      <c r="CAQ991" s="124"/>
      <c r="CAR991" s="124"/>
      <c r="CAS991" s="124"/>
      <c r="CAT991" s="124"/>
      <c r="CAU991" s="124"/>
      <c r="CAV991" s="124"/>
      <c r="CAW991" s="124"/>
      <c r="CAX991" s="124"/>
      <c r="CAY991" s="124"/>
      <c r="CAZ991" s="124"/>
      <c r="CBA991" s="124"/>
      <c r="CBB991" s="124"/>
      <c r="CBC991" s="124"/>
      <c r="CBD991" s="124"/>
      <c r="CBE991" s="124"/>
      <c r="CBF991" s="124"/>
      <c r="CBG991" s="124"/>
      <c r="CBH991" s="124"/>
      <c r="CBI991" s="124"/>
      <c r="CBJ991" s="124"/>
      <c r="CBK991" s="124"/>
      <c r="CBL991" s="124"/>
      <c r="CBM991" s="124"/>
      <c r="CBN991" s="124"/>
      <c r="CBO991" s="124"/>
      <c r="CBP991" s="124"/>
      <c r="CBQ991" s="124"/>
      <c r="CBR991" s="124"/>
      <c r="CBS991" s="124"/>
      <c r="CBT991" s="124"/>
      <c r="CBU991" s="124"/>
      <c r="CBV991" s="124"/>
      <c r="CBW991" s="124"/>
      <c r="CBX991" s="124"/>
      <c r="CBY991" s="124"/>
      <c r="CBZ991" s="124"/>
      <c r="CCA991" s="124"/>
      <c r="CCB991" s="124"/>
      <c r="CCC991" s="124"/>
      <c r="CCD991" s="124"/>
      <c r="CCE991" s="124"/>
      <c r="CCF991" s="124"/>
      <c r="CCG991" s="124"/>
      <c r="CCH991" s="124"/>
      <c r="CCI991" s="124"/>
      <c r="CCJ991" s="124"/>
      <c r="CCK991" s="124"/>
      <c r="CCL991" s="124"/>
      <c r="CCM991" s="124"/>
      <c r="CCN991" s="124"/>
      <c r="CCO991" s="124"/>
      <c r="CCP991" s="124"/>
      <c r="CCQ991" s="124"/>
      <c r="CCR991" s="124"/>
      <c r="CCS991" s="124"/>
      <c r="CCT991" s="124"/>
      <c r="CCU991" s="124"/>
      <c r="CCV991" s="124"/>
      <c r="CCW991" s="124"/>
      <c r="CCX991" s="124"/>
      <c r="CCY991" s="124"/>
      <c r="CCZ991" s="124"/>
      <c r="CDA991" s="124"/>
      <c r="CDB991" s="124"/>
      <c r="CDC991" s="124"/>
      <c r="CDD991" s="124"/>
      <c r="CDE991" s="124"/>
      <c r="CDF991" s="124"/>
      <c r="CDG991" s="124"/>
      <c r="CDH991" s="124"/>
      <c r="CDI991" s="124"/>
      <c r="CDJ991" s="124"/>
      <c r="CDK991" s="124"/>
      <c r="CDL991" s="124"/>
      <c r="CDM991" s="124"/>
      <c r="CDN991" s="124"/>
      <c r="CDO991" s="124"/>
      <c r="CDP991" s="124"/>
      <c r="CDQ991" s="124"/>
      <c r="CDR991" s="124"/>
      <c r="CDS991" s="124"/>
      <c r="CDT991" s="124"/>
      <c r="CDU991" s="124"/>
      <c r="CDV991" s="124"/>
      <c r="CDW991" s="124"/>
      <c r="CDX991" s="124"/>
      <c r="CDY991" s="124"/>
      <c r="CDZ991" s="124"/>
      <c r="CEA991" s="124"/>
      <c r="CEB991" s="124"/>
      <c r="CEC991" s="124"/>
      <c r="CED991" s="124"/>
      <c r="CEE991" s="124"/>
      <c r="CEF991" s="124"/>
      <c r="CEG991" s="124"/>
      <c r="CEH991" s="124"/>
      <c r="CEI991" s="124"/>
      <c r="CEJ991" s="124"/>
      <c r="CEK991" s="124"/>
      <c r="CEL991" s="124"/>
      <c r="CEM991" s="124"/>
      <c r="CEN991" s="124"/>
      <c r="CEO991" s="124"/>
      <c r="CEP991" s="124"/>
      <c r="CEQ991" s="124"/>
      <c r="CER991" s="124"/>
      <c r="CES991" s="124"/>
      <c r="CET991" s="124"/>
      <c r="CEU991" s="124"/>
      <c r="CEV991" s="124"/>
      <c r="CEW991" s="124"/>
      <c r="CEX991" s="124"/>
      <c r="CEY991" s="124"/>
      <c r="CEZ991" s="124"/>
      <c r="CFA991" s="124"/>
      <c r="CFB991" s="124"/>
      <c r="CFC991" s="124"/>
      <c r="CFD991" s="124"/>
      <c r="CFE991" s="124"/>
      <c r="CFF991" s="124"/>
      <c r="CFG991" s="124"/>
      <c r="CFH991" s="124"/>
      <c r="CFI991" s="124"/>
      <c r="CFJ991" s="124"/>
      <c r="CFK991" s="124"/>
      <c r="CFL991" s="124"/>
      <c r="CFM991" s="124"/>
      <c r="CFN991" s="124"/>
      <c r="CFO991" s="124"/>
      <c r="CFP991" s="124"/>
      <c r="CFQ991" s="124"/>
      <c r="CFR991" s="124"/>
      <c r="CFS991" s="124"/>
      <c r="CFT991" s="124"/>
      <c r="CFU991" s="124"/>
      <c r="CFV991" s="124"/>
      <c r="CFW991" s="124"/>
      <c r="CFX991" s="124"/>
      <c r="CFY991" s="124"/>
      <c r="CFZ991" s="124"/>
      <c r="CGA991" s="124"/>
      <c r="CGB991" s="124"/>
      <c r="CGC991" s="124"/>
      <c r="CGD991" s="124"/>
      <c r="CGE991" s="124"/>
      <c r="CGF991" s="124"/>
      <c r="CGG991" s="124"/>
      <c r="CGH991" s="124"/>
      <c r="CGI991" s="124"/>
      <c r="CGJ991" s="124"/>
      <c r="CGK991" s="124"/>
      <c r="CGL991" s="124"/>
      <c r="CGM991" s="124"/>
      <c r="CGN991" s="124"/>
      <c r="CGO991" s="124"/>
      <c r="CGP991" s="124"/>
      <c r="CGQ991" s="124"/>
      <c r="CGR991" s="124"/>
      <c r="CGS991" s="124"/>
      <c r="CGT991" s="124"/>
      <c r="CGU991" s="124"/>
      <c r="CGV991" s="124"/>
      <c r="CGW991" s="124"/>
      <c r="CGX991" s="124"/>
      <c r="CGY991" s="124"/>
      <c r="CGZ991" s="124"/>
      <c r="CHA991" s="124"/>
      <c r="CHB991" s="124"/>
      <c r="CHC991" s="124"/>
      <c r="CHD991" s="124"/>
      <c r="CHE991" s="124"/>
      <c r="CHF991" s="124"/>
      <c r="CHG991" s="124"/>
      <c r="CHH991" s="124"/>
      <c r="CHI991" s="124"/>
      <c r="CHJ991" s="124"/>
      <c r="CHK991" s="124"/>
      <c r="CHL991" s="124"/>
      <c r="CHM991" s="124"/>
      <c r="CHN991" s="124"/>
      <c r="CHO991" s="124"/>
      <c r="CHP991" s="124"/>
      <c r="CHQ991" s="124"/>
      <c r="CHR991" s="124"/>
      <c r="CHS991" s="124"/>
      <c r="CHT991" s="124"/>
      <c r="CHU991" s="124"/>
      <c r="CHV991" s="124"/>
      <c r="CHW991" s="124"/>
      <c r="CHX991" s="124"/>
      <c r="CHY991" s="124"/>
      <c r="CHZ991" s="124"/>
      <c r="CIA991" s="124"/>
      <c r="CIB991" s="124"/>
      <c r="CIC991" s="124"/>
      <c r="CID991" s="124"/>
      <c r="CIE991" s="124"/>
      <c r="CIF991" s="124"/>
      <c r="CIG991" s="124"/>
      <c r="CIH991" s="124"/>
      <c r="CII991" s="124"/>
      <c r="CIJ991" s="124"/>
      <c r="CIK991" s="124"/>
      <c r="CIL991" s="124"/>
      <c r="CIM991" s="124"/>
      <c r="CIN991" s="124"/>
      <c r="CIO991" s="124"/>
      <c r="CIP991" s="124"/>
      <c r="CIQ991" s="124"/>
      <c r="CIR991" s="124"/>
      <c r="CIS991" s="124"/>
      <c r="CIT991" s="124"/>
      <c r="CIU991" s="124"/>
      <c r="CIV991" s="124"/>
      <c r="CIW991" s="124"/>
      <c r="CIX991" s="124"/>
      <c r="CIY991" s="124"/>
      <c r="CIZ991" s="124"/>
      <c r="CJA991" s="124"/>
      <c r="CJB991" s="124"/>
      <c r="CJC991" s="124"/>
      <c r="CJD991" s="124"/>
      <c r="CJE991" s="124"/>
      <c r="CJF991" s="124"/>
      <c r="CJG991" s="124"/>
      <c r="CJH991" s="124"/>
      <c r="CJI991" s="124"/>
      <c r="CJJ991" s="124"/>
      <c r="CJK991" s="124"/>
      <c r="CJL991" s="124"/>
      <c r="CJM991" s="124"/>
      <c r="CJN991" s="124"/>
      <c r="CJO991" s="124"/>
      <c r="CJP991" s="124"/>
      <c r="CJQ991" s="124"/>
      <c r="CJR991" s="124"/>
      <c r="CJS991" s="124"/>
      <c r="CJT991" s="124"/>
      <c r="CJU991" s="124"/>
      <c r="CJV991" s="124"/>
      <c r="CJW991" s="124"/>
      <c r="CJX991" s="124"/>
      <c r="CJY991" s="124"/>
      <c r="CJZ991" s="124"/>
      <c r="CKA991" s="124"/>
      <c r="CKB991" s="124"/>
      <c r="CKC991" s="124"/>
      <c r="CKD991" s="124"/>
      <c r="CKE991" s="124"/>
      <c r="CKF991" s="124"/>
      <c r="CKG991" s="124"/>
      <c r="CKH991" s="124"/>
      <c r="CKI991" s="124"/>
      <c r="CKJ991" s="124"/>
      <c r="CKK991" s="124"/>
      <c r="CKL991" s="124"/>
      <c r="CKM991" s="124"/>
      <c r="CKN991" s="124"/>
      <c r="CKO991" s="124"/>
      <c r="CKP991" s="124"/>
      <c r="CKQ991" s="124"/>
      <c r="CKR991" s="124"/>
      <c r="CKS991" s="124"/>
      <c r="CKT991" s="124"/>
      <c r="CKU991" s="124"/>
      <c r="CKV991" s="124"/>
      <c r="CKW991" s="124"/>
      <c r="CKX991" s="124"/>
      <c r="CKY991" s="124"/>
      <c r="CKZ991" s="124"/>
      <c r="CLA991" s="124"/>
      <c r="CLB991" s="124"/>
      <c r="CLC991" s="124"/>
      <c r="CLD991" s="124"/>
      <c r="CLE991" s="124"/>
      <c r="CLF991" s="124"/>
      <c r="CLG991" s="124"/>
      <c r="CLH991" s="124"/>
      <c r="CLI991" s="124"/>
      <c r="CLJ991" s="124"/>
      <c r="CLK991" s="124"/>
      <c r="CLL991" s="124"/>
      <c r="CLM991" s="124"/>
      <c r="CLN991" s="124"/>
      <c r="CLO991" s="124"/>
      <c r="CLP991" s="124"/>
      <c r="CLQ991" s="124"/>
      <c r="CLR991" s="124"/>
      <c r="CLS991" s="124"/>
      <c r="CLT991" s="124"/>
      <c r="CLU991" s="124"/>
      <c r="CLV991" s="124"/>
      <c r="CLW991" s="124"/>
      <c r="CLX991" s="124"/>
      <c r="CLY991" s="124"/>
      <c r="CLZ991" s="124"/>
      <c r="CMA991" s="124"/>
      <c r="CMB991" s="124"/>
      <c r="CMC991" s="124"/>
      <c r="CMD991" s="124"/>
      <c r="CME991" s="124"/>
      <c r="CMF991" s="124"/>
      <c r="CMG991" s="124"/>
      <c r="CMH991" s="124"/>
      <c r="CMI991" s="124"/>
      <c r="CMJ991" s="124"/>
      <c r="CMK991" s="124"/>
      <c r="CML991" s="124"/>
      <c r="CMM991" s="124"/>
      <c r="CMN991" s="124"/>
      <c r="CMO991" s="124"/>
      <c r="CMP991" s="124"/>
      <c r="CMQ991" s="124"/>
      <c r="CMR991" s="124"/>
      <c r="CMS991" s="124"/>
      <c r="CMT991" s="124"/>
      <c r="CMU991" s="124"/>
      <c r="CMV991" s="124"/>
      <c r="CMW991" s="124"/>
      <c r="CMX991" s="124"/>
      <c r="CMY991" s="124"/>
      <c r="CMZ991" s="124"/>
      <c r="CNA991" s="124"/>
      <c r="CNB991" s="124"/>
      <c r="CNC991" s="124"/>
      <c r="CND991" s="124"/>
      <c r="CNE991" s="124"/>
      <c r="CNF991" s="124"/>
      <c r="CNG991" s="124"/>
      <c r="CNH991" s="124"/>
      <c r="CNI991" s="124"/>
      <c r="CNJ991" s="124"/>
      <c r="CNK991" s="124"/>
      <c r="CNL991" s="124"/>
      <c r="CNM991" s="124"/>
      <c r="CNN991" s="124"/>
      <c r="CNO991" s="124"/>
      <c r="CNP991" s="124"/>
      <c r="CNQ991" s="124"/>
      <c r="CNR991" s="124"/>
      <c r="CNS991" s="124"/>
      <c r="CNT991" s="124"/>
      <c r="CNU991" s="124"/>
      <c r="CNV991" s="124"/>
      <c r="CNW991" s="124"/>
      <c r="CNX991" s="124"/>
      <c r="CNY991" s="124"/>
      <c r="CNZ991" s="124"/>
      <c r="COA991" s="124"/>
      <c r="COB991" s="124"/>
      <c r="COC991" s="124"/>
      <c r="COD991" s="124"/>
      <c r="COE991" s="124"/>
      <c r="COF991" s="124"/>
      <c r="COG991" s="124"/>
      <c r="COH991" s="124"/>
      <c r="COI991" s="124"/>
      <c r="COJ991" s="124"/>
      <c r="COK991" s="124"/>
      <c r="COL991" s="124"/>
      <c r="COM991" s="124"/>
      <c r="CON991" s="124"/>
      <c r="COO991" s="124"/>
      <c r="COP991" s="124"/>
      <c r="COQ991" s="124"/>
      <c r="COR991" s="124"/>
      <c r="COS991" s="124"/>
      <c r="COT991" s="124"/>
      <c r="COU991" s="124"/>
      <c r="COV991" s="124"/>
      <c r="COW991" s="124"/>
      <c r="COX991" s="124"/>
      <c r="COY991" s="124"/>
      <c r="COZ991" s="124"/>
      <c r="CPA991" s="124"/>
      <c r="CPB991" s="124"/>
      <c r="CPC991" s="124"/>
      <c r="CPD991" s="124"/>
      <c r="CPE991" s="124"/>
      <c r="CPF991" s="124"/>
      <c r="CPG991" s="124"/>
      <c r="CPH991" s="124"/>
      <c r="CPI991" s="124"/>
      <c r="CPJ991" s="124"/>
      <c r="CPK991" s="124"/>
      <c r="CPL991" s="124"/>
      <c r="CPM991" s="124"/>
      <c r="CPN991" s="124"/>
      <c r="CPO991" s="124"/>
      <c r="CPP991" s="124"/>
      <c r="CPQ991" s="124"/>
      <c r="CPR991" s="124"/>
      <c r="CPS991" s="124"/>
      <c r="CPT991" s="124"/>
      <c r="CPU991" s="124"/>
      <c r="CPV991" s="124"/>
      <c r="CPW991" s="124"/>
      <c r="CPX991" s="124"/>
      <c r="CPY991" s="124"/>
      <c r="CPZ991" s="124"/>
      <c r="CQA991" s="124"/>
      <c r="CQB991" s="124"/>
      <c r="CQC991" s="124"/>
      <c r="CQD991" s="124"/>
      <c r="CQE991" s="124"/>
      <c r="CQF991" s="124"/>
      <c r="CQG991" s="124"/>
      <c r="CQH991" s="124"/>
      <c r="CQI991" s="124"/>
      <c r="CQJ991" s="124"/>
      <c r="CQK991" s="124"/>
      <c r="CQL991" s="124"/>
      <c r="CQM991" s="124"/>
      <c r="CQN991" s="124"/>
      <c r="CQO991" s="124"/>
      <c r="CQP991" s="124"/>
      <c r="CQQ991" s="124"/>
      <c r="CQR991" s="124"/>
      <c r="CQS991" s="124"/>
      <c r="CQT991" s="124"/>
      <c r="CQU991" s="124"/>
      <c r="CQV991" s="124"/>
      <c r="CQW991" s="124"/>
      <c r="CQX991" s="124"/>
      <c r="CQY991" s="124"/>
      <c r="CQZ991" s="124"/>
      <c r="CRA991" s="124"/>
      <c r="CRB991" s="124"/>
      <c r="CRC991" s="124"/>
      <c r="CRD991" s="124"/>
      <c r="CRE991" s="124"/>
      <c r="CRF991" s="124"/>
      <c r="CRG991" s="124"/>
      <c r="CRH991" s="124"/>
      <c r="CRI991" s="124"/>
      <c r="CRJ991" s="124"/>
      <c r="CRK991" s="124"/>
      <c r="CRL991" s="124"/>
      <c r="CRM991" s="124"/>
      <c r="CRN991" s="124"/>
      <c r="CRO991" s="124"/>
      <c r="CRP991" s="124"/>
      <c r="CRQ991" s="124"/>
      <c r="CRR991" s="124"/>
      <c r="CRS991" s="124"/>
      <c r="CRT991" s="124"/>
      <c r="CRU991" s="124"/>
      <c r="CRV991" s="124"/>
      <c r="CRW991" s="124"/>
      <c r="CRX991" s="124"/>
      <c r="CRY991" s="124"/>
      <c r="CRZ991" s="124"/>
      <c r="CSA991" s="124"/>
      <c r="CSB991" s="124"/>
      <c r="CSC991" s="124"/>
      <c r="CSD991" s="124"/>
      <c r="CSE991" s="124"/>
      <c r="CSF991" s="124"/>
      <c r="CSG991" s="124"/>
      <c r="CSH991" s="124"/>
      <c r="CSI991" s="124"/>
      <c r="CSJ991" s="124"/>
      <c r="CSK991" s="124"/>
      <c r="CSL991" s="124"/>
      <c r="CSM991" s="124"/>
      <c r="CSN991" s="124"/>
      <c r="CSO991" s="124"/>
      <c r="CSP991" s="124"/>
      <c r="CSQ991" s="124"/>
      <c r="CSR991" s="124"/>
      <c r="CSS991" s="124"/>
      <c r="CST991" s="124"/>
      <c r="CSU991" s="124"/>
      <c r="CSV991" s="124"/>
      <c r="CSW991" s="124"/>
      <c r="CSX991" s="124"/>
      <c r="CSY991" s="124"/>
      <c r="CSZ991" s="124"/>
      <c r="CTA991" s="124"/>
      <c r="CTB991" s="124"/>
      <c r="CTC991" s="124"/>
      <c r="CTD991" s="124"/>
      <c r="CTE991" s="124"/>
      <c r="CTF991" s="124"/>
      <c r="CTG991" s="124"/>
      <c r="CTH991" s="124"/>
      <c r="CTI991" s="124"/>
      <c r="CTJ991" s="124"/>
      <c r="CTK991" s="124"/>
      <c r="CTL991" s="124"/>
      <c r="CTM991" s="124"/>
      <c r="CTN991" s="124"/>
      <c r="CTO991" s="124"/>
      <c r="CTP991" s="124"/>
      <c r="CTQ991" s="124"/>
      <c r="CTR991" s="124"/>
      <c r="CTS991" s="124"/>
      <c r="CTT991" s="124"/>
      <c r="CTU991" s="124"/>
      <c r="CTV991" s="124"/>
      <c r="CTW991" s="124"/>
      <c r="CTX991" s="124"/>
      <c r="CTY991" s="124"/>
      <c r="CTZ991" s="124"/>
      <c r="CUA991" s="124"/>
      <c r="CUB991" s="124"/>
      <c r="CUC991" s="124"/>
      <c r="CUD991" s="124"/>
      <c r="CUE991" s="124"/>
      <c r="CUF991" s="124"/>
      <c r="CUG991" s="124"/>
      <c r="CUH991" s="124"/>
      <c r="CUI991" s="124"/>
      <c r="CUJ991" s="124"/>
      <c r="CUK991" s="124"/>
      <c r="CUL991" s="124"/>
      <c r="CUM991" s="124"/>
      <c r="CUN991" s="124"/>
      <c r="CUO991" s="124"/>
      <c r="CUP991" s="124"/>
      <c r="CUQ991" s="124"/>
      <c r="CUR991" s="124"/>
      <c r="CUS991" s="124"/>
      <c r="CUT991" s="124"/>
      <c r="CUU991" s="124"/>
      <c r="CUV991" s="124"/>
      <c r="CUW991" s="124"/>
      <c r="CUX991" s="124"/>
      <c r="CUY991" s="124"/>
      <c r="CUZ991" s="124"/>
      <c r="CVA991" s="124"/>
      <c r="CVB991" s="124"/>
      <c r="CVC991" s="124"/>
      <c r="CVD991" s="124"/>
      <c r="CVE991" s="124"/>
      <c r="CVF991" s="124"/>
      <c r="CVG991" s="124"/>
      <c r="CVH991" s="124"/>
      <c r="CVI991" s="124"/>
      <c r="CVJ991" s="124"/>
      <c r="CVK991" s="124"/>
      <c r="CVL991" s="124"/>
      <c r="CVM991" s="124"/>
      <c r="CVN991" s="124"/>
      <c r="CVO991" s="124"/>
      <c r="CVP991" s="124"/>
      <c r="CVQ991" s="124"/>
      <c r="CVR991" s="124"/>
      <c r="CVS991" s="124"/>
      <c r="CVT991" s="124"/>
      <c r="CVU991" s="124"/>
      <c r="CVV991" s="124"/>
      <c r="CVW991" s="124"/>
      <c r="CVX991" s="124"/>
      <c r="CVY991" s="124"/>
      <c r="CVZ991" s="124"/>
      <c r="CWA991" s="124"/>
      <c r="CWB991" s="124"/>
      <c r="CWC991" s="124"/>
      <c r="CWD991" s="124"/>
      <c r="CWE991" s="124"/>
      <c r="CWF991" s="124"/>
      <c r="CWG991" s="124"/>
      <c r="CWH991" s="124"/>
      <c r="CWI991" s="124"/>
      <c r="CWJ991" s="124"/>
      <c r="CWK991" s="124"/>
      <c r="CWL991" s="124"/>
      <c r="CWM991" s="124"/>
      <c r="CWN991" s="124"/>
      <c r="CWO991" s="124"/>
      <c r="CWP991" s="124"/>
      <c r="CWQ991" s="124"/>
      <c r="CWR991" s="124"/>
      <c r="CWS991" s="124"/>
      <c r="CWT991" s="124"/>
      <c r="CWU991" s="124"/>
      <c r="CWV991" s="124"/>
      <c r="CWW991" s="124"/>
      <c r="CWX991" s="124"/>
      <c r="CWY991" s="124"/>
      <c r="CWZ991" s="124"/>
      <c r="CXA991" s="124"/>
      <c r="CXB991" s="124"/>
      <c r="CXC991" s="124"/>
      <c r="CXD991" s="124"/>
      <c r="CXE991" s="124"/>
      <c r="CXF991" s="124"/>
      <c r="CXG991" s="124"/>
      <c r="CXH991" s="124"/>
      <c r="CXI991" s="124"/>
      <c r="CXJ991" s="124"/>
      <c r="CXK991" s="124"/>
      <c r="CXL991" s="124"/>
      <c r="CXM991" s="124"/>
      <c r="CXN991" s="124"/>
      <c r="CXO991" s="124"/>
      <c r="CXP991" s="124"/>
      <c r="CXQ991" s="124"/>
      <c r="CXR991" s="124"/>
      <c r="CXS991" s="124"/>
      <c r="CXT991" s="124"/>
      <c r="CXU991" s="124"/>
      <c r="CXV991" s="124"/>
      <c r="CXW991" s="124"/>
      <c r="CXX991" s="124"/>
      <c r="CXY991" s="124"/>
      <c r="CXZ991" s="124"/>
      <c r="CYA991" s="124"/>
      <c r="CYB991" s="124"/>
      <c r="CYC991" s="124"/>
      <c r="CYD991" s="124"/>
      <c r="CYE991" s="124"/>
      <c r="CYF991" s="124"/>
      <c r="CYG991" s="124"/>
      <c r="CYH991" s="124"/>
      <c r="CYI991" s="124"/>
      <c r="CYJ991" s="124"/>
      <c r="CYK991" s="124"/>
      <c r="CYL991" s="124"/>
      <c r="CYM991" s="124"/>
      <c r="CYN991" s="124"/>
      <c r="CYO991" s="124"/>
      <c r="CYP991" s="124"/>
      <c r="CYQ991" s="124"/>
      <c r="CYR991" s="124"/>
      <c r="CYS991" s="124"/>
      <c r="CYT991" s="124"/>
      <c r="CYU991" s="124"/>
      <c r="CYV991" s="124"/>
      <c r="CYW991" s="124"/>
      <c r="CYX991" s="124"/>
      <c r="CYY991" s="124"/>
      <c r="CYZ991" s="124"/>
      <c r="CZA991" s="124"/>
      <c r="CZB991" s="124"/>
      <c r="CZC991" s="124"/>
      <c r="CZD991" s="124"/>
      <c r="CZE991" s="124"/>
      <c r="CZF991" s="124"/>
      <c r="CZG991" s="124"/>
      <c r="CZH991" s="124"/>
      <c r="CZI991" s="124"/>
      <c r="CZJ991" s="124"/>
      <c r="CZK991" s="124"/>
      <c r="CZL991" s="124"/>
      <c r="CZM991" s="124"/>
      <c r="CZN991" s="124"/>
      <c r="CZO991" s="124"/>
      <c r="CZP991" s="124"/>
      <c r="CZQ991" s="124"/>
      <c r="CZR991" s="124"/>
      <c r="CZS991" s="124"/>
      <c r="CZT991" s="124"/>
      <c r="CZU991" s="124"/>
      <c r="CZV991" s="124"/>
      <c r="CZW991" s="124"/>
      <c r="CZX991" s="124"/>
      <c r="CZY991" s="124"/>
      <c r="CZZ991" s="124"/>
      <c r="DAA991" s="124"/>
      <c r="DAB991" s="124"/>
      <c r="DAC991" s="124"/>
      <c r="DAD991" s="124"/>
      <c r="DAE991" s="124"/>
      <c r="DAF991" s="124"/>
      <c r="DAG991" s="124"/>
      <c r="DAH991" s="124"/>
      <c r="DAI991" s="124"/>
      <c r="DAJ991" s="124"/>
      <c r="DAK991" s="124"/>
      <c r="DAL991" s="124"/>
      <c r="DAM991" s="124"/>
      <c r="DAN991" s="124"/>
      <c r="DAO991" s="124"/>
      <c r="DAP991" s="124"/>
      <c r="DAQ991" s="124"/>
      <c r="DAR991" s="124"/>
      <c r="DAS991" s="124"/>
      <c r="DAT991" s="124"/>
      <c r="DAU991" s="124"/>
      <c r="DAV991" s="124"/>
      <c r="DAW991" s="124"/>
      <c r="DAX991" s="124"/>
      <c r="DAY991" s="124"/>
      <c r="DAZ991" s="124"/>
      <c r="DBA991" s="124"/>
      <c r="DBB991" s="124"/>
      <c r="DBC991" s="124"/>
      <c r="DBD991" s="124"/>
      <c r="DBE991" s="124"/>
      <c r="DBF991" s="124"/>
      <c r="DBG991" s="124"/>
      <c r="DBH991" s="124"/>
      <c r="DBI991" s="124"/>
      <c r="DBJ991" s="124"/>
      <c r="DBK991" s="124"/>
      <c r="DBL991" s="124"/>
      <c r="DBM991" s="124"/>
      <c r="DBN991" s="124"/>
      <c r="DBO991" s="124"/>
      <c r="DBP991" s="124"/>
      <c r="DBQ991" s="124"/>
      <c r="DBR991" s="124"/>
      <c r="DBS991" s="124"/>
      <c r="DBT991" s="124"/>
      <c r="DBU991" s="124"/>
      <c r="DBV991" s="124"/>
      <c r="DBW991" s="124"/>
      <c r="DBX991" s="124"/>
      <c r="DBY991" s="124"/>
      <c r="DBZ991" s="124"/>
      <c r="DCA991" s="124"/>
      <c r="DCB991" s="124"/>
      <c r="DCC991" s="124"/>
      <c r="DCD991" s="124"/>
      <c r="DCE991" s="124"/>
      <c r="DCF991" s="124"/>
      <c r="DCG991" s="124"/>
      <c r="DCH991" s="124"/>
      <c r="DCI991" s="124"/>
      <c r="DCJ991" s="124"/>
      <c r="DCK991" s="124"/>
      <c r="DCL991" s="124"/>
      <c r="DCM991" s="124"/>
      <c r="DCN991" s="124"/>
      <c r="DCO991" s="124"/>
      <c r="DCP991" s="124"/>
      <c r="DCQ991" s="124"/>
      <c r="DCR991" s="124"/>
      <c r="DCS991" s="124"/>
      <c r="DCT991" s="124"/>
      <c r="DCU991" s="124"/>
      <c r="DCV991" s="124"/>
      <c r="DCW991" s="124"/>
      <c r="DCX991" s="124"/>
      <c r="DCY991" s="124"/>
      <c r="DCZ991" s="124"/>
      <c r="DDA991" s="124"/>
      <c r="DDB991" s="124"/>
      <c r="DDC991" s="124"/>
      <c r="DDD991" s="124"/>
      <c r="DDE991" s="124"/>
      <c r="DDF991" s="124"/>
      <c r="DDG991" s="124"/>
      <c r="DDH991" s="124"/>
      <c r="DDI991" s="124"/>
      <c r="DDJ991" s="124"/>
      <c r="DDK991" s="124"/>
      <c r="DDL991" s="124"/>
      <c r="DDM991" s="124"/>
      <c r="DDN991" s="124"/>
      <c r="DDO991" s="124"/>
      <c r="DDP991" s="124"/>
      <c r="DDQ991" s="124"/>
      <c r="DDR991" s="124"/>
      <c r="DDS991" s="124"/>
      <c r="DDT991" s="124"/>
      <c r="DDU991" s="124"/>
      <c r="DDV991" s="124"/>
      <c r="DDW991" s="124"/>
      <c r="DDX991" s="124"/>
      <c r="DDY991" s="124"/>
      <c r="DDZ991" s="124"/>
      <c r="DEA991" s="124"/>
      <c r="DEB991" s="124"/>
      <c r="DEC991" s="124"/>
      <c r="DED991" s="124"/>
      <c r="DEE991" s="124"/>
      <c r="DEF991" s="124"/>
      <c r="DEG991" s="124"/>
      <c r="DEH991" s="124"/>
      <c r="DEI991" s="124"/>
      <c r="DEJ991" s="124"/>
      <c r="DEK991" s="124"/>
      <c r="DEL991" s="124"/>
      <c r="DEM991" s="124"/>
      <c r="DEN991" s="124"/>
      <c r="DEO991" s="124"/>
      <c r="DEP991" s="124"/>
      <c r="DEQ991" s="124"/>
      <c r="DER991" s="124"/>
      <c r="DES991" s="124"/>
      <c r="DET991" s="124"/>
      <c r="DEU991" s="124"/>
      <c r="DEV991" s="124"/>
      <c r="DEW991" s="124"/>
      <c r="DEX991" s="124"/>
      <c r="DEY991" s="124"/>
      <c r="DEZ991" s="124"/>
      <c r="DFA991" s="124"/>
      <c r="DFB991" s="124"/>
      <c r="DFC991" s="124"/>
      <c r="DFD991" s="124"/>
      <c r="DFE991" s="124"/>
      <c r="DFF991" s="124"/>
      <c r="DFG991" s="124"/>
      <c r="DFH991" s="124"/>
      <c r="DFI991" s="124"/>
      <c r="DFJ991" s="124"/>
      <c r="DFK991" s="124"/>
      <c r="DFL991" s="124"/>
      <c r="DFM991" s="124"/>
      <c r="DFN991" s="124"/>
      <c r="DFO991" s="124"/>
      <c r="DFP991" s="124"/>
      <c r="DFQ991" s="124"/>
      <c r="DFR991" s="124"/>
      <c r="DFS991" s="124"/>
      <c r="DFT991" s="124"/>
      <c r="DFU991" s="124"/>
      <c r="DFV991" s="124"/>
      <c r="DFW991" s="124"/>
      <c r="DFX991" s="124"/>
      <c r="DFY991" s="124"/>
      <c r="DFZ991" s="124"/>
      <c r="DGA991" s="124"/>
      <c r="DGB991" s="124"/>
      <c r="DGC991" s="124"/>
      <c r="DGD991" s="124"/>
      <c r="DGE991" s="124"/>
      <c r="DGF991" s="124"/>
      <c r="DGG991" s="124"/>
      <c r="DGH991" s="124"/>
      <c r="DGI991" s="124"/>
      <c r="DGJ991" s="124"/>
      <c r="DGK991" s="124"/>
      <c r="DGL991" s="124"/>
      <c r="DGM991" s="124"/>
      <c r="DGN991" s="124"/>
      <c r="DGO991" s="124"/>
      <c r="DGP991" s="124"/>
      <c r="DGQ991" s="124"/>
      <c r="DGR991" s="124"/>
      <c r="DGS991" s="124"/>
      <c r="DGT991" s="124"/>
      <c r="DGU991" s="124"/>
      <c r="DGV991" s="124"/>
      <c r="DGW991" s="124"/>
      <c r="DGX991" s="124"/>
      <c r="DGY991" s="124"/>
      <c r="DGZ991" s="124"/>
      <c r="DHA991" s="124"/>
      <c r="DHB991" s="124"/>
      <c r="DHC991" s="124"/>
      <c r="DHD991" s="124"/>
      <c r="DHE991" s="124"/>
      <c r="DHF991" s="124"/>
      <c r="DHG991" s="124"/>
      <c r="DHH991" s="124"/>
      <c r="DHI991" s="124"/>
      <c r="DHJ991" s="124"/>
      <c r="DHK991" s="124"/>
      <c r="DHL991" s="124"/>
      <c r="DHM991" s="124"/>
      <c r="DHN991" s="124"/>
      <c r="DHO991" s="124"/>
      <c r="DHP991" s="124"/>
      <c r="DHQ991" s="124"/>
      <c r="DHR991" s="124"/>
      <c r="DHS991" s="124"/>
      <c r="DHT991" s="124"/>
      <c r="DHU991" s="124"/>
      <c r="DHV991" s="124"/>
      <c r="DHW991" s="124"/>
      <c r="DHX991" s="124"/>
      <c r="DHY991" s="124"/>
      <c r="DHZ991" s="124"/>
      <c r="DIA991" s="124"/>
      <c r="DIB991" s="124"/>
      <c r="DIC991" s="124"/>
      <c r="DID991" s="124"/>
      <c r="DIE991" s="124"/>
      <c r="DIF991" s="124"/>
      <c r="DIG991" s="124"/>
      <c r="DIH991" s="124"/>
      <c r="DII991" s="124"/>
      <c r="DIJ991" s="124"/>
      <c r="DIK991" s="124"/>
      <c r="DIL991" s="124"/>
      <c r="DIM991" s="124"/>
      <c r="DIN991" s="124"/>
      <c r="DIO991" s="124"/>
      <c r="DIP991" s="124"/>
      <c r="DIQ991" s="124"/>
      <c r="DIR991" s="124"/>
      <c r="DIS991" s="124"/>
      <c r="DIT991" s="124"/>
      <c r="DIU991" s="124"/>
      <c r="DIV991" s="124"/>
      <c r="DIW991" s="124"/>
      <c r="DIX991" s="124"/>
      <c r="DIY991" s="124"/>
      <c r="DIZ991" s="124"/>
      <c r="DJA991" s="124"/>
      <c r="DJB991" s="124"/>
      <c r="DJC991" s="124"/>
      <c r="DJD991" s="124"/>
      <c r="DJE991" s="124"/>
      <c r="DJF991" s="124"/>
      <c r="DJG991" s="124"/>
      <c r="DJH991" s="124"/>
      <c r="DJI991" s="124"/>
      <c r="DJJ991" s="124"/>
      <c r="DJK991" s="124"/>
      <c r="DJL991" s="124"/>
      <c r="DJM991" s="124"/>
      <c r="DJN991" s="124"/>
      <c r="DJO991" s="124"/>
      <c r="DJP991" s="124"/>
      <c r="DJQ991" s="124"/>
      <c r="DJR991" s="124"/>
      <c r="DJS991" s="124"/>
      <c r="DJT991" s="124"/>
      <c r="DJU991" s="124"/>
      <c r="DJV991" s="124"/>
      <c r="DJW991" s="124"/>
      <c r="DJX991" s="124"/>
      <c r="DJY991" s="124"/>
      <c r="DJZ991" s="124"/>
      <c r="DKA991" s="124"/>
      <c r="DKB991" s="124"/>
      <c r="DKC991" s="124"/>
      <c r="DKD991" s="124"/>
      <c r="DKE991" s="124"/>
      <c r="DKF991" s="124"/>
      <c r="DKG991" s="124"/>
      <c r="DKH991" s="124"/>
      <c r="DKI991" s="124"/>
      <c r="DKJ991" s="124"/>
      <c r="DKK991" s="124"/>
      <c r="DKL991" s="124"/>
      <c r="DKM991" s="124"/>
      <c r="DKN991" s="124"/>
      <c r="DKO991" s="124"/>
      <c r="DKP991" s="124"/>
      <c r="DKQ991" s="124"/>
      <c r="DKR991" s="124"/>
      <c r="DKS991" s="124"/>
      <c r="DKT991" s="124"/>
      <c r="DKU991" s="124"/>
      <c r="DKV991" s="124"/>
      <c r="DKW991" s="124"/>
      <c r="DKX991" s="124"/>
      <c r="DKY991" s="124"/>
      <c r="DKZ991" s="124"/>
      <c r="DLA991" s="124"/>
      <c r="DLB991" s="124"/>
      <c r="DLC991" s="124"/>
      <c r="DLD991" s="124"/>
      <c r="DLE991" s="124"/>
      <c r="DLF991" s="124"/>
      <c r="DLG991" s="124"/>
      <c r="DLH991" s="124"/>
      <c r="DLI991" s="124"/>
      <c r="DLJ991" s="124"/>
      <c r="DLK991" s="124"/>
      <c r="DLL991" s="124"/>
      <c r="DLM991" s="124"/>
      <c r="DLN991" s="124"/>
      <c r="DLO991" s="124"/>
      <c r="DLP991" s="124"/>
      <c r="DLQ991" s="124"/>
      <c r="DLR991" s="124"/>
      <c r="DLS991" s="124"/>
      <c r="DLT991" s="124"/>
      <c r="DLU991" s="124"/>
      <c r="DLV991" s="124"/>
      <c r="DLW991" s="124"/>
      <c r="DLX991" s="124"/>
      <c r="DLY991" s="124"/>
      <c r="DLZ991" s="124"/>
      <c r="DMA991" s="124"/>
      <c r="DMB991" s="124"/>
      <c r="DMC991" s="124"/>
      <c r="DMD991" s="124"/>
      <c r="DME991" s="124"/>
      <c r="DMF991" s="124"/>
      <c r="DMG991" s="124"/>
      <c r="DMH991" s="124"/>
      <c r="DMI991" s="124"/>
      <c r="DMJ991" s="124"/>
      <c r="DMK991" s="124"/>
      <c r="DML991" s="124"/>
      <c r="DMM991" s="124"/>
      <c r="DMN991" s="124"/>
      <c r="DMO991" s="124"/>
      <c r="DMP991" s="124"/>
      <c r="DMQ991" s="124"/>
      <c r="DMR991" s="124"/>
      <c r="DMS991" s="124"/>
      <c r="DMT991" s="124"/>
      <c r="DMU991" s="124"/>
      <c r="DMV991" s="124"/>
      <c r="DMW991" s="124"/>
      <c r="DMX991" s="124"/>
      <c r="DMY991" s="124"/>
      <c r="DMZ991" s="124"/>
      <c r="DNA991" s="124"/>
      <c r="DNB991" s="124"/>
      <c r="DNC991" s="124"/>
      <c r="DND991" s="124"/>
      <c r="DNE991" s="124"/>
      <c r="DNF991" s="124"/>
      <c r="DNG991" s="124"/>
      <c r="DNH991" s="124"/>
      <c r="DNI991" s="124"/>
      <c r="DNJ991" s="124"/>
      <c r="DNK991" s="124"/>
      <c r="DNL991" s="124"/>
      <c r="DNM991" s="124"/>
      <c r="DNN991" s="124"/>
      <c r="DNO991" s="124"/>
      <c r="DNP991" s="124"/>
      <c r="DNQ991" s="124"/>
      <c r="DNR991" s="124"/>
      <c r="DNS991" s="124"/>
      <c r="DNT991" s="124"/>
      <c r="DNU991" s="124"/>
      <c r="DNV991" s="124"/>
      <c r="DNW991" s="124"/>
      <c r="DNX991" s="124"/>
      <c r="DNY991" s="124"/>
      <c r="DNZ991" s="124"/>
      <c r="DOA991" s="124"/>
      <c r="DOB991" s="124"/>
      <c r="DOC991" s="124"/>
      <c r="DOD991" s="124"/>
      <c r="DOE991" s="124"/>
      <c r="DOF991" s="124"/>
      <c r="DOG991" s="124"/>
      <c r="DOH991" s="124"/>
      <c r="DOI991" s="124"/>
      <c r="DOJ991" s="124"/>
      <c r="DOK991" s="124"/>
      <c r="DOL991" s="124"/>
      <c r="DOM991" s="124"/>
      <c r="DON991" s="124"/>
      <c r="DOO991" s="124"/>
      <c r="DOP991" s="124"/>
      <c r="DOQ991" s="124"/>
      <c r="DOR991" s="124"/>
      <c r="DOS991" s="124"/>
      <c r="DOT991" s="124"/>
      <c r="DOU991" s="124"/>
      <c r="DOV991" s="124"/>
      <c r="DOW991" s="124"/>
      <c r="DOX991" s="124"/>
      <c r="DOY991" s="124"/>
      <c r="DOZ991" s="124"/>
      <c r="DPA991" s="124"/>
      <c r="DPB991" s="124"/>
      <c r="DPC991" s="124"/>
      <c r="DPD991" s="124"/>
      <c r="DPE991" s="124"/>
      <c r="DPF991" s="124"/>
      <c r="DPG991" s="124"/>
      <c r="DPH991" s="124"/>
      <c r="DPI991" s="124"/>
      <c r="DPJ991" s="124"/>
      <c r="DPK991" s="124"/>
      <c r="DPL991" s="124"/>
      <c r="DPM991" s="124"/>
      <c r="DPN991" s="124"/>
      <c r="DPO991" s="124"/>
      <c r="DPP991" s="124"/>
      <c r="DPQ991" s="124"/>
      <c r="DPR991" s="124"/>
      <c r="DPS991" s="124"/>
      <c r="DPT991" s="124"/>
      <c r="DPU991" s="124"/>
      <c r="DPV991" s="124"/>
      <c r="DPW991" s="124"/>
      <c r="DPX991" s="124"/>
      <c r="DPY991" s="124"/>
      <c r="DPZ991" s="124"/>
      <c r="DQA991" s="124"/>
      <c r="DQB991" s="124"/>
      <c r="DQC991" s="124"/>
      <c r="DQD991" s="124"/>
      <c r="DQE991" s="124"/>
      <c r="DQF991" s="124"/>
      <c r="DQG991" s="124"/>
      <c r="DQH991" s="124"/>
      <c r="DQI991" s="124"/>
      <c r="DQJ991" s="124"/>
      <c r="DQK991" s="124"/>
      <c r="DQL991" s="124"/>
      <c r="DQM991" s="124"/>
      <c r="DQN991" s="124"/>
      <c r="DQO991" s="124"/>
      <c r="DQP991" s="124"/>
      <c r="DQQ991" s="124"/>
      <c r="DQR991" s="124"/>
      <c r="DQS991" s="124"/>
      <c r="DQT991" s="124"/>
      <c r="DQU991" s="124"/>
      <c r="DQV991" s="124"/>
      <c r="DQW991" s="124"/>
      <c r="DQX991" s="124"/>
      <c r="DQY991" s="124"/>
      <c r="DQZ991" s="124"/>
      <c r="DRA991" s="124"/>
      <c r="DRB991" s="124"/>
      <c r="DRC991" s="124"/>
      <c r="DRD991" s="124"/>
      <c r="DRE991" s="124"/>
      <c r="DRF991" s="124"/>
      <c r="DRG991" s="124"/>
      <c r="DRH991" s="124"/>
      <c r="DRI991" s="124"/>
      <c r="DRJ991" s="124"/>
      <c r="DRK991" s="124"/>
      <c r="DRL991" s="124"/>
      <c r="DRM991" s="124"/>
      <c r="DRN991" s="124"/>
      <c r="DRO991" s="124"/>
      <c r="DRP991" s="124"/>
      <c r="DRQ991" s="124"/>
      <c r="DRR991" s="124"/>
      <c r="DRS991" s="124"/>
      <c r="DRT991" s="124"/>
      <c r="DRU991" s="124"/>
      <c r="DRV991" s="124"/>
      <c r="DRW991" s="124"/>
      <c r="DRX991" s="124"/>
      <c r="DRY991" s="124"/>
      <c r="DRZ991" s="124"/>
      <c r="DSA991" s="124"/>
      <c r="DSB991" s="124"/>
      <c r="DSC991" s="124"/>
      <c r="DSD991" s="124"/>
      <c r="DSE991" s="124"/>
      <c r="DSF991" s="124"/>
      <c r="DSG991" s="124"/>
      <c r="DSH991" s="124"/>
      <c r="DSI991" s="124"/>
      <c r="DSJ991" s="124"/>
      <c r="DSK991" s="124"/>
      <c r="DSL991" s="124"/>
      <c r="DSM991" s="124"/>
      <c r="DSN991" s="124"/>
      <c r="DSO991" s="124"/>
      <c r="DSP991" s="124"/>
      <c r="DSQ991" s="124"/>
      <c r="DSR991" s="124"/>
      <c r="DSS991" s="124"/>
      <c r="DST991" s="124"/>
      <c r="DSU991" s="124"/>
      <c r="DSV991" s="124"/>
      <c r="DSW991" s="124"/>
      <c r="DSX991" s="124"/>
      <c r="DSY991" s="124"/>
      <c r="DSZ991" s="124"/>
      <c r="DTA991" s="124"/>
      <c r="DTB991" s="124"/>
      <c r="DTC991" s="124"/>
      <c r="DTD991" s="124"/>
      <c r="DTE991" s="124"/>
      <c r="DTF991" s="124"/>
      <c r="DTG991" s="124"/>
      <c r="DTH991" s="124"/>
      <c r="DTI991" s="124"/>
      <c r="DTJ991" s="124"/>
      <c r="DTK991" s="124"/>
      <c r="DTL991" s="124"/>
      <c r="DTM991" s="124"/>
      <c r="DTN991" s="124"/>
      <c r="DTO991" s="124"/>
      <c r="DTP991" s="124"/>
      <c r="DTQ991" s="124"/>
      <c r="DTR991" s="124"/>
      <c r="DTS991" s="124"/>
      <c r="DTT991" s="124"/>
      <c r="DTU991" s="124"/>
      <c r="DTV991" s="124"/>
      <c r="DTW991" s="124"/>
      <c r="DTX991" s="124"/>
      <c r="DTY991" s="124"/>
      <c r="DTZ991" s="124"/>
      <c r="DUA991" s="124"/>
      <c r="DUB991" s="124"/>
      <c r="DUC991" s="124"/>
      <c r="DUD991" s="124"/>
      <c r="DUE991" s="124"/>
      <c r="DUF991" s="124"/>
      <c r="DUG991" s="124"/>
      <c r="DUH991" s="124"/>
      <c r="DUI991" s="124"/>
      <c r="DUJ991" s="124"/>
      <c r="DUK991" s="124"/>
      <c r="DUL991" s="124"/>
      <c r="DUM991" s="124"/>
      <c r="DUN991" s="124"/>
      <c r="DUO991" s="124"/>
      <c r="DUP991" s="124"/>
      <c r="DUQ991" s="124"/>
      <c r="DUR991" s="124"/>
      <c r="DUS991" s="124"/>
      <c r="DUT991" s="124"/>
      <c r="DUU991" s="124"/>
      <c r="DUV991" s="124"/>
      <c r="DUW991" s="124"/>
      <c r="DUX991" s="124"/>
      <c r="DUY991" s="124"/>
      <c r="DUZ991" s="124"/>
      <c r="DVA991" s="124"/>
      <c r="DVB991" s="124"/>
      <c r="DVC991" s="124"/>
      <c r="DVD991" s="124"/>
      <c r="DVE991" s="124"/>
      <c r="DVF991" s="124"/>
      <c r="DVG991" s="124"/>
      <c r="DVH991" s="124"/>
      <c r="DVI991" s="124"/>
      <c r="DVJ991" s="124"/>
      <c r="DVK991" s="124"/>
      <c r="DVL991" s="124"/>
      <c r="DVM991" s="124"/>
      <c r="DVN991" s="124"/>
      <c r="DVO991" s="124"/>
      <c r="DVP991" s="124"/>
      <c r="DVQ991" s="124"/>
      <c r="DVR991" s="124"/>
      <c r="DVS991" s="124"/>
      <c r="DVT991" s="124"/>
      <c r="DVU991" s="124"/>
      <c r="DVV991" s="124"/>
      <c r="DVW991" s="124"/>
      <c r="DVX991" s="124"/>
      <c r="DVY991" s="124"/>
      <c r="DVZ991" s="124"/>
      <c r="DWA991" s="124"/>
      <c r="DWB991" s="124"/>
      <c r="DWC991" s="124"/>
      <c r="DWD991" s="124"/>
      <c r="DWE991" s="124"/>
      <c r="DWF991" s="124"/>
      <c r="DWG991" s="124"/>
      <c r="DWH991" s="124"/>
      <c r="DWI991" s="124"/>
      <c r="DWJ991" s="124"/>
      <c r="DWK991" s="124"/>
      <c r="DWL991" s="124"/>
      <c r="DWM991" s="124"/>
      <c r="DWN991" s="124"/>
      <c r="DWO991" s="124"/>
      <c r="DWP991" s="124"/>
      <c r="DWQ991" s="124"/>
      <c r="DWR991" s="124"/>
      <c r="DWS991" s="124"/>
      <c r="DWT991" s="124"/>
      <c r="DWU991" s="124"/>
      <c r="DWV991" s="124"/>
      <c r="DWW991" s="124"/>
      <c r="DWX991" s="124"/>
      <c r="DWY991" s="124"/>
      <c r="DWZ991" s="124"/>
      <c r="DXA991" s="124"/>
      <c r="DXB991" s="124"/>
      <c r="DXC991" s="124"/>
      <c r="DXD991" s="124"/>
      <c r="DXE991" s="124"/>
      <c r="DXF991" s="124"/>
      <c r="DXG991" s="124"/>
      <c r="DXH991" s="124"/>
      <c r="DXI991" s="124"/>
      <c r="DXJ991" s="124"/>
      <c r="DXK991" s="124"/>
      <c r="DXL991" s="124"/>
      <c r="DXM991" s="124"/>
      <c r="DXN991" s="124"/>
      <c r="DXO991" s="124"/>
      <c r="DXP991" s="124"/>
      <c r="DXQ991" s="124"/>
      <c r="DXR991" s="124"/>
      <c r="DXS991" s="124"/>
      <c r="DXT991" s="124"/>
      <c r="DXU991" s="124"/>
      <c r="DXV991" s="124"/>
      <c r="DXW991" s="124"/>
      <c r="DXX991" s="124"/>
      <c r="DXY991" s="124"/>
      <c r="DXZ991" s="124"/>
      <c r="DYA991" s="124"/>
      <c r="DYB991" s="124"/>
      <c r="DYC991" s="124"/>
      <c r="DYD991" s="124"/>
      <c r="DYE991" s="124"/>
      <c r="DYF991" s="124"/>
      <c r="DYG991" s="124"/>
      <c r="DYH991" s="124"/>
      <c r="DYI991" s="124"/>
      <c r="DYJ991" s="124"/>
      <c r="DYK991" s="124"/>
      <c r="DYL991" s="124"/>
      <c r="DYM991" s="124"/>
      <c r="DYN991" s="124"/>
      <c r="DYO991" s="124"/>
      <c r="DYP991" s="124"/>
      <c r="DYQ991" s="124"/>
      <c r="DYR991" s="124"/>
      <c r="DYS991" s="124"/>
      <c r="DYT991" s="124"/>
      <c r="DYU991" s="124"/>
      <c r="DYV991" s="124"/>
      <c r="DYW991" s="124"/>
      <c r="DYX991" s="124"/>
      <c r="DYY991" s="124"/>
      <c r="DYZ991" s="124"/>
      <c r="DZA991" s="124"/>
      <c r="DZB991" s="124"/>
      <c r="DZC991" s="124"/>
      <c r="DZD991" s="124"/>
      <c r="DZE991" s="124"/>
      <c r="DZF991" s="124"/>
      <c r="DZG991" s="124"/>
      <c r="DZH991" s="124"/>
      <c r="DZI991" s="124"/>
      <c r="DZJ991" s="124"/>
      <c r="DZK991" s="124"/>
      <c r="DZL991" s="124"/>
      <c r="DZM991" s="124"/>
      <c r="DZN991" s="124"/>
      <c r="DZO991" s="124"/>
      <c r="DZP991" s="124"/>
      <c r="DZQ991" s="124"/>
      <c r="DZR991" s="124"/>
      <c r="DZS991" s="124"/>
      <c r="DZT991" s="124"/>
      <c r="DZU991" s="124"/>
      <c r="DZV991" s="124"/>
      <c r="DZW991" s="124"/>
      <c r="DZX991" s="124"/>
      <c r="DZY991" s="124"/>
      <c r="DZZ991" s="124"/>
      <c r="EAA991" s="124"/>
      <c r="EAB991" s="124"/>
      <c r="EAC991" s="124"/>
      <c r="EAD991" s="124"/>
      <c r="EAE991" s="124"/>
      <c r="EAF991" s="124"/>
      <c r="EAG991" s="124"/>
      <c r="EAH991" s="124"/>
      <c r="EAI991" s="124"/>
      <c r="EAJ991" s="124"/>
      <c r="EAK991" s="124"/>
      <c r="EAL991" s="124"/>
      <c r="EAM991" s="124"/>
      <c r="EAN991" s="124"/>
      <c r="EAO991" s="124"/>
      <c r="EAP991" s="124"/>
      <c r="EAQ991" s="124"/>
      <c r="EAR991" s="124"/>
      <c r="EAS991" s="124"/>
      <c r="EAT991" s="124"/>
      <c r="EAU991" s="124"/>
      <c r="EAV991" s="124"/>
      <c r="EAW991" s="124"/>
      <c r="EAX991" s="124"/>
      <c r="EAY991" s="124"/>
      <c r="EAZ991" s="124"/>
      <c r="EBA991" s="124"/>
      <c r="EBB991" s="124"/>
      <c r="EBC991" s="124"/>
      <c r="EBD991" s="124"/>
      <c r="EBE991" s="124"/>
      <c r="EBF991" s="124"/>
      <c r="EBG991" s="124"/>
      <c r="EBH991" s="124"/>
      <c r="EBI991" s="124"/>
      <c r="EBJ991" s="124"/>
      <c r="EBK991" s="124"/>
      <c r="EBL991" s="124"/>
      <c r="EBM991" s="124"/>
      <c r="EBN991" s="124"/>
      <c r="EBO991" s="124"/>
      <c r="EBP991" s="124"/>
      <c r="EBQ991" s="124"/>
      <c r="EBR991" s="124"/>
      <c r="EBS991" s="124"/>
      <c r="EBT991" s="124"/>
      <c r="EBU991" s="124"/>
      <c r="EBV991" s="124"/>
      <c r="EBW991" s="124"/>
      <c r="EBX991" s="124"/>
      <c r="EBY991" s="124"/>
      <c r="EBZ991" s="124"/>
      <c r="ECA991" s="124"/>
      <c r="ECB991" s="124"/>
      <c r="ECC991" s="124"/>
      <c r="ECD991" s="124"/>
      <c r="ECE991" s="124"/>
      <c r="ECF991" s="124"/>
      <c r="ECG991" s="124"/>
      <c r="ECH991" s="124"/>
      <c r="ECI991" s="124"/>
      <c r="ECJ991" s="124"/>
      <c r="ECK991" s="124"/>
      <c r="ECL991" s="124"/>
      <c r="ECM991" s="124"/>
      <c r="ECN991" s="124"/>
      <c r="ECO991" s="124"/>
      <c r="ECP991" s="124"/>
      <c r="ECQ991" s="124"/>
      <c r="ECR991" s="124"/>
      <c r="ECS991" s="124"/>
      <c r="ECT991" s="124"/>
      <c r="ECU991" s="124"/>
      <c r="ECV991" s="124"/>
      <c r="ECW991" s="124"/>
      <c r="ECX991" s="124"/>
      <c r="ECY991" s="124"/>
      <c r="ECZ991" s="124"/>
      <c r="EDA991" s="124"/>
      <c r="EDB991" s="124"/>
      <c r="EDC991" s="124"/>
      <c r="EDD991" s="124"/>
      <c r="EDE991" s="124"/>
      <c r="EDF991" s="124"/>
      <c r="EDG991" s="124"/>
      <c r="EDH991" s="124"/>
      <c r="EDI991" s="124"/>
      <c r="EDJ991" s="124"/>
      <c r="EDK991" s="124"/>
      <c r="EDL991" s="124"/>
      <c r="EDM991" s="124"/>
      <c r="EDN991" s="124"/>
      <c r="EDO991" s="124"/>
      <c r="EDP991" s="124"/>
      <c r="EDQ991" s="124"/>
      <c r="EDR991" s="124"/>
      <c r="EDS991" s="124"/>
      <c r="EDT991" s="124"/>
      <c r="EDU991" s="124"/>
      <c r="EDV991" s="124"/>
      <c r="EDW991" s="124"/>
      <c r="EDX991" s="124"/>
      <c r="EDY991" s="124"/>
      <c r="EDZ991" s="124"/>
      <c r="EEA991" s="124"/>
      <c r="EEB991" s="124"/>
      <c r="EEC991" s="124"/>
      <c r="EED991" s="124"/>
      <c r="EEE991" s="124"/>
      <c r="EEF991" s="124"/>
      <c r="EEG991" s="124"/>
      <c r="EEH991" s="124"/>
      <c r="EEI991" s="124"/>
      <c r="EEJ991" s="124"/>
      <c r="EEK991" s="124"/>
      <c r="EEL991" s="124"/>
      <c r="EEM991" s="124"/>
      <c r="EEN991" s="124"/>
      <c r="EEO991" s="124"/>
      <c r="EEP991" s="124"/>
      <c r="EEQ991" s="124"/>
      <c r="EER991" s="124"/>
      <c r="EES991" s="124"/>
      <c r="EET991" s="124"/>
      <c r="EEU991" s="124"/>
      <c r="EEV991" s="124"/>
      <c r="EEW991" s="124"/>
      <c r="EEX991" s="124"/>
      <c r="EEY991" s="124"/>
      <c r="EEZ991" s="124"/>
      <c r="EFA991" s="124"/>
      <c r="EFB991" s="124"/>
      <c r="EFC991" s="124"/>
      <c r="EFD991" s="124"/>
      <c r="EFE991" s="124"/>
      <c r="EFF991" s="124"/>
      <c r="EFG991" s="124"/>
      <c r="EFH991" s="124"/>
      <c r="EFI991" s="124"/>
      <c r="EFJ991" s="124"/>
      <c r="EFK991" s="124"/>
      <c r="EFL991" s="124"/>
      <c r="EFM991" s="124"/>
      <c r="EFN991" s="124"/>
      <c r="EFO991" s="124"/>
      <c r="EFP991" s="124"/>
      <c r="EFQ991" s="124"/>
      <c r="EFR991" s="124"/>
      <c r="EFS991" s="124"/>
      <c r="EFT991" s="124"/>
      <c r="EFU991" s="124"/>
      <c r="EFV991" s="124"/>
      <c r="EFW991" s="124"/>
      <c r="EFX991" s="124"/>
      <c r="EFY991" s="124"/>
      <c r="EFZ991" s="124"/>
      <c r="EGA991" s="124"/>
      <c r="EGB991" s="124"/>
      <c r="EGC991" s="124"/>
      <c r="EGD991" s="124"/>
      <c r="EGE991" s="124"/>
      <c r="EGF991" s="124"/>
      <c r="EGG991" s="124"/>
      <c r="EGH991" s="124"/>
      <c r="EGI991" s="124"/>
      <c r="EGJ991" s="124"/>
      <c r="EGK991" s="124"/>
      <c r="EGL991" s="124"/>
      <c r="EGM991" s="124"/>
      <c r="EGN991" s="124"/>
      <c r="EGO991" s="124"/>
      <c r="EGP991" s="124"/>
      <c r="EGQ991" s="124"/>
      <c r="EGR991" s="124"/>
      <c r="EGS991" s="124"/>
      <c r="EGT991" s="124"/>
      <c r="EGU991" s="124"/>
      <c r="EGV991" s="124"/>
      <c r="EGW991" s="124"/>
      <c r="EGX991" s="124"/>
      <c r="EGY991" s="124"/>
      <c r="EGZ991" s="124"/>
      <c r="EHA991" s="124"/>
      <c r="EHB991" s="124"/>
      <c r="EHC991" s="124"/>
      <c r="EHD991" s="124"/>
      <c r="EHE991" s="124"/>
      <c r="EHF991" s="124"/>
      <c r="EHG991" s="124"/>
      <c r="EHH991" s="124"/>
      <c r="EHI991" s="124"/>
      <c r="EHJ991" s="124"/>
      <c r="EHK991" s="124"/>
      <c r="EHL991" s="124"/>
      <c r="EHM991" s="124"/>
      <c r="EHN991" s="124"/>
      <c r="EHO991" s="124"/>
      <c r="EHP991" s="124"/>
      <c r="EHQ991" s="124"/>
      <c r="EHR991" s="124"/>
      <c r="EHS991" s="124"/>
      <c r="EHT991" s="124"/>
      <c r="EHU991" s="124"/>
      <c r="EHV991" s="124"/>
      <c r="EHW991" s="124"/>
      <c r="EHX991" s="124"/>
      <c r="EHY991" s="124"/>
      <c r="EHZ991" s="124"/>
      <c r="EIA991" s="124"/>
      <c r="EIB991" s="124"/>
      <c r="EIC991" s="124"/>
      <c r="EID991" s="124"/>
      <c r="EIE991" s="124"/>
      <c r="EIF991" s="124"/>
      <c r="EIG991" s="124"/>
      <c r="EIH991" s="124"/>
      <c r="EII991" s="124"/>
      <c r="EIJ991" s="124"/>
      <c r="EIK991" s="124"/>
      <c r="EIL991" s="124"/>
      <c r="EIM991" s="124"/>
      <c r="EIN991" s="124"/>
      <c r="EIO991" s="124"/>
      <c r="EIP991" s="124"/>
      <c r="EIQ991" s="124"/>
      <c r="EIR991" s="124"/>
      <c r="EIS991" s="124"/>
      <c r="EIT991" s="124"/>
      <c r="EIU991" s="124"/>
      <c r="EIV991" s="124"/>
      <c r="EIW991" s="124"/>
      <c r="EIX991" s="124"/>
      <c r="EIY991" s="124"/>
      <c r="EIZ991" s="124"/>
      <c r="EJA991" s="124"/>
      <c r="EJB991" s="124"/>
      <c r="EJC991" s="124"/>
      <c r="EJD991" s="124"/>
      <c r="EJE991" s="124"/>
      <c r="EJF991" s="124"/>
      <c r="EJG991" s="124"/>
      <c r="EJH991" s="124"/>
      <c r="EJI991" s="124"/>
      <c r="EJJ991" s="124"/>
      <c r="EJK991" s="124"/>
      <c r="EJL991" s="124"/>
      <c r="EJM991" s="124"/>
      <c r="EJN991" s="124"/>
      <c r="EJO991" s="124"/>
      <c r="EJP991" s="124"/>
      <c r="EJQ991" s="124"/>
      <c r="EJR991" s="124"/>
      <c r="EJS991" s="124"/>
      <c r="EJT991" s="124"/>
      <c r="EJU991" s="124"/>
      <c r="EJV991" s="124"/>
      <c r="EJW991" s="124"/>
      <c r="EJX991" s="124"/>
      <c r="EJY991" s="124"/>
      <c r="EJZ991" s="124"/>
      <c r="EKA991" s="124"/>
      <c r="EKB991" s="124"/>
      <c r="EKC991" s="124"/>
      <c r="EKD991" s="124"/>
      <c r="EKE991" s="124"/>
      <c r="EKF991" s="124"/>
      <c r="EKG991" s="124"/>
      <c r="EKH991" s="124"/>
      <c r="EKI991" s="124"/>
      <c r="EKJ991" s="124"/>
      <c r="EKK991" s="124"/>
      <c r="EKL991" s="124"/>
      <c r="EKM991" s="124"/>
      <c r="EKN991" s="124"/>
      <c r="EKO991" s="124"/>
      <c r="EKP991" s="124"/>
      <c r="EKQ991" s="124"/>
      <c r="EKR991" s="124"/>
      <c r="EKS991" s="124"/>
      <c r="EKT991" s="124"/>
      <c r="EKU991" s="124"/>
      <c r="EKV991" s="124"/>
      <c r="EKW991" s="124"/>
      <c r="EKX991" s="124"/>
      <c r="EKY991" s="124"/>
      <c r="EKZ991" s="124"/>
      <c r="ELA991" s="124"/>
      <c r="ELB991" s="124"/>
      <c r="ELC991" s="124"/>
      <c r="ELD991" s="124"/>
      <c r="ELE991" s="124"/>
      <c r="ELF991" s="124"/>
      <c r="ELG991" s="124"/>
      <c r="ELH991" s="124"/>
      <c r="ELI991" s="124"/>
      <c r="ELJ991" s="124"/>
      <c r="ELK991" s="124"/>
      <c r="ELL991" s="124"/>
      <c r="ELM991" s="124"/>
      <c r="ELN991" s="124"/>
      <c r="ELO991" s="124"/>
      <c r="ELP991" s="124"/>
      <c r="ELQ991" s="124"/>
      <c r="ELR991" s="124"/>
      <c r="ELS991" s="124"/>
      <c r="ELT991" s="124"/>
      <c r="ELU991" s="124"/>
      <c r="ELV991" s="124"/>
      <c r="ELW991" s="124"/>
      <c r="ELX991" s="124"/>
      <c r="ELY991" s="124"/>
      <c r="ELZ991" s="124"/>
      <c r="EMA991" s="124"/>
      <c r="EMB991" s="124"/>
      <c r="EMC991" s="124"/>
      <c r="EMD991" s="124"/>
      <c r="EME991" s="124"/>
      <c r="EMF991" s="124"/>
      <c r="EMG991" s="124"/>
      <c r="EMH991" s="124"/>
      <c r="EMI991" s="124"/>
      <c r="EMJ991" s="124"/>
      <c r="EMK991" s="124"/>
      <c r="EML991" s="124"/>
      <c r="EMM991" s="124"/>
      <c r="EMN991" s="124"/>
      <c r="EMO991" s="124"/>
      <c r="EMP991" s="124"/>
      <c r="EMQ991" s="124"/>
      <c r="EMR991" s="124"/>
      <c r="EMS991" s="124"/>
      <c r="EMT991" s="124"/>
      <c r="EMU991" s="124"/>
      <c r="EMV991" s="124"/>
      <c r="EMW991" s="124"/>
      <c r="EMX991" s="124"/>
      <c r="EMY991" s="124"/>
      <c r="EMZ991" s="124"/>
      <c r="ENA991" s="124"/>
      <c r="ENB991" s="124"/>
      <c r="ENC991" s="124"/>
      <c r="END991" s="124"/>
      <c r="ENE991" s="124"/>
      <c r="ENF991" s="124"/>
      <c r="ENG991" s="124"/>
      <c r="ENH991" s="124"/>
      <c r="ENI991" s="124"/>
      <c r="ENJ991" s="124"/>
      <c r="ENK991" s="124"/>
      <c r="ENL991" s="124"/>
      <c r="ENM991" s="124"/>
      <c r="ENN991" s="124"/>
      <c r="ENO991" s="124"/>
      <c r="ENP991" s="124"/>
      <c r="ENQ991" s="124"/>
      <c r="ENR991" s="124"/>
      <c r="ENS991" s="124"/>
      <c r="ENT991" s="124"/>
      <c r="ENU991" s="124"/>
      <c r="ENV991" s="124"/>
      <c r="ENW991" s="124"/>
      <c r="ENX991" s="124"/>
      <c r="ENY991" s="124"/>
      <c r="ENZ991" s="124"/>
      <c r="EOA991" s="124"/>
      <c r="EOB991" s="124"/>
      <c r="EOC991" s="124"/>
      <c r="EOD991" s="124"/>
      <c r="EOE991" s="124"/>
      <c r="EOF991" s="124"/>
      <c r="EOG991" s="124"/>
      <c r="EOH991" s="124"/>
      <c r="EOI991" s="124"/>
      <c r="EOJ991" s="124"/>
      <c r="EOK991" s="124"/>
      <c r="EOL991" s="124"/>
      <c r="EOM991" s="124"/>
      <c r="EON991" s="124"/>
      <c r="EOO991" s="124"/>
      <c r="EOP991" s="124"/>
      <c r="EOQ991" s="124"/>
      <c r="EOR991" s="124"/>
      <c r="EOS991" s="124"/>
      <c r="EOT991" s="124"/>
      <c r="EOU991" s="124"/>
      <c r="EOV991" s="124"/>
      <c r="EOW991" s="124"/>
      <c r="EOX991" s="124"/>
      <c r="EOY991" s="124"/>
      <c r="EOZ991" s="124"/>
      <c r="EPA991" s="124"/>
      <c r="EPB991" s="124"/>
      <c r="EPC991" s="124"/>
      <c r="EPD991" s="124"/>
      <c r="EPE991" s="124"/>
      <c r="EPF991" s="124"/>
      <c r="EPG991" s="124"/>
      <c r="EPH991" s="124"/>
      <c r="EPI991" s="124"/>
      <c r="EPJ991" s="124"/>
      <c r="EPK991" s="124"/>
      <c r="EPL991" s="124"/>
      <c r="EPM991" s="124"/>
      <c r="EPN991" s="124"/>
      <c r="EPO991" s="124"/>
      <c r="EPP991" s="124"/>
      <c r="EPQ991" s="124"/>
      <c r="EPR991" s="124"/>
      <c r="EPS991" s="124"/>
      <c r="EPT991" s="124"/>
      <c r="EPU991" s="124"/>
      <c r="EPV991" s="124"/>
      <c r="EPW991" s="124"/>
      <c r="EPX991" s="124"/>
      <c r="EPY991" s="124"/>
      <c r="EPZ991" s="124"/>
      <c r="EQA991" s="124"/>
      <c r="EQB991" s="124"/>
      <c r="EQC991" s="124"/>
      <c r="EQD991" s="124"/>
      <c r="EQE991" s="124"/>
      <c r="EQF991" s="124"/>
      <c r="EQG991" s="124"/>
      <c r="EQH991" s="124"/>
      <c r="EQI991" s="124"/>
      <c r="EQJ991" s="124"/>
      <c r="EQK991" s="124"/>
      <c r="EQL991" s="124"/>
      <c r="EQM991" s="124"/>
      <c r="EQN991" s="124"/>
      <c r="EQO991" s="124"/>
      <c r="EQP991" s="124"/>
      <c r="EQQ991" s="124"/>
      <c r="EQR991" s="124"/>
      <c r="EQS991" s="124"/>
      <c r="EQT991" s="124"/>
      <c r="EQU991" s="124"/>
      <c r="EQV991" s="124"/>
      <c r="EQW991" s="124"/>
      <c r="EQX991" s="124"/>
      <c r="EQY991" s="124"/>
      <c r="EQZ991" s="124"/>
      <c r="ERA991" s="124"/>
      <c r="ERB991" s="124"/>
      <c r="ERC991" s="124"/>
      <c r="ERD991" s="124"/>
      <c r="ERE991" s="124"/>
      <c r="ERF991" s="124"/>
      <c r="ERG991" s="124"/>
      <c r="ERH991" s="124"/>
      <c r="ERI991" s="124"/>
      <c r="ERJ991" s="124"/>
      <c r="ERK991" s="124"/>
      <c r="ERL991" s="124"/>
      <c r="ERM991" s="124"/>
      <c r="ERN991" s="124"/>
      <c r="ERO991" s="124"/>
      <c r="ERP991" s="124"/>
      <c r="ERQ991" s="124"/>
      <c r="ERR991" s="124"/>
      <c r="ERS991" s="124"/>
      <c r="ERT991" s="124"/>
      <c r="ERU991" s="124"/>
      <c r="ERV991" s="124"/>
      <c r="ERW991" s="124"/>
      <c r="ERX991" s="124"/>
      <c r="ERY991" s="124"/>
      <c r="ERZ991" s="124"/>
      <c r="ESA991" s="124"/>
      <c r="ESB991" s="124"/>
      <c r="ESC991" s="124"/>
      <c r="ESD991" s="124"/>
      <c r="ESE991" s="124"/>
      <c r="ESF991" s="124"/>
      <c r="ESG991" s="124"/>
      <c r="ESH991" s="124"/>
      <c r="ESI991" s="124"/>
      <c r="ESJ991" s="124"/>
      <c r="ESK991" s="124"/>
      <c r="ESL991" s="124"/>
      <c r="ESM991" s="124"/>
      <c r="ESN991" s="124"/>
      <c r="ESO991" s="124"/>
      <c r="ESP991" s="124"/>
      <c r="ESQ991" s="124"/>
      <c r="ESR991" s="124"/>
      <c r="ESS991" s="124"/>
      <c r="EST991" s="124"/>
      <c r="ESU991" s="124"/>
      <c r="ESV991" s="124"/>
      <c r="ESW991" s="124"/>
      <c r="ESX991" s="124"/>
      <c r="ESY991" s="124"/>
      <c r="ESZ991" s="124"/>
      <c r="ETA991" s="124"/>
      <c r="ETB991" s="124"/>
      <c r="ETC991" s="124"/>
      <c r="ETD991" s="124"/>
      <c r="ETE991" s="124"/>
      <c r="ETF991" s="124"/>
      <c r="ETG991" s="124"/>
      <c r="ETH991" s="124"/>
      <c r="ETI991" s="124"/>
      <c r="ETJ991" s="124"/>
      <c r="ETK991" s="124"/>
      <c r="ETL991" s="124"/>
      <c r="ETM991" s="124"/>
      <c r="ETN991" s="124"/>
      <c r="ETO991" s="124"/>
      <c r="ETP991" s="124"/>
      <c r="ETQ991" s="124"/>
      <c r="ETR991" s="124"/>
      <c r="ETS991" s="124"/>
      <c r="ETT991" s="124"/>
      <c r="ETU991" s="124"/>
      <c r="ETV991" s="124"/>
      <c r="ETW991" s="124"/>
      <c r="ETX991" s="124"/>
      <c r="ETY991" s="124"/>
      <c r="ETZ991" s="124"/>
      <c r="EUA991" s="124"/>
      <c r="EUB991" s="124"/>
      <c r="EUC991" s="124"/>
      <c r="EUD991" s="124"/>
      <c r="EUE991" s="124"/>
      <c r="EUF991" s="124"/>
      <c r="EUG991" s="124"/>
      <c r="EUH991" s="124"/>
      <c r="EUI991" s="124"/>
      <c r="EUJ991" s="124"/>
      <c r="EUK991" s="124"/>
      <c r="EUL991" s="124"/>
      <c r="EUM991" s="124"/>
      <c r="EUN991" s="124"/>
      <c r="EUO991" s="124"/>
      <c r="EUP991" s="124"/>
      <c r="EUQ991" s="124"/>
      <c r="EUR991" s="124"/>
      <c r="EUS991" s="124"/>
      <c r="EUT991" s="124"/>
      <c r="EUU991" s="124"/>
      <c r="EUV991" s="124"/>
      <c r="EUW991" s="124"/>
      <c r="EUX991" s="124"/>
      <c r="EUY991" s="124"/>
      <c r="EUZ991" s="124"/>
      <c r="EVA991" s="124"/>
      <c r="EVB991" s="124"/>
      <c r="EVC991" s="124"/>
      <c r="EVD991" s="124"/>
      <c r="EVE991" s="124"/>
      <c r="EVF991" s="124"/>
      <c r="EVG991" s="124"/>
      <c r="EVH991" s="124"/>
      <c r="EVI991" s="124"/>
      <c r="EVJ991" s="124"/>
      <c r="EVK991" s="124"/>
      <c r="EVL991" s="124"/>
      <c r="EVM991" s="124"/>
      <c r="EVN991" s="124"/>
      <c r="EVO991" s="124"/>
      <c r="EVP991" s="124"/>
      <c r="EVQ991" s="124"/>
      <c r="EVR991" s="124"/>
      <c r="EVS991" s="124"/>
      <c r="EVT991" s="124"/>
      <c r="EVU991" s="124"/>
      <c r="EVV991" s="124"/>
      <c r="EVW991" s="124"/>
      <c r="EVX991" s="124"/>
      <c r="EVY991" s="124"/>
      <c r="EVZ991" s="124"/>
      <c r="EWA991" s="124"/>
      <c r="EWB991" s="124"/>
      <c r="EWC991" s="124"/>
      <c r="EWD991" s="124"/>
      <c r="EWE991" s="124"/>
      <c r="EWF991" s="124"/>
      <c r="EWG991" s="124"/>
      <c r="EWH991" s="124"/>
      <c r="EWI991" s="124"/>
      <c r="EWJ991" s="124"/>
      <c r="EWK991" s="124"/>
      <c r="EWL991" s="124"/>
      <c r="EWM991" s="124"/>
      <c r="EWN991" s="124"/>
      <c r="EWO991" s="124"/>
      <c r="EWP991" s="124"/>
      <c r="EWQ991" s="124"/>
      <c r="EWR991" s="124"/>
      <c r="EWS991" s="124"/>
      <c r="EWT991" s="124"/>
      <c r="EWU991" s="124"/>
      <c r="EWV991" s="124"/>
      <c r="EWW991" s="124"/>
      <c r="EWX991" s="124"/>
      <c r="EWY991" s="124"/>
      <c r="EWZ991" s="124"/>
      <c r="EXA991" s="124"/>
      <c r="EXB991" s="124"/>
      <c r="EXC991" s="124"/>
      <c r="EXD991" s="124"/>
      <c r="EXE991" s="124"/>
      <c r="EXF991" s="124"/>
      <c r="EXG991" s="124"/>
      <c r="EXH991" s="124"/>
      <c r="EXI991" s="124"/>
      <c r="EXJ991" s="124"/>
      <c r="EXK991" s="124"/>
      <c r="EXL991" s="124"/>
      <c r="EXM991" s="124"/>
      <c r="EXN991" s="124"/>
      <c r="EXO991" s="124"/>
      <c r="EXP991" s="124"/>
      <c r="EXQ991" s="124"/>
      <c r="EXR991" s="124"/>
      <c r="EXS991" s="124"/>
      <c r="EXT991" s="124"/>
      <c r="EXU991" s="124"/>
      <c r="EXV991" s="124"/>
      <c r="EXW991" s="124"/>
      <c r="EXX991" s="124"/>
      <c r="EXY991" s="124"/>
      <c r="EXZ991" s="124"/>
      <c r="EYA991" s="124"/>
      <c r="EYB991" s="124"/>
      <c r="EYC991" s="124"/>
      <c r="EYD991" s="124"/>
      <c r="EYE991" s="124"/>
      <c r="EYF991" s="124"/>
      <c r="EYG991" s="124"/>
      <c r="EYH991" s="124"/>
      <c r="EYI991" s="124"/>
      <c r="EYJ991" s="124"/>
      <c r="EYK991" s="124"/>
      <c r="EYL991" s="124"/>
      <c r="EYM991" s="124"/>
      <c r="EYN991" s="124"/>
      <c r="EYO991" s="124"/>
      <c r="EYP991" s="124"/>
      <c r="EYQ991" s="124"/>
      <c r="EYR991" s="124"/>
      <c r="EYS991" s="124"/>
      <c r="EYT991" s="124"/>
      <c r="EYU991" s="124"/>
      <c r="EYV991" s="124"/>
      <c r="EYW991" s="124"/>
      <c r="EYX991" s="124"/>
      <c r="EYY991" s="124"/>
      <c r="EYZ991" s="124"/>
      <c r="EZA991" s="124"/>
      <c r="EZB991" s="124"/>
      <c r="EZC991" s="124"/>
      <c r="EZD991" s="124"/>
      <c r="EZE991" s="124"/>
      <c r="EZF991" s="124"/>
      <c r="EZG991" s="124"/>
      <c r="EZH991" s="124"/>
      <c r="EZI991" s="124"/>
      <c r="EZJ991" s="124"/>
      <c r="EZK991" s="124"/>
      <c r="EZL991" s="124"/>
      <c r="EZM991" s="124"/>
      <c r="EZN991" s="124"/>
      <c r="EZO991" s="124"/>
      <c r="EZP991" s="124"/>
      <c r="EZQ991" s="124"/>
      <c r="EZR991" s="124"/>
      <c r="EZS991" s="124"/>
      <c r="EZT991" s="124"/>
      <c r="EZU991" s="124"/>
      <c r="EZV991" s="124"/>
      <c r="EZW991" s="124"/>
      <c r="EZX991" s="124"/>
      <c r="EZY991" s="124"/>
      <c r="EZZ991" s="124"/>
      <c r="FAA991" s="124"/>
      <c r="FAB991" s="124"/>
      <c r="FAC991" s="124"/>
      <c r="FAD991" s="124"/>
      <c r="FAE991" s="124"/>
      <c r="FAF991" s="124"/>
      <c r="FAG991" s="124"/>
      <c r="FAH991" s="124"/>
      <c r="FAI991" s="124"/>
      <c r="FAJ991" s="124"/>
      <c r="FAK991" s="124"/>
      <c r="FAL991" s="124"/>
      <c r="FAM991" s="124"/>
      <c r="FAN991" s="124"/>
      <c r="FAO991" s="124"/>
      <c r="FAP991" s="124"/>
      <c r="FAQ991" s="124"/>
      <c r="FAR991" s="124"/>
      <c r="FAS991" s="124"/>
      <c r="FAT991" s="124"/>
      <c r="FAU991" s="124"/>
      <c r="FAV991" s="124"/>
      <c r="FAW991" s="124"/>
      <c r="FAX991" s="124"/>
      <c r="FAY991" s="124"/>
      <c r="FAZ991" s="124"/>
      <c r="FBA991" s="124"/>
      <c r="FBB991" s="124"/>
      <c r="FBC991" s="124"/>
      <c r="FBD991" s="124"/>
      <c r="FBE991" s="124"/>
      <c r="FBF991" s="124"/>
      <c r="FBG991" s="124"/>
      <c r="FBH991" s="124"/>
      <c r="FBI991" s="124"/>
      <c r="FBJ991" s="124"/>
      <c r="FBK991" s="124"/>
      <c r="FBL991" s="124"/>
      <c r="FBM991" s="124"/>
      <c r="FBN991" s="124"/>
      <c r="FBO991" s="124"/>
      <c r="FBP991" s="124"/>
      <c r="FBQ991" s="124"/>
      <c r="FBR991" s="124"/>
      <c r="FBS991" s="124"/>
      <c r="FBT991" s="124"/>
      <c r="FBU991" s="124"/>
      <c r="FBV991" s="124"/>
      <c r="FBW991" s="124"/>
      <c r="FBX991" s="124"/>
      <c r="FBY991" s="124"/>
      <c r="FBZ991" s="124"/>
      <c r="FCA991" s="124"/>
      <c r="FCB991" s="124"/>
      <c r="FCC991" s="124"/>
      <c r="FCD991" s="124"/>
      <c r="FCE991" s="124"/>
      <c r="FCF991" s="124"/>
      <c r="FCG991" s="124"/>
      <c r="FCH991" s="124"/>
      <c r="FCI991" s="124"/>
      <c r="FCJ991" s="124"/>
      <c r="FCK991" s="124"/>
      <c r="FCL991" s="124"/>
      <c r="FCM991" s="124"/>
      <c r="FCN991" s="124"/>
      <c r="FCO991" s="124"/>
      <c r="FCP991" s="124"/>
      <c r="FCQ991" s="124"/>
      <c r="FCR991" s="124"/>
      <c r="FCS991" s="124"/>
      <c r="FCT991" s="124"/>
      <c r="FCU991" s="124"/>
      <c r="FCV991" s="124"/>
      <c r="FCW991" s="124"/>
      <c r="FCX991" s="124"/>
      <c r="FCY991" s="124"/>
      <c r="FCZ991" s="124"/>
      <c r="FDA991" s="124"/>
      <c r="FDB991" s="124"/>
      <c r="FDC991" s="124"/>
      <c r="FDD991" s="124"/>
      <c r="FDE991" s="124"/>
      <c r="FDF991" s="124"/>
      <c r="FDG991" s="124"/>
      <c r="FDH991" s="124"/>
      <c r="FDI991" s="124"/>
      <c r="FDJ991" s="124"/>
      <c r="FDK991" s="124"/>
      <c r="FDL991" s="124"/>
      <c r="FDM991" s="124"/>
      <c r="FDN991" s="124"/>
      <c r="FDO991" s="124"/>
      <c r="FDP991" s="124"/>
      <c r="FDQ991" s="124"/>
      <c r="FDR991" s="124"/>
      <c r="FDS991" s="124"/>
      <c r="FDT991" s="124"/>
      <c r="FDU991" s="124"/>
      <c r="FDV991" s="124"/>
      <c r="FDW991" s="124"/>
      <c r="FDX991" s="124"/>
      <c r="FDY991" s="124"/>
      <c r="FDZ991" s="124"/>
      <c r="FEA991" s="124"/>
      <c r="FEB991" s="124"/>
      <c r="FEC991" s="124"/>
      <c r="FED991" s="124"/>
      <c r="FEE991" s="124"/>
      <c r="FEF991" s="124"/>
      <c r="FEG991" s="124"/>
      <c r="FEH991" s="124"/>
      <c r="FEI991" s="124"/>
      <c r="FEJ991" s="124"/>
      <c r="FEK991" s="124"/>
      <c r="FEL991" s="124"/>
      <c r="FEM991" s="124"/>
      <c r="FEN991" s="124"/>
      <c r="FEO991" s="124"/>
      <c r="FEP991" s="124"/>
      <c r="FEQ991" s="124"/>
      <c r="FER991" s="124"/>
      <c r="FES991" s="124"/>
      <c r="FET991" s="124"/>
      <c r="FEU991" s="124"/>
      <c r="FEV991" s="124"/>
      <c r="FEW991" s="124"/>
      <c r="FEX991" s="124"/>
      <c r="FEY991" s="124"/>
      <c r="FEZ991" s="124"/>
      <c r="FFA991" s="124"/>
      <c r="FFB991" s="124"/>
      <c r="FFC991" s="124"/>
      <c r="FFD991" s="124"/>
      <c r="FFE991" s="124"/>
      <c r="FFF991" s="124"/>
      <c r="FFG991" s="124"/>
      <c r="FFH991" s="124"/>
      <c r="FFI991" s="124"/>
      <c r="FFJ991" s="124"/>
      <c r="FFK991" s="124"/>
      <c r="FFL991" s="124"/>
      <c r="FFM991" s="124"/>
      <c r="FFN991" s="124"/>
      <c r="FFO991" s="124"/>
      <c r="FFP991" s="124"/>
      <c r="FFQ991" s="124"/>
      <c r="FFR991" s="124"/>
      <c r="FFS991" s="124"/>
      <c r="FFT991" s="124"/>
      <c r="FFU991" s="124"/>
      <c r="FFV991" s="124"/>
      <c r="FFW991" s="124"/>
      <c r="FFX991" s="124"/>
      <c r="FFY991" s="124"/>
      <c r="FFZ991" s="124"/>
      <c r="FGA991" s="124"/>
      <c r="FGB991" s="124"/>
      <c r="FGC991" s="124"/>
      <c r="FGD991" s="124"/>
      <c r="FGE991" s="124"/>
      <c r="FGF991" s="124"/>
      <c r="FGG991" s="124"/>
      <c r="FGH991" s="124"/>
      <c r="FGI991" s="124"/>
      <c r="FGJ991" s="124"/>
      <c r="FGK991" s="124"/>
      <c r="FGL991" s="124"/>
      <c r="FGM991" s="124"/>
      <c r="FGN991" s="124"/>
      <c r="FGO991" s="124"/>
      <c r="FGP991" s="124"/>
      <c r="FGQ991" s="124"/>
      <c r="FGR991" s="124"/>
      <c r="FGS991" s="124"/>
      <c r="FGT991" s="124"/>
      <c r="FGU991" s="124"/>
      <c r="FGV991" s="124"/>
      <c r="FGW991" s="124"/>
      <c r="FGX991" s="124"/>
      <c r="FGY991" s="124"/>
      <c r="FGZ991" s="124"/>
      <c r="FHA991" s="124"/>
      <c r="FHB991" s="124"/>
      <c r="FHC991" s="124"/>
      <c r="FHD991" s="124"/>
      <c r="FHE991" s="124"/>
      <c r="FHF991" s="124"/>
      <c r="FHG991" s="124"/>
      <c r="FHH991" s="124"/>
      <c r="FHI991" s="124"/>
      <c r="FHJ991" s="124"/>
      <c r="FHK991" s="124"/>
      <c r="FHL991" s="124"/>
      <c r="FHM991" s="124"/>
      <c r="FHN991" s="124"/>
      <c r="FHO991" s="124"/>
      <c r="FHP991" s="124"/>
      <c r="FHQ991" s="124"/>
      <c r="FHR991" s="124"/>
      <c r="FHS991" s="124"/>
      <c r="FHT991" s="124"/>
      <c r="FHU991" s="124"/>
      <c r="FHV991" s="124"/>
      <c r="FHW991" s="124"/>
      <c r="FHX991" s="124"/>
      <c r="FHY991" s="124"/>
      <c r="FHZ991" s="124"/>
      <c r="FIA991" s="124"/>
      <c r="FIB991" s="124"/>
      <c r="FIC991" s="124"/>
      <c r="FID991" s="124"/>
      <c r="FIE991" s="124"/>
      <c r="FIF991" s="124"/>
      <c r="FIG991" s="124"/>
      <c r="FIH991" s="124"/>
      <c r="FII991" s="124"/>
      <c r="FIJ991" s="124"/>
      <c r="FIK991" s="124"/>
      <c r="FIL991" s="124"/>
      <c r="FIM991" s="124"/>
      <c r="FIN991" s="124"/>
      <c r="FIO991" s="124"/>
      <c r="FIP991" s="124"/>
      <c r="FIQ991" s="124"/>
      <c r="FIR991" s="124"/>
      <c r="FIS991" s="124"/>
      <c r="FIT991" s="124"/>
      <c r="FIU991" s="124"/>
      <c r="FIV991" s="124"/>
      <c r="FIW991" s="124"/>
      <c r="FIX991" s="124"/>
      <c r="FIY991" s="124"/>
      <c r="FIZ991" s="124"/>
      <c r="FJA991" s="124"/>
      <c r="FJB991" s="124"/>
      <c r="FJC991" s="124"/>
      <c r="FJD991" s="124"/>
      <c r="FJE991" s="124"/>
      <c r="FJF991" s="124"/>
      <c r="FJG991" s="124"/>
      <c r="FJH991" s="124"/>
      <c r="FJI991" s="124"/>
      <c r="FJJ991" s="124"/>
      <c r="FJK991" s="124"/>
      <c r="FJL991" s="124"/>
      <c r="FJM991" s="124"/>
      <c r="FJN991" s="124"/>
      <c r="FJO991" s="124"/>
      <c r="FJP991" s="124"/>
      <c r="FJQ991" s="124"/>
      <c r="FJR991" s="124"/>
      <c r="FJS991" s="124"/>
      <c r="FJT991" s="124"/>
      <c r="FJU991" s="124"/>
      <c r="FJV991" s="124"/>
      <c r="FJW991" s="124"/>
      <c r="FJX991" s="124"/>
      <c r="FJY991" s="124"/>
      <c r="FJZ991" s="124"/>
      <c r="FKA991" s="124"/>
      <c r="FKB991" s="124"/>
      <c r="FKC991" s="124"/>
      <c r="FKD991" s="124"/>
      <c r="FKE991" s="124"/>
      <c r="FKF991" s="124"/>
      <c r="FKG991" s="124"/>
      <c r="FKH991" s="124"/>
      <c r="FKI991" s="124"/>
      <c r="FKJ991" s="124"/>
      <c r="FKK991" s="124"/>
      <c r="FKL991" s="124"/>
      <c r="FKM991" s="124"/>
      <c r="FKN991" s="124"/>
      <c r="FKO991" s="124"/>
      <c r="FKP991" s="124"/>
      <c r="FKQ991" s="124"/>
      <c r="FKR991" s="124"/>
      <c r="FKS991" s="124"/>
      <c r="FKT991" s="124"/>
      <c r="FKU991" s="124"/>
      <c r="FKV991" s="124"/>
      <c r="FKW991" s="124"/>
      <c r="FKX991" s="124"/>
      <c r="FKY991" s="124"/>
      <c r="FKZ991" s="124"/>
      <c r="FLA991" s="124"/>
      <c r="FLB991" s="124"/>
      <c r="FLC991" s="124"/>
      <c r="FLD991" s="124"/>
      <c r="FLE991" s="124"/>
      <c r="FLF991" s="124"/>
      <c r="FLG991" s="124"/>
      <c r="FLH991" s="124"/>
      <c r="FLI991" s="124"/>
      <c r="FLJ991" s="124"/>
      <c r="FLK991" s="124"/>
      <c r="FLL991" s="124"/>
      <c r="FLM991" s="124"/>
      <c r="FLN991" s="124"/>
      <c r="FLO991" s="124"/>
      <c r="FLP991" s="124"/>
      <c r="FLQ991" s="124"/>
      <c r="FLR991" s="124"/>
      <c r="FLS991" s="124"/>
      <c r="FLT991" s="124"/>
      <c r="FLU991" s="124"/>
      <c r="FLV991" s="124"/>
      <c r="FLW991" s="124"/>
      <c r="FLX991" s="124"/>
      <c r="FLY991" s="124"/>
      <c r="FLZ991" s="124"/>
      <c r="FMA991" s="124"/>
      <c r="FMB991" s="124"/>
      <c r="FMC991" s="124"/>
      <c r="FMD991" s="124"/>
      <c r="FME991" s="124"/>
      <c r="FMF991" s="124"/>
      <c r="FMG991" s="124"/>
      <c r="FMH991" s="124"/>
      <c r="FMI991" s="124"/>
      <c r="FMJ991" s="124"/>
      <c r="FMK991" s="124"/>
      <c r="FML991" s="124"/>
      <c r="FMM991" s="124"/>
      <c r="FMN991" s="124"/>
      <c r="FMO991" s="124"/>
      <c r="FMP991" s="124"/>
      <c r="FMQ991" s="124"/>
      <c r="FMR991" s="124"/>
      <c r="FMS991" s="124"/>
      <c r="FMT991" s="124"/>
      <c r="FMU991" s="124"/>
      <c r="FMV991" s="124"/>
      <c r="FMW991" s="124"/>
      <c r="FMX991" s="124"/>
      <c r="FMY991" s="124"/>
      <c r="FMZ991" s="124"/>
      <c r="FNA991" s="124"/>
      <c r="FNB991" s="124"/>
      <c r="FNC991" s="124"/>
      <c r="FND991" s="124"/>
      <c r="FNE991" s="124"/>
      <c r="FNF991" s="124"/>
      <c r="FNG991" s="124"/>
      <c r="FNH991" s="124"/>
      <c r="FNI991" s="124"/>
      <c r="FNJ991" s="124"/>
      <c r="FNK991" s="124"/>
      <c r="FNL991" s="124"/>
      <c r="FNM991" s="124"/>
      <c r="FNN991" s="124"/>
      <c r="FNO991" s="124"/>
      <c r="FNP991" s="124"/>
      <c r="FNQ991" s="124"/>
      <c r="FNR991" s="124"/>
      <c r="FNS991" s="124"/>
      <c r="FNT991" s="124"/>
      <c r="FNU991" s="124"/>
      <c r="FNV991" s="124"/>
      <c r="FNW991" s="124"/>
      <c r="FNX991" s="124"/>
      <c r="FNY991" s="124"/>
      <c r="FNZ991" s="124"/>
      <c r="FOA991" s="124"/>
      <c r="FOB991" s="124"/>
      <c r="FOC991" s="124"/>
      <c r="FOD991" s="124"/>
      <c r="FOE991" s="124"/>
      <c r="FOF991" s="124"/>
      <c r="FOG991" s="124"/>
      <c r="FOH991" s="124"/>
      <c r="FOI991" s="124"/>
      <c r="FOJ991" s="124"/>
      <c r="FOK991" s="124"/>
      <c r="FOL991" s="124"/>
      <c r="FOM991" s="124"/>
      <c r="FON991" s="124"/>
      <c r="FOO991" s="124"/>
      <c r="FOP991" s="124"/>
      <c r="FOQ991" s="124"/>
      <c r="FOR991" s="124"/>
      <c r="FOS991" s="124"/>
      <c r="FOT991" s="124"/>
      <c r="FOU991" s="124"/>
      <c r="FOV991" s="124"/>
      <c r="FOW991" s="124"/>
      <c r="FOX991" s="124"/>
      <c r="FOY991" s="124"/>
      <c r="FOZ991" s="124"/>
      <c r="FPA991" s="124"/>
      <c r="FPB991" s="124"/>
      <c r="FPC991" s="124"/>
      <c r="FPD991" s="124"/>
      <c r="FPE991" s="124"/>
      <c r="FPF991" s="124"/>
      <c r="FPG991" s="124"/>
      <c r="FPH991" s="124"/>
      <c r="FPI991" s="124"/>
      <c r="FPJ991" s="124"/>
      <c r="FPK991" s="124"/>
      <c r="FPL991" s="124"/>
      <c r="FPM991" s="124"/>
      <c r="FPN991" s="124"/>
      <c r="FPO991" s="124"/>
      <c r="FPP991" s="124"/>
      <c r="FPQ991" s="124"/>
      <c r="FPR991" s="124"/>
      <c r="FPS991" s="124"/>
      <c r="FPT991" s="124"/>
      <c r="FPU991" s="124"/>
      <c r="FPV991" s="124"/>
      <c r="FPW991" s="124"/>
      <c r="FPX991" s="124"/>
      <c r="FPY991" s="124"/>
      <c r="FPZ991" s="124"/>
      <c r="FQA991" s="124"/>
      <c r="FQB991" s="124"/>
      <c r="FQC991" s="124"/>
      <c r="FQD991" s="124"/>
      <c r="FQE991" s="124"/>
      <c r="FQF991" s="124"/>
      <c r="FQG991" s="124"/>
      <c r="FQH991" s="124"/>
      <c r="FQI991" s="124"/>
      <c r="FQJ991" s="124"/>
      <c r="FQK991" s="124"/>
      <c r="FQL991" s="124"/>
      <c r="FQM991" s="124"/>
      <c r="FQN991" s="124"/>
      <c r="FQO991" s="124"/>
      <c r="FQP991" s="124"/>
      <c r="FQQ991" s="124"/>
      <c r="FQR991" s="124"/>
      <c r="FQS991" s="124"/>
      <c r="FQT991" s="124"/>
      <c r="FQU991" s="124"/>
      <c r="FQV991" s="124"/>
      <c r="FQW991" s="124"/>
      <c r="FQX991" s="124"/>
      <c r="FQY991" s="124"/>
      <c r="FQZ991" s="124"/>
      <c r="FRA991" s="124"/>
      <c r="FRB991" s="124"/>
      <c r="FRC991" s="124"/>
      <c r="FRD991" s="124"/>
      <c r="FRE991" s="124"/>
      <c r="FRF991" s="124"/>
      <c r="FRG991" s="124"/>
      <c r="FRH991" s="124"/>
      <c r="FRI991" s="124"/>
      <c r="FRJ991" s="124"/>
      <c r="FRK991" s="124"/>
      <c r="FRL991" s="124"/>
      <c r="FRM991" s="124"/>
      <c r="FRN991" s="124"/>
      <c r="FRO991" s="124"/>
      <c r="FRP991" s="124"/>
      <c r="FRQ991" s="124"/>
      <c r="FRR991" s="124"/>
      <c r="FRS991" s="124"/>
      <c r="FRT991" s="124"/>
      <c r="FRU991" s="124"/>
      <c r="FRV991" s="124"/>
      <c r="FRW991" s="124"/>
      <c r="FRX991" s="124"/>
      <c r="FRY991" s="124"/>
      <c r="FRZ991" s="124"/>
      <c r="FSA991" s="124"/>
      <c r="FSB991" s="124"/>
      <c r="FSC991" s="124"/>
      <c r="FSD991" s="124"/>
      <c r="FSE991" s="124"/>
      <c r="FSF991" s="124"/>
      <c r="FSG991" s="124"/>
      <c r="FSH991" s="124"/>
      <c r="FSI991" s="124"/>
      <c r="FSJ991" s="124"/>
      <c r="FSK991" s="124"/>
      <c r="FSL991" s="124"/>
      <c r="FSM991" s="124"/>
      <c r="FSN991" s="124"/>
      <c r="FSO991" s="124"/>
      <c r="FSP991" s="124"/>
      <c r="FSQ991" s="124"/>
      <c r="FSR991" s="124"/>
      <c r="FSS991" s="124"/>
      <c r="FST991" s="124"/>
      <c r="FSU991" s="124"/>
      <c r="FSV991" s="124"/>
      <c r="FSW991" s="124"/>
      <c r="FSX991" s="124"/>
      <c r="FSY991" s="124"/>
      <c r="FSZ991" s="124"/>
      <c r="FTA991" s="124"/>
      <c r="FTB991" s="124"/>
      <c r="FTC991" s="124"/>
      <c r="FTD991" s="124"/>
      <c r="FTE991" s="124"/>
      <c r="FTF991" s="124"/>
      <c r="FTG991" s="124"/>
      <c r="FTH991" s="124"/>
      <c r="FTI991" s="124"/>
      <c r="FTJ991" s="124"/>
      <c r="FTK991" s="124"/>
      <c r="FTL991" s="124"/>
      <c r="FTM991" s="124"/>
      <c r="FTN991" s="124"/>
      <c r="FTO991" s="124"/>
      <c r="FTP991" s="124"/>
      <c r="FTQ991" s="124"/>
      <c r="FTR991" s="124"/>
      <c r="FTS991" s="124"/>
      <c r="FTT991" s="124"/>
      <c r="FTU991" s="124"/>
      <c r="FTV991" s="124"/>
      <c r="FTW991" s="124"/>
      <c r="FTX991" s="124"/>
      <c r="FTY991" s="124"/>
      <c r="FTZ991" s="124"/>
      <c r="FUA991" s="124"/>
      <c r="FUB991" s="124"/>
      <c r="FUC991" s="124"/>
      <c r="FUD991" s="124"/>
      <c r="FUE991" s="124"/>
      <c r="FUF991" s="124"/>
      <c r="FUG991" s="124"/>
      <c r="FUH991" s="124"/>
      <c r="FUI991" s="124"/>
      <c r="FUJ991" s="124"/>
      <c r="FUK991" s="124"/>
      <c r="FUL991" s="124"/>
      <c r="FUM991" s="124"/>
      <c r="FUN991" s="124"/>
      <c r="FUO991" s="124"/>
      <c r="FUP991" s="124"/>
      <c r="FUQ991" s="124"/>
      <c r="FUR991" s="124"/>
      <c r="FUS991" s="124"/>
      <c r="FUT991" s="124"/>
      <c r="FUU991" s="124"/>
      <c r="FUV991" s="124"/>
      <c r="FUW991" s="124"/>
      <c r="FUX991" s="124"/>
      <c r="FUY991" s="124"/>
      <c r="FUZ991" s="124"/>
      <c r="FVA991" s="124"/>
      <c r="FVB991" s="124"/>
      <c r="FVC991" s="124"/>
      <c r="FVD991" s="124"/>
      <c r="FVE991" s="124"/>
      <c r="FVF991" s="124"/>
      <c r="FVG991" s="124"/>
      <c r="FVH991" s="124"/>
      <c r="FVI991" s="124"/>
      <c r="FVJ991" s="124"/>
      <c r="FVK991" s="124"/>
      <c r="FVL991" s="124"/>
      <c r="FVM991" s="124"/>
      <c r="FVN991" s="124"/>
      <c r="FVO991" s="124"/>
      <c r="FVP991" s="124"/>
      <c r="FVQ991" s="124"/>
      <c r="FVR991" s="124"/>
      <c r="FVS991" s="124"/>
      <c r="FVT991" s="124"/>
      <c r="FVU991" s="124"/>
      <c r="FVV991" s="124"/>
      <c r="FVW991" s="124"/>
      <c r="FVX991" s="124"/>
      <c r="FVY991" s="124"/>
      <c r="FVZ991" s="124"/>
      <c r="FWA991" s="124"/>
      <c r="FWB991" s="124"/>
      <c r="FWC991" s="124"/>
      <c r="FWD991" s="124"/>
      <c r="FWE991" s="124"/>
      <c r="FWF991" s="124"/>
      <c r="FWG991" s="124"/>
      <c r="FWH991" s="124"/>
      <c r="FWI991" s="124"/>
      <c r="FWJ991" s="124"/>
      <c r="FWK991" s="124"/>
      <c r="FWL991" s="124"/>
      <c r="FWM991" s="124"/>
      <c r="FWN991" s="124"/>
      <c r="FWO991" s="124"/>
      <c r="FWP991" s="124"/>
      <c r="FWQ991" s="124"/>
      <c r="FWR991" s="124"/>
      <c r="FWS991" s="124"/>
      <c r="FWT991" s="124"/>
      <c r="FWU991" s="124"/>
      <c r="FWV991" s="124"/>
      <c r="FWW991" s="124"/>
      <c r="FWX991" s="124"/>
      <c r="FWY991" s="124"/>
      <c r="FWZ991" s="124"/>
      <c r="FXA991" s="124"/>
      <c r="FXB991" s="124"/>
      <c r="FXC991" s="124"/>
      <c r="FXD991" s="124"/>
      <c r="FXE991" s="124"/>
      <c r="FXF991" s="124"/>
      <c r="FXG991" s="124"/>
      <c r="FXH991" s="124"/>
      <c r="FXI991" s="124"/>
      <c r="FXJ991" s="124"/>
      <c r="FXK991" s="124"/>
      <c r="FXL991" s="124"/>
      <c r="FXM991" s="124"/>
      <c r="FXN991" s="124"/>
      <c r="FXO991" s="124"/>
      <c r="FXP991" s="124"/>
      <c r="FXQ991" s="124"/>
      <c r="FXR991" s="124"/>
      <c r="FXS991" s="124"/>
      <c r="FXT991" s="124"/>
      <c r="FXU991" s="124"/>
      <c r="FXV991" s="124"/>
      <c r="FXW991" s="124"/>
      <c r="FXX991" s="124"/>
      <c r="FXY991" s="124"/>
      <c r="FXZ991" s="124"/>
      <c r="FYA991" s="124"/>
      <c r="FYB991" s="124"/>
      <c r="FYC991" s="124"/>
      <c r="FYD991" s="124"/>
      <c r="FYE991" s="124"/>
      <c r="FYF991" s="124"/>
      <c r="FYG991" s="124"/>
      <c r="FYH991" s="124"/>
      <c r="FYI991" s="124"/>
      <c r="FYJ991" s="124"/>
      <c r="FYK991" s="124"/>
      <c r="FYL991" s="124"/>
      <c r="FYM991" s="124"/>
      <c r="FYN991" s="124"/>
      <c r="FYO991" s="124"/>
      <c r="FYP991" s="124"/>
      <c r="FYQ991" s="124"/>
      <c r="FYR991" s="124"/>
      <c r="FYS991" s="124"/>
      <c r="FYT991" s="124"/>
      <c r="FYU991" s="124"/>
      <c r="FYV991" s="124"/>
      <c r="FYW991" s="124"/>
      <c r="FYX991" s="124"/>
      <c r="FYY991" s="124"/>
      <c r="FYZ991" s="124"/>
      <c r="FZA991" s="124"/>
      <c r="FZB991" s="124"/>
      <c r="FZC991" s="124"/>
      <c r="FZD991" s="124"/>
      <c r="FZE991" s="124"/>
      <c r="FZF991" s="124"/>
      <c r="FZG991" s="124"/>
      <c r="FZH991" s="124"/>
      <c r="FZI991" s="124"/>
      <c r="FZJ991" s="124"/>
      <c r="FZK991" s="124"/>
      <c r="FZL991" s="124"/>
      <c r="FZM991" s="124"/>
      <c r="FZN991" s="124"/>
      <c r="FZO991" s="124"/>
      <c r="FZP991" s="124"/>
      <c r="FZQ991" s="124"/>
      <c r="FZR991" s="124"/>
      <c r="FZS991" s="124"/>
      <c r="FZT991" s="124"/>
      <c r="FZU991" s="124"/>
      <c r="FZV991" s="124"/>
      <c r="FZW991" s="124"/>
      <c r="FZX991" s="124"/>
      <c r="FZY991" s="124"/>
      <c r="FZZ991" s="124"/>
      <c r="GAA991" s="124"/>
      <c r="GAB991" s="124"/>
      <c r="GAC991" s="124"/>
      <c r="GAD991" s="124"/>
      <c r="GAE991" s="124"/>
      <c r="GAF991" s="124"/>
      <c r="GAG991" s="124"/>
      <c r="GAH991" s="124"/>
      <c r="GAI991" s="124"/>
      <c r="GAJ991" s="124"/>
      <c r="GAK991" s="124"/>
      <c r="GAL991" s="124"/>
      <c r="GAM991" s="124"/>
      <c r="GAN991" s="124"/>
      <c r="GAO991" s="124"/>
      <c r="GAP991" s="124"/>
      <c r="GAQ991" s="124"/>
      <c r="GAR991" s="124"/>
      <c r="GAS991" s="124"/>
      <c r="GAT991" s="124"/>
      <c r="GAU991" s="124"/>
      <c r="GAV991" s="124"/>
      <c r="GAW991" s="124"/>
      <c r="GAX991" s="124"/>
      <c r="GAY991" s="124"/>
      <c r="GAZ991" s="124"/>
      <c r="GBA991" s="124"/>
      <c r="GBB991" s="124"/>
      <c r="GBC991" s="124"/>
      <c r="GBD991" s="124"/>
      <c r="GBE991" s="124"/>
      <c r="GBF991" s="124"/>
      <c r="GBG991" s="124"/>
      <c r="GBH991" s="124"/>
      <c r="GBI991" s="124"/>
      <c r="GBJ991" s="124"/>
      <c r="GBK991" s="124"/>
      <c r="GBL991" s="124"/>
      <c r="GBM991" s="124"/>
      <c r="GBN991" s="124"/>
      <c r="GBO991" s="124"/>
      <c r="GBP991" s="124"/>
      <c r="GBQ991" s="124"/>
      <c r="GBR991" s="124"/>
      <c r="GBS991" s="124"/>
      <c r="GBT991" s="124"/>
      <c r="GBU991" s="124"/>
      <c r="GBV991" s="124"/>
      <c r="GBW991" s="124"/>
      <c r="GBX991" s="124"/>
      <c r="GBY991" s="124"/>
      <c r="GBZ991" s="124"/>
      <c r="GCA991" s="124"/>
      <c r="GCB991" s="124"/>
      <c r="GCC991" s="124"/>
      <c r="GCD991" s="124"/>
      <c r="GCE991" s="124"/>
      <c r="GCF991" s="124"/>
      <c r="GCG991" s="124"/>
      <c r="GCH991" s="124"/>
      <c r="GCI991" s="124"/>
      <c r="GCJ991" s="124"/>
      <c r="GCK991" s="124"/>
      <c r="GCL991" s="124"/>
      <c r="GCM991" s="124"/>
      <c r="GCN991" s="124"/>
      <c r="GCO991" s="124"/>
      <c r="GCP991" s="124"/>
      <c r="GCQ991" s="124"/>
      <c r="GCR991" s="124"/>
      <c r="GCS991" s="124"/>
      <c r="GCT991" s="124"/>
      <c r="GCU991" s="124"/>
      <c r="GCV991" s="124"/>
      <c r="GCW991" s="124"/>
      <c r="GCX991" s="124"/>
      <c r="GCY991" s="124"/>
      <c r="GCZ991" s="124"/>
      <c r="GDA991" s="124"/>
      <c r="GDB991" s="124"/>
      <c r="GDC991" s="124"/>
      <c r="GDD991" s="124"/>
      <c r="GDE991" s="124"/>
      <c r="GDF991" s="124"/>
      <c r="GDG991" s="124"/>
      <c r="GDH991" s="124"/>
      <c r="GDI991" s="124"/>
      <c r="GDJ991" s="124"/>
      <c r="GDK991" s="124"/>
      <c r="GDL991" s="124"/>
      <c r="GDM991" s="124"/>
      <c r="GDN991" s="124"/>
      <c r="GDO991" s="124"/>
      <c r="GDP991" s="124"/>
      <c r="GDQ991" s="124"/>
      <c r="GDR991" s="124"/>
      <c r="GDS991" s="124"/>
      <c r="GDT991" s="124"/>
      <c r="GDU991" s="124"/>
      <c r="GDV991" s="124"/>
      <c r="GDW991" s="124"/>
      <c r="GDX991" s="124"/>
      <c r="GDY991" s="124"/>
      <c r="GDZ991" s="124"/>
      <c r="GEA991" s="124"/>
      <c r="GEB991" s="124"/>
      <c r="GEC991" s="124"/>
      <c r="GED991" s="124"/>
      <c r="GEE991" s="124"/>
      <c r="GEF991" s="124"/>
      <c r="GEG991" s="124"/>
      <c r="GEH991" s="124"/>
      <c r="GEI991" s="124"/>
      <c r="GEJ991" s="124"/>
      <c r="GEK991" s="124"/>
      <c r="GEL991" s="124"/>
      <c r="GEM991" s="124"/>
      <c r="GEN991" s="124"/>
      <c r="GEO991" s="124"/>
      <c r="GEP991" s="124"/>
      <c r="GEQ991" s="124"/>
      <c r="GER991" s="124"/>
      <c r="GES991" s="124"/>
      <c r="GET991" s="124"/>
      <c r="GEU991" s="124"/>
      <c r="GEV991" s="124"/>
      <c r="GEW991" s="124"/>
      <c r="GEX991" s="124"/>
      <c r="GEY991" s="124"/>
      <c r="GEZ991" s="124"/>
      <c r="GFA991" s="124"/>
      <c r="GFB991" s="124"/>
      <c r="GFC991" s="124"/>
      <c r="GFD991" s="124"/>
      <c r="GFE991" s="124"/>
      <c r="GFF991" s="124"/>
      <c r="GFG991" s="124"/>
      <c r="GFH991" s="124"/>
      <c r="GFI991" s="124"/>
      <c r="GFJ991" s="124"/>
      <c r="GFK991" s="124"/>
      <c r="GFL991" s="124"/>
      <c r="GFM991" s="124"/>
      <c r="GFN991" s="124"/>
      <c r="GFO991" s="124"/>
      <c r="GFP991" s="124"/>
      <c r="GFQ991" s="124"/>
      <c r="GFR991" s="124"/>
      <c r="GFS991" s="124"/>
      <c r="GFT991" s="124"/>
      <c r="GFU991" s="124"/>
      <c r="GFV991" s="124"/>
      <c r="GFW991" s="124"/>
      <c r="GFX991" s="124"/>
      <c r="GFY991" s="124"/>
      <c r="GFZ991" s="124"/>
      <c r="GGA991" s="124"/>
      <c r="GGB991" s="124"/>
      <c r="GGC991" s="124"/>
      <c r="GGD991" s="124"/>
      <c r="GGE991" s="124"/>
      <c r="GGF991" s="124"/>
      <c r="GGG991" s="124"/>
      <c r="GGH991" s="124"/>
      <c r="GGI991" s="124"/>
      <c r="GGJ991" s="124"/>
      <c r="GGK991" s="124"/>
      <c r="GGL991" s="124"/>
      <c r="GGM991" s="124"/>
      <c r="GGN991" s="124"/>
      <c r="GGO991" s="124"/>
      <c r="GGP991" s="124"/>
      <c r="GGQ991" s="124"/>
      <c r="GGR991" s="124"/>
      <c r="GGS991" s="124"/>
      <c r="GGT991" s="124"/>
      <c r="GGU991" s="124"/>
      <c r="GGV991" s="124"/>
      <c r="GGW991" s="124"/>
      <c r="GGX991" s="124"/>
      <c r="GGY991" s="124"/>
      <c r="GGZ991" s="124"/>
      <c r="GHA991" s="124"/>
      <c r="GHB991" s="124"/>
      <c r="GHC991" s="124"/>
      <c r="GHD991" s="124"/>
      <c r="GHE991" s="124"/>
      <c r="GHF991" s="124"/>
      <c r="GHG991" s="124"/>
      <c r="GHH991" s="124"/>
      <c r="GHI991" s="124"/>
      <c r="GHJ991" s="124"/>
      <c r="GHK991" s="124"/>
      <c r="GHL991" s="124"/>
      <c r="GHM991" s="124"/>
      <c r="GHN991" s="124"/>
      <c r="GHO991" s="124"/>
      <c r="GHP991" s="124"/>
      <c r="GHQ991" s="124"/>
      <c r="GHR991" s="124"/>
      <c r="GHS991" s="124"/>
      <c r="GHT991" s="124"/>
      <c r="GHU991" s="124"/>
      <c r="GHV991" s="124"/>
      <c r="GHW991" s="124"/>
      <c r="GHX991" s="124"/>
      <c r="GHY991" s="124"/>
      <c r="GHZ991" s="124"/>
      <c r="GIA991" s="124"/>
      <c r="GIB991" s="124"/>
      <c r="GIC991" s="124"/>
      <c r="GID991" s="124"/>
      <c r="GIE991" s="124"/>
      <c r="GIF991" s="124"/>
      <c r="GIG991" s="124"/>
      <c r="GIH991" s="124"/>
      <c r="GII991" s="124"/>
      <c r="GIJ991" s="124"/>
      <c r="GIK991" s="124"/>
      <c r="GIL991" s="124"/>
      <c r="GIM991" s="124"/>
      <c r="GIN991" s="124"/>
      <c r="GIO991" s="124"/>
      <c r="GIP991" s="124"/>
      <c r="GIQ991" s="124"/>
      <c r="GIR991" s="124"/>
      <c r="GIS991" s="124"/>
      <c r="GIT991" s="124"/>
      <c r="GIU991" s="124"/>
      <c r="GIV991" s="124"/>
      <c r="GIW991" s="124"/>
      <c r="GIX991" s="124"/>
      <c r="GIY991" s="124"/>
      <c r="GIZ991" s="124"/>
      <c r="GJA991" s="124"/>
      <c r="GJB991" s="124"/>
      <c r="GJC991" s="124"/>
      <c r="GJD991" s="124"/>
      <c r="GJE991" s="124"/>
      <c r="GJF991" s="124"/>
      <c r="GJG991" s="124"/>
      <c r="GJH991" s="124"/>
      <c r="GJI991" s="124"/>
      <c r="GJJ991" s="124"/>
      <c r="GJK991" s="124"/>
      <c r="GJL991" s="124"/>
      <c r="GJM991" s="124"/>
      <c r="GJN991" s="124"/>
      <c r="GJO991" s="124"/>
      <c r="GJP991" s="124"/>
      <c r="GJQ991" s="124"/>
      <c r="GJR991" s="124"/>
      <c r="GJS991" s="124"/>
      <c r="GJT991" s="124"/>
      <c r="GJU991" s="124"/>
      <c r="GJV991" s="124"/>
      <c r="GJW991" s="124"/>
      <c r="GJX991" s="124"/>
      <c r="GJY991" s="124"/>
      <c r="GJZ991" s="124"/>
      <c r="GKA991" s="124"/>
      <c r="GKB991" s="124"/>
      <c r="GKC991" s="124"/>
      <c r="GKD991" s="124"/>
      <c r="GKE991" s="124"/>
      <c r="GKF991" s="124"/>
      <c r="GKG991" s="124"/>
      <c r="GKH991" s="124"/>
      <c r="GKI991" s="124"/>
      <c r="GKJ991" s="124"/>
      <c r="GKK991" s="124"/>
      <c r="GKL991" s="124"/>
      <c r="GKM991" s="124"/>
      <c r="GKN991" s="124"/>
      <c r="GKO991" s="124"/>
      <c r="GKP991" s="124"/>
      <c r="GKQ991" s="124"/>
      <c r="GKR991" s="124"/>
      <c r="GKS991" s="124"/>
      <c r="GKT991" s="124"/>
      <c r="GKU991" s="124"/>
      <c r="GKV991" s="124"/>
      <c r="GKW991" s="124"/>
      <c r="GKX991" s="124"/>
      <c r="GKY991" s="124"/>
      <c r="GKZ991" s="124"/>
      <c r="GLA991" s="124"/>
      <c r="GLB991" s="124"/>
      <c r="GLC991" s="124"/>
      <c r="GLD991" s="124"/>
      <c r="GLE991" s="124"/>
      <c r="GLF991" s="124"/>
      <c r="GLG991" s="124"/>
      <c r="GLH991" s="124"/>
      <c r="GLI991" s="124"/>
      <c r="GLJ991" s="124"/>
      <c r="GLK991" s="124"/>
      <c r="GLL991" s="124"/>
      <c r="GLM991" s="124"/>
      <c r="GLN991" s="124"/>
      <c r="GLO991" s="124"/>
      <c r="GLP991" s="124"/>
      <c r="GLQ991" s="124"/>
      <c r="GLR991" s="124"/>
      <c r="GLS991" s="124"/>
      <c r="GLT991" s="124"/>
      <c r="GLU991" s="124"/>
      <c r="GLV991" s="124"/>
      <c r="GLW991" s="124"/>
      <c r="GLX991" s="124"/>
      <c r="GLY991" s="124"/>
      <c r="GLZ991" s="124"/>
      <c r="GMA991" s="124"/>
      <c r="GMB991" s="124"/>
      <c r="GMC991" s="124"/>
      <c r="GMD991" s="124"/>
      <c r="GME991" s="124"/>
      <c r="GMF991" s="124"/>
      <c r="GMG991" s="124"/>
      <c r="GMH991" s="124"/>
      <c r="GMI991" s="124"/>
      <c r="GMJ991" s="124"/>
      <c r="GMK991" s="124"/>
      <c r="GML991" s="124"/>
      <c r="GMM991" s="124"/>
      <c r="GMN991" s="124"/>
      <c r="GMO991" s="124"/>
      <c r="GMP991" s="124"/>
      <c r="GMQ991" s="124"/>
      <c r="GMR991" s="124"/>
      <c r="GMS991" s="124"/>
      <c r="GMT991" s="124"/>
      <c r="GMU991" s="124"/>
      <c r="GMV991" s="124"/>
      <c r="GMW991" s="124"/>
      <c r="GMX991" s="124"/>
      <c r="GMY991" s="124"/>
      <c r="GMZ991" s="124"/>
      <c r="GNA991" s="124"/>
      <c r="GNB991" s="124"/>
      <c r="GNC991" s="124"/>
      <c r="GND991" s="124"/>
      <c r="GNE991" s="124"/>
      <c r="GNF991" s="124"/>
      <c r="GNG991" s="124"/>
      <c r="GNH991" s="124"/>
      <c r="GNI991" s="124"/>
      <c r="GNJ991" s="124"/>
      <c r="GNK991" s="124"/>
      <c r="GNL991" s="124"/>
      <c r="GNM991" s="124"/>
      <c r="GNN991" s="124"/>
      <c r="GNO991" s="124"/>
      <c r="GNP991" s="124"/>
      <c r="GNQ991" s="124"/>
      <c r="GNR991" s="124"/>
      <c r="GNS991" s="124"/>
      <c r="GNT991" s="124"/>
      <c r="GNU991" s="124"/>
      <c r="GNV991" s="124"/>
      <c r="GNW991" s="124"/>
      <c r="GNX991" s="124"/>
      <c r="GNY991" s="124"/>
      <c r="GNZ991" s="124"/>
      <c r="GOA991" s="124"/>
      <c r="GOB991" s="124"/>
      <c r="GOC991" s="124"/>
      <c r="GOD991" s="124"/>
      <c r="GOE991" s="124"/>
      <c r="GOF991" s="124"/>
      <c r="GOG991" s="124"/>
      <c r="GOH991" s="124"/>
      <c r="GOI991" s="124"/>
      <c r="GOJ991" s="124"/>
      <c r="GOK991" s="124"/>
      <c r="GOL991" s="124"/>
      <c r="GOM991" s="124"/>
      <c r="GON991" s="124"/>
      <c r="GOO991" s="124"/>
      <c r="GOP991" s="124"/>
      <c r="GOQ991" s="124"/>
      <c r="GOR991" s="124"/>
      <c r="GOS991" s="124"/>
      <c r="GOT991" s="124"/>
      <c r="GOU991" s="124"/>
      <c r="GOV991" s="124"/>
      <c r="GOW991" s="124"/>
      <c r="GOX991" s="124"/>
      <c r="GOY991" s="124"/>
      <c r="GOZ991" s="124"/>
      <c r="GPA991" s="124"/>
      <c r="GPB991" s="124"/>
      <c r="GPC991" s="124"/>
      <c r="GPD991" s="124"/>
      <c r="GPE991" s="124"/>
      <c r="GPF991" s="124"/>
      <c r="GPG991" s="124"/>
      <c r="GPH991" s="124"/>
      <c r="GPI991" s="124"/>
      <c r="GPJ991" s="124"/>
      <c r="GPK991" s="124"/>
      <c r="GPL991" s="124"/>
      <c r="GPM991" s="124"/>
      <c r="GPN991" s="124"/>
      <c r="GPO991" s="124"/>
      <c r="GPP991" s="124"/>
      <c r="GPQ991" s="124"/>
      <c r="GPR991" s="124"/>
      <c r="GPS991" s="124"/>
      <c r="GPT991" s="124"/>
      <c r="GPU991" s="124"/>
      <c r="GPV991" s="124"/>
      <c r="GPW991" s="124"/>
      <c r="GPX991" s="124"/>
      <c r="GPY991" s="124"/>
      <c r="GPZ991" s="124"/>
      <c r="GQA991" s="124"/>
      <c r="GQB991" s="124"/>
      <c r="GQC991" s="124"/>
      <c r="GQD991" s="124"/>
      <c r="GQE991" s="124"/>
      <c r="GQF991" s="124"/>
      <c r="GQG991" s="124"/>
      <c r="GQH991" s="124"/>
      <c r="GQI991" s="124"/>
      <c r="GQJ991" s="124"/>
      <c r="GQK991" s="124"/>
      <c r="GQL991" s="124"/>
      <c r="GQM991" s="124"/>
      <c r="GQN991" s="124"/>
      <c r="GQO991" s="124"/>
      <c r="GQP991" s="124"/>
      <c r="GQQ991" s="124"/>
      <c r="GQR991" s="124"/>
      <c r="GQS991" s="124"/>
      <c r="GQT991" s="124"/>
      <c r="GQU991" s="124"/>
      <c r="GQV991" s="124"/>
      <c r="GQW991" s="124"/>
      <c r="GQX991" s="124"/>
      <c r="GQY991" s="124"/>
      <c r="GQZ991" s="124"/>
      <c r="GRA991" s="124"/>
      <c r="GRB991" s="124"/>
      <c r="GRC991" s="124"/>
      <c r="GRD991" s="124"/>
      <c r="GRE991" s="124"/>
      <c r="GRF991" s="124"/>
      <c r="GRG991" s="124"/>
      <c r="GRH991" s="124"/>
      <c r="GRI991" s="124"/>
      <c r="GRJ991" s="124"/>
      <c r="GRK991" s="124"/>
      <c r="GRL991" s="124"/>
      <c r="GRM991" s="124"/>
      <c r="GRN991" s="124"/>
      <c r="GRO991" s="124"/>
      <c r="GRP991" s="124"/>
      <c r="GRQ991" s="124"/>
      <c r="GRR991" s="124"/>
      <c r="GRS991" s="124"/>
      <c r="GRT991" s="124"/>
      <c r="GRU991" s="124"/>
      <c r="GRV991" s="124"/>
      <c r="GRW991" s="124"/>
      <c r="GRX991" s="124"/>
      <c r="GRY991" s="124"/>
      <c r="GRZ991" s="124"/>
      <c r="GSA991" s="124"/>
      <c r="GSB991" s="124"/>
      <c r="GSC991" s="124"/>
      <c r="GSD991" s="124"/>
      <c r="GSE991" s="124"/>
      <c r="GSF991" s="124"/>
      <c r="GSG991" s="124"/>
      <c r="GSH991" s="124"/>
      <c r="GSI991" s="124"/>
      <c r="GSJ991" s="124"/>
      <c r="GSK991" s="124"/>
      <c r="GSL991" s="124"/>
      <c r="GSM991" s="124"/>
      <c r="GSN991" s="124"/>
      <c r="GSO991" s="124"/>
      <c r="GSP991" s="124"/>
      <c r="GSQ991" s="124"/>
      <c r="GSR991" s="124"/>
      <c r="GSS991" s="124"/>
      <c r="GST991" s="124"/>
      <c r="GSU991" s="124"/>
      <c r="GSV991" s="124"/>
      <c r="GSW991" s="124"/>
      <c r="GSX991" s="124"/>
      <c r="GSY991" s="124"/>
      <c r="GSZ991" s="124"/>
      <c r="GTA991" s="124"/>
      <c r="GTB991" s="124"/>
      <c r="GTC991" s="124"/>
      <c r="GTD991" s="124"/>
      <c r="GTE991" s="124"/>
      <c r="GTF991" s="124"/>
      <c r="GTG991" s="124"/>
      <c r="GTH991" s="124"/>
      <c r="GTI991" s="124"/>
      <c r="GTJ991" s="124"/>
      <c r="GTK991" s="124"/>
      <c r="GTL991" s="124"/>
      <c r="GTM991" s="124"/>
      <c r="GTN991" s="124"/>
      <c r="GTO991" s="124"/>
      <c r="GTP991" s="124"/>
      <c r="GTQ991" s="124"/>
      <c r="GTR991" s="124"/>
      <c r="GTS991" s="124"/>
      <c r="GTT991" s="124"/>
      <c r="GTU991" s="124"/>
      <c r="GTV991" s="124"/>
      <c r="GTW991" s="124"/>
      <c r="GTX991" s="124"/>
      <c r="GTY991" s="124"/>
      <c r="GTZ991" s="124"/>
      <c r="GUA991" s="124"/>
      <c r="GUB991" s="124"/>
      <c r="GUC991" s="124"/>
      <c r="GUD991" s="124"/>
      <c r="GUE991" s="124"/>
      <c r="GUF991" s="124"/>
      <c r="GUG991" s="124"/>
      <c r="GUH991" s="124"/>
      <c r="GUI991" s="124"/>
      <c r="GUJ991" s="124"/>
      <c r="GUK991" s="124"/>
      <c r="GUL991" s="124"/>
      <c r="GUM991" s="124"/>
      <c r="GUN991" s="124"/>
      <c r="GUO991" s="124"/>
      <c r="GUP991" s="124"/>
      <c r="GUQ991" s="124"/>
      <c r="GUR991" s="124"/>
      <c r="GUS991" s="124"/>
      <c r="GUT991" s="124"/>
      <c r="GUU991" s="124"/>
      <c r="GUV991" s="124"/>
      <c r="GUW991" s="124"/>
      <c r="GUX991" s="124"/>
      <c r="GUY991" s="124"/>
      <c r="GUZ991" s="124"/>
      <c r="GVA991" s="124"/>
      <c r="GVB991" s="124"/>
      <c r="GVC991" s="124"/>
      <c r="GVD991" s="124"/>
      <c r="GVE991" s="124"/>
      <c r="GVF991" s="124"/>
      <c r="GVG991" s="124"/>
      <c r="GVH991" s="124"/>
      <c r="GVI991" s="124"/>
      <c r="GVJ991" s="124"/>
      <c r="GVK991" s="124"/>
      <c r="GVL991" s="124"/>
      <c r="GVM991" s="124"/>
      <c r="GVN991" s="124"/>
      <c r="GVO991" s="124"/>
      <c r="GVP991" s="124"/>
      <c r="GVQ991" s="124"/>
      <c r="GVR991" s="124"/>
      <c r="GVS991" s="124"/>
      <c r="GVT991" s="124"/>
      <c r="GVU991" s="124"/>
      <c r="GVV991" s="124"/>
      <c r="GVW991" s="124"/>
      <c r="GVX991" s="124"/>
      <c r="GVY991" s="124"/>
      <c r="GVZ991" s="124"/>
      <c r="GWA991" s="124"/>
      <c r="GWB991" s="124"/>
      <c r="GWC991" s="124"/>
      <c r="GWD991" s="124"/>
      <c r="GWE991" s="124"/>
      <c r="GWF991" s="124"/>
      <c r="GWG991" s="124"/>
      <c r="GWH991" s="124"/>
      <c r="GWI991" s="124"/>
      <c r="GWJ991" s="124"/>
      <c r="GWK991" s="124"/>
      <c r="GWL991" s="124"/>
      <c r="GWM991" s="124"/>
      <c r="GWN991" s="124"/>
      <c r="GWO991" s="124"/>
      <c r="GWP991" s="124"/>
      <c r="GWQ991" s="124"/>
      <c r="GWR991" s="124"/>
      <c r="GWS991" s="124"/>
      <c r="GWT991" s="124"/>
      <c r="GWU991" s="124"/>
      <c r="GWV991" s="124"/>
      <c r="GWW991" s="124"/>
      <c r="GWX991" s="124"/>
      <c r="GWY991" s="124"/>
      <c r="GWZ991" s="124"/>
      <c r="GXA991" s="124"/>
      <c r="GXB991" s="124"/>
      <c r="GXC991" s="124"/>
      <c r="GXD991" s="124"/>
      <c r="GXE991" s="124"/>
      <c r="GXF991" s="124"/>
      <c r="GXG991" s="124"/>
      <c r="GXH991" s="124"/>
      <c r="GXI991" s="124"/>
      <c r="GXJ991" s="124"/>
      <c r="GXK991" s="124"/>
      <c r="GXL991" s="124"/>
      <c r="GXM991" s="124"/>
      <c r="GXN991" s="124"/>
      <c r="GXO991" s="124"/>
      <c r="GXP991" s="124"/>
      <c r="GXQ991" s="124"/>
      <c r="GXR991" s="124"/>
      <c r="GXS991" s="124"/>
      <c r="GXT991" s="124"/>
      <c r="GXU991" s="124"/>
      <c r="GXV991" s="124"/>
      <c r="GXW991" s="124"/>
      <c r="GXX991" s="124"/>
      <c r="GXY991" s="124"/>
      <c r="GXZ991" s="124"/>
      <c r="GYA991" s="124"/>
      <c r="GYB991" s="124"/>
      <c r="GYC991" s="124"/>
      <c r="GYD991" s="124"/>
      <c r="GYE991" s="124"/>
      <c r="GYF991" s="124"/>
      <c r="GYG991" s="124"/>
      <c r="GYH991" s="124"/>
      <c r="GYI991" s="124"/>
      <c r="GYJ991" s="124"/>
      <c r="GYK991" s="124"/>
      <c r="GYL991" s="124"/>
      <c r="GYM991" s="124"/>
      <c r="GYN991" s="124"/>
      <c r="GYO991" s="124"/>
      <c r="GYP991" s="124"/>
      <c r="GYQ991" s="124"/>
      <c r="GYR991" s="124"/>
      <c r="GYS991" s="124"/>
      <c r="GYT991" s="124"/>
      <c r="GYU991" s="124"/>
      <c r="GYV991" s="124"/>
      <c r="GYW991" s="124"/>
      <c r="GYX991" s="124"/>
      <c r="GYY991" s="124"/>
      <c r="GYZ991" s="124"/>
      <c r="GZA991" s="124"/>
      <c r="GZB991" s="124"/>
      <c r="GZC991" s="124"/>
      <c r="GZD991" s="124"/>
      <c r="GZE991" s="124"/>
      <c r="GZF991" s="124"/>
      <c r="GZG991" s="124"/>
      <c r="GZH991" s="124"/>
      <c r="GZI991" s="124"/>
      <c r="GZJ991" s="124"/>
      <c r="GZK991" s="124"/>
      <c r="GZL991" s="124"/>
      <c r="GZM991" s="124"/>
      <c r="GZN991" s="124"/>
      <c r="GZO991" s="124"/>
      <c r="GZP991" s="124"/>
      <c r="GZQ991" s="124"/>
      <c r="GZR991" s="124"/>
      <c r="GZS991" s="124"/>
      <c r="GZT991" s="124"/>
      <c r="GZU991" s="124"/>
      <c r="GZV991" s="124"/>
      <c r="GZW991" s="124"/>
      <c r="GZX991" s="124"/>
      <c r="GZY991" s="124"/>
      <c r="GZZ991" s="124"/>
      <c r="HAA991" s="124"/>
      <c r="HAB991" s="124"/>
      <c r="HAC991" s="124"/>
      <c r="HAD991" s="124"/>
      <c r="HAE991" s="124"/>
      <c r="HAF991" s="124"/>
      <c r="HAG991" s="124"/>
      <c r="HAH991" s="124"/>
      <c r="HAI991" s="124"/>
      <c r="HAJ991" s="124"/>
      <c r="HAK991" s="124"/>
      <c r="HAL991" s="124"/>
      <c r="HAM991" s="124"/>
      <c r="HAN991" s="124"/>
      <c r="HAO991" s="124"/>
      <c r="HAP991" s="124"/>
      <c r="HAQ991" s="124"/>
      <c r="HAR991" s="124"/>
      <c r="HAS991" s="124"/>
      <c r="HAT991" s="124"/>
      <c r="HAU991" s="124"/>
      <c r="HAV991" s="124"/>
      <c r="HAW991" s="124"/>
      <c r="HAX991" s="124"/>
      <c r="HAY991" s="124"/>
      <c r="HAZ991" s="124"/>
      <c r="HBA991" s="124"/>
      <c r="HBB991" s="124"/>
      <c r="HBC991" s="124"/>
      <c r="HBD991" s="124"/>
      <c r="HBE991" s="124"/>
      <c r="HBF991" s="124"/>
      <c r="HBG991" s="124"/>
      <c r="HBH991" s="124"/>
      <c r="HBI991" s="124"/>
      <c r="HBJ991" s="124"/>
      <c r="HBK991" s="124"/>
      <c r="HBL991" s="124"/>
      <c r="HBM991" s="124"/>
      <c r="HBN991" s="124"/>
      <c r="HBO991" s="124"/>
      <c r="HBP991" s="124"/>
      <c r="HBQ991" s="124"/>
      <c r="HBR991" s="124"/>
      <c r="HBS991" s="124"/>
      <c r="HBT991" s="124"/>
      <c r="HBU991" s="124"/>
      <c r="HBV991" s="124"/>
      <c r="HBW991" s="124"/>
      <c r="HBX991" s="124"/>
      <c r="HBY991" s="124"/>
      <c r="HBZ991" s="124"/>
      <c r="HCA991" s="124"/>
      <c r="HCB991" s="124"/>
      <c r="HCC991" s="124"/>
      <c r="HCD991" s="124"/>
      <c r="HCE991" s="124"/>
      <c r="HCF991" s="124"/>
      <c r="HCG991" s="124"/>
      <c r="HCH991" s="124"/>
      <c r="HCI991" s="124"/>
      <c r="HCJ991" s="124"/>
      <c r="HCK991" s="124"/>
      <c r="HCL991" s="124"/>
      <c r="HCM991" s="124"/>
      <c r="HCN991" s="124"/>
      <c r="HCO991" s="124"/>
      <c r="HCP991" s="124"/>
      <c r="HCQ991" s="124"/>
      <c r="HCR991" s="124"/>
      <c r="HCS991" s="124"/>
      <c r="HCT991" s="124"/>
      <c r="HCU991" s="124"/>
      <c r="HCV991" s="124"/>
      <c r="HCW991" s="124"/>
      <c r="HCX991" s="124"/>
      <c r="HCY991" s="124"/>
      <c r="HCZ991" s="124"/>
      <c r="HDA991" s="124"/>
      <c r="HDB991" s="124"/>
      <c r="HDC991" s="124"/>
      <c r="HDD991" s="124"/>
      <c r="HDE991" s="124"/>
      <c r="HDF991" s="124"/>
      <c r="HDG991" s="124"/>
      <c r="HDH991" s="124"/>
      <c r="HDI991" s="124"/>
      <c r="HDJ991" s="124"/>
      <c r="HDK991" s="124"/>
      <c r="HDL991" s="124"/>
      <c r="HDM991" s="124"/>
      <c r="HDN991" s="124"/>
      <c r="HDO991" s="124"/>
      <c r="HDP991" s="124"/>
      <c r="HDQ991" s="124"/>
      <c r="HDR991" s="124"/>
      <c r="HDS991" s="124"/>
      <c r="HDT991" s="124"/>
      <c r="HDU991" s="124"/>
      <c r="HDV991" s="124"/>
      <c r="HDW991" s="124"/>
      <c r="HDX991" s="124"/>
      <c r="HDY991" s="124"/>
      <c r="HDZ991" s="124"/>
      <c r="HEA991" s="124"/>
      <c r="HEB991" s="124"/>
      <c r="HEC991" s="124"/>
      <c r="HED991" s="124"/>
      <c r="HEE991" s="124"/>
      <c r="HEF991" s="124"/>
      <c r="HEG991" s="124"/>
      <c r="HEH991" s="124"/>
      <c r="HEI991" s="124"/>
      <c r="HEJ991" s="124"/>
      <c r="HEK991" s="124"/>
      <c r="HEL991" s="124"/>
      <c r="HEM991" s="124"/>
      <c r="HEN991" s="124"/>
      <c r="HEO991" s="124"/>
      <c r="HEP991" s="124"/>
      <c r="HEQ991" s="124"/>
      <c r="HER991" s="124"/>
      <c r="HES991" s="124"/>
      <c r="HET991" s="124"/>
      <c r="HEU991" s="124"/>
      <c r="HEV991" s="124"/>
      <c r="HEW991" s="124"/>
      <c r="HEX991" s="124"/>
      <c r="HEY991" s="124"/>
      <c r="HEZ991" s="124"/>
      <c r="HFA991" s="124"/>
      <c r="HFB991" s="124"/>
      <c r="HFC991" s="124"/>
      <c r="HFD991" s="124"/>
      <c r="HFE991" s="124"/>
      <c r="HFF991" s="124"/>
      <c r="HFG991" s="124"/>
      <c r="HFH991" s="124"/>
      <c r="HFI991" s="124"/>
      <c r="HFJ991" s="124"/>
      <c r="HFK991" s="124"/>
      <c r="HFL991" s="124"/>
      <c r="HFM991" s="124"/>
      <c r="HFN991" s="124"/>
      <c r="HFO991" s="124"/>
      <c r="HFP991" s="124"/>
      <c r="HFQ991" s="124"/>
      <c r="HFR991" s="124"/>
      <c r="HFS991" s="124"/>
      <c r="HFT991" s="124"/>
      <c r="HFU991" s="124"/>
      <c r="HFV991" s="124"/>
      <c r="HFW991" s="124"/>
      <c r="HFX991" s="124"/>
      <c r="HFY991" s="124"/>
      <c r="HFZ991" s="124"/>
      <c r="HGA991" s="124"/>
      <c r="HGB991" s="124"/>
      <c r="HGC991" s="124"/>
      <c r="HGD991" s="124"/>
      <c r="HGE991" s="124"/>
      <c r="HGF991" s="124"/>
      <c r="HGG991" s="124"/>
      <c r="HGH991" s="124"/>
      <c r="HGI991" s="124"/>
      <c r="HGJ991" s="124"/>
      <c r="HGK991" s="124"/>
      <c r="HGL991" s="124"/>
      <c r="HGM991" s="124"/>
      <c r="HGN991" s="124"/>
      <c r="HGO991" s="124"/>
      <c r="HGP991" s="124"/>
      <c r="HGQ991" s="124"/>
      <c r="HGR991" s="124"/>
      <c r="HGS991" s="124"/>
      <c r="HGT991" s="124"/>
      <c r="HGU991" s="124"/>
      <c r="HGV991" s="124"/>
      <c r="HGW991" s="124"/>
      <c r="HGX991" s="124"/>
      <c r="HGY991" s="124"/>
      <c r="HGZ991" s="124"/>
      <c r="HHA991" s="124"/>
      <c r="HHB991" s="124"/>
      <c r="HHC991" s="124"/>
      <c r="HHD991" s="124"/>
      <c r="HHE991" s="124"/>
      <c r="HHF991" s="124"/>
      <c r="HHG991" s="124"/>
      <c r="HHH991" s="124"/>
      <c r="HHI991" s="124"/>
      <c r="HHJ991" s="124"/>
      <c r="HHK991" s="124"/>
      <c r="HHL991" s="124"/>
      <c r="HHM991" s="124"/>
      <c r="HHN991" s="124"/>
      <c r="HHO991" s="124"/>
      <c r="HHP991" s="124"/>
      <c r="HHQ991" s="124"/>
      <c r="HHR991" s="124"/>
      <c r="HHS991" s="124"/>
      <c r="HHT991" s="124"/>
      <c r="HHU991" s="124"/>
      <c r="HHV991" s="124"/>
      <c r="HHW991" s="124"/>
      <c r="HHX991" s="124"/>
      <c r="HHY991" s="124"/>
      <c r="HHZ991" s="124"/>
      <c r="HIA991" s="124"/>
      <c r="HIB991" s="124"/>
      <c r="HIC991" s="124"/>
      <c r="HID991" s="124"/>
      <c r="HIE991" s="124"/>
      <c r="HIF991" s="124"/>
      <c r="HIG991" s="124"/>
      <c r="HIH991" s="124"/>
      <c r="HII991" s="124"/>
      <c r="HIJ991" s="124"/>
      <c r="HIK991" s="124"/>
      <c r="HIL991" s="124"/>
      <c r="HIM991" s="124"/>
      <c r="HIN991" s="124"/>
      <c r="HIO991" s="124"/>
      <c r="HIP991" s="124"/>
      <c r="HIQ991" s="124"/>
      <c r="HIR991" s="124"/>
      <c r="HIS991" s="124"/>
      <c r="HIT991" s="124"/>
      <c r="HIU991" s="124"/>
      <c r="HIV991" s="124"/>
      <c r="HIW991" s="124"/>
      <c r="HIX991" s="124"/>
      <c r="HIY991" s="124"/>
      <c r="HIZ991" s="124"/>
      <c r="HJA991" s="124"/>
      <c r="HJB991" s="124"/>
      <c r="HJC991" s="124"/>
      <c r="HJD991" s="124"/>
      <c r="HJE991" s="124"/>
      <c r="HJF991" s="124"/>
      <c r="HJG991" s="124"/>
      <c r="HJH991" s="124"/>
      <c r="HJI991" s="124"/>
      <c r="HJJ991" s="124"/>
      <c r="HJK991" s="124"/>
      <c r="HJL991" s="124"/>
      <c r="HJM991" s="124"/>
      <c r="HJN991" s="124"/>
      <c r="HJO991" s="124"/>
      <c r="HJP991" s="124"/>
      <c r="HJQ991" s="124"/>
      <c r="HJR991" s="124"/>
      <c r="HJS991" s="124"/>
      <c r="HJT991" s="124"/>
      <c r="HJU991" s="124"/>
      <c r="HJV991" s="124"/>
      <c r="HJW991" s="124"/>
      <c r="HJX991" s="124"/>
      <c r="HJY991" s="124"/>
      <c r="HJZ991" s="124"/>
      <c r="HKA991" s="124"/>
      <c r="HKB991" s="124"/>
      <c r="HKC991" s="124"/>
      <c r="HKD991" s="124"/>
      <c r="HKE991" s="124"/>
      <c r="HKF991" s="124"/>
      <c r="HKG991" s="124"/>
      <c r="HKH991" s="124"/>
      <c r="HKI991" s="124"/>
      <c r="HKJ991" s="124"/>
      <c r="HKK991" s="124"/>
      <c r="HKL991" s="124"/>
      <c r="HKM991" s="124"/>
      <c r="HKN991" s="124"/>
      <c r="HKO991" s="124"/>
      <c r="HKP991" s="124"/>
      <c r="HKQ991" s="124"/>
      <c r="HKR991" s="124"/>
      <c r="HKS991" s="124"/>
      <c r="HKT991" s="124"/>
      <c r="HKU991" s="124"/>
      <c r="HKV991" s="124"/>
      <c r="HKW991" s="124"/>
      <c r="HKX991" s="124"/>
      <c r="HKY991" s="124"/>
      <c r="HKZ991" s="124"/>
      <c r="HLA991" s="124"/>
      <c r="HLB991" s="124"/>
      <c r="HLC991" s="124"/>
      <c r="HLD991" s="124"/>
      <c r="HLE991" s="124"/>
      <c r="HLF991" s="124"/>
      <c r="HLG991" s="124"/>
      <c r="HLH991" s="124"/>
      <c r="HLI991" s="124"/>
      <c r="HLJ991" s="124"/>
      <c r="HLK991" s="124"/>
      <c r="HLL991" s="124"/>
      <c r="HLM991" s="124"/>
      <c r="HLN991" s="124"/>
      <c r="HLO991" s="124"/>
      <c r="HLP991" s="124"/>
      <c r="HLQ991" s="124"/>
      <c r="HLR991" s="124"/>
      <c r="HLS991" s="124"/>
      <c r="HLT991" s="124"/>
      <c r="HLU991" s="124"/>
      <c r="HLV991" s="124"/>
      <c r="HLW991" s="124"/>
      <c r="HLX991" s="124"/>
      <c r="HLY991" s="124"/>
      <c r="HLZ991" s="124"/>
      <c r="HMA991" s="124"/>
      <c r="HMB991" s="124"/>
      <c r="HMC991" s="124"/>
      <c r="HMD991" s="124"/>
      <c r="HME991" s="124"/>
      <c r="HMF991" s="124"/>
      <c r="HMG991" s="124"/>
      <c r="HMH991" s="124"/>
      <c r="HMI991" s="124"/>
      <c r="HMJ991" s="124"/>
      <c r="HMK991" s="124"/>
      <c r="HML991" s="124"/>
      <c r="HMM991" s="124"/>
      <c r="HMN991" s="124"/>
      <c r="HMO991" s="124"/>
      <c r="HMP991" s="124"/>
      <c r="HMQ991" s="124"/>
      <c r="HMR991" s="124"/>
      <c r="HMS991" s="124"/>
      <c r="HMT991" s="124"/>
      <c r="HMU991" s="124"/>
      <c r="HMV991" s="124"/>
      <c r="HMW991" s="124"/>
      <c r="HMX991" s="124"/>
      <c r="HMY991" s="124"/>
      <c r="HMZ991" s="124"/>
      <c r="HNA991" s="124"/>
      <c r="HNB991" s="124"/>
      <c r="HNC991" s="124"/>
      <c r="HND991" s="124"/>
      <c r="HNE991" s="124"/>
      <c r="HNF991" s="124"/>
      <c r="HNG991" s="124"/>
      <c r="HNH991" s="124"/>
      <c r="HNI991" s="124"/>
      <c r="HNJ991" s="124"/>
      <c r="HNK991" s="124"/>
      <c r="HNL991" s="124"/>
      <c r="HNM991" s="124"/>
      <c r="HNN991" s="124"/>
      <c r="HNO991" s="124"/>
      <c r="HNP991" s="124"/>
      <c r="HNQ991" s="124"/>
      <c r="HNR991" s="124"/>
      <c r="HNS991" s="124"/>
      <c r="HNT991" s="124"/>
      <c r="HNU991" s="124"/>
      <c r="HNV991" s="124"/>
      <c r="HNW991" s="124"/>
      <c r="HNX991" s="124"/>
      <c r="HNY991" s="124"/>
      <c r="HNZ991" s="124"/>
      <c r="HOA991" s="124"/>
      <c r="HOB991" s="124"/>
      <c r="HOC991" s="124"/>
      <c r="HOD991" s="124"/>
      <c r="HOE991" s="124"/>
      <c r="HOF991" s="124"/>
      <c r="HOG991" s="124"/>
      <c r="HOH991" s="124"/>
      <c r="HOI991" s="124"/>
      <c r="HOJ991" s="124"/>
      <c r="HOK991" s="124"/>
      <c r="HOL991" s="124"/>
      <c r="HOM991" s="124"/>
      <c r="HON991" s="124"/>
      <c r="HOO991" s="124"/>
      <c r="HOP991" s="124"/>
      <c r="HOQ991" s="124"/>
      <c r="HOR991" s="124"/>
      <c r="HOS991" s="124"/>
      <c r="HOT991" s="124"/>
      <c r="HOU991" s="124"/>
      <c r="HOV991" s="124"/>
      <c r="HOW991" s="124"/>
      <c r="HOX991" s="124"/>
      <c r="HOY991" s="124"/>
      <c r="HOZ991" s="124"/>
      <c r="HPA991" s="124"/>
      <c r="HPB991" s="124"/>
      <c r="HPC991" s="124"/>
      <c r="HPD991" s="124"/>
      <c r="HPE991" s="124"/>
      <c r="HPF991" s="124"/>
      <c r="HPG991" s="124"/>
      <c r="HPH991" s="124"/>
      <c r="HPI991" s="124"/>
      <c r="HPJ991" s="124"/>
      <c r="HPK991" s="124"/>
      <c r="HPL991" s="124"/>
      <c r="HPM991" s="124"/>
      <c r="HPN991" s="124"/>
      <c r="HPO991" s="124"/>
      <c r="HPP991" s="124"/>
      <c r="HPQ991" s="124"/>
      <c r="HPR991" s="124"/>
      <c r="HPS991" s="124"/>
      <c r="HPT991" s="124"/>
      <c r="HPU991" s="124"/>
      <c r="HPV991" s="124"/>
      <c r="HPW991" s="124"/>
      <c r="HPX991" s="124"/>
      <c r="HPY991" s="124"/>
      <c r="HPZ991" s="124"/>
      <c r="HQA991" s="124"/>
      <c r="HQB991" s="124"/>
      <c r="HQC991" s="124"/>
      <c r="HQD991" s="124"/>
      <c r="HQE991" s="124"/>
      <c r="HQF991" s="124"/>
      <c r="HQG991" s="124"/>
      <c r="HQH991" s="124"/>
      <c r="HQI991" s="124"/>
      <c r="HQJ991" s="124"/>
      <c r="HQK991" s="124"/>
      <c r="HQL991" s="124"/>
      <c r="HQM991" s="124"/>
      <c r="HQN991" s="124"/>
      <c r="HQO991" s="124"/>
      <c r="HQP991" s="124"/>
      <c r="HQQ991" s="124"/>
      <c r="HQR991" s="124"/>
      <c r="HQS991" s="124"/>
      <c r="HQT991" s="124"/>
      <c r="HQU991" s="124"/>
      <c r="HQV991" s="124"/>
      <c r="HQW991" s="124"/>
      <c r="HQX991" s="124"/>
      <c r="HQY991" s="124"/>
      <c r="HQZ991" s="124"/>
      <c r="HRA991" s="124"/>
      <c r="HRB991" s="124"/>
      <c r="HRC991" s="124"/>
      <c r="HRD991" s="124"/>
      <c r="HRE991" s="124"/>
      <c r="HRF991" s="124"/>
      <c r="HRG991" s="124"/>
      <c r="HRH991" s="124"/>
      <c r="HRI991" s="124"/>
      <c r="HRJ991" s="124"/>
      <c r="HRK991" s="124"/>
      <c r="HRL991" s="124"/>
      <c r="HRM991" s="124"/>
      <c r="HRN991" s="124"/>
      <c r="HRO991" s="124"/>
      <c r="HRP991" s="124"/>
      <c r="HRQ991" s="124"/>
      <c r="HRR991" s="124"/>
      <c r="HRS991" s="124"/>
      <c r="HRT991" s="124"/>
      <c r="HRU991" s="124"/>
      <c r="HRV991" s="124"/>
      <c r="HRW991" s="124"/>
      <c r="HRX991" s="124"/>
      <c r="HRY991" s="124"/>
      <c r="HRZ991" s="124"/>
      <c r="HSA991" s="124"/>
      <c r="HSB991" s="124"/>
      <c r="HSC991" s="124"/>
      <c r="HSD991" s="124"/>
      <c r="HSE991" s="124"/>
      <c r="HSF991" s="124"/>
      <c r="HSG991" s="124"/>
      <c r="HSH991" s="124"/>
      <c r="HSI991" s="124"/>
      <c r="HSJ991" s="124"/>
      <c r="HSK991" s="124"/>
      <c r="HSL991" s="124"/>
      <c r="HSM991" s="124"/>
      <c r="HSN991" s="124"/>
      <c r="HSO991" s="124"/>
      <c r="HSP991" s="124"/>
      <c r="HSQ991" s="124"/>
      <c r="HSR991" s="124"/>
      <c r="HSS991" s="124"/>
      <c r="HST991" s="124"/>
      <c r="HSU991" s="124"/>
      <c r="HSV991" s="124"/>
      <c r="HSW991" s="124"/>
      <c r="HSX991" s="124"/>
      <c r="HSY991" s="124"/>
      <c r="HSZ991" s="124"/>
      <c r="HTA991" s="124"/>
      <c r="HTB991" s="124"/>
      <c r="HTC991" s="124"/>
      <c r="HTD991" s="124"/>
      <c r="HTE991" s="124"/>
      <c r="HTF991" s="124"/>
      <c r="HTG991" s="124"/>
      <c r="HTH991" s="124"/>
      <c r="HTI991" s="124"/>
      <c r="HTJ991" s="124"/>
      <c r="HTK991" s="124"/>
      <c r="HTL991" s="124"/>
      <c r="HTM991" s="124"/>
      <c r="HTN991" s="124"/>
      <c r="HTO991" s="124"/>
      <c r="HTP991" s="124"/>
      <c r="HTQ991" s="124"/>
      <c r="HTR991" s="124"/>
      <c r="HTS991" s="124"/>
      <c r="HTT991" s="124"/>
      <c r="HTU991" s="124"/>
      <c r="HTV991" s="124"/>
      <c r="HTW991" s="124"/>
      <c r="HTX991" s="124"/>
      <c r="HTY991" s="124"/>
      <c r="HTZ991" s="124"/>
      <c r="HUA991" s="124"/>
      <c r="HUB991" s="124"/>
      <c r="HUC991" s="124"/>
      <c r="HUD991" s="124"/>
      <c r="HUE991" s="124"/>
      <c r="HUF991" s="124"/>
      <c r="HUG991" s="124"/>
      <c r="HUH991" s="124"/>
      <c r="HUI991" s="124"/>
      <c r="HUJ991" s="124"/>
      <c r="HUK991" s="124"/>
      <c r="HUL991" s="124"/>
      <c r="HUM991" s="124"/>
      <c r="HUN991" s="124"/>
      <c r="HUO991" s="124"/>
      <c r="HUP991" s="124"/>
      <c r="HUQ991" s="124"/>
      <c r="HUR991" s="124"/>
      <c r="HUS991" s="124"/>
      <c r="HUT991" s="124"/>
      <c r="HUU991" s="124"/>
      <c r="HUV991" s="124"/>
      <c r="HUW991" s="124"/>
      <c r="HUX991" s="124"/>
      <c r="HUY991" s="124"/>
      <c r="HUZ991" s="124"/>
      <c r="HVA991" s="124"/>
      <c r="HVB991" s="124"/>
      <c r="HVC991" s="124"/>
      <c r="HVD991" s="124"/>
      <c r="HVE991" s="124"/>
      <c r="HVF991" s="124"/>
      <c r="HVG991" s="124"/>
      <c r="HVH991" s="124"/>
      <c r="HVI991" s="124"/>
      <c r="HVJ991" s="124"/>
      <c r="HVK991" s="124"/>
      <c r="HVL991" s="124"/>
      <c r="HVM991" s="124"/>
      <c r="HVN991" s="124"/>
      <c r="HVO991" s="124"/>
      <c r="HVP991" s="124"/>
      <c r="HVQ991" s="124"/>
      <c r="HVR991" s="124"/>
      <c r="HVS991" s="124"/>
      <c r="HVT991" s="124"/>
      <c r="HVU991" s="124"/>
      <c r="HVV991" s="124"/>
      <c r="HVW991" s="124"/>
      <c r="HVX991" s="124"/>
      <c r="HVY991" s="124"/>
      <c r="HVZ991" s="124"/>
      <c r="HWA991" s="124"/>
      <c r="HWB991" s="124"/>
      <c r="HWC991" s="124"/>
      <c r="HWD991" s="124"/>
      <c r="HWE991" s="124"/>
      <c r="HWF991" s="124"/>
      <c r="HWG991" s="124"/>
      <c r="HWH991" s="124"/>
      <c r="HWI991" s="124"/>
      <c r="HWJ991" s="124"/>
      <c r="HWK991" s="124"/>
      <c r="HWL991" s="124"/>
      <c r="HWM991" s="124"/>
      <c r="HWN991" s="124"/>
      <c r="HWO991" s="124"/>
      <c r="HWP991" s="124"/>
      <c r="HWQ991" s="124"/>
      <c r="HWR991" s="124"/>
      <c r="HWS991" s="124"/>
      <c r="HWT991" s="124"/>
      <c r="HWU991" s="124"/>
      <c r="HWV991" s="124"/>
      <c r="HWW991" s="124"/>
      <c r="HWX991" s="124"/>
      <c r="HWY991" s="124"/>
      <c r="HWZ991" s="124"/>
      <c r="HXA991" s="124"/>
      <c r="HXB991" s="124"/>
      <c r="HXC991" s="124"/>
      <c r="HXD991" s="124"/>
      <c r="HXE991" s="124"/>
      <c r="HXF991" s="124"/>
      <c r="HXG991" s="124"/>
      <c r="HXH991" s="124"/>
      <c r="HXI991" s="124"/>
      <c r="HXJ991" s="124"/>
      <c r="HXK991" s="124"/>
      <c r="HXL991" s="124"/>
      <c r="HXM991" s="124"/>
      <c r="HXN991" s="124"/>
      <c r="HXO991" s="124"/>
      <c r="HXP991" s="124"/>
      <c r="HXQ991" s="124"/>
      <c r="HXR991" s="124"/>
      <c r="HXS991" s="124"/>
      <c r="HXT991" s="124"/>
      <c r="HXU991" s="124"/>
      <c r="HXV991" s="124"/>
      <c r="HXW991" s="124"/>
      <c r="HXX991" s="124"/>
      <c r="HXY991" s="124"/>
      <c r="HXZ991" s="124"/>
      <c r="HYA991" s="124"/>
      <c r="HYB991" s="124"/>
      <c r="HYC991" s="124"/>
      <c r="HYD991" s="124"/>
      <c r="HYE991" s="124"/>
      <c r="HYF991" s="124"/>
      <c r="HYG991" s="124"/>
      <c r="HYH991" s="124"/>
      <c r="HYI991" s="124"/>
      <c r="HYJ991" s="124"/>
      <c r="HYK991" s="124"/>
      <c r="HYL991" s="124"/>
      <c r="HYM991" s="124"/>
      <c r="HYN991" s="124"/>
      <c r="HYO991" s="124"/>
      <c r="HYP991" s="124"/>
      <c r="HYQ991" s="124"/>
      <c r="HYR991" s="124"/>
      <c r="HYS991" s="124"/>
      <c r="HYT991" s="124"/>
      <c r="HYU991" s="124"/>
      <c r="HYV991" s="124"/>
      <c r="HYW991" s="124"/>
      <c r="HYX991" s="124"/>
      <c r="HYY991" s="124"/>
      <c r="HYZ991" s="124"/>
      <c r="HZA991" s="124"/>
      <c r="HZB991" s="124"/>
      <c r="HZC991" s="124"/>
      <c r="HZD991" s="124"/>
      <c r="HZE991" s="124"/>
      <c r="HZF991" s="124"/>
      <c r="HZG991" s="124"/>
      <c r="HZH991" s="124"/>
      <c r="HZI991" s="124"/>
      <c r="HZJ991" s="124"/>
      <c r="HZK991" s="124"/>
      <c r="HZL991" s="124"/>
      <c r="HZM991" s="124"/>
      <c r="HZN991" s="124"/>
      <c r="HZO991" s="124"/>
      <c r="HZP991" s="124"/>
      <c r="HZQ991" s="124"/>
      <c r="HZR991" s="124"/>
      <c r="HZS991" s="124"/>
      <c r="HZT991" s="124"/>
      <c r="HZU991" s="124"/>
      <c r="HZV991" s="124"/>
      <c r="HZW991" s="124"/>
      <c r="HZX991" s="124"/>
      <c r="HZY991" s="124"/>
      <c r="HZZ991" s="124"/>
      <c r="IAA991" s="124"/>
      <c r="IAB991" s="124"/>
      <c r="IAC991" s="124"/>
      <c r="IAD991" s="124"/>
      <c r="IAE991" s="124"/>
      <c r="IAF991" s="124"/>
      <c r="IAG991" s="124"/>
      <c r="IAH991" s="124"/>
      <c r="IAI991" s="124"/>
      <c r="IAJ991" s="124"/>
      <c r="IAK991" s="124"/>
      <c r="IAL991" s="124"/>
      <c r="IAM991" s="124"/>
      <c r="IAN991" s="124"/>
      <c r="IAO991" s="124"/>
      <c r="IAP991" s="124"/>
      <c r="IAQ991" s="124"/>
      <c r="IAR991" s="124"/>
      <c r="IAS991" s="124"/>
      <c r="IAT991" s="124"/>
      <c r="IAU991" s="124"/>
      <c r="IAV991" s="124"/>
      <c r="IAW991" s="124"/>
      <c r="IAX991" s="124"/>
      <c r="IAY991" s="124"/>
      <c r="IAZ991" s="124"/>
      <c r="IBA991" s="124"/>
      <c r="IBB991" s="124"/>
      <c r="IBC991" s="124"/>
      <c r="IBD991" s="124"/>
      <c r="IBE991" s="124"/>
      <c r="IBF991" s="124"/>
      <c r="IBG991" s="124"/>
      <c r="IBH991" s="124"/>
      <c r="IBI991" s="124"/>
      <c r="IBJ991" s="124"/>
      <c r="IBK991" s="124"/>
      <c r="IBL991" s="124"/>
      <c r="IBM991" s="124"/>
      <c r="IBN991" s="124"/>
      <c r="IBO991" s="124"/>
      <c r="IBP991" s="124"/>
      <c r="IBQ991" s="124"/>
      <c r="IBR991" s="124"/>
      <c r="IBS991" s="124"/>
      <c r="IBT991" s="124"/>
      <c r="IBU991" s="124"/>
      <c r="IBV991" s="124"/>
      <c r="IBW991" s="124"/>
      <c r="IBX991" s="124"/>
      <c r="IBY991" s="124"/>
      <c r="IBZ991" s="124"/>
      <c r="ICA991" s="124"/>
      <c r="ICB991" s="124"/>
      <c r="ICC991" s="124"/>
      <c r="ICD991" s="124"/>
      <c r="ICE991" s="124"/>
      <c r="ICF991" s="124"/>
      <c r="ICG991" s="124"/>
      <c r="ICH991" s="124"/>
      <c r="ICI991" s="124"/>
      <c r="ICJ991" s="124"/>
      <c r="ICK991" s="124"/>
      <c r="ICL991" s="124"/>
      <c r="ICM991" s="124"/>
      <c r="ICN991" s="124"/>
      <c r="ICO991" s="124"/>
      <c r="ICP991" s="124"/>
      <c r="ICQ991" s="124"/>
      <c r="ICR991" s="124"/>
      <c r="ICS991" s="124"/>
      <c r="ICT991" s="124"/>
      <c r="ICU991" s="124"/>
      <c r="ICV991" s="124"/>
      <c r="ICW991" s="124"/>
      <c r="ICX991" s="124"/>
      <c r="ICY991" s="124"/>
      <c r="ICZ991" s="124"/>
      <c r="IDA991" s="124"/>
      <c r="IDB991" s="124"/>
      <c r="IDC991" s="124"/>
      <c r="IDD991" s="124"/>
      <c r="IDE991" s="124"/>
      <c r="IDF991" s="124"/>
      <c r="IDG991" s="124"/>
      <c r="IDH991" s="124"/>
      <c r="IDI991" s="124"/>
      <c r="IDJ991" s="124"/>
      <c r="IDK991" s="124"/>
      <c r="IDL991" s="124"/>
      <c r="IDM991" s="124"/>
      <c r="IDN991" s="124"/>
      <c r="IDO991" s="124"/>
      <c r="IDP991" s="124"/>
      <c r="IDQ991" s="124"/>
      <c r="IDR991" s="124"/>
      <c r="IDS991" s="124"/>
      <c r="IDT991" s="124"/>
      <c r="IDU991" s="124"/>
      <c r="IDV991" s="124"/>
      <c r="IDW991" s="124"/>
      <c r="IDX991" s="124"/>
      <c r="IDY991" s="124"/>
      <c r="IDZ991" s="124"/>
      <c r="IEA991" s="124"/>
      <c r="IEB991" s="124"/>
      <c r="IEC991" s="124"/>
      <c r="IED991" s="124"/>
      <c r="IEE991" s="124"/>
      <c r="IEF991" s="124"/>
      <c r="IEG991" s="124"/>
      <c r="IEH991" s="124"/>
      <c r="IEI991" s="124"/>
      <c r="IEJ991" s="124"/>
      <c r="IEK991" s="124"/>
      <c r="IEL991" s="124"/>
      <c r="IEM991" s="124"/>
      <c r="IEN991" s="124"/>
      <c r="IEO991" s="124"/>
      <c r="IEP991" s="124"/>
      <c r="IEQ991" s="124"/>
      <c r="IER991" s="124"/>
      <c r="IES991" s="124"/>
      <c r="IET991" s="124"/>
      <c r="IEU991" s="124"/>
      <c r="IEV991" s="124"/>
      <c r="IEW991" s="124"/>
      <c r="IEX991" s="124"/>
      <c r="IEY991" s="124"/>
      <c r="IEZ991" s="124"/>
      <c r="IFA991" s="124"/>
      <c r="IFB991" s="124"/>
      <c r="IFC991" s="124"/>
      <c r="IFD991" s="124"/>
      <c r="IFE991" s="124"/>
      <c r="IFF991" s="124"/>
      <c r="IFG991" s="124"/>
      <c r="IFH991" s="124"/>
      <c r="IFI991" s="124"/>
      <c r="IFJ991" s="124"/>
      <c r="IFK991" s="124"/>
      <c r="IFL991" s="124"/>
      <c r="IFM991" s="124"/>
      <c r="IFN991" s="124"/>
      <c r="IFO991" s="124"/>
      <c r="IFP991" s="124"/>
      <c r="IFQ991" s="124"/>
      <c r="IFR991" s="124"/>
      <c r="IFS991" s="124"/>
      <c r="IFT991" s="124"/>
      <c r="IFU991" s="124"/>
      <c r="IFV991" s="124"/>
      <c r="IFW991" s="124"/>
      <c r="IFX991" s="124"/>
      <c r="IFY991" s="124"/>
      <c r="IFZ991" s="124"/>
      <c r="IGA991" s="124"/>
      <c r="IGB991" s="124"/>
      <c r="IGC991" s="124"/>
      <c r="IGD991" s="124"/>
      <c r="IGE991" s="124"/>
      <c r="IGF991" s="124"/>
      <c r="IGG991" s="124"/>
      <c r="IGH991" s="124"/>
      <c r="IGI991" s="124"/>
      <c r="IGJ991" s="124"/>
      <c r="IGK991" s="124"/>
      <c r="IGL991" s="124"/>
      <c r="IGM991" s="124"/>
      <c r="IGN991" s="124"/>
      <c r="IGO991" s="124"/>
      <c r="IGP991" s="124"/>
      <c r="IGQ991" s="124"/>
      <c r="IGR991" s="124"/>
      <c r="IGS991" s="124"/>
      <c r="IGT991" s="124"/>
      <c r="IGU991" s="124"/>
      <c r="IGV991" s="124"/>
      <c r="IGW991" s="124"/>
      <c r="IGX991" s="124"/>
      <c r="IGY991" s="124"/>
      <c r="IGZ991" s="124"/>
      <c r="IHA991" s="124"/>
      <c r="IHB991" s="124"/>
      <c r="IHC991" s="124"/>
      <c r="IHD991" s="124"/>
      <c r="IHE991" s="124"/>
      <c r="IHF991" s="124"/>
      <c r="IHG991" s="124"/>
      <c r="IHH991" s="124"/>
      <c r="IHI991" s="124"/>
      <c r="IHJ991" s="124"/>
      <c r="IHK991" s="124"/>
      <c r="IHL991" s="124"/>
      <c r="IHM991" s="124"/>
      <c r="IHN991" s="124"/>
      <c r="IHO991" s="124"/>
      <c r="IHP991" s="124"/>
      <c r="IHQ991" s="124"/>
      <c r="IHR991" s="124"/>
      <c r="IHS991" s="124"/>
      <c r="IHT991" s="124"/>
      <c r="IHU991" s="124"/>
      <c r="IHV991" s="124"/>
      <c r="IHW991" s="124"/>
      <c r="IHX991" s="124"/>
      <c r="IHY991" s="124"/>
      <c r="IHZ991" s="124"/>
      <c r="IIA991" s="124"/>
      <c r="IIB991" s="124"/>
      <c r="IIC991" s="124"/>
      <c r="IID991" s="124"/>
      <c r="IIE991" s="124"/>
      <c r="IIF991" s="124"/>
      <c r="IIG991" s="124"/>
      <c r="IIH991" s="124"/>
      <c r="III991" s="124"/>
      <c r="IIJ991" s="124"/>
      <c r="IIK991" s="124"/>
      <c r="IIL991" s="124"/>
      <c r="IIM991" s="124"/>
      <c r="IIN991" s="124"/>
      <c r="IIO991" s="124"/>
      <c r="IIP991" s="124"/>
      <c r="IIQ991" s="124"/>
      <c r="IIR991" s="124"/>
      <c r="IIS991" s="124"/>
      <c r="IIT991" s="124"/>
      <c r="IIU991" s="124"/>
      <c r="IIV991" s="124"/>
      <c r="IIW991" s="124"/>
      <c r="IIX991" s="124"/>
      <c r="IIY991" s="124"/>
      <c r="IIZ991" s="124"/>
      <c r="IJA991" s="124"/>
      <c r="IJB991" s="124"/>
      <c r="IJC991" s="124"/>
      <c r="IJD991" s="124"/>
      <c r="IJE991" s="124"/>
      <c r="IJF991" s="124"/>
      <c r="IJG991" s="124"/>
      <c r="IJH991" s="124"/>
      <c r="IJI991" s="124"/>
      <c r="IJJ991" s="124"/>
      <c r="IJK991" s="124"/>
      <c r="IJL991" s="124"/>
      <c r="IJM991" s="124"/>
      <c r="IJN991" s="124"/>
      <c r="IJO991" s="124"/>
      <c r="IJP991" s="124"/>
      <c r="IJQ991" s="124"/>
      <c r="IJR991" s="124"/>
      <c r="IJS991" s="124"/>
      <c r="IJT991" s="124"/>
      <c r="IJU991" s="124"/>
      <c r="IJV991" s="124"/>
      <c r="IJW991" s="124"/>
      <c r="IJX991" s="124"/>
      <c r="IJY991" s="124"/>
      <c r="IJZ991" s="124"/>
      <c r="IKA991" s="124"/>
      <c r="IKB991" s="124"/>
      <c r="IKC991" s="124"/>
      <c r="IKD991" s="124"/>
      <c r="IKE991" s="124"/>
      <c r="IKF991" s="124"/>
      <c r="IKG991" s="124"/>
      <c r="IKH991" s="124"/>
      <c r="IKI991" s="124"/>
      <c r="IKJ991" s="124"/>
      <c r="IKK991" s="124"/>
      <c r="IKL991" s="124"/>
      <c r="IKM991" s="124"/>
      <c r="IKN991" s="124"/>
      <c r="IKO991" s="124"/>
      <c r="IKP991" s="124"/>
      <c r="IKQ991" s="124"/>
      <c r="IKR991" s="124"/>
      <c r="IKS991" s="124"/>
      <c r="IKT991" s="124"/>
      <c r="IKU991" s="124"/>
      <c r="IKV991" s="124"/>
      <c r="IKW991" s="124"/>
      <c r="IKX991" s="124"/>
      <c r="IKY991" s="124"/>
      <c r="IKZ991" s="124"/>
      <c r="ILA991" s="124"/>
      <c r="ILB991" s="124"/>
      <c r="ILC991" s="124"/>
      <c r="ILD991" s="124"/>
      <c r="ILE991" s="124"/>
      <c r="ILF991" s="124"/>
      <c r="ILG991" s="124"/>
      <c r="ILH991" s="124"/>
      <c r="ILI991" s="124"/>
      <c r="ILJ991" s="124"/>
      <c r="ILK991" s="124"/>
      <c r="ILL991" s="124"/>
      <c r="ILM991" s="124"/>
      <c r="ILN991" s="124"/>
      <c r="ILO991" s="124"/>
      <c r="ILP991" s="124"/>
      <c r="ILQ991" s="124"/>
      <c r="ILR991" s="124"/>
      <c r="ILS991" s="124"/>
      <c r="ILT991" s="124"/>
      <c r="ILU991" s="124"/>
      <c r="ILV991" s="124"/>
      <c r="ILW991" s="124"/>
      <c r="ILX991" s="124"/>
      <c r="ILY991" s="124"/>
      <c r="ILZ991" s="124"/>
      <c r="IMA991" s="124"/>
      <c r="IMB991" s="124"/>
      <c r="IMC991" s="124"/>
      <c r="IMD991" s="124"/>
      <c r="IME991" s="124"/>
      <c r="IMF991" s="124"/>
      <c r="IMG991" s="124"/>
      <c r="IMH991" s="124"/>
      <c r="IMI991" s="124"/>
      <c r="IMJ991" s="124"/>
      <c r="IMK991" s="124"/>
      <c r="IML991" s="124"/>
      <c r="IMM991" s="124"/>
      <c r="IMN991" s="124"/>
      <c r="IMO991" s="124"/>
      <c r="IMP991" s="124"/>
      <c r="IMQ991" s="124"/>
      <c r="IMR991" s="124"/>
      <c r="IMS991" s="124"/>
      <c r="IMT991" s="124"/>
      <c r="IMU991" s="124"/>
      <c r="IMV991" s="124"/>
      <c r="IMW991" s="124"/>
      <c r="IMX991" s="124"/>
      <c r="IMY991" s="124"/>
      <c r="IMZ991" s="124"/>
      <c r="INA991" s="124"/>
      <c r="INB991" s="124"/>
      <c r="INC991" s="124"/>
      <c r="IND991" s="124"/>
      <c r="INE991" s="124"/>
      <c r="INF991" s="124"/>
      <c r="ING991" s="124"/>
      <c r="INH991" s="124"/>
      <c r="INI991" s="124"/>
      <c r="INJ991" s="124"/>
      <c r="INK991" s="124"/>
      <c r="INL991" s="124"/>
      <c r="INM991" s="124"/>
      <c r="INN991" s="124"/>
      <c r="INO991" s="124"/>
      <c r="INP991" s="124"/>
      <c r="INQ991" s="124"/>
      <c r="INR991" s="124"/>
      <c r="INS991" s="124"/>
      <c r="INT991" s="124"/>
      <c r="INU991" s="124"/>
      <c r="INV991" s="124"/>
      <c r="INW991" s="124"/>
      <c r="INX991" s="124"/>
      <c r="INY991" s="124"/>
      <c r="INZ991" s="124"/>
      <c r="IOA991" s="124"/>
      <c r="IOB991" s="124"/>
      <c r="IOC991" s="124"/>
      <c r="IOD991" s="124"/>
      <c r="IOE991" s="124"/>
      <c r="IOF991" s="124"/>
      <c r="IOG991" s="124"/>
      <c r="IOH991" s="124"/>
      <c r="IOI991" s="124"/>
      <c r="IOJ991" s="124"/>
      <c r="IOK991" s="124"/>
      <c r="IOL991" s="124"/>
      <c r="IOM991" s="124"/>
      <c r="ION991" s="124"/>
      <c r="IOO991" s="124"/>
      <c r="IOP991" s="124"/>
      <c r="IOQ991" s="124"/>
      <c r="IOR991" s="124"/>
      <c r="IOS991" s="124"/>
      <c r="IOT991" s="124"/>
      <c r="IOU991" s="124"/>
      <c r="IOV991" s="124"/>
      <c r="IOW991" s="124"/>
      <c r="IOX991" s="124"/>
      <c r="IOY991" s="124"/>
      <c r="IOZ991" s="124"/>
      <c r="IPA991" s="124"/>
      <c r="IPB991" s="124"/>
      <c r="IPC991" s="124"/>
      <c r="IPD991" s="124"/>
      <c r="IPE991" s="124"/>
      <c r="IPF991" s="124"/>
      <c r="IPG991" s="124"/>
      <c r="IPH991" s="124"/>
      <c r="IPI991" s="124"/>
      <c r="IPJ991" s="124"/>
      <c r="IPK991" s="124"/>
      <c r="IPL991" s="124"/>
      <c r="IPM991" s="124"/>
      <c r="IPN991" s="124"/>
      <c r="IPO991" s="124"/>
      <c r="IPP991" s="124"/>
      <c r="IPQ991" s="124"/>
      <c r="IPR991" s="124"/>
      <c r="IPS991" s="124"/>
      <c r="IPT991" s="124"/>
      <c r="IPU991" s="124"/>
      <c r="IPV991" s="124"/>
      <c r="IPW991" s="124"/>
      <c r="IPX991" s="124"/>
      <c r="IPY991" s="124"/>
      <c r="IPZ991" s="124"/>
      <c r="IQA991" s="124"/>
      <c r="IQB991" s="124"/>
      <c r="IQC991" s="124"/>
      <c r="IQD991" s="124"/>
      <c r="IQE991" s="124"/>
      <c r="IQF991" s="124"/>
      <c r="IQG991" s="124"/>
      <c r="IQH991" s="124"/>
      <c r="IQI991" s="124"/>
      <c r="IQJ991" s="124"/>
      <c r="IQK991" s="124"/>
      <c r="IQL991" s="124"/>
      <c r="IQM991" s="124"/>
      <c r="IQN991" s="124"/>
      <c r="IQO991" s="124"/>
      <c r="IQP991" s="124"/>
      <c r="IQQ991" s="124"/>
      <c r="IQR991" s="124"/>
      <c r="IQS991" s="124"/>
      <c r="IQT991" s="124"/>
      <c r="IQU991" s="124"/>
      <c r="IQV991" s="124"/>
      <c r="IQW991" s="124"/>
      <c r="IQX991" s="124"/>
      <c r="IQY991" s="124"/>
      <c r="IQZ991" s="124"/>
      <c r="IRA991" s="124"/>
      <c r="IRB991" s="124"/>
      <c r="IRC991" s="124"/>
      <c r="IRD991" s="124"/>
      <c r="IRE991" s="124"/>
      <c r="IRF991" s="124"/>
      <c r="IRG991" s="124"/>
      <c r="IRH991" s="124"/>
      <c r="IRI991" s="124"/>
      <c r="IRJ991" s="124"/>
      <c r="IRK991" s="124"/>
      <c r="IRL991" s="124"/>
      <c r="IRM991" s="124"/>
      <c r="IRN991" s="124"/>
      <c r="IRO991" s="124"/>
      <c r="IRP991" s="124"/>
      <c r="IRQ991" s="124"/>
      <c r="IRR991" s="124"/>
      <c r="IRS991" s="124"/>
      <c r="IRT991" s="124"/>
      <c r="IRU991" s="124"/>
      <c r="IRV991" s="124"/>
      <c r="IRW991" s="124"/>
      <c r="IRX991" s="124"/>
      <c r="IRY991" s="124"/>
      <c r="IRZ991" s="124"/>
      <c r="ISA991" s="124"/>
      <c r="ISB991" s="124"/>
      <c r="ISC991" s="124"/>
      <c r="ISD991" s="124"/>
      <c r="ISE991" s="124"/>
      <c r="ISF991" s="124"/>
      <c r="ISG991" s="124"/>
      <c r="ISH991" s="124"/>
      <c r="ISI991" s="124"/>
      <c r="ISJ991" s="124"/>
      <c r="ISK991" s="124"/>
      <c r="ISL991" s="124"/>
      <c r="ISM991" s="124"/>
      <c r="ISN991" s="124"/>
      <c r="ISO991" s="124"/>
      <c r="ISP991" s="124"/>
      <c r="ISQ991" s="124"/>
      <c r="ISR991" s="124"/>
      <c r="ISS991" s="124"/>
      <c r="IST991" s="124"/>
      <c r="ISU991" s="124"/>
      <c r="ISV991" s="124"/>
      <c r="ISW991" s="124"/>
      <c r="ISX991" s="124"/>
      <c r="ISY991" s="124"/>
      <c r="ISZ991" s="124"/>
      <c r="ITA991" s="124"/>
      <c r="ITB991" s="124"/>
      <c r="ITC991" s="124"/>
      <c r="ITD991" s="124"/>
      <c r="ITE991" s="124"/>
      <c r="ITF991" s="124"/>
      <c r="ITG991" s="124"/>
      <c r="ITH991" s="124"/>
      <c r="ITI991" s="124"/>
      <c r="ITJ991" s="124"/>
      <c r="ITK991" s="124"/>
      <c r="ITL991" s="124"/>
      <c r="ITM991" s="124"/>
      <c r="ITN991" s="124"/>
      <c r="ITO991" s="124"/>
      <c r="ITP991" s="124"/>
      <c r="ITQ991" s="124"/>
      <c r="ITR991" s="124"/>
      <c r="ITS991" s="124"/>
      <c r="ITT991" s="124"/>
      <c r="ITU991" s="124"/>
      <c r="ITV991" s="124"/>
      <c r="ITW991" s="124"/>
      <c r="ITX991" s="124"/>
      <c r="ITY991" s="124"/>
      <c r="ITZ991" s="124"/>
      <c r="IUA991" s="124"/>
      <c r="IUB991" s="124"/>
      <c r="IUC991" s="124"/>
      <c r="IUD991" s="124"/>
      <c r="IUE991" s="124"/>
      <c r="IUF991" s="124"/>
      <c r="IUG991" s="124"/>
      <c r="IUH991" s="124"/>
      <c r="IUI991" s="124"/>
      <c r="IUJ991" s="124"/>
      <c r="IUK991" s="124"/>
      <c r="IUL991" s="124"/>
      <c r="IUM991" s="124"/>
      <c r="IUN991" s="124"/>
      <c r="IUO991" s="124"/>
      <c r="IUP991" s="124"/>
      <c r="IUQ991" s="124"/>
      <c r="IUR991" s="124"/>
      <c r="IUS991" s="124"/>
      <c r="IUT991" s="124"/>
      <c r="IUU991" s="124"/>
      <c r="IUV991" s="124"/>
      <c r="IUW991" s="124"/>
      <c r="IUX991" s="124"/>
      <c r="IUY991" s="124"/>
      <c r="IUZ991" s="124"/>
      <c r="IVA991" s="124"/>
      <c r="IVB991" s="124"/>
      <c r="IVC991" s="124"/>
      <c r="IVD991" s="124"/>
      <c r="IVE991" s="124"/>
      <c r="IVF991" s="124"/>
      <c r="IVG991" s="124"/>
      <c r="IVH991" s="124"/>
      <c r="IVI991" s="124"/>
      <c r="IVJ991" s="124"/>
      <c r="IVK991" s="124"/>
      <c r="IVL991" s="124"/>
      <c r="IVM991" s="124"/>
      <c r="IVN991" s="124"/>
      <c r="IVO991" s="124"/>
      <c r="IVP991" s="124"/>
      <c r="IVQ991" s="124"/>
      <c r="IVR991" s="124"/>
      <c r="IVS991" s="124"/>
      <c r="IVT991" s="124"/>
      <c r="IVU991" s="124"/>
      <c r="IVV991" s="124"/>
      <c r="IVW991" s="124"/>
      <c r="IVX991" s="124"/>
      <c r="IVY991" s="124"/>
      <c r="IVZ991" s="124"/>
      <c r="IWA991" s="124"/>
      <c r="IWB991" s="124"/>
      <c r="IWC991" s="124"/>
      <c r="IWD991" s="124"/>
      <c r="IWE991" s="124"/>
      <c r="IWF991" s="124"/>
      <c r="IWG991" s="124"/>
      <c r="IWH991" s="124"/>
      <c r="IWI991" s="124"/>
      <c r="IWJ991" s="124"/>
      <c r="IWK991" s="124"/>
      <c r="IWL991" s="124"/>
      <c r="IWM991" s="124"/>
      <c r="IWN991" s="124"/>
      <c r="IWO991" s="124"/>
      <c r="IWP991" s="124"/>
      <c r="IWQ991" s="124"/>
      <c r="IWR991" s="124"/>
      <c r="IWS991" s="124"/>
      <c r="IWT991" s="124"/>
      <c r="IWU991" s="124"/>
      <c r="IWV991" s="124"/>
      <c r="IWW991" s="124"/>
      <c r="IWX991" s="124"/>
      <c r="IWY991" s="124"/>
      <c r="IWZ991" s="124"/>
      <c r="IXA991" s="124"/>
      <c r="IXB991" s="124"/>
      <c r="IXC991" s="124"/>
      <c r="IXD991" s="124"/>
      <c r="IXE991" s="124"/>
      <c r="IXF991" s="124"/>
      <c r="IXG991" s="124"/>
      <c r="IXH991" s="124"/>
      <c r="IXI991" s="124"/>
      <c r="IXJ991" s="124"/>
      <c r="IXK991" s="124"/>
      <c r="IXL991" s="124"/>
      <c r="IXM991" s="124"/>
      <c r="IXN991" s="124"/>
      <c r="IXO991" s="124"/>
      <c r="IXP991" s="124"/>
      <c r="IXQ991" s="124"/>
      <c r="IXR991" s="124"/>
      <c r="IXS991" s="124"/>
      <c r="IXT991" s="124"/>
      <c r="IXU991" s="124"/>
      <c r="IXV991" s="124"/>
      <c r="IXW991" s="124"/>
      <c r="IXX991" s="124"/>
      <c r="IXY991" s="124"/>
      <c r="IXZ991" s="124"/>
      <c r="IYA991" s="124"/>
      <c r="IYB991" s="124"/>
      <c r="IYC991" s="124"/>
      <c r="IYD991" s="124"/>
      <c r="IYE991" s="124"/>
      <c r="IYF991" s="124"/>
      <c r="IYG991" s="124"/>
      <c r="IYH991" s="124"/>
      <c r="IYI991" s="124"/>
      <c r="IYJ991" s="124"/>
      <c r="IYK991" s="124"/>
      <c r="IYL991" s="124"/>
      <c r="IYM991" s="124"/>
      <c r="IYN991" s="124"/>
      <c r="IYO991" s="124"/>
      <c r="IYP991" s="124"/>
      <c r="IYQ991" s="124"/>
      <c r="IYR991" s="124"/>
      <c r="IYS991" s="124"/>
      <c r="IYT991" s="124"/>
      <c r="IYU991" s="124"/>
      <c r="IYV991" s="124"/>
      <c r="IYW991" s="124"/>
      <c r="IYX991" s="124"/>
      <c r="IYY991" s="124"/>
      <c r="IYZ991" s="124"/>
      <c r="IZA991" s="124"/>
      <c r="IZB991" s="124"/>
      <c r="IZC991" s="124"/>
      <c r="IZD991" s="124"/>
      <c r="IZE991" s="124"/>
      <c r="IZF991" s="124"/>
      <c r="IZG991" s="124"/>
      <c r="IZH991" s="124"/>
      <c r="IZI991" s="124"/>
      <c r="IZJ991" s="124"/>
      <c r="IZK991" s="124"/>
      <c r="IZL991" s="124"/>
      <c r="IZM991" s="124"/>
      <c r="IZN991" s="124"/>
      <c r="IZO991" s="124"/>
      <c r="IZP991" s="124"/>
      <c r="IZQ991" s="124"/>
      <c r="IZR991" s="124"/>
      <c r="IZS991" s="124"/>
      <c r="IZT991" s="124"/>
      <c r="IZU991" s="124"/>
      <c r="IZV991" s="124"/>
      <c r="IZW991" s="124"/>
      <c r="IZX991" s="124"/>
      <c r="IZY991" s="124"/>
      <c r="IZZ991" s="124"/>
      <c r="JAA991" s="124"/>
      <c r="JAB991" s="124"/>
      <c r="JAC991" s="124"/>
      <c r="JAD991" s="124"/>
      <c r="JAE991" s="124"/>
      <c r="JAF991" s="124"/>
      <c r="JAG991" s="124"/>
      <c r="JAH991" s="124"/>
      <c r="JAI991" s="124"/>
      <c r="JAJ991" s="124"/>
      <c r="JAK991" s="124"/>
      <c r="JAL991" s="124"/>
      <c r="JAM991" s="124"/>
      <c r="JAN991" s="124"/>
      <c r="JAO991" s="124"/>
      <c r="JAP991" s="124"/>
      <c r="JAQ991" s="124"/>
      <c r="JAR991" s="124"/>
      <c r="JAS991" s="124"/>
      <c r="JAT991" s="124"/>
      <c r="JAU991" s="124"/>
      <c r="JAV991" s="124"/>
      <c r="JAW991" s="124"/>
      <c r="JAX991" s="124"/>
      <c r="JAY991" s="124"/>
      <c r="JAZ991" s="124"/>
      <c r="JBA991" s="124"/>
      <c r="JBB991" s="124"/>
      <c r="JBC991" s="124"/>
      <c r="JBD991" s="124"/>
      <c r="JBE991" s="124"/>
      <c r="JBF991" s="124"/>
      <c r="JBG991" s="124"/>
      <c r="JBH991" s="124"/>
      <c r="JBI991" s="124"/>
      <c r="JBJ991" s="124"/>
      <c r="JBK991" s="124"/>
      <c r="JBL991" s="124"/>
      <c r="JBM991" s="124"/>
      <c r="JBN991" s="124"/>
      <c r="JBO991" s="124"/>
      <c r="JBP991" s="124"/>
      <c r="JBQ991" s="124"/>
      <c r="JBR991" s="124"/>
      <c r="JBS991" s="124"/>
      <c r="JBT991" s="124"/>
      <c r="JBU991" s="124"/>
      <c r="JBV991" s="124"/>
      <c r="JBW991" s="124"/>
      <c r="JBX991" s="124"/>
      <c r="JBY991" s="124"/>
      <c r="JBZ991" s="124"/>
      <c r="JCA991" s="124"/>
      <c r="JCB991" s="124"/>
      <c r="JCC991" s="124"/>
      <c r="JCD991" s="124"/>
      <c r="JCE991" s="124"/>
      <c r="JCF991" s="124"/>
      <c r="JCG991" s="124"/>
      <c r="JCH991" s="124"/>
      <c r="JCI991" s="124"/>
      <c r="JCJ991" s="124"/>
      <c r="JCK991" s="124"/>
      <c r="JCL991" s="124"/>
      <c r="JCM991" s="124"/>
      <c r="JCN991" s="124"/>
      <c r="JCO991" s="124"/>
      <c r="JCP991" s="124"/>
      <c r="JCQ991" s="124"/>
      <c r="JCR991" s="124"/>
      <c r="JCS991" s="124"/>
      <c r="JCT991" s="124"/>
      <c r="JCU991" s="124"/>
      <c r="JCV991" s="124"/>
      <c r="JCW991" s="124"/>
      <c r="JCX991" s="124"/>
      <c r="JCY991" s="124"/>
      <c r="JCZ991" s="124"/>
      <c r="JDA991" s="124"/>
      <c r="JDB991" s="124"/>
      <c r="JDC991" s="124"/>
      <c r="JDD991" s="124"/>
      <c r="JDE991" s="124"/>
      <c r="JDF991" s="124"/>
      <c r="JDG991" s="124"/>
      <c r="JDH991" s="124"/>
      <c r="JDI991" s="124"/>
      <c r="JDJ991" s="124"/>
      <c r="JDK991" s="124"/>
      <c r="JDL991" s="124"/>
      <c r="JDM991" s="124"/>
      <c r="JDN991" s="124"/>
      <c r="JDO991" s="124"/>
      <c r="JDP991" s="124"/>
      <c r="JDQ991" s="124"/>
      <c r="JDR991" s="124"/>
      <c r="JDS991" s="124"/>
      <c r="JDT991" s="124"/>
      <c r="JDU991" s="124"/>
      <c r="JDV991" s="124"/>
      <c r="JDW991" s="124"/>
      <c r="JDX991" s="124"/>
      <c r="JDY991" s="124"/>
      <c r="JDZ991" s="124"/>
      <c r="JEA991" s="124"/>
      <c r="JEB991" s="124"/>
      <c r="JEC991" s="124"/>
      <c r="JED991" s="124"/>
      <c r="JEE991" s="124"/>
      <c r="JEF991" s="124"/>
      <c r="JEG991" s="124"/>
      <c r="JEH991" s="124"/>
      <c r="JEI991" s="124"/>
      <c r="JEJ991" s="124"/>
      <c r="JEK991" s="124"/>
      <c r="JEL991" s="124"/>
      <c r="JEM991" s="124"/>
      <c r="JEN991" s="124"/>
      <c r="JEO991" s="124"/>
      <c r="JEP991" s="124"/>
      <c r="JEQ991" s="124"/>
      <c r="JER991" s="124"/>
      <c r="JES991" s="124"/>
      <c r="JET991" s="124"/>
      <c r="JEU991" s="124"/>
      <c r="JEV991" s="124"/>
      <c r="JEW991" s="124"/>
      <c r="JEX991" s="124"/>
      <c r="JEY991" s="124"/>
      <c r="JEZ991" s="124"/>
      <c r="JFA991" s="124"/>
      <c r="JFB991" s="124"/>
      <c r="JFC991" s="124"/>
      <c r="JFD991" s="124"/>
      <c r="JFE991" s="124"/>
      <c r="JFF991" s="124"/>
      <c r="JFG991" s="124"/>
      <c r="JFH991" s="124"/>
      <c r="JFI991" s="124"/>
      <c r="JFJ991" s="124"/>
      <c r="JFK991" s="124"/>
      <c r="JFL991" s="124"/>
      <c r="JFM991" s="124"/>
      <c r="JFN991" s="124"/>
      <c r="JFO991" s="124"/>
      <c r="JFP991" s="124"/>
      <c r="JFQ991" s="124"/>
      <c r="JFR991" s="124"/>
      <c r="JFS991" s="124"/>
      <c r="JFT991" s="124"/>
      <c r="JFU991" s="124"/>
      <c r="JFV991" s="124"/>
      <c r="JFW991" s="124"/>
      <c r="JFX991" s="124"/>
      <c r="JFY991" s="124"/>
      <c r="JFZ991" s="124"/>
      <c r="JGA991" s="124"/>
      <c r="JGB991" s="124"/>
      <c r="JGC991" s="124"/>
      <c r="JGD991" s="124"/>
      <c r="JGE991" s="124"/>
      <c r="JGF991" s="124"/>
      <c r="JGG991" s="124"/>
      <c r="JGH991" s="124"/>
      <c r="JGI991" s="124"/>
      <c r="JGJ991" s="124"/>
      <c r="JGK991" s="124"/>
      <c r="JGL991" s="124"/>
      <c r="JGM991" s="124"/>
      <c r="JGN991" s="124"/>
      <c r="JGO991" s="124"/>
      <c r="JGP991" s="124"/>
      <c r="JGQ991" s="124"/>
      <c r="JGR991" s="124"/>
      <c r="JGS991" s="124"/>
      <c r="JGT991" s="124"/>
      <c r="JGU991" s="124"/>
      <c r="JGV991" s="124"/>
      <c r="JGW991" s="124"/>
      <c r="JGX991" s="124"/>
      <c r="JGY991" s="124"/>
      <c r="JGZ991" s="124"/>
      <c r="JHA991" s="124"/>
      <c r="JHB991" s="124"/>
      <c r="JHC991" s="124"/>
      <c r="JHD991" s="124"/>
      <c r="JHE991" s="124"/>
      <c r="JHF991" s="124"/>
      <c r="JHG991" s="124"/>
      <c r="JHH991" s="124"/>
      <c r="JHI991" s="124"/>
      <c r="JHJ991" s="124"/>
      <c r="JHK991" s="124"/>
      <c r="JHL991" s="124"/>
      <c r="JHM991" s="124"/>
      <c r="JHN991" s="124"/>
      <c r="JHO991" s="124"/>
      <c r="JHP991" s="124"/>
      <c r="JHQ991" s="124"/>
      <c r="JHR991" s="124"/>
      <c r="JHS991" s="124"/>
      <c r="JHT991" s="124"/>
      <c r="JHU991" s="124"/>
      <c r="JHV991" s="124"/>
      <c r="JHW991" s="124"/>
      <c r="JHX991" s="124"/>
      <c r="JHY991" s="124"/>
      <c r="JHZ991" s="124"/>
      <c r="JIA991" s="124"/>
      <c r="JIB991" s="124"/>
      <c r="JIC991" s="124"/>
      <c r="JID991" s="124"/>
      <c r="JIE991" s="124"/>
      <c r="JIF991" s="124"/>
      <c r="JIG991" s="124"/>
      <c r="JIH991" s="124"/>
      <c r="JII991" s="124"/>
      <c r="JIJ991" s="124"/>
      <c r="JIK991" s="124"/>
      <c r="JIL991" s="124"/>
      <c r="JIM991" s="124"/>
      <c r="JIN991" s="124"/>
      <c r="JIO991" s="124"/>
      <c r="JIP991" s="124"/>
      <c r="JIQ991" s="124"/>
      <c r="JIR991" s="124"/>
      <c r="JIS991" s="124"/>
      <c r="JIT991" s="124"/>
      <c r="JIU991" s="124"/>
      <c r="JIV991" s="124"/>
      <c r="JIW991" s="124"/>
      <c r="JIX991" s="124"/>
      <c r="JIY991" s="124"/>
      <c r="JIZ991" s="124"/>
      <c r="JJA991" s="124"/>
      <c r="JJB991" s="124"/>
      <c r="JJC991" s="124"/>
      <c r="JJD991" s="124"/>
      <c r="JJE991" s="124"/>
      <c r="JJF991" s="124"/>
      <c r="JJG991" s="124"/>
      <c r="JJH991" s="124"/>
      <c r="JJI991" s="124"/>
      <c r="JJJ991" s="124"/>
      <c r="JJK991" s="124"/>
      <c r="JJL991" s="124"/>
      <c r="JJM991" s="124"/>
      <c r="JJN991" s="124"/>
      <c r="JJO991" s="124"/>
      <c r="JJP991" s="124"/>
      <c r="JJQ991" s="124"/>
      <c r="JJR991" s="124"/>
      <c r="JJS991" s="124"/>
      <c r="JJT991" s="124"/>
      <c r="JJU991" s="124"/>
      <c r="JJV991" s="124"/>
      <c r="JJW991" s="124"/>
      <c r="JJX991" s="124"/>
      <c r="JJY991" s="124"/>
      <c r="JJZ991" s="124"/>
      <c r="JKA991" s="124"/>
      <c r="JKB991" s="124"/>
      <c r="JKC991" s="124"/>
      <c r="JKD991" s="124"/>
      <c r="JKE991" s="124"/>
      <c r="JKF991" s="124"/>
      <c r="JKG991" s="124"/>
      <c r="JKH991" s="124"/>
      <c r="JKI991" s="124"/>
      <c r="JKJ991" s="124"/>
      <c r="JKK991" s="124"/>
      <c r="JKL991" s="124"/>
      <c r="JKM991" s="124"/>
      <c r="JKN991" s="124"/>
      <c r="JKO991" s="124"/>
      <c r="JKP991" s="124"/>
      <c r="JKQ991" s="124"/>
      <c r="JKR991" s="124"/>
      <c r="JKS991" s="124"/>
      <c r="JKT991" s="124"/>
      <c r="JKU991" s="124"/>
      <c r="JKV991" s="124"/>
      <c r="JKW991" s="124"/>
      <c r="JKX991" s="124"/>
      <c r="JKY991" s="124"/>
      <c r="JKZ991" s="124"/>
      <c r="JLA991" s="124"/>
      <c r="JLB991" s="124"/>
      <c r="JLC991" s="124"/>
      <c r="JLD991" s="124"/>
      <c r="JLE991" s="124"/>
      <c r="JLF991" s="124"/>
      <c r="JLG991" s="124"/>
      <c r="JLH991" s="124"/>
      <c r="JLI991" s="124"/>
      <c r="JLJ991" s="124"/>
      <c r="JLK991" s="124"/>
      <c r="JLL991" s="124"/>
      <c r="JLM991" s="124"/>
      <c r="JLN991" s="124"/>
      <c r="JLO991" s="124"/>
      <c r="JLP991" s="124"/>
      <c r="JLQ991" s="124"/>
      <c r="JLR991" s="124"/>
      <c r="JLS991" s="124"/>
      <c r="JLT991" s="124"/>
      <c r="JLU991" s="124"/>
      <c r="JLV991" s="124"/>
      <c r="JLW991" s="124"/>
      <c r="JLX991" s="124"/>
      <c r="JLY991" s="124"/>
      <c r="JLZ991" s="124"/>
      <c r="JMA991" s="124"/>
      <c r="JMB991" s="124"/>
      <c r="JMC991" s="124"/>
      <c r="JMD991" s="124"/>
      <c r="JME991" s="124"/>
      <c r="JMF991" s="124"/>
      <c r="JMG991" s="124"/>
      <c r="JMH991" s="124"/>
      <c r="JMI991" s="124"/>
      <c r="JMJ991" s="124"/>
      <c r="JMK991" s="124"/>
      <c r="JML991" s="124"/>
      <c r="JMM991" s="124"/>
      <c r="JMN991" s="124"/>
      <c r="JMO991" s="124"/>
      <c r="JMP991" s="124"/>
      <c r="JMQ991" s="124"/>
      <c r="JMR991" s="124"/>
      <c r="JMS991" s="124"/>
      <c r="JMT991" s="124"/>
      <c r="JMU991" s="124"/>
      <c r="JMV991" s="124"/>
      <c r="JMW991" s="124"/>
      <c r="JMX991" s="124"/>
      <c r="JMY991" s="124"/>
      <c r="JMZ991" s="124"/>
      <c r="JNA991" s="124"/>
      <c r="JNB991" s="124"/>
      <c r="JNC991" s="124"/>
      <c r="JND991" s="124"/>
      <c r="JNE991" s="124"/>
      <c r="JNF991" s="124"/>
      <c r="JNG991" s="124"/>
      <c r="JNH991" s="124"/>
      <c r="JNI991" s="124"/>
      <c r="JNJ991" s="124"/>
      <c r="JNK991" s="124"/>
      <c r="JNL991" s="124"/>
      <c r="JNM991" s="124"/>
      <c r="JNN991" s="124"/>
      <c r="JNO991" s="124"/>
      <c r="JNP991" s="124"/>
      <c r="JNQ991" s="124"/>
      <c r="JNR991" s="124"/>
      <c r="JNS991" s="124"/>
      <c r="JNT991" s="124"/>
      <c r="JNU991" s="124"/>
      <c r="JNV991" s="124"/>
      <c r="JNW991" s="124"/>
      <c r="JNX991" s="124"/>
      <c r="JNY991" s="124"/>
      <c r="JNZ991" s="124"/>
      <c r="JOA991" s="124"/>
      <c r="JOB991" s="124"/>
      <c r="JOC991" s="124"/>
      <c r="JOD991" s="124"/>
      <c r="JOE991" s="124"/>
      <c r="JOF991" s="124"/>
      <c r="JOG991" s="124"/>
      <c r="JOH991" s="124"/>
      <c r="JOI991" s="124"/>
      <c r="JOJ991" s="124"/>
      <c r="JOK991" s="124"/>
      <c r="JOL991" s="124"/>
      <c r="JOM991" s="124"/>
      <c r="JON991" s="124"/>
      <c r="JOO991" s="124"/>
      <c r="JOP991" s="124"/>
      <c r="JOQ991" s="124"/>
      <c r="JOR991" s="124"/>
      <c r="JOS991" s="124"/>
      <c r="JOT991" s="124"/>
      <c r="JOU991" s="124"/>
      <c r="JOV991" s="124"/>
      <c r="JOW991" s="124"/>
      <c r="JOX991" s="124"/>
      <c r="JOY991" s="124"/>
      <c r="JOZ991" s="124"/>
      <c r="JPA991" s="124"/>
      <c r="JPB991" s="124"/>
      <c r="JPC991" s="124"/>
      <c r="JPD991" s="124"/>
      <c r="JPE991" s="124"/>
      <c r="JPF991" s="124"/>
      <c r="JPG991" s="124"/>
      <c r="JPH991" s="124"/>
      <c r="JPI991" s="124"/>
      <c r="JPJ991" s="124"/>
      <c r="JPK991" s="124"/>
      <c r="JPL991" s="124"/>
      <c r="JPM991" s="124"/>
      <c r="JPN991" s="124"/>
      <c r="JPO991" s="124"/>
      <c r="JPP991" s="124"/>
      <c r="JPQ991" s="124"/>
      <c r="JPR991" s="124"/>
      <c r="JPS991" s="124"/>
      <c r="JPT991" s="124"/>
      <c r="JPU991" s="124"/>
      <c r="JPV991" s="124"/>
      <c r="JPW991" s="124"/>
      <c r="JPX991" s="124"/>
      <c r="JPY991" s="124"/>
      <c r="JPZ991" s="124"/>
      <c r="JQA991" s="124"/>
      <c r="JQB991" s="124"/>
      <c r="JQC991" s="124"/>
      <c r="JQD991" s="124"/>
      <c r="JQE991" s="124"/>
      <c r="JQF991" s="124"/>
      <c r="JQG991" s="124"/>
      <c r="JQH991" s="124"/>
      <c r="JQI991" s="124"/>
      <c r="JQJ991" s="124"/>
      <c r="JQK991" s="124"/>
      <c r="JQL991" s="124"/>
      <c r="JQM991" s="124"/>
      <c r="JQN991" s="124"/>
      <c r="JQO991" s="124"/>
      <c r="JQP991" s="124"/>
      <c r="JQQ991" s="124"/>
      <c r="JQR991" s="124"/>
      <c r="JQS991" s="124"/>
      <c r="JQT991" s="124"/>
      <c r="JQU991" s="124"/>
      <c r="JQV991" s="124"/>
      <c r="JQW991" s="124"/>
      <c r="JQX991" s="124"/>
      <c r="JQY991" s="124"/>
      <c r="JQZ991" s="124"/>
      <c r="JRA991" s="124"/>
      <c r="JRB991" s="124"/>
      <c r="JRC991" s="124"/>
      <c r="JRD991" s="124"/>
      <c r="JRE991" s="124"/>
      <c r="JRF991" s="124"/>
      <c r="JRG991" s="124"/>
      <c r="JRH991" s="124"/>
      <c r="JRI991" s="124"/>
      <c r="JRJ991" s="124"/>
      <c r="JRK991" s="124"/>
      <c r="JRL991" s="124"/>
      <c r="JRM991" s="124"/>
      <c r="JRN991" s="124"/>
      <c r="JRO991" s="124"/>
      <c r="JRP991" s="124"/>
      <c r="JRQ991" s="124"/>
      <c r="JRR991" s="124"/>
      <c r="JRS991" s="124"/>
      <c r="JRT991" s="124"/>
      <c r="JRU991" s="124"/>
      <c r="JRV991" s="124"/>
      <c r="JRW991" s="124"/>
      <c r="JRX991" s="124"/>
      <c r="JRY991" s="124"/>
      <c r="JRZ991" s="124"/>
      <c r="JSA991" s="124"/>
      <c r="JSB991" s="124"/>
      <c r="JSC991" s="124"/>
      <c r="JSD991" s="124"/>
      <c r="JSE991" s="124"/>
      <c r="JSF991" s="124"/>
      <c r="JSG991" s="124"/>
      <c r="JSH991" s="124"/>
      <c r="JSI991" s="124"/>
      <c r="JSJ991" s="124"/>
      <c r="JSK991" s="124"/>
      <c r="JSL991" s="124"/>
      <c r="JSM991" s="124"/>
      <c r="JSN991" s="124"/>
      <c r="JSO991" s="124"/>
      <c r="JSP991" s="124"/>
      <c r="JSQ991" s="124"/>
      <c r="JSR991" s="124"/>
      <c r="JSS991" s="124"/>
      <c r="JST991" s="124"/>
      <c r="JSU991" s="124"/>
      <c r="JSV991" s="124"/>
      <c r="JSW991" s="124"/>
      <c r="JSX991" s="124"/>
      <c r="JSY991" s="124"/>
      <c r="JSZ991" s="124"/>
      <c r="JTA991" s="124"/>
      <c r="JTB991" s="124"/>
      <c r="JTC991" s="124"/>
      <c r="JTD991" s="124"/>
      <c r="JTE991" s="124"/>
      <c r="JTF991" s="124"/>
      <c r="JTG991" s="124"/>
      <c r="JTH991" s="124"/>
      <c r="JTI991" s="124"/>
      <c r="JTJ991" s="124"/>
      <c r="JTK991" s="124"/>
      <c r="JTL991" s="124"/>
      <c r="JTM991" s="124"/>
      <c r="JTN991" s="124"/>
      <c r="JTO991" s="124"/>
      <c r="JTP991" s="124"/>
      <c r="JTQ991" s="124"/>
      <c r="JTR991" s="124"/>
      <c r="JTS991" s="124"/>
      <c r="JTT991" s="124"/>
      <c r="JTU991" s="124"/>
      <c r="JTV991" s="124"/>
      <c r="JTW991" s="124"/>
      <c r="JTX991" s="124"/>
      <c r="JTY991" s="124"/>
      <c r="JTZ991" s="124"/>
      <c r="JUA991" s="124"/>
      <c r="JUB991" s="124"/>
      <c r="JUC991" s="124"/>
      <c r="JUD991" s="124"/>
      <c r="JUE991" s="124"/>
      <c r="JUF991" s="124"/>
      <c r="JUG991" s="124"/>
      <c r="JUH991" s="124"/>
      <c r="JUI991" s="124"/>
      <c r="JUJ991" s="124"/>
      <c r="JUK991" s="124"/>
      <c r="JUL991" s="124"/>
      <c r="JUM991" s="124"/>
      <c r="JUN991" s="124"/>
      <c r="JUO991" s="124"/>
      <c r="JUP991" s="124"/>
      <c r="JUQ991" s="124"/>
      <c r="JUR991" s="124"/>
      <c r="JUS991" s="124"/>
      <c r="JUT991" s="124"/>
      <c r="JUU991" s="124"/>
      <c r="JUV991" s="124"/>
      <c r="JUW991" s="124"/>
      <c r="JUX991" s="124"/>
      <c r="JUY991" s="124"/>
      <c r="JUZ991" s="124"/>
      <c r="JVA991" s="124"/>
      <c r="JVB991" s="124"/>
      <c r="JVC991" s="124"/>
      <c r="JVD991" s="124"/>
      <c r="JVE991" s="124"/>
      <c r="JVF991" s="124"/>
      <c r="JVG991" s="124"/>
      <c r="JVH991" s="124"/>
      <c r="JVI991" s="124"/>
      <c r="JVJ991" s="124"/>
      <c r="JVK991" s="124"/>
      <c r="JVL991" s="124"/>
      <c r="JVM991" s="124"/>
      <c r="JVN991" s="124"/>
      <c r="JVO991" s="124"/>
      <c r="JVP991" s="124"/>
      <c r="JVQ991" s="124"/>
      <c r="JVR991" s="124"/>
      <c r="JVS991" s="124"/>
      <c r="JVT991" s="124"/>
      <c r="JVU991" s="124"/>
      <c r="JVV991" s="124"/>
      <c r="JVW991" s="124"/>
      <c r="JVX991" s="124"/>
      <c r="JVY991" s="124"/>
      <c r="JVZ991" s="124"/>
      <c r="JWA991" s="124"/>
      <c r="JWB991" s="124"/>
      <c r="JWC991" s="124"/>
      <c r="JWD991" s="124"/>
      <c r="JWE991" s="124"/>
      <c r="JWF991" s="124"/>
      <c r="JWG991" s="124"/>
      <c r="JWH991" s="124"/>
      <c r="JWI991" s="124"/>
      <c r="JWJ991" s="124"/>
      <c r="JWK991" s="124"/>
      <c r="JWL991" s="124"/>
      <c r="JWM991" s="124"/>
      <c r="JWN991" s="124"/>
      <c r="JWO991" s="124"/>
      <c r="JWP991" s="124"/>
      <c r="JWQ991" s="124"/>
      <c r="JWR991" s="124"/>
      <c r="JWS991" s="124"/>
      <c r="JWT991" s="124"/>
      <c r="JWU991" s="124"/>
      <c r="JWV991" s="124"/>
      <c r="JWW991" s="124"/>
      <c r="JWX991" s="124"/>
      <c r="JWY991" s="124"/>
      <c r="JWZ991" s="124"/>
      <c r="JXA991" s="124"/>
      <c r="JXB991" s="124"/>
      <c r="JXC991" s="124"/>
      <c r="JXD991" s="124"/>
      <c r="JXE991" s="124"/>
      <c r="JXF991" s="124"/>
      <c r="JXG991" s="124"/>
      <c r="JXH991" s="124"/>
      <c r="JXI991" s="124"/>
      <c r="JXJ991" s="124"/>
      <c r="JXK991" s="124"/>
      <c r="JXL991" s="124"/>
      <c r="JXM991" s="124"/>
      <c r="JXN991" s="124"/>
      <c r="JXO991" s="124"/>
      <c r="JXP991" s="124"/>
      <c r="JXQ991" s="124"/>
      <c r="JXR991" s="124"/>
      <c r="JXS991" s="124"/>
      <c r="JXT991" s="124"/>
      <c r="JXU991" s="124"/>
      <c r="JXV991" s="124"/>
      <c r="JXW991" s="124"/>
      <c r="JXX991" s="124"/>
      <c r="JXY991" s="124"/>
      <c r="JXZ991" s="124"/>
      <c r="JYA991" s="124"/>
      <c r="JYB991" s="124"/>
      <c r="JYC991" s="124"/>
      <c r="JYD991" s="124"/>
      <c r="JYE991" s="124"/>
      <c r="JYF991" s="124"/>
      <c r="JYG991" s="124"/>
      <c r="JYH991" s="124"/>
      <c r="JYI991" s="124"/>
      <c r="JYJ991" s="124"/>
      <c r="JYK991" s="124"/>
      <c r="JYL991" s="124"/>
      <c r="JYM991" s="124"/>
      <c r="JYN991" s="124"/>
      <c r="JYO991" s="124"/>
      <c r="JYP991" s="124"/>
      <c r="JYQ991" s="124"/>
      <c r="JYR991" s="124"/>
      <c r="JYS991" s="124"/>
      <c r="JYT991" s="124"/>
      <c r="JYU991" s="124"/>
      <c r="JYV991" s="124"/>
      <c r="JYW991" s="124"/>
      <c r="JYX991" s="124"/>
      <c r="JYY991" s="124"/>
      <c r="JYZ991" s="124"/>
      <c r="JZA991" s="124"/>
      <c r="JZB991" s="124"/>
      <c r="JZC991" s="124"/>
      <c r="JZD991" s="124"/>
      <c r="JZE991" s="124"/>
      <c r="JZF991" s="124"/>
      <c r="JZG991" s="124"/>
      <c r="JZH991" s="124"/>
      <c r="JZI991" s="124"/>
      <c r="JZJ991" s="124"/>
      <c r="JZK991" s="124"/>
      <c r="JZL991" s="124"/>
      <c r="JZM991" s="124"/>
      <c r="JZN991" s="124"/>
      <c r="JZO991" s="124"/>
      <c r="JZP991" s="124"/>
      <c r="JZQ991" s="124"/>
      <c r="JZR991" s="124"/>
      <c r="JZS991" s="124"/>
      <c r="JZT991" s="124"/>
      <c r="JZU991" s="124"/>
      <c r="JZV991" s="124"/>
      <c r="JZW991" s="124"/>
      <c r="JZX991" s="124"/>
      <c r="JZY991" s="124"/>
      <c r="JZZ991" s="124"/>
      <c r="KAA991" s="124"/>
      <c r="KAB991" s="124"/>
      <c r="KAC991" s="124"/>
      <c r="KAD991" s="124"/>
      <c r="KAE991" s="124"/>
      <c r="KAF991" s="124"/>
      <c r="KAG991" s="124"/>
      <c r="KAH991" s="124"/>
      <c r="KAI991" s="124"/>
      <c r="KAJ991" s="124"/>
      <c r="KAK991" s="124"/>
      <c r="KAL991" s="124"/>
      <c r="KAM991" s="124"/>
      <c r="KAN991" s="124"/>
      <c r="KAO991" s="124"/>
      <c r="KAP991" s="124"/>
      <c r="KAQ991" s="124"/>
      <c r="KAR991" s="124"/>
      <c r="KAS991" s="124"/>
      <c r="KAT991" s="124"/>
      <c r="KAU991" s="124"/>
      <c r="KAV991" s="124"/>
      <c r="KAW991" s="124"/>
      <c r="KAX991" s="124"/>
      <c r="KAY991" s="124"/>
      <c r="KAZ991" s="124"/>
      <c r="KBA991" s="124"/>
      <c r="KBB991" s="124"/>
      <c r="KBC991" s="124"/>
      <c r="KBD991" s="124"/>
      <c r="KBE991" s="124"/>
      <c r="KBF991" s="124"/>
      <c r="KBG991" s="124"/>
      <c r="KBH991" s="124"/>
      <c r="KBI991" s="124"/>
      <c r="KBJ991" s="124"/>
      <c r="KBK991" s="124"/>
      <c r="KBL991" s="124"/>
      <c r="KBM991" s="124"/>
      <c r="KBN991" s="124"/>
      <c r="KBO991" s="124"/>
      <c r="KBP991" s="124"/>
      <c r="KBQ991" s="124"/>
      <c r="KBR991" s="124"/>
      <c r="KBS991" s="124"/>
      <c r="KBT991" s="124"/>
      <c r="KBU991" s="124"/>
      <c r="KBV991" s="124"/>
      <c r="KBW991" s="124"/>
      <c r="KBX991" s="124"/>
      <c r="KBY991" s="124"/>
      <c r="KBZ991" s="124"/>
      <c r="KCA991" s="124"/>
      <c r="KCB991" s="124"/>
      <c r="KCC991" s="124"/>
      <c r="KCD991" s="124"/>
      <c r="KCE991" s="124"/>
      <c r="KCF991" s="124"/>
      <c r="KCG991" s="124"/>
      <c r="KCH991" s="124"/>
      <c r="KCI991" s="124"/>
      <c r="KCJ991" s="124"/>
      <c r="KCK991" s="124"/>
      <c r="KCL991" s="124"/>
      <c r="KCM991" s="124"/>
      <c r="KCN991" s="124"/>
      <c r="KCO991" s="124"/>
      <c r="KCP991" s="124"/>
      <c r="KCQ991" s="124"/>
      <c r="KCR991" s="124"/>
      <c r="KCS991" s="124"/>
      <c r="KCT991" s="124"/>
      <c r="KCU991" s="124"/>
      <c r="KCV991" s="124"/>
      <c r="KCW991" s="124"/>
      <c r="KCX991" s="124"/>
      <c r="KCY991" s="124"/>
      <c r="KCZ991" s="124"/>
      <c r="KDA991" s="124"/>
      <c r="KDB991" s="124"/>
      <c r="KDC991" s="124"/>
      <c r="KDD991" s="124"/>
      <c r="KDE991" s="124"/>
      <c r="KDF991" s="124"/>
      <c r="KDG991" s="124"/>
      <c r="KDH991" s="124"/>
      <c r="KDI991" s="124"/>
      <c r="KDJ991" s="124"/>
      <c r="KDK991" s="124"/>
      <c r="KDL991" s="124"/>
      <c r="KDM991" s="124"/>
      <c r="KDN991" s="124"/>
      <c r="KDO991" s="124"/>
      <c r="KDP991" s="124"/>
      <c r="KDQ991" s="124"/>
      <c r="KDR991" s="124"/>
      <c r="KDS991" s="124"/>
      <c r="KDT991" s="124"/>
      <c r="KDU991" s="124"/>
      <c r="KDV991" s="124"/>
      <c r="KDW991" s="124"/>
      <c r="KDX991" s="124"/>
      <c r="KDY991" s="124"/>
      <c r="KDZ991" s="124"/>
      <c r="KEA991" s="124"/>
      <c r="KEB991" s="124"/>
      <c r="KEC991" s="124"/>
      <c r="KED991" s="124"/>
      <c r="KEE991" s="124"/>
      <c r="KEF991" s="124"/>
      <c r="KEG991" s="124"/>
      <c r="KEH991" s="124"/>
      <c r="KEI991" s="124"/>
      <c r="KEJ991" s="124"/>
      <c r="KEK991" s="124"/>
      <c r="KEL991" s="124"/>
      <c r="KEM991" s="124"/>
      <c r="KEN991" s="124"/>
      <c r="KEO991" s="124"/>
      <c r="KEP991" s="124"/>
      <c r="KEQ991" s="124"/>
      <c r="KER991" s="124"/>
      <c r="KES991" s="124"/>
      <c r="KET991" s="124"/>
      <c r="KEU991" s="124"/>
      <c r="KEV991" s="124"/>
      <c r="KEW991" s="124"/>
      <c r="KEX991" s="124"/>
      <c r="KEY991" s="124"/>
      <c r="KEZ991" s="124"/>
      <c r="KFA991" s="124"/>
      <c r="KFB991" s="124"/>
      <c r="KFC991" s="124"/>
      <c r="KFD991" s="124"/>
      <c r="KFE991" s="124"/>
      <c r="KFF991" s="124"/>
      <c r="KFG991" s="124"/>
      <c r="KFH991" s="124"/>
      <c r="KFI991" s="124"/>
      <c r="KFJ991" s="124"/>
      <c r="KFK991" s="124"/>
      <c r="KFL991" s="124"/>
      <c r="KFM991" s="124"/>
      <c r="KFN991" s="124"/>
      <c r="KFO991" s="124"/>
      <c r="KFP991" s="124"/>
      <c r="KFQ991" s="124"/>
      <c r="KFR991" s="124"/>
      <c r="KFS991" s="124"/>
      <c r="KFT991" s="124"/>
      <c r="KFU991" s="124"/>
      <c r="KFV991" s="124"/>
      <c r="KFW991" s="124"/>
      <c r="KFX991" s="124"/>
      <c r="KFY991" s="124"/>
      <c r="KFZ991" s="124"/>
      <c r="KGA991" s="124"/>
      <c r="KGB991" s="124"/>
      <c r="KGC991" s="124"/>
      <c r="KGD991" s="124"/>
      <c r="KGE991" s="124"/>
      <c r="KGF991" s="124"/>
      <c r="KGG991" s="124"/>
      <c r="KGH991" s="124"/>
      <c r="KGI991" s="124"/>
      <c r="KGJ991" s="124"/>
      <c r="KGK991" s="124"/>
      <c r="KGL991" s="124"/>
      <c r="KGM991" s="124"/>
      <c r="KGN991" s="124"/>
      <c r="KGO991" s="124"/>
      <c r="KGP991" s="124"/>
      <c r="KGQ991" s="124"/>
      <c r="KGR991" s="124"/>
      <c r="KGS991" s="124"/>
      <c r="KGT991" s="124"/>
      <c r="KGU991" s="124"/>
      <c r="KGV991" s="124"/>
      <c r="KGW991" s="124"/>
      <c r="KGX991" s="124"/>
      <c r="KGY991" s="124"/>
      <c r="KGZ991" s="124"/>
      <c r="KHA991" s="124"/>
      <c r="KHB991" s="124"/>
      <c r="KHC991" s="124"/>
      <c r="KHD991" s="124"/>
      <c r="KHE991" s="124"/>
      <c r="KHF991" s="124"/>
      <c r="KHG991" s="124"/>
      <c r="KHH991" s="124"/>
      <c r="KHI991" s="124"/>
      <c r="KHJ991" s="124"/>
      <c r="KHK991" s="124"/>
      <c r="KHL991" s="124"/>
      <c r="KHM991" s="124"/>
      <c r="KHN991" s="124"/>
      <c r="KHO991" s="124"/>
      <c r="KHP991" s="124"/>
      <c r="KHQ991" s="124"/>
      <c r="KHR991" s="124"/>
      <c r="KHS991" s="124"/>
      <c r="KHT991" s="124"/>
      <c r="KHU991" s="124"/>
      <c r="KHV991" s="124"/>
      <c r="KHW991" s="124"/>
      <c r="KHX991" s="124"/>
      <c r="KHY991" s="124"/>
      <c r="KHZ991" s="124"/>
      <c r="KIA991" s="124"/>
      <c r="KIB991" s="124"/>
      <c r="KIC991" s="124"/>
      <c r="KID991" s="124"/>
      <c r="KIE991" s="124"/>
      <c r="KIF991" s="124"/>
      <c r="KIG991" s="124"/>
      <c r="KIH991" s="124"/>
      <c r="KII991" s="124"/>
      <c r="KIJ991" s="124"/>
      <c r="KIK991" s="124"/>
      <c r="KIL991" s="124"/>
      <c r="KIM991" s="124"/>
      <c r="KIN991" s="124"/>
      <c r="KIO991" s="124"/>
      <c r="KIP991" s="124"/>
      <c r="KIQ991" s="124"/>
      <c r="KIR991" s="124"/>
      <c r="KIS991" s="124"/>
      <c r="KIT991" s="124"/>
      <c r="KIU991" s="124"/>
      <c r="KIV991" s="124"/>
      <c r="KIW991" s="124"/>
      <c r="KIX991" s="124"/>
      <c r="KIY991" s="124"/>
      <c r="KIZ991" s="124"/>
      <c r="KJA991" s="124"/>
      <c r="KJB991" s="124"/>
      <c r="KJC991" s="124"/>
      <c r="KJD991" s="124"/>
      <c r="KJE991" s="124"/>
      <c r="KJF991" s="124"/>
      <c r="KJG991" s="124"/>
      <c r="KJH991" s="124"/>
      <c r="KJI991" s="124"/>
      <c r="KJJ991" s="124"/>
      <c r="KJK991" s="124"/>
      <c r="KJL991" s="124"/>
      <c r="KJM991" s="124"/>
      <c r="KJN991" s="124"/>
      <c r="KJO991" s="124"/>
      <c r="KJP991" s="124"/>
      <c r="KJQ991" s="124"/>
      <c r="KJR991" s="124"/>
      <c r="KJS991" s="124"/>
      <c r="KJT991" s="124"/>
      <c r="KJU991" s="124"/>
      <c r="KJV991" s="124"/>
      <c r="KJW991" s="124"/>
      <c r="KJX991" s="124"/>
      <c r="KJY991" s="124"/>
      <c r="KJZ991" s="124"/>
      <c r="KKA991" s="124"/>
      <c r="KKB991" s="124"/>
      <c r="KKC991" s="124"/>
      <c r="KKD991" s="124"/>
      <c r="KKE991" s="124"/>
      <c r="KKF991" s="124"/>
      <c r="KKG991" s="124"/>
      <c r="KKH991" s="124"/>
      <c r="KKI991" s="124"/>
      <c r="KKJ991" s="124"/>
      <c r="KKK991" s="124"/>
      <c r="KKL991" s="124"/>
      <c r="KKM991" s="124"/>
      <c r="KKN991" s="124"/>
      <c r="KKO991" s="124"/>
      <c r="KKP991" s="124"/>
      <c r="KKQ991" s="124"/>
      <c r="KKR991" s="124"/>
      <c r="KKS991" s="124"/>
      <c r="KKT991" s="124"/>
      <c r="KKU991" s="124"/>
      <c r="KKV991" s="124"/>
      <c r="KKW991" s="124"/>
      <c r="KKX991" s="124"/>
      <c r="KKY991" s="124"/>
      <c r="KKZ991" s="124"/>
      <c r="KLA991" s="124"/>
      <c r="KLB991" s="124"/>
      <c r="KLC991" s="124"/>
      <c r="KLD991" s="124"/>
      <c r="KLE991" s="124"/>
      <c r="KLF991" s="124"/>
      <c r="KLG991" s="124"/>
      <c r="KLH991" s="124"/>
      <c r="KLI991" s="124"/>
      <c r="KLJ991" s="124"/>
      <c r="KLK991" s="124"/>
      <c r="KLL991" s="124"/>
      <c r="KLM991" s="124"/>
      <c r="KLN991" s="124"/>
      <c r="KLO991" s="124"/>
      <c r="KLP991" s="124"/>
      <c r="KLQ991" s="124"/>
      <c r="KLR991" s="124"/>
      <c r="KLS991" s="124"/>
      <c r="KLT991" s="124"/>
      <c r="KLU991" s="124"/>
      <c r="KLV991" s="124"/>
      <c r="KLW991" s="124"/>
      <c r="KLX991" s="124"/>
      <c r="KLY991" s="124"/>
      <c r="KLZ991" s="124"/>
      <c r="KMA991" s="124"/>
      <c r="KMB991" s="124"/>
      <c r="KMC991" s="124"/>
      <c r="KMD991" s="124"/>
      <c r="KME991" s="124"/>
      <c r="KMF991" s="124"/>
      <c r="KMG991" s="124"/>
      <c r="KMH991" s="124"/>
      <c r="KMI991" s="124"/>
      <c r="KMJ991" s="124"/>
      <c r="KMK991" s="124"/>
      <c r="KML991" s="124"/>
      <c r="KMM991" s="124"/>
      <c r="KMN991" s="124"/>
      <c r="KMO991" s="124"/>
      <c r="KMP991" s="124"/>
      <c r="KMQ991" s="124"/>
      <c r="KMR991" s="124"/>
      <c r="KMS991" s="124"/>
      <c r="KMT991" s="124"/>
      <c r="KMU991" s="124"/>
      <c r="KMV991" s="124"/>
      <c r="KMW991" s="124"/>
      <c r="KMX991" s="124"/>
      <c r="KMY991" s="124"/>
      <c r="KMZ991" s="124"/>
      <c r="KNA991" s="124"/>
      <c r="KNB991" s="124"/>
      <c r="KNC991" s="124"/>
      <c r="KND991" s="124"/>
      <c r="KNE991" s="124"/>
      <c r="KNF991" s="124"/>
      <c r="KNG991" s="124"/>
      <c r="KNH991" s="124"/>
      <c r="KNI991" s="124"/>
      <c r="KNJ991" s="124"/>
      <c r="KNK991" s="124"/>
      <c r="KNL991" s="124"/>
      <c r="KNM991" s="124"/>
      <c r="KNN991" s="124"/>
      <c r="KNO991" s="124"/>
      <c r="KNP991" s="124"/>
      <c r="KNQ991" s="124"/>
      <c r="KNR991" s="124"/>
      <c r="KNS991" s="124"/>
      <c r="KNT991" s="124"/>
      <c r="KNU991" s="124"/>
      <c r="KNV991" s="124"/>
      <c r="KNW991" s="124"/>
      <c r="KNX991" s="124"/>
      <c r="KNY991" s="124"/>
      <c r="KNZ991" s="124"/>
      <c r="KOA991" s="124"/>
      <c r="KOB991" s="124"/>
      <c r="KOC991" s="124"/>
      <c r="KOD991" s="124"/>
      <c r="KOE991" s="124"/>
      <c r="KOF991" s="124"/>
      <c r="KOG991" s="124"/>
      <c r="KOH991" s="124"/>
      <c r="KOI991" s="124"/>
      <c r="KOJ991" s="124"/>
      <c r="KOK991" s="124"/>
      <c r="KOL991" s="124"/>
      <c r="KOM991" s="124"/>
      <c r="KON991" s="124"/>
      <c r="KOO991" s="124"/>
      <c r="KOP991" s="124"/>
      <c r="KOQ991" s="124"/>
      <c r="KOR991" s="124"/>
      <c r="KOS991" s="124"/>
      <c r="KOT991" s="124"/>
      <c r="KOU991" s="124"/>
      <c r="KOV991" s="124"/>
      <c r="KOW991" s="124"/>
      <c r="KOX991" s="124"/>
      <c r="KOY991" s="124"/>
      <c r="KOZ991" s="124"/>
      <c r="KPA991" s="124"/>
      <c r="KPB991" s="124"/>
      <c r="KPC991" s="124"/>
      <c r="KPD991" s="124"/>
      <c r="KPE991" s="124"/>
      <c r="KPF991" s="124"/>
      <c r="KPG991" s="124"/>
      <c r="KPH991" s="124"/>
      <c r="KPI991" s="124"/>
      <c r="KPJ991" s="124"/>
      <c r="KPK991" s="124"/>
      <c r="KPL991" s="124"/>
      <c r="KPM991" s="124"/>
      <c r="KPN991" s="124"/>
      <c r="KPO991" s="124"/>
      <c r="KPP991" s="124"/>
      <c r="KPQ991" s="124"/>
      <c r="KPR991" s="124"/>
      <c r="KPS991" s="124"/>
      <c r="KPT991" s="124"/>
      <c r="KPU991" s="124"/>
      <c r="KPV991" s="124"/>
      <c r="KPW991" s="124"/>
      <c r="KPX991" s="124"/>
      <c r="KPY991" s="124"/>
      <c r="KPZ991" s="124"/>
      <c r="KQA991" s="124"/>
      <c r="KQB991" s="124"/>
      <c r="KQC991" s="124"/>
      <c r="KQD991" s="124"/>
      <c r="KQE991" s="124"/>
      <c r="KQF991" s="124"/>
      <c r="KQG991" s="124"/>
      <c r="KQH991" s="124"/>
      <c r="KQI991" s="124"/>
      <c r="KQJ991" s="124"/>
      <c r="KQK991" s="124"/>
      <c r="KQL991" s="124"/>
      <c r="KQM991" s="124"/>
      <c r="KQN991" s="124"/>
      <c r="KQO991" s="124"/>
      <c r="KQP991" s="124"/>
      <c r="KQQ991" s="124"/>
      <c r="KQR991" s="124"/>
      <c r="KQS991" s="124"/>
      <c r="KQT991" s="124"/>
      <c r="KQU991" s="124"/>
      <c r="KQV991" s="124"/>
      <c r="KQW991" s="124"/>
      <c r="KQX991" s="124"/>
      <c r="KQY991" s="124"/>
      <c r="KQZ991" s="124"/>
      <c r="KRA991" s="124"/>
      <c r="KRB991" s="124"/>
      <c r="KRC991" s="124"/>
      <c r="KRD991" s="124"/>
      <c r="KRE991" s="124"/>
      <c r="KRF991" s="124"/>
      <c r="KRG991" s="124"/>
      <c r="KRH991" s="124"/>
      <c r="KRI991" s="124"/>
      <c r="KRJ991" s="124"/>
      <c r="KRK991" s="124"/>
      <c r="KRL991" s="124"/>
      <c r="KRM991" s="124"/>
      <c r="KRN991" s="124"/>
      <c r="KRO991" s="124"/>
      <c r="KRP991" s="124"/>
      <c r="KRQ991" s="124"/>
      <c r="KRR991" s="124"/>
      <c r="KRS991" s="124"/>
      <c r="KRT991" s="124"/>
      <c r="KRU991" s="124"/>
      <c r="KRV991" s="124"/>
      <c r="KRW991" s="124"/>
      <c r="KRX991" s="124"/>
      <c r="KRY991" s="124"/>
      <c r="KRZ991" s="124"/>
      <c r="KSA991" s="124"/>
      <c r="KSB991" s="124"/>
      <c r="KSC991" s="124"/>
      <c r="KSD991" s="124"/>
      <c r="KSE991" s="124"/>
      <c r="KSF991" s="124"/>
      <c r="KSG991" s="124"/>
      <c r="KSH991" s="124"/>
      <c r="KSI991" s="124"/>
      <c r="KSJ991" s="124"/>
      <c r="KSK991" s="124"/>
      <c r="KSL991" s="124"/>
      <c r="KSM991" s="124"/>
      <c r="KSN991" s="124"/>
      <c r="KSO991" s="124"/>
      <c r="KSP991" s="124"/>
      <c r="KSQ991" s="124"/>
      <c r="KSR991" s="124"/>
      <c r="KSS991" s="124"/>
      <c r="KST991" s="124"/>
      <c r="KSU991" s="124"/>
      <c r="KSV991" s="124"/>
      <c r="KSW991" s="124"/>
      <c r="KSX991" s="124"/>
      <c r="KSY991" s="124"/>
      <c r="KSZ991" s="124"/>
      <c r="KTA991" s="124"/>
      <c r="KTB991" s="124"/>
      <c r="KTC991" s="124"/>
      <c r="KTD991" s="124"/>
      <c r="KTE991" s="124"/>
      <c r="KTF991" s="124"/>
      <c r="KTG991" s="124"/>
      <c r="KTH991" s="124"/>
      <c r="KTI991" s="124"/>
      <c r="KTJ991" s="124"/>
      <c r="KTK991" s="124"/>
      <c r="KTL991" s="124"/>
      <c r="KTM991" s="124"/>
      <c r="KTN991" s="124"/>
      <c r="KTO991" s="124"/>
      <c r="KTP991" s="124"/>
      <c r="KTQ991" s="124"/>
      <c r="KTR991" s="124"/>
      <c r="KTS991" s="124"/>
      <c r="KTT991" s="124"/>
      <c r="KTU991" s="124"/>
      <c r="KTV991" s="124"/>
      <c r="KTW991" s="124"/>
      <c r="KTX991" s="124"/>
      <c r="KTY991" s="124"/>
      <c r="KTZ991" s="124"/>
      <c r="KUA991" s="124"/>
      <c r="KUB991" s="124"/>
      <c r="KUC991" s="124"/>
      <c r="KUD991" s="124"/>
      <c r="KUE991" s="124"/>
      <c r="KUF991" s="124"/>
      <c r="KUG991" s="124"/>
      <c r="KUH991" s="124"/>
      <c r="KUI991" s="124"/>
      <c r="KUJ991" s="124"/>
      <c r="KUK991" s="124"/>
      <c r="KUL991" s="124"/>
      <c r="KUM991" s="124"/>
      <c r="KUN991" s="124"/>
      <c r="KUO991" s="124"/>
      <c r="KUP991" s="124"/>
      <c r="KUQ991" s="124"/>
      <c r="KUR991" s="124"/>
      <c r="KUS991" s="124"/>
      <c r="KUT991" s="124"/>
      <c r="KUU991" s="124"/>
      <c r="KUV991" s="124"/>
      <c r="KUW991" s="124"/>
      <c r="KUX991" s="124"/>
      <c r="KUY991" s="124"/>
      <c r="KUZ991" s="124"/>
      <c r="KVA991" s="124"/>
      <c r="KVB991" s="124"/>
      <c r="KVC991" s="124"/>
      <c r="KVD991" s="124"/>
      <c r="KVE991" s="124"/>
      <c r="KVF991" s="124"/>
      <c r="KVG991" s="124"/>
      <c r="KVH991" s="124"/>
      <c r="KVI991" s="124"/>
      <c r="KVJ991" s="124"/>
      <c r="KVK991" s="124"/>
      <c r="KVL991" s="124"/>
      <c r="KVM991" s="124"/>
      <c r="KVN991" s="124"/>
      <c r="KVO991" s="124"/>
      <c r="KVP991" s="124"/>
      <c r="KVQ991" s="124"/>
      <c r="KVR991" s="124"/>
      <c r="KVS991" s="124"/>
      <c r="KVT991" s="124"/>
      <c r="KVU991" s="124"/>
      <c r="KVV991" s="124"/>
      <c r="KVW991" s="124"/>
      <c r="KVX991" s="124"/>
      <c r="KVY991" s="124"/>
      <c r="KVZ991" s="124"/>
      <c r="KWA991" s="124"/>
      <c r="KWB991" s="124"/>
      <c r="KWC991" s="124"/>
      <c r="KWD991" s="124"/>
      <c r="KWE991" s="124"/>
      <c r="KWF991" s="124"/>
      <c r="KWG991" s="124"/>
      <c r="KWH991" s="124"/>
      <c r="KWI991" s="124"/>
      <c r="KWJ991" s="124"/>
      <c r="KWK991" s="124"/>
      <c r="KWL991" s="124"/>
      <c r="KWM991" s="124"/>
      <c r="KWN991" s="124"/>
      <c r="KWO991" s="124"/>
      <c r="KWP991" s="124"/>
      <c r="KWQ991" s="124"/>
      <c r="KWR991" s="124"/>
      <c r="KWS991" s="124"/>
      <c r="KWT991" s="124"/>
      <c r="KWU991" s="124"/>
      <c r="KWV991" s="124"/>
      <c r="KWW991" s="124"/>
      <c r="KWX991" s="124"/>
      <c r="KWY991" s="124"/>
      <c r="KWZ991" s="124"/>
      <c r="KXA991" s="124"/>
      <c r="KXB991" s="124"/>
      <c r="KXC991" s="124"/>
      <c r="KXD991" s="124"/>
      <c r="KXE991" s="124"/>
      <c r="KXF991" s="124"/>
      <c r="KXG991" s="124"/>
      <c r="KXH991" s="124"/>
      <c r="KXI991" s="124"/>
      <c r="KXJ991" s="124"/>
      <c r="KXK991" s="124"/>
      <c r="KXL991" s="124"/>
      <c r="KXM991" s="124"/>
      <c r="KXN991" s="124"/>
      <c r="KXO991" s="124"/>
      <c r="KXP991" s="124"/>
      <c r="KXQ991" s="124"/>
      <c r="KXR991" s="124"/>
      <c r="KXS991" s="124"/>
      <c r="KXT991" s="124"/>
      <c r="KXU991" s="124"/>
      <c r="KXV991" s="124"/>
      <c r="KXW991" s="124"/>
      <c r="KXX991" s="124"/>
      <c r="KXY991" s="124"/>
      <c r="KXZ991" s="124"/>
      <c r="KYA991" s="124"/>
      <c r="KYB991" s="124"/>
      <c r="KYC991" s="124"/>
      <c r="KYD991" s="124"/>
      <c r="KYE991" s="124"/>
      <c r="KYF991" s="124"/>
      <c r="KYG991" s="124"/>
      <c r="KYH991" s="124"/>
      <c r="KYI991" s="124"/>
      <c r="KYJ991" s="124"/>
      <c r="KYK991" s="124"/>
      <c r="KYL991" s="124"/>
      <c r="KYM991" s="124"/>
      <c r="KYN991" s="124"/>
      <c r="KYO991" s="124"/>
      <c r="KYP991" s="124"/>
      <c r="KYQ991" s="124"/>
      <c r="KYR991" s="124"/>
      <c r="KYS991" s="124"/>
      <c r="KYT991" s="124"/>
      <c r="KYU991" s="124"/>
      <c r="KYV991" s="124"/>
      <c r="KYW991" s="124"/>
      <c r="KYX991" s="124"/>
      <c r="KYY991" s="124"/>
      <c r="KYZ991" s="124"/>
      <c r="KZA991" s="124"/>
      <c r="KZB991" s="124"/>
      <c r="KZC991" s="124"/>
      <c r="KZD991" s="124"/>
      <c r="KZE991" s="124"/>
      <c r="KZF991" s="124"/>
      <c r="KZG991" s="124"/>
      <c r="KZH991" s="124"/>
      <c r="KZI991" s="124"/>
      <c r="KZJ991" s="124"/>
      <c r="KZK991" s="124"/>
      <c r="KZL991" s="124"/>
      <c r="KZM991" s="124"/>
      <c r="KZN991" s="124"/>
      <c r="KZO991" s="124"/>
      <c r="KZP991" s="124"/>
      <c r="KZQ991" s="124"/>
      <c r="KZR991" s="124"/>
      <c r="KZS991" s="124"/>
      <c r="KZT991" s="124"/>
      <c r="KZU991" s="124"/>
      <c r="KZV991" s="124"/>
      <c r="KZW991" s="124"/>
      <c r="KZX991" s="124"/>
      <c r="KZY991" s="124"/>
      <c r="KZZ991" s="124"/>
      <c r="LAA991" s="124"/>
      <c r="LAB991" s="124"/>
      <c r="LAC991" s="124"/>
      <c r="LAD991" s="124"/>
      <c r="LAE991" s="124"/>
      <c r="LAF991" s="124"/>
      <c r="LAG991" s="124"/>
      <c r="LAH991" s="124"/>
      <c r="LAI991" s="124"/>
      <c r="LAJ991" s="124"/>
      <c r="LAK991" s="124"/>
      <c r="LAL991" s="124"/>
      <c r="LAM991" s="124"/>
      <c r="LAN991" s="124"/>
      <c r="LAO991" s="124"/>
      <c r="LAP991" s="124"/>
      <c r="LAQ991" s="124"/>
      <c r="LAR991" s="124"/>
      <c r="LAS991" s="124"/>
      <c r="LAT991" s="124"/>
      <c r="LAU991" s="124"/>
      <c r="LAV991" s="124"/>
      <c r="LAW991" s="124"/>
      <c r="LAX991" s="124"/>
      <c r="LAY991" s="124"/>
      <c r="LAZ991" s="124"/>
      <c r="LBA991" s="124"/>
      <c r="LBB991" s="124"/>
      <c r="LBC991" s="124"/>
      <c r="LBD991" s="124"/>
      <c r="LBE991" s="124"/>
      <c r="LBF991" s="124"/>
      <c r="LBG991" s="124"/>
      <c r="LBH991" s="124"/>
      <c r="LBI991" s="124"/>
      <c r="LBJ991" s="124"/>
      <c r="LBK991" s="124"/>
      <c r="LBL991" s="124"/>
      <c r="LBM991" s="124"/>
      <c r="LBN991" s="124"/>
      <c r="LBO991" s="124"/>
      <c r="LBP991" s="124"/>
      <c r="LBQ991" s="124"/>
      <c r="LBR991" s="124"/>
      <c r="LBS991" s="124"/>
      <c r="LBT991" s="124"/>
      <c r="LBU991" s="124"/>
      <c r="LBV991" s="124"/>
      <c r="LBW991" s="124"/>
      <c r="LBX991" s="124"/>
      <c r="LBY991" s="124"/>
      <c r="LBZ991" s="124"/>
      <c r="LCA991" s="124"/>
      <c r="LCB991" s="124"/>
      <c r="LCC991" s="124"/>
      <c r="LCD991" s="124"/>
      <c r="LCE991" s="124"/>
      <c r="LCF991" s="124"/>
      <c r="LCG991" s="124"/>
      <c r="LCH991" s="124"/>
      <c r="LCI991" s="124"/>
      <c r="LCJ991" s="124"/>
      <c r="LCK991" s="124"/>
      <c r="LCL991" s="124"/>
      <c r="LCM991" s="124"/>
      <c r="LCN991" s="124"/>
      <c r="LCO991" s="124"/>
      <c r="LCP991" s="124"/>
      <c r="LCQ991" s="124"/>
      <c r="LCR991" s="124"/>
      <c r="LCS991" s="124"/>
      <c r="LCT991" s="124"/>
      <c r="LCU991" s="124"/>
      <c r="LCV991" s="124"/>
      <c r="LCW991" s="124"/>
      <c r="LCX991" s="124"/>
      <c r="LCY991" s="124"/>
      <c r="LCZ991" s="124"/>
      <c r="LDA991" s="124"/>
      <c r="LDB991" s="124"/>
      <c r="LDC991" s="124"/>
      <c r="LDD991" s="124"/>
      <c r="LDE991" s="124"/>
      <c r="LDF991" s="124"/>
      <c r="LDG991" s="124"/>
      <c r="LDH991" s="124"/>
      <c r="LDI991" s="124"/>
      <c r="LDJ991" s="124"/>
      <c r="LDK991" s="124"/>
      <c r="LDL991" s="124"/>
      <c r="LDM991" s="124"/>
      <c r="LDN991" s="124"/>
      <c r="LDO991" s="124"/>
      <c r="LDP991" s="124"/>
      <c r="LDQ991" s="124"/>
      <c r="LDR991" s="124"/>
      <c r="LDS991" s="124"/>
      <c r="LDT991" s="124"/>
      <c r="LDU991" s="124"/>
      <c r="LDV991" s="124"/>
      <c r="LDW991" s="124"/>
      <c r="LDX991" s="124"/>
      <c r="LDY991" s="124"/>
      <c r="LDZ991" s="124"/>
      <c r="LEA991" s="124"/>
      <c r="LEB991" s="124"/>
      <c r="LEC991" s="124"/>
      <c r="LED991" s="124"/>
      <c r="LEE991" s="124"/>
      <c r="LEF991" s="124"/>
      <c r="LEG991" s="124"/>
      <c r="LEH991" s="124"/>
      <c r="LEI991" s="124"/>
      <c r="LEJ991" s="124"/>
      <c r="LEK991" s="124"/>
      <c r="LEL991" s="124"/>
      <c r="LEM991" s="124"/>
      <c r="LEN991" s="124"/>
      <c r="LEO991" s="124"/>
      <c r="LEP991" s="124"/>
      <c r="LEQ991" s="124"/>
      <c r="LER991" s="124"/>
      <c r="LES991" s="124"/>
      <c r="LET991" s="124"/>
      <c r="LEU991" s="124"/>
      <c r="LEV991" s="124"/>
      <c r="LEW991" s="124"/>
      <c r="LEX991" s="124"/>
      <c r="LEY991" s="124"/>
      <c r="LEZ991" s="124"/>
      <c r="LFA991" s="124"/>
      <c r="LFB991" s="124"/>
      <c r="LFC991" s="124"/>
      <c r="LFD991" s="124"/>
      <c r="LFE991" s="124"/>
      <c r="LFF991" s="124"/>
      <c r="LFG991" s="124"/>
      <c r="LFH991" s="124"/>
      <c r="LFI991" s="124"/>
      <c r="LFJ991" s="124"/>
      <c r="LFK991" s="124"/>
      <c r="LFL991" s="124"/>
      <c r="LFM991" s="124"/>
      <c r="LFN991" s="124"/>
      <c r="LFO991" s="124"/>
      <c r="LFP991" s="124"/>
      <c r="LFQ991" s="124"/>
      <c r="LFR991" s="124"/>
      <c r="LFS991" s="124"/>
      <c r="LFT991" s="124"/>
      <c r="LFU991" s="124"/>
      <c r="LFV991" s="124"/>
      <c r="LFW991" s="124"/>
      <c r="LFX991" s="124"/>
      <c r="LFY991" s="124"/>
      <c r="LFZ991" s="124"/>
      <c r="LGA991" s="124"/>
      <c r="LGB991" s="124"/>
      <c r="LGC991" s="124"/>
      <c r="LGD991" s="124"/>
      <c r="LGE991" s="124"/>
      <c r="LGF991" s="124"/>
      <c r="LGG991" s="124"/>
      <c r="LGH991" s="124"/>
      <c r="LGI991" s="124"/>
      <c r="LGJ991" s="124"/>
      <c r="LGK991" s="124"/>
      <c r="LGL991" s="124"/>
      <c r="LGM991" s="124"/>
      <c r="LGN991" s="124"/>
      <c r="LGO991" s="124"/>
      <c r="LGP991" s="124"/>
      <c r="LGQ991" s="124"/>
      <c r="LGR991" s="124"/>
      <c r="LGS991" s="124"/>
      <c r="LGT991" s="124"/>
      <c r="LGU991" s="124"/>
      <c r="LGV991" s="124"/>
      <c r="LGW991" s="124"/>
      <c r="LGX991" s="124"/>
      <c r="LGY991" s="124"/>
      <c r="LGZ991" s="124"/>
      <c r="LHA991" s="124"/>
      <c r="LHB991" s="124"/>
      <c r="LHC991" s="124"/>
      <c r="LHD991" s="124"/>
      <c r="LHE991" s="124"/>
      <c r="LHF991" s="124"/>
      <c r="LHG991" s="124"/>
      <c r="LHH991" s="124"/>
      <c r="LHI991" s="124"/>
      <c r="LHJ991" s="124"/>
      <c r="LHK991" s="124"/>
      <c r="LHL991" s="124"/>
      <c r="LHM991" s="124"/>
      <c r="LHN991" s="124"/>
      <c r="LHO991" s="124"/>
      <c r="LHP991" s="124"/>
      <c r="LHQ991" s="124"/>
      <c r="LHR991" s="124"/>
      <c r="LHS991" s="124"/>
      <c r="LHT991" s="124"/>
      <c r="LHU991" s="124"/>
      <c r="LHV991" s="124"/>
      <c r="LHW991" s="124"/>
      <c r="LHX991" s="124"/>
      <c r="LHY991" s="124"/>
      <c r="LHZ991" s="124"/>
      <c r="LIA991" s="124"/>
      <c r="LIB991" s="124"/>
      <c r="LIC991" s="124"/>
      <c r="LID991" s="124"/>
      <c r="LIE991" s="124"/>
      <c r="LIF991" s="124"/>
      <c r="LIG991" s="124"/>
      <c r="LIH991" s="124"/>
      <c r="LII991" s="124"/>
      <c r="LIJ991" s="124"/>
      <c r="LIK991" s="124"/>
      <c r="LIL991" s="124"/>
      <c r="LIM991" s="124"/>
      <c r="LIN991" s="124"/>
      <c r="LIO991" s="124"/>
      <c r="LIP991" s="124"/>
      <c r="LIQ991" s="124"/>
      <c r="LIR991" s="124"/>
      <c r="LIS991" s="124"/>
      <c r="LIT991" s="124"/>
      <c r="LIU991" s="124"/>
      <c r="LIV991" s="124"/>
      <c r="LIW991" s="124"/>
      <c r="LIX991" s="124"/>
      <c r="LIY991" s="124"/>
      <c r="LIZ991" s="124"/>
      <c r="LJA991" s="124"/>
      <c r="LJB991" s="124"/>
      <c r="LJC991" s="124"/>
      <c r="LJD991" s="124"/>
      <c r="LJE991" s="124"/>
      <c r="LJF991" s="124"/>
      <c r="LJG991" s="124"/>
      <c r="LJH991" s="124"/>
      <c r="LJI991" s="124"/>
      <c r="LJJ991" s="124"/>
      <c r="LJK991" s="124"/>
      <c r="LJL991" s="124"/>
      <c r="LJM991" s="124"/>
      <c r="LJN991" s="124"/>
      <c r="LJO991" s="124"/>
      <c r="LJP991" s="124"/>
      <c r="LJQ991" s="124"/>
      <c r="LJR991" s="124"/>
      <c r="LJS991" s="124"/>
      <c r="LJT991" s="124"/>
      <c r="LJU991" s="124"/>
      <c r="LJV991" s="124"/>
      <c r="LJW991" s="124"/>
      <c r="LJX991" s="124"/>
      <c r="LJY991" s="124"/>
      <c r="LJZ991" s="124"/>
      <c r="LKA991" s="124"/>
      <c r="LKB991" s="124"/>
      <c r="LKC991" s="124"/>
      <c r="LKD991" s="124"/>
      <c r="LKE991" s="124"/>
      <c r="LKF991" s="124"/>
      <c r="LKG991" s="124"/>
      <c r="LKH991" s="124"/>
      <c r="LKI991" s="124"/>
      <c r="LKJ991" s="124"/>
      <c r="LKK991" s="124"/>
      <c r="LKL991" s="124"/>
      <c r="LKM991" s="124"/>
      <c r="LKN991" s="124"/>
      <c r="LKO991" s="124"/>
      <c r="LKP991" s="124"/>
      <c r="LKQ991" s="124"/>
      <c r="LKR991" s="124"/>
      <c r="LKS991" s="124"/>
      <c r="LKT991" s="124"/>
      <c r="LKU991" s="124"/>
      <c r="LKV991" s="124"/>
      <c r="LKW991" s="124"/>
      <c r="LKX991" s="124"/>
      <c r="LKY991" s="124"/>
      <c r="LKZ991" s="124"/>
      <c r="LLA991" s="124"/>
      <c r="LLB991" s="124"/>
      <c r="LLC991" s="124"/>
      <c r="LLD991" s="124"/>
      <c r="LLE991" s="124"/>
      <c r="LLF991" s="124"/>
      <c r="LLG991" s="124"/>
      <c r="LLH991" s="124"/>
      <c r="LLI991" s="124"/>
      <c r="LLJ991" s="124"/>
      <c r="LLK991" s="124"/>
      <c r="LLL991" s="124"/>
      <c r="LLM991" s="124"/>
      <c r="LLN991" s="124"/>
      <c r="LLO991" s="124"/>
      <c r="LLP991" s="124"/>
      <c r="LLQ991" s="124"/>
      <c r="LLR991" s="124"/>
      <c r="LLS991" s="124"/>
      <c r="LLT991" s="124"/>
      <c r="LLU991" s="124"/>
      <c r="LLV991" s="124"/>
      <c r="LLW991" s="124"/>
      <c r="LLX991" s="124"/>
      <c r="LLY991" s="124"/>
      <c r="LLZ991" s="124"/>
      <c r="LMA991" s="124"/>
      <c r="LMB991" s="124"/>
      <c r="LMC991" s="124"/>
      <c r="LMD991" s="124"/>
      <c r="LME991" s="124"/>
      <c r="LMF991" s="124"/>
      <c r="LMG991" s="124"/>
      <c r="LMH991" s="124"/>
      <c r="LMI991" s="124"/>
      <c r="LMJ991" s="124"/>
      <c r="LMK991" s="124"/>
      <c r="LML991" s="124"/>
      <c r="LMM991" s="124"/>
      <c r="LMN991" s="124"/>
      <c r="LMO991" s="124"/>
      <c r="LMP991" s="124"/>
      <c r="LMQ991" s="124"/>
      <c r="LMR991" s="124"/>
      <c r="LMS991" s="124"/>
      <c r="LMT991" s="124"/>
      <c r="LMU991" s="124"/>
      <c r="LMV991" s="124"/>
      <c r="LMW991" s="124"/>
      <c r="LMX991" s="124"/>
      <c r="LMY991" s="124"/>
      <c r="LMZ991" s="124"/>
      <c r="LNA991" s="124"/>
      <c r="LNB991" s="124"/>
      <c r="LNC991" s="124"/>
      <c r="LND991" s="124"/>
      <c r="LNE991" s="124"/>
      <c r="LNF991" s="124"/>
      <c r="LNG991" s="124"/>
      <c r="LNH991" s="124"/>
      <c r="LNI991" s="124"/>
      <c r="LNJ991" s="124"/>
      <c r="LNK991" s="124"/>
      <c r="LNL991" s="124"/>
      <c r="LNM991" s="124"/>
      <c r="LNN991" s="124"/>
      <c r="LNO991" s="124"/>
      <c r="LNP991" s="124"/>
      <c r="LNQ991" s="124"/>
      <c r="LNR991" s="124"/>
      <c r="LNS991" s="124"/>
      <c r="LNT991" s="124"/>
      <c r="LNU991" s="124"/>
      <c r="LNV991" s="124"/>
      <c r="LNW991" s="124"/>
      <c r="LNX991" s="124"/>
      <c r="LNY991" s="124"/>
      <c r="LNZ991" s="124"/>
      <c r="LOA991" s="124"/>
      <c r="LOB991" s="124"/>
      <c r="LOC991" s="124"/>
      <c r="LOD991" s="124"/>
      <c r="LOE991" s="124"/>
      <c r="LOF991" s="124"/>
      <c r="LOG991" s="124"/>
      <c r="LOH991" s="124"/>
      <c r="LOI991" s="124"/>
      <c r="LOJ991" s="124"/>
      <c r="LOK991" s="124"/>
      <c r="LOL991" s="124"/>
      <c r="LOM991" s="124"/>
      <c r="LON991" s="124"/>
      <c r="LOO991" s="124"/>
      <c r="LOP991" s="124"/>
      <c r="LOQ991" s="124"/>
      <c r="LOR991" s="124"/>
      <c r="LOS991" s="124"/>
      <c r="LOT991" s="124"/>
      <c r="LOU991" s="124"/>
      <c r="LOV991" s="124"/>
      <c r="LOW991" s="124"/>
      <c r="LOX991" s="124"/>
      <c r="LOY991" s="124"/>
      <c r="LOZ991" s="124"/>
      <c r="LPA991" s="124"/>
      <c r="LPB991" s="124"/>
      <c r="LPC991" s="124"/>
      <c r="LPD991" s="124"/>
      <c r="LPE991" s="124"/>
      <c r="LPF991" s="124"/>
      <c r="LPG991" s="124"/>
      <c r="LPH991" s="124"/>
      <c r="LPI991" s="124"/>
      <c r="LPJ991" s="124"/>
      <c r="LPK991" s="124"/>
      <c r="LPL991" s="124"/>
      <c r="LPM991" s="124"/>
      <c r="LPN991" s="124"/>
      <c r="LPO991" s="124"/>
      <c r="LPP991" s="124"/>
      <c r="LPQ991" s="124"/>
      <c r="LPR991" s="124"/>
      <c r="LPS991" s="124"/>
      <c r="LPT991" s="124"/>
      <c r="LPU991" s="124"/>
      <c r="LPV991" s="124"/>
      <c r="LPW991" s="124"/>
      <c r="LPX991" s="124"/>
      <c r="LPY991" s="124"/>
      <c r="LPZ991" s="124"/>
      <c r="LQA991" s="124"/>
      <c r="LQB991" s="124"/>
      <c r="LQC991" s="124"/>
      <c r="LQD991" s="124"/>
      <c r="LQE991" s="124"/>
      <c r="LQF991" s="124"/>
      <c r="LQG991" s="124"/>
      <c r="LQH991" s="124"/>
      <c r="LQI991" s="124"/>
      <c r="LQJ991" s="124"/>
      <c r="LQK991" s="124"/>
      <c r="LQL991" s="124"/>
      <c r="LQM991" s="124"/>
      <c r="LQN991" s="124"/>
      <c r="LQO991" s="124"/>
      <c r="LQP991" s="124"/>
      <c r="LQQ991" s="124"/>
      <c r="LQR991" s="124"/>
      <c r="LQS991" s="124"/>
      <c r="LQT991" s="124"/>
      <c r="LQU991" s="124"/>
      <c r="LQV991" s="124"/>
      <c r="LQW991" s="124"/>
      <c r="LQX991" s="124"/>
      <c r="LQY991" s="124"/>
      <c r="LQZ991" s="124"/>
      <c r="LRA991" s="124"/>
      <c r="LRB991" s="124"/>
      <c r="LRC991" s="124"/>
      <c r="LRD991" s="124"/>
      <c r="LRE991" s="124"/>
      <c r="LRF991" s="124"/>
      <c r="LRG991" s="124"/>
      <c r="LRH991" s="124"/>
      <c r="LRI991" s="124"/>
      <c r="LRJ991" s="124"/>
      <c r="LRK991" s="124"/>
      <c r="LRL991" s="124"/>
      <c r="LRM991" s="124"/>
      <c r="LRN991" s="124"/>
      <c r="LRO991" s="124"/>
      <c r="LRP991" s="124"/>
      <c r="LRQ991" s="124"/>
      <c r="LRR991" s="124"/>
      <c r="LRS991" s="124"/>
      <c r="LRT991" s="124"/>
      <c r="LRU991" s="124"/>
      <c r="LRV991" s="124"/>
      <c r="LRW991" s="124"/>
      <c r="LRX991" s="124"/>
      <c r="LRY991" s="124"/>
      <c r="LRZ991" s="124"/>
      <c r="LSA991" s="124"/>
      <c r="LSB991" s="124"/>
      <c r="LSC991" s="124"/>
      <c r="LSD991" s="124"/>
      <c r="LSE991" s="124"/>
      <c r="LSF991" s="124"/>
      <c r="LSG991" s="124"/>
      <c r="LSH991" s="124"/>
      <c r="LSI991" s="124"/>
      <c r="LSJ991" s="124"/>
      <c r="LSK991" s="124"/>
      <c r="LSL991" s="124"/>
      <c r="LSM991" s="124"/>
      <c r="LSN991" s="124"/>
      <c r="LSO991" s="124"/>
      <c r="LSP991" s="124"/>
      <c r="LSQ991" s="124"/>
      <c r="LSR991" s="124"/>
      <c r="LSS991" s="124"/>
      <c r="LST991" s="124"/>
      <c r="LSU991" s="124"/>
      <c r="LSV991" s="124"/>
      <c r="LSW991" s="124"/>
      <c r="LSX991" s="124"/>
      <c r="LSY991" s="124"/>
      <c r="LSZ991" s="124"/>
      <c r="LTA991" s="124"/>
      <c r="LTB991" s="124"/>
      <c r="LTC991" s="124"/>
      <c r="LTD991" s="124"/>
      <c r="LTE991" s="124"/>
      <c r="LTF991" s="124"/>
      <c r="LTG991" s="124"/>
      <c r="LTH991" s="124"/>
      <c r="LTI991" s="124"/>
      <c r="LTJ991" s="124"/>
      <c r="LTK991" s="124"/>
      <c r="LTL991" s="124"/>
      <c r="LTM991" s="124"/>
      <c r="LTN991" s="124"/>
      <c r="LTO991" s="124"/>
      <c r="LTP991" s="124"/>
      <c r="LTQ991" s="124"/>
      <c r="LTR991" s="124"/>
      <c r="LTS991" s="124"/>
      <c r="LTT991" s="124"/>
      <c r="LTU991" s="124"/>
      <c r="LTV991" s="124"/>
      <c r="LTW991" s="124"/>
      <c r="LTX991" s="124"/>
      <c r="LTY991" s="124"/>
      <c r="LTZ991" s="124"/>
      <c r="LUA991" s="124"/>
      <c r="LUB991" s="124"/>
      <c r="LUC991" s="124"/>
      <c r="LUD991" s="124"/>
      <c r="LUE991" s="124"/>
      <c r="LUF991" s="124"/>
      <c r="LUG991" s="124"/>
      <c r="LUH991" s="124"/>
      <c r="LUI991" s="124"/>
      <c r="LUJ991" s="124"/>
      <c r="LUK991" s="124"/>
      <c r="LUL991" s="124"/>
      <c r="LUM991" s="124"/>
      <c r="LUN991" s="124"/>
      <c r="LUO991" s="124"/>
      <c r="LUP991" s="124"/>
      <c r="LUQ991" s="124"/>
      <c r="LUR991" s="124"/>
      <c r="LUS991" s="124"/>
      <c r="LUT991" s="124"/>
      <c r="LUU991" s="124"/>
      <c r="LUV991" s="124"/>
      <c r="LUW991" s="124"/>
      <c r="LUX991" s="124"/>
      <c r="LUY991" s="124"/>
      <c r="LUZ991" s="124"/>
      <c r="LVA991" s="124"/>
      <c r="LVB991" s="124"/>
      <c r="LVC991" s="124"/>
      <c r="LVD991" s="124"/>
      <c r="LVE991" s="124"/>
      <c r="LVF991" s="124"/>
      <c r="LVG991" s="124"/>
      <c r="LVH991" s="124"/>
      <c r="LVI991" s="124"/>
      <c r="LVJ991" s="124"/>
      <c r="LVK991" s="124"/>
      <c r="LVL991" s="124"/>
      <c r="LVM991" s="124"/>
      <c r="LVN991" s="124"/>
      <c r="LVO991" s="124"/>
      <c r="LVP991" s="124"/>
      <c r="LVQ991" s="124"/>
      <c r="LVR991" s="124"/>
      <c r="LVS991" s="124"/>
      <c r="LVT991" s="124"/>
      <c r="LVU991" s="124"/>
      <c r="LVV991" s="124"/>
      <c r="LVW991" s="124"/>
      <c r="LVX991" s="124"/>
      <c r="LVY991" s="124"/>
      <c r="LVZ991" s="124"/>
      <c r="LWA991" s="124"/>
      <c r="LWB991" s="124"/>
      <c r="LWC991" s="124"/>
      <c r="LWD991" s="124"/>
      <c r="LWE991" s="124"/>
      <c r="LWF991" s="124"/>
      <c r="LWG991" s="124"/>
      <c r="LWH991" s="124"/>
      <c r="LWI991" s="124"/>
      <c r="LWJ991" s="124"/>
      <c r="LWK991" s="124"/>
      <c r="LWL991" s="124"/>
      <c r="LWM991" s="124"/>
      <c r="LWN991" s="124"/>
      <c r="LWO991" s="124"/>
      <c r="LWP991" s="124"/>
      <c r="LWQ991" s="124"/>
      <c r="LWR991" s="124"/>
      <c r="LWS991" s="124"/>
      <c r="LWT991" s="124"/>
      <c r="LWU991" s="124"/>
      <c r="LWV991" s="124"/>
      <c r="LWW991" s="124"/>
      <c r="LWX991" s="124"/>
      <c r="LWY991" s="124"/>
      <c r="LWZ991" s="124"/>
      <c r="LXA991" s="124"/>
      <c r="LXB991" s="124"/>
      <c r="LXC991" s="124"/>
      <c r="LXD991" s="124"/>
      <c r="LXE991" s="124"/>
      <c r="LXF991" s="124"/>
      <c r="LXG991" s="124"/>
      <c r="LXH991" s="124"/>
      <c r="LXI991" s="124"/>
      <c r="LXJ991" s="124"/>
      <c r="LXK991" s="124"/>
      <c r="LXL991" s="124"/>
      <c r="LXM991" s="124"/>
      <c r="LXN991" s="124"/>
      <c r="LXO991" s="124"/>
      <c r="LXP991" s="124"/>
      <c r="LXQ991" s="124"/>
      <c r="LXR991" s="124"/>
      <c r="LXS991" s="124"/>
      <c r="LXT991" s="124"/>
      <c r="LXU991" s="124"/>
      <c r="LXV991" s="124"/>
      <c r="LXW991" s="124"/>
      <c r="LXX991" s="124"/>
      <c r="LXY991" s="124"/>
      <c r="LXZ991" s="124"/>
      <c r="LYA991" s="124"/>
      <c r="LYB991" s="124"/>
      <c r="LYC991" s="124"/>
      <c r="LYD991" s="124"/>
      <c r="LYE991" s="124"/>
      <c r="LYF991" s="124"/>
      <c r="LYG991" s="124"/>
      <c r="LYH991" s="124"/>
      <c r="LYI991" s="124"/>
      <c r="LYJ991" s="124"/>
      <c r="LYK991" s="124"/>
      <c r="LYL991" s="124"/>
      <c r="LYM991" s="124"/>
      <c r="LYN991" s="124"/>
      <c r="LYO991" s="124"/>
      <c r="LYP991" s="124"/>
      <c r="LYQ991" s="124"/>
      <c r="LYR991" s="124"/>
      <c r="LYS991" s="124"/>
      <c r="LYT991" s="124"/>
      <c r="LYU991" s="124"/>
      <c r="LYV991" s="124"/>
      <c r="LYW991" s="124"/>
      <c r="LYX991" s="124"/>
      <c r="LYY991" s="124"/>
      <c r="LYZ991" s="124"/>
      <c r="LZA991" s="124"/>
      <c r="LZB991" s="124"/>
      <c r="LZC991" s="124"/>
      <c r="LZD991" s="124"/>
      <c r="LZE991" s="124"/>
      <c r="LZF991" s="124"/>
      <c r="LZG991" s="124"/>
      <c r="LZH991" s="124"/>
      <c r="LZI991" s="124"/>
      <c r="LZJ991" s="124"/>
      <c r="LZK991" s="124"/>
      <c r="LZL991" s="124"/>
      <c r="LZM991" s="124"/>
      <c r="LZN991" s="124"/>
      <c r="LZO991" s="124"/>
      <c r="LZP991" s="124"/>
      <c r="LZQ991" s="124"/>
      <c r="LZR991" s="124"/>
      <c r="LZS991" s="124"/>
      <c r="LZT991" s="124"/>
      <c r="LZU991" s="124"/>
      <c r="LZV991" s="124"/>
      <c r="LZW991" s="124"/>
      <c r="LZX991" s="124"/>
      <c r="LZY991" s="124"/>
      <c r="LZZ991" s="124"/>
      <c r="MAA991" s="124"/>
      <c r="MAB991" s="124"/>
      <c r="MAC991" s="124"/>
      <c r="MAD991" s="124"/>
      <c r="MAE991" s="124"/>
      <c r="MAF991" s="124"/>
      <c r="MAG991" s="124"/>
      <c r="MAH991" s="124"/>
      <c r="MAI991" s="124"/>
      <c r="MAJ991" s="124"/>
      <c r="MAK991" s="124"/>
      <c r="MAL991" s="124"/>
      <c r="MAM991" s="124"/>
      <c r="MAN991" s="124"/>
      <c r="MAO991" s="124"/>
      <c r="MAP991" s="124"/>
      <c r="MAQ991" s="124"/>
      <c r="MAR991" s="124"/>
      <c r="MAS991" s="124"/>
      <c r="MAT991" s="124"/>
      <c r="MAU991" s="124"/>
      <c r="MAV991" s="124"/>
      <c r="MAW991" s="124"/>
      <c r="MAX991" s="124"/>
      <c r="MAY991" s="124"/>
      <c r="MAZ991" s="124"/>
      <c r="MBA991" s="124"/>
      <c r="MBB991" s="124"/>
      <c r="MBC991" s="124"/>
      <c r="MBD991" s="124"/>
      <c r="MBE991" s="124"/>
      <c r="MBF991" s="124"/>
      <c r="MBG991" s="124"/>
      <c r="MBH991" s="124"/>
      <c r="MBI991" s="124"/>
      <c r="MBJ991" s="124"/>
      <c r="MBK991" s="124"/>
      <c r="MBL991" s="124"/>
      <c r="MBM991" s="124"/>
      <c r="MBN991" s="124"/>
      <c r="MBO991" s="124"/>
      <c r="MBP991" s="124"/>
      <c r="MBQ991" s="124"/>
      <c r="MBR991" s="124"/>
      <c r="MBS991" s="124"/>
      <c r="MBT991" s="124"/>
      <c r="MBU991" s="124"/>
      <c r="MBV991" s="124"/>
      <c r="MBW991" s="124"/>
      <c r="MBX991" s="124"/>
      <c r="MBY991" s="124"/>
      <c r="MBZ991" s="124"/>
      <c r="MCA991" s="124"/>
      <c r="MCB991" s="124"/>
      <c r="MCC991" s="124"/>
      <c r="MCD991" s="124"/>
    </row>
    <row r="992" spans="1:8870" s="18" customFormat="1" ht="38.25" customHeight="1">
      <c r="A992" s="21" t="s">
        <v>1</v>
      </c>
      <c r="B992" s="18" t="s">
        <v>1855</v>
      </c>
      <c r="C992" s="21" t="s">
        <v>25</v>
      </c>
      <c r="D992" s="13" t="s">
        <v>2862</v>
      </c>
      <c r="E992" s="21" t="s">
        <v>740</v>
      </c>
      <c r="F992" s="18" t="s">
        <v>277</v>
      </c>
      <c r="G992" s="21" t="s">
        <v>85</v>
      </c>
      <c r="H992" s="18">
        <v>541519</v>
      </c>
      <c r="I992" s="18" t="s">
        <v>28</v>
      </c>
      <c r="J992" s="21" t="s">
        <v>109</v>
      </c>
      <c r="K992" s="18" t="s">
        <v>1147</v>
      </c>
      <c r="L992" s="21" t="s">
        <v>561</v>
      </c>
      <c r="M992" s="22">
        <v>7000000</v>
      </c>
      <c r="N992" s="22">
        <v>10000000</v>
      </c>
      <c r="O992" s="21" t="s">
        <v>20</v>
      </c>
      <c r="P992" s="18" t="s">
        <v>2858</v>
      </c>
      <c r="Q992" s="18" t="s">
        <v>2851</v>
      </c>
      <c r="R992" s="21" t="s">
        <v>2863</v>
      </c>
      <c r="S992" s="74">
        <v>2013</v>
      </c>
      <c r="T992" s="21" t="s">
        <v>2859</v>
      </c>
      <c r="U992" s="21" t="s">
        <v>2860</v>
      </c>
      <c r="V992" s="214" t="s">
        <v>2861</v>
      </c>
      <c r="W992" s="105" t="s">
        <v>32</v>
      </c>
      <c r="X992" s="18" t="s">
        <v>2856</v>
      </c>
      <c r="Y992" s="124"/>
      <c r="Z992" s="124"/>
      <c r="AA992" s="124"/>
      <c r="AB992" s="124"/>
      <c r="AC992" s="124"/>
      <c r="AD992" s="124"/>
      <c r="AE992" s="124"/>
      <c r="AF992" s="124"/>
      <c r="AG992" s="124"/>
      <c r="AH992" s="124"/>
      <c r="AI992" s="124"/>
      <c r="AJ992" s="124"/>
      <c r="AK992" s="124"/>
      <c r="AL992" s="124"/>
      <c r="AM992" s="124"/>
      <c r="AN992" s="124"/>
      <c r="AO992" s="124"/>
      <c r="AP992" s="124"/>
      <c r="AQ992" s="124"/>
      <c r="AR992" s="124"/>
      <c r="AS992" s="124"/>
      <c r="AT992" s="124"/>
      <c r="AU992" s="124"/>
      <c r="AV992" s="124"/>
      <c r="AW992" s="124"/>
      <c r="AX992" s="124"/>
      <c r="AY992" s="124"/>
      <c r="AZ992" s="124"/>
      <c r="BA992" s="124"/>
      <c r="BB992" s="124"/>
      <c r="BC992" s="124"/>
      <c r="BD992" s="124"/>
      <c r="BE992" s="124"/>
      <c r="BF992" s="124"/>
      <c r="BG992" s="124"/>
      <c r="BH992" s="124"/>
      <c r="BI992" s="124"/>
      <c r="BJ992" s="124"/>
      <c r="BK992" s="124"/>
      <c r="BL992" s="124"/>
      <c r="BM992" s="124"/>
      <c r="BN992" s="124"/>
      <c r="BO992" s="124"/>
      <c r="BP992" s="124"/>
      <c r="BQ992" s="124"/>
      <c r="BR992" s="124"/>
      <c r="BS992" s="124"/>
      <c r="BT992" s="124"/>
      <c r="BU992" s="124"/>
      <c r="BV992" s="124"/>
      <c r="BW992" s="124"/>
      <c r="BX992" s="124"/>
      <c r="BY992" s="124"/>
      <c r="BZ992" s="124"/>
      <c r="CA992" s="124"/>
      <c r="CB992" s="124"/>
      <c r="CC992" s="124"/>
      <c r="CD992" s="124"/>
      <c r="CE992" s="124"/>
      <c r="CF992" s="124"/>
      <c r="CG992" s="124"/>
      <c r="CH992" s="124"/>
      <c r="CI992" s="124"/>
      <c r="CJ992" s="124"/>
      <c r="CK992" s="124"/>
      <c r="CL992" s="124"/>
      <c r="CM992" s="124"/>
      <c r="CN992" s="124"/>
      <c r="CO992" s="124"/>
      <c r="CP992" s="124"/>
      <c r="CQ992" s="124"/>
      <c r="CR992" s="124"/>
      <c r="CS992" s="124"/>
      <c r="CT992" s="124"/>
      <c r="CU992" s="124"/>
      <c r="CV992" s="124"/>
      <c r="CW992" s="124"/>
      <c r="CX992" s="124"/>
      <c r="CY992" s="124"/>
      <c r="CZ992" s="124"/>
      <c r="DA992" s="124"/>
      <c r="DB992" s="124"/>
      <c r="DC992" s="124"/>
      <c r="DD992" s="124"/>
      <c r="DE992" s="124"/>
      <c r="DF992" s="124"/>
      <c r="DG992" s="124"/>
      <c r="DH992" s="124"/>
      <c r="DI992" s="124"/>
      <c r="DJ992" s="124"/>
      <c r="DK992" s="124"/>
      <c r="DL992" s="124"/>
      <c r="DM992" s="124"/>
      <c r="DN992" s="124"/>
      <c r="DO992" s="124"/>
      <c r="DP992" s="124"/>
      <c r="DQ992" s="124"/>
      <c r="DR992" s="124"/>
      <c r="DS992" s="124"/>
      <c r="DT992" s="124"/>
      <c r="DU992" s="124"/>
      <c r="DV992" s="124"/>
      <c r="DW992" s="124"/>
      <c r="DX992" s="124"/>
      <c r="DY992" s="124"/>
      <c r="DZ992" s="124"/>
      <c r="EA992" s="124"/>
      <c r="EB992" s="124"/>
      <c r="EC992" s="124"/>
      <c r="ED992" s="124"/>
      <c r="EE992" s="124"/>
      <c r="EF992" s="124"/>
      <c r="EG992" s="124"/>
      <c r="EH992" s="124"/>
      <c r="EI992" s="124"/>
      <c r="EJ992" s="124"/>
      <c r="EK992" s="124"/>
      <c r="EL992" s="124"/>
      <c r="EM992" s="124"/>
      <c r="EN992" s="124"/>
      <c r="EO992" s="124"/>
      <c r="EP992" s="124"/>
      <c r="EQ992" s="124"/>
      <c r="ER992" s="124"/>
      <c r="ES992" s="124"/>
      <c r="ET992" s="124"/>
      <c r="EU992" s="124"/>
      <c r="EV992" s="124"/>
      <c r="EW992" s="124"/>
      <c r="EX992" s="124"/>
      <c r="EY992" s="124"/>
      <c r="EZ992" s="124"/>
      <c r="FA992" s="124"/>
      <c r="FB992" s="124"/>
      <c r="FC992" s="124"/>
      <c r="FD992" s="124"/>
      <c r="FE992" s="124"/>
      <c r="FF992" s="124"/>
      <c r="FG992" s="124"/>
      <c r="FH992" s="124"/>
      <c r="FI992" s="124"/>
      <c r="FJ992" s="124"/>
      <c r="FK992" s="124"/>
      <c r="FL992" s="124"/>
      <c r="FM992" s="124"/>
      <c r="FN992" s="124"/>
      <c r="FO992" s="124"/>
      <c r="FP992" s="124"/>
      <c r="FQ992" s="124"/>
      <c r="FR992" s="124"/>
      <c r="FS992" s="124"/>
      <c r="FT992" s="124"/>
      <c r="FU992" s="124"/>
      <c r="FV992" s="124"/>
      <c r="FW992" s="124"/>
      <c r="FX992" s="124"/>
      <c r="FY992" s="124"/>
      <c r="FZ992" s="124"/>
      <c r="GA992" s="124"/>
      <c r="GB992" s="124"/>
      <c r="GC992" s="124"/>
      <c r="GD992" s="124"/>
      <c r="GE992" s="124"/>
      <c r="GF992" s="124"/>
      <c r="GG992" s="124"/>
      <c r="GH992" s="124"/>
      <c r="GI992" s="124"/>
      <c r="GJ992" s="124"/>
      <c r="GK992" s="124"/>
      <c r="GL992" s="124"/>
      <c r="GM992" s="124"/>
      <c r="GN992" s="124"/>
      <c r="GO992" s="124"/>
      <c r="GP992" s="124"/>
      <c r="GQ992" s="124"/>
      <c r="GR992" s="124"/>
      <c r="GS992" s="124"/>
      <c r="GT992" s="124"/>
      <c r="GU992" s="124"/>
      <c r="GV992" s="124"/>
      <c r="GW992" s="124"/>
      <c r="GX992" s="124"/>
      <c r="GY992" s="124"/>
      <c r="GZ992" s="124"/>
      <c r="HA992" s="124"/>
      <c r="HB992" s="124"/>
      <c r="HC992" s="124"/>
      <c r="HD992" s="124"/>
      <c r="HE992" s="124"/>
      <c r="HF992" s="124"/>
      <c r="HG992" s="124"/>
      <c r="HH992" s="124"/>
      <c r="HI992" s="124"/>
      <c r="HJ992" s="124"/>
      <c r="HK992" s="124"/>
      <c r="HL992" s="124"/>
      <c r="HM992" s="124"/>
      <c r="HN992" s="124"/>
      <c r="HO992" s="124"/>
      <c r="HP992" s="124"/>
      <c r="HQ992" s="124"/>
      <c r="HR992" s="124"/>
      <c r="HS992" s="124"/>
      <c r="HT992" s="124"/>
      <c r="HU992" s="124"/>
      <c r="HV992" s="124"/>
      <c r="HW992" s="124"/>
      <c r="HX992" s="124"/>
      <c r="HY992" s="124"/>
      <c r="HZ992" s="124"/>
      <c r="IA992" s="124"/>
      <c r="IB992" s="124"/>
      <c r="IC992" s="124"/>
      <c r="ID992" s="124"/>
      <c r="IE992" s="124"/>
      <c r="IF992" s="124"/>
      <c r="IG992" s="124"/>
      <c r="IH992" s="124"/>
      <c r="II992" s="124"/>
      <c r="IJ992" s="124"/>
      <c r="IK992" s="124"/>
      <c r="IL992" s="124"/>
      <c r="IM992" s="124"/>
      <c r="IN992" s="124"/>
      <c r="IO992" s="124"/>
      <c r="IP992" s="124"/>
      <c r="IQ992" s="124"/>
      <c r="IR992" s="124"/>
      <c r="IS992" s="124"/>
      <c r="IT992" s="124"/>
      <c r="IU992" s="124"/>
      <c r="IV992" s="124"/>
      <c r="IW992" s="124"/>
      <c r="IX992" s="124"/>
      <c r="IY992" s="124"/>
      <c r="IZ992" s="124"/>
      <c r="JA992" s="124"/>
      <c r="JB992" s="124"/>
      <c r="JC992" s="124"/>
      <c r="JD992" s="124"/>
      <c r="JE992" s="124"/>
      <c r="JF992" s="124"/>
      <c r="JG992" s="124"/>
      <c r="JH992" s="124"/>
      <c r="JI992" s="124"/>
      <c r="JJ992" s="124"/>
      <c r="JK992" s="124"/>
      <c r="JL992" s="124"/>
      <c r="JM992" s="124"/>
      <c r="JN992" s="124"/>
      <c r="JO992" s="124"/>
      <c r="JP992" s="124"/>
      <c r="JQ992" s="124"/>
      <c r="JR992" s="124"/>
      <c r="JS992" s="124"/>
      <c r="JT992" s="124"/>
      <c r="JU992" s="124"/>
      <c r="JV992" s="124"/>
      <c r="JW992" s="124"/>
      <c r="JX992" s="124"/>
      <c r="JY992" s="124"/>
      <c r="JZ992" s="124"/>
      <c r="KA992" s="124"/>
      <c r="KB992" s="124"/>
      <c r="KC992" s="124"/>
      <c r="KD992" s="124"/>
      <c r="KE992" s="124"/>
      <c r="KF992" s="124"/>
      <c r="KG992" s="124"/>
      <c r="KH992" s="124"/>
      <c r="KI992" s="124"/>
      <c r="KJ992" s="124"/>
      <c r="KK992" s="124"/>
      <c r="KL992" s="124"/>
      <c r="KM992" s="124"/>
      <c r="KN992" s="124"/>
      <c r="KO992" s="124"/>
      <c r="KP992" s="124"/>
      <c r="KQ992" s="124"/>
      <c r="KR992" s="124"/>
      <c r="KS992" s="124"/>
      <c r="KT992" s="124"/>
      <c r="KU992" s="124"/>
      <c r="KV992" s="124"/>
      <c r="KW992" s="124"/>
      <c r="KX992" s="124"/>
      <c r="KY992" s="124"/>
      <c r="KZ992" s="124"/>
      <c r="LA992" s="124"/>
      <c r="LB992" s="124"/>
      <c r="LC992" s="124"/>
      <c r="LD992" s="124"/>
      <c r="LE992" s="124"/>
      <c r="LF992" s="124"/>
      <c r="LG992" s="124"/>
      <c r="LH992" s="124"/>
      <c r="LI992" s="124"/>
      <c r="LJ992" s="124"/>
      <c r="LK992" s="124"/>
      <c r="LL992" s="124"/>
      <c r="LM992" s="124"/>
      <c r="LN992" s="124"/>
      <c r="LO992" s="124"/>
      <c r="LP992" s="124"/>
      <c r="LQ992" s="124"/>
      <c r="LR992" s="124"/>
      <c r="LS992" s="124"/>
      <c r="LT992" s="124"/>
      <c r="LU992" s="124"/>
      <c r="LV992" s="124"/>
      <c r="LW992" s="124"/>
      <c r="LX992" s="124"/>
      <c r="LY992" s="124"/>
      <c r="LZ992" s="124"/>
      <c r="MA992" s="124"/>
      <c r="MB992" s="124"/>
      <c r="MC992" s="124"/>
      <c r="MD992" s="124"/>
      <c r="ME992" s="124"/>
      <c r="MF992" s="124"/>
      <c r="MG992" s="124"/>
      <c r="MH992" s="124"/>
      <c r="MI992" s="124"/>
      <c r="MJ992" s="124"/>
      <c r="MK992" s="124"/>
      <c r="ML992" s="124"/>
      <c r="MM992" s="124"/>
      <c r="MN992" s="124"/>
      <c r="MO992" s="124"/>
      <c r="MP992" s="124"/>
      <c r="MQ992" s="124"/>
      <c r="MR992" s="124"/>
      <c r="MS992" s="124"/>
      <c r="MT992" s="124"/>
      <c r="MU992" s="124"/>
      <c r="MV992" s="124"/>
      <c r="MW992" s="124"/>
      <c r="MX992" s="124"/>
      <c r="MY992" s="124"/>
      <c r="MZ992" s="124"/>
      <c r="NA992" s="124"/>
      <c r="NB992" s="124"/>
      <c r="NC992" s="124"/>
      <c r="ND992" s="124"/>
      <c r="NE992" s="124"/>
      <c r="NF992" s="124"/>
      <c r="NG992" s="124"/>
      <c r="NH992" s="124"/>
      <c r="NI992" s="124"/>
      <c r="NJ992" s="124"/>
      <c r="NK992" s="124"/>
      <c r="NL992" s="124"/>
      <c r="NM992" s="124"/>
      <c r="NN992" s="124"/>
      <c r="NO992" s="124"/>
      <c r="NP992" s="124"/>
      <c r="NQ992" s="124"/>
      <c r="NR992" s="124"/>
      <c r="NS992" s="124"/>
      <c r="NT992" s="124"/>
      <c r="NU992" s="124"/>
      <c r="NV992" s="124"/>
      <c r="NW992" s="124"/>
      <c r="NX992" s="124"/>
      <c r="NY992" s="124"/>
      <c r="NZ992" s="124"/>
      <c r="OA992" s="124"/>
      <c r="OB992" s="124"/>
      <c r="OC992" s="124"/>
      <c r="OD992" s="124"/>
      <c r="OE992" s="124"/>
      <c r="OF992" s="124"/>
      <c r="OG992" s="124"/>
      <c r="OH992" s="124"/>
      <c r="OI992" s="124"/>
      <c r="OJ992" s="124"/>
      <c r="OK992" s="124"/>
      <c r="OL992" s="124"/>
      <c r="OM992" s="124"/>
      <c r="ON992" s="124"/>
      <c r="OO992" s="124"/>
      <c r="OP992" s="124"/>
      <c r="OQ992" s="124"/>
      <c r="OR992" s="124"/>
      <c r="OS992" s="124"/>
      <c r="OT992" s="124"/>
      <c r="OU992" s="124"/>
      <c r="OV992" s="124"/>
      <c r="OW992" s="124"/>
      <c r="OX992" s="124"/>
      <c r="OY992" s="124"/>
      <c r="OZ992" s="124"/>
      <c r="PA992" s="124"/>
      <c r="PB992" s="124"/>
      <c r="PC992" s="124"/>
      <c r="PD992" s="124"/>
      <c r="PE992" s="124"/>
      <c r="PF992" s="124"/>
      <c r="PG992" s="124"/>
      <c r="PH992" s="124"/>
      <c r="PI992" s="124"/>
      <c r="PJ992" s="124"/>
      <c r="PK992" s="124"/>
      <c r="PL992" s="124"/>
      <c r="PM992" s="124"/>
      <c r="PN992" s="124"/>
      <c r="PO992" s="124"/>
      <c r="PP992" s="124"/>
      <c r="PQ992" s="124"/>
      <c r="PR992" s="124"/>
      <c r="PS992" s="124"/>
      <c r="PT992" s="124"/>
      <c r="PU992" s="124"/>
      <c r="PV992" s="124"/>
      <c r="PW992" s="124"/>
      <c r="PX992" s="124"/>
      <c r="PY992" s="124"/>
      <c r="PZ992" s="124"/>
      <c r="QA992" s="124"/>
      <c r="QB992" s="124"/>
      <c r="QC992" s="124"/>
      <c r="QD992" s="124"/>
      <c r="QE992" s="124"/>
      <c r="QF992" s="124"/>
      <c r="QG992" s="124"/>
      <c r="QH992" s="124"/>
      <c r="QI992" s="124"/>
      <c r="QJ992" s="124"/>
      <c r="QK992" s="124"/>
      <c r="QL992" s="124"/>
      <c r="QM992" s="124"/>
      <c r="QN992" s="124"/>
      <c r="QO992" s="124"/>
      <c r="QP992" s="124"/>
      <c r="QQ992" s="124"/>
      <c r="QR992" s="124"/>
      <c r="QS992" s="124"/>
      <c r="QT992" s="124"/>
      <c r="QU992" s="124"/>
      <c r="QV992" s="124"/>
      <c r="QW992" s="124"/>
      <c r="QX992" s="124"/>
      <c r="QY992" s="124"/>
      <c r="QZ992" s="124"/>
      <c r="RA992" s="124"/>
      <c r="RB992" s="124"/>
      <c r="RC992" s="124"/>
      <c r="RD992" s="124"/>
      <c r="RE992" s="124"/>
      <c r="RF992" s="124"/>
      <c r="RG992" s="124"/>
      <c r="RH992" s="124"/>
      <c r="RI992" s="124"/>
      <c r="RJ992" s="124"/>
      <c r="RK992" s="124"/>
      <c r="RL992" s="124"/>
      <c r="RM992" s="124"/>
      <c r="RN992" s="124"/>
      <c r="RO992" s="124"/>
      <c r="RP992" s="124"/>
      <c r="RQ992" s="124"/>
      <c r="RR992" s="124"/>
      <c r="RS992" s="124"/>
      <c r="RT992" s="124"/>
      <c r="RU992" s="124"/>
      <c r="RV992" s="124"/>
      <c r="RW992" s="124"/>
      <c r="RX992" s="124"/>
      <c r="RY992" s="124"/>
      <c r="RZ992" s="124"/>
      <c r="SA992" s="124"/>
      <c r="SB992" s="124"/>
      <c r="SC992" s="124"/>
      <c r="SD992" s="124"/>
      <c r="SE992" s="124"/>
      <c r="SF992" s="124"/>
      <c r="SG992" s="124"/>
      <c r="SH992" s="124"/>
      <c r="SI992" s="124"/>
      <c r="SJ992" s="124"/>
      <c r="SK992" s="124"/>
      <c r="SL992" s="124"/>
      <c r="SM992" s="124"/>
      <c r="SN992" s="124"/>
      <c r="SO992" s="124"/>
      <c r="SP992" s="124"/>
      <c r="SQ992" s="124"/>
      <c r="SR992" s="124"/>
      <c r="SS992" s="124"/>
      <c r="ST992" s="124"/>
      <c r="SU992" s="124"/>
      <c r="SV992" s="124"/>
      <c r="SW992" s="124"/>
      <c r="SX992" s="124"/>
      <c r="SY992" s="124"/>
      <c r="SZ992" s="124"/>
      <c r="TA992" s="124"/>
      <c r="TB992" s="124"/>
      <c r="TC992" s="124"/>
      <c r="TD992" s="124"/>
      <c r="TE992" s="124"/>
      <c r="TF992" s="124"/>
      <c r="TG992" s="124"/>
      <c r="TH992" s="124"/>
      <c r="TI992" s="124"/>
      <c r="TJ992" s="124"/>
      <c r="TK992" s="124"/>
      <c r="TL992" s="124"/>
      <c r="TM992" s="124"/>
      <c r="TN992" s="124"/>
      <c r="TO992" s="124"/>
      <c r="TP992" s="124"/>
      <c r="TQ992" s="124"/>
      <c r="TR992" s="124"/>
      <c r="TS992" s="124"/>
      <c r="TT992" s="124"/>
      <c r="TU992" s="124"/>
      <c r="TV992" s="124"/>
      <c r="TW992" s="124"/>
      <c r="TX992" s="124"/>
      <c r="TY992" s="124"/>
      <c r="TZ992" s="124"/>
      <c r="UA992" s="124"/>
      <c r="UB992" s="124"/>
      <c r="UC992" s="124"/>
      <c r="UD992" s="124"/>
      <c r="UE992" s="124"/>
      <c r="UF992" s="124"/>
      <c r="UG992" s="124"/>
      <c r="UH992" s="124"/>
      <c r="UI992" s="124"/>
      <c r="UJ992" s="124"/>
      <c r="UK992" s="124"/>
      <c r="UL992" s="124"/>
      <c r="UM992" s="124"/>
      <c r="UN992" s="124"/>
      <c r="UO992" s="124"/>
      <c r="UP992" s="124"/>
      <c r="UQ992" s="124"/>
      <c r="UR992" s="124"/>
      <c r="US992" s="124"/>
      <c r="UT992" s="124"/>
      <c r="UU992" s="124"/>
      <c r="UV992" s="124"/>
      <c r="UW992" s="124"/>
      <c r="UX992" s="124"/>
      <c r="UY992" s="124"/>
      <c r="UZ992" s="124"/>
      <c r="VA992" s="124"/>
      <c r="VB992" s="124"/>
      <c r="VC992" s="124"/>
      <c r="VD992" s="124"/>
      <c r="VE992" s="124"/>
      <c r="VF992" s="124"/>
      <c r="VG992" s="124"/>
      <c r="VH992" s="124"/>
      <c r="VI992" s="124"/>
      <c r="VJ992" s="124"/>
      <c r="VK992" s="124"/>
      <c r="VL992" s="124"/>
      <c r="VM992" s="124"/>
      <c r="VN992" s="124"/>
      <c r="VO992" s="124"/>
      <c r="VP992" s="124"/>
      <c r="VQ992" s="124"/>
      <c r="VR992" s="124"/>
      <c r="VS992" s="124"/>
      <c r="VT992" s="124"/>
      <c r="VU992" s="124"/>
      <c r="VV992" s="124"/>
      <c r="VW992" s="124"/>
      <c r="VX992" s="124"/>
      <c r="VY992" s="124"/>
      <c r="VZ992" s="124"/>
      <c r="WA992" s="124"/>
      <c r="WB992" s="124"/>
      <c r="WC992" s="124"/>
      <c r="WD992" s="124"/>
      <c r="WE992" s="124"/>
      <c r="WF992" s="124"/>
      <c r="WG992" s="124"/>
      <c r="WH992" s="124"/>
      <c r="WI992" s="124"/>
      <c r="WJ992" s="124"/>
      <c r="WK992" s="124"/>
      <c r="WL992" s="124"/>
      <c r="WM992" s="124"/>
      <c r="WN992" s="124"/>
      <c r="WO992" s="124"/>
      <c r="WP992" s="124"/>
      <c r="WQ992" s="124"/>
      <c r="WR992" s="124"/>
      <c r="WS992" s="124"/>
      <c r="WT992" s="124"/>
      <c r="WU992" s="124"/>
      <c r="WV992" s="124"/>
      <c r="WW992" s="124"/>
      <c r="WX992" s="124"/>
      <c r="WY992" s="124"/>
      <c r="WZ992" s="124"/>
      <c r="XA992" s="124"/>
      <c r="XB992" s="124"/>
      <c r="XC992" s="124"/>
      <c r="XD992" s="124"/>
      <c r="XE992" s="124"/>
      <c r="XF992" s="124"/>
      <c r="XG992" s="124"/>
      <c r="XH992" s="124"/>
      <c r="XI992" s="124"/>
      <c r="XJ992" s="124"/>
      <c r="XK992" s="124"/>
      <c r="XL992" s="124"/>
      <c r="XM992" s="124"/>
      <c r="XN992" s="124"/>
      <c r="XO992" s="124"/>
      <c r="XP992" s="124"/>
      <c r="XQ992" s="124"/>
      <c r="XR992" s="124"/>
      <c r="XS992" s="124"/>
      <c r="XT992" s="124"/>
      <c r="XU992" s="124"/>
      <c r="XV992" s="124"/>
      <c r="XW992" s="124"/>
      <c r="XX992" s="124"/>
      <c r="XY992" s="124"/>
      <c r="XZ992" s="124"/>
      <c r="YA992" s="124"/>
      <c r="YB992" s="124"/>
      <c r="YC992" s="124"/>
      <c r="YD992" s="124"/>
      <c r="YE992" s="124"/>
      <c r="YF992" s="124"/>
      <c r="YG992" s="124"/>
      <c r="YH992" s="124"/>
      <c r="YI992" s="124"/>
      <c r="YJ992" s="124"/>
      <c r="YK992" s="124"/>
      <c r="YL992" s="124"/>
      <c r="YM992" s="124"/>
      <c r="YN992" s="124"/>
      <c r="YO992" s="124"/>
      <c r="YP992" s="124"/>
      <c r="YQ992" s="124"/>
      <c r="YR992" s="124"/>
      <c r="YS992" s="124"/>
      <c r="YT992" s="124"/>
      <c r="YU992" s="124"/>
      <c r="YV992" s="124"/>
      <c r="YW992" s="124"/>
      <c r="YX992" s="124"/>
      <c r="YY992" s="124"/>
      <c r="YZ992" s="124"/>
      <c r="ZA992" s="124"/>
      <c r="ZB992" s="124"/>
      <c r="ZC992" s="124"/>
      <c r="ZD992" s="124"/>
      <c r="ZE992" s="124"/>
      <c r="ZF992" s="124"/>
      <c r="ZG992" s="124"/>
      <c r="ZH992" s="124"/>
      <c r="ZI992" s="124"/>
      <c r="ZJ992" s="124"/>
      <c r="ZK992" s="124"/>
      <c r="ZL992" s="124"/>
      <c r="ZM992" s="124"/>
      <c r="ZN992" s="124"/>
      <c r="ZO992" s="124"/>
      <c r="ZP992" s="124"/>
      <c r="ZQ992" s="124"/>
      <c r="ZR992" s="124"/>
      <c r="ZS992" s="124"/>
      <c r="ZT992" s="124"/>
      <c r="ZU992" s="124"/>
      <c r="ZV992" s="124"/>
      <c r="ZW992" s="124"/>
      <c r="ZX992" s="124"/>
      <c r="ZY992" s="124"/>
      <c r="ZZ992" s="124"/>
      <c r="AAA992" s="124"/>
      <c r="AAB992" s="124"/>
      <c r="AAC992" s="124"/>
      <c r="AAD992" s="124"/>
      <c r="AAE992" s="124"/>
      <c r="AAF992" s="124"/>
      <c r="AAG992" s="124"/>
      <c r="AAH992" s="124"/>
      <c r="AAI992" s="124"/>
      <c r="AAJ992" s="124"/>
      <c r="AAK992" s="124"/>
      <c r="AAL992" s="124"/>
      <c r="AAM992" s="124"/>
      <c r="AAN992" s="124"/>
      <c r="AAO992" s="124"/>
      <c r="AAP992" s="124"/>
      <c r="AAQ992" s="124"/>
      <c r="AAR992" s="124"/>
      <c r="AAS992" s="124"/>
      <c r="AAT992" s="124"/>
      <c r="AAU992" s="124"/>
      <c r="AAV992" s="124"/>
      <c r="AAW992" s="124"/>
      <c r="AAX992" s="124"/>
      <c r="AAY992" s="124"/>
      <c r="AAZ992" s="124"/>
      <c r="ABA992" s="124"/>
      <c r="ABB992" s="124"/>
      <c r="ABC992" s="124"/>
      <c r="ABD992" s="124"/>
      <c r="ABE992" s="124"/>
      <c r="ABF992" s="124"/>
      <c r="ABG992" s="124"/>
      <c r="ABH992" s="124"/>
      <c r="ABI992" s="124"/>
      <c r="ABJ992" s="124"/>
      <c r="ABK992" s="124"/>
      <c r="ABL992" s="124"/>
      <c r="ABM992" s="124"/>
      <c r="ABN992" s="124"/>
      <c r="ABO992" s="124"/>
      <c r="ABP992" s="124"/>
      <c r="ABQ992" s="124"/>
      <c r="ABR992" s="124"/>
      <c r="ABS992" s="124"/>
      <c r="ABT992" s="124"/>
      <c r="ABU992" s="124"/>
      <c r="ABV992" s="124"/>
      <c r="ABW992" s="124"/>
      <c r="ABX992" s="124"/>
      <c r="ABY992" s="124"/>
      <c r="ABZ992" s="124"/>
      <c r="ACA992" s="124"/>
      <c r="ACB992" s="124"/>
      <c r="ACC992" s="124"/>
      <c r="ACD992" s="124"/>
      <c r="ACE992" s="124"/>
      <c r="ACF992" s="124"/>
      <c r="ACG992" s="124"/>
      <c r="ACH992" s="124"/>
      <c r="ACI992" s="124"/>
      <c r="ACJ992" s="124"/>
      <c r="ACK992" s="124"/>
      <c r="ACL992" s="124"/>
      <c r="ACM992" s="124"/>
      <c r="ACN992" s="124"/>
      <c r="ACO992" s="124"/>
      <c r="ACP992" s="124"/>
      <c r="ACQ992" s="124"/>
      <c r="ACR992" s="124"/>
      <c r="ACS992" s="124"/>
      <c r="ACT992" s="124"/>
      <c r="ACU992" s="124"/>
      <c r="ACV992" s="124"/>
      <c r="ACW992" s="124"/>
      <c r="ACX992" s="124"/>
      <c r="ACY992" s="124"/>
      <c r="ACZ992" s="124"/>
      <c r="ADA992" s="124"/>
      <c r="ADB992" s="124"/>
      <c r="ADC992" s="124"/>
      <c r="ADD992" s="124"/>
      <c r="ADE992" s="124"/>
      <c r="ADF992" s="124"/>
      <c r="ADG992" s="124"/>
      <c r="ADH992" s="124"/>
      <c r="ADI992" s="124"/>
      <c r="ADJ992" s="124"/>
      <c r="ADK992" s="124"/>
      <c r="ADL992" s="124"/>
      <c r="ADM992" s="124"/>
      <c r="ADN992" s="124"/>
      <c r="ADO992" s="124"/>
      <c r="ADP992" s="124"/>
      <c r="ADQ992" s="124"/>
      <c r="ADR992" s="124"/>
      <c r="ADS992" s="124"/>
      <c r="ADT992" s="124"/>
      <c r="ADU992" s="124"/>
      <c r="ADV992" s="124"/>
      <c r="ADW992" s="124"/>
      <c r="ADX992" s="124"/>
      <c r="ADY992" s="124"/>
      <c r="ADZ992" s="124"/>
      <c r="AEA992" s="124"/>
      <c r="AEB992" s="124"/>
      <c r="AEC992" s="124"/>
      <c r="AED992" s="124"/>
      <c r="AEE992" s="124"/>
      <c r="AEF992" s="124"/>
      <c r="AEG992" s="124"/>
      <c r="AEH992" s="124"/>
      <c r="AEI992" s="124"/>
      <c r="AEJ992" s="124"/>
      <c r="AEK992" s="124"/>
      <c r="AEL992" s="124"/>
      <c r="AEM992" s="124"/>
      <c r="AEN992" s="124"/>
      <c r="AEO992" s="124"/>
      <c r="AEP992" s="124"/>
      <c r="AEQ992" s="124"/>
      <c r="AER992" s="124"/>
      <c r="AES992" s="124"/>
      <c r="AET992" s="124"/>
      <c r="AEU992" s="124"/>
      <c r="AEV992" s="124"/>
      <c r="AEW992" s="124"/>
      <c r="AEX992" s="124"/>
      <c r="AEY992" s="124"/>
      <c r="AEZ992" s="124"/>
      <c r="AFA992" s="124"/>
      <c r="AFB992" s="124"/>
      <c r="AFC992" s="124"/>
      <c r="AFD992" s="124"/>
      <c r="AFE992" s="124"/>
      <c r="AFF992" s="124"/>
      <c r="AFG992" s="124"/>
      <c r="AFH992" s="124"/>
      <c r="AFI992" s="124"/>
      <c r="AFJ992" s="124"/>
      <c r="AFK992" s="124"/>
      <c r="AFL992" s="124"/>
      <c r="AFM992" s="124"/>
      <c r="AFN992" s="124"/>
      <c r="AFO992" s="124"/>
      <c r="AFP992" s="124"/>
      <c r="AFQ992" s="124"/>
      <c r="AFR992" s="124"/>
      <c r="AFS992" s="124"/>
      <c r="AFT992" s="124"/>
      <c r="AFU992" s="124"/>
      <c r="AFV992" s="124"/>
      <c r="AFW992" s="124"/>
      <c r="AFX992" s="124"/>
      <c r="AFY992" s="124"/>
      <c r="AFZ992" s="124"/>
      <c r="AGA992" s="124"/>
      <c r="AGB992" s="124"/>
      <c r="AGC992" s="124"/>
      <c r="AGD992" s="124"/>
      <c r="AGE992" s="124"/>
      <c r="AGF992" s="124"/>
      <c r="AGG992" s="124"/>
      <c r="AGH992" s="124"/>
      <c r="AGI992" s="124"/>
      <c r="AGJ992" s="124"/>
      <c r="AGK992" s="124"/>
      <c r="AGL992" s="124"/>
      <c r="AGM992" s="124"/>
      <c r="AGN992" s="124"/>
      <c r="AGO992" s="124"/>
      <c r="AGP992" s="124"/>
      <c r="AGQ992" s="124"/>
      <c r="AGR992" s="124"/>
      <c r="AGS992" s="124"/>
      <c r="AGT992" s="124"/>
      <c r="AGU992" s="124"/>
      <c r="AGV992" s="124"/>
      <c r="AGW992" s="124"/>
      <c r="AGX992" s="124"/>
      <c r="AGY992" s="124"/>
      <c r="AGZ992" s="124"/>
      <c r="AHA992" s="124"/>
      <c r="AHB992" s="124"/>
      <c r="AHC992" s="124"/>
      <c r="AHD992" s="124"/>
      <c r="AHE992" s="124"/>
      <c r="AHF992" s="124"/>
      <c r="AHG992" s="124"/>
      <c r="AHH992" s="124"/>
      <c r="AHI992" s="124"/>
      <c r="AHJ992" s="124"/>
      <c r="AHK992" s="124"/>
      <c r="AHL992" s="124"/>
      <c r="AHM992" s="124"/>
      <c r="AHN992" s="124"/>
      <c r="AHO992" s="124"/>
      <c r="AHP992" s="124"/>
      <c r="AHQ992" s="124"/>
      <c r="AHR992" s="124"/>
      <c r="AHS992" s="124"/>
      <c r="AHT992" s="124"/>
      <c r="AHU992" s="124"/>
      <c r="AHV992" s="124"/>
      <c r="AHW992" s="124"/>
      <c r="AHX992" s="124"/>
      <c r="AHY992" s="124"/>
      <c r="AHZ992" s="124"/>
      <c r="AIA992" s="124"/>
      <c r="AIB992" s="124"/>
      <c r="AIC992" s="124"/>
      <c r="AID992" s="124"/>
      <c r="AIE992" s="124"/>
      <c r="AIF992" s="124"/>
      <c r="AIG992" s="124"/>
      <c r="AIH992" s="124"/>
      <c r="AII992" s="124"/>
      <c r="AIJ992" s="124"/>
      <c r="AIK992" s="124"/>
      <c r="AIL992" s="124"/>
      <c r="AIM992" s="124"/>
      <c r="AIN992" s="124"/>
      <c r="AIO992" s="124"/>
      <c r="AIP992" s="124"/>
      <c r="AIQ992" s="124"/>
      <c r="AIR992" s="124"/>
      <c r="AIS992" s="124"/>
      <c r="AIT992" s="124"/>
      <c r="AIU992" s="124"/>
      <c r="AIV992" s="124"/>
      <c r="AIW992" s="124"/>
      <c r="AIX992" s="124"/>
      <c r="AIY992" s="124"/>
      <c r="AIZ992" s="124"/>
      <c r="AJA992" s="124"/>
      <c r="AJB992" s="124"/>
      <c r="AJC992" s="124"/>
      <c r="AJD992" s="124"/>
      <c r="AJE992" s="124"/>
      <c r="AJF992" s="124"/>
      <c r="AJG992" s="124"/>
      <c r="AJH992" s="124"/>
      <c r="AJI992" s="124"/>
      <c r="AJJ992" s="124"/>
      <c r="AJK992" s="124"/>
      <c r="AJL992" s="124"/>
      <c r="AJM992" s="124"/>
      <c r="AJN992" s="124"/>
      <c r="AJO992" s="124"/>
      <c r="AJP992" s="124"/>
      <c r="AJQ992" s="124"/>
      <c r="AJR992" s="124"/>
      <c r="AJS992" s="124"/>
      <c r="AJT992" s="124"/>
      <c r="AJU992" s="124"/>
      <c r="AJV992" s="124"/>
      <c r="AJW992" s="124"/>
      <c r="AJX992" s="124"/>
      <c r="AJY992" s="124"/>
      <c r="AJZ992" s="124"/>
      <c r="AKA992" s="124"/>
      <c r="AKB992" s="124"/>
      <c r="AKC992" s="124"/>
      <c r="AKD992" s="124"/>
      <c r="AKE992" s="124"/>
      <c r="AKF992" s="124"/>
      <c r="AKG992" s="124"/>
      <c r="AKH992" s="124"/>
      <c r="AKI992" s="124"/>
      <c r="AKJ992" s="124"/>
      <c r="AKK992" s="124"/>
      <c r="AKL992" s="124"/>
      <c r="AKM992" s="124"/>
      <c r="AKN992" s="124"/>
      <c r="AKO992" s="124"/>
      <c r="AKP992" s="124"/>
      <c r="AKQ992" s="124"/>
      <c r="AKR992" s="124"/>
      <c r="AKS992" s="124"/>
      <c r="AKT992" s="124"/>
      <c r="AKU992" s="124"/>
      <c r="AKV992" s="124"/>
      <c r="AKW992" s="124"/>
      <c r="AKX992" s="124"/>
      <c r="AKY992" s="124"/>
      <c r="AKZ992" s="124"/>
      <c r="ALA992" s="124"/>
      <c r="ALB992" s="124"/>
      <c r="ALC992" s="124"/>
      <c r="ALD992" s="124"/>
      <c r="ALE992" s="124"/>
      <c r="ALF992" s="124"/>
      <c r="ALG992" s="124"/>
      <c r="ALH992" s="124"/>
      <c r="ALI992" s="124"/>
      <c r="ALJ992" s="124"/>
      <c r="ALK992" s="124"/>
      <c r="ALL992" s="124"/>
      <c r="ALM992" s="124"/>
      <c r="ALN992" s="124"/>
      <c r="ALO992" s="124"/>
      <c r="ALP992" s="124"/>
      <c r="ALQ992" s="124"/>
      <c r="ALR992" s="124"/>
      <c r="ALS992" s="124"/>
      <c r="ALT992" s="124"/>
      <c r="ALU992" s="124"/>
      <c r="ALV992" s="124"/>
      <c r="ALW992" s="124"/>
      <c r="ALX992" s="124"/>
      <c r="ALY992" s="124"/>
      <c r="ALZ992" s="124"/>
      <c r="AMA992" s="124"/>
      <c r="AMB992" s="124"/>
      <c r="AMC992" s="124"/>
      <c r="AMD992" s="124"/>
      <c r="AME992" s="124"/>
      <c r="AMF992" s="124"/>
      <c r="AMG992" s="124"/>
      <c r="AMH992" s="124"/>
      <c r="AMI992" s="124"/>
      <c r="AMJ992" s="124"/>
      <c r="AMK992" s="124"/>
      <c r="AML992" s="124"/>
      <c r="AMM992" s="124"/>
      <c r="AMN992" s="124"/>
      <c r="AMO992" s="124"/>
      <c r="AMP992" s="124"/>
      <c r="AMQ992" s="124"/>
      <c r="AMR992" s="124"/>
      <c r="AMS992" s="124"/>
      <c r="AMT992" s="124"/>
      <c r="AMU992" s="124"/>
      <c r="AMV992" s="124"/>
      <c r="AMW992" s="124"/>
      <c r="AMX992" s="124"/>
      <c r="AMY992" s="124"/>
      <c r="AMZ992" s="124"/>
      <c r="ANA992" s="124"/>
      <c r="ANB992" s="124"/>
      <c r="ANC992" s="124"/>
      <c r="AND992" s="124"/>
      <c r="ANE992" s="124"/>
      <c r="ANF992" s="124"/>
      <c r="ANG992" s="124"/>
      <c r="ANH992" s="124"/>
      <c r="ANI992" s="124"/>
      <c r="ANJ992" s="124"/>
      <c r="ANK992" s="124"/>
      <c r="ANL992" s="124"/>
      <c r="ANM992" s="124"/>
      <c r="ANN992" s="124"/>
      <c r="ANO992" s="124"/>
      <c r="ANP992" s="124"/>
      <c r="ANQ992" s="124"/>
      <c r="ANR992" s="124"/>
      <c r="ANS992" s="124"/>
      <c r="ANT992" s="124"/>
      <c r="ANU992" s="124"/>
      <c r="ANV992" s="124"/>
      <c r="ANW992" s="124"/>
      <c r="ANX992" s="124"/>
      <c r="ANY992" s="124"/>
      <c r="ANZ992" s="124"/>
      <c r="AOA992" s="124"/>
      <c r="AOB992" s="124"/>
      <c r="AOC992" s="124"/>
      <c r="AOD992" s="124"/>
      <c r="AOE992" s="124"/>
      <c r="AOF992" s="124"/>
      <c r="AOG992" s="124"/>
      <c r="AOH992" s="124"/>
      <c r="AOI992" s="124"/>
      <c r="AOJ992" s="124"/>
      <c r="AOK992" s="124"/>
      <c r="AOL992" s="124"/>
      <c r="AOM992" s="124"/>
      <c r="AON992" s="124"/>
      <c r="AOO992" s="124"/>
      <c r="AOP992" s="124"/>
      <c r="AOQ992" s="124"/>
      <c r="AOR992" s="124"/>
      <c r="AOS992" s="124"/>
      <c r="AOT992" s="124"/>
      <c r="AOU992" s="124"/>
      <c r="AOV992" s="124"/>
      <c r="AOW992" s="124"/>
      <c r="AOX992" s="124"/>
      <c r="AOY992" s="124"/>
      <c r="AOZ992" s="124"/>
      <c r="APA992" s="124"/>
      <c r="APB992" s="124"/>
      <c r="APC992" s="124"/>
      <c r="APD992" s="124"/>
      <c r="APE992" s="124"/>
      <c r="APF992" s="124"/>
      <c r="APG992" s="124"/>
      <c r="APH992" s="124"/>
      <c r="API992" s="124"/>
      <c r="APJ992" s="124"/>
      <c r="APK992" s="124"/>
      <c r="APL992" s="124"/>
      <c r="APM992" s="124"/>
      <c r="APN992" s="124"/>
      <c r="APO992" s="124"/>
      <c r="APP992" s="124"/>
      <c r="APQ992" s="124"/>
      <c r="APR992" s="124"/>
      <c r="APS992" s="124"/>
      <c r="APT992" s="124"/>
      <c r="APU992" s="124"/>
      <c r="APV992" s="124"/>
      <c r="APW992" s="124"/>
      <c r="APX992" s="124"/>
      <c r="APY992" s="124"/>
      <c r="APZ992" s="124"/>
      <c r="AQA992" s="124"/>
      <c r="AQB992" s="124"/>
      <c r="AQC992" s="124"/>
      <c r="AQD992" s="124"/>
      <c r="AQE992" s="124"/>
      <c r="AQF992" s="124"/>
      <c r="AQG992" s="124"/>
      <c r="AQH992" s="124"/>
      <c r="AQI992" s="124"/>
      <c r="AQJ992" s="124"/>
      <c r="AQK992" s="124"/>
      <c r="AQL992" s="124"/>
      <c r="AQM992" s="124"/>
      <c r="AQN992" s="124"/>
      <c r="AQO992" s="124"/>
      <c r="AQP992" s="124"/>
      <c r="AQQ992" s="124"/>
      <c r="AQR992" s="124"/>
      <c r="AQS992" s="124"/>
      <c r="AQT992" s="124"/>
      <c r="AQU992" s="124"/>
      <c r="AQV992" s="124"/>
      <c r="AQW992" s="124"/>
      <c r="AQX992" s="124"/>
      <c r="AQY992" s="124"/>
      <c r="AQZ992" s="124"/>
      <c r="ARA992" s="124"/>
      <c r="ARB992" s="124"/>
      <c r="ARC992" s="124"/>
      <c r="ARD992" s="124"/>
      <c r="ARE992" s="124"/>
      <c r="ARF992" s="124"/>
      <c r="ARG992" s="124"/>
      <c r="ARH992" s="124"/>
      <c r="ARI992" s="124"/>
      <c r="ARJ992" s="124"/>
      <c r="ARK992" s="124"/>
      <c r="ARL992" s="124"/>
      <c r="ARM992" s="124"/>
      <c r="ARN992" s="124"/>
      <c r="ARO992" s="124"/>
      <c r="ARP992" s="124"/>
      <c r="ARQ992" s="124"/>
      <c r="ARR992" s="124"/>
      <c r="ARS992" s="124"/>
      <c r="ART992" s="124"/>
      <c r="ARU992" s="124"/>
      <c r="ARV992" s="124"/>
      <c r="ARW992" s="124"/>
      <c r="ARX992" s="124"/>
      <c r="ARY992" s="124"/>
      <c r="ARZ992" s="124"/>
      <c r="ASA992" s="124"/>
      <c r="ASB992" s="124"/>
      <c r="ASC992" s="124"/>
      <c r="ASD992" s="124"/>
      <c r="ASE992" s="124"/>
      <c r="ASF992" s="124"/>
      <c r="ASG992" s="124"/>
      <c r="ASH992" s="124"/>
      <c r="ASI992" s="124"/>
      <c r="ASJ992" s="124"/>
      <c r="ASK992" s="124"/>
      <c r="ASL992" s="124"/>
      <c r="ASM992" s="124"/>
      <c r="ASN992" s="124"/>
      <c r="ASO992" s="124"/>
      <c r="ASP992" s="124"/>
      <c r="ASQ992" s="124"/>
      <c r="ASR992" s="124"/>
      <c r="ASS992" s="124"/>
      <c r="AST992" s="124"/>
      <c r="ASU992" s="124"/>
      <c r="ASV992" s="124"/>
      <c r="ASW992" s="124"/>
      <c r="ASX992" s="124"/>
      <c r="ASY992" s="124"/>
      <c r="ASZ992" s="124"/>
      <c r="ATA992" s="124"/>
      <c r="ATB992" s="124"/>
      <c r="ATC992" s="124"/>
      <c r="ATD992" s="124"/>
      <c r="ATE992" s="124"/>
      <c r="ATF992" s="124"/>
      <c r="ATG992" s="124"/>
      <c r="ATH992" s="124"/>
      <c r="ATI992" s="124"/>
      <c r="ATJ992" s="124"/>
      <c r="ATK992" s="124"/>
      <c r="ATL992" s="124"/>
      <c r="ATM992" s="124"/>
      <c r="ATN992" s="124"/>
      <c r="ATO992" s="124"/>
      <c r="ATP992" s="124"/>
      <c r="ATQ992" s="124"/>
      <c r="ATR992" s="124"/>
      <c r="ATS992" s="124"/>
      <c r="ATT992" s="124"/>
      <c r="ATU992" s="124"/>
      <c r="ATV992" s="124"/>
      <c r="ATW992" s="124"/>
      <c r="ATX992" s="124"/>
      <c r="ATY992" s="124"/>
      <c r="ATZ992" s="124"/>
      <c r="AUA992" s="124"/>
      <c r="AUB992" s="124"/>
      <c r="AUC992" s="124"/>
      <c r="AUD992" s="124"/>
      <c r="AUE992" s="124"/>
      <c r="AUF992" s="124"/>
      <c r="AUG992" s="124"/>
      <c r="AUH992" s="124"/>
      <c r="AUI992" s="124"/>
      <c r="AUJ992" s="124"/>
      <c r="AUK992" s="124"/>
      <c r="AUL992" s="124"/>
      <c r="AUM992" s="124"/>
      <c r="AUN992" s="124"/>
      <c r="AUO992" s="124"/>
      <c r="AUP992" s="124"/>
      <c r="AUQ992" s="124"/>
      <c r="AUR992" s="124"/>
      <c r="AUS992" s="124"/>
      <c r="AUT992" s="124"/>
      <c r="AUU992" s="124"/>
      <c r="AUV992" s="124"/>
      <c r="AUW992" s="124"/>
      <c r="AUX992" s="124"/>
      <c r="AUY992" s="124"/>
      <c r="AUZ992" s="124"/>
      <c r="AVA992" s="124"/>
      <c r="AVB992" s="124"/>
      <c r="AVC992" s="124"/>
      <c r="AVD992" s="124"/>
      <c r="AVE992" s="124"/>
      <c r="AVF992" s="124"/>
      <c r="AVG992" s="124"/>
      <c r="AVH992" s="124"/>
      <c r="AVI992" s="124"/>
      <c r="AVJ992" s="124"/>
      <c r="AVK992" s="124"/>
      <c r="AVL992" s="124"/>
      <c r="AVM992" s="124"/>
      <c r="AVN992" s="124"/>
      <c r="AVO992" s="124"/>
      <c r="AVP992" s="124"/>
      <c r="AVQ992" s="124"/>
      <c r="AVR992" s="124"/>
      <c r="AVS992" s="124"/>
      <c r="AVT992" s="124"/>
      <c r="AVU992" s="124"/>
      <c r="AVV992" s="124"/>
      <c r="AVW992" s="124"/>
      <c r="AVX992" s="124"/>
      <c r="AVY992" s="124"/>
      <c r="AVZ992" s="124"/>
      <c r="AWA992" s="124"/>
      <c r="AWB992" s="124"/>
      <c r="AWC992" s="124"/>
      <c r="AWD992" s="124"/>
      <c r="AWE992" s="124"/>
      <c r="AWF992" s="124"/>
      <c r="AWG992" s="124"/>
      <c r="AWH992" s="124"/>
      <c r="AWI992" s="124"/>
      <c r="AWJ992" s="124"/>
      <c r="AWK992" s="124"/>
      <c r="AWL992" s="124"/>
      <c r="AWM992" s="124"/>
      <c r="AWN992" s="124"/>
      <c r="AWO992" s="124"/>
      <c r="AWP992" s="124"/>
      <c r="AWQ992" s="124"/>
      <c r="AWR992" s="124"/>
      <c r="AWS992" s="124"/>
      <c r="AWT992" s="124"/>
      <c r="AWU992" s="124"/>
      <c r="AWV992" s="124"/>
      <c r="AWW992" s="124"/>
      <c r="AWX992" s="124"/>
      <c r="AWY992" s="124"/>
      <c r="AWZ992" s="124"/>
      <c r="AXA992" s="124"/>
      <c r="AXB992" s="124"/>
      <c r="AXC992" s="124"/>
      <c r="AXD992" s="124"/>
      <c r="AXE992" s="124"/>
      <c r="AXF992" s="124"/>
      <c r="AXG992" s="124"/>
      <c r="AXH992" s="124"/>
      <c r="AXI992" s="124"/>
      <c r="AXJ992" s="124"/>
      <c r="AXK992" s="124"/>
      <c r="AXL992" s="124"/>
      <c r="AXM992" s="124"/>
      <c r="AXN992" s="124"/>
      <c r="AXO992" s="124"/>
      <c r="AXP992" s="124"/>
      <c r="AXQ992" s="124"/>
      <c r="AXR992" s="124"/>
      <c r="AXS992" s="124"/>
      <c r="AXT992" s="124"/>
      <c r="AXU992" s="124"/>
      <c r="AXV992" s="124"/>
      <c r="AXW992" s="124"/>
      <c r="AXX992" s="124"/>
      <c r="AXY992" s="124"/>
      <c r="AXZ992" s="124"/>
      <c r="AYA992" s="124"/>
      <c r="AYB992" s="124"/>
      <c r="AYC992" s="124"/>
      <c r="AYD992" s="124"/>
      <c r="AYE992" s="124"/>
      <c r="AYF992" s="124"/>
      <c r="AYG992" s="124"/>
      <c r="AYH992" s="124"/>
      <c r="AYI992" s="124"/>
      <c r="AYJ992" s="124"/>
      <c r="AYK992" s="124"/>
      <c r="AYL992" s="124"/>
      <c r="AYM992" s="124"/>
      <c r="AYN992" s="124"/>
      <c r="AYO992" s="124"/>
      <c r="AYP992" s="124"/>
      <c r="AYQ992" s="124"/>
      <c r="AYR992" s="124"/>
      <c r="AYS992" s="124"/>
      <c r="AYT992" s="124"/>
      <c r="AYU992" s="124"/>
      <c r="AYV992" s="124"/>
      <c r="AYW992" s="124"/>
      <c r="AYX992" s="124"/>
      <c r="AYY992" s="124"/>
      <c r="AYZ992" s="124"/>
      <c r="AZA992" s="124"/>
      <c r="AZB992" s="124"/>
      <c r="AZC992" s="124"/>
      <c r="AZD992" s="124"/>
      <c r="AZE992" s="124"/>
      <c r="AZF992" s="124"/>
      <c r="AZG992" s="124"/>
      <c r="AZH992" s="124"/>
      <c r="AZI992" s="124"/>
      <c r="AZJ992" s="124"/>
      <c r="AZK992" s="124"/>
      <c r="AZL992" s="124"/>
      <c r="AZM992" s="124"/>
      <c r="AZN992" s="124"/>
      <c r="AZO992" s="124"/>
      <c r="AZP992" s="124"/>
      <c r="AZQ992" s="124"/>
      <c r="AZR992" s="124"/>
      <c r="AZS992" s="124"/>
      <c r="AZT992" s="124"/>
      <c r="AZU992" s="124"/>
      <c r="AZV992" s="124"/>
      <c r="AZW992" s="124"/>
      <c r="AZX992" s="124"/>
      <c r="AZY992" s="124"/>
      <c r="AZZ992" s="124"/>
      <c r="BAA992" s="124"/>
      <c r="BAB992" s="124"/>
      <c r="BAC992" s="124"/>
      <c r="BAD992" s="124"/>
      <c r="BAE992" s="124"/>
      <c r="BAF992" s="124"/>
      <c r="BAG992" s="124"/>
      <c r="BAH992" s="124"/>
      <c r="BAI992" s="124"/>
      <c r="BAJ992" s="124"/>
      <c r="BAK992" s="124"/>
      <c r="BAL992" s="124"/>
      <c r="BAM992" s="124"/>
      <c r="BAN992" s="124"/>
      <c r="BAO992" s="124"/>
      <c r="BAP992" s="124"/>
      <c r="BAQ992" s="124"/>
      <c r="BAR992" s="124"/>
      <c r="BAS992" s="124"/>
      <c r="BAT992" s="124"/>
      <c r="BAU992" s="124"/>
      <c r="BAV992" s="124"/>
      <c r="BAW992" s="124"/>
      <c r="BAX992" s="124"/>
      <c r="BAY992" s="124"/>
      <c r="BAZ992" s="124"/>
      <c r="BBA992" s="124"/>
      <c r="BBB992" s="124"/>
      <c r="BBC992" s="124"/>
      <c r="BBD992" s="124"/>
      <c r="BBE992" s="124"/>
      <c r="BBF992" s="124"/>
      <c r="BBG992" s="124"/>
      <c r="BBH992" s="124"/>
      <c r="BBI992" s="124"/>
      <c r="BBJ992" s="124"/>
      <c r="BBK992" s="124"/>
      <c r="BBL992" s="124"/>
      <c r="BBM992" s="124"/>
      <c r="BBN992" s="124"/>
      <c r="BBO992" s="124"/>
      <c r="BBP992" s="124"/>
      <c r="BBQ992" s="124"/>
      <c r="BBR992" s="124"/>
      <c r="BBS992" s="124"/>
      <c r="BBT992" s="124"/>
      <c r="BBU992" s="124"/>
      <c r="BBV992" s="124"/>
      <c r="BBW992" s="124"/>
      <c r="BBX992" s="124"/>
      <c r="BBY992" s="124"/>
      <c r="BBZ992" s="124"/>
      <c r="BCA992" s="124"/>
      <c r="BCB992" s="124"/>
      <c r="BCC992" s="124"/>
      <c r="BCD992" s="124"/>
      <c r="BCE992" s="124"/>
      <c r="BCF992" s="124"/>
      <c r="BCG992" s="124"/>
      <c r="BCH992" s="124"/>
      <c r="BCI992" s="124"/>
      <c r="BCJ992" s="124"/>
      <c r="BCK992" s="124"/>
      <c r="BCL992" s="124"/>
      <c r="BCM992" s="124"/>
      <c r="BCN992" s="124"/>
      <c r="BCO992" s="124"/>
      <c r="BCP992" s="124"/>
      <c r="BCQ992" s="124"/>
      <c r="BCR992" s="124"/>
      <c r="BCS992" s="124"/>
      <c r="BCT992" s="124"/>
      <c r="BCU992" s="124"/>
      <c r="BCV992" s="124"/>
      <c r="BCW992" s="124"/>
      <c r="BCX992" s="124"/>
      <c r="BCY992" s="124"/>
      <c r="BCZ992" s="124"/>
      <c r="BDA992" s="124"/>
      <c r="BDB992" s="124"/>
      <c r="BDC992" s="124"/>
      <c r="BDD992" s="124"/>
      <c r="BDE992" s="124"/>
      <c r="BDF992" s="124"/>
      <c r="BDG992" s="124"/>
      <c r="BDH992" s="124"/>
      <c r="BDI992" s="124"/>
      <c r="BDJ992" s="124"/>
      <c r="BDK992" s="124"/>
      <c r="BDL992" s="124"/>
      <c r="BDM992" s="124"/>
      <c r="BDN992" s="124"/>
      <c r="BDO992" s="124"/>
      <c r="BDP992" s="124"/>
      <c r="BDQ992" s="124"/>
      <c r="BDR992" s="124"/>
      <c r="BDS992" s="124"/>
      <c r="BDT992" s="124"/>
      <c r="BDU992" s="124"/>
      <c r="BDV992" s="124"/>
      <c r="BDW992" s="124"/>
      <c r="BDX992" s="124"/>
      <c r="BDY992" s="124"/>
      <c r="BDZ992" s="124"/>
      <c r="BEA992" s="124"/>
      <c r="BEB992" s="124"/>
      <c r="BEC992" s="124"/>
      <c r="BED992" s="124"/>
      <c r="BEE992" s="124"/>
      <c r="BEF992" s="124"/>
      <c r="BEG992" s="124"/>
      <c r="BEH992" s="124"/>
      <c r="BEI992" s="124"/>
      <c r="BEJ992" s="124"/>
      <c r="BEK992" s="124"/>
      <c r="BEL992" s="124"/>
      <c r="BEM992" s="124"/>
      <c r="BEN992" s="124"/>
      <c r="BEO992" s="124"/>
      <c r="BEP992" s="124"/>
      <c r="BEQ992" s="124"/>
      <c r="BER992" s="124"/>
      <c r="BES992" s="124"/>
      <c r="BET992" s="124"/>
      <c r="BEU992" s="124"/>
      <c r="BEV992" s="124"/>
      <c r="BEW992" s="124"/>
      <c r="BEX992" s="124"/>
      <c r="BEY992" s="124"/>
      <c r="BEZ992" s="124"/>
      <c r="BFA992" s="124"/>
      <c r="BFB992" s="124"/>
      <c r="BFC992" s="124"/>
      <c r="BFD992" s="124"/>
      <c r="BFE992" s="124"/>
      <c r="BFF992" s="124"/>
      <c r="BFG992" s="124"/>
      <c r="BFH992" s="124"/>
      <c r="BFI992" s="124"/>
      <c r="BFJ992" s="124"/>
      <c r="BFK992" s="124"/>
      <c r="BFL992" s="124"/>
      <c r="BFM992" s="124"/>
      <c r="BFN992" s="124"/>
      <c r="BFO992" s="124"/>
      <c r="BFP992" s="124"/>
      <c r="BFQ992" s="124"/>
      <c r="BFR992" s="124"/>
      <c r="BFS992" s="124"/>
      <c r="BFT992" s="124"/>
      <c r="BFU992" s="124"/>
      <c r="BFV992" s="124"/>
      <c r="BFW992" s="124"/>
      <c r="BFX992" s="124"/>
      <c r="BFY992" s="124"/>
      <c r="BFZ992" s="124"/>
      <c r="BGA992" s="124"/>
      <c r="BGB992" s="124"/>
      <c r="BGC992" s="124"/>
      <c r="BGD992" s="124"/>
      <c r="BGE992" s="124"/>
      <c r="BGF992" s="124"/>
      <c r="BGG992" s="124"/>
      <c r="BGH992" s="124"/>
      <c r="BGI992" s="124"/>
      <c r="BGJ992" s="124"/>
      <c r="BGK992" s="124"/>
      <c r="BGL992" s="124"/>
      <c r="BGM992" s="124"/>
      <c r="BGN992" s="124"/>
      <c r="BGO992" s="124"/>
      <c r="BGP992" s="124"/>
      <c r="BGQ992" s="124"/>
      <c r="BGR992" s="124"/>
      <c r="BGS992" s="124"/>
      <c r="BGT992" s="124"/>
      <c r="BGU992" s="124"/>
      <c r="BGV992" s="124"/>
      <c r="BGW992" s="124"/>
      <c r="BGX992" s="124"/>
      <c r="BGY992" s="124"/>
      <c r="BGZ992" s="124"/>
      <c r="BHA992" s="124"/>
      <c r="BHB992" s="124"/>
      <c r="BHC992" s="124"/>
      <c r="BHD992" s="124"/>
      <c r="BHE992" s="124"/>
      <c r="BHF992" s="124"/>
      <c r="BHG992" s="124"/>
      <c r="BHH992" s="124"/>
      <c r="BHI992" s="124"/>
      <c r="BHJ992" s="124"/>
      <c r="BHK992" s="124"/>
      <c r="BHL992" s="124"/>
      <c r="BHM992" s="124"/>
      <c r="BHN992" s="124"/>
      <c r="BHO992" s="124"/>
      <c r="BHP992" s="124"/>
      <c r="BHQ992" s="124"/>
      <c r="BHR992" s="124"/>
      <c r="BHS992" s="124"/>
      <c r="BHT992" s="124"/>
      <c r="BHU992" s="124"/>
      <c r="BHV992" s="124"/>
      <c r="BHW992" s="124"/>
      <c r="BHX992" s="124"/>
      <c r="BHY992" s="124"/>
      <c r="BHZ992" s="124"/>
      <c r="BIA992" s="124"/>
      <c r="BIB992" s="124"/>
      <c r="BIC992" s="124"/>
      <c r="BID992" s="124"/>
      <c r="BIE992" s="124"/>
      <c r="BIF992" s="124"/>
      <c r="BIG992" s="124"/>
      <c r="BIH992" s="124"/>
      <c r="BII992" s="124"/>
      <c r="BIJ992" s="124"/>
      <c r="BIK992" s="124"/>
      <c r="BIL992" s="124"/>
      <c r="BIM992" s="124"/>
      <c r="BIN992" s="124"/>
      <c r="BIO992" s="124"/>
      <c r="BIP992" s="124"/>
      <c r="BIQ992" s="124"/>
      <c r="BIR992" s="124"/>
      <c r="BIS992" s="124"/>
      <c r="BIT992" s="124"/>
      <c r="BIU992" s="124"/>
      <c r="BIV992" s="124"/>
      <c r="BIW992" s="124"/>
      <c r="BIX992" s="124"/>
      <c r="BIY992" s="124"/>
      <c r="BIZ992" s="124"/>
      <c r="BJA992" s="124"/>
      <c r="BJB992" s="124"/>
      <c r="BJC992" s="124"/>
      <c r="BJD992" s="124"/>
      <c r="BJE992" s="124"/>
      <c r="BJF992" s="124"/>
      <c r="BJG992" s="124"/>
      <c r="BJH992" s="124"/>
      <c r="BJI992" s="124"/>
      <c r="BJJ992" s="124"/>
      <c r="BJK992" s="124"/>
      <c r="BJL992" s="124"/>
      <c r="BJM992" s="124"/>
      <c r="BJN992" s="124"/>
      <c r="BJO992" s="124"/>
      <c r="BJP992" s="124"/>
      <c r="BJQ992" s="124"/>
      <c r="BJR992" s="124"/>
      <c r="BJS992" s="124"/>
      <c r="BJT992" s="124"/>
      <c r="BJU992" s="124"/>
      <c r="BJV992" s="124"/>
      <c r="BJW992" s="124"/>
      <c r="BJX992" s="124"/>
      <c r="BJY992" s="124"/>
      <c r="BJZ992" s="124"/>
      <c r="BKA992" s="124"/>
      <c r="BKB992" s="124"/>
      <c r="BKC992" s="124"/>
      <c r="BKD992" s="124"/>
      <c r="BKE992" s="124"/>
      <c r="BKF992" s="124"/>
      <c r="BKG992" s="124"/>
      <c r="BKH992" s="124"/>
      <c r="BKI992" s="124"/>
      <c r="BKJ992" s="124"/>
      <c r="BKK992" s="124"/>
      <c r="BKL992" s="124"/>
      <c r="BKM992" s="124"/>
      <c r="BKN992" s="124"/>
      <c r="BKO992" s="124"/>
      <c r="BKP992" s="124"/>
      <c r="BKQ992" s="124"/>
      <c r="BKR992" s="124"/>
      <c r="BKS992" s="124"/>
      <c r="BKT992" s="124"/>
      <c r="BKU992" s="124"/>
      <c r="BKV992" s="124"/>
      <c r="BKW992" s="124"/>
      <c r="BKX992" s="124"/>
      <c r="BKY992" s="124"/>
      <c r="BKZ992" s="124"/>
      <c r="BLA992" s="124"/>
      <c r="BLB992" s="124"/>
      <c r="BLC992" s="124"/>
      <c r="BLD992" s="124"/>
      <c r="BLE992" s="124"/>
      <c r="BLF992" s="124"/>
      <c r="BLG992" s="124"/>
      <c r="BLH992" s="124"/>
      <c r="BLI992" s="124"/>
      <c r="BLJ992" s="124"/>
      <c r="BLK992" s="124"/>
      <c r="BLL992" s="124"/>
      <c r="BLM992" s="124"/>
      <c r="BLN992" s="124"/>
      <c r="BLO992" s="124"/>
      <c r="BLP992" s="124"/>
      <c r="BLQ992" s="124"/>
      <c r="BLR992" s="124"/>
      <c r="BLS992" s="124"/>
      <c r="BLT992" s="124"/>
      <c r="BLU992" s="124"/>
      <c r="BLV992" s="124"/>
      <c r="BLW992" s="124"/>
      <c r="BLX992" s="124"/>
      <c r="BLY992" s="124"/>
      <c r="BLZ992" s="124"/>
      <c r="BMA992" s="124"/>
      <c r="BMB992" s="124"/>
      <c r="BMC992" s="124"/>
      <c r="BMD992" s="124"/>
      <c r="BME992" s="124"/>
      <c r="BMF992" s="124"/>
      <c r="BMG992" s="124"/>
      <c r="BMH992" s="124"/>
      <c r="BMI992" s="124"/>
      <c r="BMJ992" s="124"/>
      <c r="BMK992" s="124"/>
      <c r="BML992" s="124"/>
      <c r="BMM992" s="124"/>
      <c r="BMN992" s="124"/>
      <c r="BMO992" s="124"/>
      <c r="BMP992" s="124"/>
      <c r="BMQ992" s="124"/>
      <c r="BMR992" s="124"/>
      <c r="BMS992" s="124"/>
      <c r="BMT992" s="124"/>
      <c r="BMU992" s="124"/>
      <c r="BMV992" s="124"/>
      <c r="BMW992" s="124"/>
      <c r="BMX992" s="124"/>
      <c r="BMY992" s="124"/>
      <c r="BMZ992" s="124"/>
      <c r="BNA992" s="124"/>
      <c r="BNB992" s="124"/>
      <c r="BNC992" s="124"/>
      <c r="BND992" s="124"/>
      <c r="BNE992" s="124"/>
      <c r="BNF992" s="124"/>
      <c r="BNG992" s="124"/>
      <c r="BNH992" s="124"/>
      <c r="BNI992" s="124"/>
      <c r="BNJ992" s="124"/>
      <c r="BNK992" s="124"/>
      <c r="BNL992" s="124"/>
      <c r="BNM992" s="124"/>
      <c r="BNN992" s="124"/>
      <c r="BNO992" s="124"/>
      <c r="BNP992" s="124"/>
      <c r="BNQ992" s="124"/>
      <c r="BNR992" s="124"/>
      <c r="BNS992" s="124"/>
      <c r="BNT992" s="124"/>
      <c r="BNU992" s="124"/>
      <c r="BNV992" s="124"/>
      <c r="BNW992" s="124"/>
      <c r="BNX992" s="124"/>
      <c r="BNY992" s="124"/>
      <c r="BNZ992" s="124"/>
      <c r="BOA992" s="124"/>
      <c r="BOB992" s="124"/>
      <c r="BOC992" s="124"/>
      <c r="BOD992" s="124"/>
      <c r="BOE992" s="124"/>
      <c r="BOF992" s="124"/>
      <c r="BOG992" s="124"/>
      <c r="BOH992" s="124"/>
      <c r="BOI992" s="124"/>
      <c r="BOJ992" s="124"/>
      <c r="BOK992" s="124"/>
      <c r="BOL992" s="124"/>
      <c r="BOM992" s="124"/>
      <c r="BON992" s="124"/>
      <c r="BOO992" s="124"/>
      <c r="BOP992" s="124"/>
      <c r="BOQ992" s="124"/>
      <c r="BOR992" s="124"/>
      <c r="BOS992" s="124"/>
      <c r="BOT992" s="124"/>
      <c r="BOU992" s="124"/>
      <c r="BOV992" s="124"/>
      <c r="BOW992" s="124"/>
      <c r="BOX992" s="124"/>
      <c r="BOY992" s="124"/>
      <c r="BOZ992" s="124"/>
      <c r="BPA992" s="124"/>
      <c r="BPB992" s="124"/>
      <c r="BPC992" s="124"/>
      <c r="BPD992" s="124"/>
      <c r="BPE992" s="124"/>
      <c r="BPF992" s="124"/>
      <c r="BPG992" s="124"/>
      <c r="BPH992" s="124"/>
      <c r="BPI992" s="124"/>
      <c r="BPJ992" s="124"/>
      <c r="BPK992" s="124"/>
      <c r="BPL992" s="124"/>
      <c r="BPM992" s="124"/>
      <c r="BPN992" s="124"/>
      <c r="BPO992" s="124"/>
      <c r="BPP992" s="124"/>
      <c r="BPQ992" s="124"/>
      <c r="BPR992" s="124"/>
      <c r="BPS992" s="124"/>
      <c r="BPT992" s="124"/>
      <c r="BPU992" s="124"/>
      <c r="BPV992" s="124"/>
      <c r="BPW992" s="124"/>
      <c r="BPX992" s="124"/>
      <c r="BPY992" s="124"/>
      <c r="BPZ992" s="124"/>
      <c r="BQA992" s="124"/>
      <c r="BQB992" s="124"/>
      <c r="BQC992" s="124"/>
      <c r="BQD992" s="124"/>
      <c r="BQE992" s="124"/>
      <c r="BQF992" s="124"/>
      <c r="BQG992" s="124"/>
      <c r="BQH992" s="124"/>
      <c r="BQI992" s="124"/>
      <c r="BQJ992" s="124"/>
      <c r="BQK992" s="124"/>
      <c r="BQL992" s="124"/>
      <c r="BQM992" s="124"/>
      <c r="BQN992" s="124"/>
      <c r="BQO992" s="124"/>
      <c r="BQP992" s="124"/>
      <c r="BQQ992" s="124"/>
      <c r="BQR992" s="124"/>
      <c r="BQS992" s="124"/>
      <c r="BQT992" s="124"/>
      <c r="BQU992" s="124"/>
      <c r="BQV992" s="124"/>
      <c r="BQW992" s="124"/>
      <c r="BQX992" s="124"/>
      <c r="BQY992" s="124"/>
      <c r="BQZ992" s="124"/>
      <c r="BRA992" s="124"/>
      <c r="BRB992" s="124"/>
      <c r="BRC992" s="124"/>
      <c r="BRD992" s="124"/>
      <c r="BRE992" s="124"/>
      <c r="BRF992" s="124"/>
      <c r="BRG992" s="124"/>
      <c r="BRH992" s="124"/>
      <c r="BRI992" s="124"/>
      <c r="BRJ992" s="124"/>
      <c r="BRK992" s="124"/>
      <c r="BRL992" s="124"/>
      <c r="BRM992" s="124"/>
      <c r="BRN992" s="124"/>
      <c r="BRO992" s="124"/>
      <c r="BRP992" s="124"/>
      <c r="BRQ992" s="124"/>
      <c r="BRR992" s="124"/>
      <c r="BRS992" s="124"/>
      <c r="BRT992" s="124"/>
      <c r="BRU992" s="124"/>
      <c r="BRV992" s="124"/>
      <c r="BRW992" s="124"/>
      <c r="BRX992" s="124"/>
      <c r="BRY992" s="124"/>
      <c r="BRZ992" s="124"/>
      <c r="BSA992" s="124"/>
      <c r="BSB992" s="124"/>
      <c r="BSC992" s="124"/>
      <c r="BSD992" s="124"/>
      <c r="BSE992" s="124"/>
      <c r="BSF992" s="124"/>
      <c r="BSG992" s="124"/>
      <c r="BSH992" s="124"/>
      <c r="BSI992" s="124"/>
      <c r="BSJ992" s="124"/>
      <c r="BSK992" s="124"/>
      <c r="BSL992" s="124"/>
      <c r="BSM992" s="124"/>
      <c r="BSN992" s="124"/>
      <c r="BSO992" s="124"/>
      <c r="BSP992" s="124"/>
      <c r="BSQ992" s="124"/>
      <c r="BSR992" s="124"/>
      <c r="BSS992" s="124"/>
      <c r="BST992" s="124"/>
      <c r="BSU992" s="124"/>
      <c r="BSV992" s="124"/>
      <c r="BSW992" s="124"/>
      <c r="BSX992" s="124"/>
      <c r="BSY992" s="124"/>
      <c r="BSZ992" s="124"/>
      <c r="BTA992" s="124"/>
      <c r="BTB992" s="124"/>
      <c r="BTC992" s="124"/>
      <c r="BTD992" s="124"/>
      <c r="BTE992" s="124"/>
      <c r="BTF992" s="124"/>
      <c r="BTG992" s="124"/>
      <c r="BTH992" s="124"/>
      <c r="BTI992" s="124"/>
      <c r="BTJ992" s="124"/>
      <c r="BTK992" s="124"/>
      <c r="BTL992" s="124"/>
      <c r="BTM992" s="124"/>
      <c r="BTN992" s="124"/>
      <c r="BTO992" s="124"/>
      <c r="BTP992" s="124"/>
      <c r="BTQ992" s="124"/>
      <c r="BTR992" s="124"/>
      <c r="BTS992" s="124"/>
      <c r="BTT992" s="124"/>
      <c r="BTU992" s="124"/>
      <c r="BTV992" s="124"/>
      <c r="BTW992" s="124"/>
      <c r="BTX992" s="124"/>
      <c r="BTY992" s="124"/>
      <c r="BTZ992" s="124"/>
      <c r="BUA992" s="124"/>
      <c r="BUB992" s="124"/>
      <c r="BUC992" s="124"/>
      <c r="BUD992" s="124"/>
      <c r="BUE992" s="124"/>
      <c r="BUF992" s="124"/>
      <c r="BUG992" s="124"/>
      <c r="BUH992" s="124"/>
      <c r="BUI992" s="124"/>
      <c r="BUJ992" s="124"/>
      <c r="BUK992" s="124"/>
      <c r="BUL992" s="124"/>
      <c r="BUM992" s="124"/>
      <c r="BUN992" s="124"/>
      <c r="BUO992" s="124"/>
      <c r="BUP992" s="124"/>
      <c r="BUQ992" s="124"/>
      <c r="BUR992" s="124"/>
      <c r="BUS992" s="124"/>
      <c r="BUT992" s="124"/>
      <c r="BUU992" s="124"/>
      <c r="BUV992" s="124"/>
      <c r="BUW992" s="124"/>
      <c r="BUX992" s="124"/>
      <c r="BUY992" s="124"/>
      <c r="BUZ992" s="124"/>
      <c r="BVA992" s="124"/>
      <c r="BVB992" s="124"/>
      <c r="BVC992" s="124"/>
      <c r="BVD992" s="124"/>
      <c r="BVE992" s="124"/>
      <c r="BVF992" s="124"/>
      <c r="BVG992" s="124"/>
      <c r="BVH992" s="124"/>
      <c r="BVI992" s="124"/>
      <c r="BVJ992" s="124"/>
      <c r="BVK992" s="124"/>
      <c r="BVL992" s="124"/>
      <c r="BVM992" s="124"/>
      <c r="BVN992" s="124"/>
      <c r="BVO992" s="124"/>
      <c r="BVP992" s="124"/>
      <c r="BVQ992" s="124"/>
      <c r="BVR992" s="124"/>
      <c r="BVS992" s="124"/>
      <c r="BVT992" s="124"/>
      <c r="BVU992" s="124"/>
      <c r="BVV992" s="124"/>
      <c r="BVW992" s="124"/>
      <c r="BVX992" s="124"/>
      <c r="BVY992" s="124"/>
      <c r="BVZ992" s="124"/>
      <c r="BWA992" s="124"/>
      <c r="BWB992" s="124"/>
      <c r="BWC992" s="124"/>
      <c r="BWD992" s="124"/>
      <c r="BWE992" s="124"/>
      <c r="BWF992" s="124"/>
      <c r="BWG992" s="124"/>
      <c r="BWH992" s="124"/>
      <c r="BWI992" s="124"/>
      <c r="BWJ992" s="124"/>
      <c r="BWK992" s="124"/>
      <c r="BWL992" s="124"/>
      <c r="BWM992" s="124"/>
      <c r="BWN992" s="124"/>
      <c r="BWO992" s="124"/>
      <c r="BWP992" s="124"/>
      <c r="BWQ992" s="124"/>
      <c r="BWR992" s="124"/>
      <c r="BWS992" s="124"/>
      <c r="BWT992" s="124"/>
      <c r="BWU992" s="124"/>
      <c r="BWV992" s="124"/>
      <c r="BWW992" s="124"/>
      <c r="BWX992" s="124"/>
      <c r="BWY992" s="124"/>
      <c r="BWZ992" s="124"/>
      <c r="BXA992" s="124"/>
      <c r="BXB992" s="124"/>
      <c r="BXC992" s="124"/>
      <c r="BXD992" s="124"/>
      <c r="BXE992" s="124"/>
      <c r="BXF992" s="124"/>
      <c r="BXG992" s="124"/>
      <c r="BXH992" s="124"/>
      <c r="BXI992" s="124"/>
      <c r="BXJ992" s="124"/>
      <c r="BXK992" s="124"/>
      <c r="BXL992" s="124"/>
      <c r="BXM992" s="124"/>
      <c r="BXN992" s="124"/>
      <c r="BXO992" s="124"/>
      <c r="BXP992" s="124"/>
      <c r="BXQ992" s="124"/>
      <c r="BXR992" s="124"/>
      <c r="BXS992" s="124"/>
      <c r="BXT992" s="124"/>
      <c r="BXU992" s="124"/>
      <c r="BXV992" s="124"/>
      <c r="BXW992" s="124"/>
      <c r="BXX992" s="124"/>
      <c r="BXY992" s="124"/>
      <c r="BXZ992" s="124"/>
      <c r="BYA992" s="124"/>
      <c r="BYB992" s="124"/>
      <c r="BYC992" s="124"/>
      <c r="BYD992" s="124"/>
      <c r="BYE992" s="124"/>
      <c r="BYF992" s="124"/>
      <c r="BYG992" s="124"/>
      <c r="BYH992" s="124"/>
      <c r="BYI992" s="124"/>
      <c r="BYJ992" s="124"/>
      <c r="BYK992" s="124"/>
      <c r="BYL992" s="124"/>
      <c r="BYM992" s="124"/>
      <c r="BYN992" s="124"/>
      <c r="BYO992" s="124"/>
      <c r="BYP992" s="124"/>
      <c r="BYQ992" s="124"/>
      <c r="BYR992" s="124"/>
      <c r="BYS992" s="124"/>
      <c r="BYT992" s="124"/>
      <c r="BYU992" s="124"/>
      <c r="BYV992" s="124"/>
      <c r="BYW992" s="124"/>
      <c r="BYX992" s="124"/>
      <c r="BYY992" s="124"/>
      <c r="BYZ992" s="124"/>
      <c r="BZA992" s="124"/>
      <c r="BZB992" s="124"/>
      <c r="BZC992" s="124"/>
      <c r="BZD992" s="124"/>
      <c r="BZE992" s="124"/>
      <c r="BZF992" s="124"/>
      <c r="BZG992" s="124"/>
      <c r="BZH992" s="124"/>
      <c r="BZI992" s="124"/>
      <c r="BZJ992" s="124"/>
      <c r="BZK992" s="124"/>
      <c r="BZL992" s="124"/>
      <c r="BZM992" s="124"/>
      <c r="BZN992" s="124"/>
      <c r="BZO992" s="124"/>
      <c r="BZP992" s="124"/>
      <c r="BZQ992" s="124"/>
      <c r="BZR992" s="124"/>
      <c r="BZS992" s="124"/>
      <c r="BZT992" s="124"/>
      <c r="BZU992" s="124"/>
      <c r="BZV992" s="124"/>
      <c r="BZW992" s="124"/>
      <c r="BZX992" s="124"/>
      <c r="BZY992" s="124"/>
      <c r="BZZ992" s="124"/>
      <c r="CAA992" s="124"/>
      <c r="CAB992" s="124"/>
      <c r="CAC992" s="124"/>
      <c r="CAD992" s="124"/>
      <c r="CAE992" s="124"/>
      <c r="CAF992" s="124"/>
      <c r="CAG992" s="124"/>
      <c r="CAH992" s="124"/>
      <c r="CAI992" s="124"/>
      <c r="CAJ992" s="124"/>
      <c r="CAK992" s="124"/>
      <c r="CAL992" s="124"/>
      <c r="CAM992" s="124"/>
      <c r="CAN992" s="124"/>
      <c r="CAO992" s="124"/>
      <c r="CAP992" s="124"/>
      <c r="CAQ992" s="124"/>
      <c r="CAR992" s="124"/>
      <c r="CAS992" s="124"/>
      <c r="CAT992" s="124"/>
      <c r="CAU992" s="124"/>
      <c r="CAV992" s="124"/>
      <c r="CAW992" s="124"/>
      <c r="CAX992" s="124"/>
      <c r="CAY992" s="124"/>
      <c r="CAZ992" s="124"/>
      <c r="CBA992" s="124"/>
      <c r="CBB992" s="124"/>
      <c r="CBC992" s="124"/>
      <c r="CBD992" s="124"/>
      <c r="CBE992" s="124"/>
      <c r="CBF992" s="124"/>
      <c r="CBG992" s="124"/>
      <c r="CBH992" s="124"/>
      <c r="CBI992" s="124"/>
      <c r="CBJ992" s="124"/>
      <c r="CBK992" s="124"/>
      <c r="CBL992" s="124"/>
      <c r="CBM992" s="124"/>
      <c r="CBN992" s="124"/>
      <c r="CBO992" s="124"/>
      <c r="CBP992" s="124"/>
      <c r="CBQ992" s="124"/>
      <c r="CBR992" s="124"/>
      <c r="CBS992" s="124"/>
      <c r="CBT992" s="124"/>
      <c r="CBU992" s="124"/>
      <c r="CBV992" s="124"/>
      <c r="CBW992" s="124"/>
      <c r="CBX992" s="124"/>
      <c r="CBY992" s="124"/>
      <c r="CBZ992" s="124"/>
      <c r="CCA992" s="124"/>
      <c r="CCB992" s="124"/>
      <c r="CCC992" s="124"/>
      <c r="CCD992" s="124"/>
      <c r="CCE992" s="124"/>
      <c r="CCF992" s="124"/>
      <c r="CCG992" s="124"/>
      <c r="CCH992" s="124"/>
      <c r="CCI992" s="124"/>
      <c r="CCJ992" s="124"/>
      <c r="CCK992" s="124"/>
      <c r="CCL992" s="124"/>
      <c r="CCM992" s="124"/>
      <c r="CCN992" s="124"/>
      <c r="CCO992" s="124"/>
      <c r="CCP992" s="124"/>
      <c r="CCQ992" s="124"/>
      <c r="CCR992" s="124"/>
      <c r="CCS992" s="124"/>
      <c r="CCT992" s="124"/>
      <c r="CCU992" s="124"/>
      <c r="CCV992" s="124"/>
      <c r="CCW992" s="124"/>
      <c r="CCX992" s="124"/>
      <c r="CCY992" s="124"/>
      <c r="CCZ992" s="124"/>
      <c r="CDA992" s="124"/>
      <c r="CDB992" s="124"/>
      <c r="CDC992" s="124"/>
      <c r="CDD992" s="124"/>
      <c r="CDE992" s="124"/>
      <c r="CDF992" s="124"/>
      <c r="CDG992" s="124"/>
      <c r="CDH992" s="124"/>
      <c r="CDI992" s="124"/>
      <c r="CDJ992" s="124"/>
      <c r="CDK992" s="124"/>
      <c r="CDL992" s="124"/>
      <c r="CDM992" s="124"/>
      <c r="CDN992" s="124"/>
      <c r="CDO992" s="124"/>
      <c r="CDP992" s="124"/>
      <c r="CDQ992" s="124"/>
      <c r="CDR992" s="124"/>
      <c r="CDS992" s="124"/>
      <c r="CDT992" s="124"/>
      <c r="CDU992" s="124"/>
      <c r="CDV992" s="124"/>
      <c r="CDW992" s="124"/>
      <c r="CDX992" s="124"/>
      <c r="CDY992" s="124"/>
      <c r="CDZ992" s="124"/>
      <c r="CEA992" s="124"/>
      <c r="CEB992" s="124"/>
      <c r="CEC992" s="124"/>
      <c r="CED992" s="124"/>
      <c r="CEE992" s="124"/>
      <c r="CEF992" s="124"/>
      <c r="CEG992" s="124"/>
      <c r="CEH992" s="124"/>
      <c r="CEI992" s="124"/>
      <c r="CEJ992" s="124"/>
      <c r="CEK992" s="124"/>
      <c r="CEL992" s="124"/>
      <c r="CEM992" s="124"/>
      <c r="CEN992" s="124"/>
      <c r="CEO992" s="124"/>
      <c r="CEP992" s="124"/>
      <c r="CEQ992" s="124"/>
      <c r="CER992" s="124"/>
      <c r="CES992" s="124"/>
      <c r="CET992" s="124"/>
      <c r="CEU992" s="124"/>
      <c r="CEV992" s="124"/>
      <c r="CEW992" s="124"/>
      <c r="CEX992" s="124"/>
      <c r="CEY992" s="124"/>
      <c r="CEZ992" s="124"/>
      <c r="CFA992" s="124"/>
      <c r="CFB992" s="124"/>
      <c r="CFC992" s="124"/>
      <c r="CFD992" s="124"/>
      <c r="CFE992" s="124"/>
      <c r="CFF992" s="124"/>
      <c r="CFG992" s="124"/>
      <c r="CFH992" s="124"/>
      <c r="CFI992" s="124"/>
      <c r="CFJ992" s="124"/>
      <c r="CFK992" s="124"/>
      <c r="CFL992" s="124"/>
      <c r="CFM992" s="124"/>
      <c r="CFN992" s="124"/>
      <c r="CFO992" s="124"/>
      <c r="CFP992" s="124"/>
      <c r="CFQ992" s="124"/>
      <c r="CFR992" s="124"/>
      <c r="CFS992" s="124"/>
      <c r="CFT992" s="124"/>
      <c r="CFU992" s="124"/>
      <c r="CFV992" s="124"/>
      <c r="CFW992" s="124"/>
      <c r="CFX992" s="124"/>
      <c r="CFY992" s="124"/>
      <c r="CFZ992" s="124"/>
      <c r="CGA992" s="124"/>
      <c r="CGB992" s="124"/>
      <c r="CGC992" s="124"/>
      <c r="CGD992" s="124"/>
      <c r="CGE992" s="124"/>
      <c r="CGF992" s="124"/>
      <c r="CGG992" s="124"/>
      <c r="CGH992" s="124"/>
      <c r="CGI992" s="124"/>
      <c r="CGJ992" s="124"/>
      <c r="CGK992" s="124"/>
      <c r="CGL992" s="124"/>
      <c r="CGM992" s="124"/>
      <c r="CGN992" s="124"/>
      <c r="CGO992" s="124"/>
      <c r="CGP992" s="124"/>
      <c r="CGQ992" s="124"/>
      <c r="CGR992" s="124"/>
      <c r="CGS992" s="124"/>
      <c r="CGT992" s="124"/>
      <c r="CGU992" s="124"/>
      <c r="CGV992" s="124"/>
      <c r="CGW992" s="124"/>
      <c r="CGX992" s="124"/>
      <c r="CGY992" s="124"/>
      <c r="CGZ992" s="124"/>
      <c r="CHA992" s="124"/>
      <c r="CHB992" s="124"/>
      <c r="CHC992" s="124"/>
      <c r="CHD992" s="124"/>
      <c r="CHE992" s="124"/>
      <c r="CHF992" s="124"/>
      <c r="CHG992" s="124"/>
      <c r="CHH992" s="124"/>
      <c r="CHI992" s="124"/>
      <c r="CHJ992" s="124"/>
      <c r="CHK992" s="124"/>
      <c r="CHL992" s="124"/>
      <c r="CHM992" s="124"/>
      <c r="CHN992" s="124"/>
      <c r="CHO992" s="124"/>
      <c r="CHP992" s="124"/>
      <c r="CHQ992" s="124"/>
      <c r="CHR992" s="124"/>
      <c r="CHS992" s="124"/>
      <c r="CHT992" s="124"/>
      <c r="CHU992" s="124"/>
      <c r="CHV992" s="124"/>
      <c r="CHW992" s="124"/>
      <c r="CHX992" s="124"/>
      <c r="CHY992" s="124"/>
      <c r="CHZ992" s="124"/>
      <c r="CIA992" s="124"/>
      <c r="CIB992" s="124"/>
      <c r="CIC992" s="124"/>
      <c r="CID992" s="124"/>
      <c r="CIE992" s="124"/>
      <c r="CIF992" s="124"/>
      <c r="CIG992" s="124"/>
      <c r="CIH992" s="124"/>
      <c r="CII992" s="124"/>
      <c r="CIJ992" s="124"/>
      <c r="CIK992" s="124"/>
      <c r="CIL992" s="124"/>
      <c r="CIM992" s="124"/>
      <c r="CIN992" s="124"/>
      <c r="CIO992" s="124"/>
      <c r="CIP992" s="124"/>
      <c r="CIQ992" s="124"/>
      <c r="CIR992" s="124"/>
      <c r="CIS992" s="124"/>
      <c r="CIT992" s="124"/>
      <c r="CIU992" s="124"/>
      <c r="CIV992" s="124"/>
      <c r="CIW992" s="124"/>
      <c r="CIX992" s="124"/>
      <c r="CIY992" s="124"/>
      <c r="CIZ992" s="124"/>
      <c r="CJA992" s="124"/>
      <c r="CJB992" s="124"/>
      <c r="CJC992" s="124"/>
      <c r="CJD992" s="124"/>
      <c r="CJE992" s="124"/>
      <c r="CJF992" s="124"/>
      <c r="CJG992" s="124"/>
      <c r="CJH992" s="124"/>
      <c r="CJI992" s="124"/>
      <c r="CJJ992" s="124"/>
      <c r="CJK992" s="124"/>
      <c r="CJL992" s="124"/>
      <c r="CJM992" s="124"/>
      <c r="CJN992" s="124"/>
      <c r="CJO992" s="124"/>
      <c r="CJP992" s="124"/>
      <c r="CJQ992" s="124"/>
      <c r="CJR992" s="124"/>
      <c r="CJS992" s="124"/>
      <c r="CJT992" s="124"/>
      <c r="CJU992" s="124"/>
      <c r="CJV992" s="124"/>
      <c r="CJW992" s="124"/>
      <c r="CJX992" s="124"/>
      <c r="CJY992" s="124"/>
      <c r="CJZ992" s="124"/>
      <c r="CKA992" s="124"/>
      <c r="CKB992" s="124"/>
      <c r="CKC992" s="124"/>
      <c r="CKD992" s="124"/>
      <c r="CKE992" s="124"/>
      <c r="CKF992" s="124"/>
      <c r="CKG992" s="124"/>
      <c r="CKH992" s="124"/>
      <c r="CKI992" s="124"/>
      <c r="CKJ992" s="124"/>
      <c r="CKK992" s="124"/>
      <c r="CKL992" s="124"/>
      <c r="CKM992" s="124"/>
      <c r="CKN992" s="124"/>
      <c r="CKO992" s="124"/>
      <c r="CKP992" s="124"/>
      <c r="CKQ992" s="124"/>
      <c r="CKR992" s="124"/>
      <c r="CKS992" s="124"/>
      <c r="CKT992" s="124"/>
      <c r="CKU992" s="124"/>
      <c r="CKV992" s="124"/>
      <c r="CKW992" s="124"/>
      <c r="CKX992" s="124"/>
      <c r="CKY992" s="124"/>
      <c r="CKZ992" s="124"/>
      <c r="CLA992" s="124"/>
      <c r="CLB992" s="124"/>
      <c r="CLC992" s="124"/>
      <c r="CLD992" s="124"/>
      <c r="CLE992" s="124"/>
      <c r="CLF992" s="124"/>
      <c r="CLG992" s="124"/>
      <c r="CLH992" s="124"/>
      <c r="CLI992" s="124"/>
      <c r="CLJ992" s="124"/>
      <c r="CLK992" s="124"/>
      <c r="CLL992" s="124"/>
      <c r="CLM992" s="124"/>
      <c r="CLN992" s="124"/>
      <c r="CLO992" s="124"/>
      <c r="CLP992" s="124"/>
      <c r="CLQ992" s="124"/>
      <c r="CLR992" s="124"/>
      <c r="CLS992" s="124"/>
      <c r="CLT992" s="124"/>
      <c r="CLU992" s="124"/>
      <c r="CLV992" s="124"/>
      <c r="CLW992" s="124"/>
      <c r="CLX992" s="124"/>
      <c r="CLY992" s="124"/>
      <c r="CLZ992" s="124"/>
      <c r="CMA992" s="124"/>
      <c r="CMB992" s="124"/>
      <c r="CMC992" s="124"/>
      <c r="CMD992" s="124"/>
      <c r="CME992" s="124"/>
      <c r="CMF992" s="124"/>
      <c r="CMG992" s="124"/>
      <c r="CMH992" s="124"/>
      <c r="CMI992" s="124"/>
      <c r="CMJ992" s="124"/>
      <c r="CMK992" s="124"/>
      <c r="CML992" s="124"/>
      <c r="CMM992" s="124"/>
      <c r="CMN992" s="124"/>
      <c r="CMO992" s="124"/>
      <c r="CMP992" s="124"/>
      <c r="CMQ992" s="124"/>
      <c r="CMR992" s="124"/>
      <c r="CMS992" s="124"/>
      <c r="CMT992" s="124"/>
      <c r="CMU992" s="124"/>
      <c r="CMV992" s="124"/>
      <c r="CMW992" s="124"/>
      <c r="CMX992" s="124"/>
      <c r="CMY992" s="124"/>
      <c r="CMZ992" s="124"/>
      <c r="CNA992" s="124"/>
      <c r="CNB992" s="124"/>
      <c r="CNC992" s="124"/>
      <c r="CND992" s="124"/>
      <c r="CNE992" s="124"/>
      <c r="CNF992" s="124"/>
      <c r="CNG992" s="124"/>
      <c r="CNH992" s="124"/>
      <c r="CNI992" s="124"/>
      <c r="CNJ992" s="124"/>
      <c r="CNK992" s="124"/>
      <c r="CNL992" s="124"/>
      <c r="CNM992" s="124"/>
      <c r="CNN992" s="124"/>
      <c r="CNO992" s="124"/>
      <c r="CNP992" s="124"/>
      <c r="CNQ992" s="124"/>
      <c r="CNR992" s="124"/>
      <c r="CNS992" s="124"/>
      <c r="CNT992" s="124"/>
      <c r="CNU992" s="124"/>
      <c r="CNV992" s="124"/>
      <c r="CNW992" s="124"/>
      <c r="CNX992" s="124"/>
      <c r="CNY992" s="124"/>
      <c r="CNZ992" s="124"/>
      <c r="COA992" s="124"/>
      <c r="COB992" s="124"/>
      <c r="COC992" s="124"/>
      <c r="COD992" s="124"/>
      <c r="COE992" s="124"/>
      <c r="COF992" s="124"/>
      <c r="COG992" s="124"/>
      <c r="COH992" s="124"/>
      <c r="COI992" s="124"/>
      <c r="COJ992" s="124"/>
      <c r="COK992" s="124"/>
      <c r="COL992" s="124"/>
      <c r="COM992" s="124"/>
      <c r="CON992" s="124"/>
      <c r="COO992" s="124"/>
      <c r="COP992" s="124"/>
      <c r="COQ992" s="124"/>
      <c r="COR992" s="124"/>
      <c r="COS992" s="124"/>
      <c r="COT992" s="124"/>
      <c r="COU992" s="124"/>
      <c r="COV992" s="124"/>
      <c r="COW992" s="124"/>
      <c r="COX992" s="124"/>
      <c r="COY992" s="124"/>
      <c r="COZ992" s="124"/>
      <c r="CPA992" s="124"/>
      <c r="CPB992" s="124"/>
      <c r="CPC992" s="124"/>
      <c r="CPD992" s="124"/>
      <c r="CPE992" s="124"/>
      <c r="CPF992" s="124"/>
      <c r="CPG992" s="124"/>
      <c r="CPH992" s="124"/>
      <c r="CPI992" s="124"/>
      <c r="CPJ992" s="124"/>
      <c r="CPK992" s="124"/>
      <c r="CPL992" s="124"/>
      <c r="CPM992" s="124"/>
      <c r="CPN992" s="124"/>
      <c r="CPO992" s="124"/>
      <c r="CPP992" s="124"/>
      <c r="CPQ992" s="124"/>
      <c r="CPR992" s="124"/>
      <c r="CPS992" s="124"/>
      <c r="CPT992" s="124"/>
      <c r="CPU992" s="124"/>
      <c r="CPV992" s="124"/>
      <c r="CPW992" s="124"/>
      <c r="CPX992" s="124"/>
      <c r="CPY992" s="124"/>
      <c r="CPZ992" s="124"/>
      <c r="CQA992" s="124"/>
      <c r="CQB992" s="124"/>
      <c r="CQC992" s="124"/>
      <c r="CQD992" s="124"/>
      <c r="CQE992" s="124"/>
      <c r="CQF992" s="124"/>
      <c r="CQG992" s="124"/>
      <c r="CQH992" s="124"/>
      <c r="CQI992" s="124"/>
      <c r="CQJ992" s="124"/>
      <c r="CQK992" s="124"/>
      <c r="CQL992" s="124"/>
      <c r="CQM992" s="124"/>
      <c r="CQN992" s="124"/>
      <c r="CQO992" s="124"/>
      <c r="CQP992" s="124"/>
      <c r="CQQ992" s="124"/>
      <c r="CQR992" s="124"/>
      <c r="CQS992" s="124"/>
      <c r="CQT992" s="124"/>
      <c r="CQU992" s="124"/>
      <c r="CQV992" s="124"/>
      <c r="CQW992" s="124"/>
      <c r="CQX992" s="124"/>
      <c r="CQY992" s="124"/>
      <c r="CQZ992" s="124"/>
      <c r="CRA992" s="124"/>
      <c r="CRB992" s="124"/>
      <c r="CRC992" s="124"/>
      <c r="CRD992" s="124"/>
      <c r="CRE992" s="124"/>
      <c r="CRF992" s="124"/>
      <c r="CRG992" s="124"/>
      <c r="CRH992" s="124"/>
      <c r="CRI992" s="124"/>
      <c r="CRJ992" s="124"/>
      <c r="CRK992" s="124"/>
      <c r="CRL992" s="124"/>
      <c r="CRM992" s="124"/>
      <c r="CRN992" s="124"/>
      <c r="CRO992" s="124"/>
      <c r="CRP992" s="124"/>
      <c r="CRQ992" s="124"/>
      <c r="CRR992" s="124"/>
      <c r="CRS992" s="124"/>
      <c r="CRT992" s="124"/>
      <c r="CRU992" s="124"/>
      <c r="CRV992" s="124"/>
      <c r="CRW992" s="124"/>
      <c r="CRX992" s="124"/>
      <c r="CRY992" s="124"/>
      <c r="CRZ992" s="124"/>
      <c r="CSA992" s="124"/>
      <c r="CSB992" s="124"/>
      <c r="CSC992" s="124"/>
      <c r="CSD992" s="124"/>
      <c r="CSE992" s="124"/>
      <c r="CSF992" s="124"/>
      <c r="CSG992" s="124"/>
      <c r="CSH992" s="124"/>
      <c r="CSI992" s="124"/>
      <c r="CSJ992" s="124"/>
      <c r="CSK992" s="124"/>
      <c r="CSL992" s="124"/>
      <c r="CSM992" s="124"/>
      <c r="CSN992" s="124"/>
      <c r="CSO992" s="124"/>
      <c r="CSP992" s="124"/>
      <c r="CSQ992" s="124"/>
      <c r="CSR992" s="124"/>
      <c r="CSS992" s="124"/>
      <c r="CST992" s="124"/>
      <c r="CSU992" s="124"/>
      <c r="CSV992" s="124"/>
      <c r="CSW992" s="124"/>
      <c r="CSX992" s="124"/>
      <c r="CSY992" s="124"/>
      <c r="CSZ992" s="124"/>
      <c r="CTA992" s="124"/>
      <c r="CTB992" s="124"/>
      <c r="CTC992" s="124"/>
      <c r="CTD992" s="124"/>
      <c r="CTE992" s="124"/>
      <c r="CTF992" s="124"/>
      <c r="CTG992" s="124"/>
      <c r="CTH992" s="124"/>
      <c r="CTI992" s="124"/>
      <c r="CTJ992" s="124"/>
      <c r="CTK992" s="124"/>
      <c r="CTL992" s="124"/>
      <c r="CTM992" s="124"/>
      <c r="CTN992" s="124"/>
      <c r="CTO992" s="124"/>
      <c r="CTP992" s="124"/>
      <c r="CTQ992" s="124"/>
      <c r="CTR992" s="124"/>
      <c r="CTS992" s="124"/>
      <c r="CTT992" s="124"/>
      <c r="CTU992" s="124"/>
      <c r="CTV992" s="124"/>
      <c r="CTW992" s="124"/>
      <c r="CTX992" s="124"/>
      <c r="CTY992" s="124"/>
      <c r="CTZ992" s="124"/>
      <c r="CUA992" s="124"/>
      <c r="CUB992" s="124"/>
      <c r="CUC992" s="124"/>
      <c r="CUD992" s="124"/>
      <c r="CUE992" s="124"/>
      <c r="CUF992" s="124"/>
      <c r="CUG992" s="124"/>
      <c r="CUH992" s="124"/>
      <c r="CUI992" s="124"/>
      <c r="CUJ992" s="124"/>
      <c r="CUK992" s="124"/>
      <c r="CUL992" s="124"/>
      <c r="CUM992" s="124"/>
      <c r="CUN992" s="124"/>
      <c r="CUO992" s="124"/>
      <c r="CUP992" s="124"/>
      <c r="CUQ992" s="124"/>
      <c r="CUR992" s="124"/>
      <c r="CUS992" s="124"/>
      <c r="CUT992" s="124"/>
      <c r="CUU992" s="124"/>
      <c r="CUV992" s="124"/>
      <c r="CUW992" s="124"/>
      <c r="CUX992" s="124"/>
      <c r="CUY992" s="124"/>
      <c r="CUZ992" s="124"/>
      <c r="CVA992" s="124"/>
      <c r="CVB992" s="124"/>
      <c r="CVC992" s="124"/>
      <c r="CVD992" s="124"/>
      <c r="CVE992" s="124"/>
      <c r="CVF992" s="124"/>
      <c r="CVG992" s="124"/>
      <c r="CVH992" s="124"/>
      <c r="CVI992" s="124"/>
      <c r="CVJ992" s="124"/>
      <c r="CVK992" s="124"/>
      <c r="CVL992" s="124"/>
      <c r="CVM992" s="124"/>
      <c r="CVN992" s="124"/>
      <c r="CVO992" s="124"/>
      <c r="CVP992" s="124"/>
      <c r="CVQ992" s="124"/>
      <c r="CVR992" s="124"/>
      <c r="CVS992" s="124"/>
      <c r="CVT992" s="124"/>
      <c r="CVU992" s="124"/>
      <c r="CVV992" s="124"/>
      <c r="CVW992" s="124"/>
      <c r="CVX992" s="124"/>
      <c r="CVY992" s="124"/>
      <c r="CVZ992" s="124"/>
      <c r="CWA992" s="124"/>
      <c r="CWB992" s="124"/>
      <c r="CWC992" s="124"/>
      <c r="CWD992" s="124"/>
      <c r="CWE992" s="124"/>
      <c r="CWF992" s="124"/>
      <c r="CWG992" s="124"/>
      <c r="CWH992" s="124"/>
      <c r="CWI992" s="124"/>
      <c r="CWJ992" s="124"/>
      <c r="CWK992" s="124"/>
      <c r="CWL992" s="124"/>
      <c r="CWM992" s="124"/>
      <c r="CWN992" s="124"/>
      <c r="CWO992" s="124"/>
      <c r="CWP992" s="124"/>
      <c r="CWQ992" s="124"/>
      <c r="CWR992" s="124"/>
      <c r="CWS992" s="124"/>
      <c r="CWT992" s="124"/>
      <c r="CWU992" s="124"/>
      <c r="CWV992" s="124"/>
      <c r="CWW992" s="124"/>
      <c r="CWX992" s="124"/>
      <c r="CWY992" s="124"/>
      <c r="CWZ992" s="124"/>
      <c r="CXA992" s="124"/>
      <c r="CXB992" s="124"/>
      <c r="CXC992" s="124"/>
      <c r="CXD992" s="124"/>
      <c r="CXE992" s="124"/>
      <c r="CXF992" s="124"/>
      <c r="CXG992" s="124"/>
      <c r="CXH992" s="124"/>
      <c r="CXI992" s="124"/>
      <c r="CXJ992" s="124"/>
      <c r="CXK992" s="124"/>
      <c r="CXL992" s="124"/>
      <c r="CXM992" s="124"/>
      <c r="CXN992" s="124"/>
      <c r="CXO992" s="124"/>
      <c r="CXP992" s="124"/>
      <c r="CXQ992" s="124"/>
      <c r="CXR992" s="124"/>
      <c r="CXS992" s="124"/>
      <c r="CXT992" s="124"/>
      <c r="CXU992" s="124"/>
      <c r="CXV992" s="124"/>
      <c r="CXW992" s="124"/>
      <c r="CXX992" s="124"/>
      <c r="CXY992" s="124"/>
      <c r="CXZ992" s="124"/>
      <c r="CYA992" s="124"/>
      <c r="CYB992" s="124"/>
      <c r="CYC992" s="124"/>
      <c r="CYD992" s="124"/>
      <c r="CYE992" s="124"/>
      <c r="CYF992" s="124"/>
      <c r="CYG992" s="124"/>
      <c r="CYH992" s="124"/>
      <c r="CYI992" s="124"/>
      <c r="CYJ992" s="124"/>
      <c r="CYK992" s="124"/>
      <c r="CYL992" s="124"/>
      <c r="CYM992" s="124"/>
      <c r="CYN992" s="124"/>
      <c r="CYO992" s="124"/>
      <c r="CYP992" s="124"/>
      <c r="CYQ992" s="124"/>
      <c r="CYR992" s="124"/>
      <c r="CYS992" s="124"/>
      <c r="CYT992" s="124"/>
      <c r="CYU992" s="124"/>
      <c r="CYV992" s="124"/>
      <c r="CYW992" s="124"/>
      <c r="CYX992" s="124"/>
      <c r="CYY992" s="124"/>
      <c r="CYZ992" s="124"/>
      <c r="CZA992" s="124"/>
      <c r="CZB992" s="124"/>
      <c r="CZC992" s="124"/>
      <c r="CZD992" s="124"/>
      <c r="CZE992" s="124"/>
      <c r="CZF992" s="124"/>
      <c r="CZG992" s="124"/>
      <c r="CZH992" s="124"/>
      <c r="CZI992" s="124"/>
      <c r="CZJ992" s="124"/>
      <c r="CZK992" s="124"/>
      <c r="CZL992" s="124"/>
      <c r="CZM992" s="124"/>
      <c r="CZN992" s="124"/>
      <c r="CZO992" s="124"/>
      <c r="CZP992" s="124"/>
      <c r="CZQ992" s="124"/>
      <c r="CZR992" s="124"/>
      <c r="CZS992" s="124"/>
      <c r="CZT992" s="124"/>
      <c r="CZU992" s="124"/>
      <c r="CZV992" s="124"/>
      <c r="CZW992" s="124"/>
      <c r="CZX992" s="124"/>
      <c r="CZY992" s="124"/>
      <c r="CZZ992" s="124"/>
      <c r="DAA992" s="124"/>
      <c r="DAB992" s="124"/>
      <c r="DAC992" s="124"/>
      <c r="DAD992" s="124"/>
      <c r="DAE992" s="124"/>
      <c r="DAF992" s="124"/>
      <c r="DAG992" s="124"/>
      <c r="DAH992" s="124"/>
      <c r="DAI992" s="124"/>
      <c r="DAJ992" s="124"/>
      <c r="DAK992" s="124"/>
      <c r="DAL992" s="124"/>
      <c r="DAM992" s="124"/>
      <c r="DAN992" s="124"/>
      <c r="DAO992" s="124"/>
      <c r="DAP992" s="124"/>
      <c r="DAQ992" s="124"/>
      <c r="DAR992" s="124"/>
      <c r="DAS992" s="124"/>
      <c r="DAT992" s="124"/>
      <c r="DAU992" s="124"/>
      <c r="DAV992" s="124"/>
      <c r="DAW992" s="124"/>
      <c r="DAX992" s="124"/>
      <c r="DAY992" s="124"/>
      <c r="DAZ992" s="124"/>
      <c r="DBA992" s="124"/>
      <c r="DBB992" s="124"/>
      <c r="DBC992" s="124"/>
      <c r="DBD992" s="124"/>
      <c r="DBE992" s="124"/>
      <c r="DBF992" s="124"/>
      <c r="DBG992" s="124"/>
      <c r="DBH992" s="124"/>
      <c r="DBI992" s="124"/>
      <c r="DBJ992" s="124"/>
      <c r="DBK992" s="124"/>
      <c r="DBL992" s="124"/>
      <c r="DBM992" s="124"/>
      <c r="DBN992" s="124"/>
      <c r="DBO992" s="124"/>
      <c r="DBP992" s="124"/>
      <c r="DBQ992" s="124"/>
      <c r="DBR992" s="124"/>
      <c r="DBS992" s="124"/>
      <c r="DBT992" s="124"/>
      <c r="DBU992" s="124"/>
      <c r="DBV992" s="124"/>
      <c r="DBW992" s="124"/>
      <c r="DBX992" s="124"/>
      <c r="DBY992" s="124"/>
      <c r="DBZ992" s="124"/>
      <c r="DCA992" s="124"/>
      <c r="DCB992" s="124"/>
      <c r="DCC992" s="124"/>
      <c r="DCD992" s="124"/>
      <c r="DCE992" s="124"/>
      <c r="DCF992" s="124"/>
      <c r="DCG992" s="124"/>
      <c r="DCH992" s="124"/>
      <c r="DCI992" s="124"/>
      <c r="DCJ992" s="124"/>
      <c r="DCK992" s="124"/>
      <c r="DCL992" s="124"/>
      <c r="DCM992" s="124"/>
      <c r="DCN992" s="124"/>
      <c r="DCO992" s="124"/>
      <c r="DCP992" s="124"/>
      <c r="DCQ992" s="124"/>
      <c r="DCR992" s="124"/>
      <c r="DCS992" s="124"/>
      <c r="DCT992" s="124"/>
      <c r="DCU992" s="124"/>
      <c r="DCV992" s="124"/>
      <c r="DCW992" s="124"/>
      <c r="DCX992" s="124"/>
      <c r="DCY992" s="124"/>
      <c r="DCZ992" s="124"/>
      <c r="DDA992" s="124"/>
      <c r="DDB992" s="124"/>
      <c r="DDC992" s="124"/>
      <c r="DDD992" s="124"/>
      <c r="DDE992" s="124"/>
      <c r="DDF992" s="124"/>
      <c r="DDG992" s="124"/>
      <c r="DDH992" s="124"/>
      <c r="DDI992" s="124"/>
      <c r="DDJ992" s="124"/>
      <c r="DDK992" s="124"/>
      <c r="DDL992" s="124"/>
      <c r="DDM992" s="124"/>
      <c r="DDN992" s="124"/>
      <c r="DDO992" s="124"/>
      <c r="DDP992" s="124"/>
      <c r="DDQ992" s="124"/>
      <c r="DDR992" s="124"/>
      <c r="DDS992" s="124"/>
      <c r="DDT992" s="124"/>
      <c r="DDU992" s="124"/>
      <c r="DDV992" s="124"/>
      <c r="DDW992" s="124"/>
      <c r="DDX992" s="124"/>
      <c r="DDY992" s="124"/>
      <c r="DDZ992" s="124"/>
      <c r="DEA992" s="124"/>
      <c r="DEB992" s="124"/>
      <c r="DEC992" s="124"/>
      <c r="DED992" s="124"/>
      <c r="DEE992" s="124"/>
      <c r="DEF992" s="124"/>
      <c r="DEG992" s="124"/>
      <c r="DEH992" s="124"/>
      <c r="DEI992" s="124"/>
      <c r="DEJ992" s="124"/>
      <c r="DEK992" s="124"/>
      <c r="DEL992" s="124"/>
      <c r="DEM992" s="124"/>
      <c r="DEN992" s="124"/>
      <c r="DEO992" s="124"/>
      <c r="DEP992" s="124"/>
      <c r="DEQ992" s="124"/>
      <c r="DER992" s="124"/>
      <c r="DES992" s="124"/>
      <c r="DET992" s="124"/>
      <c r="DEU992" s="124"/>
      <c r="DEV992" s="124"/>
      <c r="DEW992" s="124"/>
      <c r="DEX992" s="124"/>
      <c r="DEY992" s="124"/>
      <c r="DEZ992" s="124"/>
      <c r="DFA992" s="124"/>
      <c r="DFB992" s="124"/>
      <c r="DFC992" s="124"/>
      <c r="DFD992" s="124"/>
      <c r="DFE992" s="124"/>
      <c r="DFF992" s="124"/>
      <c r="DFG992" s="124"/>
      <c r="DFH992" s="124"/>
      <c r="DFI992" s="124"/>
      <c r="DFJ992" s="124"/>
      <c r="DFK992" s="124"/>
      <c r="DFL992" s="124"/>
      <c r="DFM992" s="124"/>
      <c r="DFN992" s="124"/>
      <c r="DFO992" s="124"/>
      <c r="DFP992" s="124"/>
      <c r="DFQ992" s="124"/>
      <c r="DFR992" s="124"/>
      <c r="DFS992" s="124"/>
      <c r="DFT992" s="124"/>
      <c r="DFU992" s="124"/>
      <c r="DFV992" s="124"/>
      <c r="DFW992" s="124"/>
      <c r="DFX992" s="124"/>
      <c r="DFY992" s="124"/>
      <c r="DFZ992" s="124"/>
      <c r="DGA992" s="124"/>
      <c r="DGB992" s="124"/>
      <c r="DGC992" s="124"/>
      <c r="DGD992" s="124"/>
      <c r="DGE992" s="124"/>
      <c r="DGF992" s="124"/>
      <c r="DGG992" s="124"/>
      <c r="DGH992" s="124"/>
      <c r="DGI992" s="124"/>
      <c r="DGJ992" s="124"/>
      <c r="DGK992" s="124"/>
      <c r="DGL992" s="124"/>
      <c r="DGM992" s="124"/>
      <c r="DGN992" s="124"/>
      <c r="DGO992" s="124"/>
      <c r="DGP992" s="124"/>
      <c r="DGQ992" s="124"/>
      <c r="DGR992" s="124"/>
      <c r="DGS992" s="124"/>
      <c r="DGT992" s="124"/>
      <c r="DGU992" s="124"/>
      <c r="DGV992" s="124"/>
      <c r="DGW992" s="124"/>
      <c r="DGX992" s="124"/>
      <c r="DGY992" s="124"/>
      <c r="DGZ992" s="124"/>
      <c r="DHA992" s="124"/>
      <c r="DHB992" s="124"/>
      <c r="DHC992" s="124"/>
      <c r="DHD992" s="124"/>
      <c r="DHE992" s="124"/>
      <c r="DHF992" s="124"/>
      <c r="DHG992" s="124"/>
      <c r="DHH992" s="124"/>
      <c r="DHI992" s="124"/>
      <c r="DHJ992" s="124"/>
      <c r="DHK992" s="124"/>
      <c r="DHL992" s="124"/>
      <c r="DHM992" s="124"/>
      <c r="DHN992" s="124"/>
      <c r="DHO992" s="124"/>
      <c r="DHP992" s="124"/>
      <c r="DHQ992" s="124"/>
      <c r="DHR992" s="124"/>
      <c r="DHS992" s="124"/>
      <c r="DHT992" s="124"/>
      <c r="DHU992" s="124"/>
      <c r="DHV992" s="124"/>
      <c r="DHW992" s="124"/>
      <c r="DHX992" s="124"/>
      <c r="DHY992" s="124"/>
      <c r="DHZ992" s="124"/>
      <c r="DIA992" s="124"/>
      <c r="DIB992" s="124"/>
      <c r="DIC992" s="124"/>
      <c r="DID992" s="124"/>
      <c r="DIE992" s="124"/>
      <c r="DIF992" s="124"/>
      <c r="DIG992" s="124"/>
      <c r="DIH992" s="124"/>
      <c r="DII992" s="124"/>
      <c r="DIJ992" s="124"/>
      <c r="DIK992" s="124"/>
      <c r="DIL992" s="124"/>
      <c r="DIM992" s="124"/>
      <c r="DIN992" s="124"/>
      <c r="DIO992" s="124"/>
      <c r="DIP992" s="124"/>
      <c r="DIQ992" s="124"/>
      <c r="DIR992" s="124"/>
      <c r="DIS992" s="124"/>
      <c r="DIT992" s="124"/>
      <c r="DIU992" s="124"/>
      <c r="DIV992" s="124"/>
      <c r="DIW992" s="124"/>
      <c r="DIX992" s="124"/>
      <c r="DIY992" s="124"/>
      <c r="DIZ992" s="124"/>
      <c r="DJA992" s="124"/>
      <c r="DJB992" s="124"/>
      <c r="DJC992" s="124"/>
      <c r="DJD992" s="124"/>
      <c r="DJE992" s="124"/>
      <c r="DJF992" s="124"/>
      <c r="DJG992" s="124"/>
      <c r="DJH992" s="124"/>
      <c r="DJI992" s="124"/>
      <c r="DJJ992" s="124"/>
      <c r="DJK992" s="124"/>
      <c r="DJL992" s="124"/>
      <c r="DJM992" s="124"/>
      <c r="DJN992" s="124"/>
      <c r="DJO992" s="124"/>
      <c r="DJP992" s="124"/>
      <c r="DJQ992" s="124"/>
      <c r="DJR992" s="124"/>
      <c r="DJS992" s="124"/>
      <c r="DJT992" s="124"/>
      <c r="DJU992" s="124"/>
      <c r="DJV992" s="124"/>
      <c r="DJW992" s="124"/>
      <c r="DJX992" s="124"/>
      <c r="DJY992" s="124"/>
      <c r="DJZ992" s="124"/>
      <c r="DKA992" s="124"/>
      <c r="DKB992" s="124"/>
      <c r="DKC992" s="124"/>
      <c r="DKD992" s="124"/>
      <c r="DKE992" s="124"/>
      <c r="DKF992" s="124"/>
      <c r="DKG992" s="124"/>
      <c r="DKH992" s="124"/>
      <c r="DKI992" s="124"/>
      <c r="DKJ992" s="124"/>
      <c r="DKK992" s="124"/>
      <c r="DKL992" s="124"/>
      <c r="DKM992" s="124"/>
      <c r="DKN992" s="124"/>
      <c r="DKO992" s="124"/>
      <c r="DKP992" s="124"/>
      <c r="DKQ992" s="124"/>
      <c r="DKR992" s="124"/>
      <c r="DKS992" s="124"/>
      <c r="DKT992" s="124"/>
      <c r="DKU992" s="124"/>
      <c r="DKV992" s="124"/>
      <c r="DKW992" s="124"/>
      <c r="DKX992" s="124"/>
      <c r="DKY992" s="124"/>
      <c r="DKZ992" s="124"/>
      <c r="DLA992" s="124"/>
      <c r="DLB992" s="124"/>
      <c r="DLC992" s="124"/>
      <c r="DLD992" s="124"/>
      <c r="DLE992" s="124"/>
      <c r="DLF992" s="124"/>
      <c r="DLG992" s="124"/>
      <c r="DLH992" s="124"/>
      <c r="DLI992" s="124"/>
      <c r="DLJ992" s="124"/>
      <c r="DLK992" s="124"/>
      <c r="DLL992" s="124"/>
      <c r="DLM992" s="124"/>
      <c r="DLN992" s="124"/>
      <c r="DLO992" s="124"/>
      <c r="DLP992" s="124"/>
      <c r="DLQ992" s="124"/>
      <c r="DLR992" s="124"/>
      <c r="DLS992" s="124"/>
      <c r="DLT992" s="124"/>
      <c r="DLU992" s="124"/>
      <c r="DLV992" s="124"/>
      <c r="DLW992" s="124"/>
      <c r="DLX992" s="124"/>
      <c r="DLY992" s="124"/>
      <c r="DLZ992" s="124"/>
      <c r="DMA992" s="124"/>
      <c r="DMB992" s="124"/>
      <c r="DMC992" s="124"/>
      <c r="DMD992" s="124"/>
      <c r="DME992" s="124"/>
      <c r="DMF992" s="124"/>
      <c r="DMG992" s="124"/>
      <c r="DMH992" s="124"/>
      <c r="DMI992" s="124"/>
      <c r="DMJ992" s="124"/>
      <c r="DMK992" s="124"/>
      <c r="DML992" s="124"/>
      <c r="DMM992" s="124"/>
      <c r="DMN992" s="124"/>
      <c r="DMO992" s="124"/>
      <c r="DMP992" s="124"/>
      <c r="DMQ992" s="124"/>
      <c r="DMR992" s="124"/>
      <c r="DMS992" s="124"/>
      <c r="DMT992" s="124"/>
      <c r="DMU992" s="124"/>
      <c r="DMV992" s="124"/>
      <c r="DMW992" s="124"/>
      <c r="DMX992" s="124"/>
      <c r="DMY992" s="124"/>
      <c r="DMZ992" s="124"/>
      <c r="DNA992" s="124"/>
      <c r="DNB992" s="124"/>
      <c r="DNC992" s="124"/>
      <c r="DND992" s="124"/>
      <c r="DNE992" s="124"/>
      <c r="DNF992" s="124"/>
      <c r="DNG992" s="124"/>
      <c r="DNH992" s="124"/>
      <c r="DNI992" s="124"/>
      <c r="DNJ992" s="124"/>
      <c r="DNK992" s="124"/>
      <c r="DNL992" s="124"/>
      <c r="DNM992" s="124"/>
      <c r="DNN992" s="124"/>
      <c r="DNO992" s="124"/>
      <c r="DNP992" s="124"/>
      <c r="DNQ992" s="124"/>
      <c r="DNR992" s="124"/>
      <c r="DNS992" s="124"/>
      <c r="DNT992" s="124"/>
      <c r="DNU992" s="124"/>
      <c r="DNV992" s="124"/>
      <c r="DNW992" s="124"/>
      <c r="DNX992" s="124"/>
      <c r="DNY992" s="124"/>
      <c r="DNZ992" s="124"/>
      <c r="DOA992" s="124"/>
      <c r="DOB992" s="124"/>
      <c r="DOC992" s="124"/>
      <c r="DOD992" s="124"/>
      <c r="DOE992" s="124"/>
      <c r="DOF992" s="124"/>
      <c r="DOG992" s="124"/>
      <c r="DOH992" s="124"/>
      <c r="DOI992" s="124"/>
      <c r="DOJ992" s="124"/>
      <c r="DOK992" s="124"/>
      <c r="DOL992" s="124"/>
      <c r="DOM992" s="124"/>
      <c r="DON992" s="124"/>
      <c r="DOO992" s="124"/>
      <c r="DOP992" s="124"/>
      <c r="DOQ992" s="124"/>
      <c r="DOR992" s="124"/>
      <c r="DOS992" s="124"/>
      <c r="DOT992" s="124"/>
      <c r="DOU992" s="124"/>
      <c r="DOV992" s="124"/>
      <c r="DOW992" s="124"/>
      <c r="DOX992" s="124"/>
      <c r="DOY992" s="124"/>
      <c r="DOZ992" s="124"/>
      <c r="DPA992" s="124"/>
      <c r="DPB992" s="124"/>
      <c r="DPC992" s="124"/>
      <c r="DPD992" s="124"/>
      <c r="DPE992" s="124"/>
      <c r="DPF992" s="124"/>
      <c r="DPG992" s="124"/>
      <c r="DPH992" s="124"/>
      <c r="DPI992" s="124"/>
      <c r="DPJ992" s="124"/>
      <c r="DPK992" s="124"/>
      <c r="DPL992" s="124"/>
      <c r="DPM992" s="124"/>
      <c r="DPN992" s="124"/>
      <c r="DPO992" s="124"/>
      <c r="DPP992" s="124"/>
      <c r="DPQ992" s="124"/>
      <c r="DPR992" s="124"/>
      <c r="DPS992" s="124"/>
      <c r="DPT992" s="124"/>
      <c r="DPU992" s="124"/>
      <c r="DPV992" s="124"/>
      <c r="DPW992" s="124"/>
      <c r="DPX992" s="124"/>
      <c r="DPY992" s="124"/>
      <c r="DPZ992" s="124"/>
      <c r="DQA992" s="124"/>
      <c r="DQB992" s="124"/>
      <c r="DQC992" s="124"/>
      <c r="DQD992" s="124"/>
      <c r="DQE992" s="124"/>
      <c r="DQF992" s="124"/>
      <c r="DQG992" s="124"/>
      <c r="DQH992" s="124"/>
      <c r="DQI992" s="124"/>
      <c r="DQJ992" s="124"/>
      <c r="DQK992" s="124"/>
      <c r="DQL992" s="124"/>
      <c r="DQM992" s="124"/>
      <c r="DQN992" s="124"/>
      <c r="DQO992" s="124"/>
      <c r="DQP992" s="124"/>
      <c r="DQQ992" s="124"/>
      <c r="DQR992" s="124"/>
      <c r="DQS992" s="124"/>
      <c r="DQT992" s="124"/>
      <c r="DQU992" s="124"/>
      <c r="DQV992" s="124"/>
      <c r="DQW992" s="124"/>
      <c r="DQX992" s="124"/>
      <c r="DQY992" s="124"/>
      <c r="DQZ992" s="124"/>
      <c r="DRA992" s="124"/>
      <c r="DRB992" s="124"/>
      <c r="DRC992" s="124"/>
      <c r="DRD992" s="124"/>
      <c r="DRE992" s="124"/>
      <c r="DRF992" s="124"/>
      <c r="DRG992" s="124"/>
      <c r="DRH992" s="124"/>
      <c r="DRI992" s="124"/>
      <c r="DRJ992" s="124"/>
      <c r="DRK992" s="124"/>
      <c r="DRL992" s="124"/>
      <c r="DRM992" s="124"/>
      <c r="DRN992" s="124"/>
      <c r="DRO992" s="124"/>
      <c r="DRP992" s="124"/>
      <c r="DRQ992" s="124"/>
      <c r="DRR992" s="124"/>
      <c r="DRS992" s="124"/>
      <c r="DRT992" s="124"/>
      <c r="DRU992" s="124"/>
      <c r="DRV992" s="124"/>
      <c r="DRW992" s="124"/>
      <c r="DRX992" s="124"/>
      <c r="DRY992" s="124"/>
      <c r="DRZ992" s="124"/>
      <c r="DSA992" s="124"/>
      <c r="DSB992" s="124"/>
      <c r="DSC992" s="124"/>
      <c r="DSD992" s="124"/>
      <c r="DSE992" s="124"/>
      <c r="DSF992" s="124"/>
      <c r="DSG992" s="124"/>
      <c r="DSH992" s="124"/>
      <c r="DSI992" s="124"/>
      <c r="DSJ992" s="124"/>
      <c r="DSK992" s="124"/>
      <c r="DSL992" s="124"/>
      <c r="DSM992" s="124"/>
      <c r="DSN992" s="124"/>
      <c r="DSO992" s="124"/>
      <c r="DSP992" s="124"/>
      <c r="DSQ992" s="124"/>
      <c r="DSR992" s="124"/>
      <c r="DSS992" s="124"/>
      <c r="DST992" s="124"/>
      <c r="DSU992" s="124"/>
      <c r="DSV992" s="124"/>
      <c r="DSW992" s="124"/>
      <c r="DSX992" s="124"/>
      <c r="DSY992" s="124"/>
      <c r="DSZ992" s="124"/>
      <c r="DTA992" s="124"/>
      <c r="DTB992" s="124"/>
      <c r="DTC992" s="124"/>
      <c r="DTD992" s="124"/>
      <c r="DTE992" s="124"/>
      <c r="DTF992" s="124"/>
      <c r="DTG992" s="124"/>
      <c r="DTH992" s="124"/>
      <c r="DTI992" s="124"/>
      <c r="DTJ992" s="124"/>
      <c r="DTK992" s="124"/>
      <c r="DTL992" s="124"/>
      <c r="DTM992" s="124"/>
      <c r="DTN992" s="124"/>
      <c r="DTO992" s="124"/>
      <c r="DTP992" s="124"/>
      <c r="DTQ992" s="124"/>
      <c r="DTR992" s="124"/>
      <c r="DTS992" s="124"/>
      <c r="DTT992" s="124"/>
      <c r="DTU992" s="124"/>
      <c r="DTV992" s="124"/>
      <c r="DTW992" s="124"/>
      <c r="DTX992" s="124"/>
      <c r="DTY992" s="124"/>
      <c r="DTZ992" s="124"/>
      <c r="DUA992" s="124"/>
      <c r="DUB992" s="124"/>
      <c r="DUC992" s="124"/>
      <c r="DUD992" s="124"/>
      <c r="DUE992" s="124"/>
      <c r="DUF992" s="124"/>
      <c r="DUG992" s="124"/>
      <c r="DUH992" s="124"/>
      <c r="DUI992" s="124"/>
      <c r="DUJ992" s="124"/>
      <c r="DUK992" s="124"/>
      <c r="DUL992" s="124"/>
      <c r="DUM992" s="124"/>
      <c r="DUN992" s="124"/>
      <c r="DUO992" s="124"/>
      <c r="DUP992" s="124"/>
      <c r="DUQ992" s="124"/>
      <c r="DUR992" s="124"/>
      <c r="DUS992" s="124"/>
      <c r="DUT992" s="124"/>
      <c r="DUU992" s="124"/>
      <c r="DUV992" s="124"/>
      <c r="DUW992" s="124"/>
      <c r="DUX992" s="124"/>
      <c r="DUY992" s="124"/>
      <c r="DUZ992" s="124"/>
      <c r="DVA992" s="124"/>
      <c r="DVB992" s="124"/>
      <c r="DVC992" s="124"/>
      <c r="DVD992" s="124"/>
      <c r="DVE992" s="124"/>
      <c r="DVF992" s="124"/>
      <c r="DVG992" s="124"/>
      <c r="DVH992" s="124"/>
      <c r="DVI992" s="124"/>
      <c r="DVJ992" s="124"/>
      <c r="DVK992" s="124"/>
      <c r="DVL992" s="124"/>
      <c r="DVM992" s="124"/>
      <c r="DVN992" s="124"/>
      <c r="DVO992" s="124"/>
      <c r="DVP992" s="124"/>
      <c r="DVQ992" s="124"/>
      <c r="DVR992" s="124"/>
      <c r="DVS992" s="124"/>
      <c r="DVT992" s="124"/>
      <c r="DVU992" s="124"/>
      <c r="DVV992" s="124"/>
      <c r="DVW992" s="124"/>
      <c r="DVX992" s="124"/>
      <c r="DVY992" s="124"/>
      <c r="DVZ992" s="124"/>
      <c r="DWA992" s="124"/>
      <c r="DWB992" s="124"/>
      <c r="DWC992" s="124"/>
      <c r="DWD992" s="124"/>
      <c r="DWE992" s="124"/>
      <c r="DWF992" s="124"/>
      <c r="DWG992" s="124"/>
      <c r="DWH992" s="124"/>
      <c r="DWI992" s="124"/>
      <c r="DWJ992" s="124"/>
      <c r="DWK992" s="124"/>
      <c r="DWL992" s="124"/>
      <c r="DWM992" s="124"/>
      <c r="DWN992" s="124"/>
      <c r="DWO992" s="124"/>
      <c r="DWP992" s="124"/>
      <c r="DWQ992" s="124"/>
      <c r="DWR992" s="124"/>
      <c r="DWS992" s="124"/>
      <c r="DWT992" s="124"/>
      <c r="DWU992" s="124"/>
      <c r="DWV992" s="124"/>
      <c r="DWW992" s="124"/>
      <c r="DWX992" s="124"/>
      <c r="DWY992" s="124"/>
      <c r="DWZ992" s="124"/>
      <c r="DXA992" s="124"/>
      <c r="DXB992" s="124"/>
      <c r="DXC992" s="124"/>
      <c r="DXD992" s="124"/>
      <c r="DXE992" s="124"/>
      <c r="DXF992" s="124"/>
      <c r="DXG992" s="124"/>
      <c r="DXH992" s="124"/>
      <c r="DXI992" s="124"/>
      <c r="DXJ992" s="124"/>
      <c r="DXK992" s="124"/>
      <c r="DXL992" s="124"/>
      <c r="DXM992" s="124"/>
      <c r="DXN992" s="124"/>
      <c r="DXO992" s="124"/>
      <c r="DXP992" s="124"/>
      <c r="DXQ992" s="124"/>
      <c r="DXR992" s="124"/>
      <c r="DXS992" s="124"/>
      <c r="DXT992" s="124"/>
      <c r="DXU992" s="124"/>
      <c r="DXV992" s="124"/>
      <c r="DXW992" s="124"/>
      <c r="DXX992" s="124"/>
      <c r="DXY992" s="124"/>
      <c r="DXZ992" s="124"/>
      <c r="DYA992" s="124"/>
      <c r="DYB992" s="124"/>
      <c r="DYC992" s="124"/>
      <c r="DYD992" s="124"/>
      <c r="DYE992" s="124"/>
      <c r="DYF992" s="124"/>
      <c r="DYG992" s="124"/>
      <c r="DYH992" s="124"/>
      <c r="DYI992" s="124"/>
      <c r="DYJ992" s="124"/>
      <c r="DYK992" s="124"/>
      <c r="DYL992" s="124"/>
      <c r="DYM992" s="124"/>
      <c r="DYN992" s="124"/>
      <c r="DYO992" s="124"/>
      <c r="DYP992" s="124"/>
      <c r="DYQ992" s="124"/>
      <c r="DYR992" s="124"/>
      <c r="DYS992" s="124"/>
      <c r="DYT992" s="124"/>
      <c r="DYU992" s="124"/>
      <c r="DYV992" s="124"/>
      <c r="DYW992" s="124"/>
      <c r="DYX992" s="124"/>
      <c r="DYY992" s="124"/>
      <c r="DYZ992" s="124"/>
      <c r="DZA992" s="124"/>
      <c r="DZB992" s="124"/>
      <c r="DZC992" s="124"/>
      <c r="DZD992" s="124"/>
      <c r="DZE992" s="124"/>
      <c r="DZF992" s="124"/>
      <c r="DZG992" s="124"/>
      <c r="DZH992" s="124"/>
      <c r="DZI992" s="124"/>
      <c r="DZJ992" s="124"/>
      <c r="DZK992" s="124"/>
      <c r="DZL992" s="124"/>
      <c r="DZM992" s="124"/>
      <c r="DZN992" s="124"/>
      <c r="DZO992" s="124"/>
      <c r="DZP992" s="124"/>
      <c r="DZQ992" s="124"/>
      <c r="DZR992" s="124"/>
      <c r="DZS992" s="124"/>
      <c r="DZT992" s="124"/>
      <c r="DZU992" s="124"/>
      <c r="DZV992" s="124"/>
      <c r="DZW992" s="124"/>
      <c r="DZX992" s="124"/>
      <c r="DZY992" s="124"/>
      <c r="DZZ992" s="124"/>
      <c r="EAA992" s="124"/>
      <c r="EAB992" s="124"/>
      <c r="EAC992" s="124"/>
      <c r="EAD992" s="124"/>
      <c r="EAE992" s="124"/>
      <c r="EAF992" s="124"/>
      <c r="EAG992" s="124"/>
      <c r="EAH992" s="124"/>
      <c r="EAI992" s="124"/>
      <c r="EAJ992" s="124"/>
      <c r="EAK992" s="124"/>
      <c r="EAL992" s="124"/>
      <c r="EAM992" s="124"/>
      <c r="EAN992" s="124"/>
      <c r="EAO992" s="124"/>
      <c r="EAP992" s="124"/>
      <c r="EAQ992" s="124"/>
      <c r="EAR992" s="124"/>
      <c r="EAS992" s="124"/>
      <c r="EAT992" s="124"/>
      <c r="EAU992" s="124"/>
      <c r="EAV992" s="124"/>
      <c r="EAW992" s="124"/>
      <c r="EAX992" s="124"/>
      <c r="EAY992" s="124"/>
      <c r="EAZ992" s="124"/>
      <c r="EBA992" s="124"/>
      <c r="EBB992" s="124"/>
      <c r="EBC992" s="124"/>
      <c r="EBD992" s="124"/>
      <c r="EBE992" s="124"/>
      <c r="EBF992" s="124"/>
      <c r="EBG992" s="124"/>
      <c r="EBH992" s="124"/>
      <c r="EBI992" s="124"/>
      <c r="EBJ992" s="124"/>
      <c r="EBK992" s="124"/>
      <c r="EBL992" s="124"/>
      <c r="EBM992" s="124"/>
      <c r="EBN992" s="124"/>
      <c r="EBO992" s="124"/>
      <c r="EBP992" s="124"/>
      <c r="EBQ992" s="124"/>
      <c r="EBR992" s="124"/>
      <c r="EBS992" s="124"/>
      <c r="EBT992" s="124"/>
      <c r="EBU992" s="124"/>
      <c r="EBV992" s="124"/>
      <c r="EBW992" s="124"/>
      <c r="EBX992" s="124"/>
      <c r="EBY992" s="124"/>
      <c r="EBZ992" s="124"/>
      <c r="ECA992" s="124"/>
      <c r="ECB992" s="124"/>
      <c r="ECC992" s="124"/>
      <c r="ECD992" s="124"/>
      <c r="ECE992" s="124"/>
      <c r="ECF992" s="124"/>
      <c r="ECG992" s="124"/>
      <c r="ECH992" s="124"/>
      <c r="ECI992" s="124"/>
      <c r="ECJ992" s="124"/>
      <c r="ECK992" s="124"/>
      <c r="ECL992" s="124"/>
      <c r="ECM992" s="124"/>
      <c r="ECN992" s="124"/>
      <c r="ECO992" s="124"/>
      <c r="ECP992" s="124"/>
      <c r="ECQ992" s="124"/>
      <c r="ECR992" s="124"/>
      <c r="ECS992" s="124"/>
      <c r="ECT992" s="124"/>
      <c r="ECU992" s="124"/>
      <c r="ECV992" s="124"/>
      <c r="ECW992" s="124"/>
      <c r="ECX992" s="124"/>
      <c r="ECY992" s="124"/>
      <c r="ECZ992" s="124"/>
      <c r="EDA992" s="124"/>
      <c r="EDB992" s="124"/>
      <c r="EDC992" s="124"/>
      <c r="EDD992" s="124"/>
      <c r="EDE992" s="124"/>
      <c r="EDF992" s="124"/>
      <c r="EDG992" s="124"/>
      <c r="EDH992" s="124"/>
      <c r="EDI992" s="124"/>
      <c r="EDJ992" s="124"/>
      <c r="EDK992" s="124"/>
      <c r="EDL992" s="124"/>
      <c r="EDM992" s="124"/>
      <c r="EDN992" s="124"/>
      <c r="EDO992" s="124"/>
      <c r="EDP992" s="124"/>
      <c r="EDQ992" s="124"/>
      <c r="EDR992" s="124"/>
      <c r="EDS992" s="124"/>
      <c r="EDT992" s="124"/>
      <c r="EDU992" s="124"/>
      <c r="EDV992" s="124"/>
      <c r="EDW992" s="124"/>
      <c r="EDX992" s="124"/>
      <c r="EDY992" s="124"/>
      <c r="EDZ992" s="124"/>
      <c r="EEA992" s="124"/>
      <c r="EEB992" s="124"/>
      <c r="EEC992" s="124"/>
      <c r="EED992" s="124"/>
      <c r="EEE992" s="124"/>
      <c r="EEF992" s="124"/>
      <c r="EEG992" s="124"/>
      <c r="EEH992" s="124"/>
      <c r="EEI992" s="124"/>
      <c r="EEJ992" s="124"/>
      <c r="EEK992" s="124"/>
      <c r="EEL992" s="124"/>
      <c r="EEM992" s="124"/>
      <c r="EEN992" s="124"/>
      <c r="EEO992" s="124"/>
      <c r="EEP992" s="124"/>
      <c r="EEQ992" s="124"/>
      <c r="EER992" s="124"/>
      <c r="EES992" s="124"/>
      <c r="EET992" s="124"/>
      <c r="EEU992" s="124"/>
      <c r="EEV992" s="124"/>
      <c r="EEW992" s="124"/>
      <c r="EEX992" s="124"/>
      <c r="EEY992" s="124"/>
      <c r="EEZ992" s="124"/>
      <c r="EFA992" s="124"/>
      <c r="EFB992" s="124"/>
      <c r="EFC992" s="124"/>
      <c r="EFD992" s="124"/>
      <c r="EFE992" s="124"/>
      <c r="EFF992" s="124"/>
      <c r="EFG992" s="124"/>
      <c r="EFH992" s="124"/>
      <c r="EFI992" s="124"/>
      <c r="EFJ992" s="124"/>
      <c r="EFK992" s="124"/>
      <c r="EFL992" s="124"/>
      <c r="EFM992" s="124"/>
      <c r="EFN992" s="124"/>
      <c r="EFO992" s="124"/>
      <c r="EFP992" s="124"/>
      <c r="EFQ992" s="124"/>
      <c r="EFR992" s="124"/>
      <c r="EFS992" s="124"/>
      <c r="EFT992" s="124"/>
      <c r="EFU992" s="124"/>
      <c r="EFV992" s="124"/>
      <c r="EFW992" s="124"/>
      <c r="EFX992" s="124"/>
      <c r="EFY992" s="124"/>
      <c r="EFZ992" s="124"/>
      <c r="EGA992" s="124"/>
      <c r="EGB992" s="124"/>
      <c r="EGC992" s="124"/>
      <c r="EGD992" s="124"/>
      <c r="EGE992" s="124"/>
      <c r="EGF992" s="124"/>
      <c r="EGG992" s="124"/>
      <c r="EGH992" s="124"/>
      <c r="EGI992" s="124"/>
      <c r="EGJ992" s="124"/>
      <c r="EGK992" s="124"/>
      <c r="EGL992" s="124"/>
      <c r="EGM992" s="124"/>
      <c r="EGN992" s="124"/>
      <c r="EGO992" s="124"/>
      <c r="EGP992" s="124"/>
      <c r="EGQ992" s="124"/>
      <c r="EGR992" s="124"/>
      <c r="EGS992" s="124"/>
      <c r="EGT992" s="124"/>
      <c r="EGU992" s="124"/>
      <c r="EGV992" s="124"/>
      <c r="EGW992" s="124"/>
      <c r="EGX992" s="124"/>
      <c r="EGY992" s="124"/>
      <c r="EGZ992" s="124"/>
      <c r="EHA992" s="124"/>
      <c r="EHB992" s="124"/>
      <c r="EHC992" s="124"/>
      <c r="EHD992" s="124"/>
      <c r="EHE992" s="124"/>
      <c r="EHF992" s="124"/>
      <c r="EHG992" s="124"/>
      <c r="EHH992" s="124"/>
      <c r="EHI992" s="124"/>
      <c r="EHJ992" s="124"/>
      <c r="EHK992" s="124"/>
      <c r="EHL992" s="124"/>
      <c r="EHM992" s="124"/>
      <c r="EHN992" s="124"/>
      <c r="EHO992" s="124"/>
      <c r="EHP992" s="124"/>
      <c r="EHQ992" s="124"/>
      <c r="EHR992" s="124"/>
      <c r="EHS992" s="124"/>
      <c r="EHT992" s="124"/>
      <c r="EHU992" s="124"/>
      <c r="EHV992" s="124"/>
      <c r="EHW992" s="124"/>
      <c r="EHX992" s="124"/>
      <c r="EHY992" s="124"/>
      <c r="EHZ992" s="124"/>
      <c r="EIA992" s="124"/>
      <c r="EIB992" s="124"/>
      <c r="EIC992" s="124"/>
      <c r="EID992" s="124"/>
      <c r="EIE992" s="124"/>
      <c r="EIF992" s="124"/>
      <c r="EIG992" s="124"/>
      <c r="EIH992" s="124"/>
      <c r="EII992" s="124"/>
      <c r="EIJ992" s="124"/>
      <c r="EIK992" s="124"/>
      <c r="EIL992" s="124"/>
      <c r="EIM992" s="124"/>
      <c r="EIN992" s="124"/>
      <c r="EIO992" s="124"/>
      <c r="EIP992" s="124"/>
      <c r="EIQ992" s="124"/>
      <c r="EIR992" s="124"/>
      <c r="EIS992" s="124"/>
      <c r="EIT992" s="124"/>
      <c r="EIU992" s="124"/>
      <c r="EIV992" s="124"/>
      <c r="EIW992" s="124"/>
      <c r="EIX992" s="124"/>
      <c r="EIY992" s="124"/>
      <c r="EIZ992" s="124"/>
      <c r="EJA992" s="124"/>
      <c r="EJB992" s="124"/>
      <c r="EJC992" s="124"/>
      <c r="EJD992" s="124"/>
      <c r="EJE992" s="124"/>
      <c r="EJF992" s="124"/>
      <c r="EJG992" s="124"/>
      <c r="EJH992" s="124"/>
      <c r="EJI992" s="124"/>
      <c r="EJJ992" s="124"/>
      <c r="EJK992" s="124"/>
      <c r="EJL992" s="124"/>
      <c r="EJM992" s="124"/>
      <c r="EJN992" s="124"/>
      <c r="EJO992" s="124"/>
      <c r="EJP992" s="124"/>
      <c r="EJQ992" s="124"/>
      <c r="EJR992" s="124"/>
      <c r="EJS992" s="124"/>
      <c r="EJT992" s="124"/>
      <c r="EJU992" s="124"/>
      <c r="EJV992" s="124"/>
      <c r="EJW992" s="124"/>
      <c r="EJX992" s="124"/>
      <c r="EJY992" s="124"/>
      <c r="EJZ992" s="124"/>
      <c r="EKA992" s="124"/>
      <c r="EKB992" s="124"/>
      <c r="EKC992" s="124"/>
      <c r="EKD992" s="124"/>
      <c r="EKE992" s="124"/>
      <c r="EKF992" s="124"/>
      <c r="EKG992" s="124"/>
      <c r="EKH992" s="124"/>
      <c r="EKI992" s="124"/>
      <c r="EKJ992" s="124"/>
      <c r="EKK992" s="124"/>
      <c r="EKL992" s="124"/>
      <c r="EKM992" s="124"/>
      <c r="EKN992" s="124"/>
      <c r="EKO992" s="124"/>
      <c r="EKP992" s="124"/>
      <c r="EKQ992" s="124"/>
      <c r="EKR992" s="124"/>
      <c r="EKS992" s="124"/>
      <c r="EKT992" s="124"/>
      <c r="EKU992" s="124"/>
      <c r="EKV992" s="124"/>
      <c r="EKW992" s="124"/>
      <c r="EKX992" s="124"/>
      <c r="EKY992" s="124"/>
      <c r="EKZ992" s="124"/>
      <c r="ELA992" s="124"/>
      <c r="ELB992" s="124"/>
      <c r="ELC992" s="124"/>
      <c r="ELD992" s="124"/>
      <c r="ELE992" s="124"/>
      <c r="ELF992" s="124"/>
      <c r="ELG992" s="124"/>
      <c r="ELH992" s="124"/>
      <c r="ELI992" s="124"/>
      <c r="ELJ992" s="124"/>
      <c r="ELK992" s="124"/>
      <c r="ELL992" s="124"/>
      <c r="ELM992" s="124"/>
      <c r="ELN992" s="124"/>
      <c r="ELO992" s="124"/>
      <c r="ELP992" s="124"/>
      <c r="ELQ992" s="124"/>
      <c r="ELR992" s="124"/>
      <c r="ELS992" s="124"/>
      <c r="ELT992" s="124"/>
      <c r="ELU992" s="124"/>
      <c r="ELV992" s="124"/>
      <c r="ELW992" s="124"/>
      <c r="ELX992" s="124"/>
      <c r="ELY992" s="124"/>
      <c r="ELZ992" s="124"/>
      <c r="EMA992" s="124"/>
      <c r="EMB992" s="124"/>
      <c r="EMC992" s="124"/>
      <c r="EMD992" s="124"/>
      <c r="EME992" s="124"/>
      <c r="EMF992" s="124"/>
      <c r="EMG992" s="124"/>
      <c r="EMH992" s="124"/>
      <c r="EMI992" s="124"/>
      <c r="EMJ992" s="124"/>
      <c r="EMK992" s="124"/>
      <c r="EML992" s="124"/>
      <c r="EMM992" s="124"/>
      <c r="EMN992" s="124"/>
      <c r="EMO992" s="124"/>
      <c r="EMP992" s="124"/>
      <c r="EMQ992" s="124"/>
      <c r="EMR992" s="124"/>
      <c r="EMS992" s="124"/>
      <c r="EMT992" s="124"/>
      <c r="EMU992" s="124"/>
      <c r="EMV992" s="124"/>
      <c r="EMW992" s="124"/>
      <c r="EMX992" s="124"/>
      <c r="EMY992" s="124"/>
      <c r="EMZ992" s="124"/>
      <c r="ENA992" s="124"/>
      <c r="ENB992" s="124"/>
      <c r="ENC992" s="124"/>
      <c r="END992" s="124"/>
      <c r="ENE992" s="124"/>
      <c r="ENF992" s="124"/>
      <c r="ENG992" s="124"/>
      <c r="ENH992" s="124"/>
      <c r="ENI992" s="124"/>
      <c r="ENJ992" s="124"/>
      <c r="ENK992" s="124"/>
      <c r="ENL992" s="124"/>
      <c r="ENM992" s="124"/>
      <c r="ENN992" s="124"/>
      <c r="ENO992" s="124"/>
      <c r="ENP992" s="124"/>
      <c r="ENQ992" s="124"/>
      <c r="ENR992" s="124"/>
      <c r="ENS992" s="124"/>
      <c r="ENT992" s="124"/>
      <c r="ENU992" s="124"/>
      <c r="ENV992" s="124"/>
      <c r="ENW992" s="124"/>
      <c r="ENX992" s="124"/>
      <c r="ENY992" s="124"/>
      <c r="ENZ992" s="124"/>
      <c r="EOA992" s="124"/>
      <c r="EOB992" s="124"/>
      <c r="EOC992" s="124"/>
      <c r="EOD992" s="124"/>
      <c r="EOE992" s="124"/>
      <c r="EOF992" s="124"/>
      <c r="EOG992" s="124"/>
      <c r="EOH992" s="124"/>
      <c r="EOI992" s="124"/>
      <c r="EOJ992" s="124"/>
      <c r="EOK992" s="124"/>
      <c r="EOL992" s="124"/>
      <c r="EOM992" s="124"/>
      <c r="EON992" s="124"/>
      <c r="EOO992" s="124"/>
      <c r="EOP992" s="124"/>
      <c r="EOQ992" s="124"/>
      <c r="EOR992" s="124"/>
      <c r="EOS992" s="124"/>
      <c r="EOT992" s="124"/>
      <c r="EOU992" s="124"/>
      <c r="EOV992" s="124"/>
      <c r="EOW992" s="124"/>
      <c r="EOX992" s="124"/>
      <c r="EOY992" s="124"/>
      <c r="EOZ992" s="124"/>
      <c r="EPA992" s="124"/>
      <c r="EPB992" s="124"/>
      <c r="EPC992" s="124"/>
      <c r="EPD992" s="124"/>
      <c r="EPE992" s="124"/>
      <c r="EPF992" s="124"/>
      <c r="EPG992" s="124"/>
      <c r="EPH992" s="124"/>
      <c r="EPI992" s="124"/>
      <c r="EPJ992" s="124"/>
      <c r="EPK992" s="124"/>
      <c r="EPL992" s="124"/>
      <c r="EPM992" s="124"/>
      <c r="EPN992" s="124"/>
      <c r="EPO992" s="124"/>
      <c r="EPP992" s="124"/>
      <c r="EPQ992" s="124"/>
      <c r="EPR992" s="124"/>
      <c r="EPS992" s="124"/>
      <c r="EPT992" s="124"/>
      <c r="EPU992" s="124"/>
      <c r="EPV992" s="124"/>
      <c r="EPW992" s="124"/>
      <c r="EPX992" s="124"/>
      <c r="EPY992" s="124"/>
      <c r="EPZ992" s="124"/>
      <c r="EQA992" s="124"/>
      <c r="EQB992" s="124"/>
      <c r="EQC992" s="124"/>
      <c r="EQD992" s="124"/>
      <c r="EQE992" s="124"/>
      <c r="EQF992" s="124"/>
      <c r="EQG992" s="124"/>
      <c r="EQH992" s="124"/>
      <c r="EQI992" s="124"/>
      <c r="EQJ992" s="124"/>
      <c r="EQK992" s="124"/>
      <c r="EQL992" s="124"/>
      <c r="EQM992" s="124"/>
      <c r="EQN992" s="124"/>
      <c r="EQO992" s="124"/>
      <c r="EQP992" s="124"/>
      <c r="EQQ992" s="124"/>
      <c r="EQR992" s="124"/>
      <c r="EQS992" s="124"/>
      <c r="EQT992" s="124"/>
      <c r="EQU992" s="124"/>
      <c r="EQV992" s="124"/>
      <c r="EQW992" s="124"/>
      <c r="EQX992" s="124"/>
      <c r="EQY992" s="124"/>
      <c r="EQZ992" s="124"/>
      <c r="ERA992" s="124"/>
      <c r="ERB992" s="124"/>
      <c r="ERC992" s="124"/>
      <c r="ERD992" s="124"/>
      <c r="ERE992" s="124"/>
      <c r="ERF992" s="124"/>
      <c r="ERG992" s="124"/>
      <c r="ERH992" s="124"/>
      <c r="ERI992" s="124"/>
      <c r="ERJ992" s="124"/>
      <c r="ERK992" s="124"/>
      <c r="ERL992" s="124"/>
      <c r="ERM992" s="124"/>
      <c r="ERN992" s="124"/>
      <c r="ERO992" s="124"/>
      <c r="ERP992" s="124"/>
      <c r="ERQ992" s="124"/>
      <c r="ERR992" s="124"/>
      <c r="ERS992" s="124"/>
      <c r="ERT992" s="124"/>
      <c r="ERU992" s="124"/>
      <c r="ERV992" s="124"/>
      <c r="ERW992" s="124"/>
      <c r="ERX992" s="124"/>
      <c r="ERY992" s="124"/>
      <c r="ERZ992" s="124"/>
      <c r="ESA992" s="124"/>
      <c r="ESB992" s="124"/>
      <c r="ESC992" s="124"/>
      <c r="ESD992" s="124"/>
      <c r="ESE992" s="124"/>
      <c r="ESF992" s="124"/>
      <c r="ESG992" s="124"/>
      <c r="ESH992" s="124"/>
      <c r="ESI992" s="124"/>
      <c r="ESJ992" s="124"/>
      <c r="ESK992" s="124"/>
      <c r="ESL992" s="124"/>
      <c r="ESM992" s="124"/>
      <c r="ESN992" s="124"/>
      <c r="ESO992" s="124"/>
      <c r="ESP992" s="124"/>
      <c r="ESQ992" s="124"/>
      <c r="ESR992" s="124"/>
      <c r="ESS992" s="124"/>
      <c r="EST992" s="124"/>
      <c r="ESU992" s="124"/>
      <c r="ESV992" s="124"/>
      <c r="ESW992" s="124"/>
      <c r="ESX992" s="124"/>
      <c r="ESY992" s="124"/>
      <c r="ESZ992" s="124"/>
      <c r="ETA992" s="124"/>
      <c r="ETB992" s="124"/>
      <c r="ETC992" s="124"/>
      <c r="ETD992" s="124"/>
      <c r="ETE992" s="124"/>
      <c r="ETF992" s="124"/>
      <c r="ETG992" s="124"/>
      <c r="ETH992" s="124"/>
      <c r="ETI992" s="124"/>
      <c r="ETJ992" s="124"/>
      <c r="ETK992" s="124"/>
      <c r="ETL992" s="124"/>
      <c r="ETM992" s="124"/>
      <c r="ETN992" s="124"/>
      <c r="ETO992" s="124"/>
      <c r="ETP992" s="124"/>
      <c r="ETQ992" s="124"/>
      <c r="ETR992" s="124"/>
      <c r="ETS992" s="124"/>
      <c r="ETT992" s="124"/>
      <c r="ETU992" s="124"/>
      <c r="ETV992" s="124"/>
      <c r="ETW992" s="124"/>
      <c r="ETX992" s="124"/>
      <c r="ETY992" s="124"/>
      <c r="ETZ992" s="124"/>
      <c r="EUA992" s="124"/>
      <c r="EUB992" s="124"/>
      <c r="EUC992" s="124"/>
      <c r="EUD992" s="124"/>
      <c r="EUE992" s="124"/>
      <c r="EUF992" s="124"/>
      <c r="EUG992" s="124"/>
      <c r="EUH992" s="124"/>
      <c r="EUI992" s="124"/>
      <c r="EUJ992" s="124"/>
      <c r="EUK992" s="124"/>
      <c r="EUL992" s="124"/>
      <c r="EUM992" s="124"/>
      <c r="EUN992" s="124"/>
      <c r="EUO992" s="124"/>
      <c r="EUP992" s="124"/>
      <c r="EUQ992" s="124"/>
      <c r="EUR992" s="124"/>
      <c r="EUS992" s="124"/>
      <c r="EUT992" s="124"/>
      <c r="EUU992" s="124"/>
      <c r="EUV992" s="124"/>
      <c r="EUW992" s="124"/>
      <c r="EUX992" s="124"/>
      <c r="EUY992" s="124"/>
      <c r="EUZ992" s="124"/>
      <c r="EVA992" s="124"/>
      <c r="EVB992" s="124"/>
      <c r="EVC992" s="124"/>
      <c r="EVD992" s="124"/>
      <c r="EVE992" s="124"/>
      <c r="EVF992" s="124"/>
      <c r="EVG992" s="124"/>
      <c r="EVH992" s="124"/>
      <c r="EVI992" s="124"/>
      <c r="EVJ992" s="124"/>
      <c r="EVK992" s="124"/>
      <c r="EVL992" s="124"/>
      <c r="EVM992" s="124"/>
      <c r="EVN992" s="124"/>
      <c r="EVO992" s="124"/>
      <c r="EVP992" s="124"/>
      <c r="EVQ992" s="124"/>
      <c r="EVR992" s="124"/>
      <c r="EVS992" s="124"/>
      <c r="EVT992" s="124"/>
      <c r="EVU992" s="124"/>
      <c r="EVV992" s="124"/>
      <c r="EVW992" s="124"/>
      <c r="EVX992" s="124"/>
      <c r="EVY992" s="124"/>
      <c r="EVZ992" s="124"/>
      <c r="EWA992" s="124"/>
      <c r="EWB992" s="124"/>
      <c r="EWC992" s="124"/>
      <c r="EWD992" s="124"/>
      <c r="EWE992" s="124"/>
      <c r="EWF992" s="124"/>
      <c r="EWG992" s="124"/>
      <c r="EWH992" s="124"/>
      <c r="EWI992" s="124"/>
      <c r="EWJ992" s="124"/>
      <c r="EWK992" s="124"/>
      <c r="EWL992" s="124"/>
      <c r="EWM992" s="124"/>
      <c r="EWN992" s="124"/>
      <c r="EWO992" s="124"/>
      <c r="EWP992" s="124"/>
      <c r="EWQ992" s="124"/>
      <c r="EWR992" s="124"/>
      <c r="EWS992" s="124"/>
      <c r="EWT992" s="124"/>
      <c r="EWU992" s="124"/>
      <c r="EWV992" s="124"/>
      <c r="EWW992" s="124"/>
      <c r="EWX992" s="124"/>
      <c r="EWY992" s="124"/>
      <c r="EWZ992" s="124"/>
      <c r="EXA992" s="124"/>
      <c r="EXB992" s="124"/>
      <c r="EXC992" s="124"/>
      <c r="EXD992" s="124"/>
      <c r="EXE992" s="124"/>
      <c r="EXF992" s="124"/>
      <c r="EXG992" s="124"/>
      <c r="EXH992" s="124"/>
      <c r="EXI992" s="124"/>
      <c r="EXJ992" s="124"/>
      <c r="EXK992" s="124"/>
      <c r="EXL992" s="124"/>
      <c r="EXM992" s="124"/>
      <c r="EXN992" s="124"/>
      <c r="EXO992" s="124"/>
      <c r="EXP992" s="124"/>
      <c r="EXQ992" s="124"/>
      <c r="EXR992" s="124"/>
      <c r="EXS992" s="124"/>
      <c r="EXT992" s="124"/>
      <c r="EXU992" s="124"/>
      <c r="EXV992" s="124"/>
      <c r="EXW992" s="124"/>
      <c r="EXX992" s="124"/>
      <c r="EXY992" s="124"/>
      <c r="EXZ992" s="124"/>
      <c r="EYA992" s="124"/>
      <c r="EYB992" s="124"/>
      <c r="EYC992" s="124"/>
      <c r="EYD992" s="124"/>
      <c r="EYE992" s="124"/>
      <c r="EYF992" s="124"/>
      <c r="EYG992" s="124"/>
      <c r="EYH992" s="124"/>
      <c r="EYI992" s="124"/>
      <c r="EYJ992" s="124"/>
      <c r="EYK992" s="124"/>
      <c r="EYL992" s="124"/>
      <c r="EYM992" s="124"/>
      <c r="EYN992" s="124"/>
      <c r="EYO992" s="124"/>
      <c r="EYP992" s="124"/>
      <c r="EYQ992" s="124"/>
      <c r="EYR992" s="124"/>
      <c r="EYS992" s="124"/>
      <c r="EYT992" s="124"/>
      <c r="EYU992" s="124"/>
      <c r="EYV992" s="124"/>
      <c r="EYW992" s="124"/>
      <c r="EYX992" s="124"/>
      <c r="EYY992" s="124"/>
      <c r="EYZ992" s="124"/>
      <c r="EZA992" s="124"/>
      <c r="EZB992" s="124"/>
      <c r="EZC992" s="124"/>
      <c r="EZD992" s="124"/>
      <c r="EZE992" s="124"/>
      <c r="EZF992" s="124"/>
      <c r="EZG992" s="124"/>
      <c r="EZH992" s="124"/>
      <c r="EZI992" s="124"/>
      <c r="EZJ992" s="124"/>
      <c r="EZK992" s="124"/>
      <c r="EZL992" s="124"/>
      <c r="EZM992" s="124"/>
      <c r="EZN992" s="124"/>
      <c r="EZO992" s="124"/>
      <c r="EZP992" s="124"/>
      <c r="EZQ992" s="124"/>
      <c r="EZR992" s="124"/>
      <c r="EZS992" s="124"/>
      <c r="EZT992" s="124"/>
      <c r="EZU992" s="124"/>
      <c r="EZV992" s="124"/>
      <c r="EZW992" s="124"/>
      <c r="EZX992" s="124"/>
      <c r="EZY992" s="124"/>
      <c r="EZZ992" s="124"/>
      <c r="FAA992" s="124"/>
      <c r="FAB992" s="124"/>
      <c r="FAC992" s="124"/>
      <c r="FAD992" s="124"/>
      <c r="FAE992" s="124"/>
      <c r="FAF992" s="124"/>
      <c r="FAG992" s="124"/>
      <c r="FAH992" s="124"/>
      <c r="FAI992" s="124"/>
      <c r="FAJ992" s="124"/>
      <c r="FAK992" s="124"/>
      <c r="FAL992" s="124"/>
      <c r="FAM992" s="124"/>
      <c r="FAN992" s="124"/>
      <c r="FAO992" s="124"/>
      <c r="FAP992" s="124"/>
      <c r="FAQ992" s="124"/>
      <c r="FAR992" s="124"/>
      <c r="FAS992" s="124"/>
      <c r="FAT992" s="124"/>
      <c r="FAU992" s="124"/>
      <c r="FAV992" s="124"/>
      <c r="FAW992" s="124"/>
      <c r="FAX992" s="124"/>
      <c r="FAY992" s="124"/>
      <c r="FAZ992" s="124"/>
      <c r="FBA992" s="124"/>
      <c r="FBB992" s="124"/>
      <c r="FBC992" s="124"/>
      <c r="FBD992" s="124"/>
      <c r="FBE992" s="124"/>
      <c r="FBF992" s="124"/>
      <c r="FBG992" s="124"/>
      <c r="FBH992" s="124"/>
      <c r="FBI992" s="124"/>
      <c r="FBJ992" s="124"/>
      <c r="FBK992" s="124"/>
      <c r="FBL992" s="124"/>
      <c r="FBM992" s="124"/>
      <c r="FBN992" s="124"/>
      <c r="FBO992" s="124"/>
      <c r="FBP992" s="124"/>
      <c r="FBQ992" s="124"/>
      <c r="FBR992" s="124"/>
      <c r="FBS992" s="124"/>
      <c r="FBT992" s="124"/>
      <c r="FBU992" s="124"/>
      <c r="FBV992" s="124"/>
      <c r="FBW992" s="124"/>
      <c r="FBX992" s="124"/>
      <c r="FBY992" s="124"/>
      <c r="FBZ992" s="124"/>
      <c r="FCA992" s="124"/>
      <c r="FCB992" s="124"/>
      <c r="FCC992" s="124"/>
      <c r="FCD992" s="124"/>
      <c r="FCE992" s="124"/>
      <c r="FCF992" s="124"/>
      <c r="FCG992" s="124"/>
      <c r="FCH992" s="124"/>
      <c r="FCI992" s="124"/>
      <c r="FCJ992" s="124"/>
      <c r="FCK992" s="124"/>
      <c r="FCL992" s="124"/>
      <c r="FCM992" s="124"/>
      <c r="FCN992" s="124"/>
      <c r="FCO992" s="124"/>
      <c r="FCP992" s="124"/>
      <c r="FCQ992" s="124"/>
      <c r="FCR992" s="124"/>
      <c r="FCS992" s="124"/>
      <c r="FCT992" s="124"/>
      <c r="FCU992" s="124"/>
      <c r="FCV992" s="124"/>
      <c r="FCW992" s="124"/>
      <c r="FCX992" s="124"/>
      <c r="FCY992" s="124"/>
      <c r="FCZ992" s="124"/>
      <c r="FDA992" s="124"/>
      <c r="FDB992" s="124"/>
      <c r="FDC992" s="124"/>
      <c r="FDD992" s="124"/>
      <c r="FDE992" s="124"/>
      <c r="FDF992" s="124"/>
      <c r="FDG992" s="124"/>
      <c r="FDH992" s="124"/>
      <c r="FDI992" s="124"/>
      <c r="FDJ992" s="124"/>
      <c r="FDK992" s="124"/>
      <c r="FDL992" s="124"/>
      <c r="FDM992" s="124"/>
      <c r="FDN992" s="124"/>
      <c r="FDO992" s="124"/>
      <c r="FDP992" s="124"/>
      <c r="FDQ992" s="124"/>
      <c r="FDR992" s="124"/>
      <c r="FDS992" s="124"/>
      <c r="FDT992" s="124"/>
      <c r="FDU992" s="124"/>
      <c r="FDV992" s="124"/>
      <c r="FDW992" s="124"/>
      <c r="FDX992" s="124"/>
      <c r="FDY992" s="124"/>
      <c r="FDZ992" s="124"/>
      <c r="FEA992" s="124"/>
      <c r="FEB992" s="124"/>
      <c r="FEC992" s="124"/>
      <c r="FED992" s="124"/>
      <c r="FEE992" s="124"/>
      <c r="FEF992" s="124"/>
      <c r="FEG992" s="124"/>
      <c r="FEH992" s="124"/>
      <c r="FEI992" s="124"/>
      <c r="FEJ992" s="124"/>
      <c r="FEK992" s="124"/>
      <c r="FEL992" s="124"/>
      <c r="FEM992" s="124"/>
      <c r="FEN992" s="124"/>
      <c r="FEO992" s="124"/>
      <c r="FEP992" s="124"/>
      <c r="FEQ992" s="124"/>
      <c r="FER992" s="124"/>
      <c r="FES992" s="124"/>
      <c r="FET992" s="124"/>
      <c r="FEU992" s="124"/>
      <c r="FEV992" s="124"/>
      <c r="FEW992" s="124"/>
      <c r="FEX992" s="124"/>
      <c r="FEY992" s="124"/>
      <c r="FEZ992" s="124"/>
      <c r="FFA992" s="124"/>
      <c r="FFB992" s="124"/>
      <c r="FFC992" s="124"/>
      <c r="FFD992" s="124"/>
      <c r="FFE992" s="124"/>
      <c r="FFF992" s="124"/>
      <c r="FFG992" s="124"/>
      <c r="FFH992" s="124"/>
      <c r="FFI992" s="124"/>
      <c r="FFJ992" s="124"/>
      <c r="FFK992" s="124"/>
      <c r="FFL992" s="124"/>
      <c r="FFM992" s="124"/>
      <c r="FFN992" s="124"/>
      <c r="FFO992" s="124"/>
      <c r="FFP992" s="124"/>
      <c r="FFQ992" s="124"/>
      <c r="FFR992" s="124"/>
      <c r="FFS992" s="124"/>
      <c r="FFT992" s="124"/>
      <c r="FFU992" s="124"/>
      <c r="FFV992" s="124"/>
      <c r="FFW992" s="124"/>
      <c r="FFX992" s="124"/>
      <c r="FFY992" s="124"/>
      <c r="FFZ992" s="124"/>
      <c r="FGA992" s="124"/>
      <c r="FGB992" s="124"/>
      <c r="FGC992" s="124"/>
      <c r="FGD992" s="124"/>
      <c r="FGE992" s="124"/>
      <c r="FGF992" s="124"/>
      <c r="FGG992" s="124"/>
      <c r="FGH992" s="124"/>
      <c r="FGI992" s="124"/>
      <c r="FGJ992" s="124"/>
      <c r="FGK992" s="124"/>
      <c r="FGL992" s="124"/>
      <c r="FGM992" s="124"/>
      <c r="FGN992" s="124"/>
      <c r="FGO992" s="124"/>
      <c r="FGP992" s="124"/>
      <c r="FGQ992" s="124"/>
      <c r="FGR992" s="124"/>
      <c r="FGS992" s="124"/>
      <c r="FGT992" s="124"/>
      <c r="FGU992" s="124"/>
      <c r="FGV992" s="124"/>
      <c r="FGW992" s="124"/>
      <c r="FGX992" s="124"/>
      <c r="FGY992" s="124"/>
      <c r="FGZ992" s="124"/>
      <c r="FHA992" s="124"/>
      <c r="FHB992" s="124"/>
      <c r="FHC992" s="124"/>
      <c r="FHD992" s="124"/>
      <c r="FHE992" s="124"/>
      <c r="FHF992" s="124"/>
      <c r="FHG992" s="124"/>
      <c r="FHH992" s="124"/>
      <c r="FHI992" s="124"/>
      <c r="FHJ992" s="124"/>
      <c r="FHK992" s="124"/>
      <c r="FHL992" s="124"/>
      <c r="FHM992" s="124"/>
      <c r="FHN992" s="124"/>
      <c r="FHO992" s="124"/>
      <c r="FHP992" s="124"/>
      <c r="FHQ992" s="124"/>
      <c r="FHR992" s="124"/>
      <c r="FHS992" s="124"/>
      <c r="FHT992" s="124"/>
      <c r="FHU992" s="124"/>
      <c r="FHV992" s="124"/>
      <c r="FHW992" s="124"/>
      <c r="FHX992" s="124"/>
      <c r="FHY992" s="124"/>
      <c r="FHZ992" s="124"/>
      <c r="FIA992" s="124"/>
      <c r="FIB992" s="124"/>
      <c r="FIC992" s="124"/>
      <c r="FID992" s="124"/>
      <c r="FIE992" s="124"/>
      <c r="FIF992" s="124"/>
      <c r="FIG992" s="124"/>
      <c r="FIH992" s="124"/>
      <c r="FII992" s="124"/>
      <c r="FIJ992" s="124"/>
      <c r="FIK992" s="124"/>
      <c r="FIL992" s="124"/>
      <c r="FIM992" s="124"/>
      <c r="FIN992" s="124"/>
      <c r="FIO992" s="124"/>
      <c r="FIP992" s="124"/>
      <c r="FIQ992" s="124"/>
      <c r="FIR992" s="124"/>
      <c r="FIS992" s="124"/>
      <c r="FIT992" s="124"/>
      <c r="FIU992" s="124"/>
      <c r="FIV992" s="124"/>
      <c r="FIW992" s="124"/>
      <c r="FIX992" s="124"/>
      <c r="FIY992" s="124"/>
      <c r="FIZ992" s="124"/>
      <c r="FJA992" s="124"/>
      <c r="FJB992" s="124"/>
      <c r="FJC992" s="124"/>
      <c r="FJD992" s="124"/>
      <c r="FJE992" s="124"/>
      <c r="FJF992" s="124"/>
      <c r="FJG992" s="124"/>
      <c r="FJH992" s="124"/>
      <c r="FJI992" s="124"/>
      <c r="FJJ992" s="124"/>
      <c r="FJK992" s="124"/>
      <c r="FJL992" s="124"/>
      <c r="FJM992" s="124"/>
      <c r="FJN992" s="124"/>
      <c r="FJO992" s="124"/>
      <c r="FJP992" s="124"/>
      <c r="FJQ992" s="124"/>
      <c r="FJR992" s="124"/>
      <c r="FJS992" s="124"/>
      <c r="FJT992" s="124"/>
      <c r="FJU992" s="124"/>
      <c r="FJV992" s="124"/>
      <c r="FJW992" s="124"/>
      <c r="FJX992" s="124"/>
      <c r="FJY992" s="124"/>
      <c r="FJZ992" s="124"/>
      <c r="FKA992" s="124"/>
      <c r="FKB992" s="124"/>
      <c r="FKC992" s="124"/>
      <c r="FKD992" s="124"/>
      <c r="FKE992" s="124"/>
      <c r="FKF992" s="124"/>
      <c r="FKG992" s="124"/>
      <c r="FKH992" s="124"/>
      <c r="FKI992" s="124"/>
      <c r="FKJ992" s="124"/>
      <c r="FKK992" s="124"/>
      <c r="FKL992" s="124"/>
      <c r="FKM992" s="124"/>
      <c r="FKN992" s="124"/>
      <c r="FKO992" s="124"/>
      <c r="FKP992" s="124"/>
      <c r="FKQ992" s="124"/>
      <c r="FKR992" s="124"/>
      <c r="FKS992" s="124"/>
      <c r="FKT992" s="124"/>
      <c r="FKU992" s="124"/>
      <c r="FKV992" s="124"/>
      <c r="FKW992" s="124"/>
      <c r="FKX992" s="124"/>
      <c r="FKY992" s="124"/>
      <c r="FKZ992" s="124"/>
      <c r="FLA992" s="124"/>
      <c r="FLB992" s="124"/>
      <c r="FLC992" s="124"/>
      <c r="FLD992" s="124"/>
      <c r="FLE992" s="124"/>
      <c r="FLF992" s="124"/>
      <c r="FLG992" s="124"/>
      <c r="FLH992" s="124"/>
      <c r="FLI992" s="124"/>
      <c r="FLJ992" s="124"/>
      <c r="FLK992" s="124"/>
      <c r="FLL992" s="124"/>
      <c r="FLM992" s="124"/>
      <c r="FLN992" s="124"/>
      <c r="FLO992" s="124"/>
      <c r="FLP992" s="124"/>
      <c r="FLQ992" s="124"/>
      <c r="FLR992" s="124"/>
      <c r="FLS992" s="124"/>
      <c r="FLT992" s="124"/>
      <c r="FLU992" s="124"/>
      <c r="FLV992" s="124"/>
      <c r="FLW992" s="124"/>
      <c r="FLX992" s="124"/>
      <c r="FLY992" s="124"/>
      <c r="FLZ992" s="124"/>
      <c r="FMA992" s="124"/>
      <c r="FMB992" s="124"/>
      <c r="FMC992" s="124"/>
      <c r="FMD992" s="124"/>
      <c r="FME992" s="124"/>
      <c r="FMF992" s="124"/>
      <c r="FMG992" s="124"/>
      <c r="FMH992" s="124"/>
      <c r="FMI992" s="124"/>
      <c r="FMJ992" s="124"/>
      <c r="FMK992" s="124"/>
      <c r="FML992" s="124"/>
      <c r="FMM992" s="124"/>
      <c r="FMN992" s="124"/>
      <c r="FMO992" s="124"/>
      <c r="FMP992" s="124"/>
      <c r="FMQ992" s="124"/>
      <c r="FMR992" s="124"/>
      <c r="FMS992" s="124"/>
      <c r="FMT992" s="124"/>
      <c r="FMU992" s="124"/>
      <c r="FMV992" s="124"/>
      <c r="FMW992" s="124"/>
      <c r="FMX992" s="124"/>
      <c r="FMY992" s="124"/>
      <c r="FMZ992" s="124"/>
      <c r="FNA992" s="124"/>
      <c r="FNB992" s="124"/>
      <c r="FNC992" s="124"/>
      <c r="FND992" s="124"/>
      <c r="FNE992" s="124"/>
      <c r="FNF992" s="124"/>
      <c r="FNG992" s="124"/>
      <c r="FNH992" s="124"/>
      <c r="FNI992" s="124"/>
      <c r="FNJ992" s="124"/>
      <c r="FNK992" s="124"/>
      <c r="FNL992" s="124"/>
      <c r="FNM992" s="124"/>
      <c r="FNN992" s="124"/>
      <c r="FNO992" s="124"/>
      <c r="FNP992" s="124"/>
      <c r="FNQ992" s="124"/>
      <c r="FNR992" s="124"/>
      <c r="FNS992" s="124"/>
      <c r="FNT992" s="124"/>
      <c r="FNU992" s="124"/>
      <c r="FNV992" s="124"/>
      <c r="FNW992" s="124"/>
      <c r="FNX992" s="124"/>
      <c r="FNY992" s="124"/>
      <c r="FNZ992" s="124"/>
      <c r="FOA992" s="124"/>
      <c r="FOB992" s="124"/>
      <c r="FOC992" s="124"/>
      <c r="FOD992" s="124"/>
      <c r="FOE992" s="124"/>
      <c r="FOF992" s="124"/>
      <c r="FOG992" s="124"/>
      <c r="FOH992" s="124"/>
      <c r="FOI992" s="124"/>
      <c r="FOJ992" s="124"/>
      <c r="FOK992" s="124"/>
      <c r="FOL992" s="124"/>
      <c r="FOM992" s="124"/>
      <c r="FON992" s="124"/>
      <c r="FOO992" s="124"/>
      <c r="FOP992" s="124"/>
      <c r="FOQ992" s="124"/>
      <c r="FOR992" s="124"/>
      <c r="FOS992" s="124"/>
      <c r="FOT992" s="124"/>
      <c r="FOU992" s="124"/>
      <c r="FOV992" s="124"/>
      <c r="FOW992" s="124"/>
      <c r="FOX992" s="124"/>
      <c r="FOY992" s="124"/>
      <c r="FOZ992" s="124"/>
      <c r="FPA992" s="124"/>
      <c r="FPB992" s="124"/>
      <c r="FPC992" s="124"/>
      <c r="FPD992" s="124"/>
      <c r="FPE992" s="124"/>
      <c r="FPF992" s="124"/>
      <c r="FPG992" s="124"/>
      <c r="FPH992" s="124"/>
      <c r="FPI992" s="124"/>
      <c r="FPJ992" s="124"/>
      <c r="FPK992" s="124"/>
      <c r="FPL992" s="124"/>
      <c r="FPM992" s="124"/>
      <c r="FPN992" s="124"/>
      <c r="FPO992" s="124"/>
      <c r="FPP992" s="124"/>
      <c r="FPQ992" s="124"/>
      <c r="FPR992" s="124"/>
      <c r="FPS992" s="124"/>
      <c r="FPT992" s="124"/>
      <c r="FPU992" s="124"/>
      <c r="FPV992" s="124"/>
      <c r="FPW992" s="124"/>
      <c r="FPX992" s="124"/>
      <c r="FPY992" s="124"/>
      <c r="FPZ992" s="124"/>
      <c r="FQA992" s="124"/>
      <c r="FQB992" s="124"/>
      <c r="FQC992" s="124"/>
      <c r="FQD992" s="124"/>
      <c r="FQE992" s="124"/>
      <c r="FQF992" s="124"/>
      <c r="FQG992" s="124"/>
      <c r="FQH992" s="124"/>
      <c r="FQI992" s="124"/>
      <c r="FQJ992" s="124"/>
      <c r="FQK992" s="124"/>
      <c r="FQL992" s="124"/>
      <c r="FQM992" s="124"/>
      <c r="FQN992" s="124"/>
      <c r="FQO992" s="124"/>
      <c r="FQP992" s="124"/>
      <c r="FQQ992" s="124"/>
      <c r="FQR992" s="124"/>
      <c r="FQS992" s="124"/>
      <c r="FQT992" s="124"/>
      <c r="FQU992" s="124"/>
      <c r="FQV992" s="124"/>
      <c r="FQW992" s="124"/>
      <c r="FQX992" s="124"/>
      <c r="FQY992" s="124"/>
      <c r="FQZ992" s="124"/>
      <c r="FRA992" s="124"/>
      <c r="FRB992" s="124"/>
      <c r="FRC992" s="124"/>
      <c r="FRD992" s="124"/>
      <c r="FRE992" s="124"/>
      <c r="FRF992" s="124"/>
      <c r="FRG992" s="124"/>
      <c r="FRH992" s="124"/>
      <c r="FRI992" s="124"/>
      <c r="FRJ992" s="124"/>
      <c r="FRK992" s="124"/>
      <c r="FRL992" s="124"/>
      <c r="FRM992" s="124"/>
      <c r="FRN992" s="124"/>
      <c r="FRO992" s="124"/>
      <c r="FRP992" s="124"/>
      <c r="FRQ992" s="124"/>
      <c r="FRR992" s="124"/>
      <c r="FRS992" s="124"/>
      <c r="FRT992" s="124"/>
      <c r="FRU992" s="124"/>
      <c r="FRV992" s="124"/>
      <c r="FRW992" s="124"/>
      <c r="FRX992" s="124"/>
      <c r="FRY992" s="124"/>
      <c r="FRZ992" s="124"/>
      <c r="FSA992" s="124"/>
      <c r="FSB992" s="124"/>
      <c r="FSC992" s="124"/>
      <c r="FSD992" s="124"/>
      <c r="FSE992" s="124"/>
      <c r="FSF992" s="124"/>
      <c r="FSG992" s="124"/>
      <c r="FSH992" s="124"/>
      <c r="FSI992" s="124"/>
      <c r="FSJ992" s="124"/>
      <c r="FSK992" s="124"/>
      <c r="FSL992" s="124"/>
      <c r="FSM992" s="124"/>
      <c r="FSN992" s="124"/>
      <c r="FSO992" s="124"/>
      <c r="FSP992" s="124"/>
      <c r="FSQ992" s="124"/>
      <c r="FSR992" s="124"/>
      <c r="FSS992" s="124"/>
      <c r="FST992" s="124"/>
      <c r="FSU992" s="124"/>
      <c r="FSV992" s="124"/>
      <c r="FSW992" s="124"/>
      <c r="FSX992" s="124"/>
      <c r="FSY992" s="124"/>
      <c r="FSZ992" s="124"/>
      <c r="FTA992" s="124"/>
      <c r="FTB992" s="124"/>
      <c r="FTC992" s="124"/>
      <c r="FTD992" s="124"/>
      <c r="FTE992" s="124"/>
      <c r="FTF992" s="124"/>
      <c r="FTG992" s="124"/>
      <c r="FTH992" s="124"/>
      <c r="FTI992" s="124"/>
      <c r="FTJ992" s="124"/>
      <c r="FTK992" s="124"/>
      <c r="FTL992" s="124"/>
      <c r="FTM992" s="124"/>
      <c r="FTN992" s="124"/>
      <c r="FTO992" s="124"/>
      <c r="FTP992" s="124"/>
      <c r="FTQ992" s="124"/>
      <c r="FTR992" s="124"/>
      <c r="FTS992" s="124"/>
      <c r="FTT992" s="124"/>
      <c r="FTU992" s="124"/>
      <c r="FTV992" s="124"/>
      <c r="FTW992" s="124"/>
      <c r="FTX992" s="124"/>
      <c r="FTY992" s="124"/>
      <c r="FTZ992" s="124"/>
      <c r="FUA992" s="124"/>
      <c r="FUB992" s="124"/>
      <c r="FUC992" s="124"/>
      <c r="FUD992" s="124"/>
      <c r="FUE992" s="124"/>
      <c r="FUF992" s="124"/>
      <c r="FUG992" s="124"/>
      <c r="FUH992" s="124"/>
      <c r="FUI992" s="124"/>
      <c r="FUJ992" s="124"/>
      <c r="FUK992" s="124"/>
      <c r="FUL992" s="124"/>
      <c r="FUM992" s="124"/>
      <c r="FUN992" s="124"/>
      <c r="FUO992" s="124"/>
      <c r="FUP992" s="124"/>
      <c r="FUQ992" s="124"/>
      <c r="FUR992" s="124"/>
      <c r="FUS992" s="124"/>
      <c r="FUT992" s="124"/>
      <c r="FUU992" s="124"/>
      <c r="FUV992" s="124"/>
      <c r="FUW992" s="124"/>
      <c r="FUX992" s="124"/>
      <c r="FUY992" s="124"/>
      <c r="FUZ992" s="124"/>
      <c r="FVA992" s="124"/>
      <c r="FVB992" s="124"/>
      <c r="FVC992" s="124"/>
      <c r="FVD992" s="124"/>
      <c r="FVE992" s="124"/>
      <c r="FVF992" s="124"/>
      <c r="FVG992" s="124"/>
      <c r="FVH992" s="124"/>
      <c r="FVI992" s="124"/>
      <c r="FVJ992" s="124"/>
      <c r="FVK992" s="124"/>
      <c r="FVL992" s="124"/>
      <c r="FVM992" s="124"/>
      <c r="FVN992" s="124"/>
      <c r="FVO992" s="124"/>
      <c r="FVP992" s="124"/>
      <c r="FVQ992" s="124"/>
      <c r="FVR992" s="124"/>
      <c r="FVS992" s="124"/>
      <c r="FVT992" s="124"/>
      <c r="FVU992" s="124"/>
      <c r="FVV992" s="124"/>
      <c r="FVW992" s="124"/>
      <c r="FVX992" s="124"/>
      <c r="FVY992" s="124"/>
      <c r="FVZ992" s="124"/>
      <c r="FWA992" s="124"/>
      <c r="FWB992" s="124"/>
      <c r="FWC992" s="124"/>
      <c r="FWD992" s="124"/>
      <c r="FWE992" s="124"/>
      <c r="FWF992" s="124"/>
      <c r="FWG992" s="124"/>
      <c r="FWH992" s="124"/>
      <c r="FWI992" s="124"/>
      <c r="FWJ992" s="124"/>
      <c r="FWK992" s="124"/>
      <c r="FWL992" s="124"/>
      <c r="FWM992" s="124"/>
      <c r="FWN992" s="124"/>
      <c r="FWO992" s="124"/>
      <c r="FWP992" s="124"/>
      <c r="FWQ992" s="124"/>
      <c r="FWR992" s="124"/>
      <c r="FWS992" s="124"/>
      <c r="FWT992" s="124"/>
      <c r="FWU992" s="124"/>
      <c r="FWV992" s="124"/>
      <c r="FWW992" s="124"/>
      <c r="FWX992" s="124"/>
      <c r="FWY992" s="124"/>
      <c r="FWZ992" s="124"/>
      <c r="FXA992" s="124"/>
      <c r="FXB992" s="124"/>
      <c r="FXC992" s="124"/>
      <c r="FXD992" s="124"/>
      <c r="FXE992" s="124"/>
      <c r="FXF992" s="124"/>
      <c r="FXG992" s="124"/>
      <c r="FXH992" s="124"/>
      <c r="FXI992" s="124"/>
      <c r="FXJ992" s="124"/>
      <c r="FXK992" s="124"/>
      <c r="FXL992" s="124"/>
      <c r="FXM992" s="124"/>
      <c r="FXN992" s="124"/>
      <c r="FXO992" s="124"/>
      <c r="FXP992" s="124"/>
      <c r="FXQ992" s="124"/>
      <c r="FXR992" s="124"/>
      <c r="FXS992" s="124"/>
      <c r="FXT992" s="124"/>
      <c r="FXU992" s="124"/>
      <c r="FXV992" s="124"/>
      <c r="FXW992" s="124"/>
      <c r="FXX992" s="124"/>
      <c r="FXY992" s="124"/>
      <c r="FXZ992" s="124"/>
      <c r="FYA992" s="124"/>
      <c r="FYB992" s="124"/>
      <c r="FYC992" s="124"/>
      <c r="FYD992" s="124"/>
      <c r="FYE992" s="124"/>
      <c r="FYF992" s="124"/>
      <c r="FYG992" s="124"/>
      <c r="FYH992" s="124"/>
      <c r="FYI992" s="124"/>
      <c r="FYJ992" s="124"/>
      <c r="FYK992" s="124"/>
      <c r="FYL992" s="124"/>
      <c r="FYM992" s="124"/>
      <c r="FYN992" s="124"/>
      <c r="FYO992" s="124"/>
      <c r="FYP992" s="124"/>
      <c r="FYQ992" s="124"/>
      <c r="FYR992" s="124"/>
      <c r="FYS992" s="124"/>
      <c r="FYT992" s="124"/>
      <c r="FYU992" s="124"/>
      <c r="FYV992" s="124"/>
      <c r="FYW992" s="124"/>
      <c r="FYX992" s="124"/>
      <c r="FYY992" s="124"/>
      <c r="FYZ992" s="124"/>
      <c r="FZA992" s="124"/>
      <c r="FZB992" s="124"/>
      <c r="FZC992" s="124"/>
      <c r="FZD992" s="124"/>
      <c r="FZE992" s="124"/>
      <c r="FZF992" s="124"/>
      <c r="FZG992" s="124"/>
      <c r="FZH992" s="124"/>
      <c r="FZI992" s="124"/>
      <c r="FZJ992" s="124"/>
      <c r="FZK992" s="124"/>
      <c r="FZL992" s="124"/>
      <c r="FZM992" s="124"/>
      <c r="FZN992" s="124"/>
      <c r="FZO992" s="124"/>
      <c r="FZP992" s="124"/>
      <c r="FZQ992" s="124"/>
      <c r="FZR992" s="124"/>
      <c r="FZS992" s="124"/>
      <c r="FZT992" s="124"/>
      <c r="FZU992" s="124"/>
      <c r="FZV992" s="124"/>
      <c r="FZW992" s="124"/>
      <c r="FZX992" s="124"/>
      <c r="FZY992" s="124"/>
      <c r="FZZ992" s="124"/>
      <c r="GAA992" s="124"/>
      <c r="GAB992" s="124"/>
      <c r="GAC992" s="124"/>
      <c r="GAD992" s="124"/>
      <c r="GAE992" s="124"/>
      <c r="GAF992" s="124"/>
      <c r="GAG992" s="124"/>
      <c r="GAH992" s="124"/>
      <c r="GAI992" s="124"/>
      <c r="GAJ992" s="124"/>
      <c r="GAK992" s="124"/>
      <c r="GAL992" s="124"/>
      <c r="GAM992" s="124"/>
      <c r="GAN992" s="124"/>
      <c r="GAO992" s="124"/>
      <c r="GAP992" s="124"/>
      <c r="GAQ992" s="124"/>
      <c r="GAR992" s="124"/>
      <c r="GAS992" s="124"/>
      <c r="GAT992" s="124"/>
      <c r="GAU992" s="124"/>
      <c r="GAV992" s="124"/>
      <c r="GAW992" s="124"/>
      <c r="GAX992" s="124"/>
      <c r="GAY992" s="124"/>
      <c r="GAZ992" s="124"/>
      <c r="GBA992" s="124"/>
      <c r="GBB992" s="124"/>
      <c r="GBC992" s="124"/>
      <c r="GBD992" s="124"/>
      <c r="GBE992" s="124"/>
      <c r="GBF992" s="124"/>
      <c r="GBG992" s="124"/>
      <c r="GBH992" s="124"/>
      <c r="GBI992" s="124"/>
      <c r="GBJ992" s="124"/>
      <c r="GBK992" s="124"/>
      <c r="GBL992" s="124"/>
      <c r="GBM992" s="124"/>
      <c r="GBN992" s="124"/>
      <c r="GBO992" s="124"/>
      <c r="GBP992" s="124"/>
      <c r="GBQ992" s="124"/>
      <c r="GBR992" s="124"/>
      <c r="GBS992" s="124"/>
      <c r="GBT992" s="124"/>
      <c r="GBU992" s="124"/>
      <c r="GBV992" s="124"/>
      <c r="GBW992" s="124"/>
      <c r="GBX992" s="124"/>
      <c r="GBY992" s="124"/>
      <c r="GBZ992" s="124"/>
      <c r="GCA992" s="124"/>
      <c r="GCB992" s="124"/>
      <c r="GCC992" s="124"/>
      <c r="GCD992" s="124"/>
      <c r="GCE992" s="124"/>
      <c r="GCF992" s="124"/>
      <c r="GCG992" s="124"/>
      <c r="GCH992" s="124"/>
      <c r="GCI992" s="124"/>
      <c r="GCJ992" s="124"/>
      <c r="GCK992" s="124"/>
      <c r="GCL992" s="124"/>
      <c r="GCM992" s="124"/>
      <c r="GCN992" s="124"/>
      <c r="GCO992" s="124"/>
      <c r="GCP992" s="124"/>
      <c r="GCQ992" s="124"/>
      <c r="GCR992" s="124"/>
      <c r="GCS992" s="124"/>
      <c r="GCT992" s="124"/>
      <c r="GCU992" s="124"/>
      <c r="GCV992" s="124"/>
      <c r="GCW992" s="124"/>
      <c r="GCX992" s="124"/>
      <c r="GCY992" s="124"/>
      <c r="GCZ992" s="124"/>
      <c r="GDA992" s="124"/>
      <c r="GDB992" s="124"/>
      <c r="GDC992" s="124"/>
      <c r="GDD992" s="124"/>
      <c r="GDE992" s="124"/>
      <c r="GDF992" s="124"/>
      <c r="GDG992" s="124"/>
      <c r="GDH992" s="124"/>
      <c r="GDI992" s="124"/>
      <c r="GDJ992" s="124"/>
      <c r="GDK992" s="124"/>
      <c r="GDL992" s="124"/>
      <c r="GDM992" s="124"/>
      <c r="GDN992" s="124"/>
      <c r="GDO992" s="124"/>
      <c r="GDP992" s="124"/>
      <c r="GDQ992" s="124"/>
      <c r="GDR992" s="124"/>
      <c r="GDS992" s="124"/>
      <c r="GDT992" s="124"/>
      <c r="GDU992" s="124"/>
      <c r="GDV992" s="124"/>
      <c r="GDW992" s="124"/>
      <c r="GDX992" s="124"/>
      <c r="GDY992" s="124"/>
      <c r="GDZ992" s="124"/>
      <c r="GEA992" s="124"/>
      <c r="GEB992" s="124"/>
      <c r="GEC992" s="124"/>
      <c r="GED992" s="124"/>
      <c r="GEE992" s="124"/>
      <c r="GEF992" s="124"/>
      <c r="GEG992" s="124"/>
      <c r="GEH992" s="124"/>
      <c r="GEI992" s="124"/>
      <c r="GEJ992" s="124"/>
      <c r="GEK992" s="124"/>
      <c r="GEL992" s="124"/>
      <c r="GEM992" s="124"/>
      <c r="GEN992" s="124"/>
      <c r="GEO992" s="124"/>
      <c r="GEP992" s="124"/>
      <c r="GEQ992" s="124"/>
      <c r="GER992" s="124"/>
      <c r="GES992" s="124"/>
      <c r="GET992" s="124"/>
      <c r="GEU992" s="124"/>
      <c r="GEV992" s="124"/>
      <c r="GEW992" s="124"/>
      <c r="GEX992" s="124"/>
      <c r="GEY992" s="124"/>
      <c r="GEZ992" s="124"/>
      <c r="GFA992" s="124"/>
      <c r="GFB992" s="124"/>
      <c r="GFC992" s="124"/>
      <c r="GFD992" s="124"/>
      <c r="GFE992" s="124"/>
      <c r="GFF992" s="124"/>
      <c r="GFG992" s="124"/>
      <c r="GFH992" s="124"/>
      <c r="GFI992" s="124"/>
      <c r="GFJ992" s="124"/>
      <c r="GFK992" s="124"/>
      <c r="GFL992" s="124"/>
      <c r="GFM992" s="124"/>
      <c r="GFN992" s="124"/>
      <c r="GFO992" s="124"/>
      <c r="GFP992" s="124"/>
      <c r="GFQ992" s="124"/>
      <c r="GFR992" s="124"/>
      <c r="GFS992" s="124"/>
      <c r="GFT992" s="124"/>
      <c r="GFU992" s="124"/>
      <c r="GFV992" s="124"/>
      <c r="GFW992" s="124"/>
      <c r="GFX992" s="124"/>
      <c r="GFY992" s="124"/>
      <c r="GFZ992" s="124"/>
      <c r="GGA992" s="124"/>
      <c r="GGB992" s="124"/>
      <c r="GGC992" s="124"/>
      <c r="GGD992" s="124"/>
      <c r="GGE992" s="124"/>
      <c r="GGF992" s="124"/>
      <c r="GGG992" s="124"/>
      <c r="GGH992" s="124"/>
      <c r="GGI992" s="124"/>
      <c r="GGJ992" s="124"/>
      <c r="GGK992" s="124"/>
      <c r="GGL992" s="124"/>
      <c r="GGM992" s="124"/>
      <c r="GGN992" s="124"/>
      <c r="GGO992" s="124"/>
      <c r="GGP992" s="124"/>
      <c r="GGQ992" s="124"/>
      <c r="GGR992" s="124"/>
      <c r="GGS992" s="124"/>
      <c r="GGT992" s="124"/>
      <c r="GGU992" s="124"/>
      <c r="GGV992" s="124"/>
      <c r="GGW992" s="124"/>
      <c r="GGX992" s="124"/>
      <c r="GGY992" s="124"/>
      <c r="GGZ992" s="124"/>
      <c r="GHA992" s="124"/>
      <c r="GHB992" s="124"/>
      <c r="GHC992" s="124"/>
      <c r="GHD992" s="124"/>
      <c r="GHE992" s="124"/>
      <c r="GHF992" s="124"/>
      <c r="GHG992" s="124"/>
      <c r="GHH992" s="124"/>
      <c r="GHI992" s="124"/>
      <c r="GHJ992" s="124"/>
      <c r="GHK992" s="124"/>
      <c r="GHL992" s="124"/>
      <c r="GHM992" s="124"/>
      <c r="GHN992" s="124"/>
      <c r="GHO992" s="124"/>
      <c r="GHP992" s="124"/>
      <c r="GHQ992" s="124"/>
      <c r="GHR992" s="124"/>
      <c r="GHS992" s="124"/>
      <c r="GHT992" s="124"/>
      <c r="GHU992" s="124"/>
      <c r="GHV992" s="124"/>
      <c r="GHW992" s="124"/>
      <c r="GHX992" s="124"/>
      <c r="GHY992" s="124"/>
      <c r="GHZ992" s="124"/>
      <c r="GIA992" s="124"/>
      <c r="GIB992" s="124"/>
      <c r="GIC992" s="124"/>
      <c r="GID992" s="124"/>
      <c r="GIE992" s="124"/>
      <c r="GIF992" s="124"/>
      <c r="GIG992" s="124"/>
      <c r="GIH992" s="124"/>
      <c r="GII992" s="124"/>
      <c r="GIJ992" s="124"/>
      <c r="GIK992" s="124"/>
      <c r="GIL992" s="124"/>
      <c r="GIM992" s="124"/>
      <c r="GIN992" s="124"/>
      <c r="GIO992" s="124"/>
      <c r="GIP992" s="124"/>
      <c r="GIQ992" s="124"/>
      <c r="GIR992" s="124"/>
      <c r="GIS992" s="124"/>
      <c r="GIT992" s="124"/>
      <c r="GIU992" s="124"/>
      <c r="GIV992" s="124"/>
      <c r="GIW992" s="124"/>
      <c r="GIX992" s="124"/>
      <c r="GIY992" s="124"/>
      <c r="GIZ992" s="124"/>
      <c r="GJA992" s="124"/>
      <c r="GJB992" s="124"/>
      <c r="GJC992" s="124"/>
      <c r="GJD992" s="124"/>
      <c r="GJE992" s="124"/>
      <c r="GJF992" s="124"/>
      <c r="GJG992" s="124"/>
      <c r="GJH992" s="124"/>
      <c r="GJI992" s="124"/>
      <c r="GJJ992" s="124"/>
      <c r="GJK992" s="124"/>
      <c r="GJL992" s="124"/>
      <c r="GJM992" s="124"/>
      <c r="GJN992" s="124"/>
      <c r="GJO992" s="124"/>
      <c r="GJP992" s="124"/>
      <c r="GJQ992" s="124"/>
      <c r="GJR992" s="124"/>
      <c r="GJS992" s="124"/>
      <c r="GJT992" s="124"/>
      <c r="GJU992" s="124"/>
      <c r="GJV992" s="124"/>
      <c r="GJW992" s="124"/>
      <c r="GJX992" s="124"/>
      <c r="GJY992" s="124"/>
      <c r="GJZ992" s="124"/>
      <c r="GKA992" s="124"/>
      <c r="GKB992" s="124"/>
      <c r="GKC992" s="124"/>
      <c r="GKD992" s="124"/>
      <c r="GKE992" s="124"/>
      <c r="GKF992" s="124"/>
      <c r="GKG992" s="124"/>
      <c r="GKH992" s="124"/>
      <c r="GKI992" s="124"/>
      <c r="GKJ992" s="124"/>
      <c r="GKK992" s="124"/>
      <c r="GKL992" s="124"/>
      <c r="GKM992" s="124"/>
      <c r="GKN992" s="124"/>
      <c r="GKO992" s="124"/>
      <c r="GKP992" s="124"/>
      <c r="GKQ992" s="124"/>
      <c r="GKR992" s="124"/>
      <c r="GKS992" s="124"/>
      <c r="GKT992" s="124"/>
      <c r="GKU992" s="124"/>
      <c r="GKV992" s="124"/>
      <c r="GKW992" s="124"/>
      <c r="GKX992" s="124"/>
      <c r="GKY992" s="124"/>
      <c r="GKZ992" s="124"/>
      <c r="GLA992" s="124"/>
      <c r="GLB992" s="124"/>
      <c r="GLC992" s="124"/>
      <c r="GLD992" s="124"/>
      <c r="GLE992" s="124"/>
      <c r="GLF992" s="124"/>
      <c r="GLG992" s="124"/>
      <c r="GLH992" s="124"/>
      <c r="GLI992" s="124"/>
      <c r="GLJ992" s="124"/>
      <c r="GLK992" s="124"/>
      <c r="GLL992" s="124"/>
      <c r="GLM992" s="124"/>
      <c r="GLN992" s="124"/>
      <c r="GLO992" s="124"/>
      <c r="GLP992" s="124"/>
      <c r="GLQ992" s="124"/>
      <c r="GLR992" s="124"/>
      <c r="GLS992" s="124"/>
      <c r="GLT992" s="124"/>
      <c r="GLU992" s="124"/>
      <c r="GLV992" s="124"/>
      <c r="GLW992" s="124"/>
      <c r="GLX992" s="124"/>
      <c r="GLY992" s="124"/>
      <c r="GLZ992" s="124"/>
      <c r="GMA992" s="124"/>
      <c r="GMB992" s="124"/>
      <c r="GMC992" s="124"/>
      <c r="GMD992" s="124"/>
      <c r="GME992" s="124"/>
      <c r="GMF992" s="124"/>
      <c r="GMG992" s="124"/>
      <c r="GMH992" s="124"/>
      <c r="GMI992" s="124"/>
      <c r="GMJ992" s="124"/>
      <c r="GMK992" s="124"/>
      <c r="GML992" s="124"/>
      <c r="GMM992" s="124"/>
      <c r="GMN992" s="124"/>
      <c r="GMO992" s="124"/>
      <c r="GMP992" s="124"/>
      <c r="GMQ992" s="124"/>
      <c r="GMR992" s="124"/>
      <c r="GMS992" s="124"/>
      <c r="GMT992" s="124"/>
      <c r="GMU992" s="124"/>
      <c r="GMV992" s="124"/>
      <c r="GMW992" s="124"/>
      <c r="GMX992" s="124"/>
      <c r="GMY992" s="124"/>
      <c r="GMZ992" s="124"/>
      <c r="GNA992" s="124"/>
      <c r="GNB992" s="124"/>
      <c r="GNC992" s="124"/>
      <c r="GND992" s="124"/>
      <c r="GNE992" s="124"/>
      <c r="GNF992" s="124"/>
      <c r="GNG992" s="124"/>
      <c r="GNH992" s="124"/>
      <c r="GNI992" s="124"/>
      <c r="GNJ992" s="124"/>
      <c r="GNK992" s="124"/>
      <c r="GNL992" s="124"/>
      <c r="GNM992" s="124"/>
      <c r="GNN992" s="124"/>
      <c r="GNO992" s="124"/>
      <c r="GNP992" s="124"/>
      <c r="GNQ992" s="124"/>
      <c r="GNR992" s="124"/>
      <c r="GNS992" s="124"/>
      <c r="GNT992" s="124"/>
      <c r="GNU992" s="124"/>
      <c r="GNV992" s="124"/>
      <c r="GNW992" s="124"/>
      <c r="GNX992" s="124"/>
      <c r="GNY992" s="124"/>
      <c r="GNZ992" s="124"/>
      <c r="GOA992" s="124"/>
      <c r="GOB992" s="124"/>
      <c r="GOC992" s="124"/>
      <c r="GOD992" s="124"/>
      <c r="GOE992" s="124"/>
      <c r="GOF992" s="124"/>
      <c r="GOG992" s="124"/>
      <c r="GOH992" s="124"/>
      <c r="GOI992" s="124"/>
      <c r="GOJ992" s="124"/>
      <c r="GOK992" s="124"/>
      <c r="GOL992" s="124"/>
      <c r="GOM992" s="124"/>
      <c r="GON992" s="124"/>
      <c r="GOO992" s="124"/>
      <c r="GOP992" s="124"/>
      <c r="GOQ992" s="124"/>
      <c r="GOR992" s="124"/>
      <c r="GOS992" s="124"/>
      <c r="GOT992" s="124"/>
      <c r="GOU992" s="124"/>
      <c r="GOV992" s="124"/>
      <c r="GOW992" s="124"/>
      <c r="GOX992" s="124"/>
      <c r="GOY992" s="124"/>
      <c r="GOZ992" s="124"/>
      <c r="GPA992" s="124"/>
      <c r="GPB992" s="124"/>
      <c r="GPC992" s="124"/>
      <c r="GPD992" s="124"/>
      <c r="GPE992" s="124"/>
      <c r="GPF992" s="124"/>
      <c r="GPG992" s="124"/>
      <c r="GPH992" s="124"/>
      <c r="GPI992" s="124"/>
      <c r="GPJ992" s="124"/>
      <c r="GPK992" s="124"/>
      <c r="GPL992" s="124"/>
      <c r="GPM992" s="124"/>
      <c r="GPN992" s="124"/>
      <c r="GPO992" s="124"/>
      <c r="GPP992" s="124"/>
      <c r="GPQ992" s="124"/>
      <c r="GPR992" s="124"/>
      <c r="GPS992" s="124"/>
      <c r="GPT992" s="124"/>
      <c r="GPU992" s="124"/>
      <c r="GPV992" s="124"/>
      <c r="GPW992" s="124"/>
      <c r="GPX992" s="124"/>
      <c r="GPY992" s="124"/>
      <c r="GPZ992" s="124"/>
      <c r="GQA992" s="124"/>
      <c r="GQB992" s="124"/>
      <c r="GQC992" s="124"/>
      <c r="GQD992" s="124"/>
      <c r="GQE992" s="124"/>
      <c r="GQF992" s="124"/>
      <c r="GQG992" s="124"/>
      <c r="GQH992" s="124"/>
      <c r="GQI992" s="124"/>
      <c r="GQJ992" s="124"/>
      <c r="GQK992" s="124"/>
      <c r="GQL992" s="124"/>
      <c r="GQM992" s="124"/>
      <c r="GQN992" s="124"/>
      <c r="GQO992" s="124"/>
      <c r="GQP992" s="124"/>
      <c r="GQQ992" s="124"/>
      <c r="GQR992" s="124"/>
      <c r="GQS992" s="124"/>
      <c r="GQT992" s="124"/>
      <c r="GQU992" s="124"/>
      <c r="GQV992" s="124"/>
      <c r="GQW992" s="124"/>
      <c r="GQX992" s="124"/>
      <c r="GQY992" s="124"/>
      <c r="GQZ992" s="124"/>
      <c r="GRA992" s="124"/>
      <c r="GRB992" s="124"/>
      <c r="GRC992" s="124"/>
      <c r="GRD992" s="124"/>
      <c r="GRE992" s="124"/>
      <c r="GRF992" s="124"/>
      <c r="GRG992" s="124"/>
      <c r="GRH992" s="124"/>
      <c r="GRI992" s="124"/>
      <c r="GRJ992" s="124"/>
      <c r="GRK992" s="124"/>
      <c r="GRL992" s="124"/>
      <c r="GRM992" s="124"/>
      <c r="GRN992" s="124"/>
      <c r="GRO992" s="124"/>
      <c r="GRP992" s="124"/>
      <c r="GRQ992" s="124"/>
      <c r="GRR992" s="124"/>
      <c r="GRS992" s="124"/>
      <c r="GRT992" s="124"/>
      <c r="GRU992" s="124"/>
      <c r="GRV992" s="124"/>
      <c r="GRW992" s="124"/>
      <c r="GRX992" s="124"/>
      <c r="GRY992" s="124"/>
      <c r="GRZ992" s="124"/>
      <c r="GSA992" s="124"/>
      <c r="GSB992" s="124"/>
      <c r="GSC992" s="124"/>
      <c r="GSD992" s="124"/>
      <c r="GSE992" s="124"/>
      <c r="GSF992" s="124"/>
      <c r="GSG992" s="124"/>
      <c r="GSH992" s="124"/>
      <c r="GSI992" s="124"/>
      <c r="GSJ992" s="124"/>
      <c r="GSK992" s="124"/>
      <c r="GSL992" s="124"/>
      <c r="GSM992" s="124"/>
      <c r="GSN992" s="124"/>
      <c r="GSO992" s="124"/>
      <c r="GSP992" s="124"/>
      <c r="GSQ992" s="124"/>
      <c r="GSR992" s="124"/>
      <c r="GSS992" s="124"/>
      <c r="GST992" s="124"/>
      <c r="GSU992" s="124"/>
      <c r="GSV992" s="124"/>
      <c r="GSW992" s="124"/>
      <c r="GSX992" s="124"/>
      <c r="GSY992" s="124"/>
      <c r="GSZ992" s="124"/>
      <c r="GTA992" s="124"/>
      <c r="GTB992" s="124"/>
      <c r="GTC992" s="124"/>
      <c r="GTD992" s="124"/>
      <c r="GTE992" s="124"/>
      <c r="GTF992" s="124"/>
      <c r="GTG992" s="124"/>
      <c r="GTH992" s="124"/>
      <c r="GTI992" s="124"/>
      <c r="GTJ992" s="124"/>
      <c r="GTK992" s="124"/>
      <c r="GTL992" s="124"/>
      <c r="GTM992" s="124"/>
      <c r="GTN992" s="124"/>
      <c r="GTO992" s="124"/>
      <c r="GTP992" s="124"/>
      <c r="GTQ992" s="124"/>
      <c r="GTR992" s="124"/>
      <c r="GTS992" s="124"/>
      <c r="GTT992" s="124"/>
      <c r="GTU992" s="124"/>
      <c r="GTV992" s="124"/>
      <c r="GTW992" s="124"/>
      <c r="GTX992" s="124"/>
      <c r="GTY992" s="124"/>
      <c r="GTZ992" s="124"/>
      <c r="GUA992" s="124"/>
      <c r="GUB992" s="124"/>
      <c r="GUC992" s="124"/>
      <c r="GUD992" s="124"/>
      <c r="GUE992" s="124"/>
      <c r="GUF992" s="124"/>
      <c r="GUG992" s="124"/>
      <c r="GUH992" s="124"/>
      <c r="GUI992" s="124"/>
      <c r="GUJ992" s="124"/>
      <c r="GUK992" s="124"/>
      <c r="GUL992" s="124"/>
      <c r="GUM992" s="124"/>
      <c r="GUN992" s="124"/>
      <c r="GUO992" s="124"/>
      <c r="GUP992" s="124"/>
      <c r="GUQ992" s="124"/>
      <c r="GUR992" s="124"/>
      <c r="GUS992" s="124"/>
      <c r="GUT992" s="124"/>
      <c r="GUU992" s="124"/>
      <c r="GUV992" s="124"/>
      <c r="GUW992" s="124"/>
      <c r="GUX992" s="124"/>
      <c r="GUY992" s="124"/>
      <c r="GUZ992" s="124"/>
      <c r="GVA992" s="124"/>
      <c r="GVB992" s="124"/>
      <c r="GVC992" s="124"/>
      <c r="GVD992" s="124"/>
      <c r="GVE992" s="124"/>
      <c r="GVF992" s="124"/>
      <c r="GVG992" s="124"/>
      <c r="GVH992" s="124"/>
      <c r="GVI992" s="124"/>
      <c r="GVJ992" s="124"/>
      <c r="GVK992" s="124"/>
      <c r="GVL992" s="124"/>
      <c r="GVM992" s="124"/>
      <c r="GVN992" s="124"/>
      <c r="GVO992" s="124"/>
      <c r="GVP992" s="124"/>
      <c r="GVQ992" s="124"/>
      <c r="GVR992" s="124"/>
      <c r="GVS992" s="124"/>
      <c r="GVT992" s="124"/>
      <c r="GVU992" s="124"/>
      <c r="GVV992" s="124"/>
      <c r="GVW992" s="124"/>
      <c r="GVX992" s="124"/>
      <c r="GVY992" s="124"/>
      <c r="GVZ992" s="124"/>
      <c r="GWA992" s="124"/>
      <c r="GWB992" s="124"/>
      <c r="GWC992" s="124"/>
      <c r="GWD992" s="124"/>
      <c r="GWE992" s="124"/>
      <c r="GWF992" s="124"/>
      <c r="GWG992" s="124"/>
      <c r="GWH992" s="124"/>
      <c r="GWI992" s="124"/>
      <c r="GWJ992" s="124"/>
      <c r="GWK992" s="124"/>
      <c r="GWL992" s="124"/>
      <c r="GWM992" s="124"/>
      <c r="GWN992" s="124"/>
      <c r="GWO992" s="124"/>
      <c r="GWP992" s="124"/>
      <c r="GWQ992" s="124"/>
      <c r="GWR992" s="124"/>
      <c r="GWS992" s="124"/>
      <c r="GWT992" s="124"/>
      <c r="GWU992" s="124"/>
      <c r="GWV992" s="124"/>
      <c r="GWW992" s="124"/>
      <c r="GWX992" s="124"/>
      <c r="GWY992" s="124"/>
      <c r="GWZ992" s="124"/>
      <c r="GXA992" s="124"/>
      <c r="GXB992" s="124"/>
      <c r="GXC992" s="124"/>
      <c r="GXD992" s="124"/>
      <c r="GXE992" s="124"/>
      <c r="GXF992" s="124"/>
      <c r="GXG992" s="124"/>
      <c r="GXH992" s="124"/>
      <c r="GXI992" s="124"/>
      <c r="GXJ992" s="124"/>
      <c r="GXK992" s="124"/>
      <c r="GXL992" s="124"/>
      <c r="GXM992" s="124"/>
      <c r="GXN992" s="124"/>
      <c r="GXO992" s="124"/>
      <c r="GXP992" s="124"/>
      <c r="GXQ992" s="124"/>
      <c r="GXR992" s="124"/>
      <c r="GXS992" s="124"/>
      <c r="GXT992" s="124"/>
      <c r="GXU992" s="124"/>
      <c r="GXV992" s="124"/>
      <c r="GXW992" s="124"/>
      <c r="GXX992" s="124"/>
      <c r="GXY992" s="124"/>
      <c r="GXZ992" s="124"/>
      <c r="GYA992" s="124"/>
      <c r="GYB992" s="124"/>
      <c r="GYC992" s="124"/>
      <c r="GYD992" s="124"/>
      <c r="GYE992" s="124"/>
      <c r="GYF992" s="124"/>
      <c r="GYG992" s="124"/>
      <c r="GYH992" s="124"/>
      <c r="GYI992" s="124"/>
      <c r="GYJ992" s="124"/>
      <c r="GYK992" s="124"/>
      <c r="GYL992" s="124"/>
      <c r="GYM992" s="124"/>
      <c r="GYN992" s="124"/>
      <c r="GYO992" s="124"/>
      <c r="GYP992" s="124"/>
      <c r="GYQ992" s="124"/>
      <c r="GYR992" s="124"/>
      <c r="GYS992" s="124"/>
      <c r="GYT992" s="124"/>
      <c r="GYU992" s="124"/>
      <c r="GYV992" s="124"/>
      <c r="GYW992" s="124"/>
      <c r="GYX992" s="124"/>
      <c r="GYY992" s="124"/>
      <c r="GYZ992" s="124"/>
      <c r="GZA992" s="124"/>
      <c r="GZB992" s="124"/>
      <c r="GZC992" s="124"/>
      <c r="GZD992" s="124"/>
      <c r="GZE992" s="124"/>
      <c r="GZF992" s="124"/>
      <c r="GZG992" s="124"/>
      <c r="GZH992" s="124"/>
      <c r="GZI992" s="124"/>
      <c r="GZJ992" s="124"/>
      <c r="GZK992" s="124"/>
      <c r="GZL992" s="124"/>
      <c r="GZM992" s="124"/>
      <c r="GZN992" s="124"/>
      <c r="GZO992" s="124"/>
      <c r="GZP992" s="124"/>
      <c r="GZQ992" s="124"/>
      <c r="GZR992" s="124"/>
      <c r="GZS992" s="124"/>
      <c r="GZT992" s="124"/>
      <c r="GZU992" s="124"/>
      <c r="GZV992" s="124"/>
      <c r="GZW992" s="124"/>
      <c r="GZX992" s="124"/>
      <c r="GZY992" s="124"/>
      <c r="GZZ992" s="124"/>
      <c r="HAA992" s="124"/>
      <c r="HAB992" s="124"/>
      <c r="HAC992" s="124"/>
      <c r="HAD992" s="124"/>
      <c r="HAE992" s="124"/>
      <c r="HAF992" s="124"/>
      <c r="HAG992" s="124"/>
      <c r="HAH992" s="124"/>
      <c r="HAI992" s="124"/>
      <c r="HAJ992" s="124"/>
      <c r="HAK992" s="124"/>
      <c r="HAL992" s="124"/>
      <c r="HAM992" s="124"/>
      <c r="HAN992" s="124"/>
      <c r="HAO992" s="124"/>
      <c r="HAP992" s="124"/>
      <c r="HAQ992" s="124"/>
      <c r="HAR992" s="124"/>
      <c r="HAS992" s="124"/>
      <c r="HAT992" s="124"/>
      <c r="HAU992" s="124"/>
      <c r="HAV992" s="124"/>
      <c r="HAW992" s="124"/>
      <c r="HAX992" s="124"/>
      <c r="HAY992" s="124"/>
      <c r="HAZ992" s="124"/>
      <c r="HBA992" s="124"/>
      <c r="HBB992" s="124"/>
      <c r="HBC992" s="124"/>
      <c r="HBD992" s="124"/>
      <c r="HBE992" s="124"/>
      <c r="HBF992" s="124"/>
      <c r="HBG992" s="124"/>
      <c r="HBH992" s="124"/>
      <c r="HBI992" s="124"/>
      <c r="HBJ992" s="124"/>
      <c r="HBK992" s="124"/>
      <c r="HBL992" s="124"/>
      <c r="HBM992" s="124"/>
      <c r="HBN992" s="124"/>
      <c r="HBO992" s="124"/>
      <c r="HBP992" s="124"/>
      <c r="HBQ992" s="124"/>
      <c r="HBR992" s="124"/>
      <c r="HBS992" s="124"/>
      <c r="HBT992" s="124"/>
      <c r="HBU992" s="124"/>
      <c r="HBV992" s="124"/>
      <c r="HBW992" s="124"/>
      <c r="HBX992" s="124"/>
      <c r="HBY992" s="124"/>
      <c r="HBZ992" s="124"/>
      <c r="HCA992" s="124"/>
      <c r="HCB992" s="124"/>
      <c r="HCC992" s="124"/>
      <c r="HCD992" s="124"/>
      <c r="HCE992" s="124"/>
      <c r="HCF992" s="124"/>
      <c r="HCG992" s="124"/>
      <c r="HCH992" s="124"/>
      <c r="HCI992" s="124"/>
      <c r="HCJ992" s="124"/>
      <c r="HCK992" s="124"/>
      <c r="HCL992" s="124"/>
      <c r="HCM992" s="124"/>
      <c r="HCN992" s="124"/>
      <c r="HCO992" s="124"/>
      <c r="HCP992" s="124"/>
      <c r="HCQ992" s="124"/>
      <c r="HCR992" s="124"/>
      <c r="HCS992" s="124"/>
      <c r="HCT992" s="124"/>
      <c r="HCU992" s="124"/>
      <c r="HCV992" s="124"/>
      <c r="HCW992" s="124"/>
      <c r="HCX992" s="124"/>
      <c r="HCY992" s="124"/>
      <c r="HCZ992" s="124"/>
      <c r="HDA992" s="124"/>
      <c r="HDB992" s="124"/>
      <c r="HDC992" s="124"/>
      <c r="HDD992" s="124"/>
      <c r="HDE992" s="124"/>
      <c r="HDF992" s="124"/>
      <c r="HDG992" s="124"/>
      <c r="HDH992" s="124"/>
      <c r="HDI992" s="124"/>
      <c r="HDJ992" s="124"/>
      <c r="HDK992" s="124"/>
      <c r="HDL992" s="124"/>
      <c r="HDM992" s="124"/>
      <c r="HDN992" s="124"/>
      <c r="HDO992" s="124"/>
      <c r="HDP992" s="124"/>
      <c r="HDQ992" s="124"/>
      <c r="HDR992" s="124"/>
      <c r="HDS992" s="124"/>
      <c r="HDT992" s="124"/>
      <c r="HDU992" s="124"/>
      <c r="HDV992" s="124"/>
      <c r="HDW992" s="124"/>
      <c r="HDX992" s="124"/>
      <c r="HDY992" s="124"/>
      <c r="HDZ992" s="124"/>
      <c r="HEA992" s="124"/>
      <c r="HEB992" s="124"/>
      <c r="HEC992" s="124"/>
      <c r="HED992" s="124"/>
      <c r="HEE992" s="124"/>
      <c r="HEF992" s="124"/>
      <c r="HEG992" s="124"/>
      <c r="HEH992" s="124"/>
      <c r="HEI992" s="124"/>
      <c r="HEJ992" s="124"/>
      <c r="HEK992" s="124"/>
      <c r="HEL992" s="124"/>
      <c r="HEM992" s="124"/>
      <c r="HEN992" s="124"/>
      <c r="HEO992" s="124"/>
      <c r="HEP992" s="124"/>
      <c r="HEQ992" s="124"/>
      <c r="HER992" s="124"/>
      <c r="HES992" s="124"/>
      <c r="HET992" s="124"/>
      <c r="HEU992" s="124"/>
      <c r="HEV992" s="124"/>
      <c r="HEW992" s="124"/>
      <c r="HEX992" s="124"/>
      <c r="HEY992" s="124"/>
      <c r="HEZ992" s="124"/>
      <c r="HFA992" s="124"/>
      <c r="HFB992" s="124"/>
      <c r="HFC992" s="124"/>
      <c r="HFD992" s="124"/>
      <c r="HFE992" s="124"/>
      <c r="HFF992" s="124"/>
      <c r="HFG992" s="124"/>
      <c r="HFH992" s="124"/>
      <c r="HFI992" s="124"/>
      <c r="HFJ992" s="124"/>
      <c r="HFK992" s="124"/>
      <c r="HFL992" s="124"/>
      <c r="HFM992" s="124"/>
      <c r="HFN992" s="124"/>
      <c r="HFO992" s="124"/>
      <c r="HFP992" s="124"/>
      <c r="HFQ992" s="124"/>
      <c r="HFR992" s="124"/>
      <c r="HFS992" s="124"/>
      <c r="HFT992" s="124"/>
      <c r="HFU992" s="124"/>
      <c r="HFV992" s="124"/>
      <c r="HFW992" s="124"/>
      <c r="HFX992" s="124"/>
      <c r="HFY992" s="124"/>
      <c r="HFZ992" s="124"/>
      <c r="HGA992" s="124"/>
      <c r="HGB992" s="124"/>
      <c r="HGC992" s="124"/>
      <c r="HGD992" s="124"/>
      <c r="HGE992" s="124"/>
      <c r="HGF992" s="124"/>
      <c r="HGG992" s="124"/>
      <c r="HGH992" s="124"/>
      <c r="HGI992" s="124"/>
      <c r="HGJ992" s="124"/>
      <c r="HGK992" s="124"/>
      <c r="HGL992" s="124"/>
      <c r="HGM992" s="124"/>
      <c r="HGN992" s="124"/>
      <c r="HGO992" s="124"/>
      <c r="HGP992" s="124"/>
      <c r="HGQ992" s="124"/>
      <c r="HGR992" s="124"/>
      <c r="HGS992" s="124"/>
      <c r="HGT992" s="124"/>
      <c r="HGU992" s="124"/>
      <c r="HGV992" s="124"/>
      <c r="HGW992" s="124"/>
      <c r="HGX992" s="124"/>
      <c r="HGY992" s="124"/>
      <c r="HGZ992" s="124"/>
      <c r="HHA992" s="124"/>
      <c r="HHB992" s="124"/>
      <c r="HHC992" s="124"/>
      <c r="HHD992" s="124"/>
      <c r="HHE992" s="124"/>
      <c r="HHF992" s="124"/>
      <c r="HHG992" s="124"/>
      <c r="HHH992" s="124"/>
      <c r="HHI992" s="124"/>
      <c r="HHJ992" s="124"/>
      <c r="HHK992" s="124"/>
      <c r="HHL992" s="124"/>
      <c r="HHM992" s="124"/>
      <c r="HHN992" s="124"/>
      <c r="HHO992" s="124"/>
      <c r="HHP992" s="124"/>
      <c r="HHQ992" s="124"/>
      <c r="HHR992" s="124"/>
      <c r="HHS992" s="124"/>
      <c r="HHT992" s="124"/>
      <c r="HHU992" s="124"/>
      <c r="HHV992" s="124"/>
      <c r="HHW992" s="124"/>
      <c r="HHX992" s="124"/>
      <c r="HHY992" s="124"/>
      <c r="HHZ992" s="124"/>
      <c r="HIA992" s="124"/>
      <c r="HIB992" s="124"/>
      <c r="HIC992" s="124"/>
      <c r="HID992" s="124"/>
      <c r="HIE992" s="124"/>
      <c r="HIF992" s="124"/>
      <c r="HIG992" s="124"/>
      <c r="HIH992" s="124"/>
      <c r="HII992" s="124"/>
      <c r="HIJ992" s="124"/>
      <c r="HIK992" s="124"/>
      <c r="HIL992" s="124"/>
      <c r="HIM992" s="124"/>
      <c r="HIN992" s="124"/>
      <c r="HIO992" s="124"/>
      <c r="HIP992" s="124"/>
      <c r="HIQ992" s="124"/>
      <c r="HIR992" s="124"/>
      <c r="HIS992" s="124"/>
      <c r="HIT992" s="124"/>
      <c r="HIU992" s="124"/>
      <c r="HIV992" s="124"/>
      <c r="HIW992" s="124"/>
      <c r="HIX992" s="124"/>
      <c r="HIY992" s="124"/>
      <c r="HIZ992" s="124"/>
      <c r="HJA992" s="124"/>
      <c r="HJB992" s="124"/>
      <c r="HJC992" s="124"/>
      <c r="HJD992" s="124"/>
      <c r="HJE992" s="124"/>
      <c r="HJF992" s="124"/>
      <c r="HJG992" s="124"/>
      <c r="HJH992" s="124"/>
      <c r="HJI992" s="124"/>
      <c r="HJJ992" s="124"/>
      <c r="HJK992" s="124"/>
      <c r="HJL992" s="124"/>
      <c r="HJM992" s="124"/>
      <c r="HJN992" s="124"/>
      <c r="HJO992" s="124"/>
      <c r="HJP992" s="124"/>
      <c r="HJQ992" s="124"/>
      <c r="HJR992" s="124"/>
      <c r="HJS992" s="124"/>
      <c r="HJT992" s="124"/>
      <c r="HJU992" s="124"/>
      <c r="HJV992" s="124"/>
      <c r="HJW992" s="124"/>
      <c r="HJX992" s="124"/>
      <c r="HJY992" s="124"/>
      <c r="HJZ992" s="124"/>
      <c r="HKA992" s="124"/>
      <c r="HKB992" s="124"/>
      <c r="HKC992" s="124"/>
      <c r="HKD992" s="124"/>
      <c r="HKE992" s="124"/>
      <c r="HKF992" s="124"/>
      <c r="HKG992" s="124"/>
      <c r="HKH992" s="124"/>
      <c r="HKI992" s="124"/>
      <c r="HKJ992" s="124"/>
      <c r="HKK992" s="124"/>
      <c r="HKL992" s="124"/>
      <c r="HKM992" s="124"/>
      <c r="HKN992" s="124"/>
      <c r="HKO992" s="124"/>
      <c r="HKP992" s="124"/>
      <c r="HKQ992" s="124"/>
      <c r="HKR992" s="124"/>
      <c r="HKS992" s="124"/>
      <c r="HKT992" s="124"/>
      <c r="HKU992" s="124"/>
      <c r="HKV992" s="124"/>
      <c r="HKW992" s="124"/>
      <c r="HKX992" s="124"/>
      <c r="HKY992" s="124"/>
      <c r="HKZ992" s="124"/>
      <c r="HLA992" s="124"/>
      <c r="HLB992" s="124"/>
      <c r="HLC992" s="124"/>
      <c r="HLD992" s="124"/>
      <c r="HLE992" s="124"/>
      <c r="HLF992" s="124"/>
      <c r="HLG992" s="124"/>
      <c r="HLH992" s="124"/>
      <c r="HLI992" s="124"/>
      <c r="HLJ992" s="124"/>
      <c r="HLK992" s="124"/>
      <c r="HLL992" s="124"/>
      <c r="HLM992" s="124"/>
      <c r="HLN992" s="124"/>
      <c r="HLO992" s="124"/>
      <c r="HLP992" s="124"/>
      <c r="HLQ992" s="124"/>
      <c r="HLR992" s="124"/>
      <c r="HLS992" s="124"/>
      <c r="HLT992" s="124"/>
      <c r="HLU992" s="124"/>
      <c r="HLV992" s="124"/>
      <c r="HLW992" s="124"/>
      <c r="HLX992" s="124"/>
      <c r="HLY992" s="124"/>
      <c r="HLZ992" s="124"/>
      <c r="HMA992" s="124"/>
      <c r="HMB992" s="124"/>
      <c r="HMC992" s="124"/>
      <c r="HMD992" s="124"/>
      <c r="HME992" s="124"/>
      <c r="HMF992" s="124"/>
      <c r="HMG992" s="124"/>
      <c r="HMH992" s="124"/>
      <c r="HMI992" s="124"/>
      <c r="HMJ992" s="124"/>
      <c r="HMK992" s="124"/>
      <c r="HML992" s="124"/>
      <c r="HMM992" s="124"/>
      <c r="HMN992" s="124"/>
      <c r="HMO992" s="124"/>
      <c r="HMP992" s="124"/>
      <c r="HMQ992" s="124"/>
      <c r="HMR992" s="124"/>
      <c r="HMS992" s="124"/>
      <c r="HMT992" s="124"/>
      <c r="HMU992" s="124"/>
      <c r="HMV992" s="124"/>
      <c r="HMW992" s="124"/>
      <c r="HMX992" s="124"/>
      <c r="HMY992" s="124"/>
      <c r="HMZ992" s="124"/>
      <c r="HNA992" s="124"/>
      <c r="HNB992" s="124"/>
      <c r="HNC992" s="124"/>
      <c r="HND992" s="124"/>
      <c r="HNE992" s="124"/>
      <c r="HNF992" s="124"/>
      <c r="HNG992" s="124"/>
      <c r="HNH992" s="124"/>
      <c r="HNI992" s="124"/>
      <c r="HNJ992" s="124"/>
      <c r="HNK992" s="124"/>
      <c r="HNL992" s="124"/>
      <c r="HNM992" s="124"/>
      <c r="HNN992" s="124"/>
      <c r="HNO992" s="124"/>
      <c r="HNP992" s="124"/>
      <c r="HNQ992" s="124"/>
      <c r="HNR992" s="124"/>
      <c r="HNS992" s="124"/>
      <c r="HNT992" s="124"/>
      <c r="HNU992" s="124"/>
      <c r="HNV992" s="124"/>
      <c r="HNW992" s="124"/>
      <c r="HNX992" s="124"/>
      <c r="HNY992" s="124"/>
      <c r="HNZ992" s="124"/>
      <c r="HOA992" s="124"/>
      <c r="HOB992" s="124"/>
      <c r="HOC992" s="124"/>
      <c r="HOD992" s="124"/>
      <c r="HOE992" s="124"/>
      <c r="HOF992" s="124"/>
      <c r="HOG992" s="124"/>
      <c r="HOH992" s="124"/>
      <c r="HOI992" s="124"/>
      <c r="HOJ992" s="124"/>
      <c r="HOK992" s="124"/>
      <c r="HOL992" s="124"/>
      <c r="HOM992" s="124"/>
      <c r="HON992" s="124"/>
      <c r="HOO992" s="124"/>
      <c r="HOP992" s="124"/>
      <c r="HOQ992" s="124"/>
      <c r="HOR992" s="124"/>
      <c r="HOS992" s="124"/>
      <c r="HOT992" s="124"/>
      <c r="HOU992" s="124"/>
      <c r="HOV992" s="124"/>
      <c r="HOW992" s="124"/>
      <c r="HOX992" s="124"/>
      <c r="HOY992" s="124"/>
      <c r="HOZ992" s="124"/>
      <c r="HPA992" s="124"/>
      <c r="HPB992" s="124"/>
      <c r="HPC992" s="124"/>
      <c r="HPD992" s="124"/>
      <c r="HPE992" s="124"/>
      <c r="HPF992" s="124"/>
      <c r="HPG992" s="124"/>
      <c r="HPH992" s="124"/>
      <c r="HPI992" s="124"/>
      <c r="HPJ992" s="124"/>
      <c r="HPK992" s="124"/>
      <c r="HPL992" s="124"/>
      <c r="HPM992" s="124"/>
      <c r="HPN992" s="124"/>
      <c r="HPO992" s="124"/>
      <c r="HPP992" s="124"/>
      <c r="HPQ992" s="124"/>
      <c r="HPR992" s="124"/>
      <c r="HPS992" s="124"/>
      <c r="HPT992" s="124"/>
      <c r="HPU992" s="124"/>
      <c r="HPV992" s="124"/>
      <c r="HPW992" s="124"/>
      <c r="HPX992" s="124"/>
      <c r="HPY992" s="124"/>
      <c r="HPZ992" s="124"/>
      <c r="HQA992" s="124"/>
      <c r="HQB992" s="124"/>
      <c r="HQC992" s="124"/>
      <c r="HQD992" s="124"/>
      <c r="HQE992" s="124"/>
      <c r="HQF992" s="124"/>
      <c r="HQG992" s="124"/>
      <c r="HQH992" s="124"/>
      <c r="HQI992" s="124"/>
      <c r="HQJ992" s="124"/>
      <c r="HQK992" s="124"/>
      <c r="HQL992" s="124"/>
      <c r="HQM992" s="124"/>
      <c r="HQN992" s="124"/>
      <c r="HQO992" s="124"/>
      <c r="HQP992" s="124"/>
      <c r="HQQ992" s="124"/>
      <c r="HQR992" s="124"/>
      <c r="HQS992" s="124"/>
      <c r="HQT992" s="124"/>
      <c r="HQU992" s="124"/>
      <c r="HQV992" s="124"/>
      <c r="HQW992" s="124"/>
      <c r="HQX992" s="124"/>
      <c r="HQY992" s="124"/>
      <c r="HQZ992" s="124"/>
      <c r="HRA992" s="124"/>
      <c r="HRB992" s="124"/>
      <c r="HRC992" s="124"/>
      <c r="HRD992" s="124"/>
      <c r="HRE992" s="124"/>
      <c r="HRF992" s="124"/>
      <c r="HRG992" s="124"/>
      <c r="HRH992" s="124"/>
      <c r="HRI992" s="124"/>
      <c r="HRJ992" s="124"/>
      <c r="HRK992" s="124"/>
      <c r="HRL992" s="124"/>
      <c r="HRM992" s="124"/>
      <c r="HRN992" s="124"/>
      <c r="HRO992" s="124"/>
      <c r="HRP992" s="124"/>
      <c r="HRQ992" s="124"/>
      <c r="HRR992" s="124"/>
      <c r="HRS992" s="124"/>
      <c r="HRT992" s="124"/>
      <c r="HRU992" s="124"/>
      <c r="HRV992" s="124"/>
      <c r="HRW992" s="124"/>
      <c r="HRX992" s="124"/>
      <c r="HRY992" s="124"/>
      <c r="HRZ992" s="124"/>
      <c r="HSA992" s="124"/>
      <c r="HSB992" s="124"/>
      <c r="HSC992" s="124"/>
      <c r="HSD992" s="124"/>
      <c r="HSE992" s="124"/>
      <c r="HSF992" s="124"/>
      <c r="HSG992" s="124"/>
      <c r="HSH992" s="124"/>
      <c r="HSI992" s="124"/>
      <c r="HSJ992" s="124"/>
      <c r="HSK992" s="124"/>
      <c r="HSL992" s="124"/>
      <c r="HSM992" s="124"/>
      <c r="HSN992" s="124"/>
      <c r="HSO992" s="124"/>
      <c r="HSP992" s="124"/>
      <c r="HSQ992" s="124"/>
      <c r="HSR992" s="124"/>
      <c r="HSS992" s="124"/>
      <c r="HST992" s="124"/>
      <c r="HSU992" s="124"/>
      <c r="HSV992" s="124"/>
      <c r="HSW992" s="124"/>
      <c r="HSX992" s="124"/>
      <c r="HSY992" s="124"/>
      <c r="HSZ992" s="124"/>
      <c r="HTA992" s="124"/>
      <c r="HTB992" s="124"/>
      <c r="HTC992" s="124"/>
      <c r="HTD992" s="124"/>
      <c r="HTE992" s="124"/>
      <c r="HTF992" s="124"/>
      <c r="HTG992" s="124"/>
      <c r="HTH992" s="124"/>
      <c r="HTI992" s="124"/>
      <c r="HTJ992" s="124"/>
      <c r="HTK992" s="124"/>
      <c r="HTL992" s="124"/>
      <c r="HTM992" s="124"/>
      <c r="HTN992" s="124"/>
      <c r="HTO992" s="124"/>
      <c r="HTP992" s="124"/>
      <c r="HTQ992" s="124"/>
      <c r="HTR992" s="124"/>
      <c r="HTS992" s="124"/>
      <c r="HTT992" s="124"/>
      <c r="HTU992" s="124"/>
      <c r="HTV992" s="124"/>
      <c r="HTW992" s="124"/>
      <c r="HTX992" s="124"/>
      <c r="HTY992" s="124"/>
      <c r="HTZ992" s="124"/>
      <c r="HUA992" s="124"/>
      <c r="HUB992" s="124"/>
      <c r="HUC992" s="124"/>
      <c r="HUD992" s="124"/>
      <c r="HUE992" s="124"/>
      <c r="HUF992" s="124"/>
      <c r="HUG992" s="124"/>
      <c r="HUH992" s="124"/>
      <c r="HUI992" s="124"/>
      <c r="HUJ992" s="124"/>
      <c r="HUK992" s="124"/>
      <c r="HUL992" s="124"/>
      <c r="HUM992" s="124"/>
      <c r="HUN992" s="124"/>
      <c r="HUO992" s="124"/>
      <c r="HUP992" s="124"/>
      <c r="HUQ992" s="124"/>
      <c r="HUR992" s="124"/>
      <c r="HUS992" s="124"/>
      <c r="HUT992" s="124"/>
      <c r="HUU992" s="124"/>
      <c r="HUV992" s="124"/>
      <c r="HUW992" s="124"/>
      <c r="HUX992" s="124"/>
      <c r="HUY992" s="124"/>
      <c r="HUZ992" s="124"/>
      <c r="HVA992" s="124"/>
      <c r="HVB992" s="124"/>
      <c r="HVC992" s="124"/>
      <c r="HVD992" s="124"/>
      <c r="HVE992" s="124"/>
      <c r="HVF992" s="124"/>
      <c r="HVG992" s="124"/>
      <c r="HVH992" s="124"/>
      <c r="HVI992" s="124"/>
      <c r="HVJ992" s="124"/>
      <c r="HVK992" s="124"/>
      <c r="HVL992" s="124"/>
      <c r="HVM992" s="124"/>
      <c r="HVN992" s="124"/>
      <c r="HVO992" s="124"/>
      <c r="HVP992" s="124"/>
      <c r="HVQ992" s="124"/>
      <c r="HVR992" s="124"/>
      <c r="HVS992" s="124"/>
      <c r="HVT992" s="124"/>
      <c r="HVU992" s="124"/>
      <c r="HVV992" s="124"/>
      <c r="HVW992" s="124"/>
      <c r="HVX992" s="124"/>
      <c r="HVY992" s="124"/>
      <c r="HVZ992" s="124"/>
      <c r="HWA992" s="124"/>
      <c r="HWB992" s="124"/>
      <c r="HWC992" s="124"/>
      <c r="HWD992" s="124"/>
      <c r="HWE992" s="124"/>
      <c r="HWF992" s="124"/>
      <c r="HWG992" s="124"/>
      <c r="HWH992" s="124"/>
      <c r="HWI992" s="124"/>
      <c r="HWJ992" s="124"/>
      <c r="HWK992" s="124"/>
      <c r="HWL992" s="124"/>
      <c r="HWM992" s="124"/>
      <c r="HWN992" s="124"/>
      <c r="HWO992" s="124"/>
      <c r="HWP992" s="124"/>
      <c r="HWQ992" s="124"/>
      <c r="HWR992" s="124"/>
      <c r="HWS992" s="124"/>
      <c r="HWT992" s="124"/>
      <c r="HWU992" s="124"/>
      <c r="HWV992" s="124"/>
      <c r="HWW992" s="124"/>
      <c r="HWX992" s="124"/>
      <c r="HWY992" s="124"/>
      <c r="HWZ992" s="124"/>
      <c r="HXA992" s="124"/>
      <c r="HXB992" s="124"/>
      <c r="HXC992" s="124"/>
      <c r="HXD992" s="124"/>
      <c r="HXE992" s="124"/>
      <c r="HXF992" s="124"/>
      <c r="HXG992" s="124"/>
      <c r="HXH992" s="124"/>
      <c r="HXI992" s="124"/>
      <c r="HXJ992" s="124"/>
      <c r="HXK992" s="124"/>
      <c r="HXL992" s="124"/>
      <c r="HXM992" s="124"/>
      <c r="HXN992" s="124"/>
      <c r="HXO992" s="124"/>
      <c r="HXP992" s="124"/>
      <c r="HXQ992" s="124"/>
      <c r="HXR992" s="124"/>
      <c r="HXS992" s="124"/>
      <c r="HXT992" s="124"/>
      <c r="HXU992" s="124"/>
      <c r="HXV992" s="124"/>
      <c r="HXW992" s="124"/>
      <c r="HXX992" s="124"/>
      <c r="HXY992" s="124"/>
      <c r="HXZ992" s="124"/>
      <c r="HYA992" s="124"/>
      <c r="HYB992" s="124"/>
      <c r="HYC992" s="124"/>
      <c r="HYD992" s="124"/>
      <c r="HYE992" s="124"/>
      <c r="HYF992" s="124"/>
      <c r="HYG992" s="124"/>
      <c r="HYH992" s="124"/>
      <c r="HYI992" s="124"/>
      <c r="HYJ992" s="124"/>
      <c r="HYK992" s="124"/>
      <c r="HYL992" s="124"/>
      <c r="HYM992" s="124"/>
      <c r="HYN992" s="124"/>
      <c r="HYO992" s="124"/>
      <c r="HYP992" s="124"/>
      <c r="HYQ992" s="124"/>
      <c r="HYR992" s="124"/>
      <c r="HYS992" s="124"/>
      <c r="HYT992" s="124"/>
      <c r="HYU992" s="124"/>
      <c r="HYV992" s="124"/>
      <c r="HYW992" s="124"/>
      <c r="HYX992" s="124"/>
      <c r="HYY992" s="124"/>
      <c r="HYZ992" s="124"/>
      <c r="HZA992" s="124"/>
      <c r="HZB992" s="124"/>
      <c r="HZC992" s="124"/>
      <c r="HZD992" s="124"/>
      <c r="HZE992" s="124"/>
      <c r="HZF992" s="124"/>
      <c r="HZG992" s="124"/>
      <c r="HZH992" s="124"/>
      <c r="HZI992" s="124"/>
      <c r="HZJ992" s="124"/>
      <c r="HZK992" s="124"/>
      <c r="HZL992" s="124"/>
      <c r="HZM992" s="124"/>
      <c r="HZN992" s="124"/>
      <c r="HZO992" s="124"/>
      <c r="HZP992" s="124"/>
      <c r="HZQ992" s="124"/>
      <c r="HZR992" s="124"/>
      <c r="HZS992" s="124"/>
      <c r="HZT992" s="124"/>
      <c r="HZU992" s="124"/>
      <c r="HZV992" s="124"/>
      <c r="HZW992" s="124"/>
      <c r="HZX992" s="124"/>
      <c r="HZY992" s="124"/>
      <c r="HZZ992" s="124"/>
      <c r="IAA992" s="124"/>
      <c r="IAB992" s="124"/>
      <c r="IAC992" s="124"/>
      <c r="IAD992" s="124"/>
      <c r="IAE992" s="124"/>
      <c r="IAF992" s="124"/>
      <c r="IAG992" s="124"/>
      <c r="IAH992" s="124"/>
      <c r="IAI992" s="124"/>
      <c r="IAJ992" s="124"/>
      <c r="IAK992" s="124"/>
      <c r="IAL992" s="124"/>
      <c r="IAM992" s="124"/>
      <c r="IAN992" s="124"/>
      <c r="IAO992" s="124"/>
      <c r="IAP992" s="124"/>
      <c r="IAQ992" s="124"/>
      <c r="IAR992" s="124"/>
      <c r="IAS992" s="124"/>
      <c r="IAT992" s="124"/>
      <c r="IAU992" s="124"/>
      <c r="IAV992" s="124"/>
      <c r="IAW992" s="124"/>
      <c r="IAX992" s="124"/>
      <c r="IAY992" s="124"/>
      <c r="IAZ992" s="124"/>
      <c r="IBA992" s="124"/>
      <c r="IBB992" s="124"/>
      <c r="IBC992" s="124"/>
      <c r="IBD992" s="124"/>
      <c r="IBE992" s="124"/>
      <c r="IBF992" s="124"/>
      <c r="IBG992" s="124"/>
      <c r="IBH992" s="124"/>
      <c r="IBI992" s="124"/>
      <c r="IBJ992" s="124"/>
      <c r="IBK992" s="124"/>
      <c r="IBL992" s="124"/>
      <c r="IBM992" s="124"/>
      <c r="IBN992" s="124"/>
      <c r="IBO992" s="124"/>
      <c r="IBP992" s="124"/>
      <c r="IBQ992" s="124"/>
      <c r="IBR992" s="124"/>
      <c r="IBS992" s="124"/>
      <c r="IBT992" s="124"/>
      <c r="IBU992" s="124"/>
      <c r="IBV992" s="124"/>
      <c r="IBW992" s="124"/>
      <c r="IBX992" s="124"/>
      <c r="IBY992" s="124"/>
      <c r="IBZ992" s="124"/>
      <c r="ICA992" s="124"/>
      <c r="ICB992" s="124"/>
      <c r="ICC992" s="124"/>
      <c r="ICD992" s="124"/>
      <c r="ICE992" s="124"/>
      <c r="ICF992" s="124"/>
      <c r="ICG992" s="124"/>
      <c r="ICH992" s="124"/>
      <c r="ICI992" s="124"/>
      <c r="ICJ992" s="124"/>
      <c r="ICK992" s="124"/>
      <c r="ICL992" s="124"/>
      <c r="ICM992" s="124"/>
      <c r="ICN992" s="124"/>
      <c r="ICO992" s="124"/>
      <c r="ICP992" s="124"/>
      <c r="ICQ992" s="124"/>
      <c r="ICR992" s="124"/>
      <c r="ICS992" s="124"/>
      <c r="ICT992" s="124"/>
      <c r="ICU992" s="124"/>
      <c r="ICV992" s="124"/>
      <c r="ICW992" s="124"/>
      <c r="ICX992" s="124"/>
      <c r="ICY992" s="124"/>
      <c r="ICZ992" s="124"/>
      <c r="IDA992" s="124"/>
      <c r="IDB992" s="124"/>
      <c r="IDC992" s="124"/>
      <c r="IDD992" s="124"/>
      <c r="IDE992" s="124"/>
      <c r="IDF992" s="124"/>
      <c r="IDG992" s="124"/>
      <c r="IDH992" s="124"/>
      <c r="IDI992" s="124"/>
      <c r="IDJ992" s="124"/>
      <c r="IDK992" s="124"/>
      <c r="IDL992" s="124"/>
      <c r="IDM992" s="124"/>
      <c r="IDN992" s="124"/>
      <c r="IDO992" s="124"/>
      <c r="IDP992" s="124"/>
      <c r="IDQ992" s="124"/>
      <c r="IDR992" s="124"/>
      <c r="IDS992" s="124"/>
      <c r="IDT992" s="124"/>
      <c r="IDU992" s="124"/>
      <c r="IDV992" s="124"/>
      <c r="IDW992" s="124"/>
      <c r="IDX992" s="124"/>
      <c r="IDY992" s="124"/>
      <c r="IDZ992" s="124"/>
      <c r="IEA992" s="124"/>
      <c r="IEB992" s="124"/>
      <c r="IEC992" s="124"/>
      <c r="IED992" s="124"/>
      <c r="IEE992" s="124"/>
      <c r="IEF992" s="124"/>
      <c r="IEG992" s="124"/>
      <c r="IEH992" s="124"/>
      <c r="IEI992" s="124"/>
      <c r="IEJ992" s="124"/>
      <c r="IEK992" s="124"/>
      <c r="IEL992" s="124"/>
      <c r="IEM992" s="124"/>
      <c r="IEN992" s="124"/>
      <c r="IEO992" s="124"/>
      <c r="IEP992" s="124"/>
      <c r="IEQ992" s="124"/>
      <c r="IER992" s="124"/>
      <c r="IES992" s="124"/>
      <c r="IET992" s="124"/>
      <c r="IEU992" s="124"/>
      <c r="IEV992" s="124"/>
      <c r="IEW992" s="124"/>
      <c r="IEX992" s="124"/>
      <c r="IEY992" s="124"/>
      <c r="IEZ992" s="124"/>
      <c r="IFA992" s="124"/>
      <c r="IFB992" s="124"/>
      <c r="IFC992" s="124"/>
      <c r="IFD992" s="124"/>
      <c r="IFE992" s="124"/>
      <c r="IFF992" s="124"/>
      <c r="IFG992" s="124"/>
      <c r="IFH992" s="124"/>
      <c r="IFI992" s="124"/>
      <c r="IFJ992" s="124"/>
      <c r="IFK992" s="124"/>
      <c r="IFL992" s="124"/>
      <c r="IFM992" s="124"/>
      <c r="IFN992" s="124"/>
      <c r="IFO992" s="124"/>
      <c r="IFP992" s="124"/>
      <c r="IFQ992" s="124"/>
      <c r="IFR992" s="124"/>
      <c r="IFS992" s="124"/>
      <c r="IFT992" s="124"/>
      <c r="IFU992" s="124"/>
      <c r="IFV992" s="124"/>
      <c r="IFW992" s="124"/>
      <c r="IFX992" s="124"/>
      <c r="IFY992" s="124"/>
      <c r="IFZ992" s="124"/>
      <c r="IGA992" s="124"/>
      <c r="IGB992" s="124"/>
      <c r="IGC992" s="124"/>
      <c r="IGD992" s="124"/>
      <c r="IGE992" s="124"/>
      <c r="IGF992" s="124"/>
      <c r="IGG992" s="124"/>
      <c r="IGH992" s="124"/>
      <c r="IGI992" s="124"/>
      <c r="IGJ992" s="124"/>
      <c r="IGK992" s="124"/>
      <c r="IGL992" s="124"/>
      <c r="IGM992" s="124"/>
      <c r="IGN992" s="124"/>
      <c r="IGO992" s="124"/>
      <c r="IGP992" s="124"/>
      <c r="IGQ992" s="124"/>
      <c r="IGR992" s="124"/>
      <c r="IGS992" s="124"/>
      <c r="IGT992" s="124"/>
      <c r="IGU992" s="124"/>
      <c r="IGV992" s="124"/>
      <c r="IGW992" s="124"/>
      <c r="IGX992" s="124"/>
      <c r="IGY992" s="124"/>
      <c r="IGZ992" s="124"/>
      <c r="IHA992" s="124"/>
      <c r="IHB992" s="124"/>
      <c r="IHC992" s="124"/>
      <c r="IHD992" s="124"/>
      <c r="IHE992" s="124"/>
      <c r="IHF992" s="124"/>
      <c r="IHG992" s="124"/>
      <c r="IHH992" s="124"/>
      <c r="IHI992" s="124"/>
      <c r="IHJ992" s="124"/>
      <c r="IHK992" s="124"/>
      <c r="IHL992" s="124"/>
      <c r="IHM992" s="124"/>
      <c r="IHN992" s="124"/>
      <c r="IHO992" s="124"/>
      <c r="IHP992" s="124"/>
      <c r="IHQ992" s="124"/>
      <c r="IHR992" s="124"/>
      <c r="IHS992" s="124"/>
      <c r="IHT992" s="124"/>
      <c r="IHU992" s="124"/>
      <c r="IHV992" s="124"/>
      <c r="IHW992" s="124"/>
      <c r="IHX992" s="124"/>
      <c r="IHY992" s="124"/>
      <c r="IHZ992" s="124"/>
      <c r="IIA992" s="124"/>
      <c r="IIB992" s="124"/>
      <c r="IIC992" s="124"/>
      <c r="IID992" s="124"/>
      <c r="IIE992" s="124"/>
      <c r="IIF992" s="124"/>
      <c r="IIG992" s="124"/>
      <c r="IIH992" s="124"/>
      <c r="III992" s="124"/>
      <c r="IIJ992" s="124"/>
      <c r="IIK992" s="124"/>
      <c r="IIL992" s="124"/>
      <c r="IIM992" s="124"/>
      <c r="IIN992" s="124"/>
      <c r="IIO992" s="124"/>
      <c r="IIP992" s="124"/>
      <c r="IIQ992" s="124"/>
      <c r="IIR992" s="124"/>
      <c r="IIS992" s="124"/>
      <c r="IIT992" s="124"/>
      <c r="IIU992" s="124"/>
      <c r="IIV992" s="124"/>
      <c r="IIW992" s="124"/>
      <c r="IIX992" s="124"/>
      <c r="IIY992" s="124"/>
      <c r="IIZ992" s="124"/>
      <c r="IJA992" s="124"/>
      <c r="IJB992" s="124"/>
      <c r="IJC992" s="124"/>
      <c r="IJD992" s="124"/>
      <c r="IJE992" s="124"/>
      <c r="IJF992" s="124"/>
      <c r="IJG992" s="124"/>
      <c r="IJH992" s="124"/>
      <c r="IJI992" s="124"/>
      <c r="IJJ992" s="124"/>
      <c r="IJK992" s="124"/>
      <c r="IJL992" s="124"/>
      <c r="IJM992" s="124"/>
      <c r="IJN992" s="124"/>
      <c r="IJO992" s="124"/>
      <c r="IJP992" s="124"/>
      <c r="IJQ992" s="124"/>
      <c r="IJR992" s="124"/>
      <c r="IJS992" s="124"/>
      <c r="IJT992" s="124"/>
      <c r="IJU992" s="124"/>
      <c r="IJV992" s="124"/>
      <c r="IJW992" s="124"/>
      <c r="IJX992" s="124"/>
      <c r="IJY992" s="124"/>
      <c r="IJZ992" s="124"/>
      <c r="IKA992" s="124"/>
      <c r="IKB992" s="124"/>
      <c r="IKC992" s="124"/>
      <c r="IKD992" s="124"/>
      <c r="IKE992" s="124"/>
      <c r="IKF992" s="124"/>
      <c r="IKG992" s="124"/>
      <c r="IKH992" s="124"/>
      <c r="IKI992" s="124"/>
      <c r="IKJ992" s="124"/>
      <c r="IKK992" s="124"/>
      <c r="IKL992" s="124"/>
      <c r="IKM992" s="124"/>
      <c r="IKN992" s="124"/>
      <c r="IKO992" s="124"/>
      <c r="IKP992" s="124"/>
      <c r="IKQ992" s="124"/>
      <c r="IKR992" s="124"/>
      <c r="IKS992" s="124"/>
      <c r="IKT992" s="124"/>
      <c r="IKU992" s="124"/>
      <c r="IKV992" s="124"/>
      <c r="IKW992" s="124"/>
      <c r="IKX992" s="124"/>
      <c r="IKY992" s="124"/>
      <c r="IKZ992" s="124"/>
      <c r="ILA992" s="124"/>
      <c r="ILB992" s="124"/>
      <c r="ILC992" s="124"/>
      <c r="ILD992" s="124"/>
      <c r="ILE992" s="124"/>
      <c r="ILF992" s="124"/>
      <c r="ILG992" s="124"/>
      <c r="ILH992" s="124"/>
      <c r="ILI992" s="124"/>
      <c r="ILJ992" s="124"/>
      <c r="ILK992" s="124"/>
      <c r="ILL992" s="124"/>
      <c r="ILM992" s="124"/>
      <c r="ILN992" s="124"/>
      <c r="ILO992" s="124"/>
      <c r="ILP992" s="124"/>
      <c r="ILQ992" s="124"/>
      <c r="ILR992" s="124"/>
      <c r="ILS992" s="124"/>
      <c r="ILT992" s="124"/>
      <c r="ILU992" s="124"/>
      <c r="ILV992" s="124"/>
      <c r="ILW992" s="124"/>
      <c r="ILX992" s="124"/>
      <c r="ILY992" s="124"/>
      <c r="ILZ992" s="124"/>
      <c r="IMA992" s="124"/>
      <c r="IMB992" s="124"/>
      <c r="IMC992" s="124"/>
      <c r="IMD992" s="124"/>
      <c r="IME992" s="124"/>
      <c r="IMF992" s="124"/>
      <c r="IMG992" s="124"/>
      <c r="IMH992" s="124"/>
      <c r="IMI992" s="124"/>
      <c r="IMJ992" s="124"/>
      <c r="IMK992" s="124"/>
      <c r="IML992" s="124"/>
      <c r="IMM992" s="124"/>
      <c r="IMN992" s="124"/>
      <c r="IMO992" s="124"/>
      <c r="IMP992" s="124"/>
      <c r="IMQ992" s="124"/>
      <c r="IMR992" s="124"/>
      <c r="IMS992" s="124"/>
      <c r="IMT992" s="124"/>
      <c r="IMU992" s="124"/>
      <c r="IMV992" s="124"/>
      <c r="IMW992" s="124"/>
      <c r="IMX992" s="124"/>
      <c r="IMY992" s="124"/>
      <c r="IMZ992" s="124"/>
      <c r="INA992" s="124"/>
      <c r="INB992" s="124"/>
      <c r="INC992" s="124"/>
      <c r="IND992" s="124"/>
      <c r="INE992" s="124"/>
      <c r="INF992" s="124"/>
      <c r="ING992" s="124"/>
      <c r="INH992" s="124"/>
      <c r="INI992" s="124"/>
      <c r="INJ992" s="124"/>
      <c r="INK992" s="124"/>
      <c r="INL992" s="124"/>
      <c r="INM992" s="124"/>
      <c r="INN992" s="124"/>
      <c r="INO992" s="124"/>
      <c r="INP992" s="124"/>
      <c r="INQ992" s="124"/>
      <c r="INR992" s="124"/>
      <c r="INS992" s="124"/>
      <c r="INT992" s="124"/>
      <c r="INU992" s="124"/>
      <c r="INV992" s="124"/>
      <c r="INW992" s="124"/>
      <c r="INX992" s="124"/>
      <c r="INY992" s="124"/>
      <c r="INZ992" s="124"/>
      <c r="IOA992" s="124"/>
      <c r="IOB992" s="124"/>
      <c r="IOC992" s="124"/>
      <c r="IOD992" s="124"/>
      <c r="IOE992" s="124"/>
      <c r="IOF992" s="124"/>
      <c r="IOG992" s="124"/>
      <c r="IOH992" s="124"/>
      <c r="IOI992" s="124"/>
      <c r="IOJ992" s="124"/>
      <c r="IOK992" s="124"/>
      <c r="IOL992" s="124"/>
      <c r="IOM992" s="124"/>
      <c r="ION992" s="124"/>
      <c r="IOO992" s="124"/>
      <c r="IOP992" s="124"/>
      <c r="IOQ992" s="124"/>
      <c r="IOR992" s="124"/>
      <c r="IOS992" s="124"/>
      <c r="IOT992" s="124"/>
      <c r="IOU992" s="124"/>
      <c r="IOV992" s="124"/>
      <c r="IOW992" s="124"/>
      <c r="IOX992" s="124"/>
      <c r="IOY992" s="124"/>
      <c r="IOZ992" s="124"/>
      <c r="IPA992" s="124"/>
      <c r="IPB992" s="124"/>
      <c r="IPC992" s="124"/>
      <c r="IPD992" s="124"/>
      <c r="IPE992" s="124"/>
      <c r="IPF992" s="124"/>
      <c r="IPG992" s="124"/>
      <c r="IPH992" s="124"/>
      <c r="IPI992" s="124"/>
      <c r="IPJ992" s="124"/>
      <c r="IPK992" s="124"/>
      <c r="IPL992" s="124"/>
      <c r="IPM992" s="124"/>
      <c r="IPN992" s="124"/>
      <c r="IPO992" s="124"/>
      <c r="IPP992" s="124"/>
      <c r="IPQ992" s="124"/>
      <c r="IPR992" s="124"/>
      <c r="IPS992" s="124"/>
      <c r="IPT992" s="124"/>
      <c r="IPU992" s="124"/>
      <c r="IPV992" s="124"/>
      <c r="IPW992" s="124"/>
      <c r="IPX992" s="124"/>
      <c r="IPY992" s="124"/>
      <c r="IPZ992" s="124"/>
      <c r="IQA992" s="124"/>
      <c r="IQB992" s="124"/>
      <c r="IQC992" s="124"/>
      <c r="IQD992" s="124"/>
      <c r="IQE992" s="124"/>
      <c r="IQF992" s="124"/>
      <c r="IQG992" s="124"/>
      <c r="IQH992" s="124"/>
      <c r="IQI992" s="124"/>
      <c r="IQJ992" s="124"/>
      <c r="IQK992" s="124"/>
      <c r="IQL992" s="124"/>
      <c r="IQM992" s="124"/>
      <c r="IQN992" s="124"/>
      <c r="IQO992" s="124"/>
      <c r="IQP992" s="124"/>
      <c r="IQQ992" s="124"/>
      <c r="IQR992" s="124"/>
      <c r="IQS992" s="124"/>
      <c r="IQT992" s="124"/>
      <c r="IQU992" s="124"/>
      <c r="IQV992" s="124"/>
      <c r="IQW992" s="124"/>
      <c r="IQX992" s="124"/>
      <c r="IQY992" s="124"/>
      <c r="IQZ992" s="124"/>
      <c r="IRA992" s="124"/>
      <c r="IRB992" s="124"/>
      <c r="IRC992" s="124"/>
      <c r="IRD992" s="124"/>
      <c r="IRE992" s="124"/>
      <c r="IRF992" s="124"/>
      <c r="IRG992" s="124"/>
      <c r="IRH992" s="124"/>
      <c r="IRI992" s="124"/>
      <c r="IRJ992" s="124"/>
      <c r="IRK992" s="124"/>
      <c r="IRL992" s="124"/>
      <c r="IRM992" s="124"/>
      <c r="IRN992" s="124"/>
      <c r="IRO992" s="124"/>
      <c r="IRP992" s="124"/>
      <c r="IRQ992" s="124"/>
      <c r="IRR992" s="124"/>
      <c r="IRS992" s="124"/>
      <c r="IRT992" s="124"/>
      <c r="IRU992" s="124"/>
      <c r="IRV992" s="124"/>
      <c r="IRW992" s="124"/>
      <c r="IRX992" s="124"/>
      <c r="IRY992" s="124"/>
      <c r="IRZ992" s="124"/>
      <c r="ISA992" s="124"/>
      <c r="ISB992" s="124"/>
      <c r="ISC992" s="124"/>
      <c r="ISD992" s="124"/>
      <c r="ISE992" s="124"/>
      <c r="ISF992" s="124"/>
      <c r="ISG992" s="124"/>
      <c r="ISH992" s="124"/>
      <c r="ISI992" s="124"/>
      <c r="ISJ992" s="124"/>
      <c r="ISK992" s="124"/>
      <c r="ISL992" s="124"/>
      <c r="ISM992" s="124"/>
      <c r="ISN992" s="124"/>
      <c r="ISO992" s="124"/>
      <c r="ISP992" s="124"/>
      <c r="ISQ992" s="124"/>
      <c r="ISR992" s="124"/>
      <c r="ISS992" s="124"/>
      <c r="IST992" s="124"/>
      <c r="ISU992" s="124"/>
      <c r="ISV992" s="124"/>
      <c r="ISW992" s="124"/>
      <c r="ISX992" s="124"/>
      <c r="ISY992" s="124"/>
      <c r="ISZ992" s="124"/>
      <c r="ITA992" s="124"/>
      <c r="ITB992" s="124"/>
      <c r="ITC992" s="124"/>
      <c r="ITD992" s="124"/>
      <c r="ITE992" s="124"/>
      <c r="ITF992" s="124"/>
      <c r="ITG992" s="124"/>
      <c r="ITH992" s="124"/>
      <c r="ITI992" s="124"/>
      <c r="ITJ992" s="124"/>
      <c r="ITK992" s="124"/>
      <c r="ITL992" s="124"/>
      <c r="ITM992" s="124"/>
      <c r="ITN992" s="124"/>
      <c r="ITO992" s="124"/>
      <c r="ITP992" s="124"/>
      <c r="ITQ992" s="124"/>
      <c r="ITR992" s="124"/>
      <c r="ITS992" s="124"/>
      <c r="ITT992" s="124"/>
      <c r="ITU992" s="124"/>
      <c r="ITV992" s="124"/>
      <c r="ITW992" s="124"/>
      <c r="ITX992" s="124"/>
      <c r="ITY992" s="124"/>
      <c r="ITZ992" s="124"/>
      <c r="IUA992" s="124"/>
      <c r="IUB992" s="124"/>
      <c r="IUC992" s="124"/>
      <c r="IUD992" s="124"/>
      <c r="IUE992" s="124"/>
      <c r="IUF992" s="124"/>
      <c r="IUG992" s="124"/>
      <c r="IUH992" s="124"/>
      <c r="IUI992" s="124"/>
      <c r="IUJ992" s="124"/>
      <c r="IUK992" s="124"/>
      <c r="IUL992" s="124"/>
      <c r="IUM992" s="124"/>
      <c r="IUN992" s="124"/>
      <c r="IUO992" s="124"/>
      <c r="IUP992" s="124"/>
      <c r="IUQ992" s="124"/>
      <c r="IUR992" s="124"/>
      <c r="IUS992" s="124"/>
      <c r="IUT992" s="124"/>
      <c r="IUU992" s="124"/>
      <c r="IUV992" s="124"/>
      <c r="IUW992" s="124"/>
      <c r="IUX992" s="124"/>
      <c r="IUY992" s="124"/>
      <c r="IUZ992" s="124"/>
      <c r="IVA992" s="124"/>
      <c r="IVB992" s="124"/>
      <c r="IVC992" s="124"/>
      <c r="IVD992" s="124"/>
      <c r="IVE992" s="124"/>
      <c r="IVF992" s="124"/>
      <c r="IVG992" s="124"/>
      <c r="IVH992" s="124"/>
      <c r="IVI992" s="124"/>
      <c r="IVJ992" s="124"/>
      <c r="IVK992" s="124"/>
      <c r="IVL992" s="124"/>
      <c r="IVM992" s="124"/>
      <c r="IVN992" s="124"/>
      <c r="IVO992" s="124"/>
      <c r="IVP992" s="124"/>
      <c r="IVQ992" s="124"/>
      <c r="IVR992" s="124"/>
      <c r="IVS992" s="124"/>
      <c r="IVT992" s="124"/>
      <c r="IVU992" s="124"/>
      <c r="IVV992" s="124"/>
      <c r="IVW992" s="124"/>
      <c r="IVX992" s="124"/>
      <c r="IVY992" s="124"/>
      <c r="IVZ992" s="124"/>
      <c r="IWA992" s="124"/>
      <c r="IWB992" s="124"/>
      <c r="IWC992" s="124"/>
      <c r="IWD992" s="124"/>
      <c r="IWE992" s="124"/>
      <c r="IWF992" s="124"/>
      <c r="IWG992" s="124"/>
      <c r="IWH992" s="124"/>
      <c r="IWI992" s="124"/>
      <c r="IWJ992" s="124"/>
      <c r="IWK992" s="124"/>
      <c r="IWL992" s="124"/>
      <c r="IWM992" s="124"/>
      <c r="IWN992" s="124"/>
      <c r="IWO992" s="124"/>
      <c r="IWP992" s="124"/>
      <c r="IWQ992" s="124"/>
      <c r="IWR992" s="124"/>
      <c r="IWS992" s="124"/>
      <c r="IWT992" s="124"/>
      <c r="IWU992" s="124"/>
      <c r="IWV992" s="124"/>
      <c r="IWW992" s="124"/>
      <c r="IWX992" s="124"/>
      <c r="IWY992" s="124"/>
      <c r="IWZ992" s="124"/>
      <c r="IXA992" s="124"/>
      <c r="IXB992" s="124"/>
      <c r="IXC992" s="124"/>
      <c r="IXD992" s="124"/>
      <c r="IXE992" s="124"/>
      <c r="IXF992" s="124"/>
      <c r="IXG992" s="124"/>
      <c r="IXH992" s="124"/>
      <c r="IXI992" s="124"/>
      <c r="IXJ992" s="124"/>
      <c r="IXK992" s="124"/>
      <c r="IXL992" s="124"/>
      <c r="IXM992" s="124"/>
      <c r="IXN992" s="124"/>
      <c r="IXO992" s="124"/>
      <c r="IXP992" s="124"/>
      <c r="IXQ992" s="124"/>
      <c r="IXR992" s="124"/>
      <c r="IXS992" s="124"/>
      <c r="IXT992" s="124"/>
      <c r="IXU992" s="124"/>
      <c r="IXV992" s="124"/>
      <c r="IXW992" s="124"/>
      <c r="IXX992" s="124"/>
      <c r="IXY992" s="124"/>
      <c r="IXZ992" s="124"/>
      <c r="IYA992" s="124"/>
      <c r="IYB992" s="124"/>
      <c r="IYC992" s="124"/>
      <c r="IYD992" s="124"/>
      <c r="IYE992" s="124"/>
      <c r="IYF992" s="124"/>
      <c r="IYG992" s="124"/>
      <c r="IYH992" s="124"/>
      <c r="IYI992" s="124"/>
      <c r="IYJ992" s="124"/>
      <c r="IYK992" s="124"/>
      <c r="IYL992" s="124"/>
      <c r="IYM992" s="124"/>
      <c r="IYN992" s="124"/>
      <c r="IYO992" s="124"/>
      <c r="IYP992" s="124"/>
      <c r="IYQ992" s="124"/>
      <c r="IYR992" s="124"/>
      <c r="IYS992" s="124"/>
      <c r="IYT992" s="124"/>
      <c r="IYU992" s="124"/>
      <c r="IYV992" s="124"/>
      <c r="IYW992" s="124"/>
      <c r="IYX992" s="124"/>
      <c r="IYY992" s="124"/>
      <c r="IYZ992" s="124"/>
      <c r="IZA992" s="124"/>
      <c r="IZB992" s="124"/>
      <c r="IZC992" s="124"/>
      <c r="IZD992" s="124"/>
      <c r="IZE992" s="124"/>
      <c r="IZF992" s="124"/>
      <c r="IZG992" s="124"/>
      <c r="IZH992" s="124"/>
      <c r="IZI992" s="124"/>
      <c r="IZJ992" s="124"/>
      <c r="IZK992" s="124"/>
      <c r="IZL992" s="124"/>
      <c r="IZM992" s="124"/>
      <c r="IZN992" s="124"/>
      <c r="IZO992" s="124"/>
      <c r="IZP992" s="124"/>
      <c r="IZQ992" s="124"/>
      <c r="IZR992" s="124"/>
      <c r="IZS992" s="124"/>
      <c r="IZT992" s="124"/>
      <c r="IZU992" s="124"/>
      <c r="IZV992" s="124"/>
      <c r="IZW992" s="124"/>
      <c r="IZX992" s="124"/>
      <c r="IZY992" s="124"/>
      <c r="IZZ992" s="124"/>
      <c r="JAA992" s="124"/>
      <c r="JAB992" s="124"/>
      <c r="JAC992" s="124"/>
      <c r="JAD992" s="124"/>
      <c r="JAE992" s="124"/>
      <c r="JAF992" s="124"/>
      <c r="JAG992" s="124"/>
      <c r="JAH992" s="124"/>
      <c r="JAI992" s="124"/>
      <c r="JAJ992" s="124"/>
      <c r="JAK992" s="124"/>
      <c r="JAL992" s="124"/>
      <c r="JAM992" s="124"/>
      <c r="JAN992" s="124"/>
      <c r="JAO992" s="124"/>
      <c r="JAP992" s="124"/>
      <c r="JAQ992" s="124"/>
      <c r="JAR992" s="124"/>
      <c r="JAS992" s="124"/>
      <c r="JAT992" s="124"/>
      <c r="JAU992" s="124"/>
      <c r="JAV992" s="124"/>
      <c r="JAW992" s="124"/>
      <c r="JAX992" s="124"/>
      <c r="JAY992" s="124"/>
      <c r="JAZ992" s="124"/>
      <c r="JBA992" s="124"/>
      <c r="JBB992" s="124"/>
      <c r="JBC992" s="124"/>
      <c r="JBD992" s="124"/>
      <c r="JBE992" s="124"/>
      <c r="JBF992" s="124"/>
      <c r="JBG992" s="124"/>
      <c r="JBH992" s="124"/>
      <c r="JBI992" s="124"/>
      <c r="JBJ992" s="124"/>
      <c r="JBK992" s="124"/>
      <c r="JBL992" s="124"/>
      <c r="JBM992" s="124"/>
      <c r="JBN992" s="124"/>
      <c r="JBO992" s="124"/>
      <c r="JBP992" s="124"/>
      <c r="JBQ992" s="124"/>
      <c r="JBR992" s="124"/>
      <c r="JBS992" s="124"/>
      <c r="JBT992" s="124"/>
      <c r="JBU992" s="124"/>
      <c r="JBV992" s="124"/>
      <c r="JBW992" s="124"/>
      <c r="JBX992" s="124"/>
      <c r="JBY992" s="124"/>
      <c r="JBZ992" s="124"/>
      <c r="JCA992" s="124"/>
      <c r="JCB992" s="124"/>
      <c r="JCC992" s="124"/>
      <c r="JCD992" s="124"/>
      <c r="JCE992" s="124"/>
      <c r="JCF992" s="124"/>
      <c r="JCG992" s="124"/>
      <c r="JCH992" s="124"/>
      <c r="JCI992" s="124"/>
      <c r="JCJ992" s="124"/>
      <c r="JCK992" s="124"/>
      <c r="JCL992" s="124"/>
      <c r="JCM992" s="124"/>
      <c r="JCN992" s="124"/>
      <c r="JCO992" s="124"/>
      <c r="JCP992" s="124"/>
      <c r="JCQ992" s="124"/>
      <c r="JCR992" s="124"/>
      <c r="JCS992" s="124"/>
      <c r="JCT992" s="124"/>
      <c r="JCU992" s="124"/>
      <c r="JCV992" s="124"/>
      <c r="JCW992" s="124"/>
      <c r="JCX992" s="124"/>
      <c r="JCY992" s="124"/>
      <c r="JCZ992" s="124"/>
      <c r="JDA992" s="124"/>
      <c r="JDB992" s="124"/>
      <c r="JDC992" s="124"/>
      <c r="JDD992" s="124"/>
      <c r="JDE992" s="124"/>
      <c r="JDF992" s="124"/>
      <c r="JDG992" s="124"/>
      <c r="JDH992" s="124"/>
      <c r="JDI992" s="124"/>
      <c r="JDJ992" s="124"/>
      <c r="JDK992" s="124"/>
      <c r="JDL992" s="124"/>
      <c r="JDM992" s="124"/>
      <c r="JDN992" s="124"/>
      <c r="JDO992" s="124"/>
      <c r="JDP992" s="124"/>
      <c r="JDQ992" s="124"/>
      <c r="JDR992" s="124"/>
      <c r="JDS992" s="124"/>
      <c r="JDT992" s="124"/>
      <c r="JDU992" s="124"/>
      <c r="JDV992" s="124"/>
      <c r="JDW992" s="124"/>
      <c r="JDX992" s="124"/>
      <c r="JDY992" s="124"/>
      <c r="JDZ992" s="124"/>
      <c r="JEA992" s="124"/>
      <c r="JEB992" s="124"/>
      <c r="JEC992" s="124"/>
      <c r="JED992" s="124"/>
      <c r="JEE992" s="124"/>
      <c r="JEF992" s="124"/>
      <c r="JEG992" s="124"/>
      <c r="JEH992" s="124"/>
      <c r="JEI992" s="124"/>
      <c r="JEJ992" s="124"/>
      <c r="JEK992" s="124"/>
      <c r="JEL992" s="124"/>
      <c r="JEM992" s="124"/>
      <c r="JEN992" s="124"/>
      <c r="JEO992" s="124"/>
      <c r="JEP992" s="124"/>
      <c r="JEQ992" s="124"/>
      <c r="JER992" s="124"/>
      <c r="JES992" s="124"/>
      <c r="JET992" s="124"/>
      <c r="JEU992" s="124"/>
      <c r="JEV992" s="124"/>
      <c r="JEW992" s="124"/>
      <c r="JEX992" s="124"/>
      <c r="JEY992" s="124"/>
      <c r="JEZ992" s="124"/>
      <c r="JFA992" s="124"/>
      <c r="JFB992" s="124"/>
      <c r="JFC992" s="124"/>
      <c r="JFD992" s="124"/>
      <c r="JFE992" s="124"/>
      <c r="JFF992" s="124"/>
      <c r="JFG992" s="124"/>
      <c r="JFH992" s="124"/>
      <c r="JFI992" s="124"/>
      <c r="JFJ992" s="124"/>
      <c r="JFK992" s="124"/>
      <c r="JFL992" s="124"/>
      <c r="JFM992" s="124"/>
      <c r="JFN992" s="124"/>
      <c r="JFO992" s="124"/>
      <c r="JFP992" s="124"/>
      <c r="JFQ992" s="124"/>
      <c r="JFR992" s="124"/>
      <c r="JFS992" s="124"/>
      <c r="JFT992" s="124"/>
      <c r="JFU992" s="124"/>
      <c r="JFV992" s="124"/>
      <c r="JFW992" s="124"/>
      <c r="JFX992" s="124"/>
      <c r="JFY992" s="124"/>
      <c r="JFZ992" s="124"/>
      <c r="JGA992" s="124"/>
      <c r="JGB992" s="124"/>
      <c r="JGC992" s="124"/>
      <c r="JGD992" s="124"/>
      <c r="JGE992" s="124"/>
      <c r="JGF992" s="124"/>
      <c r="JGG992" s="124"/>
      <c r="JGH992" s="124"/>
      <c r="JGI992" s="124"/>
      <c r="JGJ992" s="124"/>
      <c r="JGK992" s="124"/>
      <c r="JGL992" s="124"/>
      <c r="JGM992" s="124"/>
      <c r="JGN992" s="124"/>
      <c r="JGO992" s="124"/>
      <c r="JGP992" s="124"/>
      <c r="JGQ992" s="124"/>
      <c r="JGR992" s="124"/>
      <c r="JGS992" s="124"/>
      <c r="JGT992" s="124"/>
      <c r="JGU992" s="124"/>
      <c r="JGV992" s="124"/>
      <c r="JGW992" s="124"/>
      <c r="JGX992" s="124"/>
      <c r="JGY992" s="124"/>
      <c r="JGZ992" s="124"/>
      <c r="JHA992" s="124"/>
      <c r="JHB992" s="124"/>
      <c r="JHC992" s="124"/>
      <c r="JHD992" s="124"/>
      <c r="JHE992" s="124"/>
      <c r="JHF992" s="124"/>
      <c r="JHG992" s="124"/>
      <c r="JHH992" s="124"/>
      <c r="JHI992" s="124"/>
      <c r="JHJ992" s="124"/>
      <c r="JHK992" s="124"/>
      <c r="JHL992" s="124"/>
      <c r="JHM992" s="124"/>
      <c r="JHN992" s="124"/>
      <c r="JHO992" s="124"/>
      <c r="JHP992" s="124"/>
      <c r="JHQ992" s="124"/>
      <c r="JHR992" s="124"/>
      <c r="JHS992" s="124"/>
      <c r="JHT992" s="124"/>
      <c r="JHU992" s="124"/>
      <c r="JHV992" s="124"/>
      <c r="JHW992" s="124"/>
      <c r="JHX992" s="124"/>
      <c r="JHY992" s="124"/>
      <c r="JHZ992" s="124"/>
      <c r="JIA992" s="124"/>
      <c r="JIB992" s="124"/>
      <c r="JIC992" s="124"/>
      <c r="JID992" s="124"/>
      <c r="JIE992" s="124"/>
      <c r="JIF992" s="124"/>
      <c r="JIG992" s="124"/>
      <c r="JIH992" s="124"/>
      <c r="JII992" s="124"/>
      <c r="JIJ992" s="124"/>
      <c r="JIK992" s="124"/>
      <c r="JIL992" s="124"/>
      <c r="JIM992" s="124"/>
      <c r="JIN992" s="124"/>
      <c r="JIO992" s="124"/>
      <c r="JIP992" s="124"/>
      <c r="JIQ992" s="124"/>
      <c r="JIR992" s="124"/>
      <c r="JIS992" s="124"/>
      <c r="JIT992" s="124"/>
      <c r="JIU992" s="124"/>
      <c r="JIV992" s="124"/>
      <c r="JIW992" s="124"/>
      <c r="JIX992" s="124"/>
      <c r="JIY992" s="124"/>
      <c r="JIZ992" s="124"/>
      <c r="JJA992" s="124"/>
      <c r="JJB992" s="124"/>
      <c r="JJC992" s="124"/>
      <c r="JJD992" s="124"/>
      <c r="JJE992" s="124"/>
      <c r="JJF992" s="124"/>
      <c r="JJG992" s="124"/>
      <c r="JJH992" s="124"/>
      <c r="JJI992" s="124"/>
      <c r="JJJ992" s="124"/>
      <c r="JJK992" s="124"/>
      <c r="JJL992" s="124"/>
      <c r="JJM992" s="124"/>
      <c r="JJN992" s="124"/>
      <c r="JJO992" s="124"/>
      <c r="JJP992" s="124"/>
      <c r="JJQ992" s="124"/>
      <c r="JJR992" s="124"/>
      <c r="JJS992" s="124"/>
      <c r="JJT992" s="124"/>
      <c r="JJU992" s="124"/>
      <c r="JJV992" s="124"/>
      <c r="JJW992" s="124"/>
      <c r="JJX992" s="124"/>
      <c r="JJY992" s="124"/>
      <c r="JJZ992" s="124"/>
      <c r="JKA992" s="124"/>
      <c r="JKB992" s="124"/>
      <c r="JKC992" s="124"/>
      <c r="JKD992" s="124"/>
      <c r="JKE992" s="124"/>
      <c r="JKF992" s="124"/>
      <c r="JKG992" s="124"/>
      <c r="JKH992" s="124"/>
      <c r="JKI992" s="124"/>
      <c r="JKJ992" s="124"/>
      <c r="JKK992" s="124"/>
      <c r="JKL992" s="124"/>
      <c r="JKM992" s="124"/>
      <c r="JKN992" s="124"/>
      <c r="JKO992" s="124"/>
      <c r="JKP992" s="124"/>
      <c r="JKQ992" s="124"/>
      <c r="JKR992" s="124"/>
      <c r="JKS992" s="124"/>
      <c r="JKT992" s="124"/>
      <c r="JKU992" s="124"/>
      <c r="JKV992" s="124"/>
      <c r="JKW992" s="124"/>
      <c r="JKX992" s="124"/>
      <c r="JKY992" s="124"/>
      <c r="JKZ992" s="124"/>
      <c r="JLA992" s="124"/>
      <c r="JLB992" s="124"/>
      <c r="JLC992" s="124"/>
      <c r="JLD992" s="124"/>
      <c r="JLE992" s="124"/>
      <c r="JLF992" s="124"/>
      <c r="JLG992" s="124"/>
      <c r="JLH992" s="124"/>
      <c r="JLI992" s="124"/>
      <c r="JLJ992" s="124"/>
      <c r="JLK992" s="124"/>
      <c r="JLL992" s="124"/>
      <c r="JLM992" s="124"/>
      <c r="JLN992" s="124"/>
      <c r="JLO992" s="124"/>
      <c r="JLP992" s="124"/>
      <c r="JLQ992" s="124"/>
      <c r="JLR992" s="124"/>
      <c r="JLS992" s="124"/>
      <c r="JLT992" s="124"/>
      <c r="JLU992" s="124"/>
      <c r="JLV992" s="124"/>
      <c r="JLW992" s="124"/>
      <c r="JLX992" s="124"/>
      <c r="JLY992" s="124"/>
      <c r="JLZ992" s="124"/>
      <c r="JMA992" s="124"/>
      <c r="JMB992" s="124"/>
      <c r="JMC992" s="124"/>
      <c r="JMD992" s="124"/>
      <c r="JME992" s="124"/>
      <c r="JMF992" s="124"/>
      <c r="JMG992" s="124"/>
      <c r="JMH992" s="124"/>
      <c r="JMI992" s="124"/>
      <c r="JMJ992" s="124"/>
      <c r="JMK992" s="124"/>
      <c r="JML992" s="124"/>
      <c r="JMM992" s="124"/>
      <c r="JMN992" s="124"/>
      <c r="JMO992" s="124"/>
      <c r="JMP992" s="124"/>
      <c r="JMQ992" s="124"/>
      <c r="JMR992" s="124"/>
      <c r="JMS992" s="124"/>
      <c r="JMT992" s="124"/>
      <c r="JMU992" s="124"/>
      <c r="JMV992" s="124"/>
      <c r="JMW992" s="124"/>
      <c r="JMX992" s="124"/>
      <c r="JMY992" s="124"/>
      <c r="JMZ992" s="124"/>
      <c r="JNA992" s="124"/>
      <c r="JNB992" s="124"/>
      <c r="JNC992" s="124"/>
      <c r="JND992" s="124"/>
      <c r="JNE992" s="124"/>
      <c r="JNF992" s="124"/>
      <c r="JNG992" s="124"/>
      <c r="JNH992" s="124"/>
      <c r="JNI992" s="124"/>
      <c r="JNJ992" s="124"/>
      <c r="JNK992" s="124"/>
      <c r="JNL992" s="124"/>
      <c r="JNM992" s="124"/>
      <c r="JNN992" s="124"/>
      <c r="JNO992" s="124"/>
      <c r="JNP992" s="124"/>
      <c r="JNQ992" s="124"/>
      <c r="JNR992" s="124"/>
      <c r="JNS992" s="124"/>
      <c r="JNT992" s="124"/>
      <c r="JNU992" s="124"/>
      <c r="JNV992" s="124"/>
      <c r="JNW992" s="124"/>
      <c r="JNX992" s="124"/>
      <c r="JNY992" s="124"/>
      <c r="JNZ992" s="124"/>
      <c r="JOA992" s="124"/>
      <c r="JOB992" s="124"/>
      <c r="JOC992" s="124"/>
      <c r="JOD992" s="124"/>
      <c r="JOE992" s="124"/>
      <c r="JOF992" s="124"/>
      <c r="JOG992" s="124"/>
      <c r="JOH992" s="124"/>
      <c r="JOI992" s="124"/>
      <c r="JOJ992" s="124"/>
      <c r="JOK992" s="124"/>
      <c r="JOL992" s="124"/>
      <c r="JOM992" s="124"/>
      <c r="JON992" s="124"/>
      <c r="JOO992" s="124"/>
      <c r="JOP992" s="124"/>
      <c r="JOQ992" s="124"/>
      <c r="JOR992" s="124"/>
      <c r="JOS992" s="124"/>
      <c r="JOT992" s="124"/>
      <c r="JOU992" s="124"/>
      <c r="JOV992" s="124"/>
      <c r="JOW992" s="124"/>
      <c r="JOX992" s="124"/>
      <c r="JOY992" s="124"/>
      <c r="JOZ992" s="124"/>
      <c r="JPA992" s="124"/>
      <c r="JPB992" s="124"/>
      <c r="JPC992" s="124"/>
      <c r="JPD992" s="124"/>
      <c r="JPE992" s="124"/>
      <c r="JPF992" s="124"/>
      <c r="JPG992" s="124"/>
      <c r="JPH992" s="124"/>
      <c r="JPI992" s="124"/>
      <c r="JPJ992" s="124"/>
      <c r="JPK992" s="124"/>
      <c r="JPL992" s="124"/>
      <c r="JPM992" s="124"/>
      <c r="JPN992" s="124"/>
      <c r="JPO992" s="124"/>
      <c r="JPP992" s="124"/>
      <c r="JPQ992" s="124"/>
      <c r="JPR992" s="124"/>
      <c r="JPS992" s="124"/>
      <c r="JPT992" s="124"/>
      <c r="JPU992" s="124"/>
      <c r="JPV992" s="124"/>
      <c r="JPW992" s="124"/>
      <c r="JPX992" s="124"/>
      <c r="JPY992" s="124"/>
      <c r="JPZ992" s="124"/>
      <c r="JQA992" s="124"/>
      <c r="JQB992" s="124"/>
      <c r="JQC992" s="124"/>
      <c r="JQD992" s="124"/>
      <c r="JQE992" s="124"/>
      <c r="JQF992" s="124"/>
      <c r="JQG992" s="124"/>
      <c r="JQH992" s="124"/>
      <c r="JQI992" s="124"/>
      <c r="JQJ992" s="124"/>
      <c r="JQK992" s="124"/>
      <c r="JQL992" s="124"/>
      <c r="JQM992" s="124"/>
      <c r="JQN992" s="124"/>
      <c r="JQO992" s="124"/>
      <c r="JQP992" s="124"/>
      <c r="JQQ992" s="124"/>
      <c r="JQR992" s="124"/>
      <c r="JQS992" s="124"/>
      <c r="JQT992" s="124"/>
      <c r="JQU992" s="124"/>
      <c r="JQV992" s="124"/>
      <c r="JQW992" s="124"/>
      <c r="JQX992" s="124"/>
      <c r="JQY992" s="124"/>
      <c r="JQZ992" s="124"/>
      <c r="JRA992" s="124"/>
      <c r="JRB992" s="124"/>
      <c r="JRC992" s="124"/>
      <c r="JRD992" s="124"/>
      <c r="JRE992" s="124"/>
      <c r="JRF992" s="124"/>
      <c r="JRG992" s="124"/>
      <c r="JRH992" s="124"/>
      <c r="JRI992" s="124"/>
      <c r="JRJ992" s="124"/>
      <c r="JRK992" s="124"/>
      <c r="JRL992" s="124"/>
      <c r="JRM992" s="124"/>
      <c r="JRN992" s="124"/>
      <c r="JRO992" s="124"/>
      <c r="JRP992" s="124"/>
      <c r="JRQ992" s="124"/>
      <c r="JRR992" s="124"/>
      <c r="JRS992" s="124"/>
      <c r="JRT992" s="124"/>
      <c r="JRU992" s="124"/>
      <c r="JRV992" s="124"/>
      <c r="JRW992" s="124"/>
      <c r="JRX992" s="124"/>
      <c r="JRY992" s="124"/>
      <c r="JRZ992" s="124"/>
      <c r="JSA992" s="124"/>
      <c r="JSB992" s="124"/>
      <c r="JSC992" s="124"/>
      <c r="JSD992" s="124"/>
      <c r="JSE992" s="124"/>
      <c r="JSF992" s="124"/>
      <c r="JSG992" s="124"/>
      <c r="JSH992" s="124"/>
      <c r="JSI992" s="124"/>
      <c r="JSJ992" s="124"/>
      <c r="JSK992" s="124"/>
      <c r="JSL992" s="124"/>
      <c r="JSM992" s="124"/>
      <c r="JSN992" s="124"/>
      <c r="JSO992" s="124"/>
      <c r="JSP992" s="124"/>
      <c r="JSQ992" s="124"/>
      <c r="JSR992" s="124"/>
      <c r="JSS992" s="124"/>
      <c r="JST992" s="124"/>
      <c r="JSU992" s="124"/>
      <c r="JSV992" s="124"/>
      <c r="JSW992" s="124"/>
      <c r="JSX992" s="124"/>
      <c r="JSY992" s="124"/>
      <c r="JSZ992" s="124"/>
      <c r="JTA992" s="124"/>
      <c r="JTB992" s="124"/>
      <c r="JTC992" s="124"/>
      <c r="JTD992" s="124"/>
      <c r="JTE992" s="124"/>
      <c r="JTF992" s="124"/>
      <c r="JTG992" s="124"/>
      <c r="JTH992" s="124"/>
      <c r="JTI992" s="124"/>
      <c r="JTJ992" s="124"/>
      <c r="JTK992" s="124"/>
      <c r="JTL992" s="124"/>
      <c r="JTM992" s="124"/>
      <c r="JTN992" s="124"/>
      <c r="JTO992" s="124"/>
      <c r="JTP992" s="124"/>
      <c r="JTQ992" s="124"/>
      <c r="JTR992" s="124"/>
      <c r="JTS992" s="124"/>
      <c r="JTT992" s="124"/>
      <c r="JTU992" s="124"/>
      <c r="JTV992" s="124"/>
      <c r="JTW992" s="124"/>
      <c r="JTX992" s="124"/>
      <c r="JTY992" s="124"/>
      <c r="JTZ992" s="124"/>
      <c r="JUA992" s="124"/>
      <c r="JUB992" s="124"/>
      <c r="JUC992" s="124"/>
      <c r="JUD992" s="124"/>
      <c r="JUE992" s="124"/>
      <c r="JUF992" s="124"/>
      <c r="JUG992" s="124"/>
      <c r="JUH992" s="124"/>
      <c r="JUI992" s="124"/>
      <c r="JUJ992" s="124"/>
      <c r="JUK992" s="124"/>
      <c r="JUL992" s="124"/>
      <c r="JUM992" s="124"/>
      <c r="JUN992" s="124"/>
      <c r="JUO992" s="124"/>
      <c r="JUP992" s="124"/>
      <c r="JUQ992" s="124"/>
      <c r="JUR992" s="124"/>
      <c r="JUS992" s="124"/>
      <c r="JUT992" s="124"/>
      <c r="JUU992" s="124"/>
      <c r="JUV992" s="124"/>
      <c r="JUW992" s="124"/>
      <c r="JUX992" s="124"/>
      <c r="JUY992" s="124"/>
      <c r="JUZ992" s="124"/>
      <c r="JVA992" s="124"/>
      <c r="JVB992" s="124"/>
      <c r="JVC992" s="124"/>
      <c r="JVD992" s="124"/>
      <c r="JVE992" s="124"/>
      <c r="JVF992" s="124"/>
      <c r="JVG992" s="124"/>
      <c r="JVH992" s="124"/>
      <c r="JVI992" s="124"/>
      <c r="JVJ992" s="124"/>
      <c r="JVK992" s="124"/>
      <c r="JVL992" s="124"/>
      <c r="JVM992" s="124"/>
      <c r="JVN992" s="124"/>
      <c r="JVO992" s="124"/>
      <c r="JVP992" s="124"/>
      <c r="JVQ992" s="124"/>
      <c r="JVR992" s="124"/>
      <c r="JVS992" s="124"/>
      <c r="JVT992" s="124"/>
      <c r="JVU992" s="124"/>
      <c r="JVV992" s="124"/>
      <c r="JVW992" s="124"/>
      <c r="JVX992" s="124"/>
      <c r="JVY992" s="124"/>
      <c r="JVZ992" s="124"/>
      <c r="JWA992" s="124"/>
      <c r="JWB992" s="124"/>
      <c r="JWC992" s="124"/>
      <c r="JWD992" s="124"/>
      <c r="JWE992" s="124"/>
      <c r="JWF992" s="124"/>
      <c r="JWG992" s="124"/>
      <c r="JWH992" s="124"/>
      <c r="JWI992" s="124"/>
      <c r="JWJ992" s="124"/>
      <c r="JWK992" s="124"/>
      <c r="JWL992" s="124"/>
      <c r="JWM992" s="124"/>
      <c r="JWN992" s="124"/>
      <c r="JWO992" s="124"/>
      <c r="JWP992" s="124"/>
      <c r="JWQ992" s="124"/>
      <c r="JWR992" s="124"/>
      <c r="JWS992" s="124"/>
      <c r="JWT992" s="124"/>
      <c r="JWU992" s="124"/>
      <c r="JWV992" s="124"/>
      <c r="JWW992" s="124"/>
      <c r="JWX992" s="124"/>
      <c r="JWY992" s="124"/>
      <c r="JWZ992" s="124"/>
      <c r="JXA992" s="124"/>
      <c r="JXB992" s="124"/>
      <c r="JXC992" s="124"/>
      <c r="JXD992" s="124"/>
      <c r="JXE992" s="124"/>
      <c r="JXF992" s="124"/>
      <c r="JXG992" s="124"/>
      <c r="JXH992" s="124"/>
      <c r="JXI992" s="124"/>
      <c r="JXJ992" s="124"/>
      <c r="JXK992" s="124"/>
      <c r="JXL992" s="124"/>
      <c r="JXM992" s="124"/>
      <c r="JXN992" s="124"/>
      <c r="JXO992" s="124"/>
      <c r="JXP992" s="124"/>
      <c r="JXQ992" s="124"/>
      <c r="JXR992" s="124"/>
      <c r="JXS992" s="124"/>
      <c r="JXT992" s="124"/>
      <c r="JXU992" s="124"/>
      <c r="JXV992" s="124"/>
      <c r="JXW992" s="124"/>
      <c r="JXX992" s="124"/>
      <c r="JXY992" s="124"/>
      <c r="JXZ992" s="124"/>
      <c r="JYA992" s="124"/>
      <c r="JYB992" s="124"/>
      <c r="JYC992" s="124"/>
      <c r="JYD992" s="124"/>
      <c r="JYE992" s="124"/>
      <c r="JYF992" s="124"/>
      <c r="JYG992" s="124"/>
      <c r="JYH992" s="124"/>
      <c r="JYI992" s="124"/>
      <c r="JYJ992" s="124"/>
      <c r="JYK992" s="124"/>
      <c r="JYL992" s="124"/>
      <c r="JYM992" s="124"/>
      <c r="JYN992" s="124"/>
      <c r="JYO992" s="124"/>
      <c r="JYP992" s="124"/>
      <c r="JYQ992" s="124"/>
      <c r="JYR992" s="124"/>
      <c r="JYS992" s="124"/>
      <c r="JYT992" s="124"/>
      <c r="JYU992" s="124"/>
      <c r="JYV992" s="124"/>
      <c r="JYW992" s="124"/>
      <c r="JYX992" s="124"/>
      <c r="JYY992" s="124"/>
      <c r="JYZ992" s="124"/>
      <c r="JZA992" s="124"/>
      <c r="JZB992" s="124"/>
      <c r="JZC992" s="124"/>
      <c r="JZD992" s="124"/>
      <c r="JZE992" s="124"/>
      <c r="JZF992" s="124"/>
      <c r="JZG992" s="124"/>
      <c r="JZH992" s="124"/>
      <c r="JZI992" s="124"/>
      <c r="JZJ992" s="124"/>
      <c r="JZK992" s="124"/>
      <c r="JZL992" s="124"/>
      <c r="JZM992" s="124"/>
      <c r="JZN992" s="124"/>
      <c r="JZO992" s="124"/>
      <c r="JZP992" s="124"/>
      <c r="JZQ992" s="124"/>
      <c r="JZR992" s="124"/>
      <c r="JZS992" s="124"/>
      <c r="JZT992" s="124"/>
      <c r="JZU992" s="124"/>
      <c r="JZV992" s="124"/>
      <c r="JZW992" s="124"/>
      <c r="JZX992" s="124"/>
      <c r="JZY992" s="124"/>
      <c r="JZZ992" s="124"/>
      <c r="KAA992" s="124"/>
      <c r="KAB992" s="124"/>
      <c r="KAC992" s="124"/>
      <c r="KAD992" s="124"/>
      <c r="KAE992" s="124"/>
      <c r="KAF992" s="124"/>
      <c r="KAG992" s="124"/>
      <c r="KAH992" s="124"/>
      <c r="KAI992" s="124"/>
      <c r="KAJ992" s="124"/>
      <c r="KAK992" s="124"/>
      <c r="KAL992" s="124"/>
      <c r="KAM992" s="124"/>
      <c r="KAN992" s="124"/>
      <c r="KAO992" s="124"/>
      <c r="KAP992" s="124"/>
      <c r="KAQ992" s="124"/>
      <c r="KAR992" s="124"/>
      <c r="KAS992" s="124"/>
      <c r="KAT992" s="124"/>
      <c r="KAU992" s="124"/>
      <c r="KAV992" s="124"/>
      <c r="KAW992" s="124"/>
      <c r="KAX992" s="124"/>
      <c r="KAY992" s="124"/>
      <c r="KAZ992" s="124"/>
      <c r="KBA992" s="124"/>
      <c r="KBB992" s="124"/>
      <c r="KBC992" s="124"/>
      <c r="KBD992" s="124"/>
      <c r="KBE992" s="124"/>
      <c r="KBF992" s="124"/>
      <c r="KBG992" s="124"/>
      <c r="KBH992" s="124"/>
      <c r="KBI992" s="124"/>
      <c r="KBJ992" s="124"/>
      <c r="KBK992" s="124"/>
      <c r="KBL992" s="124"/>
      <c r="KBM992" s="124"/>
      <c r="KBN992" s="124"/>
      <c r="KBO992" s="124"/>
      <c r="KBP992" s="124"/>
      <c r="KBQ992" s="124"/>
      <c r="KBR992" s="124"/>
      <c r="KBS992" s="124"/>
      <c r="KBT992" s="124"/>
      <c r="KBU992" s="124"/>
      <c r="KBV992" s="124"/>
      <c r="KBW992" s="124"/>
      <c r="KBX992" s="124"/>
      <c r="KBY992" s="124"/>
      <c r="KBZ992" s="124"/>
      <c r="KCA992" s="124"/>
      <c r="KCB992" s="124"/>
      <c r="KCC992" s="124"/>
      <c r="KCD992" s="124"/>
      <c r="KCE992" s="124"/>
      <c r="KCF992" s="124"/>
      <c r="KCG992" s="124"/>
      <c r="KCH992" s="124"/>
      <c r="KCI992" s="124"/>
      <c r="KCJ992" s="124"/>
      <c r="KCK992" s="124"/>
      <c r="KCL992" s="124"/>
      <c r="KCM992" s="124"/>
      <c r="KCN992" s="124"/>
      <c r="KCO992" s="124"/>
      <c r="KCP992" s="124"/>
      <c r="KCQ992" s="124"/>
      <c r="KCR992" s="124"/>
      <c r="KCS992" s="124"/>
      <c r="KCT992" s="124"/>
      <c r="KCU992" s="124"/>
      <c r="KCV992" s="124"/>
      <c r="KCW992" s="124"/>
      <c r="KCX992" s="124"/>
      <c r="KCY992" s="124"/>
      <c r="KCZ992" s="124"/>
      <c r="KDA992" s="124"/>
      <c r="KDB992" s="124"/>
      <c r="KDC992" s="124"/>
      <c r="KDD992" s="124"/>
      <c r="KDE992" s="124"/>
      <c r="KDF992" s="124"/>
      <c r="KDG992" s="124"/>
      <c r="KDH992" s="124"/>
      <c r="KDI992" s="124"/>
      <c r="KDJ992" s="124"/>
      <c r="KDK992" s="124"/>
      <c r="KDL992" s="124"/>
      <c r="KDM992" s="124"/>
      <c r="KDN992" s="124"/>
      <c r="KDO992" s="124"/>
      <c r="KDP992" s="124"/>
      <c r="KDQ992" s="124"/>
      <c r="KDR992" s="124"/>
      <c r="KDS992" s="124"/>
      <c r="KDT992" s="124"/>
      <c r="KDU992" s="124"/>
      <c r="KDV992" s="124"/>
      <c r="KDW992" s="124"/>
      <c r="KDX992" s="124"/>
      <c r="KDY992" s="124"/>
      <c r="KDZ992" s="124"/>
      <c r="KEA992" s="124"/>
      <c r="KEB992" s="124"/>
      <c r="KEC992" s="124"/>
      <c r="KED992" s="124"/>
      <c r="KEE992" s="124"/>
      <c r="KEF992" s="124"/>
      <c r="KEG992" s="124"/>
      <c r="KEH992" s="124"/>
      <c r="KEI992" s="124"/>
      <c r="KEJ992" s="124"/>
      <c r="KEK992" s="124"/>
      <c r="KEL992" s="124"/>
      <c r="KEM992" s="124"/>
      <c r="KEN992" s="124"/>
      <c r="KEO992" s="124"/>
      <c r="KEP992" s="124"/>
      <c r="KEQ992" s="124"/>
      <c r="KER992" s="124"/>
      <c r="KES992" s="124"/>
      <c r="KET992" s="124"/>
      <c r="KEU992" s="124"/>
      <c r="KEV992" s="124"/>
      <c r="KEW992" s="124"/>
      <c r="KEX992" s="124"/>
      <c r="KEY992" s="124"/>
      <c r="KEZ992" s="124"/>
      <c r="KFA992" s="124"/>
      <c r="KFB992" s="124"/>
      <c r="KFC992" s="124"/>
      <c r="KFD992" s="124"/>
      <c r="KFE992" s="124"/>
      <c r="KFF992" s="124"/>
      <c r="KFG992" s="124"/>
      <c r="KFH992" s="124"/>
      <c r="KFI992" s="124"/>
      <c r="KFJ992" s="124"/>
      <c r="KFK992" s="124"/>
      <c r="KFL992" s="124"/>
      <c r="KFM992" s="124"/>
      <c r="KFN992" s="124"/>
      <c r="KFO992" s="124"/>
      <c r="KFP992" s="124"/>
      <c r="KFQ992" s="124"/>
      <c r="KFR992" s="124"/>
      <c r="KFS992" s="124"/>
      <c r="KFT992" s="124"/>
      <c r="KFU992" s="124"/>
      <c r="KFV992" s="124"/>
      <c r="KFW992" s="124"/>
      <c r="KFX992" s="124"/>
      <c r="KFY992" s="124"/>
      <c r="KFZ992" s="124"/>
      <c r="KGA992" s="124"/>
      <c r="KGB992" s="124"/>
      <c r="KGC992" s="124"/>
      <c r="KGD992" s="124"/>
      <c r="KGE992" s="124"/>
      <c r="KGF992" s="124"/>
      <c r="KGG992" s="124"/>
      <c r="KGH992" s="124"/>
      <c r="KGI992" s="124"/>
      <c r="KGJ992" s="124"/>
      <c r="KGK992" s="124"/>
      <c r="KGL992" s="124"/>
      <c r="KGM992" s="124"/>
      <c r="KGN992" s="124"/>
      <c r="KGO992" s="124"/>
      <c r="KGP992" s="124"/>
      <c r="KGQ992" s="124"/>
      <c r="KGR992" s="124"/>
      <c r="KGS992" s="124"/>
      <c r="KGT992" s="124"/>
      <c r="KGU992" s="124"/>
      <c r="KGV992" s="124"/>
      <c r="KGW992" s="124"/>
      <c r="KGX992" s="124"/>
      <c r="KGY992" s="124"/>
      <c r="KGZ992" s="124"/>
      <c r="KHA992" s="124"/>
      <c r="KHB992" s="124"/>
      <c r="KHC992" s="124"/>
      <c r="KHD992" s="124"/>
      <c r="KHE992" s="124"/>
      <c r="KHF992" s="124"/>
      <c r="KHG992" s="124"/>
      <c r="KHH992" s="124"/>
      <c r="KHI992" s="124"/>
      <c r="KHJ992" s="124"/>
      <c r="KHK992" s="124"/>
      <c r="KHL992" s="124"/>
      <c r="KHM992" s="124"/>
      <c r="KHN992" s="124"/>
      <c r="KHO992" s="124"/>
      <c r="KHP992" s="124"/>
      <c r="KHQ992" s="124"/>
      <c r="KHR992" s="124"/>
      <c r="KHS992" s="124"/>
      <c r="KHT992" s="124"/>
      <c r="KHU992" s="124"/>
      <c r="KHV992" s="124"/>
      <c r="KHW992" s="124"/>
      <c r="KHX992" s="124"/>
      <c r="KHY992" s="124"/>
      <c r="KHZ992" s="124"/>
      <c r="KIA992" s="124"/>
      <c r="KIB992" s="124"/>
      <c r="KIC992" s="124"/>
      <c r="KID992" s="124"/>
      <c r="KIE992" s="124"/>
      <c r="KIF992" s="124"/>
      <c r="KIG992" s="124"/>
      <c r="KIH992" s="124"/>
      <c r="KII992" s="124"/>
      <c r="KIJ992" s="124"/>
      <c r="KIK992" s="124"/>
      <c r="KIL992" s="124"/>
      <c r="KIM992" s="124"/>
      <c r="KIN992" s="124"/>
      <c r="KIO992" s="124"/>
      <c r="KIP992" s="124"/>
      <c r="KIQ992" s="124"/>
      <c r="KIR992" s="124"/>
      <c r="KIS992" s="124"/>
      <c r="KIT992" s="124"/>
      <c r="KIU992" s="124"/>
      <c r="KIV992" s="124"/>
      <c r="KIW992" s="124"/>
      <c r="KIX992" s="124"/>
      <c r="KIY992" s="124"/>
      <c r="KIZ992" s="124"/>
      <c r="KJA992" s="124"/>
      <c r="KJB992" s="124"/>
      <c r="KJC992" s="124"/>
      <c r="KJD992" s="124"/>
      <c r="KJE992" s="124"/>
      <c r="KJF992" s="124"/>
      <c r="KJG992" s="124"/>
      <c r="KJH992" s="124"/>
      <c r="KJI992" s="124"/>
      <c r="KJJ992" s="124"/>
      <c r="KJK992" s="124"/>
      <c r="KJL992" s="124"/>
      <c r="KJM992" s="124"/>
      <c r="KJN992" s="124"/>
      <c r="KJO992" s="124"/>
      <c r="KJP992" s="124"/>
      <c r="KJQ992" s="124"/>
      <c r="KJR992" s="124"/>
      <c r="KJS992" s="124"/>
      <c r="KJT992" s="124"/>
      <c r="KJU992" s="124"/>
      <c r="KJV992" s="124"/>
      <c r="KJW992" s="124"/>
      <c r="KJX992" s="124"/>
      <c r="KJY992" s="124"/>
      <c r="KJZ992" s="124"/>
      <c r="KKA992" s="124"/>
      <c r="KKB992" s="124"/>
      <c r="KKC992" s="124"/>
      <c r="KKD992" s="124"/>
      <c r="KKE992" s="124"/>
      <c r="KKF992" s="124"/>
      <c r="KKG992" s="124"/>
      <c r="KKH992" s="124"/>
      <c r="KKI992" s="124"/>
      <c r="KKJ992" s="124"/>
      <c r="KKK992" s="124"/>
      <c r="KKL992" s="124"/>
      <c r="KKM992" s="124"/>
      <c r="KKN992" s="124"/>
      <c r="KKO992" s="124"/>
      <c r="KKP992" s="124"/>
      <c r="KKQ992" s="124"/>
      <c r="KKR992" s="124"/>
      <c r="KKS992" s="124"/>
      <c r="KKT992" s="124"/>
      <c r="KKU992" s="124"/>
      <c r="KKV992" s="124"/>
      <c r="KKW992" s="124"/>
      <c r="KKX992" s="124"/>
      <c r="KKY992" s="124"/>
      <c r="KKZ992" s="124"/>
      <c r="KLA992" s="124"/>
      <c r="KLB992" s="124"/>
      <c r="KLC992" s="124"/>
      <c r="KLD992" s="124"/>
      <c r="KLE992" s="124"/>
      <c r="KLF992" s="124"/>
      <c r="KLG992" s="124"/>
      <c r="KLH992" s="124"/>
      <c r="KLI992" s="124"/>
      <c r="KLJ992" s="124"/>
      <c r="KLK992" s="124"/>
      <c r="KLL992" s="124"/>
      <c r="KLM992" s="124"/>
      <c r="KLN992" s="124"/>
      <c r="KLO992" s="124"/>
      <c r="KLP992" s="124"/>
      <c r="KLQ992" s="124"/>
      <c r="KLR992" s="124"/>
      <c r="KLS992" s="124"/>
      <c r="KLT992" s="124"/>
      <c r="KLU992" s="124"/>
      <c r="KLV992" s="124"/>
      <c r="KLW992" s="124"/>
      <c r="KLX992" s="124"/>
      <c r="KLY992" s="124"/>
      <c r="KLZ992" s="124"/>
      <c r="KMA992" s="124"/>
      <c r="KMB992" s="124"/>
      <c r="KMC992" s="124"/>
      <c r="KMD992" s="124"/>
      <c r="KME992" s="124"/>
      <c r="KMF992" s="124"/>
      <c r="KMG992" s="124"/>
      <c r="KMH992" s="124"/>
      <c r="KMI992" s="124"/>
      <c r="KMJ992" s="124"/>
      <c r="KMK992" s="124"/>
      <c r="KML992" s="124"/>
      <c r="KMM992" s="124"/>
      <c r="KMN992" s="124"/>
      <c r="KMO992" s="124"/>
      <c r="KMP992" s="124"/>
      <c r="KMQ992" s="124"/>
      <c r="KMR992" s="124"/>
      <c r="KMS992" s="124"/>
      <c r="KMT992" s="124"/>
      <c r="KMU992" s="124"/>
      <c r="KMV992" s="124"/>
      <c r="KMW992" s="124"/>
      <c r="KMX992" s="124"/>
      <c r="KMY992" s="124"/>
      <c r="KMZ992" s="124"/>
      <c r="KNA992" s="124"/>
      <c r="KNB992" s="124"/>
      <c r="KNC992" s="124"/>
      <c r="KND992" s="124"/>
      <c r="KNE992" s="124"/>
      <c r="KNF992" s="124"/>
      <c r="KNG992" s="124"/>
      <c r="KNH992" s="124"/>
      <c r="KNI992" s="124"/>
      <c r="KNJ992" s="124"/>
      <c r="KNK992" s="124"/>
      <c r="KNL992" s="124"/>
      <c r="KNM992" s="124"/>
      <c r="KNN992" s="124"/>
      <c r="KNO992" s="124"/>
      <c r="KNP992" s="124"/>
      <c r="KNQ992" s="124"/>
      <c r="KNR992" s="124"/>
      <c r="KNS992" s="124"/>
      <c r="KNT992" s="124"/>
      <c r="KNU992" s="124"/>
      <c r="KNV992" s="124"/>
      <c r="KNW992" s="124"/>
      <c r="KNX992" s="124"/>
      <c r="KNY992" s="124"/>
      <c r="KNZ992" s="124"/>
      <c r="KOA992" s="124"/>
      <c r="KOB992" s="124"/>
      <c r="KOC992" s="124"/>
      <c r="KOD992" s="124"/>
      <c r="KOE992" s="124"/>
      <c r="KOF992" s="124"/>
      <c r="KOG992" s="124"/>
      <c r="KOH992" s="124"/>
      <c r="KOI992" s="124"/>
      <c r="KOJ992" s="124"/>
      <c r="KOK992" s="124"/>
      <c r="KOL992" s="124"/>
      <c r="KOM992" s="124"/>
      <c r="KON992" s="124"/>
      <c r="KOO992" s="124"/>
      <c r="KOP992" s="124"/>
      <c r="KOQ992" s="124"/>
      <c r="KOR992" s="124"/>
      <c r="KOS992" s="124"/>
      <c r="KOT992" s="124"/>
      <c r="KOU992" s="124"/>
      <c r="KOV992" s="124"/>
      <c r="KOW992" s="124"/>
      <c r="KOX992" s="124"/>
      <c r="KOY992" s="124"/>
      <c r="KOZ992" s="124"/>
      <c r="KPA992" s="124"/>
      <c r="KPB992" s="124"/>
      <c r="KPC992" s="124"/>
      <c r="KPD992" s="124"/>
      <c r="KPE992" s="124"/>
      <c r="KPF992" s="124"/>
      <c r="KPG992" s="124"/>
      <c r="KPH992" s="124"/>
      <c r="KPI992" s="124"/>
      <c r="KPJ992" s="124"/>
      <c r="KPK992" s="124"/>
      <c r="KPL992" s="124"/>
      <c r="KPM992" s="124"/>
      <c r="KPN992" s="124"/>
      <c r="KPO992" s="124"/>
      <c r="KPP992" s="124"/>
      <c r="KPQ992" s="124"/>
      <c r="KPR992" s="124"/>
      <c r="KPS992" s="124"/>
      <c r="KPT992" s="124"/>
      <c r="KPU992" s="124"/>
      <c r="KPV992" s="124"/>
      <c r="KPW992" s="124"/>
      <c r="KPX992" s="124"/>
      <c r="KPY992" s="124"/>
      <c r="KPZ992" s="124"/>
      <c r="KQA992" s="124"/>
      <c r="KQB992" s="124"/>
      <c r="KQC992" s="124"/>
      <c r="KQD992" s="124"/>
      <c r="KQE992" s="124"/>
      <c r="KQF992" s="124"/>
      <c r="KQG992" s="124"/>
      <c r="KQH992" s="124"/>
      <c r="KQI992" s="124"/>
      <c r="KQJ992" s="124"/>
      <c r="KQK992" s="124"/>
      <c r="KQL992" s="124"/>
      <c r="KQM992" s="124"/>
      <c r="KQN992" s="124"/>
      <c r="KQO992" s="124"/>
      <c r="KQP992" s="124"/>
      <c r="KQQ992" s="124"/>
      <c r="KQR992" s="124"/>
      <c r="KQS992" s="124"/>
      <c r="KQT992" s="124"/>
      <c r="KQU992" s="124"/>
      <c r="KQV992" s="124"/>
      <c r="KQW992" s="124"/>
      <c r="KQX992" s="124"/>
      <c r="KQY992" s="124"/>
      <c r="KQZ992" s="124"/>
      <c r="KRA992" s="124"/>
      <c r="KRB992" s="124"/>
      <c r="KRC992" s="124"/>
      <c r="KRD992" s="124"/>
      <c r="KRE992" s="124"/>
      <c r="KRF992" s="124"/>
      <c r="KRG992" s="124"/>
      <c r="KRH992" s="124"/>
      <c r="KRI992" s="124"/>
      <c r="KRJ992" s="124"/>
      <c r="KRK992" s="124"/>
      <c r="KRL992" s="124"/>
      <c r="KRM992" s="124"/>
      <c r="KRN992" s="124"/>
      <c r="KRO992" s="124"/>
      <c r="KRP992" s="124"/>
      <c r="KRQ992" s="124"/>
      <c r="KRR992" s="124"/>
      <c r="KRS992" s="124"/>
      <c r="KRT992" s="124"/>
      <c r="KRU992" s="124"/>
      <c r="KRV992" s="124"/>
      <c r="KRW992" s="124"/>
      <c r="KRX992" s="124"/>
      <c r="KRY992" s="124"/>
      <c r="KRZ992" s="124"/>
      <c r="KSA992" s="124"/>
      <c r="KSB992" s="124"/>
      <c r="KSC992" s="124"/>
      <c r="KSD992" s="124"/>
      <c r="KSE992" s="124"/>
      <c r="KSF992" s="124"/>
      <c r="KSG992" s="124"/>
      <c r="KSH992" s="124"/>
      <c r="KSI992" s="124"/>
      <c r="KSJ992" s="124"/>
      <c r="KSK992" s="124"/>
      <c r="KSL992" s="124"/>
      <c r="KSM992" s="124"/>
      <c r="KSN992" s="124"/>
      <c r="KSO992" s="124"/>
      <c r="KSP992" s="124"/>
      <c r="KSQ992" s="124"/>
      <c r="KSR992" s="124"/>
      <c r="KSS992" s="124"/>
      <c r="KST992" s="124"/>
      <c r="KSU992" s="124"/>
      <c r="KSV992" s="124"/>
      <c r="KSW992" s="124"/>
      <c r="KSX992" s="124"/>
      <c r="KSY992" s="124"/>
      <c r="KSZ992" s="124"/>
      <c r="KTA992" s="124"/>
      <c r="KTB992" s="124"/>
      <c r="KTC992" s="124"/>
      <c r="KTD992" s="124"/>
      <c r="KTE992" s="124"/>
      <c r="KTF992" s="124"/>
      <c r="KTG992" s="124"/>
      <c r="KTH992" s="124"/>
      <c r="KTI992" s="124"/>
      <c r="KTJ992" s="124"/>
      <c r="KTK992" s="124"/>
      <c r="KTL992" s="124"/>
      <c r="KTM992" s="124"/>
      <c r="KTN992" s="124"/>
      <c r="KTO992" s="124"/>
      <c r="KTP992" s="124"/>
      <c r="KTQ992" s="124"/>
      <c r="KTR992" s="124"/>
      <c r="KTS992" s="124"/>
      <c r="KTT992" s="124"/>
      <c r="KTU992" s="124"/>
      <c r="KTV992" s="124"/>
      <c r="KTW992" s="124"/>
      <c r="KTX992" s="124"/>
      <c r="KTY992" s="124"/>
      <c r="KTZ992" s="124"/>
      <c r="KUA992" s="124"/>
      <c r="KUB992" s="124"/>
      <c r="KUC992" s="124"/>
      <c r="KUD992" s="124"/>
      <c r="KUE992" s="124"/>
      <c r="KUF992" s="124"/>
      <c r="KUG992" s="124"/>
      <c r="KUH992" s="124"/>
      <c r="KUI992" s="124"/>
      <c r="KUJ992" s="124"/>
      <c r="KUK992" s="124"/>
      <c r="KUL992" s="124"/>
      <c r="KUM992" s="124"/>
      <c r="KUN992" s="124"/>
      <c r="KUO992" s="124"/>
      <c r="KUP992" s="124"/>
      <c r="KUQ992" s="124"/>
      <c r="KUR992" s="124"/>
      <c r="KUS992" s="124"/>
      <c r="KUT992" s="124"/>
      <c r="KUU992" s="124"/>
      <c r="KUV992" s="124"/>
      <c r="KUW992" s="124"/>
      <c r="KUX992" s="124"/>
      <c r="KUY992" s="124"/>
      <c r="KUZ992" s="124"/>
      <c r="KVA992" s="124"/>
      <c r="KVB992" s="124"/>
      <c r="KVC992" s="124"/>
      <c r="KVD992" s="124"/>
      <c r="KVE992" s="124"/>
      <c r="KVF992" s="124"/>
      <c r="KVG992" s="124"/>
      <c r="KVH992" s="124"/>
      <c r="KVI992" s="124"/>
      <c r="KVJ992" s="124"/>
      <c r="KVK992" s="124"/>
      <c r="KVL992" s="124"/>
      <c r="KVM992" s="124"/>
      <c r="KVN992" s="124"/>
      <c r="KVO992" s="124"/>
      <c r="KVP992" s="124"/>
      <c r="KVQ992" s="124"/>
      <c r="KVR992" s="124"/>
      <c r="KVS992" s="124"/>
      <c r="KVT992" s="124"/>
      <c r="KVU992" s="124"/>
      <c r="KVV992" s="124"/>
      <c r="KVW992" s="124"/>
      <c r="KVX992" s="124"/>
      <c r="KVY992" s="124"/>
      <c r="KVZ992" s="124"/>
      <c r="KWA992" s="124"/>
      <c r="KWB992" s="124"/>
      <c r="KWC992" s="124"/>
      <c r="KWD992" s="124"/>
      <c r="KWE992" s="124"/>
      <c r="KWF992" s="124"/>
      <c r="KWG992" s="124"/>
      <c r="KWH992" s="124"/>
      <c r="KWI992" s="124"/>
      <c r="KWJ992" s="124"/>
      <c r="KWK992" s="124"/>
      <c r="KWL992" s="124"/>
      <c r="KWM992" s="124"/>
      <c r="KWN992" s="124"/>
      <c r="KWO992" s="124"/>
      <c r="KWP992" s="124"/>
      <c r="KWQ992" s="124"/>
      <c r="KWR992" s="124"/>
      <c r="KWS992" s="124"/>
      <c r="KWT992" s="124"/>
      <c r="KWU992" s="124"/>
      <c r="KWV992" s="124"/>
      <c r="KWW992" s="124"/>
      <c r="KWX992" s="124"/>
      <c r="KWY992" s="124"/>
      <c r="KWZ992" s="124"/>
      <c r="KXA992" s="124"/>
      <c r="KXB992" s="124"/>
      <c r="KXC992" s="124"/>
      <c r="KXD992" s="124"/>
      <c r="KXE992" s="124"/>
      <c r="KXF992" s="124"/>
      <c r="KXG992" s="124"/>
      <c r="KXH992" s="124"/>
      <c r="KXI992" s="124"/>
      <c r="KXJ992" s="124"/>
      <c r="KXK992" s="124"/>
      <c r="KXL992" s="124"/>
      <c r="KXM992" s="124"/>
      <c r="KXN992" s="124"/>
      <c r="KXO992" s="124"/>
      <c r="KXP992" s="124"/>
      <c r="KXQ992" s="124"/>
      <c r="KXR992" s="124"/>
      <c r="KXS992" s="124"/>
      <c r="KXT992" s="124"/>
      <c r="KXU992" s="124"/>
      <c r="KXV992" s="124"/>
      <c r="KXW992" s="124"/>
      <c r="KXX992" s="124"/>
      <c r="KXY992" s="124"/>
      <c r="KXZ992" s="124"/>
      <c r="KYA992" s="124"/>
      <c r="KYB992" s="124"/>
      <c r="KYC992" s="124"/>
      <c r="KYD992" s="124"/>
      <c r="KYE992" s="124"/>
      <c r="KYF992" s="124"/>
      <c r="KYG992" s="124"/>
      <c r="KYH992" s="124"/>
      <c r="KYI992" s="124"/>
      <c r="KYJ992" s="124"/>
      <c r="KYK992" s="124"/>
      <c r="KYL992" s="124"/>
      <c r="KYM992" s="124"/>
      <c r="KYN992" s="124"/>
      <c r="KYO992" s="124"/>
      <c r="KYP992" s="124"/>
      <c r="KYQ992" s="124"/>
      <c r="KYR992" s="124"/>
      <c r="KYS992" s="124"/>
      <c r="KYT992" s="124"/>
      <c r="KYU992" s="124"/>
      <c r="KYV992" s="124"/>
      <c r="KYW992" s="124"/>
      <c r="KYX992" s="124"/>
      <c r="KYY992" s="124"/>
      <c r="KYZ992" s="124"/>
      <c r="KZA992" s="124"/>
      <c r="KZB992" s="124"/>
      <c r="KZC992" s="124"/>
      <c r="KZD992" s="124"/>
      <c r="KZE992" s="124"/>
      <c r="KZF992" s="124"/>
      <c r="KZG992" s="124"/>
      <c r="KZH992" s="124"/>
      <c r="KZI992" s="124"/>
      <c r="KZJ992" s="124"/>
      <c r="KZK992" s="124"/>
      <c r="KZL992" s="124"/>
      <c r="KZM992" s="124"/>
      <c r="KZN992" s="124"/>
      <c r="KZO992" s="124"/>
      <c r="KZP992" s="124"/>
      <c r="KZQ992" s="124"/>
      <c r="KZR992" s="124"/>
      <c r="KZS992" s="124"/>
      <c r="KZT992" s="124"/>
      <c r="KZU992" s="124"/>
      <c r="KZV992" s="124"/>
      <c r="KZW992" s="124"/>
      <c r="KZX992" s="124"/>
      <c r="KZY992" s="124"/>
      <c r="KZZ992" s="124"/>
      <c r="LAA992" s="124"/>
      <c r="LAB992" s="124"/>
      <c r="LAC992" s="124"/>
      <c r="LAD992" s="124"/>
      <c r="LAE992" s="124"/>
      <c r="LAF992" s="124"/>
      <c r="LAG992" s="124"/>
      <c r="LAH992" s="124"/>
      <c r="LAI992" s="124"/>
      <c r="LAJ992" s="124"/>
      <c r="LAK992" s="124"/>
      <c r="LAL992" s="124"/>
      <c r="LAM992" s="124"/>
      <c r="LAN992" s="124"/>
      <c r="LAO992" s="124"/>
      <c r="LAP992" s="124"/>
      <c r="LAQ992" s="124"/>
      <c r="LAR992" s="124"/>
      <c r="LAS992" s="124"/>
      <c r="LAT992" s="124"/>
      <c r="LAU992" s="124"/>
      <c r="LAV992" s="124"/>
      <c r="LAW992" s="124"/>
      <c r="LAX992" s="124"/>
      <c r="LAY992" s="124"/>
      <c r="LAZ992" s="124"/>
      <c r="LBA992" s="124"/>
      <c r="LBB992" s="124"/>
      <c r="LBC992" s="124"/>
      <c r="LBD992" s="124"/>
      <c r="LBE992" s="124"/>
      <c r="LBF992" s="124"/>
      <c r="LBG992" s="124"/>
      <c r="LBH992" s="124"/>
      <c r="LBI992" s="124"/>
      <c r="LBJ992" s="124"/>
      <c r="LBK992" s="124"/>
      <c r="LBL992" s="124"/>
      <c r="LBM992" s="124"/>
      <c r="LBN992" s="124"/>
      <c r="LBO992" s="124"/>
      <c r="LBP992" s="124"/>
      <c r="LBQ992" s="124"/>
      <c r="LBR992" s="124"/>
      <c r="LBS992" s="124"/>
      <c r="LBT992" s="124"/>
      <c r="LBU992" s="124"/>
      <c r="LBV992" s="124"/>
      <c r="LBW992" s="124"/>
      <c r="LBX992" s="124"/>
      <c r="LBY992" s="124"/>
      <c r="LBZ992" s="124"/>
      <c r="LCA992" s="124"/>
      <c r="LCB992" s="124"/>
      <c r="LCC992" s="124"/>
      <c r="LCD992" s="124"/>
      <c r="LCE992" s="124"/>
      <c r="LCF992" s="124"/>
      <c r="LCG992" s="124"/>
      <c r="LCH992" s="124"/>
      <c r="LCI992" s="124"/>
      <c r="LCJ992" s="124"/>
      <c r="LCK992" s="124"/>
      <c r="LCL992" s="124"/>
      <c r="LCM992" s="124"/>
      <c r="LCN992" s="124"/>
      <c r="LCO992" s="124"/>
      <c r="LCP992" s="124"/>
      <c r="LCQ992" s="124"/>
      <c r="LCR992" s="124"/>
      <c r="LCS992" s="124"/>
      <c r="LCT992" s="124"/>
      <c r="LCU992" s="124"/>
      <c r="LCV992" s="124"/>
      <c r="LCW992" s="124"/>
      <c r="LCX992" s="124"/>
      <c r="LCY992" s="124"/>
      <c r="LCZ992" s="124"/>
      <c r="LDA992" s="124"/>
      <c r="LDB992" s="124"/>
      <c r="LDC992" s="124"/>
      <c r="LDD992" s="124"/>
      <c r="LDE992" s="124"/>
      <c r="LDF992" s="124"/>
      <c r="LDG992" s="124"/>
      <c r="LDH992" s="124"/>
      <c r="LDI992" s="124"/>
      <c r="LDJ992" s="124"/>
      <c r="LDK992" s="124"/>
      <c r="LDL992" s="124"/>
      <c r="LDM992" s="124"/>
      <c r="LDN992" s="124"/>
      <c r="LDO992" s="124"/>
      <c r="LDP992" s="124"/>
      <c r="LDQ992" s="124"/>
      <c r="LDR992" s="124"/>
      <c r="LDS992" s="124"/>
      <c r="LDT992" s="124"/>
      <c r="LDU992" s="124"/>
      <c r="LDV992" s="124"/>
      <c r="LDW992" s="124"/>
      <c r="LDX992" s="124"/>
      <c r="LDY992" s="124"/>
      <c r="LDZ992" s="124"/>
      <c r="LEA992" s="124"/>
      <c r="LEB992" s="124"/>
      <c r="LEC992" s="124"/>
      <c r="LED992" s="124"/>
      <c r="LEE992" s="124"/>
      <c r="LEF992" s="124"/>
      <c r="LEG992" s="124"/>
      <c r="LEH992" s="124"/>
      <c r="LEI992" s="124"/>
      <c r="LEJ992" s="124"/>
      <c r="LEK992" s="124"/>
      <c r="LEL992" s="124"/>
      <c r="LEM992" s="124"/>
      <c r="LEN992" s="124"/>
      <c r="LEO992" s="124"/>
      <c r="LEP992" s="124"/>
      <c r="LEQ992" s="124"/>
      <c r="LER992" s="124"/>
      <c r="LES992" s="124"/>
      <c r="LET992" s="124"/>
      <c r="LEU992" s="124"/>
      <c r="LEV992" s="124"/>
      <c r="LEW992" s="124"/>
      <c r="LEX992" s="124"/>
      <c r="LEY992" s="124"/>
      <c r="LEZ992" s="124"/>
      <c r="LFA992" s="124"/>
      <c r="LFB992" s="124"/>
      <c r="LFC992" s="124"/>
      <c r="LFD992" s="124"/>
      <c r="LFE992" s="124"/>
      <c r="LFF992" s="124"/>
      <c r="LFG992" s="124"/>
      <c r="LFH992" s="124"/>
      <c r="LFI992" s="124"/>
      <c r="LFJ992" s="124"/>
      <c r="LFK992" s="124"/>
      <c r="LFL992" s="124"/>
      <c r="LFM992" s="124"/>
      <c r="LFN992" s="124"/>
      <c r="LFO992" s="124"/>
      <c r="LFP992" s="124"/>
      <c r="LFQ992" s="124"/>
      <c r="LFR992" s="124"/>
      <c r="LFS992" s="124"/>
      <c r="LFT992" s="124"/>
      <c r="LFU992" s="124"/>
      <c r="LFV992" s="124"/>
      <c r="LFW992" s="124"/>
      <c r="LFX992" s="124"/>
      <c r="LFY992" s="124"/>
      <c r="LFZ992" s="124"/>
      <c r="LGA992" s="124"/>
      <c r="LGB992" s="124"/>
      <c r="LGC992" s="124"/>
      <c r="LGD992" s="124"/>
      <c r="LGE992" s="124"/>
      <c r="LGF992" s="124"/>
      <c r="LGG992" s="124"/>
      <c r="LGH992" s="124"/>
      <c r="LGI992" s="124"/>
      <c r="LGJ992" s="124"/>
      <c r="LGK992" s="124"/>
      <c r="LGL992" s="124"/>
      <c r="LGM992" s="124"/>
      <c r="LGN992" s="124"/>
      <c r="LGO992" s="124"/>
      <c r="LGP992" s="124"/>
      <c r="LGQ992" s="124"/>
      <c r="LGR992" s="124"/>
      <c r="LGS992" s="124"/>
      <c r="LGT992" s="124"/>
      <c r="LGU992" s="124"/>
      <c r="LGV992" s="124"/>
      <c r="LGW992" s="124"/>
      <c r="LGX992" s="124"/>
      <c r="LGY992" s="124"/>
      <c r="LGZ992" s="124"/>
      <c r="LHA992" s="124"/>
      <c r="LHB992" s="124"/>
      <c r="LHC992" s="124"/>
      <c r="LHD992" s="124"/>
      <c r="LHE992" s="124"/>
      <c r="LHF992" s="124"/>
      <c r="LHG992" s="124"/>
      <c r="LHH992" s="124"/>
      <c r="LHI992" s="124"/>
      <c r="LHJ992" s="124"/>
      <c r="LHK992" s="124"/>
      <c r="LHL992" s="124"/>
      <c r="LHM992" s="124"/>
      <c r="LHN992" s="124"/>
      <c r="LHO992" s="124"/>
      <c r="LHP992" s="124"/>
      <c r="LHQ992" s="124"/>
      <c r="LHR992" s="124"/>
      <c r="LHS992" s="124"/>
      <c r="LHT992" s="124"/>
      <c r="LHU992" s="124"/>
      <c r="LHV992" s="124"/>
      <c r="LHW992" s="124"/>
      <c r="LHX992" s="124"/>
      <c r="LHY992" s="124"/>
      <c r="LHZ992" s="124"/>
      <c r="LIA992" s="124"/>
      <c r="LIB992" s="124"/>
      <c r="LIC992" s="124"/>
      <c r="LID992" s="124"/>
      <c r="LIE992" s="124"/>
      <c r="LIF992" s="124"/>
      <c r="LIG992" s="124"/>
      <c r="LIH992" s="124"/>
      <c r="LII992" s="124"/>
      <c r="LIJ992" s="124"/>
      <c r="LIK992" s="124"/>
      <c r="LIL992" s="124"/>
      <c r="LIM992" s="124"/>
      <c r="LIN992" s="124"/>
      <c r="LIO992" s="124"/>
      <c r="LIP992" s="124"/>
      <c r="LIQ992" s="124"/>
      <c r="LIR992" s="124"/>
      <c r="LIS992" s="124"/>
      <c r="LIT992" s="124"/>
      <c r="LIU992" s="124"/>
      <c r="LIV992" s="124"/>
      <c r="LIW992" s="124"/>
      <c r="LIX992" s="124"/>
      <c r="LIY992" s="124"/>
      <c r="LIZ992" s="124"/>
      <c r="LJA992" s="124"/>
      <c r="LJB992" s="124"/>
      <c r="LJC992" s="124"/>
      <c r="LJD992" s="124"/>
      <c r="LJE992" s="124"/>
      <c r="LJF992" s="124"/>
      <c r="LJG992" s="124"/>
      <c r="LJH992" s="124"/>
      <c r="LJI992" s="124"/>
      <c r="LJJ992" s="124"/>
      <c r="LJK992" s="124"/>
      <c r="LJL992" s="124"/>
      <c r="LJM992" s="124"/>
      <c r="LJN992" s="124"/>
      <c r="LJO992" s="124"/>
      <c r="LJP992" s="124"/>
      <c r="LJQ992" s="124"/>
      <c r="LJR992" s="124"/>
      <c r="LJS992" s="124"/>
      <c r="LJT992" s="124"/>
      <c r="LJU992" s="124"/>
      <c r="LJV992" s="124"/>
      <c r="LJW992" s="124"/>
      <c r="LJX992" s="124"/>
      <c r="LJY992" s="124"/>
      <c r="LJZ992" s="124"/>
      <c r="LKA992" s="124"/>
      <c r="LKB992" s="124"/>
      <c r="LKC992" s="124"/>
      <c r="LKD992" s="124"/>
      <c r="LKE992" s="124"/>
      <c r="LKF992" s="124"/>
      <c r="LKG992" s="124"/>
      <c r="LKH992" s="124"/>
      <c r="LKI992" s="124"/>
      <c r="LKJ992" s="124"/>
      <c r="LKK992" s="124"/>
      <c r="LKL992" s="124"/>
      <c r="LKM992" s="124"/>
      <c r="LKN992" s="124"/>
      <c r="LKO992" s="124"/>
      <c r="LKP992" s="124"/>
      <c r="LKQ992" s="124"/>
      <c r="LKR992" s="124"/>
      <c r="LKS992" s="124"/>
      <c r="LKT992" s="124"/>
      <c r="LKU992" s="124"/>
      <c r="LKV992" s="124"/>
      <c r="LKW992" s="124"/>
      <c r="LKX992" s="124"/>
      <c r="LKY992" s="124"/>
      <c r="LKZ992" s="124"/>
      <c r="LLA992" s="124"/>
      <c r="LLB992" s="124"/>
      <c r="LLC992" s="124"/>
      <c r="LLD992" s="124"/>
      <c r="LLE992" s="124"/>
      <c r="LLF992" s="124"/>
      <c r="LLG992" s="124"/>
      <c r="LLH992" s="124"/>
      <c r="LLI992" s="124"/>
      <c r="LLJ992" s="124"/>
      <c r="LLK992" s="124"/>
      <c r="LLL992" s="124"/>
      <c r="LLM992" s="124"/>
      <c r="LLN992" s="124"/>
      <c r="LLO992" s="124"/>
      <c r="LLP992" s="124"/>
      <c r="LLQ992" s="124"/>
      <c r="LLR992" s="124"/>
      <c r="LLS992" s="124"/>
      <c r="LLT992" s="124"/>
      <c r="LLU992" s="124"/>
      <c r="LLV992" s="124"/>
      <c r="LLW992" s="124"/>
      <c r="LLX992" s="124"/>
      <c r="LLY992" s="124"/>
      <c r="LLZ992" s="124"/>
      <c r="LMA992" s="124"/>
      <c r="LMB992" s="124"/>
      <c r="LMC992" s="124"/>
      <c r="LMD992" s="124"/>
      <c r="LME992" s="124"/>
      <c r="LMF992" s="124"/>
      <c r="LMG992" s="124"/>
      <c r="LMH992" s="124"/>
      <c r="LMI992" s="124"/>
      <c r="LMJ992" s="124"/>
      <c r="LMK992" s="124"/>
      <c r="LML992" s="124"/>
      <c r="LMM992" s="124"/>
      <c r="LMN992" s="124"/>
      <c r="LMO992" s="124"/>
      <c r="LMP992" s="124"/>
      <c r="LMQ992" s="124"/>
      <c r="LMR992" s="124"/>
      <c r="LMS992" s="124"/>
      <c r="LMT992" s="124"/>
      <c r="LMU992" s="124"/>
      <c r="LMV992" s="124"/>
      <c r="LMW992" s="124"/>
      <c r="LMX992" s="124"/>
      <c r="LMY992" s="124"/>
      <c r="LMZ992" s="124"/>
      <c r="LNA992" s="124"/>
      <c r="LNB992" s="124"/>
      <c r="LNC992" s="124"/>
      <c r="LND992" s="124"/>
      <c r="LNE992" s="124"/>
      <c r="LNF992" s="124"/>
      <c r="LNG992" s="124"/>
      <c r="LNH992" s="124"/>
      <c r="LNI992" s="124"/>
      <c r="LNJ992" s="124"/>
      <c r="LNK992" s="124"/>
      <c r="LNL992" s="124"/>
      <c r="LNM992" s="124"/>
      <c r="LNN992" s="124"/>
      <c r="LNO992" s="124"/>
      <c r="LNP992" s="124"/>
      <c r="LNQ992" s="124"/>
      <c r="LNR992" s="124"/>
      <c r="LNS992" s="124"/>
      <c r="LNT992" s="124"/>
      <c r="LNU992" s="124"/>
      <c r="LNV992" s="124"/>
      <c r="LNW992" s="124"/>
      <c r="LNX992" s="124"/>
      <c r="LNY992" s="124"/>
      <c r="LNZ992" s="124"/>
      <c r="LOA992" s="124"/>
      <c r="LOB992" s="124"/>
      <c r="LOC992" s="124"/>
      <c r="LOD992" s="124"/>
      <c r="LOE992" s="124"/>
      <c r="LOF992" s="124"/>
      <c r="LOG992" s="124"/>
      <c r="LOH992" s="124"/>
      <c r="LOI992" s="124"/>
      <c r="LOJ992" s="124"/>
      <c r="LOK992" s="124"/>
      <c r="LOL992" s="124"/>
      <c r="LOM992" s="124"/>
      <c r="LON992" s="124"/>
      <c r="LOO992" s="124"/>
      <c r="LOP992" s="124"/>
      <c r="LOQ992" s="124"/>
      <c r="LOR992" s="124"/>
      <c r="LOS992" s="124"/>
      <c r="LOT992" s="124"/>
      <c r="LOU992" s="124"/>
      <c r="LOV992" s="124"/>
      <c r="LOW992" s="124"/>
      <c r="LOX992" s="124"/>
      <c r="LOY992" s="124"/>
      <c r="LOZ992" s="124"/>
      <c r="LPA992" s="124"/>
      <c r="LPB992" s="124"/>
      <c r="LPC992" s="124"/>
      <c r="LPD992" s="124"/>
      <c r="LPE992" s="124"/>
      <c r="LPF992" s="124"/>
      <c r="LPG992" s="124"/>
      <c r="LPH992" s="124"/>
      <c r="LPI992" s="124"/>
      <c r="LPJ992" s="124"/>
      <c r="LPK992" s="124"/>
      <c r="LPL992" s="124"/>
      <c r="LPM992" s="124"/>
      <c r="LPN992" s="124"/>
      <c r="LPO992" s="124"/>
      <c r="LPP992" s="124"/>
      <c r="LPQ992" s="124"/>
      <c r="LPR992" s="124"/>
      <c r="LPS992" s="124"/>
      <c r="LPT992" s="124"/>
      <c r="LPU992" s="124"/>
      <c r="LPV992" s="124"/>
      <c r="LPW992" s="124"/>
      <c r="LPX992" s="124"/>
      <c r="LPY992" s="124"/>
      <c r="LPZ992" s="124"/>
      <c r="LQA992" s="124"/>
      <c r="LQB992" s="124"/>
      <c r="LQC992" s="124"/>
      <c r="LQD992" s="124"/>
      <c r="LQE992" s="124"/>
      <c r="LQF992" s="124"/>
      <c r="LQG992" s="124"/>
      <c r="LQH992" s="124"/>
      <c r="LQI992" s="124"/>
      <c r="LQJ992" s="124"/>
      <c r="LQK992" s="124"/>
      <c r="LQL992" s="124"/>
      <c r="LQM992" s="124"/>
      <c r="LQN992" s="124"/>
      <c r="LQO992" s="124"/>
      <c r="LQP992" s="124"/>
      <c r="LQQ992" s="124"/>
      <c r="LQR992" s="124"/>
      <c r="LQS992" s="124"/>
      <c r="LQT992" s="124"/>
      <c r="LQU992" s="124"/>
      <c r="LQV992" s="124"/>
      <c r="LQW992" s="124"/>
      <c r="LQX992" s="124"/>
      <c r="LQY992" s="124"/>
      <c r="LQZ992" s="124"/>
      <c r="LRA992" s="124"/>
      <c r="LRB992" s="124"/>
      <c r="LRC992" s="124"/>
      <c r="LRD992" s="124"/>
      <c r="LRE992" s="124"/>
      <c r="LRF992" s="124"/>
      <c r="LRG992" s="124"/>
      <c r="LRH992" s="124"/>
      <c r="LRI992" s="124"/>
      <c r="LRJ992" s="124"/>
      <c r="LRK992" s="124"/>
      <c r="LRL992" s="124"/>
      <c r="LRM992" s="124"/>
      <c r="LRN992" s="124"/>
      <c r="LRO992" s="124"/>
      <c r="LRP992" s="124"/>
      <c r="LRQ992" s="124"/>
      <c r="LRR992" s="124"/>
      <c r="LRS992" s="124"/>
      <c r="LRT992" s="124"/>
      <c r="LRU992" s="124"/>
      <c r="LRV992" s="124"/>
      <c r="LRW992" s="124"/>
      <c r="LRX992" s="124"/>
      <c r="LRY992" s="124"/>
      <c r="LRZ992" s="124"/>
      <c r="LSA992" s="124"/>
      <c r="LSB992" s="124"/>
      <c r="LSC992" s="124"/>
      <c r="LSD992" s="124"/>
      <c r="LSE992" s="124"/>
      <c r="LSF992" s="124"/>
      <c r="LSG992" s="124"/>
      <c r="LSH992" s="124"/>
      <c r="LSI992" s="124"/>
      <c r="LSJ992" s="124"/>
      <c r="LSK992" s="124"/>
      <c r="LSL992" s="124"/>
      <c r="LSM992" s="124"/>
      <c r="LSN992" s="124"/>
      <c r="LSO992" s="124"/>
      <c r="LSP992" s="124"/>
      <c r="LSQ992" s="124"/>
      <c r="LSR992" s="124"/>
      <c r="LSS992" s="124"/>
      <c r="LST992" s="124"/>
      <c r="LSU992" s="124"/>
      <c r="LSV992" s="124"/>
      <c r="LSW992" s="124"/>
      <c r="LSX992" s="124"/>
      <c r="LSY992" s="124"/>
      <c r="LSZ992" s="124"/>
      <c r="LTA992" s="124"/>
      <c r="LTB992" s="124"/>
      <c r="LTC992" s="124"/>
      <c r="LTD992" s="124"/>
      <c r="LTE992" s="124"/>
      <c r="LTF992" s="124"/>
      <c r="LTG992" s="124"/>
      <c r="LTH992" s="124"/>
      <c r="LTI992" s="124"/>
      <c r="LTJ992" s="124"/>
      <c r="LTK992" s="124"/>
      <c r="LTL992" s="124"/>
      <c r="LTM992" s="124"/>
      <c r="LTN992" s="124"/>
      <c r="LTO992" s="124"/>
      <c r="LTP992" s="124"/>
      <c r="LTQ992" s="124"/>
      <c r="LTR992" s="124"/>
      <c r="LTS992" s="124"/>
      <c r="LTT992" s="124"/>
      <c r="LTU992" s="124"/>
      <c r="LTV992" s="124"/>
      <c r="LTW992" s="124"/>
      <c r="LTX992" s="124"/>
      <c r="LTY992" s="124"/>
      <c r="LTZ992" s="124"/>
      <c r="LUA992" s="124"/>
      <c r="LUB992" s="124"/>
      <c r="LUC992" s="124"/>
      <c r="LUD992" s="124"/>
      <c r="LUE992" s="124"/>
      <c r="LUF992" s="124"/>
      <c r="LUG992" s="124"/>
      <c r="LUH992" s="124"/>
      <c r="LUI992" s="124"/>
      <c r="LUJ992" s="124"/>
      <c r="LUK992" s="124"/>
      <c r="LUL992" s="124"/>
      <c r="LUM992" s="124"/>
      <c r="LUN992" s="124"/>
      <c r="LUO992" s="124"/>
      <c r="LUP992" s="124"/>
      <c r="LUQ992" s="124"/>
      <c r="LUR992" s="124"/>
      <c r="LUS992" s="124"/>
      <c r="LUT992" s="124"/>
      <c r="LUU992" s="124"/>
      <c r="LUV992" s="124"/>
      <c r="LUW992" s="124"/>
      <c r="LUX992" s="124"/>
      <c r="LUY992" s="124"/>
      <c r="LUZ992" s="124"/>
      <c r="LVA992" s="124"/>
      <c r="LVB992" s="124"/>
      <c r="LVC992" s="124"/>
      <c r="LVD992" s="124"/>
      <c r="LVE992" s="124"/>
      <c r="LVF992" s="124"/>
      <c r="LVG992" s="124"/>
      <c r="LVH992" s="124"/>
      <c r="LVI992" s="124"/>
      <c r="LVJ992" s="124"/>
      <c r="LVK992" s="124"/>
      <c r="LVL992" s="124"/>
      <c r="LVM992" s="124"/>
      <c r="LVN992" s="124"/>
      <c r="LVO992" s="124"/>
      <c r="LVP992" s="124"/>
      <c r="LVQ992" s="124"/>
      <c r="LVR992" s="124"/>
      <c r="LVS992" s="124"/>
      <c r="LVT992" s="124"/>
      <c r="LVU992" s="124"/>
      <c r="LVV992" s="124"/>
      <c r="LVW992" s="124"/>
      <c r="LVX992" s="124"/>
      <c r="LVY992" s="124"/>
      <c r="LVZ992" s="124"/>
      <c r="LWA992" s="124"/>
      <c r="LWB992" s="124"/>
      <c r="LWC992" s="124"/>
      <c r="LWD992" s="124"/>
      <c r="LWE992" s="124"/>
      <c r="LWF992" s="124"/>
      <c r="LWG992" s="124"/>
      <c r="LWH992" s="124"/>
      <c r="LWI992" s="124"/>
      <c r="LWJ992" s="124"/>
      <c r="LWK992" s="124"/>
      <c r="LWL992" s="124"/>
      <c r="LWM992" s="124"/>
      <c r="LWN992" s="124"/>
      <c r="LWO992" s="124"/>
      <c r="LWP992" s="124"/>
      <c r="LWQ992" s="124"/>
      <c r="LWR992" s="124"/>
      <c r="LWS992" s="124"/>
      <c r="LWT992" s="124"/>
      <c r="LWU992" s="124"/>
      <c r="LWV992" s="124"/>
      <c r="LWW992" s="124"/>
      <c r="LWX992" s="124"/>
      <c r="LWY992" s="124"/>
      <c r="LWZ992" s="124"/>
      <c r="LXA992" s="124"/>
      <c r="LXB992" s="124"/>
      <c r="LXC992" s="124"/>
      <c r="LXD992" s="124"/>
      <c r="LXE992" s="124"/>
      <c r="LXF992" s="124"/>
      <c r="LXG992" s="124"/>
      <c r="LXH992" s="124"/>
      <c r="LXI992" s="124"/>
      <c r="LXJ992" s="124"/>
      <c r="LXK992" s="124"/>
      <c r="LXL992" s="124"/>
      <c r="LXM992" s="124"/>
      <c r="LXN992" s="124"/>
      <c r="LXO992" s="124"/>
      <c r="LXP992" s="124"/>
      <c r="LXQ992" s="124"/>
      <c r="LXR992" s="124"/>
      <c r="LXS992" s="124"/>
      <c r="LXT992" s="124"/>
      <c r="LXU992" s="124"/>
      <c r="LXV992" s="124"/>
      <c r="LXW992" s="124"/>
      <c r="LXX992" s="124"/>
      <c r="LXY992" s="124"/>
      <c r="LXZ992" s="124"/>
      <c r="LYA992" s="124"/>
      <c r="LYB992" s="124"/>
      <c r="LYC992" s="124"/>
      <c r="LYD992" s="124"/>
      <c r="LYE992" s="124"/>
      <c r="LYF992" s="124"/>
      <c r="LYG992" s="124"/>
      <c r="LYH992" s="124"/>
      <c r="LYI992" s="124"/>
      <c r="LYJ992" s="124"/>
      <c r="LYK992" s="124"/>
      <c r="LYL992" s="124"/>
      <c r="LYM992" s="124"/>
      <c r="LYN992" s="124"/>
      <c r="LYO992" s="124"/>
      <c r="LYP992" s="124"/>
      <c r="LYQ992" s="124"/>
      <c r="LYR992" s="124"/>
      <c r="LYS992" s="124"/>
      <c r="LYT992" s="124"/>
      <c r="LYU992" s="124"/>
      <c r="LYV992" s="124"/>
      <c r="LYW992" s="124"/>
      <c r="LYX992" s="124"/>
      <c r="LYY992" s="124"/>
      <c r="LYZ992" s="124"/>
      <c r="LZA992" s="124"/>
      <c r="LZB992" s="124"/>
      <c r="LZC992" s="124"/>
      <c r="LZD992" s="124"/>
      <c r="LZE992" s="124"/>
      <c r="LZF992" s="124"/>
      <c r="LZG992" s="124"/>
      <c r="LZH992" s="124"/>
      <c r="LZI992" s="124"/>
      <c r="LZJ992" s="124"/>
      <c r="LZK992" s="124"/>
      <c r="LZL992" s="124"/>
      <c r="LZM992" s="124"/>
      <c r="LZN992" s="124"/>
      <c r="LZO992" s="124"/>
      <c r="LZP992" s="124"/>
      <c r="LZQ992" s="124"/>
      <c r="LZR992" s="124"/>
      <c r="LZS992" s="124"/>
      <c r="LZT992" s="124"/>
      <c r="LZU992" s="124"/>
      <c r="LZV992" s="124"/>
      <c r="LZW992" s="124"/>
      <c r="LZX992" s="124"/>
      <c r="LZY992" s="124"/>
      <c r="LZZ992" s="124"/>
      <c r="MAA992" s="124"/>
      <c r="MAB992" s="124"/>
      <c r="MAC992" s="124"/>
      <c r="MAD992" s="124"/>
      <c r="MAE992" s="124"/>
      <c r="MAF992" s="124"/>
      <c r="MAG992" s="124"/>
      <c r="MAH992" s="124"/>
      <c r="MAI992" s="124"/>
      <c r="MAJ992" s="124"/>
      <c r="MAK992" s="124"/>
      <c r="MAL992" s="124"/>
      <c r="MAM992" s="124"/>
      <c r="MAN992" s="124"/>
      <c r="MAO992" s="124"/>
      <c r="MAP992" s="124"/>
      <c r="MAQ992" s="124"/>
      <c r="MAR992" s="124"/>
      <c r="MAS992" s="124"/>
      <c r="MAT992" s="124"/>
      <c r="MAU992" s="124"/>
      <c r="MAV992" s="124"/>
      <c r="MAW992" s="124"/>
      <c r="MAX992" s="124"/>
      <c r="MAY992" s="124"/>
      <c r="MAZ992" s="124"/>
      <c r="MBA992" s="124"/>
      <c r="MBB992" s="124"/>
      <c r="MBC992" s="124"/>
      <c r="MBD992" s="124"/>
      <c r="MBE992" s="124"/>
      <c r="MBF992" s="124"/>
      <c r="MBG992" s="124"/>
      <c r="MBH992" s="124"/>
      <c r="MBI992" s="124"/>
      <c r="MBJ992" s="124"/>
      <c r="MBK992" s="124"/>
      <c r="MBL992" s="124"/>
      <c r="MBM992" s="124"/>
      <c r="MBN992" s="124"/>
      <c r="MBO992" s="124"/>
      <c r="MBP992" s="124"/>
      <c r="MBQ992" s="124"/>
      <c r="MBR992" s="124"/>
      <c r="MBS992" s="124"/>
      <c r="MBT992" s="124"/>
      <c r="MBU992" s="124"/>
      <c r="MBV992" s="124"/>
      <c r="MBW992" s="124"/>
      <c r="MBX992" s="124"/>
      <c r="MBY992" s="124"/>
      <c r="MBZ992" s="124"/>
      <c r="MCA992" s="124"/>
      <c r="MCB992" s="124"/>
      <c r="MCC992" s="124"/>
      <c r="MCD992" s="124"/>
    </row>
    <row r="993" spans="1:8870" s="18" customFormat="1" ht="38.25" customHeight="1">
      <c r="A993" s="21" t="s">
        <v>1</v>
      </c>
      <c r="B993" s="18" t="s">
        <v>1855</v>
      </c>
      <c r="C993" s="21" t="s">
        <v>35</v>
      </c>
      <c r="D993" s="18" t="s">
        <v>2864</v>
      </c>
      <c r="E993" s="21" t="s">
        <v>740</v>
      </c>
      <c r="F993" s="18" t="s">
        <v>277</v>
      </c>
      <c r="G993" s="21" t="s">
        <v>85</v>
      </c>
      <c r="H993" s="18">
        <v>541519</v>
      </c>
      <c r="I993" s="18" t="s">
        <v>28</v>
      </c>
      <c r="J993" s="21" t="s">
        <v>109</v>
      </c>
      <c r="K993" s="18" t="s">
        <v>1147</v>
      </c>
      <c r="L993" s="21" t="s">
        <v>561</v>
      </c>
      <c r="M993" s="22">
        <v>95000000</v>
      </c>
      <c r="N993" s="22">
        <v>100000000</v>
      </c>
      <c r="O993" s="21" t="s">
        <v>20</v>
      </c>
      <c r="P993" s="18" t="s">
        <v>2865</v>
      </c>
      <c r="Q993" s="18" t="s">
        <v>2851</v>
      </c>
      <c r="R993" s="21" t="s">
        <v>2836</v>
      </c>
      <c r="S993" s="74">
        <v>2013</v>
      </c>
      <c r="T993" s="21" t="s">
        <v>2866</v>
      </c>
      <c r="U993" s="21" t="s">
        <v>2860</v>
      </c>
      <c r="V993" s="214" t="s">
        <v>2867</v>
      </c>
      <c r="W993" s="105" t="s">
        <v>32</v>
      </c>
      <c r="X993" s="18" t="s">
        <v>2856</v>
      </c>
      <c r="Y993" s="124"/>
      <c r="Z993" s="124"/>
      <c r="AA993" s="124"/>
      <c r="AB993" s="124"/>
      <c r="AC993" s="124"/>
      <c r="AD993" s="124"/>
      <c r="AE993" s="124"/>
      <c r="AF993" s="124"/>
      <c r="AG993" s="124"/>
      <c r="AH993" s="124"/>
      <c r="AI993" s="124"/>
      <c r="AJ993" s="124"/>
      <c r="AK993" s="124"/>
      <c r="AL993" s="124"/>
      <c r="AM993" s="124"/>
      <c r="AN993" s="124"/>
      <c r="AO993" s="124"/>
      <c r="AP993" s="124"/>
      <c r="AQ993" s="124"/>
      <c r="AR993" s="124"/>
      <c r="AS993" s="124"/>
      <c r="AT993" s="124"/>
      <c r="AU993" s="124"/>
      <c r="AV993" s="124"/>
      <c r="AW993" s="124"/>
      <c r="AX993" s="124"/>
      <c r="AY993" s="124"/>
      <c r="AZ993" s="124"/>
      <c r="BA993" s="124"/>
      <c r="BB993" s="124"/>
      <c r="BC993" s="124"/>
      <c r="BD993" s="124"/>
      <c r="BE993" s="124"/>
      <c r="BF993" s="124"/>
      <c r="BG993" s="124"/>
      <c r="BH993" s="124"/>
      <c r="BI993" s="124"/>
      <c r="BJ993" s="124"/>
      <c r="BK993" s="124"/>
      <c r="BL993" s="124"/>
      <c r="BM993" s="124"/>
      <c r="BN993" s="124"/>
      <c r="BO993" s="124"/>
      <c r="BP993" s="124"/>
      <c r="BQ993" s="124"/>
      <c r="BR993" s="124"/>
      <c r="BS993" s="124"/>
      <c r="BT993" s="124"/>
      <c r="BU993" s="124"/>
      <c r="BV993" s="124"/>
      <c r="BW993" s="124"/>
      <c r="BX993" s="124"/>
      <c r="BY993" s="124"/>
      <c r="BZ993" s="124"/>
      <c r="CA993" s="124"/>
      <c r="CB993" s="124"/>
      <c r="CC993" s="124"/>
      <c r="CD993" s="124"/>
      <c r="CE993" s="124"/>
      <c r="CF993" s="124"/>
      <c r="CG993" s="124"/>
      <c r="CH993" s="124"/>
      <c r="CI993" s="124"/>
      <c r="CJ993" s="124"/>
      <c r="CK993" s="124"/>
      <c r="CL993" s="124"/>
      <c r="CM993" s="124"/>
      <c r="CN993" s="124"/>
      <c r="CO993" s="124"/>
      <c r="CP993" s="124"/>
      <c r="CQ993" s="124"/>
      <c r="CR993" s="124"/>
      <c r="CS993" s="124"/>
      <c r="CT993" s="124"/>
      <c r="CU993" s="124"/>
      <c r="CV993" s="124"/>
      <c r="CW993" s="124"/>
      <c r="CX993" s="124"/>
      <c r="CY993" s="124"/>
      <c r="CZ993" s="124"/>
      <c r="DA993" s="124"/>
      <c r="DB993" s="124"/>
      <c r="DC993" s="124"/>
      <c r="DD993" s="124"/>
      <c r="DE993" s="124"/>
      <c r="DF993" s="124"/>
      <c r="DG993" s="124"/>
      <c r="DH993" s="124"/>
      <c r="DI993" s="124"/>
      <c r="DJ993" s="124"/>
      <c r="DK993" s="124"/>
      <c r="DL993" s="124"/>
      <c r="DM993" s="124"/>
      <c r="DN993" s="124"/>
      <c r="DO993" s="124"/>
      <c r="DP993" s="124"/>
      <c r="DQ993" s="124"/>
      <c r="DR993" s="124"/>
      <c r="DS993" s="124"/>
      <c r="DT993" s="124"/>
      <c r="DU993" s="124"/>
      <c r="DV993" s="124"/>
      <c r="DW993" s="124"/>
      <c r="DX993" s="124"/>
      <c r="DY993" s="124"/>
      <c r="DZ993" s="124"/>
      <c r="EA993" s="124"/>
      <c r="EB993" s="124"/>
      <c r="EC993" s="124"/>
      <c r="ED993" s="124"/>
      <c r="EE993" s="124"/>
      <c r="EF993" s="124"/>
      <c r="EG993" s="124"/>
      <c r="EH993" s="124"/>
      <c r="EI993" s="124"/>
      <c r="EJ993" s="124"/>
      <c r="EK993" s="124"/>
      <c r="EL993" s="124"/>
      <c r="EM993" s="124"/>
      <c r="EN993" s="124"/>
      <c r="EO993" s="124"/>
      <c r="EP993" s="124"/>
      <c r="EQ993" s="124"/>
      <c r="ER993" s="124"/>
      <c r="ES993" s="124"/>
      <c r="ET993" s="124"/>
      <c r="EU993" s="124"/>
      <c r="EV993" s="124"/>
      <c r="EW993" s="124"/>
      <c r="EX993" s="124"/>
      <c r="EY993" s="124"/>
      <c r="EZ993" s="124"/>
      <c r="FA993" s="124"/>
      <c r="FB993" s="124"/>
      <c r="FC993" s="124"/>
      <c r="FD993" s="124"/>
      <c r="FE993" s="124"/>
      <c r="FF993" s="124"/>
      <c r="FG993" s="124"/>
      <c r="FH993" s="124"/>
      <c r="FI993" s="124"/>
      <c r="FJ993" s="124"/>
      <c r="FK993" s="124"/>
      <c r="FL993" s="124"/>
      <c r="FM993" s="124"/>
      <c r="FN993" s="124"/>
      <c r="FO993" s="124"/>
      <c r="FP993" s="124"/>
      <c r="FQ993" s="124"/>
      <c r="FR993" s="124"/>
      <c r="FS993" s="124"/>
      <c r="FT993" s="124"/>
      <c r="FU993" s="124"/>
      <c r="FV993" s="124"/>
      <c r="FW993" s="124"/>
      <c r="FX993" s="124"/>
      <c r="FY993" s="124"/>
      <c r="FZ993" s="124"/>
      <c r="GA993" s="124"/>
      <c r="GB993" s="124"/>
      <c r="GC993" s="124"/>
      <c r="GD993" s="124"/>
      <c r="GE993" s="124"/>
      <c r="GF993" s="124"/>
      <c r="GG993" s="124"/>
      <c r="GH993" s="124"/>
      <c r="GI993" s="124"/>
      <c r="GJ993" s="124"/>
      <c r="GK993" s="124"/>
      <c r="GL993" s="124"/>
      <c r="GM993" s="124"/>
      <c r="GN993" s="124"/>
      <c r="GO993" s="124"/>
      <c r="GP993" s="124"/>
      <c r="GQ993" s="124"/>
      <c r="GR993" s="124"/>
      <c r="GS993" s="124"/>
      <c r="GT993" s="124"/>
      <c r="GU993" s="124"/>
      <c r="GV993" s="124"/>
      <c r="GW993" s="124"/>
      <c r="GX993" s="124"/>
      <c r="GY993" s="124"/>
      <c r="GZ993" s="124"/>
      <c r="HA993" s="124"/>
      <c r="HB993" s="124"/>
      <c r="HC993" s="124"/>
      <c r="HD993" s="124"/>
      <c r="HE993" s="124"/>
      <c r="HF993" s="124"/>
      <c r="HG993" s="124"/>
      <c r="HH993" s="124"/>
      <c r="HI993" s="124"/>
      <c r="HJ993" s="124"/>
      <c r="HK993" s="124"/>
      <c r="HL993" s="124"/>
      <c r="HM993" s="124"/>
      <c r="HN993" s="124"/>
      <c r="HO993" s="124"/>
      <c r="HP993" s="124"/>
      <c r="HQ993" s="124"/>
      <c r="HR993" s="124"/>
      <c r="HS993" s="124"/>
      <c r="HT993" s="124"/>
      <c r="HU993" s="124"/>
      <c r="HV993" s="124"/>
      <c r="HW993" s="124"/>
      <c r="HX993" s="124"/>
      <c r="HY993" s="124"/>
      <c r="HZ993" s="124"/>
      <c r="IA993" s="124"/>
      <c r="IB993" s="124"/>
      <c r="IC993" s="124"/>
      <c r="ID993" s="124"/>
      <c r="IE993" s="124"/>
      <c r="IF993" s="124"/>
      <c r="IG993" s="124"/>
      <c r="IH993" s="124"/>
      <c r="II993" s="124"/>
      <c r="IJ993" s="124"/>
      <c r="IK993" s="124"/>
      <c r="IL993" s="124"/>
      <c r="IM993" s="124"/>
      <c r="IN993" s="124"/>
      <c r="IO993" s="124"/>
      <c r="IP993" s="124"/>
      <c r="IQ993" s="124"/>
      <c r="IR993" s="124"/>
      <c r="IS993" s="124"/>
      <c r="IT993" s="124"/>
      <c r="IU993" s="124"/>
      <c r="IV993" s="124"/>
      <c r="IW993" s="124"/>
      <c r="IX993" s="124"/>
      <c r="IY993" s="124"/>
      <c r="IZ993" s="124"/>
      <c r="JA993" s="124"/>
      <c r="JB993" s="124"/>
      <c r="JC993" s="124"/>
      <c r="JD993" s="124"/>
      <c r="JE993" s="124"/>
      <c r="JF993" s="124"/>
      <c r="JG993" s="124"/>
      <c r="JH993" s="124"/>
      <c r="JI993" s="124"/>
      <c r="JJ993" s="124"/>
      <c r="JK993" s="124"/>
      <c r="JL993" s="124"/>
      <c r="JM993" s="124"/>
      <c r="JN993" s="124"/>
      <c r="JO993" s="124"/>
      <c r="JP993" s="124"/>
      <c r="JQ993" s="124"/>
      <c r="JR993" s="124"/>
      <c r="JS993" s="124"/>
      <c r="JT993" s="124"/>
      <c r="JU993" s="124"/>
      <c r="JV993" s="124"/>
      <c r="JW993" s="124"/>
      <c r="JX993" s="124"/>
      <c r="JY993" s="124"/>
      <c r="JZ993" s="124"/>
      <c r="KA993" s="124"/>
      <c r="KB993" s="124"/>
      <c r="KC993" s="124"/>
      <c r="KD993" s="124"/>
      <c r="KE993" s="124"/>
      <c r="KF993" s="124"/>
      <c r="KG993" s="124"/>
      <c r="KH993" s="124"/>
      <c r="KI993" s="124"/>
      <c r="KJ993" s="124"/>
      <c r="KK993" s="124"/>
      <c r="KL993" s="124"/>
      <c r="KM993" s="124"/>
      <c r="KN993" s="124"/>
      <c r="KO993" s="124"/>
      <c r="KP993" s="124"/>
      <c r="KQ993" s="124"/>
      <c r="KR993" s="124"/>
      <c r="KS993" s="124"/>
      <c r="KT993" s="124"/>
      <c r="KU993" s="124"/>
      <c r="KV993" s="124"/>
      <c r="KW993" s="124"/>
      <c r="KX993" s="124"/>
      <c r="KY993" s="124"/>
      <c r="KZ993" s="124"/>
      <c r="LA993" s="124"/>
      <c r="LB993" s="124"/>
      <c r="LC993" s="124"/>
      <c r="LD993" s="124"/>
      <c r="LE993" s="124"/>
      <c r="LF993" s="124"/>
      <c r="LG993" s="124"/>
      <c r="LH993" s="124"/>
      <c r="LI993" s="124"/>
      <c r="LJ993" s="124"/>
      <c r="LK993" s="124"/>
      <c r="LL993" s="124"/>
      <c r="LM993" s="124"/>
      <c r="LN993" s="124"/>
      <c r="LO993" s="124"/>
      <c r="LP993" s="124"/>
      <c r="LQ993" s="124"/>
      <c r="LR993" s="124"/>
      <c r="LS993" s="124"/>
      <c r="LT993" s="124"/>
      <c r="LU993" s="124"/>
      <c r="LV993" s="124"/>
      <c r="LW993" s="124"/>
      <c r="LX993" s="124"/>
      <c r="LY993" s="124"/>
      <c r="LZ993" s="124"/>
      <c r="MA993" s="124"/>
      <c r="MB993" s="124"/>
      <c r="MC993" s="124"/>
      <c r="MD993" s="124"/>
      <c r="ME993" s="124"/>
      <c r="MF993" s="124"/>
      <c r="MG993" s="124"/>
      <c r="MH993" s="124"/>
      <c r="MI993" s="124"/>
      <c r="MJ993" s="124"/>
      <c r="MK993" s="124"/>
      <c r="ML993" s="124"/>
      <c r="MM993" s="124"/>
      <c r="MN993" s="124"/>
      <c r="MO993" s="124"/>
      <c r="MP993" s="124"/>
      <c r="MQ993" s="124"/>
      <c r="MR993" s="124"/>
      <c r="MS993" s="124"/>
      <c r="MT993" s="124"/>
      <c r="MU993" s="124"/>
      <c r="MV993" s="124"/>
      <c r="MW993" s="124"/>
      <c r="MX993" s="124"/>
      <c r="MY993" s="124"/>
      <c r="MZ993" s="124"/>
      <c r="NA993" s="124"/>
      <c r="NB993" s="124"/>
      <c r="NC993" s="124"/>
      <c r="ND993" s="124"/>
      <c r="NE993" s="124"/>
      <c r="NF993" s="124"/>
      <c r="NG993" s="124"/>
      <c r="NH993" s="124"/>
      <c r="NI993" s="124"/>
      <c r="NJ993" s="124"/>
      <c r="NK993" s="124"/>
      <c r="NL993" s="124"/>
      <c r="NM993" s="124"/>
      <c r="NN993" s="124"/>
      <c r="NO993" s="124"/>
      <c r="NP993" s="124"/>
      <c r="NQ993" s="124"/>
      <c r="NR993" s="124"/>
      <c r="NS993" s="124"/>
      <c r="NT993" s="124"/>
      <c r="NU993" s="124"/>
      <c r="NV993" s="124"/>
      <c r="NW993" s="124"/>
      <c r="NX993" s="124"/>
      <c r="NY993" s="124"/>
      <c r="NZ993" s="124"/>
      <c r="OA993" s="124"/>
      <c r="OB993" s="124"/>
      <c r="OC993" s="124"/>
      <c r="OD993" s="124"/>
      <c r="OE993" s="124"/>
      <c r="OF993" s="124"/>
      <c r="OG993" s="124"/>
      <c r="OH993" s="124"/>
      <c r="OI993" s="124"/>
      <c r="OJ993" s="124"/>
      <c r="OK993" s="124"/>
      <c r="OL993" s="124"/>
      <c r="OM993" s="124"/>
      <c r="ON993" s="124"/>
      <c r="OO993" s="124"/>
      <c r="OP993" s="124"/>
      <c r="OQ993" s="124"/>
      <c r="OR993" s="124"/>
      <c r="OS993" s="124"/>
      <c r="OT993" s="124"/>
      <c r="OU993" s="124"/>
      <c r="OV993" s="124"/>
      <c r="OW993" s="124"/>
      <c r="OX993" s="124"/>
      <c r="OY993" s="124"/>
      <c r="OZ993" s="124"/>
      <c r="PA993" s="124"/>
      <c r="PB993" s="124"/>
      <c r="PC993" s="124"/>
      <c r="PD993" s="124"/>
      <c r="PE993" s="124"/>
      <c r="PF993" s="124"/>
      <c r="PG993" s="124"/>
      <c r="PH993" s="124"/>
      <c r="PI993" s="124"/>
      <c r="PJ993" s="124"/>
      <c r="PK993" s="124"/>
      <c r="PL993" s="124"/>
      <c r="PM993" s="124"/>
      <c r="PN993" s="124"/>
      <c r="PO993" s="124"/>
      <c r="PP993" s="124"/>
      <c r="PQ993" s="124"/>
      <c r="PR993" s="124"/>
      <c r="PS993" s="124"/>
      <c r="PT993" s="124"/>
      <c r="PU993" s="124"/>
      <c r="PV993" s="124"/>
      <c r="PW993" s="124"/>
      <c r="PX993" s="124"/>
      <c r="PY993" s="124"/>
      <c r="PZ993" s="124"/>
      <c r="QA993" s="124"/>
      <c r="QB993" s="124"/>
      <c r="QC993" s="124"/>
      <c r="QD993" s="124"/>
      <c r="QE993" s="124"/>
      <c r="QF993" s="124"/>
      <c r="QG993" s="124"/>
      <c r="QH993" s="124"/>
      <c r="QI993" s="124"/>
      <c r="QJ993" s="124"/>
      <c r="QK993" s="124"/>
      <c r="QL993" s="124"/>
      <c r="QM993" s="124"/>
      <c r="QN993" s="124"/>
      <c r="QO993" s="124"/>
      <c r="QP993" s="124"/>
      <c r="QQ993" s="124"/>
      <c r="QR993" s="124"/>
      <c r="QS993" s="124"/>
      <c r="QT993" s="124"/>
      <c r="QU993" s="124"/>
      <c r="QV993" s="124"/>
      <c r="QW993" s="124"/>
      <c r="QX993" s="124"/>
      <c r="QY993" s="124"/>
      <c r="QZ993" s="124"/>
      <c r="RA993" s="124"/>
      <c r="RB993" s="124"/>
      <c r="RC993" s="124"/>
      <c r="RD993" s="124"/>
      <c r="RE993" s="124"/>
      <c r="RF993" s="124"/>
      <c r="RG993" s="124"/>
      <c r="RH993" s="124"/>
      <c r="RI993" s="124"/>
      <c r="RJ993" s="124"/>
      <c r="RK993" s="124"/>
      <c r="RL993" s="124"/>
      <c r="RM993" s="124"/>
      <c r="RN993" s="124"/>
      <c r="RO993" s="124"/>
      <c r="RP993" s="124"/>
      <c r="RQ993" s="124"/>
      <c r="RR993" s="124"/>
      <c r="RS993" s="124"/>
      <c r="RT993" s="124"/>
      <c r="RU993" s="124"/>
      <c r="RV993" s="124"/>
      <c r="RW993" s="124"/>
      <c r="RX993" s="124"/>
      <c r="RY993" s="124"/>
      <c r="RZ993" s="124"/>
      <c r="SA993" s="124"/>
      <c r="SB993" s="124"/>
      <c r="SC993" s="124"/>
      <c r="SD993" s="124"/>
      <c r="SE993" s="124"/>
      <c r="SF993" s="124"/>
      <c r="SG993" s="124"/>
      <c r="SH993" s="124"/>
      <c r="SI993" s="124"/>
      <c r="SJ993" s="124"/>
      <c r="SK993" s="124"/>
      <c r="SL993" s="124"/>
      <c r="SM993" s="124"/>
      <c r="SN993" s="124"/>
      <c r="SO993" s="124"/>
      <c r="SP993" s="124"/>
      <c r="SQ993" s="124"/>
      <c r="SR993" s="124"/>
      <c r="SS993" s="124"/>
      <c r="ST993" s="124"/>
      <c r="SU993" s="124"/>
      <c r="SV993" s="124"/>
      <c r="SW993" s="124"/>
      <c r="SX993" s="124"/>
      <c r="SY993" s="124"/>
      <c r="SZ993" s="124"/>
      <c r="TA993" s="124"/>
      <c r="TB993" s="124"/>
      <c r="TC993" s="124"/>
      <c r="TD993" s="124"/>
      <c r="TE993" s="124"/>
      <c r="TF993" s="124"/>
      <c r="TG993" s="124"/>
      <c r="TH993" s="124"/>
      <c r="TI993" s="124"/>
      <c r="TJ993" s="124"/>
      <c r="TK993" s="124"/>
      <c r="TL993" s="124"/>
      <c r="TM993" s="124"/>
      <c r="TN993" s="124"/>
      <c r="TO993" s="124"/>
      <c r="TP993" s="124"/>
      <c r="TQ993" s="124"/>
      <c r="TR993" s="124"/>
      <c r="TS993" s="124"/>
      <c r="TT993" s="124"/>
      <c r="TU993" s="124"/>
      <c r="TV993" s="124"/>
      <c r="TW993" s="124"/>
      <c r="TX993" s="124"/>
      <c r="TY993" s="124"/>
      <c r="TZ993" s="124"/>
      <c r="UA993" s="124"/>
      <c r="UB993" s="124"/>
      <c r="UC993" s="124"/>
      <c r="UD993" s="124"/>
      <c r="UE993" s="124"/>
      <c r="UF993" s="124"/>
      <c r="UG993" s="124"/>
      <c r="UH993" s="124"/>
      <c r="UI993" s="124"/>
      <c r="UJ993" s="124"/>
      <c r="UK993" s="124"/>
      <c r="UL993" s="124"/>
      <c r="UM993" s="124"/>
      <c r="UN993" s="124"/>
      <c r="UO993" s="124"/>
      <c r="UP993" s="124"/>
      <c r="UQ993" s="124"/>
      <c r="UR993" s="124"/>
      <c r="US993" s="124"/>
      <c r="UT993" s="124"/>
      <c r="UU993" s="124"/>
      <c r="UV993" s="124"/>
      <c r="UW993" s="124"/>
      <c r="UX993" s="124"/>
      <c r="UY993" s="124"/>
      <c r="UZ993" s="124"/>
      <c r="VA993" s="124"/>
      <c r="VB993" s="124"/>
      <c r="VC993" s="124"/>
      <c r="VD993" s="124"/>
      <c r="VE993" s="124"/>
      <c r="VF993" s="124"/>
      <c r="VG993" s="124"/>
      <c r="VH993" s="124"/>
      <c r="VI993" s="124"/>
      <c r="VJ993" s="124"/>
      <c r="VK993" s="124"/>
      <c r="VL993" s="124"/>
      <c r="VM993" s="124"/>
      <c r="VN993" s="124"/>
      <c r="VO993" s="124"/>
      <c r="VP993" s="124"/>
      <c r="VQ993" s="124"/>
      <c r="VR993" s="124"/>
      <c r="VS993" s="124"/>
      <c r="VT993" s="124"/>
      <c r="VU993" s="124"/>
      <c r="VV993" s="124"/>
      <c r="VW993" s="124"/>
      <c r="VX993" s="124"/>
      <c r="VY993" s="124"/>
      <c r="VZ993" s="124"/>
      <c r="WA993" s="124"/>
      <c r="WB993" s="124"/>
      <c r="WC993" s="124"/>
      <c r="WD993" s="124"/>
      <c r="WE993" s="124"/>
      <c r="WF993" s="124"/>
      <c r="WG993" s="124"/>
      <c r="WH993" s="124"/>
      <c r="WI993" s="124"/>
      <c r="WJ993" s="124"/>
      <c r="WK993" s="124"/>
      <c r="WL993" s="124"/>
      <c r="WM993" s="124"/>
      <c r="WN993" s="124"/>
      <c r="WO993" s="124"/>
      <c r="WP993" s="124"/>
      <c r="WQ993" s="124"/>
      <c r="WR993" s="124"/>
      <c r="WS993" s="124"/>
      <c r="WT993" s="124"/>
      <c r="WU993" s="124"/>
      <c r="WV993" s="124"/>
      <c r="WW993" s="124"/>
      <c r="WX993" s="124"/>
      <c r="WY993" s="124"/>
      <c r="WZ993" s="124"/>
      <c r="XA993" s="124"/>
      <c r="XB993" s="124"/>
      <c r="XC993" s="124"/>
      <c r="XD993" s="124"/>
      <c r="XE993" s="124"/>
      <c r="XF993" s="124"/>
      <c r="XG993" s="124"/>
      <c r="XH993" s="124"/>
      <c r="XI993" s="124"/>
      <c r="XJ993" s="124"/>
      <c r="XK993" s="124"/>
      <c r="XL993" s="124"/>
      <c r="XM993" s="124"/>
      <c r="XN993" s="124"/>
      <c r="XO993" s="124"/>
      <c r="XP993" s="124"/>
      <c r="XQ993" s="124"/>
      <c r="XR993" s="124"/>
      <c r="XS993" s="124"/>
      <c r="XT993" s="124"/>
      <c r="XU993" s="124"/>
      <c r="XV993" s="124"/>
      <c r="XW993" s="124"/>
      <c r="XX993" s="124"/>
      <c r="XY993" s="124"/>
      <c r="XZ993" s="124"/>
      <c r="YA993" s="124"/>
      <c r="YB993" s="124"/>
      <c r="YC993" s="124"/>
      <c r="YD993" s="124"/>
      <c r="YE993" s="124"/>
      <c r="YF993" s="124"/>
      <c r="YG993" s="124"/>
      <c r="YH993" s="124"/>
      <c r="YI993" s="124"/>
      <c r="YJ993" s="124"/>
      <c r="YK993" s="124"/>
      <c r="YL993" s="124"/>
      <c r="YM993" s="124"/>
      <c r="YN993" s="124"/>
      <c r="YO993" s="124"/>
      <c r="YP993" s="124"/>
      <c r="YQ993" s="124"/>
      <c r="YR993" s="124"/>
      <c r="YS993" s="124"/>
      <c r="YT993" s="124"/>
      <c r="YU993" s="124"/>
      <c r="YV993" s="124"/>
      <c r="YW993" s="124"/>
      <c r="YX993" s="124"/>
      <c r="YY993" s="124"/>
      <c r="YZ993" s="124"/>
      <c r="ZA993" s="124"/>
      <c r="ZB993" s="124"/>
      <c r="ZC993" s="124"/>
      <c r="ZD993" s="124"/>
      <c r="ZE993" s="124"/>
      <c r="ZF993" s="124"/>
      <c r="ZG993" s="124"/>
      <c r="ZH993" s="124"/>
      <c r="ZI993" s="124"/>
      <c r="ZJ993" s="124"/>
      <c r="ZK993" s="124"/>
      <c r="ZL993" s="124"/>
      <c r="ZM993" s="124"/>
      <c r="ZN993" s="124"/>
      <c r="ZO993" s="124"/>
      <c r="ZP993" s="124"/>
      <c r="ZQ993" s="124"/>
      <c r="ZR993" s="124"/>
      <c r="ZS993" s="124"/>
      <c r="ZT993" s="124"/>
      <c r="ZU993" s="124"/>
      <c r="ZV993" s="124"/>
      <c r="ZW993" s="124"/>
      <c r="ZX993" s="124"/>
      <c r="ZY993" s="124"/>
      <c r="ZZ993" s="124"/>
      <c r="AAA993" s="124"/>
      <c r="AAB993" s="124"/>
      <c r="AAC993" s="124"/>
      <c r="AAD993" s="124"/>
      <c r="AAE993" s="124"/>
      <c r="AAF993" s="124"/>
      <c r="AAG993" s="124"/>
      <c r="AAH993" s="124"/>
      <c r="AAI993" s="124"/>
      <c r="AAJ993" s="124"/>
      <c r="AAK993" s="124"/>
      <c r="AAL993" s="124"/>
      <c r="AAM993" s="124"/>
      <c r="AAN993" s="124"/>
      <c r="AAO993" s="124"/>
      <c r="AAP993" s="124"/>
      <c r="AAQ993" s="124"/>
      <c r="AAR993" s="124"/>
      <c r="AAS993" s="124"/>
      <c r="AAT993" s="124"/>
      <c r="AAU993" s="124"/>
      <c r="AAV993" s="124"/>
      <c r="AAW993" s="124"/>
      <c r="AAX993" s="124"/>
      <c r="AAY993" s="124"/>
      <c r="AAZ993" s="124"/>
      <c r="ABA993" s="124"/>
      <c r="ABB993" s="124"/>
      <c r="ABC993" s="124"/>
      <c r="ABD993" s="124"/>
      <c r="ABE993" s="124"/>
      <c r="ABF993" s="124"/>
      <c r="ABG993" s="124"/>
      <c r="ABH993" s="124"/>
      <c r="ABI993" s="124"/>
      <c r="ABJ993" s="124"/>
      <c r="ABK993" s="124"/>
      <c r="ABL993" s="124"/>
      <c r="ABM993" s="124"/>
      <c r="ABN993" s="124"/>
      <c r="ABO993" s="124"/>
      <c r="ABP993" s="124"/>
      <c r="ABQ993" s="124"/>
      <c r="ABR993" s="124"/>
      <c r="ABS993" s="124"/>
      <c r="ABT993" s="124"/>
      <c r="ABU993" s="124"/>
      <c r="ABV993" s="124"/>
      <c r="ABW993" s="124"/>
      <c r="ABX993" s="124"/>
      <c r="ABY993" s="124"/>
      <c r="ABZ993" s="124"/>
      <c r="ACA993" s="124"/>
      <c r="ACB993" s="124"/>
      <c r="ACC993" s="124"/>
      <c r="ACD993" s="124"/>
      <c r="ACE993" s="124"/>
      <c r="ACF993" s="124"/>
      <c r="ACG993" s="124"/>
      <c r="ACH993" s="124"/>
      <c r="ACI993" s="124"/>
      <c r="ACJ993" s="124"/>
      <c r="ACK993" s="124"/>
      <c r="ACL993" s="124"/>
      <c r="ACM993" s="124"/>
      <c r="ACN993" s="124"/>
      <c r="ACO993" s="124"/>
      <c r="ACP993" s="124"/>
      <c r="ACQ993" s="124"/>
      <c r="ACR993" s="124"/>
      <c r="ACS993" s="124"/>
      <c r="ACT993" s="124"/>
      <c r="ACU993" s="124"/>
      <c r="ACV993" s="124"/>
      <c r="ACW993" s="124"/>
      <c r="ACX993" s="124"/>
      <c r="ACY993" s="124"/>
      <c r="ACZ993" s="124"/>
      <c r="ADA993" s="124"/>
      <c r="ADB993" s="124"/>
      <c r="ADC993" s="124"/>
      <c r="ADD993" s="124"/>
      <c r="ADE993" s="124"/>
      <c r="ADF993" s="124"/>
      <c r="ADG993" s="124"/>
      <c r="ADH993" s="124"/>
      <c r="ADI993" s="124"/>
      <c r="ADJ993" s="124"/>
      <c r="ADK993" s="124"/>
      <c r="ADL993" s="124"/>
      <c r="ADM993" s="124"/>
      <c r="ADN993" s="124"/>
      <c r="ADO993" s="124"/>
      <c r="ADP993" s="124"/>
      <c r="ADQ993" s="124"/>
      <c r="ADR993" s="124"/>
      <c r="ADS993" s="124"/>
      <c r="ADT993" s="124"/>
      <c r="ADU993" s="124"/>
      <c r="ADV993" s="124"/>
      <c r="ADW993" s="124"/>
      <c r="ADX993" s="124"/>
      <c r="ADY993" s="124"/>
      <c r="ADZ993" s="124"/>
      <c r="AEA993" s="124"/>
      <c r="AEB993" s="124"/>
      <c r="AEC993" s="124"/>
      <c r="AED993" s="124"/>
      <c r="AEE993" s="124"/>
      <c r="AEF993" s="124"/>
      <c r="AEG993" s="124"/>
      <c r="AEH993" s="124"/>
      <c r="AEI993" s="124"/>
      <c r="AEJ993" s="124"/>
      <c r="AEK993" s="124"/>
      <c r="AEL993" s="124"/>
      <c r="AEM993" s="124"/>
      <c r="AEN993" s="124"/>
      <c r="AEO993" s="124"/>
      <c r="AEP993" s="124"/>
      <c r="AEQ993" s="124"/>
      <c r="AER993" s="124"/>
      <c r="AES993" s="124"/>
      <c r="AET993" s="124"/>
      <c r="AEU993" s="124"/>
      <c r="AEV993" s="124"/>
      <c r="AEW993" s="124"/>
      <c r="AEX993" s="124"/>
      <c r="AEY993" s="124"/>
      <c r="AEZ993" s="124"/>
      <c r="AFA993" s="124"/>
      <c r="AFB993" s="124"/>
      <c r="AFC993" s="124"/>
      <c r="AFD993" s="124"/>
      <c r="AFE993" s="124"/>
      <c r="AFF993" s="124"/>
      <c r="AFG993" s="124"/>
      <c r="AFH993" s="124"/>
      <c r="AFI993" s="124"/>
      <c r="AFJ993" s="124"/>
      <c r="AFK993" s="124"/>
      <c r="AFL993" s="124"/>
      <c r="AFM993" s="124"/>
      <c r="AFN993" s="124"/>
      <c r="AFO993" s="124"/>
      <c r="AFP993" s="124"/>
      <c r="AFQ993" s="124"/>
      <c r="AFR993" s="124"/>
      <c r="AFS993" s="124"/>
      <c r="AFT993" s="124"/>
      <c r="AFU993" s="124"/>
      <c r="AFV993" s="124"/>
      <c r="AFW993" s="124"/>
      <c r="AFX993" s="124"/>
      <c r="AFY993" s="124"/>
      <c r="AFZ993" s="124"/>
      <c r="AGA993" s="124"/>
      <c r="AGB993" s="124"/>
      <c r="AGC993" s="124"/>
      <c r="AGD993" s="124"/>
      <c r="AGE993" s="124"/>
      <c r="AGF993" s="124"/>
      <c r="AGG993" s="124"/>
      <c r="AGH993" s="124"/>
      <c r="AGI993" s="124"/>
      <c r="AGJ993" s="124"/>
      <c r="AGK993" s="124"/>
      <c r="AGL993" s="124"/>
      <c r="AGM993" s="124"/>
      <c r="AGN993" s="124"/>
      <c r="AGO993" s="124"/>
      <c r="AGP993" s="124"/>
      <c r="AGQ993" s="124"/>
      <c r="AGR993" s="124"/>
      <c r="AGS993" s="124"/>
      <c r="AGT993" s="124"/>
      <c r="AGU993" s="124"/>
      <c r="AGV993" s="124"/>
      <c r="AGW993" s="124"/>
      <c r="AGX993" s="124"/>
      <c r="AGY993" s="124"/>
      <c r="AGZ993" s="124"/>
      <c r="AHA993" s="124"/>
      <c r="AHB993" s="124"/>
      <c r="AHC993" s="124"/>
      <c r="AHD993" s="124"/>
      <c r="AHE993" s="124"/>
      <c r="AHF993" s="124"/>
      <c r="AHG993" s="124"/>
      <c r="AHH993" s="124"/>
      <c r="AHI993" s="124"/>
      <c r="AHJ993" s="124"/>
      <c r="AHK993" s="124"/>
      <c r="AHL993" s="124"/>
      <c r="AHM993" s="124"/>
      <c r="AHN993" s="124"/>
      <c r="AHO993" s="124"/>
      <c r="AHP993" s="124"/>
      <c r="AHQ993" s="124"/>
      <c r="AHR993" s="124"/>
      <c r="AHS993" s="124"/>
      <c r="AHT993" s="124"/>
      <c r="AHU993" s="124"/>
      <c r="AHV993" s="124"/>
      <c r="AHW993" s="124"/>
      <c r="AHX993" s="124"/>
      <c r="AHY993" s="124"/>
      <c r="AHZ993" s="124"/>
      <c r="AIA993" s="124"/>
      <c r="AIB993" s="124"/>
      <c r="AIC993" s="124"/>
      <c r="AID993" s="124"/>
      <c r="AIE993" s="124"/>
      <c r="AIF993" s="124"/>
      <c r="AIG993" s="124"/>
      <c r="AIH993" s="124"/>
      <c r="AII993" s="124"/>
      <c r="AIJ993" s="124"/>
      <c r="AIK993" s="124"/>
      <c r="AIL993" s="124"/>
      <c r="AIM993" s="124"/>
      <c r="AIN993" s="124"/>
      <c r="AIO993" s="124"/>
      <c r="AIP993" s="124"/>
      <c r="AIQ993" s="124"/>
      <c r="AIR993" s="124"/>
      <c r="AIS993" s="124"/>
      <c r="AIT993" s="124"/>
      <c r="AIU993" s="124"/>
      <c r="AIV993" s="124"/>
      <c r="AIW993" s="124"/>
      <c r="AIX993" s="124"/>
      <c r="AIY993" s="124"/>
      <c r="AIZ993" s="124"/>
      <c r="AJA993" s="124"/>
      <c r="AJB993" s="124"/>
      <c r="AJC993" s="124"/>
      <c r="AJD993" s="124"/>
      <c r="AJE993" s="124"/>
      <c r="AJF993" s="124"/>
      <c r="AJG993" s="124"/>
      <c r="AJH993" s="124"/>
      <c r="AJI993" s="124"/>
      <c r="AJJ993" s="124"/>
      <c r="AJK993" s="124"/>
      <c r="AJL993" s="124"/>
      <c r="AJM993" s="124"/>
      <c r="AJN993" s="124"/>
      <c r="AJO993" s="124"/>
      <c r="AJP993" s="124"/>
      <c r="AJQ993" s="124"/>
      <c r="AJR993" s="124"/>
      <c r="AJS993" s="124"/>
      <c r="AJT993" s="124"/>
      <c r="AJU993" s="124"/>
      <c r="AJV993" s="124"/>
      <c r="AJW993" s="124"/>
      <c r="AJX993" s="124"/>
      <c r="AJY993" s="124"/>
      <c r="AJZ993" s="124"/>
      <c r="AKA993" s="124"/>
      <c r="AKB993" s="124"/>
      <c r="AKC993" s="124"/>
      <c r="AKD993" s="124"/>
      <c r="AKE993" s="124"/>
      <c r="AKF993" s="124"/>
      <c r="AKG993" s="124"/>
      <c r="AKH993" s="124"/>
      <c r="AKI993" s="124"/>
      <c r="AKJ993" s="124"/>
      <c r="AKK993" s="124"/>
      <c r="AKL993" s="124"/>
      <c r="AKM993" s="124"/>
      <c r="AKN993" s="124"/>
      <c r="AKO993" s="124"/>
      <c r="AKP993" s="124"/>
      <c r="AKQ993" s="124"/>
      <c r="AKR993" s="124"/>
      <c r="AKS993" s="124"/>
      <c r="AKT993" s="124"/>
      <c r="AKU993" s="124"/>
      <c r="AKV993" s="124"/>
      <c r="AKW993" s="124"/>
      <c r="AKX993" s="124"/>
      <c r="AKY993" s="124"/>
      <c r="AKZ993" s="124"/>
      <c r="ALA993" s="124"/>
      <c r="ALB993" s="124"/>
      <c r="ALC993" s="124"/>
      <c r="ALD993" s="124"/>
      <c r="ALE993" s="124"/>
      <c r="ALF993" s="124"/>
      <c r="ALG993" s="124"/>
      <c r="ALH993" s="124"/>
      <c r="ALI993" s="124"/>
      <c r="ALJ993" s="124"/>
      <c r="ALK993" s="124"/>
      <c r="ALL993" s="124"/>
      <c r="ALM993" s="124"/>
      <c r="ALN993" s="124"/>
      <c r="ALO993" s="124"/>
      <c r="ALP993" s="124"/>
      <c r="ALQ993" s="124"/>
      <c r="ALR993" s="124"/>
      <c r="ALS993" s="124"/>
      <c r="ALT993" s="124"/>
      <c r="ALU993" s="124"/>
      <c r="ALV993" s="124"/>
      <c r="ALW993" s="124"/>
      <c r="ALX993" s="124"/>
      <c r="ALY993" s="124"/>
      <c r="ALZ993" s="124"/>
      <c r="AMA993" s="124"/>
      <c r="AMB993" s="124"/>
      <c r="AMC993" s="124"/>
      <c r="AMD993" s="124"/>
      <c r="AME993" s="124"/>
      <c r="AMF993" s="124"/>
      <c r="AMG993" s="124"/>
      <c r="AMH993" s="124"/>
      <c r="AMI993" s="124"/>
      <c r="AMJ993" s="124"/>
      <c r="AMK993" s="124"/>
      <c r="AML993" s="124"/>
      <c r="AMM993" s="124"/>
      <c r="AMN993" s="124"/>
      <c r="AMO993" s="124"/>
      <c r="AMP993" s="124"/>
      <c r="AMQ993" s="124"/>
      <c r="AMR993" s="124"/>
      <c r="AMS993" s="124"/>
      <c r="AMT993" s="124"/>
      <c r="AMU993" s="124"/>
      <c r="AMV993" s="124"/>
      <c r="AMW993" s="124"/>
      <c r="AMX993" s="124"/>
      <c r="AMY993" s="124"/>
      <c r="AMZ993" s="124"/>
      <c r="ANA993" s="124"/>
      <c r="ANB993" s="124"/>
      <c r="ANC993" s="124"/>
      <c r="AND993" s="124"/>
      <c r="ANE993" s="124"/>
      <c r="ANF993" s="124"/>
      <c r="ANG993" s="124"/>
      <c r="ANH993" s="124"/>
      <c r="ANI993" s="124"/>
      <c r="ANJ993" s="124"/>
      <c r="ANK993" s="124"/>
      <c r="ANL993" s="124"/>
      <c r="ANM993" s="124"/>
      <c r="ANN993" s="124"/>
      <c r="ANO993" s="124"/>
      <c r="ANP993" s="124"/>
      <c r="ANQ993" s="124"/>
      <c r="ANR993" s="124"/>
      <c r="ANS993" s="124"/>
      <c r="ANT993" s="124"/>
      <c r="ANU993" s="124"/>
      <c r="ANV993" s="124"/>
      <c r="ANW993" s="124"/>
      <c r="ANX993" s="124"/>
      <c r="ANY993" s="124"/>
      <c r="ANZ993" s="124"/>
      <c r="AOA993" s="124"/>
      <c r="AOB993" s="124"/>
      <c r="AOC993" s="124"/>
      <c r="AOD993" s="124"/>
      <c r="AOE993" s="124"/>
      <c r="AOF993" s="124"/>
      <c r="AOG993" s="124"/>
      <c r="AOH993" s="124"/>
      <c r="AOI993" s="124"/>
      <c r="AOJ993" s="124"/>
      <c r="AOK993" s="124"/>
      <c r="AOL993" s="124"/>
      <c r="AOM993" s="124"/>
      <c r="AON993" s="124"/>
      <c r="AOO993" s="124"/>
      <c r="AOP993" s="124"/>
      <c r="AOQ993" s="124"/>
      <c r="AOR993" s="124"/>
      <c r="AOS993" s="124"/>
      <c r="AOT993" s="124"/>
      <c r="AOU993" s="124"/>
      <c r="AOV993" s="124"/>
      <c r="AOW993" s="124"/>
      <c r="AOX993" s="124"/>
      <c r="AOY993" s="124"/>
      <c r="AOZ993" s="124"/>
      <c r="APA993" s="124"/>
      <c r="APB993" s="124"/>
      <c r="APC993" s="124"/>
      <c r="APD993" s="124"/>
      <c r="APE993" s="124"/>
      <c r="APF993" s="124"/>
      <c r="APG993" s="124"/>
      <c r="APH993" s="124"/>
      <c r="API993" s="124"/>
      <c r="APJ993" s="124"/>
      <c r="APK993" s="124"/>
      <c r="APL993" s="124"/>
      <c r="APM993" s="124"/>
      <c r="APN993" s="124"/>
      <c r="APO993" s="124"/>
      <c r="APP993" s="124"/>
      <c r="APQ993" s="124"/>
      <c r="APR993" s="124"/>
      <c r="APS993" s="124"/>
      <c r="APT993" s="124"/>
      <c r="APU993" s="124"/>
      <c r="APV993" s="124"/>
      <c r="APW993" s="124"/>
      <c r="APX993" s="124"/>
      <c r="APY993" s="124"/>
      <c r="APZ993" s="124"/>
      <c r="AQA993" s="124"/>
      <c r="AQB993" s="124"/>
      <c r="AQC993" s="124"/>
      <c r="AQD993" s="124"/>
      <c r="AQE993" s="124"/>
      <c r="AQF993" s="124"/>
      <c r="AQG993" s="124"/>
      <c r="AQH993" s="124"/>
      <c r="AQI993" s="124"/>
      <c r="AQJ993" s="124"/>
      <c r="AQK993" s="124"/>
      <c r="AQL993" s="124"/>
      <c r="AQM993" s="124"/>
      <c r="AQN993" s="124"/>
      <c r="AQO993" s="124"/>
      <c r="AQP993" s="124"/>
      <c r="AQQ993" s="124"/>
      <c r="AQR993" s="124"/>
      <c r="AQS993" s="124"/>
      <c r="AQT993" s="124"/>
      <c r="AQU993" s="124"/>
      <c r="AQV993" s="124"/>
      <c r="AQW993" s="124"/>
      <c r="AQX993" s="124"/>
      <c r="AQY993" s="124"/>
      <c r="AQZ993" s="124"/>
      <c r="ARA993" s="124"/>
      <c r="ARB993" s="124"/>
      <c r="ARC993" s="124"/>
      <c r="ARD993" s="124"/>
      <c r="ARE993" s="124"/>
      <c r="ARF993" s="124"/>
      <c r="ARG993" s="124"/>
      <c r="ARH993" s="124"/>
      <c r="ARI993" s="124"/>
      <c r="ARJ993" s="124"/>
      <c r="ARK993" s="124"/>
      <c r="ARL993" s="124"/>
      <c r="ARM993" s="124"/>
      <c r="ARN993" s="124"/>
      <c r="ARO993" s="124"/>
      <c r="ARP993" s="124"/>
      <c r="ARQ993" s="124"/>
      <c r="ARR993" s="124"/>
      <c r="ARS993" s="124"/>
      <c r="ART993" s="124"/>
      <c r="ARU993" s="124"/>
      <c r="ARV993" s="124"/>
      <c r="ARW993" s="124"/>
      <c r="ARX993" s="124"/>
      <c r="ARY993" s="124"/>
      <c r="ARZ993" s="124"/>
      <c r="ASA993" s="124"/>
      <c r="ASB993" s="124"/>
      <c r="ASC993" s="124"/>
      <c r="ASD993" s="124"/>
      <c r="ASE993" s="124"/>
      <c r="ASF993" s="124"/>
      <c r="ASG993" s="124"/>
      <c r="ASH993" s="124"/>
      <c r="ASI993" s="124"/>
      <c r="ASJ993" s="124"/>
      <c r="ASK993" s="124"/>
      <c r="ASL993" s="124"/>
      <c r="ASM993" s="124"/>
      <c r="ASN993" s="124"/>
      <c r="ASO993" s="124"/>
      <c r="ASP993" s="124"/>
      <c r="ASQ993" s="124"/>
      <c r="ASR993" s="124"/>
      <c r="ASS993" s="124"/>
      <c r="AST993" s="124"/>
      <c r="ASU993" s="124"/>
      <c r="ASV993" s="124"/>
      <c r="ASW993" s="124"/>
      <c r="ASX993" s="124"/>
      <c r="ASY993" s="124"/>
      <c r="ASZ993" s="124"/>
      <c r="ATA993" s="124"/>
      <c r="ATB993" s="124"/>
      <c r="ATC993" s="124"/>
      <c r="ATD993" s="124"/>
      <c r="ATE993" s="124"/>
      <c r="ATF993" s="124"/>
      <c r="ATG993" s="124"/>
      <c r="ATH993" s="124"/>
      <c r="ATI993" s="124"/>
      <c r="ATJ993" s="124"/>
      <c r="ATK993" s="124"/>
      <c r="ATL993" s="124"/>
      <c r="ATM993" s="124"/>
      <c r="ATN993" s="124"/>
      <c r="ATO993" s="124"/>
      <c r="ATP993" s="124"/>
      <c r="ATQ993" s="124"/>
      <c r="ATR993" s="124"/>
      <c r="ATS993" s="124"/>
      <c r="ATT993" s="124"/>
      <c r="ATU993" s="124"/>
      <c r="ATV993" s="124"/>
      <c r="ATW993" s="124"/>
      <c r="ATX993" s="124"/>
      <c r="ATY993" s="124"/>
      <c r="ATZ993" s="124"/>
      <c r="AUA993" s="124"/>
      <c r="AUB993" s="124"/>
      <c r="AUC993" s="124"/>
      <c r="AUD993" s="124"/>
      <c r="AUE993" s="124"/>
      <c r="AUF993" s="124"/>
      <c r="AUG993" s="124"/>
      <c r="AUH993" s="124"/>
      <c r="AUI993" s="124"/>
      <c r="AUJ993" s="124"/>
      <c r="AUK993" s="124"/>
      <c r="AUL993" s="124"/>
      <c r="AUM993" s="124"/>
      <c r="AUN993" s="124"/>
      <c r="AUO993" s="124"/>
      <c r="AUP993" s="124"/>
      <c r="AUQ993" s="124"/>
      <c r="AUR993" s="124"/>
      <c r="AUS993" s="124"/>
      <c r="AUT993" s="124"/>
      <c r="AUU993" s="124"/>
      <c r="AUV993" s="124"/>
      <c r="AUW993" s="124"/>
      <c r="AUX993" s="124"/>
      <c r="AUY993" s="124"/>
      <c r="AUZ993" s="124"/>
      <c r="AVA993" s="124"/>
      <c r="AVB993" s="124"/>
      <c r="AVC993" s="124"/>
      <c r="AVD993" s="124"/>
      <c r="AVE993" s="124"/>
      <c r="AVF993" s="124"/>
      <c r="AVG993" s="124"/>
      <c r="AVH993" s="124"/>
      <c r="AVI993" s="124"/>
      <c r="AVJ993" s="124"/>
      <c r="AVK993" s="124"/>
      <c r="AVL993" s="124"/>
      <c r="AVM993" s="124"/>
      <c r="AVN993" s="124"/>
      <c r="AVO993" s="124"/>
      <c r="AVP993" s="124"/>
      <c r="AVQ993" s="124"/>
      <c r="AVR993" s="124"/>
      <c r="AVS993" s="124"/>
      <c r="AVT993" s="124"/>
      <c r="AVU993" s="124"/>
      <c r="AVV993" s="124"/>
      <c r="AVW993" s="124"/>
      <c r="AVX993" s="124"/>
      <c r="AVY993" s="124"/>
      <c r="AVZ993" s="124"/>
      <c r="AWA993" s="124"/>
      <c r="AWB993" s="124"/>
      <c r="AWC993" s="124"/>
      <c r="AWD993" s="124"/>
      <c r="AWE993" s="124"/>
      <c r="AWF993" s="124"/>
      <c r="AWG993" s="124"/>
      <c r="AWH993" s="124"/>
      <c r="AWI993" s="124"/>
      <c r="AWJ993" s="124"/>
      <c r="AWK993" s="124"/>
      <c r="AWL993" s="124"/>
      <c r="AWM993" s="124"/>
      <c r="AWN993" s="124"/>
      <c r="AWO993" s="124"/>
      <c r="AWP993" s="124"/>
      <c r="AWQ993" s="124"/>
      <c r="AWR993" s="124"/>
      <c r="AWS993" s="124"/>
      <c r="AWT993" s="124"/>
      <c r="AWU993" s="124"/>
      <c r="AWV993" s="124"/>
      <c r="AWW993" s="124"/>
      <c r="AWX993" s="124"/>
      <c r="AWY993" s="124"/>
      <c r="AWZ993" s="124"/>
      <c r="AXA993" s="124"/>
      <c r="AXB993" s="124"/>
      <c r="AXC993" s="124"/>
      <c r="AXD993" s="124"/>
      <c r="AXE993" s="124"/>
      <c r="AXF993" s="124"/>
      <c r="AXG993" s="124"/>
      <c r="AXH993" s="124"/>
      <c r="AXI993" s="124"/>
      <c r="AXJ993" s="124"/>
      <c r="AXK993" s="124"/>
      <c r="AXL993" s="124"/>
      <c r="AXM993" s="124"/>
      <c r="AXN993" s="124"/>
      <c r="AXO993" s="124"/>
      <c r="AXP993" s="124"/>
      <c r="AXQ993" s="124"/>
      <c r="AXR993" s="124"/>
      <c r="AXS993" s="124"/>
      <c r="AXT993" s="124"/>
      <c r="AXU993" s="124"/>
      <c r="AXV993" s="124"/>
      <c r="AXW993" s="124"/>
      <c r="AXX993" s="124"/>
      <c r="AXY993" s="124"/>
      <c r="AXZ993" s="124"/>
      <c r="AYA993" s="124"/>
      <c r="AYB993" s="124"/>
      <c r="AYC993" s="124"/>
      <c r="AYD993" s="124"/>
      <c r="AYE993" s="124"/>
      <c r="AYF993" s="124"/>
      <c r="AYG993" s="124"/>
      <c r="AYH993" s="124"/>
      <c r="AYI993" s="124"/>
      <c r="AYJ993" s="124"/>
      <c r="AYK993" s="124"/>
      <c r="AYL993" s="124"/>
      <c r="AYM993" s="124"/>
      <c r="AYN993" s="124"/>
      <c r="AYO993" s="124"/>
      <c r="AYP993" s="124"/>
      <c r="AYQ993" s="124"/>
      <c r="AYR993" s="124"/>
      <c r="AYS993" s="124"/>
      <c r="AYT993" s="124"/>
      <c r="AYU993" s="124"/>
      <c r="AYV993" s="124"/>
      <c r="AYW993" s="124"/>
      <c r="AYX993" s="124"/>
      <c r="AYY993" s="124"/>
      <c r="AYZ993" s="124"/>
      <c r="AZA993" s="124"/>
      <c r="AZB993" s="124"/>
      <c r="AZC993" s="124"/>
      <c r="AZD993" s="124"/>
      <c r="AZE993" s="124"/>
      <c r="AZF993" s="124"/>
      <c r="AZG993" s="124"/>
      <c r="AZH993" s="124"/>
      <c r="AZI993" s="124"/>
      <c r="AZJ993" s="124"/>
      <c r="AZK993" s="124"/>
      <c r="AZL993" s="124"/>
      <c r="AZM993" s="124"/>
      <c r="AZN993" s="124"/>
      <c r="AZO993" s="124"/>
      <c r="AZP993" s="124"/>
      <c r="AZQ993" s="124"/>
      <c r="AZR993" s="124"/>
      <c r="AZS993" s="124"/>
      <c r="AZT993" s="124"/>
      <c r="AZU993" s="124"/>
      <c r="AZV993" s="124"/>
      <c r="AZW993" s="124"/>
      <c r="AZX993" s="124"/>
      <c r="AZY993" s="124"/>
      <c r="AZZ993" s="124"/>
      <c r="BAA993" s="124"/>
      <c r="BAB993" s="124"/>
      <c r="BAC993" s="124"/>
      <c r="BAD993" s="124"/>
      <c r="BAE993" s="124"/>
      <c r="BAF993" s="124"/>
      <c r="BAG993" s="124"/>
      <c r="BAH993" s="124"/>
      <c r="BAI993" s="124"/>
      <c r="BAJ993" s="124"/>
      <c r="BAK993" s="124"/>
      <c r="BAL993" s="124"/>
      <c r="BAM993" s="124"/>
      <c r="BAN993" s="124"/>
      <c r="BAO993" s="124"/>
      <c r="BAP993" s="124"/>
      <c r="BAQ993" s="124"/>
      <c r="BAR993" s="124"/>
      <c r="BAS993" s="124"/>
      <c r="BAT993" s="124"/>
      <c r="BAU993" s="124"/>
      <c r="BAV993" s="124"/>
      <c r="BAW993" s="124"/>
      <c r="BAX993" s="124"/>
      <c r="BAY993" s="124"/>
      <c r="BAZ993" s="124"/>
      <c r="BBA993" s="124"/>
      <c r="BBB993" s="124"/>
      <c r="BBC993" s="124"/>
      <c r="BBD993" s="124"/>
      <c r="BBE993" s="124"/>
      <c r="BBF993" s="124"/>
      <c r="BBG993" s="124"/>
      <c r="BBH993" s="124"/>
      <c r="BBI993" s="124"/>
      <c r="BBJ993" s="124"/>
      <c r="BBK993" s="124"/>
      <c r="BBL993" s="124"/>
      <c r="BBM993" s="124"/>
      <c r="BBN993" s="124"/>
      <c r="BBO993" s="124"/>
      <c r="BBP993" s="124"/>
      <c r="BBQ993" s="124"/>
      <c r="BBR993" s="124"/>
      <c r="BBS993" s="124"/>
      <c r="BBT993" s="124"/>
      <c r="BBU993" s="124"/>
      <c r="BBV993" s="124"/>
      <c r="BBW993" s="124"/>
      <c r="BBX993" s="124"/>
      <c r="BBY993" s="124"/>
      <c r="BBZ993" s="124"/>
      <c r="BCA993" s="124"/>
      <c r="BCB993" s="124"/>
      <c r="BCC993" s="124"/>
      <c r="BCD993" s="124"/>
      <c r="BCE993" s="124"/>
      <c r="BCF993" s="124"/>
      <c r="BCG993" s="124"/>
      <c r="BCH993" s="124"/>
      <c r="BCI993" s="124"/>
      <c r="BCJ993" s="124"/>
      <c r="BCK993" s="124"/>
      <c r="BCL993" s="124"/>
      <c r="BCM993" s="124"/>
      <c r="BCN993" s="124"/>
      <c r="BCO993" s="124"/>
      <c r="BCP993" s="124"/>
      <c r="BCQ993" s="124"/>
      <c r="BCR993" s="124"/>
      <c r="BCS993" s="124"/>
      <c r="BCT993" s="124"/>
      <c r="BCU993" s="124"/>
      <c r="BCV993" s="124"/>
      <c r="BCW993" s="124"/>
      <c r="BCX993" s="124"/>
      <c r="BCY993" s="124"/>
      <c r="BCZ993" s="124"/>
      <c r="BDA993" s="124"/>
      <c r="BDB993" s="124"/>
      <c r="BDC993" s="124"/>
      <c r="BDD993" s="124"/>
      <c r="BDE993" s="124"/>
      <c r="BDF993" s="124"/>
      <c r="BDG993" s="124"/>
      <c r="BDH993" s="124"/>
      <c r="BDI993" s="124"/>
      <c r="BDJ993" s="124"/>
      <c r="BDK993" s="124"/>
      <c r="BDL993" s="124"/>
      <c r="BDM993" s="124"/>
      <c r="BDN993" s="124"/>
      <c r="BDO993" s="124"/>
      <c r="BDP993" s="124"/>
      <c r="BDQ993" s="124"/>
      <c r="BDR993" s="124"/>
      <c r="BDS993" s="124"/>
      <c r="BDT993" s="124"/>
      <c r="BDU993" s="124"/>
      <c r="BDV993" s="124"/>
      <c r="BDW993" s="124"/>
      <c r="BDX993" s="124"/>
      <c r="BDY993" s="124"/>
      <c r="BDZ993" s="124"/>
      <c r="BEA993" s="124"/>
      <c r="BEB993" s="124"/>
      <c r="BEC993" s="124"/>
      <c r="BED993" s="124"/>
      <c r="BEE993" s="124"/>
      <c r="BEF993" s="124"/>
      <c r="BEG993" s="124"/>
      <c r="BEH993" s="124"/>
      <c r="BEI993" s="124"/>
      <c r="BEJ993" s="124"/>
      <c r="BEK993" s="124"/>
      <c r="BEL993" s="124"/>
      <c r="BEM993" s="124"/>
      <c r="BEN993" s="124"/>
      <c r="BEO993" s="124"/>
      <c r="BEP993" s="124"/>
      <c r="BEQ993" s="124"/>
      <c r="BER993" s="124"/>
      <c r="BES993" s="124"/>
      <c r="BET993" s="124"/>
      <c r="BEU993" s="124"/>
      <c r="BEV993" s="124"/>
      <c r="BEW993" s="124"/>
      <c r="BEX993" s="124"/>
      <c r="BEY993" s="124"/>
      <c r="BEZ993" s="124"/>
      <c r="BFA993" s="124"/>
      <c r="BFB993" s="124"/>
      <c r="BFC993" s="124"/>
      <c r="BFD993" s="124"/>
      <c r="BFE993" s="124"/>
      <c r="BFF993" s="124"/>
      <c r="BFG993" s="124"/>
      <c r="BFH993" s="124"/>
      <c r="BFI993" s="124"/>
      <c r="BFJ993" s="124"/>
      <c r="BFK993" s="124"/>
      <c r="BFL993" s="124"/>
      <c r="BFM993" s="124"/>
      <c r="BFN993" s="124"/>
      <c r="BFO993" s="124"/>
      <c r="BFP993" s="124"/>
      <c r="BFQ993" s="124"/>
      <c r="BFR993" s="124"/>
      <c r="BFS993" s="124"/>
      <c r="BFT993" s="124"/>
      <c r="BFU993" s="124"/>
      <c r="BFV993" s="124"/>
      <c r="BFW993" s="124"/>
      <c r="BFX993" s="124"/>
      <c r="BFY993" s="124"/>
      <c r="BFZ993" s="124"/>
      <c r="BGA993" s="124"/>
      <c r="BGB993" s="124"/>
      <c r="BGC993" s="124"/>
      <c r="BGD993" s="124"/>
      <c r="BGE993" s="124"/>
      <c r="BGF993" s="124"/>
      <c r="BGG993" s="124"/>
      <c r="BGH993" s="124"/>
      <c r="BGI993" s="124"/>
      <c r="BGJ993" s="124"/>
      <c r="BGK993" s="124"/>
      <c r="BGL993" s="124"/>
      <c r="BGM993" s="124"/>
      <c r="BGN993" s="124"/>
      <c r="BGO993" s="124"/>
      <c r="BGP993" s="124"/>
      <c r="BGQ993" s="124"/>
      <c r="BGR993" s="124"/>
      <c r="BGS993" s="124"/>
      <c r="BGT993" s="124"/>
      <c r="BGU993" s="124"/>
      <c r="BGV993" s="124"/>
      <c r="BGW993" s="124"/>
      <c r="BGX993" s="124"/>
      <c r="BGY993" s="124"/>
      <c r="BGZ993" s="124"/>
      <c r="BHA993" s="124"/>
      <c r="BHB993" s="124"/>
      <c r="BHC993" s="124"/>
      <c r="BHD993" s="124"/>
      <c r="BHE993" s="124"/>
      <c r="BHF993" s="124"/>
      <c r="BHG993" s="124"/>
      <c r="BHH993" s="124"/>
      <c r="BHI993" s="124"/>
      <c r="BHJ993" s="124"/>
      <c r="BHK993" s="124"/>
      <c r="BHL993" s="124"/>
      <c r="BHM993" s="124"/>
      <c r="BHN993" s="124"/>
      <c r="BHO993" s="124"/>
      <c r="BHP993" s="124"/>
      <c r="BHQ993" s="124"/>
      <c r="BHR993" s="124"/>
      <c r="BHS993" s="124"/>
      <c r="BHT993" s="124"/>
      <c r="BHU993" s="124"/>
      <c r="BHV993" s="124"/>
      <c r="BHW993" s="124"/>
      <c r="BHX993" s="124"/>
      <c r="BHY993" s="124"/>
      <c r="BHZ993" s="124"/>
      <c r="BIA993" s="124"/>
      <c r="BIB993" s="124"/>
      <c r="BIC993" s="124"/>
      <c r="BID993" s="124"/>
      <c r="BIE993" s="124"/>
      <c r="BIF993" s="124"/>
      <c r="BIG993" s="124"/>
      <c r="BIH993" s="124"/>
      <c r="BII993" s="124"/>
      <c r="BIJ993" s="124"/>
      <c r="BIK993" s="124"/>
      <c r="BIL993" s="124"/>
      <c r="BIM993" s="124"/>
      <c r="BIN993" s="124"/>
      <c r="BIO993" s="124"/>
      <c r="BIP993" s="124"/>
      <c r="BIQ993" s="124"/>
      <c r="BIR993" s="124"/>
      <c r="BIS993" s="124"/>
      <c r="BIT993" s="124"/>
      <c r="BIU993" s="124"/>
      <c r="BIV993" s="124"/>
      <c r="BIW993" s="124"/>
      <c r="BIX993" s="124"/>
      <c r="BIY993" s="124"/>
      <c r="BIZ993" s="124"/>
      <c r="BJA993" s="124"/>
      <c r="BJB993" s="124"/>
      <c r="BJC993" s="124"/>
      <c r="BJD993" s="124"/>
      <c r="BJE993" s="124"/>
      <c r="BJF993" s="124"/>
      <c r="BJG993" s="124"/>
      <c r="BJH993" s="124"/>
      <c r="BJI993" s="124"/>
      <c r="BJJ993" s="124"/>
      <c r="BJK993" s="124"/>
      <c r="BJL993" s="124"/>
      <c r="BJM993" s="124"/>
      <c r="BJN993" s="124"/>
      <c r="BJO993" s="124"/>
      <c r="BJP993" s="124"/>
      <c r="BJQ993" s="124"/>
      <c r="BJR993" s="124"/>
      <c r="BJS993" s="124"/>
      <c r="BJT993" s="124"/>
      <c r="BJU993" s="124"/>
      <c r="BJV993" s="124"/>
      <c r="BJW993" s="124"/>
      <c r="BJX993" s="124"/>
      <c r="BJY993" s="124"/>
      <c r="BJZ993" s="124"/>
      <c r="BKA993" s="124"/>
      <c r="BKB993" s="124"/>
      <c r="BKC993" s="124"/>
      <c r="BKD993" s="124"/>
      <c r="BKE993" s="124"/>
      <c r="BKF993" s="124"/>
      <c r="BKG993" s="124"/>
      <c r="BKH993" s="124"/>
      <c r="BKI993" s="124"/>
      <c r="BKJ993" s="124"/>
      <c r="BKK993" s="124"/>
      <c r="BKL993" s="124"/>
      <c r="BKM993" s="124"/>
      <c r="BKN993" s="124"/>
      <c r="BKO993" s="124"/>
      <c r="BKP993" s="124"/>
      <c r="BKQ993" s="124"/>
      <c r="BKR993" s="124"/>
      <c r="BKS993" s="124"/>
      <c r="BKT993" s="124"/>
      <c r="BKU993" s="124"/>
      <c r="BKV993" s="124"/>
      <c r="BKW993" s="124"/>
      <c r="BKX993" s="124"/>
      <c r="BKY993" s="124"/>
      <c r="BKZ993" s="124"/>
      <c r="BLA993" s="124"/>
      <c r="BLB993" s="124"/>
      <c r="BLC993" s="124"/>
      <c r="BLD993" s="124"/>
      <c r="BLE993" s="124"/>
      <c r="BLF993" s="124"/>
      <c r="BLG993" s="124"/>
      <c r="BLH993" s="124"/>
      <c r="BLI993" s="124"/>
      <c r="BLJ993" s="124"/>
      <c r="BLK993" s="124"/>
      <c r="BLL993" s="124"/>
      <c r="BLM993" s="124"/>
      <c r="BLN993" s="124"/>
      <c r="BLO993" s="124"/>
      <c r="BLP993" s="124"/>
      <c r="BLQ993" s="124"/>
      <c r="BLR993" s="124"/>
      <c r="BLS993" s="124"/>
      <c r="BLT993" s="124"/>
      <c r="BLU993" s="124"/>
      <c r="BLV993" s="124"/>
      <c r="BLW993" s="124"/>
      <c r="BLX993" s="124"/>
      <c r="BLY993" s="124"/>
      <c r="BLZ993" s="124"/>
      <c r="BMA993" s="124"/>
      <c r="BMB993" s="124"/>
      <c r="BMC993" s="124"/>
      <c r="BMD993" s="124"/>
      <c r="BME993" s="124"/>
      <c r="BMF993" s="124"/>
      <c r="BMG993" s="124"/>
      <c r="BMH993" s="124"/>
      <c r="BMI993" s="124"/>
      <c r="BMJ993" s="124"/>
      <c r="BMK993" s="124"/>
      <c r="BML993" s="124"/>
      <c r="BMM993" s="124"/>
      <c r="BMN993" s="124"/>
      <c r="BMO993" s="124"/>
      <c r="BMP993" s="124"/>
      <c r="BMQ993" s="124"/>
      <c r="BMR993" s="124"/>
      <c r="BMS993" s="124"/>
      <c r="BMT993" s="124"/>
      <c r="BMU993" s="124"/>
      <c r="BMV993" s="124"/>
      <c r="BMW993" s="124"/>
      <c r="BMX993" s="124"/>
      <c r="BMY993" s="124"/>
      <c r="BMZ993" s="124"/>
      <c r="BNA993" s="124"/>
      <c r="BNB993" s="124"/>
      <c r="BNC993" s="124"/>
      <c r="BND993" s="124"/>
      <c r="BNE993" s="124"/>
      <c r="BNF993" s="124"/>
      <c r="BNG993" s="124"/>
      <c r="BNH993" s="124"/>
      <c r="BNI993" s="124"/>
      <c r="BNJ993" s="124"/>
      <c r="BNK993" s="124"/>
      <c r="BNL993" s="124"/>
      <c r="BNM993" s="124"/>
      <c r="BNN993" s="124"/>
      <c r="BNO993" s="124"/>
      <c r="BNP993" s="124"/>
      <c r="BNQ993" s="124"/>
      <c r="BNR993" s="124"/>
      <c r="BNS993" s="124"/>
      <c r="BNT993" s="124"/>
      <c r="BNU993" s="124"/>
      <c r="BNV993" s="124"/>
      <c r="BNW993" s="124"/>
      <c r="BNX993" s="124"/>
      <c r="BNY993" s="124"/>
      <c r="BNZ993" s="124"/>
      <c r="BOA993" s="124"/>
      <c r="BOB993" s="124"/>
      <c r="BOC993" s="124"/>
      <c r="BOD993" s="124"/>
      <c r="BOE993" s="124"/>
      <c r="BOF993" s="124"/>
      <c r="BOG993" s="124"/>
      <c r="BOH993" s="124"/>
      <c r="BOI993" s="124"/>
      <c r="BOJ993" s="124"/>
      <c r="BOK993" s="124"/>
      <c r="BOL993" s="124"/>
      <c r="BOM993" s="124"/>
      <c r="BON993" s="124"/>
      <c r="BOO993" s="124"/>
      <c r="BOP993" s="124"/>
      <c r="BOQ993" s="124"/>
      <c r="BOR993" s="124"/>
      <c r="BOS993" s="124"/>
      <c r="BOT993" s="124"/>
      <c r="BOU993" s="124"/>
      <c r="BOV993" s="124"/>
      <c r="BOW993" s="124"/>
      <c r="BOX993" s="124"/>
      <c r="BOY993" s="124"/>
      <c r="BOZ993" s="124"/>
      <c r="BPA993" s="124"/>
      <c r="BPB993" s="124"/>
      <c r="BPC993" s="124"/>
      <c r="BPD993" s="124"/>
      <c r="BPE993" s="124"/>
      <c r="BPF993" s="124"/>
      <c r="BPG993" s="124"/>
      <c r="BPH993" s="124"/>
      <c r="BPI993" s="124"/>
      <c r="BPJ993" s="124"/>
      <c r="BPK993" s="124"/>
      <c r="BPL993" s="124"/>
      <c r="BPM993" s="124"/>
      <c r="BPN993" s="124"/>
      <c r="BPO993" s="124"/>
      <c r="BPP993" s="124"/>
      <c r="BPQ993" s="124"/>
      <c r="BPR993" s="124"/>
      <c r="BPS993" s="124"/>
      <c r="BPT993" s="124"/>
      <c r="BPU993" s="124"/>
      <c r="BPV993" s="124"/>
      <c r="BPW993" s="124"/>
      <c r="BPX993" s="124"/>
      <c r="BPY993" s="124"/>
      <c r="BPZ993" s="124"/>
      <c r="BQA993" s="124"/>
      <c r="BQB993" s="124"/>
      <c r="BQC993" s="124"/>
      <c r="BQD993" s="124"/>
      <c r="BQE993" s="124"/>
      <c r="BQF993" s="124"/>
      <c r="BQG993" s="124"/>
      <c r="BQH993" s="124"/>
      <c r="BQI993" s="124"/>
      <c r="BQJ993" s="124"/>
      <c r="BQK993" s="124"/>
      <c r="BQL993" s="124"/>
      <c r="BQM993" s="124"/>
      <c r="BQN993" s="124"/>
      <c r="BQO993" s="124"/>
      <c r="BQP993" s="124"/>
      <c r="BQQ993" s="124"/>
      <c r="BQR993" s="124"/>
      <c r="BQS993" s="124"/>
      <c r="BQT993" s="124"/>
      <c r="BQU993" s="124"/>
      <c r="BQV993" s="124"/>
      <c r="BQW993" s="124"/>
      <c r="BQX993" s="124"/>
      <c r="BQY993" s="124"/>
      <c r="BQZ993" s="124"/>
      <c r="BRA993" s="124"/>
      <c r="BRB993" s="124"/>
      <c r="BRC993" s="124"/>
      <c r="BRD993" s="124"/>
      <c r="BRE993" s="124"/>
      <c r="BRF993" s="124"/>
      <c r="BRG993" s="124"/>
      <c r="BRH993" s="124"/>
      <c r="BRI993" s="124"/>
      <c r="BRJ993" s="124"/>
      <c r="BRK993" s="124"/>
      <c r="BRL993" s="124"/>
      <c r="BRM993" s="124"/>
      <c r="BRN993" s="124"/>
      <c r="BRO993" s="124"/>
      <c r="BRP993" s="124"/>
      <c r="BRQ993" s="124"/>
      <c r="BRR993" s="124"/>
      <c r="BRS993" s="124"/>
      <c r="BRT993" s="124"/>
      <c r="BRU993" s="124"/>
      <c r="BRV993" s="124"/>
      <c r="BRW993" s="124"/>
      <c r="BRX993" s="124"/>
      <c r="BRY993" s="124"/>
      <c r="BRZ993" s="124"/>
      <c r="BSA993" s="124"/>
      <c r="BSB993" s="124"/>
      <c r="BSC993" s="124"/>
      <c r="BSD993" s="124"/>
      <c r="BSE993" s="124"/>
      <c r="BSF993" s="124"/>
      <c r="BSG993" s="124"/>
      <c r="BSH993" s="124"/>
      <c r="BSI993" s="124"/>
      <c r="BSJ993" s="124"/>
      <c r="BSK993" s="124"/>
      <c r="BSL993" s="124"/>
      <c r="BSM993" s="124"/>
      <c r="BSN993" s="124"/>
      <c r="BSO993" s="124"/>
      <c r="BSP993" s="124"/>
      <c r="BSQ993" s="124"/>
      <c r="BSR993" s="124"/>
      <c r="BSS993" s="124"/>
      <c r="BST993" s="124"/>
      <c r="BSU993" s="124"/>
      <c r="BSV993" s="124"/>
      <c r="BSW993" s="124"/>
      <c r="BSX993" s="124"/>
      <c r="BSY993" s="124"/>
      <c r="BSZ993" s="124"/>
      <c r="BTA993" s="124"/>
      <c r="BTB993" s="124"/>
      <c r="BTC993" s="124"/>
      <c r="BTD993" s="124"/>
      <c r="BTE993" s="124"/>
      <c r="BTF993" s="124"/>
      <c r="BTG993" s="124"/>
      <c r="BTH993" s="124"/>
      <c r="BTI993" s="124"/>
      <c r="BTJ993" s="124"/>
      <c r="BTK993" s="124"/>
      <c r="BTL993" s="124"/>
      <c r="BTM993" s="124"/>
      <c r="BTN993" s="124"/>
      <c r="BTO993" s="124"/>
      <c r="BTP993" s="124"/>
      <c r="BTQ993" s="124"/>
      <c r="BTR993" s="124"/>
      <c r="BTS993" s="124"/>
      <c r="BTT993" s="124"/>
      <c r="BTU993" s="124"/>
      <c r="BTV993" s="124"/>
      <c r="BTW993" s="124"/>
      <c r="BTX993" s="124"/>
      <c r="BTY993" s="124"/>
      <c r="BTZ993" s="124"/>
      <c r="BUA993" s="124"/>
      <c r="BUB993" s="124"/>
      <c r="BUC993" s="124"/>
      <c r="BUD993" s="124"/>
      <c r="BUE993" s="124"/>
      <c r="BUF993" s="124"/>
      <c r="BUG993" s="124"/>
      <c r="BUH993" s="124"/>
      <c r="BUI993" s="124"/>
      <c r="BUJ993" s="124"/>
      <c r="BUK993" s="124"/>
      <c r="BUL993" s="124"/>
      <c r="BUM993" s="124"/>
      <c r="BUN993" s="124"/>
      <c r="BUO993" s="124"/>
      <c r="BUP993" s="124"/>
      <c r="BUQ993" s="124"/>
      <c r="BUR993" s="124"/>
      <c r="BUS993" s="124"/>
      <c r="BUT993" s="124"/>
      <c r="BUU993" s="124"/>
      <c r="BUV993" s="124"/>
      <c r="BUW993" s="124"/>
      <c r="BUX993" s="124"/>
      <c r="BUY993" s="124"/>
      <c r="BUZ993" s="124"/>
      <c r="BVA993" s="124"/>
      <c r="BVB993" s="124"/>
      <c r="BVC993" s="124"/>
      <c r="BVD993" s="124"/>
      <c r="BVE993" s="124"/>
      <c r="BVF993" s="124"/>
      <c r="BVG993" s="124"/>
      <c r="BVH993" s="124"/>
      <c r="BVI993" s="124"/>
      <c r="BVJ993" s="124"/>
      <c r="BVK993" s="124"/>
      <c r="BVL993" s="124"/>
      <c r="BVM993" s="124"/>
      <c r="BVN993" s="124"/>
      <c r="BVO993" s="124"/>
      <c r="BVP993" s="124"/>
      <c r="BVQ993" s="124"/>
      <c r="BVR993" s="124"/>
      <c r="BVS993" s="124"/>
      <c r="BVT993" s="124"/>
      <c r="BVU993" s="124"/>
      <c r="BVV993" s="124"/>
      <c r="BVW993" s="124"/>
      <c r="BVX993" s="124"/>
      <c r="BVY993" s="124"/>
      <c r="BVZ993" s="124"/>
      <c r="BWA993" s="124"/>
      <c r="BWB993" s="124"/>
      <c r="BWC993" s="124"/>
      <c r="BWD993" s="124"/>
      <c r="BWE993" s="124"/>
      <c r="BWF993" s="124"/>
      <c r="BWG993" s="124"/>
      <c r="BWH993" s="124"/>
      <c r="BWI993" s="124"/>
      <c r="BWJ993" s="124"/>
      <c r="BWK993" s="124"/>
      <c r="BWL993" s="124"/>
      <c r="BWM993" s="124"/>
      <c r="BWN993" s="124"/>
      <c r="BWO993" s="124"/>
      <c r="BWP993" s="124"/>
      <c r="BWQ993" s="124"/>
      <c r="BWR993" s="124"/>
      <c r="BWS993" s="124"/>
      <c r="BWT993" s="124"/>
      <c r="BWU993" s="124"/>
      <c r="BWV993" s="124"/>
      <c r="BWW993" s="124"/>
      <c r="BWX993" s="124"/>
      <c r="BWY993" s="124"/>
      <c r="BWZ993" s="124"/>
      <c r="BXA993" s="124"/>
      <c r="BXB993" s="124"/>
      <c r="BXC993" s="124"/>
      <c r="BXD993" s="124"/>
      <c r="BXE993" s="124"/>
      <c r="BXF993" s="124"/>
      <c r="BXG993" s="124"/>
      <c r="BXH993" s="124"/>
      <c r="BXI993" s="124"/>
      <c r="BXJ993" s="124"/>
      <c r="BXK993" s="124"/>
      <c r="BXL993" s="124"/>
      <c r="BXM993" s="124"/>
      <c r="BXN993" s="124"/>
      <c r="BXO993" s="124"/>
      <c r="BXP993" s="124"/>
      <c r="BXQ993" s="124"/>
      <c r="BXR993" s="124"/>
      <c r="BXS993" s="124"/>
      <c r="BXT993" s="124"/>
      <c r="BXU993" s="124"/>
      <c r="BXV993" s="124"/>
      <c r="BXW993" s="124"/>
      <c r="BXX993" s="124"/>
      <c r="BXY993" s="124"/>
      <c r="BXZ993" s="124"/>
      <c r="BYA993" s="124"/>
      <c r="BYB993" s="124"/>
      <c r="BYC993" s="124"/>
      <c r="BYD993" s="124"/>
      <c r="BYE993" s="124"/>
      <c r="BYF993" s="124"/>
      <c r="BYG993" s="124"/>
      <c r="BYH993" s="124"/>
      <c r="BYI993" s="124"/>
      <c r="BYJ993" s="124"/>
      <c r="BYK993" s="124"/>
      <c r="BYL993" s="124"/>
      <c r="BYM993" s="124"/>
      <c r="BYN993" s="124"/>
      <c r="BYO993" s="124"/>
      <c r="BYP993" s="124"/>
      <c r="BYQ993" s="124"/>
      <c r="BYR993" s="124"/>
      <c r="BYS993" s="124"/>
      <c r="BYT993" s="124"/>
      <c r="BYU993" s="124"/>
      <c r="BYV993" s="124"/>
      <c r="BYW993" s="124"/>
      <c r="BYX993" s="124"/>
      <c r="BYY993" s="124"/>
      <c r="BYZ993" s="124"/>
      <c r="BZA993" s="124"/>
      <c r="BZB993" s="124"/>
      <c r="BZC993" s="124"/>
      <c r="BZD993" s="124"/>
      <c r="BZE993" s="124"/>
      <c r="BZF993" s="124"/>
      <c r="BZG993" s="124"/>
      <c r="BZH993" s="124"/>
      <c r="BZI993" s="124"/>
      <c r="BZJ993" s="124"/>
      <c r="BZK993" s="124"/>
      <c r="BZL993" s="124"/>
      <c r="BZM993" s="124"/>
      <c r="BZN993" s="124"/>
      <c r="BZO993" s="124"/>
      <c r="BZP993" s="124"/>
      <c r="BZQ993" s="124"/>
      <c r="BZR993" s="124"/>
      <c r="BZS993" s="124"/>
      <c r="BZT993" s="124"/>
      <c r="BZU993" s="124"/>
      <c r="BZV993" s="124"/>
      <c r="BZW993" s="124"/>
      <c r="BZX993" s="124"/>
      <c r="BZY993" s="124"/>
      <c r="BZZ993" s="124"/>
      <c r="CAA993" s="124"/>
      <c r="CAB993" s="124"/>
      <c r="CAC993" s="124"/>
      <c r="CAD993" s="124"/>
      <c r="CAE993" s="124"/>
      <c r="CAF993" s="124"/>
      <c r="CAG993" s="124"/>
      <c r="CAH993" s="124"/>
      <c r="CAI993" s="124"/>
      <c r="CAJ993" s="124"/>
      <c r="CAK993" s="124"/>
      <c r="CAL993" s="124"/>
      <c r="CAM993" s="124"/>
      <c r="CAN993" s="124"/>
      <c r="CAO993" s="124"/>
      <c r="CAP993" s="124"/>
      <c r="CAQ993" s="124"/>
      <c r="CAR993" s="124"/>
      <c r="CAS993" s="124"/>
      <c r="CAT993" s="124"/>
      <c r="CAU993" s="124"/>
      <c r="CAV993" s="124"/>
      <c r="CAW993" s="124"/>
      <c r="CAX993" s="124"/>
      <c r="CAY993" s="124"/>
      <c r="CAZ993" s="124"/>
      <c r="CBA993" s="124"/>
      <c r="CBB993" s="124"/>
      <c r="CBC993" s="124"/>
      <c r="CBD993" s="124"/>
      <c r="CBE993" s="124"/>
      <c r="CBF993" s="124"/>
      <c r="CBG993" s="124"/>
      <c r="CBH993" s="124"/>
      <c r="CBI993" s="124"/>
      <c r="CBJ993" s="124"/>
      <c r="CBK993" s="124"/>
      <c r="CBL993" s="124"/>
      <c r="CBM993" s="124"/>
      <c r="CBN993" s="124"/>
      <c r="CBO993" s="124"/>
      <c r="CBP993" s="124"/>
      <c r="CBQ993" s="124"/>
      <c r="CBR993" s="124"/>
      <c r="CBS993" s="124"/>
      <c r="CBT993" s="124"/>
      <c r="CBU993" s="124"/>
      <c r="CBV993" s="124"/>
      <c r="CBW993" s="124"/>
      <c r="CBX993" s="124"/>
      <c r="CBY993" s="124"/>
      <c r="CBZ993" s="124"/>
      <c r="CCA993" s="124"/>
      <c r="CCB993" s="124"/>
      <c r="CCC993" s="124"/>
      <c r="CCD993" s="124"/>
      <c r="CCE993" s="124"/>
      <c r="CCF993" s="124"/>
      <c r="CCG993" s="124"/>
      <c r="CCH993" s="124"/>
      <c r="CCI993" s="124"/>
      <c r="CCJ993" s="124"/>
      <c r="CCK993" s="124"/>
      <c r="CCL993" s="124"/>
      <c r="CCM993" s="124"/>
      <c r="CCN993" s="124"/>
      <c r="CCO993" s="124"/>
      <c r="CCP993" s="124"/>
      <c r="CCQ993" s="124"/>
      <c r="CCR993" s="124"/>
      <c r="CCS993" s="124"/>
      <c r="CCT993" s="124"/>
      <c r="CCU993" s="124"/>
      <c r="CCV993" s="124"/>
      <c r="CCW993" s="124"/>
      <c r="CCX993" s="124"/>
      <c r="CCY993" s="124"/>
      <c r="CCZ993" s="124"/>
      <c r="CDA993" s="124"/>
      <c r="CDB993" s="124"/>
      <c r="CDC993" s="124"/>
      <c r="CDD993" s="124"/>
      <c r="CDE993" s="124"/>
      <c r="CDF993" s="124"/>
      <c r="CDG993" s="124"/>
      <c r="CDH993" s="124"/>
      <c r="CDI993" s="124"/>
      <c r="CDJ993" s="124"/>
      <c r="CDK993" s="124"/>
      <c r="CDL993" s="124"/>
      <c r="CDM993" s="124"/>
      <c r="CDN993" s="124"/>
      <c r="CDO993" s="124"/>
      <c r="CDP993" s="124"/>
      <c r="CDQ993" s="124"/>
      <c r="CDR993" s="124"/>
      <c r="CDS993" s="124"/>
      <c r="CDT993" s="124"/>
      <c r="CDU993" s="124"/>
      <c r="CDV993" s="124"/>
      <c r="CDW993" s="124"/>
      <c r="CDX993" s="124"/>
      <c r="CDY993" s="124"/>
      <c r="CDZ993" s="124"/>
      <c r="CEA993" s="124"/>
      <c r="CEB993" s="124"/>
      <c r="CEC993" s="124"/>
      <c r="CED993" s="124"/>
      <c r="CEE993" s="124"/>
      <c r="CEF993" s="124"/>
      <c r="CEG993" s="124"/>
      <c r="CEH993" s="124"/>
      <c r="CEI993" s="124"/>
      <c r="CEJ993" s="124"/>
      <c r="CEK993" s="124"/>
      <c r="CEL993" s="124"/>
      <c r="CEM993" s="124"/>
      <c r="CEN993" s="124"/>
      <c r="CEO993" s="124"/>
      <c r="CEP993" s="124"/>
      <c r="CEQ993" s="124"/>
      <c r="CER993" s="124"/>
      <c r="CES993" s="124"/>
      <c r="CET993" s="124"/>
      <c r="CEU993" s="124"/>
      <c r="CEV993" s="124"/>
      <c r="CEW993" s="124"/>
      <c r="CEX993" s="124"/>
      <c r="CEY993" s="124"/>
      <c r="CEZ993" s="124"/>
      <c r="CFA993" s="124"/>
      <c r="CFB993" s="124"/>
      <c r="CFC993" s="124"/>
      <c r="CFD993" s="124"/>
      <c r="CFE993" s="124"/>
      <c r="CFF993" s="124"/>
      <c r="CFG993" s="124"/>
      <c r="CFH993" s="124"/>
      <c r="CFI993" s="124"/>
      <c r="CFJ993" s="124"/>
      <c r="CFK993" s="124"/>
      <c r="CFL993" s="124"/>
      <c r="CFM993" s="124"/>
      <c r="CFN993" s="124"/>
      <c r="CFO993" s="124"/>
      <c r="CFP993" s="124"/>
      <c r="CFQ993" s="124"/>
      <c r="CFR993" s="124"/>
      <c r="CFS993" s="124"/>
      <c r="CFT993" s="124"/>
      <c r="CFU993" s="124"/>
      <c r="CFV993" s="124"/>
      <c r="CFW993" s="124"/>
      <c r="CFX993" s="124"/>
      <c r="CFY993" s="124"/>
      <c r="CFZ993" s="124"/>
      <c r="CGA993" s="124"/>
      <c r="CGB993" s="124"/>
      <c r="CGC993" s="124"/>
      <c r="CGD993" s="124"/>
      <c r="CGE993" s="124"/>
      <c r="CGF993" s="124"/>
      <c r="CGG993" s="124"/>
      <c r="CGH993" s="124"/>
      <c r="CGI993" s="124"/>
      <c r="CGJ993" s="124"/>
      <c r="CGK993" s="124"/>
      <c r="CGL993" s="124"/>
      <c r="CGM993" s="124"/>
      <c r="CGN993" s="124"/>
      <c r="CGO993" s="124"/>
      <c r="CGP993" s="124"/>
      <c r="CGQ993" s="124"/>
      <c r="CGR993" s="124"/>
      <c r="CGS993" s="124"/>
      <c r="CGT993" s="124"/>
      <c r="CGU993" s="124"/>
      <c r="CGV993" s="124"/>
      <c r="CGW993" s="124"/>
      <c r="CGX993" s="124"/>
      <c r="CGY993" s="124"/>
      <c r="CGZ993" s="124"/>
      <c r="CHA993" s="124"/>
      <c r="CHB993" s="124"/>
      <c r="CHC993" s="124"/>
      <c r="CHD993" s="124"/>
      <c r="CHE993" s="124"/>
      <c r="CHF993" s="124"/>
      <c r="CHG993" s="124"/>
      <c r="CHH993" s="124"/>
      <c r="CHI993" s="124"/>
      <c r="CHJ993" s="124"/>
      <c r="CHK993" s="124"/>
      <c r="CHL993" s="124"/>
      <c r="CHM993" s="124"/>
      <c r="CHN993" s="124"/>
      <c r="CHO993" s="124"/>
      <c r="CHP993" s="124"/>
      <c r="CHQ993" s="124"/>
      <c r="CHR993" s="124"/>
      <c r="CHS993" s="124"/>
      <c r="CHT993" s="124"/>
      <c r="CHU993" s="124"/>
      <c r="CHV993" s="124"/>
      <c r="CHW993" s="124"/>
      <c r="CHX993" s="124"/>
      <c r="CHY993" s="124"/>
      <c r="CHZ993" s="124"/>
      <c r="CIA993" s="124"/>
      <c r="CIB993" s="124"/>
      <c r="CIC993" s="124"/>
      <c r="CID993" s="124"/>
      <c r="CIE993" s="124"/>
      <c r="CIF993" s="124"/>
      <c r="CIG993" s="124"/>
      <c r="CIH993" s="124"/>
      <c r="CII993" s="124"/>
      <c r="CIJ993" s="124"/>
      <c r="CIK993" s="124"/>
      <c r="CIL993" s="124"/>
      <c r="CIM993" s="124"/>
      <c r="CIN993" s="124"/>
      <c r="CIO993" s="124"/>
      <c r="CIP993" s="124"/>
      <c r="CIQ993" s="124"/>
      <c r="CIR993" s="124"/>
      <c r="CIS993" s="124"/>
      <c r="CIT993" s="124"/>
      <c r="CIU993" s="124"/>
      <c r="CIV993" s="124"/>
      <c r="CIW993" s="124"/>
      <c r="CIX993" s="124"/>
      <c r="CIY993" s="124"/>
      <c r="CIZ993" s="124"/>
      <c r="CJA993" s="124"/>
      <c r="CJB993" s="124"/>
      <c r="CJC993" s="124"/>
      <c r="CJD993" s="124"/>
      <c r="CJE993" s="124"/>
      <c r="CJF993" s="124"/>
      <c r="CJG993" s="124"/>
      <c r="CJH993" s="124"/>
      <c r="CJI993" s="124"/>
      <c r="CJJ993" s="124"/>
      <c r="CJK993" s="124"/>
      <c r="CJL993" s="124"/>
      <c r="CJM993" s="124"/>
      <c r="CJN993" s="124"/>
      <c r="CJO993" s="124"/>
      <c r="CJP993" s="124"/>
      <c r="CJQ993" s="124"/>
      <c r="CJR993" s="124"/>
      <c r="CJS993" s="124"/>
      <c r="CJT993" s="124"/>
      <c r="CJU993" s="124"/>
      <c r="CJV993" s="124"/>
      <c r="CJW993" s="124"/>
      <c r="CJX993" s="124"/>
      <c r="CJY993" s="124"/>
      <c r="CJZ993" s="124"/>
      <c r="CKA993" s="124"/>
      <c r="CKB993" s="124"/>
      <c r="CKC993" s="124"/>
      <c r="CKD993" s="124"/>
      <c r="CKE993" s="124"/>
      <c r="CKF993" s="124"/>
      <c r="CKG993" s="124"/>
      <c r="CKH993" s="124"/>
      <c r="CKI993" s="124"/>
      <c r="CKJ993" s="124"/>
      <c r="CKK993" s="124"/>
      <c r="CKL993" s="124"/>
      <c r="CKM993" s="124"/>
      <c r="CKN993" s="124"/>
      <c r="CKO993" s="124"/>
      <c r="CKP993" s="124"/>
      <c r="CKQ993" s="124"/>
      <c r="CKR993" s="124"/>
      <c r="CKS993" s="124"/>
      <c r="CKT993" s="124"/>
      <c r="CKU993" s="124"/>
      <c r="CKV993" s="124"/>
      <c r="CKW993" s="124"/>
      <c r="CKX993" s="124"/>
      <c r="CKY993" s="124"/>
      <c r="CKZ993" s="124"/>
      <c r="CLA993" s="124"/>
      <c r="CLB993" s="124"/>
      <c r="CLC993" s="124"/>
      <c r="CLD993" s="124"/>
      <c r="CLE993" s="124"/>
      <c r="CLF993" s="124"/>
      <c r="CLG993" s="124"/>
      <c r="CLH993" s="124"/>
      <c r="CLI993" s="124"/>
      <c r="CLJ993" s="124"/>
      <c r="CLK993" s="124"/>
      <c r="CLL993" s="124"/>
      <c r="CLM993" s="124"/>
      <c r="CLN993" s="124"/>
      <c r="CLO993" s="124"/>
      <c r="CLP993" s="124"/>
      <c r="CLQ993" s="124"/>
      <c r="CLR993" s="124"/>
      <c r="CLS993" s="124"/>
      <c r="CLT993" s="124"/>
      <c r="CLU993" s="124"/>
      <c r="CLV993" s="124"/>
      <c r="CLW993" s="124"/>
      <c r="CLX993" s="124"/>
      <c r="CLY993" s="124"/>
      <c r="CLZ993" s="124"/>
      <c r="CMA993" s="124"/>
      <c r="CMB993" s="124"/>
      <c r="CMC993" s="124"/>
      <c r="CMD993" s="124"/>
      <c r="CME993" s="124"/>
      <c r="CMF993" s="124"/>
      <c r="CMG993" s="124"/>
      <c r="CMH993" s="124"/>
      <c r="CMI993" s="124"/>
      <c r="CMJ993" s="124"/>
      <c r="CMK993" s="124"/>
      <c r="CML993" s="124"/>
      <c r="CMM993" s="124"/>
      <c r="CMN993" s="124"/>
      <c r="CMO993" s="124"/>
      <c r="CMP993" s="124"/>
      <c r="CMQ993" s="124"/>
      <c r="CMR993" s="124"/>
      <c r="CMS993" s="124"/>
      <c r="CMT993" s="124"/>
      <c r="CMU993" s="124"/>
      <c r="CMV993" s="124"/>
      <c r="CMW993" s="124"/>
      <c r="CMX993" s="124"/>
      <c r="CMY993" s="124"/>
      <c r="CMZ993" s="124"/>
      <c r="CNA993" s="124"/>
      <c r="CNB993" s="124"/>
      <c r="CNC993" s="124"/>
      <c r="CND993" s="124"/>
      <c r="CNE993" s="124"/>
      <c r="CNF993" s="124"/>
      <c r="CNG993" s="124"/>
      <c r="CNH993" s="124"/>
      <c r="CNI993" s="124"/>
      <c r="CNJ993" s="124"/>
      <c r="CNK993" s="124"/>
      <c r="CNL993" s="124"/>
      <c r="CNM993" s="124"/>
      <c r="CNN993" s="124"/>
      <c r="CNO993" s="124"/>
      <c r="CNP993" s="124"/>
      <c r="CNQ993" s="124"/>
      <c r="CNR993" s="124"/>
      <c r="CNS993" s="124"/>
      <c r="CNT993" s="124"/>
      <c r="CNU993" s="124"/>
      <c r="CNV993" s="124"/>
      <c r="CNW993" s="124"/>
      <c r="CNX993" s="124"/>
      <c r="CNY993" s="124"/>
      <c r="CNZ993" s="124"/>
      <c r="COA993" s="124"/>
      <c r="COB993" s="124"/>
      <c r="COC993" s="124"/>
      <c r="COD993" s="124"/>
      <c r="COE993" s="124"/>
      <c r="COF993" s="124"/>
      <c r="COG993" s="124"/>
      <c r="COH993" s="124"/>
      <c r="COI993" s="124"/>
      <c r="COJ993" s="124"/>
      <c r="COK993" s="124"/>
      <c r="COL993" s="124"/>
      <c r="COM993" s="124"/>
      <c r="CON993" s="124"/>
      <c r="COO993" s="124"/>
      <c r="COP993" s="124"/>
      <c r="COQ993" s="124"/>
      <c r="COR993" s="124"/>
      <c r="COS993" s="124"/>
      <c r="COT993" s="124"/>
      <c r="COU993" s="124"/>
      <c r="COV993" s="124"/>
      <c r="COW993" s="124"/>
      <c r="COX993" s="124"/>
      <c r="COY993" s="124"/>
      <c r="COZ993" s="124"/>
      <c r="CPA993" s="124"/>
      <c r="CPB993" s="124"/>
      <c r="CPC993" s="124"/>
      <c r="CPD993" s="124"/>
      <c r="CPE993" s="124"/>
      <c r="CPF993" s="124"/>
      <c r="CPG993" s="124"/>
      <c r="CPH993" s="124"/>
      <c r="CPI993" s="124"/>
      <c r="CPJ993" s="124"/>
      <c r="CPK993" s="124"/>
      <c r="CPL993" s="124"/>
      <c r="CPM993" s="124"/>
      <c r="CPN993" s="124"/>
      <c r="CPO993" s="124"/>
      <c r="CPP993" s="124"/>
      <c r="CPQ993" s="124"/>
      <c r="CPR993" s="124"/>
      <c r="CPS993" s="124"/>
      <c r="CPT993" s="124"/>
      <c r="CPU993" s="124"/>
      <c r="CPV993" s="124"/>
      <c r="CPW993" s="124"/>
      <c r="CPX993" s="124"/>
      <c r="CPY993" s="124"/>
      <c r="CPZ993" s="124"/>
      <c r="CQA993" s="124"/>
      <c r="CQB993" s="124"/>
      <c r="CQC993" s="124"/>
      <c r="CQD993" s="124"/>
      <c r="CQE993" s="124"/>
      <c r="CQF993" s="124"/>
      <c r="CQG993" s="124"/>
      <c r="CQH993" s="124"/>
      <c r="CQI993" s="124"/>
      <c r="CQJ993" s="124"/>
      <c r="CQK993" s="124"/>
      <c r="CQL993" s="124"/>
      <c r="CQM993" s="124"/>
      <c r="CQN993" s="124"/>
      <c r="CQO993" s="124"/>
      <c r="CQP993" s="124"/>
      <c r="CQQ993" s="124"/>
      <c r="CQR993" s="124"/>
      <c r="CQS993" s="124"/>
      <c r="CQT993" s="124"/>
      <c r="CQU993" s="124"/>
      <c r="CQV993" s="124"/>
      <c r="CQW993" s="124"/>
      <c r="CQX993" s="124"/>
      <c r="CQY993" s="124"/>
      <c r="CQZ993" s="124"/>
      <c r="CRA993" s="124"/>
      <c r="CRB993" s="124"/>
      <c r="CRC993" s="124"/>
      <c r="CRD993" s="124"/>
      <c r="CRE993" s="124"/>
      <c r="CRF993" s="124"/>
      <c r="CRG993" s="124"/>
      <c r="CRH993" s="124"/>
      <c r="CRI993" s="124"/>
      <c r="CRJ993" s="124"/>
      <c r="CRK993" s="124"/>
      <c r="CRL993" s="124"/>
      <c r="CRM993" s="124"/>
      <c r="CRN993" s="124"/>
      <c r="CRO993" s="124"/>
      <c r="CRP993" s="124"/>
      <c r="CRQ993" s="124"/>
      <c r="CRR993" s="124"/>
      <c r="CRS993" s="124"/>
      <c r="CRT993" s="124"/>
      <c r="CRU993" s="124"/>
      <c r="CRV993" s="124"/>
      <c r="CRW993" s="124"/>
      <c r="CRX993" s="124"/>
      <c r="CRY993" s="124"/>
      <c r="CRZ993" s="124"/>
      <c r="CSA993" s="124"/>
      <c r="CSB993" s="124"/>
      <c r="CSC993" s="124"/>
      <c r="CSD993" s="124"/>
      <c r="CSE993" s="124"/>
      <c r="CSF993" s="124"/>
      <c r="CSG993" s="124"/>
      <c r="CSH993" s="124"/>
      <c r="CSI993" s="124"/>
      <c r="CSJ993" s="124"/>
      <c r="CSK993" s="124"/>
      <c r="CSL993" s="124"/>
      <c r="CSM993" s="124"/>
      <c r="CSN993" s="124"/>
      <c r="CSO993" s="124"/>
      <c r="CSP993" s="124"/>
      <c r="CSQ993" s="124"/>
      <c r="CSR993" s="124"/>
      <c r="CSS993" s="124"/>
      <c r="CST993" s="124"/>
      <c r="CSU993" s="124"/>
      <c r="CSV993" s="124"/>
      <c r="CSW993" s="124"/>
      <c r="CSX993" s="124"/>
      <c r="CSY993" s="124"/>
      <c r="CSZ993" s="124"/>
      <c r="CTA993" s="124"/>
      <c r="CTB993" s="124"/>
      <c r="CTC993" s="124"/>
      <c r="CTD993" s="124"/>
      <c r="CTE993" s="124"/>
      <c r="CTF993" s="124"/>
      <c r="CTG993" s="124"/>
      <c r="CTH993" s="124"/>
      <c r="CTI993" s="124"/>
      <c r="CTJ993" s="124"/>
      <c r="CTK993" s="124"/>
      <c r="CTL993" s="124"/>
      <c r="CTM993" s="124"/>
      <c r="CTN993" s="124"/>
      <c r="CTO993" s="124"/>
      <c r="CTP993" s="124"/>
      <c r="CTQ993" s="124"/>
      <c r="CTR993" s="124"/>
      <c r="CTS993" s="124"/>
      <c r="CTT993" s="124"/>
      <c r="CTU993" s="124"/>
      <c r="CTV993" s="124"/>
      <c r="CTW993" s="124"/>
      <c r="CTX993" s="124"/>
      <c r="CTY993" s="124"/>
      <c r="CTZ993" s="124"/>
      <c r="CUA993" s="124"/>
      <c r="CUB993" s="124"/>
      <c r="CUC993" s="124"/>
      <c r="CUD993" s="124"/>
      <c r="CUE993" s="124"/>
      <c r="CUF993" s="124"/>
      <c r="CUG993" s="124"/>
      <c r="CUH993" s="124"/>
      <c r="CUI993" s="124"/>
      <c r="CUJ993" s="124"/>
      <c r="CUK993" s="124"/>
      <c r="CUL993" s="124"/>
      <c r="CUM993" s="124"/>
      <c r="CUN993" s="124"/>
      <c r="CUO993" s="124"/>
      <c r="CUP993" s="124"/>
      <c r="CUQ993" s="124"/>
      <c r="CUR993" s="124"/>
      <c r="CUS993" s="124"/>
      <c r="CUT993" s="124"/>
      <c r="CUU993" s="124"/>
      <c r="CUV993" s="124"/>
      <c r="CUW993" s="124"/>
      <c r="CUX993" s="124"/>
      <c r="CUY993" s="124"/>
      <c r="CUZ993" s="124"/>
      <c r="CVA993" s="124"/>
      <c r="CVB993" s="124"/>
      <c r="CVC993" s="124"/>
      <c r="CVD993" s="124"/>
      <c r="CVE993" s="124"/>
      <c r="CVF993" s="124"/>
      <c r="CVG993" s="124"/>
      <c r="CVH993" s="124"/>
      <c r="CVI993" s="124"/>
      <c r="CVJ993" s="124"/>
      <c r="CVK993" s="124"/>
      <c r="CVL993" s="124"/>
      <c r="CVM993" s="124"/>
      <c r="CVN993" s="124"/>
      <c r="CVO993" s="124"/>
      <c r="CVP993" s="124"/>
      <c r="CVQ993" s="124"/>
      <c r="CVR993" s="124"/>
      <c r="CVS993" s="124"/>
      <c r="CVT993" s="124"/>
      <c r="CVU993" s="124"/>
      <c r="CVV993" s="124"/>
      <c r="CVW993" s="124"/>
      <c r="CVX993" s="124"/>
      <c r="CVY993" s="124"/>
      <c r="CVZ993" s="124"/>
      <c r="CWA993" s="124"/>
      <c r="CWB993" s="124"/>
      <c r="CWC993" s="124"/>
      <c r="CWD993" s="124"/>
      <c r="CWE993" s="124"/>
      <c r="CWF993" s="124"/>
      <c r="CWG993" s="124"/>
      <c r="CWH993" s="124"/>
      <c r="CWI993" s="124"/>
      <c r="CWJ993" s="124"/>
      <c r="CWK993" s="124"/>
      <c r="CWL993" s="124"/>
      <c r="CWM993" s="124"/>
      <c r="CWN993" s="124"/>
      <c r="CWO993" s="124"/>
      <c r="CWP993" s="124"/>
      <c r="CWQ993" s="124"/>
      <c r="CWR993" s="124"/>
      <c r="CWS993" s="124"/>
      <c r="CWT993" s="124"/>
      <c r="CWU993" s="124"/>
      <c r="CWV993" s="124"/>
      <c r="CWW993" s="124"/>
      <c r="CWX993" s="124"/>
      <c r="CWY993" s="124"/>
      <c r="CWZ993" s="124"/>
      <c r="CXA993" s="124"/>
      <c r="CXB993" s="124"/>
      <c r="CXC993" s="124"/>
      <c r="CXD993" s="124"/>
      <c r="CXE993" s="124"/>
      <c r="CXF993" s="124"/>
      <c r="CXG993" s="124"/>
      <c r="CXH993" s="124"/>
      <c r="CXI993" s="124"/>
      <c r="CXJ993" s="124"/>
      <c r="CXK993" s="124"/>
      <c r="CXL993" s="124"/>
      <c r="CXM993" s="124"/>
      <c r="CXN993" s="124"/>
      <c r="CXO993" s="124"/>
      <c r="CXP993" s="124"/>
      <c r="CXQ993" s="124"/>
      <c r="CXR993" s="124"/>
      <c r="CXS993" s="124"/>
      <c r="CXT993" s="124"/>
      <c r="CXU993" s="124"/>
      <c r="CXV993" s="124"/>
      <c r="CXW993" s="124"/>
      <c r="CXX993" s="124"/>
      <c r="CXY993" s="124"/>
      <c r="CXZ993" s="124"/>
      <c r="CYA993" s="124"/>
      <c r="CYB993" s="124"/>
      <c r="CYC993" s="124"/>
      <c r="CYD993" s="124"/>
      <c r="CYE993" s="124"/>
      <c r="CYF993" s="124"/>
      <c r="CYG993" s="124"/>
      <c r="CYH993" s="124"/>
      <c r="CYI993" s="124"/>
      <c r="CYJ993" s="124"/>
      <c r="CYK993" s="124"/>
      <c r="CYL993" s="124"/>
      <c r="CYM993" s="124"/>
      <c r="CYN993" s="124"/>
      <c r="CYO993" s="124"/>
      <c r="CYP993" s="124"/>
      <c r="CYQ993" s="124"/>
      <c r="CYR993" s="124"/>
      <c r="CYS993" s="124"/>
      <c r="CYT993" s="124"/>
      <c r="CYU993" s="124"/>
      <c r="CYV993" s="124"/>
      <c r="CYW993" s="124"/>
      <c r="CYX993" s="124"/>
      <c r="CYY993" s="124"/>
      <c r="CYZ993" s="124"/>
      <c r="CZA993" s="124"/>
      <c r="CZB993" s="124"/>
      <c r="CZC993" s="124"/>
      <c r="CZD993" s="124"/>
      <c r="CZE993" s="124"/>
      <c r="CZF993" s="124"/>
      <c r="CZG993" s="124"/>
      <c r="CZH993" s="124"/>
      <c r="CZI993" s="124"/>
      <c r="CZJ993" s="124"/>
      <c r="CZK993" s="124"/>
      <c r="CZL993" s="124"/>
      <c r="CZM993" s="124"/>
      <c r="CZN993" s="124"/>
      <c r="CZO993" s="124"/>
      <c r="CZP993" s="124"/>
      <c r="CZQ993" s="124"/>
      <c r="CZR993" s="124"/>
      <c r="CZS993" s="124"/>
      <c r="CZT993" s="124"/>
      <c r="CZU993" s="124"/>
      <c r="CZV993" s="124"/>
      <c r="CZW993" s="124"/>
      <c r="CZX993" s="124"/>
      <c r="CZY993" s="124"/>
      <c r="CZZ993" s="124"/>
      <c r="DAA993" s="124"/>
      <c r="DAB993" s="124"/>
      <c r="DAC993" s="124"/>
      <c r="DAD993" s="124"/>
      <c r="DAE993" s="124"/>
      <c r="DAF993" s="124"/>
      <c r="DAG993" s="124"/>
      <c r="DAH993" s="124"/>
      <c r="DAI993" s="124"/>
      <c r="DAJ993" s="124"/>
      <c r="DAK993" s="124"/>
      <c r="DAL993" s="124"/>
      <c r="DAM993" s="124"/>
      <c r="DAN993" s="124"/>
      <c r="DAO993" s="124"/>
      <c r="DAP993" s="124"/>
      <c r="DAQ993" s="124"/>
      <c r="DAR993" s="124"/>
      <c r="DAS993" s="124"/>
      <c r="DAT993" s="124"/>
      <c r="DAU993" s="124"/>
      <c r="DAV993" s="124"/>
      <c r="DAW993" s="124"/>
      <c r="DAX993" s="124"/>
      <c r="DAY993" s="124"/>
      <c r="DAZ993" s="124"/>
      <c r="DBA993" s="124"/>
      <c r="DBB993" s="124"/>
      <c r="DBC993" s="124"/>
      <c r="DBD993" s="124"/>
      <c r="DBE993" s="124"/>
      <c r="DBF993" s="124"/>
      <c r="DBG993" s="124"/>
      <c r="DBH993" s="124"/>
      <c r="DBI993" s="124"/>
      <c r="DBJ993" s="124"/>
      <c r="DBK993" s="124"/>
      <c r="DBL993" s="124"/>
      <c r="DBM993" s="124"/>
      <c r="DBN993" s="124"/>
      <c r="DBO993" s="124"/>
      <c r="DBP993" s="124"/>
      <c r="DBQ993" s="124"/>
      <c r="DBR993" s="124"/>
      <c r="DBS993" s="124"/>
      <c r="DBT993" s="124"/>
      <c r="DBU993" s="124"/>
      <c r="DBV993" s="124"/>
      <c r="DBW993" s="124"/>
      <c r="DBX993" s="124"/>
      <c r="DBY993" s="124"/>
      <c r="DBZ993" s="124"/>
      <c r="DCA993" s="124"/>
      <c r="DCB993" s="124"/>
      <c r="DCC993" s="124"/>
      <c r="DCD993" s="124"/>
      <c r="DCE993" s="124"/>
      <c r="DCF993" s="124"/>
      <c r="DCG993" s="124"/>
      <c r="DCH993" s="124"/>
      <c r="DCI993" s="124"/>
      <c r="DCJ993" s="124"/>
      <c r="DCK993" s="124"/>
      <c r="DCL993" s="124"/>
      <c r="DCM993" s="124"/>
      <c r="DCN993" s="124"/>
      <c r="DCO993" s="124"/>
      <c r="DCP993" s="124"/>
      <c r="DCQ993" s="124"/>
      <c r="DCR993" s="124"/>
      <c r="DCS993" s="124"/>
      <c r="DCT993" s="124"/>
      <c r="DCU993" s="124"/>
      <c r="DCV993" s="124"/>
      <c r="DCW993" s="124"/>
      <c r="DCX993" s="124"/>
      <c r="DCY993" s="124"/>
      <c r="DCZ993" s="124"/>
      <c r="DDA993" s="124"/>
      <c r="DDB993" s="124"/>
      <c r="DDC993" s="124"/>
      <c r="DDD993" s="124"/>
      <c r="DDE993" s="124"/>
      <c r="DDF993" s="124"/>
      <c r="DDG993" s="124"/>
      <c r="DDH993" s="124"/>
      <c r="DDI993" s="124"/>
      <c r="DDJ993" s="124"/>
      <c r="DDK993" s="124"/>
      <c r="DDL993" s="124"/>
      <c r="DDM993" s="124"/>
      <c r="DDN993" s="124"/>
      <c r="DDO993" s="124"/>
      <c r="DDP993" s="124"/>
      <c r="DDQ993" s="124"/>
      <c r="DDR993" s="124"/>
      <c r="DDS993" s="124"/>
      <c r="DDT993" s="124"/>
      <c r="DDU993" s="124"/>
      <c r="DDV993" s="124"/>
      <c r="DDW993" s="124"/>
      <c r="DDX993" s="124"/>
      <c r="DDY993" s="124"/>
      <c r="DDZ993" s="124"/>
      <c r="DEA993" s="124"/>
      <c r="DEB993" s="124"/>
      <c r="DEC993" s="124"/>
      <c r="DED993" s="124"/>
      <c r="DEE993" s="124"/>
      <c r="DEF993" s="124"/>
      <c r="DEG993" s="124"/>
      <c r="DEH993" s="124"/>
      <c r="DEI993" s="124"/>
      <c r="DEJ993" s="124"/>
      <c r="DEK993" s="124"/>
      <c r="DEL993" s="124"/>
      <c r="DEM993" s="124"/>
      <c r="DEN993" s="124"/>
      <c r="DEO993" s="124"/>
      <c r="DEP993" s="124"/>
      <c r="DEQ993" s="124"/>
      <c r="DER993" s="124"/>
      <c r="DES993" s="124"/>
      <c r="DET993" s="124"/>
      <c r="DEU993" s="124"/>
      <c r="DEV993" s="124"/>
      <c r="DEW993" s="124"/>
      <c r="DEX993" s="124"/>
      <c r="DEY993" s="124"/>
      <c r="DEZ993" s="124"/>
      <c r="DFA993" s="124"/>
      <c r="DFB993" s="124"/>
      <c r="DFC993" s="124"/>
      <c r="DFD993" s="124"/>
      <c r="DFE993" s="124"/>
      <c r="DFF993" s="124"/>
      <c r="DFG993" s="124"/>
      <c r="DFH993" s="124"/>
      <c r="DFI993" s="124"/>
      <c r="DFJ993" s="124"/>
      <c r="DFK993" s="124"/>
      <c r="DFL993" s="124"/>
      <c r="DFM993" s="124"/>
      <c r="DFN993" s="124"/>
      <c r="DFO993" s="124"/>
      <c r="DFP993" s="124"/>
      <c r="DFQ993" s="124"/>
      <c r="DFR993" s="124"/>
      <c r="DFS993" s="124"/>
      <c r="DFT993" s="124"/>
      <c r="DFU993" s="124"/>
      <c r="DFV993" s="124"/>
      <c r="DFW993" s="124"/>
      <c r="DFX993" s="124"/>
      <c r="DFY993" s="124"/>
      <c r="DFZ993" s="124"/>
      <c r="DGA993" s="124"/>
      <c r="DGB993" s="124"/>
      <c r="DGC993" s="124"/>
      <c r="DGD993" s="124"/>
      <c r="DGE993" s="124"/>
      <c r="DGF993" s="124"/>
      <c r="DGG993" s="124"/>
      <c r="DGH993" s="124"/>
      <c r="DGI993" s="124"/>
      <c r="DGJ993" s="124"/>
      <c r="DGK993" s="124"/>
      <c r="DGL993" s="124"/>
      <c r="DGM993" s="124"/>
      <c r="DGN993" s="124"/>
      <c r="DGO993" s="124"/>
      <c r="DGP993" s="124"/>
      <c r="DGQ993" s="124"/>
      <c r="DGR993" s="124"/>
      <c r="DGS993" s="124"/>
      <c r="DGT993" s="124"/>
      <c r="DGU993" s="124"/>
      <c r="DGV993" s="124"/>
      <c r="DGW993" s="124"/>
      <c r="DGX993" s="124"/>
      <c r="DGY993" s="124"/>
      <c r="DGZ993" s="124"/>
      <c r="DHA993" s="124"/>
      <c r="DHB993" s="124"/>
      <c r="DHC993" s="124"/>
      <c r="DHD993" s="124"/>
      <c r="DHE993" s="124"/>
      <c r="DHF993" s="124"/>
      <c r="DHG993" s="124"/>
      <c r="DHH993" s="124"/>
      <c r="DHI993" s="124"/>
      <c r="DHJ993" s="124"/>
      <c r="DHK993" s="124"/>
      <c r="DHL993" s="124"/>
      <c r="DHM993" s="124"/>
      <c r="DHN993" s="124"/>
      <c r="DHO993" s="124"/>
      <c r="DHP993" s="124"/>
      <c r="DHQ993" s="124"/>
      <c r="DHR993" s="124"/>
      <c r="DHS993" s="124"/>
      <c r="DHT993" s="124"/>
      <c r="DHU993" s="124"/>
      <c r="DHV993" s="124"/>
      <c r="DHW993" s="124"/>
      <c r="DHX993" s="124"/>
      <c r="DHY993" s="124"/>
      <c r="DHZ993" s="124"/>
      <c r="DIA993" s="124"/>
      <c r="DIB993" s="124"/>
      <c r="DIC993" s="124"/>
      <c r="DID993" s="124"/>
      <c r="DIE993" s="124"/>
      <c r="DIF993" s="124"/>
      <c r="DIG993" s="124"/>
      <c r="DIH993" s="124"/>
      <c r="DII993" s="124"/>
      <c r="DIJ993" s="124"/>
      <c r="DIK993" s="124"/>
      <c r="DIL993" s="124"/>
      <c r="DIM993" s="124"/>
      <c r="DIN993" s="124"/>
      <c r="DIO993" s="124"/>
      <c r="DIP993" s="124"/>
      <c r="DIQ993" s="124"/>
      <c r="DIR993" s="124"/>
      <c r="DIS993" s="124"/>
      <c r="DIT993" s="124"/>
      <c r="DIU993" s="124"/>
      <c r="DIV993" s="124"/>
      <c r="DIW993" s="124"/>
      <c r="DIX993" s="124"/>
      <c r="DIY993" s="124"/>
      <c r="DIZ993" s="124"/>
      <c r="DJA993" s="124"/>
      <c r="DJB993" s="124"/>
      <c r="DJC993" s="124"/>
      <c r="DJD993" s="124"/>
      <c r="DJE993" s="124"/>
      <c r="DJF993" s="124"/>
      <c r="DJG993" s="124"/>
      <c r="DJH993" s="124"/>
      <c r="DJI993" s="124"/>
      <c r="DJJ993" s="124"/>
      <c r="DJK993" s="124"/>
      <c r="DJL993" s="124"/>
      <c r="DJM993" s="124"/>
      <c r="DJN993" s="124"/>
      <c r="DJO993" s="124"/>
      <c r="DJP993" s="124"/>
      <c r="DJQ993" s="124"/>
      <c r="DJR993" s="124"/>
      <c r="DJS993" s="124"/>
      <c r="DJT993" s="124"/>
      <c r="DJU993" s="124"/>
      <c r="DJV993" s="124"/>
      <c r="DJW993" s="124"/>
      <c r="DJX993" s="124"/>
      <c r="DJY993" s="124"/>
      <c r="DJZ993" s="124"/>
      <c r="DKA993" s="124"/>
      <c r="DKB993" s="124"/>
      <c r="DKC993" s="124"/>
      <c r="DKD993" s="124"/>
      <c r="DKE993" s="124"/>
      <c r="DKF993" s="124"/>
      <c r="DKG993" s="124"/>
      <c r="DKH993" s="124"/>
      <c r="DKI993" s="124"/>
      <c r="DKJ993" s="124"/>
      <c r="DKK993" s="124"/>
      <c r="DKL993" s="124"/>
      <c r="DKM993" s="124"/>
      <c r="DKN993" s="124"/>
      <c r="DKO993" s="124"/>
      <c r="DKP993" s="124"/>
      <c r="DKQ993" s="124"/>
      <c r="DKR993" s="124"/>
      <c r="DKS993" s="124"/>
      <c r="DKT993" s="124"/>
      <c r="DKU993" s="124"/>
      <c r="DKV993" s="124"/>
      <c r="DKW993" s="124"/>
      <c r="DKX993" s="124"/>
      <c r="DKY993" s="124"/>
      <c r="DKZ993" s="124"/>
      <c r="DLA993" s="124"/>
      <c r="DLB993" s="124"/>
      <c r="DLC993" s="124"/>
      <c r="DLD993" s="124"/>
      <c r="DLE993" s="124"/>
      <c r="DLF993" s="124"/>
      <c r="DLG993" s="124"/>
      <c r="DLH993" s="124"/>
      <c r="DLI993" s="124"/>
      <c r="DLJ993" s="124"/>
      <c r="DLK993" s="124"/>
      <c r="DLL993" s="124"/>
      <c r="DLM993" s="124"/>
      <c r="DLN993" s="124"/>
      <c r="DLO993" s="124"/>
      <c r="DLP993" s="124"/>
      <c r="DLQ993" s="124"/>
      <c r="DLR993" s="124"/>
      <c r="DLS993" s="124"/>
      <c r="DLT993" s="124"/>
      <c r="DLU993" s="124"/>
      <c r="DLV993" s="124"/>
      <c r="DLW993" s="124"/>
      <c r="DLX993" s="124"/>
      <c r="DLY993" s="124"/>
      <c r="DLZ993" s="124"/>
      <c r="DMA993" s="124"/>
      <c r="DMB993" s="124"/>
      <c r="DMC993" s="124"/>
      <c r="DMD993" s="124"/>
      <c r="DME993" s="124"/>
      <c r="DMF993" s="124"/>
      <c r="DMG993" s="124"/>
      <c r="DMH993" s="124"/>
      <c r="DMI993" s="124"/>
      <c r="DMJ993" s="124"/>
      <c r="DMK993" s="124"/>
      <c r="DML993" s="124"/>
      <c r="DMM993" s="124"/>
      <c r="DMN993" s="124"/>
      <c r="DMO993" s="124"/>
      <c r="DMP993" s="124"/>
      <c r="DMQ993" s="124"/>
      <c r="DMR993" s="124"/>
      <c r="DMS993" s="124"/>
      <c r="DMT993" s="124"/>
      <c r="DMU993" s="124"/>
      <c r="DMV993" s="124"/>
      <c r="DMW993" s="124"/>
      <c r="DMX993" s="124"/>
      <c r="DMY993" s="124"/>
      <c r="DMZ993" s="124"/>
      <c r="DNA993" s="124"/>
      <c r="DNB993" s="124"/>
      <c r="DNC993" s="124"/>
      <c r="DND993" s="124"/>
      <c r="DNE993" s="124"/>
      <c r="DNF993" s="124"/>
      <c r="DNG993" s="124"/>
      <c r="DNH993" s="124"/>
      <c r="DNI993" s="124"/>
      <c r="DNJ993" s="124"/>
      <c r="DNK993" s="124"/>
      <c r="DNL993" s="124"/>
      <c r="DNM993" s="124"/>
      <c r="DNN993" s="124"/>
      <c r="DNO993" s="124"/>
      <c r="DNP993" s="124"/>
      <c r="DNQ993" s="124"/>
      <c r="DNR993" s="124"/>
      <c r="DNS993" s="124"/>
      <c r="DNT993" s="124"/>
      <c r="DNU993" s="124"/>
      <c r="DNV993" s="124"/>
      <c r="DNW993" s="124"/>
      <c r="DNX993" s="124"/>
      <c r="DNY993" s="124"/>
      <c r="DNZ993" s="124"/>
      <c r="DOA993" s="124"/>
      <c r="DOB993" s="124"/>
      <c r="DOC993" s="124"/>
      <c r="DOD993" s="124"/>
      <c r="DOE993" s="124"/>
      <c r="DOF993" s="124"/>
      <c r="DOG993" s="124"/>
      <c r="DOH993" s="124"/>
      <c r="DOI993" s="124"/>
      <c r="DOJ993" s="124"/>
      <c r="DOK993" s="124"/>
      <c r="DOL993" s="124"/>
      <c r="DOM993" s="124"/>
      <c r="DON993" s="124"/>
      <c r="DOO993" s="124"/>
      <c r="DOP993" s="124"/>
      <c r="DOQ993" s="124"/>
      <c r="DOR993" s="124"/>
      <c r="DOS993" s="124"/>
      <c r="DOT993" s="124"/>
      <c r="DOU993" s="124"/>
      <c r="DOV993" s="124"/>
      <c r="DOW993" s="124"/>
      <c r="DOX993" s="124"/>
      <c r="DOY993" s="124"/>
      <c r="DOZ993" s="124"/>
      <c r="DPA993" s="124"/>
      <c r="DPB993" s="124"/>
      <c r="DPC993" s="124"/>
      <c r="DPD993" s="124"/>
      <c r="DPE993" s="124"/>
      <c r="DPF993" s="124"/>
      <c r="DPG993" s="124"/>
      <c r="DPH993" s="124"/>
      <c r="DPI993" s="124"/>
      <c r="DPJ993" s="124"/>
      <c r="DPK993" s="124"/>
      <c r="DPL993" s="124"/>
      <c r="DPM993" s="124"/>
      <c r="DPN993" s="124"/>
      <c r="DPO993" s="124"/>
      <c r="DPP993" s="124"/>
      <c r="DPQ993" s="124"/>
      <c r="DPR993" s="124"/>
      <c r="DPS993" s="124"/>
      <c r="DPT993" s="124"/>
      <c r="DPU993" s="124"/>
      <c r="DPV993" s="124"/>
      <c r="DPW993" s="124"/>
      <c r="DPX993" s="124"/>
      <c r="DPY993" s="124"/>
      <c r="DPZ993" s="124"/>
      <c r="DQA993" s="124"/>
      <c r="DQB993" s="124"/>
      <c r="DQC993" s="124"/>
      <c r="DQD993" s="124"/>
      <c r="DQE993" s="124"/>
      <c r="DQF993" s="124"/>
      <c r="DQG993" s="124"/>
      <c r="DQH993" s="124"/>
      <c r="DQI993" s="124"/>
      <c r="DQJ993" s="124"/>
      <c r="DQK993" s="124"/>
      <c r="DQL993" s="124"/>
      <c r="DQM993" s="124"/>
      <c r="DQN993" s="124"/>
      <c r="DQO993" s="124"/>
      <c r="DQP993" s="124"/>
      <c r="DQQ993" s="124"/>
      <c r="DQR993" s="124"/>
      <c r="DQS993" s="124"/>
      <c r="DQT993" s="124"/>
      <c r="DQU993" s="124"/>
      <c r="DQV993" s="124"/>
      <c r="DQW993" s="124"/>
      <c r="DQX993" s="124"/>
      <c r="DQY993" s="124"/>
      <c r="DQZ993" s="124"/>
      <c r="DRA993" s="124"/>
      <c r="DRB993" s="124"/>
      <c r="DRC993" s="124"/>
      <c r="DRD993" s="124"/>
      <c r="DRE993" s="124"/>
      <c r="DRF993" s="124"/>
      <c r="DRG993" s="124"/>
      <c r="DRH993" s="124"/>
      <c r="DRI993" s="124"/>
      <c r="DRJ993" s="124"/>
      <c r="DRK993" s="124"/>
      <c r="DRL993" s="124"/>
      <c r="DRM993" s="124"/>
      <c r="DRN993" s="124"/>
      <c r="DRO993" s="124"/>
      <c r="DRP993" s="124"/>
      <c r="DRQ993" s="124"/>
      <c r="DRR993" s="124"/>
      <c r="DRS993" s="124"/>
      <c r="DRT993" s="124"/>
      <c r="DRU993" s="124"/>
      <c r="DRV993" s="124"/>
      <c r="DRW993" s="124"/>
      <c r="DRX993" s="124"/>
      <c r="DRY993" s="124"/>
      <c r="DRZ993" s="124"/>
      <c r="DSA993" s="124"/>
      <c r="DSB993" s="124"/>
      <c r="DSC993" s="124"/>
      <c r="DSD993" s="124"/>
      <c r="DSE993" s="124"/>
      <c r="DSF993" s="124"/>
      <c r="DSG993" s="124"/>
      <c r="DSH993" s="124"/>
      <c r="DSI993" s="124"/>
      <c r="DSJ993" s="124"/>
      <c r="DSK993" s="124"/>
      <c r="DSL993" s="124"/>
      <c r="DSM993" s="124"/>
      <c r="DSN993" s="124"/>
      <c r="DSO993" s="124"/>
      <c r="DSP993" s="124"/>
      <c r="DSQ993" s="124"/>
      <c r="DSR993" s="124"/>
      <c r="DSS993" s="124"/>
      <c r="DST993" s="124"/>
      <c r="DSU993" s="124"/>
      <c r="DSV993" s="124"/>
      <c r="DSW993" s="124"/>
      <c r="DSX993" s="124"/>
      <c r="DSY993" s="124"/>
      <c r="DSZ993" s="124"/>
      <c r="DTA993" s="124"/>
      <c r="DTB993" s="124"/>
      <c r="DTC993" s="124"/>
      <c r="DTD993" s="124"/>
      <c r="DTE993" s="124"/>
      <c r="DTF993" s="124"/>
      <c r="DTG993" s="124"/>
      <c r="DTH993" s="124"/>
      <c r="DTI993" s="124"/>
      <c r="DTJ993" s="124"/>
      <c r="DTK993" s="124"/>
      <c r="DTL993" s="124"/>
      <c r="DTM993" s="124"/>
      <c r="DTN993" s="124"/>
      <c r="DTO993" s="124"/>
      <c r="DTP993" s="124"/>
      <c r="DTQ993" s="124"/>
      <c r="DTR993" s="124"/>
      <c r="DTS993" s="124"/>
      <c r="DTT993" s="124"/>
      <c r="DTU993" s="124"/>
      <c r="DTV993" s="124"/>
      <c r="DTW993" s="124"/>
      <c r="DTX993" s="124"/>
      <c r="DTY993" s="124"/>
      <c r="DTZ993" s="124"/>
      <c r="DUA993" s="124"/>
      <c r="DUB993" s="124"/>
      <c r="DUC993" s="124"/>
      <c r="DUD993" s="124"/>
      <c r="DUE993" s="124"/>
      <c r="DUF993" s="124"/>
      <c r="DUG993" s="124"/>
      <c r="DUH993" s="124"/>
      <c r="DUI993" s="124"/>
      <c r="DUJ993" s="124"/>
      <c r="DUK993" s="124"/>
      <c r="DUL993" s="124"/>
      <c r="DUM993" s="124"/>
      <c r="DUN993" s="124"/>
      <c r="DUO993" s="124"/>
      <c r="DUP993" s="124"/>
      <c r="DUQ993" s="124"/>
      <c r="DUR993" s="124"/>
      <c r="DUS993" s="124"/>
      <c r="DUT993" s="124"/>
      <c r="DUU993" s="124"/>
      <c r="DUV993" s="124"/>
      <c r="DUW993" s="124"/>
      <c r="DUX993" s="124"/>
      <c r="DUY993" s="124"/>
      <c r="DUZ993" s="124"/>
      <c r="DVA993" s="124"/>
      <c r="DVB993" s="124"/>
      <c r="DVC993" s="124"/>
      <c r="DVD993" s="124"/>
      <c r="DVE993" s="124"/>
      <c r="DVF993" s="124"/>
      <c r="DVG993" s="124"/>
      <c r="DVH993" s="124"/>
      <c r="DVI993" s="124"/>
      <c r="DVJ993" s="124"/>
      <c r="DVK993" s="124"/>
      <c r="DVL993" s="124"/>
      <c r="DVM993" s="124"/>
      <c r="DVN993" s="124"/>
      <c r="DVO993" s="124"/>
      <c r="DVP993" s="124"/>
      <c r="DVQ993" s="124"/>
      <c r="DVR993" s="124"/>
      <c r="DVS993" s="124"/>
      <c r="DVT993" s="124"/>
      <c r="DVU993" s="124"/>
      <c r="DVV993" s="124"/>
      <c r="DVW993" s="124"/>
      <c r="DVX993" s="124"/>
      <c r="DVY993" s="124"/>
      <c r="DVZ993" s="124"/>
      <c r="DWA993" s="124"/>
      <c r="DWB993" s="124"/>
      <c r="DWC993" s="124"/>
      <c r="DWD993" s="124"/>
      <c r="DWE993" s="124"/>
      <c r="DWF993" s="124"/>
      <c r="DWG993" s="124"/>
      <c r="DWH993" s="124"/>
      <c r="DWI993" s="124"/>
      <c r="DWJ993" s="124"/>
      <c r="DWK993" s="124"/>
      <c r="DWL993" s="124"/>
      <c r="DWM993" s="124"/>
      <c r="DWN993" s="124"/>
      <c r="DWO993" s="124"/>
      <c r="DWP993" s="124"/>
      <c r="DWQ993" s="124"/>
      <c r="DWR993" s="124"/>
      <c r="DWS993" s="124"/>
      <c r="DWT993" s="124"/>
      <c r="DWU993" s="124"/>
      <c r="DWV993" s="124"/>
      <c r="DWW993" s="124"/>
      <c r="DWX993" s="124"/>
      <c r="DWY993" s="124"/>
      <c r="DWZ993" s="124"/>
      <c r="DXA993" s="124"/>
      <c r="DXB993" s="124"/>
      <c r="DXC993" s="124"/>
      <c r="DXD993" s="124"/>
      <c r="DXE993" s="124"/>
      <c r="DXF993" s="124"/>
      <c r="DXG993" s="124"/>
      <c r="DXH993" s="124"/>
      <c r="DXI993" s="124"/>
      <c r="DXJ993" s="124"/>
      <c r="DXK993" s="124"/>
      <c r="DXL993" s="124"/>
      <c r="DXM993" s="124"/>
      <c r="DXN993" s="124"/>
      <c r="DXO993" s="124"/>
      <c r="DXP993" s="124"/>
      <c r="DXQ993" s="124"/>
      <c r="DXR993" s="124"/>
      <c r="DXS993" s="124"/>
      <c r="DXT993" s="124"/>
      <c r="DXU993" s="124"/>
      <c r="DXV993" s="124"/>
      <c r="DXW993" s="124"/>
      <c r="DXX993" s="124"/>
      <c r="DXY993" s="124"/>
      <c r="DXZ993" s="124"/>
      <c r="DYA993" s="124"/>
      <c r="DYB993" s="124"/>
      <c r="DYC993" s="124"/>
      <c r="DYD993" s="124"/>
      <c r="DYE993" s="124"/>
      <c r="DYF993" s="124"/>
      <c r="DYG993" s="124"/>
      <c r="DYH993" s="124"/>
      <c r="DYI993" s="124"/>
      <c r="DYJ993" s="124"/>
      <c r="DYK993" s="124"/>
      <c r="DYL993" s="124"/>
      <c r="DYM993" s="124"/>
      <c r="DYN993" s="124"/>
      <c r="DYO993" s="124"/>
      <c r="DYP993" s="124"/>
      <c r="DYQ993" s="124"/>
      <c r="DYR993" s="124"/>
      <c r="DYS993" s="124"/>
      <c r="DYT993" s="124"/>
      <c r="DYU993" s="124"/>
      <c r="DYV993" s="124"/>
      <c r="DYW993" s="124"/>
      <c r="DYX993" s="124"/>
      <c r="DYY993" s="124"/>
      <c r="DYZ993" s="124"/>
      <c r="DZA993" s="124"/>
      <c r="DZB993" s="124"/>
      <c r="DZC993" s="124"/>
      <c r="DZD993" s="124"/>
      <c r="DZE993" s="124"/>
      <c r="DZF993" s="124"/>
      <c r="DZG993" s="124"/>
      <c r="DZH993" s="124"/>
      <c r="DZI993" s="124"/>
      <c r="DZJ993" s="124"/>
      <c r="DZK993" s="124"/>
      <c r="DZL993" s="124"/>
      <c r="DZM993" s="124"/>
      <c r="DZN993" s="124"/>
      <c r="DZO993" s="124"/>
      <c r="DZP993" s="124"/>
      <c r="DZQ993" s="124"/>
      <c r="DZR993" s="124"/>
      <c r="DZS993" s="124"/>
      <c r="DZT993" s="124"/>
      <c r="DZU993" s="124"/>
      <c r="DZV993" s="124"/>
      <c r="DZW993" s="124"/>
      <c r="DZX993" s="124"/>
      <c r="DZY993" s="124"/>
      <c r="DZZ993" s="124"/>
      <c r="EAA993" s="124"/>
      <c r="EAB993" s="124"/>
      <c r="EAC993" s="124"/>
      <c r="EAD993" s="124"/>
      <c r="EAE993" s="124"/>
      <c r="EAF993" s="124"/>
      <c r="EAG993" s="124"/>
      <c r="EAH993" s="124"/>
      <c r="EAI993" s="124"/>
      <c r="EAJ993" s="124"/>
      <c r="EAK993" s="124"/>
      <c r="EAL993" s="124"/>
      <c r="EAM993" s="124"/>
      <c r="EAN993" s="124"/>
      <c r="EAO993" s="124"/>
      <c r="EAP993" s="124"/>
      <c r="EAQ993" s="124"/>
      <c r="EAR993" s="124"/>
      <c r="EAS993" s="124"/>
      <c r="EAT993" s="124"/>
      <c r="EAU993" s="124"/>
      <c r="EAV993" s="124"/>
      <c r="EAW993" s="124"/>
      <c r="EAX993" s="124"/>
      <c r="EAY993" s="124"/>
      <c r="EAZ993" s="124"/>
      <c r="EBA993" s="124"/>
      <c r="EBB993" s="124"/>
      <c r="EBC993" s="124"/>
      <c r="EBD993" s="124"/>
      <c r="EBE993" s="124"/>
      <c r="EBF993" s="124"/>
      <c r="EBG993" s="124"/>
      <c r="EBH993" s="124"/>
      <c r="EBI993" s="124"/>
      <c r="EBJ993" s="124"/>
      <c r="EBK993" s="124"/>
      <c r="EBL993" s="124"/>
      <c r="EBM993" s="124"/>
      <c r="EBN993" s="124"/>
      <c r="EBO993" s="124"/>
      <c r="EBP993" s="124"/>
      <c r="EBQ993" s="124"/>
      <c r="EBR993" s="124"/>
      <c r="EBS993" s="124"/>
      <c r="EBT993" s="124"/>
      <c r="EBU993" s="124"/>
      <c r="EBV993" s="124"/>
      <c r="EBW993" s="124"/>
      <c r="EBX993" s="124"/>
      <c r="EBY993" s="124"/>
      <c r="EBZ993" s="124"/>
      <c r="ECA993" s="124"/>
      <c r="ECB993" s="124"/>
      <c r="ECC993" s="124"/>
      <c r="ECD993" s="124"/>
      <c r="ECE993" s="124"/>
      <c r="ECF993" s="124"/>
      <c r="ECG993" s="124"/>
      <c r="ECH993" s="124"/>
      <c r="ECI993" s="124"/>
      <c r="ECJ993" s="124"/>
      <c r="ECK993" s="124"/>
      <c r="ECL993" s="124"/>
      <c r="ECM993" s="124"/>
      <c r="ECN993" s="124"/>
      <c r="ECO993" s="124"/>
      <c r="ECP993" s="124"/>
      <c r="ECQ993" s="124"/>
      <c r="ECR993" s="124"/>
      <c r="ECS993" s="124"/>
      <c r="ECT993" s="124"/>
      <c r="ECU993" s="124"/>
      <c r="ECV993" s="124"/>
      <c r="ECW993" s="124"/>
      <c r="ECX993" s="124"/>
      <c r="ECY993" s="124"/>
      <c r="ECZ993" s="124"/>
      <c r="EDA993" s="124"/>
      <c r="EDB993" s="124"/>
      <c r="EDC993" s="124"/>
      <c r="EDD993" s="124"/>
      <c r="EDE993" s="124"/>
      <c r="EDF993" s="124"/>
      <c r="EDG993" s="124"/>
      <c r="EDH993" s="124"/>
      <c r="EDI993" s="124"/>
      <c r="EDJ993" s="124"/>
      <c r="EDK993" s="124"/>
      <c r="EDL993" s="124"/>
      <c r="EDM993" s="124"/>
      <c r="EDN993" s="124"/>
      <c r="EDO993" s="124"/>
      <c r="EDP993" s="124"/>
      <c r="EDQ993" s="124"/>
      <c r="EDR993" s="124"/>
      <c r="EDS993" s="124"/>
      <c r="EDT993" s="124"/>
      <c r="EDU993" s="124"/>
      <c r="EDV993" s="124"/>
      <c r="EDW993" s="124"/>
      <c r="EDX993" s="124"/>
      <c r="EDY993" s="124"/>
      <c r="EDZ993" s="124"/>
      <c r="EEA993" s="124"/>
      <c r="EEB993" s="124"/>
      <c r="EEC993" s="124"/>
      <c r="EED993" s="124"/>
      <c r="EEE993" s="124"/>
      <c r="EEF993" s="124"/>
      <c r="EEG993" s="124"/>
      <c r="EEH993" s="124"/>
      <c r="EEI993" s="124"/>
      <c r="EEJ993" s="124"/>
      <c r="EEK993" s="124"/>
      <c r="EEL993" s="124"/>
      <c r="EEM993" s="124"/>
      <c r="EEN993" s="124"/>
      <c r="EEO993" s="124"/>
      <c r="EEP993" s="124"/>
      <c r="EEQ993" s="124"/>
      <c r="EER993" s="124"/>
      <c r="EES993" s="124"/>
      <c r="EET993" s="124"/>
      <c r="EEU993" s="124"/>
      <c r="EEV993" s="124"/>
      <c r="EEW993" s="124"/>
      <c r="EEX993" s="124"/>
      <c r="EEY993" s="124"/>
      <c r="EEZ993" s="124"/>
      <c r="EFA993" s="124"/>
      <c r="EFB993" s="124"/>
      <c r="EFC993" s="124"/>
      <c r="EFD993" s="124"/>
      <c r="EFE993" s="124"/>
      <c r="EFF993" s="124"/>
      <c r="EFG993" s="124"/>
      <c r="EFH993" s="124"/>
      <c r="EFI993" s="124"/>
      <c r="EFJ993" s="124"/>
      <c r="EFK993" s="124"/>
      <c r="EFL993" s="124"/>
      <c r="EFM993" s="124"/>
      <c r="EFN993" s="124"/>
      <c r="EFO993" s="124"/>
      <c r="EFP993" s="124"/>
      <c r="EFQ993" s="124"/>
      <c r="EFR993" s="124"/>
      <c r="EFS993" s="124"/>
      <c r="EFT993" s="124"/>
      <c r="EFU993" s="124"/>
      <c r="EFV993" s="124"/>
      <c r="EFW993" s="124"/>
      <c r="EFX993" s="124"/>
      <c r="EFY993" s="124"/>
      <c r="EFZ993" s="124"/>
      <c r="EGA993" s="124"/>
      <c r="EGB993" s="124"/>
      <c r="EGC993" s="124"/>
      <c r="EGD993" s="124"/>
      <c r="EGE993" s="124"/>
      <c r="EGF993" s="124"/>
      <c r="EGG993" s="124"/>
      <c r="EGH993" s="124"/>
      <c r="EGI993" s="124"/>
      <c r="EGJ993" s="124"/>
      <c r="EGK993" s="124"/>
      <c r="EGL993" s="124"/>
      <c r="EGM993" s="124"/>
      <c r="EGN993" s="124"/>
      <c r="EGO993" s="124"/>
      <c r="EGP993" s="124"/>
      <c r="EGQ993" s="124"/>
      <c r="EGR993" s="124"/>
      <c r="EGS993" s="124"/>
      <c r="EGT993" s="124"/>
      <c r="EGU993" s="124"/>
      <c r="EGV993" s="124"/>
      <c r="EGW993" s="124"/>
      <c r="EGX993" s="124"/>
      <c r="EGY993" s="124"/>
      <c r="EGZ993" s="124"/>
      <c r="EHA993" s="124"/>
      <c r="EHB993" s="124"/>
      <c r="EHC993" s="124"/>
      <c r="EHD993" s="124"/>
      <c r="EHE993" s="124"/>
      <c r="EHF993" s="124"/>
      <c r="EHG993" s="124"/>
      <c r="EHH993" s="124"/>
      <c r="EHI993" s="124"/>
      <c r="EHJ993" s="124"/>
      <c r="EHK993" s="124"/>
      <c r="EHL993" s="124"/>
      <c r="EHM993" s="124"/>
      <c r="EHN993" s="124"/>
      <c r="EHO993" s="124"/>
      <c r="EHP993" s="124"/>
      <c r="EHQ993" s="124"/>
      <c r="EHR993" s="124"/>
      <c r="EHS993" s="124"/>
      <c r="EHT993" s="124"/>
      <c r="EHU993" s="124"/>
      <c r="EHV993" s="124"/>
      <c r="EHW993" s="124"/>
      <c r="EHX993" s="124"/>
      <c r="EHY993" s="124"/>
      <c r="EHZ993" s="124"/>
      <c r="EIA993" s="124"/>
      <c r="EIB993" s="124"/>
      <c r="EIC993" s="124"/>
      <c r="EID993" s="124"/>
      <c r="EIE993" s="124"/>
      <c r="EIF993" s="124"/>
      <c r="EIG993" s="124"/>
      <c r="EIH993" s="124"/>
      <c r="EII993" s="124"/>
      <c r="EIJ993" s="124"/>
      <c r="EIK993" s="124"/>
      <c r="EIL993" s="124"/>
      <c r="EIM993" s="124"/>
      <c r="EIN993" s="124"/>
      <c r="EIO993" s="124"/>
      <c r="EIP993" s="124"/>
      <c r="EIQ993" s="124"/>
      <c r="EIR993" s="124"/>
      <c r="EIS993" s="124"/>
      <c r="EIT993" s="124"/>
      <c r="EIU993" s="124"/>
      <c r="EIV993" s="124"/>
      <c r="EIW993" s="124"/>
      <c r="EIX993" s="124"/>
      <c r="EIY993" s="124"/>
      <c r="EIZ993" s="124"/>
      <c r="EJA993" s="124"/>
      <c r="EJB993" s="124"/>
      <c r="EJC993" s="124"/>
      <c r="EJD993" s="124"/>
      <c r="EJE993" s="124"/>
      <c r="EJF993" s="124"/>
      <c r="EJG993" s="124"/>
      <c r="EJH993" s="124"/>
      <c r="EJI993" s="124"/>
      <c r="EJJ993" s="124"/>
      <c r="EJK993" s="124"/>
      <c r="EJL993" s="124"/>
      <c r="EJM993" s="124"/>
      <c r="EJN993" s="124"/>
      <c r="EJO993" s="124"/>
      <c r="EJP993" s="124"/>
      <c r="EJQ993" s="124"/>
      <c r="EJR993" s="124"/>
      <c r="EJS993" s="124"/>
      <c r="EJT993" s="124"/>
      <c r="EJU993" s="124"/>
      <c r="EJV993" s="124"/>
      <c r="EJW993" s="124"/>
      <c r="EJX993" s="124"/>
      <c r="EJY993" s="124"/>
      <c r="EJZ993" s="124"/>
      <c r="EKA993" s="124"/>
      <c r="EKB993" s="124"/>
      <c r="EKC993" s="124"/>
      <c r="EKD993" s="124"/>
      <c r="EKE993" s="124"/>
      <c r="EKF993" s="124"/>
      <c r="EKG993" s="124"/>
      <c r="EKH993" s="124"/>
      <c r="EKI993" s="124"/>
      <c r="EKJ993" s="124"/>
      <c r="EKK993" s="124"/>
      <c r="EKL993" s="124"/>
      <c r="EKM993" s="124"/>
      <c r="EKN993" s="124"/>
      <c r="EKO993" s="124"/>
      <c r="EKP993" s="124"/>
      <c r="EKQ993" s="124"/>
      <c r="EKR993" s="124"/>
      <c r="EKS993" s="124"/>
      <c r="EKT993" s="124"/>
      <c r="EKU993" s="124"/>
      <c r="EKV993" s="124"/>
      <c r="EKW993" s="124"/>
      <c r="EKX993" s="124"/>
      <c r="EKY993" s="124"/>
      <c r="EKZ993" s="124"/>
      <c r="ELA993" s="124"/>
      <c r="ELB993" s="124"/>
      <c r="ELC993" s="124"/>
      <c r="ELD993" s="124"/>
      <c r="ELE993" s="124"/>
      <c r="ELF993" s="124"/>
      <c r="ELG993" s="124"/>
      <c r="ELH993" s="124"/>
      <c r="ELI993" s="124"/>
      <c r="ELJ993" s="124"/>
      <c r="ELK993" s="124"/>
      <c r="ELL993" s="124"/>
      <c r="ELM993" s="124"/>
      <c r="ELN993" s="124"/>
      <c r="ELO993" s="124"/>
      <c r="ELP993" s="124"/>
      <c r="ELQ993" s="124"/>
      <c r="ELR993" s="124"/>
      <c r="ELS993" s="124"/>
      <c r="ELT993" s="124"/>
      <c r="ELU993" s="124"/>
      <c r="ELV993" s="124"/>
      <c r="ELW993" s="124"/>
      <c r="ELX993" s="124"/>
      <c r="ELY993" s="124"/>
      <c r="ELZ993" s="124"/>
      <c r="EMA993" s="124"/>
      <c r="EMB993" s="124"/>
      <c r="EMC993" s="124"/>
      <c r="EMD993" s="124"/>
      <c r="EME993" s="124"/>
      <c r="EMF993" s="124"/>
      <c r="EMG993" s="124"/>
      <c r="EMH993" s="124"/>
      <c r="EMI993" s="124"/>
      <c r="EMJ993" s="124"/>
      <c r="EMK993" s="124"/>
      <c r="EML993" s="124"/>
      <c r="EMM993" s="124"/>
      <c r="EMN993" s="124"/>
      <c r="EMO993" s="124"/>
      <c r="EMP993" s="124"/>
      <c r="EMQ993" s="124"/>
      <c r="EMR993" s="124"/>
      <c r="EMS993" s="124"/>
      <c r="EMT993" s="124"/>
      <c r="EMU993" s="124"/>
      <c r="EMV993" s="124"/>
      <c r="EMW993" s="124"/>
      <c r="EMX993" s="124"/>
      <c r="EMY993" s="124"/>
      <c r="EMZ993" s="124"/>
      <c r="ENA993" s="124"/>
      <c r="ENB993" s="124"/>
      <c r="ENC993" s="124"/>
      <c r="END993" s="124"/>
      <c r="ENE993" s="124"/>
      <c r="ENF993" s="124"/>
      <c r="ENG993" s="124"/>
      <c r="ENH993" s="124"/>
      <c r="ENI993" s="124"/>
      <c r="ENJ993" s="124"/>
      <c r="ENK993" s="124"/>
      <c r="ENL993" s="124"/>
      <c r="ENM993" s="124"/>
      <c r="ENN993" s="124"/>
      <c r="ENO993" s="124"/>
      <c r="ENP993" s="124"/>
      <c r="ENQ993" s="124"/>
      <c r="ENR993" s="124"/>
      <c r="ENS993" s="124"/>
      <c r="ENT993" s="124"/>
      <c r="ENU993" s="124"/>
      <c r="ENV993" s="124"/>
      <c r="ENW993" s="124"/>
      <c r="ENX993" s="124"/>
      <c r="ENY993" s="124"/>
      <c r="ENZ993" s="124"/>
      <c r="EOA993" s="124"/>
      <c r="EOB993" s="124"/>
      <c r="EOC993" s="124"/>
      <c r="EOD993" s="124"/>
      <c r="EOE993" s="124"/>
      <c r="EOF993" s="124"/>
      <c r="EOG993" s="124"/>
      <c r="EOH993" s="124"/>
      <c r="EOI993" s="124"/>
      <c r="EOJ993" s="124"/>
      <c r="EOK993" s="124"/>
      <c r="EOL993" s="124"/>
      <c r="EOM993" s="124"/>
      <c r="EON993" s="124"/>
      <c r="EOO993" s="124"/>
      <c r="EOP993" s="124"/>
      <c r="EOQ993" s="124"/>
      <c r="EOR993" s="124"/>
      <c r="EOS993" s="124"/>
      <c r="EOT993" s="124"/>
      <c r="EOU993" s="124"/>
      <c r="EOV993" s="124"/>
      <c r="EOW993" s="124"/>
      <c r="EOX993" s="124"/>
      <c r="EOY993" s="124"/>
      <c r="EOZ993" s="124"/>
      <c r="EPA993" s="124"/>
      <c r="EPB993" s="124"/>
      <c r="EPC993" s="124"/>
      <c r="EPD993" s="124"/>
      <c r="EPE993" s="124"/>
      <c r="EPF993" s="124"/>
      <c r="EPG993" s="124"/>
      <c r="EPH993" s="124"/>
      <c r="EPI993" s="124"/>
      <c r="EPJ993" s="124"/>
      <c r="EPK993" s="124"/>
      <c r="EPL993" s="124"/>
      <c r="EPM993" s="124"/>
      <c r="EPN993" s="124"/>
      <c r="EPO993" s="124"/>
      <c r="EPP993" s="124"/>
      <c r="EPQ993" s="124"/>
      <c r="EPR993" s="124"/>
      <c r="EPS993" s="124"/>
      <c r="EPT993" s="124"/>
      <c r="EPU993" s="124"/>
      <c r="EPV993" s="124"/>
      <c r="EPW993" s="124"/>
      <c r="EPX993" s="124"/>
      <c r="EPY993" s="124"/>
      <c r="EPZ993" s="124"/>
      <c r="EQA993" s="124"/>
      <c r="EQB993" s="124"/>
      <c r="EQC993" s="124"/>
      <c r="EQD993" s="124"/>
      <c r="EQE993" s="124"/>
      <c r="EQF993" s="124"/>
      <c r="EQG993" s="124"/>
      <c r="EQH993" s="124"/>
      <c r="EQI993" s="124"/>
      <c r="EQJ993" s="124"/>
      <c r="EQK993" s="124"/>
      <c r="EQL993" s="124"/>
      <c r="EQM993" s="124"/>
      <c r="EQN993" s="124"/>
      <c r="EQO993" s="124"/>
      <c r="EQP993" s="124"/>
      <c r="EQQ993" s="124"/>
      <c r="EQR993" s="124"/>
      <c r="EQS993" s="124"/>
      <c r="EQT993" s="124"/>
      <c r="EQU993" s="124"/>
      <c r="EQV993" s="124"/>
      <c r="EQW993" s="124"/>
      <c r="EQX993" s="124"/>
      <c r="EQY993" s="124"/>
      <c r="EQZ993" s="124"/>
      <c r="ERA993" s="124"/>
      <c r="ERB993" s="124"/>
      <c r="ERC993" s="124"/>
      <c r="ERD993" s="124"/>
      <c r="ERE993" s="124"/>
      <c r="ERF993" s="124"/>
      <c r="ERG993" s="124"/>
      <c r="ERH993" s="124"/>
      <c r="ERI993" s="124"/>
      <c r="ERJ993" s="124"/>
      <c r="ERK993" s="124"/>
      <c r="ERL993" s="124"/>
      <c r="ERM993" s="124"/>
      <c r="ERN993" s="124"/>
      <c r="ERO993" s="124"/>
      <c r="ERP993" s="124"/>
      <c r="ERQ993" s="124"/>
      <c r="ERR993" s="124"/>
      <c r="ERS993" s="124"/>
      <c r="ERT993" s="124"/>
      <c r="ERU993" s="124"/>
      <c r="ERV993" s="124"/>
      <c r="ERW993" s="124"/>
      <c r="ERX993" s="124"/>
      <c r="ERY993" s="124"/>
      <c r="ERZ993" s="124"/>
      <c r="ESA993" s="124"/>
      <c r="ESB993" s="124"/>
      <c r="ESC993" s="124"/>
      <c r="ESD993" s="124"/>
      <c r="ESE993" s="124"/>
      <c r="ESF993" s="124"/>
      <c r="ESG993" s="124"/>
      <c r="ESH993" s="124"/>
      <c r="ESI993" s="124"/>
      <c r="ESJ993" s="124"/>
      <c r="ESK993" s="124"/>
      <c r="ESL993" s="124"/>
      <c r="ESM993" s="124"/>
      <c r="ESN993" s="124"/>
      <c r="ESO993" s="124"/>
      <c r="ESP993" s="124"/>
      <c r="ESQ993" s="124"/>
      <c r="ESR993" s="124"/>
      <c r="ESS993" s="124"/>
      <c r="EST993" s="124"/>
      <c r="ESU993" s="124"/>
      <c r="ESV993" s="124"/>
      <c r="ESW993" s="124"/>
      <c r="ESX993" s="124"/>
      <c r="ESY993" s="124"/>
      <c r="ESZ993" s="124"/>
      <c r="ETA993" s="124"/>
      <c r="ETB993" s="124"/>
      <c r="ETC993" s="124"/>
      <c r="ETD993" s="124"/>
      <c r="ETE993" s="124"/>
      <c r="ETF993" s="124"/>
      <c r="ETG993" s="124"/>
      <c r="ETH993" s="124"/>
      <c r="ETI993" s="124"/>
      <c r="ETJ993" s="124"/>
      <c r="ETK993" s="124"/>
      <c r="ETL993" s="124"/>
      <c r="ETM993" s="124"/>
      <c r="ETN993" s="124"/>
      <c r="ETO993" s="124"/>
      <c r="ETP993" s="124"/>
      <c r="ETQ993" s="124"/>
      <c r="ETR993" s="124"/>
      <c r="ETS993" s="124"/>
      <c r="ETT993" s="124"/>
      <c r="ETU993" s="124"/>
      <c r="ETV993" s="124"/>
      <c r="ETW993" s="124"/>
      <c r="ETX993" s="124"/>
      <c r="ETY993" s="124"/>
      <c r="ETZ993" s="124"/>
      <c r="EUA993" s="124"/>
      <c r="EUB993" s="124"/>
      <c r="EUC993" s="124"/>
      <c r="EUD993" s="124"/>
      <c r="EUE993" s="124"/>
      <c r="EUF993" s="124"/>
      <c r="EUG993" s="124"/>
      <c r="EUH993" s="124"/>
      <c r="EUI993" s="124"/>
      <c r="EUJ993" s="124"/>
      <c r="EUK993" s="124"/>
      <c r="EUL993" s="124"/>
      <c r="EUM993" s="124"/>
      <c r="EUN993" s="124"/>
      <c r="EUO993" s="124"/>
      <c r="EUP993" s="124"/>
      <c r="EUQ993" s="124"/>
      <c r="EUR993" s="124"/>
      <c r="EUS993" s="124"/>
      <c r="EUT993" s="124"/>
      <c r="EUU993" s="124"/>
      <c r="EUV993" s="124"/>
      <c r="EUW993" s="124"/>
      <c r="EUX993" s="124"/>
      <c r="EUY993" s="124"/>
      <c r="EUZ993" s="124"/>
      <c r="EVA993" s="124"/>
      <c r="EVB993" s="124"/>
      <c r="EVC993" s="124"/>
      <c r="EVD993" s="124"/>
      <c r="EVE993" s="124"/>
      <c r="EVF993" s="124"/>
      <c r="EVG993" s="124"/>
      <c r="EVH993" s="124"/>
      <c r="EVI993" s="124"/>
      <c r="EVJ993" s="124"/>
      <c r="EVK993" s="124"/>
      <c r="EVL993" s="124"/>
      <c r="EVM993" s="124"/>
      <c r="EVN993" s="124"/>
      <c r="EVO993" s="124"/>
      <c r="EVP993" s="124"/>
      <c r="EVQ993" s="124"/>
      <c r="EVR993" s="124"/>
      <c r="EVS993" s="124"/>
      <c r="EVT993" s="124"/>
      <c r="EVU993" s="124"/>
      <c r="EVV993" s="124"/>
      <c r="EVW993" s="124"/>
      <c r="EVX993" s="124"/>
      <c r="EVY993" s="124"/>
      <c r="EVZ993" s="124"/>
      <c r="EWA993" s="124"/>
      <c r="EWB993" s="124"/>
      <c r="EWC993" s="124"/>
      <c r="EWD993" s="124"/>
      <c r="EWE993" s="124"/>
      <c r="EWF993" s="124"/>
      <c r="EWG993" s="124"/>
      <c r="EWH993" s="124"/>
      <c r="EWI993" s="124"/>
      <c r="EWJ993" s="124"/>
      <c r="EWK993" s="124"/>
      <c r="EWL993" s="124"/>
      <c r="EWM993" s="124"/>
      <c r="EWN993" s="124"/>
      <c r="EWO993" s="124"/>
      <c r="EWP993" s="124"/>
      <c r="EWQ993" s="124"/>
      <c r="EWR993" s="124"/>
      <c r="EWS993" s="124"/>
      <c r="EWT993" s="124"/>
      <c r="EWU993" s="124"/>
      <c r="EWV993" s="124"/>
      <c r="EWW993" s="124"/>
      <c r="EWX993" s="124"/>
      <c r="EWY993" s="124"/>
      <c r="EWZ993" s="124"/>
      <c r="EXA993" s="124"/>
      <c r="EXB993" s="124"/>
      <c r="EXC993" s="124"/>
      <c r="EXD993" s="124"/>
      <c r="EXE993" s="124"/>
      <c r="EXF993" s="124"/>
      <c r="EXG993" s="124"/>
      <c r="EXH993" s="124"/>
      <c r="EXI993" s="124"/>
      <c r="EXJ993" s="124"/>
      <c r="EXK993" s="124"/>
      <c r="EXL993" s="124"/>
      <c r="EXM993" s="124"/>
      <c r="EXN993" s="124"/>
      <c r="EXO993" s="124"/>
      <c r="EXP993" s="124"/>
      <c r="EXQ993" s="124"/>
      <c r="EXR993" s="124"/>
      <c r="EXS993" s="124"/>
      <c r="EXT993" s="124"/>
      <c r="EXU993" s="124"/>
      <c r="EXV993" s="124"/>
      <c r="EXW993" s="124"/>
      <c r="EXX993" s="124"/>
      <c r="EXY993" s="124"/>
      <c r="EXZ993" s="124"/>
      <c r="EYA993" s="124"/>
      <c r="EYB993" s="124"/>
      <c r="EYC993" s="124"/>
      <c r="EYD993" s="124"/>
      <c r="EYE993" s="124"/>
      <c r="EYF993" s="124"/>
      <c r="EYG993" s="124"/>
      <c r="EYH993" s="124"/>
      <c r="EYI993" s="124"/>
      <c r="EYJ993" s="124"/>
      <c r="EYK993" s="124"/>
      <c r="EYL993" s="124"/>
      <c r="EYM993" s="124"/>
      <c r="EYN993" s="124"/>
      <c r="EYO993" s="124"/>
      <c r="EYP993" s="124"/>
      <c r="EYQ993" s="124"/>
      <c r="EYR993" s="124"/>
      <c r="EYS993" s="124"/>
      <c r="EYT993" s="124"/>
      <c r="EYU993" s="124"/>
      <c r="EYV993" s="124"/>
      <c r="EYW993" s="124"/>
      <c r="EYX993" s="124"/>
      <c r="EYY993" s="124"/>
      <c r="EYZ993" s="124"/>
      <c r="EZA993" s="124"/>
      <c r="EZB993" s="124"/>
      <c r="EZC993" s="124"/>
      <c r="EZD993" s="124"/>
      <c r="EZE993" s="124"/>
      <c r="EZF993" s="124"/>
      <c r="EZG993" s="124"/>
      <c r="EZH993" s="124"/>
      <c r="EZI993" s="124"/>
      <c r="EZJ993" s="124"/>
      <c r="EZK993" s="124"/>
      <c r="EZL993" s="124"/>
      <c r="EZM993" s="124"/>
      <c r="EZN993" s="124"/>
      <c r="EZO993" s="124"/>
      <c r="EZP993" s="124"/>
      <c r="EZQ993" s="124"/>
      <c r="EZR993" s="124"/>
      <c r="EZS993" s="124"/>
      <c r="EZT993" s="124"/>
      <c r="EZU993" s="124"/>
      <c r="EZV993" s="124"/>
      <c r="EZW993" s="124"/>
      <c r="EZX993" s="124"/>
      <c r="EZY993" s="124"/>
      <c r="EZZ993" s="124"/>
      <c r="FAA993" s="124"/>
      <c r="FAB993" s="124"/>
      <c r="FAC993" s="124"/>
      <c r="FAD993" s="124"/>
      <c r="FAE993" s="124"/>
      <c r="FAF993" s="124"/>
      <c r="FAG993" s="124"/>
      <c r="FAH993" s="124"/>
      <c r="FAI993" s="124"/>
      <c r="FAJ993" s="124"/>
      <c r="FAK993" s="124"/>
      <c r="FAL993" s="124"/>
      <c r="FAM993" s="124"/>
      <c r="FAN993" s="124"/>
      <c r="FAO993" s="124"/>
      <c r="FAP993" s="124"/>
      <c r="FAQ993" s="124"/>
      <c r="FAR993" s="124"/>
      <c r="FAS993" s="124"/>
      <c r="FAT993" s="124"/>
      <c r="FAU993" s="124"/>
      <c r="FAV993" s="124"/>
      <c r="FAW993" s="124"/>
      <c r="FAX993" s="124"/>
      <c r="FAY993" s="124"/>
      <c r="FAZ993" s="124"/>
      <c r="FBA993" s="124"/>
      <c r="FBB993" s="124"/>
      <c r="FBC993" s="124"/>
      <c r="FBD993" s="124"/>
      <c r="FBE993" s="124"/>
      <c r="FBF993" s="124"/>
      <c r="FBG993" s="124"/>
      <c r="FBH993" s="124"/>
      <c r="FBI993" s="124"/>
      <c r="FBJ993" s="124"/>
      <c r="FBK993" s="124"/>
      <c r="FBL993" s="124"/>
      <c r="FBM993" s="124"/>
      <c r="FBN993" s="124"/>
      <c r="FBO993" s="124"/>
      <c r="FBP993" s="124"/>
      <c r="FBQ993" s="124"/>
      <c r="FBR993" s="124"/>
      <c r="FBS993" s="124"/>
      <c r="FBT993" s="124"/>
      <c r="FBU993" s="124"/>
      <c r="FBV993" s="124"/>
      <c r="FBW993" s="124"/>
      <c r="FBX993" s="124"/>
      <c r="FBY993" s="124"/>
      <c r="FBZ993" s="124"/>
      <c r="FCA993" s="124"/>
      <c r="FCB993" s="124"/>
      <c r="FCC993" s="124"/>
      <c r="FCD993" s="124"/>
      <c r="FCE993" s="124"/>
      <c r="FCF993" s="124"/>
      <c r="FCG993" s="124"/>
      <c r="FCH993" s="124"/>
      <c r="FCI993" s="124"/>
      <c r="FCJ993" s="124"/>
      <c r="FCK993" s="124"/>
      <c r="FCL993" s="124"/>
      <c r="FCM993" s="124"/>
      <c r="FCN993" s="124"/>
      <c r="FCO993" s="124"/>
      <c r="FCP993" s="124"/>
      <c r="FCQ993" s="124"/>
      <c r="FCR993" s="124"/>
      <c r="FCS993" s="124"/>
      <c r="FCT993" s="124"/>
      <c r="FCU993" s="124"/>
      <c r="FCV993" s="124"/>
      <c r="FCW993" s="124"/>
      <c r="FCX993" s="124"/>
      <c r="FCY993" s="124"/>
      <c r="FCZ993" s="124"/>
      <c r="FDA993" s="124"/>
      <c r="FDB993" s="124"/>
      <c r="FDC993" s="124"/>
      <c r="FDD993" s="124"/>
      <c r="FDE993" s="124"/>
      <c r="FDF993" s="124"/>
      <c r="FDG993" s="124"/>
      <c r="FDH993" s="124"/>
      <c r="FDI993" s="124"/>
      <c r="FDJ993" s="124"/>
      <c r="FDK993" s="124"/>
      <c r="FDL993" s="124"/>
      <c r="FDM993" s="124"/>
      <c r="FDN993" s="124"/>
      <c r="FDO993" s="124"/>
      <c r="FDP993" s="124"/>
      <c r="FDQ993" s="124"/>
      <c r="FDR993" s="124"/>
      <c r="FDS993" s="124"/>
      <c r="FDT993" s="124"/>
      <c r="FDU993" s="124"/>
      <c r="FDV993" s="124"/>
      <c r="FDW993" s="124"/>
      <c r="FDX993" s="124"/>
      <c r="FDY993" s="124"/>
      <c r="FDZ993" s="124"/>
      <c r="FEA993" s="124"/>
      <c r="FEB993" s="124"/>
      <c r="FEC993" s="124"/>
      <c r="FED993" s="124"/>
      <c r="FEE993" s="124"/>
      <c r="FEF993" s="124"/>
      <c r="FEG993" s="124"/>
      <c r="FEH993" s="124"/>
      <c r="FEI993" s="124"/>
      <c r="FEJ993" s="124"/>
      <c r="FEK993" s="124"/>
      <c r="FEL993" s="124"/>
      <c r="FEM993" s="124"/>
      <c r="FEN993" s="124"/>
      <c r="FEO993" s="124"/>
      <c r="FEP993" s="124"/>
      <c r="FEQ993" s="124"/>
      <c r="FER993" s="124"/>
      <c r="FES993" s="124"/>
      <c r="FET993" s="124"/>
      <c r="FEU993" s="124"/>
      <c r="FEV993" s="124"/>
      <c r="FEW993" s="124"/>
      <c r="FEX993" s="124"/>
      <c r="FEY993" s="124"/>
      <c r="FEZ993" s="124"/>
      <c r="FFA993" s="124"/>
      <c r="FFB993" s="124"/>
      <c r="FFC993" s="124"/>
      <c r="FFD993" s="124"/>
      <c r="FFE993" s="124"/>
      <c r="FFF993" s="124"/>
      <c r="FFG993" s="124"/>
      <c r="FFH993" s="124"/>
      <c r="FFI993" s="124"/>
      <c r="FFJ993" s="124"/>
      <c r="FFK993" s="124"/>
      <c r="FFL993" s="124"/>
      <c r="FFM993" s="124"/>
      <c r="FFN993" s="124"/>
      <c r="FFO993" s="124"/>
      <c r="FFP993" s="124"/>
      <c r="FFQ993" s="124"/>
      <c r="FFR993" s="124"/>
      <c r="FFS993" s="124"/>
      <c r="FFT993" s="124"/>
      <c r="FFU993" s="124"/>
      <c r="FFV993" s="124"/>
      <c r="FFW993" s="124"/>
      <c r="FFX993" s="124"/>
      <c r="FFY993" s="124"/>
      <c r="FFZ993" s="124"/>
      <c r="FGA993" s="124"/>
      <c r="FGB993" s="124"/>
      <c r="FGC993" s="124"/>
      <c r="FGD993" s="124"/>
      <c r="FGE993" s="124"/>
      <c r="FGF993" s="124"/>
      <c r="FGG993" s="124"/>
      <c r="FGH993" s="124"/>
      <c r="FGI993" s="124"/>
      <c r="FGJ993" s="124"/>
      <c r="FGK993" s="124"/>
      <c r="FGL993" s="124"/>
      <c r="FGM993" s="124"/>
      <c r="FGN993" s="124"/>
      <c r="FGO993" s="124"/>
      <c r="FGP993" s="124"/>
      <c r="FGQ993" s="124"/>
      <c r="FGR993" s="124"/>
      <c r="FGS993" s="124"/>
      <c r="FGT993" s="124"/>
      <c r="FGU993" s="124"/>
      <c r="FGV993" s="124"/>
      <c r="FGW993" s="124"/>
      <c r="FGX993" s="124"/>
      <c r="FGY993" s="124"/>
      <c r="FGZ993" s="124"/>
      <c r="FHA993" s="124"/>
      <c r="FHB993" s="124"/>
      <c r="FHC993" s="124"/>
      <c r="FHD993" s="124"/>
      <c r="FHE993" s="124"/>
      <c r="FHF993" s="124"/>
      <c r="FHG993" s="124"/>
      <c r="FHH993" s="124"/>
      <c r="FHI993" s="124"/>
      <c r="FHJ993" s="124"/>
      <c r="FHK993" s="124"/>
      <c r="FHL993" s="124"/>
      <c r="FHM993" s="124"/>
      <c r="FHN993" s="124"/>
      <c r="FHO993" s="124"/>
      <c r="FHP993" s="124"/>
      <c r="FHQ993" s="124"/>
      <c r="FHR993" s="124"/>
      <c r="FHS993" s="124"/>
      <c r="FHT993" s="124"/>
      <c r="FHU993" s="124"/>
      <c r="FHV993" s="124"/>
      <c r="FHW993" s="124"/>
      <c r="FHX993" s="124"/>
      <c r="FHY993" s="124"/>
      <c r="FHZ993" s="124"/>
      <c r="FIA993" s="124"/>
      <c r="FIB993" s="124"/>
      <c r="FIC993" s="124"/>
      <c r="FID993" s="124"/>
      <c r="FIE993" s="124"/>
      <c r="FIF993" s="124"/>
      <c r="FIG993" s="124"/>
      <c r="FIH993" s="124"/>
      <c r="FII993" s="124"/>
      <c r="FIJ993" s="124"/>
      <c r="FIK993" s="124"/>
      <c r="FIL993" s="124"/>
      <c r="FIM993" s="124"/>
      <c r="FIN993" s="124"/>
      <c r="FIO993" s="124"/>
      <c r="FIP993" s="124"/>
      <c r="FIQ993" s="124"/>
      <c r="FIR993" s="124"/>
      <c r="FIS993" s="124"/>
      <c r="FIT993" s="124"/>
      <c r="FIU993" s="124"/>
      <c r="FIV993" s="124"/>
      <c r="FIW993" s="124"/>
      <c r="FIX993" s="124"/>
      <c r="FIY993" s="124"/>
      <c r="FIZ993" s="124"/>
      <c r="FJA993" s="124"/>
      <c r="FJB993" s="124"/>
      <c r="FJC993" s="124"/>
      <c r="FJD993" s="124"/>
      <c r="FJE993" s="124"/>
      <c r="FJF993" s="124"/>
      <c r="FJG993" s="124"/>
      <c r="FJH993" s="124"/>
      <c r="FJI993" s="124"/>
      <c r="FJJ993" s="124"/>
      <c r="FJK993" s="124"/>
      <c r="FJL993" s="124"/>
      <c r="FJM993" s="124"/>
      <c r="FJN993" s="124"/>
      <c r="FJO993" s="124"/>
      <c r="FJP993" s="124"/>
      <c r="FJQ993" s="124"/>
      <c r="FJR993" s="124"/>
      <c r="FJS993" s="124"/>
      <c r="FJT993" s="124"/>
      <c r="FJU993" s="124"/>
      <c r="FJV993" s="124"/>
      <c r="FJW993" s="124"/>
      <c r="FJX993" s="124"/>
      <c r="FJY993" s="124"/>
      <c r="FJZ993" s="124"/>
      <c r="FKA993" s="124"/>
      <c r="FKB993" s="124"/>
      <c r="FKC993" s="124"/>
      <c r="FKD993" s="124"/>
      <c r="FKE993" s="124"/>
      <c r="FKF993" s="124"/>
      <c r="FKG993" s="124"/>
      <c r="FKH993" s="124"/>
      <c r="FKI993" s="124"/>
      <c r="FKJ993" s="124"/>
      <c r="FKK993" s="124"/>
      <c r="FKL993" s="124"/>
      <c r="FKM993" s="124"/>
      <c r="FKN993" s="124"/>
      <c r="FKO993" s="124"/>
      <c r="FKP993" s="124"/>
      <c r="FKQ993" s="124"/>
      <c r="FKR993" s="124"/>
      <c r="FKS993" s="124"/>
      <c r="FKT993" s="124"/>
      <c r="FKU993" s="124"/>
      <c r="FKV993" s="124"/>
      <c r="FKW993" s="124"/>
      <c r="FKX993" s="124"/>
      <c r="FKY993" s="124"/>
      <c r="FKZ993" s="124"/>
      <c r="FLA993" s="124"/>
      <c r="FLB993" s="124"/>
      <c r="FLC993" s="124"/>
      <c r="FLD993" s="124"/>
      <c r="FLE993" s="124"/>
      <c r="FLF993" s="124"/>
      <c r="FLG993" s="124"/>
      <c r="FLH993" s="124"/>
      <c r="FLI993" s="124"/>
      <c r="FLJ993" s="124"/>
      <c r="FLK993" s="124"/>
      <c r="FLL993" s="124"/>
      <c r="FLM993" s="124"/>
      <c r="FLN993" s="124"/>
      <c r="FLO993" s="124"/>
      <c r="FLP993" s="124"/>
      <c r="FLQ993" s="124"/>
      <c r="FLR993" s="124"/>
      <c r="FLS993" s="124"/>
      <c r="FLT993" s="124"/>
      <c r="FLU993" s="124"/>
      <c r="FLV993" s="124"/>
      <c r="FLW993" s="124"/>
      <c r="FLX993" s="124"/>
      <c r="FLY993" s="124"/>
      <c r="FLZ993" s="124"/>
      <c r="FMA993" s="124"/>
      <c r="FMB993" s="124"/>
      <c r="FMC993" s="124"/>
      <c r="FMD993" s="124"/>
      <c r="FME993" s="124"/>
      <c r="FMF993" s="124"/>
      <c r="FMG993" s="124"/>
      <c r="FMH993" s="124"/>
      <c r="FMI993" s="124"/>
      <c r="FMJ993" s="124"/>
      <c r="FMK993" s="124"/>
      <c r="FML993" s="124"/>
      <c r="FMM993" s="124"/>
      <c r="FMN993" s="124"/>
      <c r="FMO993" s="124"/>
      <c r="FMP993" s="124"/>
      <c r="FMQ993" s="124"/>
      <c r="FMR993" s="124"/>
      <c r="FMS993" s="124"/>
      <c r="FMT993" s="124"/>
      <c r="FMU993" s="124"/>
      <c r="FMV993" s="124"/>
      <c r="FMW993" s="124"/>
      <c r="FMX993" s="124"/>
      <c r="FMY993" s="124"/>
      <c r="FMZ993" s="124"/>
      <c r="FNA993" s="124"/>
      <c r="FNB993" s="124"/>
      <c r="FNC993" s="124"/>
      <c r="FND993" s="124"/>
      <c r="FNE993" s="124"/>
      <c r="FNF993" s="124"/>
      <c r="FNG993" s="124"/>
      <c r="FNH993" s="124"/>
      <c r="FNI993" s="124"/>
      <c r="FNJ993" s="124"/>
      <c r="FNK993" s="124"/>
      <c r="FNL993" s="124"/>
      <c r="FNM993" s="124"/>
      <c r="FNN993" s="124"/>
      <c r="FNO993" s="124"/>
      <c r="FNP993" s="124"/>
      <c r="FNQ993" s="124"/>
      <c r="FNR993" s="124"/>
      <c r="FNS993" s="124"/>
      <c r="FNT993" s="124"/>
      <c r="FNU993" s="124"/>
      <c r="FNV993" s="124"/>
      <c r="FNW993" s="124"/>
      <c r="FNX993" s="124"/>
      <c r="FNY993" s="124"/>
      <c r="FNZ993" s="124"/>
      <c r="FOA993" s="124"/>
      <c r="FOB993" s="124"/>
      <c r="FOC993" s="124"/>
      <c r="FOD993" s="124"/>
      <c r="FOE993" s="124"/>
      <c r="FOF993" s="124"/>
      <c r="FOG993" s="124"/>
      <c r="FOH993" s="124"/>
      <c r="FOI993" s="124"/>
      <c r="FOJ993" s="124"/>
      <c r="FOK993" s="124"/>
      <c r="FOL993" s="124"/>
      <c r="FOM993" s="124"/>
      <c r="FON993" s="124"/>
      <c r="FOO993" s="124"/>
      <c r="FOP993" s="124"/>
      <c r="FOQ993" s="124"/>
      <c r="FOR993" s="124"/>
      <c r="FOS993" s="124"/>
      <c r="FOT993" s="124"/>
      <c r="FOU993" s="124"/>
      <c r="FOV993" s="124"/>
      <c r="FOW993" s="124"/>
      <c r="FOX993" s="124"/>
      <c r="FOY993" s="124"/>
      <c r="FOZ993" s="124"/>
      <c r="FPA993" s="124"/>
      <c r="FPB993" s="124"/>
      <c r="FPC993" s="124"/>
      <c r="FPD993" s="124"/>
      <c r="FPE993" s="124"/>
      <c r="FPF993" s="124"/>
      <c r="FPG993" s="124"/>
      <c r="FPH993" s="124"/>
      <c r="FPI993" s="124"/>
      <c r="FPJ993" s="124"/>
      <c r="FPK993" s="124"/>
      <c r="FPL993" s="124"/>
      <c r="FPM993" s="124"/>
      <c r="FPN993" s="124"/>
      <c r="FPO993" s="124"/>
      <c r="FPP993" s="124"/>
      <c r="FPQ993" s="124"/>
      <c r="FPR993" s="124"/>
      <c r="FPS993" s="124"/>
      <c r="FPT993" s="124"/>
      <c r="FPU993" s="124"/>
      <c r="FPV993" s="124"/>
      <c r="FPW993" s="124"/>
      <c r="FPX993" s="124"/>
      <c r="FPY993" s="124"/>
      <c r="FPZ993" s="124"/>
      <c r="FQA993" s="124"/>
      <c r="FQB993" s="124"/>
      <c r="FQC993" s="124"/>
      <c r="FQD993" s="124"/>
      <c r="FQE993" s="124"/>
      <c r="FQF993" s="124"/>
      <c r="FQG993" s="124"/>
      <c r="FQH993" s="124"/>
      <c r="FQI993" s="124"/>
      <c r="FQJ993" s="124"/>
      <c r="FQK993" s="124"/>
      <c r="FQL993" s="124"/>
      <c r="FQM993" s="124"/>
      <c r="FQN993" s="124"/>
      <c r="FQO993" s="124"/>
      <c r="FQP993" s="124"/>
      <c r="FQQ993" s="124"/>
      <c r="FQR993" s="124"/>
      <c r="FQS993" s="124"/>
      <c r="FQT993" s="124"/>
      <c r="FQU993" s="124"/>
      <c r="FQV993" s="124"/>
      <c r="FQW993" s="124"/>
      <c r="FQX993" s="124"/>
      <c r="FQY993" s="124"/>
      <c r="FQZ993" s="124"/>
      <c r="FRA993" s="124"/>
      <c r="FRB993" s="124"/>
      <c r="FRC993" s="124"/>
      <c r="FRD993" s="124"/>
      <c r="FRE993" s="124"/>
      <c r="FRF993" s="124"/>
      <c r="FRG993" s="124"/>
      <c r="FRH993" s="124"/>
      <c r="FRI993" s="124"/>
      <c r="FRJ993" s="124"/>
      <c r="FRK993" s="124"/>
      <c r="FRL993" s="124"/>
      <c r="FRM993" s="124"/>
      <c r="FRN993" s="124"/>
      <c r="FRO993" s="124"/>
      <c r="FRP993" s="124"/>
      <c r="FRQ993" s="124"/>
      <c r="FRR993" s="124"/>
      <c r="FRS993" s="124"/>
      <c r="FRT993" s="124"/>
      <c r="FRU993" s="124"/>
      <c r="FRV993" s="124"/>
      <c r="FRW993" s="124"/>
      <c r="FRX993" s="124"/>
      <c r="FRY993" s="124"/>
      <c r="FRZ993" s="124"/>
      <c r="FSA993" s="124"/>
      <c r="FSB993" s="124"/>
      <c r="FSC993" s="124"/>
      <c r="FSD993" s="124"/>
      <c r="FSE993" s="124"/>
      <c r="FSF993" s="124"/>
      <c r="FSG993" s="124"/>
      <c r="FSH993" s="124"/>
      <c r="FSI993" s="124"/>
      <c r="FSJ993" s="124"/>
      <c r="FSK993" s="124"/>
      <c r="FSL993" s="124"/>
      <c r="FSM993" s="124"/>
      <c r="FSN993" s="124"/>
      <c r="FSO993" s="124"/>
      <c r="FSP993" s="124"/>
      <c r="FSQ993" s="124"/>
      <c r="FSR993" s="124"/>
      <c r="FSS993" s="124"/>
      <c r="FST993" s="124"/>
      <c r="FSU993" s="124"/>
      <c r="FSV993" s="124"/>
      <c r="FSW993" s="124"/>
      <c r="FSX993" s="124"/>
      <c r="FSY993" s="124"/>
      <c r="FSZ993" s="124"/>
      <c r="FTA993" s="124"/>
      <c r="FTB993" s="124"/>
      <c r="FTC993" s="124"/>
      <c r="FTD993" s="124"/>
      <c r="FTE993" s="124"/>
      <c r="FTF993" s="124"/>
      <c r="FTG993" s="124"/>
      <c r="FTH993" s="124"/>
      <c r="FTI993" s="124"/>
      <c r="FTJ993" s="124"/>
      <c r="FTK993" s="124"/>
      <c r="FTL993" s="124"/>
      <c r="FTM993" s="124"/>
      <c r="FTN993" s="124"/>
      <c r="FTO993" s="124"/>
      <c r="FTP993" s="124"/>
      <c r="FTQ993" s="124"/>
      <c r="FTR993" s="124"/>
      <c r="FTS993" s="124"/>
      <c r="FTT993" s="124"/>
      <c r="FTU993" s="124"/>
      <c r="FTV993" s="124"/>
      <c r="FTW993" s="124"/>
      <c r="FTX993" s="124"/>
      <c r="FTY993" s="124"/>
      <c r="FTZ993" s="124"/>
      <c r="FUA993" s="124"/>
      <c r="FUB993" s="124"/>
      <c r="FUC993" s="124"/>
      <c r="FUD993" s="124"/>
      <c r="FUE993" s="124"/>
      <c r="FUF993" s="124"/>
      <c r="FUG993" s="124"/>
      <c r="FUH993" s="124"/>
      <c r="FUI993" s="124"/>
      <c r="FUJ993" s="124"/>
      <c r="FUK993" s="124"/>
      <c r="FUL993" s="124"/>
      <c r="FUM993" s="124"/>
      <c r="FUN993" s="124"/>
      <c r="FUO993" s="124"/>
      <c r="FUP993" s="124"/>
      <c r="FUQ993" s="124"/>
      <c r="FUR993" s="124"/>
      <c r="FUS993" s="124"/>
      <c r="FUT993" s="124"/>
      <c r="FUU993" s="124"/>
      <c r="FUV993" s="124"/>
      <c r="FUW993" s="124"/>
      <c r="FUX993" s="124"/>
      <c r="FUY993" s="124"/>
      <c r="FUZ993" s="124"/>
      <c r="FVA993" s="124"/>
      <c r="FVB993" s="124"/>
      <c r="FVC993" s="124"/>
      <c r="FVD993" s="124"/>
      <c r="FVE993" s="124"/>
      <c r="FVF993" s="124"/>
      <c r="FVG993" s="124"/>
      <c r="FVH993" s="124"/>
      <c r="FVI993" s="124"/>
      <c r="FVJ993" s="124"/>
      <c r="FVK993" s="124"/>
      <c r="FVL993" s="124"/>
      <c r="FVM993" s="124"/>
      <c r="FVN993" s="124"/>
      <c r="FVO993" s="124"/>
      <c r="FVP993" s="124"/>
      <c r="FVQ993" s="124"/>
      <c r="FVR993" s="124"/>
      <c r="FVS993" s="124"/>
      <c r="FVT993" s="124"/>
      <c r="FVU993" s="124"/>
      <c r="FVV993" s="124"/>
      <c r="FVW993" s="124"/>
      <c r="FVX993" s="124"/>
      <c r="FVY993" s="124"/>
      <c r="FVZ993" s="124"/>
      <c r="FWA993" s="124"/>
      <c r="FWB993" s="124"/>
      <c r="FWC993" s="124"/>
      <c r="FWD993" s="124"/>
      <c r="FWE993" s="124"/>
      <c r="FWF993" s="124"/>
      <c r="FWG993" s="124"/>
      <c r="FWH993" s="124"/>
      <c r="FWI993" s="124"/>
      <c r="FWJ993" s="124"/>
      <c r="FWK993" s="124"/>
      <c r="FWL993" s="124"/>
      <c r="FWM993" s="124"/>
      <c r="FWN993" s="124"/>
      <c r="FWO993" s="124"/>
      <c r="FWP993" s="124"/>
      <c r="FWQ993" s="124"/>
      <c r="FWR993" s="124"/>
      <c r="FWS993" s="124"/>
      <c r="FWT993" s="124"/>
      <c r="FWU993" s="124"/>
      <c r="FWV993" s="124"/>
      <c r="FWW993" s="124"/>
      <c r="FWX993" s="124"/>
      <c r="FWY993" s="124"/>
      <c r="FWZ993" s="124"/>
      <c r="FXA993" s="124"/>
      <c r="FXB993" s="124"/>
      <c r="FXC993" s="124"/>
      <c r="FXD993" s="124"/>
      <c r="FXE993" s="124"/>
      <c r="FXF993" s="124"/>
      <c r="FXG993" s="124"/>
      <c r="FXH993" s="124"/>
      <c r="FXI993" s="124"/>
      <c r="FXJ993" s="124"/>
      <c r="FXK993" s="124"/>
      <c r="FXL993" s="124"/>
      <c r="FXM993" s="124"/>
      <c r="FXN993" s="124"/>
      <c r="FXO993" s="124"/>
      <c r="FXP993" s="124"/>
      <c r="FXQ993" s="124"/>
      <c r="FXR993" s="124"/>
      <c r="FXS993" s="124"/>
      <c r="FXT993" s="124"/>
      <c r="FXU993" s="124"/>
      <c r="FXV993" s="124"/>
      <c r="FXW993" s="124"/>
      <c r="FXX993" s="124"/>
      <c r="FXY993" s="124"/>
      <c r="FXZ993" s="124"/>
      <c r="FYA993" s="124"/>
      <c r="FYB993" s="124"/>
      <c r="FYC993" s="124"/>
      <c r="FYD993" s="124"/>
      <c r="FYE993" s="124"/>
      <c r="FYF993" s="124"/>
      <c r="FYG993" s="124"/>
      <c r="FYH993" s="124"/>
      <c r="FYI993" s="124"/>
      <c r="FYJ993" s="124"/>
      <c r="FYK993" s="124"/>
      <c r="FYL993" s="124"/>
      <c r="FYM993" s="124"/>
      <c r="FYN993" s="124"/>
      <c r="FYO993" s="124"/>
      <c r="FYP993" s="124"/>
      <c r="FYQ993" s="124"/>
      <c r="FYR993" s="124"/>
      <c r="FYS993" s="124"/>
      <c r="FYT993" s="124"/>
      <c r="FYU993" s="124"/>
      <c r="FYV993" s="124"/>
      <c r="FYW993" s="124"/>
      <c r="FYX993" s="124"/>
      <c r="FYY993" s="124"/>
      <c r="FYZ993" s="124"/>
      <c r="FZA993" s="124"/>
      <c r="FZB993" s="124"/>
      <c r="FZC993" s="124"/>
      <c r="FZD993" s="124"/>
      <c r="FZE993" s="124"/>
      <c r="FZF993" s="124"/>
      <c r="FZG993" s="124"/>
      <c r="FZH993" s="124"/>
      <c r="FZI993" s="124"/>
      <c r="FZJ993" s="124"/>
      <c r="FZK993" s="124"/>
      <c r="FZL993" s="124"/>
      <c r="FZM993" s="124"/>
      <c r="FZN993" s="124"/>
      <c r="FZO993" s="124"/>
      <c r="FZP993" s="124"/>
      <c r="FZQ993" s="124"/>
      <c r="FZR993" s="124"/>
      <c r="FZS993" s="124"/>
      <c r="FZT993" s="124"/>
      <c r="FZU993" s="124"/>
      <c r="FZV993" s="124"/>
      <c r="FZW993" s="124"/>
      <c r="FZX993" s="124"/>
      <c r="FZY993" s="124"/>
      <c r="FZZ993" s="124"/>
      <c r="GAA993" s="124"/>
      <c r="GAB993" s="124"/>
      <c r="GAC993" s="124"/>
      <c r="GAD993" s="124"/>
      <c r="GAE993" s="124"/>
      <c r="GAF993" s="124"/>
      <c r="GAG993" s="124"/>
      <c r="GAH993" s="124"/>
      <c r="GAI993" s="124"/>
      <c r="GAJ993" s="124"/>
      <c r="GAK993" s="124"/>
      <c r="GAL993" s="124"/>
      <c r="GAM993" s="124"/>
      <c r="GAN993" s="124"/>
      <c r="GAO993" s="124"/>
      <c r="GAP993" s="124"/>
      <c r="GAQ993" s="124"/>
      <c r="GAR993" s="124"/>
      <c r="GAS993" s="124"/>
      <c r="GAT993" s="124"/>
      <c r="GAU993" s="124"/>
      <c r="GAV993" s="124"/>
      <c r="GAW993" s="124"/>
      <c r="GAX993" s="124"/>
      <c r="GAY993" s="124"/>
      <c r="GAZ993" s="124"/>
      <c r="GBA993" s="124"/>
      <c r="GBB993" s="124"/>
      <c r="GBC993" s="124"/>
      <c r="GBD993" s="124"/>
      <c r="GBE993" s="124"/>
      <c r="GBF993" s="124"/>
      <c r="GBG993" s="124"/>
      <c r="GBH993" s="124"/>
      <c r="GBI993" s="124"/>
      <c r="GBJ993" s="124"/>
      <c r="GBK993" s="124"/>
      <c r="GBL993" s="124"/>
      <c r="GBM993" s="124"/>
      <c r="GBN993" s="124"/>
      <c r="GBO993" s="124"/>
      <c r="GBP993" s="124"/>
      <c r="GBQ993" s="124"/>
      <c r="GBR993" s="124"/>
      <c r="GBS993" s="124"/>
      <c r="GBT993" s="124"/>
      <c r="GBU993" s="124"/>
      <c r="GBV993" s="124"/>
      <c r="GBW993" s="124"/>
      <c r="GBX993" s="124"/>
      <c r="GBY993" s="124"/>
      <c r="GBZ993" s="124"/>
      <c r="GCA993" s="124"/>
      <c r="GCB993" s="124"/>
      <c r="GCC993" s="124"/>
      <c r="GCD993" s="124"/>
      <c r="GCE993" s="124"/>
      <c r="GCF993" s="124"/>
      <c r="GCG993" s="124"/>
      <c r="GCH993" s="124"/>
      <c r="GCI993" s="124"/>
      <c r="GCJ993" s="124"/>
      <c r="GCK993" s="124"/>
      <c r="GCL993" s="124"/>
      <c r="GCM993" s="124"/>
      <c r="GCN993" s="124"/>
      <c r="GCO993" s="124"/>
      <c r="GCP993" s="124"/>
      <c r="GCQ993" s="124"/>
      <c r="GCR993" s="124"/>
      <c r="GCS993" s="124"/>
      <c r="GCT993" s="124"/>
      <c r="GCU993" s="124"/>
      <c r="GCV993" s="124"/>
      <c r="GCW993" s="124"/>
      <c r="GCX993" s="124"/>
      <c r="GCY993" s="124"/>
      <c r="GCZ993" s="124"/>
      <c r="GDA993" s="124"/>
      <c r="GDB993" s="124"/>
      <c r="GDC993" s="124"/>
      <c r="GDD993" s="124"/>
      <c r="GDE993" s="124"/>
      <c r="GDF993" s="124"/>
      <c r="GDG993" s="124"/>
      <c r="GDH993" s="124"/>
      <c r="GDI993" s="124"/>
      <c r="GDJ993" s="124"/>
      <c r="GDK993" s="124"/>
      <c r="GDL993" s="124"/>
      <c r="GDM993" s="124"/>
      <c r="GDN993" s="124"/>
      <c r="GDO993" s="124"/>
      <c r="GDP993" s="124"/>
      <c r="GDQ993" s="124"/>
      <c r="GDR993" s="124"/>
      <c r="GDS993" s="124"/>
      <c r="GDT993" s="124"/>
      <c r="GDU993" s="124"/>
      <c r="GDV993" s="124"/>
      <c r="GDW993" s="124"/>
      <c r="GDX993" s="124"/>
      <c r="GDY993" s="124"/>
      <c r="GDZ993" s="124"/>
      <c r="GEA993" s="124"/>
      <c r="GEB993" s="124"/>
      <c r="GEC993" s="124"/>
      <c r="GED993" s="124"/>
      <c r="GEE993" s="124"/>
      <c r="GEF993" s="124"/>
      <c r="GEG993" s="124"/>
      <c r="GEH993" s="124"/>
      <c r="GEI993" s="124"/>
      <c r="GEJ993" s="124"/>
      <c r="GEK993" s="124"/>
      <c r="GEL993" s="124"/>
      <c r="GEM993" s="124"/>
      <c r="GEN993" s="124"/>
      <c r="GEO993" s="124"/>
      <c r="GEP993" s="124"/>
      <c r="GEQ993" s="124"/>
      <c r="GER993" s="124"/>
      <c r="GES993" s="124"/>
      <c r="GET993" s="124"/>
      <c r="GEU993" s="124"/>
      <c r="GEV993" s="124"/>
      <c r="GEW993" s="124"/>
      <c r="GEX993" s="124"/>
      <c r="GEY993" s="124"/>
      <c r="GEZ993" s="124"/>
      <c r="GFA993" s="124"/>
      <c r="GFB993" s="124"/>
      <c r="GFC993" s="124"/>
      <c r="GFD993" s="124"/>
      <c r="GFE993" s="124"/>
      <c r="GFF993" s="124"/>
      <c r="GFG993" s="124"/>
      <c r="GFH993" s="124"/>
      <c r="GFI993" s="124"/>
      <c r="GFJ993" s="124"/>
      <c r="GFK993" s="124"/>
      <c r="GFL993" s="124"/>
      <c r="GFM993" s="124"/>
      <c r="GFN993" s="124"/>
      <c r="GFO993" s="124"/>
      <c r="GFP993" s="124"/>
      <c r="GFQ993" s="124"/>
      <c r="GFR993" s="124"/>
      <c r="GFS993" s="124"/>
      <c r="GFT993" s="124"/>
      <c r="GFU993" s="124"/>
      <c r="GFV993" s="124"/>
      <c r="GFW993" s="124"/>
      <c r="GFX993" s="124"/>
      <c r="GFY993" s="124"/>
      <c r="GFZ993" s="124"/>
      <c r="GGA993" s="124"/>
      <c r="GGB993" s="124"/>
      <c r="GGC993" s="124"/>
      <c r="GGD993" s="124"/>
      <c r="GGE993" s="124"/>
      <c r="GGF993" s="124"/>
      <c r="GGG993" s="124"/>
      <c r="GGH993" s="124"/>
      <c r="GGI993" s="124"/>
      <c r="GGJ993" s="124"/>
      <c r="GGK993" s="124"/>
      <c r="GGL993" s="124"/>
      <c r="GGM993" s="124"/>
      <c r="GGN993" s="124"/>
      <c r="GGO993" s="124"/>
      <c r="GGP993" s="124"/>
      <c r="GGQ993" s="124"/>
      <c r="GGR993" s="124"/>
      <c r="GGS993" s="124"/>
      <c r="GGT993" s="124"/>
      <c r="GGU993" s="124"/>
      <c r="GGV993" s="124"/>
      <c r="GGW993" s="124"/>
      <c r="GGX993" s="124"/>
      <c r="GGY993" s="124"/>
      <c r="GGZ993" s="124"/>
      <c r="GHA993" s="124"/>
      <c r="GHB993" s="124"/>
      <c r="GHC993" s="124"/>
      <c r="GHD993" s="124"/>
      <c r="GHE993" s="124"/>
      <c r="GHF993" s="124"/>
      <c r="GHG993" s="124"/>
      <c r="GHH993" s="124"/>
      <c r="GHI993" s="124"/>
      <c r="GHJ993" s="124"/>
      <c r="GHK993" s="124"/>
      <c r="GHL993" s="124"/>
      <c r="GHM993" s="124"/>
      <c r="GHN993" s="124"/>
      <c r="GHO993" s="124"/>
      <c r="GHP993" s="124"/>
      <c r="GHQ993" s="124"/>
      <c r="GHR993" s="124"/>
      <c r="GHS993" s="124"/>
      <c r="GHT993" s="124"/>
      <c r="GHU993" s="124"/>
      <c r="GHV993" s="124"/>
      <c r="GHW993" s="124"/>
      <c r="GHX993" s="124"/>
      <c r="GHY993" s="124"/>
      <c r="GHZ993" s="124"/>
      <c r="GIA993" s="124"/>
      <c r="GIB993" s="124"/>
      <c r="GIC993" s="124"/>
      <c r="GID993" s="124"/>
      <c r="GIE993" s="124"/>
      <c r="GIF993" s="124"/>
      <c r="GIG993" s="124"/>
      <c r="GIH993" s="124"/>
      <c r="GII993" s="124"/>
      <c r="GIJ993" s="124"/>
      <c r="GIK993" s="124"/>
      <c r="GIL993" s="124"/>
      <c r="GIM993" s="124"/>
      <c r="GIN993" s="124"/>
      <c r="GIO993" s="124"/>
      <c r="GIP993" s="124"/>
      <c r="GIQ993" s="124"/>
      <c r="GIR993" s="124"/>
      <c r="GIS993" s="124"/>
      <c r="GIT993" s="124"/>
      <c r="GIU993" s="124"/>
      <c r="GIV993" s="124"/>
      <c r="GIW993" s="124"/>
      <c r="GIX993" s="124"/>
      <c r="GIY993" s="124"/>
      <c r="GIZ993" s="124"/>
      <c r="GJA993" s="124"/>
      <c r="GJB993" s="124"/>
      <c r="GJC993" s="124"/>
      <c r="GJD993" s="124"/>
      <c r="GJE993" s="124"/>
      <c r="GJF993" s="124"/>
      <c r="GJG993" s="124"/>
      <c r="GJH993" s="124"/>
      <c r="GJI993" s="124"/>
      <c r="GJJ993" s="124"/>
      <c r="GJK993" s="124"/>
      <c r="GJL993" s="124"/>
      <c r="GJM993" s="124"/>
      <c r="GJN993" s="124"/>
      <c r="GJO993" s="124"/>
      <c r="GJP993" s="124"/>
      <c r="GJQ993" s="124"/>
      <c r="GJR993" s="124"/>
      <c r="GJS993" s="124"/>
      <c r="GJT993" s="124"/>
      <c r="GJU993" s="124"/>
      <c r="GJV993" s="124"/>
      <c r="GJW993" s="124"/>
      <c r="GJX993" s="124"/>
      <c r="GJY993" s="124"/>
      <c r="GJZ993" s="124"/>
      <c r="GKA993" s="124"/>
      <c r="GKB993" s="124"/>
      <c r="GKC993" s="124"/>
      <c r="GKD993" s="124"/>
      <c r="GKE993" s="124"/>
      <c r="GKF993" s="124"/>
      <c r="GKG993" s="124"/>
      <c r="GKH993" s="124"/>
      <c r="GKI993" s="124"/>
      <c r="GKJ993" s="124"/>
      <c r="GKK993" s="124"/>
      <c r="GKL993" s="124"/>
      <c r="GKM993" s="124"/>
      <c r="GKN993" s="124"/>
      <c r="GKO993" s="124"/>
      <c r="GKP993" s="124"/>
      <c r="GKQ993" s="124"/>
      <c r="GKR993" s="124"/>
      <c r="GKS993" s="124"/>
      <c r="GKT993" s="124"/>
      <c r="GKU993" s="124"/>
      <c r="GKV993" s="124"/>
      <c r="GKW993" s="124"/>
      <c r="GKX993" s="124"/>
      <c r="GKY993" s="124"/>
      <c r="GKZ993" s="124"/>
      <c r="GLA993" s="124"/>
      <c r="GLB993" s="124"/>
      <c r="GLC993" s="124"/>
      <c r="GLD993" s="124"/>
      <c r="GLE993" s="124"/>
      <c r="GLF993" s="124"/>
      <c r="GLG993" s="124"/>
      <c r="GLH993" s="124"/>
      <c r="GLI993" s="124"/>
      <c r="GLJ993" s="124"/>
      <c r="GLK993" s="124"/>
      <c r="GLL993" s="124"/>
      <c r="GLM993" s="124"/>
      <c r="GLN993" s="124"/>
      <c r="GLO993" s="124"/>
      <c r="GLP993" s="124"/>
      <c r="GLQ993" s="124"/>
      <c r="GLR993" s="124"/>
      <c r="GLS993" s="124"/>
      <c r="GLT993" s="124"/>
      <c r="GLU993" s="124"/>
      <c r="GLV993" s="124"/>
      <c r="GLW993" s="124"/>
      <c r="GLX993" s="124"/>
      <c r="GLY993" s="124"/>
      <c r="GLZ993" s="124"/>
      <c r="GMA993" s="124"/>
      <c r="GMB993" s="124"/>
      <c r="GMC993" s="124"/>
      <c r="GMD993" s="124"/>
      <c r="GME993" s="124"/>
      <c r="GMF993" s="124"/>
      <c r="GMG993" s="124"/>
      <c r="GMH993" s="124"/>
      <c r="GMI993" s="124"/>
      <c r="GMJ993" s="124"/>
      <c r="GMK993" s="124"/>
      <c r="GML993" s="124"/>
      <c r="GMM993" s="124"/>
      <c r="GMN993" s="124"/>
      <c r="GMO993" s="124"/>
      <c r="GMP993" s="124"/>
      <c r="GMQ993" s="124"/>
      <c r="GMR993" s="124"/>
      <c r="GMS993" s="124"/>
      <c r="GMT993" s="124"/>
      <c r="GMU993" s="124"/>
      <c r="GMV993" s="124"/>
      <c r="GMW993" s="124"/>
      <c r="GMX993" s="124"/>
      <c r="GMY993" s="124"/>
      <c r="GMZ993" s="124"/>
      <c r="GNA993" s="124"/>
      <c r="GNB993" s="124"/>
      <c r="GNC993" s="124"/>
      <c r="GND993" s="124"/>
      <c r="GNE993" s="124"/>
      <c r="GNF993" s="124"/>
      <c r="GNG993" s="124"/>
      <c r="GNH993" s="124"/>
      <c r="GNI993" s="124"/>
      <c r="GNJ993" s="124"/>
      <c r="GNK993" s="124"/>
      <c r="GNL993" s="124"/>
      <c r="GNM993" s="124"/>
      <c r="GNN993" s="124"/>
      <c r="GNO993" s="124"/>
      <c r="GNP993" s="124"/>
      <c r="GNQ993" s="124"/>
      <c r="GNR993" s="124"/>
      <c r="GNS993" s="124"/>
      <c r="GNT993" s="124"/>
      <c r="GNU993" s="124"/>
      <c r="GNV993" s="124"/>
      <c r="GNW993" s="124"/>
      <c r="GNX993" s="124"/>
      <c r="GNY993" s="124"/>
      <c r="GNZ993" s="124"/>
      <c r="GOA993" s="124"/>
      <c r="GOB993" s="124"/>
      <c r="GOC993" s="124"/>
      <c r="GOD993" s="124"/>
      <c r="GOE993" s="124"/>
      <c r="GOF993" s="124"/>
      <c r="GOG993" s="124"/>
      <c r="GOH993" s="124"/>
      <c r="GOI993" s="124"/>
      <c r="GOJ993" s="124"/>
      <c r="GOK993" s="124"/>
      <c r="GOL993" s="124"/>
      <c r="GOM993" s="124"/>
      <c r="GON993" s="124"/>
      <c r="GOO993" s="124"/>
      <c r="GOP993" s="124"/>
      <c r="GOQ993" s="124"/>
      <c r="GOR993" s="124"/>
      <c r="GOS993" s="124"/>
      <c r="GOT993" s="124"/>
      <c r="GOU993" s="124"/>
      <c r="GOV993" s="124"/>
      <c r="GOW993" s="124"/>
      <c r="GOX993" s="124"/>
      <c r="GOY993" s="124"/>
      <c r="GOZ993" s="124"/>
      <c r="GPA993" s="124"/>
      <c r="GPB993" s="124"/>
      <c r="GPC993" s="124"/>
      <c r="GPD993" s="124"/>
      <c r="GPE993" s="124"/>
      <c r="GPF993" s="124"/>
      <c r="GPG993" s="124"/>
      <c r="GPH993" s="124"/>
      <c r="GPI993" s="124"/>
      <c r="GPJ993" s="124"/>
      <c r="GPK993" s="124"/>
      <c r="GPL993" s="124"/>
      <c r="GPM993" s="124"/>
      <c r="GPN993" s="124"/>
      <c r="GPO993" s="124"/>
      <c r="GPP993" s="124"/>
      <c r="GPQ993" s="124"/>
      <c r="GPR993" s="124"/>
      <c r="GPS993" s="124"/>
      <c r="GPT993" s="124"/>
      <c r="GPU993" s="124"/>
      <c r="GPV993" s="124"/>
      <c r="GPW993" s="124"/>
      <c r="GPX993" s="124"/>
      <c r="GPY993" s="124"/>
      <c r="GPZ993" s="124"/>
      <c r="GQA993" s="124"/>
      <c r="GQB993" s="124"/>
      <c r="GQC993" s="124"/>
      <c r="GQD993" s="124"/>
      <c r="GQE993" s="124"/>
      <c r="GQF993" s="124"/>
      <c r="GQG993" s="124"/>
      <c r="GQH993" s="124"/>
      <c r="GQI993" s="124"/>
      <c r="GQJ993" s="124"/>
      <c r="GQK993" s="124"/>
      <c r="GQL993" s="124"/>
      <c r="GQM993" s="124"/>
      <c r="GQN993" s="124"/>
      <c r="GQO993" s="124"/>
      <c r="GQP993" s="124"/>
      <c r="GQQ993" s="124"/>
      <c r="GQR993" s="124"/>
      <c r="GQS993" s="124"/>
      <c r="GQT993" s="124"/>
      <c r="GQU993" s="124"/>
      <c r="GQV993" s="124"/>
      <c r="GQW993" s="124"/>
      <c r="GQX993" s="124"/>
      <c r="GQY993" s="124"/>
      <c r="GQZ993" s="124"/>
      <c r="GRA993" s="124"/>
      <c r="GRB993" s="124"/>
      <c r="GRC993" s="124"/>
      <c r="GRD993" s="124"/>
      <c r="GRE993" s="124"/>
      <c r="GRF993" s="124"/>
      <c r="GRG993" s="124"/>
      <c r="GRH993" s="124"/>
      <c r="GRI993" s="124"/>
      <c r="GRJ993" s="124"/>
      <c r="GRK993" s="124"/>
      <c r="GRL993" s="124"/>
      <c r="GRM993" s="124"/>
      <c r="GRN993" s="124"/>
      <c r="GRO993" s="124"/>
      <c r="GRP993" s="124"/>
      <c r="GRQ993" s="124"/>
      <c r="GRR993" s="124"/>
      <c r="GRS993" s="124"/>
      <c r="GRT993" s="124"/>
      <c r="GRU993" s="124"/>
      <c r="GRV993" s="124"/>
      <c r="GRW993" s="124"/>
      <c r="GRX993" s="124"/>
      <c r="GRY993" s="124"/>
      <c r="GRZ993" s="124"/>
      <c r="GSA993" s="124"/>
      <c r="GSB993" s="124"/>
      <c r="GSC993" s="124"/>
      <c r="GSD993" s="124"/>
      <c r="GSE993" s="124"/>
      <c r="GSF993" s="124"/>
      <c r="GSG993" s="124"/>
      <c r="GSH993" s="124"/>
      <c r="GSI993" s="124"/>
      <c r="GSJ993" s="124"/>
      <c r="GSK993" s="124"/>
      <c r="GSL993" s="124"/>
      <c r="GSM993" s="124"/>
      <c r="GSN993" s="124"/>
      <c r="GSO993" s="124"/>
      <c r="GSP993" s="124"/>
      <c r="GSQ993" s="124"/>
      <c r="GSR993" s="124"/>
      <c r="GSS993" s="124"/>
      <c r="GST993" s="124"/>
      <c r="GSU993" s="124"/>
      <c r="GSV993" s="124"/>
      <c r="GSW993" s="124"/>
      <c r="GSX993" s="124"/>
      <c r="GSY993" s="124"/>
      <c r="GSZ993" s="124"/>
      <c r="GTA993" s="124"/>
      <c r="GTB993" s="124"/>
      <c r="GTC993" s="124"/>
      <c r="GTD993" s="124"/>
      <c r="GTE993" s="124"/>
      <c r="GTF993" s="124"/>
      <c r="GTG993" s="124"/>
      <c r="GTH993" s="124"/>
      <c r="GTI993" s="124"/>
      <c r="GTJ993" s="124"/>
      <c r="GTK993" s="124"/>
      <c r="GTL993" s="124"/>
      <c r="GTM993" s="124"/>
      <c r="GTN993" s="124"/>
      <c r="GTO993" s="124"/>
      <c r="GTP993" s="124"/>
      <c r="GTQ993" s="124"/>
      <c r="GTR993" s="124"/>
      <c r="GTS993" s="124"/>
      <c r="GTT993" s="124"/>
      <c r="GTU993" s="124"/>
      <c r="GTV993" s="124"/>
      <c r="GTW993" s="124"/>
      <c r="GTX993" s="124"/>
      <c r="GTY993" s="124"/>
      <c r="GTZ993" s="124"/>
      <c r="GUA993" s="124"/>
      <c r="GUB993" s="124"/>
      <c r="GUC993" s="124"/>
      <c r="GUD993" s="124"/>
      <c r="GUE993" s="124"/>
      <c r="GUF993" s="124"/>
      <c r="GUG993" s="124"/>
      <c r="GUH993" s="124"/>
      <c r="GUI993" s="124"/>
      <c r="GUJ993" s="124"/>
      <c r="GUK993" s="124"/>
      <c r="GUL993" s="124"/>
      <c r="GUM993" s="124"/>
      <c r="GUN993" s="124"/>
      <c r="GUO993" s="124"/>
      <c r="GUP993" s="124"/>
      <c r="GUQ993" s="124"/>
      <c r="GUR993" s="124"/>
      <c r="GUS993" s="124"/>
      <c r="GUT993" s="124"/>
      <c r="GUU993" s="124"/>
      <c r="GUV993" s="124"/>
      <c r="GUW993" s="124"/>
      <c r="GUX993" s="124"/>
      <c r="GUY993" s="124"/>
      <c r="GUZ993" s="124"/>
      <c r="GVA993" s="124"/>
      <c r="GVB993" s="124"/>
      <c r="GVC993" s="124"/>
      <c r="GVD993" s="124"/>
      <c r="GVE993" s="124"/>
      <c r="GVF993" s="124"/>
      <c r="GVG993" s="124"/>
      <c r="GVH993" s="124"/>
      <c r="GVI993" s="124"/>
      <c r="GVJ993" s="124"/>
      <c r="GVK993" s="124"/>
      <c r="GVL993" s="124"/>
      <c r="GVM993" s="124"/>
      <c r="GVN993" s="124"/>
      <c r="GVO993" s="124"/>
      <c r="GVP993" s="124"/>
      <c r="GVQ993" s="124"/>
      <c r="GVR993" s="124"/>
      <c r="GVS993" s="124"/>
      <c r="GVT993" s="124"/>
      <c r="GVU993" s="124"/>
      <c r="GVV993" s="124"/>
      <c r="GVW993" s="124"/>
      <c r="GVX993" s="124"/>
      <c r="GVY993" s="124"/>
      <c r="GVZ993" s="124"/>
      <c r="GWA993" s="124"/>
      <c r="GWB993" s="124"/>
      <c r="GWC993" s="124"/>
      <c r="GWD993" s="124"/>
      <c r="GWE993" s="124"/>
      <c r="GWF993" s="124"/>
      <c r="GWG993" s="124"/>
      <c r="GWH993" s="124"/>
      <c r="GWI993" s="124"/>
      <c r="GWJ993" s="124"/>
      <c r="GWK993" s="124"/>
      <c r="GWL993" s="124"/>
      <c r="GWM993" s="124"/>
      <c r="GWN993" s="124"/>
      <c r="GWO993" s="124"/>
      <c r="GWP993" s="124"/>
      <c r="GWQ993" s="124"/>
      <c r="GWR993" s="124"/>
      <c r="GWS993" s="124"/>
      <c r="GWT993" s="124"/>
      <c r="GWU993" s="124"/>
      <c r="GWV993" s="124"/>
      <c r="GWW993" s="124"/>
      <c r="GWX993" s="124"/>
      <c r="GWY993" s="124"/>
      <c r="GWZ993" s="124"/>
      <c r="GXA993" s="124"/>
      <c r="GXB993" s="124"/>
      <c r="GXC993" s="124"/>
      <c r="GXD993" s="124"/>
      <c r="GXE993" s="124"/>
      <c r="GXF993" s="124"/>
      <c r="GXG993" s="124"/>
      <c r="GXH993" s="124"/>
      <c r="GXI993" s="124"/>
      <c r="GXJ993" s="124"/>
      <c r="GXK993" s="124"/>
      <c r="GXL993" s="124"/>
      <c r="GXM993" s="124"/>
      <c r="GXN993" s="124"/>
      <c r="GXO993" s="124"/>
      <c r="GXP993" s="124"/>
      <c r="GXQ993" s="124"/>
      <c r="GXR993" s="124"/>
      <c r="GXS993" s="124"/>
      <c r="GXT993" s="124"/>
      <c r="GXU993" s="124"/>
      <c r="GXV993" s="124"/>
      <c r="GXW993" s="124"/>
      <c r="GXX993" s="124"/>
      <c r="GXY993" s="124"/>
      <c r="GXZ993" s="124"/>
      <c r="GYA993" s="124"/>
      <c r="GYB993" s="124"/>
      <c r="GYC993" s="124"/>
      <c r="GYD993" s="124"/>
      <c r="GYE993" s="124"/>
      <c r="GYF993" s="124"/>
      <c r="GYG993" s="124"/>
      <c r="GYH993" s="124"/>
      <c r="GYI993" s="124"/>
      <c r="GYJ993" s="124"/>
      <c r="GYK993" s="124"/>
      <c r="GYL993" s="124"/>
      <c r="GYM993" s="124"/>
      <c r="GYN993" s="124"/>
      <c r="GYO993" s="124"/>
      <c r="GYP993" s="124"/>
      <c r="GYQ993" s="124"/>
      <c r="GYR993" s="124"/>
      <c r="GYS993" s="124"/>
      <c r="GYT993" s="124"/>
      <c r="GYU993" s="124"/>
      <c r="GYV993" s="124"/>
      <c r="GYW993" s="124"/>
      <c r="GYX993" s="124"/>
      <c r="GYY993" s="124"/>
      <c r="GYZ993" s="124"/>
      <c r="GZA993" s="124"/>
      <c r="GZB993" s="124"/>
      <c r="GZC993" s="124"/>
      <c r="GZD993" s="124"/>
      <c r="GZE993" s="124"/>
      <c r="GZF993" s="124"/>
      <c r="GZG993" s="124"/>
      <c r="GZH993" s="124"/>
      <c r="GZI993" s="124"/>
      <c r="GZJ993" s="124"/>
      <c r="GZK993" s="124"/>
      <c r="GZL993" s="124"/>
      <c r="GZM993" s="124"/>
      <c r="GZN993" s="124"/>
      <c r="GZO993" s="124"/>
      <c r="GZP993" s="124"/>
      <c r="GZQ993" s="124"/>
      <c r="GZR993" s="124"/>
      <c r="GZS993" s="124"/>
      <c r="GZT993" s="124"/>
      <c r="GZU993" s="124"/>
      <c r="GZV993" s="124"/>
      <c r="GZW993" s="124"/>
      <c r="GZX993" s="124"/>
      <c r="GZY993" s="124"/>
      <c r="GZZ993" s="124"/>
      <c r="HAA993" s="124"/>
      <c r="HAB993" s="124"/>
      <c r="HAC993" s="124"/>
      <c r="HAD993" s="124"/>
      <c r="HAE993" s="124"/>
      <c r="HAF993" s="124"/>
      <c r="HAG993" s="124"/>
      <c r="HAH993" s="124"/>
      <c r="HAI993" s="124"/>
      <c r="HAJ993" s="124"/>
      <c r="HAK993" s="124"/>
      <c r="HAL993" s="124"/>
      <c r="HAM993" s="124"/>
      <c r="HAN993" s="124"/>
      <c r="HAO993" s="124"/>
      <c r="HAP993" s="124"/>
      <c r="HAQ993" s="124"/>
      <c r="HAR993" s="124"/>
      <c r="HAS993" s="124"/>
      <c r="HAT993" s="124"/>
      <c r="HAU993" s="124"/>
      <c r="HAV993" s="124"/>
      <c r="HAW993" s="124"/>
      <c r="HAX993" s="124"/>
      <c r="HAY993" s="124"/>
      <c r="HAZ993" s="124"/>
      <c r="HBA993" s="124"/>
      <c r="HBB993" s="124"/>
      <c r="HBC993" s="124"/>
      <c r="HBD993" s="124"/>
      <c r="HBE993" s="124"/>
      <c r="HBF993" s="124"/>
      <c r="HBG993" s="124"/>
      <c r="HBH993" s="124"/>
      <c r="HBI993" s="124"/>
      <c r="HBJ993" s="124"/>
      <c r="HBK993" s="124"/>
      <c r="HBL993" s="124"/>
      <c r="HBM993" s="124"/>
      <c r="HBN993" s="124"/>
      <c r="HBO993" s="124"/>
      <c r="HBP993" s="124"/>
      <c r="HBQ993" s="124"/>
      <c r="HBR993" s="124"/>
      <c r="HBS993" s="124"/>
      <c r="HBT993" s="124"/>
      <c r="HBU993" s="124"/>
      <c r="HBV993" s="124"/>
      <c r="HBW993" s="124"/>
      <c r="HBX993" s="124"/>
      <c r="HBY993" s="124"/>
      <c r="HBZ993" s="124"/>
      <c r="HCA993" s="124"/>
      <c r="HCB993" s="124"/>
      <c r="HCC993" s="124"/>
      <c r="HCD993" s="124"/>
      <c r="HCE993" s="124"/>
      <c r="HCF993" s="124"/>
      <c r="HCG993" s="124"/>
      <c r="HCH993" s="124"/>
      <c r="HCI993" s="124"/>
      <c r="HCJ993" s="124"/>
      <c r="HCK993" s="124"/>
      <c r="HCL993" s="124"/>
      <c r="HCM993" s="124"/>
      <c r="HCN993" s="124"/>
      <c r="HCO993" s="124"/>
      <c r="HCP993" s="124"/>
      <c r="HCQ993" s="124"/>
      <c r="HCR993" s="124"/>
      <c r="HCS993" s="124"/>
      <c r="HCT993" s="124"/>
      <c r="HCU993" s="124"/>
      <c r="HCV993" s="124"/>
      <c r="HCW993" s="124"/>
      <c r="HCX993" s="124"/>
      <c r="HCY993" s="124"/>
      <c r="HCZ993" s="124"/>
      <c r="HDA993" s="124"/>
      <c r="HDB993" s="124"/>
      <c r="HDC993" s="124"/>
      <c r="HDD993" s="124"/>
      <c r="HDE993" s="124"/>
      <c r="HDF993" s="124"/>
      <c r="HDG993" s="124"/>
      <c r="HDH993" s="124"/>
      <c r="HDI993" s="124"/>
      <c r="HDJ993" s="124"/>
      <c r="HDK993" s="124"/>
      <c r="HDL993" s="124"/>
      <c r="HDM993" s="124"/>
      <c r="HDN993" s="124"/>
      <c r="HDO993" s="124"/>
      <c r="HDP993" s="124"/>
      <c r="HDQ993" s="124"/>
      <c r="HDR993" s="124"/>
      <c r="HDS993" s="124"/>
      <c r="HDT993" s="124"/>
      <c r="HDU993" s="124"/>
      <c r="HDV993" s="124"/>
      <c r="HDW993" s="124"/>
      <c r="HDX993" s="124"/>
      <c r="HDY993" s="124"/>
      <c r="HDZ993" s="124"/>
      <c r="HEA993" s="124"/>
      <c r="HEB993" s="124"/>
      <c r="HEC993" s="124"/>
      <c r="HED993" s="124"/>
      <c r="HEE993" s="124"/>
      <c r="HEF993" s="124"/>
      <c r="HEG993" s="124"/>
      <c r="HEH993" s="124"/>
      <c r="HEI993" s="124"/>
      <c r="HEJ993" s="124"/>
      <c r="HEK993" s="124"/>
      <c r="HEL993" s="124"/>
      <c r="HEM993" s="124"/>
      <c r="HEN993" s="124"/>
      <c r="HEO993" s="124"/>
      <c r="HEP993" s="124"/>
      <c r="HEQ993" s="124"/>
      <c r="HER993" s="124"/>
      <c r="HES993" s="124"/>
      <c r="HET993" s="124"/>
      <c r="HEU993" s="124"/>
      <c r="HEV993" s="124"/>
      <c r="HEW993" s="124"/>
      <c r="HEX993" s="124"/>
      <c r="HEY993" s="124"/>
      <c r="HEZ993" s="124"/>
      <c r="HFA993" s="124"/>
      <c r="HFB993" s="124"/>
      <c r="HFC993" s="124"/>
      <c r="HFD993" s="124"/>
      <c r="HFE993" s="124"/>
      <c r="HFF993" s="124"/>
      <c r="HFG993" s="124"/>
      <c r="HFH993" s="124"/>
      <c r="HFI993" s="124"/>
      <c r="HFJ993" s="124"/>
      <c r="HFK993" s="124"/>
      <c r="HFL993" s="124"/>
      <c r="HFM993" s="124"/>
      <c r="HFN993" s="124"/>
      <c r="HFO993" s="124"/>
      <c r="HFP993" s="124"/>
      <c r="HFQ993" s="124"/>
      <c r="HFR993" s="124"/>
      <c r="HFS993" s="124"/>
      <c r="HFT993" s="124"/>
      <c r="HFU993" s="124"/>
      <c r="HFV993" s="124"/>
      <c r="HFW993" s="124"/>
      <c r="HFX993" s="124"/>
      <c r="HFY993" s="124"/>
      <c r="HFZ993" s="124"/>
      <c r="HGA993" s="124"/>
      <c r="HGB993" s="124"/>
      <c r="HGC993" s="124"/>
      <c r="HGD993" s="124"/>
      <c r="HGE993" s="124"/>
      <c r="HGF993" s="124"/>
      <c r="HGG993" s="124"/>
      <c r="HGH993" s="124"/>
      <c r="HGI993" s="124"/>
      <c r="HGJ993" s="124"/>
      <c r="HGK993" s="124"/>
      <c r="HGL993" s="124"/>
      <c r="HGM993" s="124"/>
      <c r="HGN993" s="124"/>
      <c r="HGO993" s="124"/>
      <c r="HGP993" s="124"/>
      <c r="HGQ993" s="124"/>
      <c r="HGR993" s="124"/>
      <c r="HGS993" s="124"/>
      <c r="HGT993" s="124"/>
      <c r="HGU993" s="124"/>
      <c r="HGV993" s="124"/>
      <c r="HGW993" s="124"/>
      <c r="HGX993" s="124"/>
      <c r="HGY993" s="124"/>
      <c r="HGZ993" s="124"/>
      <c r="HHA993" s="124"/>
      <c r="HHB993" s="124"/>
      <c r="HHC993" s="124"/>
      <c r="HHD993" s="124"/>
      <c r="HHE993" s="124"/>
      <c r="HHF993" s="124"/>
      <c r="HHG993" s="124"/>
      <c r="HHH993" s="124"/>
      <c r="HHI993" s="124"/>
      <c r="HHJ993" s="124"/>
      <c r="HHK993" s="124"/>
      <c r="HHL993" s="124"/>
      <c r="HHM993" s="124"/>
      <c r="HHN993" s="124"/>
      <c r="HHO993" s="124"/>
      <c r="HHP993" s="124"/>
      <c r="HHQ993" s="124"/>
      <c r="HHR993" s="124"/>
      <c r="HHS993" s="124"/>
      <c r="HHT993" s="124"/>
      <c r="HHU993" s="124"/>
      <c r="HHV993" s="124"/>
      <c r="HHW993" s="124"/>
      <c r="HHX993" s="124"/>
      <c r="HHY993" s="124"/>
      <c r="HHZ993" s="124"/>
      <c r="HIA993" s="124"/>
      <c r="HIB993" s="124"/>
      <c r="HIC993" s="124"/>
      <c r="HID993" s="124"/>
      <c r="HIE993" s="124"/>
      <c r="HIF993" s="124"/>
      <c r="HIG993" s="124"/>
      <c r="HIH993" s="124"/>
      <c r="HII993" s="124"/>
      <c r="HIJ993" s="124"/>
      <c r="HIK993" s="124"/>
      <c r="HIL993" s="124"/>
      <c r="HIM993" s="124"/>
      <c r="HIN993" s="124"/>
      <c r="HIO993" s="124"/>
      <c r="HIP993" s="124"/>
      <c r="HIQ993" s="124"/>
      <c r="HIR993" s="124"/>
      <c r="HIS993" s="124"/>
      <c r="HIT993" s="124"/>
      <c r="HIU993" s="124"/>
      <c r="HIV993" s="124"/>
      <c r="HIW993" s="124"/>
      <c r="HIX993" s="124"/>
      <c r="HIY993" s="124"/>
      <c r="HIZ993" s="124"/>
      <c r="HJA993" s="124"/>
      <c r="HJB993" s="124"/>
      <c r="HJC993" s="124"/>
      <c r="HJD993" s="124"/>
      <c r="HJE993" s="124"/>
      <c r="HJF993" s="124"/>
      <c r="HJG993" s="124"/>
      <c r="HJH993" s="124"/>
      <c r="HJI993" s="124"/>
      <c r="HJJ993" s="124"/>
      <c r="HJK993" s="124"/>
      <c r="HJL993" s="124"/>
      <c r="HJM993" s="124"/>
      <c r="HJN993" s="124"/>
      <c r="HJO993" s="124"/>
      <c r="HJP993" s="124"/>
      <c r="HJQ993" s="124"/>
      <c r="HJR993" s="124"/>
      <c r="HJS993" s="124"/>
      <c r="HJT993" s="124"/>
      <c r="HJU993" s="124"/>
      <c r="HJV993" s="124"/>
      <c r="HJW993" s="124"/>
      <c r="HJX993" s="124"/>
      <c r="HJY993" s="124"/>
      <c r="HJZ993" s="124"/>
      <c r="HKA993" s="124"/>
      <c r="HKB993" s="124"/>
      <c r="HKC993" s="124"/>
      <c r="HKD993" s="124"/>
      <c r="HKE993" s="124"/>
      <c r="HKF993" s="124"/>
      <c r="HKG993" s="124"/>
      <c r="HKH993" s="124"/>
      <c r="HKI993" s="124"/>
      <c r="HKJ993" s="124"/>
      <c r="HKK993" s="124"/>
      <c r="HKL993" s="124"/>
      <c r="HKM993" s="124"/>
      <c r="HKN993" s="124"/>
      <c r="HKO993" s="124"/>
      <c r="HKP993" s="124"/>
      <c r="HKQ993" s="124"/>
      <c r="HKR993" s="124"/>
      <c r="HKS993" s="124"/>
      <c r="HKT993" s="124"/>
      <c r="HKU993" s="124"/>
      <c r="HKV993" s="124"/>
      <c r="HKW993" s="124"/>
      <c r="HKX993" s="124"/>
      <c r="HKY993" s="124"/>
      <c r="HKZ993" s="124"/>
      <c r="HLA993" s="124"/>
      <c r="HLB993" s="124"/>
      <c r="HLC993" s="124"/>
      <c r="HLD993" s="124"/>
      <c r="HLE993" s="124"/>
      <c r="HLF993" s="124"/>
      <c r="HLG993" s="124"/>
      <c r="HLH993" s="124"/>
      <c r="HLI993" s="124"/>
      <c r="HLJ993" s="124"/>
      <c r="HLK993" s="124"/>
      <c r="HLL993" s="124"/>
      <c r="HLM993" s="124"/>
      <c r="HLN993" s="124"/>
      <c r="HLO993" s="124"/>
      <c r="HLP993" s="124"/>
      <c r="HLQ993" s="124"/>
      <c r="HLR993" s="124"/>
      <c r="HLS993" s="124"/>
      <c r="HLT993" s="124"/>
      <c r="HLU993" s="124"/>
      <c r="HLV993" s="124"/>
      <c r="HLW993" s="124"/>
      <c r="HLX993" s="124"/>
      <c r="HLY993" s="124"/>
      <c r="HLZ993" s="124"/>
      <c r="HMA993" s="124"/>
      <c r="HMB993" s="124"/>
      <c r="HMC993" s="124"/>
      <c r="HMD993" s="124"/>
      <c r="HME993" s="124"/>
      <c r="HMF993" s="124"/>
      <c r="HMG993" s="124"/>
      <c r="HMH993" s="124"/>
      <c r="HMI993" s="124"/>
      <c r="HMJ993" s="124"/>
      <c r="HMK993" s="124"/>
      <c r="HML993" s="124"/>
      <c r="HMM993" s="124"/>
      <c r="HMN993" s="124"/>
      <c r="HMO993" s="124"/>
      <c r="HMP993" s="124"/>
      <c r="HMQ993" s="124"/>
      <c r="HMR993" s="124"/>
      <c r="HMS993" s="124"/>
      <c r="HMT993" s="124"/>
      <c r="HMU993" s="124"/>
      <c r="HMV993" s="124"/>
      <c r="HMW993" s="124"/>
      <c r="HMX993" s="124"/>
      <c r="HMY993" s="124"/>
      <c r="HMZ993" s="124"/>
      <c r="HNA993" s="124"/>
      <c r="HNB993" s="124"/>
      <c r="HNC993" s="124"/>
      <c r="HND993" s="124"/>
      <c r="HNE993" s="124"/>
      <c r="HNF993" s="124"/>
      <c r="HNG993" s="124"/>
      <c r="HNH993" s="124"/>
      <c r="HNI993" s="124"/>
      <c r="HNJ993" s="124"/>
      <c r="HNK993" s="124"/>
      <c r="HNL993" s="124"/>
      <c r="HNM993" s="124"/>
      <c r="HNN993" s="124"/>
      <c r="HNO993" s="124"/>
      <c r="HNP993" s="124"/>
      <c r="HNQ993" s="124"/>
      <c r="HNR993" s="124"/>
      <c r="HNS993" s="124"/>
      <c r="HNT993" s="124"/>
      <c r="HNU993" s="124"/>
      <c r="HNV993" s="124"/>
      <c r="HNW993" s="124"/>
      <c r="HNX993" s="124"/>
      <c r="HNY993" s="124"/>
      <c r="HNZ993" s="124"/>
      <c r="HOA993" s="124"/>
      <c r="HOB993" s="124"/>
      <c r="HOC993" s="124"/>
      <c r="HOD993" s="124"/>
      <c r="HOE993" s="124"/>
      <c r="HOF993" s="124"/>
      <c r="HOG993" s="124"/>
      <c r="HOH993" s="124"/>
      <c r="HOI993" s="124"/>
      <c r="HOJ993" s="124"/>
      <c r="HOK993" s="124"/>
      <c r="HOL993" s="124"/>
      <c r="HOM993" s="124"/>
      <c r="HON993" s="124"/>
      <c r="HOO993" s="124"/>
      <c r="HOP993" s="124"/>
      <c r="HOQ993" s="124"/>
      <c r="HOR993" s="124"/>
      <c r="HOS993" s="124"/>
      <c r="HOT993" s="124"/>
      <c r="HOU993" s="124"/>
      <c r="HOV993" s="124"/>
      <c r="HOW993" s="124"/>
      <c r="HOX993" s="124"/>
      <c r="HOY993" s="124"/>
      <c r="HOZ993" s="124"/>
      <c r="HPA993" s="124"/>
      <c r="HPB993" s="124"/>
      <c r="HPC993" s="124"/>
      <c r="HPD993" s="124"/>
      <c r="HPE993" s="124"/>
      <c r="HPF993" s="124"/>
      <c r="HPG993" s="124"/>
      <c r="HPH993" s="124"/>
      <c r="HPI993" s="124"/>
      <c r="HPJ993" s="124"/>
      <c r="HPK993" s="124"/>
      <c r="HPL993" s="124"/>
      <c r="HPM993" s="124"/>
      <c r="HPN993" s="124"/>
      <c r="HPO993" s="124"/>
      <c r="HPP993" s="124"/>
      <c r="HPQ993" s="124"/>
      <c r="HPR993" s="124"/>
      <c r="HPS993" s="124"/>
      <c r="HPT993" s="124"/>
      <c r="HPU993" s="124"/>
      <c r="HPV993" s="124"/>
      <c r="HPW993" s="124"/>
      <c r="HPX993" s="124"/>
      <c r="HPY993" s="124"/>
      <c r="HPZ993" s="124"/>
      <c r="HQA993" s="124"/>
      <c r="HQB993" s="124"/>
      <c r="HQC993" s="124"/>
      <c r="HQD993" s="124"/>
      <c r="HQE993" s="124"/>
      <c r="HQF993" s="124"/>
      <c r="HQG993" s="124"/>
      <c r="HQH993" s="124"/>
      <c r="HQI993" s="124"/>
      <c r="HQJ993" s="124"/>
      <c r="HQK993" s="124"/>
      <c r="HQL993" s="124"/>
      <c r="HQM993" s="124"/>
      <c r="HQN993" s="124"/>
      <c r="HQO993" s="124"/>
      <c r="HQP993" s="124"/>
      <c r="HQQ993" s="124"/>
      <c r="HQR993" s="124"/>
      <c r="HQS993" s="124"/>
      <c r="HQT993" s="124"/>
      <c r="HQU993" s="124"/>
      <c r="HQV993" s="124"/>
      <c r="HQW993" s="124"/>
      <c r="HQX993" s="124"/>
      <c r="HQY993" s="124"/>
      <c r="HQZ993" s="124"/>
      <c r="HRA993" s="124"/>
      <c r="HRB993" s="124"/>
      <c r="HRC993" s="124"/>
      <c r="HRD993" s="124"/>
      <c r="HRE993" s="124"/>
      <c r="HRF993" s="124"/>
      <c r="HRG993" s="124"/>
      <c r="HRH993" s="124"/>
      <c r="HRI993" s="124"/>
      <c r="HRJ993" s="124"/>
      <c r="HRK993" s="124"/>
      <c r="HRL993" s="124"/>
      <c r="HRM993" s="124"/>
      <c r="HRN993" s="124"/>
      <c r="HRO993" s="124"/>
      <c r="HRP993" s="124"/>
      <c r="HRQ993" s="124"/>
      <c r="HRR993" s="124"/>
      <c r="HRS993" s="124"/>
      <c r="HRT993" s="124"/>
      <c r="HRU993" s="124"/>
      <c r="HRV993" s="124"/>
      <c r="HRW993" s="124"/>
      <c r="HRX993" s="124"/>
      <c r="HRY993" s="124"/>
      <c r="HRZ993" s="124"/>
      <c r="HSA993" s="124"/>
      <c r="HSB993" s="124"/>
      <c r="HSC993" s="124"/>
      <c r="HSD993" s="124"/>
      <c r="HSE993" s="124"/>
      <c r="HSF993" s="124"/>
      <c r="HSG993" s="124"/>
      <c r="HSH993" s="124"/>
      <c r="HSI993" s="124"/>
      <c r="HSJ993" s="124"/>
      <c r="HSK993" s="124"/>
      <c r="HSL993" s="124"/>
      <c r="HSM993" s="124"/>
      <c r="HSN993" s="124"/>
      <c r="HSO993" s="124"/>
      <c r="HSP993" s="124"/>
      <c r="HSQ993" s="124"/>
      <c r="HSR993" s="124"/>
      <c r="HSS993" s="124"/>
      <c r="HST993" s="124"/>
      <c r="HSU993" s="124"/>
      <c r="HSV993" s="124"/>
      <c r="HSW993" s="124"/>
      <c r="HSX993" s="124"/>
      <c r="HSY993" s="124"/>
      <c r="HSZ993" s="124"/>
      <c r="HTA993" s="124"/>
      <c r="HTB993" s="124"/>
      <c r="HTC993" s="124"/>
      <c r="HTD993" s="124"/>
      <c r="HTE993" s="124"/>
      <c r="HTF993" s="124"/>
      <c r="HTG993" s="124"/>
      <c r="HTH993" s="124"/>
      <c r="HTI993" s="124"/>
      <c r="HTJ993" s="124"/>
      <c r="HTK993" s="124"/>
      <c r="HTL993" s="124"/>
      <c r="HTM993" s="124"/>
      <c r="HTN993" s="124"/>
      <c r="HTO993" s="124"/>
      <c r="HTP993" s="124"/>
      <c r="HTQ993" s="124"/>
      <c r="HTR993" s="124"/>
      <c r="HTS993" s="124"/>
      <c r="HTT993" s="124"/>
      <c r="HTU993" s="124"/>
      <c r="HTV993" s="124"/>
      <c r="HTW993" s="124"/>
      <c r="HTX993" s="124"/>
      <c r="HTY993" s="124"/>
      <c r="HTZ993" s="124"/>
      <c r="HUA993" s="124"/>
      <c r="HUB993" s="124"/>
      <c r="HUC993" s="124"/>
      <c r="HUD993" s="124"/>
      <c r="HUE993" s="124"/>
      <c r="HUF993" s="124"/>
      <c r="HUG993" s="124"/>
      <c r="HUH993" s="124"/>
      <c r="HUI993" s="124"/>
      <c r="HUJ993" s="124"/>
      <c r="HUK993" s="124"/>
      <c r="HUL993" s="124"/>
      <c r="HUM993" s="124"/>
      <c r="HUN993" s="124"/>
      <c r="HUO993" s="124"/>
      <c r="HUP993" s="124"/>
      <c r="HUQ993" s="124"/>
      <c r="HUR993" s="124"/>
      <c r="HUS993" s="124"/>
      <c r="HUT993" s="124"/>
      <c r="HUU993" s="124"/>
      <c r="HUV993" s="124"/>
      <c r="HUW993" s="124"/>
      <c r="HUX993" s="124"/>
      <c r="HUY993" s="124"/>
      <c r="HUZ993" s="124"/>
      <c r="HVA993" s="124"/>
      <c r="HVB993" s="124"/>
      <c r="HVC993" s="124"/>
      <c r="HVD993" s="124"/>
      <c r="HVE993" s="124"/>
      <c r="HVF993" s="124"/>
      <c r="HVG993" s="124"/>
      <c r="HVH993" s="124"/>
      <c r="HVI993" s="124"/>
      <c r="HVJ993" s="124"/>
      <c r="HVK993" s="124"/>
      <c r="HVL993" s="124"/>
      <c r="HVM993" s="124"/>
      <c r="HVN993" s="124"/>
      <c r="HVO993" s="124"/>
      <c r="HVP993" s="124"/>
      <c r="HVQ993" s="124"/>
      <c r="HVR993" s="124"/>
      <c r="HVS993" s="124"/>
      <c r="HVT993" s="124"/>
      <c r="HVU993" s="124"/>
      <c r="HVV993" s="124"/>
      <c r="HVW993" s="124"/>
      <c r="HVX993" s="124"/>
      <c r="HVY993" s="124"/>
      <c r="HVZ993" s="124"/>
      <c r="HWA993" s="124"/>
      <c r="HWB993" s="124"/>
      <c r="HWC993" s="124"/>
      <c r="HWD993" s="124"/>
      <c r="HWE993" s="124"/>
      <c r="HWF993" s="124"/>
      <c r="HWG993" s="124"/>
      <c r="HWH993" s="124"/>
      <c r="HWI993" s="124"/>
      <c r="HWJ993" s="124"/>
      <c r="HWK993" s="124"/>
      <c r="HWL993" s="124"/>
      <c r="HWM993" s="124"/>
      <c r="HWN993" s="124"/>
      <c r="HWO993" s="124"/>
      <c r="HWP993" s="124"/>
      <c r="HWQ993" s="124"/>
      <c r="HWR993" s="124"/>
      <c r="HWS993" s="124"/>
      <c r="HWT993" s="124"/>
      <c r="HWU993" s="124"/>
      <c r="HWV993" s="124"/>
      <c r="HWW993" s="124"/>
      <c r="HWX993" s="124"/>
      <c r="HWY993" s="124"/>
      <c r="HWZ993" s="124"/>
      <c r="HXA993" s="124"/>
      <c r="HXB993" s="124"/>
      <c r="HXC993" s="124"/>
      <c r="HXD993" s="124"/>
      <c r="HXE993" s="124"/>
      <c r="HXF993" s="124"/>
      <c r="HXG993" s="124"/>
      <c r="HXH993" s="124"/>
      <c r="HXI993" s="124"/>
      <c r="HXJ993" s="124"/>
      <c r="HXK993" s="124"/>
      <c r="HXL993" s="124"/>
      <c r="HXM993" s="124"/>
      <c r="HXN993" s="124"/>
      <c r="HXO993" s="124"/>
      <c r="HXP993" s="124"/>
      <c r="HXQ993" s="124"/>
      <c r="HXR993" s="124"/>
      <c r="HXS993" s="124"/>
      <c r="HXT993" s="124"/>
      <c r="HXU993" s="124"/>
      <c r="HXV993" s="124"/>
      <c r="HXW993" s="124"/>
      <c r="HXX993" s="124"/>
      <c r="HXY993" s="124"/>
      <c r="HXZ993" s="124"/>
      <c r="HYA993" s="124"/>
      <c r="HYB993" s="124"/>
      <c r="HYC993" s="124"/>
      <c r="HYD993" s="124"/>
      <c r="HYE993" s="124"/>
      <c r="HYF993" s="124"/>
      <c r="HYG993" s="124"/>
      <c r="HYH993" s="124"/>
      <c r="HYI993" s="124"/>
      <c r="HYJ993" s="124"/>
      <c r="HYK993" s="124"/>
      <c r="HYL993" s="124"/>
      <c r="HYM993" s="124"/>
      <c r="HYN993" s="124"/>
      <c r="HYO993" s="124"/>
      <c r="HYP993" s="124"/>
      <c r="HYQ993" s="124"/>
      <c r="HYR993" s="124"/>
      <c r="HYS993" s="124"/>
      <c r="HYT993" s="124"/>
      <c r="HYU993" s="124"/>
      <c r="HYV993" s="124"/>
      <c r="HYW993" s="124"/>
      <c r="HYX993" s="124"/>
      <c r="HYY993" s="124"/>
      <c r="HYZ993" s="124"/>
      <c r="HZA993" s="124"/>
      <c r="HZB993" s="124"/>
      <c r="HZC993" s="124"/>
      <c r="HZD993" s="124"/>
      <c r="HZE993" s="124"/>
      <c r="HZF993" s="124"/>
      <c r="HZG993" s="124"/>
      <c r="HZH993" s="124"/>
      <c r="HZI993" s="124"/>
      <c r="HZJ993" s="124"/>
      <c r="HZK993" s="124"/>
      <c r="HZL993" s="124"/>
      <c r="HZM993" s="124"/>
      <c r="HZN993" s="124"/>
      <c r="HZO993" s="124"/>
      <c r="HZP993" s="124"/>
      <c r="HZQ993" s="124"/>
      <c r="HZR993" s="124"/>
      <c r="HZS993" s="124"/>
      <c r="HZT993" s="124"/>
      <c r="HZU993" s="124"/>
      <c r="HZV993" s="124"/>
      <c r="HZW993" s="124"/>
      <c r="HZX993" s="124"/>
      <c r="HZY993" s="124"/>
      <c r="HZZ993" s="124"/>
      <c r="IAA993" s="124"/>
      <c r="IAB993" s="124"/>
      <c r="IAC993" s="124"/>
      <c r="IAD993" s="124"/>
      <c r="IAE993" s="124"/>
      <c r="IAF993" s="124"/>
      <c r="IAG993" s="124"/>
      <c r="IAH993" s="124"/>
      <c r="IAI993" s="124"/>
      <c r="IAJ993" s="124"/>
      <c r="IAK993" s="124"/>
      <c r="IAL993" s="124"/>
      <c r="IAM993" s="124"/>
      <c r="IAN993" s="124"/>
      <c r="IAO993" s="124"/>
      <c r="IAP993" s="124"/>
      <c r="IAQ993" s="124"/>
      <c r="IAR993" s="124"/>
      <c r="IAS993" s="124"/>
      <c r="IAT993" s="124"/>
      <c r="IAU993" s="124"/>
      <c r="IAV993" s="124"/>
      <c r="IAW993" s="124"/>
      <c r="IAX993" s="124"/>
      <c r="IAY993" s="124"/>
      <c r="IAZ993" s="124"/>
      <c r="IBA993" s="124"/>
      <c r="IBB993" s="124"/>
      <c r="IBC993" s="124"/>
      <c r="IBD993" s="124"/>
      <c r="IBE993" s="124"/>
      <c r="IBF993" s="124"/>
      <c r="IBG993" s="124"/>
      <c r="IBH993" s="124"/>
      <c r="IBI993" s="124"/>
      <c r="IBJ993" s="124"/>
      <c r="IBK993" s="124"/>
      <c r="IBL993" s="124"/>
      <c r="IBM993" s="124"/>
      <c r="IBN993" s="124"/>
      <c r="IBO993" s="124"/>
      <c r="IBP993" s="124"/>
      <c r="IBQ993" s="124"/>
      <c r="IBR993" s="124"/>
      <c r="IBS993" s="124"/>
      <c r="IBT993" s="124"/>
      <c r="IBU993" s="124"/>
      <c r="IBV993" s="124"/>
      <c r="IBW993" s="124"/>
      <c r="IBX993" s="124"/>
      <c r="IBY993" s="124"/>
      <c r="IBZ993" s="124"/>
      <c r="ICA993" s="124"/>
      <c r="ICB993" s="124"/>
      <c r="ICC993" s="124"/>
      <c r="ICD993" s="124"/>
      <c r="ICE993" s="124"/>
      <c r="ICF993" s="124"/>
      <c r="ICG993" s="124"/>
      <c r="ICH993" s="124"/>
      <c r="ICI993" s="124"/>
      <c r="ICJ993" s="124"/>
      <c r="ICK993" s="124"/>
      <c r="ICL993" s="124"/>
      <c r="ICM993" s="124"/>
      <c r="ICN993" s="124"/>
      <c r="ICO993" s="124"/>
      <c r="ICP993" s="124"/>
      <c r="ICQ993" s="124"/>
      <c r="ICR993" s="124"/>
      <c r="ICS993" s="124"/>
      <c r="ICT993" s="124"/>
      <c r="ICU993" s="124"/>
      <c r="ICV993" s="124"/>
      <c r="ICW993" s="124"/>
      <c r="ICX993" s="124"/>
      <c r="ICY993" s="124"/>
      <c r="ICZ993" s="124"/>
      <c r="IDA993" s="124"/>
      <c r="IDB993" s="124"/>
      <c r="IDC993" s="124"/>
      <c r="IDD993" s="124"/>
      <c r="IDE993" s="124"/>
      <c r="IDF993" s="124"/>
      <c r="IDG993" s="124"/>
      <c r="IDH993" s="124"/>
      <c r="IDI993" s="124"/>
      <c r="IDJ993" s="124"/>
      <c r="IDK993" s="124"/>
      <c r="IDL993" s="124"/>
      <c r="IDM993" s="124"/>
      <c r="IDN993" s="124"/>
      <c r="IDO993" s="124"/>
      <c r="IDP993" s="124"/>
      <c r="IDQ993" s="124"/>
      <c r="IDR993" s="124"/>
      <c r="IDS993" s="124"/>
      <c r="IDT993" s="124"/>
      <c r="IDU993" s="124"/>
      <c r="IDV993" s="124"/>
      <c r="IDW993" s="124"/>
      <c r="IDX993" s="124"/>
      <c r="IDY993" s="124"/>
      <c r="IDZ993" s="124"/>
      <c r="IEA993" s="124"/>
      <c r="IEB993" s="124"/>
      <c r="IEC993" s="124"/>
      <c r="IED993" s="124"/>
      <c r="IEE993" s="124"/>
      <c r="IEF993" s="124"/>
      <c r="IEG993" s="124"/>
      <c r="IEH993" s="124"/>
      <c r="IEI993" s="124"/>
      <c r="IEJ993" s="124"/>
      <c r="IEK993" s="124"/>
      <c r="IEL993" s="124"/>
      <c r="IEM993" s="124"/>
      <c r="IEN993" s="124"/>
      <c r="IEO993" s="124"/>
      <c r="IEP993" s="124"/>
      <c r="IEQ993" s="124"/>
      <c r="IER993" s="124"/>
      <c r="IES993" s="124"/>
      <c r="IET993" s="124"/>
      <c r="IEU993" s="124"/>
      <c r="IEV993" s="124"/>
      <c r="IEW993" s="124"/>
      <c r="IEX993" s="124"/>
      <c r="IEY993" s="124"/>
      <c r="IEZ993" s="124"/>
      <c r="IFA993" s="124"/>
      <c r="IFB993" s="124"/>
      <c r="IFC993" s="124"/>
      <c r="IFD993" s="124"/>
      <c r="IFE993" s="124"/>
      <c r="IFF993" s="124"/>
      <c r="IFG993" s="124"/>
      <c r="IFH993" s="124"/>
      <c r="IFI993" s="124"/>
      <c r="IFJ993" s="124"/>
      <c r="IFK993" s="124"/>
      <c r="IFL993" s="124"/>
      <c r="IFM993" s="124"/>
      <c r="IFN993" s="124"/>
      <c r="IFO993" s="124"/>
      <c r="IFP993" s="124"/>
      <c r="IFQ993" s="124"/>
      <c r="IFR993" s="124"/>
      <c r="IFS993" s="124"/>
      <c r="IFT993" s="124"/>
      <c r="IFU993" s="124"/>
      <c r="IFV993" s="124"/>
      <c r="IFW993" s="124"/>
      <c r="IFX993" s="124"/>
      <c r="IFY993" s="124"/>
      <c r="IFZ993" s="124"/>
      <c r="IGA993" s="124"/>
      <c r="IGB993" s="124"/>
      <c r="IGC993" s="124"/>
      <c r="IGD993" s="124"/>
      <c r="IGE993" s="124"/>
      <c r="IGF993" s="124"/>
      <c r="IGG993" s="124"/>
      <c r="IGH993" s="124"/>
      <c r="IGI993" s="124"/>
      <c r="IGJ993" s="124"/>
      <c r="IGK993" s="124"/>
      <c r="IGL993" s="124"/>
      <c r="IGM993" s="124"/>
      <c r="IGN993" s="124"/>
      <c r="IGO993" s="124"/>
      <c r="IGP993" s="124"/>
      <c r="IGQ993" s="124"/>
      <c r="IGR993" s="124"/>
      <c r="IGS993" s="124"/>
      <c r="IGT993" s="124"/>
      <c r="IGU993" s="124"/>
      <c r="IGV993" s="124"/>
      <c r="IGW993" s="124"/>
      <c r="IGX993" s="124"/>
      <c r="IGY993" s="124"/>
      <c r="IGZ993" s="124"/>
      <c r="IHA993" s="124"/>
      <c r="IHB993" s="124"/>
      <c r="IHC993" s="124"/>
      <c r="IHD993" s="124"/>
      <c r="IHE993" s="124"/>
      <c r="IHF993" s="124"/>
      <c r="IHG993" s="124"/>
      <c r="IHH993" s="124"/>
      <c r="IHI993" s="124"/>
      <c r="IHJ993" s="124"/>
      <c r="IHK993" s="124"/>
      <c r="IHL993" s="124"/>
      <c r="IHM993" s="124"/>
      <c r="IHN993" s="124"/>
      <c r="IHO993" s="124"/>
      <c r="IHP993" s="124"/>
      <c r="IHQ993" s="124"/>
      <c r="IHR993" s="124"/>
      <c r="IHS993" s="124"/>
      <c r="IHT993" s="124"/>
      <c r="IHU993" s="124"/>
      <c r="IHV993" s="124"/>
      <c r="IHW993" s="124"/>
      <c r="IHX993" s="124"/>
      <c r="IHY993" s="124"/>
      <c r="IHZ993" s="124"/>
      <c r="IIA993" s="124"/>
      <c r="IIB993" s="124"/>
      <c r="IIC993" s="124"/>
      <c r="IID993" s="124"/>
      <c r="IIE993" s="124"/>
      <c r="IIF993" s="124"/>
      <c r="IIG993" s="124"/>
      <c r="IIH993" s="124"/>
      <c r="III993" s="124"/>
      <c r="IIJ993" s="124"/>
      <c r="IIK993" s="124"/>
      <c r="IIL993" s="124"/>
      <c r="IIM993" s="124"/>
      <c r="IIN993" s="124"/>
      <c r="IIO993" s="124"/>
      <c r="IIP993" s="124"/>
      <c r="IIQ993" s="124"/>
      <c r="IIR993" s="124"/>
      <c r="IIS993" s="124"/>
      <c r="IIT993" s="124"/>
      <c r="IIU993" s="124"/>
      <c r="IIV993" s="124"/>
      <c r="IIW993" s="124"/>
      <c r="IIX993" s="124"/>
      <c r="IIY993" s="124"/>
      <c r="IIZ993" s="124"/>
      <c r="IJA993" s="124"/>
      <c r="IJB993" s="124"/>
      <c r="IJC993" s="124"/>
      <c r="IJD993" s="124"/>
      <c r="IJE993" s="124"/>
      <c r="IJF993" s="124"/>
      <c r="IJG993" s="124"/>
      <c r="IJH993" s="124"/>
      <c r="IJI993" s="124"/>
      <c r="IJJ993" s="124"/>
      <c r="IJK993" s="124"/>
      <c r="IJL993" s="124"/>
      <c r="IJM993" s="124"/>
      <c r="IJN993" s="124"/>
      <c r="IJO993" s="124"/>
      <c r="IJP993" s="124"/>
      <c r="IJQ993" s="124"/>
      <c r="IJR993" s="124"/>
      <c r="IJS993" s="124"/>
      <c r="IJT993" s="124"/>
      <c r="IJU993" s="124"/>
      <c r="IJV993" s="124"/>
      <c r="IJW993" s="124"/>
      <c r="IJX993" s="124"/>
      <c r="IJY993" s="124"/>
      <c r="IJZ993" s="124"/>
      <c r="IKA993" s="124"/>
      <c r="IKB993" s="124"/>
      <c r="IKC993" s="124"/>
      <c r="IKD993" s="124"/>
      <c r="IKE993" s="124"/>
      <c r="IKF993" s="124"/>
      <c r="IKG993" s="124"/>
      <c r="IKH993" s="124"/>
      <c r="IKI993" s="124"/>
      <c r="IKJ993" s="124"/>
      <c r="IKK993" s="124"/>
      <c r="IKL993" s="124"/>
      <c r="IKM993" s="124"/>
      <c r="IKN993" s="124"/>
      <c r="IKO993" s="124"/>
      <c r="IKP993" s="124"/>
      <c r="IKQ993" s="124"/>
      <c r="IKR993" s="124"/>
      <c r="IKS993" s="124"/>
      <c r="IKT993" s="124"/>
      <c r="IKU993" s="124"/>
      <c r="IKV993" s="124"/>
      <c r="IKW993" s="124"/>
      <c r="IKX993" s="124"/>
      <c r="IKY993" s="124"/>
      <c r="IKZ993" s="124"/>
      <c r="ILA993" s="124"/>
      <c r="ILB993" s="124"/>
      <c r="ILC993" s="124"/>
      <c r="ILD993" s="124"/>
      <c r="ILE993" s="124"/>
      <c r="ILF993" s="124"/>
      <c r="ILG993" s="124"/>
      <c r="ILH993" s="124"/>
      <c r="ILI993" s="124"/>
      <c r="ILJ993" s="124"/>
      <c r="ILK993" s="124"/>
      <c r="ILL993" s="124"/>
      <c r="ILM993" s="124"/>
      <c r="ILN993" s="124"/>
      <c r="ILO993" s="124"/>
      <c r="ILP993" s="124"/>
      <c r="ILQ993" s="124"/>
      <c r="ILR993" s="124"/>
      <c r="ILS993" s="124"/>
      <c r="ILT993" s="124"/>
      <c r="ILU993" s="124"/>
      <c r="ILV993" s="124"/>
      <c r="ILW993" s="124"/>
      <c r="ILX993" s="124"/>
      <c r="ILY993" s="124"/>
      <c r="ILZ993" s="124"/>
      <c r="IMA993" s="124"/>
      <c r="IMB993" s="124"/>
      <c r="IMC993" s="124"/>
      <c r="IMD993" s="124"/>
      <c r="IME993" s="124"/>
      <c r="IMF993" s="124"/>
      <c r="IMG993" s="124"/>
      <c r="IMH993" s="124"/>
      <c r="IMI993" s="124"/>
      <c r="IMJ993" s="124"/>
      <c r="IMK993" s="124"/>
      <c r="IML993" s="124"/>
      <c r="IMM993" s="124"/>
      <c r="IMN993" s="124"/>
      <c r="IMO993" s="124"/>
      <c r="IMP993" s="124"/>
      <c r="IMQ993" s="124"/>
      <c r="IMR993" s="124"/>
      <c r="IMS993" s="124"/>
      <c r="IMT993" s="124"/>
      <c r="IMU993" s="124"/>
      <c r="IMV993" s="124"/>
      <c r="IMW993" s="124"/>
      <c r="IMX993" s="124"/>
      <c r="IMY993" s="124"/>
      <c r="IMZ993" s="124"/>
      <c r="INA993" s="124"/>
      <c r="INB993" s="124"/>
      <c r="INC993" s="124"/>
      <c r="IND993" s="124"/>
      <c r="INE993" s="124"/>
      <c r="INF993" s="124"/>
      <c r="ING993" s="124"/>
      <c r="INH993" s="124"/>
      <c r="INI993" s="124"/>
      <c r="INJ993" s="124"/>
      <c r="INK993" s="124"/>
      <c r="INL993" s="124"/>
      <c r="INM993" s="124"/>
      <c r="INN993" s="124"/>
      <c r="INO993" s="124"/>
      <c r="INP993" s="124"/>
      <c r="INQ993" s="124"/>
      <c r="INR993" s="124"/>
      <c r="INS993" s="124"/>
      <c r="INT993" s="124"/>
      <c r="INU993" s="124"/>
      <c r="INV993" s="124"/>
      <c r="INW993" s="124"/>
      <c r="INX993" s="124"/>
      <c r="INY993" s="124"/>
      <c r="INZ993" s="124"/>
      <c r="IOA993" s="124"/>
      <c r="IOB993" s="124"/>
      <c r="IOC993" s="124"/>
      <c r="IOD993" s="124"/>
      <c r="IOE993" s="124"/>
      <c r="IOF993" s="124"/>
      <c r="IOG993" s="124"/>
      <c r="IOH993" s="124"/>
      <c r="IOI993" s="124"/>
      <c r="IOJ993" s="124"/>
      <c r="IOK993" s="124"/>
      <c r="IOL993" s="124"/>
      <c r="IOM993" s="124"/>
      <c r="ION993" s="124"/>
      <c r="IOO993" s="124"/>
      <c r="IOP993" s="124"/>
      <c r="IOQ993" s="124"/>
      <c r="IOR993" s="124"/>
      <c r="IOS993" s="124"/>
      <c r="IOT993" s="124"/>
      <c r="IOU993" s="124"/>
      <c r="IOV993" s="124"/>
      <c r="IOW993" s="124"/>
      <c r="IOX993" s="124"/>
      <c r="IOY993" s="124"/>
      <c r="IOZ993" s="124"/>
      <c r="IPA993" s="124"/>
      <c r="IPB993" s="124"/>
      <c r="IPC993" s="124"/>
      <c r="IPD993" s="124"/>
      <c r="IPE993" s="124"/>
      <c r="IPF993" s="124"/>
      <c r="IPG993" s="124"/>
      <c r="IPH993" s="124"/>
      <c r="IPI993" s="124"/>
      <c r="IPJ993" s="124"/>
      <c r="IPK993" s="124"/>
      <c r="IPL993" s="124"/>
      <c r="IPM993" s="124"/>
      <c r="IPN993" s="124"/>
      <c r="IPO993" s="124"/>
      <c r="IPP993" s="124"/>
      <c r="IPQ993" s="124"/>
      <c r="IPR993" s="124"/>
      <c r="IPS993" s="124"/>
      <c r="IPT993" s="124"/>
      <c r="IPU993" s="124"/>
      <c r="IPV993" s="124"/>
      <c r="IPW993" s="124"/>
      <c r="IPX993" s="124"/>
      <c r="IPY993" s="124"/>
      <c r="IPZ993" s="124"/>
      <c r="IQA993" s="124"/>
      <c r="IQB993" s="124"/>
      <c r="IQC993" s="124"/>
      <c r="IQD993" s="124"/>
      <c r="IQE993" s="124"/>
      <c r="IQF993" s="124"/>
      <c r="IQG993" s="124"/>
      <c r="IQH993" s="124"/>
      <c r="IQI993" s="124"/>
      <c r="IQJ993" s="124"/>
      <c r="IQK993" s="124"/>
      <c r="IQL993" s="124"/>
      <c r="IQM993" s="124"/>
      <c r="IQN993" s="124"/>
      <c r="IQO993" s="124"/>
      <c r="IQP993" s="124"/>
      <c r="IQQ993" s="124"/>
      <c r="IQR993" s="124"/>
      <c r="IQS993" s="124"/>
      <c r="IQT993" s="124"/>
      <c r="IQU993" s="124"/>
      <c r="IQV993" s="124"/>
      <c r="IQW993" s="124"/>
      <c r="IQX993" s="124"/>
      <c r="IQY993" s="124"/>
      <c r="IQZ993" s="124"/>
      <c r="IRA993" s="124"/>
      <c r="IRB993" s="124"/>
      <c r="IRC993" s="124"/>
      <c r="IRD993" s="124"/>
      <c r="IRE993" s="124"/>
      <c r="IRF993" s="124"/>
      <c r="IRG993" s="124"/>
      <c r="IRH993" s="124"/>
      <c r="IRI993" s="124"/>
      <c r="IRJ993" s="124"/>
      <c r="IRK993" s="124"/>
      <c r="IRL993" s="124"/>
      <c r="IRM993" s="124"/>
      <c r="IRN993" s="124"/>
      <c r="IRO993" s="124"/>
      <c r="IRP993" s="124"/>
      <c r="IRQ993" s="124"/>
      <c r="IRR993" s="124"/>
      <c r="IRS993" s="124"/>
      <c r="IRT993" s="124"/>
      <c r="IRU993" s="124"/>
      <c r="IRV993" s="124"/>
      <c r="IRW993" s="124"/>
      <c r="IRX993" s="124"/>
      <c r="IRY993" s="124"/>
      <c r="IRZ993" s="124"/>
      <c r="ISA993" s="124"/>
      <c r="ISB993" s="124"/>
      <c r="ISC993" s="124"/>
      <c r="ISD993" s="124"/>
      <c r="ISE993" s="124"/>
      <c r="ISF993" s="124"/>
      <c r="ISG993" s="124"/>
      <c r="ISH993" s="124"/>
      <c r="ISI993" s="124"/>
      <c r="ISJ993" s="124"/>
      <c r="ISK993" s="124"/>
      <c r="ISL993" s="124"/>
      <c r="ISM993" s="124"/>
      <c r="ISN993" s="124"/>
      <c r="ISO993" s="124"/>
      <c r="ISP993" s="124"/>
      <c r="ISQ993" s="124"/>
      <c r="ISR993" s="124"/>
      <c r="ISS993" s="124"/>
      <c r="IST993" s="124"/>
      <c r="ISU993" s="124"/>
      <c r="ISV993" s="124"/>
      <c r="ISW993" s="124"/>
      <c r="ISX993" s="124"/>
      <c r="ISY993" s="124"/>
      <c r="ISZ993" s="124"/>
      <c r="ITA993" s="124"/>
      <c r="ITB993" s="124"/>
      <c r="ITC993" s="124"/>
      <c r="ITD993" s="124"/>
      <c r="ITE993" s="124"/>
      <c r="ITF993" s="124"/>
      <c r="ITG993" s="124"/>
      <c r="ITH993" s="124"/>
      <c r="ITI993" s="124"/>
      <c r="ITJ993" s="124"/>
      <c r="ITK993" s="124"/>
      <c r="ITL993" s="124"/>
      <c r="ITM993" s="124"/>
      <c r="ITN993" s="124"/>
      <c r="ITO993" s="124"/>
      <c r="ITP993" s="124"/>
      <c r="ITQ993" s="124"/>
      <c r="ITR993" s="124"/>
      <c r="ITS993" s="124"/>
      <c r="ITT993" s="124"/>
      <c r="ITU993" s="124"/>
      <c r="ITV993" s="124"/>
      <c r="ITW993" s="124"/>
      <c r="ITX993" s="124"/>
      <c r="ITY993" s="124"/>
      <c r="ITZ993" s="124"/>
      <c r="IUA993" s="124"/>
      <c r="IUB993" s="124"/>
      <c r="IUC993" s="124"/>
      <c r="IUD993" s="124"/>
      <c r="IUE993" s="124"/>
      <c r="IUF993" s="124"/>
      <c r="IUG993" s="124"/>
      <c r="IUH993" s="124"/>
      <c r="IUI993" s="124"/>
      <c r="IUJ993" s="124"/>
      <c r="IUK993" s="124"/>
      <c r="IUL993" s="124"/>
      <c r="IUM993" s="124"/>
      <c r="IUN993" s="124"/>
      <c r="IUO993" s="124"/>
      <c r="IUP993" s="124"/>
      <c r="IUQ993" s="124"/>
      <c r="IUR993" s="124"/>
      <c r="IUS993" s="124"/>
      <c r="IUT993" s="124"/>
      <c r="IUU993" s="124"/>
      <c r="IUV993" s="124"/>
      <c r="IUW993" s="124"/>
      <c r="IUX993" s="124"/>
      <c r="IUY993" s="124"/>
      <c r="IUZ993" s="124"/>
      <c r="IVA993" s="124"/>
      <c r="IVB993" s="124"/>
      <c r="IVC993" s="124"/>
      <c r="IVD993" s="124"/>
      <c r="IVE993" s="124"/>
      <c r="IVF993" s="124"/>
      <c r="IVG993" s="124"/>
      <c r="IVH993" s="124"/>
      <c r="IVI993" s="124"/>
      <c r="IVJ993" s="124"/>
      <c r="IVK993" s="124"/>
      <c r="IVL993" s="124"/>
      <c r="IVM993" s="124"/>
      <c r="IVN993" s="124"/>
      <c r="IVO993" s="124"/>
      <c r="IVP993" s="124"/>
      <c r="IVQ993" s="124"/>
      <c r="IVR993" s="124"/>
      <c r="IVS993" s="124"/>
      <c r="IVT993" s="124"/>
      <c r="IVU993" s="124"/>
      <c r="IVV993" s="124"/>
      <c r="IVW993" s="124"/>
      <c r="IVX993" s="124"/>
      <c r="IVY993" s="124"/>
      <c r="IVZ993" s="124"/>
      <c r="IWA993" s="124"/>
      <c r="IWB993" s="124"/>
      <c r="IWC993" s="124"/>
      <c r="IWD993" s="124"/>
      <c r="IWE993" s="124"/>
      <c r="IWF993" s="124"/>
      <c r="IWG993" s="124"/>
      <c r="IWH993" s="124"/>
      <c r="IWI993" s="124"/>
      <c r="IWJ993" s="124"/>
      <c r="IWK993" s="124"/>
      <c r="IWL993" s="124"/>
      <c r="IWM993" s="124"/>
      <c r="IWN993" s="124"/>
      <c r="IWO993" s="124"/>
      <c r="IWP993" s="124"/>
      <c r="IWQ993" s="124"/>
      <c r="IWR993" s="124"/>
      <c r="IWS993" s="124"/>
      <c r="IWT993" s="124"/>
      <c r="IWU993" s="124"/>
      <c r="IWV993" s="124"/>
      <c r="IWW993" s="124"/>
      <c r="IWX993" s="124"/>
      <c r="IWY993" s="124"/>
      <c r="IWZ993" s="124"/>
      <c r="IXA993" s="124"/>
      <c r="IXB993" s="124"/>
      <c r="IXC993" s="124"/>
      <c r="IXD993" s="124"/>
      <c r="IXE993" s="124"/>
      <c r="IXF993" s="124"/>
      <c r="IXG993" s="124"/>
      <c r="IXH993" s="124"/>
      <c r="IXI993" s="124"/>
      <c r="IXJ993" s="124"/>
      <c r="IXK993" s="124"/>
      <c r="IXL993" s="124"/>
      <c r="IXM993" s="124"/>
      <c r="IXN993" s="124"/>
      <c r="IXO993" s="124"/>
      <c r="IXP993" s="124"/>
      <c r="IXQ993" s="124"/>
      <c r="IXR993" s="124"/>
      <c r="IXS993" s="124"/>
      <c r="IXT993" s="124"/>
      <c r="IXU993" s="124"/>
      <c r="IXV993" s="124"/>
      <c r="IXW993" s="124"/>
      <c r="IXX993" s="124"/>
      <c r="IXY993" s="124"/>
      <c r="IXZ993" s="124"/>
      <c r="IYA993" s="124"/>
      <c r="IYB993" s="124"/>
      <c r="IYC993" s="124"/>
      <c r="IYD993" s="124"/>
      <c r="IYE993" s="124"/>
      <c r="IYF993" s="124"/>
      <c r="IYG993" s="124"/>
      <c r="IYH993" s="124"/>
      <c r="IYI993" s="124"/>
      <c r="IYJ993" s="124"/>
      <c r="IYK993" s="124"/>
      <c r="IYL993" s="124"/>
      <c r="IYM993" s="124"/>
      <c r="IYN993" s="124"/>
      <c r="IYO993" s="124"/>
      <c r="IYP993" s="124"/>
      <c r="IYQ993" s="124"/>
      <c r="IYR993" s="124"/>
      <c r="IYS993" s="124"/>
      <c r="IYT993" s="124"/>
      <c r="IYU993" s="124"/>
      <c r="IYV993" s="124"/>
      <c r="IYW993" s="124"/>
      <c r="IYX993" s="124"/>
      <c r="IYY993" s="124"/>
      <c r="IYZ993" s="124"/>
      <c r="IZA993" s="124"/>
      <c r="IZB993" s="124"/>
      <c r="IZC993" s="124"/>
      <c r="IZD993" s="124"/>
      <c r="IZE993" s="124"/>
      <c r="IZF993" s="124"/>
      <c r="IZG993" s="124"/>
      <c r="IZH993" s="124"/>
      <c r="IZI993" s="124"/>
      <c r="IZJ993" s="124"/>
      <c r="IZK993" s="124"/>
      <c r="IZL993" s="124"/>
      <c r="IZM993" s="124"/>
      <c r="IZN993" s="124"/>
      <c r="IZO993" s="124"/>
      <c r="IZP993" s="124"/>
      <c r="IZQ993" s="124"/>
      <c r="IZR993" s="124"/>
      <c r="IZS993" s="124"/>
      <c r="IZT993" s="124"/>
      <c r="IZU993" s="124"/>
      <c r="IZV993" s="124"/>
      <c r="IZW993" s="124"/>
      <c r="IZX993" s="124"/>
      <c r="IZY993" s="124"/>
      <c r="IZZ993" s="124"/>
      <c r="JAA993" s="124"/>
      <c r="JAB993" s="124"/>
      <c r="JAC993" s="124"/>
      <c r="JAD993" s="124"/>
      <c r="JAE993" s="124"/>
      <c r="JAF993" s="124"/>
      <c r="JAG993" s="124"/>
      <c r="JAH993" s="124"/>
      <c r="JAI993" s="124"/>
      <c r="JAJ993" s="124"/>
      <c r="JAK993" s="124"/>
      <c r="JAL993" s="124"/>
      <c r="JAM993" s="124"/>
      <c r="JAN993" s="124"/>
      <c r="JAO993" s="124"/>
      <c r="JAP993" s="124"/>
      <c r="JAQ993" s="124"/>
      <c r="JAR993" s="124"/>
      <c r="JAS993" s="124"/>
      <c r="JAT993" s="124"/>
      <c r="JAU993" s="124"/>
      <c r="JAV993" s="124"/>
      <c r="JAW993" s="124"/>
      <c r="JAX993" s="124"/>
      <c r="JAY993" s="124"/>
      <c r="JAZ993" s="124"/>
      <c r="JBA993" s="124"/>
      <c r="JBB993" s="124"/>
      <c r="JBC993" s="124"/>
      <c r="JBD993" s="124"/>
      <c r="JBE993" s="124"/>
      <c r="JBF993" s="124"/>
      <c r="JBG993" s="124"/>
      <c r="JBH993" s="124"/>
      <c r="JBI993" s="124"/>
      <c r="JBJ993" s="124"/>
      <c r="JBK993" s="124"/>
      <c r="JBL993" s="124"/>
      <c r="JBM993" s="124"/>
      <c r="JBN993" s="124"/>
      <c r="JBO993" s="124"/>
      <c r="JBP993" s="124"/>
      <c r="JBQ993" s="124"/>
      <c r="JBR993" s="124"/>
      <c r="JBS993" s="124"/>
      <c r="JBT993" s="124"/>
      <c r="JBU993" s="124"/>
      <c r="JBV993" s="124"/>
      <c r="JBW993" s="124"/>
      <c r="JBX993" s="124"/>
      <c r="JBY993" s="124"/>
      <c r="JBZ993" s="124"/>
      <c r="JCA993" s="124"/>
      <c r="JCB993" s="124"/>
      <c r="JCC993" s="124"/>
      <c r="JCD993" s="124"/>
      <c r="JCE993" s="124"/>
      <c r="JCF993" s="124"/>
      <c r="JCG993" s="124"/>
      <c r="JCH993" s="124"/>
      <c r="JCI993" s="124"/>
      <c r="JCJ993" s="124"/>
      <c r="JCK993" s="124"/>
      <c r="JCL993" s="124"/>
      <c r="JCM993" s="124"/>
      <c r="JCN993" s="124"/>
      <c r="JCO993" s="124"/>
      <c r="JCP993" s="124"/>
      <c r="JCQ993" s="124"/>
      <c r="JCR993" s="124"/>
      <c r="JCS993" s="124"/>
      <c r="JCT993" s="124"/>
      <c r="JCU993" s="124"/>
      <c r="JCV993" s="124"/>
      <c r="JCW993" s="124"/>
      <c r="JCX993" s="124"/>
      <c r="JCY993" s="124"/>
      <c r="JCZ993" s="124"/>
      <c r="JDA993" s="124"/>
      <c r="JDB993" s="124"/>
      <c r="JDC993" s="124"/>
      <c r="JDD993" s="124"/>
      <c r="JDE993" s="124"/>
      <c r="JDF993" s="124"/>
      <c r="JDG993" s="124"/>
      <c r="JDH993" s="124"/>
      <c r="JDI993" s="124"/>
      <c r="JDJ993" s="124"/>
      <c r="JDK993" s="124"/>
      <c r="JDL993" s="124"/>
      <c r="JDM993" s="124"/>
      <c r="JDN993" s="124"/>
      <c r="JDO993" s="124"/>
      <c r="JDP993" s="124"/>
      <c r="JDQ993" s="124"/>
      <c r="JDR993" s="124"/>
      <c r="JDS993" s="124"/>
      <c r="JDT993" s="124"/>
      <c r="JDU993" s="124"/>
      <c r="JDV993" s="124"/>
      <c r="JDW993" s="124"/>
      <c r="JDX993" s="124"/>
      <c r="JDY993" s="124"/>
      <c r="JDZ993" s="124"/>
      <c r="JEA993" s="124"/>
      <c r="JEB993" s="124"/>
      <c r="JEC993" s="124"/>
      <c r="JED993" s="124"/>
      <c r="JEE993" s="124"/>
      <c r="JEF993" s="124"/>
      <c r="JEG993" s="124"/>
      <c r="JEH993" s="124"/>
      <c r="JEI993" s="124"/>
      <c r="JEJ993" s="124"/>
      <c r="JEK993" s="124"/>
      <c r="JEL993" s="124"/>
      <c r="JEM993" s="124"/>
      <c r="JEN993" s="124"/>
      <c r="JEO993" s="124"/>
      <c r="JEP993" s="124"/>
      <c r="JEQ993" s="124"/>
      <c r="JER993" s="124"/>
      <c r="JES993" s="124"/>
      <c r="JET993" s="124"/>
      <c r="JEU993" s="124"/>
      <c r="JEV993" s="124"/>
      <c r="JEW993" s="124"/>
      <c r="JEX993" s="124"/>
      <c r="JEY993" s="124"/>
      <c r="JEZ993" s="124"/>
      <c r="JFA993" s="124"/>
      <c r="JFB993" s="124"/>
      <c r="JFC993" s="124"/>
      <c r="JFD993" s="124"/>
      <c r="JFE993" s="124"/>
      <c r="JFF993" s="124"/>
      <c r="JFG993" s="124"/>
      <c r="JFH993" s="124"/>
      <c r="JFI993" s="124"/>
      <c r="JFJ993" s="124"/>
      <c r="JFK993" s="124"/>
      <c r="JFL993" s="124"/>
      <c r="JFM993" s="124"/>
      <c r="JFN993" s="124"/>
      <c r="JFO993" s="124"/>
      <c r="JFP993" s="124"/>
      <c r="JFQ993" s="124"/>
      <c r="JFR993" s="124"/>
      <c r="JFS993" s="124"/>
      <c r="JFT993" s="124"/>
      <c r="JFU993" s="124"/>
      <c r="JFV993" s="124"/>
      <c r="JFW993" s="124"/>
      <c r="JFX993" s="124"/>
      <c r="JFY993" s="124"/>
      <c r="JFZ993" s="124"/>
      <c r="JGA993" s="124"/>
      <c r="JGB993" s="124"/>
      <c r="JGC993" s="124"/>
      <c r="JGD993" s="124"/>
      <c r="JGE993" s="124"/>
      <c r="JGF993" s="124"/>
      <c r="JGG993" s="124"/>
      <c r="JGH993" s="124"/>
      <c r="JGI993" s="124"/>
      <c r="JGJ993" s="124"/>
      <c r="JGK993" s="124"/>
      <c r="JGL993" s="124"/>
      <c r="JGM993" s="124"/>
      <c r="JGN993" s="124"/>
      <c r="JGO993" s="124"/>
      <c r="JGP993" s="124"/>
      <c r="JGQ993" s="124"/>
      <c r="JGR993" s="124"/>
      <c r="JGS993" s="124"/>
      <c r="JGT993" s="124"/>
      <c r="JGU993" s="124"/>
      <c r="JGV993" s="124"/>
      <c r="JGW993" s="124"/>
      <c r="JGX993" s="124"/>
      <c r="JGY993" s="124"/>
      <c r="JGZ993" s="124"/>
      <c r="JHA993" s="124"/>
      <c r="JHB993" s="124"/>
      <c r="JHC993" s="124"/>
      <c r="JHD993" s="124"/>
      <c r="JHE993" s="124"/>
      <c r="JHF993" s="124"/>
      <c r="JHG993" s="124"/>
      <c r="JHH993" s="124"/>
      <c r="JHI993" s="124"/>
      <c r="JHJ993" s="124"/>
      <c r="JHK993" s="124"/>
      <c r="JHL993" s="124"/>
      <c r="JHM993" s="124"/>
      <c r="JHN993" s="124"/>
      <c r="JHO993" s="124"/>
      <c r="JHP993" s="124"/>
      <c r="JHQ993" s="124"/>
      <c r="JHR993" s="124"/>
      <c r="JHS993" s="124"/>
      <c r="JHT993" s="124"/>
      <c r="JHU993" s="124"/>
      <c r="JHV993" s="124"/>
      <c r="JHW993" s="124"/>
      <c r="JHX993" s="124"/>
      <c r="JHY993" s="124"/>
      <c r="JHZ993" s="124"/>
      <c r="JIA993" s="124"/>
      <c r="JIB993" s="124"/>
      <c r="JIC993" s="124"/>
      <c r="JID993" s="124"/>
      <c r="JIE993" s="124"/>
      <c r="JIF993" s="124"/>
      <c r="JIG993" s="124"/>
      <c r="JIH993" s="124"/>
      <c r="JII993" s="124"/>
      <c r="JIJ993" s="124"/>
      <c r="JIK993" s="124"/>
      <c r="JIL993" s="124"/>
      <c r="JIM993" s="124"/>
      <c r="JIN993" s="124"/>
      <c r="JIO993" s="124"/>
      <c r="JIP993" s="124"/>
      <c r="JIQ993" s="124"/>
      <c r="JIR993" s="124"/>
      <c r="JIS993" s="124"/>
      <c r="JIT993" s="124"/>
      <c r="JIU993" s="124"/>
      <c r="JIV993" s="124"/>
      <c r="JIW993" s="124"/>
      <c r="JIX993" s="124"/>
      <c r="JIY993" s="124"/>
      <c r="JIZ993" s="124"/>
      <c r="JJA993" s="124"/>
      <c r="JJB993" s="124"/>
      <c r="JJC993" s="124"/>
      <c r="JJD993" s="124"/>
      <c r="JJE993" s="124"/>
      <c r="JJF993" s="124"/>
      <c r="JJG993" s="124"/>
      <c r="JJH993" s="124"/>
      <c r="JJI993" s="124"/>
      <c r="JJJ993" s="124"/>
      <c r="JJK993" s="124"/>
      <c r="JJL993" s="124"/>
      <c r="JJM993" s="124"/>
      <c r="JJN993" s="124"/>
      <c r="JJO993" s="124"/>
      <c r="JJP993" s="124"/>
      <c r="JJQ993" s="124"/>
      <c r="JJR993" s="124"/>
      <c r="JJS993" s="124"/>
      <c r="JJT993" s="124"/>
      <c r="JJU993" s="124"/>
      <c r="JJV993" s="124"/>
      <c r="JJW993" s="124"/>
      <c r="JJX993" s="124"/>
      <c r="JJY993" s="124"/>
      <c r="JJZ993" s="124"/>
      <c r="JKA993" s="124"/>
      <c r="JKB993" s="124"/>
      <c r="JKC993" s="124"/>
      <c r="JKD993" s="124"/>
      <c r="JKE993" s="124"/>
      <c r="JKF993" s="124"/>
      <c r="JKG993" s="124"/>
      <c r="JKH993" s="124"/>
      <c r="JKI993" s="124"/>
      <c r="JKJ993" s="124"/>
      <c r="JKK993" s="124"/>
      <c r="JKL993" s="124"/>
      <c r="JKM993" s="124"/>
      <c r="JKN993" s="124"/>
      <c r="JKO993" s="124"/>
      <c r="JKP993" s="124"/>
      <c r="JKQ993" s="124"/>
      <c r="JKR993" s="124"/>
      <c r="JKS993" s="124"/>
      <c r="JKT993" s="124"/>
      <c r="JKU993" s="124"/>
      <c r="JKV993" s="124"/>
      <c r="JKW993" s="124"/>
      <c r="JKX993" s="124"/>
      <c r="JKY993" s="124"/>
      <c r="JKZ993" s="124"/>
      <c r="JLA993" s="124"/>
      <c r="JLB993" s="124"/>
      <c r="JLC993" s="124"/>
      <c r="JLD993" s="124"/>
      <c r="JLE993" s="124"/>
      <c r="JLF993" s="124"/>
      <c r="JLG993" s="124"/>
      <c r="JLH993" s="124"/>
      <c r="JLI993" s="124"/>
      <c r="JLJ993" s="124"/>
      <c r="JLK993" s="124"/>
      <c r="JLL993" s="124"/>
      <c r="JLM993" s="124"/>
      <c r="JLN993" s="124"/>
      <c r="JLO993" s="124"/>
      <c r="JLP993" s="124"/>
      <c r="JLQ993" s="124"/>
      <c r="JLR993" s="124"/>
      <c r="JLS993" s="124"/>
      <c r="JLT993" s="124"/>
      <c r="JLU993" s="124"/>
      <c r="JLV993" s="124"/>
      <c r="JLW993" s="124"/>
      <c r="JLX993" s="124"/>
      <c r="JLY993" s="124"/>
      <c r="JLZ993" s="124"/>
      <c r="JMA993" s="124"/>
      <c r="JMB993" s="124"/>
      <c r="JMC993" s="124"/>
      <c r="JMD993" s="124"/>
      <c r="JME993" s="124"/>
      <c r="JMF993" s="124"/>
      <c r="JMG993" s="124"/>
      <c r="JMH993" s="124"/>
      <c r="JMI993" s="124"/>
      <c r="JMJ993" s="124"/>
      <c r="JMK993" s="124"/>
      <c r="JML993" s="124"/>
      <c r="JMM993" s="124"/>
      <c r="JMN993" s="124"/>
      <c r="JMO993" s="124"/>
      <c r="JMP993" s="124"/>
      <c r="JMQ993" s="124"/>
      <c r="JMR993" s="124"/>
      <c r="JMS993" s="124"/>
      <c r="JMT993" s="124"/>
      <c r="JMU993" s="124"/>
      <c r="JMV993" s="124"/>
      <c r="JMW993" s="124"/>
      <c r="JMX993" s="124"/>
      <c r="JMY993" s="124"/>
      <c r="JMZ993" s="124"/>
      <c r="JNA993" s="124"/>
      <c r="JNB993" s="124"/>
      <c r="JNC993" s="124"/>
      <c r="JND993" s="124"/>
      <c r="JNE993" s="124"/>
      <c r="JNF993" s="124"/>
      <c r="JNG993" s="124"/>
      <c r="JNH993" s="124"/>
      <c r="JNI993" s="124"/>
      <c r="JNJ993" s="124"/>
      <c r="JNK993" s="124"/>
      <c r="JNL993" s="124"/>
      <c r="JNM993" s="124"/>
      <c r="JNN993" s="124"/>
      <c r="JNO993" s="124"/>
      <c r="JNP993" s="124"/>
      <c r="JNQ993" s="124"/>
      <c r="JNR993" s="124"/>
      <c r="JNS993" s="124"/>
      <c r="JNT993" s="124"/>
      <c r="JNU993" s="124"/>
      <c r="JNV993" s="124"/>
      <c r="JNW993" s="124"/>
      <c r="JNX993" s="124"/>
      <c r="JNY993" s="124"/>
      <c r="JNZ993" s="124"/>
      <c r="JOA993" s="124"/>
      <c r="JOB993" s="124"/>
      <c r="JOC993" s="124"/>
      <c r="JOD993" s="124"/>
      <c r="JOE993" s="124"/>
      <c r="JOF993" s="124"/>
      <c r="JOG993" s="124"/>
      <c r="JOH993" s="124"/>
      <c r="JOI993" s="124"/>
      <c r="JOJ993" s="124"/>
      <c r="JOK993" s="124"/>
      <c r="JOL993" s="124"/>
      <c r="JOM993" s="124"/>
      <c r="JON993" s="124"/>
      <c r="JOO993" s="124"/>
      <c r="JOP993" s="124"/>
      <c r="JOQ993" s="124"/>
      <c r="JOR993" s="124"/>
      <c r="JOS993" s="124"/>
      <c r="JOT993" s="124"/>
      <c r="JOU993" s="124"/>
      <c r="JOV993" s="124"/>
      <c r="JOW993" s="124"/>
      <c r="JOX993" s="124"/>
      <c r="JOY993" s="124"/>
      <c r="JOZ993" s="124"/>
      <c r="JPA993" s="124"/>
      <c r="JPB993" s="124"/>
      <c r="JPC993" s="124"/>
      <c r="JPD993" s="124"/>
      <c r="JPE993" s="124"/>
      <c r="JPF993" s="124"/>
      <c r="JPG993" s="124"/>
      <c r="JPH993" s="124"/>
      <c r="JPI993" s="124"/>
      <c r="JPJ993" s="124"/>
      <c r="JPK993" s="124"/>
      <c r="JPL993" s="124"/>
      <c r="JPM993" s="124"/>
      <c r="JPN993" s="124"/>
      <c r="JPO993" s="124"/>
      <c r="JPP993" s="124"/>
      <c r="JPQ993" s="124"/>
      <c r="JPR993" s="124"/>
      <c r="JPS993" s="124"/>
      <c r="JPT993" s="124"/>
      <c r="JPU993" s="124"/>
      <c r="JPV993" s="124"/>
      <c r="JPW993" s="124"/>
      <c r="JPX993" s="124"/>
      <c r="JPY993" s="124"/>
      <c r="JPZ993" s="124"/>
      <c r="JQA993" s="124"/>
      <c r="JQB993" s="124"/>
      <c r="JQC993" s="124"/>
      <c r="JQD993" s="124"/>
      <c r="JQE993" s="124"/>
      <c r="JQF993" s="124"/>
      <c r="JQG993" s="124"/>
      <c r="JQH993" s="124"/>
      <c r="JQI993" s="124"/>
      <c r="JQJ993" s="124"/>
      <c r="JQK993" s="124"/>
      <c r="JQL993" s="124"/>
      <c r="JQM993" s="124"/>
      <c r="JQN993" s="124"/>
      <c r="JQO993" s="124"/>
      <c r="JQP993" s="124"/>
      <c r="JQQ993" s="124"/>
      <c r="JQR993" s="124"/>
      <c r="JQS993" s="124"/>
      <c r="JQT993" s="124"/>
      <c r="JQU993" s="124"/>
      <c r="JQV993" s="124"/>
      <c r="JQW993" s="124"/>
      <c r="JQX993" s="124"/>
      <c r="JQY993" s="124"/>
      <c r="JQZ993" s="124"/>
      <c r="JRA993" s="124"/>
      <c r="JRB993" s="124"/>
      <c r="JRC993" s="124"/>
      <c r="JRD993" s="124"/>
      <c r="JRE993" s="124"/>
      <c r="JRF993" s="124"/>
      <c r="JRG993" s="124"/>
      <c r="JRH993" s="124"/>
      <c r="JRI993" s="124"/>
      <c r="JRJ993" s="124"/>
      <c r="JRK993" s="124"/>
      <c r="JRL993" s="124"/>
      <c r="JRM993" s="124"/>
      <c r="JRN993" s="124"/>
      <c r="JRO993" s="124"/>
      <c r="JRP993" s="124"/>
      <c r="JRQ993" s="124"/>
      <c r="JRR993" s="124"/>
      <c r="JRS993" s="124"/>
      <c r="JRT993" s="124"/>
      <c r="JRU993" s="124"/>
      <c r="JRV993" s="124"/>
      <c r="JRW993" s="124"/>
      <c r="JRX993" s="124"/>
      <c r="JRY993" s="124"/>
      <c r="JRZ993" s="124"/>
      <c r="JSA993" s="124"/>
      <c r="JSB993" s="124"/>
      <c r="JSC993" s="124"/>
      <c r="JSD993" s="124"/>
      <c r="JSE993" s="124"/>
      <c r="JSF993" s="124"/>
      <c r="JSG993" s="124"/>
      <c r="JSH993" s="124"/>
      <c r="JSI993" s="124"/>
      <c r="JSJ993" s="124"/>
      <c r="JSK993" s="124"/>
      <c r="JSL993" s="124"/>
      <c r="JSM993" s="124"/>
      <c r="JSN993" s="124"/>
      <c r="JSO993" s="124"/>
      <c r="JSP993" s="124"/>
      <c r="JSQ993" s="124"/>
      <c r="JSR993" s="124"/>
      <c r="JSS993" s="124"/>
      <c r="JST993" s="124"/>
      <c r="JSU993" s="124"/>
      <c r="JSV993" s="124"/>
      <c r="JSW993" s="124"/>
      <c r="JSX993" s="124"/>
      <c r="JSY993" s="124"/>
      <c r="JSZ993" s="124"/>
      <c r="JTA993" s="124"/>
      <c r="JTB993" s="124"/>
      <c r="JTC993" s="124"/>
      <c r="JTD993" s="124"/>
      <c r="JTE993" s="124"/>
      <c r="JTF993" s="124"/>
      <c r="JTG993" s="124"/>
      <c r="JTH993" s="124"/>
      <c r="JTI993" s="124"/>
      <c r="JTJ993" s="124"/>
      <c r="JTK993" s="124"/>
      <c r="JTL993" s="124"/>
      <c r="JTM993" s="124"/>
      <c r="JTN993" s="124"/>
      <c r="JTO993" s="124"/>
      <c r="JTP993" s="124"/>
      <c r="JTQ993" s="124"/>
      <c r="JTR993" s="124"/>
      <c r="JTS993" s="124"/>
      <c r="JTT993" s="124"/>
      <c r="JTU993" s="124"/>
      <c r="JTV993" s="124"/>
      <c r="JTW993" s="124"/>
      <c r="JTX993" s="124"/>
      <c r="JTY993" s="124"/>
      <c r="JTZ993" s="124"/>
      <c r="JUA993" s="124"/>
      <c r="JUB993" s="124"/>
      <c r="JUC993" s="124"/>
      <c r="JUD993" s="124"/>
      <c r="JUE993" s="124"/>
      <c r="JUF993" s="124"/>
      <c r="JUG993" s="124"/>
      <c r="JUH993" s="124"/>
      <c r="JUI993" s="124"/>
      <c r="JUJ993" s="124"/>
      <c r="JUK993" s="124"/>
      <c r="JUL993" s="124"/>
      <c r="JUM993" s="124"/>
      <c r="JUN993" s="124"/>
      <c r="JUO993" s="124"/>
      <c r="JUP993" s="124"/>
      <c r="JUQ993" s="124"/>
      <c r="JUR993" s="124"/>
      <c r="JUS993" s="124"/>
      <c r="JUT993" s="124"/>
      <c r="JUU993" s="124"/>
      <c r="JUV993" s="124"/>
      <c r="JUW993" s="124"/>
      <c r="JUX993" s="124"/>
      <c r="JUY993" s="124"/>
      <c r="JUZ993" s="124"/>
      <c r="JVA993" s="124"/>
      <c r="JVB993" s="124"/>
      <c r="JVC993" s="124"/>
      <c r="JVD993" s="124"/>
      <c r="JVE993" s="124"/>
      <c r="JVF993" s="124"/>
      <c r="JVG993" s="124"/>
      <c r="JVH993" s="124"/>
      <c r="JVI993" s="124"/>
      <c r="JVJ993" s="124"/>
      <c r="JVK993" s="124"/>
      <c r="JVL993" s="124"/>
      <c r="JVM993" s="124"/>
      <c r="JVN993" s="124"/>
      <c r="JVO993" s="124"/>
      <c r="JVP993" s="124"/>
      <c r="JVQ993" s="124"/>
      <c r="JVR993" s="124"/>
      <c r="JVS993" s="124"/>
      <c r="JVT993" s="124"/>
      <c r="JVU993" s="124"/>
      <c r="JVV993" s="124"/>
      <c r="JVW993" s="124"/>
      <c r="JVX993" s="124"/>
      <c r="JVY993" s="124"/>
      <c r="JVZ993" s="124"/>
      <c r="JWA993" s="124"/>
      <c r="JWB993" s="124"/>
      <c r="JWC993" s="124"/>
      <c r="JWD993" s="124"/>
      <c r="JWE993" s="124"/>
      <c r="JWF993" s="124"/>
      <c r="JWG993" s="124"/>
      <c r="JWH993" s="124"/>
      <c r="JWI993" s="124"/>
      <c r="JWJ993" s="124"/>
      <c r="JWK993" s="124"/>
      <c r="JWL993" s="124"/>
      <c r="JWM993" s="124"/>
      <c r="JWN993" s="124"/>
      <c r="JWO993" s="124"/>
      <c r="JWP993" s="124"/>
      <c r="JWQ993" s="124"/>
      <c r="JWR993" s="124"/>
      <c r="JWS993" s="124"/>
      <c r="JWT993" s="124"/>
      <c r="JWU993" s="124"/>
      <c r="JWV993" s="124"/>
      <c r="JWW993" s="124"/>
      <c r="JWX993" s="124"/>
      <c r="JWY993" s="124"/>
      <c r="JWZ993" s="124"/>
      <c r="JXA993" s="124"/>
      <c r="JXB993" s="124"/>
      <c r="JXC993" s="124"/>
      <c r="JXD993" s="124"/>
      <c r="JXE993" s="124"/>
      <c r="JXF993" s="124"/>
      <c r="JXG993" s="124"/>
      <c r="JXH993" s="124"/>
      <c r="JXI993" s="124"/>
      <c r="JXJ993" s="124"/>
      <c r="JXK993" s="124"/>
      <c r="JXL993" s="124"/>
      <c r="JXM993" s="124"/>
      <c r="JXN993" s="124"/>
      <c r="JXO993" s="124"/>
      <c r="JXP993" s="124"/>
      <c r="JXQ993" s="124"/>
      <c r="JXR993" s="124"/>
      <c r="JXS993" s="124"/>
      <c r="JXT993" s="124"/>
      <c r="JXU993" s="124"/>
      <c r="JXV993" s="124"/>
      <c r="JXW993" s="124"/>
      <c r="JXX993" s="124"/>
      <c r="JXY993" s="124"/>
      <c r="JXZ993" s="124"/>
      <c r="JYA993" s="124"/>
      <c r="JYB993" s="124"/>
      <c r="JYC993" s="124"/>
      <c r="JYD993" s="124"/>
      <c r="JYE993" s="124"/>
      <c r="JYF993" s="124"/>
      <c r="JYG993" s="124"/>
      <c r="JYH993" s="124"/>
      <c r="JYI993" s="124"/>
      <c r="JYJ993" s="124"/>
      <c r="JYK993" s="124"/>
      <c r="JYL993" s="124"/>
      <c r="JYM993" s="124"/>
      <c r="JYN993" s="124"/>
      <c r="JYO993" s="124"/>
      <c r="JYP993" s="124"/>
      <c r="JYQ993" s="124"/>
      <c r="JYR993" s="124"/>
      <c r="JYS993" s="124"/>
      <c r="JYT993" s="124"/>
      <c r="JYU993" s="124"/>
      <c r="JYV993" s="124"/>
      <c r="JYW993" s="124"/>
      <c r="JYX993" s="124"/>
      <c r="JYY993" s="124"/>
      <c r="JYZ993" s="124"/>
      <c r="JZA993" s="124"/>
      <c r="JZB993" s="124"/>
      <c r="JZC993" s="124"/>
      <c r="JZD993" s="124"/>
      <c r="JZE993" s="124"/>
      <c r="JZF993" s="124"/>
      <c r="JZG993" s="124"/>
      <c r="JZH993" s="124"/>
      <c r="JZI993" s="124"/>
      <c r="JZJ993" s="124"/>
      <c r="JZK993" s="124"/>
      <c r="JZL993" s="124"/>
      <c r="JZM993" s="124"/>
      <c r="JZN993" s="124"/>
      <c r="JZO993" s="124"/>
      <c r="JZP993" s="124"/>
      <c r="JZQ993" s="124"/>
      <c r="JZR993" s="124"/>
      <c r="JZS993" s="124"/>
      <c r="JZT993" s="124"/>
      <c r="JZU993" s="124"/>
      <c r="JZV993" s="124"/>
      <c r="JZW993" s="124"/>
      <c r="JZX993" s="124"/>
      <c r="JZY993" s="124"/>
      <c r="JZZ993" s="124"/>
      <c r="KAA993" s="124"/>
      <c r="KAB993" s="124"/>
      <c r="KAC993" s="124"/>
      <c r="KAD993" s="124"/>
      <c r="KAE993" s="124"/>
      <c r="KAF993" s="124"/>
      <c r="KAG993" s="124"/>
      <c r="KAH993" s="124"/>
      <c r="KAI993" s="124"/>
      <c r="KAJ993" s="124"/>
      <c r="KAK993" s="124"/>
      <c r="KAL993" s="124"/>
      <c r="KAM993" s="124"/>
      <c r="KAN993" s="124"/>
      <c r="KAO993" s="124"/>
      <c r="KAP993" s="124"/>
      <c r="KAQ993" s="124"/>
      <c r="KAR993" s="124"/>
      <c r="KAS993" s="124"/>
      <c r="KAT993" s="124"/>
      <c r="KAU993" s="124"/>
      <c r="KAV993" s="124"/>
      <c r="KAW993" s="124"/>
      <c r="KAX993" s="124"/>
      <c r="KAY993" s="124"/>
      <c r="KAZ993" s="124"/>
      <c r="KBA993" s="124"/>
      <c r="KBB993" s="124"/>
      <c r="KBC993" s="124"/>
      <c r="KBD993" s="124"/>
      <c r="KBE993" s="124"/>
      <c r="KBF993" s="124"/>
      <c r="KBG993" s="124"/>
      <c r="KBH993" s="124"/>
      <c r="KBI993" s="124"/>
      <c r="KBJ993" s="124"/>
      <c r="KBK993" s="124"/>
      <c r="KBL993" s="124"/>
      <c r="KBM993" s="124"/>
      <c r="KBN993" s="124"/>
      <c r="KBO993" s="124"/>
      <c r="KBP993" s="124"/>
      <c r="KBQ993" s="124"/>
      <c r="KBR993" s="124"/>
      <c r="KBS993" s="124"/>
      <c r="KBT993" s="124"/>
      <c r="KBU993" s="124"/>
      <c r="KBV993" s="124"/>
      <c r="KBW993" s="124"/>
      <c r="KBX993" s="124"/>
      <c r="KBY993" s="124"/>
      <c r="KBZ993" s="124"/>
      <c r="KCA993" s="124"/>
      <c r="KCB993" s="124"/>
      <c r="KCC993" s="124"/>
      <c r="KCD993" s="124"/>
      <c r="KCE993" s="124"/>
      <c r="KCF993" s="124"/>
      <c r="KCG993" s="124"/>
      <c r="KCH993" s="124"/>
      <c r="KCI993" s="124"/>
      <c r="KCJ993" s="124"/>
      <c r="KCK993" s="124"/>
      <c r="KCL993" s="124"/>
      <c r="KCM993" s="124"/>
      <c r="KCN993" s="124"/>
      <c r="KCO993" s="124"/>
      <c r="KCP993" s="124"/>
      <c r="KCQ993" s="124"/>
      <c r="KCR993" s="124"/>
      <c r="KCS993" s="124"/>
      <c r="KCT993" s="124"/>
      <c r="KCU993" s="124"/>
      <c r="KCV993" s="124"/>
      <c r="KCW993" s="124"/>
      <c r="KCX993" s="124"/>
      <c r="KCY993" s="124"/>
      <c r="KCZ993" s="124"/>
      <c r="KDA993" s="124"/>
      <c r="KDB993" s="124"/>
      <c r="KDC993" s="124"/>
      <c r="KDD993" s="124"/>
      <c r="KDE993" s="124"/>
      <c r="KDF993" s="124"/>
      <c r="KDG993" s="124"/>
      <c r="KDH993" s="124"/>
      <c r="KDI993" s="124"/>
      <c r="KDJ993" s="124"/>
      <c r="KDK993" s="124"/>
      <c r="KDL993" s="124"/>
      <c r="KDM993" s="124"/>
      <c r="KDN993" s="124"/>
      <c r="KDO993" s="124"/>
      <c r="KDP993" s="124"/>
      <c r="KDQ993" s="124"/>
      <c r="KDR993" s="124"/>
      <c r="KDS993" s="124"/>
      <c r="KDT993" s="124"/>
      <c r="KDU993" s="124"/>
      <c r="KDV993" s="124"/>
      <c r="KDW993" s="124"/>
      <c r="KDX993" s="124"/>
      <c r="KDY993" s="124"/>
      <c r="KDZ993" s="124"/>
      <c r="KEA993" s="124"/>
      <c r="KEB993" s="124"/>
      <c r="KEC993" s="124"/>
      <c r="KED993" s="124"/>
      <c r="KEE993" s="124"/>
      <c r="KEF993" s="124"/>
      <c r="KEG993" s="124"/>
      <c r="KEH993" s="124"/>
      <c r="KEI993" s="124"/>
      <c r="KEJ993" s="124"/>
      <c r="KEK993" s="124"/>
      <c r="KEL993" s="124"/>
      <c r="KEM993" s="124"/>
      <c r="KEN993" s="124"/>
      <c r="KEO993" s="124"/>
      <c r="KEP993" s="124"/>
      <c r="KEQ993" s="124"/>
      <c r="KER993" s="124"/>
      <c r="KES993" s="124"/>
      <c r="KET993" s="124"/>
      <c r="KEU993" s="124"/>
      <c r="KEV993" s="124"/>
      <c r="KEW993" s="124"/>
      <c r="KEX993" s="124"/>
      <c r="KEY993" s="124"/>
      <c r="KEZ993" s="124"/>
      <c r="KFA993" s="124"/>
      <c r="KFB993" s="124"/>
      <c r="KFC993" s="124"/>
      <c r="KFD993" s="124"/>
      <c r="KFE993" s="124"/>
      <c r="KFF993" s="124"/>
      <c r="KFG993" s="124"/>
      <c r="KFH993" s="124"/>
      <c r="KFI993" s="124"/>
      <c r="KFJ993" s="124"/>
      <c r="KFK993" s="124"/>
      <c r="KFL993" s="124"/>
      <c r="KFM993" s="124"/>
      <c r="KFN993" s="124"/>
      <c r="KFO993" s="124"/>
      <c r="KFP993" s="124"/>
      <c r="KFQ993" s="124"/>
      <c r="KFR993" s="124"/>
      <c r="KFS993" s="124"/>
      <c r="KFT993" s="124"/>
      <c r="KFU993" s="124"/>
      <c r="KFV993" s="124"/>
      <c r="KFW993" s="124"/>
      <c r="KFX993" s="124"/>
      <c r="KFY993" s="124"/>
      <c r="KFZ993" s="124"/>
      <c r="KGA993" s="124"/>
      <c r="KGB993" s="124"/>
      <c r="KGC993" s="124"/>
      <c r="KGD993" s="124"/>
      <c r="KGE993" s="124"/>
      <c r="KGF993" s="124"/>
      <c r="KGG993" s="124"/>
      <c r="KGH993" s="124"/>
      <c r="KGI993" s="124"/>
      <c r="KGJ993" s="124"/>
      <c r="KGK993" s="124"/>
      <c r="KGL993" s="124"/>
      <c r="KGM993" s="124"/>
      <c r="KGN993" s="124"/>
      <c r="KGO993" s="124"/>
      <c r="KGP993" s="124"/>
      <c r="KGQ993" s="124"/>
      <c r="KGR993" s="124"/>
      <c r="KGS993" s="124"/>
      <c r="KGT993" s="124"/>
      <c r="KGU993" s="124"/>
      <c r="KGV993" s="124"/>
      <c r="KGW993" s="124"/>
      <c r="KGX993" s="124"/>
      <c r="KGY993" s="124"/>
      <c r="KGZ993" s="124"/>
      <c r="KHA993" s="124"/>
      <c r="KHB993" s="124"/>
      <c r="KHC993" s="124"/>
      <c r="KHD993" s="124"/>
      <c r="KHE993" s="124"/>
      <c r="KHF993" s="124"/>
      <c r="KHG993" s="124"/>
      <c r="KHH993" s="124"/>
      <c r="KHI993" s="124"/>
      <c r="KHJ993" s="124"/>
      <c r="KHK993" s="124"/>
      <c r="KHL993" s="124"/>
      <c r="KHM993" s="124"/>
      <c r="KHN993" s="124"/>
      <c r="KHO993" s="124"/>
      <c r="KHP993" s="124"/>
      <c r="KHQ993" s="124"/>
      <c r="KHR993" s="124"/>
      <c r="KHS993" s="124"/>
      <c r="KHT993" s="124"/>
      <c r="KHU993" s="124"/>
      <c r="KHV993" s="124"/>
      <c r="KHW993" s="124"/>
      <c r="KHX993" s="124"/>
      <c r="KHY993" s="124"/>
      <c r="KHZ993" s="124"/>
      <c r="KIA993" s="124"/>
      <c r="KIB993" s="124"/>
      <c r="KIC993" s="124"/>
      <c r="KID993" s="124"/>
      <c r="KIE993" s="124"/>
      <c r="KIF993" s="124"/>
      <c r="KIG993" s="124"/>
      <c r="KIH993" s="124"/>
      <c r="KII993" s="124"/>
      <c r="KIJ993" s="124"/>
      <c r="KIK993" s="124"/>
      <c r="KIL993" s="124"/>
      <c r="KIM993" s="124"/>
      <c r="KIN993" s="124"/>
      <c r="KIO993" s="124"/>
      <c r="KIP993" s="124"/>
      <c r="KIQ993" s="124"/>
      <c r="KIR993" s="124"/>
      <c r="KIS993" s="124"/>
      <c r="KIT993" s="124"/>
      <c r="KIU993" s="124"/>
      <c r="KIV993" s="124"/>
      <c r="KIW993" s="124"/>
      <c r="KIX993" s="124"/>
      <c r="KIY993" s="124"/>
      <c r="KIZ993" s="124"/>
      <c r="KJA993" s="124"/>
      <c r="KJB993" s="124"/>
      <c r="KJC993" s="124"/>
      <c r="KJD993" s="124"/>
      <c r="KJE993" s="124"/>
      <c r="KJF993" s="124"/>
      <c r="KJG993" s="124"/>
      <c r="KJH993" s="124"/>
      <c r="KJI993" s="124"/>
      <c r="KJJ993" s="124"/>
      <c r="KJK993" s="124"/>
      <c r="KJL993" s="124"/>
      <c r="KJM993" s="124"/>
      <c r="KJN993" s="124"/>
      <c r="KJO993" s="124"/>
      <c r="KJP993" s="124"/>
      <c r="KJQ993" s="124"/>
      <c r="KJR993" s="124"/>
      <c r="KJS993" s="124"/>
      <c r="KJT993" s="124"/>
      <c r="KJU993" s="124"/>
      <c r="KJV993" s="124"/>
      <c r="KJW993" s="124"/>
      <c r="KJX993" s="124"/>
      <c r="KJY993" s="124"/>
      <c r="KJZ993" s="124"/>
      <c r="KKA993" s="124"/>
      <c r="KKB993" s="124"/>
      <c r="KKC993" s="124"/>
      <c r="KKD993" s="124"/>
      <c r="KKE993" s="124"/>
      <c r="KKF993" s="124"/>
      <c r="KKG993" s="124"/>
      <c r="KKH993" s="124"/>
      <c r="KKI993" s="124"/>
      <c r="KKJ993" s="124"/>
      <c r="KKK993" s="124"/>
      <c r="KKL993" s="124"/>
      <c r="KKM993" s="124"/>
      <c r="KKN993" s="124"/>
      <c r="KKO993" s="124"/>
      <c r="KKP993" s="124"/>
      <c r="KKQ993" s="124"/>
      <c r="KKR993" s="124"/>
      <c r="KKS993" s="124"/>
      <c r="KKT993" s="124"/>
      <c r="KKU993" s="124"/>
      <c r="KKV993" s="124"/>
      <c r="KKW993" s="124"/>
      <c r="KKX993" s="124"/>
      <c r="KKY993" s="124"/>
      <c r="KKZ993" s="124"/>
      <c r="KLA993" s="124"/>
      <c r="KLB993" s="124"/>
      <c r="KLC993" s="124"/>
      <c r="KLD993" s="124"/>
      <c r="KLE993" s="124"/>
      <c r="KLF993" s="124"/>
      <c r="KLG993" s="124"/>
      <c r="KLH993" s="124"/>
      <c r="KLI993" s="124"/>
      <c r="KLJ993" s="124"/>
      <c r="KLK993" s="124"/>
      <c r="KLL993" s="124"/>
      <c r="KLM993" s="124"/>
      <c r="KLN993" s="124"/>
      <c r="KLO993" s="124"/>
      <c r="KLP993" s="124"/>
      <c r="KLQ993" s="124"/>
      <c r="KLR993" s="124"/>
      <c r="KLS993" s="124"/>
      <c r="KLT993" s="124"/>
      <c r="KLU993" s="124"/>
      <c r="KLV993" s="124"/>
      <c r="KLW993" s="124"/>
      <c r="KLX993" s="124"/>
      <c r="KLY993" s="124"/>
      <c r="KLZ993" s="124"/>
      <c r="KMA993" s="124"/>
      <c r="KMB993" s="124"/>
      <c r="KMC993" s="124"/>
      <c r="KMD993" s="124"/>
      <c r="KME993" s="124"/>
      <c r="KMF993" s="124"/>
      <c r="KMG993" s="124"/>
      <c r="KMH993" s="124"/>
      <c r="KMI993" s="124"/>
      <c r="KMJ993" s="124"/>
      <c r="KMK993" s="124"/>
      <c r="KML993" s="124"/>
      <c r="KMM993" s="124"/>
      <c r="KMN993" s="124"/>
      <c r="KMO993" s="124"/>
      <c r="KMP993" s="124"/>
      <c r="KMQ993" s="124"/>
      <c r="KMR993" s="124"/>
      <c r="KMS993" s="124"/>
      <c r="KMT993" s="124"/>
      <c r="KMU993" s="124"/>
      <c r="KMV993" s="124"/>
      <c r="KMW993" s="124"/>
      <c r="KMX993" s="124"/>
      <c r="KMY993" s="124"/>
      <c r="KMZ993" s="124"/>
      <c r="KNA993" s="124"/>
      <c r="KNB993" s="124"/>
      <c r="KNC993" s="124"/>
      <c r="KND993" s="124"/>
      <c r="KNE993" s="124"/>
      <c r="KNF993" s="124"/>
      <c r="KNG993" s="124"/>
      <c r="KNH993" s="124"/>
      <c r="KNI993" s="124"/>
      <c r="KNJ993" s="124"/>
      <c r="KNK993" s="124"/>
      <c r="KNL993" s="124"/>
      <c r="KNM993" s="124"/>
      <c r="KNN993" s="124"/>
      <c r="KNO993" s="124"/>
      <c r="KNP993" s="124"/>
      <c r="KNQ993" s="124"/>
      <c r="KNR993" s="124"/>
      <c r="KNS993" s="124"/>
      <c r="KNT993" s="124"/>
      <c r="KNU993" s="124"/>
      <c r="KNV993" s="124"/>
      <c r="KNW993" s="124"/>
      <c r="KNX993" s="124"/>
      <c r="KNY993" s="124"/>
      <c r="KNZ993" s="124"/>
      <c r="KOA993" s="124"/>
      <c r="KOB993" s="124"/>
      <c r="KOC993" s="124"/>
      <c r="KOD993" s="124"/>
      <c r="KOE993" s="124"/>
      <c r="KOF993" s="124"/>
      <c r="KOG993" s="124"/>
      <c r="KOH993" s="124"/>
      <c r="KOI993" s="124"/>
      <c r="KOJ993" s="124"/>
      <c r="KOK993" s="124"/>
      <c r="KOL993" s="124"/>
      <c r="KOM993" s="124"/>
      <c r="KON993" s="124"/>
      <c r="KOO993" s="124"/>
      <c r="KOP993" s="124"/>
      <c r="KOQ993" s="124"/>
      <c r="KOR993" s="124"/>
      <c r="KOS993" s="124"/>
      <c r="KOT993" s="124"/>
      <c r="KOU993" s="124"/>
      <c r="KOV993" s="124"/>
      <c r="KOW993" s="124"/>
      <c r="KOX993" s="124"/>
      <c r="KOY993" s="124"/>
      <c r="KOZ993" s="124"/>
      <c r="KPA993" s="124"/>
      <c r="KPB993" s="124"/>
      <c r="KPC993" s="124"/>
      <c r="KPD993" s="124"/>
      <c r="KPE993" s="124"/>
      <c r="KPF993" s="124"/>
      <c r="KPG993" s="124"/>
      <c r="KPH993" s="124"/>
      <c r="KPI993" s="124"/>
      <c r="KPJ993" s="124"/>
      <c r="KPK993" s="124"/>
      <c r="KPL993" s="124"/>
      <c r="KPM993" s="124"/>
      <c r="KPN993" s="124"/>
      <c r="KPO993" s="124"/>
      <c r="KPP993" s="124"/>
      <c r="KPQ993" s="124"/>
      <c r="KPR993" s="124"/>
      <c r="KPS993" s="124"/>
      <c r="KPT993" s="124"/>
      <c r="KPU993" s="124"/>
      <c r="KPV993" s="124"/>
      <c r="KPW993" s="124"/>
      <c r="KPX993" s="124"/>
      <c r="KPY993" s="124"/>
      <c r="KPZ993" s="124"/>
      <c r="KQA993" s="124"/>
      <c r="KQB993" s="124"/>
      <c r="KQC993" s="124"/>
      <c r="KQD993" s="124"/>
      <c r="KQE993" s="124"/>
      <c r="KQF993" s="124"/>
      <c r="KQG993" s="124"/>
      <c r="KQH993" s="124"/>
      <c r="KQI993" s="124"/>
      <c r="KQJ993" s="124"/>
      <c r="KQK993" s="124"/>
      <c r="KQL993" s="124"/>
      <c r="KQM993" s="124"/>
      <c r="KQN993" s="124"/>
      <c r="KQO993" s="124"/>
      <c r="KQP993" s="124"/>
      <c r="KQQ993" s="124"/>
      <c r="KQR993" s="124"/>
      <c r="KQS993" s="124"/>
      <c r="KQT993" s="124"/>
      <c r="KQU993" s="124"/>
      <c r="KQV993" s="124"/>
      <c r="KQW993" s="124"/>
      <c r="KQX993" s="124"/>
      <c r="KQY993" s="124"/>
      <c r="KQZ993" s="124"/>
      <c r="KRA993" s="124"/>
      <c r="KRB993" s="124"/>
      <c r="KRC993" s="124"/>
      <c r="KRD993" s="124"/>
      <c r="KRE993" s="124"/>
      <c r="KRF993" s="124"/>
      <c r="KRG993" s="124"/>
      <c r="KRH993" s="124"/>
      <c r="KRI993" s="124"/>
      <c r="KRJ993" s="124"/>
      <c r="KRK993" s="124"/>
      <c r="KRL993" s="124"/>
      <c r="KRM993" s="124"/>
      <c r="KRN993" s="124"/>
      <c r="KRO993" s="124"/>
      <c r="KRP993" s="124"/>
      <c r="KRQ993" s="124"/>
      <c r="KRR993" s="124"/>
      <c r="KRS993" s="124"/>
      <c r="KRT993" s="124"/>
      <c r="KRU993" s="124"/>
      <c r="KRV993" s="124"/>
      <c r="KRW993" s="124"/>
      <c r="KRX993" s="124"/>
      <c r="KRY993" s="124"/>
      <c r="KRZ993" s="124"/>
      <c r="KSA993" s="124"/>
      <c r="KSB993" s="124"/>
      <c r="KSC993" s="124"/>
      <c r="KSD993" s="124"/>
      <c r="KSE993" s="124"/>
      <c r="KSF993" s="124"/>
      <c r="KSG993" s="124"/>
      <c r="KSH993" s="124"/>
      <c r="KSI993" s="124"/>
      <c r="KSJ993" s="124"/>
      <c r="KSK993" s="124"/>
      <c r="KSL993" s="124"/>
      <c r="KSM993" s="124"/>
      <c r="KSN993" s="124"/>
      <c r="KSO993" s="124"/>
      <c r="KSP993" s="124"/>
      <c r="KSQ993" s="124"/>
      <c r="KSR993" s="124"/>
      <c r="KSS993" s="124"/>
      <c r="KST993" s="124"/>
      <c r="KSU993" s="124"/>
      <c r="KSV993" s="124"/>
      <c r="KSW993" s="124"/>
      <c r="KSX993" s="124"/>
      <c r="KSY993" s="124"/>
      <c r="KSZ993" s="124"/>
      <c r="KTA993" s="124"/>
      <c r="KTB993" s="124"/>
      <c r="KTC993" s="124"/>
      <c r="KTD993" s="124"/>
      <c r="KTE993" s="124"/>
      <c r="KTF993" s="124"/>
      <c r="KTG993" s="124"/>
      <c r="KTH993" s="124"/>
      <c r="KTI993" s="124"/>
      <c r="KTJ993" s="124"/>
      <c r="KTK993" s="124"/>
      <c r="KTL993" s="124"/>
      <c r="KTM993" s="124"/>
      <c r="KTN993" s="124"/>
      <c r="KTO993" s="124"/>
      <c r="KTP993" s="124"/>
      <c r="KTQ993" s="124"/>
      <c r="KTR993" s="124"/>
      <c r="KTS993" s="124"/>
      <c r="KTT993" s="124"/>
      <c r="KTU993" s="124"/>
      <c r="KTV993" s="124"/>
      <c r="KTW993" s="124"/>
      <c r="KTX993" s="124"/>
      <c r="KTY993" s="124"/>
      <c r="KTZ993" s="124"/>
      <c r="KUA993" s="124"/>
      <c r="KUB993" s="124"/>
      <c r="KUC993" s="124"/>
      <c r="KUD993" s="124"/>
      <c r="KUE993" s="124"/>
      <c r="KUF993" s="124"/>
      <c r="KUG993" s="124"/>
      <c r="KUH993" s="124"/>
      <c r="KUI993" s="124"/>
      <c r="KUJ993" s="124"/>
      <c r="KUK993" s="124"/>
      <c r="KUL993" s="124"/>
      <c r="KUM993" s="124"/>
      <c r="KUN993" s="124"/>
      <c r="KUO993" s="124"/>
      <c r="KUP993" s="124"/>
      <c r="KUQ993" s="124"/>
      <c r="KUR993" s="124"/>
      <c r="KUS993" s="124"/>
      <c r="KUT993" s="124"/>
      <c r="KUU993" s="124"/>
      <c r="KUV993" s="124"/>
      <c r="KUW993" s="124"/>
      <c r="KUX993" s="124"/>
      <c r="KUY993" s="124"/>
      <c r="KUZ993" s="124"/>
      <c r="KVA993" s="124"/>
      <c r="KVB993" s="124"/>
      <c r="KVC993" s="124"/>
      <c r="KVD993" s="124"/>
      <c r="KVE993" s="124"/>
      <c r="KVF993" s="124"/>
      <c r="KVG993" s="124"/>
      <c r="KVH993" s="124"/>
      <c r="KVI993" s="124"/>
      <c r="KVJ993" s="124"/>
      <c r="KVK993" s="124"/>
      <c r="KVL993" s="124"/>
      <c r="KVM993" s="124"/>
      <c r="KVN993" s="124"/>
      <c r="KVO993" s="124"/>
      <c r="KVP993" s="124"/>
      <c r="KVQ993" s="124"/>
      <c r="KVR993" s="124"/>
      <c r="KVS993" s="124"/>
      <c r="KVT993" s="124"/>
      <c r="KVU993" s="124"/>
      <c r="KVV993" s="124"/>
      <c r="KVW993" s="124"/>
      <c r="KVX993" s="124"/>
      <c r="KVY993" s="124"/>
      <c r="KVZ993" s="124"/>
      <c r="KWA993" s="124"/>
      <c r="KWB993" s="124"/>
      <c r="KWC993" s="124"/>
      <c r="KWD993" s="124"/>
      <c r="KWE993" s="124"/>
      <c r="KWF993" s="124"/>
      <c r="KWG993" s="124"/>
      <c r="KWH993" s="124"/>
      <c r="KWI993" s="124"/>
      <c r="KWJ993" s="124"/>
      <c r="KWK993" s="124"/>
      <c r="KWL993" s="124"/>
      <c r="KWM993" s="124"/>
      <c r="KWN993" s="124"/>
      <c r="KWO993" s="124"/>
      <c r="KWP993" s="124"/>
      <c r="KWQ993" s="124"/>
      <c r="KWR993" s="124"/>
      <c r="KWS993" s="124"/>
      <c r="KWT993" s="124"/>
      <c r="KWU993" s="124"/>
      <c r="KWV993" s="124"/>
      <c r="KWW993" s="124"/>
      <c r="KWX993" s="124"/>
      <c r="KWY993" s="124"/>
      <c r="KWZ993" s="124"/>
      <c r="KXA993" s="124"/>
      <c r="KXB993" s="124"/>
      <c r="KXC993" s="124"/>
      <c r="KXD993" s="124"/>
      <c r="KXE993" s="124"/>
      <c r="KXF993" s="124"/>
      <c r="KXG993" s="124"/>
      <c r="KXH993" s="124"/>
      <c r="KXI993" s="124"/>
      <c r="KXJ993" s="124"/>
      <c r="KXK993" s="124"/>
      <c r="KXL993" s="124"/>
      <c r="KXM993" s="124"/>
      <c r="KXN993" s="124"/>
      <c r="KXO993" s="124"/>
      <c r="KXP993" s="124"/>
      <c r="KXQ993" s="124"/>
      <c r="KXR993" s="124"/>
      <c r="KXS993" s="124"/>
      <c r="KXT993" s="124"/>
      <c r="KXU993" s="124"/>
      <c r="KXV993" s="124"/>
      <c r="KXW993" s="124"/>
      <c r="KXX993" s="124"/>
      <c r="KXY993" s="124"/>
      <c r="KXZ993" s="124"/>
      <c r="KYA993" s="124"/>
      <c r="KYB993" s="124"/>
      <c r="KYC993" s="124"/>
      <c r="KYD993" s="124"/>
      <c r="KYE993" s="124"/>
      <c r="KYF993" s="124"/>
      <c r="KYG993" s="124"/>
      <c r="KYH993" s="124"/>
      <c r="KYI993" s="124"/>
      <c r="KYJ993" s="124"/>
      <c r="KYK993" s="124"/>
      <c r="KYL993" s="124"/>
      <c r="KYM993" s="124"/>
      <c r="KYN993" s="124"/>
      <c r="KYO993" s="124"/>
      <c r="KYP993" s="124"/>
      <c r="KYQ993" s="124"/>
      <c r="KYR993" s="124"/>
      <c r="KYS993" s="124"/>
      <c r="KYT993" s="124"/>
      <c r="KYU993" s="124"/>
      <c r="KYV993" s="124"/>
      <c r="KYW993" s="124"/>
      <c r="KYX993" s="124"/>
      <c r="KYY993" s="124"/>
      <c r="KYZ993" s="124"/>
      <c r="KZA993" s="124"/>
      <c r="KZB993" s="124"/>
      <c r="KZC993" s="124"/>
      <c r="KZD993" s="124"/>
      <c r="KZE993" s="124"/>
      <c r="KZF993" s="124"/>
      <c r="KZG993" s="124"/>
      <c r="KZH993" s="124"/>
      <c r="KZI993" s="124"/>
      <c r="KZJ993" s="124"/>
      <c r="KZK993" s="124"/>
      <c r="KZL993" s="124"/>
      <c r="KZM993" s="124"/>
      <c r="KZN993" s="124"/>
      <c r="KZO993" s="124"/>
      <c r="KZP993" s="124"/>
      <c r="KZQ993" s="124"/>
      <c r="KZR993" s="124"/>
      <c r="KZS993" s="124"/>
      <c r="KZT993" s="124"/>
      <c r="KZU993" s="124"/>
      <c r="KZV993" s="124"/>
      <c r="KZW993" s="124"/>
      <c r="KZX993" s="124"/>
      <c r="KZY993" s="124"/>
      <c r="KZZ993" s="124"/>
      <c r="LAA993" s="124"/>
      <c r="LAB993" s="124"/>
      <c r="LAC993" s="124"/>
      <c r="LAD993" s="124"/>
      <c r="LAE993" s="124"/>
      <c r="LAF993" s="124"/>
      <c r="LAG993" s="124"/>
      <c r="LAH993" s="124"/>
      <c r="LAI993" s="124"/>
      <c r="LAJ993" s="124"/>
      <c r="LAK993" s="124"/>
      <c r="LAL993" s="124"/>
      <c r="LAM993" s="124"/>
      <c r="LAN993" s="124"/>
      <c r="LAO993" s="124"/>
      <c r="LAP993" s="124"/>
      <c r="LAQ993" s="124"/>
      <c r="LAR993" s="124"/>
      <c r="LAS993" s="124"/>
      <c r="LAT993" s="124"/>
      <c r="LAU993" s="124"/>
      <c r="LAV993" s="124"/>
      <c r="LAW993" s="124"/>
      <c r="LAX993" s="124"/>
      <c r="LAY993" s="124"/>
      <c r="LAZ993" s="124"/>
      <c r="LBA993" s="124"/>
      <c r="LBB993" s="124"/>
      <c r="LBC993" s="124"/>
      <c r="LBD993" s="124"/>
      <c r="LBE993" s="124"/>
      <c r="LBF993" s="124"/>
      <c r="LBG993" s="124"/>
      <c r="LBH993" s="124"/>
      <c r="LBI993" s="124"/>
      <c r="LBJ993" s="124"/>
      <c r="LBK993" s="124"/>
      <c r="LBL993" s="124"/>
      <c r="LBM993" s="124"/>
      <c r="LBN993" s="124"/>
      <c r="LBO993" s="124"/>
      <c r="LBP993" s="124"/>
      <c r="LBQ993" s="124"/>
      <c r="LBR993" s="124"/>
      <c r="LBS993" s="124"/>
      <c r="LBT993" s="124"/>
      <c r="LBU993" s="124"/>
      <c r="LBV993" s="124"/>
      <c r="LBW993" s="124"/>
      <c r="LBX993" s="124"/>
      <c r="LBY993" s="124"/>
      <c r="LBZ993" s="124"/>
      <c r="LCA993" s="124"/>
      <c r="LCB993" s="124"/>
      <c r="LCC993" s="124"/>
      <c r="LCD993" s="124"/>
      <c r="LCE993" s="124"/>
      <c r="LCF993" s="124"/>
      <c r="LCG993" s="124"/>
      <c r="LCH993" s="124"/>
      <c r="LCI993" s="124"/>
      <c r="LCJ993" s="124"/>
      <c r="LCK993" s="124"/>
      <c r="LCL993" s="124"/>
      <c r="LCM993" s="124"/>
      <c r="LCN993" s="124"/>
      <c r="LCO993" s="124"/>
      <c r="LCP993" s="124"/>
      <c r="LCQ993" s="124"/>
      <c r="LCR993" s="124"/>
      <c r="LCS993" s="124"/>
      <c r="LCT993" s="124"/>
      <c r="LCU993" s="124"/>
      <c r="LCV993" s="124"/>
      <c r="LCW993" s="124"/>
      <c r="LCX993" s="124"/>
      <c r="LCY993" s="124"/>
      <c r="LCZ993" s="124"/>
      <c r="LDA993" s="124"/>
      <c r="LDB993" s="124"/>
      <c r="LDC993" s="124"/>
      <c r="LDD993" s="124"/>
      <c r="LDE993" s="124"/>
      <c r="LDF993" s="124"/>
      <c r="LDG993" s="124"/>
      <c r="LDH993" s="124"/>
      <c r="LDI993" s="124"/>
      <c r="LDJ993" s="124"/>
      <c r="LDK993" s="124"/>
      <c r="LDL993" s="124"/>
      <c r="LDM993" s="124"/>
      <c r="LDN993" s="124"/>
      <c r="LDO993" s="124"/>
      <c r="LDP993" s="124"/>
      <c r="LDQ993" s="124"/>
      <c r="LDR993" s="124"/>
      <c r="LDS993" s="124"/>
      <c r="LDT993" s="124"/>
      <c r="LDU993" s="124"/>
      <c r="LDV993" s="124"/>
      <c r="LDW993" s="124"/>
      <c r="LDX993" s="124"/>
      <c r="LDY993" s="124"/>
      <c r="LDZ993" s="124"/>
      <c r="LEA993" s="124"/>
      <c r="LEB993" s="124"/>
      <c r="LEC993" s="124"/>
      <c r="LED993" s="124"/>
      <c r="LEE993" s="124"/>
      <c r="LEF993" s="124"/>
      <c r="LEG993" s="124"/>
      <c r="LEH993" s="124"/>
      <c r="LEI993" s="124"/>
      <c r="LEJ993" s="124"/>
      <c r="LEK993" s="124"/>
      <c r="LEL993" s="124"/>
      <c r="LEM993" s="124"/>
      <c r="LEN993" s="124"/>
      <c r="LEO993" s="124"/>
      <c r="LEP993" s="124"/>
      <c r="LEQ993" s="124"/>
      <c r="LER993" s="124"/>
      <c r="LES993" s="124"/>
      <c r="LET993" s="124"/>
      <c r="LEU993" s="124"/>
      <c r="LEV993" s="124"/>
      <c r="LEW993" s="124"/>
      <c r="LEX993" s="124"/>
      <c r="LEY993" s="124"/>
      <c r="LEZ993" s="124"/>
      <c r="LFA993" s="124"/>
      <c r="LFB993" s="124"/>
      <c r="LFC993" s="124"/>
      <c r="LFD993" s="124"/>
      <c r="LFE993" s="124"/>
      <c r="LFF993" s="124"/>
      <c r="LFG993" s="124"/>
      <c r="LFH993" s="124"/>
      <c r="LFI993" s="124"/>
      <c r="LFJ993" s="124"/>
      <c r="LFK993" s="124"/>
      <c r="LFL993" s="124"/>
      <c r="LFM993" s="124"/>
      <c r="LFN993" s="124"/>
      <c r="LFO993" s="124"/>
      <c r="LFP993" s="124"/>
      <c r="LFQ993" s="124"/>
      <c r="LFR993" s="124"/>
      <c r="LFS993" s="124"/>
      <c r="LFT993" s="124"/>
      <c r="LFU993" s="124"/>
      <c r="LFV993" s="124"/>
      <c r="LFW993" s="124"/>
      <c r="LFX993" s="124"/>
      <c r="LFY993" s="124"/>
      <c r="LFZ993" s="124"/>
      <c r="LGA993" s="124"/>
      <c r="LGB993" s="124"/>
      <c r="LGC993" s="124"/>
      <c r="LGD993" s="124"/>
      <c r="LGE993" s="124"/>
      <c r="LGF993" s="124"/>
      <c r="LGG993" s="124"/>
      <c r="LGH993" s="124"/>
      <c r="LGI993" s="124"/>
      <c r="LGJ993" s="124"/>
      <c r="LGK993" s="124"/>
      <c r="LGL993" s="124"/>
      <c r="LGM993" s="124"/>
      <c r="LGN993" s="124"/>
      <c r="LGO993" s="124"/>
      <c r="LGP993" s="124"/>
      <c r="LGQ993" s="124"/>
      <c r="LGR993" s="124"/>
      <c r="LGS993" s="124"/>
      <c r="LGT993" s="124"/>
      <c r="LGU993" s="124"/>
      <c r="LGV993" s="124"/>
      <c r="LGW993" s="124"/>
      <c r="LGX993" s="124"/>
      <c r="LGY993" s="124"/>
      <c r="LGZ993" s="124"/>
      <c r="LHA993" s="124"/>
      <c r="LHB993" s="124"/>
      <c r="LHC993" s="124"/>
      <c r="LHD993" s="124"/>
      <c r="LHE993" s="124"/>
      <c r="LHF993" s="124"/>
      <c r="LHG993" s="124"/>
      <c r="LHH993" s="124"/>
      <c r="LHI993" s="124"/>
      <c r="LHJ993" s="124"/>
      <c r="LHK993" s="124"/>
      <c r="LHL993" s="124"/>
      <c r="LHM993" s="124"/>
      <c r="LHN993" s="124"/>
      <c r="LHO993" s="124"/>
      <c r="LHP993" s="124"/>
      <c r="LHQ993" s="124"/>
      <c r="LHR993" s="124"/>
      <c r="LHS993" s="124"/>
      <c r="LHT993" s="124"/>
      <c r="LHU993" s="124"/>
      <c r="LHV993" s="124"/>
      <c r="LHW993" s="124"/>
      <c r="LHX993" s="124"/>
      <c r="LHY993" s="124"/>
      <c r="LHZ993" s="124"/>
      <c r="LIA993" s="124"/>
      <c r="LIB993" s="124"/>
      <c r="LIC993" s="124"/>
      <c r="LID993" s="124"/>
      <c r="LIE993" s="124"/>
      <c r="LIF993" s="124"/>
      <c r="LIG993" s="124"/>
      <c r="LIH993" s="124"/>
      <c r="LII993" s="124"/>
      <c r="LIJ993" s="124"/>
      <c r="LIK993" s="124"/>
      <c r="LIL993" s="124"/>
      <c r="LIM993" s="124"/>
      <c r="LIN993" s="124"/>
      <c r="LIO993" s="124"/>
      <c r="LIP993" s="124"/>
      <c r="LIQ993" s="124"/>
      <c r="LIR993" s="124"/>
      <c r="LIS993" s="124"/>
      <c r="LIT993" s="124"/>
      <c r="LIU993" s="124"/>
      <c r="LIV993" s="124"/>
      <c r="LIW993" s="124"/>
      <c r="LIX993" s="124"/>
      <c r="LIY993" s="124"/>
      <c r="LIZ993" s="124"/>
      <c r="LJA993" s="124"/>
      <c r="LJB993" s="124"/>
      <c r="LJC993" s="124"/>
      <c r="LJD993" s="124"/>
      <c r="LJE993" s="124"/>
      <c r="LJF993" s="124"/>
      <c r="LJG993" s="124"/>
      <c r="LJH993" s="124"/>
      <c r="LJI993" s="124"/>
      <c r="LJJ993" s="124"/>
      <c r="LJK993" s="124"/>
      <c r="LJL993" s="124"/>
      <c r="LJM993" s="124"/>
      <c r="LJN993" s="124"/>
      <c r="LJO993" s="124"/>
      <c r="LJP993" s="124"/>
      <c r="LJQ993" s="124"/>
      <c r="LJR993" s="124"/>
      <c r="LJS993" s="124"/>
      <c r="LJT993" s="124"/>
      <c r="LJU993" s="124"/>
      <c r="LJV993" s="124"/>
      <c r="LJW993" s="124"/>
      <c r="LJX993" s="124"/>
      <c r="LJY993" s="124"/>
      <c r="LJZ993" s="124"/>
      <c r="LKA993" s="124"/>
      <c r="LKB993" s="124"/>
      <c r="LKC993" s="124"/>
      <c r="LKD993" s="124"/>
      <c r="LKE993" s="124"/>
      <c r="LKF993" s="124"/>
      <c r="LKG993" s="124"/>
      <c r="LKH993" s="124"/>
      <c r="LKI993" s="124"/>
      <c r="LKJ993" s="124"/>
      <c r="LKK993" s="124"/>
      <c r="LKL993" s="124"/>
      <c r="LKM993" s="124"/>
      <c r="LKN993" s="124"/>
      <c r="LKO993" s="124"/>
      <c r="LKP993" s="124"/>
      <c r="LKQ993" s="124"/>
      <c r="LKR993" s="124"/>
      <c r="LKS993" s="124"/>
      <c r="LKT993" s="124"/>
      <c r="LKU993" s="124"/>
      <c r="LKV993" s="124"/>
      <c r="LKW993" s="124"/>
      <c r="LKX993" s="124"/>
      <c r="LKY993" s="124"/>
      <c r="LKZ993" s="124"/>
      <c r="LLA993" s="124"/>
      <c r="LLB993" s="124"/>
      <c r="LLC993" s="124"/>
      <c r="LLD993" s="124"/>
      <c r="LLE993" s="124"/>
      <c r="LLF993" s="124"/>
      <c r="LLG993" s="124"/>
      <c r="LLH993" s="124"/>
      <c r="LLI993" s="124"/>
      <c r="LLJ993" s="124"/>
      <c r="LLK993" s="124"/>
      <c r="LLL993" s="124"/>
      <c r="LLM993" s="124"/>
      <c r="LLN993" s="124"/>
      <c r="LLO993" s="124"/>
      <c r="LLP993" s="124"/>
      <c r="LLQ993" s="124"/>
      <c r="LLR993" s="124"/>
      <c r="LLS993" s="124"/>
      <c r="LLT993" s="124"/>
      <c r="LLU993" s="124"/>
      <c r="LLV993" s="124"/>
      <c r="LLW993" s="124"/>
      <c r="LLX993" s="124"/>
      <c r="LLY993" s="124"/>
      <c r="LLZ993" s="124"/>
      <c r="LMA993" s="124"/>
      <c r="LMB993" s="124"/>
      <c r="LMC993" s="124"/>
      <c r="LMD993" s="124"/>
      <c r="LME993" s="124"/>
      <c r="LMF993" s="124"/>
      <c r="LMG993" s="124"/>
      <c r="LMH993" s="124"/>
      <c r="LMI993" s="124"/>
      <c r="LMJ993" s="124"/>
      <c r="LMK993" s="124"/>
      <c r="LML993" s="124"/>
      <c r="LMM993" s="124"/>
      <c r="LMN993" s="124"/>
      <c r="LMO993" s="124"/>
      <c r="LMP993" s="124"/>
      <c r="LMQ993" s="124"/>
      <c r="LMR993" s="124"/>
      <c r="LMS993" s="124"/>
      <c r="LMT993" s="124"/>
      <c r="LMU993" s="124"/>
      <c r="LMV993" s="124"/>
      <c r="LMW993" s="124"/>
      <c r="LMX993" s="124"/>
      <c r="LMY993" s="124"/>
      <c r="LMZ993" s="124"/>
      <c r="LNA993" s="124"/>
      <c r="LNB993" s="124"/>
      <c r="LNC993" s="124"/>
      <c r="LND993" s="124"/>
      <c r="LNE993" s="124"/>
      <c r="LNF993" s="124"/>
      <c r="LNG993" s="124"/>
      <c r="LNH993" s="124"/>
      <c r="LNI993" s="124"/>
      <c r="LNJ993" s="124"/>
      <c r="LNK993" s="124"/>
      <c r="LNL993" s="124"/>
      <c r="LNM993" s="124"/>
      <c r="LNN993" s="124"/>
      <c r="LNO993" s="124"/>
      <c r="LNP993" s="124"/>
      <c r="LNQ993" s="124"/>
      <c r="LNR993" s="124"/>
      <c r="LNS993" s="124"/>
      <c r="LNT993" s="124"/>
      <c r="LNU993" s="124"/>
      <c r="LNV993" s="124"/>
      <c r="LNW993" s="124"/>
      <c r="LNX993" s="124"/>
      <c r="LNY993" s="124"/>
      <c r="LNZ993" s="124"/>
      <c r="LOA993" s="124"/>
      <c r="LOB993" s="124"/>
      <c r="LOC993" s="124"/>
      <c r="LOD993" s="124"/>
      <c r="LOE993" s="124"/>
      <c r="LOF993" s="124"/>
      <c r="LOG993" s="124"/>
      <c r="LOH993" s="124"/>
      <c r="LOI993" s="124"/>
      <c r="LOJ993" s="124"/>
      <c r="LOK993" s="124"/>
      <c r="LOL993" s="124"/>
      <c r="LOM993" s="124"/>
      <c r="LON993" s="124"/>
      <c r="LOO993" s="124"/>
      <c r="LOP993" s="124"/>
      <c r="LOQ993" s="124"/>
      <c r="LOR993" s="124"/>
      <c r="LOS993" s="124"/>
      <c r="LOT993" s="124"/>
      <c r="LOU993" s="124"/>
      <c r="LOV993" s="124"/>
      <c r="LOW993" s="124"/>
      <c r="LOX993" s="124"/>
      <c r="LOY993" s="124"/>
      <c r="LOZ993" s="124"/>
      <c r="LPA993" s="124"/>
      <c r="LPB993" s="124"/>
      <c r="LPC993" s="124"/>
      <c r="LPD993" s="124"/>
      <c r="LPE993" s="124"/>
      <c r="LPF993" s="124"/>
      <c r="LPG993" s="124"/>
      <c r="LPH993" s="124"/>
      <c r="LPI993" s="124"/>
      <c r="LPJ993" s="124"/>
      <c r="LPK993" s="124"/>
      <c r="LPL993" s="124"/>
      <c r="LPM993" s="124"/>
      <c r="LPN993" s="124"/>
      <c r="LPO993" s="124"/>
      <c r="LPP993" s="124"/>
      <c r="LPQ993" s="124"/>
      <c r="LPR993" s="124"/>
      <c r="LPS993" s="124"/>
      <c r="LPT993" s="124"/>
      <c r="LPU993" s="124"/>
      <c r="LPV993" s="124"/>
      <c r="LPW993" s="124"/>
      <c r="LPX993" s="124"/>
      <c r="LPY993" s="124"/>
      <c r="LPZ993" s="124"/>
      <c r="LQA993" s="124"/>
      <c r="LQB993" s="124"/>
      <c r="LQC993" s="124"/>
      <c r="LQD993" s="124"/>
      <c r="LQE993" s="124"/>
      <c r="LQF993" s="124"/>
      <c r="LQG993" s="124"/>
      <c r="LQH993" s="124"/>
      <c r="LQI993" s="124"/>
      <c r="LQJ993" s="124"/>
      <c r="LQK993" s="124"/>
      <c r="LQL993" s="124"/>
      <c r="LQM993" s="124"/>
      <c r="LQN993" s="124"/>
      <c r="LQO993" s="124"/>
      <c r="LQP993" s="124"/>
      <c r="LQQ993" s="124"/>
      <c r="LQR993" s="124"/>
      <c r="LQS993" s="124"/>
      <c r="LQT993" s="124"/>
      <c r="LQU993" s="124"/>
      <c r="LQV993" s="124"/>
      <c r="LQW993" s="124"/>
      <c r="LQX993" s="124"/>
      <c r="LQY993" s="124"/>
      <c r="LQZ993" s="124"/>
      <c r="LRA993" s="124"/>
      <c r="LRB993" s="124"/>
      <c r="LRC993" s="124"/>
      <c r="LRD993" s="124"/>
      <c r="LRE993" s="124"/>
      <c r="LRF993" s="124"/>
      <c r="LRG993" s="124"/>
      <c r="LRH993" s="124"/>
      <c r="LRI993" s="124"/>
      <c r="LRJ993" s="124"/>
      <c r="LRK993" s="124"/>
      <c r="LRL993" s="124"/>
      <c r="LRM993" s="124"/>
      <c r="LRN993" s="124"/>
      <c r="LRO993" s="124"/>
      <c r="LRP993" s="124"/>
      <c r="LRQ993" s="124"/>
      <c r="LRR993" s="124"/>
      <c r="LRS993" s="124"/>
      <c r="LRT993" s="124"/>
      <c r="LRU993" s="124"/>
      <c r="LRV993" s="124"/>
      <c r="LRW993" s="124"/>
      <c r="LRX993" s="124"/>
      <c r="LRY993" s="124"/>
      <c r="LRZ993" s="124"/>
      <c r="LSA993" s="124"/>
      <c r="LSB993" s="124"/>
      <c r="LSC993" s="124"/>
      <c r="LSD993" s="124"/>
      <c r="LSE993" s="124"/>
      <c r="LSF993" s="124"/>
      <c r="LSG993" s="124"/>
      <c r="LSH993" s="124"/>
      <c r="LSI993" s="124"/>
      <c r="LSJ993" s="124"/>
      <c r="LSK993" s="124"/>
      <c r="LSL993" s="124"/>
      <c r="LSM993" s="124"/>
      <c r="LSN993" s="124"/>
      <c r="LSO993" s="124"/>
      <c r="LSP993" s="124"/>
      <c r="LSQ993" s="124"/>
      <c r="LSR993" s="124"/>
      <c r="LSS993" s="124"/>
      <c r="LST993" s="124"/>
      <c r="LSU993" s="124"/>
      <c r="LSV993" s="124"/>
      <c r="LSW993" s="124"/>
      <c r="LSX993" s="124"/>
      <c r="LSY993" s="124"/>
      <c r="LSZ993" s="124"/>
      <c r="LTA993" s="124"/>
      <c r="LTB993" s="124"/>
      <c r="LTC993" s="124"/>
      <c r="LTD993" s="124"/>
      <c r="LTE993" s="124"/>
      <c r="LTF993" s="124"/>
      <c r="LTG993" s="124"/>
      <c r="LTH993" s="124"/>
      <c r="LTI993" s="124"/>
      <c r="LTJ993" s="124"/>
      <c r="LTK993" s="124"/>
      <c r="LTL993" s="124"/>
      <c r="LTM993" s="124"/>
      <c r="LTN993" s="124"/>
      <c r="LTO993" s="124"/>
      <c r="LTP993" s="124"/>
      <c r="LTQ993" s="124"/>
      <c r="LTR993" s="124"/>
      <c r="LTS993" s="124"/>
      <c r="LTT993" s="124"/>
      <c r="LTU993" s="124"/>
      <c r="LTV993" s="124"/>
      <c r="LTW993" s="124"/>
      <c r="LTX993" s="124"/>
      <c r="LTY993" s="124"/>
      <c r="LTZ993" s="124"/>
      <c r="LUA993" s="124"/>
      <c r="LUB993" s="124"/>
      <c r="LUC993" s="124"/>
      <c r="LUD993" s="124"/>
      <c r="LUE993" s="124"/>
      <c r="LUF993" s="124"/>
      <c r="LUG993" s="124"/>
      <c r="LUH993" s="124"/>
      <c r="LUI993" s="124"/>
      <c r="LUJ993" s="124"/>
      <c r="LUK993" s="124"/>
      <c r="LUL993" s="124"/>
      <c r="LUM993" s="124"/>
      <c r="LUN993" s="124"/>
      <c r="LUO993" s="124"/>
      <c r="LUP993" s="124"/>
      <c r="LUQ993" s="124"/>
      <c r="LUR993" s="124"/>
      <c r="LUS993" s="124"/>
      <c r="LUT993" s="124"/>
      <c r="LUU993" s="124"/>
      <c r="LUV993" s="124"/>
      <c r="LUW993" s="124"/>
      <c r="LUX993" s="124"/>
      <c r="LUY993" s="124"/>
      <c r="LUZ993" s="124"/>
      <c r="LVA993" s="124"/>
      <c r="LVB993" s="124"/>
      <c r="LVC993" s="124"/>
      <c r="LVD993" s="124"/>
      <c r="LVE993" s="124"/>
      <c r="LVF993" s="124"/>
      <c r="LVG993" s="124"/>
      <c r="LVH993" s="124"/>
      <c r="LVI993" s="124"/>
      <c r="LVJ993" s="124"/>
      <c r="LVK993" s="124"/>
      <c r="LVL993" s="124"/>
      <c r="LVM993" s="124"/>
      <c r="LVN993" s="124"/>
      <c r="LVO993" s="124"/>
      <c r="LVP993" s="124"/>
      <c r="LVQ993" s="124"/>
      <c r="LVR993" s="124"/>
      <c r="LVS993" s="124"/>
      <c r="LVT993" s="124"/>
      <c r="LVU993" s="124"/>
      <c r="LVV993" s="124"/>
      <c r="LVW993" s="124"/>
      <c r="LVX993" s="124"/>
      <c r="LVY993" s="124"/>
      <c r="LVZ993" s="124"/>
      <c r="LWA993" s="124"/>
      <c r="LWB993" s="124"/>
      <c r="LWC993" s="124"/>
      <c r="LWD993" s="124"/>
      <c r="LWE993" s="124"/>
      <c r="LWF993" s="124"/>
      <c r="LWG993" s="124"/>
      <c r="LWH993" s="124"/>
      <c r="LWI993" s="124"/>
      <c r="LWJ993" s="124"/>
      <c r="LWK993" s="124"/>
      <c r="LWL993" s="124"/>
      <c r="LWM993" s="124"/>
      <c r="LWN993" s="124"/>
      <c r="LWO993" s="124"/>
      <c r="LWP993" s="124"/>
      <c r="LWQ993" s="124"/>
      <c r="LWR993" s="124"/>
      <c r="LWS993" s="124"/>
      <c r="LWT993" s="124"/>
      <c r="LWU993" s="124"/>
      <c r="LWV993" s="124"/>
      <c r="LWW993" s="124"/>
      <c r="LWX993" s="124"/>
      <c r="LWY993" s="124"/>
      <c r="LWZ993" s="124"/>
      <c r="LXA993" s="124"/>
      <c r="LXB993" s="124"/>
      <c r="LXC993" s="124"/>
      <c r="LXD993" s="124"/>
      <c r="LXE993" s="124"/>
      <c r="LXF993" s="124"/>
      <c r="LXG993" s="124"/>
      <c r="LXH993" s="124"/>
      <c r="LXI993" s="124"/>
      <c r="LXJ993" s="124"/>
      <c r="LXK993" s="124"/>
      <c r="LXL993" s="124"/>
      <c r="LXM993" s="124"/>
      <c r="LXN993" s="124"/>
      <c r="LXO993" s="124"/>
      <c r="LXP993" s="124"/>
      <c r="LXQ993" s="124"/>
      <c r="LXR993" s="124"/>
      <c r="LXS993" s="124"/>
      <c r="LXT993" s="124"/>
      <c r="LXU993" s="124"/>
      <c r="LXV993" s="124"/>
      <c r="LXW993" s="124"/>
      <c r="LXX993" s="124"/>
      <c r="LXY993" s="124"/>
      <c r="LXZ993" s="124"/>
      <c r="LYA993" s="124"/>
      <c r="LYB993" s="124"/>
      <c r="LYC993" s="124"/>
      <c r="LYD993" s="124"/>
      <c r="LYE993" s="124"/>
      <c r="LYF993" s="124"/>
      <c r="LYG993" s="124"/>
      <c r="LYH993" s="124"/>
      <c r="LYI993" s="124"/>
      <c r="LYJ993" s="124"/>
      <c r="LYK993" s="124"/>
      <c r="LYL993" s="124"/>
      <c r="LYM993" s="124"/>
      <c r="LYN993" s="124"/>
      <c r="LYO993" s="124"/>
      <c r="LYP993" s="124"/>
      <c r="LYQ993" s="124"/>
      <c r="LYR993" s="124"/>
      <c r="LYS993" s="124"/>
      <c r="LYT993" s="124"/>
      <c r="LYU993" s="124"/>
      <c r="LYV993" s="124"/>
      <c r="LYW993" s="124"/>
      <c r="LYX993" s="124"/>
      <c r="LYY993" s="124"/>
      <c r="LYZ993" s="124"/>
      <c r="LZA993" s="124"/>
      <c r="LZB993" s="124"/>
      <c r="LZC993" s="124"/>
      <c r="LZD993" s="124"/>
      <c r="LZE993" s="124"/>
      <c r="LZF993" s="124"/>
      <c r="LZG993" s="124"/>
      <c r="LZH993" s="124"/>
      <c r="LZI993" s="124"/>
      <c r="LZJ993" s="124"/>
      <c r="LZK993" s="124"/>
      <c r="LZL993" s="124"/>
      <c r="LZM993" s="124"/>
      <c r="LZN993" s="124"/>
      <c r="LZO993" s="124"/>
      <c r="LZP993" s="124"/>
      <c r="LZQ993" s="124"/>
      <c r="LZR993" s="124"/>
      <c r="LZS993" s="124"/>
      <c r="LZT993" s="124"/>
      <c r="LZU993" s="124"/>
      <c r="LZV993" s="124"/>
      <c r="LZW993" s="124"/>
      <c r="LZX993" s="124"/>
      <c r="LZY993" s="124"/>
      <c r="LZZ993" s="124"/>
      <c r="MAA993" s="124"/>
      <c r="MAB993" s="124"/>
      <c r="MAC993" s="124"/>
      <c r="MAD993" s="124"/>
      <c r="MAE993" s="124"/>
      <c r="MAF993" s="124"/>
      <c r="MAG993" s="124"/>
      <c r="MAH993" s="124"/>
      <c r="MAI993" s="124"/>
      <c r="MAJ993" s="124"/>
      <c r="MAK993" s="124"/>
      <c r="MAL993" s="124"/>
      <c r="MAM993" s="124"/>
      <c r="MAN993" s="124"/>
      <c r="MAO993" s="124"/>
      <c r="MAP993" s="124"/>
      <c r="MAQ993" s="124"/>
      <c r="MAR993" s="124"/>
      <c r="MAS993" s="124"/>
      <c r="MAT993" s="124"/>
      <c r="MAU993" s="124"/>
      <c r="MAV993" s="124"/>
      <c r="MAW993" s="124"/>
      <c r="MAX993" s="124"/>
      <c r="MAY993" s="124"/>
      <c r="MAZ993" s="124"/>
      <c r="MBA993" s="124"/>
      <c r="MBB993" s="124"/>
      <c r="MBC993" s="124"/>
      <c r="MBD993" s="124"/>
      <c r="MBE993" s="124"/>
      <c r="MBF993" s="124"/>
      <c r="MBG993" s="124"/>
      <c r="MBH993" s="124"/>
      <c r="MBI993" s="124"/>
      <c r="MBJ993" s="124"/>
      <c r="MBK993" s="124"/>
      <c r="MBL993" s="124"/>
      <c r="MBM993" s="124"/>
      <c r="MBN993" s="124"/>
      <c r="MBO993" s="124"/>
      <c r="MBP993" s="124"/>
      <c r="MBQ993" s="124"/>
      <c r="MBR993" s="124"/>
      <c r="MBS993" s="124"/>
      <c r="MBT993" s="124"/>
      <c r="MBU993" s="124"/>
      <c r="MBV993" s="124"/>
      <c r="MBW993" s="124"/>
      <c r="MBX993" s="124"/>
      <c r="MBY993" s="124"/>
      <c r="MBZ993" s="124"/>
      <c r="MCA993" s="124"/>
      <c r="MCB993" s="124"/>
      <c r="MCC993" s="124"/>
      <c r="MCD993" s="124"/>
    </row>
    <row r="994" spans="1:8870" s="18" customFormat="1" ht="38.25" customHeight="1">
      <c r="A994" s="21" t="s">
        <v>1</v>
      </c>
      <c r="B994" s="18" t="s">
        <v>1855</v>
      </c>
      <c r="C994" s="21" t="s">
        <v>35</v>
      </c>
      <c r="D994" s="21" t="s">
        <v>2868</v>
      </c>
      <c r="E994" s="21" t="s">
        <v>740</v>
      </c>
      <c r="F994" s="18" t="s">
        <v>277</v>
      </c>
      <c r="G994" s="21" t="s">
        <v>85</v>
      </c>
      <c r="H994" s="18">
        <v>541519</v>
      </c>
      <c r="I994" s="18" t="s">
        <v>2869</v>
      </c>
      <c r="J994" s="21" t="s">
        <v>109</v>
      </c>
      <c r="K994" s="18" t="s">
        <v>2870</v>
      </c>
      <c r="L994" s="21" t="s">
        <v>561</v>
      </c>
      <c r="M994" s="22">
        <v>100000000</v>
      </c>
      <c r="N994" s="22">
        <v>150000000</v>
      </c>
      <c r="O994" s="21" t="s">
        <v>20</v>
      </c>
      <c r="P994" s="18" t="s">
        <v>2871</v>
      </c>
      <c r="Q994" s="18" t="s">
        <v>2851</v>
      </c>
      <c r="R994" s="21" t="s">
        <v>2836</v>
      </c>
      <c r="S994" s="74">
        <v>2013</v>
      </c>
      <c r="T994" s="21" t="s">
        <v>2872</v>
      </c>
      <c r="U994" s="21" t="s">
        <v>2854</v>
      </c>
      <c r="V994" s="214" t="s">
        <v>2873</v>
      </c>
      <c r="W994" s="105" t="s">
        <v>32</v>
      </c>
      <c r="X994" s="18" t="s">
        <v>2856</v>
      </c>
      <c r="Y994" s="124"/>
      <c r="Z994" s="124"/>
      <c r="AA994" s="124"/>
      <c r="AB994" s="124"/>
      <c r="AC994" s="124"/>
      <c r="AD994" s="124"/>
      <c r="AE994" s="124"/>
      <c r="AF994" s="124"/>
      <c r="AG994" s="124"/>
      <c r="AH994" s="124"/>
      <c r="AI994" s="124"/>
      <c r="AJ994" s="124"/>
      <c r="AK994" s="124"/>
      <c r="AL994" s="124"/>
      <c r="AM994" s="124"/>
      <c r="AN994" s="124"/>
      <c r="AO994" s="124"/>
      <c r="AP994" s="124"/>
      <c r="AQ994" s="124"/>
      <c r="AR994" s="124"/>
      <c r="AS994" s="124"/>
      <c r="AT994" s="124"/>
      <c r="AU994" s="124"/>
      <c r="AV994" s="124"/>
      <c r="AW994" s="124"/>
      <c r="AX994" s="124"/>
      <c r="AY994" s="124"/>
      <c r="AZ994" s="124"/>
      <c r="BA994" s="124"/>
      <c r="BB994" s="124"/>
      <c r="BC994" s="124"/>
      <c r="BD994" s="124"/>
      <c r="BE994" s="124"/>
      <c r="BF994" s="124"/>
      <c r="BG994" s="124"/>
      <c r="BH994" s="124"/>
      <c r="BI994" s="124"/>
      <c r="BJ994" s="124"/>
      <c r="BK994" s="124"/>
      <c r="BL994" s="124"/>
      <c r="BM994" s="124"/>
      <c r="BN994" s="124"/>
      <c r="BO994" s="124"/>
      <c r="BP994" s="124"/>
      <c r="BQ994" s="124"/>
      <c r="BR994" s="124"/>
      <c r="BS994" s="124"/>
      <c r="BT994" s="124"/>
      <c r="BU994" s="124"/>
      <c r="BV994" s="124"/>
      <c r="BW994" s="124"/>
      <c r="BX994" s="124"/>
      <c r="BY994" s="124"/>
      <c r="BZ994" s="124"/>
      <c r="CA994" s="124"/>
      <c r="CB994" s="124"/>
      <c r="CC994" s="124"/>
      <c r="CD994" s="124"/>
      <c r="CE994" s="124"/>
      <c r="CF994" s="124"/>
      <c r="CG994" s="124"/>
      <c r="CH994" s="124"/>
      <c r="CI994" s="124"/>
      <c r="CJ994" s="124"/>
      <c r="CK994" s="124"/>
      <c r="CL994" s="124"/>
      <c r="CM994" s="124"/>
      <c r="CN994" s="124"/>
      <c r="CO994" s="124"/>
      <c r="CP994" s="124"/>
      <c r="CQ994" s="124"/>
      <c r="CR994" s="124"/>
      <c r="CS994" s="124"/>
      <c r="CT994" s="124"/>
      <c r="CU994" s="124"/>
      <c r="CV994" s="124"/>
      <c r="CW994" s="124"/>
      <c r="CX994" s="124"/>
      <c r="CY994" s="124"/>
      <c r="CZ994" s="124"/>
      <c r="DA994" s="124"/>
      <c r="DB994" s="124"/>
      <c r="DC994" s="124"/>
      <c r="DD994" s="124"/>
      <c r="DE994" s="124"/>
      <c r="DF994" s="124"/>
      <c r="DG994" s="124"/>
      <c r="DH994" s="124"/>
      <c r="DI994" s="124"/>
      <c r="DJ994" s="124"/>
      <c r="DK994" s="124"/>
      <c r="DL994" s="124"/>
      <c r="DM994" s="124"/>
      <c r="DN994" s="124"/>
      <c r="DO994" s="124"/>
      <c r="DP994" s="124"/>
      <c r="DQ994" s="124"/>
      <c r="DR994" s="124"/>
      <c r="DS994" s="124"/>
      <c r="DT994" s="124"/>
      <c r="DU994" s="124"/>
      <c r="DV994" s="124"/>
      <c r="DW994" s="124"/>
      <c r="DX994" s="124"/>
      <c r="DY994" s="124"/>
      <c r="DZ994" s="124"/>
      <c r="EA994" s="124"/>
      <c r="EB994" s="124"/>
      <c r="EC994" s="124"/>
      <c r="ED994" s="124"/>
      <c r="EE994" s="124"/>
      <c r="EF994" s="124"/>
      <c r="EG994" s="124"/>
      <c r="EH994" s="124"/>
      <c r="EI994" s="124"/>
      <c r="EJ994" s="124"/>
      <c r="EK994" s="124"/>
      <c r="EL994" s="124"/>
      <c r="EM994" s="124"/>
      <c r="EN994" s="124"/>
      <c r="EO994" s="124"/>
      <c r="EP994" s="124"/>
      <c r="EQ994" s="124"/>
      <c r="ER994" s="124"/>
      <c r="ES994" s="124"/>
      <c r="ET994" s="124"/>
      <c r="EU994" s="124"/>
      <c r="EV994" s="124"/>
      <c r="EW994" s="124"/>
      <c r="EX994" s="124"/>
      <c r="EY994" s="124"/>
      <c r="EZ994" s="124"/>
      <c r="FA994" s="124"/>
      <c r="FB994" s="124"/>
      <c r="FC994" s="124"/>
      <c r="FD994" s="124"/>
      <c r="FE994" s="124"/>
      <c r="FF994" s="124"/>
      <c r="FG994" s="124"/>
      <c r="FH994" s="124"/>
      <c r="FI994" s="124"/>
      <c r="FJ994" s="124"/>
      <c r="FK994" s="124"/>
      <c r="FL994" s="124"/>
      <c r="FM994" s="124"/>
      <c r="FN994" s="124"/>
      <c r="FO994" s="124"/>
      <c r="FP994" s="124"/>
      <c r="FQ994" s="124"/>
      <c r="FR994" s="124"/>
      <c r="FS994" s="124"/>
      <c r="FT994" s="124"/>
      <c r="FU994" s="124"/>
      <c r="FV994" s="124"/>
      <c r="FW994" s="124"/>
      <c r="FX994" s="124"/>
      <c r="FY994" s="124"/>
      <c r="FZ994" s="124"/>
      <c r="GA994" s="124"/>
      <c r="GB994" s="124"/>
      <c r="GC994" s="124"/>
      <c r="GD994" s="124"/>
      <c r="GE994" s="124"/>
      <c r="GF994" s="124"/>
      <c r="GG994" s="124"/>
      <c r="GH994" s="124"/>
      <c r="GI994" s="124"/>
      <c r="GJ994" s="124"/>
      <c r="GK994" s="124"/>
      <c r="GL994" s="124"/>
      <c r="GM994" s="124"/>
      <c r="GN994" s="124"/>
      <c r="GO994" s="124"/>
      <c r="GP994" s="124"/>
      <c r="GQ994" s="124"/>
      <c r="GR994" s="124"/>
      <c r="GS994" s="124"/>
      <c r="GT994" s="124"/>
      <c r="GU994" s="124"/>
      <c r="GV994" s="124"/>
      <c r="GW994" s="124"/>
      <c r="GX994" s="124"/>
      <c r="GY994" s="124"/>
      <c r="GZ994" s="124"/>
      <c r="HA994" s="124"/>
      <c r="HB994" s="124"/>
      <c r="HC994" s="124"/>
      <c r="HD994" s="124"/>
      <c r="HE994" s="124"/>
      <c r="HF994" s="124"/>
      <c r="HG994" s="124"/>
      <c r="HH994" s="124"/>
      <c r="HI994" s="124"/>
      <c r="HJ994" s="124"/>
      <c r="HK994" s="124"/>
      <c r="HL994" s="124"/>
      <c r="HM994" s="124"/>
      <c r="HN994" s="124"/>
      <c r="HO994" s="124"/>
      <c r="HP994" s="124"/>
      <c r="HQ994" s="124"/>
      <c r="HR994" s="124"/>
      <c r="HS994" s="124"/>
      <c r="HT994" s="124"/>
      <c r="HU994" s="124"/>
      <c r="HV994" s="124"/>
      <c r="HW994" s="124"/>
      <c r="HX994" s="124"/>
      <c r="HY994" s="124"/>
      <c r="HZ994" s="124"/>
      <c r="IA994" s="124"/>
      <c r="IB994" s="124"/>
      <c r="IC994" s="124"/>
      <c r="ID994" s="124"/>
      <c r="IE994" s="124"/>
      <c r="IF994" s="124"/>
      <c r="IG994" s="124"/>
      <c r="IH994" s="124"/>
      <c r="II994" s="124"/>
      <c r="IJ994" s="124"/>
      <c r="IK994" s="124"/>
      <c r="IL994" s="124"/>
      <c r="IM994" s="124"/>
      <c r="IN994" s="124"/>
      <c r="IO994" s="124"/>
      <c r="IP994" s="124"/>
      <c r="IQ994" s="124"/>
      <c r="IR994" s="124"/>
      <c r="IS994" s="124"/>
      <c r="IT994" s="124"/>
      <c r="IU994" s="124"/>
      <c r="IV994" s="124"/>
      <c r="IW994" s="124"/>
      <c r="IX994" s="124"/>
      <c r="IY994" s="124"/>
      <c r="IZ994" s="124"/>
      <c r="JA994" s="124"/>
      <c r="JB994" s="124"/>
      <c r="JC994" s="124"/>
      <c r="JD994" s="124"/>
      <c r="JE994" s="124"/>
      <c r="JF994" s="124"/>
      <c r="JG994" s="124"/>
      <c r="JH994" s="124"/>
      <c r="JI994" s="124"/>
      <c r="JJ994" s="124"/>
      <c r="JK994" s="124"/>
      <c r="JL994" s="124"/>
      <c r="JM994" s="124"/>
      <c r="JN994" s="124"/>
      <c r="JO994" s="124"/>
      <c r="JP994" s="124"/>
      <c r="JQ994" s="124"/>
      <c r="JR994" s="124"/>
      <c r="JS994" s="124"/>
      <c r="JT994" s="124"/>
      <c r="JU994" s="124"/>
      <c r="JV994" s="124"/>
      <c r="JW994" s="124"/>
      <c r="JX994" s="124"/>
      <c r="JY994" s="124"/>
      <c r="JZ994" s="124"/>
      <c r="KA994" s="124"/>
      <c r="KB994" s="124"/>
      <c r="KC994" s="124"/>
      <c r="KD994" s="124"/>
      <c r="KE994" s="124"/>
      <c r="KF994" s="124"/>
      <c r="KG994" s="124"/>
      <c r="KH994" s="124"/>
      <c r="KI994" s="124"/>
      <c r="KJ994" s="124"/>
      <c r="KK994" s="124"/>
      <c r="KL994" s="124"/>
      <c r="KM994" s="124"/>
      <c r="KN994" s="124"/>
      <c r="KO994" s="124"/>
      <c r="KP994" s="124"/>
      <c r="KQ994" s="124"/>
      <c r="KR994" s="124"/>
      <c r="KS994" s="124"/>
      <c r="KT994" s="124"/>
      <c r="KU994" s="124"/>
      <c r="KV994" s="124"/>
      <c r="KW994" s="124"/>
      <c r="KX994" s="124"/>
      <c r="KY994" s="124"/>
      <c r="KZ994" s="124"/>
      <c r="LA994" s="124"/>
      <c r="LB994" s="124"/>
      <c r="LC994" s="124"/>
      <c r="LD994" s="124"/>
      <c r="LE994" s="124"/>
      <c r="LF994" s="124"/>
      <c r="LG994" s="124"/>
      <c r="LH994" s="124"/>
      <c r="LI994" s="124"/>
      <c r="LJ994" s="124"/>
      <c r="LK994" s="124"/>
      <c r="LL994" s="124"/>
      <c r="LM994" s="124"/>
      <c r="LN994" s="124"/>
      <c r="LO994" s="124"/>
      <c r="LP994" s="124"/>
      <c r="LQ994" s="124"/>
      <c r="LR994" s="124"/>
      <c r="LS994" s="124"/>
      <c r="LT994" s="124"/>
      <c r="LU994" s="124"/>
      <c r="LV994" s="124"/>
      <c r="LW994" s="124"/>
      <c r="LX994" s="124"/>
      <c r="LY994" s="124"/>
      <c r="LZ994" s="124"/>
      <c r="MA994" s="124"/>
      <c r="MB994" s="124"/>
      <c r="MC994" s="124"/>
      <c r="MD994" s="124"/>
      <c r="ME994" s="124"/>
      <c r="MF994" s="124"/>
      <c r="MG994" s="124"/>
      <c r="MH994" s="124"/>
      <c r="MI994" s="124"/>
      <c r="MJ994" s="124"/>
      <c r="MK994" s="124"/>
      <c r="ML994" s="124"/>
      <c r="MM994" s="124"/>
      <c r="MN994" s="124"/>
      <c r="MO994" s="124"/>
      <c r="MP994" s="124"/>
      <c r="MQ994" s="124"/>
      <c r="MR994" s="124"/>
      <c r="MS994" s="124"/>
      <c r="MT994" s="124"/>
      <c r="MU994" s="124"/>
      <c r="MV994" s="124"/>
      <c r="MW994" s="124"/>
      <c r="MX994" s="124"/>
      <c r="MY994" s="124"/>
      <c r="MZ994" s="124"/>
      <c r="NA994" s="124"/>
      <c r="NB994" s="124"/>
      <c r="NC994" s="124"/>
      <c r="ND994" s="124"/>
      <c r="NE994" s="124"/>
      <c r="NF994" s="124"/>
      <c r="NG994" s="124"/>
      <c r="NH994" s="124"/>
      <c r="NI994" s="124"/>
      <c r="NJ994" s="124"/>
      <c r="NK994" s="124"/>
      <c r="NL994" s="124"/>
      <c r="NM994" s="124"/>
      <c r="NN994" s="124"/>
      <c r="NO994" s="124"/>
      <c r="NP994" s="124"/>
      <c r="NQ994" s="124"/>
      <c r="NR994" s="124"/>
      <c r="NS994" s="124"/>
      <c r="NT994" s="124"/>
      <c r="NU994" s="124"/>
      <c r="NV994" s="124"/>
      <c r="NW994" s="124"/>
      <c r="NX994" s="124"/>
      <c r="NY994" s="124"/>
      <c r="NZ994" s="124"/>
      <c r="OA994" s="124"/>
      <c r="OB994" s="124"/>
      <c r="OC994" s="124"/>
      <c r="OD994" s="124"/>
      <c r="OE994" s="124"/>
      <c r="OF994" s="124"/>
      <c r="OG994" s="124"/>
      <c r="OH994" s="124"/>
      <c r="OI994" s="124"/>
      <c r="OJ994" s="124"/>
      <c r="OK994" s="124"/>
      <c r="OL994" s="124"/>
      <c r="OM994" s="124"/>
      <c r="ON994" s="124"/>
      <c r="OO994" s="124"/>
      <c r="OP994" s="124"/>
      <c r="OQ994" s="124"/>
      <c r="OR994" s="124"/>
      <c r="OS994" s="124"/>
      <c r="OT994" s="124"/>
      <c r="OU994" s="124"/>
      <c r="OV994" s="124"/>
      <c r="OW994" s="124"/>
      <c r="OX994" s="124"/>
      <c r="OY994" s="124"/>
      <c r="OZ994" s="124"/>
      <c r="PA994" s="124"/>
      <c r="PB994" s="124"/>
      <c r="PC994" s="124"/>
      <c r="PD994" s="124"/>
      <c r="PE994" s="124"/>
      <c r="PF994" s="124"/>
      <c r="PG994" s="124"/>
      <c r="PH994" s="124"/>
      <c r="PI994" s="124"/>
      <c r="PJ994" s="124"/>
      <c r="PK994" s="124"/>
      <c r="PL994" s="124"/>
      <c r="PM994" s="124"/>
      <c r="PN994" s="124"/>
      <c r="PO994" s="124"/>
      <c r="PP994" s="124"/>
      <c r="PQ994" s="124"/>
      <c r="PR994" s="124"/>
      <c r="PS994" s="124"/>
      <c r="PT994" s="124"/>
      <c r="PU994" s="124"/>
      <c r="PV994" s="124"/>
      <c r="PW994" s="124"/>
      <c r="PX994" s="124"/>
      <c r="PY994" s="124"/>
      <c r="PZ994" s="124"/>
      <c r="QA994" s="124"/>
      <c r="QB994" s="124"/>
      <c r="QC994" s="124"/>
      <c r="QD994" s="124"/>
      <c r="QE994" s="124"/>
      <c r="QF994" s="124"/>
      <c r="QG994" s="124"/>
      <c r="QH994" s="124"/>
      <c r="QI994" s="124"/>
      <c r="QJ994" s="124"/>
      <c r="QK994" s="124"/>
      <c r="QL994" s="124"/>
      <c r="QM994" s="124"/>
      <c r="QN994" s="124"/>
      <c r="QO994" s="124"/>
      <c r="QP994" s="124"/>
      <c r="QQ994" s="124"/>
      <c r="QR994" s="124"/>
      <c r="QS994" s="124"/>
      <c r="QT994" s="124"/>
      <c r="QU994" s="124"/>
      <c r="QV994" s="124"/>
      <c r="QW994" s="124"/>
      <c r="QX994" s="124"/>
      <c r="QY994" s="124"/>
      <c r="QZ994" s="124"/>
      <c r="RA994" s="124"/>
      <c r="RB994" s="124"/>
      <c r="RC994" s="124"/>
      <c r="RD994" s="124"/>
      <c r="RE994" s="124"/>
      <c r="RF994" s="124"/>
      <c r="RG994" s="124"/>
      <c r="RH994" s="124"/>
      <c r="RI994" s="124"/>
      <c r="RJ994" s="124"/>
      <c r="RK994" s="124"/>
      <c r="RL994" s="124"/>
      <c r="RM994" s="124"/>
      <c r="RN994" s="124"/>
      <c r="RO994" s="124"/>
      <c r="RP994" s="124"/>
      <c r="RQ994" s="124"/>
      <c r="RR994" s="124"/>
      <c r="RS994" s="124"/>
      <c r="RT994" s="124"/>
      <c r="RU994" s="124"/>
      <c r="RV994" s="124"/>
      <c r="RW994" s="124"/>
      <c r="RX994" s="124"/>
      <c r="RY994" s="124"/>
      <c r="RZ994" s="124"/>
      <c r="SA994" s="124"/>
      <c r="SB994" s="124"/>
      <c r="SC994" s="124"/>
      <c r="SD994" s="124"/>
      <c r="SE994" s="124"/>
      <c r="SF994" s="124"/>
      <c r="SG994" s="124"/>
      <c r="SH994" s="124"/>
      <c r="SI994" s="124"/>
      <c r="SJ994" s="124"/>
      <c r="SK994" s="124"/>
      <c r="SL994" s="124"/>
      <c r="SM994" s="124"/>
      <c r="SN994" s="124"/>
      <c r="SO994" s="124"/>
      <c r="SP994" s="124"/>
      <c r="SQ994" s="124"/>
      <c r="SR994" s="124"/>
      <c r="SS994" s="124"/>
      <c r="ST994" s="124"/>
      <c r="SU994" s="124"/>
      <c r="SV994" s="124"/>
      <c r="SW994" s="124"/>
      <c r="SX994" s="124"/>
      <c r="SY994" s="124"/>
      <c r="SZ994" s="124"/>
      <c r="TA994" s="124"/>
      <c r="TB994" s="124"/>
      <c r="TC994" s="124"/>
      <c r="TD994" s="124"/>
      <c r="TE994" s="124"/>
      <c r="TF994" s="124"/>
      <c r="TG994" s="124"/>
      <c r="TH994" s="124"/>
      <c r="TI994" s="124"/>
      <c r="TJ994" s="124"/>
      <c r="TK994" s="124"/>
      <c r="TL994" s="124"/>
      <c r="TM994" s="124"/>
      <c r="TN994" s="124"/>
      <c r="TO994" s="124"/>
      <c r="TP994" s="124"/>
      <c r="TQ994" s="124"/>
      <c r="TR994" s="124"/>
      <c r="TS994" s="124"/>
      <c r="TT994" s="124"/>
      <c r="TU994" s="124"/>
      <c r="TV994" s="124"/>
      <c r="TW994" s="124"/>
      <c r="TX994" s="124"/>
      <c r="TY994" s="124"/>
      <c r="TZ994" s="124"/>
      <c r="UA994" s="124"/>
      <c r="UB994" s="124"/>
      <c r="UC994" s="124"/>
      <c r="UD994" s="124"/>
      <c r="UE994" s="124"/>
      <c r="UF994" s="124"/>
      <c r="UG994" s="124"/>
      <c r="UH994" s="124"/>
      <c r="UI994" s="124"/>
      <c r="UJ994" s="124"/>
      <c r="UK994" s="124"/>
      <c r="UL994" s="124"/>
      <c r="UM994" s="124"/>
      <c r="UN994" s="124"/>
      <c r="UO994" s="124"/>
      <c r="UP994" s="124"/>
      <c r="UQ994" s="124"/>
      <c r="UR994" s="124"/>
      <c r="US994" s="124"/>
      <c r="UT994" s="124"/>
      <c r="UU994" s="124"/>
      <c r="UV994" s="124"/>
      <c r="UW994" s="124"/>
      <c r="UX994" s="124"/>
      <c r="UY994" s="124"/>
      <c r="UZ994" s="124"/>
      <c r="VA994" s="124"/>
      <c r="VB994" s="124"/>
      <c r="VC994" s="124"/>
      <c r="VD994" s="124"/>
      <c r="VE994" s="124"/>
      <c r="VF994" s="124"/>
      <c r="VG994" s="124"/>
      <c r="VH994" s="124"/>
      <c r="VI994" s="124"/>
      <c r="VJ994" s="124"/>
      <c r="VK994" s="124"/>
      <c r="VL994" s="124"/>
      <c r="VM994" s="124"/>
      <c r="VN994" s="124"/>
      <c r="VO994" s="124"/>
      <c r="VP994" s="124"/>
      <c r="VQ994" s="124"/>
      <c r="VR994" s="124"/>
      <c r="VS994" s="124"/>
      <c r="VT994" s="124"/>
      <c r="VU994" s="124"/>
      <c r="VV994" s="124"/>
      <c r="VW994" s="124"/>
      <c r="VX994" s="124"/>
      <c r="VY994" s="124"/>
      <c r="VZ994" s="124"/>
      <c r="WA994" s="124"/>
      <c r="WB994" s="124"/>
      <c r="WC994" s="124"/>
      <c r="WD994" s="124"/>
      <c r="WE994" s="124"/>
      <c r="WF994" s="124"/>
      <c r="WG994" s="124"/>
      <c r="WH994" s="124"/>
      <c r="WI994" s="124"/>
      <c r="WJ994" s="124"/>
      <c r="WK994" s="124"/>
      <c r="WL994" s="124"/>
      <c r="WM994" s="124"/>
      <c r="WN994" s="124"/>
      <c r="WO994" s="124"/>
      <c r="WP994" s="124"/>
      <c r="WQ994" s="124"/>
      <c r="WR994" s="124"/>
      <c r="WS994" s="124"/>
      <c r="WT994" s="124"/>
      <c r="WU994" s="124"/>
      <c r="WV994" s="124"/>
      <c r="WW994" s="124"/>
      <c r="WX994" s="124"/>
      <c r="WY994" s="124"/>
      <c r="WZ994" s="124"/>
      <c r="XA994" s="124"/>
      <c r="XB994" s="124"/>
      <c r="XC994" s="124"/>
      <c r="XD994" s="124"/>
      <c r="XE994" s="124"/>
      <c r="XF994" s="124"/>
      <c r="XG994" s="124"/>
      <c r="XH994" s="124"/>
      <c r="XI994" s="124"/>
      <c r="XJ994" s="124"/>
      <c r="XK994" s="124"/>
      <c r="XL994" s="124"/>
      <c r="XM994" s="124"/>
      <c r="XN994" s="124"/>
      <c r="XO994" s="124"/>
      <c r="XP994" s="124"/>
      <c r="XQ994" s="124"/>
      <c r="XR994" s="124"/>
      <c r="XS994" s="124"/>
      <c r="XT994" s="124"/>
      <c r="XU994" s="124"/>
      <c r="XV994" s="124"/>
      <c r="XW994" s="124"/>
      <c r="XX994" s="124"/>
      <c r="XY994" s="124"/>
      <c r="XZ994" s="124"/>
      <c r="YA994" s="124"/>
      <c r="YB994" s="124"/>
      <c r="YC994" s="124"/>
      <c r="YD994" s="124"/>
      <c r="YE994" s="124"/>
      <c r="YF994" s="124"/>
      <c r="YG994" s="124"/>
      <c r="YH994" s="124"/>
      <c r="YI994" s="124"/>
      <c r="YJ994" s="124"/>
      <c r="YK994" s="124"/>
      <c r="YL994" s="124"/>
      <c r="YM994" s="124"/>
      <c r="YN994" s="124"/>
      <c r="YO994" s="124"/>
      <c r="YP994" s="124"/>
      <c r="YQ994" s="124"/>
      <c r="YR994" s="124"/>
      <c r="YS994" s="124"/>
      <c r="YT994" s="124"/>
      <c r="YU994" s="124"/>
      <c r="YV994" s="124"/>
      <c r="YW994" s="124"/>
      <c r="YX994" s="124"/>
      <c r="YY994" s="124"/>
      <c r="YZ994" s="124"/>
      <c r="ZA994" s="124"/>
      <c r="ZB994" s="124"/>
      <c r="ZC994" s="124"/>
      <c r="ZD994" s="124"/>
      <c r="ZE994" s="124"/>
      <c r="ZF994" s="124"/>
      <c r="ZG994" s="124"/>
      <c r="ZH994" s="124"/>
      <c r="ZI994" s="124"/>
      <c r="ZJ994" s="124"/>
      <c r="ZK994" s="124"/>
      <c r="ZL994" s="124"/>
      <c r="ZM994" s="124"/>
      <c r="ZN994" s="124"/>
      <c r="ZO994" s="124"/>
      <c r="ZP994" s="124"/>
      <c r="ZQ994" s="124"/>
      <c r="ZR994" s="124"/>
      <c r="ZS994" s="124"/>
      <c r="ZT994" s="124"/>
      <c r="ZU994" s="124"/>
      <c r="ZV994" s="124"/>
      <c r="ZW994" s="124"/>
      <c r="ZX994" s="124"/>
      <c r="ZY994" s="124"/>
      <c r="ZZ994" s="124"/>
      <c r="AAA994" s="124"/>
      <c r="AAB994" s="124"/>
      <c r="AAC994" s="124"/>
      <c r="AAD994" s="124"/>
      <c r="AAE994" s="124"/>
      <c r="AAF994" s="124"/>
      <c r="AAG994" s="124"/>
      <c r="AAH994" s="124"/>
      <c r="AAI994" s="124"/>
      <c r="AAJ994" s="124"/>
      <c r="AAK994" s="124"/>
      <c r="AAL994" s="124"/>
      <c r="AAM994" s="124"/>
      <c r="AAN994" s="124"/>
      <c r="AAO994" s="124"/>
      <c r="AAP994" s="124"/>
      <c r="AAQ994" s="124"/>
      <c r="AAR994" s="124"/>
      <c r="AAS994" s="124"/>
      <c r="AAT994" s="124"/>
      <c r="AAU994" s="124"/>
      <c r="AAV994" s="124"/>
      <c r="AAW994" s="124"/>
      <c r="AAX994" s="124"/>
      <c r="AAY994" s="124"/>
      <c r="AAZ994" s="124"/>
      <c r="ABA994" s="124"/>
      <c r="ABB994" s="124"/>
      <c r="ABC994" s="124"/>
      <c r="ABD994" s="124"/>
      <c r="ABE994" s="124"/>
      <c r="ABF994" s="124"/>
      <c r="ABG994" s="124"/>
      <c r="ABH994" s="124"/>
      <c r="ABI994" s="124"/>
      <c r="ABJ994" s="124"/>
      <c r="ABK994" s="124"/>
      <c r="ABL994" s="124"/>
      <c r="ABM994" s="124"/>
      <c r="ABN994" s="124"/>
      <c r="ABO994" s="124"/>
      <c r="ABP994" s="124"/>
      <c r="ABQ994" s="124"/>
      <c r="ABR994" s="124"/>
      <c r="ABS994" s="124"/>
      <c r="ABT994" s="124"/>
      <c r="ABU994" s="124"/>
      <c r="ABV994" s="124"/>
      <c r="ABW994" s="124"/>
      <c r="ABX994" s="124"/>
      <c r="ABY994" s="124"/>
      <c r="ABZ994" s="124"/>
      <c r="ACA994" s="124"/>
      <c r="ACB994" s="124"/>
      <c r="ACC994" s="124"/>
      <c r="ACD994" s="124"/>
      <c r="ACE994" s="124"/>
      <c r="ACF994" s="124"/>
      <c r="ACG994" s="124"/>
      <c r="ACH994" s="124"/>
      <c r="ACI994" s="124"/>
      <c r="ACJ994" s="124"/>
      <c r="ACK994" s="124"/>
      <c r="ACL994" s="124"/>
      <c r="ACM994" s="124"/>
      <c r="ACN994" s="124"/>
      <c r="ACO994" s="124"/>
      <c r="ACP994" s="124"/>
      <c r="ACQ994" s="124"/>
      <c r="ACR994" s="124"/>
      <c r="ACS994" s="124"/>
      <c r="ACT994" s="124"/>
      <c r="ACU994" s="124"/>
      <c r="ACV994" s="124"/>
      <c r="ACW994" s="124"/>
      <c r="ACX994" s="124"/>
      <c r="ACY994" s="124"/>
      <c r="ACZ994" s="124"/>
      <c r="ADA994" s="124"/>
      <c r="ADB994" s="124"/>
      <c r="ADC994" s="124"/>
      <c r="ADD994" s="124"/>
      <c r="ADE994" s="124"/>
      <c r="ADF994" s="124"/>
      <c r="ADG994" s="124"/>
      <c r="ADH994" s="124"/>
      <c r="ADI994" s="124"/>
      <c r="ADJ994" s="124"/>
      <c r="ADK994" s="124"/>
      <c r="ADL994" s="124"/>
      <c r="ADM994" s="124"/>
      <c r="ADN994" s="124"/>
      <c r="ADO994" s="124"/>
      <c r="ADP994" s="124"/>
      <c r="ADQ994" s="124"/>
      <c r="ADR994" s="124"/>
      <c r="ADS994" s="124"/>
      <c r="ADT994" s="124"/>
      <c r="ADU994" s="124"/>
      <c r="ADV994" s="124"/>
      <c r="ADW994" s="124"/>
      <c r="ADX994" s="124"/>
      <c r="ADY994" s="124"/>
      <c r="ADZ994" s="124"/>
      <c r="AEA994" s="124"/>
      <c r="AEB994" s="124"/>
      <c r="AEC994" s="124"/>
      <c r="AED994" s="124"/>
      <c r="AEE994" s="124"/>
      <c r="AEF994" s="124"/>
      <c r="AEG994" s="124"/>
      <c r="AEH994" s="124"/>
      <c r="AEI994" s="124"/>
      <c r="AEJ994" s="124"/>
      <c r="AEK994" s="124"/>
      <c r="AEL994" s="124"/>
      <c r="AEM994" s="124"/>
      <c r="AEN994" s="124"/>
      <c r="AEO994" s="124"/>
      <c r="AEP994" s="124"/>
      <c r="AEQ994" s="124"/>
      <c r="AER994" s="124"/>
      <c r="AES994" s="124"/>
      <c r="AET994" s="124"/>
      <c r="AEU994" s="124"/>
      <c r="AEV994" s="124"/>
      <c r="AEW994" s="124"/>
      <c r="AEX994" s="124"/>
      <c r="AEY994" s="124"/>
      <c r="AEZ994" s="124"/>
      <c r="AFA994" s="124"/>
      <c r="AFB994" s="124"/>
      <c r="AFC994" s="124"/>
      <c r="AFD994" s="124"/>
      <c r="AFE994" s="124"/>
      <c r="AFF994" s="124"/>
      <c r="AFG994" s="124"/>
      <c r="AFH994" s="124"/>
      <c r="AFI994" s="124"/>
      <c r="AFJ994" s="124"/>
      <c r="AFK994" s="124"/>
      <c r="AFL994" s="124"/>
      <c r="AFM994" s="124"/>
      <c r="AFN994" s="124"/>
      <c r="AFO994" s="124"/>
      <c r="AFP994" s="124"/>
      <c r="AFQ994" s="124"/>
      <c r="AFR994" s="124"/>
      <c r="AFS994" s="124"/>
      <c r="AFT994" s="124"/>
      <c r="AFU994" s="124"/>
      <c r="AFV994" s="124"/>
      <c r="AFW994" s="124"/>
      <c r="AFX994" s="124"/>
      <c r="AFY994" s="124"/>
      <c r="AFZ994" s="124"/>
      <c r="AGA994" s="124"/>
      <c r="AGB994" s="124"/>
      <c r="AGC994" s="124"/>
      <c r="AGD994" s="124"/>
      <c r="AGE994" s="124"/>
      <c r="AGF994" s="124"/>
      <c r="AGG994" s="124"/>
      <c r="AGH994" s="124"/>
      <c r="AGI994" s="124"/>
      <c r="AGJ994" s="124"/>
      <c r="AGK994" s="124"/>
      <c r="AGL994" s="124"/>
      <c r="AGM994" s="124"/>
      <c r="AGN994" s="124"/>
      <c r="AGO994" s="124"/>
      <c r="AGP994" s="124"/>
      <c r="AGQ994" s="124"/>
      <c r="AGR994" s="124"/>
      <c r="AGS994" s="124"/>
      <c r="AGT994" s="124"/>
      <c r="AGU994" s="124"/>
      <c r="AGV994" s="124"/>
      <c r="AGW994" s="124"/>
      <c r="AGX994" s="124"/>
      <c r="AGY994" s="124"/>
      <c r="AGZ994" s="124"/>
      <c r="AHA994" s="124"/>
      <c r="AHB994" s="124"/>
      <c r="AHC994" s="124"/>
      <c r="AHD994" s="124"/>
      <c r="AHE994" s="124"/>
      <c r="AHF994" s="124"/>
      <c r="AHG994" s="124"/>
      <c r="AHH994" s="124"/>
      <c r="AHI994" s="124"/>
      <c r="AHJ994" s="124"/>
      <c r="AHK994" s="124"/>
      <c r="AHL994" s="124"/>
      <c r="AHM994" s="124"/>
      <c r="AHN994" s="124"/>
      <c r="AHO994" s="124"/>
      <c r="AHP994" s="124"/>
      <c r="AHQ994" s="124"/>
      <c r="AHR994" s="124"/>
      <c r="AHS994" s="124"/>
      <c r="AHT994" s="124"/>
      <c r="AHU994" s="124"/>
      <c r="AHV994" s="124"/>
      <c r="AHW994" s="124"/>
      <c r="AHX994" s="124"/>
      <c r="AHY994" s="124"/>
      <c r="AHZ994" s="124"/>
      <c r="AIA994" s="124"/>
      <c r="AIB994" s="124"/>
      <c r="AIC994" s="124"/>
      <c r="AID994" s="124"/>
      <c r="AIE994" s="124"/>
      <c r="AIF994" s="124"/>
      <c r="AIG994" s="124"/>
      <c r="AIH994" s="124"/>
      <c r="AII994" s="124"/>
      <c r="AIJ994" s="124"/>
      <c r="AIK994" s="124"/>
      <c r="AIL994" s="124"/>
      <c r="AIM994" s="124"/>
      <c r="AIN994" s="124"/>
      <c r="AIO994" s="124"/>
      <c r="AIP994" s="124"/>
      <c r="AIQ994" s="124"/>
      <c r="AIR994" s="124"/>
      <c r="AIS994" s="124"/>
      <c r="AIT994" s="124"/>
      <c r="AIU994" s="124"/>
      <c r="AIV994" s="124"/>
      <c r="AIW994" s="124"/>
      <c r="AIX994" s="124"/>
      <c r="AIY994" s="124"/>
      <c r="AIZ994" s="124"/>
      <c r="AJA994" s="124"/>
      <c r="AJB994" s="124"/>
      <c r="AJC994" s="124"/>
      <c r="AJD994" s="124"/>
      <c r="AJE994" s="124"/>
      <c r="AJF994" s="124"/>
      <c r="AJG994" s="124"/>
      <c r="AJH994" s="124"/>
      <c r="AJI994" s="124"/>
      <c r="AJJ994" s="124"/>
      <c r="AJK994" s="124"/>
      <c r="AJL994" s="124"/>
      <c r="AJM994" s="124"/>
      <c r="AJN994" s="124"/>
      <c r="AJO994" s="124"/>
      <c r="AJP994" s="124"/>
      <c r="AJQ994" s="124"/>
      <c r="AJR994" s="124"/>
      <c r="AJS994" s="124"/>
      <c r="AJT994" s="124"/>
      <c r="AJU994" s="124"/>
      <c r="AJV994" s="124"/>
      <c r="AJW994" s="124"/>
      <c r="AJX994" s="124"/>
      <c r="AJY994" s="124"/>
      <c r="AJZ994" s="124"/>
      <c r="AKA994" s="124"/>
      <c r="AKB994" s="124"/>
      <c r="AKC994" s="124"/>
      <c r="AKD994" s="124"/>
      <c r="AKE994" s="124"/>
      <c r="AKF994" s="124"/>
      <c r="AKG994" s="124"/>
      <c r="AKH994" s="124"/>
      <c r="AKI994" s="124"/>
      <c r="AKJ994" s="124"/>
      <c r="AKK994" s="124"/>
      <c r="AKL994" s="124"/>
      <c r="AKM994" s="124"/>
      <c r="AKN994" s="124"/>
      <c r="AKO994" s="124"/>
      <c r="AKP994" s="124"/>
      <c r="AKQ994" s="124"/>
      <c r="AKR994" s="124"/>
      <c r="AKS994" s="124"/>
      <c r="AKT994" s="124"/>
      <c r="AKU994" s="124"/>
      <c r="AKV994" s="124"/>
      <c r="AKW994" s="124"/>
      <c r="AKX994" s="124"/>
      <c r="AKY994" s="124"/>
      <c r="AKZ994" s="124"/>
      <c r="ALA994" s="124"/>
      <c r="ALB994" s="124"/>
      <c r="ALC994" s="124"/>
      <c r="ALD994" s="124"/>
      <c r="ALE994" s="124"/>
      <c r="ALF994" s="124"/>
      <c r="ALG994" s="124"/>
      <c r="ALH994" s="124"/>
      <c r="ALI994" s="124"/>
      <c r="ALJ994" s="124"/>
      <c r="ALK994" s="124"/>
      <c r="ALL994" s="124"/>
      <c r="ALM994" s="124"/>
      <c r="ALN994" s="124"/>
      <c r="ALO994" s="124"/>
      <c r="ALP994" s="124"/>
      <c r="ALQ994" s="124"/>
      <c r="ALR994" s="124"/>
      <c r="ALS994" s="124"/>
      <c r="ALT994" s="124"/>
      <c r="ALU994" s="124"/>
      <c r="ALV994" s="124"/>
      <c r="ALW994" s="124"/>
      <c r="ALX994" s="124"/>
      <c r="ALY994" s="124"/>
      <c r="ALZ994" s="124"/>
      <c r="AMA994" s="124"/>
      <c r="AMB994" s="124"/>
      <c r="AMC994" s="124"/>
      <c r="AMD994" s="124"/>
      <c r="AME994" s="124"/>
      <c r="AMF994" s="124"/>
      <c r="AMG994" s="124"/>
      <c r="AMH994" s="124"/>
      <c r="AMI994" s="124"/>
      <c r="AMJ994" s="124"/>
      <c r="AMK994" s="124"/>
      <c r="AML994" s="124"/>
      <c r="AMM994" s="124"/>
      <c r="AMN994" s="124"/>
      <c r="AMO994" s="124"/>
      <c r="AMP994" s="124"/>
      <c r="AMQ994" s="124"/>
      <c r="AMR994" s="124"/>
      <c r="AMS994" s="124"/>
      <c r="AMT994" s="124"/>
      <c r="AMU994" s="124"/>
      <c r="AMV994" s="124"/>
      <c r="AMW994" s="124"/>
      <c r="AMX994" s="124"/>
      <c r="AMY994" s="124"/>
      <c r="AMZ994" s="124"/>
      <c r="ANA994" s="124"/>
      <c r="ANB994" s="124"/>
      <c r="ANC994" s="124"/>
      <c r="AND994" s="124"/>
      <c r="ANE994" s="124"/>
      <c r="ANF994" s="124"/>
      <c r="ANG994" s="124"/>
      <c r="ANH994" s="124"/>
      <c r="ANI994" s="124"/>
      <c r="ANJ994" s="124"/>
      <c r="ANK994" s="124"/>
      <c r="ANL994" s="124"/>
      <c r="ANM994" s="124"/>
      <c r="ANN994" s="124"/>
      <c r="ANO994" s="124"/>
      <c r="ANP994" s="124"/>
      <c r="ANQ994" s="124"/>
      <c r="ANR994" s="124"/>
      <c r="ANS994" s="124"/>
      <c r="ANT994" s="124"/>
      <c r="ANU994" s="124"/>
      <c r="ANV994" s="124"/>
      <c r="ANW994" s="124"/>
      <c r="ANX994" s="124"/>
      <c r="ANY994" s="124"/>
      <c r="ANZ994" s="124"/>
      <c r="AOA994" s="124"/>
      <c r="AOB994" s="124"/>
      <c r="AOC994" s="124"/>
      <c r="AOD994" s="124"/>
      <c r="AOE994" s="124"/>
      <c r="AOF994" s="124"/>
      <c r="AOG994" s="124"/>
      <c r="AOH994" s="124"/>
      <c r="AOI994" s="124"/>
      <c r="AOJ994" s="124"/>
      <c r="AOK994" s="124"/>
      <c r="AOL994" s="124"/>
      <c r="AOM994" s="124"/>
      <c r="AON994" s="124"/>
      <c r="AOO994" s="124"/>
      <c r="AOP994" s="124"/>
      <c r="AOQ994" s="124"/>
      <c r="AOR994" s="124"/>
      <c r="AOS994" s="124"/>
      <c r="AOT994" s="124"/>
      <c r="AOU994" s="124"/>
      <c r="AOV994" s="124"/>
      <c r="AOW994" s="124"/>
      <c r="AOX994" s="124"/>
      <c r="AOY994" s="124"/>
      <c r="AOZ994" s="124"/>
      <c r="APA994" s="124"/>
      <c r="APB994" s="124"/>
      <c r="APC994" s="124"/>
      <c r="APD994" s="124"/>
      <c r="APE994" s="124"/>
      <c r="APF994" s="124"/>
      <c r="APG994" s="124"/>
      <c r="APH994" s="124"/>
      <c r="API994" s="124"/>
      <c r="APJ994" s="124"/>
      <c r="APK994" s="124"/>
      <c r="APL994" s="124"/>
      <c r="APM994" s="124"/>
      <c r="APN994" s="124"/>
      <c r="APO994" s="124"/>
      <c r="APP994" s="124"/>
      <c r="APQ994" s="124"/>
      <c r="APR994" s="124"/>
      <c r="APS994" s="124"/>
      <c r="APT994" s="124"/>
      <c r="APU994" s="124"/>
      <c r="APV994" s="124"/>
      <c r="APW994" s="124"/>
      <c r="APX994" s="124"/>
      <c r="APY994" s="124"/>
      <c r="APZ994" s="124"/>
      <c r="AQA994" s="124"/>
      <c r="AQB994" s="124"/>
      <c r="AQC994" s="124"/>
      <c r="AQD994" s="124"/>
      <c r="AQE994" s="124"/>
      <c r="AQF994" s="124"/>
      <c r="AQG994" s="124"/>
      <c r="AQH994" s="124"/>
      <c r="AQI994" s="124"/>
      <c r="AQJ994" s="124"/>
      <c r="AQK994" s="124"/>
      <c r="AQL994" s="124"/>
      <c r="AQM994" s="124"/>
      <c r="AQN994" s="124"/>
      <c r="AQO994" s="124"/>
      <c r="AQP994" s="124"/>
      <c r="AQQ994" s="124"/>
      <c r="AQR994" s="124"/>
      <c r="AQS994" s="124"/>
      <c r="AQT994" s="124"/>
      <c r="AQU994" s="124"/>
      <c r="AQV994" s="124"/>
      <c r="AQW994" s="124"/>
      <c r="AQX994" s="124"/>
      <c r="AQY994" s="124"/>
      <c r="AQZ994" s="124"/>
      <c r="ARA994" s="124"/>
      <c r="ARB994" s="124"/>
      <c r="ARC994" s="124"/>
      <c r="ARD994" s="124"/>
      <c r="ARE994" s="124"/>
      <c r="ARF994" s="124"/>
      <c r="ARG994" s="124"/>
      <c r="ARH994" s="124"/>
      <c r="ARI994" s="124"/>
      <c r="ARJ994" s="124"/>
      <c r="ARK994" s="124"/>
      <c r="ARL994" s="124"/>
      <c r="ARM994" s="124"/>
      <c r="ARN994" s="124"/>
      <c r="ARO994" s="124"/>
      <c r="ARP994" s="124"/>
      <c r="ARQ994" s="124"/>
      <c r="ARR994" s="124"/>
      <c r="ARS994" s="124"/>
      <c r="ART994" s="124"/>
      <c r="ARU994" s="124"/>
      <c r="ARV994" s="124"/>
      <c r="ARW994" s="124"/>
      <c r="ARX994" s="124"/>
      <c r="ARY994" s="124"/>
      <c r="ARZ994" s="124"/>
      <c r="ASA994" s="124"/>
      <c r="ASB994" s="124"/>
      <c r="ASC994" s="124"/>
      <c r="ASD994" s="124"/>
      <c r="ASE994" s="124"/>
      <c r="ASF994" s="124"/>
      <c r="ASG994" s="124"/>
      <c r="ASH994" s="124"/>
      <c r="ASI994" s="124"/>
      <c r="ASJ994" s="124"/>
      <c r="ASK994" s="124"/>
      <c r="ASL994" s="124"/>
      <c r="ASM994" s="124"/>
      <c r="ASN994" s="124"/>
      <c r="ASO994" s="124"/>
      <c r="ASP994" s="124"/>
      <c r="ASQ994" s="124"/>
      <c r="ASR994" s="124"/>
      <c r="ASS994" s="124"/>
      <c r="AST994" s="124"/>
      <c r="ASU994" s="124"/>
      <c r="ASV994" s="124"/>
      <c r="ASW994" s="124"/>
      <c r="ASX994" s="124"/>
      <c r="ASY994" s="124"/>
      <c r="ASZ994" s="124"/>
      <c r="ATA994" s="124"/>
      <c r="ATB994" s="124"/>
      <c r="ATC994" s="124"/>
      <c r="ATD994" s="124"/>
      <c r="ATE994" s="124"/>
      <c r="ATF994" s="124"/>
      <c r="ATG994" s="124"/>
      <c r="ATH994" s="124"/>
      <c r="ATI994" s="124"/>
      <c r="ATJ994" s="124"/>
      <c r="ATK994" s="124"/>
      <c r="ATL994" s="124"/>
      <c r="ATM994" s="124"/>
      <c r="ATN994" s="124"/>
      <c r="ATO994" s="124"/>
      <c r="ATP994" s="124"/>
      <c r="ATQ994" s="124"/>
      <c r="ATR994" s="124"/>
      <c r="ATS994" s="124"/>
      <c r="ATT994" s="124"/>
      <c r="ATU994" s="124"/>
      <c r="ATV994" s="124"/>
      <c r="ATW994" s="124"/>
      <c r="ATX994" s="124"/>
      <c r="ATY994" s="124"/>
      <c r="ATZ994" s="124"/>
      <c r="AUA994" s="124"/>
      <c r="AUB994" s="124"/>
      <c r="AUC994" s="124"/>
      <c r="AUD994" s="124"/>
      <c r="AUE994" s="124"/>
      <c r="AUF994" s="124"/>
      <c r="AUG994" s="124"/>
      <c r="AUH994" s="124"/>
      <c r="AUI994" s="124"/>
      <c r="AUJ994" s="124"/>
      <c r="AUK994" s="124"/>
      <c r="AUL994" s="124"/>
      <c r="AUM994" s="124"/>
      <c r="AUN994" s="124"/>
      <c r="AUO994" s="124"/>
      <c r="AUP994" s="124"/>
      <c r="AUQ994" s="124"/>
      <c r="AUR994" s="124"/>
      <c r="AUS994" s="124"/>
      <c r="AUT994" s="124"/>
      <c r="AUU994" s="124"/>
      <c r="AUV994" s="124"/>
      <c r="AUW994" s="124"/>
      <c r="AUX994" s="124"/>
      <c r="AUY994" s="124"/>
      <c r="AUZ994" s="124"/>
      <c r="AVA994" s="124"/>
      <c r="AVB994" s="124"/>
      <c r="AVC994" s="124"/>
      <c r="AVD994" s="124"/>
      <c r="AVE994" s="124"/>
      <c r="AVF994" s="124"/>
      <c r="AVG994" s="124"/>
      <c r="AVH994" s="124"/>
      <c r="AVI994" s="124"/>
      <c r="AVJ994" s="124"/>
      <c r="AVK994" s="124"/>
      <c r="AVL994" s="124"/>
      <c r="AVM994" s="124"/>
      <c r="AVN994" s="124"/>
      <c r="AVO994" s="124"/>
      <c r="AVP994" s="124"/>
      <c r="AVQ994" s="124"/>
      <c r="AVR994" s="124"/>
      <c r="AVS994" s="124"/>
      <c r="AVT994" s="124"/>
      <c r="AVU994" s="124"/>
      <c r="AVV994" s="124"/>
      <c r="AVW994" s="124"/>
      <c r="AVX994" s="124"/>
      <c r="AVY994" s="124"/>
      <c r="AVZ994" s="124"/>
      <c r="AWA994" s="124"/>
      <c r="AWB994" s="124"/>
      <c r="AWC994" s="124"/>
      <c r="AWD994" s="124"/>
      <c r="AWE994" s="124"/>
      <c r="AWF994" s="124"/>
      <c r="AWG994" s="124"/>
      <c r="AWH994" s="124"/>
      <c r="AWI994" s="124"/>
      <c r="AWJ994" s="124"/>
      <c r="AWK994" s="124"/>
      <c r="AWL994" s="124"/>
      <c r="AWM994" s="124"/>
      <c r="AWN994" s="124"/>
      <c r="AWO994" s="124"/>
      <c r="AWP994" s="124"/>
      <c r="AWQ994" s="124"/>
      <c r="AWR994" s="124"/>
      <c r="AWS994" s="124"/>
      <c r="AWT994" s="124"/>
      <c r="AWU994" s="124"/>
      <c r="AWV994" s="124"/>
      <c r="AWW994" s="124"/>
      <c r="AWX994" s="124"/>
      <c r="AWY994" s="124"/>
      <c r="AWZ994" s="124"/>
      <c r="AXA994" s="124"/>
      <c r="AXB994" s="124"/>
      <c r="AXC994" s="124"/>
      <c r="AXD994" s="124"/>
      <c r="AXE994" s="124"/>
      <c r="AXF994" s="124"/>
      <c r="AXG994" s="124"/>
      <c r="AXH994" s="124"/>
      <c r="AXI994" s="124"/>
      <c r="AXJ994" s="124"/>
      <c r="AXK994" s="124"/>
      <c r="AXL994" s="124"/>
      <c r="AXM994" s="124"/>
      <c r="AXN994" s="124"/>
      <c r="AXO994" s="124"/>
      <c r="AXP994" s="124"/>
      <c r="AXQ994" s="124"/>
      <c r="AXR994" s="124"/>
      <c r="AXS994" s="124"/>
      <c r="AXT994" s="124"/>
      <c r="AXU994" s="124"/>
      <c r="AXV994" s="124"/>
      <c r="AXW994" s="124"/>
      <c r="AXX994" s="124"/>
      <c r="AXY994" s="124"/>
      <c r="AXZ994" s="124"/>
      <c r="AYA994" s="124"/>
      <c r="AYB994" s="124"/>
      <c r="AYC994" s="124"/>
      <c r="AYD994" s="124"/>
      <c r="AYE994" s="124"/>
      <c r="AYF994" s="124"/>
      <c r="AYG994" s="124"/>
      <c r="AYH994" s="124"/>
      <c r="AYI994" s="124"/>
      <c r="AYJ994" s="124"/>
      <c r="AYK994" s="124"/>
      <c r="AYL994" s="124"/>
      <c r="AYM994" s="124"/>
      <c r="AYN994" s="124"/>
      <c r="AYO994" s="124"/>
      <c r="AYP994" s="124"/>
      <c r="AYQ994" s="124"/>
      <c r="AYR994" s="124"/>
      <c r="AYS994" s="124"/>
      <c r="AYT994" s="124"/>
      <c r="AYU994" s="124"/>
      <c r="AYV994" s="124"/>
      <c r="AYW994" s="124"/>
      <c r="AYX994" s="124"/>
      <c r="AYY994" s="124"/>
      <c r="AYZ994" s="124"/>
      <c r="AZA994" s="124"/>
      <c r="AZB994" s="124"/>
      <c r="AZC994" s="124"/>
      <c r="AZD994" s="124"/>
      <c r="AZE994" s="124"/>
      <c r="AZF994" s="124"/>
      <c r="AZG994" s="124"/>
      <c r="AZH994" s="124"/>
      <c r="AZI994" s="124"/>
      <c r="AZJ994" s="124"/>
      <c r="AZK994" s="124"/>
      <c r="AZL994" s="124"/>
      <c r="AZM994" s="124"/>
      <c r="AZN994" s="124"/>
      <c r="AZO994" s="124"/>
      <c r="AZP994" s="124"/>
      <c r="AZQ994" s="124"/>
      <c r="AZR994" s="124"/>
      <c r="AZS994" s="124"/>
      <c r="AZT994" s="124"/>
      <c r="AZU994" s="124"/>
      <c r="AZV994" s="124"/>
      <c r="AZW994" s="124"/>
      <c r="AZX994" s="124"/>
      <c r="AZY994" s="124"/>
      <c r="AZZ994" s="124"/>
      <c r="BAA994" s="124"/>
      <c r="BAB994" s="124"/>
      <c r="BAC994" s="124"/>
      <c r="BAD994" s="124"/>
      <c r="BAE994" s="124"/>
      <c r="BAF994" s="124"/>
      <c r="BAG994" s="124"/>
      <c r="BAH994" s="124"/>
      <c r="BAI994" s="124"/>
      <c r="BAJ994" s="124"/>
      <c r="BAK994" s="124"/>
      <c r="BAL994" s="124"/>
      <c r="BAM994" s="124"/>
      <c r="BAN994" s="124"/>
      <c r="BAO994" s="124"/>
      <c r="BAP994" s="124"/>
      <c r="BAQ994" s="124"/>
      <c r="BAR994" s="124"/>
      <c r="BAS994" s="124"/>
      <c r="BAT994" s="124"/>
      <c r="BAU994" s="124"/>
      <c r="BAV994" s="124"/>
      <c r="BAW994" s="124"/>
      <c r="BAX994" s="124"/>
      <c r="BAY994" s="124"/>
      <c r="BAZ994" s="124"/>
      <c r="BBA994" s="124"/>
      <c r="BBB994" s="124"/>
      <c r="BBC994" s="124"/>
      <c r="BBD994" s="124"/>
      <c r="BBE994" s="124"/>
      <c r="BBF994" s="124"/>
      <c r="BBG994" s="124"/>
      <c r="BBH994" s="124"/>
      <c r="BBI994" s="124"/>
      <c r="BBJ994" s="124"/>
      <c r="BBK994" s="124"/>
      <c r="BBL994" s="124"/>
      <c r="BBM994" s="124"/>
      <c r="BBN994" s="124"/>
      <c r="BBO994" s="124"/>
      <c r="BBP994" s="124"/>
      <c r="BBQ994" s="124"/>
      <c r="BBR994" s="124"/>
      <c r="BBS994" s="124"/>
      <c r="BBT994" s="124"/>
      <c r="BBU994" s="124"/>
      <c r="BBV994" s="124"/>
      <c r="BBW994" s="124"/>
      <c r="BBX994" s="124"/>
      <c r="BBY994" s="124"/>
      <c r="BBZ994" s="124"/>
      <c r="BCA994" s="124"/>
      <c r="BCB994" s="124"/>
      <c r="BCC994" s="124"/>
      <c r="BCD994" s="124"/>
      <c r="BCE994" s="124"/>
      <c r="BCF994" s="124"/>
      <c r="BCG994" s="124"/>
      <c r="BCH994" s="124"/>
      <c r="BCI994" s="124"/>
      <c r="BCJ994" s="124"/>
      <c r="BCK994" s="124"/>
      <c r="BCL994" s="124"/>
      <c r="BCM994" s="124"/>
      <c r="BCN994" s="124"/>
      <c r="BCO994" s="124"/>
      <c r="BCP994" s="124"/>
      <c r="BCQ994" s="124"/>
      <c r="BCR994" s="124"/>
      <c r="BCS994" s="124"/>
      <c r="BCT994" s="124"/>
      <c r="BCU994" s="124"/>
      <c r="BCV994" s="124"/>
      <c r="BCW994" s="124"/>
      <c r="BCX994" s="124"/>
      <c r="BCY994" s="124"/>
      <c r="BCZ994" s="124"/>
      <c r="BDA994" s="124"/>
      <c r="BDB994" s="124"/>
      <c r="BDC994" s="124"/>
      <c r="BDD994" s="124"/>
      <c r="BDE994" s="124"/>
      <c r="BDF994" s="124"/>
      <c r="BDG994" s="124"/>
      <c r="BDH994" s="124"/>
      <c r="BDI994" s="124"/>
      <c r="BDJ994" s="124"/>
      <c r="BDK994" s="124"/>
      <c r="BDL994" s="124"/>
      <c r="BDM994" s="124"/>
      <c r="BDN994" s="124"/>
      <c r="BDO994" s="124"/>
      <c r="BDP994" s="124"/>
      <c r="BDQ994" s="124"/>
      <c r="BDR994" s="124"/>
      <c r="BDS994" s="124"/>
      <c r="BDT994" s="124"/>
      <c r="BDU994" s="124"/>
      <c r="BDV994" s="124"/>
      <c r="BDW994" s="124"/>
      <c r="BDX994" s="124"/>
      <c r="BDY994" s="124"/>
      <c r="BDZ994" s="124"/>
      <c r="BEA994" s="124"/>
      <c r="BEB994" s="124"/>
      <c r="BEC994" s="124"/>
      <c r="BED994" s="124"/>
      <c r="BEE994" s="124"/>
      <c r="BEF994" s="124"/>
      <c r="BEG994" s="124"/>
      <c r="BEH994" s="124"/>
      <c r="BEI994" s="124"/>
      <c r="BEJ994" s="124"/>
      <c r="BEK994" s="124"/>
      <c r="BEL994" s="124"/>
      <c r="BEM994" s="124"/>
      <c r="BEN994" s="124"/>
      <c r="BEO994" s="124"/>
      <c r="BEP994" s="124"/>
      <c r="BEQ994" s="124"/>
      <c r="BER994" s="124"/>
      <c r="BES994" s="124"/>
      <c r="BET994" s="124"/>
      <c r="BEU994" s="124"/>
      <c r="BEV994" s="124"/>
      <c r="BEW994" s="124"/>
      <c r="BEX994" s="124"/>
      <c r="BEY994" s="124"/>
      <c r="BEZ994" s="124"/>
      <c r="BFA994" s="124"/>
      <c r="BFB994" s="124"/>
      <c r="BFC994" s="124"/>
      <c r="BFD994" s="124"/>
      <c r="BFE994" s="124"/>
      <c r="BFF994" s="124"/>
      <c r="BFG994" s="124"/>
      <c r="BFH994" s="124"/>
      <c r="BFI994" s="124"/>
      <c r="BFJ994" s="124"/>
      <c r="BFK994" s="124"/>
      <c r="BFL994" s="124"/>
      <c r="BFM994" s="124"/>
      <c r="BFN994" s="124"/>
      <c r="BFO994" s="124"/>
      <c r="BFP994" s="124"/>
      <c r="BFQ994" s="124"/>
      <c r="BFR994" s="124"/>
      <c r="BFS994" s="124"/>
      <c r="BFT994" s="124"/>
      <c r="BFU994" s="124"/>
      <c r="BFV994" s="124"/>
      <c r="BFW994" s="124"/>
      <c r="BFX994" s="124"/>
      <c r="BFY994" s="124"/>
      <c r="BFZ994" s="124"/>
      <c r="BGA994" s="124"/>
      <c r="BGB994" s="124"/>
      <c r="BGC994" s="124"/>
      <c r="BGD994" s="124"/>
      <c r="BGE994" s="124"/>
      <c r="BGF994" s="124"/>
      <c r="BGG994" s="124"/>
      <c r="BGH994" s="124"/>
      <c r="BGI994" s="124"/>
      <c r="BGJ994" s="124"/>
      <c r="BGK994" s="124"/>
      <c r="BGL994" s="124"/>
      <c r="BGM994" s="124"/>
      <c r="BGN994" s="124"/>
      <c r="BGO994" s="124"/>
      <c r="BGP994" s="124"/>
      <c r="BGQ994" s="124"/>
      <c r="BGR994" s="124"/>
      <c r="BGS994" s="124"/>
      <c r="BGT994" s="124"/>
      <c r="BGU994" s="124"/>
      <c r="BGV994" s="124"/>
      <c r="BGW994" s="124"/>
      <c r="BGX994" s="124"/>
      <c r="BGY994" s="124"/>
      <c r="BGZ994" s="124"/>
      <c r="BHA994" s="124"/>
      <c r="BHB994" s="124"/>
      <c r="BHC994" s="124"/>
      <c r="BHD994" s="124"/>
      <c r="BHE994" s="124"/>
      <c r="BHF994" s="124"/>
      <c r="BHG994" s="124"/>
      <c r="BHH994" s="124"/>
      <c r="BHI994" s="124"/>
      <c r="BHJ994" s="124"/>
      <c r="BHK994" s="124"/>
      <c r="BHL994" s="124"/>
      <c r="BHM994" s="124"/>
      <c r="BHN994" s="124"/>
      <c r="BHO994" s="124"/>
      <c r="BHP994" s="124"/>
      <c r="BHQ994" s="124"/>
      <c r="BHR994" s="124"/>
      <c r="BHS994" s="124"/>
      <c r="BHT994" s="124"/>
      <c r="BHU994" s="124"/>
      <c r="BHV994" s="124"/>
      <c r="BHW994" s="124"/>
      <c r="BHX994" s="124"/>
      <c r="BHY994" s="124"/>
      <c r="BHZ994" s="124"/>
      <c r="BIA994" s="124"/>
      <c r="BIB994" s="124"/>
      <c r="BIC994" s="124"/>
      <c r="BID994" s="124"/>
      <c r="BIE994" s="124"/>
      <c r="BIF994" s="124"/>
      <c r="BIG994" s="124"/>
      <c r="BIH994" s="124"/>
      <c r="BII994" s="124"/>
      <c r="BIJ994" s="124"/>
      <c r="BIK994" s="124"/>
      <c r="BIL994" s="124"/>
      <c r="BIM994" s="124"/>
      <c r="BIN994" s="124"/>
      <c r="BIO994" s="124"/>
      <c r="BIP994" s="124"/>
      <c r="BIQ994" s="124"/>
      <c r="BIR994" s="124"/>
      <c r="BIS994" s="124"/>
      <c r="BIT994" s="124"/>
      <c r="BIU994" s="124"/>
      <c r="BIV994" s="124"/>
      <c r="BIW994" s="124"/>
      <c r="BIX994" s="124"/>
      <c r="BIY994" s="124"/>
      <c r="BIZ994" s="124"/>
      <c r="BJA994" s="124"/>
      <c r="BJB994" s="124"/>
      <c r="BJC994" s="124"/>
      <c r="BJD994" s="124"/>
      <c r="BJE994" s="124"/>
      <c r="BJF994" s="124"/>
      <c r="BJG994" s="124"/>
      <c r="BJH994" s="124"/>
      <c r="BJI994" s="124"/>
      <c r="BJJ994" s="124"/>
      <c r="BJK994" s="124"/>
      <c r="BJL994" s="124"/>
      <c r="BJM994" s="124"/>
      <c r="BJN994" s="124"/>
      <c r="BJO994" s="124"/>
      <c r="BJP994" s="124"/>
      <c r="BJQ994" s="124"/>
      <c r="BJR994" s="124"/>
      <c r="BJS994" s="124"/>
      <c r="BJT994" s="124"/>
      <c r="BJU994" s="124"/>
      <c r="BJV994" s="124"/>
      <c r="BJW994" s="124"/>
      <c r="BJX994" s="124"/>
      <c r="BJY994" s="124"/>
      <c r="BJZ994" s="124"/>
      <c r="BKA994" s="124"/>
      <c r="BKB994" s="124"/>
      <c r="BKC994" s="124"/>
      <c r="BKD994" s="124"/>
      <c r="BKE994" s="124"/>
      <c r="BKF994" s="124"/>
      <c r="BKG994" s="124"/>
      <c r="BKH994" s="124"/>
      <c r="BKI994" s="124"/>
      <c r="BKJ994" s="124"/>
      <c r="BKK994" s="124"/>
      <c r="BKL994" s="124"/>
      <c r="BKM994" s="124"/>
      <c r="BKN994" s="124"/>
      <c r="BKO994" s="124"/>
      <c r="BKP994" s="124"/>
      <c r="BKQ994" s="124"/>
      <c r="BKR994" s="124"/>
      <c r="BKS994" s="124"/>
      <c r="BKT994" s="124"/>
      <c r="BKU994" s="124"/>
      <c r="BKV994" s="124"/>
      <c r="BKW994" s="124"/>
      <c r="BKX994" s="124"/>
      <c r="BKY994" s="124"/>
      <c r="BKZ994" s="124"/>
      <c r="BLA994" s="124"/>
      <c r="BLB994" s="124"/>
      <c r="BLC994" s="124"/>
      <c r="BLD994" s="124"/>
      <c r="BLE994" s="124"/>
      <c r="BLF994" s="124"/>
      <c r="BLG994" s="124"/>
      <c r="BLH994" s="124"/>
      <c r="BLI994" s="124"/>
      <c r="BLJ994" s="124"/>
      <c r="BLK994" s="124"/>
      <c r="BLL994" s="124"/>
      <c r="BLM994" s="124"/>
      <c r="BLN994" s="124"/>
      <c r="BLO994" s="124"/>
      <c r="BLP994" s="124"/>
      <c r="BLQ994" s="124"/>
      <c r="BLR994" s="124"/>
      <c r="BLS994" s="124"/>
      <c r="BLT994" s="124"/>
      <c r="BLU994" s="124"/>
      <c r="BLV994" s="124"/>
      <c r="BLW994" s="124"/>
      <c r="BLX994" s="124"/>
      <c r="BLY994" s="124"/>
      <c r="BLZ994" s="124"/>
      <c r="BMA994" s="124"/>
      <c r="BMB994" s="124"/>
      <c r="BMC994" s="124"/>
      <c r="BMD994" s="124"/>
      <c r="BME994" s="124"/>
      <c r="BMF994" s="124"/>
      <c r="BMG994" s="124"/>
      <c r="BMH994" s="124"/>
      <c r="BMI994" s="124"/>
      <c r="BMJ994" s="124"/>
      <c r="BMK994" s="124"/>
      <c r="BML994" s="124"/>
      <c r="BMM994" s="124"/>
      <c r="BMN994" s="124"/>
      <c r="BMO994" s="124"/>
      <c r="BMP994" s="124"/>
      <c r="BMQ994" s="124"/>
      <c r="BMR994" s="124"/>
      <c r="BMS994" s="124"/>
      <c r="BMT994" s="124"/>
      <c r="BMU994" s="124"/>
      <c r="BMV994" s="124"/>
      <c r="BMW994" s="124"/>
      <c r="BMX994" s="124"/>
      <c r="BMY994" s="124"/>
      <c r="BMZ994" s="124"/>
      <c r="BNA994" s="124"/>
      <c r="BNB994" s="124"/>
      <c r="BNC994" s="124"/>
      <c r="BND994" s="124"/>
      <c r="BNE994" s="124"/>
      <c r="BNF994" s="124"/>
      <c r="BNG994" s="124"/>
      <c r="BNH994" s="124"/>
      <c r="BNI994" s="124"/>
      <c r="BNJ994" s="124"/>
      <c r="BNK994" s="124"/>
      <c r="BNL994" s="124"/>
      <c r="BNM994" s="124"/>
      <c r="BNN994" s="124"/>
      <c r="BNO994" s="124"/>
      <c r="BNP994" s="124"/>
      <c r="BNQ994" s="124"/>
      <c r="BNR994" s="124"/>
      <c r="BNS994" s="124"/>
      <c r="BNT994" s="124"/>
      <c r="BNU994" s="124"/>
      <c r="BNV994" s="124"/>
      <c r="BNW994" s="124"/>
      <c r="BNX994" s="124"/>
      <c r="BNY994" s="124"/>
      <c r="BNZ994" s="124"/>
      <c r="BOA994" s="124"/>
      <c r="BOB994" s="124"/>
      <c r="BOC994" s="124"/>
      <c r="BOD994" s="124"/>
      <c r="BOE994" s="124"/>
      <c r="BOF994" s="124"/>
      <c r="BOG994" s="124"/>
      <c r="BOH994" s="124"/>
      <c r="BOI994" s="124"/>
      <c r="BOJ994" s="124"/>
      <c r="BOK994" s="124"/>
      <c r="BOL994" s="124"/>
      <c r="BOM994" s="124"/>
      <c r="BON994" s="124"/>
      <c r="BOO994" s="124"/>
      <c r="BOP994" s="124"/>
      <c r="BOQ994" s="124"/>
      <c r="BOR994" s="124"/>
      <c r="BOS994" s="124"/>
      <c r="BOT994" s="124"/>
      <c r="BOU994" s="124"/>
      <c r="BOV994" s="124"/>
      <c r="BOW994" s="124"/>
      <c r="BOX994" s="124"/>
      <c r="BOY994" s="124"/>
      <c r="BOZ994" s="124"/>
      <c r="BPA994" s="124"/>
      <c r="BPB994" s="124"/>
      <c r="BPC994" s="124"/>
      <c r="BPD994" s="124"/>
      <c r="BPE994" s="124"/>
      <c r="BPF994" s="124"/>
      <c r="BPG994" s="124"/>
      <c r="BPH994" s="124"/>
      <c r="BPI994" s="124"/>
      <c r="BPJ994" s="124"/>
      <c r="BPK994" s="124"/>
      <c r="BPL994" s="124"/>
      <c r="BPM994" s="124"/>
      <c r="BPN994" s="124"/>
      <c r="BPO994" s="124"/>
      <c r="BPP994" s="124"/>
      <c r="BPQ994" s="124"/>
      <c r="BPR994" s="124"/>
      <c r="BPS994" s="124"/>
      <c r="BPT994" s="124"/>
      <c r="BPU994" s="124"/>
      <c r="BPV994" s="124"/>
      <c r="BPW994" s="124"/>
      <c r="BPX994" s="124"/>
      <c r="BPY994" s="124"/>
      <c r="BPZ994" s="124"/>
      <c r="BQA994" s="124"/>
      <c r="BQB994" s="124"/>
      <c r="BQC994" s="124"/>
      <c r="BQD994" s="124"/>
      <c r="BQE994" s="124"/>
      <c r="BQF994" s="124"/>
      <c r="BQG994" s="124"/>
      <c r="BQH994" s="124"/>
      <c r="BQI994" s="124"/>
      <c r="BQJ994" s="124"/>
      <c r="BQK994" s="124"/>
      <c r="BQL994" s="124"/>
      <c r="BQM994" s="124"/>
      <c r="BQN994" s="124"/>
      <c r="BQO994" s="124"/>
      <c r="BQP994" s="124"/>
      <c r="BQQ994" s="124"/>
      <c r="BQR994" s="124"/>
      <c r="BQS994" s="124"/>
      <c r="BQT994" s="124"/>
      <c r="BQU994" s="124"/>
      <c r="BQV994" s="124"/>
      <c r="BQW994" s="124"/>
      <c r="BQX994" s="124"/>
      <c r="BQY994" s="124"/>
      <c r="BQZ994" s="124"/>
      <c r="BRA994" s="124"/>
      <c r="BRB994" s="124"/>
      <c r="BRC994" s="124"/>
      <c r="BRD994" s="124"/>
      <c r="BRE994" s="124"/>
      <c r="BRF994" s="124"/>
      <c r="BRG994" s="124"/>
      <c r="BRH994" s="124"/>
      <c r="BRI994" s="124"/>
      <c r="BRJ994" s="124"/>
      <c r="BRK994" s="124"/>
      <c r="BRL994" s="124"/>
      <c r="BRM994" s="124"/>
      <c r="BRN994" s="124"/>
      <c r="BRO994" s="124"/>
      <c r="BRP994" s="124"/>
      <c r="BRQ994" s="124"/>
      <c r="BRR994" s="124"/>
      <c r="BRS994" s="124"/>
      <c r="BRT994" s="124"/>
      <c r="BRU994" s="124"/>
      <c r="BRV994" s="124"/>
      <c r="BRW994" s="124"/>
      <c r="BRX994" s="124"/>
      <c r="BRY994" s="124"/>
      <c r="BRZ994" s="124"/>
      <c r="BSA994" s="124"/>
      <c r="BSB994" s="124"/>
      <c r="BSC994" s="124"/>
      <c r="BSD994" s="124"/>
      <c r="BSE994" s="124"/>
      <c r="BSF994" s="124"/>
      <c r="BSG994" s="124"/>
      <c r="BSH994" s="124"/>
      <c r="BSI994" s="124"/>
      <c r="BSJ994" s="124"/>
      <c r="BSK994" s="124"/>
      <c r="BSL994" s="124"/>
      <c r="BSM994" s="124"/>
      <c r="BSN994" s="124"/>
      <c r="BSO994" s="124"/>
      <c r="BSP994" s="124"/>
      <c r="BSQ994" s="124"/>
      <c r="BSR994" s="124"/>
      <c r="BSS994" s="124"/>
      <c r="BST994" s="124"/>
      <c r="BSU994" s="124"/>
      <c r="BSV994" s="124"/>
      <c r="BSW994" s="124"/>
      <c r="BSX994" s="124"/>
      <c r="BSY994" s="124"/>
      <c r="BSZ994" s="124"/>
      <c r="BTA994" s="124"/>
      <c r="BTB994" s="124"/>
      <c r="BTC994" s="124"/>
      <c r="BTD994" s="124"/>
      <c r="BTE994" s="124"/>
      <c r="BTF994" s="124"/>
      <c r="BTG994" s="124"/>
      <c r="BTH994" s="124"/>
      <c r="BTI994" s="124"/>
      <c r="BTJ994" s="124"/>
      <c r="BTK994" s="124"/>
      <c r="BTL994" s="124"/>
      <c r="BTM994" s="124"/>
      <c r="BTN994" s="124"/>
      <c r="BTO994" s="124"/>
      <c r="BTP994" s="124"/>
      <c r="BTQ994" s="124"/>
      <c r="BTR994" s="124"/>
      <c r="BTS994" s="124"/>
      <c r="BTT994" s="124"/>
      <c r="BTU994" s="124"/>
      <c r="BTV994" s="124"/>
      <c r="BTW994" s="124"/>
      <c r="BTX994" s="124"/>
      <c r="BTY994" s="124"/>
      <c r="BTZ994" s="124"/>
      <c r="BUA994" s="124"/>
      <c r="BUB994" s="124"/>
      <c r="BUC994" s="124"/>
      <c r="BUD994" s="124"/>
      <c r="BUE994" s="124"/>
      <c r="BUF994" s="124"/>
      <c r="BUG994" s="124"/>
      <c r="BUH994" s="124"/>
      <c r="BUI994" s="124"/>
      <c r="BUJ994" s="124"/>
      <c r="BUK994" s="124"/>
      <c r="BUL994" s="124"/>
      <c r="BUM994" s="124"/>
      <c r="BUN994" s="124"/>
      <c r="BUO994" s="124"/>
      <c r="BUP994" s="124"/>
      <c r="BUQ994" s="124"/>
      <c r="BUR994" s="124"/>
      <c r="BUS994" s="124"/>
      <c r="BUT994" s="124"/>
      <c r="BUU994" s="124"/>
      <c r="BUV994" s="124"/>
      <c r="BUW994" s="124"/>
      <c r="BUX994" s="124"/>
      <c r="BUY994" s="124"/>
      <c r="BUZ994" s="124"/>
      <c r="BVA994" s="124"/>
      <c r="BVB994" s="124"/>
      <c r="BVC994" s="124"/>
      <c r="BVD994" s="124"/>
      <c r="BVE994" s="124"/>
      <c r="BVF994" s="124"/>
      <c r="BVG994" s="124"/>
      <c r="BVH994" s="124"/>
      <c r="BVI994" s="124"/>
      <c r="BVJ994" s="124"/>
      <c r="BVK994" s="124"/>
      <c r="BVL994" s="124"/>
      <c r="BVM994" s="124"/>
      <c r="BVN994" s="124"/>
      <c r="BVO994" s="124"/>
      <c r="BVP994" s="124"/>
      <c r="BVQ994" s="124"/>
      <c r="BVR994" s="124"/>
      <c r="BVS994" s="124"/>
      <c r="BVT994" s="124"/>
      <c r="BVU994" s="124"/>
      <c r="BVV994" s="124"/>
      <c r="BVW994" s="124"/>
      <c r="BVX994" s="124"/>
      <c r="BVY994" s="124"/>
      <c r="BVZ994" s="124"/>
      <c r="BWA994" s="124"/>
      <c r="BWB994" s="124"/>
      <c r="BWC994" s="124"/>
      <c r="BWD994" s="124"/>
      <c r="BWE994" s="124"/>
      <c r="BWF994" s="124"/>
      <c r="BWG994" s="124"/>
      <c r="BWH994" s="124"/>
      <c r="BWI994" s="124"/>
      <c r="BWJ994" s="124"/>
      <c r="BWK994" s="124"/>
      <c r="BWL994" s="124"/>
      <c r="BWM994" s="124"/>
      <c r="BWN994" s="124"/>
      <c r="BWO994" s="124"/>
      <c r="BWP994" s="124"/>
      <c r="BWQ994" s="124"/>
      <c r="BWR994" s="124"/>
      <c r="BWS994" s="124"/>
      <c r="BWT994" s="124"/>
      <c r="BWU994" s="124"/>
      <c r="BWV994" s="124"/>
      <c r="BWW994" s="124"/>
      <c r="BWX994" s="124"/>
      <c r="BWY994" s="124"/>
      <c r="BWZ994" s="124"/>
      <c r="BXA994" s="124"/>
      <c r="BXB994" s="124"/>
      <c r="BXC994" s="124"/>
      <c r="BXD994" s="124"/>
      <c r="BXE994" s="124"/>
      <c r="BXF994" s="124"/>
      <c r="BXG994" s="124"/>
      <c r="BXH994" s="124"/>
      <c r="BXI994" s="124"/>
      <c r="BXJ994" s="124"/>
      <c r="BXK994" s="124"/>
      <c r="BXL994" s="124"/>
      <c r="BXM994" s="124"/>
      <c r="BXN994" s="124"/>
      <c r="BXO994" s="124"/>
      <c r="BXP994" s="124"/>
      <c r="BXQ994" s="124"/>
      <c r="BXR994" s="124"/>
      <c r="BXS994" s="124"/>
      <c r="BXT994" s="124"/>
      <c r="BXU994" s="124"/>
      <c r="BXV994" s="124"/>
      <c r="BXW994" s="124"/>
      <c r="BXX994" s="124"/>
      <c r="BXY994" s="124"/>
      <c r="BXZ994" s="124"/>
      <c r="BYA994" s="124"/>
      <c r="BYB994" s="124"/>
      <c r="BYC994" s="124"/>
      <c r="BYD994" s="124"/>
      <c r="BYE994" s="124"/>
      <c r="BYF994" s="124"/>
      <c r="BYG994" s="124"/>
      <c r="BYH994" s="124"/>
      <c r="BYI994" s="124"/>
      <c r="BYJ994" s="124"/>
      <c r="BYK994" s="124"/>
      <c r="BYL994" s="124"/>
      <c r="BYM994" s="124"/>
      <c r="BYN994" s="124"/>
      <c r="BYO994" s="124"/>
      <c r="BYP994" s="124"/>
      <c r="BYQ994" s="124"/>
      <c r="BYR994" s="124"/>
      <c r="BYS994" s="124"/>
      <c r="BYT994" s="124"/>
      <c r="BYU994" s="124"/>
      <c r="BYV994" s="124"/>
      <c r="BYW994" s="124"/>
      <c r="BYX994" s="124"/>
      <c r="BYY994" s="124"/>
      <c r="BYZ994" s="124"/>
      <c r="BZA994" s="124"/>
      <c r="BZB994" s="124"/>
      <c r="BZC994" s="124"/>
      <c r="BZD994" s="124"/>
      <c r="BZE994" s="124"/>
      <c r="BZF994" s="124"/>
      <c r="BZG994" s="124"/>
      <c r="BZH994" s="124"/>
      <c r="BZI994" s="124"/>
      <c r="BZJ994" s="124"/>
      <c r="BZK994" s="124"/>
      <c r="BZL994" s="124"/>
      <c r="BZM994" s="124"/>
      <c r="BZN994" s="124"/>
      <c r="BZO994" s="124"/>
      <c r="BZP994" s="124"/>
      <c r="BZQ994" s="124"/>
      <c r="BZR994" s="124"/>
      <c r="BZS994" s="124"/>
      <c r="BZT994" s="124"/>
      <c r="BZU994" s="124"/>
      <c r="BZV994" s="124"/>
      <c r="BZW994" s="124"/>
      <c r="BZX994" s="124"/>
      <c r="BZY994" s="124"/>
      <c r="BZZ994" s="124"/>
      <c r="CAA994" s="124"/>
      <c r="CAB994" s="124"/>
      <c r="CAC994" s="124"/>
      <c r="CAD994" s="124"/>
      <c r="CAE994" s="124"/>
      <c r="CAF994" s="124"/>
      <c r="CAG994" s="124"/>
      <c r="CAH994" s="124"/>
      <c r="CAI994" s="124"/>
      <c r="CAJ994" s="124"/>
      <c r="CAK994" s="124"/>
      <c r="CAL994" s="124"/>
      <c r="CAM994" s="124"/>
      <c r="CAN994" s="124"/>
      <c r="CAO994" s="124"/>
      <c r="CAP994" s="124"/>
      <c r="CAQ994" s="124"/>
      <c r="CAR994" s="124"/>
      <c r="CAS994" s="124"/>
      <c r="CAT994" s="124"/>
      <c r="CAU994" s="124"/>
      <c r="CAV994" s="124"/>
      <c r="CAW994" s="124"/>
      <c r="CAX994" s="124"/>
      <c r="CAY994" s="124"/>
      <c r="CAZ994" s="124"/>
      <c r="CBA994" s="124"/>
      <c r="CBB994" s="124"/>
      <c r="CBC994" s="124"/>
      <c r="CBD994" s="124"/>
      <c r="CBE994" s="124"/>
      <c r="CBF994" s="124"/>
      <c r="CBG994" s="124"/>
      <c r="CBH994" s="124"/>
      <c r="CBI994" s="124"/>
      <c r="CBJ994" s="124"/>
      <c r="CBK994" s="124"/>
      <c r="CBL994" s="124"/>
      <c r="CBM994" s="124"/>
      <c r="CBN994" s="124"/>
      <c r="CBO994" s="124"/>
      <c r="CBP994" s="124"/>
      <c r="CBQ994" s="124"/>
      <c r="CBR994" s="124"/>
      <c r="CBS994" s="124"/>
      <c r="CBT994" s="124"/>
      <c r="CBU994" s="124"/>
      <c r="CBV994" s="124"/>
      <c r="CBW994" s="124"/>
      <c r="CBX994" s="124"/>
      <c r="CBY994" s="124"/>
      <c r="CBZ994" s="124"/>
      <c r="CCA994" s="124"/>
      <c r="CCB994" s="124"/>
      <c r="CCC994" s="124"/>
      <c r="CCD994" s="124"/>
      <c r="CCE994" s="124"/>
      <c r="CCF994" s="124"/>
      <c r="CCG994" s="124"/>
      <c r="CCH994" s="124"/>
      <c r="CCI994" s="124"/>
      <c r="CCJ994" s="124"/>
      <c r="CCK994" s="124"/>
      <c r="CCL994" s="124"/>
      <c r="CCM994" s="124"/>
      <c r="CCN994" s="124"/>
      <c r="CCO994" s="124"/>
      <c r="CCP994" s="124"/>
      <c r="CCQ994" s="124"/>
      <c r="CCR994" s="124"/>
      <c r="CCS994" s="124"/>
      <c r="CCT994" s="124"/>
      <c r="CCU994" s="124"/>
      <c r="CCV994" s="124"/>
      <c r="CCW994" s="124"/>
      <c r="CCX994" s="124"/>
      <c r="CCY994" s="124"/>
      <c r="CCZ994" s="124"/>
      <c r="CDA994" s="124"/>
      <c r="CDB994" s="124"/>
      <c r="CDC994" s="124"/>
      <c r="CDD994" s="124"/>
      <c r="CDE994" s="124"/>
      <c r="CDF994" s="124"/>
      <c r="CDG994" s="124"/>
      <c r="CDH994" s="124"/>
      <c r="CDI994" s="124"/>
      <c r="CDJ994" s="124"/>
      <c r="CDK994" s="124"/>
      <c r="CDL994" s="124"/>
      <c r="CDM994" s="124"/>
      <c r="CDN994" s="124"/>
      <c r="CDO994" s="124"/>
      <c r="CDP994" s="124"/>
      <c r="CDQ994" s="124"/>
      <c r="CDR994" s="124"/>
      <c r="CDS994" s="124"/>
      <c r="CDT994" s="124"/>
      <c r="CDU994" s="124"/>
      <c r="CDV994" s="124"/>
      <c r="CDW994" s="124"/>
      <c r="CDX994" s="124"/>
      <c r="CDY994" s="124"/>
      <c r="CDZ994" s="124"/>
      <c r="CEA994" s="124"/>
      <c r="CEB994" s="124"/>
      <c r="CEC994" s="124"/>
      <c r="CED994" s="124"/>
      <c r="CEE994" s="124"/>
      <c r="CEF994" s="124"/>
      <c r="CEG994" s="124"/>
      <c r="CEH994" s="124"/>
      <c r="CEI994" s="124"/>
      <c r="CEJ994" s="124"/>
      <c r="CEK994" s="124"/>
      <c r="CEL994" s="124"/>
      <c r="CEM994" s="124"/>
      <c r="CEN994" s="124"/>
      <c r="CEO994" s="124"/>
      <c r="CEP994" s="124"/>
      <c r="CEQ994" s="124"/>
      <c r="CER994" s="124"/>
      <c r="CES994" s="124"/>
      <c r="CET994" s="124"/>
      <c r="CEU994" s="124"/>
      <c r="CEV994" s="124"/>
      <c r="CEW994" s="124"/>
      <c r="CEX994" s="124"/>
      <c r="CEY994" s="124"/>
      <c r="CEZ994" s="124"/>
      <c r="CFA994" s="124"/>
      <c r="CFB994" s="124"/>
      <c r="CFC994" s="124"/>
      <c r="CFD994" s="124"/>
      <c r="CFE994" s="124"/>
      <c r="CFF994" s="124"/>
      <c r="CFG994" s="124"/>
      <c r="CFH994" s="124"/>
      <c r="CFI994" s="124"/>
      <c r="CFJ994" s="124"/>
      <c r="CFK994" s="124"/>
      <c r="CFL994" s="124"/>
      <c r="CFM994" s="124"/>
      <c r="CFN994" s="124"/>
      <c r="CFO994" s="124"/>
      <c r="CFP994" s="124"/>
      <c r="CFQ994" s="124"/>
      <c r="CFR994" s="124"/>
      <c r="CFS994" s="124"/>
      <c r="CFT994" s="124"/>
      <c r="CFU994" s="124"/>
      <c r="CFV994" s="124"/>
      <c r="CFW994" s="124"/>
      <c r="CFX994" s="124"/>
      <c r="CFY994" s="124"/>
      <c r="CFZ994" s="124"/>
      <c r="CGA994" s="124"/>
      <c r="CGB994" s="124"/>
      <c r="CGC994" s="124"/>
      <c r="CGD994" s="124"/>
      <c r="CGE994" s="124"/>
      <c r="CGF994" s="124"/>
      <c r="CGG994" s="124"/>
      <c r="CGH994" s="124"/>
      <c r="CGI994" s="124"/>
      <c r="CGJ994" s="124"/>
      <c r="CGK994" s="124"/>
      <c r="CGL994" s="124"/>
      <c r="CGM994" s="124"/>
      <c r="CGN994" s="124"/>
      <c r="CGO994" s="124"/>
      <c r="CGP994" s="124"/>
      <c r="CGQ994" s="124"/>
      <c r="CGR994" s="124"/>
      <c r="CGS994" s="124"/>
      <c r="CGT994" s="124"/>
      <c r="CGU994" s="124"/>
      <c r="CGV994" s="124"/>
      <c r="CGW994" s="124"/>
      <c r="CGX994" s="124"/>
      <c r="CGY994" s="124"/>
      <c r="CGZ994" s="124"/>
      <c r="CHA994" s="124"/>
      <c r="CHB994" s="124"/>
      <c r="CHC994" s="124"/>
      <c r="CHD994" s="124"/>
      <c r="CHE994" s="124"/>
      <c r="CHF994" s="124"/>
      <c r="CHG994" s="124"/>
      <c r="CHH994" s="124"/>
      <c r="CHI994" s="124"/>
      <c r="CHJ994" s="124"/>
      <c r="CHK994" s="124"/>
      <c r="CHL994" s="124"/>
      <c r="CHM994" s="124"/>
      <c r="CHN994" s="124"/>
      <c r="CHO994" s="124"/>
      <c r="CHP994" s="124"/>
      <c r="CHQ994" s="124"/>
      <c r="CHR994" s="124"/>
      <c r="CHS994" s="124"/>
      <c r="CHT994" s="124"/>
      <c r="CHU994" s="124"/>
      <c r="CHV994" s="124"/>
      <c r="CHW994" s="124"/>
      <c r="CHX994" s="124"/>
      <c r="CHY994" s="124"/>
      <c r="CHZ994" s="124"/>
      <c r="CIA994" s="124"/>
      <c r="CIB994" s="124"/>
      <c r="CIC994" s="124"/>
      <c r="CID994" s="124"/>
      <c r="CIE994" s="124"/>
      <c r="CIF994" s="124"/>
      <c r="CIG994" s="124"/>
      <c r="CIH994" s="124"/>
      <c r="CII994" s="124"/>
      <c r="CIJ994" s="124"/>
      <c r="CIK994" s="124"/>
      <c r="CIL994" s="124"/>
      <c r="CIM994" s="124"/>
      <c r="CIN994" s="124"/>
      <c r="CIO994" s="124"/>
      <c r="CIP994" s="124"/>
      <c r="CIQ994" s="124"/>
      <c r="CIR994" s="124"/>
      <c r="CIS994" s="124"/>
      <c r="CIT994" s="124"/>
      <c r="CIU994" s="124"/>
      <c r="CIV994" s="124"/>
      <c r="CIW994" s="124"/>
      <c r="CIX994" s="124"/>
      <c r="CIY994" s="124"/>
      <c r="CIZ994" s="124"/>
      <c r="CJA994" s="124"/>
      <c r="CJB994" s="124"/>
      <c r="CJC994" s="124"/>
      <c r="CJD994" s="124"/>
      <c r="CJE994" s="124"/>
      <c r="CJF994" s="124"/>
      <c r="CJG994" s="124"/>
      <c r="CJH994" s="124"/>
      <c r="CJI994" s="124"/>
      <c r="CJJ994" s="124"/>
      <c r="CJK994" s="124"/>
      <c r="CJL994" s="124"/>
      <c r="CJM994" s="124"/>
      <c r="CJN994" s="124"/>
      <c r="CJO994" s="124"/>
      <c r="CJP994" s="124"/>
      <c r="CJQ994" s="124"/>
      <c r="CJR994" s="124"/>
      <c r="CJS994" s="124"/>
      <c r="CJT994" s="124"/>
      <c r="CJU994" s="124"/>
      <c r="CJV994" s="124"/>
      <c r="CJW994" s="124"/>
      <c r="CJX994" s="124"/>
      <c r="CJY994" s="124"/>
      <c r="CJZ994" s="124"/>
      <c r="CKA994" s="124"/>
      <c r="CKB994" s="124"/>
      <c r="CKC994" s="124"/>
      <c r="CKD994" s="124"/>
      <c r="CKE994" s="124"/>
      <c r="CKF994" s="124"/>
      <c r="CKG994" s="124"/>
      <c r="CKH994" s="124"/>
      <c r="CKI994" s="124"/>
      <c r="CKJ994" s="124"/>
      <c r="CKK994" s="124"/>
      <c r="CKL994" s="124"/>
      <c r="CKM994" s="124"/>
      <c r="CKN994" s="124"/>
      <c r="CKO994" s="124"/>
      <c r="CKP994" s="124"/>
      <c r="CKQ994" s="124"/>
      <c r="CKR994" s="124"/>
      <c r="CKS994" s="124"/>
      <c r="CKT994" s="124"/>
      <c r="CKU994" s="124"/>
      <c r="CKV994" s="124"/>
      <c r="CKW994" s="124"/>
      <c r="CKX994" s="124"/>
      <c r="CKY994" s="124"/>
      <c r="CKZ994" s="124"/>
      <c r="CLA994" s="124"/>
      <c r="CLB994" s="124"/>
      <c r="CLC994" s="124"/>
      <c r="CLD994" s="124"/>
      <c r="CLE994" s="124"/>
      <c r="CLF994" s="124"/>
      <c r="CLG994" s="124"/>
      <c r="CLH994" s="124"/>
      <c r="CLI994" s="124"/>
      <c r="CLJ994" s="124"/>
      <c r="CLK994" s="124"/>
      <c r="CLL994" s="124"/>
      <c r="CLM994" s="124"/>
      <c r="CLN994" s="124"/>
      <c r="CLO994" s="124"/>
      <c r="CLP994" s="124"/>
      <c r="CLQ994" s="124"/>
      <c r="CLR994" s="124"/>
      <c r="CLS994" s="124"/>
      <c r="CLT994" s="124"/>
      <c r="CLU994" s="124"/>
      <c r="CLV994" s="124"/>
      <c r="CLW994" s="124"/>
      <c r="CLX994" s="124"/>
      <c r="CLY994" s="124"/>
      <c r="CLZ994" s="124"/>
      <c r="CMA994" s="124"/>
      <c r="CMB994" s="124"/>
      <c r="CMC994" s="124"/>
      <c r="CMD994" s="124"/>
      <c r="CME994" s="124"/>
      <c r="CMF994" s="124"/>
      <c r="CMG994" s="124"/>
      <c r="CMH994" s="124"/>
      <c r="CMI994" s="124"/>
      <c r="CMJ994" s="124"/>
      <c r="CMK994" s="124"/>
      <c r="CML994" s="124"/>
      <c r="CMM994" s="124"/>
      <c r="CMN994" s="124"/>
      <c r="CMO994" s="124"/>
      <c r="CMP994" s="124"/>
      <c r="CMQ994" s="124"/>
      <c r="CMR994" s="124"/>
      <c r="CMS994" s="124"/>
      <c r="CMT994" s="124"/>
      <c r="CMU994" s="124"/>
      <c r="CMV994" s="124"/>
      <c r="CMW994" s="124"/>
      <c r="CMX994" s="124"/>
      <c r="CMY994" s="124"/>
      <c r="CMZ994" s="124"/>
      <c r="CNA994" s="124"/>
      <c r="CNB994" s="124"/>
      <c r="CNC994" s="124"/>
      <c r="CND994" s="124"/>
      <c r="CNE994" s="124"/>
      <c r="CNF994" s="124"/>
      <c r="CNG994" s="124"/>
      <c r="CNH994" s="124"/>
      <c r="CNI994" s="124"/>
      <c r="CNJ994" s="124"/>
      <c r="CNK994" s="124"/>
      <c r="CNL994" s="124"/>
      <c r="CNM994" s="124"/>
      <c r="CNN994" s="124"/>
      <c r="CNO994" s="124"/>
      <c r="CNP994" s="124"/>
      <c r="CNQ994" s="124"/>
      <c r="CNR994" s="124"/>
      <c r="CNS994" s="124"/>
      <c r="CNT994" s="124"/>
      <c r="CNU994" s="124"/>
      <c r="CNV994" s="124"/>
      <c r="CNW994" s="124"/>
      <c r="CNX994" s="124"/>
      <c r="CNY994" s="124"/>
      <c r="CNZ994" s="124"/>
      <c r="COA994" s="124"/>
      <c r="COB994" s="124"/>
      <c r="COC994" s="124"/>
      <c r="COD994" s="124"/>
      <c r="COE994" s="124"/>
      <c r="COF994" s="124"/>
      <c r="COG994" s="124"/>
      <c r="COH994" s="124"/>
      <c r="COI994" s="124"/>
      <c r="COJ994" s="124"/>
      <c r="COK994" s="124"/>
      <c r="COL994" s="124"/>
      <c r="COM994" s="124"/>
      <c r="CON994" s="124"/>
      <c r="COO994" s="124"/>
      <c r="COP994" s="124"/>
      <c r="COQ994" s="124"/>
      <c r="COR994" s="124"/>
      <c r="COS994" s="124"/>
      <c r="COT994" s="124"/>
      <c r="COU994" s="124"/>
      <c r="COV994" s="124"/>
      <c r="COW994" s="124"/>
      <c r="COX994" s="124"/>
      <c r="COY994" s="124"/>
      <c r="COZ994" s="124"/>
      <c r="CPA994" s="124"/>
      <c r="CPB994" s="124"/>
      <c r="CPC994" s="124"/>
      <c r="CPD994" s="124"/>
      <c r="CPE994" s="124"/>
      <c r="CPF994" s="124"/>
      <c r="CPG994" s="124"/>
      <c r="CPH994" s="124"/>
      <c r="CPI994" s="124"/>
      <c r="CPJ994" s="124"/>
      <c r="CPK994" s="124"/>
      <c r="CPL994" s="124"/>
      <c r="CPM994" s="124"/>
      <c r="CPN994" s="124"/>
      <c r="CPO994" s="124"/>
      <c r="CPP994" s="124"/>
      <c r="CPQ994" s="124"/>
      <c r="CPR994" s="124"/>
      <c r="CPS994" s="124"/>
      <c r="CPT994" s="124"/>
      <c r="CPU994" s="124"/>
      <c r="CPV994" s="124"/>
      <c r="CPW994" s="124"/>
      <c r="CPX994" s="124"/>
      <c r="CPY994" s="124"/>
      <c r="CPZ994" s="124"/>
      <c r="CQA994" s="124"/>
      <c r="CQB994" s="124"/>
      <c r="CQC994" s="124"/>
      <c r="CQD994" s="124"/>
      <c r="CQE994" s="124"/>
      <c r="CQF994" s="124"/>
      <c r="CQG994" s="124"/>
      <c r="CQH994" s="124"/>
      <c r="CQI994" s="124"/>
      <c r="CQJ994" s="124"/>
      <c r="CQK994" s="124"/>
      <c r="CQL994" s="124"/>
      <c r="CQM994" s="124"/>
      <c r="CQN994" s="124"/>
      <c r="CQO994" s="124"/>
      <c r="CQP994" s="124"/>
      <c r="CQQ994" s="124"/>
      <c r="CQR994" s="124"/>
      <c r="CQS994" s="124"/>
      <c r="CQT994" s="124"/>
      <c r="CQU994" s="124"/>
      <c r="CQV994" s="124"/>
      <c r="CQW994" s="124"/>
      <c r="CQX994" s="124"/>
      <c r="CQY994" s="124"/>
      <c r="CQZ994" s="124"/>
      <c r="CRA994" s="124"/>
      <c r="CRB994" s="124"/>
      <c r="CRC994" s="124"/>
      <c r="CRD994" s="124"/>
      <c r="CRE994" s="124"/>
      <c r="CRF994" s="124"/>
      <c r="CRG994" s="124"/>
      <c r="CRH994" s="124"/>
      <c r="CRI994" s="124"/>
      <c r="CRJ994" s="124"/>
      <c r="CRK994" s="124"/>
      <c r="CRL994" s="124"/>
      <c r="CRM994" s="124"/>
      <c r="CRN994" s="124"/>
      <c r="CRO994" s="124"/>
      <c r="CRP994" s="124"/>
      <c r="CRQ994" s="124"/>
      <c r="CRR994" s="124"/>
      <c r="CRS994" s="124"/>
      <c r="CRT994" s="124"/>
      <c r="CRU994" s="124"/>
      <c r="CRV994" s="124"/>
      <c r="CRW994" s="124"/>
      <c r="CRX994" s="124"/>
      <c r="CRY994" s="124"/>
      <c r="CRZ994" s="124"/>
      <c r="CSA994" s="124"/>
      <c r="CSB994" s="124"/>
      <c r="CSC994" s="124"/>
      <c r="CSD994" s="124"/>
      <c r="CSE994" s="124"/>
      <c r="CSF994" s="124"/>
      <c r="CSG994" s="124"/>
      <c r="CSH994" s="124"/>
      <c r="CSI994" s="124"/>
      <c r="CSJ994" s="124"/>
      <c r="CSK994" s="124"/>
      <c r="CSL994" s="124"/>
      <c r="CSM994" s="124"/>
      <c r="CSN994" s="124"/>
      <c r="CSO994" s="124"/>
      <c r="CSP994" s="124"/>
      <c r="CSQ994" s="124"/>
      <c r="CSR994" s="124"/>
      <c r="CSS994" s="124"/>
      <c r="CST994" s="124"/>
      <c r="CSU994" s="124"/>
      <c r="CSV994" s="124"/>
      <c r="CSW994" s="124"/>
      <c r="CSX994" s="124"/>
      <c r="CSY994" s="124"/>
      <c r="CSZ994" s="124"/>
      <c r="CTA994" s="124"/>
      <c r="CTB994" s="124"/>
      <c r="CTC994" s="124"/>
      <c r="CTD994" s="124"/>
      <c r="CTE994" s="124"/>
      <c r="CTF994" s="124"/>
      <c r="CTG994" s="124"/>
      <c r="CTH994" s="124"/>
      <c r="CTI994" s="124"/>
      <c r="CTJ994" s="124"/>
      <c r="CTK994" s="124"/>
      <c r="CTL994" s="124"/>
      <c r="CTM994" s="124"/>
      <c r="CTN994" s="124"/>
      <c r="CTO994" s="124"/>
      <c r="CTP994" s="124"/>
      <c r="CTQ994" s="124"/>
      <c r="CTR994" s="124"/>
      <c r="CTS994" s="124"/>
      <c r="CTT994" s="124"/>
      <c r="CTU994" s="124"/>
      <c r="CTV994" s="124"/>
      <c r="CTW994" s="124"/>
      <c r="CTX994" s="124"/>
      <c r="CTY994" s="124"/>
      <c r="CTZ994" s="124"/>
      <c r="CUA994" s="124"/>
      <c r="CUB994" s="124"/>
      <c r="CUC994" s="124"/>
      <c r="CUD994" s="124"/>
      <c r="CUE994" s="124"/>
      <c r="CUF994" s="124"/>
      <c r="CUG994" s="124"/>
      <c r="CUH994" s="124"/>
      <c r="CUI994" s="124"/>
      <c r="CUJ994" s="124"/>
      <c r="CUK994" s="124"/>
      <c r="CUL994" s="124"/>
      <c r="CUM994" s="124"/>
      <c r="CUN994" s="124"/>
      <c r="CUO994" s="124"/>
      <c r="CUP994" s="124"/>
      <c r="CUQ994" s="124"/>
      <c r="CUR994" s="124"/>
      <c r="CUS994" s="124"/>
      <c r="CUT994" s="124"/>
      <c r="CUU994" s="124"/>
      <c r="CUV994" s="124"/>
      <c r="CUW994" s="124"/>
      <c r="CUX994" s="124"/>
      <c r="CUY994" s="124"/>
      <c r="CUZ994" s="124"/>
      <c r="CVA994" s="124"/>
      <c r="CVB994" s="124"/>
      <c r="CVC994" s="124"/>
      <c r="CVD994" s="124"/>
      <c r="CVE994" s="124"/>
      <c r="CVF994" s="124"/>
      <c r="CVG994" s="124"/>
      <c r="CVH994" s="124"/>
      <c r="CVI994" s="124"/>
      <c r="CVJ994" s="124"/>
      <c r="CVK994" s="124"/>
      <c r="CVL994" s="124"/>
      <c r="CVM994" s="124"/>
      <c r="CVN994" s="124"/>
      <c r="CVO994" s="124"/>
      <c r="CVP994" s="124"/>
      <c r="CVQ994" s="124"/>
      <c r="CVR994" s="124"/>
      <c r="CVS994" s="124"/>
      <c r="CVT994" s="124"/>
      <c r="CVU994" s="124"/>
      <c r="CVV994" s="124"/>
      <c r="CVW994" s="124"/>
      <c r="CVX994" s="124"/>
      <c r="CVY994" s="124"/>
      <c r="CVZ994" s="124"/>
      <c r="CWA994" s="124"/>
      <c r="CWB994" s="124"/>
      <c r="CWC994" s="124"/>
      <c r="CWD994" s="124"/>
      <c r="CWE994" s="124"/>
      <c r="CWF994" s="124"/>
      <c r="CWG994" s="124"/>
      <c r="CWH994" s="124"/>
      <c r="CWI994" s="124"/>
      <c r="CWJ994" s="124"/>
      <c r="CWK994" s="124"/>
      <c r="CWL994" s="124"/>
      <c r="CWM994" s="124"/>
      <c r="CWN994" s="124"/>
      <c r="CWO994" s="124"/>
      <c r="CWP994" s="124"/>
      <c r="CWQ994" s="124"/>
      <c r="CWR994" s="124"/>
      <c r="CWS994" s="124"/>
      <c r="CWT994" s="124"/>
      <c r="CWU994" s="124"/>
      <c r="CWV994" s="124"/>
      <c r="CWW994" s="124"/>
      <c r="CWX994" s="124"/>
      <c r="CWY994" s="124"/>
      <c r="CWZ994" s="124"/>
      <c r="CXA994" s="124"/>
      <c r="CXB994" s="124"/>
      <c r="CXC994" s="124"/>
      <c r="CXD994" s="124"/>
      <c r="CXE994" s="124"/>
      <c r="CXF994" s="124"/>
      <c r="CXG994" s="124"/>
      <c r="CXH994" s="124"/>
      <c r="CXI994" s="124"/>
      <c r="CXJ994" s="124"/>
      <c r="CXK994" s="124"/>
      <c r="CXL994" s="124"/>
      <c r="CXM994" s="124"/>
      <c r="CXN994" s="124"/>
      <c r="CXO994" s="124"/>
      <c r="CXP994" s="124"/>
      <c r="CXQ994" s="124"/>
      <c r="CXR994" s="124"/>
      <c r="CXS994" s="124"/>
      <c r="CXT994" s="124"/>
      <c r="CXU994" s="124"/>
      <c r="CXV994" s="124"/>
      <c r="CXW994" s="124"/>
      <c r="CXX994" s="124"/>
      <c r="CXY994" s="124"/>
      <c r="CXZ994" s="124"/>
      <c r="CYA994" s="124"/>
      <c r="CYB994" s="124"/>
      <c r="CYC994" s="124"/>
      <c r="CYD994" s="124"/>
      <c r="CYE994" s="124"/>
      <c r="CYF994" s="124"/>
      <c r="CYG994" s="124"/>
      <c r="CYH994" s="124"/>
      <c r="CYI994" s="124"/>
      <c r="CYJ994" s="124"/>
      <c r="CYK994" s="124"/>
      <c r="CYL994" s="124"/>
      <c r="CYM994" s="124"/>
      <c r="CYN994" s="124"/>
      <c r="CYO994" s="124"/>
      <c r="CYP994" s="124"/>
      <c r="CYQ994" s="124"/>
      <c r="CYR994" s="124"/>
      <c r="CYS994" s="124"/>
      <c r="CYT994" s="124"/>
      <c r="CYU994" s="124"/>
      <c r="CYV994" s="124"/>
      <c r="CYW994" s="124"/>
      <c r="CYX994" s="124"/>
      <c r="CYY994" s="124"/>
      <c r="CYZ994" s="124"/>
      <c r="CZA994" s="124"/>
      <c r="CZB994" s="124"/>
      <c r="CZC994" s="124"/>
      <c r="CZD994" s="124"/>
      <c r="CZE994" s="124"/>
      <c r="CZF994" s="124"/>
      <c r="CZG994" s="124"/>
      <c r="CZH994" s="124"/>
      <c r="CZI994" s="124"/>
      <c r="CZJ994" s="124"/>
      <c r="CZK994" s="124"/>
      <c r="CZL994" s="124"/>
      <c r="CZM994" s="124"/>
      <c r="CZN994" s="124"/>
      <c r="CZO994" s="124"/>
      <c r="CZP994" s="124"/>
      <c r="CZQ994" s="124"/>
      <c r="CZR994" s="124"/>
      <c r="CZS994" s="124"/>
      <c r="CZT994" s="124"/>
      <c r="CZU994" s="124"/>
      <c r="CZV994" s="124"/>
      <c r="CZW994" s="124"/>
      <c r="CZX994" s="124"/>
      <c r="CZY994" s="124"/>
      <c r="CZZ994" s="124"/>
      <c r="DAA994" s="124"/>
      <c r="DAB994" s="124"/>
      <c r="DAC994" s="124"/>
      <c r="DAD994" s="124"/>
      <c r="DAE994" s="124"/>
      <c r="DAF994" s="124"/>
      <c r="DAG994" s="124"/>
      <c r="DAH994" s="124"/>
      <c r="DAI994" s="124"/>
      <c r="DAJ994" s="124"/>
      <c r="DAK994" s="124"/>
      <c r="DAL994" s="124"/>
      <c r="DAM994" s="124"/>
      <c r="DAN994" s="124"/>
      <c r="DAO994" s="124"/>
      <c r="DAP994" s="124"/>
      <c r="DAQ994" s="124"/>
      <c r="DAR994" s="124"/>
      <c r="DAS994" s="124"/>
      <c r="DAT994" s="124"/>
      <c r="DAU994" s="124"/>
      <c r="DAV994" s="124"/>
      <c r="DAW994" s="124"/>
      <c r="DAX994" s="124"/>
      <c r="DAY994" s="124"/>
      <c r="DAZ994" s="124"/>
      <c r="DBA994" s="124"/>
      <c r="DBB994" s="124"/>
      <c r="DBC994" s="124"/>
      <c r="DBD994" s="124"/>
      <c r="DBE994" s="124"/>
      <c r="DBF994" s="124"/>
      <c r="DBG994" s="124"/>
      <c r="DBH994" s="124"/>
      <c r="DBI994" s="124"/>
      <c r="DBJ994" s="124"/>
      <c r="DBK994" s="124"/>
      <c r="DBL994" s="124"/>
      <c r="DBM994" s="124"/>
      <c r="DBN994" s="124"/>
      <c r="DBO994" s="124"/>
      <c r="DBP994" s="124"/>
      <c r="DBQ994" s="124"/>
      <c r="DBR994" s="124"/>
      <c r="DBS994" s="124"/>
      <c r="DBT994" s="124"/>
      <c r="DBU994" s="124"/>
      <c r="DBV994" s="124"/>
      <c r="DBW994" s="124"/>
      <c r="DBX994" s="124"/>
      <c r="DBY994" s="124"/>
      <c r="DBZ994" s="124"/>
      <c r="DCA994" s="124"/>
      <c r="DCB994" s="124"/>
      <c r="DCC994" s="124"/>
      <c r="DCD994" s="124"/>
      <c r="DCE994" s="124"/>
      <c r="DCF994" s="124"/>
      <c r="DCG994" s="124"/>
      <c r="DCH994" s="124"/>
      <c r="DCI994" s="124"/>
      <c r="DCJ994" s="124"/>
      <c r="DCK994" s="124"/>
      <c r="DCL994" s="124"/>
      <c r="DCM994" s="124"/>
      <c r="DCN994" s="124"/>
      <c r="DCO994" s="124"/>
      <c r="DCP994" s="124"/>
      <c r="DCQ994" s="124"/>
      <c r="DCR994" s="124"/>
      <c r="DCS994" s="124"/>
      <c r="DCT994" s="124"/>
      <c r="DCU994" s="124"/>
      <c r="DCV994" s="124"/>
      <c r="DCW994" s="124"/>
      <c r="DCX994" s="124"/>
      <c r="DCY994" s="124"/>
      <c r="DCZ994" s="124"/>
      <c r="DDA994" s="124"/>
      <c r="DDB994" s="124"/>
      <c r="DDC994" s="124"/>
      <c r="DDD994" s="124"/>
      <c r="DDE994" s="124"/>
      <c r="DDF994" s="124"/>
      <c r="DDG994" s="124"/>
      <c r="DDH994" s="124"/>
      <c r="DDI994" s="124"/>
      <c r="DDJ994" s="124"/>
      <c r="DDK994" s="124"/>
      <c r="DDL994" s="124"/>
      <c r="DDM994" s="124"/>
      <c r="DDN994" s="124"/>
      <c r="DDO994" s="124"/>
      <c r="DDP994" s="124"/>
      <c r="DDQ994" s="124"/>
      <c r="DDR994" s="124"/>
      <c r="DDS994" s="124"/>
      <c r="DDT994" s="124"/>
      <c r="DDU994" s="124"/>
      <c r="DDV994" s="124"/>
      <c r="DDW994" s="124"/>
      <c r="DDX994" s="124"/>
      <c r="DDY994" s="124"/>
      <c r="DDZ994" s="124"/>
      <c r="DEA994" s="124"/>
      <c r="DEB994" s="124"/>
      <c r="DEC994" s="124"/>
      <c r="DED994" s="124"/>
      <c r="DEE994" s="124"/>
      <c r="DEF994" s="124"/>
      <c r="DEG994" s="124"/>
      <c r="DEH994" s="124"/>
      <c r="DEI994" s="124"/>
      <c r="DEJ994" s="124"/>
      <c r="DEK994" s="124"/>
      <c r="DEL994" s="124"/>
      <c r="DEM994" s="124"/>
      <c r="DEN994" s="124"/>
      <c r="DEO994" s="124"/>
      <c r="DEP994" s="124"/>
      <c r="DEQ994" s="124"/>
      <c r="DER994" s="124"/>
      <c r="DES994" s="124"/>
      <c r="DET994" s="124"/>
      <c r="DEU994" s="124"/>
      <c r="DEV994" s="124"/>
      <c r="DEW994" s="124"/>
      <c r="DEX994" s="124"/>
      <c r="DEY994" s="124"/>
      <c r="DEZ994" s="124"/>
      <c r="DFA994" s="124"/>
      <c r="DFB994" s="124"/>
      <c r="DFC994" s="124"/>
      <c r="DFD994" s="124"/>
      <c r="DFE994" s="124"/>
      <c r="DFF994" s="124"/>
      <c r="DFG994" s="124"/>
      <c r="DFH994" s="124"/>
      <c r="DFI994" s="124"/>
      <c r="DFJ994" s="124"/>
      <c r="DFK994" s="124"/>
      <c r="DFL994" s="124"/>
      <c r="DFM994" s="124"/>
      <c r="DFN994" s="124"/>
      <c r="DFO994" s="124"/>
      <c r="DFP994" s="124"/>
      <c r="DFQ994" s="124"/>
      <c r="DFR994" s="124"/>
      <c r="DFS994" s="124"/>
      <c r="DFT994" s="124"/>
      <c r="DFU994" s="124"/>
      <c r="DFV994" s="124"/>
      <c r="DFW994" s="124"/>
      <c r="DFX994" s="124"/>
      <c r="DFY994" s="124"/>
      <c r="DFZ994" s="124"/>
      <c r="DGA994" s="124"/>
      <c r="DGB994" s="124"/>
      <c r="DGC994" s="124"/>
      <c r="DGD994" s="124"/>
      <c r="DGE994" s="124"/>
      <c r="DGF994" s="124"/>
      <c r="DGG994" s="124"/>
      <c r="DGH994" s="124"/>
      <c r="DGI994" s="124"/>
      <c r="DGJ994" s="124"/>
      <c r="DGK994" s="124"/>
      <c r="DGL994" s="124"/>
      <c r="DGM994" s="124"/>
      <c r="DGN994" s="124"/>
      <c r="DGO994" s="124"/>
      <c r="DGP994" s="124"/>
      <c r="DGQ994" s="124"/>
      <c r="DGR994" s="124"/>
      <c r="DGS994" s="124"/>
      <c r="DGT994" s="124"/>
      <c r="DGU994" s="124"/>
      <c r="DGV994" s="124"/>
      <c r="DGW994" s="124"/>
      <c r="DGX994" s="124"/>
      <c r="DGY994" s="124"/>
      <c r="DGZ994" s="124"/>
      <c r="DHA994" s="124"/>
      <c r="DHB994" s="124"/>
      <c r="DHC994" s="124"/>
      <c r="DHD994" s="124"/>
      <c r="DHE994" s="124"/>
      <c r="DHF994" s="124"/>
      <c r="DHG994" s="124"/>
      <c r="DHH994" s="124"/>
      <c r="DHI994" s="124"/>
      <c r="DHJ994" s="124"/>
      <c r="DHK994" s="124"/>
      <c r="DHL994" s="124"/>
      <c r="DHM994" s="124"/>
      <c r="DHN994" s="124"/>
      <c r="DHO994" s="124"/>
      <c r="DHP994" s="124"/>
      <c r="DHQ994" s="124"/>
      <c r="DHR994" s="124"/>
      <c r="DHS994" s="124"/>
      <c r="DHT994" s="124"/>
      <c r="DHU994" s="124"/>
      <c r="DHV994" s="124"/>
      <c r="DHW994" s="124"/>
      <c r="DHX994" s="124"/>
      <c r="DHY994" s="124"/>
      <c r="DHZ994" s="124"/>
      <c r="DIA994" s="124"/>
      <c r="DIB994" s="124"/>
      <c r="DIC994" s="124"/>
      <c r="DID994" s="124"/>
      <c r="DIE994" s="124"/>
      <c r="DIF994" s="124"/>
      <c r="DIG994" s="124"/>
      <c r="DIH994" s="124"/>
      <c r="DII994" s="124"/>
      <c r="DIJ994" s="124"/>
      <c r="DIK994" s="124"/>
      <c r="DIL994" s="124"/>
      <c r="DIM994" s="124"/>
      <c r="DIN994" s="124"/>
      <c r="DIO994" s="124"/>
      <c r="DIP994" s="124"/>
      <c r="DIQ994" s="124"/>
      <c r="DIR994" s="124"/>
      <c r="DIS994" s="124"/>
      <c r="DIT994" s="124"/>
      <c r="DIU994" s="124"/>
      <c r="DIV994" s="124"/>
      <c r="DIW994" s="124"/>
      <c r="DIX994" s="124"/>
      <c r="DIY994" s="124"/>
      <c r="DIZ994" s="124"/>
      <c r="DJA994" s="124"/>
      <c r="DJB994" s="124"/>
      <c r="DJC994" s="124"/>
      <c r="DJD994" s="124"/>
      <c r="DJE994" s="124"/>
      <c r="DJF994" s="124"/>
      <c r="DJG994" s="124"/>
      <c r="DJH994" s="124"/>
      <c r="DJI994" s="124"/>
      <c r="DJJ994" s="124"/>
      <c r="DJK994" s="124"/>
      <c r="DJL994" s="124"/>
      <c r="DJM994" s="124"/>
      <c r="DJN994" s="124"/>
      <c r="DJO994" s="124"/>
      <c r="DJP994" s="124"/>
      <c r="DJQ994" s="124"/>
      <c r="DJR994" s="124"/>
      <c r="DJS994" s="124"/>
      <c r="DJT994" s="124"/>
      <c r="DJU994" s="124"/>
      <c r="DJV994" s="124"/>
      <c r="DJW994" s="124"/>
      <c r="DJX994" s="124"/>
      <c r="DJY994" s="124"/>
      <c r="DJZ994" s="124"/>
      <c r="DKA994" s="124"/>
      <c r="DKB994" s="124"/>
      <c r="DKC994" s="124"/>
      <c r="DKD994" s="124"/>
      <c r="DKE994" s="124"/>
      <c r="DKF994" s="124"/>
      <c r="DKG994" s="124"/>
      <c r="DKH994" s="124"/>
      <c r="DKI994" s="124"/>
      <c r="DKJ994" s="124"/>
      <c r="DKK994" s="124"/>
      <c r="DKL994" s="124"/>
      <c r="DKM994" s="124"/>
      <c r="DKN994" s="124"/>
      <c r="DKO994" s="124"/>
      <c r="DKP994" s="124"/>
      <c r="DKQ994" s="124"/>
      <c r="DKR994" s="124"/>
      <c r="DKS994" s="124"/>
      <c r="DKT994" s="124"/>
      <c r="DKU994" s="124"/>
      <c r="DKV994" s="124"/>
      <c r="DKW994" s="124"/>
      <c r="DKX994" s="124"/>
      <c r="DKY994" s="124"/>
      <c r="DKZ994" s="124"/>
      <c r="DLA994" s="124"/>
      <c r="DLB994" s="124"/>
      <c r="DLC994" s="124"/>
      <c r="DLD994" s="124"/>
      <c r="DLE994" s="124"/>
      <c r="DLF994" s="124"/>
      <c r="DLG994" s="124"/>
      <c r="DLH994" s="124"/>
      <c r="DLI994" s="124"/>
      <c r="DLJ994" s="124"/>
      <c r="DLK994" s="124"/>
      <c r="DLL994" s="124"/>
      <c r="DLM994" s="124"/>
      <c r="DLN994" s="124"/>
      <c r="DLO994" s="124"/>
      <c r="DLP994" s="124"/>
      <c r="DLQ994" s="124"/>
      <c r="DLR994" s="124"/>
      <c r="DLS994" s="124"/>
      <c r="DLT994" s="124"/>
      <c r="DLU994" s="124"/>
      <c r="DLV994" s="124"/>
      <c r="DLW994" s="124"/>
      <c r="DLX994" s="124"/>
      <c r="DLY994" s="124"/>
      <c r="DLZ994" s="124"/>
      <c r="DMA994" s="124"/>
      <c r="DMB994" s="124"/>
      <c r="DMC994" s="124"/>
      <c r="DMD994" s="124"/>
      <c r="DME994" s="124"/>
      <c r="DMF994" s="124"/>
      <c r="DMG994" s="124"/>
      <c r="DMH994" s="124"/>
      <c r="DMI994" s="124"/>
      <c r="DMJ994" s="124"/>
      <c r="DMK994" s="124"/>
      <c r="DML994" s="124"/>
      <c r="DMM994" s="124"/>
      <c r="DMN994" s="124"/>
      <c r="DMO994" s="124"/>
      <c r="DMP994" s="124"/>
      <c r="DMQ994" s="124"/>
      <c r="DMR994" s="124"/>
      <c r="DMS994" s="124"/>
      <c r="DMT994" s="124"/>
      <c r="DMU994" s="124"/>
      <c r="DMV994" s="124"/>
      <c r="DMW994" s="124"/>
      <c r="DMX994" s="124"/>
      <c r="DMY994" s="124"/>
      <c r="DMZ994" s="124"/>
      <c r="DNA994" s="124"/>
      <c r="DNB994" s="124"/>
      <c r="DNC994" s="124"/>
      <c r="DND994" s="124"/>
      <c r="DNE994" s="124"/>
      <c r="DNF994" s="124"/>
      <c r="DNG994" s="124"/>
      <c r="DNH994" s="124"/>
      <c r="DNI994" s="124"/>
      <c r="DNJ994" s="124"/>
      <c r="DNK994" s="124"/>
      <c r="DNL994" s="124"/>
      <c r="DNM994" s="124"/>
      <c r="DNN994" s="124"/>
      <c r="DNO994" s="124"/>
      <c r="DNP994" s="124"/>
      <c r="DNQ994" s="124"/>
      <c r="DNR994" s="124"/>
      <c r="DNS994" s="124"/>
      <c r="DNT994" s="124"/>
      <c r="DNU994" s="124"/>
      <c r="DNV994" s="124"/>
      <c r="DNW994" s="124"/>
      <c r="DNX994" s="124"/>
      <c r="DNY994" s="124"/>
      <c r="DNZ994" s="124"/>
      <c r="DOA994" s="124"/>
      <c r="DOB994" s="124"/>
      <c r="DOC994" s="124"/>
      <c r="DOD994" s="124"/>
      <c r="DOE994" s="124"/>
      <c r="DOF994" s="124"/>
      <c r="DOG994" s="124"/>
      <c r="DOH994" s="124"/>
      <c r="DOI994" s="124"/>
      <c r="DOJ994" s="124"/>
      <c r="DOK994" s="124"/>
      <c r="DOL994" s="124"/>
      <c r="DOM994" s="124"/>
      <c r="DON994" s="124"/>
      <c r="DOO994" s="124"/>
      <c r="DOP994" s="124"/>
      <c r="DOQ994" s="124"/>
      <c r="DOR994" s="124"/>
      <c r="DOS994" s="124"/>
      <c r="DOT994" s="124"/>
      <c r="DOU994" s="124"/>
      <c r="DOV994" s="124"/>
      <c r="DOW994" s="124"/>
      <c r="DOX994" s="124"/>
      <c r="DOY994" s="124"/>
      <c r="DOZ994" s="124"/>
      <c r="DPA994" s="124"/>
      <c r="DPB994" s="124"/>
      <c r="DPC994" s="124"/>
      <c r="DPD994" s="124"/>
      <c r="DPE994" s="124"/>
      <c r="DPF994" s="124"/>
      <c r="DPG994" s="124"/>
      <c r="DPH994" s="124"/>
      <c r="DPI994" s="124"/>
      <c r="DPJ994" s="124"/>
      <c r="DPK994" s="124"/>
      <c r="DPL994" s="124"/>
      <c r="DPM994" s="124"/>
      <c r="DPN994" s="124"/>
      <c r="DPO994" s="124"/>
      <c r="DPP994" s="124"/>
      <c r="DPQ994" s="124"/>
      <c r="DPR994" s="124"/>
      <c r="DPS994" s="124"/>
      <c r="DPT994" s="124"/>
      <c r="DPU994" s="124"/>
      <c r="DPV994" s="124"/>
      <c r="DPW994" s="124"/>
      <c r="DPX994" s="124"/>
      <c r="DPY994" s="124"/>
      <c r="DPZ994" s="124"/>
      <c r="DQA994" s="124"/>
      <c r="DQB994" s="124"/>
      <c r="DQC994" s="124"/>
      <c r="DQD994" s="124"/>
      <c r="DQE994" s="124"/>
      <c r="DQF994" s="124"/>
      <c r="DQG994" s="124"/>
      <c r="DQH994" s="124"/>
      <c r="DQI994" s="124"/>
      <c r="DQJ994" s="124"/>
      <c r="DQK994" s="124"/>
      <c r="DQL994" s="124"/>
      <c r="DQM994" s="124"/>
      <c r="DQN994" s="124"/>
      <c r="DQO994" s="124"/>
      <c r="DQP994" s="124"/>
      <c r="DQQ994" s="124"/>
      <c r="DQR994" s="124"/>
      <c r="DQS994" s="124"/>
      <c r="DQT994" s="124"/>
      <c r="DQU994" s="124"/>
      <c r="DQV994" s="124"/>
      <c r="DQW994" s="124"/>
      <c r="DQX994" s="124"/>
      <c r="DQY994" s="124"/>
      <c r="DQZ994" s="124"/>
      <c r="DRA994" s="124"/>
      <c r="DRB994" s="124"/>
      <c r="DRC994" s="124"/>
      <c r="DRD994" s="124"/>
      <c r="DRE994" s="124"/>
      <c r="DRF994" s="124"/>
      <c r="DRG994" s="124"/>
      <c r="DRH994" s="124"/>
      <c r="DRI994" s="124"/>
      <c r="DRJ994" s="124"/>
      <c r="DRK994" s="124"/>
      <c r="DRL994" s="124"/>
      <c r="DRM994" s="124"/>
      <c r="DRN994" s="124"/>
      <c r="DRO994" s="124"/>
      <c r="DRP994" s="124"/>
      <c r="DRQ994" s="124"/>
      <c r="DRR994" s="124"/>
      <c r="DRS994" s="124"/>
      <c r="DRT994" s="124"/>
      <c r="DRU994" s="124"/>
      <c r="DRV994" s="124"/>
      <c r="DRW994" s="124"/>
      <c r="DRX994" s="124"/>
      <c r="DRY994" s="124"/>
      <c r="DRZ994" s="124"/>
      <c r="DSA994" s="124"/>
      <c r="DSB994" s="124"/>
      <c r="DSC994" s="124"/>
      <c r="DSD994" s="124"/>
      <c r="DSE994" s="124"/>
      <c r="DSF994" s="124"/>
      <c r="DSG994" s="124"/>
      <c r="DSH994" s="124"/>
      <c r="DSI994" s="124"/>
      <c r="DSJ994" s="124"/>
      <c r="DSK994" s="124"/>
      <c r="DSL994" s="124"/>
      <c r="DSM994" s="124"/>
      <c r="DSN994" s="124"/>
      <c r="DSO994" s="124"/>
      <c r="DSP994" s="124"/>
      <c r="DSQ994" s="124"/>
      <c r="DSR994" s="124"/>
      <c r="DSS994" s="124"/>
      <c r="DST994" s="124"/>
      <c r="DSU994" s="124"/>
      <c r="DSV994" s="124"/>
      <c r="DSW994" s="124"/>
      <c r="DSX994" s="124"/>
      <c r="DSY994" s="124"/>
      <c r="DSZ994" s="124"/>
      <c r="DTA994" s="124"/>
      <c r="DTB994" s="124"/>
      <c r="DTC994" s="124"/>
      <c r="DTD994" s="124"/>
      <c r="DTE994" s="124"/>
      <c r="DTF994" s="124"/>
      <c r="DTG994" s="124"/>
      <c r="DTH994" s="124"/>
      <c r="DTI994" s="124"/>
      <c r="DTJ994" s="124"/>
      <c r="DTK994" s="124"/>
      <c r="DTL994" s="124"/>
      <c r="DTM994" s="124"/>
      <c r="DTN994" s="124"/>
      <c r="DTO994" s="124"/>
      <c r="DTP994" s="124"/>
      <c r="DTQ994" s="124"/>
      <c r="DTR994" s="124"/>
      <c r="DTS994" s="124"/>
      <c r="DTT994" s="124"/>
      <c r="DTU994" s="124"/>
      <c r="DTV994" s="124"/>
      <c r="DTW994" s="124"/>
      <c r="DTX994" s="124"/>
      <c r="DTY994" s="124"/>
      <c r="DTZ994" s="124"/>
      <c r="DUA994" s="124"/>
      <c r="DUB994" s="124"/>
      <c r="DUC994" s="124"/>
      <c r="DUD994" s="124"/>
      <c r="DUE994" s="124"/>
      <c r="DUF994" s="124"/>
      <c r="DUG994" s="124"/>
      <c r="DUH994" s="124"/>
      <c r="DUI994" s="124"/>
      <c r="DUJ994" s="124"/>
      <c r="DUK994" s="124"/>
      <c r="DUL994" s="124"/>
      <c r="DUM994" s="124"/>
      <c r="DUN994" s="124"/>
      <c r="DUO994" s="124"/>
      <c r="DUP994" s="124"/>
      <c r="DUQ994" s="124"/>
      <c r="DUR994" s="124"/>
      <c r="DUS994" s="124"/>
      <c r="DUT994" s="124"/>
      <c r="DUU994" s="124"/>
      <c r="DUV994" s="124"/>
      <c r="DUW994" s="124"/>
      <c r="DUX994" s="124"/>
      <c r="DUY994" s="124"/>
      <c r="DUZ994" s="124"/>
      <c r="DVA994" s="124"/>
      <c r="DVB994" s="124"/>
      <c r="DVC994" s="124"/>
      <c r="DVD994" s="124"/>
      <c r="DVE994" s="124"/>
      <c r="DVF994" s="124"/>
      <c r="DVG994" s="124"/>
      <c r="DVH994" s="124"/>
      <c r="DVI994" s="124"/>
      <c r="DVJ994" s="124"/>
      <c r="DVK994" s="124"/>
      <c r="DVL994" s="124"/>
      <c r="DVM994" s="124"/>
      <c r="DVN994" s="124"/>
      <c r="DVO994" s="124"/>
      <c r="DVP994" s="124"/>
      <c r="DVQ994" s="124"/>
      <c r="DVR994" s="124"/>
      <c r="DVS994" s="124"/>
      <c r="DVT994" s="124"/>
      <c r="DVU994" s="124"/>
      <c r="DVV994" s="124"/>
      <c r="DVW994" s="124"/>
      <c r="DVX994" s="124"/>
      <c r="DVY994" s="124"/>
      <c r="DVZ994" s="124"/>
      <c r="DWA994" s="124"/>
      <c r="DWB994" s="124"/>
      <c r="DWC994" s="124"/>
      <c r="DWD994" s="124"/>
      <c r="DWE994" s="124"/>
      <c r="DWF994" s="124"/>
      <c r="DWG994" s="124"/>
      <c r="DWH994" s="124"/>
      <c r="DWI994" s="124"/>
      <c r="DWJ994" s="124"/>
      <c r="DWK994" s="124"/>
      <c r="DWL994" s="124"/>
      <c r="DWM994" s="124"/>
      <c r="DWN994" s="124"/>
      <c r="DWO994" s="124"/>
      <c r="DWP994" s="124"/>
      <c r="DWQ994" s="124"/>
      <c r="DWR994" s="124"/>
      <c r="DWS994" s="124"/>
      <c r="DWT994" s="124"/>
      <c r="DWU994" s="124"/>
      <c r="DWV994" s="124"/>
      <c r="DWW994" s="124"/>
      <c r="DWX994" s="124"/>
      <c r="DWY994" s="124"/>
      <c r="DWZ994" s="124"/>
      <c r="DXA994" s="124"/>
      <c r="DXB994" s="124"/>
      <c r="DXC994" s="124"/>
      <c r="DXD994" s="124"/>
      <c r="DXE994" s="124"/>
      <c r="DXF994" s="124"/>
      <c r="DXG994" s="124"/>
      <c r="DXH994" s="124"/>
      <c r="DXI994" s="124"/>
      <c r="DXJ994" s="124"/>
      <c r="DXK994" s="124"/>
      <c r="DXL994" s="124"/>
      <c r="DXM994" s="124"/>
      <c r="DXN994" s="124"/>
      <c r="DXO994" s="124"/>
      <c r="DXP994" s="124"/>
      <c r="DXQ994" s="124"/>
      <c r="DXR994" s="124"/>
      <c r="DXS994" s="124"/>
      <c r="DXT994" s="124"/>
      <c r="DXU994" s="124"/>
      <c r="DXV994" s="124"/>
      <c r="DXW994" s="124"/>
      <c r="DXX994" s="124"/>
      <c r="DXY994" s="124"/>
      <c r="DXZ994" s="124"/>
      <c r="DYA994" s="124"/>
      <c r="DYB994" s="124"/>
      <c r="DYC994" s="124"/>
      <c r="DYD994" s="124"/>
      <c r="DYE994" s="124"/>
      <c r="DYF994" s="124"/>
      <c r="DYG994" s="124"/>
      <c r="DYH994" s="124"/>
      <c r="DYI994" s="124"/>
      <c r="DYJ994" s="124"/>
      <c r="DYK994" s="124"/>
      <c r="DYL994" s="124"/>
      <c r="DYM994" s="124"/>
      <c r="DYN994" s="124"/>
      <c r="DYO994" s="124"/>
      <c r="DYP994" s="124"/>
      <c r="DYQ994" s="124"/>
      <c r="DYR994" s="124"/>
      <c r="DYS994" s="124"/>
      <c r="DYT994" s="124"/>
      <c r="DYU994" s="124"/>
      <c r="DYV994" s="124"/>
      <c r="DYW994" s="124"/>
      <c r="DYX994" s="124"/>
      <c r="DYY994" s="124"/>
      <c r="DYZ994" s="124"/>
      <c r="DZA994" s="124"/>
      <c r="DZB994" s="124"/>
      <c r="DZC994" s="124"/>
      <c r="DZD994" s="124"/>
      <c r="DZE994" s="124"/>
      <c r="DZF994" s="124"/>
      <c r="DZG994" s="124"/>
      <c r="DZH994" s="124"/>
      <c r="DZI994" s="124"/>
      <c r="DZJ994" s="124"/>
      <c r="DZK994" s="124"/>
      <c r="DZL994" s="124"/>
      <c r="DZM994" s="124"/>
      <c r="DZN994" s="124"/>
      <c r="DZO994" s="124"/>
      <c r="DZP994" s="124"/>
      <c r="DZQ994" s="124"/>
      <c r="DZR994" s="124"/>
      <c r="DZS994" s="124"/>
      <c r="DZT994" s="124"/>
      <c r="DZU994" s="124"/>
      <c r="DZV994" s="124"/>
      <c r="DZW994" s="124"/>
      <c r="DZX994" s="124"/>
      <c r="DZY994" s="124"/>
      <c r="DZZ994" s="124"/>
      <c r="EAA994" s="124"/>
      <c r="EAB994" s="124"/>
      <c r="EAC994" s="124"/>
      <c r="EAD994" s="124"/>
      <c r="EAE994" s="124"/>
      <c r="EAF994" s="124"/>
      <c r="EAG994" s="124"/>
      <c r="EAH994" s="124"/>
      <c r="EAI994" s="124"/>
      <c r="EAJ994" s="124"/>
      <c r="EAK994" s="124"/>
      <c r="EAL994" s="124"/>
      <c r="EAM994" s="124"/>
      <c r="EAN994" s="124"/>
      <c r="EAO994" s="124"/>
      <c r="EAP994" s="124"/>
      <c r="EAQ994" s="124"/>
      <c r="EAR994" s="124"/>
      <c r="EAS994" s="124"/>
      <c r="EAT994" s="124"/>
      <c r="EAU994" s="124"/>
      <c r="EAV994" s="124"/>
      <c r="EAW994" s="124"/>
      <c r="EAX994" s="124"/>
      <c r="EAY994" s="124"/>
      <c r="EAZ994" s="124"/>
      <c r="EBA994" s="124"/>
      <c r="EBB994" s="124"/>
      <c r="EBC994" s="124"/>
      <c r="EBD994" s="124"/>
      <c r="EBE994" s="124"/>
      <c r="EBF994" s="124"/>
      <c r="EBG994" s="124"/>
      <c r="EBH994" s="124"/>
      <c r="EBI994" s="124"/>
      <c r="EBJ994" s="124"/>
      <c r="EBK994" s="124"/>
      <c r="EBL994" s="124"/>
      <c r="EBM994" s="124"/>
      <c r="EBN994" s="124"/>
      <c r="EBO994" s="124"/>
      <c r="EBP994" s="124"/>
      <c r="EBQ994" s="124"/>
      <c r="EBR994" s="124"/>
      <c r="EBS994" s="124"/>
      <c r="EBT994" s="124"/>
      <c r="EBU994" s="124"/>
      <c r="EBV994" s="124"/>
      <c r="EBW994" s="124"/>
      <c r="EBX994" s="124"/>
      <c r="EBY994" s="124"/>
      <c r="EBZ994" s="124"/>
      <c r="ECA994" s="124"/>
      <c r="ECB994" s="124"/>
      <c r="ECC994" s="124"/>
      <c r="ECD994" s="124"/>
      <c r="ECE994" s="124"/>
      <c r="ECF994" s="124"/>
      <c r="ECG994" s="124"/>
      <c r="ECH994" s="124"/>
      <c r="ECI994" s="124"/>
      <c r="ECJ994" s="124"/>
      <c r="ECK994" s="124"/>
      <c r="ECL994" s="124"/>
      <c r="ECM994" s="124"/>
      <c r="ECN994" s="124"/>
      <c r="ECO994" s="124"/>
      <c r="ECP994" s="124"/>
      <c r="ECQ994" s="124"/>
      <c r="ECR994" s="124"/>
      <c r="ECS994" s="124"/>
      <c r="ECT994" s="124"/>
      <c r="ECU994" s="124"/>
      <c r="ECV994" s="124"/>
      <c r="ECW994" s="124"/>
      <c r="ECX994" s="124"/>
      <c r="ECY994" s="124"/>
      <c r="ECZ994" s="124"/>
      <c r="EDA994" s="124"/>
      <c r="EDB994" s="124"/>
      <c r="EDC994" s="124"/>
      <c r="EDD994" s="124"/>
      <c r="EDE994" s="124"/>
      <c r="EDF994" s="124"/>
      <c r="EDG994" s="124"/>
      <c r="EDH994" s="124"/>
      <c r="EDI994" s="124"/>
      <c r="EDJ994" s="124"/>
      <c r="EDK994" s="124"/>
      <c r="EDL994" s="124"/>
      <c r="EDM994" s="124"/>
      <c r="EDN994" s="124"/>
      <c r="EDO994" s="124"/>
      <c r="EDP994" s="124"/>
      <c r="EDQ994" s="124"/>
      <c r="EDR994" s="124"/>
      <c r="EDS994" s="124"/>
      <c r="EDT994" s="124"/>
      <c r="EDU994" s="124"/>
      <c r="EDV994" s="124"/>
      <c r="EDW994" s="124"/>
      <c r="EDX994" s="124"/>
      <c r="EDY994" s="124"/>
      <c r="EDZ994" s="124"/>
      <c r="EEA994" s="124"/>
      <c r="EEB994" s="124"/>
      <c r="EEC994" s="124"/>
      <c r="EED994" s="124"/>
      <c r="EEE994" s="124"/>
      <c r="EEF994" s="124"/>
      <c r="EEG994" s="124"/>
      <c r="EEH994" s="124"/>
      <c r="EEI994" s="124"/>
      <c r="EEJ994" s="124"/>
      <c r="EEK994" s="124"/>
      <c r="EEL994" s="124"/>
      <c r="EEM994" s="124"/>
      <c r="EEN994" s="124"/>
      <c r="EEO994" s="124"/>
      <c r="EEP994" s="124"/>
      <c r="EEQ994" s="124"/>
      <c r="EER994" s="124"/>
      <c r="EES994" s="124"/>
      <c r="EET994" s="124"/>
      <c r="EEU994" s="124"/>
      <c r="EEV994" s="124"/>
      <c r="EEW994" s="124"/>
      <c r="EEX994" s="124"/>
      <c r="EEY994" s="124"/>
      <c r="EEZ994" s="124"/>
      <c r="EFA994" s="124"/>
      <c r="EFB994" s="124"/>
      <c r="EFC994" s="124"/>
      <c r="EFD994" s="124"/>
      <c r="EFE994" s="124"/>
      <c r="EFF994" s="124"/>
      <c r="EFG994" s="124"/>
      <c r="EFH994" s="124"/>
      <c r="EFI994" s="124"/>
      <c r="EFJ994" s="124"/>
      <c r="EFK994" s="124"/>
      <c r="EFL994" s="124"/>
      <c r="EFM994" s="124"/>
      <c r="EFN994" s="124"/>
      <c r="EFO994" s="124"/>
      <c r="EFP994" s="124"/>
      <c r="EFQ994" s="124"/>
      <c r="EFR994" s="124"/>
      <c r="EFS994" s="124"/>
      <c r="EFT994" s="124"/>
      <c r="EFU994" s="124"/>
      <c r="EFV994" s="124"/>
      <c r="EFW994" s="124"/>
      <c r="EFX994" s="124"/>
      <c r="EFY994" s="124"/>
      <c r="EFZ994" s="124"/>
      <c r="EGA994" s="124"/>
      <c r="EGB994" s="124"/>
      <c r="EGC994" s="124"/>
      <c r="EGD994" s="124"/>
      <c r="EGE994" s="124"/>
      <c r="EGF994" s="124"/>
      <c r="EGG994" s="124"/>
      <c r="EGH994" s="124"/>
      <c r="EGI994" s="124"/>
      <c r="EGJ994" s="124"/>
      <c r="EGK994" s="124"/>
      <c r="EGL994" s="124"/>
      <c r="EGM994" s="124"/>
      <c r="EGN994" s="124"/>
      <c r="EGO994" s="124"/>
      <c r="EGP994" s="124"/>
      <c r="EGQ994" s="124"/>
      <c r="EGR994" s="124"/>
      <c r="EGS994" s="124"/>
      <c r="EGT994" s="124"/>
      <c r="EGU994" s="124"/>
      <c r="EGV994" s="124"/>
      <c r="EGW994" s="124"/>
      <c r="EGX994" s="124"/>
      <c r="EGY994" s="124"/>
      <c r="EGZ994" s="124"/>
      <c r="EHA994" s="124"/>
      <c r="EHB994" s="124"/>
      <c r="EHC994" s="124"/>
      <c r="EHD994" s="124"/>
      <c r="EHE994" s="124"/>
      <c r="EHF994" s="124"/>
      <c r="EHG994" s="124"/>
      <c r="EHH994" s="124"/>
      <c r="EHI994" s="124"/>
      <c r="EHJ994" s="124"/>
      <c r="EHK994" s="124"/>
      <c r="EHL994" s="124"/>
      <c r="EHM994" s="124"/>
      <c r="EHN994" s="124"/>
      <c r="EHO994" s="124"/>
      <c r="EHP994" s="124"/>
      <c r="EHQ994" s="124"/>
      <c r="EHR994" s="124"/>
      <c r="EHS994" s="124"/>
      <c r="EHT994" s="124"/>
      <c r="EHU994" s="124"/>
      <c r="EHV994" s="124"/>
      <c r="EHW994" s="124"/>
      <c r="EHX994" s="124"/>
      <c r="EHY994" s="124"/>
      <c r="EHZ994" s="124"/>
      <c r="EIA994" s="124"/>
      <c r="EIB994" s="124"/>
      <c r="EIC994" s="124"/>
      <c r="EID994" s="124"/>
      <c r="EIE994" s="124"/>
      <c r="EIF994" s="124"/>
      <c r="EIG994" s="124"/>
      <c r="EIH994" s="124"/>
      <c r="EII994" s="124"/>
      <c r="EIJ994" s="124"/>
      <c r="EIK994" s="124"/>
      <c r="EIL994" s="124"/>
      <c r="EIM994" s="124"/>
      <c r="EIN994" s="124"/>
      <c r="EIO994" s="124"/>
      <c r="EIP994" s="124"/>
      <c r="EIQ994" s="124"/>
      <c r="EIR994" s="124"/>
      <c r="EIS994" s="124"/>
      <c r="EIT994" s="124"/>
      <c r="EIU994" s="124"/>
      <c r="EIV994" s="124"/>
      <c r="EIW994" s="124"/>
      <c r="EIX994" s="124"/>
      <c r="EIY994" s="124"/>
      <c r="EIZ994" s="124"/>
      <c r="EJA994" s="124"/>
      <c r="EJB994" s="124"/>
      <c r="EJC994" s="124"/>
      <c r="EJD994" s="124"/>
      <c r="EJE994" s="124"/>
      <c r="EJF994" s="124"/>
      <c r="EJG994" s="124"/>
      <c r="EJH994" s="124"/>
      <c r="EJI994" s="124"/>
      <c r="EJJ994" s="124"/>
      <c r="EJK994" s="124"/>
      <c r="EJL994" s="124"/>
      <c r="EJM994" s="124"/>
      <c r="EJN994" s="124"/>
      <c r="EJO994" s="124"/>
      <c r="EJP994" s="124"/>
      <c r="EJQ994" s="124"/>
      <c r="EJR994" s="124"/>
      <c r="EJS994" s="124"/>
      <c r="EJT994" s="124"/>
      <c r="EJU994" s="124"/>
      <c r="EJV994" s="124"/>
      <c r="EJW994" s="124"/>
      <c r="EJX994" s="124"/>
      <c r="EJY994" s="124"/>
      <c r="EJZ994" s="124"/>
      <c r="EKA994" s="124"/>
      <c r="EKB994" s="124"/>
      <c r="EKC994" s="124"/>
      <c r="EKD994" s="124"/>
      <c r="EKE994" s="124"/>
      <c r="EKF994" s="124"/>
      <c r="EKG994" s="124"/>
      <c r="EKH994" s="124"/>
      <c r="EKI994" s="124"/>
      <c r="EKJ994" s="124"/>
      <c r="EKK994" s="124"/>
      <c r="EKL994" s="124"/>
      <c r="EKM994" s="124"/>
      <c r="EKN994" s="124"/>
      <c r="EKO994" s="124"/>
      <c r="EKP994" s="124"/>
      <c r="EKQ994" s="124"/>
      <c r="EKR994" s="124"/>
      <c r="EKS994" s="124"/>
      <c r="EKT994" s="124"/>
      <c r="EKU994" s="124"/>
      <c r="EKV994" s="124"/>
      <c r="EKW994" s="124"/>
      <c r="EKX994" s="124"/>
      <c r="EKY994" s="124"/>
      <c r="EKZ994" s="124"/>
      <c r="ELA994" s="124"/>
      <c r="ELB994" s="124"/>
      <c r="ELC994" s="124"/>
      <c r="ELD994" s="124"/>
      <c r="ELE994" s="124"/>
      <c r="ELF994" s="124"/>
      <c r="ELG994" s="124"/>
      <c r="ELH994" s="124"/>
      <c r="ELI994" s="124"/>
      <c r="ELJ994" s="124"/>
      <c r="ELK994" s="124"/>
      <c r="ELL994" s="124"/>
      <c r="ELM994" s="124"/>
      <c r="ELN994" s="124"/>
      <c r="ELO994" s="124"/>
      <c r="ELP994" s="124"/>
      <c r="ELQ994" s="124"/>
      <c r="ELR994" s="124"/>
      <c r="ELS994" s="124"/>
      <c r="ELT994" s="124"/>
      <c r="ELU994" s="124"/>
      <c r="ELV994" s="124"/>
      <c r="ELW994" s="124"/>
      <c r="ELX994" s="124"/>
      <c r="ELY994" s="124"/>
      <c r="ELZ994" s="124"/>
      <c r="EMA994" s="124"/>
      <c r="EMB994" s="124"/>
      <c r="EMC994" s="124"/>
      <c r="EMD994" s="124"/>
      <c r="EME994" s="124"/>
      <c r="EMF994" s="124"/>
      <c r="EMG994" s="124"/>
      <c r="EMH994" s="124"/>
      <c r="EMI994" s="124"/>
      <c r="EMJ994" s="124"/>
      <c r="EMK994" s="124"/>
      <c r="EML994" s="124"/>
      <c r="EMM994" s="124"/>
      <c r="EMN994" s="124"/>
      <c r="EMO994" s="124"/>
      <c r="EMP994" s="124"/>
      <c r="EMQ994" s="124"/>
      <c r="EMR994" s="124"/>
      <c r="EMS994" s="124"/>
      <c r="EMT994" s="124"/>
      <c r="EMU994" s="124"/>
      <c r="EMV994" s="124"/>
      <c r="EMW994" s="124"/>
      <c r="EMX994" s="124"/>
      <c r="EMY994" s="124"/>
      <c r="EMZ994" s="124"/>
      <c r="ENA994" s="124"/>
      <c r="ENB994" s="124"/>
      <c r="ENC994" s="124"/>
      <c r="END994" s="124"/>
      <c r="ENE994" s="124"/>
      <c r="ENF994" s="124"/>
      <c r="ENG994" s="124"/>
      <c r="ENH994" s="124"/>
      <c r="ENI994" s="124"/>
      <c r="ENJ994" s="124"/>
      <c r="ENK994" s="124"/>
      <c r="ENL994" s="124"/>
      <c r="ENM994" s="124"/>
      <c r="ENN994" s="124"/>
      <c r="ENO994" s="124"/>
      <c r="ENP994" s="124"/>
      <c r="ENQ994" s="124"/>
      <c r="ENR994" s="124"/>
      <c r="ENS994" s="124"/>
      <c r="ENT994" s="124"/>
      <c r="ENU994" s="124"/>
      <c r="ENV994" s="124"/>
      <c r="ENW994" s="124"/>
      <c r="ENX994" s="124"/>
      <c r="ENY994" s="124"/>
      <c r="ENZ994" s="124"/>
      <c r="EOA994" s="124"/>
      <c r="EOB994" s="124"/>
      <c r="EOC994" s="124"/>
      <c r="EOD994" s="124"/>
      <c r="EOE994" s="124"/>
      <c r="EOF994" s="124"/>
      <c r="EOG994" s="124"/>
      <c r="EOH994" s="124"/>
      <c r="EOI994" s="124"/>
      <c r="EOJ994" s="124"/>
      <c r="EOK994" s="124"/>
      <c r="EOL994" s="124"/>
      <c r="EOM994" s="124"/>
      <c r="EON994" s="124"/>
      <c r="EOO994" s="124"/>
      <c r="EOP994" s="124"/>
      <c r="EOQ994" s="124"/>
      <c r="EOR994" s="124"/>
      <c r="EOS994" s="124"/>
      <c r="EOT994" s="124"/>
      <c r="EOU994" s="124"/>
      <c r="EOV994" s="124"/>
      <c r="EOW994" s="124"/>
      <c r="EOX994" s="124"/>
      <c r="EOY994" s="124"/>
      <c r="EOZ994" s="124"/>
      <c r="EPA994" s="124"/>
      <c r="EPB994" s="124"/>
      <c r="EPC994" s="124"/>
      <c r="EPD994" s="124"/>
      <c r="EPE994" s="124"/>
      <c r="EPF994" s="124"/>
      <c r="EPG994" s="124"/>
      <c r="EPH994" s="124"/>
      <c r="EPI994" s="124"/>
      <c r="EPJ994" s="124"/>
      <c r="EPK994" s="124"/>
      <c r="EPL994" s="124"/>
      <c r="EPM994" s="124"/>
      <c r="EPN994" s="124"/>
      <c r="EPO994" s="124"/>
      <c r="EPP994" s="124"/>
      <c r="EPQ994" s="124"/>
      <c r="EPR994" s="124"/>
      <c r="EPS994" s="124"/>
      <c r="EPT994" s="124"/>
      <c r="EPU994" s="124"/>
      <c r="EPV994" s="124"/>
      <c r="EPW994" s="124"/>
      <c r="EPX994" s="124"/>
      <c r="EPY994" s="124"/>
      <c r="EPZ994" s="124"/>
      <c r="EQA994" s="124"/>
      <c r="EQB994" s="124"/>
      <c r="EQC994" s="124"/>
      <c r="EQD994" s="124"/>
      <c r="EQE994" s="124"/>
      <c r="EQF994" s="124"/>
      <c r="EQG994" s="124"/>
      <c r="EQH994" s="124"/>
      <c r="EQI994" s="124"/>
      <c r="EQJ994" s="124"/>
      <c r="EQK994" s="124"/>
      <c r="EQL994" s="124"/>
      <c r="EQM994" s="124"/>
      <c r="EQN994" s="124"/>
      <c r="EQO994" s="124"/>
      <c r="EQP994" s="124"/>
      <c r="EQQ994" s="124"/>
      <c r="EQR994" s="124"/>
      <c r="EQS994" s="124"/>
      <c r="EQT994" s="124"/>
      <c r="EQU994" s="124"/>
      <c r="EQV994" s="124"/>
      <c r="EQW994" s="124"/>
      <c r="EQX994" s="124"/>
      <c r="EQY994" s="124"/>
      <c r="EQZ994" s="124"/>
      <c r="ERA994" s="124"/>
      <c r="ERB994" s="124"/>
      <c r="ERC994" s="124"/>
      <c r="ERD994" s="124"/>
      <c r="ERE994" s="124"/>
      <c r="ERF994" s="124"/>
      <c r="ERG994" s="124"/>
      <c r="ERH994" s="124"/>
      <c r="ERI994" s="124"/>
      <c r="ERJ994" s="124"/>
      <c r="ERK994" s="124"/>
      <c r="ERL994" s="124"/>
      <c r="ERM994" s="124"/>
      <c r="ERN994" s="124"/>
      <c r="ERO994" s="124"/>
      <c r="ERP994" s="124"/>
      <c r="ERQ994" s="124"/>
      <c r="ERR994" s="124"/>
      <c r="ERS994" s="124"/>
      <c r="ERT994" s="124"/>
      <c r="ERU994" s="124"/>
      <c r="ERV994" s="124"/>
      <c r="ERW994" s="124"/>
      <c r="ERX994" s="124"/>
      <c r="ERY994" s="124"/>
      <c r="ERZ994" s="124"/>
      <c r="ESA994" s="124"/>
      <c r="ESB994" s="124"/>
      <c r="ESC994" s="124"/>
      <c r="ESD994" s="124"/>
      <c r="ESE994" s="124"/>
      <c r="ESF994" s="124"/>
      <c r="ESG994" s="124"/>
      <c r="ESH994" s="124"/>
      <c r="ESI994" s="124"/>
      <c r="ESJ994" s="124"/>
      <c r="ESK994" s="124"/>
      <c r="ESL994" s="124"/>
      <c r="ESM994" s="124"/>
      <c r="ESN994" s="124"/>
      <c r="ESO994" s="124"/>
      <c r="ESP994" s="124"/>
      <c r="ESQ994" s="124"/>
      <c r="ESR994" s="124"/>
      <c r="ESS994" s="124"/>
      <c r="EST994" s="124"/>
      <c r="ESU994" s="124"/>
      <c r="ESV994" s="124"/>
      <c r="ESW994" s="124"/>
      <c r="ESX994" s="124"/>
      <c r="ESY994" s="124"/>
      <c r="ESZ994" s="124"/>
      <c r="ETA994" s="124"/>
      <c r="ETB994" s="124"/>
      <c r="ETC994" s="124"/>
      <c r="ETD994" s="124"/>
      <c r="ETE994" s="124"/>
      <c r="ETF994" s="124"/>
      <c r="ETG994" s="124"/>
      <c r="ETH994" s="124"/>
      <c r="ETI994" s="124"/>
      <c r="ETJ994" s="124"/>
      <c r="ETK994" s="124"/>
      <c r="ETL994" s="124"/>
      <c r="ETM994" s="124"/>
      <c r="ETN994" s="124"/>
      <c r="ETO994" s="124"/>
      <c r="ETP994" s="124"/>
      <c r="ETQ994" s="124"/>
      <c r="ETR994" s="124"/>
      <c r="ETS994" s="124"/>
      <c r="ETT994" s="124"/>
      <c r="ETU994" s="124"/>
      <c r="ETV994" s="124"/>
      <c r="ETW994" s="124"/>
      <c r="ETX994" s="124"/>
      <c r="ETY994" s="124"/>
      <c r="ETZ994" s="124"/>
      <c r="EUA994" s="124"/>
      <c r="EUB994" s="124"/>
      <c r="EUC994" s="124"/>
      <c r="EUD994" s="124"/>
      <c r="EUE994" s="124"/>
      <c r="EUF994" s="124"/>
      <c r="EUG994" s="124"/>
      <c r="EUH994" s="124"/>
      <c r="EUI994" s="124"/>
      <c r="EUJ994" s="124"/>
      <c r="EUK994" s="124"/>
      <c r="EUL994" s="124"/>
      <c r="EUM994" s="124"/>
      <c r="EUN994" s="124"/>
      <c r="EUO994" s="124"/>
      <c r="EUP994" s="124"/>
      <c r="EUQ994" s="124"/>
      <c r="EUR994" s="124"/>
      <c r="EUS994" s="124"/>
      <c r="EUT994" s="124"/>
      <c r="EUU994" s="124"/>
      <c r="EUV994" s="124"/>
      <c r="EUW994" s="124"/>
      <c r="EUX994" s="124"/>
      <c r="EUY994" s="124"/>
      <c r="EUZ994" s="124"/>
      <c r="EVA994" s="124"/>
      <c r="EVB994" s="124"/>
      <c r="EVC994" s="124"/>
      <c r="EVD994" s="124"/>
      <c r="EVE994" s="124"/>
      <c r="EVF994" s="124"/>
      <c r="EVG994" s="124"/>
      <c r="EVH994" s="124"/>
      <c r="EVI994" s="124"/>
      <c r="EVJ994" s="124"/>
      <c r="EVK994" s="124"/>
      <c r="EVL994" s="124"/>
      <c r="EVM994" s="124"/>
      <c r="EVN994" s="124"/>
      <c r="EVO994" s="124"/>
      <c r="EVP994" s="124"/>
      <c r="EVQ994" s="124"/>
      <c r="EVR994" s="124"/>
      <c r="EVS994" s="124"/>
      <c r="EVT994" s="124"/>
      <c r="EVU994" s="124"/>
      <c r="EVV994" s="124"/>
      <c r="EVW994" s="124"/>
      <c r="EVX994" s="124"/>
      <c r="EVY994" s="124"/>
      <c r="EVZ994" s="124"/>
      <c r="EWA994" s="124"/>
      <c r="EWB994" s="124"/>
      <c r="EWC994" s="124"/>
      <c r="EWD994" s="124"/>
      <c r="EWE994" s="124"/>
      <c r="EWF994" s="124"/>
      <c r="EWG994" s="124"/>
      <c r="EWH994" s="124"/>
      <c r="EWI994" s="124"/>
      <c r="EWJ994" s="124"/>
      <c r="EWK994" s="124"/>
      <c r="EWL994" s="124"/>
      <c r="EWM994" s="124"/>
      <c r="EWN994" s="124"/>
      <c r="EWO994" s="124"/>
      <c r="EWP994" s="124"/>
      <c r="EWQ994" s="124"/>
      <c r="EWR994" s="124"/>
      <c r="EWS994" s="124"/>
      <c r="EWT994" s="124"/>
      <c r="EWU994" s="124"/>
      <c r="EWV994" s="124"/>
      <c r="EWW994" s="124"/>
      <c r="EWX994" s="124"/>
      <c r="EWY994" s="124"/>
      <c r="EWZ994" s="124"/>
      <c r="EXA994" s="124"/>
      <c r="EXB994" s="124"/>
      <c r="EXC994" s="124"/>
      <c r="EXD994" s="124"/>
      <c r="EXE994" s="124"/>
      <c r="EXF994" s="124"/>
      <c r="EXG994" s="124"/>
      <c r="EXH994" s="124"/>
      <c r="EXI994" s="124"/>
      <c r="EXJ994" s="124"/>
      <c r="EXK994" s="124"/>
      <c r="EXL994" s="124"/>
      <c r="EXM994" s="124"/>
      <c r="EXN994" s="124"/>
      <c r="EXO994" s="124"/>
      <c r="EXP994" s="124"/>
      <c r="EXQ994" s="124"/>
      <c r="EXR994" s="124"/>
      <c r="EXS994" s="124"/>
      <c r="EXT994" s="124"/>
      <c r="EXU994" s="124"/>
      <c r="EXV994" s="124"/>
      <c r="EXW994" s="124"/>
      <c r="EXX994" s="124"/>
      <c r="EXY994" s="124"/>
      <c r="EXZ994" s="124"/>
      <c r="EYA994" s="124"/>
      <c r="EYB994" s="124"/>
      <c r="EYC994" s="124"/>
      <c r="EYD994" s="124"/>
      <c r="EYE994" s="124"/>
      <c r="EYF994" s="124"/>
      <c r="EYG994" s="124"/>
      <c r="EYH994" s="124"/>
      <c r="EYI994" s="124"/>
      <c r="EYJ994" s="124"/>
      <c r="EYK994" s="124"/>
      <c r="EYL994" s="124"/>
      <c r="EYM994" s="124"/>
      <c r="EYN994" s="124"/>
      <c r="EYO994" s="124"/>
      <c r="EYP994" s="124"/>
      <c r="EYQ994" s="124"/>
      <c r="EYR994" s="124"/>
      <c r="EYS994" s="124"/>
      <c r="EYT994" s="124"/>
      <c r="EYU994" s="124"/>
      <c r="EYV994" s="124"/>
      <c r="EYW994" s="124"/>
      <c r="EYX994" s="124"/>
      <c r="EYY994" s="124"/>
      <c r="EYZ994" s="124"/>
      <c r="EZA994" s="124"/>
      <c r="EZB994" s="124"/>
      <c r="EZC994" s="124"/>
      <c r="EZD994" s="124"/>
      <c r="EZE994" s="124"/>
      <c r="EZF994" s="124"/>
      <c r="EZG994" s="124"/>
      <c r="EZH994" s="124"/>
      <c r="EZI994" s="124"/>
      <c r="EZJ994" s="124"/>
      <c r="EZK994" s="124"/>
      <c r="EZL994" s="124"/>
      <c r="EZM994" s="124"/>
      <c r="EZN994" s="124"/>
      <c r="EZO994" s="124"/>
      <c r="EZP994" s="124"/>
      <c r="EZQ994" s="124"/>
      <c r="EZR994" s="124"/>
      <c r="EZS994" s="124"/>
      <c r="EZT994" s="124"/>
      <c r="EZU994" s="124"/>
      <c r="EZV994" s="124"/>
      <c r="EZW994" s="124"/>
      <c r="EZX994" s="124"/>
      <c r="EZY994" s="124"/>
      <c r="EZZ994" s="124"/>
      <c r="FAA994" s="124"/>
      <c r="FAB994" s="124"/>
      <c r="FAC994" s="124"/>
      <c r="FAD994" s="124"/>
      <c r="FAE994" s="124"/>
      <c r="FAF994" s="124"/>
      <c r="FAG994" s="124"/>
      <c r="FAH994" s="124"/>
      <c r="FAI994" s="124"/>
      <c r="FAJ994" s="124"/>
      <c r="FAK994" s="124"/>
      <c r="FAL994" s="124"/>
      <c r="FAM994" s="124"/>
      <c r="FAN994" s="124"/>
      <c r="FAO994" s="124"/>
      <c r="FAP994" s="124"/>
      <c r="FAQ994" s="124"/>
      <c r="FAR994" s="124"/>
      <c r="FAS994" s="124"/>
      <c r="FAT994" s="124"/>
      <c r="FAU994" s="124"/>
      <c r="FAV994" s="124"/>
      <c r="FAW994" s="124"/>
      <c r="FAX994" s="124"/>
      <c r="FAY994" s="124"/>
      <c r="FAZ994" s="124"/>
      <c r="FBA994" s="124"/>
      <c r="FBB994" s="124"/>
      <c r="FBC994" s="124"/>
      <c r="FBD994" s="124"/>
      <c r="FBE994" s="124"/>
      <c r="FBF994" s="124"/>
      <c r="FBG994" s="124"/>
      <c r="FBH994" s="124"/>
      <c r="FBI994" s="124"/>
      <c r="FBJ994" s="124"/>
      <c r="FBK994" s="124"/>
      <c r="FBL994" s="124"/>
      <c r="FBM994" s="124"/>
      <c r="FBN994" s="124"/>
      <c r="FBO994" s="124"/>
      <c r="FBP994" s="124"/>
      <c r="FBQ994" s="124"/>
      <c r="FBR994" s="124"/>
      <c r="FBS994" s="124"/>
      <c r="FBT994" s="124"/>
      <c r="FBU994" s="124"/>
      <c r="FBV994" s="124"/>
      <c r="FBW994" s="124"/>
      <c r="FBX994" s="124"/>
      <c r="FBY994" s="124"/>
      <c r="FBZ994" s="124"/>
      <c r="FCA994" s="124"/>
      <c r="FCB994" s="124"/>
      <c r="FCC994" s="124"/>
      <c r="FCD994" s="124"/>
      <c r="FCE994" s="124"/>
      <c r="FCF994" s="124"/>
      <c r="FCG994" s="124"/>
      <c r="FCH994" s="124"/>
      <c r="FCI994" s="124"/>
      <c r="FCJ994" s="124"/>
      <c r="FCK994" s="124"/>
      <c r="FCL994" s="124"/>
      <c r="FCM994" s="124"/>
      <c r="FCN994" s="124"/>
      <c r="FCO994" s="124"/>
      <c r="FCP994" s="124"/>
      <c r="FCQ994" s="124"/>
      <c r="FCR994" s="124"/>
      <c r="FCS994" s="124"/>
      <c r="FCT994" s="124"/>
      <c r="FCU994" s="124"/>
      <c r="FCV994" s="124"/>
      <c r="FCW994" s="124"/>
      <c r="FCX994" s="124"/>
      <c r="FCY994" s="124"/>
      <c r="FCZ994" s="124"/>
      <c r="FDA994" s="124"/>
      <c r="FDB994" s="124"/>
      <c r="FDC994" s="124"/>
      <c r="FDD994" s="124"/>
      <c r="FDE994" s="124"/>
      <c r="FDF994" s="124"/>
      <c r="FDG994" s="124"/>
      <c r="FDH994" s="124"/>
      <c r="FDI994" s="124"/>
      <c r="FDJ994" s="124"/>
      <c r="FDK994" s="124"/>
      <c r="FDL994" s="124"/>
      <c r="FDM994" s="124"/>
      <c r="FDN994" s="124"/>
      <c r="FDO994" s="124"/>
      <c r="FDP994" s="124"/>
      <c r="FDQ994" s="124"/>
      <c r="FDR994" s="124"/>
      <c r="FDS994" s="124"/>
      <c r="FDT994" s="124"/>
      <c r="FDU994" s="124"/>
      <c r="FDV994" s="124"/>
      <c r="FDW994" s="124"/>
      <c r="FDX994" s="124"/>
      <c r="FDY994" s="124"/>
      <c r="FDZ994" s="124"/>
      <c r="FEA994" s="124"/>
      <c r="FEB994" s="124"/>
      <c r="FEC994" s="124"/>
      <c r="FED994" s="124"/>
      <c r="FEE994" s="124"/>
      <c r="FEF994" s="124"/>
      <c r="FEG994" s="124"/>
      <c r="FEH994" s="124"/>
      <c r="FEI994" s="124"/>
      <c r="FEJ994" s="124"/>
      <c r="FEK994" s="124"/>
      <c r="FEL994" s="124"/>
      <c r="FEM994" s="124"/>
      <c r="FEN994" s="124"/>
      <c r="FEO994" s="124"/>
      <c r="FEP994" s="124"/>
      <c r="FEQ994" s="124"/>
      <c r="FER994" s="124"/>
      <c r="FES994" s="124"/>
      <c r="FET994" s="124"/>
      <c r="FEU994" s="124"/>
      <c r="FEV994" s="124"/>
      <c r="FEW994" s="124"/>
      <c r="FEX994" s="124"/>
      <c r="FEY994" s="124"/>
      <c r="FEZ994" s="124"/>
      <c r="FFA994" s="124"/>
      <c r="FFB994" s="124"/>
      <c r="FFC994" s="124"/>
      <c r="FFD994" s="124"/>
      <c r="FFE994" s="124"/>
      <c r="FFF994" s="124"/>
      <c r="FFG994" s="124"/>
      <c r="FFH994" s="124"/>
      <c r="FFI994" s="124"/>
      <c r="FFJ994" s="124"/>
      <c r="FFK994" s="124"/>
      <c r="FFL994" s="124"/>
      <c r="FFM994" s="124"/>
      <c r="FFN994" s="124"/>
      <c r="FFO994" s="124"/>
      <c r="FFP994" s="124"/>
      <c r="FFQ994" s="124"/>
      <c r="FFR994" s="124"/>
      <c r="FFS994" s="124"/>
      <c r="FFT994" s="124"/>
      <c r="FFU994" s="124"/>
      <c r="FFV994" s="124"/>
      <c r="FFW994" s="124"/>
      <c r="FFX994" s="124"/>
      <c r="FFY994" s="124"/>
      <c r="FFZ994" s="124"/>
      <c r="FGA994" s="124"/>
      <c r="FGB994" s="124"/>
      <c r="FGC994" s="124"/>
      <c r="FGD994" s="124"/>
      <c r="FGE994" s="124"/>
      <c r="FGF994" s="124"/>
      <c r="FGG994" s="124"/>
      <c r="FGH994" s="124"/>
      <c r="FGI994" s="124"/>
      <c r="FGJ994" s="124"/>
      <c r="FGK994" s="124"/>
      <c r="FGL994" s="124"/>
      <c r="FGM994" s="124"/>
      <c r="FGN994" s="124"/>
      <c r="FGO994" s="124"/>
      <c r="FGP994" s="124"/>
      <c r="FGQ994" s="124"/>
      <c r="FGR994" s="124"/>
      <c r="FGS994" s="124"/>
      <c r="FGT994" s="124"/>
      <c r="FGU994" s="124"/>
      <c r="FGV994" s="124"/>
      <c r="FGW994" s="124"/>
      <c r="FGX994" s="124"/>
      <c r="FGY994" s="124"/>
      <c r="FGZ994" s="124"/>
      <c r="FHA994" s="124"/>
      <c r="FHB994" s="124"/>
      <c r="FHC994" s="124"/>
      <c r="FHD994" s="124"/>
      <c r="FHE994" s="124"/>
      <c r="FHF994" s="124"/>
      <c r="FHG994" s="124"/>
      <c r="FHH994" s="124"/>
      <c r="FHI994" s="124"/>
      <c r="FHJ994" s="124"/>
      <c r="FHK994" s="124"/>
      <c r="FHL994" s="124"/>
      <c r="FHM994" s="124"/>
      <c r="FHN994" s="124"/>
      <c r="FHO994" s="124"/>
      <c r="FHP994" s="124"/>
      <c r="FHQ994" s="124"/>
      <c r="FHR994" s="124"/>
      <c r="FHS994" s="124"/>
      <c r="FHT994" s="124"/>
      <c r="FHU994" s="124"/>
      <c r="FHV994" s="124"/>
      <c r="FHW994" s="124"/>
      <c r="FHX994" s="124"/>
      <c r="FHY994" s="124"/>
      <c r="FHZ994" s="124"/>
      <c r="FIA994" s="124"/>
      <c r="FIB994" s="124"/>
      <c r="FIC994" s="124"/>
      <c r="FID994" s="124"/>
      <c r="FIE994" s="124"/>
      <c r="FIF994" s="124"/>
      <c r="FIG994" s="124"/>
      <c r="FIH994" s="124"/>
      <c r="FII994" s="124"/>
      <c r="FIJ994" s="124"/>
      <c r="FIK994" s="124"/>
      <c r="FIL994" s="124"/>
      <c r="FIM994" s="124"/>
      <c r="FIN994" s="124"/>
      <c r="FIO994" s="124"/>
      <c r="FIP994" s="124"/>
      <c r="FIQ994" s="124"/>
      <c r="FIR994" s="124"/>
      <c r="FIS994" s="124"/>
      <c r="FIT994" s="124"/>
      <c r="FIU994" s="124"/>
      <c r="FIV994" s="124"/>
      <c r="FIW994" s="124"/>
      <c r="FIX994" s="124"/>
      <c r="FIY994" s="124"/>
      <c r="FIZ994" s="124"/>
      <c r="FJA994" s="124"/>
      <c r="FJB994" s="124"/>
      <c r="FJC994" s="124"/>
      <c r="FJD994" s="124"/>
      <c r="FJE994" s="124"/>
      <c r="FJF994" s="124"/>
      <c r="FJG994" s="124"/>
      <c r="FJH994" s="124"/>
      <c r="FJI994" s="124"/>
      <c r="FJJ994" s="124"/>
      <c r="FJK994" s="124"/>
      <c r="FJL994" s="124"/>
      <c r="FJM994" s="124"/>
      <c r="FJN994" s="124"/>
      <c r="FJO994" s="124"/>
      <c r="FJP994" s="124"/>
      <c r="FJQ994" s="124"/>
      <c r="FJR994" s="124"/>
      <c r="FJS994" s="124"/>
      <c r="FJT994" s="124"/>
      <c r="FJU994" s="124"/>
      <c r="FJV994" s="124"/>
      <c r="FJW994" s="124"/>
      <c r="FJX994" s="124"/>
      <c r="FJY994" s="124"/>
      <c r="FJZ994" s="124"/>
      <c r="FKA994" s="124"/>
      <c r="FKB994" s="124"/>
      <c r="FKC994" s="124"/>
      <c r="FKD994" s="124"/>
      <c r="FKE994" s="124"/>
      <c r="FKF994" s="124"/>
      <c r="FKG994" s="124"/>
      <c r="FKH994" s="124"/>
      <c r="FKI994" s="124"/>
      <c r="FKJ994" s="124"/>
      <c r="FKK994" s="124"/>
      <c r="FKL994" s="124"/>
      <c r="FKM994" s="124"/>
      <c r="FKN994" s="124"/>
      <c r="FKO994" s="124"/>
      <c r="FKP994" s="124"/>
      <c r="FKQ994" s="124"/>
      <c r="FKR994" s="124"/>
      <c r="FKS994" s="124"/>
      <c r="FKT994" s="124"/>
      <c r="FKU994" s="124"/>
      <c r="FKV994" s="124"/>
      <c r="FKW994" s="124"/>
      <c r="FKX994" s="124"/>
      <c r="FKY994" s="124"/>
      <c r="FKZ994" s="124"/>
      <c r="FLA994" s="124"/>
      <c r="FLB994" s="124"/>
      <c r="FLC994" s="124"/>
      <c r="FLD994" s="124"/>
      <c r="FLE994" s="124"/>
      <c r="FLF994" s="124"/>
      <c r="FLG994" s="124"/>
      <c r="FLH994" s="124"/>
      <c r="FLI994" s="124"/>
      <c r="FLJ994" s="124"/>
      <c r="FLK994" s="124"/>
      <c r="FLL994" s="124"/>
      <c r="FLM994" s="124"/>
      <c r="FLN994" s="124"/>
      <c r="FLO994" s="124"/>
      <c r="FLP994" s="124"/>
      <c r="FLQ994" s="124"/>
      <c r="FLR994" s="124"/>
      <c r="FLS994" s="124"/>
      <c r="FLT994" s="124"/>
      <c r="FLU994" s="124"/>
      <c r="FLV994" s="124"/>
      <c r="FLW994" s="124"/>
      <c r="FLX994" s="124"/>
      <c r="FLY994" s="124"/>
      <c r="FLZ994" s="124"/>
      <c r="FMA994" s="124"/>
      <c r="FMB994" s="124"/>
      <c r="FMC994" s="124"/>
      <c r="FMD994" s="124"/>
      <c r="FME994" s="124"/>
      <c r="FMF994" s="124"/>
      <c r="FMG994" s="124"/>
      <c r="FMH994" s="124"/>
      <c r="FMI994" s="124"/>
      <c r="FMJ994" s="124"/>
      <c r="FMK994" s="124"/>
      <c r="FML994" s="124"/>
      <c r="FMM994" s="124"/>
      <c r="FMN994" s="124"/>
      <c r="FMO994" s="124"/>
      <c r="FMP994" s="124"/>
      <c r="FMQ994" s="124"/>
      <c r="FMR994" s="124"/>
      <c r="FMS994" s="124"/>
      <c r="FMT994" s="124"/>
      <c r="FMU994" s="124"/>
      <c r="FMV994" s="124"/>
      <c r="FMW994" s="124"/>
      <c r="FMX994" s="124"/>
      <c r="FMY994" s="124"/>
      <c r="FMZ994" s="124"/>
      <c r="FNA994" s="124"/>
      <c r="FNB994" s="124"/>
      <c r="FNC994" s="124"/>
      <c r="FND994" s="124"/>
      <c r="FNE994" s="124"/>
      <c r="FNF994" s="124"/>
      <c r="FNG994" s="124"/>
      <c r="FNH994" s="124"/>
      <c r="FNI994" s="124"/>
      <c r="FNJ994" s="124"/>
      <c r="FNK994" s="124"/>
      <c r="FNL994" s="124"/>
      <c r="FNM994" s="124"/>
      <c r="FNN994" s="124"/>
      <c r="FNO994" s="124"/>
      <c r="FNP994" s="124"/>
      <c r="FNQ994" s="124"/>
      <c r="FNR994" s="124"/>
      <c r="FNS994" s="124"/>
      <c r="FNT994" s="124"/>
      <c r="FNU994" s="124"/>
      <c r="FNV994" s="124"/>
      <c r="FNW994" s="124"/>
      <c r="FNX994" s="124"/>
      <c r="FNY994" s="124"/>
      <c r="FNZ994" s="124"/>
      <c r="FOA994" s="124"/>
      <c r="FOB994" s="124"/>
      <c r="FOC994" s="124"/>
      <c r="FOD994" s="124"/>
      <c r="FOE994" s="124"/>
      <c r="FOF994" s="124"/>
      <c r="FOG994" s="124"/>
      <c r="FOH994" s="124"/>
      <c r="FOI994" s="124"/>
      <c r="FOJ994" s="124"/>
      <c r="FOK994" s="124"/>
      <c r="FOL994" s="124"/>
      <c r="FOM994" s="124"/>
      <c r="FON994" s="124"/>
      <c r="FOO994" s="124"/>
      <c r="FOP994" s="124"/>
      <c r="FOQ994" s="124"/>
      <c r="FOR994" s="124"/>
      <c r="FOS994" s="124"/>
      <c r="FOT994" s="124"/>
      <c r="FOU994" s="124"/>
      <c r="FOV994" s="124"/>
      <c r="FOW994" s="124"/>
      <c r="FOX994" s="124"/>
      <c r="FOY994" s="124"/>
      <c r="FOZ994" s="124"/>
      <c r="FPA994" s="124"/>
      <c r="FPB994" s="124"/>
      <c r="FPC994" s="124"/>
      <c r="FPD994" s="124"/>
      <c r="FPE994" s="124"/>
      <c r="FPF994" s="124"/>
      <c r="FPG994" s="124"/>
      <c r="FPH994" s="124"/>
      <c r="FPI994" s="124"/>
      <c r="FPJ994" s="124"/>
      <c r="FPK994" s="124"/>
      <c r="FPL994" s="124"/>
      <c r="FPM994" s="124"/>
      <c r="FPN994" s="124"/>
      <c r="FPO994" s="124"/>
      <c r="FPP994" s="124"/>
      <c r="FPQ994" s="124"/>
      <c r="FPR994" s="124"/>
      <c r="FPS994" s="124"/>
      <c r="FPT994" s="124"/>
      <c r="FPU994" s="124"/>
      <c r="FPV994" s="124"/>
      <c r="FPW994" s="124"/>
      <c r="FPX994" s="124"/>
      <c r="FPY994" s="124"/>
      <c r="FPZ994" s="124"/>
      <c r="FQA994" s="124"/>
      <c r="FQB994" s="124"/>
      <c r="FQC994" s="124"/>
      <c r="FQD994" s="124"/>
      <c r="FQE994" s="124"/>
      <c r="FQF994" s="124"/>
      <c r="FQG994" s="124"/>
      <c r="FQH994" s="124"/>
      <c r="FQI994" s="124"/>
      <c r="FQJ994" s="124"/>
      <c r="FQK994" s="124"/>
      <c r="FQL994" s="124"/>
      <c r="FQM994" s="124"/>
      <c r="FQN994" s="124"/>
      <c r="FQO994" s="124"/>
      <c r="FQP994" s="124"/>
      <c r="FQQ994" s="124"/>
      <c r="FQR994" s="124"/>
      <c r="FQS994" s="124"/>
      <c r="FQT994" s="124"/>
      <c r="FQU994" s="124"/>
      <c r="FQV994" s="124"/>
      <c r="FQW994" s="124"/>
      <c r="FQX994" s="124"/>
      <c r="FQY994" s="124"/>
      <c r="FQZ994" s="124"/>
      <c r="FRA994" s="124"/>
      <c r="FRB994" s="124"/>
      <c r="FRC994" s="124"/>
      <c r="FRD994" s="124"/>
      <c r="FRE994" s="124"/>
      <c r="FRF994" s="124"/>
      <c r="FRG994" s="124"/>
      <c r="FRH994" s="124"/>
      <c r="FRI994" s="124"/>
      <c r="FRJ994" s="124"/>
      <c r="FRK994" s="124"/>
      <c r="FRL994" s="124"/>
      <c r="FRM994" s="124"/>
      <c r="FRN994" s="124"/>
      <c r="FRO994" s="124"/>
      <c r="FRP994" s="124"/>
      <c r="FRQ994" s="124"/>
      <c r="FRR994" s="124"/>
      <c r="FRS994" s="124"/>
      <c r="FRT994" s="124"/>
      <c r="FRU994" s="124"/>
      <c r="FRV994" s="124"/>
      <c r="FRW994" s="124"/>
      <c r="FRX994" s="124"/>
      <c r="FRY994" s="124"/>
      <c r="FRZ994" s="124"/>
      <c r="FSA994" s="124"/>
      <c r="FSB994" s="124"/>
      <c r="FSC994" s="124"/>
      <c r="FSD994" s="124"/>
      <c r="FSE994" s="124"/>
      <c r="FSF994" s="124"/>
      <c r="FSG994" s="124"/>
      <c r="FSH994" s="124"/>
      <c r="FSI994" s="124"/>
      <c r="FSJ994" s="124"/>
      <c r="FSK994" s="124"/>
      <c r="FSL994" s="124"/>
      <c r="FSM994" s="124"/>
      <c r="FSN994" s="124"/>
      <c r="FSO994" s="124"/>
      <c r="FSP994" s="124"/>
      <c r="FSQ994" s="124"/>
      <c r="FSR994" s="124"/>
      <c r="FSS994" s="124"/>
      <c r="FST994" s="124"/>
      <c r="FSU994" s="124"/>
      <c r="FSV994" s="124"/>
      <c r="FSW994" s="124"/>
      <c r="FSX994" s="124"/>
      <c r="FSY994" s="124"/>
      <c r="FSZ994" s="124"/>
      <c r="FTA994" s="124"/>
      <c r="FTB994" s="124"/>
      <c r="FTC994" s="124"/>
      <c r="FTD994" s="124"/>
      <c r="FTE994" s="124"/>
      <c r="FTF994" s="124"/>
      <c r="FTG994" s="124"/>
      <c r="FTH994" s="124"/>
      <c r="FTI994" s="124"/>
      <c r="FTJ994" s="124"/>
      <c r="FTK994" s="124"/>
      <c r="FTL994" s="124"/>
      <c r="FTM994" s="124"/>
      <c r="FTN994" s="124"/>
      <c r="FTO994" s="124"/>
      <c r="FTP994" s="124"/>
      <c r="FTQ994" s="124"/>
      <c r="FTR994" s="124"/>
      <c r="FTS994" s="124"/>
      <c r="FTT994" s="124"/>
      <c r="FTU994" s="124"/>
      <c r="FTV994" s="124"/>
      <c r="FTW994" s="124"/>
      <c r="FTX994" s="124"/>
      <c r="FTY994" s="124"/>
      <c r="FTZ994" s="124"/>
      <c r="FUA994" s="124"/>
      <c r="FUB994" s="124"/>
      <c r="FUC994" s="124"/>
      <c r="FUD994" s="124"/>
      <c r="FUE994" s="124"/>
      <c r="FUF994" s="124"/>
      <c r="FUG994" s="124"/>
      <c r="FUH994" s="124"/>
      <c r="FUI994" s="124"/>
      <c r="FUJ994" s="124"/>
      <c r="FUK994" s="124"/>
      <c r="FUL994" s="124"/>
      <c r="FUM994" s="124"/>
      <c r="FUN994" s="124"/>
      <c r="FUO994" s="124"/>
      <c r="FUP994" s="124"/>
      <c r="FUQ994" s="124"/>
      <c r="FUR994" s="124"/>
      <c r="FUS994" s="124"/>
      <c r="FUT994" s="124"/>
      <c r="FUU994" s="124"/>
      <c r="FUV994" s="124"/>
      <c r="FUW994" s="124"/>
      <c r="FUX994" s="124"/>
      <c r="FUY994" s="124"/>
      <c r="FUZ994" s="124"/>
      <c r="FVA994" s="124"/>
      <c r="FVB994" s="124"/>
      <c r="FVC994" s="124"/>
      <c r="FVD994" s="124"/>
      <c r="FVE994" s="124"/>
      <c r="FVF994" s="124"/>
      <c r="FVG994" s="124"/>
      <c r="FVH994" s="124"/>
      <c r="FVI994" s="124"/>
      <c r="FVJ994" s="124"/>
      <c r="FVK994" s="124"/>
      <c r="FVL994" s="124"/>
      <c r="FVM994" s="124"/>
      <c r="FVN994" s="124"/>
      <c r="FVO994" s="124"/>
      <c r="FVP994" s="124"/>
      <c r="FVQ994" s="124"/>
      <c r="FVR994" s="124"/>
      <c r="FVS994" s="124"/>
      <c r="FVT994" s="124"/>
      <c r="FVU994" s="124"/>
      <c r="FVV994" s="124"/>
      <c r="FVW994" s="124"/>
      <c r="FVX994" s="124"/>
      <c r="FVY994" s="124"/>
      <c r="FVZ994" s="124"/>
      <c r="FWA994" s="124"/>
      <c r="FWB994" s="124"/>
      <c r="FWC994" s="124"/>
      <c r="FWD994" s="124"/>
      <c r="FWE994" s="124"/>
      <c r="FWF994" s="124"/>
      <c r="FWG994" s="124"/>
      <c r="FWH994" s="124"/>
      <c r="FWI994" s="124"/>
      <c r="FWJ994" s="124"/>
      <c r="FWK994" s="124"/>
      <c r="FWL994" s="124"/>
      <c r="FWM994" s="124"/>
      <c r="FWN994" s="124"/>
      <c r="FWO994" s="124"/>
      <c r="FWP994" s="124"/>
      <c r="FWQ994" s="124"/>
      <c r="FWR994" s="124"/>
      <c r="FWS994" s="124"/>
      <c r="FWT994" s="124"/>
      <c r="FWU994" s="124"/>
      <c r="FWV994" s="124"/>
      <c r="FWW994" s="124"/>
      <c r="FWX994" s="124"/>
      <c r="FWY994" s="124"/>
      <c r="FWZ994" s="124"/>
      <c r="FXA994" s="124"/>
      <c r="FXB994" s="124"/>
      <c r="FXC994" s="124"/>
      <c r="FXD994" s="124"/>
      <c r="FXE994" s="124"/>
      <c r="FXF994" s="124"/>
      <c r="FXG994" s="124"/>
      <c r="FXH994" s="124"/>
      <c r="FXI994" s="124"/>
      <c r="FXJ994" s="124"/>
      <c r="FXK994" s="124"/>
      <c r="FXL994" s="124"/>
      <c r="FXM994" s="124"/>
      <c r="FXN994" s="124"/>
      <c r="FXO994" s="124"/>
      <c r="FXP994" s="124"/>
      <c r="FXQ994" s="124"/>
      <c r="FXR994" s="124"/>
      <c r="FXS994" s="124"/>
      <c r="FXT994" s="124"/>
      <c r="FXU994" s="124"/>
      <c r="FXV994" s="124"/>
      <c r="FXW994" s="124"/>
      <c r="FXX994" s="124"/>
      <c r="FXY994" s="124"/>
      <c r="FXZ994" s="124"/>
      <c r="FYA994" s="124"/>
      <c r="FYB994" s="124"/>
      <c r="FYC994" s="124"/>
      <c r="FYD994" s="124"/>
      <c r="FYE994" s="124"/>
      <c r="FYF994" s="124"/>
      <c r="FYG994" s="124"/>
      <c r="FYH994" s="124"/>
      <c r="FYI994" s="124"/>
      <c r="FYJ994" s="124"/>
      <c r="FYK994" s="124"/>
      <c r="FYL994" s="124"/>
      <c r="FYM994" s="124"/>
      <c r="FYN994" s="124"/>
      <c r="FYO994" s="124"/>
      <c r="FYP994" s="124"/>
      <c r="FYQ994" s="124"/>
      <c r="FYR994" s="124"/>
      <c r="FYS994" s="124"/>
      <c r="FYT994" s="124"/>
      <c r="FYU994" s="124"/>
      <c r="FYV994" s="124"/>
      <c r="FYW994" s="124"/>
      <c r="FYX994" s="124"/>
      <c r="FYY994" s="124"/>
      <c r="FYZ994" s="124"/>
      <c r="FZA994" s="124"/>
      <c r="FZB994" s="124"/>
      <c r="FZC994" s="124"/>
      <c r="FZD994" s="124"/>
      <c r="FZE994" s="124"/>
      <c r="FZF994" s="124"/>
      <c r="FZG994" s="124"/>
      <c r="FZH994" s="124"/>
      <c r="FZI994" s="124"/>
      <c r="FZJ994" s="124"/>
      <c r="FZK994" s="124"/>
      <c r="FZL994" s="124"/>
      <c r="FZM994" s="124"/>
      <c r="FZN994" s="124"/>
      <c r="FZO994" s="124"/>
      <c r="FZP994" s="124"/>
      <c r="FZQ994" s="124"/>
      <c r="FZR994" s="124"/>
      <c r="FZS994" s="124"/>
      <c r="FZT994" s="124"/>
      <c r="FZU994" s="124"/>
      <c r="FZV994" s="124"/>
      <c r="FZW994" s="124"/>
      <c r="FZX994" s="124"/>
      <c r="FZY994" s="124"/>
      <c r="FZZ994" s="124"/>
      <c r="GAA994" s="124"/>
      <c r="GAB994" s="124"/>
      <c r="GAC994" s="124"/>
      <c r="GAD994" s="124"/>
      <c r="GAE994" s="124"/>
      <c r="GAF994" s="124"/>
      <c r="GAG994" s="124"/>
      <c r="GAH994" s="124"/>
      <c r="GAI994" s="124"/>
      <c r="GAJ994" s="124"/>
      <c r="GAK994" s="124"/>
      <c r="GAL994" s="124"/>
      <c r="GAM994" s="124"/>
      <c r="GAN994" s="124"/>
      <c r="GAO994" s="124"/>
      <c r="GAP994" s="124"/>
      <c r="GAQ994" s="124"/>
      <c r="GAR994" s="124"/>
      <c r="GAS994" s="124"/>
      <c r="GAT994" s="124"/>
      <c r="GAU994" s="124"/>
      <c r="GAV994" s="124"/>
      <c r="GAW994" s="124"/>
      <c r="GAX994" s="124"/>
      <c r="GAY994" s="124"/>
      <c r="GAZ994" s="124"/>
      <c r="GBA994" s="124"/>
      <c r="GBB994" s="124"/>
      <c r="GBC994" s="124"/>
      <c r="GBD994" s="124"/>
      <c r="GBE994" s="124"/>
      <c r="GBF994" s="124"/>
      <c r="GBG994" s="124"/>
      <c r="GBH994" s="124"/>
      <c r="GBI994" s="124"/>
      <c r="GBJ994" s="124"/>
      <c r="GBK994" s="124"/>
      <c r="GBL994" s="124"/>
      <c r="GBM994" s="124"/>
      <c r="GBN994" s="124"/>
      <c r="GBO994" s="124"/>
      <c r="GBP994" s="124"/>
      <c r="GBQ994" s="124"/>
      <c r="GBR994" s="124"/>
      <c r="GBS994" s="124"/>
      <c r="GBT994" s="124"/>
      <c r="GBU994" s="124"/>
      <c r="GBV994" s="124"/>
      <c r="GBW994" s="124"/>
      <c r="GBX994" s="124"/>
      <c r="GBY994" s="124"/>
      <c r="GBZ994" s="124"/>
      <c r="GCA994" s="124"/>
      <c r="GCB994" s="124"/>
      <c r="GCC994" s="124"/>
      <c r="GCD994" s="124"/>
      <c r="GCE994" s="124"/>
      <c r="GCF994" s="124"/>
      <c r="GCG994" s="124"/>
      <c r="GCH994" s="124"/>
      <c r="GCI994" s="124"/>
      <c r="GCJ994" s="124"/>
      <c r="GCK994" s="124"/>
      <c r="GCL994" s="124"/>
      <c r="GCM994" s="124"/>
      <c r="GCN994" s="124"/>
      <c r="GCO994" s="124"/>
      <c r="GCP994" s="124"/>
      <c r="GCQ994" s="124"/>
      <c r="GCR994" s="124"/>
      <c r="GCS994" s="124"/>
      <c r="GCT994" s="124"/>
      <c r="GCU994" s="124"/>
      <c r="GCV994" s="124"/>
      <c r="GCW994" s="124"/>
      <c r="GCX994" s="124"/>
      <c r="GCY994" s="124"/>
      <c r="GCZ994" s="124"/>
      <c r="GDA994" s="124"/>
      <c r="GDB994" s="124"/>
      <c r="GDC994" s="124"/>
      <c r="GDD994" s="124"/>
      <c r="GDE994" s="124"/>
      <c r="GDF994" s="124"/>
      <c r="GDG994" s="124"/>
      <c r="GDH994" s="124"/>
      <c r="GDI994" s="124"/>
      <c r="GDJ994" s="124"/>
      <c r="GDK994" s="124"/>
      <c r="GDL994" s="124"/>
      <c r="GDM994" s="124"/>
      <c r="GDN994" s="124"/>
      <c r="GDO994" s="124"/>
      <c r="GDP994" s="124"/>
      <c r="GDQ994" s="124"/>
      <c r="GDR994" s="124"/>
      <c r="GDS994" s="124"/>
      <c r="GDT994" s="124"/>
      <c r="GDU994" s="124"/>
      <c r="GDV994" s="124"/>
      <c r="GDW994" s="124"/>
      <c r="GDX994" s="124"/>
      <c r="GDY994" s="124"/>
      <c r="GDZ994" s="124"/>
      <c r="GEA994" s="124"/>
      <c r="GEB994" s="124"/>
      <c r="GEC994" s="124"/>
      <c r="GED994" s="124"/>
      <c r="GEE994" s="124"/>
      <c r="GEF994" s="124"/>
      <c r="GEG994" s="124"/>
      <c r="GEH994" s="124"/>
      <c r="GEI994" s="124"/>
      <c r="GEJ994" s="124"/>
      <c r="GEK994" s="124"/>
      <c r="GEL994" s="124"/>
      <c r="GEM994" s="124"/>
      <c r="GEN994" s="124"/>
      <c r="GEO994" s="124"/>
      <c r="GEP994" s="124"/>
      <c r="GEQ994" s="124"/>
      <c r="GER994" s="124"/>
      <c r="GES994" s="124"/>
      <c r="GET994" s="124"/>
      <c r="GEU994" s="124"/>
      <c r="GEV994" s="124"/>
      <c r="GEW994" s="124"/>
      <c r="GEX994" s="124"/>
      <c r="GEY994" s="124"/>
      <c r="GEZ994" s="124"/>
      <c r="GFA994" s="124"/>
      <c r="GFB994" s="124"/>
      <c r="GFC994" s="124"/>
      <c r="GFD994" s="124"/>
      <c r="GFE994" s="124"/>
      <c r="GFF994" s="124"/>
      <c r="GFG994" s="124"/>
      <c r="GFH994" s="124"/>
      <c r="GFI994" s="124"/>
      <c r="GFJ994" s="124"/>
      <c r="GFK994" s="124"/>
      <c r="GFL994" s="124"/>
      <c r="GFM994" s="124"/>
      <c r="GFN994" s="124"/>
      <c r="GFO994" s="124"/>
      <c r="GFP994" s="124"/>
      <c r="GFQ994" s="124"/>
      <c r="GFR994" s="124"/>
      <c r="GFS994" s="124"/>
      <c r="GFT994" s="124"/>
      <c r="GFU994" s="124"/>
      <c r="GFV994" s="124"/>
      <c r="GFW994" s="124"/>
      <c r="GFX994" s="124"/>
      <c r="GFY994" s="124"/>
      <c r="GFZ994" s="124"/>
      <c r="GGA994" s="124"/>
      <c r="GGB994" s="124"/>
      <c r="GGC994" s="124"/>
      <c r="GGD994" s="124"/>
      <c r="GGE994" s="124"/>
      <c r="GGF994" s="124"/>
      <c r="GGG994" s="124"/>
      <c r="GGH994" s="124"/>
      <c r="GGI994" s="124"/>
      <c r="GGJ994" s="124"/>
      <c r="GGK994" s="124"/>
      <c r="GGL994" s="124"/>
      <c r="GGM994" s="124"/>
      <c r="GGN994" s="124"/>
      <c r="GGO994" s="124"/>
      <c r="GGP994" s="124"/>
      <c r="GGQ994" s="124"/>
      <c r="GGR994" s="124"/>
      <c r="GGS994" s="124"/>
      <c r="GGT994" s="124"/>
      <c r="GGU994" s="124"/>
      <c r="GGV994" s="124"/>
      <c r="GGW994" s="124"/>
      <c r="GGX994" s="124"/>
      <c r="GGY994" s="124"/>
      <c r="GGZ994" s="124"/>
      <c r="GHA994" s="124"/>
      <c r="GHB994" s="124"/>
      <c r="GHC994" s="124"/>
      <c r="GHD994" s="124"/>
      <c r="GHE994" s="124"/>
      <c r="GHF994" s="124"/>
      <c r="GHG994" s="124"/>
      <c r="GHH994" s="124"/>
      <c r="GHI994" s="124"/>
      <c r="GHJ994" s="124"/>
      <c r="GHK994" s="124"/>
      <c r="GHL994" s="124"/>
      <c r="GHM994" s="124"/>
      <c r="GHN994" s="124"/>
      <c r="GHO994" s="124"/>
      <c r="GHP994" s="124"/>
      <c r="GHQ994" s="124"/>
      <c r="GHR994" s="124"/>
      <c r="GHS994" s="124"/>
      <c r="GHT994" s="124"/>
      <c r="GHU994" s="124"/>
      <c r="GHV994" s="124"/>
      <c r="GHW994" s="124"/>
      <c r="GHX994" s="124"/>
      <c r="GHY994" s="124"/>
      <c r="GHZ994" s="124"/>
      <c r="GIA994" s="124"/>
      <c r="GIB994" s="124"/>
      <c r="GIC994" s="124"/>
      <c r="GID994" s="124"/>
      <c r="GIE994" s="124"/>
      <c r="GIF994" s="124"/>
      <c r="GIG994" s="124"/>
      <c r="GIH994" s="124"/>
      <c r="GII994" s="124"/>
      <c r="GIJ994" s="124"/>
      <c r="GIK994" s="124"/>
      <c r="GIL994" s="124"/>
      <c r="GIM994" s="124"/>
      <c r="GIN994" s="124"/>
      <c r="GIO994" s="124"/>
      <c r="GIP994" s="124"/>
      <c r="GIQ994" s="124"/>
      <c r="GIR994" s="124"/>
      <c r="GIS994" s="124"/>
      <c r="GIT994" s="124"/>
      <c r="GIU994" s="124"/>
      <c r="GIV994" s="124"/>
      <c r="GIW994" s="124"/>
      <c r="GIX994" s="124"/>
      <c r="GIY994" s="124"/>
      <c r="GIZ994" s="124"/>
      <c r="GJA994" s="124"/>
      <c r="GJB994" s="124"/>
      <c r="GJC994" s="124"/>
      <c r="GJD994" s="124"/>
      <c r="GJE994" s="124"/>
      <c r="GJF994" s="124"/>
      <c r="GJG994" s="124"/>
      <c r="GJH994" s="124"/>
      <c r="GJI994" s="124"/>
      <c r="GJJ994" s="124"/>
      <c r="GJK994" s="124"/>
      <c r="GJL994" s="124"/>
      <c r="GJM994" s="124"/>
      <c r="GJN994" s="124"/>
      <c r="GJO994" s="124"/>
      <c r="GJP994" s="124"/>
      <c r="GJQ994" s="124"/>
      <c r="GJR994" s="124"/>
      <c r="GJS994" s="124"/>
      <c r="GJT994" s="124"/>
      <c r="GJU994" s="124"/>
      <c r="GJV994" s="124"/>
      <c r="GJW994" s="124"/>
      <c r="GJX994" s="124"/>
      <c r="GJY994" s="124"/>
      <c r="GJZ994" s="124"/>
      <c r="GKA994" s="124"/>
      <c r="GKB994" s="124"/>
      <c r="GKC994" s="124"/>
      <c r="GKD994" s="124"/>
      <c r="GKE994" s="124"/>
      <c r="GKF994" s="124"/>
      <c r="GKG994" s="124"/>
      <c r="GKH994" s="124"/>
      <c r="GKI994" s="124"/>
      <c r="GKJ994" s="124"/>
      <c r="GKK994" s="124"/>
      <c r="GKL994" s="124"/>
      <c r="GKM994" s="124"/>
      <c r="GKN994" s="124"/>
      <c r="GKO994" s="124"/>
      <c r="GKP994" s="124"/>
      <c r="GKQ994" s="124"/>
      <c r="GKR994" s="124"/>
      <c r="GKS994" s="124"/>
      <c r="GKT994" s="124"/>
      <c r="GKU994" s="124"/>
      <c r="GKV994" s="124"/>
      <c r="GKW994" s="124"/>
      <c r="GKX994" s="124"/>
      <c r="GKY994" s="124"/>
      <c r="GKZ994" s="124"/>
      <c r="GLA994" s="124"/>
      <c r="GLB994" s="124"/>
      <c r="GLC994" s="124"/>
      <c r="GLD994" s="124"/>
      <c r="GLE994" s="124"/>
      <c r="GLF994" s="124"/>
      <c r="GLG994" s="124"/>
      <c r="GLH994" s="124"/>
      <c r="GLI994" s="124"/>
      <c r="GLJ994" s="124"/>
      <c r="GLK994" s="124"/>
      <c r="GLL994" s="124"/>
      <c r="GLM994" s="124"/>
      <c r="GLN994" s="124"/>
      <c r="GLO994" s="124"/>
      <c r="GLP994" s="124"/>
      <c r="GLQ994" s="124"/>
      <c r="GLR994" s="124"/>
      <c r="GLS994" s="124"/>
      <c r="GLT994" s="124"/>
      <c r="GLU994" s="124"/>
      <c r="GLV994" s="124"/>
      <c r="GLW994" s="124"/>
      <c r="GLX994" s="124"/>
      <c r="GLY994" s="124"/>
      <c r="GLZ994" s="124"/>
      <c r="GMA994" s="124"/>
      <c r="GMB994" s="124"/>
      <c r="GMC994" s="124"/>
      <c r="GMD994" s="124"/>
      <c r="GME994" s="124"/>
      <c r="GMF994" s="124"/>
      <c r="GMG994" s="124"/>
      <c r="GMH994" s="124"/>
      <c r="GMI994" s="124"/>
      <c r="GMJ994" s="124"/>
      <c r="GMK994" s="124"/>
      <c r="GML994" s="124"/>
      <c r="GMM994" s="124"/>
      <c r="GMN994" s="124"/>
      <c r="GMO994" s="124"/>
      <c r="GMP994" s="124"/>
      <c r="GMQ994" s="124"/>
      <c r="GMR994" s="124"/>
      <c r="GMS994" s="124"/>
      <c r="GMT994" s="124"/>
      <c r="GMU994" s="124"/>
      <c r="GMV994" s="124"/>
      <c r="GMW994" s="124"/>
      <c r="GMX994" s="124"/>
      <c r="GMY994" s="124"/>
      <c r="GMZ994" s="124"/>
      <c r="GNA994" s="124"/>
      <c r="GNB994" s="124"/>
      <c r="GNC994" s="124"/>
      <c r="GND994" s="124"/>
      <c r="GNE994" s="124"/>
      <c r="GNF994" s="124"/>
      <c r="GNG994" s="124"/>
      <c r="GNH994" s="124"/>
      <c r="GNI994" s="124"/>
      <c r="GNJ994" s="124"/>
      <c r="GNK994" s="124"/>
      <c r="GNL994" s="124"/>
      <c r="GNM994" s="124"/>
      <c r="GNN994" s="124"/>
      <c r="GNO994" s="124"/>
      <c r="GNP994" s="124"/>
      <c r="GNQ994" s="124"/>
      <c r="GNR994" s="124"/>
      <c r="GNS994" s="124"/>
      <c r="GNT994" s="124"/>
      <c r="GNU994" s="124"/>
      <c r="GNV994" s="124"/>
      <c r="GNW994" s="124"/>
      <c r="GNX994" s="124"/>
      <c r="GNY994" s="124"/>
      <c r="GNZ994" s="124"/>
      <c r="GOA994" s="124"/>
      <c r="GOB994" s="124"/>
      <c r="GOC994" s="124"/>
      <c r="GOD994" s="124"/>
      <c r="GOE994" s="124"/>
      <c r="GOF994" s="124"/>
      <c r="GOG994" s="124"/>
      <c r="GOH994" s="124"/>
      <c r="GOI994" s="124"/>
      <c r="GOJ994" s="124"/>
      <c r="GOK994" s="124"/>
      <c r="GOL994" s="124"/>
      <c r="GOM994" s="124"/>
      <c r="GON994" s="124"/>
      <c r="GOO994" s="124"/>
      <c r="GOP994" s="124"/>
      <c r="GOQ994" s="124"/>
      <c r="GOR994" s="124"/>
      <c r="GOS994" s="124"/>
      <c r="GOT994" s="124"/>
      <c r="GOU994" s="124"/>
      <c r="GOV994" s="124"/>
      <c r="GOW994" s="124"/>
      <c r="GOX994" s="124"/>
      <c r="GOY994" s="124"/>
      <c r="GOZ994" s="124"/>
      <c r="GPA994" s="124"/>
      <c r="GPB994" s="124"/>
      <c r="GPC994" s="124"/>
      <c r="GPD994" s="124"/>
      <c r="GPE994" s="124"/>
      <c r="GPF994" s="124"/>
      <c r="GPG994" s="124"/>
      <c r="GPH994" s="124"/>
      <c r="GPI994" s="124"/>
      <c r="GPJ994" s="124"/>
      <c r="GPK994" s="124"/>
      <c r="GPL994" s="124"/>
      <c r="GPM994" s="124"/>
      <c r="GPN994" s="124"/>
      <c r="GPO994" s="124"/>
      <c r="GPP994" s="124"/>
      <c r="GPQ994" s="124"/>
      <c r="GPR994" s="124"/>
      <c r="GPS994" s="124"/>
      <c r="GPT994" s="124"/>
      <c r="GPU994" s="124"/>
      <c r="GPV994" s="124"/>
      <c r="GPW994" s="124"/>
      <c r="GPX994" s="124"/>
      <c r="GPY994" s="124"/>
      <c r="GPZ994" s="124"/>
      <c r="GQA994" s="124"/>
      <c r="GQB994" s="124"/>
      <c r="GQC994" s="124"/>
      <c r="GQD994" s="124"/>
      <c r="GQE994" s="124"/>
      <c r="GQF994" s="124"/>
      <c r="GQG994" s="124"/>
      <c r="GQH994" s="124"/>
      <c r="GQI994" s="124"/>
      <c r="GQJ994" s="124"/>
      <c r="GQK994" s="124"/>
      <c r="GQL994" s="124"/>
      <c r="GQM994" s="124"/>
      <c r="GQN994" s="124"/>
      <c r="GQO994" s="124"/>
      <c r="GQP994" s="124"/>
      <c r="GQQ994" s="124"/>
      <c r="GQR994" s="124"/>
      <c r="GQS994" s="124"/>
      <c r="GQT994" s="124"/>
      <c r="GQU994" s="124"/>
      <c r="GQV994" s="124"/>
      <c r="GQW994" s="124"/>
      <c r="GQX994" s="124"/>
      <c r="GQY994" s="124"/>
      <c r="GQZ994" s="124"/>
      <c r="GRA994" s="124"/>
      <c r="GRB994" s="124"/>
      <c r="GRC994" s="124"/>
      <c r="GRD994" s="124"/>
      <c r="GRE994" s="124"/>
      <c r="GRF994" s="124"/>
      <c r="GRG994" s="124"/>
      <c r="GRH994" s="124"/>
      <c r="GRI994" s="124"/>
      <c r="GRJ994" s="124"/>
      <c r="GRK994" s="124"/>
      <c r="GRL994" s="124"/>
      <c r="GRM994" s="124"/>
      <c r="GRN994" s="124"/>
      <c r="GRO994" s="124"/>
      <c r="GRP994" s="124"/>
      <c r="GRQ994" s="124"/>
      <c r="GRR994" s="124"/>
      <c r="GRS994" s="124"/>
      <c r="GRT994" s="124"/>
      <c r="GRU994" s="124"/>
      <c r="GRV994" s="124"/>
      <c r="GRW994" s="124"/>
      <c r="GRX994" s="124"/>
      <c r="GRY994" s="124"/>
      <c r="GRZ994" s="124"/>
      <c r="GSA994" s="124"/>
      <c r="GSB994" s="124"/>
      <c r="GSC994" s="124"/>
      <c r="GSD994" s="124"/>
      <c r="GSE994" s="124"/>
      <c r="GSF994" s="124"/>
      <c r="GSG994" s="124"/>
      <c r="GSH994" s="124"/>
      <c r="GSI994" s="124"/>
      <c r="GSJ994" s="124"/>
      <c r="GSK994" s="124"/>
      <c r="GSL994" s="124"/>
      <c r="GSM994" s="124"/>
      <c r="GSN994" s="124"/>
      <c r="GSO994" s="124"/>
      <c r="GSP994" s="124"/>
      <c r="GSQ994" s="124"/>
      <c r="GSR994" s="124"/>
      <c r="GSS994" s="124"/>
      <c r="GST994" s="124"/>
      <c r="GSU994" s="124"/>
      <c r="GSV994" s="124"/>
      <c r="GSW994" s="124"/>
      <c r="GSX994" s="124"/>
      <c r="GSY994" s="124"/>
      <c r="GSZ994" s="124"/>
      <c r="GTA994" s="124"/>
      <c r="GTB994" s="124"/>
      <c r="GTC994" s="124"/>
      <c r="GTD994" s="124"/>
      <c r="GTE994" s="124"/>
      <c r="GTF994" s="124"/>
      <c r="GTG994" s="124"/>
      <c r="GTH994" s="124"/>
      <c r="GTI994" s="124"/>
      <c r="GTJ994" s="124"/>
      <c r="GTK994" s="124"/>
      <c r="GTL994" s="124"/>
      <c r="GTM994" s="124"/>
      <c r="GTN994" s="124"/>
      <c r="GTO994" s="124"/>
      <c r="GTP994" s="124"/>
      <c r="GTQ994" s="124"/>
      <c r="GTR994" s="124"/>
      <c r="GTS994" s="124"/>
      <c r="GTT994" s="124"/>
      <c r="GTU994" s="124"/>
      <c r="GTV994" s="124"/>
      <c r="GTW994" s="124"/>
      <c r="GTX994" s="124"/>
      <c r="GTY994" s="124"/>
      <c r="GTZ994" s="124"/>
      <c r="GUA994" s="124"/>
      <c r="GUB994" s="124"/>
      <c r="GUC994" s="124"/>
      <c r="GUD994" s="124"/>
      <c r="GUE994" s="124"/>
      <c r="GUF994" s="124"/>
      <c r="GUG994" s="124"/>
      <c r="GUH994" s="124"/>
      <c r="GUI994" s="124"/>
      <c r="GUJ994" s="124"/>
      <c r="GUK994" s="124"/>
      <c r="GUL994" s="124"/>
      <c r="GUM994" s="124"/>
      <c r="GUN994" s="124"/>
      <c r="GUO994" s="124"/>
      <c r="GUP994" s="124"/>
      <c r="GUQ994" s="124"/>
      <c r="GUR994" s="124"/>
      <c r="GUS994" s="124"/>
      <c r="GUT994" s="124"/>
      <c r="GUU994" s="124"/>
      <c r="GUV994" s="124"/>
      <c r="GUW994" s="124"/>
      <c r="GUX994" s="124"/>
      <c r="GUY994" s="124"/>
      <c r="GUZ994" s="124"/>
      <c r="GVA994" s="124"/>
      <c r="GVB994" s="124"/>
      <c r="GVC994" s="124"/>
      <c r="GVD994" s="124"/>
      <c r="GVE994" s="124"/>
      <c r="GVF994" s="124"/>
      <c r="GVG994" s="124"/>
      <c r="GVH994" s="124"/>
      <c r="GVI994" s="124"/>
      <c r="GVJ994" s="124"/>
      <c r="GVK994" s="124"/>
      <c r="GVL994" s="124"/>
      <c r="GVM994" s="124"/>
      <c r="GVN994" s="124"/>
      <c r="GVO994" s="124"/>
      <c r="GVP994" s="124"/>
      <c r="GVQ994" s="124"/>
      <c r="GVR994" s="124"/>
      <c r="GVS994" s="124"/>
      <c r="GVT994" s="124"/>
      <c r="GVU994" s="124"/>
      <c r="GVV994" s="124"/>
      <c r="GVW994" s="124"/>
      <c r="GVX994" s="124"/>
      <c r="GVY994" s="124"/>
      <c r="GVZ994" s="124"/>
      <c r="GWA994" s="124"/>
      <c r="GWB994" s="124"/>
      <c r="GWC994" s="124"/>
      <c r="GWD994" s="124"/>
      <c r="GWE994" s="124"/>
      <c r="GWF994" s="124"/>
      <c r="GWG994" s="124"/>
      <c r="GWH994" s="124"/>
      <c r="GWI994" s="124"/>
      <c r="GWJ994" s="124"/>
      <c r="GWK994" s="124"/>
      <c r="GWL994" s="124"/>
      <c r="GWM994" s="124"/>
      <c r="GWN994" s="124"/>
      <c r="GWO994" s="124"/>
      <c r="GWP994" s="124"/>
      <c r="GWQ994" s="124"/>
      <c r="GWR994" s="124"/>
      <c r="GWS994" s="124"/>
      <c r="GWT994" s="124"/>
      <c r="GWU994" s="124"/>
      <c r="GWV994" s="124"/>
      <c r="GWW994" s="124"/>
      <c r="GWX994" s="124"/>
      <c r="GWY994" s="124"/>
      <c r="GWZ994" s="124"/>
      <c r="GXA994" s="124"/>
      <c r="GXB994" s="124"/>
      <c r="GXC994" s="124"/>
      <c r="GXD994" s="124"/>
      <c r="GXE994" s="124"/>
      <c r="GXF994" s="124"/>
      <c r="GXG994" s="124"/>
      <c r="GXH994" s="124"/>
      <c r="GXI994" s="124"/>
      <c r="GXJ994" s="124"/>
      <c r="GXK994" s="124"/>
      <c r="GXL994" s="124"/>
      <c r="GXM994" s="124"/>
      <c r="GXN994" s="124"/>
      <c r="GXO994" s="124"/>
      <c r="GXP994" s="124"/>
      <c r="GXQ994" s="124"/>
      <c r="GXR994" s="124"/>
      <c r="GXS994" s="124"/>
      <c r="GXT994" s="124"/>
      <c r="GXU994" s="124"/>
      <c r="GXV994" s="124"/>
      <c r="GXW994" s="124"/>
      <c r="GXX994" s="124"/>
      <c r="GXY994" s="124"/>
      <c r="GXZ994" s="124"/>
      <c r="GYA994" s="124"/>
      <c r="GYB994" s="124"/>
      <c r="GYC994" s="124"/>
      <c r="GYD994" s="124"/>
      <c r="GYE994" s="124"/>
      <c r="GYF994" s="124"/>
      <c r="GYG994" s="124"/>
      <c r="GYH994" s="124"/>
      <c r="GYI994" s="124"/>
      <c r="GYJ994" s="124"/>
      <c r="GYK994" s="124"/>
      <c r="GYL994" s="124"/>
      <c r="GYM994" s="124"/>
      <c r="GYN994" s="124"/>
      <c r="GYO994" s="124"/>
      <c r="GYP994" s="124"/>
      <c r="GYQ994" s="124"/>
      <c r="GYR994" s="124"/>
      <c r="GYS994" s="124"/>
      <c r="GYT994" s="124"/>
      <c r="GYU994" s="124"/>
      <c r="GYV994" s="124"/>
      <c r="GYW994" s="124"/>
      <c r="GYX994" s="124"/>
      <c r="GYY994" s="124"/>
      <c r="GYZ994" s="124"/>
      <c r="GZA994" s="124"/>
      <c r="GZB994" s="124"/>
      <c r="GZC994" s="124"/>
      <c r="GZD994" s="124"/>
      <c r="GZE994" s="124"/>
      <c r="GZF994" s="124"/>
      <c r="GZG994" s="124"/>
      <c r="GZH994" s="124"/>
      <c r="GZI994" s="124"/>
      <c r="GZJ994" s="124"/>
      <c r="GZK994" s="124"/>
      <c r="GZL994" s="124"/>
      <c r="GZM994" s="124"/>
      <c r="GZN994" s="124"/>
      <c r="GZO994" s="124"/>
      <c r="GZP994" s="124"/>
      <c r="GZQ994" s="124"/>
      <c r="GZR994" s="124"/>
      <c r="GZS994" s="124"/>
      <c r="GZT994" s="124"/>
      <c r="GZU994" s="124"/>
      <c r="GZV994" s="124"/>
      <c r="GZW994" s="124"/>
      <c r="GZX994" s="124"/>
      <c r="GZY994" s="124"/>
      <c r="GZZ994" s="124"/>
      <c r="HAA994" s="124"/>
      <c r="HAB994" s="124"/>
      <c r="HAC994" s="124"/>
      <c r="HAD994" s="124"/>
      <c r="HAE994" s="124"/>
      <c r="HAF994" s="124"/>
      <c r="HAG994" s="124"/>
      <c r="HAH994" s="124"/>
      <c r="HAI994" s="124"/>
      <c r="HAJ994" s="124"/>
      <c r="HAK994" s="124"/>
      <c r="HAL994" s="124"/>
      <c r="HAM994" s="124"/>
      <c r="HAN994" s="124"/>
      <c r="HAO994" s="124"/>
      <c r="HAP994" s="124"/>
      <c r="HAQ994" s="124"/>
      <c r="HAR994" s="124"/>
      <c r="HAS994" s="124"/>
      <c r="HAT994" s="124"/>
      <c r="HAU994" s="124"/>
      <c r="HAV994" s="124"/>
      <c r="HAW994" s="124"/>
      <c r="HAX994" s="124"/>
      <c r="HAY994" s="124"/>
      <c r="HAZ994" s="124"/>
      <c r="HBA994" s="124"/>
      <c r="HBB994" s="124"/>
      <c r="HBC994" s="124"/>
      <c r="HBD994" s="124"/>
      <c r="HBE994" s="124"/>
      <c r="HBF994" s="124"/>
      <c r="HBG994" s="124"/>
      <c r="HBH994" s="124"/>
      <c r="HBI994" s="124"/>
      <c r="HBJ994" s="124"/>
      <c r="HBK994" s="124"/>
      <c r="HBL994" s="124"/>
      <c r="HBM994" s="124"/>
      <c r="HBN994" s="124"/>
      <c r="HBO994" s="124"/>
      <c r="HBP994" s="124"/>
      <c r="HBQ994" s="124"/>
      <c r="HBR994" s="124"/>
      <c r="HBS994" s="124"/>
      <c r="HBT994" s="124"/>
      <c r="HBU994" s="124"/>
      <c r="HBV994" s="124"/>
      <c r="HBW994" s="124"/>
      <c r="HBX994" s="124"/>
      <c r="HBY994" s="124"/>
      <c r="HBZ994" s="124"/>
      <c r="HCA994" s="124"/>
      <c r="HCB994" s="124"/>
      <c r="HCC994" s="124"/>
      <c r="HCD994" s="124"/>
      <c r="HCE994" s="124"/>
      <c r="HCF994" s="124"/>
      <c r="HCG994" s="124"/>
      <c r="HCH994" s="124"/>
      <c r="HCI994" s="124"/>
      <c r="HCJ994" s="124"/>
      <c r="HCK994" s="124"/>
      <c r="HCL994" s="124"/>
      <c r="HCM994" s="124"/>
      <c r="HCN994" s="124"/>
      <c r="HCO994" s="124"/>
      <c r="HCP994" s="124"/>
      <c r="HCQ994" s="124"/>
      <c r="HCR994" s="124"/>
      <c r="HCS994" s="124"/>
      <c r="HCT994" s="124"/>
      <c r="HCU994" s="124"/>
      <c r="HCV994" s="124"/>
      <c r="HCW994" s="124"/>
      <c r="HCX994" s="124"/>
      <c r="HCY994" s="124"/>
      <c r="HCZ994" s="124"/>
      <c r="HDA994" s="124"/>
      <c r="HDB994" s="124"/>
      <c r="HDC994" s="124"/>
      <c r="HDD994" s="124"/>
      <c r="HDE994" s="124"/>
      <c r="HDF994" s="124"/>
      <c r="HDG994" s="124"/>
      <c r="HDH994" s="124"/>
      <c r="HDI994" s="124"/>
      <c r="HDJ994" s="124"/>
      <c r="HDK994" s="124"/>
      <c r="HDL994" s="124"/>
      <c r="HDM994" s="124"/>
      <c r="HDN994" s="124"/>
      <c r="HDO994" s="124"/>
      <c r="HDP994" s="124"/>
      <c r="HDQ994" s="124"/>
      <c r="HDR994" s="124"/>
      <c r="HDS994" s="124"/>
      <c r="HDT994" s="124"/>
      <c r="HDU994" s="124"/>
      <c r="HDV994" s="124"/>
      <c r="HDW994" s="124"/>
      <c r="HDX994" s="124"/>
      <c r="HDY994" s="124"/>
      <c r="HDZ994" s="124"/>
      <c r="HEA994" s="124"/>
      <c r="HEB994" s="124"/>
      <c r="HEC994" s="124"/>
      <c r="HED994" s="124"/>
      <c r="HEE994" s="124"/>
      <c r="HEF994" s="124"/>
      <c r="HEG994" s="124"/>
      <c r="HEH994" s="124"/>
      <c r="HEI994" s="124"/>
      <c r="HEJ994" s="124"/>
      <c r="HEK994" s="124"/>
      <c r="HEL994" s="124"/>
      <c r="HEM994" s="124"/>
      <c r="HEN994" s="124"/>
      <c r="HEO994" s="124"/>
      <c r="HEP994" s="124"/>
      <c r="HEQ994" s="124"/>
      <c r="HER994" s="124"/>
      <c r="HES994" s="124"/>
      <c r="HET994" s="124"/>
      <c r="HEU994" s="124"/>
      <c r="HEV994" s="124"/>
      <c r="HEW994" s="124"/>
      <c r="HEX994" s="124"/>
      <c r="HEY994" s="124"/>
      <c r="HEZ994" s="124"/>
      <c r="HFA994" s="124"/>
      <c r="HFB994" s="124"/>
      <c r="HFC994" s="124"/>
      <c r="HFD994" s="124"/>
      <c r="HFE994" s="124"/>
      <c r="HFF994" s="124"/>
      <c r="HFG994" s="124"/>
      <c r="HFH994" s="124"/>
      <c r="HFI994" s="124"/>
      <c r="HFJ994" s="124"/>
      <c r="HFK994" s="124"/>
      <c r="HFL994" s="124"/>
      <c r="HFM994" s="124"/>
      <c r="HFN994" s="124"/>
      <c r="HFO994" s="124"/>
      <c r="HFP994" s="124"/>
      <c r="HFQ994" s="124"/>
      <c r="HFR994" s="124"/>
      <c r="HFS994" s="124"/>
      <c r="HFT994" s="124"/>
      <c r="HFU994" s="124"/>
      <c r="HFV994" s="124"/>
      <c r="HFW994" s="124"/>
      <c r="HFX994" s="124"/>
      <c r="HFY994" s="124"/>
      <c r="HFZ994" s="124"/>
      <c r="HGA994" s="124"/>
      <c r="HGB994" s="124"/>
      <c r="HGC994" s="124"/>
      <c r="HGD994" s="124"/>
      <c r="HGE994" s="124"/>
      <c r="HGF994" s="124"/>
      <c r="HGG994" s="124"/>
      <c r="HGH994" s="124"/>
      <c r="HGI994" s="124"/>
      <c r="HGJ994" s="124"/>
      <c r="HGK994" s="124"/>
      <c r="HGL994" s="124"/>
      <c r="HGM994" s="124"/>
      <c r="HGN994" s="124"/>
      <c r="HGO994" s="124"/>
      <c r="HGP994" s="124"/>
      <c r="HGQ994" s="124"/>
      <c r="HGR994" s="124"/>
      <c r="HGS994" s="124"/>
      <c r="HGT994" s="124"/>
      <c r="HGU994" s="124"/>
      <c r="HGV994" s="124"/>
      <c r="HGW994" s="124"/>
      <c r="HGX994" s="124"/>
      <c r="HGY994" s="124"/>
      <c r="HGZ994" s="124"/>
      <c r="HHA994" s="124"/>
      <c r="HHB994" s="124"/>
      <c r="HHC994" s="124"/>
      <c r="HHD994" s="124"/>
      <c r="HHE994" s="124"/>
      <c r="HHF994" s="124"/>
      <c r="HHG994" s="124"/>
      <c r="HHH994" s="124"/>
      <c r="HHI994" s="124"/>
      <c r="HHJ994" s="124"/>
      <c r="HHK994" s="124"/>
      <c r="HHL994" s="124"/>
      <c r="HHM994" s="124"/>
      <c r="HHN994" s="124"/>
      <c r="HHO994" s="124"/>
      <c r="HHP994" s="124"/>
      <c r="HHQ994" s="124"/>
      <c r="HHR994" s="124"/>
      <c r="HHS994" s="124"/>
      <c r="HHT994" s="124"/>
      <c r="HHU994" s="124"/>
      <c r="HHV994" s="124"/>
      <c r="HHW994" s="124"/>
      <c r="HHX994" s="124"/>
      <c r="HHY994" s="124"/>
      <c r="HHZ994" s="124"/>
      <c r="HIA994" s="124"/>
      <c r="HIB994" s="124"/>
      <c r="HIC994" s="124"/>
      <c r="HID994" s="124"/>
      <c r="HIE994" s="124"/>
      <c r="HIF994" s="124"/>
      <c r="HIG994" s="124"/>
      <c r="HIH994" s="124"/>
      <c r="HII994" s="124"/>
      <c r="HIJ994" s="124"/>
      <c r="HIK994" s="124"/>
      <c r="HIL994" s="124"/>
      <c r="HIM994" s="124"/>
      <c r="HIN994" s="124"/>
      <c r="HIO994" s="124"/>
      <c r="HIP994" s="124"/>
      <c r="HIQ994" s="124"/>
      <c r="HIR994" s="124"/>
      <c r="HIS994" s="124"/>
      <c r="HIT994" s="124"/>
      <c r="HIU994" s="124"/>
      <c r="HIV994" s="124"/>
      <c r="HIW994" s="124"/>
      <c r="HIX994" s="124"/>
      <c r="HIY994" s="124"/>
      <c r="HIZ994" s="124"/>
      <c r="HJA994" s="124"/>
      <c r="HJB994" s="124"/>
      <c r="HJC994" s="124"/>
      <c r="HJD994" s="124"/>
      <c r="HJE994" s="124"/>
      <c r="HJF994" s="124"/>
      <c r="HJG994" s="124"/>
      <c r="HJH994" s="124"/>
      <c r="HJI994" s="124"/>
      <c r="HJJ994" s="124"/>
      <c r="HJK994" s="124"/>
      <c r="HJL994" s="124"/>
      <c r="HJM994" s="124"/>
      <c r="HJN994" s="124"/>
      <c r="HJO994" s="124"/>
      <c r="HJP994" s="124"/>
      <c r="HJQ994" s="124"/>
      <c r="HJR994" s="124"/>
      <c r="HJS994" s="124"/>
      <c r="HJT994" s="124"/>
      <c r="HJU994" s="124"/>
      <c r="HJV994" s="124"/>
      <c r="HJW994" s="124"/>
      <c r="HJX994" s="124"/>
      <c r="HJY994" s="124"/>
      <c r="HJZ994" s="124"/>
      <c r="HKA994" s="124"/>
      <c r="HKB994" s="124"/>
      <c r="HKC994" s="124"/>
      <c r="HKD994" s="124"/>
      <c r="HKE994" s="124"/>
      <c r="HKF994" s="124"/>
      <c r="HKG994" s="124"/>
      <c r="HKH994" s="124"/>
      <c r="HKI994" s="124"/>
      <c r="HKJ994" s="124"/>
      <c r="HKK994" s="124"/>
      <c r="HKL994" s="124"/>
      <c r="HKM994" s="124"/>
      <c r="HKN994" s="124"/>
      <c r="HKO994" s="124"/>
      <c r="HKP994" s="124"/>
      <c r="HKQ994" s="124"/>
      <c r="HKR994" s="124"/>
      <c r="HKS994" s="124"/>
      <c r="HKT994" s="124"/>
      <c r="HKU994" s="124"/>
      <c r="HKV994" s="124"/>
      <c r="HKW994" s="124"/>
      <c r="HKX994" s="124"/>
      <c r="HKY994" s="124"/>
      <c r="HKZ994" s="124"/>
      <c r="HLA994" s="124"/>
      <c r="HLB994" s="124"/>
      <c r="HLC994" s="124"/>
      <c r="HLD994" s="124"/>
      <c r="HLE994" s="124"/>
      <c r="HLF994" s="124"/>
      <c r="HLG994" s="124"/>
      <c r="HLH994" s="124"/>
      <c r="HLI994" s="124"/>
      <c r="HLJ994" s="124"/>
      <c r="HLK994" s="124"/>
      <c r="HLL994" s="124"/>
      <c r="HLM994" s="124"/>
      <c r="HLN994" s="124"/>
      <c r="HLO994" s="124"/>
      <c r="HLP994" s="124"/>
      <c r="HLQ994" s="124"/>
      <c r="HLR994" s="124"/>
      <c r="HLS994" s="124"/>
      <c r="HLT994" s="124"/>
      <c r="HLU994" s="124"/>
      <c r="HLV994" s="124"/>
      <c r="HLW994" s="124"/>
      <c r="HLX994" s="124"/>
      <c r="HLY994" s="124"/>
      <c r="HLZ994" s="124"/>
      <c r="HMA994" s="124"/>
      <c r="HMB994" s="124"/>
      <c r="HMC994" s="124"/>
      <c r="HMD994" s="124"/>
      <c r="HME994" s="124"/>
      <c r="HMF994" s="124"/>
      <c r="HMG994" s="124"/>
      <c r="HMH994" s="124"/>
      <c r="HMI994" s="124"/>
      <c r="HMJ994" s="124"/>
      <c r="HMK994" s="124"/>
      <c r="HML994" s="124"/>
      <c r="HMM994" s="124"/>
      <c r="HMN994" s="124"/>
      <c r="HMO994" s="124"/>
      <c r="HMP994" s="124"/>
      <c r="HMQ994" s="124"/>
      <c r="HMR994" s="124"/>
      <c r="HMS994" s="124"/>
      <c r="HMT994" s="124"/>
      <c r="HMU994" s="124"/>
      <c r="HMV994" s="124"/>
      <c r="HMW994" s="124"/>
      <c r="HMX994" s="124"/>
      <c r="HMY994" s="124"/>
      <c r="HMZ994" s="124"/>
      <c r="HNA994" s="124"/>
      <c r="HNB994" s="124"/>
      <c r="HNC994" s="124"/>
      <c r="HND994" s="124"/>
      <c r="HNE994" s="124"/>
      <c r="HNF994" s="124"/>
      <c r="HNG994" s="124"/>
      <c r="HNH994" s="124"/>
      <c r="HNI994" s="124"/>
      <c r="HNJ994" s="124"/>
      <c r="HNK994" s="124"/>
      <c r="HNL994" s="124"/>
      <c r="HNM994" s="124"/>
      <c r="HNN994" s="124"/>
      <c r="HNO994" s="124"/>
      <c r="HNP994" s="124"/>
      <c r="HNQ994" s="124"/>
      <c r="HNR994" s="124"/>
      <c r="HNS994" s="124"/>
      <c r="HNT994" s="124"/>
      <c r="HNU994" s="124"/>
      <c r="HNV994" s="124"/>
      <c r="HNW994" s="124"/>
      <c r="HNX994" s="124"/>
      <c r="HNY994" s="124"/>
      <c r="HNZ994" s="124"/>
      <c r="HOA994" s="124"/>
      <c r="HOB994" s="124"/>
      <c r="HOC994" s="124"/>
      <c r="HOD994" s="124"/>
      <c r="HOE994" s="124"/>
      <c r="HOF994" s="124"/>
      <c r="HOG994" s="124"/>
      <c r="HOH994" s="124"/>
      <c r="HOI994" s="124"/>
      <c r="HOJ994" s="124"/>
      <c r="HOK994" s="124"/>
      <c r="HOL994" s="124"/>
      <c r="HOM994" s="124"/>
      <c r="HON994" s="124"/>
      <c r="HOO994" s="124"/>
      <c r="HOP994" s="124"/>
      <c r="HOQ994" s="124"/>
      <c r="HOR994" s="124"/>
      <c r="HOS994" s="124"/>
      <c r="HOT994" s="124"/>
      <c r="HOU994" s="124"/>
      <c r="HOV994" s="124"/>
      <c r="HOW994" s="124"/>
      <c r="HOX994" s="124"/>
      <c r="HOY994" s="124"/>
      <c r="HOZ994" s="124"/>
      <c r="HPA994" s="124"/>
      <c r="HPB994" s="124"/>
      <c r="HPC994" s="124"/>
      <c r="HPD994" s="124"/>
      <c r="HPE994" s="124"/>
      <c r="HPF994" s="124"/>
      <c r="HPG994" s="124"/>
      <c r="HPH994" s="124"/>
      <c r="HPI994" s="124"/>
      <c r="HPJ994" s="124"/>
      <c r="HPK994" s="124"/>
      <c r="HPL994" s="124"/>
      <c r="HPM994" s="124"/>
      <c r="HPN994" s="124"/>
      <c r="HPO994" s="124"/>
      <c r="HPP994" s="124"/>
      <c r="HPQ994" s="124"/>
      <c r="HPR994" s="124"/>
      <c r="HPS994" s="124"/>
      <c r="HPT994" s="124"/>
      <c r="HPU994" s="124"/>
      <c r="HPV994" s="124"/>
      <c r="HPW994" s="124"/>
      <c r="HPX994" s="124"/>
      <c r="HPY994" s="124"/>
      <c r="HPZ994" s="124"/>
      <c r="HQA994" s="124"/>
      <c r="HQB994" s="124"/>
      <c r="HQC994" s="124"/>
      <c r="HQD994" s="124"/>
      <c r="HQE994" s="124"/>
      <c r="HQF994" s="124"/>
      <c r="HQG994" s="124"/>
      <c r="HQH994" s="124"/>
      <c r="HQI994" s="124"/>
      <c r="HQJ994" s="124"/>
      <c r="HQK994" s="124"/>
      <c r="HQL994" s="124"/>
      <c r="HQM994" s="124"/>
      <c r="HQN994" s="124"/>
      <c r="HQO994" s="124"/>
      <c r="HQP994" s="124"/>
      <c r="HQQ994" s="124"/>
      <c r="HQR994" s="124"/>
      <c r="HQS994" s="124"/>
      <c r="HQT994" s="124"/>
      <c r="HQU994" s="124"/>
      <c r="HQV994" s="124"/>
      <c r="HQW994" s="124"/>
      <c r="HQX994" s="124"/>
      <c r="HQY994" s="124"/>
      <c r="HQZ994" s="124"/>
      <c r="HRA994" s="124"/>
      <c r="HRB994" s="124"/>
      <c r="HRC994" s="124"/>
      <c r="HRD994" s="124"/>
      <c r="HRE994" s="124"/>
      <c r="HRF994" s="124"/>
      <c r="HRG994" s="124"/>
      <c r="HRH994" s="124"/>
      <c r="HRI994" s="124"/>
      <c r="HRJ994" s="124"/>
      <c r="HRK994" s="124"/>
      <c r="HRL994" s="124"/>
      <c r="HRM994" s="124"/>
      <c r="HRN994" s="124"/>
      <c r="HRO994" s="124"/>
      <c r="HRP994" s="124"/>
      <c r="HRQ994" s="124"/>
      <c r="HRR994" s="124"/>
      <c r="HRS994" s="124"/>
      <c r="HRT994" s="124"/>
      <c r="HRU994" s="124"/>
      <c r="HRV994" s="124"/>
      <c r="HRW994" s="124"/>
      <c r="HRX994" s="124"/>
      <c r="HRY994" s="124"/>
      <c r="HRZ994" s="124"/>
      <c r="HSA994" s="124"/>
      <c r="HSB994" s="124"/>
      <c r="HSC994" s="124"/>
      <c r="HSD994" s="124"/>
      <c r="HSE994" s="124"/>
      <c r="HSF994" s="124"/>
      <c r="HSG994" s="124"/>
      <c r="HSH994" s="124"/>
      <c r="HSI994" s="124"/>
      <c r="HSJ994" s="124"/>
      <c r="HSK994" s="124"/>
      <c r="HSL994" s="124"/>
      <c r="HSM994" s="124"/>
      <c r="HSN994" s="124"/>
      <c r="HSO994" s="124"/>
      <c r="HSP994" s="124"/>
      <c r="HSQ994" s="124"/>
      <c r="HSR994" s="124"/>
      <c r="HSS994" s="124"/>
      <c r="HST994" s="124"/>
      <c r="HSU994" s="124"/>
      <c r="HSV994" s="124"/>
      <c r="HSW994" s="124"/>
      <c r="HSX994" s="124"/>
      <c r="HSY994" s="124"/>
      <c r="HSZ994" s="124"/>
      <c r="HTA994" s="124"/>
      <c r="HTB994" s="124"/>
      <c r="HTC994" s="124"/>
      <c r="HTD994" s="124"/>
      <c r="HTE994" s="124"/>
      <c r="HTF994" s="124"/>
      <c r="HTG994" s="124"/>
      <c r="HTH994" s="124"/>
      <c r="HTI994" s="124"/>
      <c r="HTJ994" s="124"/>
      <c r="HTK994" s="124"/>
      <c r="HTL994" s="124"/>
      <c r="HTM994" s="124"/>
      <c r="HTN994" s="124"/>
      <c r="HTO994" s="124"/>
      <c r="HTP994" s="124"/>
      <c r="HTQ994" s="124"/>
      <c r="HTR994" s="124"/>
      <c r="HTS994" s="124"/>
      <c r="HTT994" s="124"/>
      <c r="HTU994" s="124"/>
      <c r="HTV994" s="124"/>
      <c r="HTW994" s="124"/>
      <c r="HTX994" s="124"/>
      <c r="HTY994" s="124"/>
      <c r="HTZ994" s="124"/>
      <c r="HUA994" s="124"/>
      <c r="HUB994" s="124"/>
      <c r="HUC994" s="124"/>
      <c r="HUD994" s="124"/>
      <c r="HUE994" s="124"/>
      <c r="HUF994" s="124"/>
      <c r="HUG994" s="124"/>
      <c r="HUH994" s="124"/>
      <c r="HUI994" s="124"/>
      <c r="HUJ994" s="124"/>
      <c r="HUK994" s="124"/>
      <c r="HUL994" s="124"/>
      <c r="HUM994" s="124"/>
      <c r="HUN994" s="124"/>
      <c r="HUO994" s="124"/>
      <c r="HUP994" s="124"/>
      <c r="HUQ994" s="124"/>
      <c r="HUR994" s="124"/>
      <c r="HUS994" s="124"/>
      <c r="HUT994" s="124"/>
      <c r="HUU994" s="124"/>
      <c r="HUV994" s="124"/>
      <c r="HUW994" s="124"/>
      <c r="HUX994" s="124"/>
      <c r="HUY994" s="124"/>
      <c r="HUZ994" s="124"/>
      <c r="HVA994" s="124"/>
      <c r="HVB994" s="124"/>
      <c r="HVC994" s="124"/>
      <c r="HVD994" s="124"/>
      <c r="HVE994" s="124"/>
      <c r="HVF994" s="124"/>
      <c r="HVG994" s="124"/>
      <c r="HVH994" s="124"/>
      <c r="HVI994" s="124"/>
      <c r="HVJ994" s="124"/>
      <c r="HVK994" s="124"/>
      <c r="HVL994" s="124"/>
      <c r="HVM994" s="124"/>
      <c r="HVN994" s="124"/>
      <c r="HVO994" s="124"/>
      <c r="HVP994" s="124"/>
      <c r="HVQ994" s="124"/>
      <c r="HVR994" s="124"/>
      <c r="HVS994" s="124"/>
      <c r="HVT994" s="124"/>
      <c r="HVU994" s="124"/>
      <c r="HVV994" s="124"/>
      <c r="HVW994" s="124"/>
      <c r="HVX994" s="124"/>
      <c r="HVY994" s="124"/>
      <c r="HVZ994" s="124"/>
      <c r="HWA994" s="124"/>
      <c r="HWB994" s="124"/>
      <c r="HWC994" s="124"/>
      <c r="HWD994" s="124"/>
      <c r="HWE994" s="124"/>
      <c r="HWF994" s="124"/>
      <c r="HWG994" s="124"/>
      <c r="HWH994" s="124"/>
      <c r="HWI994" s="124"/>
      <c r="HWJ994" s="124"/>
      <c r="HWK994" s="124"/>
      <c r="HWL994" s="124"/>
      <c r="HWM994" s="124"/>
      <c r="HWN994" s="124"/>
      <c r="HWO994" s="124"/>
      <c r="HWP994" s="124"/>
      <c r="HWQ994" s="124"/>
      <c r="HWR994" s="124"/>
      <c r="HWS994" s="124"/>
      <c r="HWT994" s="124"/>
      <c r="HWU994" s="124"/>
      <c r="HWV994" s="124"/>
      <c r="HWW994" s="124"/>
      <c r="HWX994" s="124"/>
      <c r="HWY994" s="124"/>
      <c r="HWZ994" s="124"/>
      <c r="HXA994" s="124"/>
      <c r="HXB994" s="124"/>
      <c r="HXC994" s="124"/>
      <c r="HXD994" s="124"/>
      <c r="HXE994" s="124"/>
      <c r="HXF994" s="124"/>
      <c r="HXG994" s="124"/>
      <c r="HXH994" s="124"/>
      <c r="HXI994" s="124"/>
      <c r="HXJ994" s="124"/>
      <c r="HXK994" s="124"/>
      <c r="HXL994" s="124"/>
      <c r="HXM994" s="124"/>
      <c r="HXN994" s="124"/>
      <c r="HXO994" s="124"/>
      <c r="HXP994" s="124"/>
      <c r="HXQ994" s="124"/>
      <c r="HXR994" s="124"/>
      <c r="HXS994" s="124"/>
      <c r="HXT994" s="124"/>
      <c r="HXU994" s="124"/>
      <c r="HXV994" s="124"/>
      <c r="HXW994" s="124"/>
      <c r="HXX994" s="124"/>
      <c r="HXY994" s="124"/>
      <c r="HXZ994" s="124"/>
      <c r="HYA994" s="124"/>
      <c r="HYB994" s="124"/>
      <c r="HYC994" s="124"/>
      <c r="HYD994" s="124"/>
      <c r="HYE994" s="124"/>
      <c r="HYF994" s="124"/>
      <c r="HYG994" s="124"/>
      <c r="HYH994" s="124"/>
      <c r="HYI994" s="124"/>
      <c r="HYJ994" s="124"/>
      <c r="HYK994" s="124"/>
      <c r="HYL994" s="124"/>
      <c r="HYM994" s="124"/>
      <c r="HYN994" s="124"/>
      <c r="HYO994" s="124"/>
      <c r="HYP994" s="124"/>
      <c r="HYQ994" s="124"/>
      <c r="HYR994" s="124"/>
      <c r="HYS994" s="124"/>
      <c r="HYT994" s="124"/>
      <c r="HYU994" s="124"/>
      <c r="HYV994" s="124"/>
      <c r="HYW994" s="124"/>
      <c r="HYX994" s="124"/>
      <c r="HYY994" s="124"/>
      <c r="HYZ994" s="124"/>
      <c r="HZA994" s="124"/>
      <c r="HZB994" s="124"/>
      <c r="HZC994" s="124"/>
      <c r="HZD994" s="124"/>
      <c r="HZE994" s="124"/>
      <c r="HZF994" s="124"/>
      <c r="HZG994" s="124"/>
      <c r="HZH994" s="124"/>
      <c r="HZI994" s="124"/>
      <c r="HZJ994" s="124"/>
      <c r="HZK994" s="124"/>
      <c r="HZL994" s="124"/>
      <c r="HZM994" s="124"/>
      <c r="HZN994" s="124"/>
      <c r="HZO994" s="124"/>
      <c r="HZP994" s="124"/>
      <c r="HZQ994" s="124"/>
      <c r="HZR994" s="124"/>
      <c r="HZS994" s="124"/>
      <c r="HZT994" s="124"/>
      <c r="HZU994" s="124"/>
      <c r="HZV994" s="124"/>
      <c r="HZW994" s="124"/>
      <c r="HZX994" s="124"/>
      <c r="HZY994" s="124"/>
      <c r="HZZ994" s="124"/>
      <c r="IAA994" s="124"/>
      <c r="IAB994" s="124"/>
      <c r="IAC994" s="124"/>
      <c r="IAD994" s="124"/>
      <c r="IAE994" s="124"/>
      <c r="IAF994" s="124"/>
      <c r="IAG994" s="124"/>
      <c r="IAH994" s="124"/>
      <c r="IAI994" s="124"/>
      <c r="IAJ994" s="124"/>
      <c r="IAK994" s="124"/>
      <c r="IAL994" s="124"/>
      <c r="IAM994" s="124"/>
      <c r="IAN994" s="124"/>
      <c r="IAO994" s="124"/>
      <c r="IAP994" s="124"/>
      <c r="IAQ994" s="124"/>
      <c r="IAR994" s="124"/>
      <c r="IAS994" s="124"/>
      <c r="IAT994" s="124"/>
      <c r="IAU994" s="124"/>
      <c r="IAV994" s="124"/>
      <c r="IAW994" s="124"/>
      <c r="IAX994" s="124"/>
      <c r="IAY994" s="124"/>
      <c r="IAZ994" s="124"/>
      <c r="IBA994" s="124"/>
      <c r="IBB994" s="124"/>
      <c r="IBC994" s="124"/>
      <c r="IBD994" s="124"/>
      <c r="IBE994" s="124"/>
      <c r="IBF994" s="124"/>
      <c r="IBG994" s="124"/>
      <c r="IBH994" s="124"/>
      <c r="IBI994" s="124"/>
      <c r="IBJ994" s="124"/>
      <c r="IBK994" s="124"/>
      <c r="IBL994" s="124"/>
      <c r="IBM994" s="124"/>
      <c r="IBN994" s="124"/>
      <c r="IBO994" s="124"/>
      <c r="IBP994" s="124"/>
      <c r="IBQ994" s="124"/>
      <c r="IBR994" s="124"/>
      <c r="IBS994" s="124"/>
      <c r="IBT994" s="124"/>
      <c r="IBU994" s="124"/>
      <c r="IBV994" s="124"/>
      <c r="IBW994" s="124"/>
      <c r="IBX994" s="124"/>
      <c r="IBY994" s="124"/>
      <c r="IBZ994" s="124"/>
      <c r="ICA994" s="124"/>
      <c r="ICB994" s="124"/>
      <c r="ICC994" s="124"/>
      <c r="ICD994" s="124"/>
      <c r="ICE994" s="124"/>
      <c r="ICF994" s="124"/>
      <c r="ICG994" s="124"/>
      <c r="ICH994" s="124"/>
      <c r="ICI994" s="124"/>
      <c r="ICJ994" s="124"/>
      <c r="ICK994" s="124"/>
      <c r="ICL994" s="124"/>
      <c r="ICM994" s="124"/>
      <c r="ICN994" s="124"/>
      <c r="ICO994" s="124"/>
      <c r="ICP994" s="124"/>
      <c r="ICQ994" s="124"/>
      <c r="ICR994" s="124"/>
      <c r="ICS994" s="124"/>
      <c r="ICT994" s="124"/>
      <c r="ICU994" s="124"/>
      <c r="ICV994" s="124"/>
      <c r="ICW994" s="124"/>
      <c r="ICX994" s="124"/>
      <c r="ICY994" s="124"/>
      <c r="ICZ994" s="124"/>
      <c r="IDA994" s="124"/>
      <c r="IDB994" s="124"/>
      <c r="IDC994" s="124"/>
      <c r="IDD994" s="124"/>
      <c r="IDE994" s="124"/>
      <c r="IDF994" s="124"/>
      <c r="IDG994" s="124"/>
      <c r="IDH994" s="124"/>
      <c r="IDI994" s="124"/>
      <c r="IDJ994" s="124"/>
      <c r="IDK994" s="124"/>
      <c r="IDL994" s="124"/>
      <c r="IDM994" s="124"/>
      <c r="IDN994" s="124"/>
      <c r="IDO994" s="124"/>
      <c r="IDP994" s="124"/>
      <c r="IDQ994" s="124"/>
      <c r="IDR994" s="124"/>
      <c r="IDS994" s="124"/>
      <c r="IDT994" s="124"/>
      <c r="IDU994" s="124"/>
      <c r="IDV994" s="124"/>
      <c r="IDW994" s="124"/>
      <c r="IDX994" s="124"/>
      <c r="IDY994" s="124"/>
      <c r="IDZ994" s="124"/>
      <c r="IEA994" s="124"/>
      <c r="IEB994" s="124"/>
      <c r="IEC994" s="124"/>
      <c r="IED994" s="124"/>
      <c r="IEE994" s="124"/>
      <c r="IEF994" s="124"/>
      <c r="IEG994" s="124"/>
      <c r="IEH994" s="124"/>
      <c r="IEI994" s="124"/>
      <c r="IEJ994" s="124"/>
      <c r="IEK994" s="124"/>
      <c r="IEL994" s="124"/>
      <c r="IEM994" s="124"/>
      <c r="IEN994" s="124"/>
      <c r="IEO994" s="124"/>
      <c r="IEP994" s="124"/>
      <c r="IEQ994" s="124"/>
      <c r="IER994" s="124"/>
      <c r="IES994" s="124"/>
      <c r="IET994" s="124"/>
      <c r="IEU994" s="124"/>
      <c r="IEV994" s="124"/>
      <c r="IEW994" s="124"/>
      <c r="IEX994" s="124"/>
      <c r="IEY994" s="124"/>
      <c r="IEZ994" s="124"/>
      <c r="IFA994" s="124"/>
      <c r="IFB994" s="124"/>
      <c r="IFC994" s="124"/>
      <c r="IFD994" s="124"/>
      <c r="IFE994" s="124"/>
      <c r="IFF994" s="124"/>
      <c r="IFG994" s="124"/>
      <c r="IFH994" s="124"/>
      <c r="IFI994" s="124"/>
      <c r="IFJ994" s="124"/>
      <c r="IFK994" s="124"/>
      <c r="IFL994" s="124"/>
      <c r="IFM994" s="124"/>
      <c r="IFN994" s="124"/>
      <c r="IFO994" s="124"/>
      <c r="IFP994" s="124"/>
      <c r="IFQ994" s="124"/>
      <c r="IFR994" s="124"/>
      <c r="IFS994" s="124"/>
      <c r="IFT994" s="124"/>
      <c r="IFU994" s="124"/>
      <c r="IFV994" s="124"/>
      <c r="IFW994" s="124"/>
      <c r="IFX994" s="124"/>
      <c r="IFY994" s="124"/>
      <c r="IFZ994" s="124"/>
      <c r="IGA994" s="124"/>
      <c r="IGB994" s="124"/>
      <c r="IGC994" s="124"/>
      <c r="IGD994" s="124"/>
      <c r="IGE994" s="124"/>
      <c r="IGF994" s="124"/>
      <c r="IGG994" s="124"/>
      <c r="IGH994" s="124"/>
      <c r="IGI994" s="124"/>
      <c r="IGJ994" s="124"/>
      <c r="IGK994" s="124"/>
      <c r="IGL994" s="124"/>
      <c r="IGM994" s="124"/>
      <c r="IGN994" s="124"/>
      <c r="IGO994" s="124"/>
      <c r="IGP994" s="124"/>
      <c r="IGQ994" s="124"/>
      <c r="IGR994" s="124"/>
      <c r="IGS994" s="124"/>
      <c r="IGT994" s="124"/>
      <c r="IGU994" s="124"/>
      <c r="IGV994" s="124"/>
      <c r="IGW994" s="124"/>
      <c r="IGX994" s="124"/>
      <c r="IGY994" s="124"/>
      <c r="IGZ994" s="124"/>
      <c r="IHA994" s="124"/>
      <c r="IHB994" s="124"/>
      <c r="IHC994" s="124"/>
      <c r="IHD994" s="124"/>
      <c r="IHE994" s="124"/>
      <c r="IHF994" s="124"/>
      <c r="IHG994" s="124"/>
      <c r="IHH994" s="124"/>
      <c r="IHI994" s="124"/>
      <c r="IHJ994" s="124"/>
      <c r="IHK994" s="124"/>
      <c r="IHL994" s="124"/>
      <c r="IHM994" s="124"/>
      <c r="IHN994" s="124"/>
      <c r="IHO994" s="124"/>
      <c r="IHP994" s="124"/>
      <c r="IHQ994" s="124"/>
      <c r="IHR994" s="124"/>
      <c r="IHS994" s="124"/>
      <c r="IHT994" s="124"/>
      <c r="IHU994" s="124"/>
      <c r="IHV994" s="124"/>
      <c r="IHW994" s="124"/>
      <c r="IHX994" s="124"/>
      <c r="IHY994" s="124"/>
      <c r="IHZ994" s="124"/>
      <c r="IIA994" s="124"/>
      <c r="IIB994" s="124"/>
      <c r="IIC994" s="124"/>
      <c r="IID994" s="124"/>
      <c r="IIE994" s="124"/>
      <c r="IIF994" s="124"/>
      <c r="IIG994" s="124"/>
      <c r="IIH994" s="124"/>
      <c r="III994" s="124"/>
      <c r="IIJ994" s="124"/>
      <c r="IIK994" s="124"/>
      <c r="IIL994" s="124"/>
      <c r="IIM994" s="124"/>
      <c r="IIN994" s="124"/>
      <c r="IIO994" s="124"/>
      <c r="IIP994" s="124"/>
      <c r="IIQ994" s="124"/>
      <c r="IIR994" s="124"/>
      <c r="IIS994" s="124"/>
      <c r="IIT994" s="124"/>
      <c r="IIU994" s="124"/>
      <c r="IIV994" s="124"/>
      <c r="IIW994" s="124"/>
      <c r="IIX994" s="124"/>
      <c r="IIY994" s="124"/>
      <c r="IIZ994" s="124"/>
      <c r="IJA994" s="124"/>
      <c r="IJB994" s="124"/>
      <c r="IJC994" s="124"/>
      <c r="IJD994" s="124"/>
      <c r="IJE994" s="124"/>
      <c r="IJF994" s="124"/>
      <c r="IJG994" s="124"/>
      <c r="IJH994" s="124"/>
      <c r="IJI994" s="124"/>
      <c r="IJJ994" s="124"/>
      <c r="IJK994" s="124"/>
      <c r="IJL994" s="124"/>
      <c r="IJM994" s="124"/>
      <c r="IJN994" s="124"/>
      <c r="IJO994" s="124"/>
      <c r="IJP994" s="124"/>
      <c r="IJQ994" s="124"/>
      <c r="IJR994" s="124"/>
      <c r="IJS994" s="124"/>
      <c r="IJT994" s="124"/>
      <c r="IJU994" s="124"/>
      <c r="IJV994" s="124"/>
      <c r="IJW994" s="124"/>
      <c r="IJX994" s="124"/>
      <c r="IJY994" s="124"/>
      <c r="IJZ994" s="124"/>
      <c r="IKA994" s="124"/>
      <c r="IKB994" s="124"/>
      <c r="IKC994" s="124"/>
      <c r="IKD994" s="124"/>
      <c r="IKE994" s="124"/>
      <c r="IKF994" s="124"/>
      <c r="IKG994" s="124"/>
      <c r="IKH994" s="124"/>
      <c r="IKI994" s="124"/>
      <c r="IKJ994" s="124"/>
      <c r="IKK994" s="124"/>
      <c r="IKL994" s="124"/>
      <c r="IKM994" s="124"/>
      <c r="IKN994" s="124"/>
      <c r="IKO994" s="124"/>
      <c r="IKP994" s="124"/>
      <c r="IKQ994" s="124"/>
      <c r="IKR994" s="124"/>
      <c r="IKS994" s="124"/>
      <c r="IKT994" s="124"/>
      <c r="IKU994" s="124"/>
      <c r="IKV994" s="124"/>
      <c r="IKW994" s="124"/>
      <c r="IKX994" s="124"/>
      <c r="IKY994" s="124"/>
      <c r="IKZ994" s="124"/>
      <c r="ILA994" s="124"/>
      <c r="ILB994" s="124"/>
      <c r="ILC994" s="124"/>
      <c r="ILD994" s="124"/>
      <c r="ILE994" s="124"/>
      <c r="ILF994" s="124"/>
      <c r="ILG994" s="124"/>
      <c r="ILH994" s="124"/>
      <c r="ILI994" s="124"/>
      <c r="ILJ994" s="124"/>
      <c r="ILK994" s="124"/>
      <c r="ILL994" s="124"/>
      <c r="ILM994" s="124"/>
      <c r="ILN994" s="124"/>
      <c r="ILO994" s="124"/>
      <c r="ILP994" s="124"/>
      <c r="ILQ994" s="124"/>
      <c r="ILR994" s="124"/>
      <c r="ILS994" s="124"/>
      <c r="ILT994" s="124"/>
      <c r="ILU994" s="124"/>
      <c r="ILV994" s="124"/>
      <c r="ILW994" s="124"/>
      <c r="ILX994" s="124"/>
      <c r="ILY994" s="124"/>
      <c r="ILZ994" s="124"/>
      <c r="IMA994" s="124"/>
      <c r="IMB994" s="124"/>
      <c r="IMC994" s="124"/>
      <c r="IMD994" s="124"/>
      <c r="IME994" s="124"/>
      <c r="IMF994" s="124"/>
      <c r="IMG994" s="124"/>
      <c r="IMH994" s="124"/>
      <c r="IMI994" s="124"/>
      <c r="IMJ994" s="124"/>
      <c r="IMK994" s="124"/>
      <c r="IML994" s="124"/>
      <c r="IMM994" s="124"/>
      <c r="IMN994" s="124"/>
      <c r="IMO994" s="124"/>
      <c r="IMP994" s="124"/>
      <c r="IMQ994" s="124"/>
      <c r="IMR994" s="124"/>
      <c r="IMS994" s="124"/>
      <c r="IMT994" s="124"/>
      <c r="IMU994" s="124"/>
      <c r="IMV994" s="124"/>
      <c r="IMW994" s="124"/>
      <c r="IMX994" s="124"/>
      <c r="IMY994" s="124"/>
      <c r="IMZ994" s="124"/>
      <c r="INA994" s="124"/>
      <c r="INB994" s="124"/>
      <c r="INC994" s="124"/>
      <c r="IND994" s="124"/>
      <c r="INE994" s="124"/>
      <c r="INF994" s="124"/>
      <c r="ING994" s="124"/>
      <c r="INH994" s="124"/>
      <c r="INI994" s="124"/>
      <c r="INJ994" s="124"/>
      <c r="INK994" s="124"/>
      <c r="INL994" s="124"/>
      <c r="INM994" s="124"/>
      <c r="INN994" s="124"/>
      <c r="INO994" s="124"/>
      <c r="INP994" s="124"/>
      <c r="INQ994" s="124"/>
      <c r="INR994" s="124"/>
      <c r="INS994" s="124"/>
      <c r="INT994" s="124"/>
      <c r="INU994" s="124"/>
      <c r="INV994" s="124"/>
      <c r="INW994" s="124"/>
      <c r="INX994" s="124"/>
      <c r="INY994" s="124"/>
      <c r="INZ994" s="124"/>
      <c r="IOA994" s="124"/>
      <c r="IOB994" s="124"/>
      <c r="IOC994" s="124"/>
      <c r="IOD994" s="124"/>
      <c r="IOE994" s="124"/>
      <c r="IOF994" s="124"/>
      <c r="IOG994" s="124"/>
      <c r="IOH994" s="124"/>
      <c r="IOI994" s="124"/>
      <c r="IOJ994" s="124"/>
      <c r="IOK994" s="124"/>
      <c r="IOL994" s="124"/>
      <c r="IOM994" s="124"/>
      <c r="ION994" s="124"/>
      <c r="IOO994" s="124"/>
      <c r="IOP994" s="124"/>
      <c r="IOQ994" s="124"/>
      <c r="IOR994" s="124"/>
      <c r="IOS994" s="124"/>
      <c r="IOT994" s="124"/>
      <c r="IOU994" s="124"/>
      <c r="IOV994" s="124"/>
      <c r="IOW994" s="124"/>
      <c r="IOX994" s="124"/>
      <c r="IOY994" s="124"/>
      <c r="IOZ994" s="124"/>
      <c r="IPA994" s="124"/>
      <c r="IPB994" s="124"/>
      <c r="IPC994" s="124"/>
      <c r="IPD994" s="124"/>
      <c r="IPE994" s="124"/>
      <c r="IPF994" s="124"/>
      <c r="IPG994" s="124"/>
      <c r="IPH994" s="124"/>
      <c r="IPI994" s="124"/>
      <c r="IPJ994" s="124"/>
      <c r="IPK994" s="124"/>
      <c r="IPL994" s="124"/>
      <c r="IPM994" s="124"/>
      <c r="IPN994" s="124"/>
      <c r="IPO994" s="124"/>
      <c r="IPP994" s="124"/>
      <c r="IPQ994" s="124"/>
      <c r="IPR994" s="124"/>
      <c r="IPS994" s="124"/>
      <c r="IPT994" s="124"/>
      <c r="IPU994" s="124"/>
      <c r="IPV994" s="124"/>
      <c r="IPW994" s="124"/>
      <c r="IPX994" s="124"/>
      <c r="IPY994" s="124"/>
      <c r="IPZ994" s="124"/>
      <c r="IQA994" s="124"/>
      <c r="IQB994" s="124"/>
      <c r="IQC994" s="124"/>
      <c r="IQD994" s="124"/>
      <c r="IQE994" s="124"/>
      <c r="IQF994" s="124"/>
      <c r="IQG994" s="124"/>
      <c r="IQH994" s="124"/>
      <c r="IQI994" s="124"/>
      <c r="IQJ994" s="124"/>
      <c r="IQK994" s="124"/>
      <c r="IQL994" s="124"/>
      <c r="IQM994" s="124"/>
      <c r="IQN994" s="124"/>
      <c r="IQO994" s="124"/>
      <c r="IQP994" s="124"/>
      <c r="IQQ994" s="124"/>
      <c r="IQR994" s="124"/>
      <c r="IQS994" s="124"/>
      <c r="IQT994" s="124"/>
      <c r="IQU994" s="124"/>
      <c r="IQV994" s="124"/>
      <c r="IQW994" s="124"/>
      <c r="IQX994" s="124"/>
      <c r="IQY994" s="124"/>
      <c r="IQZ994" s="124"/>
      <c r="IRA994" s="124"/>
      <c r="IRB994" s="124"/>
      <c r="IRC994" s="124"/>
      <c r="IRD994" s="124"/>
      <c r="IRE994" s="124"/>
      <c r="IRF994" s="124"/>
      <c r="IRG994" s="124"/>
      <c r="IRH994" s="124"/>
      <c r="IRI994" s="124"/>
      <c r="IRJ994" s="124"/>
      <c r="IRK994" s="124"/>
      <c r="IRL994" s="124"/>
      <c r="IRM994" s="124"/>
      <c r="IRN994" s="124"/>
      <c r="IRO994" s="124"/>
      <c r="IRP994" s="124"/>
      <c r="IRQ994" s="124"/>
      <c r="IRR994" s="124"/>
      <c r="IRS994" s="124"/>
      <c r="IRT994" s="124"/>
      <c r="IRU994" s="124"/>
      <c r="IRV994" s="124"/>
      <c r="IRW994" s="124"/>
      <c r="IRX994" s="124"/>
      <c r="IRY994" s="124"/>
      <c r="IRZ994" s="124"/>
      <c r="ISA994" s="124"/>
      <c r="ISB994" s="124"/>
      <c r="ISC994" s="124"/>
      <c r="ISD994" s="124"/>
      <c r="ISE994" s="124"/>
      <c r="ISF994" s="124"/>
      <c r="ISG994" s="124"/>
      <c r="ISH994" s="124"/>
      <c r="ISI994" s="124"/>
      <c r="ISJ994" s="124"/>
      <c r="ISK994" s="124"/>
      <c r="ISL994" s="124"/>
      <c r="ISM994" s="124"/>
      <c r="ISN994" s="124"/>
      <c r="ISO994" s="124"/>
      <c r="ISP994" s="124"/>
      <c r="ISQ994" s="124"/>
      <c r="ISR994" s="124"/>
      <c r="ISS994" s="124"/>
      <c r="IST994" s="124"/>
      <c r="ISU994" s="124"/>
      <c r="ISV994" s="124"/>
      <c r="ISW994" s="124"/>
      <c r="ISX994" s="124"/>
      <c r="ISY994" s="124"/>
      <c r="ISZ994" s="124"/>
      <c r="ITA994" s="124"/>
      <c r="ITB994" s="124"/>
      <c r="ITC994" s="124"/>
      <c r="ITD994" s="124"/>
      <c r="ITE994" s="124"/>
      <c r="ITF994" s="124"/>
      <c r="ITG994" s="124"/>
      <c r="ITH994" s="124"/>
      <c r="ITI994" s="124"/>
      <c r="ITJ994" s="124"/>
      <c r="ITK994" s="124"/>
      <c r="ITL994" s="124"/>
      <c r="ITM994" s="124"/>
      <c r="ITN994" s="124"/>
      <c r="ITO994" s="124"/>
      <c r="ITP994" s="124"/>
      <c r="ITQ994" s="124"/>
      <c r="ITR994" s="124"/>
      <c r="ITS994" s="124"/>
      <c r="ITT994" s="124"/>
      <c r="ITU994" s="124"/>
      <c r="ITV994" s="124"/>
      <c r="ITW994" s="124"/>
      <c r="ITX994" s="124"/>
      <c r="ITY994" s="124"/>
      <c r="ITZ994" s="124"/>
      <c r="IUA994" s="124"/>
      <c r="IUB994" s="124"/>
      <c r="IUC994" s="124"/>
      <c r="IUD994" s="124"/>
      <c r="IUE994" s="124"/>
      <c r="IUF994" s="124"/>
      <c r="IUG994" s="124"/>
      <c r="IUH994" s="124"/>
      <c r="IUI994" s="124"/>
      <c r="IUJ994" s="124"/>
      <c r="IUK994" s="124"/>
      <c r="IUL994" s="124"/>
      <c r="IUM994" s="124"/>
      <c r="IUN994" s="124"/>
      <c r="IUO994" s="124"/>
      <c r="IUP994" s="124"/>
      <c r="IUQ994" s="124"/>
      <c r="IUR994" s="124"/>
      <c r="IUS994" s="124"/>
      <c r="IUT994" s="124"/>
      <c r="IUU994" s="124"/>
      <c r="IUV994" s="124"/>
      <c r="IUW994" s="124"/>
      <c r="IUX994" s="124"/>
      <c r="IUY994" s="124"/>
      <c r="IUZ994" s="124"/>
      <c r="IVA994" s="124"/>
      <c r="IVB994" s="124"/>
      <c r="IVC994" s="124"/>
      <c r="IVD994" s="124"/>
      <c r="IVE994" s="124"/>
      <c r="IVF994" s="124"/>
      <c r="IVG994" s="124"/>
      <c r="IVH994" s="124"/>
      <c r="IVI994" s="124"/>
      <c r="IVJ994" s="124"/>
      <c r="IVK994" s="124"/>
      <c r="IVL994" s="124"/>
      <c r="IVM994" s="124"/>
      <c r="IVN994" s="124"/>
      <c r="IVO994" s="124"/>
      <c r="IVP994" s="124"/>
      <c r="IVQ994" s="124"/>
      <c r="IVR994" s="124"/>
      <c r="IVS994" s="124"/>
      <c r="IVT994" s="124"/>
      <c r="IVU994" s="124"/>
      <c r="IVV994" s="124"/>
      <c r="IVW994" s="124"/>
      <c r="IVX994" s="124"/>
      <c r="IVY994" s="124"/>
      <c r="IVZ994" s="124"/>
      <c r="IWA994" s="124"/>
      <c r="IWB994" s="124"/>
      <c r="IWC994" s="124"/>
      <c r="IWD994" s="124"/>
      <c r="IWE994" s="124"/>
      <c r="IWF994" s="124"/>
      <c r="IWG994" s="124"/>
      <c r="IWH994" s="124"/>
      <c r="IWI994" s="124"/>
      <c r="IWJ994" s="124"/>
      <c r="IWK994" s="124"/>
      <c r="IWL994" s="124"/>
      <c r="IWM994" s="124"/>
      <c r="IWN994" s="124"/>
      <c r="IWO994" s="124"/>
      <c r="IWP994" s="124"/>
      <c r="IWQ994" s="124"/>
      <c r="IWR994" s="124"/>
      <c r="IWS994" s="124"/>
      <c r="IWT994" s="124"/>
      <c r="IWU994" s="124"/>
      <c r="IWV994" s="124"/>
      <c r="IWW994" s="124"/>
      <c r="IWX994" s="124"/>
      <c r="IWY994" s="124"/>
      <c r="IWZ994" s="124"/>
      <c r="IXA994" s="124"/>
      <c r="IXB994" s="124"/>
      <c r="IXC994" s="124"/>
      <c r="IXD994" s="124"/>
      <c r="IXE994" s="124"/>
      <c r="IXF994" s="124"/>
      <c r="IXG994" s="124"/>
      <c r="IXH994" s="124"/>
      <c r="IXI994" s="124"/>
      <c r="IXJ994" s="124"/>
      <c r="IXK994" s="124"/>
      <c r="IXL994" s="124"/>
      <c r="IXM994" s="124"/>
      <c r="IXN994" s="124"/>
      <c r="IXO994" s="124"/>
      <c r="IXP994" s="124"/>
      <c r="IXQ994" s="124"/>
      <c r="IXR994" s="124"/>
      <c r="IXS994" s="124"/>
      <c r="IXT994" s="124"/>
      <c r="IXU994" s="124"/>
      <c r="IXV994" s="124"/>
      <c r="IXW994" s="124"/>
      <c r="IXX994" s="124"/>
      <c r="IXY994" s="124"/>
      <c r="IXZ994" s="124"/>
      <c r="IYA994" s="124"/>
      <c r="IYB994" s="124"/>
      <c r="IYC994" s="124"/>
      <c r="IYD994" s="124"/>
      <c r="IYE994" s="124"/>
      <c r="IYF994" s="124"/>
      <c r="IYG994" s="124"/>
      <c r="IYH994" s="124"/>
      <c r="IYI994" s="124"/>
      <c r="IYJ994" s="124"/>
      <c r="IYK994" s="124"/>
      <c r="IYL994" s="124"/>
      <c r="IYM994" s="124"/>
      <c r="IYN994" s="124"/>
      <c r="IYO994" s="124"/>
      <c r="IYP994" s="124"/>
      <c r="IYQ994" s="124"/>
      <c r="IYR994" s="124"/>
      <c r="IYS994" s="124"/>
      <c r="IYT994" s="124"/>
      <c r="IYU994" s="124"/>
      <c r="IYV994" s="124"/>
      <c r="IYW994" s="124"/>
      <c r="IYX994" s="124"/>
      <c r="IYY994" s="124"/>
      <c r="IYZ994" s="124"/>
      <c r="IZA994" s="124"/>
      <c r="IZB994" s="124"/>
      <c r="IZC994" s="124"/>
      <c r="IZD994" s="124"/>
      <c r="IZE994" s="124"/>
      <c r="IZF994" s="124"/>
      <c r="IZG994" s="124"/>
      <c r="IZH994" s="124"/>
      <c r="IZI994" s="124"/>
      <c r="IZJ994" s="124"/>
      <c r="IZK994" s="124"/>
      <c r="IZL994" s="124"/>
      <c r="IZM994" s="124"/>
      <c r="IZN994" s="124"/>
      <c r="IZO994" s="124"/>
      <c r="IZP994" s="124"/>
      <c r="IZQ994" s="124"/>
      <c r="IZR994" s="124"/>
      <c r="IZS994" s="124"/>
      <c r="IZT994" s="124"/>
      <c r="IZU994" s="124"/>
      <c r="IZV994" s="124"/>
      <c r="IZW994" s="124"/>
      <c r="IZX994" s="124"/>
      <c r="IZY994" s="124"/>
      <c r="IZZ994" s="124"/>
      <c r="JAA994" s="124"/>
      <c r="JAB994" s="124"/>
      <c r="JAC994" s="124"/>
      <c r="JAD994" s="124"/>
      <c r="JAE994" s="124"/>
      <c r="JAF994" s="124"/>
      <c r="JAG994" s="124"/>
      <c r="JAH994" s="124"/>
      <c r="JAI994" s="124"/>
      <c r="JAJ994" s="124"/>
      <c r="JAK994" s="124"/>
      <c r="JAL994" s="124"/>
      <c r="JAM994" s="124"/>
      <c r="JAN994" s="124"/>
      <c r="JAO994" s="124"/>
      <c r="JAP994" s="124"/>
      <c r="JAQ994" s="124"/>
      <c r="JAR994" s="124"/>
      <c r="JAS994" s="124"/>
      <c r="JAT994" s="124"/>
      <c r="JAU994" s="124"/>
      <c r="JAV994" s="124"/>
      <c r="JAW994" s="124"/>
      <c r="JAX994" s="124"/>
      <c r="JAY994" s="124"/>
      <c r="JAZ994" s="124"/>
      <c r="JBA994" s="124"/>
      <c r="JBB994" s="124"/>
      <c r="JBC994" s="124"/>
      <c r="JBD994" s="124"/>
      <c r="JBE994" s="124"/>
      <c r="JBF994" s="124"/>
      <c r="JBG994" s="124"/>
      <c r="JBH994" s="124"/>
      <c r="JBI994" s="124"/>
      <c r="JBJ994" s="124"/>
      <c r="JBK994" s="124"/>
      <c r="JBL994" s="124"/>
      <c r="JBM994" s="124"/>
      <c r="JBN994" s="124"/>
      <c r="JBO994" s="124"/>
      <c r="JBP994" s="124"/>
      <c r="JBQ994" s="124"/>
      <c r="JBR994" s="124"/>
      <c r="JBS994" s="124"/>
      <c r="JBT994" s="124"/>
      <c r="JBU994" s="124"/>
      <c r="JBV994" s="124"/>
      <c r="JBW994" s="124"/>
      <c r="JBX994" s="124"/>
      <c r="JBY994" s="124"/>
      <c r="JBZ994" s="124"/>
      <c r="JCA994" s="124"/>
      <c r="JCB994" s="124"/>
      <c r="JCC994" s="124"/>
      <c r="JCD994" s="124"/>
      <c r="JCE994" s="124"/>
      <c r="JCF994" s="124"/>
      <c r="JCG994" s="124"/>
      <c r="JCH994" s="124"/>
      <c r="JCI994" s="124"/>
      <c r="JCJ994" s="124"/>
      <c r="JCK994" s="124"/>
      <c r="JCL994" s="124"/>
      <c r="JCM994" s="124"/>
      <c r="JCN994" s="124"/>
      <c r="JCO994" s="124"/>
      <c r="JCP994" s="124"/>
      <c r="JCQ994" s="124"/>
      <c r="JCR994" s="124"/>
      <c r="JCS994" s="124"/>
      <c r="JCT994" s="124"/>
      <c r="JCU994" s="124"/>
      <c r="JCV994" s="124"/>
      <c r="JCW994" s="124"/>
      <c r="JCX994" s="124"/>
      <c r="JCY994" s="124"/>
      <c r="JCZ994" s="124"/>
      <c r="JDA994" s="124"/>
      <c r="JDB994" s="124"/>
      <c r="JDC994" s="124"/>
      <c r="JDD994" s="124"/>
      <c r="JDE994" s="124"/>
      <c r="JDF994" s="124"/>
      <c r="JDG994" s="124"/>
      <c r="JDH994" s="124"/>
      <c r="JDI994" s="124"/>
      <c r="JDJ994" s="124"/>
      <c r="JDK994" s="124"/>
      <c r="JDL994" s="124"/>
      <c r="JDM994" s="124"/>
      <c r="JDN994" s="124"/>
      <c r="JDO994" s="124"/>
      <c r="JDP994" s="124"/>
      <c r="JDQ994" s="124"/>
      <c r="JDR994" s="124"/>
      <c r="JDS994" s="124"/>
      <c r="JDT994" s="124"/>
      <c r="JDU994" s="124"/>
      <c r="JDV994" s="124"/>
      <c r="JDW994" s="124"/>
      <c r="JDX994" s="124"/>
      <c r="JDY994" s="124"/>
      <c r="JDZ994" s="124"/>
      <c r="JEA994" s="124"/>
      <c r="JEB994" s="124"/>
      <c r="JEC994" s="124"/>
      <c r="JED994" s="124"/>
      <c r="JEE994" s="124"/>
      <c r="JEF994" s="124"/>
      <c r="JEG994" s="124"/>
      <c r="JEH994" s="124"/>
      <c r="JEI994" s="124"/>
      <c r="JEJ994" s="124"/>
      <c r="JEK994" s="124"/>
      <c r="JEL994" s="124"/>
      <c r="JEM994" s="124"/>
      <c r="JEN994" s="124"/>
      <c r="JEO994" s="124"/>
      <c r="JEP994" s="124"/>
      <c r="JEQ994" s="124"/>
      <c r="JER994" s="124"/>
      <c r="JES994" s="124"/>
      <c r="JET994" s="124"/>
      <c r="JEU994" s="124"/>
      <c r="JEV994" s="124"/>
      <c r="JEW994" s="124"/>
      <c r="JEX994" s="124"/>
      <c r="JEY994" s="124"/>
      <c r="JEZ994" s="124"/>
      <c r="JFA994" s="124"/>
      <c r="JFB994" s="124"/>
      <c r="JFC994" s="124"/>
      <c r="JFD994" s="124"/>
      <c r="JFE994" s="124"/>
      <c r="JFF994" s="124"/>
      <c r="JFG994" s="124"/>
      <c r="JFH994" s="124"/>
      <c r="JFI994" s="124"/>
      <c r="JFJ994" s="124"/>
      <c r="JFK994" s="124"/>
      <c r="JFL994" s="124"/>
      <c r="JFM994" s="124"/>
      <c r="JFN994" s="124"/>
      <c r="JFO994" s="124"/>
      <c r="JFP994" s="124"/>
      <c r="JFQ994" s="124"/>
      <c r="JFR994" s="124"/>
      <c r="JFS994" s="124"/>
      <c r="JFT994" s="124"/>
      <c r="JFU994" s="124"/>
      <c r="JFV994" s="124"/>
      <c r="JFW994" s="124"/>
      <c r="JFX994" s="124"/>
      <c r="JFY994" s="124"/>
      <c r="JFZ994" s="124"/>
      <c r="JGA994" s="124"/>
      <c r="JGB994" s="124"/>
      <c r="JGC994" s="124"/>
      <c r="JGD994" s="124"/>
      <c r="JGE994" s="124"/>
      <c r="JGF994" s="124"/>
      <c r="JGG994" s="124"/>
      <c r="JGH994" s="124"/>
      <c r="JGI994" s="124"/>
      <c r="JGJ994" s="124"/>
      <c r="JGK994" s="124"/>
      <c r="JGL994" s="124"/>
      <c r="JGM994" s="124"/>
      <c r="JGN994" s="124"/>
      <c r="JGO994" s="124"/>
      <c r="JGP994" s="124"/>
      <c r="JGQ994" s="124"/>
      <c r="JGR994" s="124"/>
      <c r="JGS994" s="124"/>
      <c r="JGT994" s="124"/>
      <c r="JGU994" s="124"/>
      <c r="JGV994" s="124"/>
      <c r="JGW994" s="124"/>
      <c r="JGX994" s="124"/>
      <c r="JGY994" s="124"/>
      <c r="JGZ994" s="124"/>
      <c r="JHA994" s="124"/>
      <c r="JHB994" s="124"/>
      <c r="JHC994" s="124"/>
      <c r="JHD994" s="124"/>
      <c r="JHE994" s="124"/>
      <c r="JHF994" s="124"/>
      <c r="JHG994" s="124"/>
      <c r="JHH994" s="124"/>
      <c r="JHI994" s="124"/>
      <c r="JHJ994" s="124"/>
      <c r="JHK994" s="124"/>
      <c r="JHL994" s="124"/>
      <c r="JHM994" s="124"/>
      <c r="JHN994" s="124"/>
      <c r="JHO994" s="124"/>
      <c r="JHP994" s="124"/>
      <c r="JHQ994" s="124"/>
      <c r="JHR994" s="124"/>
      <c r="JHS994" s="124"/>
      <c r="JHT994" s="124"/>
      <c r="JHU994" s="124"/>
      <c r="JHV994" s="124"/>
      <c r="JHW994" s="124"/>
      <c r="JHX994" s="124"/>
      <c r="JHY994" s="124"/>
      <c r="JHZ994" s="124"/>
      <c r="JIA994" s="124"/>
      <c r="JIB994" s="124"/>
      <c r="JIC994" s="124"/>
      <c r="JID994" s="124"/>
      <c r="JIE994" s="124"/>
      <c r="JIF994" s="124"/>
      <c r="JIG994" s="124"/>
      <c r="JIH994" s="124"/>
      <c r="JII994" s="124"/>
      <c r="JIJ994" s="124"/>
      <c r="JIK994" s="124"/>
      <c r="JIL994" s="124"/>
      <c r="JIM994" s="124"/>
      <c r="JIN994" s="124"/>
      <c r="JIO994" s="124"/>
      <c r="JIP994" s="124"/>
      <c r="JIQ994" s="124"/>
      <c r="JIR994" s="124"/>
      <c r="JIS994" s="124"/>
      <c r="JIT994" s="124"/>
      <c r="JIU994" s="124"/>
      <c r="JIV994" s="124"/>
      <c r="JIW994" s="124"/>
      <c r="JIX994" s="124"/>
      <c r="JIY994" s="124"/>
      <c r="JIZ994" s="124"/>
      <c r="JJA994" s="124"/>
      <c r="JJB994" s="124"/>
      <c r="JJC994" s="124"/>
      <c r="JJD994" s="124"/>
      <c r="JJE994" s="124"/>
      <c r="JJF994" s="124"/>
      <c r="JJG994" s="124"/>
      <c r="JJH994" s="124"/>
      <c r="JJI994" s="124"/>
      <c r="JJJ994" s="124"/>
      <c r="JJK994" s="124"/>
      <c r="JJL994" s="124"/>
      <c r="JJM994" s="124"/>
      <c r="JJN994" s="124"/>
      <c r="JJO994" s="124"/>
      <c r="JJP994" s="124"/>
      <c r="JJQ994" s="124"/>
      <c r="JJR994" s="124"/>
      <c r="JJS994" s="124"/>
      <c r="JJT994" s="124"/>
      <c r="JJU994" s="124"/>
      <c r="JJV994" s="124"/>
      <c r="JJW994" s="124"/>
      <c r="JJX994" s="124"/>
      <c r="JJY994" s="124"/>
      <c r="JJZ994" s="124"/>
      <c r="JKA994" s="124"/>
      <c r="JKB994" s="124"/>
      <c r="JKC994" s="124"/>
      <c r="JKD994" s="124"/>
      <c r="JKE994" s="124"/>
      <c r="JKF994" s="124"/>
      <c r="JKG994" s="124"/>
      <c r="JKH994" s="124"/>
      <c r="JKI994" s="124"/>
      <c r="JKJ994" s="124"/>
      <c r="JKK994" s="124"/>
      <c r="JKL994" s="124"/>
      <c r="JKM994" s="124"/>
      <c r="JKN994" s="124"/>
      <c r="JKO994" s="124"/>
      <c r="JKP994" s="124"/>
      <c r="JKQ994" s="124"/>
      <c r="JKR994" s="124"/>
      <c r="JKS994" s="124"/>
      <c r="JKT994" s="124"/>
      <c r="JKU994" s="124"/>
      <c r="JKV994" s="124"/>
      <c r="JKW994" s="124"/>
      <c r="JKX994" s="124"/>
      <c r="JKY994" s="124"/>
      <c r="JKZ994" s="124"/>
      <c r="JLA994" s="124"/>
      <c r="JLB994" s="124"/>
      <c r="JLC994" s="124"/>
      <c r="JLD994" s="124"/>
      <c r="JLE994" s="124"/>
      <c r="JLF994" s="124"/>
      <c r="JLG994" s="124"/>
      <c r="JLH994" s="124"/>
      <c r="JLI994" s="124"/>
      <c r="JLJ994" s="124"/>
      <c r="JLK994" s="124"/>
      <c r="JLL994" s="124"/>
      <c r="JLM994" s="124"/>
      <c r="JLN994" s="124"/>
      <c r="JLO994" s="124"/>
      <c r="JLP994" s="124"/>
      <c r="JLQ994" s="124"/>
      <c r="JLR994" s="124"/>
      <c r="JLS994" s="124"/>
      <c r="JLT994" s="124"/>
      <c r="JLU994" s="124"/>
      <c r="JLV994" s="124"/>
      <c r="JLW994" s="124"/>
      <c r="JLX994" s="124"/>
      <c r="JLY994" s="124"/>
      <c r="JLZ994" s="124"/>
      <c r="JMA994" s="124"/>
      <c r="JMB994" s="124"/>
      <c r="JMC994" s="124"/>
      <c r="JMD994" s="124"/>
      <c r="JME994" s="124"/>
      <c r="JMF994" s="124"/>
      <c r="JMG994" s="124"/>
      <c r="JMH994" s="124"/>
      <c r="JMI994" s="124"/>
      <c r="JMJ994" s="124"/>
      <c r="JMK994" s="124"/>
      <c r="JML994" s="124"/>
      <c r="JMM994" s="124"/>
      <c r="JMN994" s="124"/>
      <c r="JMO994" s="124"/>
      <c r="JMP994" s="124"/>
      <c r="JMQ994" s="124"/>
      <c r="JMR994" s="124"/>
      <c r="JMS994" s="124"/>
      <c r="JMT994" s="124"/>
      <c r="JMU994" s="124"/>
      <c r="JMV994" s="124"/>
      <c r="JMW994" s="124"/>
      <c r="JMX994" s="124"/>
      <c r="JMY994" s="124"/>
      <c r="JMZ994" s="124"/>
      <c r="JNA994" s="124"/>
      <c r="JNB994" s="124"/>
      <c r="JNC994" s="124"/>
      <c r="JND994" s="124"/>
      <c r="JNE994" s="124"/>
      <c r="JNF994" s="124"/>
      <c r="JNG994" s="124"/>
      <c r="JNH994" s="124"/>
      <c r="JNI994" s="124"/>
      <c r="JNJ994" s="124"/>
      <c r="JNK994" s="124"/>
      <c r="JNL994" s="124"/>
      <c r="JNM994" s="124"/>
      <c r="JNN994" s="124"/>
      <c r="JNO994" s="124"/>
      <c r="JNP994" s="124"/>
      <c r="JNQ994" s="124"/>
      <c r="JNR994" s="124"/>
      <c r="JNS994" s="124"/>
      <c r="JNT994" s="124"/>
      <c r="JNU994" s="124"/>
      <c r="JNV994" s="124"/>
      <c r="JNW994" s="124"/>
      <c r="JNX994" s="124"/>
      <c r="JNY994" s="124"/>
      <c r="JNZ994" s="124"/>
      <c r="JOA994" s="124"/>
      <c r="JOB994" s="124"/>
      <c r="JOC994" s="124"/>
      <c r="JOD994" s="124"/>
      <c r="JOE994" s="124"/>
      <c r="JOF994" s="124"/>
      <c r="JOG994" s="124"/>
      <c r="JOH994" s="124"/>
      <c r="JOI994" s="124"/>
      <c r="JOJ994" s="124"/>
      <c r="JOK994" s="124"/>
      <c r="JOL994" s="124"/>
      <c r="JOM994" s="124"/>
      <c r="JON994" s="124"/>
      <c r="JOO994" s="124"/>
      <c r="JOP994" s="124"/>
      <c r="JOQ994" s="124"/>
      <c r="JOR994" s="124"/>
      <c r="JOS994" s="124"/>
      <c r="JOT994" s="124"/>
      <c r="JOU994" s="124"/>
      <c r="JOV994" s="124"/>
      <c r="JOW994" s="124"/>
      <c r="JOX994" s="124"/>
      <c r="JOY994" s="124"/>
      <c r="JOZ994" s="124"/>
      <c r="JPA994" s="124"/>
      <c r="JPB994" s="124"/>
      <c r="JPC994" s="124"/>
      <c r="JPD994" s="124"/>
      <c r="JPE994" s="124"/>
      <c r="JPF994" s="124"/>
      <c r="JPG994" s="124"/>
      <c r="JPH994" s="124"/>
      <c r="JPI994" s="124"/>
      <c r="JPJ994" s="124"/>
      <c r="JPK994" s="124"/>
      <c r="JPL994" s="124"/>
      <c r="JPM994" s="124"/>
      <c r="JPN994" s="124"/>
      <c r="JPO994" s="124"/>
      <c r="JPP994" s="124"/>
      <c r="JPQ994" s="124"/>
      <c r="JPR994" s="124"/>
      <c r="JPS994" s="124"/>
      <c r="JPT994" s="124"/>
      <c r="JPU994" s="124"/>
      <c r="JPV994" s="124"/>
      <c r="JPW994" s="124"/>
      <c r="JPX994" s="124"/>
      <c r="JPY994" s="124"/>
      <c r="JPZ994" s="124"/>
      <c r="JQA994" s="124"/>
      <c r="JQB994" s="124"/>
      <c r="JQC994" s="124"/>
      <c r="JQD994" s="124"/>
      <c r="JQE994" s="124"/>
      <c r="JQF994" s="124"/>
      <c r="JQG994" s="124"/>
      <c r="JQH994" s="124"/>
      <c r="JQI994" s="124"/>
      <c r="JQJ994" s="124"/>
      <c r="JQK994" s="124"/>
      <c r="JQL994" s="124"/>
      <c r="JQM994" s="124"/>
      <c r="JQN994" s="124"/>
      <c r="JQO994" s="124"/>
      <c r="JQP994" s="124"/>
      <c r="JQQ994" s="124"/>
      <c r="JQR994" s="124"/>
      <c r="JQS994" s="124"/>
      <c r="JQT994" s="124"/>
      <c r="JQU994" s="124"/>
      <c r="JQV994" s="124"/>
      <c r="JQW994" s="124"/>
      <c r="JQX994" s="124"/>
      <c r="JQY994" s="124"/>
      <c r="JQZ994" s="124"/>
      <c r="JRA994" s="124"/>
      <c r="JRB994" s="124"/>
      <c r="JRC994" s="124"/>
      <c r="JRD994" s="124"/>
      <c r="JRE994" s="124"/>
      <c r="JRF994" s="124"/>
      <c r="JRG994" s="124"/>
      <c r="JRH994" s="124"/>
      <c r="JRI994" s="124"/>
      <c r="JRJ994" s="124"/>
      <c r="JRK994" s="124"/>
      <c r="JRL994" s="124"/>
      <c r="JRM994" s="124"/>
      <c r="JRN994" s="124"/>
      <c r="JRO994" s="124"/>
      <c r="JRP994" s="124"/>
      <c r="JRQ994" s="124"/>
      <c r="JRR994" s="124"/>
      <c r="JRS994" s="124"/>
      <c r="JRT994" s="124"/>
      <c r="JRU994" s="124"/>
      <c r="JRV994" s="124"/>
      <c r="JRW994" s="124"/>
      <c r="JRX994" s="124"/>
      <c r="JRY994" s="124"/>
      <c r="JRZ994" s="124"/>
      <c r="JSA994" s="124"/>
      <c r="JSB994" s="124"/>
      <c r="JSC994" s="124"/>
      <c r="JSD994" s="124"/>
      <c r="JSE994" s="124"/>
      <c r="JSF994" s="124"/>
      <c r="JSG994" s="124"/>
      <c r="JSH994" s="124"/>
      <c r="JSI994" s="124"/>
      <c r="JSJ994" s="124"/>
      <c r="JSK994" s="124"/>
      <c r="JSL994" s="124"/>
      <c r="JSM994" s="124"/>
      <c r="JSN994" s="124"/>
      <c r="JSO994" s="124"/>
      <c r="JSP994" s="124"/>
      <c r="JSQ994" s="124"/>
      <c r="JSR994" s="124"/>
      <c r="JSS994" s="124"/>
      <c r="JST994" s="124"/>
      <c r="JSU994" s="124"/>
      <c r="JSV994" s="124"/>
      <c r="JSW994" s="124"/>
      <c r="JSX994" s="124"/>
      <c r="JSY994" s="124"/>
      <c r="JSZ994" s="124"/>
      <c r="JTA994" s="124"/>
      <c r="JTB994" s="124"/>
      <c r="JTC994" s="124"/>
      <c r="JTD994" s="124"/>
      <c r="JTE994" s="124"/>
      <c r="JTF994" s="124"/>
      <c r="JTG994" s="124"/>
      <c r="JTH994" s="124"/>
      <c r="JTI994" s="124"/>
      <c r="JTJ994" s="124"/>
      <c r="JTK994" s="124"/>
      <c r="JTL994" s="124"/>
      <c r="JTM994" s="124"/>
      <c r="JTN994" s="124"/>
      <c r="JTO994" s="124"/>
      <c r="JTP994" s="124"/>
      <c r="JTQ994" s="124"/>
      <c r="JTR994" s="124"/>
      <c r="JTS994" s="124"/>
      <c r="JTT994" s="124"/>
      <c r="JTU994" s="124"/>
      <c r="JTV994" s="124"/>
      <c r="JTW994" s="124"/>
      <c r="JTX994" s="124"/>
      <c r="JTY994" s="124"/>
      <c r="JTZ994" s="124"/>
      <c r="JUA994" s="124"/>
      <c r="JUB994" s="124"/>
      <c r="JUC994" s="124"/>
      <c r="JUD994" s="124"/>
      <c r="JUE994" s="124"/>
      <c r="JUF994" s="124"/>
      <c r="JUG994" s="124"/>
      <c r="JUH994" s="124"/>
      <c r="JUI994" s="124"/>
      <c r="JUJ994" s="124"/>
      <c r="JUK994" s="124"/>
      <c r="JUL994" s="124"/>
      <c r="JUM994" s="124"/>
      <c r="JUN994" s="124"/>
      <c r="JUO994" s="124"/>
      <c r="JUP994" s="124"/>
      <c r="JUQ994" s="124"/>
      <c r="JUR994" s="124"/>
      <c r="JUS994" s="124"/>
      <c r="JUT994" s="124"/>
      <c r="JUU994" s="124"/>
      <c r="JUV994" s="124"/>
      <c r="JUW994" s="124"/>
      <c r="JUX994" s="124"/>
      <c r="JUY994" s="124"/>
      <c r="JUZ994" s="124"/>
      <c r="JVA994" s="124"/>
      <c r="JVB994" s="124"/>
      <c r="JVC994" s="124"/>
      <c r="JVD994" s="124"/>
      <c r="JVE994" s="124"/>
      <c r="JVF994" s="124"/>
      <c r="JVG994" s="124"/>
      <c r="JVH994" s="124"/>
      <c r="JVI994" s="124"/>
      <c r="JVJ994" s="124"/>
      <c r="JVK994" s="124"/>
      <c r="JVL994" s="124"/>
      <c r="JVM994" s="124"/>
      <c r="JVN994" s="124"/>
      <c r="JVO994" s="124"/>
      <c r="JVP994" s="124"/>
      <c r="JVQ994" s="124"/>
      <c r="JVR994" s="124"/>
      <c r="JVS994" s="124"/>
      <c r="JVT994" s="124"/>
      <c r="JVU994" s="124"/>
      <c r="JVV994" s="124"/>
      <c r="JVW994" s="124"/>
      <c r="JVX994" s="124"/>
      <c r="JVY994" s="124"/>
      <c r="JVZ994" s="124"/>
      <c r="JWA994" s="124"/>
      <c r="JWB994" s="124"/>
      <c r="JWC994" s="124"/>
      <c r="JWD994" s="124"/>
      <c r="JWE994" s="124"/>
      <c r="JWF994" s="124"/>
      <c r="JWG994" s="124"/>
      <c r="JWH994" s="124"/>
      <c r="JWI994" s="124"/>
      <c r="JWJ994" s="124"/>
      <c r="JWK994" s="124"/>
      <c r="JWL994" s="124"/>
      <c r="JWM994" s="124"/>
      <c r="JWN994" s="124"/>
      <c r="JWO994" s="124"/>
      <c r="JWP994" s="124"/>
      <c r="JWQ994" s="124"/>
      <c r="JWR994" s="124"/>
      <c r="JWS994" s="124"/>
      <c r="JWT994" s="124"/>
      <c r="JWU994" s="124"/>
      <c r="JWV994" s="124"/>
      <c r="JWW994" s="124"/>
      <c r="JWX994" s="124"/>
      <c r="JWY994" s="124"/>
      <c r="JWZ994" s="124"/>
      <c r="JXA994" s="124"/>
      <c r="JXB994" s="124"/>
      <c r="JXC994" s="124"/>
      <c r="JXD994" s="124"/>
      <c r="JXE994" s="124"/>
      <c r="JXF994" s="124"/>
      <c r="JXG994" s="124"/>
      <c r="JXH994" s="124"/>
      <c r="JXI994" s="124"/>
      <c r="JXJ994" s="124"/>
      <c r="JXK994" s="124"/>
      <c r="JXL994" s="124"/>
      <c r="JXM994" s="124"/>
      <c r="JXN994" s="124"/>
      <c r="JXO994" s="124"/>
      <c r="JXP994" s="124"/>
      <c r="JXQ994" s="124"/>
      <c r="JXR994" s="124"/>
      <c r="JXS994" s="124"/>
      <c r="JXT994" s="124"/>
      <c r="JXU994" s="124"/>
      <c r="JXV994" s="124"/>
      <c r="JXW994" s="124"/>
      <c r="JXX994" s="124"/>
      <c r="JXY994" s="124"/>
      <c r="JXZ994" s="124"/>
      <c r="JYA994" s="124"/>
      <c r="JYB994" s="124"/>
      <c r="JYC994" s="124"/>
      <c r="JYD994" s="124"/>
      <c r="JYE994" s="124"/>
      <c r="JYF994" s="124"/>
      <c r="JYG994" s="124"/>
      <c r="JYH994" s="124"/>
      <c r="JYI994" s="124"/>
      <c r="JYJ994" s="124"/>
      <c r="JYK994" s="124"/>
      <c r="JYL994" s="124"/>
      <c r="JYM994" s="124"/>
      <c r="JYN994" s="124"/>
      <c r="JYO994" s="124"/>
      <c r="JYP994" s="124"/>
      <c r="JYQ994" s="124"/>
      <c r="JYR994" s="124"/>
      <c r="JYS994" s="124"/>
      <c r="JYT994" s="124"/>
      <c r="JYU994" s="124"/>
      <c r="JYV994" s="124"/>
      <c r="JYW994" s="124"/>
      <c r="JYX994" s="124"/>
      <c r="JYY994" s="124"/>
      <c r="JYZ994" s="124"/>
      <c r="JZA994" s="124"/>
      <c r="JZB994" s="124"/>
      <c r="JZC994" s="124"/>
      <c r="JZD994" s="124"/>
      <c r="JZE994" s="124"/>
      <c r="JZF994" s="124"/>
      <c r="JZG994" s="124"/>
      <c r="JZH994" s="124"/>
      <c r="JZI994" s="124"/>
      <c r="JZJ994" s="124"/>
      <c r="JZK994" s="124"/>
      <c r="JZL994" s="124"/>
      <c r="JZM994" s="124"/>
      <c r="JZN994" s="124"/>
      <c r="JZO994" s="124"/>
      <c r="JZP994" s="124"/>
      <c r="JZQ994" s="124"/>
      <c r="JZR994" s="124"/>
      <c r="JZS994" s="124"/>
      <c r="JZT994" s="124"/>
      <c r="JZU994" s="124"/>
      <c r="JZV994" s="124"/>
      <c r="JZW994" s="124"/>
      <c r="JZX994" s="124"/>
      <c r="JZY994" s="124"/>
      <c r="JZZ994" s="124"/>
      <c r="KAA994" s="124"/>
      <c r="KAB994" s="124"/>
      <c r="KAC994" s="124"/>
      <c r="KAD994" s="124"/>
      <c r="KAE994" s="124"/>
      <c r="KAF994" s="124"/>
      <c r="KAG994" s="124"/>
      <c r="KAH994" s="124"/>
      <c r="KAI994" s="124"/>
      <c r="KAJ994" s="124"/>
      <c r="KAK994" s="124"/>
      <c r="KAL994" s="124"/>
      <c r="KAM994" s="124"/>
      <c r="KAN994" s="124"/>
      <c r="KAO994" s="124"/>
      <c r="KAP994" s="124"/>
      <c r="KAQ994" s="124"/>
      <c r="KAR994" s="124"/>
      <c r="KAS994" s="124"/>
      <c r="KAT994" s="124"/>
      <c r="KAU994" s="124"/>
      <c r="KAV994" s="124"/>
      <c r="KAW994" s="124"/>
      <c r="KAX994" s="124"/>
      <c r="KAY994" s="124"/>
      <c r="KAZ994" s="124"/>
      <c r="KBA994" s="124"/>
      <c r="KBB994" s="124"/>
      <c r="KBC994" s="124"/>
      <c r="KBD994" s="124"/>
      <c r="KBE994" s="124"/>
      <c r="KBF994" s="124"/>
      <c r="KBG994" s="124"/>
      <c r="KBH994" s="124"/>
      <c r="KBI994" s="124"/>
      <c r="KBJ994" s="124"/>
      <c r="KBK994" s="124"/>
      <c r="KBL994" s="124"/>
      <c r="KBM994" s="124"/>
      <c r="KBN994" s="124"/>
      <c r="KBO994" s="124"/>
      <c r="KBP994" s="124"/>
      <c r="KBQ994" s="124"/>
      <c r="KBR994" s="124"/>
      <c r="KBS994" s="124"/>
      <c r="KBT994" s="124"/>
      <c r="KBU994" s="124"/>
      <c r="KBV994" s="124"/>
      <c r="KBW994" s="124"/>
      <c r="KBX994" s="124"/>
      <c r="KBY994" s="124"/>
      <c r="KBZ994" s="124"/>
      <c r="KCA994" s="124"/>
      <c r="KCB994" s="124"/>
      <c r="KCC994" s="124"/>
      <c r="KCD994" s="124"/>
      <c r="KCE994" s="124"/>
      <c r="KCF994" s="124"/>
      <c r="KCG994" s="124"/>
      <c r="KCH994" s="124"/>
      <c r="KCI994" s="124"/>
      <c r="KCJ994" s="124"/>
      <c r="KCK994" s="124"/>
      <c r="KCL994" s="124"/>
      <c r="KCM994" s="124"/>
      <c r="KCN994" s="124"/>
      <c r="KCO994" s="124"/>
      <c r="KCP994" s="124"/>
      <c r="KCQ994" s="124"/>
      <c r="KCR994" s="124"/>
      <c r="KCS994" s="124"/>
      <c r="KCT994" s="124"/>
      <c r="KCU994" s="124"/>
      <c r="KCV994" s="124"/>
      <c r="KCW994" s="124"/>
      <c r="KCX994" s="124"/>
      <c r="KCY994" s="124"/>
      <c r="KCZ994" s="124"/>
      <c r="KDA994" s="124"/>
      <c r="KDB994" s="124"/>
      <c r="KDC994" s="124"/>
      <c r="KDD994" s="124"/>
      <c r="KDE994" s="124"/>
      <c r="KDF994" s="124"/>
      <c r="KDG994" s="124"/>
      <c r="KDH994" s="124"/>
      <c r="KDI994" s="124"/>
      <c r="KDJ994" s="124"/>
      <c r="KDK994" s="124"/>
      <c r="KDL994" s="124"/>
      <c r="KDM994" s="124"/>
      <c r="KDN994" s="124"/>
      <c r="KDO994" s="124"/>
      <c r="KDP994" s="124"/>
      <c r="KDQ994" s="124"/>
      <c r="KDR994" s="124"/>
      <c r="KDS994" s="124"/>
      <c r="KDT994" s="124"/>
      <c r="KDU994" s="124"/>
      <c r="KDV994" s="124"/>
      <c r="KDW994" s="124"/>
      <c r="KDX994" s="124"/>
      <c r="KDY994" s="124"/>
      <c r="KDZ994" s="124"/>
      <c r="KEA994" s="124"/>
      <c r="KEB994" s="124"/>
      <c r="KEC994" s="124"/>
      <c r="KED994" s="124"/>
      <c r="KEE994" s="124"/>
      <c r="KEF994" s="124"/>
      <c r="KEG994" s="124"/>
      <c r="KEH994" s="124"/>
      <c r="KEI994" s="124"/>
      <c r="KEJ994" s="124"/>
      <c r="KEK994" s="124"/>
      <c r="KEL994" s="124"/>
      <c r="KEM994" s="124"/>
      <c r="KEN994" s="124"/>
      <c r="KEO994" s="124"/>
      <c r="KEP994" s="124"/>
      <c r="KEQ994" s="124"/>
      <c r="KER994" s="124"/>
      <c r="KES994" s="124"/>
      <c r="KET994" s="124"/>
      <c r="KEU994" s="124"/>
      <c r="KEV994" s="124"/>
      <c r="KEW994" s="124"/>
      <c r="KEX994" s="124"/>
      <c r="KEY994" s="124"/>
      <c r="KEZ994" s="124"/>
      <c r="KFA994" s="124"/>
      <c r="KFB994" s="124"/>
      <c r="KFC994" s="124"/>
      <c r="KFD994" s="124"/>
      <c r="KFE994" s="124"/>
      <c r="KFF994" s="124"/>
      <c r="KFG994" s="124"/>
      <c r="KFH994" s="124"/>
      <c r="KFI994" s="124"/>
      <c r="KFJ994" s="124"/>
      <c r="KFK994" s="124"/>
      <c r="KFL994" s="124"/>
      <c r="KFM994" s="124"/>
      <c r="KFN994" s="124"/>
      <c r="KFO994" s="124"/>
      <c r="KFP994" s="124"/>
      <c r="KFQ994" s="124"/>
      <c r="KFR994" s="124"/>
      <c r="KFS994" s="124"/>
      <c r="KFT994" s="124"/>
      <c r="KFU994" s="124"/>
      <c r="KFV994" s="124"/>
      <c r="KFW994" s="124"/>
      <c r="KFX994" s="124"/>
      <c r="KFY994" s="124"/>
      <c r="KFZ994" s="124"/>
      <c r="KGA994" s="124"/>
      <c r="KGB994" s="124"/>
      <c r="KGC994" s="124"/>
      <c r="KGD994" s="124"/>
      <c r="KGE994" s="124"/>
      <c r="KGF994" s="124"/>
      <c r="KGG994" s="124"/>
      <c r="KGH994" s="124"/>
      <c r="KGI994" s="124"/>
      <c r="KGJ994" s="124"/>
      <c r="KGK994" s="124"/>
      <c r="KGL994" s="124"/>
      <c r="KGM994" s="124"/>
      <c r="KGN994" s="124"/>
      <c r="KGO994" s="124"/>
      <c r="KGP994" s="124"/>
      <c r="KGQ994" s="124"/>
      <c r="KGR994" s="124"/>
      <c r="KGS994" s="124"/>
      <c r="KGT994" s="124"/>
      <c r="KGU994" s="124"/>
      <c r="KGV994" s="124"/>
      <c r="KGW994" s="124"/>
      <c r="KGX994" s="124"/>
      <c r="KGY994" s="124"/>
      <c r="KGZ994" s="124"/>
      <c r="KHA994" s="124"/>
      <c r="KHB994" s="124"/>
      <c r="KHC994" s="124"/>
      <c r="KHD994" s="124"/>
      <c r="KHE994" s="124"/>
      <c r="KHF994" s="124"/>
      <c r="KHG994" s="124"/>
      <c r="KHH994" s="124"/>
      <c r="KHI994" s="124"/>
      <c r="KHJ994" s="124"/>
      <c r="KHK994" s="124"/>
      <c r="KHL994" s="124"/>
      <c r="KHM994" s="124"/>
      <c r="KHN994" s="124"/>
      <c r="KHO994" s="124"/>
      <c r="KHP994" s="124"/>
      <c r="KHQ994" s="124"/>
      <c r="KHR994" s="124"/>
      <c r="KHS994" s="124"/>
      <c r="KHT994" s="124"/>
      <c r="KHU994" s="124"/>
      <c r="KHV994" s="124"/>
      <c r="KHW994" s="124"/>
      <c r="KHX994" s="124"/>
      <c r="KHY994" s="124"/>
      <c r="KHZ994" s="124"/>
      <c r="KIA994" s="124"/>
      <c r="KIB994" s="124"/>
      <c r="KIC994" s="124"/>
      <c r="KID994" s="124"/>
      <c r="KIE994" s="124"/>
      <c r="KIF994" s="124"/>
      <c r="KIG994" s="124"/>
      <c r="KIH994" s="124"/>
      <c r="KII994" s="124"/>
      <c r="KIJ994" s="124"/>
      <c r="KIK994" s="124"/>
      <c r="KIL994" s="124"/>
      <c r="KIM994" s="124"/>
      <c r="KIN994" s="124"/>
      <c r="KIO994" s="124"/>
      <c r="KIP994" s="124"/>
      <c r="KIQ994" s="124"/>
      <c r="KIR994" s="124"/>
      <c r="KIS994" s="124"/>
      <c r="KIT994" s="124"/>
      <c r="KIU994" s="124"/>
      <c r="KIV994" s="124"/>
      <c r="KIW994" s="124"/>
      <c r="KIX994" s="124"/>
      <c r="KIY994" s="124"/>
      <c r="KIZ994" s="124"/>
      <c r="KJA994" s="124"/>
      <c r="KJB994" s="124"/>
      <c r="KJC994" s="124"/>
      <c r="KJD994" s="124"/>
      <c r="KJE994" s="124"/>
      <c r="KJF994" s="124"/>
      <c r="KJG994" s="124"/>
      <c r="KJH994" s="124"/>
      <c r="KJI994" s="124"/>
      <c r="KJJ994" s="124"/>
      <c r="KJK994" s="124"/>
      <c r="KJL994" s="124"/>
      <c r="KJM994" s="124"/>
      <c r="KJN994" s="124"/>
      <c r="KJO994" s="124"/>
      <c r="KJP994" s="124"/>
      <c r="KJQ994" s="124"/>
      <c r="KJR994" s="124"/>
      <c r="KJS994" s="124"/>
      <c r="KJT994" s="124"/>
      <c r="KJU994" s="124"/>
      <c r="KJV994" s="124"/>
      <c r="KJW994" s="124"/>
      <c r="KJX994" s="124"/>
      <c r="KJY994" s="124"/>
      <c r="KJZ994" s="124"/>
      <c r="KKA994" s="124"/>
      <c r="KKB994" s="124"/>
      <c r="KKC994" s="124"/>
      <c r="KKD994" s="124"/>
      <c r="KKE994" s="124"/>
      <c r="KKF994" s="124"/>
      <c r="KKG994" s="124"/>
      <c r="KKH994" s="124"/>
      <c r="KKI994" s="124"/>
      <c r="KKJ994" s="124"/>
      <c r="KKK994" s="124"/>
      <c r="KKL994" s="124"/>
      <c r="KKM994" s="124"/>
      <c r="KKN994" s="124"/>
      <c r="KKO994" s="124"/>
      <c r="KKP994" s="124"/>
      <c r="KKQ994" s="124"/>
      <c r="KKR994" s="124"/>
      <c r="KKS994" s="124"/>
      <c r="KKT994" s="124"/>
      <c r="KKU994" s="124"/>
      <c r="KKV994" s="124"/>
      <c r="KKW994" s="124"/>
      <c r="KKX994" s="124"/>
      <c r="KKY994" s="124"/>
      <c r="KKZ994" s="124"/>
      <c r="KLA994" s="124"/>
      <c r="KLB994" s="124"/>
      <c r="KLC994" s="124"/>
      <c r="KLD994" s="124"/>
      <c r="KLE994" s="124"/>
      <c r="KLF994" s="124"/>
      <c r="KLG994" s="124"/>
      <c r="KLH994" s="124"/>
      <c r="KLI994" s="124"/>
      <c r="KLJ994" s="124"/>
      <c r="KLK994" s="124"/>
      <c r="KLL994" s="124"/>
      <c r="KLM994" s="124"/>
      <c r="KLN994" s="124"/>
      <c r="KLO994" s="124"/>
      <c r="KLP994" s="124"/>
      <c r="KLQ994" s="124"/>
      <c r="KLR994" s="124"/>
      <c r="KLS994" s="124"/>
      <c r="KLT994" s="124"/>
      <c r="KLU994" s="124"/>
      <c r="KLV994" s="124"/>
      <c r="KLW994" s="124"/>
      <c r="KLX994" s="124"/>
      <c r="KLY994" s="124"/>
      <c r="KLZ994" s="124"/>
      <c r="KMA994" s="124"/>
      <c r="KMB994" s="124"/>
      <c r="KMC994" s="124"/>
      <c r="KMD994" s="124"/>
      <c r="KME994" s="124"/>
      <c r="KMF994" s="124"/>
      <c r="KMG994" s="124"/>
      <c r="KMH994" s="124"/>
      <c r="KMI994" s="124"/>
      <c r="KMJ994" s="124"/>
      <c r="KMK994" s="124"/>
      <c r="KML994" s="124"/>
      <c r="KMM994" s="124"/>
      <c r="KMN994" s="124"/>
      <c r="KMO994" s="124"/>
      <c r="KMP994" s="124"/>
      <c r="KMQ994" s="124"/>
      <c r="KMR994" s="124"/>
      <c r="KMS994" s="124"/>
      <c r="KMT994" s="124"/>
      <c r="KMU994" s="124"/>
      <c r="KMV994" s="124"/>
      <c r="KMW994" s="124"/>
      <c r="KMX994" s="124"/>
      <c r="KMY994" s="124"/>
      <c r="KMZ994" s="124"/>
      <c r="KNA994" s="124"/>
      <c r="KNB994" s="124"/>
      <c r="KNC994" s="124"/>
      <c r="KND994" s="124"/>
      <c r="KNE994" s="124"/>
      <c r="KNF994" s="124"/>
      <c r="KNG994" s="124"/>
      <c r="KNH994" s="124"/>
      <c r="KNI994" s="124"/>
      <c r="KNJ994" s="124"/>
      <c r="KNK994" s="124"/>
      <c r="KNL994" s="124"/>
      <c r="KNM994" s="124"/>
      <c r="KNN994" s="124"/>
      <c r="KNO994" s="124"/>
      <c r="KNP994" s="124"/>
      <c r="KNQ994" s="124"/>
      <c r="KNR994" s="124"/>
      <c r="KNS994" s="124"/>
      <c r="KNT994" s="124"/>
      <c r="KNU994" s="124"/>
      <c r="KNV994" s="124"/>
      <c r="KNW994" s="124"/>
      <c r="KNX994" s="124"/>
      <c r="KNY994" s="124"/>
      <c r="KNZ994" s="124"/>
      <c r="KOA994" s="124"/>
      <c r="KOB994" s="124"/>
      <c r="KOC994" s="124"/>
      <c r="KOD994" s="124"/>
      <c r="KOE994" s="124"/>
      <c r="KOF994" s="124"/>
      <c r="KOG994" s="124"/>
      <c r="KOH994" s="124"/>
      <c r="KOI994" s="124"/>
      <c r="KOJ994" s="124"/>
      <c r="KOK994" s="124"/>
      <c r="KOL994" s="124"/>
      <c r="KOM994" s="124"/>
      <c r="KON994" s="124"/>
      <c r="KOO994" s="124"/>
      <c r="KOP994" s="124"/>
      <c r="KOQ994" s="124"/>
      <c r="KOR994" s="124"/>
      <c r="KOS994" s="124"/>
      <c r="KOT994" s="124"/>
      <c r="KOU994" s="124"/>
      <c r="KOV994" s="124"/>
      <c r="KOW994" s="124"/>
      <c r="KOX994" s="124"/>
      <c r="KOY994" s="124"/>
      <c r="KOZ994" s="124"/>
      <c r="KPA994" s="124"/>
      <c r="KPB994" s="124"/>
      <c r="KPC994" s="124"/>
      <c r="KPD994" s="124"/>
      <c r="KPE994" s="124"/>
      <c r="KPF994" s="124"/>
      <c r="KPG994" s="124"/>
      <c r="KPH994" s="124"/>
      <c r="KPI994" s="124"/>
      <c r="KPJ994" s="124"/>
      <c r="KPK994" s="124"/>
      <c r="KPL994" s="124"/>
      <c r="KPM994" s="124"/>
      <c r="KPN994" s="124"/>
      <c r="KPO994" s="124"/>
      <c r="KPP994" s="124"/>
      <c r="KPQ994" s="124"/>
      <c r="KPR994" s="124"/>
      <c r="KPS994" s="124"/>
      <c r="KPT994" s="124"/>
      <c r="KPU994" s="124"/>
      <c r="KPV994" s="124"/>
      <c r="KPW994" s="124"/>
      <c r="KPX994" s="124"/>
      <c r="KPY994" s="124"/>
      <c r="KPZ994" s="124"/>
      <c r="KQA994" s="124"/>
      <c r="KQB994" s="124"/>
      <c r="KQC994" s="124"/>
      <c r="KQD994" s="124"/>
      <c r="KQE994" s="124"/>
      <c r="KQF994" s="124"/>
      <c r="KQG994" s="124"/>
      <c r="KQH994" s="124"/>
      <c r="KQI994" s="124"/>
      <c r="KQJ994" s="124"/>
      <c r="KQK994" s="124"/>
      <c r="KQL994" s="124"/>
      <c r="KQM994" s="124"/>
      <c r="KQN994" s="124"/>
      <c r="KQO994" s="124"/>
      <c r="KQP994" s="124"/>
      <c r="KQQ994" s="124"/>
      <c r="KQR994" s="124"/>
      <c r="KQS994" s="124"/>
      <c r="KQT994" s="124"/>
      <c r="KQU994" s="124"/>
      <c r="KQV994" s="124"/>
      <c r="KQW994" s="124"/>
      <c r="KQX994" s="124"/>
      <c r="KQY994" s="124"/>
      <c r="KQZ994" s="124"/>
      <c r="KRA994" s="124"/>
      <c r="KRB994" s="124"/>
      <c r="KRC994" s="124"/>
      <c r="KRD994" s="124"/>
      <c r="KRE994" s="124"/>
      <c r="KRF994" s="124"/>
      <c r="KRG994" s="124"/>
      <c r="KRH994" s="124"/>
      <c r="KRI994" s="124"/>
      <c r="KRJ994" s="124"/>
      <c r="KRK994" s="124"/>
      <c r="KRL994" s="124"/>
      <c r="KRM994" s="124"/>
      <c r="KRN994" s="124"/>
      <c r="KRO994" s="124"/>
      <c r="KRP994" s="124"/>
      <c r="KRQ994" s="124"/>
      <c r="KRR994" s="124"/>
      <c r="KRS994" s="124"/>
      <c r="KRT994" s="124"/>
      <c r="KRU994" s="124"/>
      <c r="KRV994" s="124"/>
      <c r="KRW994" s="124"/>
      <c r="KRX994" s="124"/>
      <c r="KRY994" s="124"/>
      <c r="KRZ994" s="124"/>
      <c r="KSA994" s="124"/>
      <c r="KSB994" s="124"/>
      <c r="KSC994" s="124"/>
      <c r="KSD994" s="124"/>
      <c r="KSE994" s="124"/>
      <c r="KSF994" s="124"/>
      <c r="KSG994" s="124"/>
      <c r="KSH994" s="124"/>
      <c r="KSI994" s="124"/>
      <c r="KSJ994" s="124"/>
      <c r="KSK994" s="124"/>
      <c r="KSL994" s="124"/>
      <c r="KSM994" s="124"/>
      <c r="KSN994" s="124"/>
      <c r="KSO994" s="124"/>
      <c r="KSP994" s="124"/>
      <c r="KSQ994" s="124"/>
      <c r="KSR994" s="124"/>
      <c r="KSS994" s="124"/>
      <c r="KST994" s="124"/>
      <c r="KSU994" s="124"/>
      <c r="KSV994" s="124"/>
      <c r="KSW994" s="124"/>
      <c r="KSX994" s="124"/>
      <c r="KSY994" s="124"/>
      <c r="KSZ994" s="124"/>
      <c r="KTA994" s="124"/>
      <c r="KTB994" s="124"/>
      <c r="KTC994" s="124"/>
      <c r="KTD994" s="124"/>
      <c r="KTE994" s="124"/>
      <c r="KTF994" s="124"/>
      <c r="KTG994" s="124"/>
      <c r="KTH994" s="124"/>
      <c r="KTI994" s="124"/>
      <c r="KTJ994" s="124"/>
      <c r="KTK994" s="124"/>
      <c r="KTL994" s="124"/>
      <c r="KTM994" s="124"/>
      <c r="KTN994" s="124"/>
      <c r="KTO994" s="124"/>
      <c r="KTP994" s="124"/>
      <c r="KTQ994" s="124"/>
      <c r="KTR994" s="124"/>
      <c r="KTS994" s="124"/>
      <c r="KTT994" s="124"/>
      <c r="KTU994" s="124"/>
      <c r="KTV994" s="124"/>
      <c r="KTW994" s="124"/>
      <c r="KTX994" s="124"/>
      <c r="KTY994" s="124"/>
      <c r="KTZ994" s="124"/>
      <c r="KUA994" s="124"/>
      <c r="KUB994" s="124"/>
      <c r="KUC994" s="124"/>
      <c r="KUD994" s="124"/>
      <c r="KUE994" s="124"/>
      <c r="KUF994" s="124"/>
      <c r="KUG994" s="124"/>
      <c r="KUH994" s="124"/>
      <c r="KUI994" s="124"/>
      <c r="KUJ994" s="124"/>
      <c r="KUK994" s="124"/>
      <c r="KUL994" s="124"/>
      <c r="KUM994" s="124"/>
      <c r="KUN994" s="124"/>
      <c r="KUO994" s="124"/>
      <c r="KUP994" s="124"/>
      <c r="KUQ994" s="124"/>
      <c r="KUR994" s="124"/>
      <c r="KUS994" s="124"/>
      <c r="KUT994" s="124"/>
      <c r="KUU994" s="124"/>
      <c r="KUV994" s="124"/>
      <c r="KUW994" s="124"/>
      <c r="KUX994" s="124"/>
      <c r="KUY994" s="124"/>
      <c r="KUZ994" s="124"/>
      <c r="KVA994" s="124"/>
      <c r="KVB994" s="124"/>
      <c r="KVC994" s="124"/>
      <c r="KVD994" s="124"/>
      <c r="KVE994" s="124"/>
      <c r="KVF994" s="124"/>
      <c r="KVG994" s="124"/>
      <c r="KVH994" s="124"/>
      <c r="KVI994" s="124"/>
      <c r="KVJ994" s="124"/>
      <c r="KVK994" s="124"/>
      <c r="KVL994" s="124"/>
      <c r="KVM994" s="124"/>
      <c r="KVN994" s="124"/>
      <c r="KVO994" s="124"/>
      <c r="KVP994" s="124"/>
      <c r="KVQ994" s="124"/>
      <c r="KVR994" s="124"/>
      <c r="KVS994" s="124"/>
      <c r="KVT994" s="124"/>
      <c r="KVU994" s="124"/>
      <c r="KVV994" s="124"/>
      <c r="KVW994" s="124"/>
      <c r="KVX994" s="124"/>
      <c r="KVY994" s="124"/>
      <c r="KVZ994" s="124"/>
      <c r="KWA994" s="124"/>
      <c r="KWB994" s="124"/>
      <c r="KWC994" s="124"/>
      <c r="KWD994" s="124"/>
      <c r="KWE994" s="124"/>
      <c r="KWF994" s="124"/>
      <c r="KWG994" s="124"/>
      <c r="KWH994" s="124"/>
      <c r="KWI994" s="124"/>
      <c r="KWJ994" s="124"/>
      <c r="KWK994" s="124"/>
      <c r="KWL994" s="124"/>
      <c r="KWM994" s="124"/>
      <c r="KWN994" s="124"/>
      <c r="KWO994" s="124"/>
      <c r="KWP994" s="124"/>
      <c r="KWQ994" s="124"/>
      <c r="KWR994" s="124"/>
      <c r="KWS994" s="124"/>
      <c r="KWT994" s="124"/>
      <c r="KWU994" s="124"/>
      <c r="KWV994" s="124"/>
      <c r="KWW994" s="124"/>
      <c r="KWX994" s="124"/>
      <c r="KWY994" s="124"/>
      <c r="KWZ994" s="124"/>
      <c r="KXA994" s="124"/>
      <c r="KXB994" s="124"/>
      <c r="KXC994" s="124"/>
      <c r="KXD994" s="124"/>
      <c r="KXE994" s="124"/>
      <c r="KXF994" s="124"/>
      <c r="KXG994" s="124"/>
      <c r="KXH994" s="124"/>
      <c r="KXI994" s="124"/>
      <c r="KXJ994" s="124"/>
      <c r="KXK994" s="124"/>
      <c r="KXL994" s="124"/>
      <c r="KXM994" s="124"/>
      <c r="KXN994" s="124"/>
      <c r="KXO994" s="124"/>
      <c r="KXP994" s="124"/>
      <c r="KXQ994" s="124"/>
      <c r="KXR994" s="124"/>
      <c r="KXS994" s="124"/>
      <c r="KXT994" s="124"/>
      <c r="KXU994" s="124"/>
      <c r="KXV994" s="124"/>
      <c r="KXW994" s="124"/>
      <c r="KXX994" s="124"/>
      <c r="KXY994" s="124"/>
      <c r="KXZ994" s="124"/>
      <c r="KYA994" s="124"/>
      <c r="KYB994" s="124"/>
      <c r="KYC994" s="124"/>
      <c r="KYD994" s="124"/>
      <c r="KYE994" s="124"/>
      <c r="KYF994" s="124"/>
      <c r="KYG994" s="124"/>
      <c r="KYH994" s="124"/>
      <c r="KYI994" s="124"/>
      <c r="KYJ994" s="124"/>
      <c r="KYK994" s="124"/>
      <c r="KYL994" s="124"/>
      <c r="KYM994" s="124"/>
      <c r="KYN994" s="124"/>
      <c r="KYO994" s="124"/>
      <c r="KYP994" s="124"/>
      <c r="KYQ994" s="124"/>
      <c r="KYR994" s="124"/>
      <c r="KYS994" s="124"/>
      <c r="KYT994" s="124"/>
      <c r="KYU994" s="124"/>
      <c r="KYV994" s="124"/>
      <c r="KYW994" s="124"/>
      <c r="KYX994" s="124"/>
      <c r="KYY994" s="124"/>
      <c r="KYZ994" s="124"/>
      <c r="KZA994" s="124"/>
      <c r="KZB994" s="124"/>
      <c r="KZC994" s="124"/>
      <c r="KZD994" s="124"/>
      <c r="KZE994" s="124"/>
      <c r="KZF994" s="124"/>
      <c r="KZG994" s="124"/>
      <c r="KZH994" s="124"/>
      <c r="KZI994" s="124"/>
      <c r="KZJ994" s="124"/>
      <c r="KZK994" s="124"/>
      <c r="KZL994" s="124"/>
      <c r="KZM994" s="124"/>
      <c r="KZN994" s="124"/>
      <c r="KZO994" s="124"/>
      <c r="KZP994" s="124"/>
      <c r="KZQ994" s="124"/>
      <c r="KZR994" s="124"/>
      <c r="KZS994" s="124"/>
      <c r="KZT994" s="124"/>
      <c r="KZU994" s="124"/>
      <c r="KZV994" s="124"/>
      <c r="KZW994" s="124"/>
      <c r="KZX994" s="124"/>
      <c r="KZY994" s="124"/>
      <c r="KZZ994" s="124"/>
      <c r="LAA994" s="124"/>
      <c r="LAB994" s="124"/>
      <c r="LAC994" s="124"/>
      <c r="LAD994" s="124"/>
      <c r="LAE994" s="124"/>
      <c r="LAF994" s="124"/>
      <c r="LAG994" s="124"/>
      <c r="LAH994" s="124"/>
      <c r="LAI994" s="124"/>
      <c r="LAJ994" s="124"/>
      <c r="LAK994" s="124"/>
      <c r="LAL994" s="124"/>
      <c r="LAM994" s="124"/>
      <c r="LAN994" s="124"/>
      <c r="LAO994" s="124"/>
      <c r="LAP994" s="124"/>
      <c r="LAQ994" s="124"/>
      <c r="LAR994" s="124"/>
      <c r="LAS994" s="124"/>
      <c r="LAT994" s="124"/>
      <c r="LAU994" s="124"/>
      <c r="LAV994" s="124"/>
      <c r="LAW994" s="124"/>
      <c r="LAX994" s="124"/>
      <c r="LAY994" s="124"/>
      <c r="LAZ994" s="124"/>
      <c r="LBA994" s="124"/>
      <c r="LBB994" s="124"/>
      <c r="LBC994" s="124"/>
      <c r="LBD994" s="124"/>
      <c r="LBE994" s="124"/>
      <c r="LBF994" s="124"/>
      <c r="LBG994" s="124"/>
      <c r="LBH994" s="124"/>
      <c r="LBI994" s="124"/>
      <c r="LBJ994" s="124"/>
      <c r="LBK994" s="124"/>
      <c r="LBL994" s="124"/>
      <c r="LBM994" s="124"/>
      <c r="LBN994" s="124"/>
      <c r="LBO994" s="124"/>
      <c r="LBP994" s="124"/>
      <c r="LBQ994" s="124"/>
      <c r="LBR994" s="124"/>
      <c r="LBS994" s="124"/>
      <c r="LBT994" s="124"/>
      <c r="LBU994" s="124"/>
      <c r="LBV994" s="124"/>
      <c r="LBW994" s="124"/>
      <c r="LBX994" s="124"/>
      <c r="LBY994" s="124"/>
      <c r="LBZ994" s="124"/>
      <c r="LCA994" s="124"/>
      <c r="LCB994" s="124"/>
      <c r="LCC994" s="124"/>
      <c r="LCD994" s="124"/>
      <c r="LCE994" s="124"/>
      <c r="LCF994" s="124"/>
      <c r="LCG994" s="124"/>
      <c r="LCH994" s="124"/>
      <c r="LCI994" s="124"/>
      <c r="LCJ994" s="124"/>
      <c r="LCK994" s="124"/>
      <c r="LCL994" s="124"/>
      <c r="LCM994" s="124"/>
      <c r="LCN994" s="124"/>
      <c r="LCO994" s="124"/>
      <c r="LCP994" s="124"/>
      <c r="LCQ994" s="124"/>
      <c r="LCR994" s="124"/>
      <c r="LCS994" s="124"/>
      <c r="LCT994" s="124"/>
      <c r="LCU994" s="124"/>
      <c r="LCV994" s="124"/>
      <c r="LCW994" s="124"/>
      <c r="LCX994" s="124"/>
      <c r="LCY994" s="124"/>
      <c r="LCZ994" s="124"/>
      <c r="LDA994" s="124"/>
      <c r="LDB994" s="124"/>
      <c r="LDC994" s="124"/>
      <c r="LDD994" s="124"/>
      <c r="LDE994" s="124"/>
      <c r="LDF994" s="124"/>
      <c r="LDG994" s="124"/>
      <c r="LDH994" s="124"/>
      <c r="LDI994" s="124"/>
      <c r="LDJ994" s="124"/>
      <c r="LDK994" s="124"/>
      <c r="LDL994" s="124"/>
      <c r="LDM994" s="124"/>
      <c r="LDN994" s="124"/>
      <c r="LDO994" s="124"/>
      <c r="LDP994" s="124"/>
      <c r="LDQ994" s="124"/>
      <c r="LDR994" s="124"/>
      <c r="LDS994" s="124"/>
      <c r="LDT994" s="124"/>
      <c r="LDU994" s="124"/>
      <c r="LDV994" s="124"/>
      <c r="LDW994" s="124"/>
      <c r="LDX994" s="124"/>
      <c r="LDY994" s="124"/>
      <c r="LDZ994" s="124"/>
      <c r="LEA994" s="124"/>
      <c r="LEB994" s="124"/>
      <c r="LEC994" s="124"/>
      <c r="LED994" s="124"/>
      <c r="LEE994" s="124"/>
      <c r="LEF994" s="124"/>
      <c r="LEG994" s="124"/>
      <c r="LEH994" s="124"/>
      <c r="LEI994" s="124"/>
      <c r="LEJ994" s="124"/>
      <c r="LEK994" s="124"/>
      <c r="LEL994" s="124"/>
      <c r="LEM994" s="124"/>
      <c r="LEN994" s="124"/>
      <c r="LEO994" s="124"/>
      <c r="LEP994" s="124"/>
      <c r="LEQ994" s="124"/>
      <c r="LER994" s="124"/>
      <c r="LES994" s="124"/>
      <c r="LET994" s="124"/>
      <c r="LEU994" s="124"/>
      <c r="LEV994" s="124"/>
      <c r="LEW994" s="124"/>
      <c r="LEX994" s="124"/>
      <c r="LEY994" s="124"/>
      <c r="LEZ994" s="124"/>
      <c r="LFA994" s="124"/>
      <c r="LFB994" s="124"/>
      <c r="LFC994" s="124"/>
      <c r="LFD994" s="124"/>
      <c r="LFE994" s="124"/>
      <c r="LFF994" s="124"/>
      <c r="LFG994" s="124"/>
      <c r="LFH994" s="124"/>
      <c r="LFI994" s="124"/>
      <c r="LFJ994" s="124"/>
      <c r="LFK994" s="124"/>
      <c r="LFL994" s="124"/>
      <c r="LFM994" s="124"/>
      <c r="LFN994" s="124"/>
      <c r="LFO994" s="124"/>
      <c r="LFP994" s="124"/>
      <c r="LFQ994" s="124"/>
      <c r="LFR994" s="124"/>
      <c r="LFS994" s="124"/>
      <c r="LFT994" s="124"/>
      <c r="LFU994" s="124"/>
      <c r="LFV994" s="124"/>
      <c r="LFW994" s="124"/>
      <c r="LFX994" s="124"/>
      <c r="LFY994" s="124"/>
      <c r="LFZ994" s="124"/>
      <c r="LGA994" s="124"/>
      <c r="LGB994" s="124"/>
      <c r="LGC994" s="124"/>
      <c r="LGD994" s="124"/>
      <c r="LGE994" s="124"/>
      <c r="LGF994" s="124"/>
      <c r="LGG994" s="124"/>
      <c r="LGH994" s="124"/>
      <c r="LGI994" s="124"/>
      <c r="LGJ994" s="124"/>
      <c r="LGK994" s="124"/>
      <c r="LGL994" s="124"/>
      <c r="LGM994" s="124"/>
      <c r="LGN994" s="124"/>
      <c r="LGO994" s="124"/>
      <c r="LGP994" s="124"/>
      <c r="LGQ994" s="124"/>
      <c r="LGR994" s="124"/>
      <c r="LGS994" s="124"/>
      <c r="LGT994" s="124"/>
      <c r="LGU994" s="124"/>
      <c r="LGV994" s="124"/>
      <c r="LGW994" s="124"/>
      <c r="LGX994" s="124"/>
      <c r="LGY994" s="124"/>
      <c r="LGZ994" s="124"/>
      <c r="LHA994" s="124"/>
      <c r="LHB994" s="124"/>
      <c r="LHC994" s="124"/>
      <c r="LHD994" s="124"/>
      <c r="LHE994" s="124"/>
      <c r="LHF994" s="124"/>
      <c r="LHG994" s="124"/>
      <c r="LHH994" s="124"/>
      <c r="LHI994" s="124"/>
      <c r="LHJ994" s="124"/>
      <c r="LHK994" s="124"/>
      <c r="LHL994" s="124"/>
      <c r="LHM994" s="124"/>
      <c r="LHN994" s="124"/>
      <c r="LHO994" s="124"/>
      <c r="LHP994" s="124"/>
      <c r="LHQ994" s="124"/>
      <c r="LHR994" s="124"/>
      <c r="LHS994" s="124"/>
      <c r="LHT994" s="124"/>
      <c r="LHU994" s="124"/>
      <c r="LHV994" s="124"/>
      <c r="LHW994" s="124"/>
      <c r="LHX994" s="124"/>
      <c r="LHY994" s="124"/>
      <c r="LHZ994" s="124"/>
      <c r="LIA994" s="124"/>
      <c r="LIB994" s="124"/>
      <c r="LIC994" s="124"/>
      <c r="LID994" s="124"/>
      <c r="LIE994" s="124"/>
      <c r="LIF994" s="124"/>
      <c r="LIG994" s="124"/>
      <c r="LIH994" s="124"/>
      <c r="LII994" s="124"/>
      <c r="LIJ994" s="124"/>
      <c r="LIK994" s="124"/>
      <c r="LIL994" s="124"/>
      <c r="LIM994" s="124"/>
      <c r="LIN994" s="124"/>
      <c r="LIO994" s="124"/>
      <c r="LIP994" s="124"/>
      <c r="LIQ994" s="124"/>
      <c r="LIR994" s="124"/>
      <c r="LIS994" s="124"/>
      <c r="LIT994" s="124"/>
      <c r="LIU994" s="124"/>
      <c r="LIV994" s="124"/>
      <c r="LIW994" s="124"/>
      <c r="LIX994" s="124"/>
      <c r="LIY994" s="124"/>
      <c r="LIZ994" s="124"/>
      <c r="LJA994" s="124"/>
      <c r="LJB994" s="124"/>
      <c r="LJC994" s="124"/>
      <c r="LJD994" s="124"/>
      <c r="LJE994" s="124"/>
      <c r="LJF994" s="124"/>
      <c r="LJG994" s="124"/>
      <c r="LJH994" s="124"/>
      <c r="LJI994" s="124"/>
      <c r="LJJ994" s="124"/>
      <c r="LJK994" s="124"/>
      <c r="LJL994" s="124"/>
      <c r="LJM994" s="124"/>
      <c r="LJN994" s="124"/>
      <c r="LJO994" s="124"/>
      <c r="LJP994" s="124"/>
      <c r="LJQ994" s="124"/>
      <c r="LJR994" s="124"/>
      <c r="LJS994" s="124"/>
      <c r="LJT994" s="124"/>
      <c r="LJU994" s="124"/>
      <c r="LJV994" s="124"/>
      <c r="LJW994" s="124"/>
      <c r="LJX994" s="124"/>
      <c r="LJY994" s="124"/>
      <c r="LJZ994" s="124"/>
      <c r="LKA994" s="124"/>
      <c r="LKB994" s="124"/>
      <c r="LKC994" s="124"/>
      <c r="LKD994" s="124"/>
      <c r="LKE994" s="124"/>
      <c r="LKF994" s="124"/>
      <c r="LKG994" s="124"/>
      <c r="LKH994" s="124"/>
      <c r="LKI994" s="124"/>
      <c r="LKJ994" s="124"/>
      <c r="LKK994" s="124"/>
      <c r="LKL994" s="124"/>
      <c r="LKM994" s="124"/>
      <c r="LKN994" s="124"/>
      <c r="LKO994" s="124"/>
      <c r="LKP994" s="124"/>
      <c r="LKQ994" s="124"/>
      <c r="LKR994" s="124"/>
      <c r="LKS994" s="124"/>
      <c r="LKT994" s="124"/>
      <c r="LKU994" s="124"/>
      <c r="LKV994" s="124"/>
      <c r="LKW994" s="124"/>
      <c r="LKX994" s="124"/>
      <c r="LKY994" s="124"/>
      <c r="LKZ994" s="124"/>
      <c r="LLA994" s="124"/>
      <c r="LLB994" s="124"/>
      <c r="LLC994" s="124"/>
      <c r="LLD994" s="124"/>
      <c r="LLE994" s="124"/>
      <c r="LLF994" s="124"/>
      <c r="LLG994" s="124"/>
      <c r="LLH994" s="124"/>
      <c r="LLI994" s="124"/>
      <c r="LLJ994" s="124"/>
      <c r="LLK994" s="124"/>
      <c r="LLL994" s="124"/>
      <c r="LLM994" s="124"/>
      <c r="LLN994" s="124"/>
      <c r="LLO994" s="124"/>
      <c r="LLP994" s="124"/>
      <c r="LLQ994" s="124"/>
      <c r="LLR994" s="124"/>
      <c r="LLS994" s="124"/>
      <c r="LLT994" s="124"/>
      <c r="LLU994" s="124"/>
      <c r="LLV994" s="124"/>
      <c r="LLW994" s="124"/>
      <c r="LLX994" s="124"/>
      <c r="LLY994" s="124"/>
      <c r="LLZ994" s="124"/>
      <c r="LMA994" s="124"/>
      <c r="LMB994" s="124"/>
      <c r="LMC994" s="124"/>
      <c r="LMD994" s="124"/>
      <c r="LME994" s="124"/>
      <c r="LMF994" s="124"/>
      <c r="LMG994" s="124"/>
      <c r="LMH994" s="124"/>
      <c r="LMI994" s="124"/>
      <c r="LMJ994" s="124"/>
      <c r="LMK994" s="124"/>
      <c r="LML994" s="124"/>
      <c r="LMM994" s="124"/>
      <c r="LMN994" s="124"/>
      <c r="LMO994" s="124"/>
      <c r="LMP994" s="124"/>
      <c r="LMQ994" s="124"/>
      <c r="LMR994" s="124"/>
      <c r="LMS994" s="124"/>
      <c r="LMT994" s="124"/>
      <c r="LMU994" s="124"/>
      <c r="LMV994" s="124"/>
      <c r="LMW994" s="124"/>
      <c r="LMX994" s="124"/>
      <c r="LMY994" s="124"/>
      <c r="LMZ994" s="124"/>
      <c r="LNA994" s="124"/>
      <c r="LNB994" s="124"/>
      <c r="LNC994" s="124"/>
      <c r="LND994" s="124"/>
      <c r="LNE994" s="124"/>
      <c r="LNF994" s="124"/>
      <c r="LNG994" s="124"/>
      <c r="LNH994" s="124"/>
      <c r="LNI994" s="124"/>
      <c r="LNJ994" s="124"/>
      <c r="LNK994" s="124"/>
      <c r="LNL994" s="124"/>
      <c r="LNM994" s="124"/>
      <c r="LNN994" s="124"/>
      <c r="LNO994" s="124"/>
      <c r="LNP994" s="124"/>
      <c r="LNQ994" s="124"/>
      <c r="LNR994" s="124"/>
      <c r="LNS994" s="124"/>
      <c r="LNT994" s="124"/>
      <c r="LNU994" s="124"/>
      <c r="LNV994" s="124"/>
      <c r="LNW994" s="124"/>
      <c r="LNX994" s="124"/>
      <c r="LNY994" s="124"/>
      <c r="LNZ994" s="124"/>
      <c r="LOA994" s="124"/>
      <c r="LOB994" s="124"/>
      <c r="LOC994" s="124"/>
      <c r="LOD994" s="124"/>
      <c r="LOE994" s="124"/>
      <c r="LOF994" s="124"/>
      <c r="LOG994" s="124"/>
      <c r="LOH994" s="124"/>
      <c r="LOI994" s="124"/>
      <c r="LOJ994" s="124"/>
      <c r="LOK994" s="124"/>
      <c r="LOL994" s="124"/>
      <c r="LOM994" s="124"/>
      <c r="LON994" s="124"/>
      <c r="LOO994" s="124"/>
      <c r="LOP994" s="124"/>
      <c r="LOQ994" s="124"/>
      <c r="LOR994" s="124"/>
      <c r="LOS994" s="124"/>
      <c r="LOT994" s="124"/>
      <c r="LOU994" s="124"/>
      <c r="LOV994" s="124"/>
      <c r="LOW994" s="124"/>
      <c r="LOX994" s="124"/>
      <c r="LOY994" s="124"/>
      <c r="LOZ994" s="124"/>
      <c r="LPA994" s="124"/>
      <c r="LPB994" s="124"/>
      <c r="LPC994" s="124"/>
      <c r="LPD994" s="124"/>
      <c r="LPE994" s="124"/>
      <c r="LPF994" s="124"/>
      <c r="LPG994" s="124"/>
      <c r="LPH994" s="124"/>
      <c r="LPI994" s="124"/>
      <c r="LPJ994" s="124"/>
      <c r="LPK994" s="124"/>
      <c r="LPL994" s="124"/>
      <c r="LPM994" s="124"/>
      <c r="LPN994" s="124"/>
      <c r="LPO994" s="124"/>
      <c r="LPP994" s="124"/>
      <c r="LPQ994" s="124"/>
      <c r="LPR994" s="124"/>
      <c r="LPS994" s="124"/>
      <c r="LPT994" s="124"/>
      <c r="LPU994" s="124"/>
      <c r="LPV994" s="124"/>
      <c r="LPW994" s="124"/>
      <c r="LPX994" s="124"/>
      <c r="LPY994" s="124"/>
      <c r="LPZ994" s="124"/>
      <c r="LQA994" s="124"/>
      <c r="LQB994" s="124"/>
      <c r="LQC994" s="124"/>
      <c r="LQD994" s="124"/>
      <c r="LQE994" s="124"/>
      <c r="LQF994" s="124"/>
      <c r="LQG994" s="124"/>
      <c r="LQH994" s="124"/>
      <c r="LQI994" s="124"/>
      <c r="LQJ994" s="124"/>
      <c r="LQK994" s="124"/>
      <c r="LQL994" s="124"/>
      <c r="LQM994" s="124"/>
      <c r="LQN994" s="124"/>
      <c r="LQO994" s="124"/>
      <c r="LQP994" s="124"/>
      <c r="LQQ994" s="124"/>
      <c r="LQR994" s="124"/>
      <c r="LQS994" s="124"/>
      <c r="LQT994" s="124"/>
      <c r="LQU994" s="124"/>
      <c r="LQV994" s="124"/>
      <c r="LQW994" s="124"/>
      <c r="LQX994" s="124"/>
      <c r="LQY994" s="124"/>
      <c r="LQZ994" s="124"/>
      <c r="LRA994" s="124"/>
      <c r="LRB994" s="124"/>
      <c r="LRC994" s="124"/>
      <c r="LRD994" s="124"/>
      <c r="LRE994" s="124"/>
      <c r="LRF994" s="124"/>
      <c r="LRG994" s="124"/>
      <c r="LRH994" s="124"/>
      <c r="LRI994" s="124"/>
      <c r="LRJ994" s="124"/>
      <c r="LRK994" s="124"/>
      <c r="LRL994" s="124"/>
      <c r="LRM994" s="124"/>
      <c r="LRN994" s="124"/>
      <c r="LRO994" s="124"/>
      <c r="LRP994" s="124"/>
      <c r="LRQ994" s="124"/>
      <c r="LRR994" s="124"/>
      <c r="LRS994" s="124"/>
      <c r="LRT994" s="124"/>
      <c r="LRU994" s="124"/>
      <c r="LRV994" s="124"/>
      <c r="LRW994" s="124"/>
      <c r="LRX994" s="124"/>
      <c r="LRY994" s="124"/>
      <c r="LRZ994" s="124"/>
      <c r="LSA994" s="124"/>
      <c r="LSB994" s="124"/>
      <c r="LSC994" s="124"/>
      <c r="LSD994" s="124"/>
      <c r="LSE994" s="124"/>
      <c r="LSF994" s="124"/>
      <c r="LSG994" s="124"/>
      <c r="LSH994" s="124"/>
      <c r="LSI994" s="124"/>
      <c r="LSJ994" s="124"/>
      <c r="LSK994" s="124"/>
      <c r="LSL994" s="124"/>
      <c r="LSM994" s="124"/>
      <c r="LSN994" s="124"/>
      <c r="LSO994" s="124"/>
      <c r="LSP994" s="124"/>
      <c r="LSQ994" s="124"/>
      <c r="LSR994" s="124"/>
      <c r="LSS994" s="124"/>
      <c r="LST994" s="124"/>
      <c r="LSU994" s="124"/>
      <c r="LSV994" s="124"/>
      <c r="LSW994" s="124"/>
      <c r="LSX994" s="124"/>
      <c r="LSY994" s="124"/>
      <c r="LSZ994" s="124"/>
      <c r="LTA994" s="124"/>
      <c r="LTB994" s="124"/>
      <c r="LTC994" s="124"/>
      <c r="LTD994" s="124"/>
      <c r="LTE994" s="124"/>
      <c r="LTF994" s="124"/>
      <c r="LTG994" s="124"/>
      <c r="LTH994" s="124"/>
      <c r="LTI994" s="124"/>
      <c r="LTJ994" s="124"/>
      <c r="LTK994" s="124"/>
      <c r="LTL994" s="124"/>
      <c r="LTM994" s="124"/>
      <c r="LTN994" s="124"/>
      <c r="LTO994" s="124"/>
      <c r="LTP994" s="124"/>
      <c r="LTQ994" s="124"/>
      <c r="LTR994" s="124"/>
      <c r="LTS994" s="124"/>
      <c r="LTT994" s="124"/>
      <c r="LTU994" s="124"/>
      <c r="LTV994" s="124"/>
      <c r="LTW994" s="124"/>
      <c r="LTX994" s="124"/>
      <c r="LTY994" s="124"/>
      <c r="LTZ994" s="124"/>
      <c r="LUA994" s="124"/>
      <c r="LUB994" s="124"/>
      <c r="LUC994" s="124"/>
      <c r="LUD994" s="124"/>
      <c r="LUE994" s="124"/>
      <c r="LUF994" s="124"/>
      <c r="LUG994" s="124"/>
      <c r="LUH994" s="124"/>
      <c r="LUI994" s="124"/>
      <c r="LUJ994" s="124"/>
      <c r="LUK994" s="124"/>
      <c r="LUL994" s="124"/>
      <c r="LUM994" s="124"/>
      <c r="LUN994" s="124"/>
      <c r="LUO994" s="124"/>
      <c r="LUP994" s="124"/>
      <c r="LUQ994" s="124"/>
      <c r="LUR994" s="124"/>
      <c r="LUS994" s="124"/>
      <c r="LUT994" s="124"/>
      <c r="LUU994" s="124"/>
      <c r="LUV994" s="124"/>
      <c r="LUW994" s="124"/>
      <c r="LUX994" s="124"/>
      <c r="LUY994" s="124"/>
      <c r="LUZ994" s="124"/>
      <c r="LVA994" s="124"/>
      <c r="LVB994" s="124"/>
      <c r="LVC994" s="124"/>
      <c r="LVD994" s="124"/>
      <c r="LVE994" s="124"/>
      <c r="LVF994" s="124"/>
      <c r="LVG994" s="124"/>
      <c r="LVH994" s="124"/>
      <c r="LVI994" s="124"/>
      <c r="LVJ994" s="124"/>
      <c r="LVK994" s="124"/>
      <c r="LVL994" s="124"/>
      <c r="LVM994" s="124"/>
      <c r="LVN994" s="124"/>
      <c r="LVO994" s="124"/>
      <c r="LVP994" s="124"/>
      <c r="LVQ994" s="124"/>
      <c r="LVR994" s="124"/>
      <c r="LVS994" s="124"/>
      <c r="LVT994" s="124"/>
      <c r="LVU994" s="124"/>
      <c r="LVV994" s="124"/>
      <c r="LVW994" s="124"/>
      <c r="LVX994" s="124"/>
      <c r="LVY994" s="124"/>
      <c r="LVZ994" s="124"/>
      <c r="LWA994" s="124"/>
      <c r="LWB994" s="124"/>
      <c r="LWC994" s="124"/>
      <c r="LWD994" s="124"/>
      <c r="LWE994" s="124"/>
      <c r="LWF994" s="124"/>
      <c r="LWG994" s="124"/>
      <c r="LWH994" s="124"/>
      <c r="LWI994" s="124"/>
      <c r="LWJ994" s="124"/>
      <c r="LWK994" s="124"/>
      <c r="LWL994" s="124"/>
      <c r="LWM994" s="124"/>
      <c r="LWN994" s="124"/>
      <c r="LWO994" s="124"/>
      <c r="LWP994" s="124"/>
      <c r="LWQ994" s="124"/>
      <c r="LWR994" s="124"/>
      <c r="LWS994" s="124"/>
      <c r="LWT994" s="124"/>
      <c r="LWU994" s="124"/>
      <c r="LWV994" s="124"/>
      <c r="LWW994" s="124"/>
      <c r="LWX994" s="124"/>
      <c r="LWY994" s="124"/>
      <c r="LWZ994" s="124"/>
      <c r="LXA994" s="124"/>
      <c r="LXB994" s="124"/>
      <c r="LXC994" s="124"/>
      <c r="LXD994" s="124"/>
      <c r="LXE994" s="124"/>
      <c r="LXF994" s="124"/>
      <c r="LXG994" s="124"/>
      <c r="LXH994" s="124"/>
      <c r="LXI994" s="124"/>
      <c r="LXJ994" s="124"/>
      <c r="LXK994" s="124"/>
      <c r="LXL994" s="124"/>
      <c r="LXM994" s="124"/>
      <c r="LXN994" s="124"/>
      <c r="LXO994" s="124"/>
      <c r="LXP994" s="124"/>
      <c r="LXQ994" s="124"/>
      <c r="LXR994" s="124"/>
      <c r="LXS994" s="124"/>
      <c r="LXT994" s="124"/>
      <c r="LXU994" s="124"/>
      <c r="LXV994" s="124"/>
      <c r="LXW994" s="124"/>
      <c r="LXX994" s="124"/>
      <c r="LXY994" s="124"/>
      <c r="LXZ994" s="124"/>
      <c r="LYA994" s="124"/>
      <c r="LYB994" s="124"/>
      <c r="LYC994" s="124"/>
      <c r="LYD994" s="124"/>
      <c r="LYE994" s="124"/>
      <c r="LYF994" s="124"/>
      <c r="LYG994" s="124"/>
      <c r="LYH994" s="124"/>
      <c r="LYI994" s="124"/>
      <c r="LYJ994" s="124"/>
      <c r="LYK994" s="124"/>
      <c r="LYL994" s="124"/>
      <c r="LYM994" s="124"/>
      <c r="LYN994" s="124"/>
      <c r="LYO994" s="124"/>
      <c r="LYP994" s="124"/>
      <c r="LYQ994" s="124"/>
      <c r="LYR994" s="124"/>
      <c r="LYS994" s="124"/>
      <c r="LYT994" s="124"/>
      <c r="LYU994" s="124"/>
      <c r="LYV994" s="124"/>
      <c r="LYW994" s="124"/>
      <c r="LYX994" s="124"/>
      <c r="LYY994" s="124"/>
      <c r="LYZ994" s="124"/>
      <c r="LZA994" s="124"/>
      <c r="LZB994" s="124"/>
      <c r="LZC994" s="124"/>
      <c r="LZD994" s="124"/>
      <c r="LZE994" s="124"/>
      <c r="LZF994" s="124"/>
      <c r="LZG994" s="124"/>
      <c r="LZH994" s="124"/>
      <c r="LZI994" s="124"/>
      <c r="LZJ994" s="124"/>
      <c r="LZK994" s="124"/>
      <c r="LZL994" s="124"/>
      <c r="LZM994" s="124"/>
      <c r="LZN994" s="124"/>
      <c r="LZO994" s="124"/>
      <c r="LZP994" s="124"/>
      <c r="LZQ994" s="124"/>
      <c r="LZR994" s="124"/>
      <c r="LZS994" s="124"/>
      <c r="LZT994" s="124"/>
      <c r="LZU994" s="124"/>
      <c r="LZV994" s="124"/>
      <c r="LZW994" s="124"/>
      <c r="LZX994" s="124"/>
      <c r="LZY994" s="124"/>
      <c r="LZZ994" s="124"/>
      <c r="MAA994" s="124"/>
      <c r="MAB994" s="124"/>
      <c r="MAC994" s="124"/>
      <c r="MAD994" s="124"/>
      <c r="MAE994" s="124"/>
      <c r="MAF994" s="124"/>
      <c r="MAG994" s="124"/>
      <c r="MAH994" s="124"/>
      <c r="MAI994" s="124"/>
      <c r="MAJ994" s="124"/>
      <c r="MAK994" s="124"/>
      <c r="MAL994" s="124"/>
      <c r="MAM994" s="124"/>
      <c r="MAN994" s="124"/>
      <c r="MAO994" s="124"/>
      <c r="MAP994" s="124"/>
      <c r="MAQ994" s="124"/>
      <c r="MAR994" s="124"/>
      <c r="MAS994" s="124"/>
      <c r="MAT994" s="124"/>
      <c r="MAU994" s="124"/>
      <c r="MAV994" s="124"/>
      <c r="MAW994" s="124"/>
      <c r="MAX994" s="124"/>
      <c r="MAY994" s="124"/>
      <c r="MAZ994" s="124"/>
      <c r="MBA994" s="124"/>
      <c r="MBB994" s="124"/>
      <c r="MBC994" s="124"/>
      <c r="MBD994" s="124"/>
      <c r="MBE994" s="124"/>
      <c r="MBF994" s="124"/>
      <c r="MBG994" s="124"/>
      <c r="MBH994" s="124"/>
      <c r="MBI994" s="124"/>
      <c r="MBJ994" s="124"/>
      <c r="MBK994" s="124"/>
      <c r="MBL994" s="124"/>
      <c r="MBM994" s="124"/>
      <c r="MBN994" s="124"/>
      <c r="MBO994" s="124"/>
      <c r="MBP994" s="124"/>
      <c r="MBQ994" s="124"/>
      <c r="MBR994" s="124"/>
      <c r="MBS994" s="124"/>
      <c r="MBT994" s="124"/>
      <c r="MBU994" s="124"/>
      <c r="MBV994" s="124"/>
      <c r="MBW994" s="124"/>
      <c r="MBX994" s="124"/>
      <c r="MBY994" s="124"/>
      <c r="MBZ994" s="124"/>
      <c r="MCA994" s="124"/>
      <c r="MCB994" s="124"/>
      <c r="MCC994" s="124"/>
      <c r="MCD994" s="124"/>
    </row>
    <row r="995" spans="1:8870" s="18" customFormat="1" ht="38.25" customHeight="1">
      <c r="A995" s="21" t="s">
        <v>1</v>
      </c>
      <c r="B995" s="18" t="s">
        <v>1855</v>
      </c>
      <c r="C995" s="18" t="s">
        <v>1891</v>
      </c>
      <c r="D995" s="21" t="s">
        <v>2874</v>
      </c>
      <c r="E995" s="21" t="s">
        <v>740</v>
      </c>
      <c r="F995" s="18" t="s">
        <v>277</v>
      </c>
      <c r="G995" s="21" t="s">
        <v>85</v>
      </c>
      <c r="H995" s="21" t="s">
        <v>80</v>
      </c>
      <c r="I995" s="21" t="s">
        <v>80</v>
      </c>
      <c r="J995" s="21" t="s">
        <v>109</v>
      </c>
      <c r="K995" s="21" t="s">
        <v>80</v>
      </c>
      <c r="L995" s="21" t="s">
        <v>278</v>
      </c>
      <c r="M995" s="21" t="s">
        <v>80</v>
      </c>
      <c r="N995" s="313">
        <v>63982348</v>
      </c>
      <c r="O995" s="21" t="s">
        <v>20</v>
      </c>
      <c r="P995" s="18" t="s">
        <v>1301</v>
      </c>
      <c r="Q995" s="18" t="s">
        <v>2851</v>
      </c>
      <c r="R995" s="21" t="s">
        <v>6</v>
      </c>
      <c r="S995" s="74">
        <v>2013</v>
      </c>
      <c r="T995" s="18" t="s">
        <v>1301</v>
      </c>
      <c r="U995" s="18" t="s">
        <v>1301</v>
      </c>
      <c r="V995" s="18" t="s">
        <v>1301</v>
      </c>
      <c r="W995" s="105" t="s">
        <v>32</v>
      </c>
      <c r="X995" s="18" t="s">
        <v>2856</v>
      </c>
      <c r="Y995" s="124"/>
      <c r="Z995" s="124"/>
      <c r="AA995" s="124"/>
      <c r="AB995" s="124"/>
      <c r="AC995" s="124"/>
      <c r="AD995" s="124"/>
      <c r="AE995" s="124"/>
      <c r="AF995" s="124"/>
      <c r="AG995" s="124"/>
      <c r="AH995" s="124"/>
      <c r="AI995" s="124"/>
      <c r="AJ995" s="124"/>
      <c r="AK995" s="124"/>
      <c r="AL995" s="124"/>
      <c r="AM995" s="124"/>
      <c r="AN995" s="124"/>
      <c r="AO995" s="124"/>
      <c r="AP995" s="124"/>
      <c r="AQ995" s="124"/>
      <c r="AR995" s="124"/>
      <c r="AS995" s="124"/>
      <c r="AT995" s="124"/>
      <c r="AU995" s="124"/>
      <c r="AV995" s="124"/>
      <c r="AW995" s="124"/>
      <c r="AX995" s="124"/>
      <c r="AY995" s="124"/>
      <c r="AZ995" s="124"/>
      <c r="BA995" s="124"/>
      <c r="BB995" s="124"/>
      <c r="BC995" s="124"/>
      <c r="BD995" s="124"/>
      <c r="BE995" s="124"/>
      <c r="BF995" s="124"/>
      <c r="BG995" s="124"/>
      <c r="BH995" s="124"/>
      <c r="BI995" s="124"/>
      <c r="BJ995" s="124"/>
      <c r="BK995" s="124"/>
      <c r="BL995" s="124"/>
      <c r="BM995" s="124"/>
      <c r="BN995" s="124"/>
      <c r="BO995" s="124"/>
      <c r="BP995" s="124"/>
      <c r="BQ995" s="124"/>
      <c r="BR995" s="124"/>
      <c r="BS995" s="124"/>
      <c r="BT995" s="124"/>
      <c r="BU995" s="124"/>
      <c r="BV995" s="124"/>
      <c r="BW995" s="124"/>
      <c r="BX995" s="124"/>
      <c r="BY995" s="124"/>
      <c r="BZ995" s="124"/>
      <c r="CA995" s="124"/>
      <c r="CB995" s="124"/>
      <c r="CC995" s="124"/>
      <c r="CD995" s="124"/>
      <c r="CE995" s="124"/>
      <c r="CF995" s="124"/>
      <c r="CG995" s="124"/>
      <c r="CH995" s="124"/>
      <c r="CI995" s="124"/>
      <c r="CJ995" s="124"/>
      <c r="CK995" s="124"/>
      <c r="CL995" s="124"/>
      <c r="CM995" s="124"/>
      <c r="CN995" s="124"/>
      <c r="CO995" s="124"/>
      <c r="CP995" s="124"/>
      <c r="CQ995" s="124"/>
      <c r="CR995" s="124"/>
      <c r="CS995" s="124"/>
      <c r="CT995" s="124"/>
      <c r="CU995" s="124"/>
      <c r="CV995" s="124"/>
      <c r="CW995" s="124"/>
      <c r="CX995" s="124"/>
      <c r="CY995" s="124"/>
      <c r="CZ995" s="124"/>
      <c r="DA995" s="124"/>
      <c r="DB995" s="124"/>
      <c r="DC995" s="124"/>
      <c r="DD995" s="124"/>
      <c r="DE995" s="124"/>
      <c r="DF995" s="124"/>
      <c r="DG995" s="124"/>
      <c r="DH995" s="124"/>
      <c r="DI995" s="124"/>
      <c r="DJ995" s="124"/>
      <c r="DK995" s="124"/>
      <c r="DL995" s="124"/>
      <c r="DM995" s="124"/>
      <c r="DN995" s="124"/>
      <c r="DO995" s="124"/>
      <c r="DP995" s="124"/>
      <c r="DQ995" s="124"/>
      <c r="DR995" s="124"/>
      <c r="DS995" s="124"/>
      <c r="DT995" s="124"/>
      <c r="DU995" s="124"/>
      <c r="DV995" s="124"/>
      <c r="DW995" s="124"/>
      <c r="DX995" s="124"/>
      <c r="DY995" s="124"/>
      <c r="DZ995" s="124"/>
      <c r="EA995" s="124"/>
      <c r="EB995" s="124"/>
      <c r="EC995" s="124"/>
      <c r="ED995" s="124"/>
      <c r="EE995" s="124"/>
      <c r="EF995" s="124"/>
      <c r="EG995" s="124"/>
      <c r="EH995" s="124"/>
      <c r="EI995" s="124"/>
      <c r="EJ995" s="124"/>
      <c r="EK995" s="124"/>
      <c r="EL995" s="124"/>
      <c r="EM995" s="124"/>
      <c r="EN995" s="124"/>
      <c r="EO995" s="124"/>
      <c r="EP995" s="124"/>
      <c r="EQ995" s="124"/>
      <c r="ER995" s="124"/>
      <c r="ES995" s="124"/>
      <c r="ET995" s="124"/>
      <c r="EU995" s="124"/>
      <c r="EV995" s="124"/>
      <c r="EW995" s="124"/>
      <c r="EX995" s="124"/>
      <c r="EY995" s="124"/>
      <c r="EZ995" s="124"/>
      <c r="FA995" s="124"/>
      <c r="FB995" s="124"/>
      <c r="FC995" s="124"/>
      <c r="FD995" s="124"/>
      <c r="FE995" s="124"/>
      <c r="FF995" s="124"/>
      <c r="FG995" s="124"/>
      <c r="FH995" s="124"/>
      <c r="FI995" s="124"/>
      <c r="FJ995" s="124"/>
      <c r="FK995" s="124"/>
      <c r="FL995" s="124"/>
      <c r="FM995" s="124"/>
      <c r="FN995" s="124"/>
      <c r="FO995" s="124"/>
      <c r="FP995" s="124"/>
      <c r="FQ995" s="124"/>
      <c r="FR995" s="124"/>
      <c r="FS995" s="124"/>
      <c r="FT995" s="124"/>
      <c r="FU995" s="124"/>
      <c r="FV995" s="124"/>
      <c r="FW995" s="124"/>
      <c r="FX995" s="124"/>
      <c r="FY995" s="124"/>
      <c r="FZ995" s="124"/>
      <c r="GA995" s="124"/>
      <c r="GB995" s="124"/>
      <c r="GC995" s="124"/>
      <c r="GD995" s="124"/>
      <c r="GE995" s="124"/>
      <c r="GF995" s="124"/>
      <c r="GG995" s="124"/>
      <c r="GH995" s="124"/>
      <c r="GI995" s="124"/>
      <c r="GJ995" s="124"/>
      <c r="GK995" s="124"/>
      <c r="GL995" s="124"/>
      <c r="GM995" s="124"/>
      <c r="GN995" s="124"/>
      <c r="GO995" s="124"/>
      <c r="GP995" s="124"/>
      <c r="GQ995" s="124"/>
      <c r="GR995" s="124"/>
      <c r="GS995" s="124"/>
      <c r="GT995" s="124"/>
      <c r="GU995" s="124"/>
      <c r="GV995" s="124"/>
      <c r="GW995" s="124"/>
      <c r="GX995" s="124"/>
      <c r="GY995" s="124"/>
      <c r="GZ995" s="124"/>
      <c r="HA995" s="124"/>
      <c r="HB995" s="124"/>
      <c r="HC995" s="124"/>
      <c r="HD995" s="124"/>
      <c r="HE995" s="124"/>
      <c r="HF995" s="124"/>
      <c r="HG995" s="124"/>
      <c r="HH995" s="124"/>
      <c r="HI995" s="124"/>
      <c r="HJ995" s="124"/>
      <c r="HK995" s="124"/>
      <c r="HL995" s="124"/>
      <c r="HM995" s="124"/>
      <c r="HN995" s="124"/>
      <c r="HO995" s="124"/>
      <c r="HP995" s="124"/>
      <c r="HQ995" s="124"/>
      <c r="HR995" s="124"/>
      <c r="HS995" s="124"/>
      <c r="HT995" s="124"/>
      <c r="HU995" s="124"/>
      <c r="HV995" s="124"/>
      <c r="HW995" s="124"/>
      <c r="HX995" s="124"/>
      <c r="HY995" s="124"/>
      <c r="HZ995" s="124"/>
      <c r="IA995" s="124"/>
      <c r="IB995" s="124"/>
      <c r="IC995" s="124"/>
      <c r="ID995" s="124"/>
      <c r="IE995" s="124"/>
      <c r="IF995" s="124"/>
      <c r="IG995" s="124"/>
      <c r="IH995" s="124"/>
      <c r="II995" s="124"/>
      <c r="IJ995" s="124"/>
      <c r="IK995" s="124"/>
      <c r="IL995" s="124"/>
      <c r="IM995" s="124"/>
      <c r="IN995" s="124"/>
      <c r="IO995" s="124"/>
      <c r="IP995" s="124"/>
      <c r="IQ995" s="124"/>
      <c r="IR995" s="124"/>
      <c r="IS995" s="124"/>
      <c r="IT995" s="124"/>
      <c r="IU995" s="124"/>
      <c r="IV995" s="124"/>
      <c r="IW995" s="124"/>
      <c r="IX995" s="124"/>
      <c r="IY995" s="124"/>
      <c r="IZ995" s="124"/>
      <c r="JA995" s="124"/>
      <c r="JB995" s="124"/>
      <c r="JC995" s="124"/>
      <c r="JD995" s="124"/>
      <c r="JE995" s="124"/>
      <c r="JF995" s="124"/>
      <c r="JG995" s="124"/>
      <c r="JH995" s="124"/>
      <c r="JI995" s="124"/>
      <c r="JJ995" s="124"/>
      <c r="JK995" s="124"/>
      <c r="JL995" s="124"/>
      <c r="JM995" s="124"/>
      <c r="JN995" s="124"/>
      <c r="JO995" s="124"/>
      <c r="JP995" s="124"/>
      <c r="JQ995" s="124"/>
      <c r="JR995" s="124"/>
      <c r="JS995" s="124"/>
      <c r="JT995" s="124"/>
      <c r="JU995" s="124"/>
      <c r="JV995" s="124"/>
      <c r="JW995" s="124"/>
      <c r="JX995" s="124"/>
      <c r="JY995" s="124"/>
      <c r="JZ995" s="124"/>
      <c r="KA995" s="124"/>
      <c r="KB995" s="124"/>
      <c r="KC995" s="124"/>
      <c r="KD995" s="124"/>
      <c r="KE995" s="124"/>
      <c r="KF995" s="124"/>
      <c r="KG995" s="124"/>
      <c r="KH995" s="124"/>
      <c r="KI995" s="124"/>
      <c r="KJ995" s="124"/>
      <c r="KK995" s="124"/>
      <c r="KL995" s="124"/>
      <c r="KM995" s="124"/>
      <c r="KN995" s="124"/>
      <c r="KO995" s="124"/>
      <c r="KP995" s="124"/>
      <c r="KQ995" s="124"/>
      <c r="KR995" s="124"/>
      <c r="KS995" s="124"/>
      <c r="KT995" s="124"/>
      <c r="KU995" s="124"/>
      <c r="KV995" s="124"/>
      <c r="KW995" s="124"/>
      <c r="KX995" s="124"/>
      <c r="KY995" s="124"/>
      <c r="KZ995" s="124"/>
      <c r="LA995" s="124"/>
      <c r="LB995" s="124"/>
      <c r="LC995" s="124"/>
      <c r="LD995" s="124"/>
      <c r="LE995" s="124"/>
      <c r="LF995" s="124"/>
      <c r="LG995" s="124"/>
      <c r="LH995" s="124"/>
      <c r="LI995" s="124"/>
      <c r="LJ995" s="124"/>
      <c r="LK995" s="124"/>
      <c r="LL995" s="124"/>
      <c r="LM995" s="124"/>
      <c r="LN995" s="124"/>
      <c r="LO995" s="124"/>
      <c r="LP995" s="124"/>
      <c r="LQ995" s="124"/>
      <c r="LR995" s="124"/>
      <c r="LS995" s="124"/>
      <c r="LT995" s="124"/>
      <c r="LU995" s="124"/>
      <c r="LV995" s="124"/>
      <c r="LW995" s="124"/>
      <c r="LX995" s="124"/>
      <c r="LY995" s="124"/>
      <c r="LZ995" s="124"/>
      <c r="MA995" s="124"/>
      <c r="MB995" s="124"/>
      <c r="MC995" s="124"/>
      <c r="MD995" s="124"/>
      <c r="ME995" s="124"/>
      <c r="MF995" s="124"/>
      <c r="MG995" s="124"/>
      <c r="MH995" s="124"/>
      <c r="MI995" s="124"/>
      <c r="MJ995" s="124"/>
      <c r="MK995" s="124"/>
      <c r="ML995" s="124"/>
      <c r="MM995" s="124"/>
      <c r="MN995" s="124"/>
      <c r="MO995" s="124"/>
      <c r="MP995" s="124"/>
      <c r="MQ995" s="124"/>
      <c r="MR995" s="124"/>
      <c r="MS995" s="124"/>
      <c r="MT995" s="124"/>
      <c r="MU995" s="124"/>
      <c r="MV995" s="124"/>
      <c r="MW995" s="124"/>
      <c r="MX995" s="124"/>
      <c r="MY995" s="124"/>
      <c r="MZ995" s="124"/>
      <c r="NA995" s="124"/>
      <c r="NB995" s="124"/>
      <c r="NC995" s="124"/>
      <c r="ND995" s="124"/>
      <c r="NE995" s="124"/>
      <c r="NF995" s="124"/>
      <c r="NG995" s="124"/>
      <c r="NH995" s="124"/>
      <c r="NI995" s="124"/>
      <c r="NJ995" s="124"/>
      <c r="NK995" s="124"/>
      <c r="NL995" s="124"/>
      <c r="NM995" s="124"/>
      <c r="NN995" s="124"/>
      <c r="NO995" s="124"/>
      <c r="NP995" s="124"/>
      <c r="NQ995" s="124"/>
      <c r="NR995" s="124"/>
      <c r="NS995" s="124"/>
      <c r="NT995" s="124"/>
      <c r="NU995" s="124"/>
      <c r="NV995" s="124"/>
      <c r="NW995" s="124"/>
      <c r="NX995" s="124"/>
      <c r="NY995" s="124"/>
      <c r="NZ995" s="124"/>
      <c r="OA995" s="124"/>
      <c r="OB995" s="124"/>
      <c r="OC995" s="124"/>
      <c r="OD995" s="124"/>
      <c r="OE995" s="124"/>
      <c r="OF995" s="124"/>
      <c r="OG995" s="124"/>
      <c r="OH995" s="124"/>
      <c r="OI995" s="124"/>
      <c r="OJ995" s="124"/>
      <c r="OK995" s="124"/>
      <c r="OL995" s="124"/>
      <c r="OM995" s="124"/>
      <c r="ON995" s="124"/>
      <c r="OO995" s="124"/>
      <c r="OP995" s="124"/>
      <c r="OQ995" s="124"/>
      <c r="OR995" s="124"/>
      <c r="OS995" s="124"/>
      <c r="OT995" s="124"/>
      <c r="OU995" s="124"/>
      <c r="OV995" s="124"/>
      <c r="OW995" s="124"/>
      <c r="OX995" s="124"/>
      <c r="OY995" s="124"/>
      <c r="OZ995" s="124"/>
      <c r="PA995" s="124"/>
      <c r="PB995" s="124"/>
      <c r="PC995" s="124"/>
      <c r="PD995" s="124"/>
      <c r="PE995" s="124"/>
      <c r="PF995" s="124"/>
      <c r="PG995" s="124"/>
      <c r="PH995" s="124"/>
      <c r="PI995" s="124"/>
      <c r="PJ995" s="124"/>
      <c r="PK995" s="124"/>
      <c r="PL995" s="124"/>
      <c r="PM995" s="124"/>
      <c r="PN995" s="124"/>
      <c r="PO995" s="124"/>
      <c r="PP995" s="124"/>
      <c r="PQ995" s="124"/>
      <c r="PR995" s="124"/>
      <c r="PS995" s="124"/>
      <c r="PT995" s="124"/>
      <c r="PU995" s="124"/>
      <c r="PV995" s="124"/>
      <c r="PW995" s="124"/>
      <c r="PX995" s="124"/>
      <c r="PY995" s="124"/>
      <c r="PZ995" s="124"/>
      <c r="QA995" s="124"/>
      <c r="QB995" s="124"/>
      <c r="QC995" s="124"/>
      <c r="QD995" s="124"/>
      <c r="QE995" s="124"/>
      <c r="QF995" s="124"/>
      <c r="QG995" s="124"/>
      <c r="QH995" s="124"/>
      <c r="QI995" s="124"/>
      <c r="QJ995" s="124"/>
      <c r="QK995" s="124"/>
      <c r="QL995" s="124"/>
      <c r="QM995" s="124"/>
      <c r="QN995" s="124"/>
      <c r="QO995" s="124"/>
      <c r="QP995" s="124"/>
      <c r="QQ995" s="124"/>
      <c r="QR995" s="124"/>
      <c r="QS995" s="124"/>
      <c r="QT995" s="124"/>
      <c r="QU995" s="124"/>
      <c r="QV995" s="124"/>
      <c r="QW995" s="124"/>
      <c r="QX995" s="124"/>
      <c r="QY995" s="124"/>
      <c r="QZ995" s="124"/>
      <c r="RA995" s="124"/>
      <c r="RB995" s="124"/>
      <c r="RC995" s="124"/>
      <c r="RD995" s="124"/>
      <c r="RE995" s="124"/>
      <c r="RF995" s="124"/>
      <c r="RG995" s="124"/>
      <c r="RH995" s="124"/>
      <c r="RI995" s="124"/>
      <c r="RJ995" s="124"/>
      <c r="RK995" s="124"/>
      <c r="RL995" s="124"/>
      <c r="RM995" s="124"/>
      <c r="RN995" s="124"/>
      <c r="RO995" s="124"/>
      <c r="RP995" s="124"/>
      <c r="RQ995" s="124"/>
      <c r="RR995" s="124"/>
      <c r="RS995" s="124"/>
      <c r="RT995" s="124"/>
      <c r="RU995" s="124"/>
      <c r="RV995" s="124"/>
      <c r="RW995" s="124"/>
      <c r="RX995" s="124"/>
      <c r="RY995" s="124"/>
      <c r="RZ995" s="124"/>
      <c r="SA995" s="124"/>
      <c r="SB995" s="124"/>
      <c r="SC995" s="124"/>
      <c r="SD995" s="124"/>
      <c r="SE995" s="124"/>
      <c r="SF995" s="124"/>
      <c r="SG995" s="124"/>
      <c r="SH995" s="124"/>
      <c r="SI995" s="124"/>
      <c r="SJ995" s="124"/>
      <c r="SK995" s="124"/>
      <c r="SL995" s="124"/>
      <c r="SM995" s="124"/>
      <c r="SN995" s="124"/>
      <c r="SO995" s="124"/>
      <c r="SP995" s="124"/>
      <c r="SQ995" s="124"/>
      <c r="SR995" s="124"/>
      <c r="SS995" s="124"/>
      <c r="ST995" s="124"/>
      <c r="SU995" s="124"/>
      <c r="SV995" s="124"/>
      <c r="SW995" s="124"/>
      <c r="SX995" s="124"/>
      <c r="SY995" s="124"/>
      <c r="SZ995" s="124"/>
      <c r="TA995" s="124"/>
      <c r="TB995" s="124"/>
      <c r="TC995" s="124"/>
      <c r="TD995" s="124"/>
      <c r="TE995" s="124"/>
      <c r="TF995" s="124"/>
      <c r="TG995" s="124"/>
      <c r="TH995" s="124"/>
      <c r="TI995" s="124"/>
      <c r="TJ995" s="124"/>
      <c r="TK995" s="124"/>
      <c r="TL995" s="124"/>
      <c r="TM995" s="124"/>
      <c r="TN995" s="124"/>
      <c r="TO995" s="124"/>
      <c r="TP995" s="124"/>
      <c r="TQ995" s="124"/>
      <c r="TR995" s="124"/>
      <c r="TS995" s="124"/>
      <c r="TT995" s="124"/>
      <c r="TU995" s="124"/>
      <c r="TV995" s="124"/>
      <c r="TW995" s="124"/>
      <c r="TX995" s="124"/>
      <c r="TY995" s="124"/>
      <c r="TZ995" s="124"/>
      <c r="UA995" s="124"/>
      <c r="UB995" s="124"/>
      <c r="UC995" s="124"/>
      <c r="UD995" s="124"/>
      <c r="UE995" s="124"/>
      <c r="UF995" s="124"/>
      <c r="UG995" s="124"/>
      <c r="UH995" s="124"/>
      <c r="UI995" s="124"/>
      <c r="UJ995" s="124"/>
      <c r="UK995" s="124"/>
      <c r="UL995" s="124"/>
      <c r="UM995" s="124"/>
      <c r="UN995" s="124"/>
      <c r="UO995" s="124"/>
      <c r="UP995" s="124"/>
      <c r="UQ995" s="124"/>
      <c r="UR995" s="124"/>
      <c r="US995" s="124"/>
      <c r="UT995" s="124"/>
      <c r="UU995" s="124"/>
      <c r="UV995" s="124"/>
      <c r="UW995" s="124"/>
      <c r="UX995" s="124"/>
      <c r="UY995" s="124"/>
      <c r="UZ995" s="124"/>
      <c r="VA995" s="124"/>
      <c r="VB995" s="124"/>
      <c r="VC995" s="124"/>
      <c r="VD995" s="124"/>
      <c r="VE995" s="124"/>
      <c r="VF995" s="124"/>
      <c r="VG995" s="124"/>
      <c r="VH995" s="124"/>
      <c r="VI995" s="124"/>
      <c r="VJ995" s="124"/>
      <c r="VK995" s="124"/>
      <c r="VL995" s="124"/>
      <c r="VM995" s="124"/>
      <c r="VN995" s="124"/>
      <c r="VO995" s="124"/>
      <c r="VP995" s="124"/>
      <c r="VQ995" s="124"/>
      <c r="VR995" s="124"/>
      <c r="VS995" s="124"/>
      <c r="VT995" s="124"/>
      <c r="VU995" s="124"/>
      <c r="VV995" s="124"/>
      <c r="VW995" s="124"/>
      <c r="VX995" s="124"/>
      <c r="VY995" s="124"/>
      <c r="VZ995" s="124"/>
      <c r="WA995" s="124"/>
      <c r="WB995" s="124"/>
      <c r="WC995" s="124"/>
      <c r="WD995" s="124"/>
      <c r="WE995" s="124"/>
      <c r="WF995" s="124"/>
      <c r="WG995" s="124"/>
      <c r="WH995" s="124"/>
      <c r="WI995" s="124"/>
      <c r="WJ995" s="124"/>
      <c r="WK995" s="124"/>
      <c r="WL995" s="124"/>
      <c r="WM995" s="124"/>
      <c r="WN995" s="124"/>
      <c r="WO995" s="124"/>
      <c r="WP995" s="124"/>
      <c r="WQ995" s="124"/>
      <c r="WR995" s="124"/>
      <c r="WS995" s="124"/>
      <c r="WT995" s="124"/>
      <c r="WU995" s="124"/>
      <c r="WV995" s="124"/>
      <c r="WW995" s="124"/>
      <c r="WX995" s="124"/>
      <c r="WY995" s="124"/>
      <c r="WZ995" s="124"/>
      <c r="XA995" s="124"/>
      <c r="XB995" s="124"/>
      <c r="XC995" s="124"/>
      <c r="XD995" s="124"/>
      <c r="XE995" s="124"/>
      <c r="XF995" s="124"/>
      <c r="XG995" s="124"/>
      <c r="XH995" s="124"/>
      <c r="XI995" s="124"/>
      <c r="XJ995" s="124"/>
      <c r="XK995" s="124"/>
      <c r="XL995" s="124"/>
      <c r="XM995" s="124"/>
      <c r="XN995" s="124"/>
      <c r="XO995" s="124"/>
      <c r="XP995" s="124"/>
      <c r="XQ995" s="124"/>
      <c r="XR995" s="124"/>
      <c r="XS995" s="124"/>
      <c r="XT995" s="124"/>
      <c r="XU995" s="124"/>
      <c r="XV995" s="124"/>
      <c r="XW995" s="124"/>
      <c r="XX995" s="124"/>
      <c r="XY995" s="124"/>
      <c r="XZ995" s="124"/>
      <c r="YA995" s="124"/>
      <c r="YB995" s="124"/>
      <c r="YC995" s="124"/>
      <c r="YD995" s="124"/>
      <c r="YE995" s="124"/>
      <c r="YF995" s="124"/>
      <c r="YG995" s="124"/>
      <c r="YH995" s="124"/>
      <c r="YI995" s="124"/>
      <c r="YJ995" s="124"/>
      <c r="YK995" s="124"/>
      <c r="YL995" s="124"/>
      <c r="YM995" s="124"/>
      <c r="YN995" s="124"/>
      <c r="YO995" s="124"/>
      <c r="YP995" s="124"/>
      <c r="YQ995" s="124"/>
      <c r="YR995" s="124"/>
      <c r="YS995" s="124"/>
      <c r="YT995" s="124"/>
      <c r="YU995" s="124"/>
      <c r="YV995" s="124"/>
      <c r="YW995" s="124"/>
      <c r="YX995" s="124"/>
      <c r="YY995" s="124"/>
      <c r="YZ995" s="124"/>
      <c r="ZA995" s="124"/>
      <c r="ZB995" s="124"/>
      <c r="ZC995" s="124"/>
      <c r="ZD995" s="124"/>
      <c r="ZE995" s="124"/>
      <c r="ZF995" s="124"/>
      <c r="ZG995" s="124"/>
      <c r="ZH995" s="124"/>
      <c r="ZI995" s="124"/>
      <c r="ZJ995" s="124"/>
      <c r="ZK995" s="124"/>
      <c r="ZL995" s="124"/>
      <c r="ZM995" s="124"/>
      <c r="ZN995" s="124"/>
      <c r="ZO995" s="124"/>
      <c r="ZP995" s="124"/>
      <c r="ZQ995" s="124"/>
      <c r="ZR995" s="124"/>
      <c r="ZS995" s="124"/>
      <c r="ZT995" s="124"/>
      <c r="ZU995" s="124"/>
      <c r="ZV995" s="124"/>
      <c r="ZW995" s="124"/>
      <c r="ZX995" s="124"/>
      <c r="ZY995" s="124"/>
      <c r="ZZ995" s="124"/>
      <c r="AAA995" s="124"/>
      <c r="AAB995" s="124"/>
      <c r="AAC995" s="124"/>
      <c r="AAD995" s="124"/>
      <c r="AAE995" s="124"/>
      <c r="AAF995" s="124"/>
      <c r="AAG995" s="124"/>
      <c r="AAH995" s="124"/>
      <c r="AAI995" s="124"/>
      <c r="AAJ995" s="124"/>
      <c r="AAK995" s="124"/>
      <c r="AAL995" s="124"/>
      <c r="AAM995" s="124"/>
      <c r="AAN995" s="124"/>
      <c r="AAO995" s="124"/>
      <c r="AAP995" s="124"/>
      <c r="AAQ995" s="124"/>
      <c r="AAR995" s="124"/>
      <c r="AAS995" s="124"/>
      <c r="AAT995" s="124"/>
      <c r="AAU995" s="124"/>
      <c r="AAV995" s="124"/>
      <c r="AAW995" s="124"/>
      <c r="AAX995" s="124"/>
      <c r="AAY995" s="124"/>
      <c r="AAZ995" s="124"/>
      <c r="ABA995" s="124"/>
      <c r="ABB995" s="124"/>
      <c r="ABC995" s="124"/>
      <c r="ABD995" s="124"/>
      <c r="ABE995" s="124"/>
      <c r="ABF995" s="124"/>
      <c r="ABG995" s="124"/>
      <c r="ABH995" s="124"/>
      <c r="ABI995" s="124"/>
      <c r="ABJ995" s="124"/>
      <c r="ABK995" s="124"/>
      <c r="ABL995" s="124"/>
      <c r="ABM995" s="124"/>
      <c r="ABN995" s="124"/>
      <c r="ABO995" s="124"/>
      <c r="ABP995" s="124"/>
      <c r="ABQ995" s="124"/>
      <c r="ABR995" s="124"/>
      <c r="ABS995" s="124"/>
      <c r="ABT995" s="124"/>
      <c r="ABU995" s="124"/>
      <c r="ABV995" s="124"/>
      <c r="ABW995" s="124"/>
      <c r="ABX995" s="124"/>
      <c r="ABY995" s="124"/>
      <c r="ABZ995" s="124"/>
      <c r="ACA995" s="124"/>
      <c r="ACB995" s="124"/>
      <c r="ACC995" s="124"/>
      <c r="ACD995" s="124"/>
      <c r="ACE995" s="124"/>
      <c r="ACF995" s="124"/>
      <c r="ACG995" s="124"/>
      <c r="ACH995" s="124"/>
      <c r="ACI995" s="124"/>
      <c r="ACJ995" s="124"/>
      <c r="ACK995" s="124"/>
      <c r="ACL995" s="124"/>
      <c r="ACM995" s="124"/>
      <c r="ACN995" s="124"/>
      <c r="ACO995" s="124"/>
      <c r="ACP995" s="124"/>
      <c r="ACQ995" s="124"/>
      <c r="ACR995" s="124"/>
      <c r="ACS995" s="124"/>
      <c r="ACT995" s="124"/>
      <c r="ACU995" s="124"/>
      <c r="ACV995" s="124"/>
      <c r="ACW995" s="124"/>
      <c r="ACX995" s="124"/>
      <c r="ACY995" s="124"/>
      <c r="ACZ995" s="124"/>
      <c r="ADA995" s="124"/>
      <c r="ADB995" s="124"/>
      <c r="ADC995" s="124"/>
      <c r="ADD995" s="124"/>
      <c r="ADE995" s="124"/>
      <c r="ADF995" s="124"/>
      <c r="ADG995" s="124"/>
      <c r="ADH995" s="124"/>
      <c r="ADI995" s="124"/>
      <c r="ADJ995" s="124"/>
      <c r="ADK995" s="124"/>
      <c r="ADL995" s="124"/>
      <c r="ADM995" s="124"/>
      <c r="ADN995" s="124"/>
      <c r="ADO995" s="124"/>
      <c r="ADP995" s="124"/>
      <c r="ADQ995" s="124"/>
      <c r="ADR995" s="124"/>
      <c r="ADS995" s="124"/>
      <c r="ADT995" s="124"/>
      <c r="ADU995" s="124"/>
      <c r="ADV995" s="124"/>
      <c r="ADW995" s="124"/>
      <c r="ADX995" s="124"/>
      <c r="ADY995" s="124"/>
      <c r="ADZ995" s="124"/>
      <c r="AEA995" s="124"/>
      <c r="AEB995" s="124"/>
      <c r="AEC995" s="124"/>
      <c r="AED995" s="124"/>
      <c r="AEE995" s="124"/>
      <c r="AEF995" s="124"/>
      <c r="AEG995" s="124"/>
      <c r="AEH995" s="124"/>
      <c r="AEI995" s="124"/>
      <c r="AEJ995" s="124"/>
      <c r="AEK995" s="124"/>
      <c r="AEL995" s="124"/>
      <c r="AEM995" s="124"/>
      <c r="AEN995" s="124"/>
      <c r="AEO995" s="124"/>
      <c r="AEP995" s="124"/>
      <c r="AEQ995" s="124"/>
      <c r="AER995" s="124"/>
      <c r="AES995" s="124"/>
      <c r="AET995" s="124"/>
      <c r="AEU995" s="124"/>
      <c r="AEV995" s="124"/>
      <c r="AEW995" s="124"/>
      <c r="AEX995" s="124"/>
      <c r="AEY995" s="124"/>
      <c r="AEZ995" s="124"/>
      <c r="AFA995" s="124"/>
      <c r="AFB995" s="124"/>
      <c r="AFC995" s="124"/>
      <c r="AFD995" s="124"/>
      <c r="AFE995" s="124"/>
      <c r="AFF995" s="124"/>
      <c r="AFG995" s="124"/>
      <c r="AFH995" s="124"/>
      <c r="AFI995" s="124"/>
      <c r="AFJ995" s="124"/>
      <c r="AFK995" s="124"/>
      <c r="AFL995" s="124"/>
      <c r="AFM995" s="124"/>
      <c r="AFN995" s="124"/>
      <c r="AFO995" s="124"/>
      <c r="AFP995" s="124"/>
      <c r="AFQ995" s="124"/>
      <c r="AFR995" s="124"/>
      <c r="AFS995" s="124"/>
      <c r="AFT995" s="124"/>
      <c r="AFU995" s="124"/>
      <c r="AFV995" s="124"/>
      <c r="AFW995" s="124"/>
      <c r="AFX995" s="124"/>
      <c r="AFY995" s="124"/>
      <c r="AFZ995" s="124"/>
      <c r="AGA995" s="124"/>
      <c r="AGB995" s="124"/>
      <c r="AGC995" s="124"/>
      <c r="AGD995" s="124"/>
      <c r="AGE995" s="124"/>
      <c r="AGF995" s="124"/>
      <c r="AGG995" s="124"/>
      <c r="AGH995" s="124"/>
      <c r="AGI995" s="124"/>
      <c r="AGJ995" s="124"/>
      <c r="AGK995" s="124"/>
      <c r="AGL995" s="124"/>
      <c r="AGM995" s="124"/>
      <c r="AGN995" s="124"/>
      <c r="AGO995" s="124"/>
      <c r="AGP995" s="124"/>
      <c r="AGQ995" s="124"/>
      <c r="AGR995" s="124"/>
      <c r="AGS995" s="124"/>
      <c r="AGT995" s="124"/>
      <c r="AGU995" s="124"/>
      <c r="AGV995" s="124"/>
      <c r="AGW995" s="124"/>
      <c r="AGX995" s="124"/>
      <c r="AGY995" s="124"/>
      <c r="AGZ995" s="124"/>
      <c r="AHA995" s="124"/>
      <c r="AHB995" s="124"/>
      <c r="AHC995" s="124"/>
      <c r="AHD995" s="124"/>
      <c r="AHE995" s="124"/>
      <c r="AHF995" s="124"/>
      <c r="AHG995" s="124"/>
      <c r="AHH995" s="124"/>
      <c r="AHI995" s="124"/>
      <c r="AHJ995" s="124"/>
      <c r="AHK995" s="124"/>
      <c r="AHL995" s="124"/>
      <c r="AHM995" s="124"/>
      <c r="AHN995" s="124"/>
      <c r="AHO995" s="124"/>
      <c r="AHP995" s="124"/>
      <c r="AHQ995" s="124"/>
      <c r="AHR995" s="124"/>
      <c r="AHS995" s="124"/>
      <c r="AHT995" s="124"/>
      <c r="AHU995" s="124"/>
      <c r="AHV995" s="124"/>
      <c r="AHW995" s="124"/>
      <c r="AHX995" s="124"/>
      <c r="AHY995" s="124"/>
      <c r="AHZ995" s="124"/>
      <c r="AIA995" s="124"/>
      <c r="AIB995" s="124"/>
      <c r="AIC995" s="124"/>
      <c r="AID995" s="124"/>
      <c r="AIE995" s="124"/>
      <c r="AIF995" s="124"/>
      <c r="AIG995" s="124"/>
      <c r="AIH995" s="124"/>
      <c r="AII995" s="124"/>
      <c r="AIJ995" s="124"/>
      <c r="AIK995" s="124"/>
      <c r="AIL995" s="124"/>
      <c r="AIM995" s="124"/>
      <c r="AIN995" s="124"/>
      <c r="AIO995" s="124"/>
      <c r="AIP995" s="124"/>
      <c r="AIQ995" s="124"/>
      <c r="AIR995" s="124"/>
      <c r="AIS995" s="124"/>
      <c r="AIT995" s="124"/>
      <c r="AIU995" s="124"/>
      <c r="AIV995" s="124"/>
      <c r="AIW995" s="124"/>
      <c r="AIX995" s="124"/>
      <c r="AIY995" s="124"/>
      <c r="AIZ995" s="124"/>
      <c r="AJA995" s="124"/>
      <c r="AJB995" s="124"/>
      <c r="AJC995" s="124"/>
      <c r="AJD995" s="124"/>
      <c r="AJE995" s="124"/>
      <c r="AJF995" s="124"/>
      <c r="AJG995" s="124"/>
      <c r="AJH995" s="124"/>
      <c r="AJI995" s="124"/>
      <c r="AJJ995" s="124"/>
      <c r="AJK995" s="124"/>
      <c r="AJL995" s="124"/>
      <c r="AJM995" s="124"/>
      <c r="AJN995" s="124"/>
      <c r="AJO995" s="124"/>
      <c r="AJP995" s="124"/>
      <c r="AJQ995" s="124"/>
      <c r="AJR995" s="124"/>
      <c r="AJS995" s="124"/>
      <c r="AJT995" s="124"/>
      <c r="AJU995" s="124"/>
      <c r="AJV995" s="124"/>
      <c r="AJW995" s="124"/>
      <c r="AJX995" s="124"/>
      <c r="AJY995" s="124"/>
      <c r="AJZ995" s="124"/>
      <c r="AKA995" s="124"/>
      <c r="AKB995" s="124"/>
      <c r="AKC995" s="124"/>
      <c r="AKD995" s="124"/>
      <c r="AKE995" s="124"/>
      <c r="AKF995" s="124"/>
      <c r="AKG995" s="124"/>
      <c r="AKH995" s="124"/>
      <c r="AKI995" s="124"/>
      <c r="AKJ995" s="124"/>
      <c r="AKK995" s="124"/>
      <c r="AKL995" s="124"/>
      <c r="AKM995" s="124"/>
      <c r="AKN995" s="124"/>
      <c r="AKO995" s="124"/>
      <c r="AKP995" s="124"/>
      <c r="AKQ995" s="124"/>
      <c r="AKR995" s="124"/>
      <c r="AKS995" s="124"/>
      <c r="AKT995" s="124"/>
      <c r="AKU995" s="124"/>
      <c r="AKV995" s="124"/>
      <c r="AKW995" s="124"/>
      <c r="AKX995" s="124"/>
      <c r="AKY995" s="124"/>
      <c r="AKZ995" s="124"/>
      <c r="ALA995" s="124"/>
      <c r="ALB995" s="124"/>
      <c r="ALC995" s="124"/>
      <c r="ALD995" s="124"/>
      <c r="ALE995" s="124"/>
      <c r="ALF995" s="124"/>
      <c r="ALG995" s="124"/>
      <c r="ALH995" s="124"/>
      <c r="ALI995" s="124"/>
      <c r="ALJ995" s="124"/>
      <c r="ALK995" s="124"/>
      <c r="ALL995" s="124"/>
      <c r="ALM995" s="124"/>
      <c r="ALN995" s="124"/>
      <c r="ALO995" s="124"/>
      <c r="ALP995" s="124"/>
      <c r="ALQ995" s="124"/>
      <c r="ALR995" s="124"/>
      <c r="ALS995" s="124"/>
      <c r="ALT995" s="124"/>
      <c r="ALU995" s="124"/>
      <c r="ALV995" s="124"/>
      <c r="ALW995" s="124"/>
      <c r="ALX995" s="124"/>
      <c r="ALY995" s="124"/>
      <c r="ALZ995" s="124"/>
      <c r="AMA995" s="124"/>
      <c r="AMB995" s="124"/>
      <c r="AMC995" s="124"/>
      <c r="AMD995" s="124"/>
      <c r="AME995" s="124"/>
      <c r="AMF995" s="124"/>
      <c r="AMG995" s="124"/>
      <c r="AMH995" s="124"/>
      <c r="AMI995" s="124"/>
      <c r="AMJ995" s="124"/>
      <c r="AMK995" s="124"/>
      <c r="AML995" s="124"/>
      <c r="AMM995" s="124"/>
      <c r="AMN995" s="124"/>
      <c r="AMO995" s="124"/>
      <c r="AMP995" s="124"/>
      <c r="AMQ995" s="124"/>
      <c r="AMR995" s="124"/>
      <c r="AMS995" s="124"/>
      <c r="AMT995" s="124"/>
      <c r="AMU995" s="124"/>
      <c r="AMV995" s="124"/>
      <c r="AMW995" s="124"/>
      <c r="AMX995" s="124"/>
      <c r="AMY995" s="124"/>
      <c r="AMZ995" s="124"/>
      <c r="ANA995" s="124"/>
      <c r="ANB995" s="124"/>
      <c r="ANC995" s="124"/>
      <c r="AND995" s="124"/>
      <c r="ANE995" s="124"/>
      <c r="ANF995" s="124"/>
      <c r="ANG995" s="124"/>
      <c r="ANH995" s="124"/>
      <c r="ANI995" s="124"/>
      <c r="ANJ995" s="124"/>
      <c r="ANK995" s="124"/>
      <c r="ANL995" s="124"/>
      <c r="ANM995" s="124"/>
      <c r="ANN995" s="124"/>
      <c r="ANO995" s="124"/>
      <c r="ANP995" s="124"/>
      <c r="ANQ995" s="124"/>
      <c r="ANR995" s="124"/>
      <c r="ANS995" s="124"/>
      <c r="ANT995" s="124"/>
      <c r="ANU995" s="124"/>
      <c r="ANV995" s="124"/>
      <c r="ANW995" s="124"/>
      <c r="ANX995" s="124"/>
      <c r="ANY995" s="124"/>
      <c r="ANZ995" s="124"/>
      <c r="AOA995" s="124"/>
      <c r="AOB995" s="124"/>
      <c r="AOC995" s="124"/>
      <c r="AOD995" s="124"/>
      <c r="AOE995" s="124"/>
      <c r="AOF995" s="124"/>
      <c r="AOG995" s="124"/>
      <c r="AOH995" s="124"/>
      <c r="AOI995" s="124"/>
      <c r="AOJ995" s="124"/>
      <c r="AOK995" s="124"/>
      <c r="AOL995" s="124"/>
      <c r="AOM995" s="124"/>
      <c r="AON995" s="124"/>
      <c r="AOO995" s="124"/>
      <c r="AOP995" s="124"/>
      <c r="AOQ995" s="124"/>
      <c r="AOR995" s="124"/>
      <c r="AOS995" s="124"/>
      <c r="AOT995" s="124"/>
      <c r="AOU995" s="124"/>
      <c r="AOV995" s="124"/>
      <c r="AOW995" s="124"/>
      <c r="AOX995" s="124"/>
      <c r="AOY995" s="124"/>
      <c r="AOZ995" s="124"/>
      <c r="APA995" s="124"/>
      <c r="APB995" s="124"/>
      <c r="APC995" s="124"/>
      <c r="APD995" s="124"/>
      <c r="APE995" s="124"/>
      <c r="APF995" s="124"/>
      <c r="APG995" s="124"/>
      <c r="APH995" s="124"/>
      <c r="API995" s="124"/>
      <c r="APJ995" s="124"/>
      <c r="APK995" s="124"/>
      <c r="APL995" s="124"/>
      <c r="APM995" s="124"/>
      <c r="APN995" s="124"/>
      <c r="APO995" s="124"/>
      <c r="APP995" s="124"/>
      <c r="APQ995" s="124"/>
      <c r="APR995" s="124"/>
      <c r="APS995" s="124"/>
      <c r="APT995" s="124"/>
      <c r="APU995" s="124"/>
      <c r="APV995" s="124"/>
      <c r="APW995" s="124"/>
      <c r="APX995" s="124"/>
      <c r="APY995" s="124"/>
      <c r="APZ995" s="124"/>
      <c r="AQA995" s="124"/>
      <c r="AQB995" s="124"/>
      <c r="AQC995" s="124"/>
      <c r="AQD995" s="124"/>
      <c r="AQE995" s="124"/>
      <c r="AQF995" s="124"/>
      <c r="AQG995" s="124"/>
      <c r="AQH995" s="124"/>
      <c r="AQI995" s="124"/>
      <c r="AQJ995" s="124"/>
      <c r="AQK995" s="124"/>
      <c r="AQL995" s="124"/>
      <c r="AQM995" s="124"/>
      <c r="AQN995" s="124"/>
      <c r="AQO995" s="124"/>
      <c r="AQP995" s="124"/>
      <c r="AQQ995" s="124"/>
      <c r="AQR995" s="124"/>
      <c r="AQS995" s="124"/>
      <c r="AQT995" s="124"/>
      <c r="AQU995" s="124"/>
      <c r="AQV995" s="124"/>
      <c r="AQW995" s="124"/>
      <c r="AQX995" s="124"/>
      <c r="AQY995" s="124"/>
      <c r="AQZ995" s="124"/>
      <c r="ARA995" s="124"/>
      <c r="ARB995" s="124"/>
      <c r="ARC995" s="124"/>
      <c r="ARD995" s="124"/>
      <c r="ARE995" s="124"/>
      <c r="ARF995" s="124"/>
      <c r="ARG995" s="124"/>
      <c r="ARH995" s="124"/>
      <c r="ARI995" s="124"/>
      <c r="ARJ995" s="124"/>
      <c r="ARK995" s="124"/>
      <c r="ARL995" s="124"/>
      <c r="ARM995" s="124"/>
      <c r="ARN995" s="124"/>
      <c r="ARO995" s="124"/>
      <c r="ARP995" s="124"/>
      <c r="ARQ995" s="124"/>
      <c r="ARR995" s="124"/>
      <c r="ARS995" s="124"/>
      <c r="ART995" s="124"/>
      <c r="ARU995" s="124"/>
      <c r="ARV995" s="124"/>
      <c r="ARW995" s="124"/>
      <c r="ARX995" s="124"/>
      <c r="ARY995" s="124"/>
      <c r="ARZ995" s="124"/>
      <c r="ASA995" s="124"/>
      <c r="ASB995" s="124"/>
      <c r="ASC995" s="124"/>
      <c r="ASD995" s="124"/>
      <c r="ASE995" s="124"/>
      <c r="ASF995" s="124"/>
      <c r="ASG995" s="124"/>
      <c r="ASH995" s="124"/>
      <c r="ASI995" s="124"/>
      <c r="ASJ995" s="124"/>
      <c r="ASK995" s="124"/>
      <c r="ASL995" s="124"/>
      <c r="ASM995" s="124"/>
      <c r="ASN995" s="124"/>
      <c r="ASO995" s="124"/>
      <c r="ASP995" s="124"/>
      <c r="ASQ995" s="124"/>
      <c r="ASR995" s="124"/>
      <c r="ASS995" s="124"/>
      <c r="AST995" s="124"/>
      <c r="ASU995" s="124"/>
      <c r="ASV995" s="124"/>
      <c r="ASW995" s="124"/>
      <c r="ASX995" s="124"/>
      <c r="ASY995" s="124"/>
      <c r="ASZ995" s="124"/>
      <c r="ATA995" s="124"/>
      <c r="ATB995" s="124"/>
      <c r="ATC995" s="124"/>
      <c r="ATD995" s="124"/>
      <c r="ATE995" s="124"/>
      <c r="ATF995" s="124"/>
      <c r="ATG995" s="124"/>
      <c r="ATH995" s="124"/>
      <c r="ATI995" s="124"/>
      <c r="ATJ995" s="124"/>
      <c r="ATK995" s="124"/>
      <c r="ATL995" s="124"/>
      <c r="ATM995" s="124"/>
      <c r="ATN995" s="124"/>
      <c r="ATO995" s="124"/>
      <c r="ATP995" s="124"/>
      <c r="ATQ995" s="124"/>
      <c r="ATR995" s="124"/>
      <c r="ATS995" s="124"/>
      <c r="ATT995" s="124"/>
      <c r="ATU995" s="124"/>
      <c r="ATV995" s="124"/>
      <c r="ATW995" s="124"/>
      <c r="ATX995" s="124"/>
      <c r="ATY995" s="124"/>
      <c r="ATZ995" s="124"/>
      <c r="AUA995" s="124"/>
      <c r="AUB995" s="124"/>
      <c r="AUC995" s="124"/>
      <c r="AUD995" s="124"/>
      <c r="AUE995" s="124"/>
      <c r="AUF995" s="124"/>
      <c r="AUG995" s="124"/>
      <c r="AUH995" s="124"/>
      <c r="AUI995" s="124"/>
      <c r="AUJ995" s="124"/>
      <c r="AUK995" s="124"/>
      <c r="AUL995" s="124"/>
      <c r="AUM995" s="124"/>
      <c r="AUN995" s="124"/>
      <c r="AUO995" s="124"/>
      <c r="AUP995" s="124"/>
      <c r="AUQ995" s="124"/>
      <c r="AUR995" s="124"/>
      <c r="AUS995" s="124"/>
      <c r="AUT995" s="124"/>
      <c r="AUU995" s="124"/>
      <c r="AUV995" s="124"/>
      <c r="AUW995" s="124"/>
      <c r="AUX995" s="124"/>
      <c r="AUY995" s="124"/>
      <c r="AUZ995" s="124"/>
      <c r="AVA995" s="124"/>
      <c r="AVB995" s="124"/>
      <c r="AVC995" s="124"/>
      <c r="AVD995" s="124"/>
      <c r="AVE995" s="124"/>
      <c r="AVF995" s="124"/>
      <c r="AVG995" s="124"/>
      <c r="AVH995" s="124"/>
      <c r="AVI995" s="124"/>
      <c r="AVJ995" s="124"/>
      <c r="AVK995" s="124"/>
      <c r="AVL995" s="124"/>
      <c r="AVM995" s="124"/>
      <c r="AVN995" s="124"/>
      <c r="AVO995" s="124"/>
      <c r="AVP995" s="124"/>
      <c r="AVQ995" s="124"/>
      <c r="AVR995" s="124"/>
      <c r="AVS995" s="124"/>
      <c r="AVT995" s="124"/>
      <c r="AVU995" s="124"/>
      <c r="AVV995" s="124"/>
      <c r="AVW995" s="124"/>
      <c r="AVX995" s="124"/>
      <c r="AVY995" s="124"/>
      <c r="AVZ995" s="124"/>
      <c r="AWA995" s="124"/>
      <c r="AWB995" s="124"/>
      <c r="AWC995" s="124"/>
      <c r="AWD995" s="124"/>
      <c r="AWE995" s="124"/>
      <c r="AWF995" s="124"/>
      <c r="AWG995" s="124"/>
      <c r="AWH995" s="124"/>
      <c r="AWI995" s="124"/>
      <c r="AWJ995" s="124"/>
      <c r="AWK995" s="124"/>
      <c r="AWL995" s="124"/>
      <c r="AWM995" s="124"/>
      <c r="AWN995" s="124"/>
      <c r="AWO995" s="124"/>
      <c r="AWP995" s="124"/>
      <c r="AWQ995" s="124"/>
      <c r="AWR995" s="124"/>
      <c r="AWS995" s="124"/>
      <c r="AWT995" s="124"/>
      <c r="AWU995" s="124"/>
      <c r="AWV995" s="124"/>
      <c r="AWW995" s="124"/>
      <c r="AWX995" s="124"/>
      <c r="AWY995" s="124"/>
      <c r="AWZ995" s="124"/>
      <c r="AXA995" s="124"/>
      <c r="AXB995" s="124"/>
      <c r="AXC995" s="124"/>
      <c r="AXD995" s="124"/>
      <c r="AXE995" s="124"/>
      <c r="AXF995" s="124"/>
      <c r="AXG995" s="124"/>
      <c r="AXH995" s="124"/>
      <c r="AXI995" s="124"/>
      <c r="AXJ995" s="124"/>
      <c r="AXK995" s="124"/>
      <c r="AXL995" s="124"/>
      <c r="AXM995" s="124"/>
      <c r="AXN995" s="124"/>
      <c r="AXO995" s="124"/>
      <c r="AXP995" s="124"/>
      <c r="AXQ995" s="124"/>
      <c r="AXR995" s="124"/>
      <c r="AXS995" s="124"/>
      <c r="AXT995" s="124"/>
      <c r="AXU995" s="124"/>
      <c r="AXV995" s="124"/>
      <c r="AXW995" s="124"/>
      <c r="AXX995" s="124"/>
      <c r="AXY995" s="124"/>
      <c r="AXZ995" s="124"/>
      <c r="AYA995" s="124"/>
      <c r="AYB995" s="124"/>
      <c r="AYC995" s="124"/>
      <c r="AYD995" s="124"/>
      <c r="AYE995" s="124"/>
      <c r="AYF995" s="124"/>
      <c r="AYG995" s="124"/>
      <c r="AYH995" s="124"/>
      <c r="AYI995" s="124"/>
      <c r="AYJ995" s="124"/>
      <c r="AYK995" s="124"/>
      <c r="AYL995" s="124"/>
      <c r="AYM995" s="124"/>
      <c r="AYN995" s="124"/>
      <c r="AYO995" s="124"/>
      <c r="AYP995" s="124"/>
      <c r="AYQ995" s="124"/>
      <c r="AYR995" s="124"/>
      <c r="AYS995" s="124"/>
      <c r="AYT995" s="124"/>
      <c r="AYU995" s="124"/>
      <c r="AYV995" s="124"/>
      <c r="AYW995" s="124"/>
      <c r="AYX995" s="124"/>
      <c r="AYY995" s="124"/>
      <c r="AYZ995" s="124"/>
      <c r="AZA995" s="124"/>
      <c r="AZB995" s="124"/>
      <c r="AZC995" s="124"/>
      <c r="AZD995" s="124"/>
      <c r="AZE995" s="124"/>
      <c r="AZF995" s="124"/>
      <c r="AZG995" s="124"/>
      <c r="AZH995" s="124"/>
      <c r="AZI995" s="124"/>
      <c r="AZJ995" s="124"/>
      <c r="AZK995" s="124"/>
      <c r="AZL995" s="124"/>
      <c r="AZM995" s="124"/>
      <c r="AZN995" s="124"/>
      <c r="AZO995" s="124"/>
      <c r="AZP995" s="124"/>
      <c r="AZQ995" s="124"/>
      <c r="AZR995" s="124"/>
      <c r="AZS995" s="124"/>
      <c r="AZT995" s="124"/>
      <c r="AZU995" s="124"/>
      <c r="AZV995" s="124"/>
      <c r="AZW995" s="124"/>
      <c r="AZX995" s="124"/>
      <c r="AZY995" s="124"/>
      <c r="AZZ995" s="124"/>
      <c r="BAA995" s="124"/>
      <c r="BAB995" s="124"/>
      <c r="BAC995" s="124"/>
      <c r="BAD995" s="124"/>
      <c r="BAE995" s="124"/>
      <c r="BAF995" s="124"/>
      <c r="BAG995" s="124"/>
      <c r="BAH995" s="124"/>
      <c r="BAI995" s="124"/>
      <c r="BAJ995" s="124"/>
      <c r="BAK995" s="124"/>
      <c r="BAL995" s="124"/>
      <c r="BAM995" s="124"/>
      <c r="BAN995" s="124"/>
      <c r="BAO995" s="124"/>
      <c r="BAP995" s="124"/>
      <c r="BAQ995" s="124"/>
      <c r="BAR995" s="124"/>
      <c r="BAS995" s="124"/>
      <c r="BAT995" s="124"/>
      <c r="BAU995" s="124"/>
      <c r="BAV995" s="124"/>
      <c r="BAW995" s="124"/>
      <c r="BAX995" s="124"/>
      <c r="BAY995" s="124"/>
      <c r="BAZ995" s="124"/>
      <c r="BBA995" s="124"/>
      <c r="BBB995" s="124"/>
      <c r="BBC995" s="124"/>
      <c r="BBD995" s="124"/>
      <c r="BBE995" s="124"/>
      <c r="BBF995" s="124"/>
      <c r="BBG995" s="124"/>
      <c r="BBH995" s="124"/>
      <c r="BBI995" s="124"/>
      <c r="BBJ995" s="124"/>
      <c r="BBK995" s="124"/>
      <c r="BBL995" s="124"/>
      <c r="BBM995" s="124"/>
      <c r="BBN995" s="124"/>
      <c r="BBO995" s="124"/>
      <c r="BBP995" s="124"/>
      <c r="BBQ995" s="124"/>
      <c r="BBR995" s="124"/>
      <c r="BBS995" s="124"/>
      <c r="BBT995" s="124"/>
      <c r="BBU995" s="124"/>
      <c r="BBV995" s="124"/>
      <c r="BBW995" s="124"/>
      <c r="BBX995" s="124"/>
      <c r="BBY995" s="124"/>
      <c r="BBZ995" s="124"/>
      <c r="BCA995" s="124"/>
      <c r="BCB995" s="124"/>
      <c r="BCC995" s="124"/>
      <c r="BCD995" s="124"/>
      <c r="BCE995" s="124"/>
      <c r="BCF995" s="124"/>
      <c r="BCG995" s="124"/>
      <c r="BCH995" s="124"/>
      <c r="BCI995" s="124"/>
      <c r="BCJ995" s="124"/>
      <c r="BCK995" s="124"/>
      <c r="BCL995" s="124"/>
      <c r="BCM995" s="124"/>
      <c r="BCN995" s="124"/>
      <c r="BCO995" s="124"/>
      <c r="BCP995" s="124"/>
      <c r="BCQ995" s="124"/>
      <c r="BCR995" s="124"/>
      <c r="BCS995" s="124"/>
      <c r="BCT995" s="124"/>
      <c r="BCU995" s="124"/>
      <c r="BCV995" s="124"/>
      <c r="BCW995" s="124"/>
      <c r="BCX995" s="124"/>
      <c r="BCY995" s="124"/>
      <c r="BCZ995" s="124"/>
      <c r="BDA995" s="124"/>
      <c r="BDB995" s="124"/>
      <c r="BDC995" s="124"/>
      <c r="BDD995" s="124"/>
      <c r="BDE995" s="124"/>
      <c r="BDF995" s="124"/>
      <c r="BDG995" s="124"/>
      <c r="BDH995" s="124"/>
      <c r="BDI995" s="124"/>
      <c r="BDJ995" s="124"/>
      <c r="BDK995" s="124"/>
      <c r="BDL995" s="124"/>
      <c r="BDM995" s="124"/>
      <c r="BDN995" s="124"/>
      <c r="BDO995" s="124"/>
      <c r="BDP995" s="124"/>
      <c r="BDQ995" s="124"/>
      <c r="BDR995" s="124"/>
      <c r="BDS995" s="124"/>
      <c r="BDT995" s="124"/>
      <c r="BDU995" s="124"/>
      <c r="BDV995" s="124"/>
      <c r="BDW995" s="124"/>
      <c r="BDX995" s="124"/>
      <c r="BDY995" s="124"/>
      <c r="BDZ995" s="124"/>
      <c r="BEA995" s="124"/>
      <c r="BEB995" s="124"/>
      <c r="BEC995" s="124"/>
      <c r="BED995" s="124"/>
      <c r="BEE995" s="124"/>
      <c r="BEF995" s="124"/>
      <c r="BEG995" s="124"/>
      <c r="BEH995" s="124"/>
      <c r="BEI995" s="124"/>
      <c r="BEJ995" s="124"/>
      <c r="BEK995" s="124"/>
      <c r="BEL995" s="124"/>
      <c r="BEM995" s="124"/>
      <c r="BEN995" s="124"/>
      <c r="BEO995" s="124"/>
      <c r="BEP995" s="124"/>
      <c r="BEQ995" s="124"/>
      <c r="BER995" s="124"/>
      <c r="BES995" s="124"/>
      <c r="BET995" s="124"/>
      <c r="BEU995" s="124"/>
      <c r="BEV995" s="124"/>
      <c r="BEW995" s="124"/>
      <c r="BEX995" s="124"/>
      <c r="BEY995" s="124"/>
      <c r="BEZ995" s="124"/>
      <c r="BFA995" s="124"/>
      <c r="BFB995" s="124"/>
      <c r="BFC995" s="124"/>
      <c r="BFD995" s="124"/>
      <c r="BFE995" s="124"/>
      <c r="BFF995" s="124"/>
      <c r="BFG995" s="124"/>
      <c r="BFH995" s="124"/>
      <c r="BFI995" s="124"/>
      <c r="BFJ995" s="124"/>
      <c r="BFK995" s="124"/>
      <c r="BFL995" s="124"/>
      <c r="BFM995" s="124"/>
      <c r="BFN995" s="124"/>
      <c r="BFO995" s="124"/>
      <c r="BFP995" s="124"/>
      <c r="BFQ995" s="124"/>
      <c r="BFR995" s="124"/>
      <c r="BFS995" s="124"/>
      <c r="BFT995" s="124"/>
      <c r="BFU995" s="124"/>
      <c r="BFV995" s="124"/>
      <c r="BFW995" s="124"/>
      <c r="BFX995" s="124"/>
      <c r="BFY995" s="124"/>
      <c r="BFZ995" s="124"/>
      <c r="BGA995" s="124"/>
      <c r="BGB995" s="124"/>
      <c r="BGC995" s="124"/>
      <c r="BGD995" s="124"/>
      <c r="BGE995" s="124"/>
      <c r="BGF995" s="124"/>
      <c r="BGG995" s="124"/>
      <c r="BGH995" s="124"/>
      <c r="BGI995" s="124"/>
      <c r="BGJ995" s="124"/>
      <c r="BGK995" s="124"/>
      <c r="BGL995" s="124"/>
      <c r="BGM995" s="124"/>
      <c r="BGN995" s="124"/>
      <c r="BGO995" s="124"/>
      <c r="BGP995" s="124"/>
      <c r="BGQ995" s="124"/>
      <c r="BGR995" s="124"/>
      <c r="BGS995" s="124"/>
      <c r="BGT995" s="124"/>
      <c r="BGU995" s="124"/>
      <c r="BGV995" s="124"/>
      <c r="BGW995" s="124"/>
      <c r="BGX995" s="124"/>
      <c r="BGY995" s="124"/>
      <c r="BGZ995" s="124"/>
      <c r="BHA995" s="124"/>
      <c r="BHB995" s="124"/>
      <c r="BHC995" s="124"/>
      <c r="BHD995" s="124"/>
      <c r="BHE995" s="124"/>
      <c r="BHF995" s="124"/>
      <c r="BHG995" s="124"/>
      <c r="BHH995" s="124"/>
      <c r="BHI995" s="124"/>
      <c r="BHJ995" s="124"/>
      <c r="BHK995" s="124"/>
      <c r="BHL995" s="124"/>
      <c r="BHM995" s="124"/>
      <c r="BHN995" s="124"/>
      <c r="BHO995" s="124"/>
      <c r="BHP995" s="124"/>
      <c r="BHQ995" s="124"/>
      <c r="BHR995" s="124"/>
      <c r="BHS995" s="124"/>
      <c r="BHT995" s="124"/>
      <c r="BHU995" s="124"/>
      <c r="BHV995" s="124"/>
      <c r="BHW995" s="124"/>
      <c r="BHX995" s="124"/>
      <c r="BHY995" s="124"/>
      <c r="BHZ995" s="124"/>
      <c r="BIA995" s="124"/>
      <c r="BIB995" s="124"/>
      <c r="BIC995" s="124"/>
      <c r="BID995" s="124"/>
      <c r="BIE995" s="124"/>
      <c r="BIF995" s="124"/>
      <c r="BIG995" s="124"/>
      <c r="BIH995" s="124"/>
      <c r="BII995" s="124"/>
      <c r="BIJ995" s="124"/>
      <c r="BIK995" s="124"/>
      <c r="BIL995" s="124"/>
      <c r="BIM995" s="124"/>
      <c r="BIN995" s="124"/>
      <c r="BIO995" s="124"/>
      <c r="BIP995" s="124"/>
      <c r="BIQ995" s="124"/>
      <c r="BIR995" s="124"/>
      <c r="BIS995" s="124"/>
      <c r="BIT995" s="124"/>
      <c r="BIU995" s="124"/>
      <c r="BIV995" s="124"/>
      <c r="BIW995" s="124"/>
      <c r="BIX995" s="124"/>
      <c r="BIY995" s="124"/>
      <c r="BIZ995" s="124"/>
      <c r="BJA995" s="124"/>
      <c r="BJB995" s="124"/>
      <c r="BJC995" s="124"/>
      <c r="BJD995" s="124"/>
      <c r="BJE995" s="124"/>
      <c r="BJF995" s="124"/>
      <c r="BJG995" s="124"/>
      <c r="BJH995" s="124"/>
      <c r="BJI995" s="124"/>
      <c r="BJJ995" s="124"/>
      <c r="BJK995" s="124"/>
      <c r="BJL995" s="124"/>
      <c r="BJM995" s="124"/>
      <c r="BJN995" s="124"/>
      <c r="BJO995" s="124"/>
      <c r="BJP995" s="124"/>
      <c r="BJQ995" s="124"/>
      <c r="BJR995" s="124"/>
      <c r="BJS995" s="124"/>
      <c r="BJT995" s="124"/>
      <c r="BJU995" s="124"/>
      <c r="BJV995" s="124"/>
      <c r="BJW995" s="124"/>
      <c r="BJX995" s="124"/>
      <c r="BJY995" s="124"/>
      <c r="BJZ995" s="124"/>
      <c r="BKA995" s="124"/>
      <c r="BKB995" s="124"/>
      <c r="BKC995" s="124"/>
      <c r="BKD995" s="124"/>
      <c r="BKE995" s="124"/>
      <c r="BKF995" s="124"/>
      <c r="BKG995" s="124"/>
      <c r="BKH995" s="124"/>
      <c r="BKI995" s="124"/>
      <c r="BKJ995" s="124"/>
      <c r="BKK995" s="124"/>
      <c r="BKL995" s="124"/>
      <c r="BKM995" s="124"/>
      <c r="BKN995" s="124"/>
      <c r="BKO995" s="124"/>
      <c r="BKP995" s="124"/>
      <c r="BKQ995" s="124"/>
      <c r="BKR995" s="124"/>
      <c r="BKS995" s="124"/>
      <c r="BKT995" s="124"/>
      <c r="BKU995" s="124"/>
      <c r="BKV995" s="124"/>
      <c r="BKW995" s="124"/>
      <c r="BKX995" s="124"/>
      <c r="BKY995" s="124"/>
      <c r="BKZ995" s="124"/>
      <c r="BLA995" s="124"/>
      <c r="BLB995" s="124"/>
      <c r="BLC995" s="124"/>
      <c r="BLD995" s="124"/>
      <c r="BLE995" s="124"/>
      <c r="BLF995" s="124"/>
      <c r="BLG995" s="124"/>
      <c r="BLH995" s="124"/>
      <c r="BLI995" s="124"/>
      <c r="BLJ995" s="124"/>
      <c r="BLK995" s="124"/>
      <c r="BLL995" s="124"/>
      <c r="BLM995" s="124"/>
      <c r="BLN995" s="124"/>
      <c r="BLO995" s="124"/>
      <c r="BLP995" s="124"/>
      <c r="BLQ995" s="124"/>
      <c r="BLR995" s="124"/>
      <c r="BLS995" s="124"/>
      <c r="BLT995" s="124"/>
      <c r="BLU995" s="124"/>
      <c r="BLV995" s="124"/>
      <c r="BLW995" s="124"/>
      <c r="BLX995" s="124"/>
      <c r="BLY995" s="124"/>
      <c r="BLZ995" s="124"/>
      <c r="BMA995" s="124"/>
      <c r="BMB995" s="124"/>
      <c r="BMC995" s="124"/>
      <c r="BMD995" s="124"/>
      <c r="BME995" s="124"/>
      <c r="BMF995" s="124"/>
      <c r="BMG995" s="124"/>
      <c r="BMH995" s="124"/>
      <c r="BMI995" s="124"/>
      <c r="BMJ995" s="124"/>
      <c r="BMK995" s="124"/>
      <c r="BML995" s="124"/>
      <c r="BMM995" s="124"/>
      <c r="BMN995" s="124"/>
      <c r="BMO995" s="124"/>
      <c r="BMP995" s="124"/>
      <c r="BMQ995" s="124"/>
      <c r="BMR995" s="124"/>
      <c r="BMS995" s="124"/>
      <c r="BMT995" s="124"/>
      <c r="BMU995" s="124"/>
      <c r="BMV995" s="124"/>
      <c r="BMW995" s="124"/>
      <c r="BMX995" s="124"/>
      <c r="BMY995" s="124"/>
      <c r="BMZ995" s="124"/>
      <c r="BNA995" s="124"/>
      <c r="BNB995" s="124"/>
      <c r="BNC995" s="124"/>
      <c r="BND995" s="124"/>
      <c r="BNE995" s="124"/>
      <c r="BNF995" s="124"/>
      <c r="BNG995" s="124"/>
      <c r="BNH995" s="124"/>
      <c r="BNI995" s="124"/>
      <c r="BNJ995" s="124"/>
      <c r="BNK995" s="124"/>
      <c r="BNL995" s="124"/>
      <c r="BNM995" s="124"/>
      <c r="BNN995" s="124"/>
      <c r="BNO995" s="124"/>
      <c r="BNP995" s="124"/>
      <c r="BNQ995" s="124"/>
      <c r="BNR995" s="124"/>
      <c r="BNS995" s="124"/>
      <c r="BNT995" s="124"/>
      <c r="BNU995" s="124"/>
      <c r="BNV995" s="124"/>
      <c r="BNW995" s="124"/>
      <c r="BNX995" s="124"/>
      <c r="BNY995" s="124"/>
      <c r="BNZ995" s="124"/>
      <c r="BOA995" s="124"/>
      <c r="BOB995" s="124"/>
      <c r="BOC995" s="124"/>
      <c r="BOD995" s="124"/>
      <c r="BOE995" s="124"/>
      <c r="BOF995" s="124"/>
      <c r="BOG995" s="124"/>
      <c r="BOH995" s="124"/>
      <c r="BOI995" s="124"/>
      <c r="BOJ995" s="124"/>
      <c r="BOK995" s="124"/>
      <c r="BOL995" s="124"/>
      <c r="BOM995" s="124"/>
      <c r="BON995" s="124"/>
      <c r="BOO995" s="124"/>
      <c r="BOP995" s="124"/>
      <c r="BOQ995" s="124"/>
      <c r="BOR995" s="124"/>
      <c r="BOS995" s="124"/>
      <c r="BOT995" s="124"/>
      <c r="BOU995" s="124"/>
      <c r="BOV995" s="124"/>
      <c r="BOW995" s="124"/>
      <c r="BOX995" s="124"/>
      <c r="BOY995" s="124"/>
      <c r="BOZ995" s="124"/>
      <c r="BPA995" s="124"/>
      <c r="BPB995" s="124"/>
      <c r="BPC995" s="124"/>
      <c r="BPD995" s="124"/>
      <c r="BPE995" s="124"/>
      <c r="BPF995" s="124"/>
      <c r="BPG995" s="124"/>
      <c r="BPH995" s="124"/>
      <c r="BPI995" s="124"/>
      <c r="BPJ995" s="124"/>
      <c r="BPK995" s="124"/>
      <c r="BPL995" s="124"/>
      <c r="BPM995" s="124"/>
      <c r="BPN995" s="124"/>
      <c r="BPO995" s="124"/>
      <c r="BPP995" s="124"/>
      <c r="BPQ995" s="124"/>
      <c r="BPR995" s="124"/>
      <c r="BPS995" s="124"/>
      <c r="BPT995" s="124"/>
      <c r="BPU995" s="124"/>
      <c r="BPV995" s="124"/>
      <c r="BPW995" s="124"/>
      <c r="BPX995" s="124"/>
      <c r="BPY995" s="124"/>
      <c r="BPZ995" s="124"/>
      <c r="BQA995" s="124"/>
      <c r="BQB995" s="124"/>
      <c r="BQC995" s="124"/>
      <c r="BQD995" s="124"/>
      <c r="BQE995" s="124"/>
      <c r="BQF995" s="124"/>
      <c r="BQG995" s="124"/>
      <c r="BQH995" s="124"/>
      <c r="BQI995" s="124"/>
      <c r="BQJ995" s="124"/>
      <c r="BQK995" s="124"/>
      <c r="BQL995" s="124"/>
      <c r="BQM995" s="124"/>
      <c r="BQN995" s="124"/>
      <c r="BQO995" s="124"/>
      <c r="BQP995" s="124"/>
      <c r="BQQ995" s="124"/>
      <c r="BQR995" s="124"/>
      <c r="BQS995" s="124"/>
      <c r="BQT995" s="124"/>
      <c r="BQU995" s="124"/>
      <c r="BQV995" s="124"/>
      <c r="BQW995" s="124"/>
      <c r="BQX995" s="124"/>
      <c r="BQY995" s="124"/>
      <c r="BQZ995" s="124"/>
      <c r="BRA995" s="124"/>
      <c r="BRB995" s="124"/>
      <c r="BRC995" s="124"/>
      <c r="BRD995" s="124"/>
      <c r="BRE995" s="124"/>
      <c r="BRF995" s="124"/>
      <c r="BRG995" s="124"/>
      <c r="BRH995" s="124"/>
      <c r="BRI995" s="124"/>
      <c r="BRJ995" s="124"/>
      <c r="BRK995" s="124"/>
      <c r="BRL995" s="124"/>
      <c r="BRM995" s="124"/>
      <c r="BRN995" s="124"/>
      <c r="BRO995" s="124"/>
      <c r="BRP995" s="124"/>
      <c r="BRQ995" s="124"/>
      <c r="BRR995" s="124"/>
      <c r="BRS995" s="124"/>
      <c r="BRT995" s="124"/>
      <c r="BRU995" s="124"/>
      <c r="BRV995" s="124"/>
      <c r="BRW995" s="124"/>
      <c r="BRX995" s="124"/>
      <c r="BRY995" s="124"/>
      <c r="BRZ995" s="124"/>
      <c r="BSA995" s="124"/>
      <c r="BSB995" s="124"/>
      <c r="BSC995" s="124"/>
      <c r="BSD995" s="124"/>
      <c r="BSE995" s="124"/>
      <c r="BSF995" s="124"/>
      <c r="BSG995" s="124"/>
      <c r="BSH995" s="124"/>
      <c r="BSI995" s="124"/>
      <c r="BSJ995" s="124"/>
      <c r="BSK995" s="124"/>
      <c r="BSL995" s="124"/>
      <c r="BSM995" s="124"/>
      <c r="BSN995" s="124"/>
      <c r="BSO995" s="124"/>
      <c r="BSP995" s="124"/>
      <c r="BSQ995" s="124"/>
      <c r="BSR995" s="124"/>
      <c r="BSS995" s="124"/>
      <c r="BST995" s="124"/>
      <c r="BSU995" s="124"/>
      <c r="BSV995" s="124"/>
      <c r="BSW995" s="124"/>
      <c r="BSX995" s="124"/>
      <c r="BSY995" s="124"/>
      <c r="BSZ995" s="124"/>
      <c r="BTA995" s="124"/>
      <c r="BTB995" s="124"/>
      <c r="BTC995" s="124"/>
      <c r="BTD995" s="124"/>
      <c r="BTE995" s="124"/>
      <c r="BTF995" s="124"/>
      <c r="BTG995" s="124"/>
      <c r="BTH995" s="124"/>
      <c r="BTI995" s="124"/>
      <c r="BTJ995" s="124"/>
      <c r="BTK995" s="124"/>
      <c r="BTL995" s="124"/>
      <c r="BTM995" s="124"/>
      <c r="BTN995" s="124"/>
      <c r="BTO995" s="124"/>
      <c r="BTP995" s="124"/>
      <c r="BTQ995" s="124"/>
      <c r="BTR995" s="124"/>
      <c r="BTS995" s="124"/>
      <c r="BTT995" s="124"/>
      <c r="BTU995" s="124"/>
      <c r="BTV995" s="124"/>
      <c r="BTW995" s="124"/>
      <c r="BTX995" s="124"/>
      <c r="BTY995" s="124"/>
      <c r="BTZ995" s="124"/>
      <c r="BUA995" s="124"/>
      <c r="BUB995" s="124"/>
      <c r="BUC995" s="124"/>
      <c r="BUD995" s="124"/>
      <c r="BUE995" s="124"/>
      <c r="BUF995" s="124"/>
      <c r="BUG995" s="124"/>
      <c r="BUH995" s="124"/>
      <c r="BUI995" s="124"/>
      <c r="BUJ995" s="124"/>
      <c r="BUK995" s="124"/>
      <c r="BUL995" s="124"/>
      <c r="BUM995" s="124"/>
      <c r="BUN995" s="124"/>
      <c r="BUO995" s="124"/>
      <c r="BUP995" s="124"/>
      <c r="BUQ995" s="124"/>
      <c r="BUR995" s="124"/>
      <c r="BUS995" s="124"/>
      <c r="BUT995" s="124"/>
      <c r="BUU995" s="124"/>
      <c r="BUV995" s="124"/>
      <c r="BUW995" s="124"/>
      <c r="BUX995" s="124"/>
      <c r="BUY995" s="124"/>
      <c r="BUZ995" s="124"/>
      <c r="BVA995" s="124"/>
      <c r="BVB995" s="124"/>
      <c r="BVC995" s="124"/>
      <c r="BVD995" s="124"/>
      <c r="BVE995" s="124"/>
      <c r="BVF995" s="124"/>
      <c r="BVG995" s="124"/>
      <c r="BVH995" s="124"/>
      <c r="BVI995" s="124"/>
      <c r="BVJ995" s="124"/>
      <c r="BVK995" s="124"/>
      <c r="BVL995" s="124"/>
      <c r="BVM995" s="124"/>
      <c r="BVN995" s="124"/>
      <c r="BVO995" s="124"/>
      <c r="BVP995" s="124"/>
      <c r="BVQ995" s="124"/>
      <c r="BVR995" s="124"/>
      <c r="BVS995" s="124"/>
      <c r="BVT995" s="124"/>
      <c r="BVU995" s="124"/>
      <c r="BVV995" s="124"/>
      <c r="BVW995" s="124"/>
      <c r="BVX995" s="124"/>
      <c r="BVY995" s="124"/>
      <c r="BVZ995" s="124"/>
      <c r="BWA995" s="124"/>
      <c r="BWB995" s="124"/>
      <c r="BWC995" s="124"/>
      <c r="BWD995" s="124"/>
      <c r="BWE995" s="124"/>
      <c r="BWF995" s="124"/>
      <c r="BWG995" s="124"/>
      <c r="BWH995" s="124"/>
      <c r="BWI995" s="124"/>
      <c r="BWJ995" s="124"/>
      <c r="BWK995" s="124"/>
      <c r="BWL995" s="124"/>
      <c r="BWM995" s="124"/>
      <c r="BWN995" s="124"/>
      <c r="BWO995" s="124"/>
      <c r="BWP995" s="124"/>
      <c r="BWQ995" s="124"/>
      <c r="BWR995" s="124"/>
      <c r="BWS995" s="124"/>
      <c r="BWT995" s="124"/>
      <c r="BWU995" s="124"/>
      <c r="BWV995" s="124"/>
      <c r="BWW995" s="124"/>
      <c r="BWX995" s="124"/>
      <c r="BWY995" s="124"/>
      <c r="BWZ995" s="124"/>
      <c r="BXA995" s="124"/>
      <c r="BXB995" s="124"/>
      <c r="BXC995" s="124"/>
      <c r="BXD995" s="124"/>
      <c r="BXE995" s="124"/>
      <c r="BXF995" s="124"/>
      <c r="BXG995" s="124"/>
      <c r="BXH995" s="124"/>
      <c r="BXI995" s="124"/>
      <c r="BXJ995" s="124"/>
      <c r="BXK995" s="124"/>
      <c r="BXL995" s="124"/>
      <c r="BXM995" s="124"/>
      <c r="BXN995" s="124"/>
      <c r="BXO995" s="124"/>
      <c r="BXP995" s="124"/>
      <c r="BXQ995" s="124"/>
      <c r="BXR995" s="124"/>
      <c r="BXS995" s="124"/>
      <c r="BXT995" s="124"/>
      <c r="BXU995" s="124"/>
      <c r="BXV995" s="124"/>
      <c r="BXW995" s="124"/>
      <c r="BXX995" s="124"/>
      <c r="BXY995" s="124"/>
      <c r="BXZ995" s="124"/>
      <c r="BYA995" s="124"/>
      <c r="BYB995" s="124"/>
      <c r="BYC995" s="124"/>
      <c r="BYD995" s="124"/>
      <c r="BYE995" s="124"/>
      <c r="BYF995" s="124"/>
      <c r="BYG995" s="124"/>
      <c r="BYH995" s="124"/>
      <c r="BYI995" s="124"/>
      <c r="BYJ995" s="124"/>
      <c r="BYK995" s="124"/>
      <c r="BYL995" s="124"/>
      <c r="BYM995" s="124"/>
      <c r="BYN995" s="124"/>
      <c r="BYO995" s="124"/>
      <c r="BYP995" s="124"/>
      <c r="BYQ995" s="124"/>
      <c r="BYR995" s="124"/>
      <c r="BYS995" s="124"/>
      <c r="BYT995" s="124"/>
      <c r="BYU995" s="124"/>
      <c r="BYV995" s="124"/>
      <c r="BYW995" s="124"/>
      <c r="BYX995" s="124"/>
      <c r="BYY995" s="124"/>
      <c r="BYZ995" s="124"/>
      <c r="BZA995" s="124"/>
      <c r="BZB995" s="124"/>
      <c r="BZC995" s="124"/>
      <c r="BZD995" s="124"/>
      <c r="BZE995" s="124"/>
      <c r="BZF995" s="124"/>
      <c r="BZG995" s="124"/>
      <c r="BZH995" s="124"/>
      <c r="BZI995" s="124"/>
      <c r="BZJ995" s="124"/>
      <c r="BZK995" s="124"/>
      <c r="BZL995" s="124"/>
      <c r="BZM995" s="124"/>
      <c r="BZN995" s="124"/>
      <c r="BZO995" s="124"/>
      <c r="BZP995" s="124"/>
      <c r="BZQ995" s="124"/>
      <c r="BZR995" s="124"/>
      <c r="BZS995" s="124"/>
      <c r="BZT995" s="124"/>
      <c r="BZU995" s="124"/>
      <c r="BZV995" s="124"/>
      <c r="BZW995" s="124"/>
      <c r="BZX995" s="124"/>
      <c r="BZY995" s="124"/>
      <c r="BZZ995" s="124"/>
      <c r="CAA995" s="124"/>
      <c r="CAB995" s="124"/>
      <c r="CAC995" s="124"/>
      <c r="CAD995" s="124"/>
      <c r="CAE995" s="124"/>
      <c r="CAF995" s="124"/>
      <c r="CAG995" s="124"/>
      <c r="CAH995" s="124"/>
      <c r="CAI995" s="124"/>
      <c r="CAJ995" s="124"/>
      <c r="CAK995" s="124"/>
      <c r="CAL995" s="124"/>
      <c r="CAM995" s="124"/>
      <c r="CAN995" s="124"/>
      <c r="CAO995" s="124"/>
      <c r="CAP995" s="124"/>
      <c r="CAQ995" s="124"/>
      <c r="CAR995" s="124"/>
      <c r="CAS995" s="124"/>
      <c r="CAT995" s="124"/>
      <c r="CAU995" s="124"/>
      <c r="CAV995" s="124"/>
      <c r="CAW995" s="124"/>
      <c r="CAX995" s="124"/>
      <c r="CAY995" s="124"/>
      <c r="CAZ995" s="124"/>
      <c r="CBA995" s="124"/>
      <c r="CBB995" s="124"/>
      <c r="CBC995" s="124"/>
      <c r="CBD995" s="124"/>
      <c r="CBE995" s="124"/>
      <c r="CBF995" s="124"/>
      <c r="CBG995" s="124"/>
      <c r="CBH995" s="124"/>
      <c r="CBI995" s="124"/>
      <c r="CBJ995" s="124"/>
      <c r="CBK995" s="124"/>
      <c r="CBL995" s="124"/>
      <c r="CBM995" s="124"/>
      <c r="CBN995" s="124"/>
      <c r="CBO995" s="124"/>
      <c r="CBP995" s="124"/>
      <c r="CBQ995" s="124"/>
      <c r="CBR995" s="124"/>
      <c r="CBS995" s="124"/>
      <c r="CBT995" s="124"/>
      <c r="CBU995" s="124"/>
      <c r="CBV995" s="124"/>
      <c r="CBW995" s="124"/>
      <c r="CBX995" s="124"/>
      <c r="CBY995" s="124"/>
      <c r="CBZ995" s="124"/>
      <c r="CCA995" s="124"/>
      <c r="CCB995" s="124"/>
      <c r="CCC995" s="124"/>
      <c r="CCD995" s="124"/>
      <c r="CCE995" s="124"/>
      <c r="CCF995" s="124"/>
      <c r="CCG995" s="124"/>
      <c r="CCH995" s="124"/>
      <c r="CCI995" s="124"/>
      <c r="CCJ995" s="124"/>
      <c r="CCK995" s="124"/>
      <c r="CCL995" s="124"/>
      <c r="CCM995" s="124"/>
      <c r="CCN995" s="124"/>
      <c r="CCO995" s="124"/>
      <c r="CCP995" s="124"/>
      <c r="CCQ995" s="124"/>
      <c r="CCR995" s="124"/>
      <c r="CCS995" s="124"/>
      <c r="CCT995" s="124"/>
      <c r="CCU995" s="124"/>
      <c r="CCV995" s="124"/>
      <c r="CCW995" s="124"/>
      <c r="CCX995" s="124"/>
      <c r="CCY995" s="124"/>
      <c r="CCZ995" s="124"/>
      <c r="CDA995" s="124"/>
      <c r="CDB995" s="124"/>
      <c r="CDC995" s="124"/>
      <c r="CDD995" s="124"/>
      <c r="CDE995" s="124"/>
      <c r="CDF995" s="124"/>
      <c r="CDG995" s="124"/>
      <c r="CDH995" s="124"/>
      <c r="CDI995" s="124"/>
      <c r="CDJ995" s="124"/>
      <c r="CDK995" s="124"/>
      <c r="CDL995" s="124"/>
      <c r="CDM995" s="124"/>
      <c r="CDN995" s="124"/>
      <c r="CDO995" s="124"/>
      <c r="CDP995" s="124"/>
      <c r="CDQ995" s="124"/>
      <c r="CDR995" s="124"/>
      <c r="CDS995" s="124"/>
      <c r="CDT995" s="124"/>
      <c r="CDU995" s="124"/>
      <c r="CDV995" s="124"/>
      <c r="CDW995" s="124"/>
      <c r="CDX995" s="124"/>
      <c r="CDY995" s="124"/>
      <c r="CDZ995" s="124"/>
      <c r="CEA995" s="124"/>
      <c r="CEB995" s="124"/>
      <c r="CEC995" s="124"/>
      <c r="CED995" s="124"/>
      <c r="CEE995" s="124"/>
      <c r="CEF995" s="124"/>
      <c r="CEG995" s="124"/>
      <c r="CEH995" s="124"/>
      <c r="CEI995" s="124"/>
      <c r="CEJ995" s="124"/>
      <c r="CEK995" s="124"/>
      <c r="CEL995" s="124"/>
      <c r="CEM995" s="124"/>
      <c r="CEN995" s="124"/>
      <c r="CEO995" s="124"/>
      <c r="CEP995" s="124"/>
      <c r="CEQ995" s="124"/>
      <c r="CER995" s="124"/>
      <c r="CES995" s="124"/>
      <c r="CET995" s="124"/>
      <c r="CEU995" s="124"/>
      <c r="CEV995" s="124"/>
      <c r="CEW995" s="124"/>
      <c r="CEX995" s="124"/>
      <c r="CEY995" s="124"/>
      <c r="CEZ995" s="124"/>
      <c r="CFA995" s="124"/>
      <c r="CFB995" s="124"/>
      <c r="CFC995" s="124"/>
      <c r="CFD995" s="124"/>
      <c r="CFE995" s="124"/>
      <c r="CFF995" s="124"/>
      <c r="CFG995" s="124"/>
      <c r="CFH995" s="124"/>
      <c r="CFI995" s="124"/>
      <c r="CFJ995" s="124"/>
      <c r="CFK995" s="124"/>
      <c r="CFL995" s="124"/>
      <c r="CFM995" s="124"/>
      <c r="CFN995" s="124"/>
      <c r="CFO995" s="124"/>
      <c r="CFP995" s="124"/>
      <c r="CFQ995" s="124"/>
      <c r="CFR995" s="124"/>
      <c r="CFS995" s="124"/>
      <c r="CFT995" s="124"/>
      <c r="CFU995" s="124"/>
      <c r="CFV995" s="124"/>
      <c r="CFW995" s="124"/>
      <c r="CFX995" s="124"/>
      <c r="CFY995" s="124"/>
      <c r="CFZ995" s="124"/>
      <c r="CGA995" s="124"/>
      <c r="CGB995" s="124"/>
      <c r="CGC995" s="124"/>
      <c r="CGD995" s="124"/>
      <c r="CGE995" s="124"/>
      <c r="CGF995" s="124"/>
      <c r="CGG995" s="124"/>
      <c r="CGH995" s="124"/>
      <c r="CGI995" s="124"/>
      <c r="CGJ995" s="124"/>
      <c r="CGK995" s="124"/>
      <c r="CGL995" s="124"/>
      <c r="CGM995" s="124"/>
      <c r="CGN995" s="124"/>
      <c r="CGO995" s="124"/>
      <c r="CGP995" s="124"/>
      <c r="CGQ995" s="124"/>
      <c r="CGR995" s="124"/>
      <c r="CGS995" s="124"/>
      <c r="CGT995" s="124"/>
      <c r="CGU995" s="124"/>
      <c r="CGV995" s="124"/>
      <c r="CGW995" s="124"/>
      <c r="CGX995" s="124"/>
      <c r="CGY995" s="124"/>
      <c r="CGZ995" s="124"/>
      <c r="CHA995" s="124"/>
      <c r="CHB995" s="124"/>
      <c r="CHC995" s="124"/>
      <c r="CHD995" s="124"/>
      <c r="CHE995" s="124"/>
      <c r="CHF995" s="124"/>
      <c r="CHG995" s="124"/>
      <c r="CHH995" s="124"/>
      <c r="CHI995" s="124"/>
      <c r="CHJ995" s="124"/>
      <c r="CHK995" s="124"/>
      <c r="CHL995" s="124"/>
      <c r="CHM995" s="124"/>
      <c r="CHN995" s="124"/>
      <c r="CHO995" s="124"/>
      <c r="CHP995" s="124"/>
      <c r="CHQ995" s="124"/>
      <c r="CHR995" s="124"/>
      <c r="CHS995" s="124"/>
      <c r="CHT995" s="124"/>
      <c r="CHU995" s="124"/>
      <c r="CHV995" s="124"/>
      <c r="CHW995" s="124"/>
      <c r="CHX995" s="124"/>
      <c r="CHY995" s="124"/>
      <c r="CHZ995" s="124"/>
      <c r="CIA995" s="124"/>
      <c r="CIB995" s="124"/>
      <c r="CIC995" s="124"/>
      <c r="CID995" s="124"/>
      <c r="CIE995" s="124"/>
      <c r="CIF995" s="124"/>
      <c r="CIG995" s="124"/>
      <c r="CIH995" s="124"/>
      <c r="CII995" s="124"/>
      <c r="CIJ995" s="124"/>
      <c r="CIK995" s="124"/>
      <c r="CIL995" s="124"/>
      <c r="CIM995" s="124"/>
      <c r="CIN995" s="124"/>
      <c r="CIO995" s="124"/>
      <c r="CIP995" s="124"/>
      <c r="CIQ995" s="124"/>
      <c r="CIR995" s="124"/>
      <c r="CIS995" s="124"/>
      <c r="CIT995" s="124"/>
      <c r="CIU995" s="124"/>
      <c r="CIV995" s="124"/>
      <c r="CIW995" s="124"/>
      <c r="CIX995" s="124"/>
      <c r="CIY995" s="124"/>
      <c r="CIZ995" s="124"/>
      <c r="CJA995" s="124"/>
      <c r="CJB995" s="124"/>
      <c r="CJC995" s="124"/>
      <c r="CJD995" s="124"/>
      <c r="CJE995" s="124"/>
      <c r="CJF995" s="124"/>
      <c r="CJG995" s="124"/>
      <c r="CJH995" s="124"/>
      <c r="CJI995" s="124"/>
      <c r="CJJ995" s="124"/>
      <c r="CJK995" s="124"/>
      <c r="CJL995" s="124"/>
      <c r="CJM995" s="124"/>
      <c r="CJN995" s="124"/>
      <c r="CJO995" s="124"/>
      <c r="CJP995" s="124"/>
      <c r="CJQ995" s="124"/>
      <c r="CJR995" s="124"/>
      <c r="CJS995" s="124"/>
      <c r="CJT995" s="124"/>
      <c r="CJU995" s="124"/>
      <c r="CJV995" s="124"/>
      <c r="CJW995" s="124"/>
      <c r="CJX995" s="124"/>
      <c r="CJY995" s="124"/>
      <c r="CJZ995" s="124"/>
      <c r="CKA995" s="124"/>
      <c r="CKB995" s="124"/>
      <c r="CKC995" s="124"/>
      <c r="CKD995" s="124"/>
      <c r="CKE995" s="124"/>
      <c r="CKF995" s="124"/>
      <c r="CKG995" s="124"/>
      <c r="CKH995" s="124"/>
      <c r="CKI995" s="124"/>
      <c r="CKJ995" s="124"/>
      <c r="CKK995" s="124"/>
      <c r="CKL995" s="124"/>
      <c r="CKM995" s="124"/>
      <c r="CKN995" s="124"/>
      <c r="CKO995" s="124"/>
      <c r="CKP995" s="124"/>
      <c r="CKQ995" s="124"/>
      <c r="CKR995" s="124"/>
      <c r="CKS995" s="124"/>
      <c r="CKT995" s="124"/>
      <c r="CKU995" s="124"/>
      <c r="CKV995" s="124"/>
      <c r="CKW995" s="124"/>
      <c r="CKX995" s="124"/>
      <c r="CKY995" s="124"/>
      <c r="CKZ995" s="124"/>
      <c r="CLA995" s="124"/>
      <c r="CLB995" s="124"/>
      <c r="CLC995" s="124"/>
      <c r="CLD995" s="124"/>
      <c r="CLE995" s="124"/>
      <c r="CLF995" s="124"/>
      <c r="CLG995" s="124"/>
      <c r="CLH995" s="124"/>
      <c r="CLI995" s="124"/>
      <c r="CLJ995" s="124"/>
      <c r="CLK995" s="124"/>
      <c r="CLL995" s="124"/>
      <c r="CLM995" s="124"/>
      <c r="CLN995" s="124"/>
      <c r="CLO995" s="124"/>
      <c r="CLP995" s="124"/>
      <c r="CLQ995" s="124"/>
      <c r="CLR995" s="124"/>
      <c r="CLS995" s="124"/>
      <c r="CLT995" s="124"/>
      <c r="CLU995" s="124"/>
      <c r="CLV995" s="124"/>
      <c r="CLW995" s="124"/>
      <c r="CLX995" s="124"/>
      <c r="CLY995" s="124"/>
      <c r="CLZ995" s="124"/>
      <c r="CMA995" s="124"/>
      <c r="CMB995" s="124"/>
      <c r="CMC995" s="124"/>
      <c r="CMD995" s="124"/>
      <c r="CME995" s="124"/>
      <c r="CMF995" s="124"/>
      <c r="CMG995" s="124"/>
      <c r="CMH995" s="124"/>
      <c r="CMI995" s="124"/>
      <c r="CMJ995" s="124"/>
      <c r="CMK995" s="124"/>
      <c r="CML995" s="124"/>
      <c r="CMM995" s="124"/>
      <c r="CMN995" s="124"/>
      <c r="CMO995" s="124"/>
      <c r="CMP995" s="124"/>
      <c r="CMQ995" s="124"/>
      <c r="CMR995" s="124"/>
      <c r="CMS995" s="124"/>
      <c r="CMT995" s="124"/>
      <c r="CMU995" s="124"/>
      <c r="CMV995" s="124"/>
      <c r="CMW995" s="124"/>
      <c r="CMX995" s="124"/>
      <c r="CMY995" s="124"/>
      <c r="CMZ995" s="124"/>
      <c r="CNA995" s="124"/>
      <c r="CNB995" s="124"/>
      <c r="CNC995" s="124"/>
      <c r="CND995" s="124"/>
      <c r="CNE995" s="124"/>
      <c r="CNF995" s="124"/>
      <c r="CNG995" s="124"/>
      <c r="CNH995" s="124"/>
      <c r="CNI995" s="124"/>
      <c r="CNJ995" s="124"/>
      <c r="CNK995" s="124"/>
      <c r="CNL995" s="124"/>
      <c r="CNM995" s="124"/>
      <c r="CNN995" s="124"/>
      <c r="CNO995" s="124"/>
      <c r="CNP995" s="124"/>
      <c r="CNQ995" s="124"/>
      <c r="CNR995" s="124"/>
      <c r="CNS995" s="124"/>
      <c r="CNT995" s="124"/>
      <c r="CNU995" s="124"/>
      <c r="CNV995" s="124"/>
      <c r="CNW995" s="124"/>
      <c r="CNX995" s="124"/>
      <c r="CNY995" s="124"/>
      <c r="CNZ995" s="124"/>
      <c r="COA995" s="124"/>
      <c r="COB995" s="124"/>
      <c r="COC995" s="124"/>
      <c r="COD995" s="124"/>
      <c r="COE995" s="124"/>
      <c r="COF995" s="124"/>
      <c r="COG995" s="124"/>
      <c r="COH995" s="124"/>
      <c r="COI995" s="124"/>
      <c r="COJ995" s="124"/>
      <c r="COK995" s="124"/>
      <c r="COL995" s="124"/>
      <c r="COM995" s="124"/>
      <c r="CON995" s="124"/>
      <c r="COO995" s="124"/>
      <c r="COP995" s="124"/>
      <c r="COQ995" s="124"/>
      <c r="COR995" s="124"/>
      <c r="COS995" s="124"/>
      <c r="COT995" s="124"/>
      <c r="COU995" s="124"/>
      <c r="COV995" s="124"/>
      <c r="COW995" s="124"/>
      <c r="COX995" s="124"/>
      <c r="COY995" s="124"/>
      <c r="COZ995" s="124"/>
      <c r="CPA995" s="124"/>
      <c r="CPB995" s="124"/>
      <c r="CPC995" s="124"/>
      <c r="CPD995" s="124"/>
      <c r="CPE995" s="124"/>
      <c r="CPF995" s="124"/>
      <c r="CPG995" s="124"/>
      <c r="CPH995" s="124"/>
      <c r="CPI995" s="124"/>
      <c r="CPJ995" s="124"/>
      <c r="CPK995" s="124"/>
      <c r="CPL995" s="124"/>
      <c r="CPM995" s="124"/>
      <c r="CPN995" s="124"/>
      <c r="CPO995" s="124"/>
      <c r="CPP995" s="124"/>
      <c r="CPQ995" s="124"/>
      <c r="CPR995" s="124"/>
      <c r="CPS995" s="124"/>
      <c r="CPT995" s="124"/>
      <c r="CPU995" s="124"/>
      <c r="CPV995" s="124"/>
      <c r="CPW995" s="124"/>
      <c r="CPX995" s="124"/>
      <c r="CPY995" s="124"/>
      <c r="CPZ995" s="124"/>
      <c r="CQA995" s="124"/>
      <c r="CQB995" s="124"/>
      <c r="CQC995" s="124"/>
      <c r="CQD995" s="124"/>
      <c r="CQE995" s="124"/>
      <c r="CQF995" s="124"/>
      <c r="CQG995" s="124"/>
      <c r="CQH995" s="124"/>
      <c r="CQI995" s="124"/>
      <c r="CQJ995" s="124"/>
      <c r="CQK995" s="124"/>
      <c r="CQL995" s="124"/>
      <c r="CQM995" s="124"/>
      <c r="CQN995" s="124"/>
      <c r="CQO995" s="124"/>
      <c r="CQP995" s="124"/>
      <c r="CQQ995" s="124"/>
      <c r="CQR995" s="124"/>
      <c r="CQS995" s="124"/>
      <c r="CQT995" s="124"/>
      <c r="CQU995" s="124"/>
      <c r="CQV995" s="124"/>
      <c r="CQW995" s="124"/>
      <c r="CQX995" s="124"/>
      <c r="CQY995" s="124"/>
      <c r="CQZ995" s="124"/>
      <c r="CRA995" s="124"/>
      <c r="CRB995" s="124"/>
      <c r="CRC995" s="124"/>
      <c r="CRD995" s="124"/>
      <c r="CRE995" s="124"/>
      <c r="CRF995" s="124"/>
      <c r="CRG995" s="124"/>
      <c r="CRH995" s="124"/>
      <c r="CRI995" s="124"/>
      <c r="CRJ995" s="124"/>
      <c r="CRK995" s="124"/>
      <c r="CRL995" s="124"/>
      <c r="CRM995" s="124"/>
      <c r="CRN995" s="124"/>
      <c r="CRO995" s="124"/>
      <c r="CRP995" s="124"/>
      <c r="CRQ995" s="124"/>
      <c r="CRR995" s="124"/>
      <c r="CRS995" s="124"/>
      <c r="CRT995" s="124"/>
      <c r="CRU995" s="124"/>
      <c r="CRV995" s="124"/>
      <c r="CRW995" s="124"/>
      <c r="CRX995" s="124"/>
      <c r="CRY995" s="124"/>
      <c r="CRZ995" s="124"/>
      <c r="CSA995" s="124"/>
      <c r="CSB995" s="124"/>
      <c r="CSC995" s="124"/>
      <c r="CSD995" s="124"/>
      <c r="CSE995" s="124"/>
      <c r="CSF995" s="124"/>
      <c r="CSG995" s="124"/>
      <c r="CSH995" s="124"/>
      <c r="CSI995" s="124"/>
      <c r="CSJ995" s="124"/>
      <c r="CSK995" s="124"/>
      <c r="CSL995" s="124"/>
      <c r="CSM995" s="124"/>
      <c r="CSN995" s="124"/>
      <c r="CSO995" s="124"/>
      <c r="CSP995" s="124"/>
      <c r="CSQ995" s="124"/>
      <c r="CSR995" s="124"/>
      <c r="CSS995" s="124"/>
      <c r="CST995" s="124"/>
      <c r="CSU995" s="124"/>
      <c r="CSV995" s="124"/>
      <c r="CSW995" s="124"/>
      <c r="CSX995" s="124"/>
      <c r="CSY995" s="124"/>
      <c r="CSZ995" s="124"/>
      <c r="CTA995" s="124"/>
      <c r="CTB995" s="124"/>
      <c r="CTC995" s="124"/>
      <c r="CTD995" s="124"/>
      <c r="CTE995" s="124"/>
      <c r="CTF995" s="124"/>
      <c r="CTG995" s="124"/>
      <c r="CTH995" s="124"/>
      <c r="CTI995" s="124"/>
      <c r="CTJ995" s="124"/>
      <c r="CTK995" s="124"/>
      <c r="CTL995" s="124"/>
      <c r="CTM995" s="124"/>
      <c r="CTN995" s="124"/>
      <c r="CTO995" s="124"/>
      <c r="CTP995" s="124"/>
      <c r="CTQ995" s="124"/>
      <c r="CTR995" s="124"/>
      <c r="CTS995" s="124"/>
      <c r="CTT995" s="124"/>
      <c r="CTU995" s="124"/>
      <c r="CTV995" s="124"/>
      <c r="CTW995" s="124"/>
      <c r="CTX995" s="124"/>
      <c r="CTY995" s="124"/>
      <c r="CTZ995" s="124"/>
      <c r="CUA995" s="124"/>
      <c r="CUB995" s="124"/>
      <c r="CUC995" s="124"/>
      <c r="CUD995" s="124"/>
      <c r="CUE995" s="124"/>
      <c r="CUF995" s="124"/>
      <c r="CUG995" s="124"/>
      <c r="CUH995" s="124"/>
      <c r="CUI995" s="124"/>
      <c r="CUJ995" s="124"/>
      <c r="CUK995" s="124"/>
      <c r="CUL995" s="124"/>
      <c r="CUM995" s="124"/>
      <c r="CUN995" s="124"/>
      <c r="CUO995" s="124"/>
      <c r="CUP995" s="124"/>
      <c r="CUQ995" s="124"/>
      <c r="CUR995" s="124"/>
      <c r="CUS995" s="124"/>
      <c r="CUT995" s="124"/>
      <c r="CUU995" s="124"/>
      <c r="CUV995" s="124"/>
      <c r="CUW995" s="124"/>
      <c r="CUX995" s="124"/>
      <c r="CUY995" s="124"/>
      <c r="CUZ995" s="124"/>
      <c r="CVA995" s="124"/>
      <c r="CVB995" s="124"/>
      <c r="CVC995" s="124"/>
      <c r="CVD995" s="124"/>
      <c r="CVE995" s="124"/>
      <c r="CVF995" s="124"/>
      <c r="CVG995" s="124"/>
      <c r="CVH995" s="124"/>
      <c r="CVI995" s="124"/>
      <c r="CVJ995" s="124"/>
      <c r="CVK995" s="124"/>
      <c r="CVL995" s="124"/>
      <c r="CVM995" s="124"/>
      <c r="CVN995" s="124"/>
      <c r="CVO995" s="124"/>
      <c r="CVP995" s="124"/>
      <c r="CVQ995" s="124"/>
      <c r="CVR995" s="124"/>
      <c r="CVS995" s="124"/>
      <c r="CVT995" s="124"/>
      <c r="CVU995" s="124"/>
      <c r="CVV995" s="124"/>
      <c r="CVW995" s="124"/>
      <c r="CVX995" s="124"/>
      <c r="CVY995" s="124"/>
      <c r="CVZ995" s="124"/>
      <c r="CWA995" s="124"/>
      <c r="CWB995" s="124"/>
      <c r="CWC995" s="124"/>
      <c r="CWD995" s="124"/>
      <c r="CWE995" s="124"/>
      <c r="CWF995" s="124"/>
      <c r="CWG995" s="124"/>
      <c r="CWH995" s="124"/>
      <c r="CWI995" s="124"/>
      <c r="CWJ995" s="124"/>
      <c r="CWK995" s="124"/>
      <c r="CWL995" s="124"/>
      <c r="CWM995" s="124"/>
      <c r="CWN995" s="124"/>
      <c r="CWO995" s="124"/>
      <c r="CWP995" s="124"/>
      <c r="CWQ995" s="124"/>
      <c r="CWR995" s="124"/>
      <c r="CWS995" s="124"/>
      <c r="CWT995" s="124"/>
      <c r="CWU995" s="124"/>
      <c r="CWV995" s="124"/>
      <c r="CWW995" s="124"/>
      <c r="CWX995" s="124"/>
      <c r="CWY995" s="124"/>
      <c r="CWZ995" s="124"/>
      <c r="CXA995" s="124"/>
      <c r="CXB995" s="124"/>
      <c r="CXC995" s="124"/>
      <c r="CXD995" s="124"/>
      <c r="CXE995" s="124"/>
      <c r="CXF995" s="124"/>
      <c r="CXG995" s="124"/>
      <c r="CXH995" s="124"/>
      <c r="CXI995" s="124"/>
      <c r="CXJ995" s="124"/>
      <c r="CXK995" s="124"/>
      <c r="CXL995" s="124"/>
      <c r="CXM995" s="124"/>
      <c r="CXN995" s="124"/>
      <c r="CXO995" s="124"/>
      <c r="CXP995" s="124"/>
      <c r="CXQ995" s="124"/>
      <c r="CXR995" s="124"/>
      <c r="CXS995" s="124"/>
      <c r="CXT995" s="124"/>
      <c r="CXU995" s="124"/>
      <c r="CXV995" s="124"/>
      <c r="CXW995" s="124"/>
      <c r="CXX995" s="124"/>
      <c r="CXY995" s="124"/>
      <c r="CXZ995" s="124"/>
      <c r="CYA995" s="124"/>
      <c r="CYB995" s="124"/>
      <c r="CYC995" s="124"/>
      <c r="CYD995" s="124"/>
      <c r="CYE995" s="124"/>
      <c r="CYF995" s="124"/>
      <c r="CYG995" s="124"/>
      <c r="CYH995" s="124"/>
      <c r="CYI995" s="124"/>
      <c r="CYJ995" s="124"/>
      <c r="CYK995" s="124"/>
      <c r="CYL995" s="124"/>
      <c r="CYM995" s="124"/>
      <c r="CYN995" s="124"/>
      <c r="CYO995" s="124"/>
      <c r="CYP995" s="124"/>
      <c r="CYQ995" s="124"/>
      <c r="CYR995" s="124"/>
      <c r="CYS995" s="124"/>
      <c r="CYT995" s="124"/>
      <c r="CYU995" s="124"/>
      <c r="CYV995" s="124"/>
      <c r="CYW995" s="124"/>
      <c r="CYX995" s="124"/>
      <c r="CYY995" s="124"/>
      <c r="CYZ995" s="124"/>
      <c r="CZA995" s="124"/>
      <c r="CZB995" s="124"/>
      <c r="CZC995" s="124"/>
      <c r="CZD995" s="124"/>
      <c r="CZE995" s="124"/>
      <c r="CZF995" s="124"/>
      <c r="CZG995" s="124"/>
      <c r="CZH995" s="124"/>
      <c r="CZI995" s="124"/>
      <c r="CZJ995" s="124"/>
      <c r="CZK995" s="124"/>
      <c r="CZL995" s="124"/>
      <c r="CZM995" s="124"/>
      <c r="CZN995" s="124"/>
      <c r="CZO995" s="124"/>
      <c r="CZP995" s="124"/>
      <c r="CZQ995" s="124"/>
      <c r="CZR995" s="124"/>
      <c r="CZS995" s="124"/>
      <c r="CZT995" s="124"/>
      <c r="CZU995" s="124"/>
      <c r="CZV995" s="124"/>
      <c r="CZW995" s="124"/>
      <c r="CZX995" s="124"/>
      <c r="CZY995" s="124"/>
      <c r="CZZ995" s="124"/>
      <c r="DAA995" s="124"/>
      <c r="DAB995" s="124"/>
      <c r="DAC995" s="124"/>
      <c r="DAD995" s="124"/>
      <c r="DAE995" s="124"/>
      <c r="DAF995" s="124"/>
      <c r="DAG995" s="124"/>
      <c r="DAH995" s="124"/>
      <c r="DAI995" s="124"/>
      <c r="DAJ995" s="124"/>
      <c r="DAK995" s="124"/>
      <c r="DAL995" s="124"/>
      <c r="DAM995" s="124"/>
      <c r="DAN995" s="124"/>
      <c r="DAO995" s="124"/>
      <c r="DAP995" s="124"/>
      <c r="DAQ995" s="124"/>
      <c r="DAR995" s="124"/>
      <c r="DAS995" s="124"/>
      <c r="DAT995" s="124"/>
      <c r="DAU995" s="124"/>
      <c r="DAV995" s="124"/>
      <c r="DAW995" s="124"/>
      <c r="DAX995" s="124"/>
      <c r="DAY995" s="124"/>
      <c r="DAZ995" s="124"/>
      <c r="DBA995" s="124"/>
      <c r="DBB995" s="124"/>
      <c r="DBC995" s="124"/>
      <c r="DBD995" s="124"/>
      <c r="DBE995" s="124"/>
      <c r="DBF995" s="124"/>
      <c r="DBG995" s="124"/>
      <c r="DBH995" s="124"/>
      <c r="DBI995" s="124"/>
      <c r="DBJ995" s="124"/>
      <c r="DBK995" s="124"/>
      <c r="DBL995" s="124"/>
      <c r="DBM995" s="124"/>
      <c r="DBN995" s="124"/>
      <c r="DBO995" s="124"/>
      <c r="DBP995" s="124"/>
      <c r="DBQ995" s="124"/>
      <c r="DBR995" s="124"/>
      <c r="DBS995" s="124"/>
      <c r="DBT995" s="124"/>
      <c r="DBU995" s="124"/>
      <c r="DBV995" s="124"/>
      <c r="DBW995" s="124"/>
      <c r="DBX995" s="124"/>
      <c r="DBY995" s="124"/>
      <c r="DBZ995" s="124"/>
      <c r="DCA995" s="124"/>
      <c r="DCB995" s="124"/>
      <c r="DCC995" s="124"/>
      <c r="DCD995" s="124"/>
      <c r="DCE995" s="124"/>
      <c r="DCF995" s="124"/>
      <c r="DCG995" s="124"/>
      <c r="DCH995" s="124"/>
      <c r="DCI995" s="124"/>
      <c r="DCJ995" s="124"/>
      <c r="DCK995" s="124"/>
      <c r="DCL995" s="124"/>
      <c r="DCM995" s="124"/>
      <c r="DCN995" s="124"/>
      <c r="DCO995" s="124"/>
      <c r="DCP995" s="124"/>
      <c r="DCQ995" s="124"/>
      <c r="DCR995" s="124"/>
      <c r="DCS995" s="124"/>
      <c r="DCT995" s="124"/>
      <c r="DCU995" s="124"/>
      <c r="DCV995" s="124"/>
      <c r="DCW995" s="124"/>
      <c r="DCX995" s="124"/>
      <c r="DCY995" s="124"/>
      <c r="DCZ995" s="124"/>
      <c r="DDA995" s="124"/>
      <c r="DDB995" s="124"/>
      <c r="DDC995" s="124"/>
      <c r="DDD995" s="124"/>
      <c r="DDE995" s="124"/>
      <c r="DDF995" s="124"/>
      <c r="DDG995" s="124"/>
      <c r="DDH995" s="124"/>
      <c r="DDI995" s="124"/>
      <c r="DDJ995" s="124"/>
      <c r="DDK995" s="124"/>
      <c r="DDL995" s="124"/>
      <c r="DDM995" s="124"/>
      <c r="DDN995" s="124"/>
      <c r="DDO995" s="124"/>
      <c r="DDP995" s="124"/>
      <c r="DDQ995" s="124"/>
      <c r="DDR995" s="124"/>
      <c r="DDS995" s="124"/>
      <c r="DDT995" s="124"/>
      <c r="DDU995" s="124"/>
      <c r="DDV995" s="124"/>
      <c r="DDW995" s="124"/>
      <c r="DDX995" s="124"/>
      <c r="DDY995" s="124"/>
      <c r="DDZ995" s="124"/>
      <c r="DEA995" s="124"/>
      <c r="DEB995" s="124"/>
      <c r="DEC995" s="124"/>
      <c r="DED995" s="124"/>
      <c r="DEE995" s="124"/>
      <c r="DEF995" s="124"/>
      <c r="DEG995" s="124"/>
      <c r="DEH995" s="124"/>
      <c r="DEI995" s="124"/>
      <c r="DEJ995" s="124"/>
      <c r="DEK995" s="124"/>
      <c r="DEL995" s="124"/>
      <c r="DEM995" s="124"/>
      <c r="DEN995" s="124"/>
      <c r="DEO995" s="124"/>
      <c r="DEP995" s="124"/>
      <c r="DEQ995" s="124"/>
      <c r="DER995" s="124"/>
      <c r="DES995" s="124"/>
      <c r="DET995" s="124"/>
      <c r="DEU995" s="124"/>
      <c r="DEV995" s="124"/>
      <c r="DEW995" s="124"/>
      <c r="DEX995" s="124"/>
      <c r="DEY995" s="124"/>
      <c r="DEZ995" s="124"/>
      <c r="DFA995" s="124"/>
      <c r="DFB995" s="124"/>
      <c r="DFC995" s="124"/>
      <c r="DFD995" s="124"/>
      <c r="DFE995" s="124"/>
      <c r="DFF995" s="124"/>
      <c r="DFG995" s="124"/>
      <c r="DFH995" s="124"/>
      <c r="DFI995" s="124"/>
      <c r="DFJ995" s="124"/>
      <c r="DFK995" s="124"/>
      <c r="DFL995" s="124"/>
      <c r="DFM995" s="124"/>
      <c r="DFN995" s="124"/>
      <c r="DFO995" s="124"/>
      <c r="DFP995" s="124"/>
      <c r="DFQ995" s="124"/>
      <c r="DFR995" s="124"/>
      <c r="DFS995" s="124"/>
      <c r="DFT995" s="124"/>
      <c r="DFU995" s="124"/>
      <c r="DFV995" s="124"/>
      <c r="DFW995" s="124"/>
      <c r="DFX995" s="124"/>
      <c r="DFY995" s="124"/>
      <c r="DFZ995" s="124"/>
      <c r="DGA995" s="124"/>
      <c r="DGB995" s="124"/>
      <c r="DGC995" s="124"/>
      <c r="DGD995" s="124"/>
      <c r="DGE995" s="124"/>
      <c r="DGF995" s="124"/>
      <c r="DGG995" s="124"/>
      <c r="DGH995" s="124"/>
      <c r="DGI995" s="124"/>
      <c r="DGJ995" s="124"/>
      <c r="DGK995" s="124"/>
      <c r="DGL995" s="124"/>
      <c r="DGM995" s="124"/>
      <c r="DGN995" s="124"/>
      <c r="DGO995" s="124"/>
      <c r="DGP995" s="124"/>
      <c r="DGQ995" s="124"/>
      <c r="DGR995" s="124"/>
      <c r="DGS995" s="124"/>
      <c r="DGT995" s="124"/>
      <c r="DGU995" s="124"/>
      <c r="DGV995" s="124"/>
      <c r="DGW995" s="124"/>
      <c r="DGX995" s="124"/>
      <c r="DGY995" s="124"/>
      <c r="DGZ995" s="124"/>
      <c r="DHA995" s="124"/>
      <c r="DHB995" s="124"/>
      <c r="DHC995" s="124"/>
      <c r="DHD995" s="124"/>
      <c r="DHE995" s="124"/>
      <c r="DHF995" s="124"/>
      <c r="DHG995" s="124"/>
      <c r="DHH995" s="124"/>
      <c r="DHI995" s="124"/>
      <c r="DHJ995" s="124"/>
      <c r="DHK995" s="124"/>
      <c r="DHL995" s="124"/>
      <c r="DHM995" s="124"/>
      <c r="DHN995" s="124"/>
      <c r="DHO995" s="124"/>
      <c r="DHP995" s="124"/>
      <c r="DHQ995" s="124"/>
      <c r="DHR995" s="124"/>
      <c r="DHS995" s="124"/>
      <c r="DHT995" s="124"/>
      <c r="DHU995" s="124"/>
      <c r="DHV995" s="124"/>
      <c r="DHW995" s="124"/>
      <c r="DHX995" s="124"/>
      <c r="DHY995" s="124"/>
      <c r="DHZ995" s="124"/>
      <c r="DIA995" s="124"/>
      <c r="DIB995" s="124"/>
      <c r="DIC995" s="124"/>
      <c r="DID995" s="124"/>
      <c r="DIE995" s="124"/>
      <c r="DIF995" s="124"/>
      <c r="DIG995" s="124"/>
      <c r="DIH995" s="124"/>
      <c r="DII995" s="124"/>
      <c r="DIJ995" s="124"/>
      <c r="DIK995" s="124"/>
      <c r="DIL995" s="124"/>
      <c r="DIM995" s="124"/>
      <c r="DIN995" s="124"/>
      <c r="DIO995" s="124"/>
      <c r="DIP995" s="124"/>
      <c r="DIQ995" s="124"/>
      <c r="DIR995" s="124"/>
      <c r="DIS995" s="124"/>
      <c r="DIT995" s="124"/>
      <c r="DIU995" s="124"/>
      <c r="DIV995" s="124"/>
      <c r="DIW995" s="124"/>
      <c r="DIX995" s="124"/>
      <c r="DIY995" s="124"/>
      <c r="DIZ995" s="124"/>
      <c r="DJA995" s="124"/>
      <c r="DJB995" s="124"/>
      <c r="DJC995" s="124"/>
      <c r="DJD995" s="124"/>
      <c r="DJE995" s="124"/>
      <c r="DJF995" s="124"/>
      <c r="DJG995" s="124"/>
      <c r="DJH995" s="124"/>
      <c r="DJI995" s="124"/>
      <c r="DJJ995" s="124"/>
      <c r="DJK995" s="124"/>
      <c r="DJL995" s="124"/>
      <c r="DJM995" s="124"/>
      <c r="DJN995" s="124"/>
      <c r="DJO995" s="124"/>
      <c r="DJP995" s="124"/>
      <c r="DJQ995" s="124"/>
      <c r="DJR995" s="124"/>
      <c r="DJS995" s="124"/>
      <c r="DJT995" s="124"/>
      <c r="DJU995" s="124"/>
      <c r="DJV995" s="124"/>
      <c r="DJW995" s="124"/>
      <c r="DJX995" s="124"/>
      <c r="DJY995" s="124"/>
      <c r="DJZ995" s="124"/>
      <c r="DKA995" s="124"/>
      <c r="DKB995" s="124"/>
      <c r="DKC995" s="124"/>
      <c r="DKD995" s="124"/>
      <c r="DKE995" s="124"/>
      <c r="DKF995" s="124"/>
      <c r="DKG995" s="124"/>
      <c r="DKH995" s="124"/>
      <c r="DKI995" s="124"/>
      <c r="DKJ995" s="124"/>
      <c r="DKK995" s="124"/>
      <c r="DKL995" s="124"/>
      <c r="DKM995" s="124"/>
      <c r="DKN995" s="124"/>
      <c r="DKO995" s="124"/>
      <c r="DKP995" s="124"/>
      <c r="DKQ995" s="124"/>
      <c r="DKR995" s="124"/>
      <c r="DKS995" s="124"/>
      <c r="DKT995" s="124"/>
      <c r="DKU995" s="124"/>
      <c r="DKV995" s="124"/>
      <c r="DKW995" s="124"/>
      <c r="DKX995" s="124"/>
      <c r="DKY995" s="124"/>
      <c r="DKZ995" s="124"/>
      <c r="DLA995" s="124"/>
      <c r="DLB995" s="124"/>
      <c r="DLC995" s="124"/>
      <c r="DLD995" s="124"/>
      <c r="DLE995" s="124"/>
      <c r="DLF995" s="124"/>
      <c r="DLG995" s="124"/>
      <c r="DLH995" s="124"/>
      <c r="DLI995" s="124"/>
      <c r="DLJ995" s="124"/>
      <c r="DLK995" s="124"/>
      <c r="DLL995" s="124"/>
      <c r="DLM995" s="124"/>
      <c r="DLN995" s="124"/>
      <c r="DLO995" s="124"/>
      <c r="DLP995" s="124"/>
      <c r="DLQ995" s="124"/>
      <c r="DLR995" s="124"/>
      <c r="DLS995" s="124"/>
      <c r="DLT995" s="124"/>
      <c r="DLU995" s="124"/>
      <c r="DLV995" s="124"/>
      <c r="DLW995" s="124"/>
      <c r="DLX995" s="124"/>
      <c r="DLY995" s="124"/>
      <c r="DLZ995" s="124"/>
      <c r="DMA995" s="124"/>
      <c r="DMB995" s="124"/>
      <c r="DMC995" s="124"/>
      <c r="DMD995" s="124"/>
      <c r="DME995" s="124"/>
      <c r="DMF995" s="124"/>
      <c r="DMG995" s="124"/>
      <c r="DMH995" s="124"/>
      <c r="DMI995" s="124"/>
      <c r="DMJ995" s="124"/>
      <c r="DMK995" s="124"/>
      <c r="DML995" s="124"/>
      <c r="DMM995" s="124"/>
      <c r="DMN995" s="124"/>
      <c r="DMO995" s="124"/>
      <c r="DMP995" s="124"/>
      <c r="DMQ995" s="124"/>
      <c r="DMR995" s="124"/>
      <c r="DMS995" s="124"/>
      <c r="DMT995" s="124"/>
      <c r="DMU995" s="124"/>
      <c r="DMV995" s="124"/>
      <c r="DMW995" s="124"/>
      <c r="DMX995" s="124"/>
      <c r="DMY995" s="124"/>
      <c r="DMZ995" s="124"/>
      <c r="DNA995" s="124"/>
      <c r="DNB995" s="124"/>
      <c r="DNC995" s="124"/>
      <c r="DND995" s="124"/>
      <c r="DNE995" s="124"/>
      <c r="DNF995" s="124"/>
      <c r="DNG995" s="124"/>
      <c r="DNH995" s="124"/>
      <c r="DNI995" s="124"/>
      <c r="DNJ995" s="124"/>
      <c r="DNK995" s="124"/>
      <c r="DNL995" s="124"/>
      <c r="DNM995" s="124"/>
      <c r="DNN995" s="124"/>
      <c r="DNO995" s="124"/>
      <c r="DNP995" s="124"/>
      <c r="DNQ995" s="124"/>
      <c r="DNR995" s="124"/>
      <c r="DNS995" s="124"/>
      <c r="DNT995" s="124"/>
      <c r="DNU995" s="124"/>
      <c r="DNV995" s="124"/>
      <c r="DNW995" s="124"/>
      <c r="DNX995" s="124"/>
      <c r="DNY995" s="124"/>
      <c r="DNZ995" s="124"/>
      <c r="DOA995" s="124"/>
      <c r="DOB995" s="124"/>
      <c r="DOC995" s="124"/>
      <c r="DOD995" s="124"/>
      <c r="DOE995" s="124"/>
      <c r="DOF995" s="124"/>
      <c r="DOG995" s="124"/>
      <c r="DOH995" s="124"/>
      <c r="DOI995" s="124"/>
      <c r="DOJ995" s="124"/>
      <c r="DOK995" s="124"/>
      <c r="DOL995" s="124"/>
      <c r="DOM995" s="124"/>
      <c r="DON995" s="124"/>
      <c r="DOO995" s="124"/>
      <c r="DOP995" s="124"/>
      <c r="DOQ995" s="124"/>
      <c r="DOR995" s="124"/>
      <c r="DOS995" s="124"/>
      <c r="DOT995" s="124"/>
      <c r="DOU995" s="124"/>
      <c r="DOV995" s="124"/>
      <c r="DOW995" s="124"/>
      <c r="DOX995" s="124"/>
      <c r="DOY995" s="124"/>
      <c r="DOZ995" s="124"/>
      <c r="DPA995" s="124"/>
      <c r="DPB995" s="124"/>
      <c r="DPC995" s="124"/>
      <c r="DPD995" s="124"/>
      <c r="DPE995" s="124"/>
      <c r="DPF995" s="124"/>
      <c r="DPG995" s="124"/>
      <c r="DPH995" s="124"/>
      <c r="DPI995" s="124"/>
      <c r="DPJ995" s="124"/>
      <c r="DPK995" s="124"/>
      <c r="DPL995" s="124"/>
      <c r="DPM995" s="124"/>
      <c r="DPN995" s="124"/>
      <c r="DPO995" s="124"/>
      <c r="DPP995" s="124"/>
      <c r="DPQ995" s="124"/>
      <c r="DPR995" s="124"/>
      <c r="DPS995" s="124"/>
      <c r="DPT995" s="124"/>
      <c r="DPU995" s="124"/>
      <c r="DPV995" s="124"/>
      <c r="DPW995" s="124"/>
      <c r="DPX995" s="124"/>
      <c r="DPY995" s="124"/>
      <c r="DPZ995" s="124"/>
      <c r="DQA995" s="124"/>
      <c r="DQB995" s="124"/>
      <c r="DQC995" s="124"/>
      <c r="DQD995" s="124"/>
      <c r="DQE995" s="124"/>
      <c r="DQF995" s="124"/>
      <c r="DQG995" s="124"/>
      <c r="DQH995" s="124"/>
      <c r="DQI995" s="124"/>
      <c r="DQJ995" s="124"/>
      <c r="DQK995" s="124"/>
      <c r="DQL995" s="124"/>
      <c r="DQM995" s="124"/>
      <c r="DQN995" s="124"/>
      <c r="DQO995" s="124"/>
      <c r="DQP995" s="124"/>
      <c r="DQQ995" s="124"/>
      <c r="DQR995" s="124"/>
      <c r="DQS995" s="124"/>
      <c r="DQT995" s="124"/>
      <c r="DQU995" s="124"/>
      <c r="DQV995" s="124"/>
      <c r="DQW995" s="124"/>
      <c r="DQX995" s="124"/>
      <c r="DQY995" s="124"/>
      <c r="DQZ995" s="124"/>
      <c r="DRA995" s="124"/>
      <c r="DRB995" s="124"/>
      <c r="DRC995" s="124"/>
      <c r="DRD995" s="124"/>
      <c r="DRE995" s="124"/>
      <c r="DRF995" s="124"/>
      <c r="DRG995" s="124"/>
      <c r="DRH995" s="124"/>
      <c r="DRI995" s="124"/>
      <c r="DRJ995" s="124"/>
      <c r="DRK995" s="124"/>
      <c r="DRL995" s="124"/>
      <c r="DRM995" s="124"/>
      <c r="DRN995" s="124"/>
      <c r="DRO995" s="124"/>
      <c r="DRP995" s="124"/>
      <c r="DRQ995" s="124"/>
      <c r="DRR995" s="124"/>
      <c r="DRS995" s="124"/>
      <c r="DRT995" s="124"/>
      <c r="DRU995" s="124"/>
      <c r="DRV995" s="124"/>
      <c r="DRW995" s="124"/>
      <c r="DRX995" s="124"/>
      <c r="DRY995" s="124"/>
      <c r="DRZ995" s="124"/>
      <c r="DSA995" s="124"/>
      <c r="DSB995" s="124"/>
      <c r="DSC995" s="124"/>
      <c r="DSD995" s="124"/>
      <c r="DSE995" s="124"/>
      <c r="DSF995" s="124"/>
      <c r="DSG995" s="124"/>
      <c r="DSH995" s="124"/>
      <c r="DSI995" s="124"/>
      <c r="DSJ995" s="124"/>
      <c r="DSK995" s="124"/>
      <c r="DSL995" s="124"/>
      <c r="DSM995" s="124"/>
      <c r="DSN995" s="124"/>
      <c r="DSO995" s="124"/>
      <c r="DSP995" s="124"/>
      <c r="DSQ995" s="124"/>
      <c r="DSR995" s="124"/>
      <c r="DSS995" s="124"/>
      <c r="DST995" s="124"/>
      <c r="DSU995" s="124"/>
      <c r="DSV995" s="124"/>
      <c r="DSW995" s="124"/>
      <c r="DSX995" s="124"/>
      <c r="DSY995" s="124"/>
      <c r="DSZ995" s="124"/>
      <c r="DTA995" s="124"/>
      <c r="DTB995" s="124"/>
      <c r="DTC995" s="124"/>
      <c r="DTD995" s="124"/>
      <c r="DTE995" s="124"/>
      <c r="DTF995" s="124"/>
      <c r="DTG995" s="124"/>
      <c r="DTH995" s="124"/>
      <c r="DTI995" s="124"/>
      <c r="DTJ995" s="124"/>
      <c r="DTK995" s="124"/>
      <c r="DTL995" s="124"/>
      <c r="DTM995" s="124"/>
      <c r="DTN995" s="124"/>
      <c r="DTO995" s="124"/>
      <c r="DTP995" s="124"/>
      <c r="DTQ995" s="124"/>
      <c r="DTR995" s="124"/>
      <c r="DTS995" s="124"/>
      <c r="DTT995" s="124"/>
      <c r="DTU995" s="124"/>
      <c r="DTV995" s="124"/>
      <c r="DTW995" s="124"/>
      <c r="DTX995" s="124"/>
      <c r="DTY995" s="124"/>
      <c r="DTZ995" s="124"/>
      <c r="DUA995" s="124"/>
      <c r="DUB995" s="124"/>
      <c r="DUC995" s="124"/>
      <c r="DUD995" s="124"/>
      <c r="DUE995" s="124"/>
      <c r="DUF995" s="124"/>
      <c r="DUG995" s="124"/>
      <c r="DUH995" s="124"/>
      <c r="DUI995" s="124"/>
      <c r="DUJ995" s="124"/>
      <c r="DUK995" s="124"/>
      <c r="DUL995" s="124"/>
      <c r="DUM995" s="124"/>
      <c r="DUN995" s="124"/>
      <c r="DUO995" s="124"/>
      <c r="DUP995" s="124"/>
      <c r="DUQ995" s="124"/>
      <c r="DUR995" s="124"/>
      <c r="DUS995" s="124"/>
      <c r="DUT995" s="124"/>
      <c r="DUU995" s="124"/>
      <c r="DUV995" s="124"/>
      <c r="DUW995" s="124"/>
      <c r="DUX995" s="124"/>
      <c r="DUY995" s="124"/>
      <c r="DUZ995" s="124"/>
      <c r="DVA995" s="124"/>
      <c r="DVB995" s="124"/>
      <c r="DVC995" s="124"/>
      <c r="DVD995" s="124"/>
      <c r="DVE995" s="124"/>
      <c r="DVF995" s="124"/>
      <c r="DVG995" s="124"/>
      <c r="DVH995" s="124"/>
      <c r="DVI995" s="124"/>
      <c r="DVJ995" s="124"/>
      <c r="DVK995" s="124"/>
      <c r="DVL995" s="124"/>
      <c r="DVM995" s="124"/>
      <c r="DVN995" s="124"/>
      <c r="DVO995" s="124"/>
      <c r="DVP995" s="124"/>
      <c r="DVQ995" s="124"/>
      <c r="DVR995" s="124"/>
      <c r="DVS995" s="124"/>
      <c r="DVT995" s="124"/>
      <c r="DVU995" s="124"/>
      <c r="DVV995" s="124"/>
      <c r="DVW995" s="124"/>
      <c r="DVX995" s="124"/>
      <c r="DVY995" s="124"/>
      <c r="DVZ995" s="124"/>
      <c r="DWA995" s="124"/>
      <c r="DWB995" s="124"/>
      <c r="DWC995" s="124"/>
      <c r="DWD995" s="124"/>
      <c r="DWE995" s="124"/>
      <c r="DWF995" s="124"/>
      <c r="DWG995" s="124"/>
      <c r="DWH995" s="124"/>
      <c r="DWI995" s="124"/>
      <c r="DWJ995" s="124"/>
      <c r="DWK995" s="124"/>
      <c r="DWL995" s="124"/>
      <c r="DWM995" s="124"/>
      <c r="DWN995" s="124"/>
      <c r="DWO995" s="124"/>
      <c r="DWP995" s="124"/>
      <c r="DWQ995" s="124"/>
      <c r="DWR995" s="124"/>
      <c r="DWS995" s="124"/>
      <c r="DWT995" s="124"/>
      <c r="DWU995" s="124"/>
      <c r="DWV995" s="124"/>
      <c r="DWW995" s="124"/>
      <c r="DWX995" s="124"/>
      <c r="DWY995" s="124"/>
      <c r="DWZ995" s="124"/>
      <c r="DXA995" s="124"/>
      <c r="DXB995" s="124"/>
      <c r="DXC995" s="124"/>
      <c r="DXD995" s="124"/>
      <c r="DXE995" s="124"/>
      <c r="DXF995" s="124"/>
      <c r="DXG995" s="124"/>
      <c r="DXH995" s="124"/>
      <c r="DXI995" s="124"/>
      <c r="DXJ995" s="124"/>
      <c r="DXK995" s="124"/>
      <c r="DXL995" s="124"/>
      <c r="DXM995" s="124"/>
      <c r="DXN995" s="124"/>
      <c r="DXO995" s="124"/>
      <c r="DXP995" s="124"/>
      <c r="DXQ995" s="124"/>
      <c r="DXR995" s="124"/>
      <c r="DXS995" s="124"/>
      <c r="DXT995" s="124"/>
      <c r="DXU995" s="124"/>
      <c r="DXV995" s="124"/>
      <c r="DXW995" s="124"/>
      <c r="DXX995" s="124"/>
      <c r="DXY995" s="124"/>
      <c r="DXZ995" s="124"/>
      <c r="DYA995" s="124"/>
      <c r="DYB995" s="124"/>
      <c r="DYC995" s="124"/>
      <c r="DYD995" s="124"/>
      <c r="DYE995" s="124"/>
      <c r="DYF995" s="124"/>
      <c r="DYG995" s="124"/>
      <c r="DYH995" s="124"/>
      <c r="DYI995" s="124"/>
      <c r="DYJ995" s="124"/>
      <c r="DYK995" s="124"/>
      <c r="DYL995" s="124"/>
      <c r="DYM995" s="124"/>
      <c r="DYN995" s="124"/>
      <c r="DYO995" s="124"/>
      <c r="DYP995" s="124"/>
      <c r="DYQ995" s="124"/>
      <c r="DYR995" s="124"/>
      <c r="DYS995" s="124"/>
      <c r="DYT995" s="124"/>
      <c r="DYU995" s="124"/>
      <c r="DYV995" s="124"/>
      <c r="DYW995" s="124"/>
      <c r="DYX995" s="124"/>
      <c r="DYY995" s="124"/>
      <c r="DYZ995" s="124"/>
      <c r="DZA995" s="124"/>
      <c r="DZB995" s="124"/>
      <c r="DZC995" s="124"/>
      <c r="DZD995" s="124"/>
      <c r="DZE995" s="124"/>
      <c r="DZF995" s="124"/>
      <c r="DZG995" s="124"/>
      <c r="DZH995" s="124"/>
      <c r="DZI995" s="124"/>
      <c r="DZJ995" s="124"/>
      <c r="DZK995" s="124"/>
      <c r="DZL995" s="124"/>
      <c r="DZM995" s="124"/>
      <c r="DZN995" s="124"/>
      <c r="DZO995" s="124"/>
      <c r="DZP995" s="124"/>
      <c r="DZQ995" s="124"/>
      <c r="DZR995" s="124"/>
      <c r="DZS995" s="124"/>
      <c r="DZT995" s="124"/>
      <c r="DZU995" s="124"/>
      <c r="DZV995" s="124"/>
      <c r="DZW995" s="124"/>
      <c r="DZX995" s="124"/>
      <c r="DZY995" s="124"/>
      <c r="DZZ995" s="124"/>
      <c r="EAA995" s="124"/>
      <c r="EAB995" s="124"/>
      <c r="EAC995" s="124"/>
      <c r="EAD995" s="124"/>
      <c r="EAE995" s="124"/>
      <c r="EAF995" s="124"/>
      <c r="EAG995" s="124"/>
      <c r="EAH995" s="124"/>
      <c r="EAI995" s="124"/>
      <c r="EAJ995" s="124"/>
      <c r="EAK995" s="124"/>
      <c r="EAL995" s="124"/>
      <c r="EAM995" s="124"/>
      <c r="EAN995" s="124"/>
      <c r="EAO995" s="124"/>
      <c r="EAP995" s="124"/>
      <c r="EAQ995" s="124"/>
      <c r="EAR995" s="124"/>
      <c r="EAS995" s="124"/>
      <c r="EAT995" s="124"/>
      <c r="EAU995" s="124"/>
      <c r="EAV995" s="124"/>
      <c r="EAW995" s="124"/>
      <c r="EAX995" s="124"/>
      <c r="EAY995" s="124"/>
      <c r="EAZ995" s="124"/>
      <c r="EBA995" s="124"/>
      <c r="EBB995" s="124"/>
      <c r="EBC995" s="124"/>
      <c r="EBD995" s="124"/>
      <c r="EBE995" s="124"/>
      <c r="EBF995" s="124"/>
      <c r="EBG995" s="124"/>
      <c r="EBH995" s="124"/>
      <c r="EBI995" s="124"/>
      <c r="EBJ995" s="124"/>
      <c r="EBK995" s="124"/>
      <c r="EBL995" s="124"/>
      <c r="EBM995" s="124"/>
      <c r="EBN995" s="124"/>
      <c r="EBO995" s="124"/>
      <c r="EBP995" s="124"/>
      <c r="EBQ995" s="124"/>
      <c r="EBR995" s="124"/>
      <c r="EBS995" s="124"/>
      <c r="EBT995" s="124"/>
      <c r="EBU995" s="124"/>
      <c r="EBV995" s="124"/>
      <c r="EBW995" s="124"/>
      <c r="EBX995" s="124"/>
      <c r="EBY995" s="124"/>
      <c r="EBZ995" s="124"/>
      <c r="ECA995" s="124"/>
      <c r="ECB995" s="124"/>
      <c r="ECC995" s="124"/>
      <c r="ECD995" s="124"/>
      <c r="ECE995" s="124"/>
      <c r="ECF995" s="124"/>
      <c r="ECG995" s="124"/>
      <c r="ECH995" s="124"/>
      <c r="ECI995" s="124"/>
      <c r="ECJ995" s="124"/>
      <c r="ECK995" s="124"/>
      <c r="ECL995" s="124"/>
      <c r="ECM995" s="124"/>
      <c r="ECN995" s="124"/>
      <c r="ECO995" s="124"/>
      <c r="ECP995" s="124"/>
      <c r="ECQ995" s="124"/>
      <c r="ECR995" s="124"/>
      <c r="ECS995" s="124"/>
      <c r="ECT995" s="124"/>
      <c r="ECU995" s="124"/>
      <c r="ECV995" s="124"/>
      <c r="ECW995" s="124"/>
      <c r="ECX995" s="124"/>
      <c r="ECY995" s="124"/>
      <c r="ECZ995" s="124"/>
      <c r="EDA995" s="124"/>
      <c r="EDB995" s="124"/>
      <c r="EDC995" s="124"/>
      <c r="EDD995" s="124"/>
      <c r="EDE995" s="124"/>
      <c r="EDF995" s="124"/>
      <c r="EDG995" s="124"/>
      <c r="EDH995" s="124"/>
      <c r="EDI995" s="124"/>
      <c r="EDJ995" s="124"/>
      <c r="EDK995" s="124"/>
      <c r="EDL995" s="124"/>
      <c r="EDM995" s="124"/>
      <c r="EDN995" s="124"/>
      <c r="EDO995" s="124"/>
      <c r="EDP995" s="124"/>
      <c r="EDQ995" s="124"/>
      <c r="EDR995" s="124"/>
      <c r="EDS995" s="124"/>
      <c r="EDT995" s="124"/>
      <c r="EDU995" s="124"/>
      <c r="EDV995" s="124"/>
      <c r="EDW995" s="124"/>
      <c r="EDX995" s="124"/>
      <c r="EDY995" s="124"/>
      <c r="EDZ995" s="124"/>
      <c r="EEA995" s="124"/>
      <c r="EEB995" s="124"/>
      <c r="EEC995" s="124"/>
      <c r="EED995" s="124"/>
      <c r="EEE995" s="124"/>
      <c r="EEF995" s="124"/>
      <c r="EEG995" s="124"/>
      <c r="EEH995" s="124"/>
      <c r="EEI995" s="124"/>
      <c r="EEJ995" s="124"/>
      <c r="EEK995" s="124"/>
      <c r="EEL995" s="124"/>
      <c r="EEM995" s="124"/>
      <c r="EEN995" s="124"/>
      <c r="EEO995" s="124"/>
      <c r="EEP995" s="124"/>
      <c r="EEQ995" s="124"/>
      <c r="EER995" s="124"/>
      <c r="EES995" s="124"/>
      <c r="EET995" s="124"/>
      <c r="EEU995" s="124"/>
      <c r="EEV995" s="124"/>
      <c r="EEW995" s="124"/>
      <c r="EEX995" s="124"/>
      <c r="EEY995" s="124"/>
      <c r="EEZ995" s="124"/>
      <c r="EFA995" s="124"/>
      <c r="EFB995" s="124"/>
      <c r="EFC995" s="124"/>
      <c r="EFD995" s="124"/>
      <c r="EFE995" s="124"/>
      <c r="EFF995" s="124"/>
      <c r="EFG995" s="124"/>
      <c r="EFH995" s="124"/>
      <c r="EFI995" s="124"/>
      <c r="EFJ995" s="124"/>
      <c r="EFK995" s="124"/>
      <c r="EFL995" s="124"/>
      <c r="EFM995" s="124"/>
      <c r="EFN995" s="124"/>
      <c r="EFO995" s="124"/>
      <c r="EFP995" s="124"/>
      <c r="EFQ995" s="124"/>
      <c r="EFR995" s="124"/>
      <c r="EFS995" s="124"/>
      <c r="EFT995" s="124"/>
      <c r="EFU995" s="124"/>
      <c r="EFV995" s="124"/>
      <c r="EFW995" s="124"/>
      <c r="EFX995" s="124"/>
      <c r="EFY995" s="124"/>
      <c r="EFZ995" s="124"/>
      <c r="EGA995" s="124"/>
      <c r="EGB995" s="124"/>
      <c r="EGC995" s="124"/>
      <c r="EGD995" s="124"/>
      <c r="EGE995" s="124"/>
      <c r="EGF995" s="124"/>
      <c r="EGG995" s="124"/>
      <c r="EGH995" s="124"/>
      <c r="EGI995" s="124"/>
      <c r="EGJ995" s="124"/>
      <c r="EGK995" s="124"/>
      <c r="EGL995" s="124"/>
      <c r="EGM995" s="124"/>
      <c r="EGN995" s="124"/>
      <c r="EGO995" s="124"/>
      <c r="EGP995" s="124"/>
      <c r="EGQ995" s="124"/>
      <c r="EGR995" s="124"/>
      <c r="EGS995" s="124"/>
      <c r="EGT995" s="124"/>
      <c r="EGU995" s="124"/>
      <c r="EGV995" s="124"/>
      <c r="EGW995" s="124"/>
      <c r="EGX995" s="124"/>
      <c r="EGY995" s="124"/>
      <c r="EGZ995" s="124"/>
      <c r="EHA995" s="124"/>
      <c r="EHB995" s="124"/>
      <c r="EHC995" s="124"/>
      <c r="EHD995" s="124"/>
      <c r="EHE995" s="124"/>
      <c r="EHF995" s="124"/>
      <c r="EHG995" s="124"/>
      <c r="EHH995" s="124"/>
      <c r="EHI995" s="124"/>
      <c r="EHJ995" s="124"/>
      <c r="EHK995" s="124"/>
      <c r="EHL995" s="124"/>
      <c r="EHM995" s="124"/>
      <c r="EHN995" s="124"/>
      <c r="EHO995" s="124"/>
      <c r="EHP995" s="124"/>
      <c r="EHQ995" s="124"/>
      <c r="EHR995" s="124"/>
      <c r="EHS995" s="124"/>
      <c r="EHT995" s="124"/>
      <c r="EHU995" s="124"/>
      <c r="EHV995" s="124"/>
      <c r="EHW995" s="124"/>
      <c r="EHX995" s="124"/>
      <c r="EHY995" s="124"/>
      <c r="EHZ995" s="124"/>
      <c r="EIA995" s="124"/>
      <c r="EIB995" s="124"/>
      <c r="EIC995" s="124"/>
      <c r="EID995" s="124"/>
      <c r="EIE995" s="124"/>
      <c r="EIF995" s="124"/>
      <c r="EIG995" s="124"/>
      <c r="EIH995" s="124"/>
      <c r="EII995" s="124"/>
      <c r="EIJ995" s="124"/>
      <c r="EIK995" s="124"/>
      <c r="EIL995" s="124"/>
      <c r="EIM995" s="124"/>
      <c r="EIN995" s="124"/>
      <c r="EIO995" s="124"/>
      <c r="EIP995" s="124"/>
      <c r="EIQ995" s="124"/>
      <c r="EIR995" s="124"/>
      <c r="EIS995" s="124"/>
      <c r="EIT995" s="124"/>
      <c r="EIU995" s="124"/>
      <c r="EIV995" s="124"/>
      <c r="EIW995" s="124"/>
      <c r="EIX995" s="124"/>
      <c r="EIY995" s="124"/>
      <c r="EIZ995" s="124"/>
      <c r="EJA995" s="124"/>
      <c r="EJB995" s="124"/>
      <c r="EJC995" s="124"/>
      <c r="EJD995" s="124"/>
      <c r="EJE995" s="124"/>
      <c r="EJF995" s="124"/>
      <c r="EJG995" s="124"/>
      <c r="EJH995" s="124"/>
      <c r="EJI995" s="124"/>
      <c r="EJJ995" s="124"/>
      <c r="EJK995" s="124"/>
      <c r="EJL995" s="124"/>
      <c r="EJM995" s="124"/>
      <c r="EJN995" s="124"/>
      <c r="EJO995" s="124"/>
      <c r="EJP995" s="124"/>
      <c r="EJQ995" s="124"/>
      <c r="EJR995" s="124"/>
      <c r="EJS995" s="124"/>
      <c r="EJT995" s="124"/>
      <c r="EJU995" s="124"/>
      <c r="EJV995" s="124"/>
      <c r="EJW995" s="124"/>
      <c r="EJX995" s="124"/>
      <c r="EJY995" s="124"/>
      <c r="EJZ995" s="124"/>
      <c r="EKA995" s="124"/>
      <c r="EKB995" s="124"/>
      <c r="EKC995" s="124"/>
      <c r="EKD995" s="124"/>
      <c r="EKE995" s="124"/>
      <c r="EKF995" s="124"/>
      <c r="EKG995" s="124"/>
      <c r="EKH995" s="124"/>
      <c r="EKI995" s="124"/>
      <c r="EKJ995" s="124"/>
      <c r="EKK995" s="124"/>
      <c r="EKL995" s="124"/>
      <c r="EKM995" s="124"/>
      <c r="EKN995" s="124"/>
      <c r="EKO995" s="124"/>
      <c r="EKP995" s="124"/>
      <c r="EKQ995" s="124"/>
      <c r="EKR995" s="124"/>
      <c r="EKS995" s="124"/>
      <c r="EKT995" s="124"/>
      <c r="EKU995" s="124"/>
      <c r="EKV995" s="124"/>
      <c r="EKW995" s="124"/>
      <c r="EKX995" s="124"/>
      <c r="EKY995" s="124"/>
      <c r="EKZ995" s="124"/>
      <c r="ELA995" s="124"/>
      <c r="ELB995" s="124"/>
      <c r="ELC995" s="124"/>
      <c r="ELD995" s="124"/>
      <c r="ELE995" s="124"/>
      <c r="ELF995" s="124"/>
      <c r="ELG995" s="124"/>
      <c r="ELH995" s="124"/>
      <c r="ELI995" s="124"/>
      <c r="ELJ995" s="124"/>
      <c r="ELK995" s="124"/>
      <c r="ELL995" s="124"/>
      <c r="ELM995" s="124"/>
      <c r="ELN995" s="124"/>
      <c r="ELO995" s="124"/>
      <c r="ELP995" s="124"/>
      <c r="ELQ995" s="124"/>
      <c r="ELR995" s="124"/>
      <c r="ELS995" s="124"/>
      <c r="ELT995" s="124"/>
      <c r="ELU995" s="124"/>
      <c r="ELV995" s="124"/>
      <c r="ELW995" s="124"/>
      <c r="ELX995" s="124"/>
      <c r="ELY995" s="124"/>
      <c r="ELZ995" s="124"/>
      <c r="EMA995" s="124"/>
      <c r="EMB995" s="124"/>
      <c r="EMC995" s="124"/>
      <c r="EMD995" s="124"/>
      <c r="EME995" s="124"/>
      <c r="EMF995" s="124"/>
      <c r="EMG995" s="124"/>
      <c r="EMH995" s="124"/>
      <c r="EMI995" s="124"/>
      <c r="EMJ995" s="124"/>
      <c r="EMK995" s="124"/>
      <c r="EML995" s="124"/>
      <c r="EMM995" s="124"/>
      <c r="EMN995" s="124"/>
      <c r="EMO995" s="124"/>
      <c r="EMP995" s="124"/>
      <c r="EMQ995" s="124"/>
      <c r="EMR995" s="124"/>
      <c r="EMS995" s="124"/>
      <c r="EMT995" s="124"/>
      <c r="EMU995" s="124"/>
      <c r="EMV995" s="124"/>
      <c r="EMW995" s="124"/>
      <c r="EMX995" s="124"/>
      <c r="EMY995" s="124"/>
      <c r="EMZ995" s="124"/>
      <c r="ENA995" s="124"/>
      <c r="ENB995" s="124"/>
      <c r="ENC995" s="124"/>
      <c r="END995" s="124"/>
      <c r="ENE995" s="124"/>
      <c r="ENF995" s="124"/>
      <c r="ENG995" s="124"/>
      <c r="ENH995" s="124"/>
      <c r="ENI995" s="124"/>
      <c r="ENJ995" s="124"/>
      <c r="ENK995" s="124"/>
      <c r="ENL995" s="124"/>
      <c r="ENM995" s="124"/>
      <c r="ENN995" s="124"/>
      <c r="ENO995" s="124"/>
      <c r="ENP995" s="124"/>
      <c r="ENQ995" s="124"/>
      <c r="ENR995" s="124"/>
      <c r="ENS995" s="124"/>
      <c r="ENT995" s="124"/>
      <c r="ENU995" s="124"/>
      <c r="ENV995" s="124"/>
      <c r="ENW995" s="124"/>
      <c r="ENX995" s="124"/>
      <c r="ENY995" s="124"/>
      <c r="ENZ995" s="124"/>
      <c r="EOA995" s="124"/>
      <c r="EOB995" s="124"/>
      <c r="EOC995" s="124"/>
      <c r="EOD995" s="124"/>
      <c r="EOE995" s="124"/>
      <c r="EOF995" s="124"/>
      <c r="EOG995" s="124"/>
      <c r="EOH995" s="124"/>
      <c r="EOI995" s="124"/>
      <c r="EOJ995" s="124"/>
      <c r="EOK995" s="124"/>
      <c r="EOL995" s="124"/>
      <c r="EOM995" s="124"/>
      <c r="EON995" s="124"/>
      <c r="EOO995" s="124"/>
      <c r="EOP995" s="124"/>
      <c r="EOQ995" s="124"/>
      <c r="EOR995" s="124"/>
      <c r="EOS995" s="124"/>
      <c r="EOT995" s="124"/>
      <c r="EOU995" s="124"/>
      <c r="EOV995" s="124"/>
      <c r="EOW995" s="124"/>
      <c r="EOX995" s="124"/>
      <c r="EOY995" s="124"/>
      <c r="EOZ995" s="124"/>
      <c r="EPA995" s="124"/>
      <c r="EPB995" s="124"/>
      <c r="EPC995" s="124"/>
      <c r="EPD995" s="124"/>
      <c r="EPE995" s="124"/>
      <c r="EPF995" s="124"/>
      <c r="EPG995" s="124"/>
      <c r="EPH995" s="124"/>
      <c r="EPI995" s="124"/>
      <c r="EPJ995" s="124"/>
      <c r="EPK995" s="124"/>
      <c r="EPL995" s="124"/>
      <c r="EPM995" s="124"/>
      <c r="EPN995" s="124"/>
      <c r="EPO995" s="124"/>
      <c r="EPP995" s="124"/>
      <c r="EPQ995" s="124"/>
      <c r="EPR995" s="124"/>
      <c r="EPS995" s="124"/>
      <c r="EPT995" s="124"/>
      <c r="EPU995" s="124"/>
      <c r="EPV995" s="124"/>
      <c r="EPW995" s="124"/>
      <c r="EPX995" s="124"/>
      <c r="EPY995" s="124"/>
      <c r="EPZ995" s="124"/>
      <c r="EQA995" s="124"/>
      <c r="EQB995" s="124"/>
      <c r="EQC995" s="124"/>
      <c r="EQD995" s="124"/>
      <c r="EQE995" s="124"/>
      <c r="EQF995" s="124"/>
      <c r="EQG995" s="124"/>
      <c r="EQH995" s="124"/>
      <c r="EQI995" s="124"/>
      <c r="EQJ995" s="124"/>
      <c r="EQK995" s="124"/>
      <c r="EQL995" s="124"/>
      <c r="EQM995" s="124"/>
      <c r="EQN995" s="124"/>
      <c r="EQO995" s="124"/>
      <c r="EQP995" s="124"/>
      <c r="EQQ995" s="124"/>
      <c r="EQR995" s="124"/>
      <c r="EQS995" s="124"/>
      <c r="EQT995" s="124"/>
      <c r="EQU995" s="124"/>
      <c r="EQV995" s="124"/>
      <c r="EQW995" s="124"/>
      <c r="EQX995" s="124"/>
      <c r="EQY995" s="124"/>
      <c r="EQZ995" s="124"/>
      <c r="ERA995" s="124"/>
      <c r="ERB995" s="124"/>
      <c r="ERC995" s="124"/>
      <c r="ERD995" s="124"/>
      <c r="ERE995" s="124"/>
      <c r="ERF995" s="124"/>
      <c r="ERG995" s="124"/>
      <c r="ERH995" s="124"/>
      <c r="ERI995" s="124"/>
      <c r="ERJ995" s="124"/>
      <c r="ERK995" s="124"/>
      <c r="ERL995" s="124"/>
      <c r="ERM995" s="124"/>
      <c r="ERN995" s="124"/>
      <c r="ERO995" s="124"/>
      <c r="ERP995" s="124"/>
      <c r="ERQ995" s="124"/>
      <c r="ERR995" s="124"/>
      <c r="ERS995" s="124"/>
      <c r="ERT995" s="124"/>
      <c r="ERU995" s="124"/>
      <c r="ERV995" s="124"/>
      <c r="ERW995" s="124"/>
      <c r="ERX995" s="124"/>
      <c r="ERY995" s="124"/>
      <c r="ERZ995" s="124"/>
      <c r="ESA995" s="124"/>
      <c r="ESB995" s="124"/>
      <c r="ESC995" s="124"/>
      <c r="ESD995" s="124"/>
      <c r="ESE995" s="124"/>
      <c r="ESF995" s="124"/>
      <c r="ESG995" s="124"/>
      <c r="ESH995" s="124"/>
      <c r="ESI995" s="124"/>
      <c r="ESJ995" s="124"/>
      <c r="ESK995" s="124"/>
      <c r="ESL995" s="124"/>
      <c r="ESM995" s="124"/>
      <c r="ESN995" s="124"/>
      <c r="ESO995" s="124"/>
      <c r="ESP995" s="124"/>
      <c r="ESQ995" s="124"/>
      <c r="ESR995" s="124"/>
      <c r="ESS995" s="124"/>
      <c r="EST995" s="124"/>
      <c r="ESU995" s="124"/>
      <c r="ESV995" s="124"/>
      <c r="ESW995" s="124"/>
      <c r="ESX995" s="124"/>
      <c r="ESY995" s="124"/>
      <c r="ESZ995" s="124"/>
      <c r="ETA995" s="124"/>
      <c r="ETB995" s="124"/>
      <c r="ETC995" s="124"/>
      <c r="ETD995" s="124"/>
      <c r="ETE995" s="124"/>
      <c r="ETF995" s="124"/>
      <c r="ETG995" s="124"/>
      <c r="ETH995" s="124"/>
      <c r="ETI995" s="124"/>
      <c r="ETJ995" s="124"/>
      <c r="ETK995" s="124"/>
      <c r="ETL995" s="124"/>
      <c r="ETM995" s="124"/>
      <c r="ETN995" s="124"/>
      <c r="ETO995" s="124"/>
      <c r="ETP995" s="124"/>
      <c r="ETQ995" s="124"/>
      <c r="ETR995" s="124"/>
      <c r="ETS995" s="124"/>
      <c r="ETT995" s="124"/>
      <c r="ETU995" s="124"/>
      <c r="ETV995" s="124"/>
      <c r="ETW995" s="124"/>
      <c r="ETX995" s="124"/>
      <c r="ETY995" s="124"/>
      <c r="ETZ995" s="124"/>
      <c r="EUA995" s="124"/>
      <c r="EUB995" s="124"/>
      <c r="EUC995" s="124"/>
      <c r="EUD995" s="124"/>
      <c r="EUE995" s="124"/>
      <c r="EUF995" s="124"/>
      <c r="EUG995" s="124"/>
      <c r="EUH995" s="124"/>
      <c r="EUI995" s="124"/>
      <c r="EUJ995" s="124"/>
      <c r="EUK995" s="124"/>
      <c r="EUL995" s="124"/>
      <c r="EUM995" s="124"/>
      <c r="EUN995" s="124"/>
      <c r="EUO995" s="124"/>
      <c r="EUP995" s="124"/>
      <c r="EUQ995" s="124"/>
      <c r="EUR995" s="124"/>
      <c r="EUS995" s="124"/>
      <c r="EUT995" s="124"/>
      <c r="EUU995" s="124"/>
      <c r="EUV995" s="124"/>
      <c r="EUW995" s="124"/>
      <c r="EUX995" s="124"/>
      <c r="EUY995" s="124"/>
      <c r="EUZ995" s="124"/>
      <c r="EVA995" s="124"/>
      <c r="EVB995" s="124"/>
      <c r="EVC995" s="124"/>
      <c r="EVD995" s="124"/>
      <c r="EVE995" s="124"/>
      <c r="EVF995" s="124"/>
      <c r="EVG995" s="124"/>
      <c r="EVH995" s="124"/>
      <c r="EVI995" s="124"/>
      <c r="EVJ995" s="124"/>
      <c r="EVK995" s="124"/>
      <c r="EVL995" s="124"/>
      <c r="EVM995" s="124"/>
      <c r="EVN995" s="124"/>
      <c r="EVO995" s="124"/>
      <c r="EVP995" s="124"/>
      <c r="EVQ995" s="124"/>
      <c r="EVR995" s="124"/>
      <c r="EVS995" s="124"/>
      <c r="EVT995" s="124"/>
      <c r="EVU995" s="124"/>
      <c r="EVV995" s="124"/>
      <c r="EVW995" s="124"/>
      <c r="EVX995" s="124"/>
      <c r="EVY995" s="124"/>
      <c r="EVZ995" s="124"/>
      <c r="EWA995" s="124"/>
      <c r="EWB995" s="124"/>
      <c r="EWC995" s="124"/>
      <c r="EWD995" s="124"/>
      <c r="EWE995" s="124"/>
      <c r="EWF995" s="124"/>
      <c r="EWG995" s="124"/>
      <c r="EWH995" s="124"/>
      <c r="EWI995" s="124"/>
      <c r="EWJ995" s="124"/>
      <c r="EWK995" s="124"/>
      <c r="EWL995" s="124"/>
      <c r="EWM995" s="124"/>
      <c r="EWN995" s="124"/>
      <c r="EWO995" s="124"/>
      <c r="EWP995" s="124"/>
      <c r="EWQ995" s="124"/>
      <c r="EWR995" s="124"/>
      <c r="EWS995" s="124"/>
      <c r="EWT995" s="124"/>
      <c r="EWU995" s="124"/>
      <c r="EWV995" s="124"/>
      <c r="EWW995" s="124"/>
      <c r="EWX995" s="124"/>
      <c r="EWY995" s="124"/>
      <c r="EWZ995" s="124"/>
      <c r="EXA995" s="124"/>
      <c r="EXB995" s="124"/>
      <c r="EXC995" s="124"/>
      <c r="EXD995" s="124"/>
      <c r="EXE995" s="124"/>
      <c r="EXF995" s="124"/>
      <c r="EXG995" s="124"/>
      <c r="EXH995" s="124"/>
      <c r="EXI995" s="124"/>
      <c r="EXJ995" s="124"/>
      <c r="EXK995" s="124"/>
      <c r="EXL995" s="124"/>
      <c r="EXM995" s="124"/>
      <c r="EXN995" s="124"/>
      <c r="EXO995" s="124"/>
      <c r="EXP995" s="124"/>
      <c r="EXQ995" s="124"/>
      <c r="EXR995" s="124"/>
      <c r="EXS995" s="124"/>
      <c r="EXT995" s="124"/>
      <c r="EXU995" s="124"/>
      <c r="EXV995" s="124"/>
      <c r="EXW995" s="124"/>
      <c r="EXX995" s="124"/>
      <c r="EXY995" s="124"/>
      <c r="EXZ995" s="124"/>
      <c r="EYA995" s="124"/>
      <c r="EYB995" s="124"/>
      <c r="EYC995" s="124"/>
      <c r="EYD995" s="124"/>
      <c r="EYE995" s="124"/>
      <c r="EYF995" s="124"/>
      <c r="EYG995" s="124"/>
      <c r="EYH995" s="124"/>
      <c r="EYI995" s="124"/>
      <c r="EYJ995" s="124"/>
      <c r="EYK995" s="124"/>
      <c r="EYL995" s="124"/>
      <c r="EYM995" s="124"/>
      <c r="EYN995" s="124"/>
      <c r="EYO995" s="124"/>
      <c r="EYP995" s="124"/>
      <c r="EYQ995" s="124"/>
      <c r="EYR995" s="124"/>
      <c r="EYS995" s="124"/>
      <c r="EYT995" s="124"/>
      <c r="EYU995" s="124"/>
      <c r="EYV995" s="124"/>
      <c r="EYW995" s="124"/>
      <c r="EYX995" s="124"/>
      <c r="EYY995" s="124"/>
      <c r="EYZ995" s="124"/>
      <c r="EZA995" s="124"/>
      <c r="EZB995" s="124"/>
      <c r="EZC995" s="124"/>
      <c r="EZD995" s="124"/>
      <c r="EZE995" s="124"/>
      <c r="EZF995" s="124"/>
      <c r="EZG995" s="124"/>
      <c r="EZH995" s="124"/>
      <c r="EZI995" s="124"/>
      <c r="EZJ995" s="124"/>
      <c r="EZK995" s="124"/>
      <c r="EZL995" s="124"/>
      <c r="EZM995" s="124"/>
      <c r="EZN995" s="124"/>
      <c r="EZO995" s="124"/>
      <c r="EZP995" s="124"/>
      <c r="EZQ995" s="124"/>
      <c r="EZR995" s="124"/>
      <c r="EZS995" s="124"/>
      <c r="EZT995" s="124"/>
      <c r="EZU995" s="124"/>
      <c r="EZV995" s="124"/>
      <c r="EZW995" s="124"/>
      <c r="EZX995" s="124"/>
      <c r="EZY995" s="124"/>
      <c r="EZZ995" s="124"/>
      <c r="FAA995" s="124"/>
      <c r="FAB995" s="124"/>
      <c r="FAC995" s="124"/>
      <c r="FAD995" s="124"/>
      <c r="FAE995" s="124"/>
      <c r="FAF995" s="124"/>
      <c r="FAG995" s="124"/>
      <c r="FAH995" s="124"/>
      <c r="FAI995" s="124"/>
      <c r="FAJ995" s="124"/>
      <c r="FAK995" s="124"/>
      <c r="FAL995" s="124"/>
      <c r="FAM995" s="124"/>
      <c r="FAN995" s="124"/>
      <c r="FAO995" s="124"/>
      <c r="FAP995" s="124"/>
      <c r="FAQ995" s="124"/>
      <c r="FAR995" s="124"/>
      <c r="FAS995" s="124"/>
      <c r="FAT995" s="124"/>
      <c r="FAU995" s="124"/>
      <c r="FAV995" s="124"/>
      <c r="FAW995" s="124"/>
      <c r="FAX995" s="124"/>
      <c r="FAY995" s="124"/>
      <c r="FAZ995" s="124"/>
      <c r="FBA995" s="124"/>
      <c r="FBB995" s="124"/>
      <c r="FBC995" s="124"/>
      <c r="FBD995" s="124"/>
      <c r="FBE995" s="124"/>
      <c r="FBF995" s="124"/>
      <c r="FBG995" s="124"/>
      <c r="FBH995" s="124"/>
      <c r="FBI995" s="124"/>
      <c r="FBJ995" s="124"/>
      <c r="FBK995" s="124"/>
      <c r="FBL995" s="124"/>
      <c r="FBM995" s="124"/>
      <c r="FBN995" s="124"/>
      <c r="FBO995" s="124"/>
      <c r="FBP995" s="124"/>
      <c r="FBQ995" s="124"/>
      <c r="FBR995" s="124"/>
      <c r="FBS995" s="124"/>
      <c r="FBT995" s="124"/>
      <c r="FBU995" s="124"/>
      <c r="FBV995" s="124"/>
      <c r="FBW995" s="124"/>
      <c r="FBX995" s="124"/>
      <c r="FBY995" s="124"/>
      <c r="FBZ995" s="124"/>
      <c r="FCA995" s="124"/>
      <c r="FCB995" s="124"/>
      <c r="FCC995" s="124"/>
      <c r="FCD995" s="124"/>
      <c r="FCE995" s="124"/>
      <c r="FCF995" s="124"/>
      <c r="FCG995" s="124"/>
      <c r="FCH995" s="124"/>
      <c r="FCI995" s="124"/>
      <c r="FCJ995" s="124"/>
      <c r="FCK995" s="124"/>
      <c r="FCL995" s="124"/>
      <c r="FCM995" s="124"/>
      <c r="FCN995" s="124"/>
      <c r="FCO995" s="124"/>
      <c r="FCP995" s="124"/>
      <c r="FCQ995" s="124"/>
      <c r="FCR995" s="124"/>
      <c r="FCS995" s="124"/>
      <c r="FCT995" s="124"/>
      <c r="FCU995" s="124"/>
      <c r="FCV995" s="124"/>
      <c r="FCW995" s="124"/>
      <c r="FCX995" s="124"/>
      <c r="FCY995" s="124"/>
      <c r="FCZ995" s="124"/>
      <c r="FDA995" s="124"/>
      <c r="FDB995" s="124"/>
      <c r="FDC995" s="124"/>
      <c r="FDD995" s="124"/>
      <c r="FDE995" s="124"/>
      <c r="FDF995" s="124"/>
      <c r="FDG995" s="124"/>
      <c r="FDH995" s="124"/>
      <c r="FDI995" s="124"/>
      <c r="FDJ995" s="124"/>
      <c r="FDK995" s="124"/>
      <c r="FDL995" s="124"/>
      <c r="FDM995" s="124"/>
      <c r="FDN995" s="124"/>
      <c r="FDO995" s="124"/>
      <c r="FDP995" s="124"/>
      <c r="FDQ995" s="124"/>
      <c r="FDR995" s="124"/>
      <c r="FDS995" s="124"/>
      <c r="FDT995" s="124"/>
      <c r="FDU995" s="124"/>
      <c r="FDV995" s="124"/>
      <c r="FDW995" s="124"/>
      <c r="FDX995" s="124"/>
      <c r="FDY995" s="124"/>
      <c r="FDZ995" s="124"/>
      <c r="FEA995" s="124"/>
      <c r="FEB995" s="124"/>
      <c r="FEC995" s="124"/>
      <c r="FED995" s="124"/>
      <c r="FEE995" s="124"/>
      <c r="FEF995" s="124"/>
      <c r="FEG995" s="124"/>
      <c r="FEH995" s="124"/>
      <c r="FEI995" s="124"/>
      <c r="FEJ995" s="124"/>
      <c r="FEK995" s="124"/>
      <c r="FEL995" s="124"/>
      <c r="FEM995" s="124"/>
      <c r="FEN995" s="124"/>
      <c r="FEO995" s="124"/>
      <c r="FEP995" s="124"/>
      <c r="FEQ995" s="124"/>
      <c r="FER995" s="124"/>
      <c r="FES995" s="124"/>
      <c r="FET995" s="124"/>
      <c r="FEU995" s="124"/>
      <c r="FEV995" s="124"/>
      <c r="FEW995" s="124"/>
      <c r="FEX995" s="124"/>
      <c r="FEY995" s="124"/>
      <c r="FEZ995" s="124"/>
      <c r="FFA995" s="124"/>
      <c r="FFB995" s="124"/>
      <c r="FFC995" s="124"/>
      <c r="FFD995" s="124"/>
      <c r="FFE995" s="124"/>
      <c r="FFF995" s="124"/>
      <c r="FFG995" s="124"/>
      <c r="FFH995" s="124"/>
      <c r="FFI995" s="124"/>
      <c r="FFJ995" s="124"/>
      <c r="FFK995" s="124"/>
      <c r="FFL995" s="124"/>
      <c r="FFM995" s="124"/>
      <c r="FFN995" s="124"/>
      <c r="FFO995" s="124"/>
      <c r="FFP995" s="124"/>
      <c r="FFQ995" s="124"/>
      <c r="FFR995" s="124"/>
      <c r="FFS995" s="124"/>
      <c r="FFT995" s="124"/>
      <c r="FFU995" s="124"/>
      <c r="FFV995" s="124"/>
      <c r="FFW995" s="124"/>
      <c r="FFX995" s="124"/>
      <c r="FFY995" s="124"/>
      <c r="FFZ995" s="124"/>
      <c r="FGA995" s="124"/>
      <c r="FGB995" s="124"/>
      <c r="FGC995" s="124"/>
      <c r="FGD995" s="124"/>
      <c r="FGE995" s="124"/>
      <c r="FGF995" s="124"/>
      <c r="FGG995" s="124"/>
      <c r="FGH995" s="124"/>
      <c r="FGI995" s="124"/>
      <c r="FGJ995" s="124"/>
      <c r="FGK995" s="124"/>
      <c r="FGL995" s="124"/>
      <c r="FGM995" s="124"/>
      <c r="FGN995" s="124"/>
      <c r="FGO995" s="124"/>
      <c r="FGP995" s="124"/>
      <c r="FGQ995" s="124"/>
      <c r="FGR995" s="124"/>
      <c r="FGS995" s="124"/>
      <c r="FGT995" s="124"/>
      <c r="FGU995" s="124"/>
      <c r="FGV995" s="124"/>
      <c r="FGW995" s="124"/>
      <c r="FGX995" s="124"/>
      <c r="FGY995" s="124"/>
      <c r="FGZ995" s="124"/>
      <c r="FHA995" s="124"/>
      <c r="FHB995" s="124"/>
      <c r="FHC995" s="124"/>
      <c r="FHD995" s="124"/>
      <c r="FHE995" s="124"/>
      <c r="FHF995" s="124"/>
      <c r="FHG995" s="124"/>
      <c r="FHH995" s="124"/>
      <c r="FHI995" s="124"/>
      <c r="FHJ995" s="124"/>
      <c r="FHK995" s="124"/>
      <c r="FHL995" s="124"/>
      <c r="FHM995" s="124"/>
      <c r="FHN995" s="124"/>
      <c r="FHO995" s="124"/>
      <c r="FHP995" s="124"/>
      <c r="FHQ995" s="124"/>
      <c r="FHR995" s="124"/>
      <c r="FHS995" s="124"/>
      <c r="FHT995" s="124"/>
      <c r="FHU995" s="124"/>
      <c r="FHV995" s="124"/>
      <c r="FHW995" s="124"/>
      <c r="FHX995" s="124"/>
      <c r="FHY995" s="124"/>
      <c r="FHZ995" s="124"/>
      <c r="FIA995" s="124"/>
      <c r="FIB995" s="124"/>
      <c r="FIC995" s="124"/>
      <c r="FID995" s="124"/>
      <c r="FIE995" s="124"/>
      <c r="FIF995" s="124"/>
      <c r="FIG995" s="124"/>
      <c r="FIH995" s="124"/>
      <c r="FII995" s="124"/>
      <c r="FIJ995" s="124"/>
      <c r="FIK995" s="124"/>
      <c r="FIL995" s="124"/>
      <c r="FIM995" s="124"/>
      <c r="FIN995" s="124"/>
      <c r="FIO995" s="124"/>
      <c r="FIP995" s="124"/>
      <c r="FIQ995" s="124"/>
      <c r="FIR995" s="124"/>
      <c r="FIS995" s="124"/>
      <c r="FIT995" s="124"/>
      <c r="FIU995" s="124"/>
      <c r="FIV995" s="124"/>
      <c r="FIW995" s="124"/>
      <c r="FIX995" s="124"/>
      <c r="FIY995" s="124"/>
      <c r="FIZ995" s="124"/>
      <c r="FJA995" s="124"/>
      <c r="FJB995" s="124"/>
      <c r="FJC995" s="124"/>
      <c r="FJD995" s="124"/>
      <c r="FJE995" s="124"/>
      <c r="FJF995" s="124"/>
      <c r="FJG995" s="124"/>
      <c r="FJH995" s="124"/>
      <c r="FJI995" s="124"/>
      <c r="FJJ995" s="124"/>
      <c r="FJK995" s="124"/>
      <c r="FJL995" s="124"/>
      <c r="FJM995" s="124"/>
      <c r="FJN995" s="124"/>
      <c r="FJO995" s="124"/>
      <c r="FJP995" s="124"/>
      <c r="FJQ995" s="124"/>
      <c r="FJR995" s="124"/>
      <c r="FJS995" s="124"/>
      <c r="FJT995" s="124"/>
      <c r="FJU995" s="124"/>
      <c r="FJV995" s="124"/>
      <c r="FJW995" s="124"/>
      <c r="FJX995" s="124"/>
      <c r="FJY995" s="124"/>
      <c r="FJZ995" s="124"/>
      <c r="FKA995" s="124"/>
      <c r="FKB995" s="124"/>
      <c r="FKC995" s="124"/>
      <c r="FKD995" s="124"/>
      <c r="FKE995" s="124"/>
      <c r="FKF995" s="124"/>
      <c r="FKG995" s="124"/>
      <c r="FKH995" s="124"/>
      <c r="FKI995" s="124"/>
      <c r="FKJ995" s="124"/>
      <c r="FKK995" s="124"/>
      <c r="FKL995" s="124"/>
      <c r="FKM995" s="124"/>
      <c r="FKN995" s="124"/>
      <c r="FKO995" s="124"/>
      <c r="FKP995" s="124"/>
      <c r="FKQ995" s="124"/>
      <c r="FKR995" s="124"/>
      <c r="FKS995" s="124"/>
      <c r="FKT995" s="124"/>
      <c r="FKU995" s="124"/>
      <c r="FKV995" s="124"/>
      <c r="FKW995" s="124"/>
      <c r="FKX995" s="124"/>
      <c r="FKY995" s="124"/>
      <c r="FKZ995" s="124"/>
      <c r="FLA995" s="124"/>
      <c r="FLB995" s="124"/>
      <c r="FLC995" s="124"/>
      <c r="FLD995" s="124"/>
      <c r="FLE995" s="124"/>
      <c r="FLF995" s="124"/>
      <c r="FLG995" s="124"/>
      <c r="FLH995" s="124"/>
      <c r="FLI995" s="124"/>
      <c r="FLJ995" s="124"/>
      <c r="FLK995" s="124"/>
      <c r="FLL995" s="124"/>
      <c r="FLM995" s="124"/>
      <c r="FLN995" s="124"/>
      <c r="FLO995" s="124"/>
      <c r="FLP995" s="124"/>
      <c r="FLQ995" s="124"/>
      <c r="FLR995" s="124"/>
      <c r="FLS995" s="124"/>
      <c r="FLT995" s="124"/>
      <c r="FLU995" s="124"/>
      <c r="FLV995" s="124"/>
      <c r="FLW995" s="124"/>
      <c r="FLX995" s="124"/>
      <c r="FLY995" s="124"/>
      <c r="FLZ995" s="124"/>
      <c r="FMA995" s="124"/>
      <c r="FMB995" s="124"/>
      <c r="FMC995" s="124"/>
      <c r="FMD995" s="124"/>
      <c r="FME995" s="124"/>
      <c r="FMF995" s="124"/>
      <c r="FMG995" s="124"/>
      <c r="FMH995" s="124"/>
      <c r="FMI995" s="124"/>
      <c r="FMJ995" s="124"/>
      <c r="FMK995" s="124"/>
      <c r="FML995" s="124"/>
      <c r="FMM995" s="124"/>
      <c r="FMN995" s="124"/>
      <c r="FMO995" s="124"/>
      <c r="FMP995" s="124"/>
      <c r="FMQ995" s="124"/>
      <c r="FMR995" s="124"/>
      <c r="FMS995" s="124"/>
      <c r="FMT995" s="124"/>
      <c r="FMU995" s="124"/>
      <c r="FMV995" s="124"/>
      <c r="FMW995" s="124"/>
      <c r="FMX995" s="124"/>
      <c r="FMY995" s="124"/>
      <c r="FMZ995" s="124"/>
      <c r="FNA995" s="124"/>
      <c r="FNB995" s="124"/>
      <c r="FNC995" s="124"/>
      <c r="FND995" s="124"/>
      <c r="FNE995" s="124"/>
      <c r="FNF995" s="124"/>
      <c r="FNG995" s="124"/>
      <c r="FNH995" s="124"/>
      <c r="FNI995" s="124"/>
      <c r="FNJ995" s="124"/>
      <c r="FNK995" s="124"/>
      <c r="FNL995" s="124"/>
      <c r="FNM995" s="124"/>
      <c r="FNN995" s="124"/>
      <c r="FNO995" s="124"/>
      <c r="FNP995" s="124"/>
      <c r="FNQ995" s="124"/>
      <c r="FNR995" s="124"/>
      <c r="FNS995" s="124"/>
      <c r="FNT995" s="124"/>
      <c r="FNU995" s="124"/>
      <c r="FNV995" s="124"/>
      <c r="FNW995" s="124"/>
      <c r="FNX995" s="124"/>
      <c r="FNY995" s="124"/>
      <c r="FNZ995" s="124"/>
      <c r="FOA995" s="124"/>
      <c r="FOB995" s="124"/>
      <c r="FOC995" s="124"/>
      <c r="FOD995" s="124"/>
      <c r="FOE995" s="124"/>
      <c r="FOF995" s="124"/>
      <c r="FOG995" s="124"/>
      <c r="FOH995" s="124"/>
      <c r="FOI995" s="124"/>
      <c r="FOJ995" s="124"/>
      <c r="FOK995" s="124"/>
      <c r="FOL995" s="124"/>
      <c r="FOM995" s="124"/>
      <c r="FON995" s="124"/>
      <c r="FOO995" s="124"/>
      <c r="FOP995" s="124"/>
      <c r="FOQ995" s="124"/>
      <c r="FOR995" s="124"/>
      <c r="FOS995" s="124"/>
      <c r="FOT995" s="124"/>
      <c r="FOU995" s="124"/>
      <c r="FOV995" s="124"/>
      <c r="FOW995" s="124"/>
      <c r="FOX995" s="124"/>
      <c r="FOY995" s="124"/>
      <c r="FOZ995" s="124"/>
      <c r="FPA995" s="124"/>
      <c r="FPB995" s="124"/>
      <c r="FPC995" s="124"/>
      <c r="FPD995" s="124"/>
      <c r="FPE995" s="124"/>
      <c r="FPF995" s="124"/>
      <c r="FPG995" s="124"/>
      <c r="FPH995" s="124"/>
      <c r="FPI995" s="124"/>
      <c r="FPJ995" s="124"/>
      <c r="FPK995" s="124"/>
      <c r="FPL995" s="124"/>
      <c r="FPM995" s="124"/>
      <c r="FPN995" s="124"/>
      <c r="FPO995" s="124"/>
      <c r="FPP995" s="124"/>
      <c r="FPQ995" s="124"/>
      <c r="FPR995" s="124"/>
      <c r="FPS995" s="124"/>
      <c r="FPT995" s="124"/>
      <c r="FPU995" s="124"/>
      <c r="FPV995" s="124"/>
      <c r="FPW995" s="124"/>
      <c r="FPX995" s="124"/>
      <c r="FPY995" s="124"/>
      <c r="FPZ995" s="124"/>
      <c r="FQA995" s="124"/>
      <c r="FQB995" s="124"/>
      <c r="FQC995" s="124"/>
      <c r="FQD995" s="124"/>
      <c r="FQE995" s="124"/>
      <c r="FQF995" s="124"/>
      <c r="FQG995" s="124"/>
      <c r="FQH995" s="124"/>
      <c r="FQI995" s="124"/>
      <c r="FQJ995" s="124"/>
      <c r="FQK995" s="124"/>
      <c r="FQL995" s="124"/>
      <c r="FQM995" s="124"/>
      <c r="FQN995" s="124"/>
      <c r="FQO995" s="124"/>
      <c r="FQP995" s="124"/>
      <c r="FQQ995" s="124"/>
      <c r="FQR995" s="124"/>
      <c r="FQS995" s="124"/>
      <c r="FQT995" s="124"/>
      <c r="FQU995" s="124"/>
      <c r="FQV995" s="124"/>
      <c r="FQW995" s="124"/>
      <c r="FQX995" s="124"/>
      <c r="FQY995" s="124"/>
      <c r="FQZ995" s="124"/>
      <c r="FRA995" s="124"/>
      <c r="FRB995" s="124"/>
      <c r="FRC995" s="124"/>
      <c r="FRD995" s="124"/>
      <c r="FRE995" s="124"/>
      <c r="FRF995" s="124"/>
      <c r="FRG995" s="124"/>
      <c r="FRH995" s="124"/>
      <c r="FRI995" s="124"/>
      <c r="FRJ995" s="124"/>
      <c r="FRK995" s="124"/>
      <c r="FRL995" s="124"/>
      <c r="FRM995" s="124"/>
      <c r="FRN995" s="124"/>
      <c r="FRO995" s="124"/>
      <c r="FRP995" s="124"/>
      <c r="FRQ995" s="124"/>
      <c r="FRR995" s="124"/>
      <c r="FRS995" s="124"/>
      <c r="FRT995" s="124"/>
      <c r="FRU995" s="124"/>
      <c r="FRV995" s="124"/>
      <c r="FRW995" s="124"/>
      <c r="FRX995" s="124"/>
      <c r="FRY995" s="124"/>
      <c r="FRZ995" s="124"/>
      <c r="FSA995" s="124"/>
      <c r="FSB995" s="124"/>
      <c r="FSC995" s="124"/>
      <c r="FSD995" s="124"/>
      <c r="FSE995" s="124"/>
      <c r="FSF995" s="124"/>
      <c r="FSG995" s="124"/>
      <c r="FSH995" s="124"/>
      <c r="FSI995" s="124"/>
      <c r="FSJ995" s="124"/>
      <c r="FSK995" s="124"/>
      <c r="FSL995" s="124"/>
      <c r="FSM995" s="124"/>
      <c r="FSN995" s="124"/>
      <c r="FSO995" s="124"/>
      <c r="FSP995" s="124"/>
      <c r="FSQ995" s="124"/>
      <c r="FSR995" s="124"/>
      <c r="FSS995" s="124"/>
      <c r="FST995" s="124"/>
      <c r="FSU995" s="124"/>
      <c r="FSV995" s="124"/>
      <c r="FSW995" s="124"/>
      <c r="FSX995" s="124"/>
      <c r="FSY995" s="124"/>
      <c r="FSZ995" s="124"/>
      <c r="FTA995" s="124"/>
      <c r="FTB995" s="124"/>
      <c r="FTC995" s="124"/>
      <c r="FTD995" s="124"/>
      <c r="FTE995" s="124"/>
      <c r="FTF995" s="124"/>
      <c r="FTG995" s="124"/>
      <c r="FTH995" s="124"/>
      <c r="FTI995" s="124"/>
      <c r="FTJ995" s="124"/>
      <c r="FTK995" s="124"/>
      <c r="FTL995" s="124"/>
      <c r="FTM995" s="124"/>
      <c r="FTN995" s="124"/>
      <c r="FTO995" s="124"/>
      <c r="FTP995" s="124"/>
      <c r="FTQ995" s="124"/>
      <c r="FTR995" s="124"/>
      <c r="FTS995" s="124"/>
      <c r="FTT995" s="124"/>
      <c r="FTU995" s="124"/>
      <c r="FTV995" s="124"/>
      <c r="FTW995" s="124"/>
      <c r="FTX995" s="124"/>
      <c r="FTY995" s="124"/>
      <c r="FTZ995" s="124"/>
      <c r="FUA995" s="124"/>
      <c r="FUB995" s="124"/>
      <c r="FUC995" s="124"/>
      <c r="FUD995" s="124"/>
      <c r="FUE995" s="124"/>
      <c r="FUF995" s="124"/>
      <c r="FUG995" s="124"/>
      <c r="FUH995" s="124"/>
      <c r="FUI995" s="124"/>
      <c r="FUJ995" s="124"/>
      <c r="FUK995" s="124"/>
      <c r="FUL995" s="124"/>
      <c r="FUM995" s="124"/>
      <c r="FUN995" s="124"/>
      <c r="FUO995" s="124"/>
      <c r="FUP995" s="124"/>
      <c r="FUQ995" s="124"/>
      <c r="FUR995" s="124"/>
      <c r="FUS995" s="124"/>
      <c r="FUT995" s="124"/>
      <c r="FUU995" s="124"/>
      <c r="FUV995" s="124"/>
      <c r="FUW995" s="124"/>
      <c r="FUX995" s="124"/>
      <c r="FUY995" s="124"/>
      <c r="FUZ995" s="124"/>
      <c r="FVA995" s="124"/>
      <c r="FVB995" s="124"/>
      <c r="FVC995" s="124"/>
      <c r="FVD995" s="124"/>
      <c r="FVE995" s="124"/>
      <c r="FVF995" s="124"/>
      <c r="FVG995" s="124"/>
      <c r="FVH995" s="124"/>
      <c r="FVI995" s="124"/>
      <c r="FVJ995" s="124"/>
      <c r="FVK995" s="124"/>
      <c r="FVL995" s="124"/>
      <c r="FVM995" s="124"/>
      <c r="FVN995" s="124"/>
      <c r="FVO995" s="124"/>
      <c r="FVP995" s="124"/>
      <c r="FVQ995" s="124"/>
      <c r="FVR995" s="124"/>
      <c r="FVS995" s="124"/>
      <c r="FVT995" s="124"/>
      <c r="FVU995" s="124"/>
      <c r="FVV995" s="124"/>
      <c r="FVW995" s="124"/>
      <c r="FVX995" s="124"/>
      <c r="FVY995" s="124"/>
      <c r="FVZ995" s="124"/>
      <c r="FWA995" s="124"/>
      <c r="FWB995" s="124"/>
      <c r="FWC995" s="124"/>
      <c r="FWD995" s="124"/>
      <c r="FWE995" s="124"/>
      <c r="FWF995" s="124"/>
      <c r="FWG995" s="124"/>
      <c r="FWH995" s="124"/>
      <c r="FWI995" s="124"/>
      <c r="FWJ995" s="124"/>
      <c r="FWK995" s="124"/>
      <c r="FWL995" s="124"/>
      <c r="FWM995" s="124"/>
      <c r="FWN995" s="124"/>
      <c r="FWO995" s="124"/>
      <c r="FWP995" s="124"/>
      <c r="FWQ995" s="124"/>
      <c r="FWR995" s="124"/>
      <c r="FWS995" s="124"/>
      <c r="FWT995" s="124"/>
      <c r="FWU995" s="124"/>
      <c r="FWV995" s="124"/>
      <c r="FWW995" s="124"/>
      <c r="FWX995" s="124"/>
      <c r="FWY995" s="124"/>
      <c r="FWZ995" s="124"/>
      <c r="FXA995" s="124"/>
      <c r="FXB995" s="124"/>
      <c r="FXC995" s="124"/>
      <c r="FXD995" s="124"/>
      <c r="FXE995" s="124"/>
      <c r="FXF995" s="124"/>
      <c r="FXG995" s="124"/>
      <c r="FXH995" s="124"/>
      <c r="FXI995" s="124"/>
      <c r="FXJ995" s="124"/>
      <c r="FXK995" s="124"/>
      <c r="FXL995" s="124"/>
      <c r="FXM995" s="124"/>
      <c r="FXN995" s="124"/>
      <c r="FXO995" s="124"/>
      <c r="FXP995" s="124"/>
      <c r="FXQ995" s="124"/>
      <c r="FXR995" s="124"/>
      <c r="FXS995" s="124"/>
      <c r="FXT995" s="124"/>
      <c r="FXU995" s="124"/>
      <c r="FXV995" s="124"/>
      <c r="FXW995" s="124"/>
      <c r="FXX995" s="124"/>
      <c r="FXY995" s="124"/>
      <c r="FXZ995" s="124"/>
      <c r="FYA995" s="124"/>
      <c r="FYB995" s="124"/>
      <c r="FYC995" s="124"/>
      <c r="FYD995" s="124"/>
      <c r="FYE995" s="124"/>
      <c r="FYF995" s="124"/>
      <c r="FYG995" s="124"/>
      <c r="FYH995" s="124"/>
      <c r="FYI995" s="124"/>
      <c r="FYJ995" s="124"/>
      <c r="FYK995" s="124"/>
      <c r="FYL995" s="124"/>
      <c r="FYM995" s="124"/>
      <c r="FYN995" s="124"/>
      <c r="FYO995" s="124"/>
      <c r="FYP995" s="124"/>
      <c r="FYQ995" s="124"/>
      <c r="FYR995" s="124"/>
      <c r="FYS995" s="124"/>
      <c r="FYT995" s="124"/>
      <c r="FYU995" s="124"/>
      <c r="FYV995" s="124"/>
      <c r="FYW995" s="124"/>
      <c r="FYX995" s="124"/>
      <c r="FYY995" s="124"/>
      <c r="FYZ995" s="124"/>
      <c r="FZA995" s="124"/>
      <c r="FZB995" s="124"/>
      <c r="FZC995" s="124"/>
      <c r="FZD995" s="124"/>
      <c r="FZE995" s="124"/>
      <c r="FZF995" s="124"/>
      <c r="FZG995" s="124"/>
      <c r="FZH995" s="124"/>
      <c r="FZI995" s="124"/>
      <c r="FZJ995" s="124"/>
      <c r="FZK995" s="124"/>
      <c r="FZL995" s="124"/>
      <c r="FZM995" s="124"/>
      <c r="FZN995" s="124"/>
      <c r="FZO995" s="124"/>
      <c r="FZP995" s="124"/>
      <c r="FZQ995" s="124"/>
      <c r="FZR995" s="124"/>
      <c r="FZS995" s="124"/>
      <c r="FZT995" s="124"/>
      <c r="FZU995" s="124"/>
      <c r="FZV995" s="124"/>
      <c r="FZW995" s="124"/>
      <c r="FZX995" s="124"/>
      <c r="FZY995" s="124"/>
      <c r="FZZ995" s="124"/>
      <c r="GAA995" s="124"/>
      <c r="GAB995" s="124"/>
      <c r="GAC995" s="124"/>
      <c r="GAD995" s="124"/>
      <c r="GAE995" s="124"/>
      <c r="GAF995" s="124"/>
      <c r="GAG995" s="124"/>
      <c r="GAH995" s="124"/>
      <c r="GAI995" s="124"/>
      <c r="GAJ995" s="124"/>
      <c r="GAK995" s="124"/>
      <c r="GAL995" s="124"/>
      <c r="GAM995" s="124"/>
      <c r="GAN995" s="124"/>
      <c r="GAO995" s="124"/>
      <c r="GAP995" s="124"/>
      <c r="GAQ995" s="124"/>
      <c r="GAR995" s="124"/>
      <c r="GAS995" s="124"/>
      <c r="GAT995" s="124"/>
      <c r="GAU995" s="124"/>
      <c r="GAV995" s="124"/>
      <c r="GAW995" s="124"/>
      <c r="GAX995" s="124"/>
      <c r="GAY995" s="124"/>
      <c r="GAZ995" s="124"/>
      <c r="GBA995" s="124"/>
      <c r="GBB995" s="124"/>
      <c r="GBC995" s="124"/>
      <c r="GBD995" s="124"/>
      <c r="GBE995" s="124"/>
      <c r="GBF995" s="124"/>
      <c r="GBG995" s="124"/>
      <c r="GBH995" s="124"/>
      <c r="GBI995" s="124"/>
      <c r="GBJ995" s="124"/>
      <c r="GBK995" s="124"/>
      <c r="GBL995" s="124"/>
      <c r="GBM995" s="124"/>
      <c r="GBN995" s="124"/>
      <c r="GBO995" s="124"/>
      <c r="GBP995" s="124"/>
      <c r="GBQ995" s="124"/>
      <c r="GBR995" s="124"/>
      <c r="GBS995" s="124"/>
      <c r="GBT995" s="124"/>
      <c r="GBU995" s="124"/>
      <c r="GBV995" s="124"/>
      <c r="GBW995" s="124"/>
      <c r="GBX995" s="124"/>
      <c r="GBY995" s="124"/>
      <c r="GBZ995" s="124"/>
      <c r="GCA995" s="124"/>
      <c r="GCB995" s="124"/>
      <c r="GCC995" s="124"/>
      <c r="GCD995" s="124"/>
      <c r="GCE995" s="124"/>
      <c r="GCF995" s="124"/>
      <c r="GCG995" s="124"/>
      <c r="GCH995" s="124"/>
      <c r="GCI995" s="124"/>
      <c r="GCJ995" s="124"/>
      <c r="GCK995" s="124"/>
      <c r="GCL995" s="124"/>
      <c r="GCM995" s="124"/>
      <c r="GCN995" s="124"/>
      <c r="GCO995" s="124"/>
      <c r="GCP995" s="124"/>
      <c r="GCQ995" s="124"/>
      <c r="GCR995" s="124"/>
      <c r="GCS995" s="124"/>
      <c r="GCT995" s="124"/>
      <c r="GCU995" s="124"/>
      <c r="GCV995" s="124"/>
      <c r="GCW995" s="124"/>
      <c r="GCX995" s="124"/>
      <c r="GCY995" s="124"/>
      <c r="GCZ995" s="124"/>
      <c r="GDA995" s="124"/>
      <c r="GDB995" s="124"/>
      <c r="GDC995" s="124"/>
      <c r="GDD995" s="124"/>
      <c r="GDE995" s="124"/>
      <c r="GDF995" s="124"/>
      <c r="GDG995" s="124"/>
      <c r="GDH995" s="124"/>
      <c r="GDI995" s="124"/>
      <c r="GDJ995" s="124"/>
      <c r="GDK995" s="124"/>
      <c r="GDL995" s="124"/>
      <c r="GDM995" s="124"/>
      <c r="GDN995" s="124"/>
      <c r="GDO995" s="124"/>
      <c r="GDP995" s="124"/>
      <c r="GDQ995" s="124"/>
      <c r="GDR995" s="124"/>
      <c r="GDS995" s="124"/>
      <c r="GDT995" s="124"/>
      <c r="GDU995" s="124"/>
      <c r="GDV995" s="124"/>
      <c r="GDW995" s="124"/>
      <c r="GDX995" s="124"/>
      <c r="GDY995" s="124"/>
      <c r="GDZ995" s="124"/>
      <c r="GEA995" s="124"/>
      <c r="GEB995" s="124"/>
      <c r="GEC995" s="124"/>
      <c r="GED995" s="124"/>
      <c r="GEE995" s="124"/>
      <c r="GEF995" s="124"/>
      <c r="GEG995" s="124"/>
      <c r="GEH995" s="124"/>
      <c r="GEI995" s="124"/>
      <c r="GEJ995" s="124"/>
      <c r="GEK995" s="124"/>
      <c r="GEL995" s="124"/>
      <c r="GEM995" s="124"/>
      <c r="GEN995" s="124"/>
      <c r="GEO995" s="124"/>
      <c r="GEP995" s="124"/>
      <c r="GEQ995" s="124"/>
      <c r="GER995" s="124"/>
      <c r="GES995" s="124"/>
      <c r="GET995" s="124"/>
      <c r="GEU995" s="124"/>
      <c r="GEV995" s="124"/>
      <c r="GEW995" s="124"/>
      <c r="GEX995" s="124"/>
      <c r="GEY995" s="124"/>
      <c r="GEZ995" s="124"/>
      <c r="GFA995" s="124"/>
      <c r="GFB995" s="124"/>
      <c r="GFC995" s="124"/>
      <c r="GFD995" s="124"/>
      <c r="GFE995" s="124"/>
      <c r="GFF995" s="124"/>
      <c r="GFG995" s="124"/>
      <c r="GFH995" s="124"/>
      <c r="GFI995" s="124"/>
      <c r="GFJ995" s="124"/>
      <c r="GFK995" s="124"/>
      <c r="GFL995" s="124"/>
      <c r="GFM995" s="124"/>
      <c r="GFN995" s="124"/>
      <c r="GFO995" s="124"/>
      <c r="GFP995" s="124"/>
      <c r="GFQ995" s="124"/>
      <c r="GFR995" s="124"/>
      <c r="GFS995" s="124"/>
      <c r="GFT995" s="124"/>
      <c r="GFU995" s="124"/>
      <c r="GFV995" s="124"/>
      <c r="GFW995" s="124"/>
      <c r="GFX995" s="124"/>
      <c r="GFY995" s="124"/>
      <c r="GFZ995" s="124"/>
      <c r="GGA995" s="124"/>
      <c r="GGB995" s="124"/>
      <c r="GGC995" s="124"/>
      <c r="GGD995" s="124"/>
      <c r="GGE995" s="124"/>
      <c r="GGF995" s="124"/>
      <c r="GGG995" s="124"/>
      <c r="GGH995" s="124"/>
      <c r="GGI995" s="124"/>
      <c r="GGJ995" s="124"/>
      <c r="GGK995" s="124"/>
      <c r="GGL995" s="124"/>
      <c r="GGM995" s="124"/>
      <c r="GGN995" s="124"/>
      <c r="GGO995" s="124"/>
      <c r="GGP995" s="124"/>
      <c r="GGQ995" s="124"/>
      <c r="GGR995" s="124"/>
      <c r="GGS995" s="124"/>
      <c r="GGT995" s="124"/>
      <c r="GGU995" s="124"/>
      <c r="GGV995" s="124"/>
      <c r="GGW995" s="124"/>
      <c r="GGX995" s="124"/>
      <c r="GGY995" s="124"/>
      <c r="GGZ995" s="124"/>
      <c r="GHA995" s="124"/>
      <c r="GHB995" s="124"/>
      <c r="GHC995" s="124"/>
      <c r="GHD995" s="124"/>
      <c r="GHE995" s="124"/>
      <c r="GHF995" s="124"/>
      <c r="GHG995" s="124"/>
      <c r="GHH995" s="124"/>
      <c r="GHI995" s="124"/>
      <c r="GHJ995" s="124"/>
      <c r="GHK995" s="124"/>
      <c r="GHL995" s="124"/>
      <c r="GHM995" s="124"/>
      <c r="GHN995" s="124"/>
      <c r="GHO995" s="124"/>
      <c r="GHP995" s="124"/>
      <c r="GHQ995" s="124"/>
      <c r="GHR995" s="124"/>
      <c r="GHS995" s="124"/>
      <c r="GHT995" s="124"/>
      <c r="GHU995" s="124"/>
      <c r="GHV995" s="124"/>
      <c r="GHW995" s="124"/>
      <c r="GHX995" s="124"/>
      <c r="GHY995" s="124"/>
      <c r="GHZ995" s="124"/>
      <c r="GIA995" s="124"/>
      <c r="GIB995" s="124"/>
      <c r="GIC995" s="124"/>
      <c r="GID995" s="124"/>
      <c r="GIE995" s="124"/>
      <c r="GIF995" s="124"/>
      <c r="GIG995" s="124"/>
      <c r="GIH995" s="124"/>
      <c r="GII995" s="124"/>
      <c r="GIJ995" s="124"/>
      <c r="GIK995" s="124"/>
      <c r="GIL995" s="124"/>
      <c r="GIM995" s="124"/>
      <c r="GIN995" s="124"/>
      <c r="GIO995" s="124"/>
      <c r="GIP995" s="124"/>
      <c r="GIQ995" s="124"/>
      <c r="GIR995" s="124"/>
      <c r="GIS995" s="124"/>
      <c r="GIT995" s="124"/>
      <c r="GIU995" s="124"/>
      <c r="GIV995" s="124"/>
      <c r="GIW995" s="124"/>
      <c r="GIX995" s="124"/>
      <c r="GIY995" s="124"/>
      <c r="GIZ995" s="124"/>
      <c r="GJA995" s="124"/>
      <c r="GJB995" s="124"/>
      <c r="GJC995" s="124"/>
      <c r="GJD995" s="124"/>
      <c r="GJE995" s="124"/>
      <c r="GJF995" s="124"/>
      <c r="GJG995" s="124"/>
      <c r="GJH995" s="124"/>
      <c r="GJI995" s="124"/>
      <c r="GJJ995" s="124"/>
      <c r="GJK995" s="124"/>
      <c r="GJL995" s="124"/>
      <c r="GJM995" s="124"/>
      <c r="GJN995" s="124"/>
      <c r="GJO995" s="124"/>
      <c r="GJP995" s="124"/>
      <c r="GJQ995" s="124"/>
      <c r="GJR995" s="124"/>
      <c r="GJS995" s="124"/>
      <c r="GJT995" s="124"/>
      <c r="GJU995" s="124"/>
      <c r="GJV995" s="124"/>
      <c r="GJW995" s="124"/>
      <c r="GJX995" s="124"/>
      <c r="GJY995" s="124"/>
      <c r="GJZ995" s="124"/>
      <c r="GKA995" s="124"/>
      <c r="GKB995" s="124"/>
      <c r="GKC995" s="124"/>
      <c r="GKD995" s="124"/>
      <c r="GKE995" s="124"/>
      <c r="GKF995" s="124"/>
      <c r="GKG995" s="124"/>
      <c r="GKH995" s="124"/>
      <c r="GKI995" s="124"/>
      <c r="GKJ995" s="124"/>
      <c r="GKK995" s="124"/>
      <c r="GKL995" s="124"/>
      <c r="GKM995" s="124"/>
      <c r="GKN995" s="124"/>
      <c r="GKO995" s="124"/>
      <c r="GKP995" s="124"/>
      <c r="GKQ995" s="124"/>
      <c r="GKR995" s="124"/>
      <c r="GKS995" s="124"/>
      <c r="GKT995" s="124"/>
      <c r="GKU995" s="124"/>
      <c r="GKV995" s="124"/>
      <c r="GKW995" s="124"/>
      <c r="GKX995" s="124"/>
      <c r="GKY995" s="124"/>
      <c r="GKZ995" s="124"/>
      <c r="GLA995" s="124"/>
      <c r="GLB995" s="124"/>
      <c r="GLC995" s="124"/>
      <c r="GLD995" s="124"/>
      <c r="GLE995" s="124"/>
      <c r="GLF995" s="124"/>
      <c r="GLG995" s="124"/>
      <c r="GLH995" s="124"/>
      <c r="GLI995" s="124"/>
      <c r="GLJ995" s="124"/>
      <c r="GLK995" s="124"/>
      <c r="GLL995" s="124"/>
      <c r="GLM995" s="124"/>
      <c r="GLN995" s="124"/>
      <c r="GLO995" s="124"/>
      <c r="GLP995" s="124"/>
      <c r="GLQ995" s="124"/>
      <c r="GLR995" s="124"/>
      <c r="GLS995" s="124"/>
      <c r="GLT995" s="124"/>
      <c r="GLU995" s="124"/>
      <c r="GLV995" s="124"/>
      <c r="GLW995" s="124"/>
      <c r="GLX995" s="124"/>
      <c r="GLY995" s="124"/>
      <c r="GLZ995" s="124"/>
      <c r="GMA995" s="124"/>
      <c r="GMB995" s="124"/>
      <c r="GMC995" s="124"/>
      <c r="GMD995" s="124"/>
      <c r="GME995" s="124"/>
      <c r="GMF995" s="124"/>
      <c r="GMG995" s="124"/>
      <c r="GMH995" s="124"/>
      <c r="GMI995" s="124"/>
      <c r="GMJ995" s="124"/>
      <c r="GMK995" s="124"/>
      <c r="GML995" s="124"/>
      <c r="GMM995" s="124"/>
      <c r="GMN995" s="124"/>
      <c r="GMO995" s="124"/>
      <c r="GMP995" s="124"/>
      <c r="GMQ995" s="124"/>
      <c r="GMR995" s="124"/>
      <c r="GMS995" s="124"/>
      <c r="GMT995" s="124"/>
      <c r="GMU995" s="124"/>
      <c r="GMV995" s="124"/>
      <c r="GMW995" s="124"/>
      <c r="GMX995" s="124"/>
      <c r="GMY995" s="124"/>
      <c r="GMZ995" s="124"/>
      <c r="GNA995" s="124"/>
      <c r="GNB995" s="124"/>
      <c r="GNC995" s="124"/>
      <c r="GND995" s="124"/>
      <c r="GNE995" s="124"/>
      <c r="GNF995" s="124"/>
      <c r="GNG995" s="124"/>
      <c r="GNH995" s="124"/>
      <c r="GNI995" s="124"/>
      <c r="GNJ995" s="124"/>
      <c r="GNK995" s="124"/>
      <c r="GNL995" s="124"/>
      <c r="GNM995" s="124"/>
      <c r="GNN995" s="124"/>
      <c r="GNO995" s="124"/>
      <c r="GNP995" s="124"/>
      <c r="GNQ995" s="124"/>
      <c r="GNR995" s="124"/>
      <c r="GNS995" s="124"/>
      <c r="GNT995" s="124"/>
      <c r="GNU995" s="124"/>
      <c r="GNV995" s="124"/>
      <c r="GNW995" s="124"/>
      <c r="GNX995" s="124"/>
      <c r="GNY995" s="124"/>
      <c r="GNZ995" s="124"/>
      <c r="GOA995" s="124"/>
      <c r="GOB995" s="124"/>
      <c r="GOC995" s="124"/>
      <c r="GOD995" s="124"/>
      <c r="GOE995" s="124"/>
      <c r="GOF995" s="124"/>
      <c r="GOG995" s="124"/>
      <c r="GOH995" s="124"/>
      <c r="GOI995" s="124"/>
      <c r="GOJ995" s="124"/>
      <c r="GOK995" s="124"/>
      <c r="GOL995" s="124"/>
      <c r="GOM995" s="124"/>
      <c r="GON995" s="124"/>
      <c r="GOO995" s="124"/>
      <c r="GOP995" s="124"/>
      <c r="GOQ995" s="124"/>
      <c r="GOR995" s="124"/>
      <c r="GOS995" s="124"/>
      <c r="GOT995" s="124"/>
      <c r="GOU995" s="124"/>
      <c r="GOV995" s="124"/>
      <c r="GOW995" s="124"/>
      <c r="GOX995" s="124"/>
      <c r="GOY995" s="124"/>
      <c r="GOZ995" s="124"/>
      <c r="GPA995" s="124"/>
      <c r="GPB995" s="124"/>
      <c r="GPC995" s="124"/>
      <c r="GPD995" s="124"/>
      <c r="GPE995" s="124"/>
      <c r="GPF995" s="124"/>
      <c r="GPG995" s="124"/>
      <c r="GPH995" s="124"/>
      <c r="GPI995" s="124"/>
      <c r="GPJ995" s="124"/>
      <c r="GPK995" s="124"/>
      <c r="GPL995" s="124"/>
      <c r="GPM995" s="124"/>
      <c r="GPN995" s="124"/>
      <c r="GPO995" s="124"/>
      <c r="GPP995" s="124"/>
      <c r="GPQ995" s="124"/>
      <c r="GPR995" s="124"/>
      <c r="GPS995" s="124"/>
      <c r="GPT995" s="124"/>
      <c r="GPU995" s="124"/>
      <c r="GPV995" s="124"/>
      <c r="GPW995" s="124"/>
      <c r="GPX995" s="124"/>
      <c r="GPY995" s="124"/>
      <c r="GPZ995" s="124"/>
      <c r="GQA995" s="124"/>
      <c r="GQB995" s="124"/>
      <c r="GQC995" s="124"/>
      <c r="GQD995" s="124"/>
      <c r="GQE995" s="124"/>
      <c r="GQF995" s="124"/>
      <c r="GQG995" s="124"/>
      <c r="GQH995" s="124"/>
      <c r="GQI995" s="124"/>
      <c r="GQJ995" s="124"/>
      <c r="GQK995" s="124"/>
      <c r="GQL995" s="124"/>
      <c r="GQM995" s="124"/>
      <c r="GQN995" s="124"/>
      <c r="GQO995" s="124"/>
      <c r="GQP995" s="124"/>
      <c r="GQQ995" s="124"/>
      <c r="GQR995" s="124"/>
      <c r="GQS995" s="124"/>
      <c r="GQT995" s="124"/>
      <c r="GQU995" s="124"/>
      <c r="GQV995" s="124"/>
      <c r="GQW995" s="124"/>
      <c r="GQX995" s="124"/>
      <c r="GQY995" s="124"/>
      <c r="GQZ995" s="124"/>
      <c r="GRA995" s="124"/>
      <c r="GRB995" s="124"/>
      <c r="GRC995" s="124"/>
      <c r="GRD995" s="124"/>
      <c r="GRE995" s="124"/>
      <c r="GRF995" s="124"/>
      <c r="GRG995" s="124"/>
      <c r="GRH995" s="124"/>
      <c r="GRI995" s="124"/>
      <c r="GRJ995" s="124"/>
      <c r="GRK995" s="124"/>
      <c r="GRL995" s="124"/>
      <c r="GRM995" s="124"/>
      <c r="GRN995" s="124"/>
      <c r="GRO995" s="124"/>
      <c r="GRP995" s="124"/>
      <c r="GRQ995" s="124"/>
      <c r="GRR995" s="124"/>
      <c r="GRS995" s="124"/>
      <c r="GRT995" s="124"/>
      <c r="GRU995" s="124"/>
      <c r="GRV995" s="124"/>
      <c r="GRW995" s="124"/>
      <c r="GRX995" s="124"/>
      <c r="GRY995" s="124"/>
      <c r="GRZ995" s="124"/>
      <c r="GSA995" s="124"/>
      <c r="GSB995" s="124"/>
      <c r="GSC995" s="124"/>
      <c r="GSD995" s="124"/>
      <c r="GSE995" s="124"/>
      <c r="GSF995" s="124"/>
      <c r="GSG995" s="124"/>
      <c r="GSH995" s="124"/>
      <c r="GSI995" s="124"/>
      <c r="GSJ995" s="124"/>
      <c r="GSK995" s="124"/>
      <c r="GSL995" s="124"/>
      <c r="GSM995" s="124"/>
      <c r="GSN995" s="124"/>
      <c r="GSO995" s="124"/>
      <c r="GSP995" s="124"/>
      <c r="GSQ995" s="124"/>
      <c r="GSR995" s="124"/>
      <c r="GSS995" s="124"/>
      <c r="GST995" s="124"/>
      <c r="GSU995" s="124"/>
      <c r="GSV995" s="124"/>
      <c r="GSW995" s="124"/>
      <c r="GSX995" s="124"/>
      <c r="GSY995" s="124"/>
      <c r="GSZ995" s="124"/>
      <c r="GTA995" s="124"/>
      <c r="GTB995" s="124"/>
      <c r="GTC995" s="124"/>
      <c r="GTD995" s="124"/>
      <c r="GTE995" s="124"/>
      <c r="GTF995" s="124"/>
      <c r="GTG995" s="124"/>
      <c r="GTH995" s="124"/>
      <c r="GTI995" s="124"/>
      <c r="GTJ995" s="124"/>
      <c r="GTK995" s="124"/>
      <c r="GTL995" s="124"/>
      <c r="GTM995" s="124"/>
      <c r="GTN995" s="124"/>
      <c r="GTO995" s="124"/>
      <c r="GTP995" s="124"/>
      <c r="GTQ995" s="124"/>
      <c r="GTR995" s="124"/>
      <c r="GTS995" s="124"/>
      <c r="GTT995" s="124"/>
      <c r="GTU995" s="124"/>
      <c r="GTV995" s="124"/>
      <c r="GTW995" s="124"/>
      <c r="GTX995" s="124"/>
      <c r="GTY995" s="124"/>
      <c r="GTZ995" s="124"/>
      <c r="GUA995" s="124"/>
      <c r="GUB995" s="124"/>
      <c r="GUC995" s="124"/>
      <c r="GUD995" s="124"/>
      <c r="GUE995" s="124"/>
      <c r="GUF995" s="124"/>
      <c r="GUG995" s="124"/>
      <c r="GUH995" s="124"/>
      <c r="GUI995" s="124"/>
      <c r="GUJ995" s="124"/>
      <c r="GUK995" s="124"/>
      <c r="GUL995" s="124"/>
      <c r="GUM995" s="124"/>
      <c r="GUN995" s="124"/>
      <c r="GUO995" s="124"/>
      <c r="GUP995" s="124"/>
      <c r="GUQ995" s="124"/>
      <c r="GUR995" s="124"/>
      <c r="GUS995" s="124"/>
      <c r="GUT995" s="124"/>
      <c r="GUU995" s="124"/>
      <c r="GUV995" s="124"/>
      <c r="GUW995" s="124"/>
      <c r="GUX995" s="124"/>
      <c r="GUY995" s="124"/>
      <c r="GUZ995" s="124"/>
      <c r="GVA995" s="124"/>
      <c r="GVB995" s="124"/>
      <c r="GVC995" s="124"/>
      <c r="GVD995" s="124"/>
      <c r="GVE995" s="124"/>
      <c r="GVF995" s="124"/>
      <c r="GVG995" s="124"/>
      <c r="GVH995" s="124"/>
      <c r="GVI995" s="124"/>
      <c r="GVJ995" s="124"/>
      <c r="GVK995" s="124"/>
      <c r="GVL995" s="124"/>
      <c r="GVM995" s="124"/>
      <c r="GVN995" s="124"/>
      <c r="GVO995" s="124"/>
      <c r="GVP995" s="124"/>
      <c r="GVQ995" s="124"/>
      <c r="GVR995" s="124"/>
      <c r="GVS995" s="124"/>
      <c r="GVT995" s="124"/>
      <c r="GVU995" s="124"/>
      <c r="GVV995" s="124"/>
      <c r="GVW995" s="124"/>
      <c r="GVX995" s="124"/>
      <c r="GVY995" s="124"/>
      <c r="GVZ995" s="124"/>
      <c r="GWA995" s="124"/>
      <c r="GWB995" s="124"/>
      <c r="GWC995" s="124"/>
      <c r="GWD995" s="124"/>
      <c r="GWE995" s="124"/>
      <c r="GWF995" s="124"/>
      <c r="GWG995" s="124"/>
      <c r="GWH995" s="124"/>
      <c r="GWI995" s="124"/>
      <c r="GWJ995" s="124"/>
      <c r="GWK995" s="124"/>
      <c r="GWL995" s="124"/>
      <c r="GWM995" s="124"/>
      <c r="GWN995" s="124"/>
      <c r="GWO995" s="124"/>
      <c r="GWP995" s="124"/>
      <c r="GWQ995" s="124"/>
      <c r="GWR995" s="124"/>
      <c r="GWS995" s="124"/>
      <c r="GWT995" s="124"/>
      <c r="GWU995" s="124"/>
      <c r="GWV995" s="124"/>
      <c r="GWW995" s="124"/>
      <c r="GWX995" s="124"/>
      <c r="GWY995" s="124"/>
      <c r="GWZ995" s="124"/>
      <c r="GXA995" s="124"/>
      <c r="GXB995" s="124"/>
      <c r="GXC995" s="124"/>
      <c r="GXD995" s="124"/>
      <c r="GXE995" s="124"/>
      <c r="GXF995" s="124"/>
      <c r="GXG995" s="124"/>
      <c r="GXH995" s="124"/>
      <c r="GXI995" s="124"/>
      <c r="GXJ995" s="124"/>
      <c r="GXK995" s="124"/>
      <c r="GXL995" s="124"/>
      <c r="GXM995" s="124"/>
      <c r="GXN995" s="124"/>
      <c r="GXO995" s="124"/>
      <c r="GXP995" s="124"/>
      <c r="GXQ995" s="124"/>
      <c r="GXR995" s="124"/>
      <c r="GXS995" s="124"/>
      <c r="GXT995" s="124"/>
      <c r="GXU995" s="124"/>
      <c r="GXV995" s="124"/>
      <c r="GXW995" s="124"/>
      <c r="GXX995" s="124"/>
      <c r="GXY995" s="124"/>
      <c r="GXZ995" s="124"/>
      <c r="GYA995" s="124"/>
      <c r="GYB995" s="124"/>
      <c r="GYC995" s="124"/>
      <c r="GYD995" s="124"/>
      <c r="GYE995" s="124"/>
      <c r="GYF995" s="124"/>
      <c r="GYG995" s="124"/>
      <c r="GYH995" s="124"/>
      <c r="GYI995" s="124"/>
      <c r="GYJ995" s="124"/>
      <c r="GYK995" s="124"/>
      <c r="GYL995" s="124"/>
      <c r="GYM995" s="124"/>
      <c r="GYN995" s="124"/>
      <c r="GYO995" s="124"/>
      <c r="GYP995" s="124"/>
      <c r="GYQ995" s="124"/>
      <c r="GYR995" s="124"/>
      <c r="GYS995" s="124"/>
      <c r="GYT995" s="124"/>
      <c r="GYU995" s="124"/>
      <c r="GYV995" s="124"/>
      <c r="GYW995" s="124"/>
      <c r="GYX995" s="124"/>
      <c r="GYY995" s="124"/>
      <c r="GYZ995" s="124"/>
      <c r="GZA995" s="124"/>
      <c r="GZB995" s="124"/>
      <c r="GZC995" s="124"/>
      <c r="GZD995" s="124"/>
      <c r="GZE995" s="124"/>
      <c r="GZF995" s="124"/>
      <c r="GZG995" s="124"/>
      <c r="GZH995" s="124"/>
      <c r="GZI995" s="124"/>
      <c r="GZJ995" s="124"/>
      <c r="GZK995" s="124"/>
      <c r="GZL995" s="124"/>
      <c r="GZM995" s="124"/>
      <c r="GZN995" s="124"/>
      <c r="GZO995" s="124"/>
      <c r="GZP995" s="124"/>
      <c r="GZQ995" s="124"/>
      <c r="GZR995" s="124"/>
      <c r="GZS995" s="124"/>
      <c r="GZT995" s="124"/>
      <c r="GZU995" s="124"/>
      <c r="GZV995" s="124"/>
      <c r="GZW995" s="124"/>
      <c r="GZX995" s="124"/>
      <c r="GZY995" s="124"/>
      <c r="GZZ995" s="124"/>
      <c r="HAA995" s="124"/>
      <c r="HAB995" s="124"/>
      <c r="HAC995" s="124"/>
      <c r="HAD995" s="124"/>
      <c r="HAE995" s="124"/>
      <c r="HAF995" s="124"/>
      <c r="HAG995" s="124"/>
      <c r="HAH995" s="124"/>
      <c r="HAI995" s="124"/>
      <c r="HAJ995" s="124"/>
      <c r="HAK995" s="124"/>
      <c r="HAL995" s="124"/>
      <c r="HAM995" s="124"/>
      <c r="HAN995" s="124"/>
      <c r="HAO995" s="124"/>
      <c r="HAP995" s="124"/>
      <c r="HAQ995" s="124"/>
      <c r="HAR995" s="124"/>
      <c r="HAS995" s="124"/>
      <c r="HAT995" s="124"/>
      <c r="HAU995" s="124"/>
      <c r="HAV995" s="124"/>
      <c r="HAW995" s="124"/>
      <c r="HAX995" s="124"/>
      <c r="HAY995" s="124"/>
      <c r="HAZ995" s="124"/>
      <c r="HBA995" s="124"/>
      <c r="HBB995" s="124"/>
      <c r="HBC995" s="124"/>
      <c r="HBD995" s="124"/>
      <c r="HBE995" s="124"/>
      <c r="HBF995" s="124"/>
      <c r="HBG995" s="124"/>
      <c r="HBH995" s="124"/>
      <c r="HBI995" s="124"/>
      <c r="HBJ995" s="124"/>
      <c r="HBK995" s="124"/>
      <c r="HBL995" s="124"/>
      <c r="HBM995" s="124"/>
      <c r="HBN995" s="124"/>
      <c r="HBO995" s="124"/>
      <c r="HBP995" s="124"/>
      <c r="HBQ995" s="124"/>
      <c r="HBR995" s="124"/>
      <c r="HBS995" s="124"/>
      <c r="HBT995" s="124"/>
      <c r="HBU995" s="124"/>
      <c r="HBV995" s="124"/>
      <c r="HBW995" s="124"/>
      <c r="HBX995" s="124"/>
      <c r="HBY995" s="124"/>
      <c r="HBZ995" s="124"/>
      <c r="HCA995" s="124"/>
      <c r="HCB995" s="124"/>
      <c r="HCC995" s="124"/>
      <c r="HCD995" s="124"/>
      <c r="HCE995" s="124"/>
      <c r="HCF995" s="124"/>
      <c r="HCG995" s="124"/>
      <c r="HCH995" s="124"/>
      <c r="HCI995" s="124"/>
      <c r="HCJ995" s="124"/>
      <c r="HCK995" s="124"/>
      <c r="HCL995" s="124"/>
      <c r="HCM995" s="124"/>
      <c r="HCN995" s="124"/>
      <c r="HCO995" s="124"/>
      <c r="HCP995" s="124"/>
      <c r="HCQ995" s="124"/>
      <c r="HCR995" s="124"/>
      <c r="HCS995" s="124"/>
      <c r="HCT995" s="124"/>
      <c r="HCU995" s="124"/>
      <c r="HCV995" s="124"/>
      <c r="HCW995" s="124"/>
      <c r="HCX995" s="124"/>
      <c r="HCY995" s="124"/>
      <c r="HCZ995" s="124"/>
      <c r="HDA995" s="124"/>
      <c r="HDB995" s="124"/>
      <c r="HDC995" s="124"/>
      <c r="HDD995" s="124"/>
      <c r="HDE995" s="124"/>
      <c r="HDF995" s="124"/>
      <c r="HDG995" s="124"/>
      <c r="HDH995" s="124"/>
      <c r="HDI995" s="124"/>
      <c r="HDJ995" s="124"/>
      <c r="HDK995" s="124"/>
      <c r="HDL995" s="124"/>
      <c r="HDM995" s="124"/>
      <c r="HDN995" s="124"/>
      <c r="HDO995" s="124"/>
      <c r="HDP995" s="124"/>
      <c r="HDQ995" s="124"/>
      <c r="HDR995" s="124"/>
      <c r="HDS995" s="124"/>
      <c r="HDT995" s="124"/>
      <c r="HDU995" s="124"/>
      <c r="HDV995" s="124"/>
      <c r="HDW995" s="124"/>
      <c r="HDX995" s="124"/>
      <c r="HDY995" s="124"/>
      <c r="HDZ995" s="124"/>
      <c r="HEA995" s="124"/>
      <c r="HEB995" s="124"/>
      <c r="HEC995" s="124"/>
      <c r="HED995" s="124"/>
      <c r="HEE995" s="124"/>
      <c r="HEF995" s="124"/>
      <c r="HEG995" s="124"/>
      <c r="HEH995" s="124"/>
      <c r="HEI995" s="124"/>
      <c r="HEJ995" s="124"/>
      <c r="HEK995" s="124"/>
      <c r="HEL995" s="124"/>
      <c r="HEM995" s="124"/>
      <c r="HEN995" s="124"/>
      <c r="HEO995" s="124"/>
      <c r="HEP995" s="124"/>
      <c r="HEQ995" s="124"/>
      <c r="HER995" s="124"/>
      <c r="HES995" s="124"/>
      <c r="HET995" s="124"/>
      <c r="HEU995" s="124"/>
      <c r="HEV995" s="124"/>
      <c r="HEW995" s="124"/>
      <c r="HEX995" s="124"/>
      <c r="HEY995" s="124"/>
      <c r="HEZ995" s="124"/>
      <c r="HFA995" s="124"/>
      <c r="HFB995" s="124"/>
      <c r="HFC995" s="124"/>
      <c r="HFD995" s="124"/>
      <c r="HFE995" s="124"/>
      <c r="HFF995" s="124"/>
      <c r="HFG995" s="124"/>
      <c r="HFH995" s="124"/>
      <c r="HFI995" s="124"/>
      <c r="HFJ995" s="124"/>
      <c r="HFK995" s="124"/>
      <c r="HFL995" s="124"/>
      <c r="HFM995" s="124"/>
      <c r="HFN995" s="124"/>
      <c r="HFO995" s="124"/>
      <c r="HFP995" s="124"/>
      <c r="HFQ995" s="124"/>
      <c r="HFR995" s="124"/>
      <c r="HFS995" s="124"/>
      <c r="HFT995" s="124"/>
      <c r="HFU995" s="124"/>
      <c r="HFV995" s="124"/>
      <c r="HFW995" s="124"/>
      <c r="HFX995" s="124"/>
      <c r="HFY995" s="124"/>
      <c r="HFZ995" s="124"/>
      <c r="HGA995" s="124"/>
      <c r="HGB995" s="124"/>
      <c r="HGC995" s="124"/>
      <c r="HGD995" s="124"/>
      <c r="HGE995" s="124"/>
      <c r="HGF995" s="124"/>
      <c r="HGG995" s="124"/>
      <c r="HGH995" s="124"/>
      <c r="HGI995" s="124"/>
      <c r="HGJ995" s="124"/>
      <c r="HGK995" s="124"/>
      <c r="HGL995" s="124"/>
      <c r="HGM995" s="124"/>
      <c r="HGN995" s="124"/>
      <c r="HGO995" s="124"/>
      <c r="HGP995" s="124"/>
      <c r="HGQ995" s="124"/>
      <c r="HGR995" s="124"/>
      <c r="HGS995" s="124"/>
      <c r="HGT995" s="124"/>
      <c r="HGU995" s="124"/>
      <c r="HGV995" s="124"/>
      <c r="HGW995" s="124"/>
      <c r="HGX995" s="124"/>
      <c r="HGY995" s="124"/>
      <c r="HGZ995" s="124"/>
      <c r="HHA995" s="124"/>
      <c r="HHB995" s="124"/>
      <c r="HHC995" s="124"/>
      <c r="HHD995" s="124"/>
      <c r="HHE995" s="124"/>
      <c r="HHF995" s="124"/>
      <c r="HHG995" s="124"/>
      <c r="HHH995" s="124"/>
      <c r="HHI995" s="124"/>
      <c r="HHJ995" s="124"/>
      <c r="HHK995" s="124"/>
      <c r="HHL995" s="124"/>
      <c r="HHM995" s="124"/>
      <c r="HHN995" s="124"/>
      <c r="HHO995" s="124"/>
      <c r="HHP995" s="124"/>
      <c r="HHQ995" s="124"/>
      <c r="HHR995" s="124"/>
      <c r="HHS995" s="124"/>
      <c r="HHT995" s="124"/>
      <c r="HHU995" s="124"/>
      <c r="HHV995" s="124"/>
      <c r="HHW995" s="124"/>
      <c r="HHX995" s="124"/>
      <c r="HHY995" s="124"/>
      <c r="HHZ995" s="124"/>
      <c r="HIA995" s="124"/>
      <c r="HIB995" s="124"/>
      <c r="HIC995" s="124"/>
      <c r="HID995" s="124"/>
      <c r="HIE995" s="124"/>
      <c r="HIF995" s="124"/>
      <c r="HIG995" s="124"/>
      <c r="HIH995" s="124"/>
      <c r="HII995" s="124"/>
      <c r="HIJ995" s="124"/>
      <c r="HIK995" s="124"/>
      <c r="HIL995" s="124"/>
      <c r="HIM995" s="124"/>
      <c r="HIN995" s="124"/>
      <c r="HIO995" s="124"/>
      <c r="HIP995" s="124"/>
      <c r="HIQ995" s="124"/>
      <c r="HIR995" s="124"/>
      <c r="HIS995" s="124"/>
      <c r="HIT995" s="124"/>
      <c r="HIU995" s="124"/>
      <c r="HIV995" s="124"/>
      <c r="HIW995" s="124"/>
      <c r="HIX995" s="124"/>
      <c r="HIY995" s="124"/>
      <c r="HIZ995" s="124"/>
      <c r="HJA995" s="124"/>
      <c r="HJB995" s="124"/>
      <c r="HJC995" s="124"/>
      <c r="HJD995" s="124"/>
      <c r="HJE995" s="124"/>
      <c r="HJF995" s="124"/>
      <c r="HJG995" s="124"/>
      <c r="HJH995" s="124"/>
      <c r="HJI995" s="124"/>
      <c r="HJJ995" s="124"/>
      <c r="HJK995" s="124"/>
      <c r="HJL995" s="124"/>
      <c r="HJM995" s="124"/>
      <c r="HJN995" s="124"/>
      <c r="HJO995" s="124"/>
      <c r="HJP995" s="124"/>
      <c r="HJQ995" s="124"/>
      <c r="HJR995" s="124"/>
      <c r="HJS995" s="124"/>
      <c r="HJT995" s="124"/>
      <c r="HJU995" s="124"/>
      <c r="HJV995" s="124"/>
      <c r="HJW995" s="124"/>
      <c r="HJX995" s="124"/>
      <c r="HJY995" s="124"/>
      <c r="HJZ995" s="124"/>
      <c r="HKA995" s="124"/>
      <c r="HKB995" s="124"/>
      <c r="HKC995" s="124"/>
      <c r="HKD995" s="124"/>
      <c r="HKE995" s="124"/>
      <c r="HKF995" s="124"/>
      <c r="HKG995" s="124"/>
      <c r="HKH995" s="124"/>
      <c r="HKI995" s="124"/>
      <c r="HKJ995" s="124"/>
      <c r="HKK995" s="124"/>
      <c r="HKL995" s="124"/>
      <c r="HKM995" s="124"/>
      <c r="HKN995" s="124"/>
      <c r="HKO995" s="124"/>
      <c r="HKP995" s="124"/>
      <c r="HKQ995" s="124"/>
      <c r="HKR995" s="124"/>
      <c r="HKS995" s="124"/>
      <c r="HKT995" s="124"/>
      <c r="HKU995" s="124"/>
      <c r="HKV995" s="124"/>
      <c r="HKW995" s="124"/>
      <c r="HKX995" s="124"/>
      <c r="HKY995" s="124"/>
      <c r="HKZ995" s="124"/>
      <c r="HLA995" s="124"/>
      <c r="HLB995" s="124"/>
      <c r="HLC995" s="124"/>
      <c r="HLD995" s="124"/>
      <c r="HLE995" s="124"/>
      <c r="HLF995" s="124"/>
      <c r="HLG995" s="124"/>
      <c r="HLH995" s="124"/>
      <c r="HLI995" s="124"/>
      <c r="HLJ995" s="124"/>
      <c r="HLK995" s="124"/>
      <c r="HLL995" s="124"/>
      <c r="HLM995" s="124"/>
      <c r="HLN995" s="124"/>
      <c r="HLO995" s="124"/>
      <c r="HLP995" s="124"/>
      <c r="HLQ995" s="124"/>
      <c r="HLR995" s="124"/>
      <c r="HLS995" s="124"/>
      <c r="HLT995" s="124"/>
      <c r="HLU995" s="124"/>
      <c r="HLV995" s="124"/>
      <c r="HLW995" s="124"/>
      <c r="HLX995" s="124"/>
      <c r="HLY995" s="124"/>
      <c r="HLZ995" s="124"/>
      <c r="HMA995" s="124"/>
      <c r="HMB995" s="124"/>
      <c r="HMC995" s="124"/>
      <c r="HMD995" s="124"/>
      <c r="HME995" s="124"/>
      <c r="HMF995" s="124"/>
      <c r="HMG995" s="124"/>
      <c r="HMH995" s="124"/>
      <c r="HMI995" s="124"/>
      <c r="HMJ995" s="124"/>
      <c r="HMK995" s="124"/>
      <c r="HML995" s="124"/>
      <c r="HMM995" s="124"/>
      <c r="HMN995" s="124"/>
      <c r="HMO995" s="124"/>
      <c r="HMP995" s="124"/>
      <c r="HMQ995" s="124"/>
      <c r="HMR995" s="124"/>
      <c r="HMS995" s="124"/>
      <c r="HMT995" s="124"/>
      <c r="HMU995" s="124"/>
      <c r="HMV995" s="124"/>
      <c r="HMW995" s="124"/>
      <c r="HMX995" s="124"/>
      <c r="HMY995" s="124"/>
      <c r="HMZ995" s="124"/>
      <c r="HNA995" s="124"/>
      <c r="HNB995" s="124"/>
      <c r="HNC995" s="124"/>
      <c r="HND995" s="124"/>
      <c r="HNE995" s="124"/>
      <c r="HNF995" s="124"/>
      <c r="HNG995" s="124"/>
      <c r="HNH995" s="124"/>
      <c r="HNI995" s="124"/>
      <c r="HNJ995" s="124"/>
      <c r="HNK995" s="124"/>
      <c r="HNL995" s="124"/>
      <c r="HNM995" s="124"/>
      <c r="HNN995" s="124"/>
      <c r="HNO995" s="124"/>
      <c r="HNP995" s="124"/>
      <c r="HNQ995" s="124"/>
      <c r="HNR995" s="124"/>
      <c r="HNS995" s="124"/>
      <c r="HNT995" s="124"/>
      <c r="HNU995" s="124"/>
      <c r="HNV995" s="124"/>
      <c r="HNW995" s="124"/>
      <c r="HNX995" s="124"/>
      <c r="HNY995" s="124"/>
      <c r="HNZ995" s="124"/>
      <c r="HOA995" s="124"/>
      <c r="HOB995" s="124"/>
      <c r="HOC995" s="124"/>
      <c r="HOD995" s="124"/>
      <c r="HOE995" s="124"/>
      <c r="HOF995" s="124"/>
      <c r="HOG995" s="124"/>
      <c r="HOH995" s="124"/>
      <c r="HOI995" s="124"/>
      <c r="HOJ995" s="124"/>
      <c r="HOK995" s="124"/>
      <c r="HOL995" s="124"/>
      <c r="HOM995" s="124"/>
      <c r="HON995" s="124"/>
      <c r="HOO995" s="124"/>
      <c r="HOP995" s="124"/>
      <c r="HOQ995" s="124"/>
      <c r="HOR995" s="124"/>
      <c r="HOS995" s="124"/>
      <c r="HOT995" s="124"/>
      <c r="HOU995" s="124"/>
      <c r="HOV995" s="124"/>
      <c r="HOW995" s="124"/>
      <c r="HOX995" s="124"/>
      <c r="HOY995" s="124"/>
      <c r="HOZ995" s="124"/>
      <c r="HPA995" s="124"/>
      <c r="HPB995" s="124"/>
      <c r="HPC995" s="124"/>
      <c r="HPD995" s="124"/>
      <c r="HPE995" s="124"/>
      <c r="HPF995" s="124"/>
      <c r="HPG995" s="124"/>
      <c r="HPH995" s="124"/>
      <c r="HPI995" s="124"/>
      <c r="HPJ995" s="124"/>
      <c r="HPK995" s="124"/>
      <c r="HPL995" s="124"/>
      <c r="HPM995" s="124"/>
      <c r="HPN995" s="124"/>
      <c r="HPO995" s="124"/>
      <c r="HPP995" s="124"/>
      <c r="HPQ995" s="124"/>
      <c r="HPR995" s="124"/>
      <c r="HPS995" s="124"/>
      <c r="HPT995" s="124"/>
      <c r="HPU995" s="124"/>
      <c r="HPV995" s="124"/>
      <c r="HPW995" s="124"/>
      <c r="HPX995" s="124"/>
      <c r="HPY995" s="124"/>
      <c r="HPZ995" s="124"/>
      <c r="HQA995" s="124"/>
      <c r="HQB995" s="124"/>
      <c r="HQC995" s="124"/>
      <c r="HQD995" s="124"/>
      <c r="HQE995" s="124"/>
      <c r="HQF995" s="124"/>
      <c r="HQG995" s="124"/>
      <c r="HQH995" s="124"/>
      <c r="HQI995" s="124"/>
      <c r="HQJ995" s="124"/>
      <c r="HQK995" s="124"/>
      <c r="HQL995" s="124"/>
      <c r="HQM995" s="124"/>
      <c r="HQN995" s="124"/>
      <c r="HQO995" s="124"/>
      <c r="HQP995" s="124"/>
      <c r="HQQ995" s="124"/>
      <c r="HQR995" s="124"/>
      <c r="HQS995" s="124"/>
      <c r="HQT995" s="124"/>
      <c r="HQU995" s="124"/>
      <c r="HQV995" s="124"/>
      <c r="HQW995" s="124"/>
      <c r="HQX995" s="124"/>
      <c r="HQY995" s="124"/>
      <c r="HQZ995" s="124"/>
      <c r="HRA995" s="124"/>
      <c r="HRB995" s="124"/>
      <c r="HRC995" s="124"/>
      <c r="HRD995" s="124"/>
      <c r="HRE995" s="124"/>
      <c r="HRF995" s="124"/>
      <c r="HRG995" s="124"/>
      <c r="HRH995" s="124"/>
      <c r="HRI995" s="124"/>
      <c r="HRJ995" s="124"/>
      <c r="HRK995" s="124"/>
      <c r="HRL995" s="124"/>
      <c r="HRM995" s="124"/>
      <c r="HRN995" s="124"/>
      <c r="HRO995" s="124"/>
      <c r="HRP995" s="124"/>
      <c r="HRQ995" s="124"/>
      <c r="HRR995" s="124"/>
      <c r="HRS995" s="124"/>
      <c r="HRT995" s="124"/>
      <c r="HRU995" s="124"/>
      <c r="HRV995" s="124"/>
      <c r="HRW995" s="124"/>
      <c r="HRX995" s="124"/>
      <c r="HRY995" s="124"/>
      <c r="HRZ995" s="124"/>
      <c r="HSA995" s="124"/>
      <c r="HSB995" s="124"/>
      <c r="HSC995" s="124"/>
      <c r="HSD995" s="124"/>
      <c r="HSE995" s="124"/>
      <c r="HSF995" s="124"/>
      <c r="HSG995" s="124"/>
      <c r="HSH995" s="124"/>
      <c r="HSI995" s="124"/>
      <c r="HSJ995" s="124"/>
      <c r="HSK995" s="124"/>
      <c r="HSL995" s="124"/>
      <c r="HSM995" s="124"/>
      <c r="HSN995" s="124"/>
      <c r="HSO995" s="124"/>
      <c r="HSP995" s="124"/>
      <c r="HSQ995" s="124"/>
      <c r="HSR995" s="124"/>
      <c r="HSS995" s="124"/>
      <c r="HST995" s="124"/>
      <c r="HSU995" s="124"/>
      <c r="HSV995" s="124"/>
      <c r="HSW995" s="124"/>
      <c r="HSX995" s="124"/>
      <c r="HSY995" s="124"/>
      <c r="HSZ995" s="124"/>
      <c r="HTA995" s="124"/>
      <c r="HTB995" s="124"/>
      <c r="HTC995" s="124"/>
      <c r="HTD995" s="124"/>
      <c r="HTE995" s="124"/>
      <c r="HTF995" s="124"/>
      <c r="HTG995" s="124"/>
      <c r="HTH995" s="124"/>
      <c r="HTI995" s="124"/>
      <c r="HTJ995" s="124"/>
      <c r="HTK995" s="124"/>
      <c r="HTL995" s="124"/>
      <c r="HTM995" s="124"/>
      <c r="HTN995" s="124"/>
      <c r="HTO995" s="124"/>
      <c r="HTP995" s="124"/>
      <c r="HTQ995" s="124"/>
      <c r="HTR995" s="124"/>
      <c r="HTS995" s="124"/>
      <c r="HTT995" s="124"/>
      <c r="HTU995" s="124"/>
      <c r="HTV995" s="124"/>
      <c r="HTW995" s="124"/>
      <c r="HTX995" s="124"/>
      <c r="HTY995" s="124"/>
      <c r="HTZ995" s="124"/>
      <c r="HUA995" s="124"/>
      <c r="HUB995" s="124"/>
      <c r="HUC995" s="124"/>
      <c r="HUD995" s="124"/>
      <c r="HUE995" s="124"/>
      <c r="HUF995" s="124"/>
      <c r="HUG995" s="124"/>
      <c r="HUH995" s="124"/>
      <c r="HUI995" s="124"/>
      <c r="HUJ995" s="124"/>
      <c r="HUK995" s="124"/>
      <c r="HUL995" s="124"/>
      <c r="HUM995" s="124"/>
      <c r="HUN995" s="124"/>
      <c r="HUO995" s="124"/>
      <c r="HUP995" s="124"/>
      <c r="HUQ995" s="124"/>
      <c r="HUR995" s="124"/>
      <c r="HUS995" s="124"/>
      <c r="HUT995" s="124"/>
      <c r="HUU995" s="124"/>
      <c r="HUV995" s="124"/>
      <c r="HUW995" s="124"/>
      <c r="HUX995" s="124"/>
      <c r="HUY995" s="124"/>
      <c r="HUZ995" s="124"/>
      <c r="HVA995" s="124"/>
      <c r="HVB995" s="124"/>
      <c r="HVC995" s="124"/>
      <c r="HVD995" s="124"/>
      <c r="HVE995" s="124"/>
      <c r="HVF995" s="124"/>
      <c r="HVG995" s="124"/>
      <c r="HVH995" s="124"/>
      <c r="HVI995" s="124"/>
      <c r="HVJ995" s="124"/>
      <c r="HVK995" s="124"/>
      <c r="HVL995" s="124"/>
      <c r="HVM995" s="124"/>
      <c r="HVN995" s="124"/>
      <c r="HVO995" s="124"/>
      <c r="HVP995" s="124"/>
      <c r="HVQ995" s="124"/>
      <c r="HVR995" s="124"/>
      <c r="HVS995" s="124"/>
      <c r="HVT995" s="124"/>
      <c r="HVU995" s="124"/>
      <c r="HVV995" s="124"/>
      <c r="HVW995" s="124"/>
      <c r="HVX995" s="124"/>
      <c r="HVY995" s="124"/>
      <c r="HVZ995" s="124"/>
      <c r="HWA995" s="124"/>
      <c r="HWB995" s="124"/>
      <c r="HWC995" s="124"/>
      <c r="HWD995" s="124"/>
      <c r="HWE995" s="124"/>
      <c r="HWF995" s="124"/>
      <c r="HWG995" s="124"/>
      <c r="HWH995" s="124"/>
      <c r="HWI995" s="124"/>
      <c r="HWJ995" s="124"/>
      <c r="HWK995" s="124"/>
      <c r="HWL995" s="124"/>
      <c r="HWM995" s="124"/>
      <c r="HWN995" s="124"/>
      <c r="HWO995" s="124"/>
      <c r="HWP995" s="124"/>
      <c r="HWQ995" s="124"/>
      <c r="HWR995" s="124"/>
      <c r="HWS995" s="124"/>
      <c r="HWT995" s="124"/>
      <c r="HWU995" s="124"/>
      <c r="HWV995" s="124"/>
      <c r="HWW995" s="124"/>
      <c r="HWX995" s="124"/>
      <c r="HWY995" s="124"/>
      <c r="HWZ995" s="124"/>
      <c r="HXA995" s="124"/>
      <c r="HXB995" s="124"/>
      <c r="HXC995" s="124"/>
      <c r="HXD995" s="124"/>
      <c r="HXE995" s="124"/>
      <c r="HXF995" s="124"/>
      <c r="HXG995" s="124"/>
      <c r="HXH995" s="124"/>
      <c r="HXI995" s="124"/>
      <c r="HXJ995" s="124"/>
      <c r="HXK995" s="124"/>
      <c r="HXL995" s="124"/>
      <c r="HXM995" s="124"/>
      <c r="HXN995" s="124"/>
      <c r="HXO995" s="124"/>
      <c r="HXP995" s="124"/>
      <c r="HXQ995" s="124"/>
      <c r="HXR995" s="124"/>
      <c r="HXS995" s="124"/>
      <c r="HXT995" s="124"/>
      <c r="HXU995" s="124"/>
      <c r="HXV995" s="124"/>
      <c r="HXW995" s="124"/>
      <c r="HXX995" s="124"/>
      <c r="HXY995" s="124"/>
      <c r="HXZ995" s="124"/>
      <c r="HYA995" s="124"/>
      <c r="HYB995" s="124"/>
      <c r="HYC995" s="124"/>
      <c r="HYD995" s="124"/>
      <c r="HYE995" s="124"/>
      <c r="HYF995" s="124"/>
      <c r="HYG995" s="124"/>
      <c r="HYH995" s="124"/>
      <c r="HYI995" s="124"/>
      <c r="HYJ995" s="124"/>
      <c r="HYK995" s="124"/>
      <c r="HYL995" s="124"/>
      <c r="HYM995" s="124"/>
      <c r="HYN995" s="124"/>
      <c r="HYO995" s="124"/>
      <c r="HYP995" s="124"/>
      <c r="HYQ995" s="124"/>
      <c r="HYR995" s="124"/>
      <c r="HYS995" s="124"/>
      <c r="HYT995" s="124"/>
      <c r="HYU995" s="124"/>
      <c r="HYV995" s="124"/>
      <c r="HYW995" s="124"/>
      <c r="HYX995" s="124"/>
      <c r="HYY995" s="124"/>
      <c r="HYZ995" s="124"/>
      <c r="HZA995" s="124"/>
      <c r="HZB995" s="124"/>
      <c r="HZC995" s="124"/>
      <c r="HZD995" s="124"/>
      <c r="HZE995" s="124"/>
      <c r="HZF995" s="124"/>
      <c r="HZG995" s="124"/>
      <c r="HZH995" s="124"/>
      <c r="HZI995" s="124"/>
      <c r="HZJ995" s="124"/>
      <c r="HZK995" s="124"/>
      <c r="HZL995" s="124"/>
      <c r="HZM995" s="124"/>
      <c r="HZN995" s="124"/>
      <c r="HZO995" s="124"/>
      <c r="HZP995" s="124"/>
      <c r="HZQ995" s="124"/>
      <c r="HZR995" s="124"/>
      <c r="HZS995" s="124"/>
      <c r="HZT995" s="124"/>
      <c r="HZU995" s="124"/>
      <c r="HZV995" s="124"/>
      <c r="HZW995" s="124"/>
      <c r="HZX995" s="124"/>
      <c r="HZY995" s="124"/>
      <c r="HZZ995" s="124"/>
      <c r="IAA995" s="124"/>
      <c r="IAB995" s="124"/>
      <c r="IAC995" s="124"/>
      <c r="IAD995" s="124"/>
      <c r="IAE995" s="124"/>
      <c r="IAF995" s="124"/>
      <c r="IAG995" s="124"/>
      <c r="IAH995" s="124"/>
      <c r="IAI995" s="124"/>
      <c r="IAJ995" s="124"/>
      <c r="IAK995" s="124"/>
      <c r="IAL995" s="124"/>
      <c r="IAM995" s="124"/>
      <c r="IAN995" s="124"/>
      <c r="IAO995" s="124"/>
      <c r="IAP995" s="124"/>
      <c r="IAQ995" s="124"/>
      <c r="IAR995" s="124"/>
      <c r="IAS995" s="124"/>
      <c r="IAT995" s="124"/>
      <c r="IAU995" s="124"/>
      <c r="IAV995" s="124"/>
      <c r="IAW995" s="124"/>
      <c r="IAX995" s="124"/>
      <c r="IAY995" s="124"/>
      <c r="IAZ995" s="124"/>
      <c r="IBA995" s="124"/>
      <c r="IBB995" s="124"/>
      <c r="IBC995" s="124"/>
      <c r="IBD995" s="124"/>
      <c r="IBE995" s="124"/>
      <c r="IBF995" s="124"/>
      <c r="IBG995" s="124"/>
      <c r="IBH995" s="124"/>
      <c r="IBI995" s="124"/>
      <c r="IBJ995" s="124"/>
      <c r="IBK995" s="124"/>
      <c r="IBL995" s="124"/>
      <c r="IBM995" s="124"/>
      <c r="IBN995" s="124"/>
      <c r="IBO995" s="124"/>
      <c r="IBP995" s="124"/>
      <c r="IBQ995" s="124"/>
      <c r="IBR995" s="124"/>
      <c r="IBS995" s="124"/>
      <c r="IBT995" s="124"/>
      <c r="IBU995" s="124"/>
      <c r="IBV995" s="124"/>
      <c r="IBW995" s="124"/>
      <c r="IBX995" s="124"/>
      <c r="IBY995" s="124"/>
      <c r="IBZ995" s="124"/>
      <c r="ICA995" s="124"/>
      <c r="ICB995" s="124"/>
      <c r="ICC995" s="124"/>
      <c r="ICD995" s="124"/>
      <c r="ICE995" s="124"/>
      <c r="ICF995" s="124"/>
      <c r="ICG995" s="124"/>
      <c r="ICH995" s="124"/>
      <c r="ICI995" s="124"/>
      <c r="ICJ995" s="124"/>
      <c r="ICK995" s="124"/>
      <c r="ICL995" s="124"/>
      <c r="ICM995" s="124"/>
      <c r="ICN995" s="124"/>
      <c r="ICO995" s="124"/>
      <c r="ICP995" s="124"/>
      <c r="ICQ995" s="124"/>
      <c r="ICR995" s="124"/>
      <c r="ICS995" s="124"/>
      <c r="ICT995" s="124"/>
      <c r="ICU995" s="124"/>
      <c r="ICV995" s="124"/>
      <c r="ICW995" s="124"/>
      <c r="ICX995" s="124"/>
      <c r="ICY995" s="124"/>
      <c r="ICZ995" s="124"/>
      <c r="IDA995" s="124"/>
      <c r="IDB995" s="124"/>
      <c r="IDC995" s="124"/>
      <c r="IDD995" s="124"/>
      <c r="IDE995" s="124"/>
      <c r="IDF995" s="124"/>
      <c r="IDG995" s="124"/>
      <c r="IDH995" s="124"/>
      <c r="IDI995" s="124"/>
      <c r="IDJ995" s="124"/>
      <c r="IDK995" s="124"/>
      <c r="IDL995" s="124"/>
      <c r="IDM995" s="124"/>
      <c r="IDN995" s="124"/>
      <c r="IDO995" s="124"/>
      <c r="IDP995" s="124"/>
      <c r="IDQ995" s="124"/>
      <c r="IDR995" s="124"/>
      <c r="IDS995" s="124"/>
      <c r="IDT995" s="124"/>
      <c r="IDU995" s="124"/>
      <c r="IDV995" s="124"/>
      <c r="IDW995" s="124"/>
      <c r="IDX995" s="124"/>
      <c r="IDY995" s="124"/>
      <c r="IDZ995" s="124"/>
      <c r="IEA995" s="124"/>
      <c r="IEB995" s="124"/>
      <c r="IEC995" s="124"/>
      <c r="IED995" s="124"/>
      <c r="IEE995" s="124"/>
      <c r="IEF995" s="124"/>
      <c r="IEG995" s="124"/>
      <c r="IEH995" s="124"/>
      <c r="IEI995" s="124"/>
      <c r="IEJ995" s="124"/>
      <c r="IEK995" s="124"/>
      <c r="IEL995" s="124"/>
      <c r="IEM995" s="124"/>
      <c r="IEN995" s="124"/>
      <c r="IEO995" s="124"/>
      <c r="IEP995" s="124"/>
      <c r="IEQ995" s="124"/>
      <c r="IER995" s="124"/>
      <c r="IES995" s="124"/>
      <c r="IET995" s="124"/>
      <c r="IEU995" s="124"/>
      <c r="IEV995" s="124"/>
      <c r="IEW995" s="124"/>
      <c r="IEX995" s="124"/>
      <c r="IEY995" s="124"/>
      <c r="IEZ995" s="124"/>
      <c r="IFA995" s="124"/>
      <c r="IFB995" s="124"/>
      <c r="IFC995" s="124"/>
      <c r="IFD995" s="124"/>
      <c r="IFE995" s="124"/>
      <c r="IFF995" s="124"/>
      <c r="IFG995" s="124"/>
      <c r="IFH995" s="124"/>
      <c r="IFI995" s="124"/>
      <c r="IFJ995" s="124"/>
      <c r="IFK995" s="124"/>
      <c r="IFL995" s="124"/>
      <c r="IFM995" s="124"/>
      <c r="IFN995" s="124"/>
      <c r="IFO995" s="124"/>
      <c r="IFP995" s="124"/>
      <c r="IFQ995" s="124"/>
      <c r="IFR995" s="124"/>
      <c r="IFS995" s="124"/>
      <c r="IFT995" s="124"/>
      <c r="IFU995" s="124"/>
      <c r="IFV995" s="124"/>
      <c r="IFW995" s="124"/>
      <c r="IFX995" s="124"/>
      <c r="IFY995" s="124"/>
      <c r="IFZ995" s="124"/>
      <c r="IGA995" s="124"/>
      <c r="IGB995" s="124"/>
      <c r="IGC995" s="124"/>
      <c r="IGD995" s="124"/>
      <c r="IGE995" s="124"/>
      <c r="IGF995" s="124"/>
      <c r="IGG995" s="124"/>
      <c r="IGH995" s="124"/>
      <c r="IGI995" s="124"/>
      <c r="IGJ995" s="124"/>
      <c r="IGK995" s="124"/>
      <c r="IGL995" s="124"/>
      <c r="IGM995" s="124"/>
      <c r="IGN995" s="124"/>
      <c r="IGO995" s="124"/>
      <c r="IGP995" s="124"/>
      <c r="IGQ995" s="124"/>
      <c r="IGR995" s="124"/>
      <c r="IGS995" s="124"/>
      <c r="IGT995" s="124"/>
      <c r="IGU995" s="124"/>
      <c r="IGV995" s="124"/>
      <c r="IGW995" s="124"/>
      <c r="IGX995" s="124"/>
      <c r="IGY995" s="124"/>
      <c r="IGZ995" s="124"/>
      <c r="IHA995" s="124"/>
      <c r="IHB995" s="124"/>
      <c r="IHC995" s="124"/>
      <c r="IHD995" s="124"/>
      <c r="IHE995" s="124"/>
      <c r="IHF995" s="124"/>
      <c r="IHG995" s="124"/>
      <c r="IHH995" s="124"/>
      <c r="IHI995" s="124"/>
      <c r="IHJ995" s="124"/>
      <c r="IHK995" s="124"/>
      <c r="IHL995" s="124"/>
      <c r="IHM995" s="124"/>
      <c r="IHN995" s="124"/>
      <c r="IHO995" s="124"/>
      <c r="IHP995" s="124"/>
      <c r="IHQ995" s="124"/>
      <c r="IHR995" s="124"/>
      <c r="IHS995" s="124"/>
      <c r="IHT995" s="124"/>
      <c r="IHU995" s="124"/>
      <c r="IHV995" s="124"/>
      <c r="IHW995" s="124"/>
      <c r="IHX995" s="124"/>
      <c r="IHY995" s="124"/>
      <c r="IHZ995" s="124"/>
      <c r="IIA995" s="124"/>
      <c r="IIB995" s="124"/>
      <c r="IIC995" s="124"/>
      <c r="IID995" s="124"/>
      <c r="IIE995" s="124"/>
      <c r="IIF995" s="124"/>
      <c r="IIG995" s="124"/>
      <c r="IIH995" s="124"/>
      <c r="III995" s="124"/>
      <c r="IIJ995" s="124"/>
      <c r="IIK995" s="124"/>
      <c r="IIL995" s="124"/>
      <c r="IIM995" s="124"/>
      <c r="IIN995" s="124"/>
      <c r="IIO995" s="124"/>
      <c r="IIP995" s="124"/>
      <c r="IIQ995" s="124"/>
      <c r="IIR995" s="124"/>
      <c r="IIS995" s="124"/>
      <c r="IIT995" s="124"/>
      <c r="IIU995" s="124"/>
      <c r="IIV995" s="124"/>
      <c r="IIW995" s="124"/>
      <c r="IIX995" s="124"/>
      <c r="IIY995" s="124"/>
      <c r="IIZ995" s="124"/>
      <c r="IJA995" s="124"/>
      <c r="IJB995" s="124"/>
      <c r="IJC995" s="124"/>
      <c r="IJD995" s="124"/>
      <c r="IJE995" s="124"/>
      <c r="IJF995" s="124"/>
      <c r="IJG995" s="124"/>
      <c r="IJH995" s="124"/>
      <c r="IJI995" s="124"/>
      <c r="IJJ995" s="124"/>
      <c r="IJK995" s="124"/>
      <c r="IJL995" s="124"/>
      <c r="IJM995" s="124"/>
      <c r="IJN995" s="124"/>
      <c r="IJO995" s="124"/>
      <c r="IJP995" s="124"/>
      <c r="IJQ995" s="124"/>
      <c r="IJR995" s="124"/>
      <c r="IJS995" s="124"/>
      <c r="IJT995" s="124"/>
      <c r="IJU995" s="124"/>
      <c r="IJV995" s="124"/>
      <c r="IJW995" s="124"/>
      <c r="IJX995" s="124"/>
      <c r="IJY995" s="124"/>
      <c r="IJZ995" s="124"/>
      <c r="IKA995" s="124"/>
      <c r="IKB995" s="124"/>
      <c r="IKC995" s="124"/>
      <c r="IKD995" s="124"/>
      <c r="IKE995" s="124"/>
      <c r="IKF995" s="124"/>
      <c r="IKG995" s="124"/>
      <c r="IKH995" s="124"/>
      <c r="IKI995" s="124"/>
      <c r="IKJ995" s="124"/>
      <c r="IKK995" s="124"/>
      <c r="IKL995" s="124"/>
      <c r="IKM995" s="124"/>
      <c r="IKN995" s="124"/>
      <c r="IKO995" s="124"/>
      <c r="IKP995" s="124"/>
      <c r="IKQ995" s="124"/>
      <c r="IKR995" s="124"/>
      <c r="IKS995" s="124"/>
      <c r="IKT995" s="124"/>
      <c r="IKU995" s="124"/>
      <c r="IKV995" s="124"/>
      <c r="IKW995" s="124"/>
      <c r="IKX995" s="124"/>
      <c r="IKY995" s="124"/>
      <c r="IKZ995" s="124"/>
      <c r="ILA995" s="124"/>
      <c r="ILB995" s="124"/>
      <c r="ILC995" s="124"/>
      <c r="ILD995" s="124"/>
      <c r="ILE995" s="124"/>
      <c r="ILF995" s="124"/>
      <c r="ILG995" s="124"/>
      <c r="ILH995" s="124"/>
      <c r="ILI995" s="124"/>
      <c r="ILJ995" s="124"/>
      <c r="ILK995" s="124"/>
      <c r="ILL995" s="124"/>
      <c r="ILM995" s="124"/>
      <c r="ILN995" s="124"/>
      <c r="ILO995" s="124"/>
      <c r="ILP995" s="124"/>
      <c r="ILQ995" s="124"/>
      <c r="ILR995" s="124"/>
      <c r="ILS995" s="124"/>
      <c r="ILT995" s="124"/>
      <c r="ILU995" s="124"/>
      <c r="ILV995" s="124"/>
      <c r="ILW995" s="124"/>
      <c r="ILX995" s="124"/>
      <c r="ILY995" s="124"/>
      <c r="ILZ995" s="124"/>
      <c r="IMA995" s="124"/>
      <c r="IMB995" s="124"/>
      <c r="IMC995" s="124"/>
      <c r="IMD995" s="124"/>
      <c r="IME995" s="124"/>
      <c r="IMF995" s="124"/>
      <c r="IMG995" s="124"/>
      <c r="IMH995" s="124"/>
      <c r="IMI995" s="124"/>
      <c r="IMJ995" s="124"/>
      <c r="IMK995" s="124"/>
      <c r="IML995" s="124"/>
      <c r="IMM995" s="124"/>
      <c r="IMN995" s="124"/>
      <c r="IMO995" s="124"/>
      <c r="IMP995" s="124"/>
      <c r="IMQ995" s="124"/>
      <c r="IMR995" s="124"/>
      <c r="IMS995" s="124"/>
      <c r="IMT995" s="124"/>
      <c r="IMU995" s="124"/>
      <c r="IMV995" s="124"/>
      <c r="IMW995" s="124"/>
      <c r="IMX995" s="124"/>
      <c r="IMY995" s="124"/>
      <c r="IMZ995" s="124"/>
      <c r="INA995" s="124"/>
      <c r="INB995" s="124"/>
      <c r="INC995" s="124"/>
      <c r="IND995" s="124"/>
      <c r="INE995" s="124"/>
      <c r="INF995" s="124"/>
      <c r="ING995" s="124"/>
      <c r="INH995" s="124"/>
      <c r="INI995" s="124"/>
      <c r="INJ995" s="124"/>
      <c r="INK995" s="124"/>
      <c r="INL995" s="124"/>
      <c r="INM995" s="124"/>
      <c r="INN995" s="124"/>
      <c r="INO995" s="124"/>
      <c r="INP995" s="124"/>
      <c r="INQ995" s="124"/>
      <c r="INR995" s="124"/>
      <c r="INS995" s="124"/>
      <c r="INT995" s="124"/>
      <c r="INU995" s="124"/>
      <c r="INV995" s="124"/>
      <c r="INW995" s="124"/>
      <c r="INX995" s="124"/>
      <c r="INY995" s="124"/>
      <c r="INZ995" s="124"/>
      <c r="IOA995" s="124"/>
      <c r="IOB995" s="124"/>
      <c r="IOC995" s="124"/>
      <c r="IOD995" s="124"/>
      <c r="IOE995" s="124"/>
      <c r="IOF995" s="124"/>
      <c r="IOG995" s="124"/>
      <c r="IOH995" s="124"/>
      <c r="IOI995" s="124"/>
      <c r="IOJ995" s="124"/>
      <c r="IOK995" s="124"/>
      <c r="IOL995" s="124"/>
      <c r="IOM995" s="124"/>
      <c r="ION995" s="124"/>
      <c r="IOO995" s="124"/>
      <c r="IOP995" s="124"/>
      <c r="IOQ995" s="124"/>
      <c r="IOR995" s="124"/>
      <c r="IOS995" s="124"/>
      <c r="IOT995" s="124"/>
      <c r="IOU995" s="124"/>
      <c r="IOV995" s="124"/>
      <c r="IOW995" s="124"/>
      <c r="IOX995" s="124"/>
      <c r="IOY995" s="124"/>
      <c r="IOZ995" s="124"/>
      <c r="IPA995" s="124"/>
      <c r="IPB995" s="124"/>
      <c r="IPC995" s="124"/>
      <c r="IPD995" s="124"/>
      <c r="IPE995" s="124"/>
      <c r="IPF995" s="124"/>
      <c r="IPG995" s="124"/>
      <c r="IPH995" s="124"/>
      <c r="IPI995" s="124"/>
      <c r="IPJ995" s="124"/>
      <c r="IPK995" s="124"/>
      <c r="IPL995" s="124"/>
      <c r="IPM995" s="124"/>
      <c r="IPN995" s="124"/>
      <c r="IPO995" s="124"/>
      <c r="IPP995" s="124"/>
      <c r="IPQ995" s="124"/>
      <c r="IPR995" s="124"/>
      <c r="IPS995" s="124"/>
      <c r="IPT995" s="124"/>
      <c r="IPU995" s="124"/>
      <c r="IPV995" s="124"/>
      <c r="IPW995" s="124"/>
      <c r="IPX995" s="124"/>
      <c r="IPY995" s="124"/>
      <c r="IPZ995" s="124"/>
      <c r="IQA995" s="124"/>
      <c r="IQB995" s="124"/>
      <c r="IQC995" s="124"/>
      <c r="IQD995" s="124"/>
      <c r="IQE995" s="124"/>
      <c r="IQF995" s="124"/>
      <c r="IQG995" s="124"/>
      <c r="IQH995" s="124"/>
      <c r="IQI995" s="124"/>
      <c r="IQJ995" s="124"/>
      <c r="IQK995" s="124"/>
      <c r="IQL995" s="124"/>
      <c r="IQM995" s="124"/>
      <c r="IQN995" s="124"/>
      <c r="IQO995" s="124"/>
      <c r="IQP995" s="124"/>
      <c r="IQQ995" s="124"/>
      <c r="IQR995" s="124"/>
      <c r="IQS995" s="124"/>
      <c r="IQT995" s="124"/>
      <c r="IQU995" s="124"/>
      <c r="IQV995" s="124"/>
      <c r="IQW995" s="124"/>
      <c r="IQX995" s="124"/>
      <c r="IQY995" s="124"/>
      <c r="IQZ995" s="124"/>
      <c r="IRA995" s="124"/>
      <c r="IRB995" s="124"/>
      <c r="IRC995" s="124"/>
      <c r="IRD995" s="124"/>
      <c r="IRE995" s="124"/>
      <c r="IRF995" s="124"/>
      <c r="IRG995" s="124"/>
      <c r="IRH995" s="124"/>
      <c r="IRI995" s="124"/>
      <c r="IRJ995" s="124"/>
      <c r="IRK995" s="124"/>
      <c r="IRL995" s="124"/>
      <c r="IRM995" s="124"/>
      <c r="IRN995" s="124"/>
      <c r="IRO995" s="124"/>
      <c r="IRP995" s="124"/>
      <c r="IRQ995" s="124"/>
      <c r="IRR995" s="124"/>
      <c r="IRS995" s="124"/>
      <c r="IRT995" s="124"/>
      <c r="IRU995" s="124"/>
      <c r="IRV995" s="124"/>
      <c r="IRW995" s="124"/>
      <c r="IRX995" s="124"/>
      <c r="IRY995" s="124"/>
      <c r="IRZ995" s="124"/>
      <c r="ISA995" s="124"/>
      <c r="ISB995" s="124"/>
      <c r="ISC995" s="124"/>
      <c r="ISD995" s="124"/>
      <c r="ISE995" s="124"/>
      <c r="ISF995" s="124"/>
      <c r="ISG995" s="124"/>
      <c r="ISH995" s="124"/>
      <c r="ISI995" s="124"/>
      <c r="ISJ995" s="124"/>
      <c r="ISK995" s="124"/>
      <c r="ISL995" s="124"/>
      <c r="ISM995" s="124"/>
      <c r="ISN995" s="124"/>
      <c r="ISO995" s="124"/>
      <c r="ISP995" s="124"/>
      <c r="ISQ995" s="124"/>
      <c r="ISR995" s="124"/>
      <c r="ISS995" s="124"/>
      <c r="IST995" s="124"/>
      <c r="ISU995" s="124"/>
      <c r="ISV995" s="124"/>
      <c r="ISW995" s="124"/>
      <c r="ISX995" s="124"/>
      <c r="ISY995" s="124"/>
      <c r="ISZ995" s="124"/>
      <c r="ITA995" s="124"/>
      <c r="ITB995" s="124"/>
      <c r="ITC995" s="124"/>
      <c r="ITD995" s="124"/>
      <c r="ITE995" s="124"/>
      <c r="ITF995" s="124"/>
      <c r="ITG995" s="124"/>
      <c r="ITH995" s="124"/>
      <c r="ITI995" s="124"/>
      <c r="ITJ995" s="124"/>
      <c r="ITK995" s="124"/>
      <c r="ITL995" s="124"/>
      <c r="ITM995" s="124"/>
      <c r="ITN995" s="124"/>
      <c r="ITO995" s="124"/>
      <c r="ITP995" s="124"/>
      <c r="ITQ995" s="124"/>
      <c r="ITR995" s="124"/>
      <c r="ITS995" s="124"/>
      <c r="ITT995" s="124"/>
      <c r="ITU995" s="124"/>
      <c r="ITV995" s="124"/>
      <c r="ITW995" s="124"/>
      <c r="ITX995" s="124"/>
      <c r="ITY995" s="124"/>
      <c r="ITZ995" s="124"/>
      <c r="IUA995" s="124"/>
      <c r="IUB995" s="124"/>
      <c r="IUC995" s="124"/>
      <c r="IUD995" s="124"/>
      <c r="IUE995" s="124"/>
      <c r="IUF995" s="124"/>
      <c r="IUG995" s="124"/>
      <c r="IUH995" s="124"/>
      <c r="IUI995" s="124"/>
      <c r="IUJ995" s="124"/>
      <c r="IUK995" s="124"/>
      <c r="IUL995" s="124"/>
      <c r="IUM995" s="124"/>
      <c r="IUN995" s="124"/>
      <c r="IUO995" s="124"/>
      <c r="IUP995" s="124"/>
      <c r="IUQ995" s="124"/>
      <c r="IUR995" s="124"/>
      <c r="IUS995" s="124"/>
      <c r="IUT995" s="124"/>
      <c r="IUU995" s="124"/>
      <c r="IUV995" s="124"/>
      <c r="IUW995" s="124"/>
      <c r="IUX995" s="124"/>
      <c r="IUY995" s="124"/>
      <c r="IUZ995" s="124"/>
      <c r="IVA995" s="124"/>
      <c r="IVB995" s="124"/>
      <c r="IVC995" s="124"/>
      <c r="IVD995" s="124"/>
      <c r="IVE995" s="124"/>
      <c r="IVF995" s="124"/>
      <c r="IVG995" s="124"/>
      <c r="IVH995" s="124"/>
      <c r="IVI995" s="124"/>
      <c r="IVJ995" s="124"/>
      <c r="IVK995" s="124"/>
      <c r="IVL995" s="124"/>
      <c r="IVM995" s="124"/>
      <c r="IVN995" s="124"/>
      <c r="IVO995" s="124"/>
      <c r="IVP995" s="124"/>
      <c r="IVQ995" s="124"/>
      <c r="IVR995" s="124"/>
      <c r="IVS995" s="124"/>
      <c r="IVT995" s="124"/>
      <c r="IVU995" s="124"/>
      <c r="IVV995" s="124"/>
      <c r="IVW995" s="124"/>
      <c r="IVX995" s="124"/>
      <c r="IVY995" s="124"/>
      <c r="IVZ995" s="124"/>
      <c r="IWA995" s="124"/>
      <c r="IWB995" s="124"/>
      <c r="IWC995" s="124"/>
      <c r="IWD995" s="124"/>
      <c r="IWE995" s="124"/>
      <c r="IWF995" s="124"/>
      <c r="IWG995" s="124"/>
      <c r="IWH995" s="124"/>
      <c r="IWI995" s="124"/>
      <c r="IWJ995" s="124"/>
      <c r="IWK995" s="124"/>
      <c r="IWL995" s="124"/>
      <c r="IWM995" s="124"/>
      <c r="IWN995" s="124"/>
      <c r="IWO995" s="124"/>
      <c r="IWP995" s="124"/>
      <c r="IWQ995" s="124"/>
      <c r="IWR995" s="124"/>
      <c r="IWS995" s="124"/>
      <c r="IWT995" s="124"/>
      <c r="IWU995" s="124"/>
      <c r="IWV995" s="124"/>
      <c r="IWW995" s="124"/>
      <c r="IWX995" s="124"/>
      <c r="IWY995" s="124"/>
      <c r="IWZ995" s="124"/>
      <c r="IXA995" s="124"/>
      <c r="IXB995" s="124"/>
      <c r="IXC995" s="124"/>
      <c r="IXD995" s="124"/>
      <c r="IXE995" s="124"/>
      <c r="IXF995" s="124"/>
      <c r="IXG995" s="124"/>
      <c r="IXH995" s="124"/>
      <c r="IXI995" s="124"/>
      <c r="IXJ995" s="124"/>
      <c r="IXK995" s="124"/>
      <c r="IXL995" s="124"/>
      <c r="IXM995" s="124"/>
      <c r="IXN995" s="124"/>
      <c r="IXO995" s="124"/>
      <c r="IXP995" s="124"/>
      <c r="IXQ995" s="124"/>
      <c r="IXR995" s="124"/>
      <c r="IXS995" s="124"/>
      <c r="IXT995" s="124"/>
      <c r="IXU995" s="124"/>
      <c r="IXV995" s="124"/>
      <c r="IXW995" s="124"/>
      <c r="IXX995" s="124"/>
      <c r="IXY995" s="124"/>
      <c r="IXZ995" s="124"/>
      <c r="IYA995" s="124"/>
      <c r="IYB995" s="124"/>
      <c r="IYC995" s="124"/>
      <c r="IYD995" s="124"/>
      <c r="IYE995" s="124"/>
      <c r="IYF995" s="124"/>
      <c r="IYG995" s="124"/>
      <c r="IYH995" s="124"/>
      <c r="IYI995" s="124"/>
      <c r="IYJ995" s="124"/>
      <c r="IYK995" s="124"/>
      <c r="IYL995" s="124"/>
      <c r="IYM995" s="124"/>
      <c r="IYN995" s="124"/>
      <c r="IYO995" s="124"/>
      <c r="IYP995" s="124"/>
      <c r="IYQ995" s="124"/>
      <c r="IYR995" s="124"/>
      <c r="IYS995" s="124"/>
      <c r="IYT995" s="124"/>
      <c r="IYU995" s="124"/>
      <c r="IYV995" s="124"/>
      <c r="IYW995" s="124"/>
      <c r="IYX995" s="124"/>
      <c r="IYY995" s="124"/>
      <c r="IYZ995" s="124"/>
      <c r="IZA995" s="124"/>
      <c r="IZB995" s="124"/>
      <c r="IZC995" s="124"/>
      <c r="IZD995" s="124"/>
      <c r="IZE995" s="124"/>
      <c r="IZF995" s="124"/>
      <c r="IZG995" s="124"/>
      <c r="IZH995" s="124"/>
      <c r="IZI995" s="124"/>
      <c r="IZJ995" s="124"/>
      <c r="IZK995" s="124"/>
      <c r="IZL995" s="124"/>
      <c r="IZM995" s="124"/>
      <c r="IZN995" s="124"/>
      <c r="IZO995" s="124"/>
      <c r="IZP995" s="124"/>
      <c r="IZQ995" s="124"/>
      <c r="IZR995" s="124"/>
      <c r="IZS995" s="124"/>
      <c r="IZT995" s="124"/>
      <c r="IZU995" s="124"/>
      <c r="IZV995" s="124"/>
      <c r="IZW995" s="124"/>
      <c r="IZX995" s="124"/>
      <c r="IZY995" s="124"/>
      <c r="IZZ995" s="124"/>
      <c r="JAA995" s="124"/>
      <c r="JAB995" s="124"/>
      <c r="JAC995" s="124"/>
      <c r="JAD995" s="124"/>
      <c r="JAE995" s="124"/>
      <c r="JAF995" s="124"/>
      <c r="JAG995" s="124"/>
      <c r="JAH995" s="124"/>
      <c r="JAI995" s="124"/>
      <c r="JAJ995" s="124"/>
      <c r="JAK995" s="124"/>
      <c r="JAL995" s="124"/>
      <c r="JAM995" s="124"/>
      <c r="JAN995" s="124"/>
      <c r="JAO995" s="124"/>
      <c r="JAP995" s="124"/>
      <c r="JAQ995" s="124"/>
      <c r="JAR995" s="124"/>
      <c r="JAS995" s="124"/>
      <c r="JAT995" s="124"/>
      <c r="JAU995" s="124"/>
      <c r="JAV995" s="124"/>
      <c r="JAW995" s="124"/>
      <c r="JAX995" s="124"/>
      <c r="JAY995" s="124"/>
      <c r="JAZ995" s="124"/>
      <c r="JBA995" s="124"/>
      <c r="JBB995" s="124"/>
      <c r="JBC995" s="124"/>
      <c r="JBD995" s="124"/>
      <c r="JBE995" s="124"/>
      <c r="JBF995" s="124"/>
      <c r="JBG995" s="124"/>
      <c r="JBH995" s="124"/>
      <c r="JBI995" s="124"/>
      <c r="JBJ995" s="124"/>
      <c r="JBK995" s="124"/>
      <c r="JBL995" s="124"/>
      <c r="JBM995" s="124"/>
      <c r="JBN995" s="124"/>
      <c r="JBO995" s="124"/>
      <c r="JBP995" s="124"/>
      <c r="JBQ995" s="124"/>
      <c r="JBR995" s="124"/>
      <c r="JBS995" s="124"/>
      <c r="JBT995" s="124"/>
      <c r="JBU995" s="124"/>
      <c r="JBV995" s="124"/>
      <c r="JBW995" s="124"/>
      <c r="JBX995" s="124"/>
      <c r="JBY995" s="124"/>
      <c r="JBZ995" s="124"/>
      <c r="JCA995" s="124"/>
      <c r="JCB995" s="124"/>
      <c r="JCC995" s="124"/>
      <c r="JCD995" s="124"/>
      <c r="JCE995" s="124"/>
      <c r="JCF995" s="124"/>
      <c r="JCG995" s="124"/>
      <c r="JCH995" s="124"/>
      <c r="JCI995" s="124"/>
      <c r="JCJ995" s="124"/>
      <c r="JCK995" s="124"/>
      <c r="JCL995" s="124"/>
      <c r="JCM995" s="124"/>
      <c r="JCN995" s="124"/>
      <c r="JCO995" s="124"/>
      <c r="JCP995" s="124"/>
      <c r="JCQ995" s="124"/>
      <c r="JCR995" s="124"/>
      <c r="JCS995" s="124"/>
      <c r="JCT995" s="124"/>
      <c r="JCU995" s="124"/>
      <c r="JCV995" s="124"/>
      <c r="JCW995" s="124"/>
      <c r="JCX995" s="124"/>
      <c r="JCY995" s="124"/>
      <c r="JCZ995" s="124"/>
      <c r="JDA995" s="124"/>
      <c r="JDB995" s="124"/>
      <c r="JDC995" s="124"/>
      <c r="JDD995" s="124"/>
      <c r="JDE995" s="124"/>
      <c r="JDF995" s="124"/>
      <c r="JDG995" s="124"/>
      <c r="JDH995" s="124"/>
      <c r="JDI995" s="124"/>
      <c r="JDJ995" s="124"/>
      <c r="JDK995" s="124"/>
      <c r="JDL995" s="124"/>
      <c r="JDM995" s="124"/>
      <c r="JDN995" s="124"/>
      <c r="JDO995" s="124"/>
      <c r="JDP995" s="124"/>
      <c r="JDQ995" s="124"/>
      <c r="JDR995" s="124"/>
      <c r="JDS995" s="124"/>
      <c r="JDT995" s="124"/>
      <c r="JDU995" s="124"/>
      <c r="JDV995" s="124"/>
      <c r="JDW995" s="124"/>
      <c r="JDX995" s="124"/>
      <c r="JDY995" s="124"/>
      <c r="JDZ995" s="124"/>
      <c r="JEA995" s="124"/>
      <c r="JEB995" s="124"/>
      <c r="JEC995" s="124"/>
      <c r="JED995" s="124"/>
      <c r="JEE995" s="124"/>
      <c r="JEF995" s="124"/>
      <c r="JEG995" s="124"/>
      <c r="JEH995" s="124"/>
      <c r="JEI995" s="124"/>
      <c r="JEJ995" s="124"/>
      <c r="JEK995" s="124"/>
      <c r="JEL995" s="124"/>
      <c r="JEM995" s="124"/>
      <c r="JEN995" s="124"/>
      <c r="JEO995" s="124"/>
      <c r="JEP995" s="124"/>
      <c r="JEQ995" s="124"/>
      <c r="JER995" s="124"/>
      <c r="JES995" s="124"/>
      <c r="JET995" s="124"/>
      <c r="JEU995" s="124"/>
      <c r="JEV995" s="124"/>
      <c r="JEW995" s="124"/>
      <c r="JEX995" s="124"/>
      <c r="JEY995" s="124"/>
      <c r="JEZ995" s="124"/>
      <c r="JFA995" s="124"/>
      <c r="JFB995" s="124"/>
      <c r="JFC995" s="124"/>
      <c r="JFD995" s="124"/>
      <c r="JFE995" s="124"/>
      <c r="JFF995" s="124"/>
      <c r="JFG995" s="124"/>
      <c r="JFH995" s="124"/>
      <c r="JFI995" s="124"/>
      <c r="JFJ995" s="124"/>
      <c r="JFK995" s="124"/>
      <c r="JFL995" s="124"/>
      <c r="JFM995" s="124"/>
      <c r="JFN995" s="124"/>
      <c r="JFO995" s="124"/>
      <c r="JFP995" s="124"/>
      <c r="JFQ995" s="124"/>
      <c r="JFR995" s="124"/>
      <c r="JFS995" s="124"/>
      <c r="JFT995" s="124"/>
      <c r="JFU995" s="124"/>
      <c r="JFV995" s="124"/>
      <c r="JFW995" s="124"/>
      <c r="JFX995" s="124"/>
      <c r="JFY995" s="124"/>
      <c r="JFZ995" s="124"/>
      <c r="JGA995" s="124"/>
      <c r="JGB995" s="124"/>
      <c r="JGC995" s="124"/>
      <c r="JGD995" s="124"/>
      <c r="JGE995" s="124"/>
      <c r="JGF995" s="124"/>
      <c r="JGG995" s="124"/>
      <c r="JGH995" s="124"/>
      <c r="JGI995" s="124"/>
      <c r="JGJ995" s="124"/>
      <c r="JGK995" s="124"/>
      <c r="JGL995" s="124"/>
      <c r="JGM995" s="124"/>
      <c r="JGN995" s="124"/>
      <c r="JGO995" s="124"/>
      <c r="JGP995" s="124"/>
      <c r="JGQ995" s="124"/>
      <c r="JGR995" s="124"/>
      <c r="JGS995" s="124"/>
      <c r="JGT995" s="124"/>
      <c r="JGU995" s="124"/>
      <c r="JGV995" s="124"/>
      <c r="JGW995" s="124"/>
      <c r="JGX995" s="124"/>
      <c r="JGY995" s="124"/>
      <c r="JGZ995" s="124"/>
      <c r="JHA995" s="124"/>
      <c r="JHB995" s="124"/>
      <c r="JHC995" s="124"/>
      <c r="JHD995" s="124"/>
      <c r="JHE995" s="124"/>
      <c r="JHF995" s="124"/>
      <c r="JHG995" s="124"/>
      <c r="JHH995" s="124"/>
      <c r="JHI995" s="124"/>
      <c r="JHJ995" s="124"/>
      <c r="JHK995" s="124"/>
      <c r="JHL995" s="124"/>
      <c r="JHM995" s="124"/>
      <c r="JHN995" s="124"/>
      <c r="JHO995" s="124"/>
      <c r="JHP995" s="124"/>
      <c r="JHQ995" s="124"/>
      <c r="JHR995" s="124"/>
      <c r="JHS995" s="124"/>
      <c r="JHT995" s="124"/>
      <c r="JHU995" s="124"/>
      <c r="JHV995" s="124"/>
      <c r="JHW995" s="124"/>
      <c r="JHX995" s="124"/>
      <c r="JHY995" s="124"/>
      <c r="JHZ995" s="124"/>
      <c r="JIA995" s="124"/>
      <c r="JIB995" s="124"/>
      <c r="JIC995" s="124"/>
      <c r="JID995" s="124"/>
      <c r="JIE995" s="124"/>
      <c r="JIF995" s="124"/>
      <c r="JIG995" s="124"/>
      <c r="JIH995" s="124"/>
      <c r="JII995" s="124"/>
      <c r="JIJ995" s="124"/>
      <c r="JIK995" s="124"/>
      <c r="JIL995" s="124"/>
      <c r="JIM995" s="124"/>
      <c r="JIN995" s="124"/>
      <c r="JIO995" s="124"/>
      <c r="JIP995" s="124"/>
      <c r="JIQ995" s="124"/>
      <c r="JIR995" s="124"/>
      <c r="JIS995" s="124"/>
      <c r="JIT995" s="124"/>
      <c r="JIU995" s="124"/>
      <c r="JIV995" s="124"/>
      <c r="JIW995" s="124"/>
      <c r="JIX995" s="124"/>
      <c r="JIY995" s="124"/>
      <c r="JIZ995" s="124"/>
      <c r="JJA995" s="124"/>
      <c r="JJB995" s="124"/>
      <c r="JJC995" s="124"/>
      <c r="JJD995" s="124"/>
      <c r="JJE995" s="124"/>
      <c r="JJF995" s="124"/>
      <c r="JJG995" s="124"/>
      <c r="JJH995" s="124"/>
      <c r="JJI995" s="124"/>
      <c r="JJJ995" s="124"/>
      <c r="JJK995" s="124"/>
      <c r="JJL995" s="124"/>
      <c r="JJM995" s="124"/>
      <c r="JJN995" s="124"/>
      <c r="JJO995" s="124"/>
      <c r="JJP995" s="124"/>
      <c r="JJQ995" s="124"/>
      <c r="JJR995" s="124"/>
      <c r="JJS995" s="124"/>
      <c r="JJT995" s="124"/>
      <c r="JJU995" s="124"/>
      <c r="JJV995" s="124"/>
      <c r="JJW995" s="124"/>
      <c r="JJX995" s="124"/>
      <c r="JJY995" s="124"/>
      <c r="JJZ995" s="124"/>
      <c r="JKA995" s="124"/>
      <c r="JKB995" s="124"/>
      <c r="JKC995" s="124"/>
      <c r="JKD995" s="124"/>
      <c r="JKE995" s="124"/>
      <c r="JKF995" s="124"/>
      <c r="JKG995" s="124"/>
      <c r="JKH995" s="124"/>
      <c r="JKI995" s="124"/>
      <c r="JKJ995" s="124"/>
      <c r="JKK995" s="124"/>
      <c r="JKL995" s="124"/>
      <c r="JKM995" s="124"/>
      <c r="JKN995" s="124"/>
      <c r="JKO995" s="124"/>
      <c r="JKP995" s="124"/>
      <c r="JKQ995" s="124"/>
      <c r="JKR995" s="124"/>
      <c r="JKS995" s="124"/>
      <c r="JKT995" s="124"/>
      <c r="JKU995" s="124"/>
      <c r="JKV995" s="124"/>
      <c r="JKW995" s="124"/>
      <c r="JKX995" s="124"/>
      <c r="JKY995" s="124"/>
      <c r="JKZ995" s="124"/>
      <c r="JLA995" s="124"/>
      <c r="JLB995" s="124"/>
      <c r="JLC995" s="124"/>
      <c r="JLD995" s="124"/>
      <c r="JLE995" s="124"/>
      <c r="JLF995" s="124"/>
      <c r="JLG995" s="124"/>
      <c r="JLH995" s="124"/>
      <c r="JLI995" s="124"/>
      <c r="JLJ995" s="124"/>
      <c r="JLK995" s="124"/>
      <c r="JLL995" s="124"/>
      <c r="JLM995" s="124"/>
      <c r="JLN995" s="124"/>
      <c r="JLO995" s="124"/>
      <c r="JLP995" s="124"/>
      <c r="JLQ995" s="124"/>
      <c r="JLR995" s="124"/>
      <c r="JLS995" s="124"/>
      <c r="JLT995" s="124"/>
      <c r="JLU995" s="124"/>
      <c r="JLV995" s="124"/>
      <c r="JLW995" s="124"/>
      <c r="JLX995" s="124"/>
      <c r="JLY995" s="124"/>
      <c r="JLZ995" s="124"/>
      <c r="JMA995" s="124"/>
      <c r="JMB995" s="124"/>
      <c r="JMC995" s="124"/>
      <c r="JMD995" s="124"/>
      <c r="JME995" s="124"/>
      <c r="JMF995" s="124"/>
      <c r="JMG995" s="124"/>
      <c r="JMH995" s="124"/>
      <c r="JMI995" s="124"/>
      <c r="JMJ995" s="124"/>
      <c r="JMK995" s="124"/>
      <c r="JML995" s="124"/>
      <c r="JMM995" s="124"/>
      <c r="JMN995" s="124"/>
      <c r="JMO995" s="124"/>
      <c r="JMP995" s="124"/>
      <c r="JMQ995" s="124"/>
      <c r="JMR995" s="124"/>
      <c r="JMS995" s="124"/>
      <c r="JMT995" s="124"/>
      <c r="JMU995" s="124"/>
      <c r="JMV995" s="124"/>
      <c r="JMW995" s="124"/>
      <c r="JMX995" s="124"/>
      <c r="JMY995" s="124"/>
      <c r="JMZ995" s="124"/>
      <c r="JNA995" s="124"/>
      <c r="JNB995" s="124"/>
      <c r="JNC995" s="124"/>
      <c r="JND995" s="124"/>
      <c r="JNE995" s="124"/>
      <c r="JNF995" s="124"/>
      <c r="JNG995" s="124"/>
      <c r="JNH995" s="124"/>
      <c r="JNI995" s="124"/>
      <c r="JNJ995" s="124"/>
      <c r="JNK995" s="124"/>
      <c r="JNL995" s="124"/>
      <c r="JNM995" s="124"/>
      <c r="JNN995" s="124"/>
      <c r="JNO995" s="124"/>
      <c r="JNP995" s="124"/>
      <c r="JNQ995" s="124"/>
      <c r="JNR995" s="124"/>
      <c r="JNS995" s="124"/>
      <c r="JNT995" s="124"/>
      <c r="JNU995" s="124"/>
      <c r="JNV995" s="124"/>
      <c r="JNW995" s="124"/>
      <c r="JNX995" s="124"/>
      <c r="JNY995" s="124"/>
      <c r="JNZ995" s="124"/>
      <c r="JOA995" s="124"/>
      <c r="JOB995" s="124"/>
      <c r="JOC995" s="124"/>
      <c r="JOD995" s="124"/>
      <c r="JOE995" s="124"/>
      <c r="JOF995" s="124"/>
      <c r="JOG995" s="124"/>
      <c r="JOH995" s="124"/>
      <c r="JOI995" s="124"/>
      <c r="JOJ995" s="124"/>
      <c r="JOK995" s="124"/>
      <c r="JOL995" s="124"/>
      <c r="JOM995" s="124"/>
      <c r="JON995" s="124"/>
      <c r="JOO995" s="124"/>
      <c r="JOP995" s="124"/>
      <c r="JOQ995" s="124"/>
      <c r="JOR995" s="124"/>
      <c r="JOS995" s="124"/>
      <c r="JOT995" s="124"/>
      <c r="JOU995" s="124"/>
      <c r="JOV995" s="124"/>
      <c r="JOW995" s="124"/>
      <c r="JOX995" s="124"/>
      <c r="JOY995" s="124"/>
      <c r="JOZ995" s="124"/>
      <c r="JPA995" s="124"/>
      <c r="JPB995" s="124"/>
      <c r="JPC995" s="124"/>
      <c r="JPD995" s="124"/>
      <c r="JPE995" s="124"/>
      <c r="JPF995" s="124"/>
      <c r="JPG995" s="124"/>
      <c r="JPH995" s="124"/>
      <c r="JPI995" s="124"/>
      <c r="JPJ995" s="124"/>
      <c r="JPK995" s="124"/>
      <c r="JPL995" s="124"/>
      <c r="JPM995" s="124"/>
      <c r="JPN995" s="124"/>
      <c r="JPO995" s="124"/>
      <c r="JPP995" s="124"/>
      <c r="JPQ995" s="124"/>
      <c r="JPR995" s="124"/>
      <c r="JPS995" s="124"/>
      <c r="JPT995" s="124"/>
      <c r="JPU995" s="124"/>
      <c r="JPV995" s="124"/>
      <c r="JPW995" s="124"/>
      <c r="JPX995" s="124"/>
      <c r="JPY995" s="124"/>
      <c r="JPZ995" s="124"/>
      <c r="JQA995" s="124"/>
      <c r="JQB995" s="124"/>
      <c r="JQC995" s="124"/>
      <c r="JQD995" s="124"/>
      <c r="JQE995" s="124"/>
      <c r="JQF995" s="124"/>
      <c r="JQG995" s="124"/>
      <c r="JQH995" s="124"/>
      <c r="JQI995" s="124"/>
      <c r="JQJ995" s="124"/>
      <c r="JQK995" s="124"/>
      <c r="JQL995" s="124"/>
      <c r="JQM995" s="124"/>
      <c r="JQN995" s="124"/>
      <c r="JQO995" s="124"/>
      <c r="JQP995" s="124"/>
      <c r="JQQ995" s="124"/>
      <c r="JQR995" s="124"/>
      <c r="JQS995" s="124"/>
      <c r="JQT995" s="124"/>
      <c r="JQU995" s="124"/>
      <c r="JQV995" s="124"/>
      <c r="JQW995" s="124"/>
      <c r="JQX995" s="124"/>
      <c r="JQY995" s="124"/>
      <c r="JQZ995" s="124"/>
      <c r="JRA995" s="124"/>
      <c r="JRB995" s="124"/>
      <c r="JRC995" s="124"/>
      <c r="JRD995" s="124"/>
      <c r="JRE995" s="124"/>
      <c r="JRF995" s="124"/>
      <c r="JRG995" s="124"/>
      <c r="JRH995" s="124"/>
      <c r="JRI995" s="124"/>
      <c r="JRJ995" s="124"/>
      <c r="JRK995" s="124"/>
      <c r="JRL995" s="124"/>
      <c r="JRM995" s="124"/>
      <c r="JRN995" s="124"/>
      <c r="JRO995" s="124"/>
      <c r="JRP995" s="124"/>
      <c r="JRQ995" s="124"/>
      <c r="JRR995" s="124"/>
      <c r="JRS995" s="124"/>
      <c r="JRT995" s="124"/>
      <c r="JRU995" s="124"/>
      <c r="JRV995" s="124"/>
      <c r="JRW995" s="124"/>
      <c r="JRX995" s="124"/>
      <c r="JRY995" s="124"/>
      <c r="JRZ995" s="124"/>
      <c r="JSA995" s="124"/>
      <c r="JSB995" s="124"/>
      <c r="JSC995" s="124"/>
      <c r="JSD995" s="124"/>
      <c r="JSE995" s="124"/>
      <c r="JSF995" s="124"/>
      <c r="JSG995" s="124"/>
      <c r="JSH995" s="124"/>
      <c r="JSI995" s="124"/>
      <c r="JSJ995" s="124"/>
      <c r="JSK995" s="124"/>
      <c r="JSL995" s="124"/>
      <c r="JSM995" s="124"/>
      <c r="JSN995" s="124"/>
      <c r="JSO995" s="124"/>
      <c r="JSP995" s="124"/>
      <c r="JSQ995" s="124"/>
      <c r="JSR995" s="124"/>
      <c r="JSS995" s="124"/>
      <c r="JST995" s="124"/>
      <c r="JSU995" s="124"/>
      <c r="JSV995" s="124"/>
      <c r="JSW995" s="124"/>
      <c r="JSX995" s="124"/>
      <c r="JSY995" s="124"/>
      <c r="JSZ995" s="124"/>
      <c r="JTA995" s="124"/>
      <c r="JTB995" s="124"/>
      <c r="JTC995" s="124"/>
      <c r="JTD995" s="124"/>
      <c r="JTE995" s="124"/>
      <c r="JTF995" s="124"/>
      <c r="JTG995" s="124"/>
      <c r="JTH995" s="124"/>
      <c r="JTI995" s="124"/>
      <c r="JTJ995" s="124"/>
      <c r="JTK995" s="124"/>
      <c r="JTL995" s="124"/>
      <c r="JTM995" s="124"/>
      <c r="JTN995" s="124"/>
      <c r="JTO995" s="124"/>
      <c r="JTP995" s="124"/>
      <c r="JTQ995" s="124"/>
      <c r="JTR995" s="124"/>
      <c r="JTS995" s="124"/>
      <c r="JTT995" s="124"/>
      <c r="JTU995" s="124"/>
      <c r="JTV995" s="124"/>
      <c r="JTW995" s="124"/>
      <c r="JTX995" s="124"/>
      <c r="JTY995" s="124"/>
      <c r="JTZ995" s="124"/>
      <c r="JUA995" s="124"/>
      <c r="JUB995" s="124"/>
      <c r="JUC995" s="124"/>
      <c r="JUD995" s="124"/>
      <c r="JUE995" s="124"/>
      <c r="JUF995" s="124"/>
      <c r="JUG995" s="124"/>
      <c r="JUH995" s="124"/>
      <c r="JUI995" s="124"/>
      <c r="JUJ995" s="124"/>
      <c r="JUK995" s="124"/>
      <c r="JUL995" s="124"/>
      <c r="JUM995" s="124"/>
      <c r="JUN995" s="124"/>
      <c r="JUO995" s="124"/>
      <c r="JUP995" s="124"/>
      <c r="JUQ995" s="124"/>
      <c r="JUR995" s="124"/>
      <c r="JUS995" s="124"/>
      <c r="JUT995" s="124"/>
      <c r="JUU995" s="124"/>
      <c r="JUV995" s="124"/>
      <c r="JUW995" s="124"/>
      <c r="JUX995" s="124"/>
      <c r="JUY995" s="124"/>
      <c r="JUZ995" s="124"/>
      <c r="JVA995" s="124"/>
      <c r="JVB995" s="124"/>
      <c r="JVC995" s="124"/>
      <c r="JVD995" s="124"/>
      <c r="JVE995" s="124"/>
      <c r="JVF995" s="124"/>
      <c r="JVG995" s="124"/>
      <c r="JVH995" s="124"/>
      <c r="JVI995" s="124"/>
      <c r="JVJ995" s="124"/>
      <c r="JVK995" s="124"/>
      <c r="JVL995" s="124"/>
      <c r="JVM995" s="124"/>
      <c r="JVN995" s="124"/>
      <c r="JVO995" s="124"/>
      <c r="JVP995" s="124"/>
      <c r="JVQ995" s="124"/>
      <c r="JVR995" s="124"/>
      <c r="JVS995" s="124"/>
      <c r="JVT995" s="124"/>
      <c r="JVU995" s="124"/>
      <c r="JVV995" s="124"/>
      <c r="JVW995" s="124"/>
      <c r="JVX995" s="124"/>
      <c r="JVY995" s="124"/>
      <c r="JVZ995" s="124"/>
      <c r="JWA995" s="124"/>
      <c r="JWB995" s="124"/>
      <c r="JWC995" s="124"/>
      <c r="JWD995" s="124"/>
      <c r="JWE995" s="124"/>
      <c r="JWF995" s="124"/>
      <c r="JWG995" s="124"/>
      <c r="JWH995" s="124"/>
      <c r="JWI995" s="124"/>
      <c r="JWJ995" s="124"/>
      <c r="JWK995" s="124"/>
      <c r="JWL995" s="124"/>
      <c r="JWM995" s="124"/>
      <c r="JWN995" s="124"/>
      <c r="JWO995" s="124"/>
      <c r="JWP995" s="124"/>
      <c r="JWQ995" s="124"/>
      <c r="JWR995" s="124"/>
      <c r="JWS995" s="124"/>
      <c r="JWT995" s="124"/>
      <c r="JWU995" s="124"/>
      <c r="JWV995" s="124"/>
      <c r="JWW995" s="124"/>
      <c r="JWX995" s="124"/>
      <c r="JWY995" s="124"/>
      <c r="JWZ995" s="124"/>
      <c r="JXA995" s="124"/>
      <c r="JXB995" s="124"/>
      <c r="JXC995" s="124"/>
      <c r="JXD995" s="124"/>
      <c r="JXE995" s="124"/>
      <c r="JXF995" s="124"/>
      <c r="JXG995" s="124"/>
      <c r="JXH995" s="124"/>
      <c r="JXI995" s="124"/>
      <c r="JXJ995" s="124"/>
      <c r="JXK995" s="124"/>
      <c r="JXL995" s="124"/>
      <c r="JXM995" s="124"/>
      <c r="JXN995" s="124"/>
      <c r="JXO995" s="124"/>
      <c r="JXP995" s="124"/>
      <c r="JXQ995" s="124"/>
      <c r="JXR995" s="124"/>
      <c r="JXS995" s="124"/>
      <c r="JXT995" s="124"/>
      <c r="JXU995" s="124"/>
      <c r="JXV995" s="124"/>
      <c r="JXW995" s="124"/>
      <c r="JXX995" s="124"/>
      <c r="JXY995" s="124"/>
      <c r="JXZ995" s="124"/>
      <c r="JYA995" s="124"/>
      <c r="JYB995" s="124"/>
      <c r="JYC995" s="124"/>
      <c r="JYD995" s="124"/>
      <c r="JYE995" s="124"/>
      <c r="JYF995" s="124"/>
      <c r="JYG995" s="124"/>
      <c r="JYH995" s="124"/>
      <c r="JYI995" s="124"/>
      <c r="JYJ995" s="124"/>
      <c r="JYK995" s="124"/>
      <c r="JYL995" s="124"/>
      <c r="JYM995" s="124"/>
      <c r="JYN995" s="124"/>
      <c r="JYO995" s="124"/>
      <c r="JYP995" s="124"/>
      <c r="JYQ995" s="124"/>
      <c r="JYR995" s="124"/>
      <c r="JYS995" s="124"/>
      <c r="JYT995" s="124"/>
      <c r="JYU995" s="124"/>
      <c r="JYV995" s="124"/>
      <c r="JYW995" s="124"/>
      <c r="JYX995" s="124"/>
      <c r="JYY995" s="124"/>
      <c r="JYZ995" s="124"/>
      <c r="JZA995" s="124"/>
      <c r="JZB995" s="124"/>
      <c r="JZC995" s="124"/>
      <c r="JZD995" s="124"/>
      <c r="JZE995" s="124"/>
      <c r="JZF995" s="124"/>
      <c r="JZG995" s="124"/>
      <c r="JZH995" s="124"/>
      <c r="JZI995" s="124"/>
      <c r="JZJ995" s="124"/>
      <c r="JZK995" s="124"/>
      <c r="JZL995" s="124"/>
      <c r="JZM995" s="124"/>
      <c r="JZN995" s="124"/>
      <c r="JZO995" s="124"/>
      <c r="JZP995" s="124"/>
      <c r="JZQ995" s="124"/>
      <c r="JZR995" s="124"/>
      <c r="JZS995" s="124"/>
      <c r="JZT995" s="124"/>
      <c r="JZU995" s="124"/>
      <c r="JZV995" s="124"/>
      <c r="JZW995" s="124"/>
      <c r="JZX995" s="124"/>
      <c r="JZY995" s="124"/>
      <c r="JZZ995" s="124"/>
      <c r="KAA995" s="124"/>
      <c r="KAB995" s="124"/>
      <c r="KAC995" s="124"/>
      <c r="KAD995" s="124"/>
      <c r="KAE995" s="124"/>
      <c r="KAF995" s="124"/>
      <c r="KAG995" s="124"/>
      <c r="KAH995" s="124"/>
      <c r="KAI995" s="124"/>
      <c r="KAJ995" s="124"/>
      <c r="KAK995" s="124"/>
      <c r="KAL995" s="124"/>
      <c r="KAM995" s="124"/>
      <c r="KAN995" s="124"/>
      <c r="KAO995" s="124"/>
      <c r="KAP995" s="124"/>
      <c r="KAQ995" s="124"/>
      <c r="KAR995" s="124"/>
      <c r="KAS995" s="124"/>
      <c r="KAT995" s="124"/>
      <c r="KAU995" s="124"/>
      <c r="KAV995" s="124"/>
      <c r="KAW995" s="124"/>
      <c r="KAX995" s="124"/>
      <c r="KAY995" s="124"/>
      <c r="KAZ995" s="124"/>
      <c r="KBA995" s="124"/>
      <c r="KBB995" s="124"/>
      <c r="KBC995" s="124"/>
      <c r="KBD995" s="124"/>
      <c r="KBE995" s="124"/>
      <c r="KBF995" s="124"/>
      <c r="KBG995" s="124"/>
      <c r="KBH995" s="124"/>
      <c r="KBI995" s="124"/>
      <c r="KBJ995" s="124"/>
      <c r="KBK995" s="124"/>
      <c r="KBL995" s="124"/>
      <c r="KBM995" s="124"/>
      <c r="KBN995" s="124"/>
      <c r="KBO995" s="124"/>
      <c r="KBP995" s="124"/>
      <c r="KBQ995" s="124"/>
      <c r="KBR995" s="124"/>
      <c r="KBS995" s="124"/>
      <c r="KBT995" s="124"/>
      <c r="KBU995" s="124"/>
      <c r="KBV995" s="124"/>
      <c r="KBW995" s="124"/>
      <c r="KBX995" s="124"/>
      <c r="KBY995" s="124"/>
      <c r="KBZ995" s="124"/>
      <c r="KCA995" s="124"/>
      <c r="KCB995" s="124"/>
      <c r="KCC995" s="124"/>
      <c r="KCD995" s="124"/>
      <c r="KCE995" s="124"/>
      <c r="KCF995" s="124"/>
      <c r="KCG995" s="124"/>
      <c r="KCH995" s="124"/>
      <c r="KCI995" s="124"/>
      <c r="KCJ995" s="124"/>
      <c r="KCK995" s="124"/>
      <c r="KCL995" s="124"/>
      <c r="KCM995" s="124"/>
      <c r="KCN995" s="124"/>
      <c r="KCO995" s="124"/>
      <c r="KCP995" s="124"/>
      <c r="KCQ995" s="124"/>
      <c r="KCR995" s="124"/>
      <c r="KCS995" s="124"/>
      <c r="KCT995" s="124"/>
      <c r="KCU995" s="124"/>
      <c r="KCV995" s="124"/>
      <c r="KCW995" s="124"/>
      <c r="KCX995" s="124"/>
      <c r="KCY995" s="124"/>
      <c r="KCZ995" s="124"/>
      <c r="KDA995" s="124"/>
      <c r="KDB995" s="124"/>
      <c r="KDC995" s="124"/>
      <c r="KDD995" s="124"/>
      <c r="KDE995" s="124"/>
      <c r="KDF995" s="124"/>
      <c r="KDG995" s="124"/>
      <c r="KDH995" s="124"/>
      <c r="KDI995" s="124"/>
      <c r="KDJ995" s="124"/>
      <c r="KDK995" s="124"/>
      <c r="KDL995" s="124"/>
      <c r="KDM995" s="124"/>
      <c r="KDN995" s="124"/>
      <c r="KDO995" s="124"/>
      <c r="KDP995" s="124"/>
      <c r="KDQ995" s="124"/>
      <c r="KDR995" s="124"/>
      <c r="KDS995" s="124"/>
      <c r="KDT995" s="124"/>
      <c r="KDU995" s="124"/>
      <c r="KDV995" s="124"/>
      <c r="KDW995" s="124"/>
      <c r="KDX995" s="124"/>
      <c r="KDY995" s="124"/>
      <c r="KDZ995" s="124"/>
      <c r="KEA995" s="124"/>
      <c r="KEB995" s="124"/>
      <c r="KEC995" s="124"/>
      <c r="KED995" s="124"/>
      <c r="KEE995" s="124"/>
      <c r="KEF995" s="124"/>
      <c r="KEG995" s="124"/>
      <c r="KEH995" s="124"/>
      <c r="KEI995" s="124"/>
      <c r="KEJ995" s="124"/>
      <c r="KEK995" s="124"/>
      <c r="KEL995" s="124"/>
      <c r="KEM995" s="124"/>
      <c r="KEN995" s="124"/>
      <c r="KEO995" s="124"/>
      <c r="KEP995" s="124"/>
      <c r="KEQ995" s="124"/>
      <c r="KER995" s="124"/>
      <c r="KES995" s="124"/>
      <c r="KET995" s="124"/>
      <c r="KEU995" s="124"/>
      <c r="KEV995" s="124"/>
      <c r="KEW995" s="124"/>
      <c r="KEX995" s="124"/>
      <c r="KEY995" s="124"/>
      <c r="KEZ995" s="124"/>
      <c r="KFA995" s="124"/>
      <c r="KFB995" s="124"/>
      <c r="KFC995" s="124"/>
      <c r="KFD995" s="124"/>
      <c r="KFE995" s="124"/>
      <c r="KFF995" s="124"/>
      <c r="KFG995" s="124"/>
      <c r="KFH995" s="124"/>
      <c r="KFI995" s="124"/>
      <c r="KFJ995" s="124"/>
      <c r="KFK995" s="124"/>
      <c r="KFL995" s="124"/>
      <c r="KFM995" s="124"/>
      <c r="KFN995" s="124"/>
      <c r="KFO995" s="124"/>
      <c r="KFP995" s="124"/>
      <c r="KFQ995" s="124"/>
      <c r="KFR995" s="124"/>
      <c r="KFS995" s="124"/>
      <c r="KFT995" s="124"/>
      <c r="KFU995" s="124"/>
      <c r="KFV995" s="124"/>
      <c r="KFW995" s="124"/>
      <c r="KFX995" s="124"/>
      <c r="KFY995" s="124"/>
      <c r="KFZ995" s="124"/>
      <c r="KGA995" s="124"/>
      <c r="KGB995" s="124"/>
      <c r="KGC995" s="124"/>
      <c r="KGD995" s="124"/>
      <c r="KGE995" s="124"/>
      <c r="KGF995" s="124"/>
      <c r="KGG995" s="124"/>
      <c r="KGH995" s="124"/>
      <c r="KGI995" s="124"/>
      <c r="KGJ995" s="124"/>
      <c r="KGK995" s="124"/>
      <c r="KGL995" s="124"/>
      <c r="KGM995" s="124"/>
      <c r="KGN995" s="124"/>
      <c r="KGO995" s="124"/>
      <c r="KGP995" s="124"/>
      <c r="KGQ995" s="124"/>
      <c r="KGR995" s="124"/>
      <c r="KGS995" s="124"/>
      <c r="KGT995" s="124"/>
      <c r="KGU995" s="124"/>
      <c r="KGV995" s="124"/>
      <c r="KGW995" s="124"/>
      <c r="KGX995" s="124"/>
      <c r="KGY995" s="124"/>
      <c r="KGZ995" s="124"/>
      <c r="KHA995" s="124"/>
      <c r="KHB995" s="124"/>
      <c r="KHC995" s="124"/>
      <c r="KHD995" s="124"/>
      <c r="KHE995" s="124"/>
      <c r="KHF995" s="124"/>
      <c r="KHG995" s="124"/>
      <c r="KHH995" s="124"/>
      <c r="KHI995" s="124"/>
      <c r="KHJ995" s="124"/>
      <c r="KHK995" s="124"/>
      <c r="KHL995" s="124"/>
      <c r="KHM995" s="124"/>
      <c r="KHN995" s="124"/>
      <c r="KHO995" s="124"/>
      <c r="KHP995" s="124"/>
      <c r="KHQ995" s="124"/>
      <c r="KHR995" s="124"/>
      <c r="KHS995" s="124"/>
      <c r="KHT995" s="124"/>
      <c r="KHU995" s="124"/>
      <c r="KHV995" s="124"/>
      <c r="KHW995" s="124"/>
      <c r="KHX995" s="124"/>
      <c r="KHY995" s="124"/>
      <c r="KHZ995" s="124"/>
      <c r="KIA995" s="124"/>
      <c r="KIB995" s="124"/>
      <c r="KIC995" s="124"/>
      <c r="KID995" s="124"/>
      <c r="KIE995" s="124"/>
      <c r="KIF995" s="124"/>
      <c r="KIG995" s="124"/>
      <c r="KIH995" s="124"/>
      <c r="KII995" s="124"/>
      <c r="KIJ995" s="124"/>
      <c r="KIK995" s="124"/>
      <c r="KIL995" s="124"/>
      <c r="KIM995" s="124"/>
      <c r="KIN995" s="124"/>
      <c r="KIO995" s="124"/>
      <c r="KIP995" s="124"/>
      <c r="KIQ995" s="124"/>
      <c r="KIR995" s="124"/>
      <c r="KIS995" s="124"/>
      <c r="KIT995" s="124"/>
      <c r="KIU995" s="124"/>
      <c r="KIV995" s="124"/>
      <c r="KIW995" s="124"/>
      <c r="KIX995" s="124"/>
      <c r="KIY995" s="124"/>
      <c r="KIZ995" s="124"/>
      <c r="KJA995" s="124"/>
      <c r="KJB995" s="124"/>
      <c r="KJC995" s="124"/>
      <c r="KJD995" s="124"/>
      <c r="KJE995" s="124"/>
      <c r="KJF995" s="124"/>
      <c r="KJG995" s="124"/>
      <c r="KJH995" s="124"/>
      <c r="KJI995" s="124"/>
      <c r="KJJ995" s="124"/>
      <c r="KJK995" s="124"/>
      <c r="KJL995" s="124"/>
      <c r="KJM995" s="124"/>
      <c r="KJN995" s="124"/>
      <c r="KJO995" s="124"/>
      <c r="KJP995" s="124"/>
      <c r="KJQ995" s="124"/>
      <c r="KJR995" s="124"/>
      <c r="KJS995" s="124"/>
      <c r="KJT995" s="124"/>
      <c r="KJU995" s="124"/>
      <c r="KJV995" s="124"/>
      <c r="KJW995" s="124"/>
      <c r="KJX995" s="124"/>
      <c r="KJY995" s="124"/>
      <c r="KJZ995" s="124"/>
      <c r="KKA995" s="124"/>
      <c r="KKB995" s="124"/>
      <c r="KKC995" s="124"/>
      <c r="KKD995" s="124"/>
      <c r="KKE995" s="124"/>
      <c r="KKF995" s="124"/>
      <c r="KKG995" s="124"/>
      <c r="KKH995" s="124"/>
      <c r="KKI995" s="124"/>
      <c r="KKJ995" s="124"/>
      <c r="KKK995" s="124"/>
      <c r="KKL995" s="124"/>
      <c r="KKM995" s="124"/>
      <c r="KKN995" s="124"/>
      <c r="KKO995" s="124"/>
      <c r="KKP995" s="124"/>
      <c r="KKQ995" s="124"/>
      <c r="KKR995" s="124"/>
      <c r="KKS995" s="124"/>
      <c r="KKT995" s="124"/>
      <c r="KKU995" s="124"/>
      <c r="KKV995" s="124"/>
      <c r="KKW995" s="124"/>
      <c r="KKX995" s="124"/>
      <c r="KKY995" s="124"/>
      <c r="KKZ995" s="124"/>
      <c r="KLA995" s="124"/>
      <c r="KLB995" s="124"/>
      <c r="KLC995" s="124"/>
      <c r="KLD995" s="124"/>
      <c r="KLE995" s="124"/>
      <c r="KLF995" s="124"/>
      <c r="KLG995" s="124"/>
      <c r="KLH995" s="124"/>
      <c r="KLI995" s="124"/>
      <c r="KLJ995" s="124"/>
      <c r="KLK995" s="124"/>
      <c r="KLL995" s="124"/>
      <c r="KLM995" s="124"/>
      <c r="KLN995" s="124"/>
      <c r="KLO995" s="124"/>
      <c r="KLP995" s="124"/>
      <c r="KLQ995" s="124"/>
      <c r="KLR995" s="124"/>
      <c r="KLS995" s="124"/>
      <c r="KLT995" s="124"/>
      <c r="KLU995" s="124"/>
      <c r="KLV995" s="124"/>
      <c r="KLW995" s="124"/>
      <c r="KLX995" s="124"/>
      <c r="KLY995" s="124"/>
      <c r="KLZ995" s="124"/>
      <c r="KMA995" s="124"/>
      <c r="KMB995" s="124"/>
      <c r="KMC995" s="124"/>
      <c r="KMD995" s="124"/>
      <c r="KME995" s="124"/>
      <c r="KMF995" s="124"/>
      <c r="KMG995" s="124"/>
      <c r="KMH995" s="124"/>
      <c r="KMI995" s="124"/>
      <c r="KMJ995" s="124"/>
      <c r="KMK995" s="124"/>
      <c r="KML995" s="124"/>
      <c r="KMM995" s="124"/>
      <c r="KMN995" s="124"/>
      <c r="KMO995" s="124"/>
      <c r="KMP995" s="124"/>
      <c r="KMQ995" s="124"/>
      <c r="KMR995" s="124"/>
      <c r="KMS995" s="124"/>
      <c r="KMT995" s="124"/>
      <c r="KMU995" s="124"/>
      <c r="KMV995" s="124"/>
      <c r="KMW995" s="124"/>
      <c r="KMX995" s="124"/>
      <c r="KMY995" s="124"/>
      <c r="KMZ995" s="124"/>
      <c r="KNA995" s="124"/>
      <c r="KNB995" s="124"/>
      <c r="KNC995" s="124"/>
      <c r="KND995" s="124"/>
      <c r="KNE995" s="124"/>
      <c r="KNF995" s="124"/>
      <c r="KNG995" s="124"/>
      <c r="KNH995" s="124"/>
      <c r="KNI995" s="124"/>
      <c r="KNJ995" s="124"/>
      <c r="KNK995" s="124"/>
      <c r="KNL995" s="124"/>
      <c r="KNM995" s="124"/>
      <c r="KNN995" s="124"/>
      <c r="KNO995" s="124"/>
      <c r="KNP995" s="124"/>
      <c r="KNQ995" s="124"/>
      <c r="KNR995" s="124"/>
      <c r="KNS995" s="124"/>
      <c r="KNT995" s="124"/>
      <c r="KNU995" s="124"/>
      <c r="KNV995" s="124"/>
      <c r="KNW995" s="124"/>
      <c r="KNX995" s="124"/>
      <c r="KNY995" s="124"/>
      <c r="KNZ995" s="124"/>
      <c r="KOA995" s="124"/>
      <c r="KOB995" s="124"/>
      <c r="KOC995" s="124"/>
      <c r="KOD995" s="124"/>
      <c r="KOE995" s="124"/>
      <c r="KOF995" s="124"/>
      <c r="KOG995" s="124"/>
      <c r="KOH995" s="124"/>
      <c r="KOI995" s="124"/>
      <c r="KOJ995" s="124"/>
      <c r="KOK995" s="124"/>
      <c r="KOL995" s="124"/>
      <c r="KOM995" s="124"/>
      <c r="KON995" s="124"/>
      <c r="KOO995" s="124"/>
      <c r="KOP995" s="124"/>
      <c r="KOQ995" s="124"/>
      <c r="KOR995" s="124"/>
      <c r="KOS995" s="124"/>
      <c r="KOT995" s="124"/>
      <c r="KOU995" s="124"/>
      <c r="KOV995" s="124"/>
      <c r="KOW995" s="124"/>
      <c r="KOX995" s="124"/>
      <c r="KOY995" s="124"/>
      <c r="KOZ995" s="124"/>
      <c r="KPA995" s="124"/>
      <c r="KPB995" s="124"/>
      <c r="KPC995" s="124"/>
      <c r="KPD995" s="124"/>
      <c r="KPE995" s="124"/>
      <c r="KPF995" s="124"/>
      <c r="KPG995" s="124"/>
      <c r="KPH995" s="124"/>
      <c r="KPI995" s="124"/>
      <c r="KPJ995" s="124"/>
      <c r="KPK995" s="124"/>
      <c r="KPL995" s="124"/>
      <c r="KPM995" s="124"/>
      <c r="KPN995" s="124"/>
      <c r="KPO995" s="124"/>
      <c r="KPP995" s="124"/>
      <c r="KPQ995" s="124"/>
      <c r="KPR995" s="124"/>
      <c r="KPS995" s="124"/>
      <c r="KPT995" s="124"/>
      <c r="KPU995" s="124"/>
      <c r="KPV995" s="124"/>
      <c r="KPW995" s="124"/>
      <c r="KPX995" s="124"/>
      <c r="KPY995" s="124"/>
      <c r="KPZ995" s="124"/>
      <c r="KQA995" s="124"/>
      <c r="KQB995" s="124"/>
      <c r="KQC995" s="124"/>
      <c r="KQD995" s="124"/>
      <c r="KQE995" s="124"/>
      <c r="KQF995" s="124"/>
      <c r="KQG995" s="124"/>
      <c r="KQH995" s="124"/>
      <c r="KQI995" s="124"/>
      <c r="KQJ995" s="124"/>
      <c r="KQK995" s="124"/>
      <c r="KQL995" s="124"/>
      <c r="KQM995" s="124"/>
      <c r="KQN995" s="124"/>
      <c r="KQO995" s="124"/>
      <c r="KQP995" s="124"/>
      <c r="KQQ995" s="124"/>
      <c r="KQR995" s="124"/>
      <c r="KQS995" s="124"/>
      <c r="KQT995" s="124"/>
      <c r="KQU995" s="124"/>
      <c r="KQV995" s="124"/>
      <c r="KQW995" s="124"/>
      <c r="KQX995" s="124"/>
      <c r="KQY995" s="124"/>
      <c r="KQZ995" s="124"/>
      <c r="KRA995" s="124"/>
      <c r="KRB995" s="124"/>
      <c r="KRC995" s="124"/>
      <c r="KRD995" s="124"/>
      <c r="KRE995" s="124"/>
      <c r="KRF995" s="124"/>
      <c r="KRG995" s="124"/>
      <c r="KRH995" s="124"/>
      <c r="KRI995" s="124"/>
      <c r="KRJ995" s="124"/>
      <c r="KRK995" s="124"/>
      <c r="KRL995" s="124"/>
      <c r="KRM995" s="124"/>
      <c r="KRN995" s="124"/>
      <c r="KRO995" s="124"/>
      <c r="KRP995" s="124"/>
      <c r="KRQ995" s="124"/>
      <c r="KRR995" s="124"/>
      <c r="KRS995" s="124"/>
      <c r="KRT995" s="124"/>
      <c r="KRU995" s="124"/>
      <c r="KRV995" s="124"/>
      <c r="KRW995" s="124"/>
      <c r="KRX995" s="124"/>
      <c r="KRY995" s="124"/>
      <c r="KRZ995" s="124"/>
      <c r="KSA995" s="124"/>
      <c r="KSB995" s="124"/>
      <c r="KSC995" s="124"/>
      <c r="KSD995" s="124"/>
      <c r="KSE995" s="124"/>
      <c r="KSF995" s="124"/>
      <c r="KSG995" s="124"/>
      <c r="KSH995" s="124"/>
      <c r="KSI995" s="124"/>
      <c r="KSJ995" s="124"/>
      <c r="KSK995" s="124"/>
      <c r="KSL995" s="124"/>
      <c r="KSM995" s="124"/>
      <c r="KSN995" s="124"/>
      <c r="KSO995" s="124"/>
      <c r="KSP995" s="124"/>
      <c r="KSQ995" s="124"/>
      <c r="KSR995" s="124"/>
      <c r="KSS995" s="124"/>
      <c r="KST995" s="124"/>
      <c r="KSU995" s="124"/>
      <c r="KSV995" s="124"/>
      <c r="KSW995" s="124"/>
      <c r="KSX995" s="124"/>
      <c r="KSY995" s="124"/>
      <c r="KSZ995" s="124"/>
      <c r="KTA995" s="124"/>
      <c r="KTB995" s="124"/>
      <c r="KTC995" s="124"/>
      <c r="KTD995" s="124"/>
      <c r="KTE995" s="124"/>
      <c r="KTF995" s="124"/>
      <c r="KTG995" s="124"/>
      <c r="KTH995" s="124"/>
      <c r="KTI995" s="124"/>
      <c r="KTJ995" s="124"/>
      <c r="KTK995" s="124"/>
      <c r="KTL995" s="124"/>
      <c r="KTM995" s="124"/>
      <c r="KTN995" s="124"/>
      <c r="KTO995" s="124"/>
      <c r="KTP995" s="124"/>
      <c r="KTQ995" s="124"/>
      <c r="KTR995" s="124"/>
      <c r="KTS995" s="124"/>
      <c r="KTT995" s="124"/>
      <c r="KTU995" s="124"/>
      <c r="KTV995" s="124"/>
      <c r="KTW995" s="124"/>
      <c r="KTX995" s="124"/>
      <c r="KTY995" s="124"/>
      <c r="KTZ995" s="124"/>
      <c r="KUA995" s="124"/>
      <c r="KUB995" s="124"/>
      <c r="KUC995" s="124"/>
      <c r="KUD995" s="124"/>
      <c r="KUE995" s="124"/>
      <c r="KUF995" s="124"/>
      <c r="KUG995" s="124"/>
      <c r="KUH995" s="124"/>
      <c r="KUI995" s="124"/>
      <c r="KUJ995" s="124"/>
      <c r="KUK995" s="124"/>
      <c r="KUL995" s="124"/>
      <c r="KUM995" s="124"/>
      <c r="KUN995" s="124"/>
      <c r="KUO995" s="124"/>
      <c r="KUP995" s="124"/>
      <c r="KUQ995" s="124"/>
      <c r="KUR995" s="124"/>
      <c r="KUS995" s="124"/>
      <c r="KUT995" s="124"/>
      <c r="KUU995" s="124"/>
      <c r="KUV995" s="124"/>
      <c r="KUW995" s="124"/>
      <c r="KUX995" s="124"/>
      <c r="KUY995" s="124"/>
      <c r="KUZ995" s="124"/>
      <c r="KVA995" s="124"/>
      <c r="KVB995" s="124"/>
      <c r="KVC995" s="124"/>
      <c r="KVD995" s="124"/>
      <c r="KVE995" s="124"/>
      <c r="KVF995" s="124"/>
      <c r="KVG995" s="124"/>
      <c r="KVH995" s="124"/>
      <c r="KVI995" s="124"/>
      <c r="KVJ995" s="124"/>
      <c r="KVK995" s="124"/>
      <c r="KVL995" s="124"/>
      <c r="KVM995" s="124"/>
      <c r="KVN995" s="124"/>
      <c r="KVO995" s="124"/>
      <c r="KVP995" s="124"/>
      <c r="KVQ995" s="124"/>
      <c r="KVR995" s="124"/>
      <c r="KVS995" s="124"/>
      <c r="KVT995" s="124"/>
      <c r="KVU995" s="124"/>
      <c r="KVV995" s="124"/>
      <c r="KVW995" s="124"/>
      <c r="KVX995" s="124"/>
      <c r="KVY995" s="124"/>
      <c r="KVZ995" s="124"/>
      <c r="KWA995" s="124"/>
      <c r="KWB995" s="124"/>
      <c r="KWC995" s="124"/>
      <c r="KWD995" s="124"/>
      <c r="KWE995" s="124"/>
      <c r="KWF995" s="124"/>
      <c r="KWG995" s="124"/>
      <c r="KWH995" s="124"/>
      <c r="KWI995" s="124"/>
      <c r="KWJ995" s="124"/>
      <c r="KWK995" s="124"/>
      <c r="KWL995" s="124"/>
      <c r="KWM995" s="124"/>
      <c r="KWN995" s="124"/>
      <c r="KWO995" s="124"/>
      <c r="KWP995" s="124"/>
      <c r="KWQ995" s="124"/>
      <c r="KWR995" s="124"/>
      <c r="KWS995" s="124"/>
      <c r="KWT995" s="124"/>
      <c r="KWU995" s="124"/>
      <c r="KWV995" s="124"/>
      <c r="KWW995" s="124"/>
      <c r="KWX995" s="124"/>
      <c r="KWY995" s="124"/>
      <c r="KWZ995" s="124"/>
      <c r="KXA995" s="124"/>
      <c r="KXB995" s="124"/>
      <c r="KXC995" s="124"/>
      <c r="KXD995" s="124"/>
      <c r="KXE995" s="124"/>
      <c r="KXF995" s="124"/>
      <c r="KXG995" s="124"/>
      <c r="KXH995" s="124"/>
      <c r="KXI995" s="124"/>
      <c r="KXJ995" s="124"/>
      <c r="KXK995" s="124"/>
      <c r="KXL995" s="124"/>
      <c r="KXM995" s="124"/>
      <c r="KXN995" s="124"/>
      <c r="KXO995" s="124"/>
      <c r="KXP995" s="124"/>
      <c r="KXQ995" s="124"/>
      <c r="KXR995" s="124"/>
      <c r="KXS995" s="124"/>
      <c r="KXT995" s="124"/>
      <c r="KXU995" s="124"/>
      <c r="KXV995" s="124"/>
      <c r="KXW995" s="124"/>
      <c r="KXX995" s="124"/>
      <c r="KXY995" s="124"/>
      <c r="KXZ995" s="124"/>
      <c r="KYA995" s="124"/>
      <c r="KYB995" s="124"/>
      <c r="KYC995" s="124"/>
      <c r="KYD995" s="124"/>
      <c r="KYE995" s="124"/>
      <c r="KYF995" s="124"/>
      <c r="KYG995" s="124"/>
      <c r="KYH995" s="124"/>
      <c r="KYI995" s="124"/>
      <c r="KYJ995" s="124"/>
      <c r="KYK995" s="124"/>
      <c r="KYL995" s="124"/>
      <c r="KYM995" s="124"/>
      <c r="KYN995" s="124"/>
      <c r="KYO995" s="124"/>
      <c r="KYP995" s="124"/>
      <c r="KYQ995" s="124"/>
      <c r="KYR995" s="124"/>
      <c r="KYS995" s="124"/>
      <c r="KYT995" s="124"/>
      <c r="KYU995" s="124"/>
      <c r="KYV995" s="124"/>
      <c r="KYW995" s="124"/>
      <c r="KYX995" s="124"/>
      <c r="KYY995" s="124"/>
      <c r="KYZ995" s="124"/>
      <c r="KZA995" s="124"/>
      <c r="KZB995" s="124"/>
      <c r="KZC995" s="124"/>
      <c r="KZD995" s="124"/>
      <c r="KZE995" s="124"/>
      <c r="KZF995" s="124"/>
      <c r="KZG995" s="124"/>
      <c r="KZH995" s="124"/>
      <c r="KZI995" s="124"/>
      <c r="KZJ995" s="124"/>
      <c r="KZK995" s="124"/>
      <c r="KZL995" s="124"/>
      <c r="KZM995" s="124"/>
      <c r="KZN995" s="124"/>
      <c r="KZO995" s="124"/>
      <c r="KZP995" s="124"/>
      <c r="KZQ995" s="124"/>
      <c r="KZR995" s="124"/>
      <c r="KZS995" s="124"/>
      <c r="KZT995" s="124"/>
      <c r="KZU995" s="124"/>
      <c r="KZV995" s="124"/>
      <c r="KZW995" s="124"/>
      <c r="KZX995" s="124"/>
      <c r="KZY995" s="124"/>
      <c r="KZZ995" s="124"/>
      <c r="LAA995" s="124"/>
      <c r="LAB995" s="124"/>
      <c r="LAC995" s="124"/>
      <c r="LAD995" s="124"/>
      <c r="LAE995" s="124"/>
      <c r="LAF995" s="124"/>
      <c r="LAG995" s="124"/>
      <c r="LAH995" s="124"/>
      <c r="LAI995" s="124"/>
      <c r="LAJ995" s="124"/>
      <c r="LAK995" s="124"/>
      <c r="LAL995" s="124"/>
      <c r="LAM995" s="124"/>
      <c r="LAN995" s="124"/>
      <c r="LAO995" s="124"/>
      <c r="LAP995" s="124"/>
      <c r="LAQ995" s="124"/>
      <c r="LAR995" s="124"/>
      <c r="LAS995" s="124"/>
      <c r="LAT995" s="124"/>
      <c r="LAU995" s="124"/>
      <c r="LAV995" s="124"/>
      <c r="LAW995" s="124"/>
      <c r="LAX995" s="124"/>
      <c r="LAY995" s="124"/>
      <c r="LAZ995" s="124"/>
      <c r="LBA995" s="124"/>
      <c r="LBB995" s="124"/>
      <c r="LBC995" s="124"/>
      <c r="LBD995" s="124"/>
      <c r="LBE995" s="124"/>
      <c r="LBF995" s="124"/>
      <c r="LBG995" s="124"/>
      <c r="LBH995" s="124"/>
      <c r="LBI995" s="124"/>
      <c r="LBJ995" s="124"/>
      <c r="LBK995" s="124"/>
      <c r="LBL995" s="124"/>
      <c r="LBM995" s="124"/>
      <c r="LBN995" s="124"/>
      <c r="LBO995" s="124"/>
      <c r="LBP995" s="124"/>
      <c r="LBQ995" s="124"/>
      <c r="LBR995" s="124"/>
      <c r="LBS995" s="124"/>
      <c r="LBT995" s="124"/>
      <c r="LBU995" s="124"/>
      <c r="LBV995" s="124"/>
      <c r="LBW995" s="124"/>
      <c r="LBX995" s="124"/>
      <c r="LBY995" s="124"/>
      <c r="LBZ995" s="124"/>
      <c r="LCA995" s="124"/>
      <c r="LCB995" s="124"/>
      <c r="LCC995" s="124"/>
      <c r="LCD995" s="124"/>
      <c r="LCE995" s="124"/>
      <c r="LCF995" s="124"/>
      <c r="LCG995" s="124"/>
      <c r="LCH995" s="124"/>
      <c r="LCI995" s="124"/>
      <c r="LCJ995" s="124"/>
      <c r="LCK995" s="124"/>
      <c r="LCL995" s="124"/>
      <c r="LCM995" s="124"/>
      <c r="LCN995" s="124"/>
      <c r="LCO995" s="124"/>
      <c r="LCP995" s="124"/>
      <c r="LCQ995" s="124"/>
      <c r="LCR995" s="124"/>
      <c r="LCS995" s="124"/>
      <c r="LCT995" s="124"/>
      <c r="LCU995" s="124"/>
      <c r="LCV995" s="124"/>
      <c r="LCW995" s="124"/>
      <c r="LCX995" s="124"/>
      <c r="LCY995" s="124"/>
      <c r="LCZ995" s="124"/>
      <c r="LDA995" s="124"/>
      <c r="LDB995" s="124"/>
      <c r="LDC995" s="124"/>
      <c r="LDD995" s="124"/>
      <c r="LDE995" s="124"/>
      <c r="LDF995" s="124"/>
      <c r="LDG995" s="124"/>
      <c r="LDH995" s="124"/>
      <c r="LDI995" s="124"/>
      <c r="LDJ995" s="124"/>
      <c r="LDK995" s="124"/>
      <c r="LDL995" s="124"/>
      <c r="LDM995" s="124"/>
      <c r="LDN995" s="124"/>
      <c r="LDO995" s="124"/>
      <c r="LDP995" s="124"/>
      <c r="LDQ995" s="124"/>
      <c r="LDR995" s="124"/>
      <c r="LDS995" s="124"/>
      <c r="LDT995" s="124"/>
      <c r="LDU995" s="124"/>
      <c r="LDV995" s="124"/>
      <c r="LDW995" s="124"/>
      <c r="LDX995" s="124"/>
      <c r="LDY995" s="124"/>
      <c r="LDZ995" s="124"/>
      <c r="LEA995" s="124"/>
      <c r="LEB995" s="124"/>
      <c r="LEC995" s="124"/>
      <c r="LED995" s="124"/>
      <c r="LEE995" s="124"/>
      <c r="LEF995" s="124"/>
      <c r="LEG995" s="124"/>
      <c r="LEH995" s="124"/>
      <c r="LEI995" s="124"/>
      <c r="LEJ995" s="124"/>
      <c r="LEK995" s="124"/>
      <c r="LEL995" s="124"/>
      <c r="LEM995" s="124"/>
      <c r="LEN995" s="124"/>
      <c r="LEO995" s="124"/>
      <c r="LEP995" s="124"/>
      <c r="LEQ995" s="124"/>
      <c r="LER995" s="124"/>
      <c r="LES995" s="124"/>
      <c r="LET995" s="124"/>
      <c r="LEU995" s="124"/>
      <c r="LEV995" s="124"/>
      <c r="LEW995" s="124"/>
      <c r="LEX995" s="124"/>
      <c r="LEY995" s="124"/>
      <c r="LEZ995" s="124"/>
      <c r="LFA995" s="124"/>
      <c r="LFB995" s="124"/>
      <c r="LFC995" s="124"/>
      <c r="LFD995" s="124"/>
      <c r="LFE995" s="124"/>
      <c r="LFF995" s="124"/>
      <c r="LFG995" s="124"/>
      <c r="LFH995" s="124"/>
      <c r="LFI995" s="124"/>
      <c r="LFJ995" s="124"/>
      <c r="LFK995" s="124"/>
      <c r="LFL995" s="124"/>
      <c r="LFM995" s="124"/>
      <c r="LFN995" s="124"/>
      <c r="LFO995" s="124"/>
      <c r="LFP995" s="124"/>
      <c r="LFQ995" s="124"/>
      <c r="LFR995" s="124"/>
      <c r="LFS995" s="124"/>
      <c r="LFT995" s="124"/>
      <c r="LFU995" s="124"/>
      <c r="LFV995" s="124"/>
      <c r="LFW995" s="124"/>
      <c r="LFX995" s="124"/>
      <c r="LFY995" s="124"/>
      <c r="LFZ995" s="124"/>
      <c r="LGA995" s="124"/>
      <c r="LGB995" s="124"/>
      <c r="LGC995" s="124"/>
      <c r="LGD995" s="124"/>
      <c r="LGE995" s="124"/>
      <c r="LGF995" s="124"/>
      <c r="LGG995" s="124"/>
      <c r="LGH995" s="124"/>
      <c r="LGI995" s="124"/>
      <c r="LGJ995" s="124"/>
      <c r="LGK995" s="124"/>
      <c r="LGL995" s="124"/>
      <c r="LGM995" s="124"/>
      <c r="LGN995" s="124"/>
      <c r="LGO995" s="124"/>
      <c r="LGP995" s="124"/>
      <c r="LGQ995" s="124"/>
      <c r="LGR995" s="124"/>
      <c r="LGS995" s="124"/>
      <c r="LGT995" s="124"/>
      <c r="LGU995" s="124"/>
      <c r="LGV995" s="124"/>
      <c r="LGW995" s="124"/>
      <c r="LGX995" s="124"/>
      <c r="LGY995" s="124"/>
      <c r="LGZ995" s="124"/>
      <c r="LHA995" s="124"/>
      <c r="LHB995" s="124"/>
      <c r="LHC995" s="124"/>
      <c r="LHD995" s="124"/>
      <c r="LHE995" s="124"/>
      <c r="LHF995" s="124"/>
      <c r="LHG995" s="124"/>
      <c r="LHH995" s="124"/>
      <c r="LHI995" s="124"/>
      <c r="LHJ995" s="124"/>
      <c r="LHK995" s="124"/>
      <c r="LHL995" s="124"/>
      <c r="LHM995" s="124"/>
      <c r="LHN995" s="124"/>
      <c r="LHO995" s="124"/>
      <c r="LHP995" s="124"/>
      <c r="LHQ995" s="124"/>
      <c r="LHR995" s="124"/>
      <c r="LHS995" s="124"/>
      <c r="LHT995" s="124"/>
      <c r="LHU995" s="124"/>
      <c r="LHV995" s="124"/>
      <c r="LHW995" s="124"/>
      <c r="LHX995" s="124"/>
      <c r="LHY995" s="124"/>
      <c r="LHZ995" s="124"/>
      <c r="LIA995" s="124"/>
      <c r="LIB995" s="124"/>
      <c r="LIC995" s="124"/>
      <c r="LID995" s="124"/>
      <c r="LIE995" s="124"/>
      <c r="LIF995" s="124"/>
      <c r="LIG995" s="124"/>
      <c r="LIH995" s="124"/>
      <c r="LII995" s="124"/>
      <c r="LIJ995" s="124"/>
      <c r="LIK995" s="124"/>
      <c r="LIL995" s="124"/>
      <c r="LIM995" s="124"/>
      <c r="LIN995" s="124"/>
      <c r="LIO995" s="124"/>
      <c r="LIP995" s="124"/>
      <c r="LIQ995" s="124"/>
      <c r="LIR995" s="124"/>
      <c r="LIS995" s="124"/>
      <c r="LIT995" s="124"/>
      <c r="LIU995" s="124"/>
      <c r="LIV995" s="124"/>
      <c r="LIW995" s="124"/>
      <c r="LIX995" s="124"/>
      <c r="LIY995" s="124"/>
      <c r="LIZ995" s="124"/>
      <c r="LJA995" s="124"/>
      <c r="LJB995" s="124"/>
      <c r="LJC995" s="124"/>
      <c r="LJD995" s="124"/>
      <c r="LJE995" s="124"/>
      <c r="LJF995" s="124"/>
      <c r="LJG995" s="124"/>
      <c r="LJH995" s="124"/>
      <c r="LJI995" s="124"/>
      <c r="LJJ995" s="124"/>
      <c r="LJK995" s="124"/>
      <c r="LJL995" s="124"/>
      <c r="LJM995" s="124"/>
      <c r="LJN995" s="124"/>
      <c r="LJO995" s="124"/>
      <c r="LJP995" s="124"/>
      <c r="LJQ995" s="124"/>
      <c r="LJR995" s="124"/>
      <c r="LJS995" s="124"/>
      <c r="LJT995" s="124"/>
      <c r="LJU995" s="124"/>
      <c r="LJV995" s="124"/>
      <c r="LJW995" s="124"/>
      <c r="LJX995" s="124"/>
      <c r="LJY995" s="124"/>
      <c r="LJZ995" s="124"/>
      <c r="LKA995" s="124"/>
      <c r="LKB995" s="124"/>
      <c r="LKC995" s="124"/>
      <c r="LKD995" s="124"/>
      <c r="LKE995" s="124"/>
      <c r="LKF995" s="124"/>
      <c r="LKG995" s="124"/>
      <c r="LKH995" s="124"/>
      <c r="LKI995" s="124"/>
      <c r="LKJ995" s="124"/>
      <c r="LKK995" s="124"/>
      <c r="LKL995" s="124"/>
      <c r="LKM995" s="124"/>
      <c r="LKN995" s="124"/>
      <c r="LKO995" s="124"/>
      <c r="LKP995" s="124"/>
      <c r="LKQ995" s="124"/>
      <c r="LKR995" s="124"/>
      <c r="LKS995" s="124"/>
      <c r="LKT995" s="124"/>
      <c r="LKU995" s="124"/>
      <c r="LKV995" s="124"/>
      <c r="LKW995" s="124"/>
      <c r="LKX995" s="124"/>
      <c r="LKY995" s="124"/>
      <c r="LKZ995" s="124"/>
      <c r="LLA995" s="124"/>
      <c r="LLB995" s="124"/>
      <c r="LLC995" s="124"/>
      <c r="LLD995" s="124"/>
      <c r="LLE995" s="124"/>
      <c r="LLF995" s="124"/>
      <c r="LLG995" s="124"/>
      <c r="LLH995" s="124"/>
      <c r="LLI995" s="124"/>
      <c r="LLJ995" s="124"/>
      <c r="LLK995" s="124"/>
      <c r="LLL995" s="124"/>
      <c r="LLM995" s="124"/>
      <c r="LLN995" s="124"/>
      <c r="LLO995" s="124"/>
      <c r="LLP995" s="124"/>
      <c r="LLQ995" s="124"/>
      <c r="LLR995" s="124"/>
      <c r="LLS995" s="124"/>
      <c r="LLT995" s="124"/>
      <c r="LLU995" s="124"/>
      <c r="LLV995" s="124"/>
      <c r="LLW995" s="124"/>
      <c r="LLX995" s="124"/>
      <c r="LLY995" s="124"/>
      <c r="LLZ995" s="124"/>
      <c r="LMA995" s="124"/>
      <c r="LMB995" s="124"/>
      <c r="LMC995" s="124"/>
      <c r="LMD995" s="124"/>
      <c r="LME995" s="124"/>
      <c r="LMF995" s="124"/>
      <c r="LMG995" s="124"/>
      <c r="LMH995" s="124"/>
      <c r="LMI995" s="124"/>
      <c r="LMJ995" s="124"/>
      <c r="LMK995" s="124"/>
      <c r="LML995" s="124"/>
      <c r="LMM995" s="124"/>
      <c r="LMN995" s="124"/>
      <c r="LMO995" s="124"/>
      <c r="LMP995" s="124"/>
      <c r="LMQ995" s="124"/>
      <c r="LMR995" s="124"/>
      <c r="LMS995" s="124"/>
      <c r="LMT995" s="124"/>
      <c r="LMU995" s="124"/>
      <c r="LMV995" s="124"/>
      <c r="LMW995" s="124"/>
      <c r="LMX995" s="124"/>
      <c r="LMY995" s="124"/>
      <c r="LMZ995" s="124"/>
      <c r="LNA995" s="124"/>
      <c r="LNB995" s="124"/>
      <c r="LNC995" s="124"/>
      <c r="LND995" s="124"/>
      <c r="LNE995" s="124"/>
      <c r="LNF995" s="124"/>
      <c r="LNG995" s="124"/>
      <c r="LNH995" s="124"/>
      <c r="LNI995" s="124"/>
      <c r="LNJ995" s="124"/>
      <c r="LNK995" s="124"/>
      <c r="LNL995" s="124"/>
      <c r="LNM995" s="124"/>
      <c r="LNN995" s="124"/>
      <c r="LNO995" s="124"/>
      <c r="LNP995" s="124"/>
      <c r="LNQ995" s="124"/>
      <c r="LNR995" s="124"/>
      <c r="LNS995" s="124"/>
      <c r="LNT995" s="124"/>
      <c r="LNU995" s="124"/>
      <c r="LNV995" s="124"/>
      <c r="LNW995" s="124"/>
      <c r="LNX995" s="124"/>
      <c r="LNY995" s="124"/>
      <c r="LNZ995" s="124"/>
      <c r="LOA995" s="124"/>
      <c r="LOB995" s="124"/>
      <c r="LOC995" s="124"/>
      <c r="LOD995" s="124"/>
      <c r="LOE995" s="124"/>
      <c r="LOF995" s="124"/>
      <c r="LOG995" s="124"/>
      <c r="LOH995" s="124"/>
      <c r="LOI995" s="124"/>
      <c r="LOJ995" s="124"/>
      <c r="LOK995" s="124"/>
      <c r="LOL995" s="124"/>
      <c r="LOM995" s="124"/>
      <c r="LON995" s="124"/>
      <c r="LOO995" s="124"/>
      <c r="LOP995" s="124"/>
      <c r="LOQ995" s="124"/>
      <c r="LOR995" s="124"/>
      <c r="LOS995" s="124"/>
      <c r="LOT995" s="124"/>
      <c r="LOU995" s="124"/>
      <c r="LOV995" s="124"/>
      <c r="LOW995" s="124"/>
      <c r="LOX995" s="124"/>
      <c r="LOY995" s="124"/>
      <c r="LOZ995" s="124"/>
      <c r="LPA995" s="124"/>
      <c r="LPB995" s="124"/>
      <c r="LPC995" s="124"/>
      <c r="LPD995" s="124"/>
      <c r="LPE995" s="124"/>
      <c r="LPF995" s="124"/>
      <c r="LPG995" s="124"/>
      <c r="LPH995" s="124"/>
      <c r="LPI995" s="124"/>
      <c r="LPJ995" s="124"/>
      <c r="LPK995" s="124"/>
      <c r="LPL995" s="124"/>
      <c r="LPM995" s="124"/>
      <c r="LPN995" s="124"/>
      <c r="LPO995" s="124"/>
      <c r="LPP995" s="124"/>
      <c r="LPQ995" s="124"/>
      <c r="LPR995" s="124"/>
      <c r="LPS995" s="124"/>
      <c r="LPT995" s="124"/>
      <c r="LPU995" s="124"/>
      <c r="LPV995" s="124"/>
      <c r="LPW995" s="124"/>
      <c r="LPX995" s="124"/>
      <c r="LPY995" s="124"/>
      <c r="LPZ995" s="124"/>
      <c r="LQA995" s="124"/>
      <c r="LQB995" s="124"/>
      <c r="LQC995" s="124"/>
      <c r="LQD995" s="124"/>
      <c r="LQE995" s="124"/>
      <c r="LQF995" s="124"/>
      <c r="LQG995" s="124"/>
      <c r="LQH995" s="124"/>
      <c r="LQI995" s="124"/>
      <c r="LQJ995" s="124"/>
      <c r="LQK995" s="124"/>
      <c r="LQL995" s="124"/>
      <c r="LQM995" s="124"/>
      <c r="LQN995" s="124"/>
      <c r="LQO995" s="124"/>
      <c r="LQP995" s="124"/>
      <c r="LQQ995" s="124"/>
      <c r="LQR995" s="124"/>
      <c r="LQS995" s="124"/>
      <c r="LQT995" s="124"/>
      <c r="LQU995" s="124"/>
      <c r="LQV995" s="124"/>
      <c r="LQW995" s="124"/>
      <c r="LQX995" s="124"/>
      <c r="LQY995" s="124"/>
      <c r="LQZ995" s="124"/>
      <c r="LRA995" s="124"/>
      <c r="LRB995" s="124"/>
      <c r="LRC995" s="124"/>
      <c r="LRD995" s="124"/>
      <c r="LRE995" s="124"/>
      <c r="LRF995" s="124"/>
      <c r="LRG995" s="124"/>
      <c r="LRH995" s="124"/>
      <c r="LRI995" s="124"/>
      <c r="LRJ995" s="124"/>
      <c r="LRK995" s="124"/>
      <c r="LRL995" s="124"/>
      <c r="LRM995" s="124"/>
      <c r="LRN995" s="124"/>
      <c r="LRO995" s="124"/>
      <c r="LRP995" s="124"/>
      <c r="LRQ995" s="124"/>
      <c r="LRR995" s="124"/>
      <c r="LRS995" s="124"/>
      <c r="LRT995" s="124"/>
      <c r="LRU995" s="124"/>
      <c r="LRV995" s="124"/>
      <c r="LRW995" s="124"/>
      <c r="LRX995" s="124"/>
      <c r="LRY995" s="124"/>
      <c r="LRZ995" s="124"/>
      <c r="LSA995" s="124"/>
      <c r="LSB995" s="124"/>
      <c r="LSC995" s="124"/>
      <c r="LSD995" s="124"/>
      <c r="LSE995" s="124"/>
      <c r="LSF995" s="124"/>
      <c r="LSG995" s="124"/>
      <c r="LSH995" s="124"/>
      <c r="LSI995" s="124"/>
      <c r="LSJ995" s="124"/>
      <c r="LSK995" s="124"/>
      <c r="LSL995" s="124"/>
      <c r="LSM995" s="124"/>
      <c r="LSN995" s="124"/>
      <c r="LSO995" s="124"/>
      <c r="LSP995" s="124"/>
      <c r="LSQ995" s="124"/>
      <c r="LSR995" s="124"/>
      <c r="LSS995" s="124"/>
      <c r="LST995" s="124"/>
      <c r="LSU995" s="124"/>
      <c r="LSV995" s="124"/>
      <c r="LSW995" s="124"/>
      <c r="LSX995" s="124"/>
      <c r="LSY995" s="124"/>
      <c r="LSZ995" s="124"/>
      <c r="LTA995" s="124"/>
      <c r="LTB995" s="124"/>
      <c r="LTC995" s="124"/>
      <c r="LTD995" s="124"/>
      <c r="LTE995" s="124"/>
      <c r="LTF995" s="124"/>
      <c r="LTG995" s="124"/>
      <c r="LTH995" s="124"/>
      <c r="LTI995" s="124"/>
      <c r="LTJ995" s="124"/>
      <c r="LTK995" s="124"/>
      <c r="LTL995" s="124"/>
      <c r="LTM995" s="124"/>
      <c r="LTN995" s="124"/>
      <c r="LTO995" s="124"/>
      <c r="LTP995" s="124"/>
      <c r="LTQ995" s="124"/>
      <c r="LTR995" s="124"/>
      <c r="LTS995" s="124"/>
      <c r="LTT995" s="124"/>
      <c r="LTU995" s="124"/>
      <c r="LTV995" s="124"/>
      <c r="LTW995" s="124"/>
      <c r="LTX995" s="124"/>
      <c r="LTY995" s="124"/>
      <c r="LTZ995" s="124"/>
      <c r="LUA995" s="124"/>
      <c r="LUB995" s="124"/>
      <c r="LUC995" s="124"/>
      <c r="LUD995" s="124"/>
      <c r="LUE995" s="124"/>
      <c r="LUF995" s="124"/>
      <c r="LUG995" s="124"/>
      <c r="LUH995" s="124"/>
      <c r="LUI995" s="124"/>
      <c r="LUJ995" s="124"/>
      <c r="LUK995" s="124"/>
      <c r="LUL995" s="124"/>
      <c r="LUM995" s="124"/>
      <c r="LUN995" s="124"/>
      <c r="LUO995" s="124"/>
      <c r="LUP995" s="124"/>
      <c r="LUQ995" s="124"/>
      <c r="LUR995" s="124"/>
      <c r="LUS995" s="124"/>
      <c r="LUT995" s="124"/>
      <c r="LUU995" s="124"/>
      <c r="LUV995" s="124"/>
      <c r="LUW995" s="124"/>
      <c r="LUX995" s="124"/>
      <c r="LUY995" s="124"/>
      <c r="LUZ995" s="124"/>
      <c r="LVA995" s="124"/>
      <c r="LVB995" s="124"/>
      <c r="LVC995" s="124"/>
      <c r="LVD995" s="124"/>
      <c r="LVE995" s="124"/>
      <c r="LVF995" s="124"/>
      <c r="LVG995" s="124"/>
      <c r="LVH995" s="124"/>
      <c r="LVI995" s="124"/>
      <c r="LVJ995" s="124"/>
      <c r="LVK995" s="124"/>
      <c r="LVL995" s="124"/>
      <c r="LVM995" s="124"/>
      <c r="LVN995" s="124"/>
      <c r="LVO995" s="124"/>
      <c r="LVP995" s="124"/>
      <c r="LVQ995" s="124"/>
      <c r="LVR995" s="124"/>
      <c r="LVS995" s="124"/>
      <c r="LVT995" s="124"/>
      <c r="LVU995" s="124"/>
      <c r="LVV995" s="124"/>
      <c r="LVW995" s="124"/>
      <c r="LVX995" s="124"/>
      <c r="LVY995" s="124"/>
      <c r="LVZ995" s="124"/>
      <c r="LWA995" s="124"/>
      <c r="LWB995" s="124"/>
      <c r="LWC995" s="124"/>
      <c r="LWD995" s="124"/>
      <c r="LWE995" s="124"/>
      <c r="LWF995" s="124"/>
      <c r="LWG995" s="124"/>
      <c r="LWH995" s="124"/>
      <c r="LWI995" s="124"/>
      <c r="LWJ995" s="124"/>
      <c r="LWK995" s="124"/>
      <c r="LWL995" s="124"/>
      <c r="LWM995" s="124"/>
      <c r="LWN995" s="124"/>
      <c r="LWO995" s="124"/>
      <c r="LWP995" s="124"/>
      <c r="LWQ995" s="124"/>
      <c r="LWR995" s="124"/>
      <c r="LWS995" s="124"/>
      <c r="LWT995" s="124"/>
      <c r="LWU995" s="124"/>
      <c r="LWV995" s="124"/>
      <c r="LWW995" s="124"/>
      <c r="LWX995" s="124"/>
      <c r="LWY995" s="124"/>
      <c r="LWZ995" s="124"/>
      <c r="LXA995" s="124"/>
      <c r="LXB995" s="124"/>
      <c r="LXC995" s="124"/>
      <c r="LXD995" s="124"/>
      <c r="LXE995" s="124"/>
      <c r="LXF995" s="124"/>
      <c r="LXG995" s="124"/>
      <c r="LXH995" s="124"/>
      <c r="LXI995" s="124"/>
      <c r="LXJ995" s="124"/>
      <c r="LXK995" s="124"/>
      <c r="LXL995" s="124"/>
      <c r="LXM995" s="124"/>
      <c r="LXN995" s="124"/>
      <c r="LXO995" s="124"/>
      <c r="LXP995" s="124"/>
      <c r="LXQ995" s="124"/>
      <c r="LXR995" s="124"/>
      <c r="LXS995" s="124"/>
      <c r="LXT995" s="124"/>
      <c r="LXU995" s="124"/>
      <c r="LXV995" s="124"/>
      <c r="LXW995" s="124"/>
      <c r="LXX995" s="124"/>
      <c r="LXY995" s="124"/>
      <c r="LXZ995" s="124"/>
      <c r="LYA995" s="124"/>
      <c r="LYB995" s="124"/>
      <c r="LYC995" s="124"/>
      <c r="LYD995" s="124"/>
      <c r="LYE995" s="124"/>
      <c r="LYF995" s="124"/>
      <c r="LYG995" s="124"/>
      <c r="LYH995" s="124"/>
      <c r="LYI995" s="124"/>
      <c r="LYJ995" s="124"/>
      <c r="LYK995" s="124"/>
      <c r="LYL995" s="124"/>
      <c r="LYM995" s="124"/>
      <c r="LYN995" s="124"/>
      <c r="LYO995" s="124"/>
      <c r="LYP995" s="124"/>
      <c r="LYQ995" s="124"/>
      <c r="LYR995" s="124"/>
      <c r="LYS995" s="124"/>
      <c r="LYT995" s="124"/>
      <c r="LYU995" s="124"/>
      <c r="LYV995" s="124"/>
      <c r="LYW995" s="124"/>
      <c r="LYX995" s="124"/>
      <c r="LYY995" s="124"/>
      <c r="LYZ995" s="124"/>
      <c r="LZA995" s="124"/>
      <c r="LZB995" s="124"/>
      <c r="LZC995" s="124"/>
      <c r="LZD995" s="124"/>
      <c r="LZE995" s="124"/>
      <c r="LZF995" s="124"/>
      <c r="LZG995" s="124"/>
      <c r="LZH995" s="124"/>
      <c r="LZI995" s="124"/>
      <c r="LZJ995" s="124"/>
      <c r="LZK995" s="124"/>
      <c r="LZL995" s="124"/>
      <c r="LZM995" s="124"/>
      <c r="LZN995" s="124"/>
      <c r="LZO995" s="124"/>
      <c r="LZP995" s="124"/>
      <c r="LZQ995" s="124"/>
      <c r="LZR995" s="124"/>
      <c r="LZS995" s="124"/>
      <c r="LZT995" s="124"/>
      <c r="LZU995" s="124"/>
      <c r="LZV995" s="124"/>
      <c r="LZW995" s="124"/>
      <c r="LZX995" s="124"/>
      <c r="LZY995" s="124"/>
      <c r="LZZ995" s="124"/>
      <c r="MAA995" s="124"/>
      <c r="MAB995" s="124"/>
      <c r="MAC995" s="124"/>
      <c r="MAD995" s="124"/>
      <c r="MAE995" s="124"/>
      <c r="MAF995" s="124"/>
      <c r="MAG995" s="124"/>
      <c r="MAH995" s="124"/>
      <c r="MAI995" s="124"/>
      <c r="MAJ995" s="124"/>
      <c r="MAK995" s="124"/>
      <c r="MAL995" s="124"/>
      <c r="MAM995" s="124"/>
      <c r="MAN995" s="124"/>
      <c r="MAO995" s="124"/>
      <c r="MAP995" s="124"/>
      <c r="MAQ995" s="124"/>
      <c r="MAR995" s="124"/>
      <c r="MAS995" s="124"/>
      <c r="MAT995" s="124"/>
      <c r="MAU995" s="124"/>
      <c r="MAV995" s="124"/>
      <c r="MAW995" s="124"/>
      <c r="MAX995" s="124"/>
      <c r="MAY995" s="124"/>
      <c r="MAZ995" s="124"/>
      <c r="MBA995" s="124"/>
      <c r="MBB995" s="124"/>
      <c r="MBC995" s="124"/>
      <c r="MBD995" s="124"/>
      <c r="MBE995" s="124"/>
      <c r="MBF995" s="124"/>
      <c r="MBG995" s="124"/>
      <c r="MBH995" s="124"/>
      <c r="MBI995" s="124"/>
      <c r="MBJ995" s="124"/>
      <c r="MBK995" s="124"/>
      <c r="MBL995" s="124"/>
      <c r="MBM995" s="124"/>
      <c r="MBN995" s="124"/>
      <c r="MBO995" s="124"/>
      <c r="MBP995" s="124"/>
      <c r="MBQ995" s="124"/>
      <c r="MBR995" s="124"/>
      <c r="MBS995" s="124"/>
      <c r="MBT995" s="124"/>
      <c r="MBU995" s="124"/>
      <c r="MBV995" s="124"/>
      <c r="MBW995" s="124"/>
      <c r="MBX995" s="124"/>
      <c r="MBY995" s="124"/>
      <c r="MBZ995" s="124"/>
      <c r="MCA995" s="124"/>
      <c r="MCB995" s="124"/>
      <c r="MCC995" s="124"/>
      <c r="MCD995" s="124"/>
    </row>
    <row r="996" spans="1:8870" s="18" customFormat="1" ht="38.25" customHeight="1">
      <c r="A996" s="21" t="s">
        <v>1</v>
      </c>
      <c r="B996" s="18" t="s">
        <v>1855</v>
      </c>
      <c r="C996" s="18" t="s">
        <v>1891</v>
      </c>
      <c r="D996" s="21" t="s">
        <v>2875</v>
      </c>
      <c r="E996" s="21" t="s">
        <v>740</v>
      </c>
      <c r="F996" s="18" t="s">
        <v>277</v>
      </c>
      <c r="G996" s="21" t="s">
        <v>85</v>
      </c>
      <c r="H996" s="21" t="s">
        <v>80</v>
      </c>
      <c r="I996" s="21" t="s">
        <v>80</v>
      </c>
      <c r="J996" s="21" t="s">
        <v>109</v>
      </c>
      <c r="K996" s="21" t="s">
        <v>80</v>
      </c>
      <c r="L996" s="21" t="s">
        <v>278</v>
      </c>
      <c r="M996" s="21" t="s">
        <v>80</v>
      </c>
      <c r="N996" s="314">
        <v>4100000</v>
      </c>
      <c r="O996" s="21" t="s">
        <v>20</v>
      </c>
      <c r="P996" s="18" t="s">
        <v>1301</v>
      </c>
      <c r="Q996" s="18" t="s">
        <v>2851</v>
      </c>
      <c r="R996" s="21" t="s">
        <v>6</v>
      </c>
      <c r="S996" s="74">
        <v>2013</v>
      </c>
      <c r="T996" s="18" t="s">
        <v>1301</v>
      </c>
      <c r="U996" s="18" t="s">
        <v>1301</v>
      </c>
      <c r="V996" s="18" t="s">
        <v>1301</v>
      </c>
      <c r="W996" s="105" t="s">
        <v>32</v>
      </c>
      <c r="X996" s="18" t="s">
        <v>2856</v>
      </c>
      <c r="Y996" s="124"/>
      <c r="Z996" s="124"/>
      <c r="AA996" s="124"/>
      <c r="AB996" s="124"/>
      <c r="AC996" s="124"/>
      <c r="AD996" s="124"/>
      <c r="AE996" s="124"/>
      <c r="AF996" s="124"/>
      <c r="AG996" s="124"/>
      <c r="AH996" s="124"/>
      <c r="AI996" s="124"/>
      <c r="AJ996" s="124"/>
      <c r="AK996" s="124"/>
      <c r="AL996" s="124"/>
      <c r="AM996" s="124"/>
      <c r="AN996" s="124"/>
      <c r="AO996" s="124"/>
      <c r="AP996" s="124"/>
      <c r="AQ996" s="124"/>
      <c r="AR996" s="124"/>
      <c r="AS996" s="124"/>
      <c r="AT996" s="124"/>
      <c r="AU996" s="124"/>
      <c r="AV996" s="124"/>
      <c r="AW996" s="124"/>
      <c r="AX996" s="124"/>
      <c r="AY996" s="124"/>
      <c r="AZ996" s="124"/>
      <c r="BA996" s="124"/>
      <c r="BB996" s="124"/>
      <c r="BC996" s="124"/>
      <c r="BD996" s="124"/>
      <c r="BE996" s="124"/>
      <c r="BF996" s="124"/>
      <c r="BG996" s="124"/>
      <c r="BH996" s="124"/>
      <c r="BI996" s="124"/>
      <c r="BJ996" s="124"/>
      <c r="BK996" s="124"/>
      <c r="BL996" s="124"/>
      <c r="BM996" s="124"/>
      <c r="BN996" s="124"/>
      <c r="BO996" s="124"/>
      <c r="BP996" s="124"/>
      <c r="BQ996" s="124"/>
      <c r="BR996" s="124"/>
      <c r="BS996" s="124"/>
      <c r="BT996" s="124"/>
      <c r="BU996" s="124"/>
      <c r="BV996" s="124"/>
      <c r="BW996" s="124"/>
      <c r="BX996" s="124"/>
      <c r="BY996" s="124"/>
      <c r="BZ996" s="124"/>
      <c r="CA996" s="124"/>
      <c r="CB996" s="124"/>
      <c r="CC996" s="124"/>
      <c r="CD996" s="124"/>
      <c r="CE996" s="124"/>
      <c r="CF996" s="124"/>
      <c r="CG996" s="124"/>
      <c r="CH996" s="124"/>
      <c r="CI996" s="124"/>
      <c r="CJ996" s="124"/>
      <c r="CK996" s="124"/>
      <c r="CL996" s="124"/>
      <c r="CM996" s="124"/>
      <c r="CN996" s="124"/>
      <c r="CO996" s="124"/>
      <c r="CP996" s="124"/>
      <c r="CQ996" s="124"/>
      <c r="CR996" s="124"/>
      <c r="CS996" s="124"/>
      <c r="CT996" s="124"/>
      <c r="CU996" s="124"/>
      <c r="CV996" s="124"/>
      <c r="CW996" s="124"/>
      <c r="CX996" s="124"/>
      <c r="CY996" s="124"/>
      <c r="CZ996" s="124"/>
      <c r="DA996" s="124"/>
      <c r="DB996" s="124"/>
      <c r="DC996" s="124"/>
      <c r="DD996" s="124"/>
      <c r="DE996" s="124"/>
      <c r="DF996" s="124"/>
      <c r="DG996" s="124"/>
      <c r="DH996" s="124"/>
      <c r="DI996" s="124"/>
      <c r="DJ996" s="124"/>
      <c r="DK996" s="124"/>
      <c r="DL996" s="124"/>
      <c r="DM996" s="124"/>
      <c r="DN996" s="124"/>
      <c r="DO996" s="124"/>
      <c r="DP996" s="124"/>
      <c r="DQ996" s="124"/>
      <c r="DR996" s="124"/>
      <c r="DS996" s="124"/>
      <c r="DT996" s="124"/>
      <c r="DU996" s="124"/>
      <c r="DV996" s="124"/>
      <c r="DW996" s="124"/>
      <c r="DX996" s="124"/>
      <c r="DY996" s="124"/>
      <c r="DZ996" s="124"/>
      <c r="EA996" s="124"/>
      <c r="EB996" s="124"/>
      <c r="EC996" s="124"/>
      <c r="ED996" s="124"/>
      <c r="EE996" s="124"/>
      <c r="EF996" s="124"/>
      <c r="EG996" s="124"/>
      <c r="EH996" s="124"/>
      <c r="EI996" s="124"/>
      <c r="EJ996" s="124"/>
      <c r="EK996" s="124"/>
      <c r="EL996" s="124"/>
      <c r="EM996" s="124"/>
      <c r="EN996" s="124"/>
      <c r="EO996" s="124"/>
      <c r="EP996" s="124"/>
      <c r="EQ996" s="124"/>
      <c r="ER996" s="124"/>
      <c r="ES996" s="124"/>
      <c r="ET996" s="124"/>
      <c r="EU996" s="124"/>
      <c r="EV996" s="124"/>
      <c r="EW996" s="124"/>
      <c r="EX996" s="124"/>
      <c r="EY996" s="124"/>
      <c r="EZ996" s="124"/>
      <c r="FA996" s="124"/>
      <c r="FB996" s="124"/>
      <c r="FC996" s="124"/>
      <c r="FD996" s="124"/>
      <c r="FE996" s="124"/>
      <c r="FF996" s="124"/>
      <c r="FG996" s="124"/>
      <c r="FH996" s="124"/>
      <c r="FI996" s="124"/>
      <c r="FJ996" s="124"/>
      <c r="FK996" s="124"/>
      <c r="FL996" s="124"/>
      <c r="FM996" s="124"/>
      <c r="FN996" s="124"/>
      <c r="FO996" s="124"/>
      <c r="FP996" s="124"/>
      <c r="FQ996" s="124"/>
      <c r="FR996" s="124"/>
      <c r="FS996" s="124"/>
      <c r="FT996" s="124"/>
      <c r="FU996" s="124"/>
      <c r="FV996" s="124"/>
      <c r="FW996" s="124"/>
      <c r="FX996" s="124"/>
      <c r="FY996" s="124"/>
      <c r="FZ996" s="124"/>
      <c r="GA996" s="124"/>
      <c r="GB996" s="124"/>
      <c r="GC996" s="124"/>
      <c r="GD996" s="124"/>
      <c r="GE996" s="124"/>
      <c r="GF996" s="124"/>
      <c r="GG996" s="124"/>
      <c r="GH996" s="124"/>
      <c r="GI996" s="124"/>
      <c r="GJ996" s="124"/>
      <c r="GK996" s="124"/>
      <c r="GL996" s="124"/>
      <c r="GM996" s="124"/>
      <c r="GN996" s="124"/>
      <c r="GO996" s="124"/>
      <c r="GP996" s="124"/>
      <c r="GQ996" s="124"/>
      <c r="GR996" s="124"/>
      <c r="GS996" s="124"/>
      <c r="GT996" s="124"/>
      <c r="GU996" s="124"/>
      <c r="GV996" s="124"/>
      <c r="GW996" s="124"/>
      <c r="GX996" s="124"/>
      <c r="GY996" s="124"/>
      <c r="GZ996" s="124"/>
      <c r="HA996" s="124"/>
      <c r="HB996" s="124"/>
      <c r="HC996" s="124"/>
      <c r="HD996" s="124"/>
      <c r="HE996" s="124"/>
      <c r="HF996" s="124"/>
      <c r="HG996" s="124"/>
      <c r="HH996" s="124"/>
      <c r="HI996" s="124"/>
      <c r="HJ996" s="124"/>
      <c r="HK996" s="124"/>
      <c r="HL996" s="124"/>
      <c r="HM996" s="124"/>
      <c r="HN996" s="124"/>
      <c r="HO996" s="124"/>
      <c r="HP996" s="124"/>
      <c r="HQ996" s="124"/>
      <c r="HR996" s="124"/>
      <c r="HS996" s="124"/>
      <c r="HT996" s="124"/>
      <c r="HU996" s="124"/>
      <c r="HV996" s="124"/>
      <c r="HW996" s="124"/>
      <c r="HX996" s="124"/>
      <c r="HY996" s="124"/>
      <c r="HZ996" s="124"/>
      <c r="IA996" s="124"/>
      <c r="IB996" s="124"/>
      <c r="IC996" s="124"/>
      <c r="ID996" s="124"/>
      <c r="IE996" s="124"/>
      <c r="IF996" s="124"/>
      <c r="IG996" s="124"/>
      <c r="IH996" s="124"/>
      <c r="II996" s="124"/>
      <c r="IJ996" s="124"/>
      <c r="IK996" s="124"/>
      <c r="IL996" s="124"/>
      <c r="IM996" s="124"/>
      <c r="IN996" s="124"/>
      <c r="IO996" s="124"/>
      <c r="IP996" s="124"/>
      <c r="IQ996" s="124"/>
      <c r="IR996" s="124"/>
      <c r="IS996" s="124"/>
      <c r="IT996" s="124"/>
      <c r="IU996" s="124"/>
      <c r="IV996" s="124"/>
      <c r="IW996" s="124"/>
      <c r="IX996" s="124"/>
      <c r="IY996" s="124"/>
      <c r="IZ996" s="124"/>
      <c r="JA996" s="124"/>
      <c r="JB996" s="124"/>
      <c r="JC996" s="124"/>
      <c r="JD996" s="124"/>
      <c r="JE996" s="124"/>
      <c r="JF996" s="124"/>
      <c r="JG996" s="124"/>
      <c r="JH996" s="124"/>
      <c r="JI996" s="124"/>
      <c r="JJ996" s="124"/>
      <c r="JK996" s="124"/>
      <c r="JL996" s="124"/>
      <c r="JM996" s="124"/>
      <c r="JN996" s="124"/>
      <c r="JO996" s="124"/>
      <c r="JP996" s="124"/>
      <c r="JQ996" s="124"/>
      <c r="JR996" s="124"/>
      <c r="JS996" s="124"/>
      <c r="JT996" s="124"/>
      <c r="JU996" s="124"/>
      <c r="JV996" s="124"/>
      <c r="JW996" s="124"/>
      <c r="JX996" s="124"/>
      <c r="JY996" s="124"/>
      <c r="JZ996" s="124"/>
      <c r="KA996" s="124"/>
      <c r="KB996" s="124"/>
      <c r="KC996" s="124"/>
      <c r="KD996" s="124"/>
      <c r="KE996" s="124"/>
      <c r="KF996" s="124"/>
      <c r="KG996" s="124"/>
      <c r="KH996" s="124"/>
      <c r="KI996" s="124"/>
      <c r="KJ996" s="124"/>
      <c r="KK996" s="124"/>
      <c r="KL996" s="124"/>
      <c r="KM996" s="124"/>
      <c r="KN996" s="124"/>
      <c r="KO996" s="124"/>
      <c r="KP996" s="124"/>
      <c r="KQ996" s="124"/>
      <c r="KR996" s="124"/>
      <c r="KS996" s="124"/>
      <c r="KT996" s="124"/>
      <c r="KU996" s="124"/>
      <c r="KV996" s="124"/>
      <c r="KW996" s="124"/>
      <c r="KX996" s="124"/>
      <c r="KY996" s="124"/>
      <c r="KZ996" s="124"/>
      <c r="LA996" s="124"/>
      <c r="LB996" s="124"/>
      <c r="LC996" s="124"/>
      <c r="LD996" s="124"/>
      <c r="LE996" s="124"/>
      <c r="LF996" s="124"/>
      <c r="LG996" s="124"/>
      <c r="LH996" s="124"/>
      <c r="LI996" s="124"/>
      <c r="LJ996" s="124"/>
      <c r="LK996" s="124"/>
      <c r="LL996" s="124"/>
      <c r="LM996" s="124"/>
      <c r="LN996" s="124"/>
      <c r="LO996" s="124"/>
      <c r="LP996" s="124"/>
      <c r="LQ996" s="124"/>
      <c r="LR996" s="124"/>
      <c r="LS996" s="124"/>
      <c r="LT996" s="124"/>
      <c r="LU996" s="124"/>
      <c r="LV996" s="124"/>
      <c r="LW996" s="124"/>
      <c r="LX996" s="124"/>
      <c r="LY996" s="124"/>
      <c r="LZ996" s="124"/>
      <c r="MA996" s="124"/>
      <c r="MB996" s="124"/>
      <c r="MC996" s="124"/>
      <c r="MD996" s="124"/>
      <c r="ME996" s="124"/>
      <c r="MF996" s="124"/>
      <c r="MG996" s="124"/>
      <c r="MH996" s="124"/>
      <c r="MI996" s="124"/>
      <c r="MJ996" s="124"/>
      <c r="MK996" s="124"/>
      <c r="ML996" s="124"/>
      <c r="MM996" s="124"/>
      <c r="MN996" s="124"/>
      <c r="MO996" s="124"/>
      <c r="MP996" s="124"/>
      <c r="MQ996" s="124"/>
      <c r="MR996" s="124"/>
      <c r="MS996" s="124"/>
      <c r="MT996" s="124"/>
      <c r="MU996" s="124"/>
      <c r="MV996" s="124"/>
      <c r="MW996" s="124"/>
      <c r="MX996" s="124"/>
      <c r="MY996" s="124"/>
      <c r="MZ996" s="124"/>
      <c r="NA996" s="124"/>
      <c r="NB996" s="124"/>
      <c r="NC996" s="124"/>
      <c r="ND996" s="124"/>
      <c r="NE996" s="124"/>
      <c r="NF996" s="124"/>
      <c r="NG996" s="124"/>
      <c r="NH996" s="124"/>
      <c r="NI996" s="124"/>
      <c r="NJ996" s="124"/>
      <c r="NK996" s="124"/>
      <c r="NL996" s="124"/>
      <c r="NM996" s="124"/>
      <c r="NN996" s="124"/>
      <c r="NO996" s="124"/>
      <c r="NP996" s="124"/>
      <c r="NQ996" s="124"/>
      <c r="NR996" s="124"/>
      <c r="NS996" s="124"/>
      <c r="NT996" s="124"/>
      <c r="NU996" s="124"/>
      <c r="NV996" s="124"/>
      <c r="NW996" s="124"/>
      <c r="NX996" s="124"/>
      <c r="NY996" s="124"/>
      <c r="NZ996" s="124"/>
      <c r="OA996" s="124"/>
      <c r="OB996" s="124"/>
      <c r="OC996" s="124"/>
      <c r="OD996" s="124"/>
      <c r="OE996" s="124"/>
      <c r="OF996" s="124"/>
      <c r="OG996" s="124"/>
      <c r="OH996" s="124"/>
      <c r="OI996" s="124"/>
      <c r="OJ996" s="124"/>
      <c r="OK996" s="124"/>
      <c r="OL996" s="124"/>
      <c r="OM996" s="124"/>
      <c r="ON996" s="124"/>
      <c r="OO996" s="124"/>
      <c r="OP996" s="124"/>
      <c r="OQ996" s="124"/>
      <c r="OR996" s="124"/>
      <c r="OS996" s="124"/>
      <c r="OT996" s="124"/>
      <c r="OU996" s="124"/>
      <c r="OV996" s="124"/>
      <c r="OW996" s="124"/>
      <c r="OX996" s="124"/>
      <c r="OY996" s="124"/>
      <c r="OZ996" s="124"/>
      <c r="PA996" s="124"/>
      <c r="PB996" s="124"/>
      <c r="PC996" s="124"/>
      <c r="PD996" s="124"/>
      <c r="PE996" s="124"/>
      <c r="PF996" s="124"/>
      <c r="PG996" s="124"/>
      <c r="PH996" s="124"/>
      <c r="PI996" s="124"/>
      <c r="PJ996" s="124"/>
      <c r="PK996" s="124"/>
      <c r="PL996" s="124"/>
      <c r="PM996" s="124"/>
      <c r="PN996" s="124"/>
      <c r="PO996" s="124"/>
      <c r="PP996" s="124"/>
      <c r="PQ996" s="124"/>
      <c r="PR996" s="124"/>
      <c r="PS996" s="124"/>
      <c r="PT996" s="124"/>
      <c r="PU996" s="124"/>
      <c r="PV996" s="124"/>
      <c r="PW996" s="124"/>
      <c r="PX996" s="124"/>
      <c r="PY996" s="124"/>
      <c r="PZ996" s="124"/>
      <c r="QA996" s="124"/>
      <c r="QB996" s="124"/>
      <c r="QC996" s="124"/>
      <c r="QD996" s="124"/>
      <c r="QE996" s="124"/>
      <c r="QF996" s="124"/>
      <c r="QG996" s="124"/>
      <c r="QH996" s="124"/>
      <c r="QI996" s="124"/>
      <c r="QJ996" s="124"/>
      <c r="QK996" s="124"/>
      <c r="QL996" s="124"/>
      <c r="QM996" s="124"/>
      <c r="QN996" s="124"/>
      <c r="QO996" s="124"/>
      <c r="QP996" s="124"/>
      <c r="QQ996" s="124"/>
      <c r="QR996" s="124"/>
      <c r="QS996" s="124"/>
      <c r="QT996" s="124"/>
      <c r="QU996" s="124"/>
      <c r="QV996" s="124"/>
      <c r="QW996" s="124"/>
      <c r="QX996" s="124"/>
      <c r="QY996" s="124"/>
      <c r="QZ996" s="124"/>
      <c r="RA996" s="124"/>
      <c r="RB996" s="124"/>
      <c r="RC996" s="124"/>
      <c r="RD996" s="124"/>
      <c r="RE996" s="124"/>
      <c r="RF996" s="124"/>
      <c r="RG996" s="124"/>
      <c r="RH996" s="124"/>
      <c r="RI996" s="124"/>
      <c r="RJ996" s="124"/>
      <c r="RK996" s="124"/>
      <c r="RL996" s="124"/>
      <c r="RM996" s="124"/>
      <c r="RN996" s="124"/>
      <c r="RO996" s="124"/>
      <c r="RP996" s="124"/>
      <c r="RQ996" s="124"/>
      <c r="RR996" s="124"/>
      <c r="RS996" s="124"/>
      <c r="RT996" s="124"/>
      <c r="RU996" s="124"/>
      <c r="RV996" s="124"/>
      <c r="RW996" s="124"/>
      <c r="RX996" s="124"/>
      <c r="RY996" s="124"/>
      <c r="RZ996" s="124"/>
      <c r="SA996" s="124"/>
      <c r="SB996" s="124"/>
      <c r="SC996" s="124"/>
      <c r="SD996" s="124"/>
      <c r="SE996" s="124"/>
      <c r="SF996" s="124"/>
      <c r="SG996" s="124"/>
      <c r="SH996" s="124"/>
      <c r="SI996" s="124"/>
      <c r="SJ996" s="124"/>
      <c r="SK996" s="124"/>
      <c r="SL996" s="124"/>
      <c r="SM996" s="124"/>
      <c r="SN996" s="124"/>
      <c r="SO996" s="124"/>
      <c r="SP996" s="124"/>
      <c r="SQ996" s="124"/>
      <c r="SR996" s="124"/>
      <c r="SS996" s="124"/>
      <c r="ST996" s="124"/>
      <c r="SU996" s="124"/>
      <c r="SV996" s="124"/>
      <c r="SW996" s="124"/>
      <c r="SX996" s="124"/>
      <c r="SY996" s="124"/>
      <c r="SZ996" s="124"/>
      <c r="TA996" s="124"/>
      <c r="TB996" s="124"/>
      <c r="TC996" s="124"/>
      <c r="TD996" s="124"/>
      <c r="TE996" s="124"/>
      <c r="TF996" s="124"/>
      <c r="TG996" s="124"/>
      <c r="TH996" s="124"/>
      <c r="TI996" s="124"/>
      <c r="TJ996" s="124"/>
      <c r="TK996" s="124"/>
      <c r="TL996" s="124"/>
      <c r="TM996" s="124"/>
      <c r="TN996" s="124"/>
      <c r="TO996" s="124"/>
      <c r="TP996" s="124"/>
      <c r="TQ996" s="124"/>
      <c r="TR996" s="124"/>
      <c r="TS996" s="124"/>
      <c r="TT996" s="124"/>
      <c r="TU996" s="124"/>
      <c r="TV996" s="124"/>
      <c r="TW996" s="124"/>
      <c r="TX996" s="124"/>
      <c r="TY996" s="124"/>
      <c r="TZ996" s="124"/>
      <c r="UA996" s="124"/>
      <c r="UB996" s="124"/>
      <c r="UC996" s="124"/>
      <c r="UD996" s="124"/>
      <c r="UE996" s="124"/>
      <c r="UF996" s="124"/>
      <c r="UG996" s="124"/>
      <c r="UH996" s="124"/>
      <c r="UI996" s="124"/>
      <c r="UJ996" s="124"/>
      <c r="UK996" s="124"/>
      <c r="UL996" s="124"/>
      <c r="UM996" s="124"/>
      <c r="UN996" s="124"/>
      <c r="UO996" s="124"/>
      <c r="UP996" s="124"/>
      <c r="UQ996" s="124"/>
      <c r="UR996" s="124"/>
      <c r="US996" s="124"/>
      <c r="UT996" s="124"/>
      <c r="UU996" s="124"/>
      <c r="UV996" s="124"/>
      <c r="UW996" s="124"/>
      <c r="UX996" s="124"/>
      <c r="UY996" s="124"/>
      <c r="UZ996" s="124"/>
      <c r="VA996" s="124"/>
      <c r="VB996" s="124"/>
      <c r="VC996" s="124"/>
      <c r="VD996" s="124"/>
      <c r="VE996" s="124"/>
      <c r="VF996" s="124"/>
      <c r="VG996" s="124"/>
      <c r="VH996" s="124"/>
      <c r="VI996" s="124"/>
      <c r="VJ996" s="124"/>
      <c r="VK996" s="124"/>
      <c r="VL996" s="124"/>
      <c r="VM996" s="124"/>
      <c r="VN996" s="124"/>
      <c r="VO996" s="124"/>
      <c r="VP996" s="124"/>
      <c r="VQ996" s="124"/>
      <c r="VR996" s="124"/>
      <c r="VS996" s="124"/>
      <c r="VT996" s="124"/>
      <c r="VU996" s="124"/>
      <c r="VV996" s="124"/>
      <c r="VW996" s="124"/>
      <c r="VX996" s="124"/>
      <c r="VY996" s="124"/>
      <c r="VZ996" s="124"/>
      <c r="WA996" s="124"/>
      <c r="WB996" s="124"/>
      <c r="WC996" s="124"/>
      <c r="WD996" s="124"/>
      <c r="WE996" s="124"/>
      <c r="WF996" s="124"/>
      <c r="WG996" s="124"/>
      <c r="WH996" s="124"/>
      <c r="WI996" s="124"/>
      <c r="WJ996" s="124"/>
      <c r="WK996" s="124"/>
      <c r="WL996" s="124"/>
      <c r="WM996" s="124"/>
      <c r="WN996" s="124"/>
      <c r="WO996" s="124"/>
      <c r="WP996" s="124"/>
      <c r="WQ996" s="124"/>
      <c r="WR996" s="124"/>
      <c r="WS996" s="124"/>
      <c r="WT996" s="124"/>
      <c r="WU996" s="124"/>
      <c r="WV996" s="124"/>
      <c r="WW996" s="124"/>
      <c r="WX996" s="124"/>
      <c r="WY996" s="124"/>
      <c r="WZ996" s="124"/>
      <c r="XA996" s="124"/>
      <c r="XB996" s="124"/>
      <c r="XC996" s="124"/>
      <c r="XD996" s="124"/>
      <c r="XE996" s="124"/>
      <c r="XF996" s="124"/>
      <c r="XG996" s="124"/>
      <c r="XH996" s="124"/>
      <c r="XI996" s="124"/>
      <c r="XJ996" s="124"/>
      <c r="XK996" s="124"/>
      <c r="XL996" s="124"/>
      <c r="XM996" s="124"/>
      <c r="XN996" s="124"/>
      <c r="XO996" s="124"/>
      <c r="XP996" s="124"/>
      <c r="XQ996" s="124"/>
      <c r="XR996" s="124"/>
      <c r="XS996" s="124"/>
      <c r="XT996" s="124"/>
      <c r="XU996" s="124"/>
      <c r="XV996" s="124"/>
      <c r="XW996" s="124"/>
      <c r="XX996" s="124"/>
      <c r="XY996" s="124"/>
      <c r="XZ996" s="124"/>
      <c r="YA996" s="124"/>
      <c r="YB996" s="124"/>
      <c r="YC996" s="124"/>
      <c r="YD996" s="124"/>
      <c r="YE996" s="124"/>
      <c r="YF996" s="124"/>
      <c r="YG996" s="124"/>
      <c r="YH996" s="124"/>
      <c r="YI996" s="124"/>
      <c r="YJ996" s="124"/>
      <c r="YK996" s="124"/>
      <c r="YL996" s="124"/>
      <c r="YM996" s="124"/>
      <c r="YN996" s="124"/>
      <c r="YO996" s="124"/>
      <c r="YP996" s="124"/>
      <c r="YQ996" s="124"/>
      <c r="YR996" s="124"/>
      <c r="YS996" s="124"/>
      <c r="YT996" s="124"/>
      <c r="YU996" s="124"/>
      <c r="YV996" s="124"/>
      <c r="YW996" s="124"/>
      <c r="YX996" s="124"/>
      <c r="YY996" s="124"/>
      <c r="YZ996" s="124"/>
      <c r="ZA996" s="124"/>
      <c r="ZB996" s="124"/>
      <c r="ZC996" s="124"/>
      <c r="ZD996" s="124"/>
      <c r="ZE996" s="124"/>
      <c r="ZF996" s="124"/>
      <c r="ZG996" s="124"/>
      <c r="ZH996" s="124"/>
      <c r="ZI996" s="124"/>
      <c r="ZJ996" s="124"/>
      <c r="ZK996" s="124"/>
      <c r="ZL996" s="124"/>
      <c r="ZM996" s="124"/>
      <c r="ZN996" s="124"/>
      <c r="ZO996" s="124"/>
      <c r="ZP996" s="124"/>
      <c r="ZQ996" s="124"/>
      <c r="ZR996" s="124"/>
      <c r="ZS996" s="124"/>
      <c r="ZT996" s="124"/>
      <c r="ZU996" s="124"/>
      <c r="ZV996" s="124"/>
      <c r="ZW996" s="124"/>
      <c r="ZX996" s="124"/>
      <c r="ZY996" s="124"/>
      <c r="ZZ996" s="124"/>
      <c r="AAA996" s="124"/>
      <c r="AAB996" s="124"/>
      <c r="AAC996" s="124"/>
      <c r="AAD996" s="124"/>
      <c r="AAE996" s="124"/>
      <c r="AAF996" s="124"/>
      <c r="AAG996" s="124"/>
      <c r="AAH996" s="124"/>
      <c r="AAI996" s="124"/>
      <c r="AAJ996" s="124"/>
      <c r="AAK996" s="124"/>
      <c r="AAL996" s="124"/>
      <c r="AAM996" s="124"/>
      <c r="AAN996" s="124"/>
      <c r="AAO996" s="124"/>
      <c r="AAP996" s="124"/>
      <c r="AAQ996" s="124"/>
      <c r="AAR996" s="124"/>
      <c r="AAS996" s="124"/>
      <c r="AAT996" s="124"/>
      <c r="AAU996" s="124"/>
      <c r="AAV996" s="124"/>
      <c r="AAW996" s="124"/>
      <c r="AAX996" s="124"/>
      <c r="AAY996" s="124"/>
      <c r="AAZ996" s="124"/>
      <c r="ABA996" s="124"/>
      <c r="ABB996" s="124"/>
      <c r="ABC996" s="124"/>
      <c r="ABD996" s="124"/>
      <c r="ABE996" s="124"/>
      <c r="ABF996" s="124"/>
      <c r="ABG996" s="124"/>
      <c r="ABH996" s="124"/>
      <c r="ABI996" s="124"/>
      <c r="ABJ996" s="124"/>
      <c r="ABK996" s="124"/>
      <c r="ABL996" s="124"/>
      <c r="ABM996" s="124"/>
      <c r="ABN996" s="124"/>
      <c r="ABO996" s="124"/>
      <c r="ABP996" s="124"/>
      <c r="ABQ996" s="124"/>
      <c r="ABR996" s="124"/>
      <c r="ABS996" s="124"/>
      <c r="ABT996" s="124"/>
      <c r="ABU996" s="124"/>
      <c r="ABV996" s="124"/>
      <c r="ABW996" s="124"/>
      <c r="ABX996" s="124"/>
      <c r="ABY996" s="124"/>
      <c r="ABZ996" s="124"/>
      <c r="ACA996" s="124"/>
      <c r="ACB996" s="124"/>
      <c r="ACC996" s="124"/>
      <c r="ACD996" s="124"/>
      <c r="ACE996" s="124"/>
      <c r="ACF996" s="124"/>
      <c r="ACG996" s="124"/>
      <c r="ACH996" s="124"/>
      <c r="ACI996" s="124"/>
      <c r="ACJ996" s="124"/>
      <c r="ACK996" s="124"/>
      <c r="ACL996" s="124"/>
      <c r="ACM996" s="124"/>
      <c r="ACN996" s="124"/>
      <c r="ACO996" s="124"/>
      <c r="ACP996" s="124"/>
      <c r="ACQ996" s="124"/>
      <c r="ACR996" s="124"/>
      <c r="ACS996" s="124"/>
      <c r="ACT996" s="124"/>
      <c r="ACU996" s="124"/>
      <c r="ACV996" s="124"/>
      <c r="ACW996" s="124"/>
      <c r="ACX996" s="124"/>
      <c r="ACY996" s="124"/>
      <c r="ACZ996" s="124"/>
      <c r="ADA996" s="124"/>
      <c r="ADB996" s="124"/>
      <c r="ADC996" s="124"/>
      <c r="ADD996" s="124"/>
      <c r="ADE996" s="124"/>
      <c r="ADF996" s="124"/>
      <c r="ADG996" s="124"/>
      <c r="ADH996" s="124"/>
      <c r="ADI996" s="124"/>
      <c r="ADJ996" s="124"/>
      <c r="ADK996" s="124"/>
      <c r="ADL996" s="124"/>
      <c r="ADM996" s="124"/>
      <c r="ADN996" s="124"/>
      <c r="ADO996" s="124"/>
      <c r="ADP996" s="124"/>
      <c r="ADQ996" s="124"/>
      <c r="ADR996" s="124"/>
      <c r="ADS996" s="124"/>
      <c r="ADT996" s="124"/>
      <c r="ADU996" s="124"/>
      <c r="ADV996" s="124"/>
      <c r="ADW996" s="124"/>
      <c r="ADX996" s="124"/>
      <c r="ADY996" s="124"/>
      <c r="ADZ996" s="124"/>
      <c r="AEA996" s="124"/>
      <c r="AEB996" s="124"/>
      <c r="AEC996" s="124"/>
      <c r="AED996" s="124"/>
      <c r="AEE996" s="124"/>
      <c r="AEF996" s="124"/>
      <c r="AEG996" s="124"/>
      <c r="AEH996" s="124"/>
      <c r="AEI996" s="124"/>
      <c r="AEJ996" s="124"/>
      <c r="AEK996" s="124"/>
      <c r="AEL996" s="124"/>
      <c r="AEM996" s="124"/>
      <c r="AEN996" s="124"/>
      <c r="AEO996" s="124"/>
      <c r="AEP996" s="124"/>
      <c r="AEQ996" s="124"/>
      <c r="AER996" s="124"/>
      <c r="AES996" s="124"/>
      <c r="AET996" s="124"/>
      <c r="AEU996" s="124"/>
      <c r="AEV996" s="124"/>
      <c r="AEW996" s="124"/>
      <c r="AEX996" s="124"/>
      <c r="AEY996" s="124"/>
      <c r="AEZ996" s="124"/>
      <c r="AFA996" s="124"/>
      <c r="AFB996" s="124"/>
      <c r="AFC996" s="124"/>
      <c r="AFD996" s="124"/>
      <c r="AFE996" s="124"/>
      <c r="AFF996" s="124"/>
      <c r="AFG996" s="124"/>
      <c r="AFH996" s="124"/>
      <c r="AFI996" s="124"/>
      <c r="AFJ996" s="124"/>
      <c r="AFK996" s="124"/>
      <c r="AFL996" s="124"/>
      <c r="AFM996" s="124"/>
      <c r="AFN996" s="124"/>
      <c r="AFO996" s="124"/>
      <c r="AFP996" s="124"/>
      <c r="AFQ996" s="124"/>
      <c r="AFR996" s="124"/>
      <c r="AFS996" s="124"/>
      <c r="AFT996" s="124"/>
      <c r="AFU996" s="124"/>
      <c r="AFV996" s="124"/>
      <c r="AFW996" s="124"/>
      <c r="AFX996" s="124"/>
      <c r="AFY996" s="124"/>
      <c r="AFZ996" s="124"/>
      <c r="AGA996" s="124"/>
      <c r="AGB996" s="124"/>
      <c r="AGC996" s="124"/>
      <c r="AGD996" s="124"/>
      <c r="AGE996" s="124"/>
      <c r="AGF996" s="124"/>
      <c r="AGG996" s="124"/>
      <c r="AGH996" s="124"/>
      <c r="AGI996" s="124"/>
      <c r="AGJ996" s="124"/>
      <c r="AGK996" s="124"/>
      <c r="AGL996" s="124"/>
      <c r="AGM996" s="124"/>
      <c r="AGN996" s="124"/>
      <c r="AGO996" s="124"/>
      <c r="AGP996" s="124"/>
      <c r="AGQ996" s="124"/>
      <c r="AGR996" s="124"/>
      <c r="AGS996" s="124"/>
      <c r="AGT996" s="124"/>
      <c r="AGU996" s="124"/>
      <c r="AGV996" s="124"/>
      <c r="AGW996" s="124"/>
      <c r="AGX996" s="124"/>
      <c r="AGY996" s="124"/>
      <c r="AGZ996" s="124"/>
      <c r="AHA996" s="124"/>
      <c r="AHB996" s="124"/>
      <c r="AHC996" s="124"/>
      <c r="AHD996" s="124"/>
      <c r="AHE996" s="124"/>
      <c r="AHF996" s="124"/>
      <c r="AHG996" s="124"/>
      <c r="AHH996" s="124"/>
      <c r="AHI996" s="124"/>
      <c r="AHJ996" s="124"/>
      <c r="AHK996" s="124"/>
      <c r="AHL996" s="124"/>
      <c r="AHM996" s="124"/>
      <c r="AHN996" s="124"/>
      <c r="AHO996" s="124"/>
      <c r="AHP996" s="124"/>
      <c r="AHQ996" s="124"/>
      <c r="AHR996" s="124"/>
      <c r="AHS996" s="124"/>
      <c r="AHT996" s="124"/>
      <c r="AHU996" s="124"/>
      <c r="AHV996" s="124"/>
      <c r="AHW996" s="124"/>
      <c r="AHX996" s="124"/>
      <c r="AHY996" s="124"/>
      <c r="AHZ996" s="124"/>
      <c r="AIA996" s="124"/>
      <c r="AIB996" s="124"/>
      <c r="AIC996" s="124"/>
      <c r="AID996" s="124"/>
      <c r="AIE996" s="124"/>
      <c r="AIF996" s="124"/>
      <c r="AIG996" s="124"/>
      <c r="AIH996" s="124"/>
      <c r="AII996" s="124"/>
      <c r="AIJ996" s="124"/>
      <c r="AIK996" s="124"/>
      <c r="AIL996" s="124"/>
      <c r="AIM996" s="124"/>
      <c r="AIN996" s="124"/>
      <c r="AIO996" s="124"/>
      <c r="AIP996" s="124"/>
      <c r="AIQ996" s="124"/>
      <c r="AIR996" s="124"/>
      <c r="AIS996" s="124"/>
      <c r="AIT996" s="124"/>
      <c r="AIU996" s="124"/>
      <c r="AIV996" s="124"/>
      <c r="AIW996" s="124"/>
      <c r="AIX996" s="124"/>
      <c r="AIY996" s="124"/>
      <c r="AIZ996" s="124"/>
      <c r="AJA996" s="124"/>
      <c r="AJB996" s="124"/>
      <c r="AJC996" s="124"/>
      <c r="AJD996" s="124"/>
      <c r="AJE996" s="124"/>
      <c r="AJF996" s="124"/>
      <c r="AJG996" s="124"/>
      <c r="AJH996" s="124"/>
      <c r="AJI996" s="124"/>
      <c r="AJJ996" s="124"/>
      <c r="AJK996" s="124"/>
      <c r="AJL996" s="124"/>
      <c r="AJM996" s="124"/>
      <c r="AJN996" s="124"/>
      <c r="AJO996" s="124"/>
      <c r="AJP996" s="124"/>
      <c r="AJQ996" s="124"/>
      <c r="AJR996" s="124"/>
      <c r="AJS996" s="124"/>
      <c r="AJT996" s="124"/>
      <c r="AJU996" s="124"/>
      <c r="AJV996" s="124"/>
      <c r="AJW996" s="124"/>
      <c r="AJX996" s="124"/>
      <c r="AJY996" s="124"/>
      <c r="AJZ996" s="124"/>
      <c r="AKA996" s="124"/>
      <c r="AKB996" s="124"/>
      <c r="AKC996" s="124"/>
      <c r="AKD996" s="124"/>
      <c r="AKE996" s="124"/>
      <c r="AKF996" s="124"/>
      <c r="AKG996" s="124"/>
      <c r="AKH996" s="124"/>
      <c r="AKI996" s="124"/>
      <c r="AKJ996" s="124"/>
      <c r="AKK996" s="124"/>
      <c r="AKL996" s="124"/>
      <c r="AKM996" s="124"/>
      <c r="AKN996" s="124"/>
      <c r="AKO996" s="124"/>
      <c r="AKP996" s="124"/>
      <c r="AKQ996" s="124"/>
      <c r="AKR996" s="124"/>
      <c r="AKS996" s="124"/>
      <c r="AKT996" s="124"/>
      <c r="AKU996" s="124"/>
      <c r="AKV996" s="124"/>
      <c r="AKW996" s="124"/>
      <c r="AKX996" s="124"/>
      <c r="AKY996" s="124"/>
      <c r="AKZ996" s="124"/>
      <c r="ALA996" s="124"/>
      <c r="ALB996" s="124"/>
      <c r="ALC996" s="124"/>
      <c r="ALD996" s="124"/>
      <c r="ALE996" s="124"/>
      <c r="ALF996" s="124"/>
      <c r="ALG996" s="124"/>
      <c r="ALH996" s="124"/>
      <c r="ALI996" s="124"/>
      <c r="ALJ996" s="124"/>
      <c r="ALK996" s="124"/>
      <c r="ALL996" s="124"/>
      <c r="ALM996" s="124"/>
      <c r="ALN996" s="124"/>
      <c r="ALO996" s="124"/>
      <c r="ALP996" s="124"/>
      <c r="ALQ996" s="124"/>
      <c r="ALR996" s="124"/>
      <c r="ALS996" s="124"/>
      <c r="ALT996" s="124"/>
      <c r="ALU996" s="124"/>
      <c r="ALV996" s="124"/>
      <c r="ALW996" s="124"/>
      <c r="ALX996" s="124"/>
      <c r="ALY996" s="124"/>
      <c r="ALZ996" s="124"/>
      <c r="AMA996" s="124"/>
      <c r="AMB996" s="124"/>
      <c r="AMC996" s="124"/>
      <c r="AMD996" s="124"/>
      <c r="AME996" s="124"/>
      <c r="AMF996" s="124"/>
      <c r="AMG996" s="124"/>
      <c r="AMH996" s="124"/>
      <c r="AMI996" s="124"/>
      <c r="AMJ996" s="124"/>
      <c r="AMK996" s="124"/>
      <c r="AML996" s="124"/>
      <c r="AMM996" s="124"/>
      <c r="AMN996" s="124"/>
      <c r="AMO996" s="124"/>
      <c r="AMP996" s="124"/>
      <c r="AMQ996" s="124"/>
      <c r="AMR996" s="124"/>
      <c r="AMS996" s="124"/>
      <c r="AMT996" s="124"/>
      <c r="AMU996" s="124"/>
      <c r="AMV996" s="124"/>
      <c r="AMW996" s="124"/>
      <c r="AMX996" s="124"/>
      <c r="AMY996" s="124"/>
      <c r="AMZ996" s="124"/>
      <c r="ANA996" s="124"/>
      <c r="ANB996" s="124"/>
      <c r="ANC996" s="124"/>
      <c r="AND996" s="124"/>
      <c r="ANE996" s="124"/>
      <c r="ANF996" s="124"/>
      <c r="ANG996" s="124"/>
      <c r="ANH996" s="124"/>
      <c r="ANI996" s="124"/>
      <c r="ANJ996" s="124"/>
      <c r="ANK996" s="124"/>
      <c r="ANL996" s="124"/>
      <c r="ANM996" s="124"/>
      <c r="ANN996" s="124"/>
      <c r="ANO996" s="124"/>
      <c r="ANP996" s="124"/>
      <c r="ANQ996" s="124"/>
      <c r="ANR996" s="124"/>
      <c r="ANS996" s="124"/>
      <c r="ANT996" s="124"/>
      <c r="ANU996" s="124"/>
      <c r="ANV996" s="124"/>
      <c r="ANW996" s="124"/>
      <c r="ANX996" s="124"/>
      <c r="ANY996" s="124"/>
      <c r="ANZ996" s="124"/>
      <c r="AOA996" s="124"/>
      <c r="AOB996" s="124"/>
      <c r="AOC996" s="124"/>
      <c r="AOD996" s="124"/>
      <c r="AOE996" s="124"/>
      <c r="AOF996" s="124"/>
      <c r="AOG996" s="124"/>
      <c r="AOH996" s="124"/>
      <c r="AOI996" s="124"/>
      <c r="AOJ996" s="124"/>
      <c r="AOK996" s="124"/>
      <c r="AOL996" s="124"/>
      <c r="AOM996" s="124"/>
      <c r="AON996" s="124"/>
      <c r="AOO996" s="124"/>
      <c r="AOP996" s="124"/>
      <c r="AOQ996" s="124"/>
      <c r="AOR996" s="124"/>
      <c r="AOS996" s="124"/>
      <c r="AOT996" s="124"/>
      <c r="AOU996" s="124"/>
      <c r="AOV996" s="124"/>
      <c r="AOW996" s="124"/>
      <c r="AOX996" s="124"/>
      <c r="AOY996" s="124"/>
      <c r="AOZ996" s="124"/>
      <c r="APA996" s="124"/>
      <c r="APB996" s="124"/>
      <c r="APC996" s="124"/>
      <c r="APD996" s="124"/>
      <c r="APE996" s="124"/>
      <c r="APF996" s="124"/>
      <c r="APG996" s="124"/>
      <c r="APH996" s="124"/>
      <c r="API996" s="124"/>
      <c r="APJ996" s="124"/>
      <c r="APK996" s="124"/>
      <c r="APL996" s="124"/>
      <c r="APM996" s="124"/>
      <c r="APN996" s="124"/>
      <c r="APO996" s="124"/>
      <c r="APP996" s="124"/>
      <c r="APQ996" s="124"/>
      <c r="APR996" s="124"/>
      <c r="APS996" s="124"/>
      <c r="APT996" s="124"/>
      <c r="APU996" s="124"/>
      <c r="APV996" s="124"/>
      <c r="APW996" s="124"/>
      <c r="APX996" s="124"/>
      <c r="APY996" s="124"/>
      <c r="APZ996" s="124"/>
      <c r="AQA996" s="124"/>
      <c r="AQB996" s="124"/>
      <c r="AQC996" s="124"/>
      <c r="AQD996" s="124"/>
      <c r="AQE996" s="124"/>
      <c r="AQF996" s="124"/>
      <c r="AQG996" s="124"/>
      <c r="AQH996" s="124"/>
      <c r="AQI996" s="124"/>
      <c r="AQJ996" s="124"/>
      <c r="AQK996" s="124"/>
      <c r="AQL996" s="124"/>
      <c r="AQM996" s="124"/>
      <c r="AQN996" s="124"/>
      <c r="AQO996" s="124"/>
      <c r="AQP996" s="124"/>
      <c r="AQQ996" s="124"/>
      <c r="AQR996" s="124"/>
      <c r="AQS996" s="124"/>
      <c r="AQT996" s="124"/>
      <c r="AQU996" s="124"/>
      <c r="AQV996" s="124"/>
      <c r="AQW996" s="124"/>
      <c r="AQX996" s="124"/>
      <c r="AQY996" s="124"/>
      <c r="AQZ996" s="124"/>
      <c r="ARA996" s="124"/>
      <c r="ARB996" s="124"/>
      <c r="ARC996" s="124"/>
      <c r="ARD996" s="124"/>
      <c r="ARE996" s="124"/>
      <c r="ARF996" s="124"/>
      <c r="ARG996" s="124"/>
      <c r="ARH996" s="124"/>
      <c r="ARI996" s="124"/>
      <c r="ARJ996" s="124"/>
      <c r="ARK996" s="124"/>
      <c r="ARL996" s="124"/>
      <c r="ARM996" s="124"/>
      <c r="ARN996" s="124"/>
      <c r="ARO996" s="124"/>
      <c r="ARP996" s="124"/>
      <c r="ARQ996" s="124"/>
      <c r="ARR996" s="124"/>
      <c r="ARS996" s="124"/>
      <c r="ART996" s="124"/>
      <c r="ARU996" s="124"/>
      <c r="ARV996" s="124"/>
      <c r="ARW996" s="124"/>
      <c r="ARX996" s="124"/>
      <c r="ARY996" s="124"/>
      <c r="ARZ996" s="124"/>
      <c r="ASA996" s="124"/>
      <c r="ASB996" s="124"/>
      <c r="ASC996" s="124"/>
      <c r="ASD996" s="124"/>
      <c r="ASE996" s="124"/>
      <c r="ASF996" s="124"/>
      <c r="ASG996" s="124"/>
      <c r="ASH996" s="124"/>
      <c r="ASI996" s="124"/>
      <c r="ASJ996" s="124"/>
      <c r="ASK996" s="124"/>
      <c r="ASL996" s="124"/>
      <c r="ASM996" s="124"/>
      <c r="ASN996" s="124"/>
      <c r="ASO996" s="124"/>
      <c r="ASP996" s="124"/>
      <c r="ASQ996" s="124"/>
      <c r="ASR996" s="124"/>
      <c r="ASS996" s="124"/>
      <c r="AST996" s="124"/>
      <c r="ASU996" s="124"/>
      <c r="ASV996" s="124"/>
      <c r="ASW996" s="124"/>
      <c r="ASX996" s="124"/>
      <c r="ASY996" s="124"/>
      <c r="ASZ996" s="124"/>
      <c r="ATA996" s="124"/>
      <c r="ATB996" s="124"/>
      <c r="ATC996" s="124"/>
      <c r="ATD996" s="124"/>
      <c r="ATE996" s="124"/>
      <c r="ATF996" s="124"/>
      <c r="ATG996" s="124"/>
      <c r="ATH996" s="124"/>
      <c r="ATI996" s="124"/>
      <c r="ATJ996" s="124"/>
      <c r="ATK996" s="124"/>
      <c r="ATL996" s="124"/>
      <c r="ATM996" s="124"/>
      <c r="ATN996" s="124"/>
      <c r="ATO996" s="124"/>
      <c r="ATP996" s="124"/>
      <c r="ATQ996" s="124"/>
      <c r="ATR996" s="124"/>
      <c r="ATS996" s="124"/>
      <c r="ATT996" s="124"/>
      <c r="ATU996" s="124"/>
      <c r="ATV996" s="124"/>
      <c r="ATW996" s="124"/>
      <c r="ATX996" s="124"/>
      <c r="ATY996" s="124"/>
      <c r="ATZ996" s="124"/>
      <c r="AUA996" s="124"/>
      <c r="AUB996" s="124"/>
      <c r="AUC996" s="124"/>
      <c r="AUD996" s="124"/>
      <c r="AUE996" s="124"/>
      <c r="AUF996" s="124"/>
      <c r="AUG996" s="124"/>
      <c r="AUH996" s="124"/>
      <c r="AUI996" s="124"/>
      <c r="AUJ996" s="124"/>
      <c r="AUK996" s="124"/>
      <c r="AUL996" s="124"/>
      <c r="AUM996" s="124"/>
      <c r="AUN996" s="124"/>
      <c r="AUO996" s="124"/>
      <c r="AUP996" s="124"/>
      <c r="AUQ996" s="124"/>
      <c r="AUR996" s="124"/>
      <c r="AUS996" s="124"/>
      <c r="AUT996" s="124"/>
      <c r="AUU996" s="124"/>
      <c r="AUV996" s="124"/>
      <c r="AUW996" s="124"/>
      <c r="AUX996" s="124"/>
      <c r="AUY996" s="124"/>
      <c r="AUZ996" s="124"/>
      <c r="AVA996" s="124"/>
      <c r="AVB996" s="124"/>
      <c r="AVC996" s="124"/>
      <c r="AVD996" s="124"/>
      <c r="AVE996" s="124"/>
      <c r="AVF996" s="124"/>
      <c r="AVG996" s="124"/>
      <c r="AVH996" s="124"/>
      <c r="AVI996" s="124"/>
      <c r="AVJ996" s="124"/>
      <c r="AVK996" s="124"/>
      <c r="AVL996" s="124"/>
      <c r="AVM996" s="124"/>
      <c r="AVN996" s="124"/>
      <c r="AVO996" s="124"/>
      <c r="AVP996" s="124"/>
      <c r="AVQ996" s="124"/>
      <c r="AVR996" s="124"/>
      <c r="AVS996" s="124"/>
      <c r="AVT996" s="124"/>
      <c r="AVU996" s="124"/>
      <c r="AVV996" s="124"/>
      <c r="AVW996" s="124"/>
      <c r="AVX996" s="124"/>
      <c r="AVY996" s="124"/>
      <c r="AVZ996" s="124"/>
      <c r="AWA996" s="124"/>
      <c r="AWB996" s="124"/>
      <c r="AWC996" s="124"/>
      <c r="AWD996" s="124"/>
      <c r="AWE996" s="124"/>
      <c r="AWF996" s="124"/>
      <c r="AWG996" s="124"/>
      <c r="AWH996" s="124"/>
      <c r="AWI996" s="124"/>
      <c r="AWJ996" s="124"/>
      <c r="AWK996" s="124"/>
      <c r="AWL996" s="124"/>
      <c r="AWM996" s="124"/>
      <c r="AWN996" s="124"/>
      <c r="AWO996" s="124"/>
      <c r="AWP996" s="124"/>
      <c r="AWQ996" s="124"/>
      <c r="AWR996" s="124"/>
      <c r="AWS996" s="124"/>
      <c r="AWT996" s="124"/>
      <c r="AWU996" s="124"/>
      <c r="AWV996" s="124"/>
      <c r="AWW996" s="124"/>
      <c r="AWX996" s="124"/>
      <c r="AWY996" s="124"/>
      <c r="AWZ996" s="124"/>
      <c r="AXA996" s="124"/>
      <c r="AXB996" s="124"/>
      <c r="AXC996" s="124"/>
      <c r="AXD996" s="124"/>
      <c r="AXE996" s="124"/>
      <c r="AXF996" s="124"/>
      <c r="AXG996" s="124"/>
      <c r="AXH996" s="124"/>
      <c r="AXI996" s="124"/>
      <c r="AXJ996" s="124"/>
      <c r="AXK996" s="124"/>
      <c r="AXL996" s="124"/>
      <c r="AXM996" s="124"/>
      <c r="AXN996" s="124"/>
      <c r="AXO996" s="124"/>
      <c r="AXP996" s="124"/>
      <c r="AXQ996" s="124"/>
      <c r="AXR996" s="124"/>
      <c r="AXS996" s="124"/>
      <c r="AXT996" s="124"/>
      <c r="AXU996" s="124"/>
      <c r="AXV996" s="124"/>
      <c r="AXW996" s="124"/>
      <c r="AXX996" s="124"/>
      <c r="AXY996" s="124"/>
      <c r="AXZ996" s="124"/>
      <c r="AYA996" s="124"/>
      <c r="AYB996" s="124"/>
      <c r="AYC996" s="124"/>
      <c r="AYD996" s="124"/>
      <c r="AYE996" s="124"/>
      <c r="AYF996" s="124"/>
      <c r="AYG996" s="124"/>
      <c r="AYH996" s="124"/>
      <c r="AYI996" s="124"/>
      <c r="AYJ996" s="124"/>
      <c r="AYK996" s="124"/>
      <c r="AYL996" s="124"/>
      <c r="AYM996" s="124"/>
      <c r="AYN996" s="124"/>
      <c r="AYO996" s="124"/>
      <c r="AYP996" s="124"/>
      <c r="AYQ996" s="124"/>
      <c r="AYR996" s="124"/>
      <c r="AYS996" s="124"/>
      <c r="AYT996" s="124"/>
      <c r="AYU996" s="124"/>
      <c r="AYV996" s="124"/>
      <c r="AYW996" s="124"/>
      <c r="AYX996" s="124"/>
      <c r="AYY996" s="124"/>
      <c r="AYZ996" s="124"/>
      <c r="AZA996" s="124"/>
      <c r="AZB996" s="124"/>
      <c r="AZC996" s="124"/>
      <c r="AZD996" s="124"/>
      <c r="AZE996" s="124"/>
      <c r="AZF996" s="124"/>
      <c r="AZG996" s="124"/>
      <c r="AZH996" s="124"/>
      <c r="AZI996" s="124"/>
      <c r="AZJ996" s="124"/>
      <c r="AZK996" s="124"/>
      <c r="AZL996" s="124"/>
      <c r="AZM996" s="124"/>
      <c r="AZN996" s="124"/>
      <c r="AZO996" s="124"/>
      <c r="AZP996" s="124"/>
      <c r="AZQ996" s="124"/>
      <c r="AZR996" s="124"/>
      <c r="AZS996" s="124"/>
      <c r="AZT996" s="124"/>
      <c r="AZU996" s="124"/>
      <c r="AZV996" s="124"/>
      <c r="AZW996" s="124"/>
      <c r="AZX996" s="124"/>
      <c r="AZY996" s="124"/>
      <c r="AZZ996" s="124"/>
      <c r="BAA996" s="124"/>
      <c r="BAB996" s="124"/>
      <c r="BAC996" s="124"/>
      <c r="BAD996" s="124"/>
      <c r="BAE996" s="124"/>
      <c r="BAF996" s="124"/>
      <c r="BAG996" s="124"/>
      <c r="BAH996" s="124"/>
      <c r="BAI996" s="124"/>
      <c r="BAJ996" s="124"/>
      <c r="BAK996" s="124"/>
      <c r="BAL996" s="124"/>
      <c r="BAM996" s="124"/>
      <c r="BAN996" s="124"/>
      <c r="BAO996" s="124"/>
      <c r="BAP996" s="124"/>
      <c r="BAQ996" s="124"/>
      <c r="BAR996" s="124"/>
      <c r="BAS996" s="124"/>
      <c r="BAT996" s="124"/>
      <c r="BAU996" s="124"/>
      <c r="BAV996" s="124"/>
      <c r="BAW996" s="124"/>
      <c r="BAX996" s="124"/>
      <c r="BAY996" s="124"/>
      <c r="BAZ996" s="124"/>
      <c r="BBA996" s="124"/>
      <c r="BBB996" s="124"/>
      <c r="BBC996" s="124"/>
      <c r="BBD996" s="124"/>
      <c r="BBE996" s="124"/>
      <c r="BBF996" s="124"/>
      <c r="BBG996" s="124"/>
      <c r="BBH996" s="124"/>
      <c r="BBI996" s="124"/>
      <c r="BBJ996" s="124"/>
      <c r="BBK996" s="124"/>
      <c r="BBL996" s="124"/>
      <c r="BBM996" s="124"/>
      <c r="BBN996" s="124"/>
      <c r="BBO996" s="124"/>
      <c r="BBP996" s="124"/>
      <c r="BBQ996" s="124"/>
      <c r="BBR996" s="124"/>
      <c r="BBS996" s="124"/>
      <c r="BBT996" s="124"/>
      <c r="BBU996" s="124"/>
      <c r="BBV996" s="124"/>
      <c r="BBW996" s="124"/>
      <c r="BBX996" s="124"/>
      <c r="BBY996" s="124"/>
      <c r="BBZ996" s="124"/>
      <c r="BCA996" s="124"/>
      <c r="BCB996" s="124"/>
      <c r="BCC996" s="124"/>
      <c r="BCD996" s="124"/>
      <c r="BCE996" s="124"/>
      <c r="BCF996" s="124"/>
      <c r="BCG996" s="124"/>
      <c r="BCH996" s="124"/>
      <c r="BCI996" s="124"/>
      <c r="BCJ996" s="124"/>
      <c r="BCK996" s="124"/>
      <c r="BCL996" s="124"/>
      <c r="BCM996" s="124"/>
      <c r="BCN996" s="124"/>
      <c r="BCO996" s="124"/>
      <c r="BCP996" s="124"/>
      <c r="BCQ996" s="124"/>
      <c r="BCR996" s="124"/>
      <c r="BCS996" s="124"/>
      <c r="BCT996" s="124"/>
      <c r="BCU996" s="124"/>
      <c r="BCV996" s="124"/>
      <c r="BCW996" s="124"/>
      <c r="BCX996" s="124"/>
      <c r="BCY996" s="124"/>
      <c r="BCZ996" s="124"/>
      <c r="BDA996" s="124"/>
      <c r="BDB996" s="124"/>
      <c r="BDC996" s="124"/>
      <c r="BDD996" s="124"/>
      <c r="BDE996" s="124"/>
      <c r="BDF996" s="124"/>
      <c r="BDG996" s="124"/>
      <c r="BDH996" s="124"/>
      <c r="BDI996" s="124"/>
      <c r="BDJ996" s="124"/>
      <c r="BDK996" s="124"/>
      <c r="BDL996" s="124"/>
      <c r="BDM996" s="124"/>
      <c r="BDN996" s="124"/>
      <c r="BDO996" s="124"/>
      <c r="BDP996" s="124"/>
      <c r="BDQ996" s="124"/>
      <c r="BDR996" s="124"/>
      <c r="BDS996" s="124"/>
      <c r="BDT996" s="124"/>
      <c r="BDU996" s="124"/>
      <c r="BDV996" s="124"/>
      <c r="BDW996" s="124"/>
      <c r="BDX996" s="124"/>
      <c r="BDY996" s="124"/>
      <c r="BDZ996" s="124"/>
      <c r="BEA996" s="124"/>
      <c r="BEB996" s="124"/>
      <c r="BEC996" s="124"/>
      <c r="BED996" s="124"/>
      <c r="BEE996" s="124"/>
      <c r="BEF996" s="124"/>
      <c r="BEG996" s="124"/>
      <c r="BEH996" s="124"/>
      <c r="BEI996" s="124"/>
      <c r="BEJ996" s="124"/>
      <c r="BEK996" s="124"/>
      <c r="BEL996" s="124"/>
      <c r="BEM996" s="124"/>
      <c r="BEN996" s="124"/>
      <c r="BEO996" s="124"/>
      <c r="BEP996" s="124"/>
      <c r="BEQ996" s="124"/>
      <c r="BER996" s="124"/>
      <c r="BES996" s="124"/>
      <c r="BET996" s="124"/>
      <c r="BEU996" s="124"/>
      <c r="BEV996" s="124"/>
      <c r="BEW996" s="124"/>
      <c r="BEX996" s="124"/>
      <c r="BEY996" s="124"/>
      <c r="BEZ996" s="124"/>
      <c r="BFA996" s="124"/>
      <c r="BFB996" s="124"/>
      <c r="BFC996" s="124"/>
      <c r="BFD996" s="124"/>
      <c r="BFE996" s="124"/>
      <c r="BFF996" s="124"/>
      <c r="BFG996" s="124"/>
      <c r="BFH996" s="124"/>
      <c r="BFI996" s="124"/>
      <c r="BFJ996" s="124"/>
      <c r="BFK996" s="124"/>
      <c r="BFL996" s="124"/>
      <c r="BFM996" s="124"/>
      <c r="BFN996" s="124"/>
      <c r="BFO996" s="124"/>
      <c r="BFP996" s="124"/>
      <c r="BFQ996" s="124"/>
      <c r="BFR996" s="124"/>
      <c r="BFS996" s="124"/>
      <c r="BFT996" s="124"/>
      <c r="BFU996" s="124"/>
      <c r="BFV996" s="124"/>
      <c r="BFW996" s="124"/>
      <c r="BFX996" s="124"/>
      <c r="BFY996" s="124"/>
      <c r="BFZ996" s="124"/>
      <c r="BGA996" s="124"/>
      <c r="BGB996" s="124"/>
      <c r="BGC996" s="124"/>
      <c r="BGD996" s="124"/>
      <c r="BGE996" s="124"/>
      <c r="BGF996" s="124"/>
      <c r="BGG996" s="124"/>
      <c r="BGH996" s="124"/>
      <c r="BGI996" s="124"/>
      <c r="BGJ996" s="124"/>
      <c r="BGK996" s="124"/>
      <c r="BGL996" s="124"/>
      <c r="BGM996" s="124"/>
      <c r="BGN996" s="124"/>
      <c r="BGO996" s="124"/>
      <c r="BGP996" s="124"/>
      <c r="BGQ996" s="124"/>
      <c r="BGR996" s="124"/>
      <c r="BGS996" s="124"/>
      <c r="BGT996" s="124"/>
      <c r="BGU996" s="124"/>
      <c r="BGV996" s="124"/>
      <c r="BGW996" s="124"/>
      <c r="BGX996" s="124"/>
      <c r="BGY996" s="124"/>
      <c r="BGZ996" s="124"/>
      <c r="BHA996" s="124"/>
      <c r="BHB996" s="124"/>
      <c r="BHC996" s="124"/>
      <c r="BHD996" s="124"/>
      <c r="BHE996" s="124"/>
      <c r="BHF996" s="124"/>
      <c r="BHG996" s="124"/>
      <c r="BHH996" s="124"/>
      <c r="BHI996" s="124"/>
      <c r="BHJ996" s="124"/>
      <c r="BHK996" s="124"/>
      <c r="BHL996" s="124"/>
      <c r="BHM996" s="124"/>
      <c r="BHN996" s="124"/>
      <c r="BHO996" s="124"/>
      <c r="BHP996" s="124"/>
      <c r="BHQ996" s="124"/>
      <c r="BHR996" s="124"/>
      <c r="BHS996" s="124"/>
      <c r="BHT996" s="124"/>
      <c r="BHU996" s="124"/>
      <c r="BHV996" s="124"/>
      <c r="BHW996" s="124"/>
      <c r="BHX996" s="124"/>
      <c r="BHY996" s="124"/>
      <c r="BHZ996" s="124"/>
      <c r="BIA996" s="124"/>
      <c r="BIB996" s="124"/>
      <c r="BIC996" s="124"/>
      <c r="BID996" s="124"/>
      <c r="BIE996" s="124"/>
      <c r="BIF996" s="124"/>
      <c r="BIG996" s="124"/>
      <c r="BIH996" s="124"/>
      <c r="BII996" s="124"/>
      <c r="BIJ996" s="124"/>
      <c r="BIK996" s="124"/>
      <c r="BIL996" s="124"/>
      <c r="BIM996" s="124"/>
      <c r="BIN996" s="124"/>
      <c r="BIO996" s="124"/>
      <c r="BIP996" s="124"/>
      <c r="BIQ996" s="124"/>
      <c r="BIR996" s="124"/>
      <c r="BIS996" s="124"/>
      <c r="BIT996" s="124"/>
      <c r="BIU996" s="124"/>
      <c r="BIV996" s="124"/>
      <c r="BIW996" s="124"/>
      <c r="BIX996" s="124"/>
      <c r="BIY996" s="124"/>
      <c r="BIZ996" s="124"/>
      <c r="BJA996" s="124"/>
      <c r="BJB996" s="124"/>
      <c r="BJC996" s="124"/>
      <c r="BJD996" s="124"/>
      <c r="BJE996" s="124"/>
      <c r="BJF996" s="124"/>
      <c r="BJG996" s="124"/>
      <c r="BJH996" s="124"/>
      <c r="BJI996" s="124"/>
      <c r="BJJ996" s="124"/>
      <c r="BJK996" s="124"/>
      <c r="BJL996" s="124"/>
      <c r="BJM996" s="124"/>
      <c r="BJN996" s="124"/>
      <c r="BJO996" s="124"/>
      <c r="BJP996" s="124"/>
      <c r="BJQ996" s="124"/>
      <c r="BJR996" s="124"/>
      <c r="BJS996" s="124"/>
      <c r="BJT996" s="124"/>
      <c r="BJU996" s="124"/>
      <c r="BJV996" s="124"/>
      <c r="BJW996" s="124"/>
      <c r="BJX996" s="124"/>
      <c r="BJY996" s="124"/>
      <c r="BJZ996" s="124"/>
      <c r="BKA996" s="124"/>
      <c r="BKB996" s="124"/>
      <c r="BKC996" s="124"/>
      <c r="BKD996" s="124"/>
      <c r="BKE996" s="124"/>
      <c r="BKF996" s="124"/>
      <c r="BKG996" s="124"/>
      <c r="BKH996" s="124"/>
      <c r="BKI996" s="124"/>
      <c r="BKJ996" s="124"/>
      <c r="BKK996" s="124"/>
      <c r="BKL996" s="124"/>
      <c r="BKM996" s="124"/>
      <c r="BKN996" s="124"/>
      <c r="BKO996" s="124"/>
      <c r="BKP996" s="124"/>
      <c r="BKQ996" s="124"/>
      <c r="BKR996" s="124"/>
      <c r="BKS996" s="124"/>
      <c r="BKT996" s="124"/>
      <c r="BKU996" s="124"/>
      <c r="BKV996" s="124"/>
      <c r="BKW996" s="124"/>
      <c r="BKX996" s="124"/>
      <c r="BKY996" s="124"/>
      <c r="BKZ996" s="124"/>
      <c r="BLA996" s="124"/>
      <c r="BLB996" s="124"/>
      <c r="BLC996" s="124"/>
      <c r="BLD996" s="124"/>
      <c r="BLE996" s="124"/>
      <c r="BLF996" s="124"/>
      <c r="BLG996" s="124"/>
      <c r="BLH996" s="124"/>
      <c r="BLI996" s="124"/>
      <c r="BLJ996" s="124"/>
      <c r="BLK996" s="124"/>
      <c r="BLL996" s="124"/>
      <c r="BLM996" s="124"/>
      <c r="BLN996" s="124"/>
      <c r="BLO996" s="124"/>
      <c r="BLP996" s="124"/>
      <c r="BLQ996" s="124"/>
      <c r="BLR996" s="124"/>
      <c r="BLS996" s="124"/>
      <c r="BLT996" s="124"/>
      <c r="BLU996" s="124"/>
      <c r="BLV996" s="124"/>
      <c r="BLW996" s="124"/>
      <c r="BLX996" s="124"/>
      <c r="BLY996" s="124"/>
      <c r="BLZ996" s="124"/>
      <c r="BMA996" s="124"/>
      <c r="BMB996" s="124"/>
      <c r="BMC996" s="124"/>
      <c r="BMD996" s="124"/>
      <c r="BME996" s="124"/>
      <c r="BMF996" s="124"/>
      <c r="BMG996" s="124"/>
      <c r="BMH996" s="124"/>
      <c r="BMI996" s="124"/>
      <c r="BMJ996" s="124"/>
      <c r="BMK996" s="124"/>
      <c r="BML996" s="124"/>
      <c r="BMM996" s="124"/>
      <c r="BMN996" s="124"/>
      <c r="BMO996" s="124"/>
      <c r="BMP996" s="124"/>
      <c r="BMQ996" s="124"/>
      <c r="BMR996" s="124"/>
      <c r="BMS996" s="124"/>
      <c r="BMT996" s="124"/>
      <c r="BMU996" s="124"/>
      <c r="BMV996" s="124"/>
      <c r="BMW996" s="124"/>
      <c r="BMX996" s="124"/>
      <c r="BMY996" s="124"/>
      <c r="BMZ996" s="124"/>
      <c r="BNA996" s="124"/>
      <c r="BNB996" s="124"/>
      <c r="BNC996" s="124"/>
      <c r="BND996" s="124"/>
      <c r="BNE996" s="124"/>
      <c r="BNF996" s="124"/>
      <c r="BNG996" s="124"/>
      <c r="BNH996" s="124"/>
      <c r="BNI996" s="124"/>
      <c r="BNJ996" s="124"/>
      <c r="BNK996" s="124"/>
      <c r="BNL996" s="124"/>
      <c r="BNM996" s="124"/>
      <c r="BNN996" s="124"/>
      <c r="BNO996" s="124"/>
      <c r="BNP996" s="124"/>
      <c r="BNQ996" s="124"/>
      <c r="BNR996" s="124"/>
      <c r="BNS996" s="124"/>
      <c r="BNT996" s="124"/>
      <c r="BNU996" s="124"/>
      <c r="BNV996" s="124"/>
      <c r="BNW996" s="124"/>
      <c r="BNX996" s="124"/>
      <c r="BNY996" s="124"/>
      <c r="BNZ996" s="124"/>
      <c r="BOA996" s="124"/>
      <c r="BOB996" s="124"/>
      <c r="BOC996" s="124"/>
      <c r="BOD996" s="124"/>
      <c r="BOE996" s="124"/>
      <c r="BOF996" s="124"/>
      <c r="BOG996" s="124"/>
      <c r="BOH996" s="124"/>
      <c r="BOI996" s="124"/>
      <c r="BOJ996" s="124"/>
      <c r="BOK996" s="124"/>
      <c r="BOL996" s="124"/>
      <c r="BOM996" s="124"/>
      <c r="BON996" s="124"/>
      <c r="BOO996" s="124"/>
      <c r="BOP996" s="124"/>
      <c r="BOQ996" s="124"/>
      <c r="BOR996" s="124"/>
      <c r="BOS996" s="124"/>
      <c r="BOT996" s="124"/>
      <c r="BOU996" s="124"/>
      <c r="BOV996" s="124"/>
      <c r="BOW996" s="124"/>
      <c r="BOX996" s="124"/>
      <c r="BOY996" s="124"/>
      <c r="BOZ996" s="124"/>
      <c r="BPA996" s="124"/>
      <c r="BPB996" s="124"/>
      <c r="BPC996" s="124"/>
      <c r="BPD996" s="124"/>
      <c r="BPE996" s="124"/>
      <c r="BPF996" s="124"/>
      <c r="BPG996" s="124"/>
      <c r="BPH996" s="124"/>
      <c r="BPI996" s="124"/>
      <c r="BPJ996" s="124"/>
      <c r="BPK996" s="124"/>
      <c r="BPL996" s="124"/>
      <c r="BPM996" s="124"/>
      <c r="BPN996" s="124"/>
      <c r="BPO996" s="124"/>
      <c r="BPP996" s="124"/>
      <c r="BPQ996" s="124"/>
      <c r="BPR996" s="124"/>
      <c r="BPS996" s="124"/>
      <c r="BPT996" s="124"/>
      <c r="BPU996" s="124"/>
      <c r="BPV996" s="124"/>
      <c r="BPW996" s="124"/>
      <c r="BPX996" s="124"/>
      <c r="BPY996" s="124"/>
      <c r="BPZ996" s="124"/>
      <c r="BQA996" s="124"/>
      <c r="BQB996" s="124"/>
      <c r="BQC996" s="124"/>
      <c r="BQD996" s="124"/>
      <c r="BQE996" s="124"/>
      <c r="BQF996" s="124"/>
      <c r="BQG996" s="124"/>
      <c r="BQH996" s="124"/>
      <c r="BQI996" s="124"/>
      <c r="BQJ996" s="124"/>
      <c r="BQK996" s="124"/>
      <c r="BQL996" s="124"/>
      <c r="BQM996" s="124"/>
      <c r="BQN996" s="124"/>
      <c r="BQO996" s="124"/>
      <c r="BQP996" s="124"/>
      <c r="BQQ996" s="124"/>
      <c r="BQR996" s="124"/>
      <c r="BQS996" s="124"/>
      <c r="BQT996" s="124"/>
      <c r="BQU996" s="124"/>
      <c r="BQV996" s="124"/>
      <c r="BQW996" s="124"/>
      <c r="BQX996" s="124"/>
      <c r="BQY996" s="124"/>
      <c r="BQZ996" s="124"/>
      <c r="BRA996" s="124"/>
      <c r="BRB996" s="124"/>
      <c r="BRC996" s="124"/>
      <c r="BRD996" s="124"/>
      <c r="BRE996" s="124"/>
      <c r="BRF996" s="124"/>
      <c r="BRG996" s="124"/>
      <c r="BRH996" s="124"/>
      <c r="BRI996" s="124"/>
      <c r="BRJ996" s="124"/>
      <c r="BRK996" s="124"/>
      <c r="BRL996" s="124"/>
      <c r="BRM996" s="124"/>
      <c r="BRN996" s="124"/>
      <c r="BRO996" s="124"/>
      <c r="BRP996" s="124"/>
      <c r="BRQ996" s="124"/>
      <c r="BRR996" s="124"/>
      <c r="BRS996" s="124"/>
      <c r="BRT996" s="124"/>
      <c r="BRU996" s="124"/>
      <c r="BRV996" s="124"/>
      <c r="BRW996" s="124"/>
      <c r="BRX996" s="124"/>
      <c r="BRY996" s="124"/>
      <c r="BRZ996" s="124"/>
      <c r="BSA996" s="124"/>
      <c r="BSB996" s="124"/>
      <c r="BSC996" s="124"/>
      <c r="BSD996" s="124"/>
      <c r="BSE996" s="124"/>
      <c r="BSF996" s="124"/>
      <c r="BSG996" s="124"/>
      <c r="BSH996" s="124"/>
      <c r="BSI996" s="124"/>
      <c r="BSJ996" s="124"/>
      <c r="BSK996" s="124"/>
      <c r="BSL996" s="124"/>
      <c r="BSM996" s="124"/>
      <c r="BSN996" s="124"/>
      <c r="BSO996" s="124"/>
      <c r="BSP996" s="124"/>
      <c r="BSQ996" s="124"/>
      <c r="BSR996" s="124"/>
      <c r="BSS996" s="124"/>
      <c r="BST996" s="124"/>
      <c r="BSU996" s="124"/>
      <c r="BSV996" s="124"/>
      <c r="BSW996" s="124"/>
      <c r="BSX996" s="124"/>
      <c r="BSY996" s="124"/>
      <c r="BSZ996" s="124"/>
      <c r="BTA996" s="124"/>
      <c r="BTB996" s="124"/>
      <c r="BTC996" s="124"/>
      <c r="BTD996" s="124"/>
      <c r="BTE996" s="124"/>
      <c r="BTF996" s="124"/>
      <c r="BTG996" s="124"/>
      <c r="BTH996" s="124"/>
      <c r="BTI996" s="124"/>
      <c r="BTJ996" s="124"/>
      <c r="BTK996" s="124"/>
      <c r="BTL996" s="124"/>
      <c r="BTM996" s="124"/>
      <c r="BTN996" s="124"/>
      <c r="BTO996" s="124"/>
      <c r="BTP996" s="124"/>
      <c r="BTQ996" s="124"/>
      <c r="BTR996" s="124"/>
      <c r="BTS996" s="124"/>
      <c r="BTT996" s="124"/>
      <c r="BTU996" s="124"/>
      <c r="BTV996" s="124"/>
      <c r="BTW996" s="124"/>
      <c r="BTX996" s="124"/>
      <c r="BTY996" s="124"/>
      <c r="BTZ996" s="124"/>
      <c r="BUA996" s="124"/>
      <c r="BUB996" s="124"/>
      <c r="BUC996" s="124"/>
      <c r="BUD996" s="124"/>
      <c r="BUE996" s="124"/>
      <c r="BUF996" s="124"/>
      <c r="BUG996" s="124"/>
      <c r="BUH996" s="124"/>
      <c r="BUI996" s="124"/>
      <c r="BUJ996" s="124"/>
      <c r="BUK996" s="124"/>
      <c r="BUL996" s="124"/>
      <c r="BUM996" s="124"/>
      <c r="BUN996" s="124"/>
      <c r="BUO996" s="124"/>
      <c r="BUP996" s="124"/>
      <c r="BUQ996" s="124"/>
      <c r="BUR996" s="124"/>
      <c r="BUS996" s="124"/>
      <c r="BUT996" s="124"/>
      <c r="BUU996" s="124"/>
      <c r="BUV996" s="124"/>
      <c r="BUW996" s="124"/>
      <c r="BUX996" s="124"/>
      <c r="BUY996" s="124"/>
      <c r="BUZ996" s="124"/>
      <c r="BVA996" s="124"/>
      <c r="BVB996" s="124"/>
      <c r="BVC996" s="124"/>
      <c r="BVD996" s="124"/>
      <c r="BVE996" s="124"/>
      <c r="BVF996" s="124"/>
      <c r="BVG996" s="124"/>
      <c r="BVH996" s="124"/>
      <c r="BVI996" s="124"/>
      <c r="BVJ996" s="124"/>
      <c r="BVK996" s="124"/>
      <c r="BVL996" s="124"/>
      <c r="BVM996" s="124"/>
      <c r="BVN996" s="124"/>
      <c r="BVO996" s="124"/>
      <c r="BVP996" s="124"/>
      <c r="BVQ996" s="124"/>
      <c r="BVR996" s="124"/>
      <c r="BVS996" s="124"/>
      <c r="BVT996" s="124"/>
      <c r="BVU996" s="124"/>
      <c r="BVV996" s="124"/>
      <c r="BVW996" s="124"/>
      <c r="BVX996" s="124"/>
      <c r="BVY996" s="124"/>
      <c r="BVZ996" s="124"/>
      <c r="BWA996" s="124"/>
      <c r="BWB996" s="124"/>
      <c r="BWC996" s="124"/>
      <c r="BWD996" s="124"/>
      <c r="BWE996" s="124"/>
      <c r="BWF996" s="124"/>
      <c r="BWG996" s="124"/>
      <c r="BWH996" s="124"/>
      <c r="BWI996" s="124"/>
      <c r="BWJ996" s="124"/>
      <c r="BWK996" s="124"/>
      <c r="BWL996" s="124"/>
      <c r="BWM996" s="124"/>
      <c r="BWN996" s="124"/>
      <c r="BWO996" s="124"/>
      <c r="BWP996" s="124"/>
      <c r="BWQ996" s="124"/>
      <c r="BWR996" s="124"/>
      <c r="BWS996" s="124"/>
      <c r="BWT996" s="124"/>
      <c r="BWU996" s="124"/>
      <c r="BWV996" s="124"/>
      <c r="BWW996" s="124"/>
      <c r="BWX996" s="124"/>
      <c r="BWY996" s="124"/>
      <c r="BWZ996" s="124"/>
      <c r="BXA996" s="124"/>
      <c r="BXB996" s="124"/>
      <c r="BXC996" s="124"/>
      <c r="BXD996" s="124"/>
      <c r="BXE996" s="124"/>
      <c r="BXF996" s="124"/>
      <c r="BXG996" s="124"/>
      <c r="BXH996" s="124"/>
      <c r="BXI996" s="124"/>
      <c r="BXJ996" s="124"/>
      <c r="BXK996" s="124"/>
      <c r="BXL996" s="124"/>
      <c r="BXM996" s="124"/>
      <c r="BXN996" s="124"/>
      <c r="BXO996" s="124"/>
      <c r="BXP996" s="124"/>
      <c r="BXQ996" s="124"/>
      <c r="BXR996" s="124"/>
      <c r="BXS996" s="124"/>
      <c r="BXT996" s="124"/>
      <c r="BXU996" s="124"/>
      <c r="BXV996" s="124"/>
      <c r="BXW996" s="124"/>
      <c r="BXX996" s="124"/>
      <c r="BXY996" s="124"/>
      <c r="BXZ996" s="124"/>
      <c r="BYA996" s="124"/>
      <c r="BYB996" s="124"/>
      <c r="BYC996" s="124"/>
      <c r="BYD996" s="124"/>
      <c r="BYE996" s="124"/>
      <c r="BYF996" s="124"/>
      <c r="BYG996" s="124"/>
      <c r="BYH996" s="124"/>
      <c r="BYI996" s="124"/>
      <c r="BYJ996" s="124"/>
      <c r="BYK996" s="124"/>
      <c r="BYL996" s="124"/>
      <c r="BYM996" s="124"/>
      <c r="BYN996" s="124"/>
      <c r="BYO996" s="124"/>
      <c r="BYP996" s="124"/>
      <c r="BYQ996" s="124"/>
      <c r="BYR996" s="124"/>
      <c r="BYS996" s="124"/>
      <c r="BYT996" s="124"/>
      <c r="BYU996" s="124"/>
      <c r="BYV996" s="124"/>
      <c r="BYW996" s="124"/>
      <c r="BYX996" s="124"/>
      <c r="BYY996" s="124"/>
      <c r="BYZ996" s="124"/>
      <c r="BZA996" s="124"/>
      <c r="BZB996" s="124"/>
      <c r="BZC996" s="124"/>
      <c r="BZD996" s="124"/>
      <c r="BZE996" s="124"/>
      <c r="BZF996" s="124"/>
      <c r="BZG996" s="124"/>
      <c r="BZH996" s="124"/>
      <c r="BZI996" s="124"/>
      <c r="BZJ996" s="124"/>
      <c r="BZK996" s="124"/>
      <c r="BZL996" s="124"/>
      <c r="BZM996" s="124"/>
      <c r="BZN996" s="124"/>
      <c r="BZO996" s="124"/>
      <c r="BZP996" s="124"/>
      <c r="BZQ996" s="124"/>
      <c r="BZR996" s="124"/>
      <c r="BZS996" s="124"/>
      <c r="BZT996" s="124"/>
      <c r="BZU996" s="124"/>
      <c r="BZV996" s="124"/>
      <c r="BZW996" s="124"/>
      <c r="BZX996" s="124"/>
      <c r="BZY996" s="124"/>
      <c r="BZZ996" s="124"/>
      <c r="CAA996" s="124"/>
      <c r="CAB996" s="124"/>
      <c r="CAC996" s="124"/>
      <c r="CAD996" s="124"/>
      <c r="CAE996" s="124"/>
      <c r="CAF996" s="124"/>
      <c r="CAG996" s="124"/>
      <c r="CAH996" s="124"/>
      <c r="CAI996" s="124"/>
      <c r="CAJ996" s="124"/>
      <c r="CAK996" s="124"/>
      <c r="CAL996" s="124"/>
      <c r="CAM996" s="124"/>
      <c r="CAN996" s="124"/>
      <c r="CAO996" s="124"/>
      <c r="CAP996" s="124"/>
      <c r="CAQ996" s="124"/>
      <c r="CAR996" s="124"/>
      <c r="CAS996" s="124"/>
      <c r="CAT996" s="124"/>
      <c r="CAU996" s="124"/>
      <c r="CAV996" s="124"/>
      <c r="CAW996" s="124"/>
      <c r="CAX996" s="124"/>
      <c r="CAY996" s="124"/>
      <c r="CAZ996" s="124"/>
      <c r="CBA996" s="124"/>
      <c r="CBB996" s="124"/>
      <c r="CBC996" s="124"/>
      <c r="CBD996" s="124"/>
      <c r="CBE996" s="124"/>
      <c r="CBF996" s="124"/>
      <c r="CBG996" s="124"/>
      <c r="CBH996" s="124"/>
      <c r="CBI996" s="124"/>
      <c r="CBJ996" s="124"/>
      <c r="CBK996" s="124"/>
      <c r="CBL996" s="124"/>
      <c r="CBM996" s="124"/>
      <c r="CBN996" s="124"/>
      <c r="CBO996" s="124"/>
      <c r="CBP996" s="124"/>
      <c r="CBQ996" s="124"/>
      <c r="CBR996" s="124"/>
      <c r="CBS996" s="124"/>
      <c r="CBT996" s="124"/>
      <c r="CBU996" s="124"/>
      <c r="CBV996" s="124"/>
      <c r="CBW996" s="124"/>
      <c r="CBX996" s="124"/>
      <c r="CBY996" s="124"/>
      <c r="CBZ996" s="124"/>
      <c r="CCA996" s="124"/>
      <c r="CCB996" s="124"/>
      <c r="CCC996" s="124"/>
      <c r="CCD996" s="124"/>
      <c r="CCE996" s="124"/>
      <c r="CCF996" s="124"/>
      <c r="CCG996" s="124"/>
      <c r="CCH996" s="124"/>
      <c r="CCI996" s="124"/>
      <c r="CCJ996" s="124"/>
      <c r="CCK996" s="124"/>
      <c r="CCL996" s="124"/>
      <c r="CCM996" s="124"/>
      <c r="CCN996" s="124"/>
      <c r="CCO996" s="124"/>
      <c r="CCP996" s="124"/>
      <c r="CCQ996" s="124"/>
      <c r="CCR996" s="124"/>
      <c r="CCS996" s="124"/>
      <c r="CCT996" s="124"/>
      <c r="CCU996" s="124"/>
      <c r="CCV996" s="124"/>
      <c r="CCW996" s="124"/>
      <c r="CCX996" s="124"/>
      <c r="CCY996" s="124"/>
      <c r="CCZ996" s="124"/>
      <c r="CDA996" s="124"/>
      <c r="CDB996" s="124"/>
      <c r="CDC996" s="124"/>
      <c r="CDD996" s="124"/>
      <c r="CDE996" s="124"/>
      <c r="CDF996" s="124"/>
      <c r="CDG996" s="124"/>
      <c r="CDH996" s="124"/>
      <c r="CDI996" s="124"/>
      <c r="CDJ996" s="124"/>
      <c r="CDK996" s="124"/>
      <c r="CDL996" s="124"/>
      <c r="CDM996" s="124"/>
      <c r="CDN996" s="124"/>
      <c r="CDO996" s="124"/>
      <c r="CDP996" s="124"/>
      <c r="CDQ996" s="124"/>
      <c r="CDR996" s="124"/>
      <c r="CDS996" s="124"/>
      <c r="CDT996" s="124"/>
      <c r="CDU996" s="124"/>
      <c r="CDV996" s="124"/>
      <c r="CDW996" s="124"/>
      <c r="CDX996" s="124"/>
      <c r="CDY996" s="124"/>
      <c r="CDZ996" s="124"/>
      <c r="CEA996" s="124"/>
      <c r="CEB996" s="124"/>
      <c r="CEC996" s="124"/>
      <c r="CED996" s="124"/>
      <c r="CEE996" s="124"/>
      <c r="CEF996" s="124"/>
      <c r="CEG996" s="124"/>
      <c r="CEH996" s="124"/>
      <c r="CEI996" s="124"/>
      <c r="CEJ996" s="124"/>
      <c r="CEK996" s="124"/>
      <c r="CEL996" s="124"/>
      <c r="CEM996" s="124"/>
      <c r="CEN996" s="124"/>
      <c r="CEO996" s="124"/>
      <c r="CEP996" s="124"/>
      <c r="CEQ996" s="124"/>
      <c r="CER996" s="124"/>
      <c r="CES996" s="124"/>
      <c r="CET996" s="124"/>
      <c r="CEU996" s="124"/>
      <c r="CEV996" s="124"/>
      <c r="CEW996" s="124"/>
      <c r="CEX996" s="124"/>
      <c r="CEY996" s="124"/>
      <c r="CEZ996" s="124"/>
      <c r="CFA996" s="124"/>
      <c r="CFB996" s="124"/>
      <c r="CFC996" s="124"/>
      <c r="CFD996" s="124"/>
      <c r="CFE996" s="124"/>
      <c r="CFF996" s="124"/>
      <c r="CFG996" s="124"/>
      <c r="CFH996" s="124"/>
      <c r="CFI996" s="124"/>
      <c r="CFJ996" s="124"/>
      <c r="CFK996" s="124"/>
      <c r="CFL996" s="124"/>
      <c r="CFM996" s="124"/>
      <c r="CFN996" s="124"/>
      <c r="CFO996" s="124"/>
      <c r="CFP996" s="124"/>
      <c r="CFQ996" s="124"/>
      <c r="CFR996" s="124"/>
      <c r="CFS996" s="124"/>
      <c r="CFT996" s="124"/>
      <c r="CFU996" s="124"/>
      <c r="CFV996" s="124"/>
      <c r="CFW996" s="124"/>
      <c r="CFX996" s="124"/>
      <c r="CFY996" s="124"/>
      <c r="CFZ996" s="124"/>
      <c r="CGA996" s="124"/>
      <c r="CGB996" s="124"/>
      <c r="CGC996" s="124"/>
      <c r="CGD996" s="124"/>
      <c r="CGE996" s="124"/>
      <c r="CGF996" s="124"/>
      <c r="CGG996" s="124"/>
      <c r="CGH996" s="124"/>
      <c r="CGI996" s="124"/>
      <c r="CGJ996" s="124"/>
      <c r="CGK996" s="124"/>
      <c r="CGL996" s="124"/>
      <c r="CGM996" s="124"/>
      <c r="CGN996" s="124"/>
      <c r="CGO996" s="124"/>
      <c r="CGP996" s="124"/>
      <c r="CGQ996" s="124"/>
      <c r="CGR996" s="124"/>
      <c r="CGS996" s="124"/>
      <c r="CGT996" s="124"/>
      <c r="CGU996" s="124"/>
      <c r="CGV996" s="124"/>
      <c r="CGW996" s="124"/>
      <c r="CGX996" s="124"/>
      <c r="CGY996" s="124"/>
      <c r="CGZ996" s="124"/>
      <c r="CHA996" s="124"/>
      <c r="CHB996" s="124"/>
      <c r="CHC996" s="124"/>
      <c r="CHD996" s="124"/>
      <c r="CHE996" s="124"/>
      <c r="CHF996" s="124"/>
      <c r="CHG996" s="124"/>
      <c r="CHH996" s="124"/>
      <c r="CHI996" s="124"/>
      <c r="CHJ996" s="124"/>
      <c r="CHK996" s="124"/>
      <c r="CHL996" s="124"/>
      <c r="CHM996" s="124"/>
      <c r="CHN996" s="124"/>
      <c r="CHO996" s="124"/>
      <c r="CHP996" s="124"/>
      <c r="CHQ996" s="124"/>
      <c r="CHR996" s="124"/>
      <c r="CHS996" s="124"/>
      <c r="CHT996" s="124"/>
      <c r="CHU996" s="124"/>
      <c r="CHV996" s="124"/>
      <c r="CHW996" s="124"/>
      <c r="CHX996" s="124"/>
      <c r="CHY996" s="124"/>
      <c r="CHZ996" s="124"/>
      <c r="CIA996" s="124"/>
      <c r="CIB996" s="124"/>
      <c r="CIC996" s="124"/>
      <c r="CID996" s="124"/>
      <c r="CIE996" s="124"/>
      <c r="CIF996" s="124"/>
      <c r="CIG996" s="124"/>
      <c r="CIH996" s="124"/>
      <c r="CII996" s="124"/>
      <c r="CIJ996" s="124"/>
      <c r="CIK996" s="124"/>
      <c r="CIL996" s="124"/>
      <c r="CIM996" s="124"/>
      <c r="CIN996" s="124"/>
      <c r="CIO996" s="124"/>
      <c r="CIP996" s="124"/>
      <c r="CIQ996" s="124"/>
      <c r="CIR996" s="124"/>
      <c r="CIS996" s="124"/>
      <c r="CIT996" s="124"/>
      <c r="CIU996" s="124"/>
      <c r="CIV996" s="124"/>
      <c r="CIW996" s="124"/>
      <c r="CIX996" s="124"/>
      <c r="CIY996" s="124"/>
      <c r="CIZ996" s="124"/>
      <c r="CJA996" s="124"/>
      <c r="CJB996" s="124"/>
      <c r="CJC996" s="124"/>
      <c r="CJD996" s="124"/>
      <c r="CJE996" s="124"/>
      <c r="CJF996" s="124"/>
      <c r="CJG996" s="124"/>
      <c r="CJH996" s="124"/>
      <c r="CJI996" s="124"/>
      <c r="CJJ996" s="124"/>
      <c r="CJK996" s="124"/>
      <c r="CJL996" s="124"/>
      <c r="CJM996" s="124"/>
      <c r="CJN996" s="124"/>
      <c r="CJO996" s="124"/>
      <c r="CJP996" s="124"/>
      <c r="CJQ996" s="124"/>
      <c r="CJR996" s="124"/>
      <c r="CJS996" s="124"/>
      <c r="CJT996" s="124"/>
      <c r="CJU996" s="124"/>
      <c r="CJV996" s="124"/>
      <c r="CJW996" s="124"/>
      <c r="CJX996" s="124"/>
      <c r="CJY996" s="124"/>
      <c r="CJZ996" s="124"/>
      <c r="CKA996" s="124"/>
      <c r="CKB996" s="124"/>
      <c r="CKC996" s="124"/>
      <c r="CKD996" s="124"/>
      <c r="CKE996" s="124"/>
      <c r="CKF996" s="124"/>
      <c r="CKG996" s="124"/>
      <c r="CKH996" s="124"/>
      <c r="CKI996" s="124"/>
      <c r="CKJ996" s="124"/>
      <c r="CKK996" s="124"/>
      <c r="CKL996" s="124"/>
      <c r="CKM996" s="124"/>
      <c r="CKN996" s="124"/>
      <c r="CKO996" s="124"/>
      <c r="CKP996" s="124"/>
      <c r="CKQ996" s="124"/>
      <c r="CKR996" s="124"/>
      <c r="CKS996" s="124"/>
      <c r="CKT996" s="124"/>
      <c r="CKU996" s="124"/>
      <c r="CKV996" s="124"/>
      <c r="CKW996" s="124"/>
      <c r="CKX996" s="124"/>
      <c r="CKY996" s="124"/>
      <c r="CKZ996" s="124"/>
      <c r="CLA996" s="124"/>
      <c r="CLB996" s="124"/>
      <c r="CLC996" s="124"/>
      <c r="CLD996" s="124"/>
      <c r="CLE996" s="124"/>
      <c r="CLF996" s="124"/>
      <c r="CLG996" s="124"/>
      <c r="CLH996" s="124"/>
      <c r="CLI996" s="124"/>
      <c r="CLJ996" s="124"/>
      <c r="CLK996" s="124"/>
      <c r="CLL996" s="124"/>
      <c r="CLM996" s="124"/>
      <c r="CLN996" s="124"/>
      <c r="CLO996" s="124"/>
      <c r="CLP996" s="124"/>
      <c r="CLQ996" s="124"/>
      <c r="CLR996" s="124"/>
      <c r="CLS996" s="124"/>
      <c r="CLT996" s="124"/>
      <c r="CLU996" s="124"/>
      <c r="CLV996" s="124"/>
      <c r="CLW996" s="124"/>
      <c r="CLX996" s="124"/>
      <c r="CLY996" s="124"/>
      <c r="CLZ996" s="124"/>
      <c r="CMA996" s="124"/>
      <c r="CMB996" s="124"/>
      <c r="CMC996" s="124"/>
      <c r="CMD996" s="124"/>
      <c r="CME996" s="124"/>
      <c r="CMF996" s="124"/>
      <c r="CMG996" s="124"/>
      <c r="CMH996" s="124"/>
      <c r="CMI996" s="124"/>
      <c r="CMJ996" s="124"/>
      <c r="CMK996" s="124"/>
      <c r="CML996" s="124"/>
      <c r="CMM996" s="124"/>
      <c r="CMN996" s="124"/>
      <c r="CMO996" s="124"/>
      <c r="CMP996" s="124"/>
      <c r="CMQ996" s="124"/>
      <c r="CMR996" s="124"/>
      <c r="CMS996" s="124"/>
      <c r="CMT996" s="124"/>
      <c r="CMU996" s="124"/>
      <c r="CMV996" s="124"/>
      <c r="CMW996" s="124"/>
      <c r="CMX996" s="124"/>
      <c r="CMY996" s="124"/>
      <c r="CMZ996" s="124"/>
      <c r="CNA996" s="124"/>
      <c r="CNB996" s="124"/>
      <c r="CNC996" s="124"/>
      <c r="CND996" s="124"/>
      <c r="CNE996" s="124"/>
      <c r="CNF996" s="124"/>
      <c r="CNG996" s="124"/>
      <c r="CNH996" s="124"/>
      <c r="CNI996" s="124"/>
      <c r="CNJ996" s="124"/>
      <c r="CNK996" s="124"/>
      <c r="CNL996" s="124"/>
      <c r="CNM996" s="124"/>
      <c r="CNN996" s="124"/>
      <c r="CNO996" s="124"/>
      <c r="CNP996" s="124"/>
      <c r="CNQ996" s="124"/>
      <c r="CNR996" s="124"/>
      <c r="CNS996" s="124"/>
      <c r="CNT996" s="124"/>
      <c r="CNU996" s="124"/>
      <c r="CNV996" s="124"/>
      <c r="CNW996" s="124"/>
      <c r="CNX996" s="124"/>
      <c r="CNY996" s="124"/>
      <c r="CNZ996" s="124"/>
      <c r="COA996" s="124"/>
      <c r="COB996" s="124"/>
      <c r="COC996" s="124"/>
      <c r="COD996" s="124"/>
      <c r="COE996" s="124"/>
      <c r="COF996" s="124"/>
      <c r="COG996" s="124"/>
      <c r="COH996" s="124"/>
      <c r="COI996" s="124"/>
      <c r="COJ996" s="124"/>
      <c r="COK996" s="124"/>
      <c r="COL996" s="124"/>
      <c r="COM996" s="124"/>
      <c r="CON996" s="124"/>
      <c r="COO996" s="124"/>
      <c r="COP996" s="124"/>
      <c r="COQ996" s="124"/>
      <c r="COR996" s="124"/>
      <c r="COS996" s="124"/>
      <c r="COT996" s="124"/>
      <c r="COU996" s="124"/>
      <c r="COV996" s="124"/>
      <c r="COW996" s="124"/>
      <c r="COX996" s="124"/>
      <c r="COY996" s="124"/>
      <c r="COZ996" s="124"/>
      <c r="CPA996" s="124"/>
      <c r="CPB996" s="124"/>
      <c r="CPC996" s="124"/>
      <c r="CPD996" s="124"/>
      <c r="CPE996" s="124"/>
      <c r="CPF996" s="124"/>
      <c r="CPG996" s="124"/>
      <c r="CPH996" s="124"/>
      <c r="CPI996" s="124"/>
      <c r="CPJ996" s="124"/>
      <c r="CPK996" s="124"/>
      <c r="CPL996" s="124"/>
      <c r="CPM996" s="124"/>
      <c r="CPN996" s="124"/>
      <c r="CPO996" s="124"/>
      <c r="CPP996" s="124"/>
      <c r="CPQ996" s="124"/>
      <c r="CPR996" s="124"/>
      <c r="CPS996" s="124"/>
      <c r="CPT996" s="124"/>
      <c r="CPU996" s="124"/>
      <c r="CPV996" s="124"/>
      <c r="CPW996" s="124"/>
      <c r="CPX996" s="124"/>
      <c r="CPY996" s="124"/>
      <c r="CPZ996" s="124"/>
      <c r="CQA996" s="124"/>
      <c r="CQB996" s="124"/>
      <c r="CQC996" s="124"/>
      <c r="CQD996" s="124"/>
      <c r="CQE996" s="124"/>
      <c r="CQF996" s="124"/>
      <c r="CQG996" s="124"/>
      <c r="CQH996" s="124"/>
      <c r="CQI996" s="124"/>
      <c r="CQJ996" s="124"/>
      <c r="CQK996" s="124"/>
      <c r="CQL996" s="124"/>
      <c r="CQM996" s="124"/>
      <c r="CQN996" s="124"/>
      <c r="CQO996" s="124"/>
      <c r="CQP996" s="124"/>
      <c r="CQQ996" s="124"/>
      <c r="CQR996" s="124"/>
      <c r="CQS996" s="124"/>
      <c r="CQT996" s="124"/>
      <c r="CQU996" s="124"/>
      <c r="CQV996" s="124"/>
      <c r="CQW996" s="124"/>
      <c r="CQX996" s="124"/>
      <c r="CQY996" s="124"/>
      <c r="CQZ996" s="124"/>
      <c r="CRA996" s="124"/>
      <c r="CRB996" s="124"/>
      <c r="CRC996" s="124"/>
      <c r="CRD996" s="124"/>
      <c r="CRE996" s="124"/>
      <c r="CRF996" s="124"/>
      <c r="CRG996" s="124"/>
      <c r="CRH996" s="124"/>
      <c r="CRI996" s="124"/>
      <c r="CRJ996" s="124"/>
      <c r="CRK996" s="124"/>
      <c r="CRL996" s="124"/>
      <c r="CRM996" s="124"/>
      <c r="CRN996" s="124"/>
      <c r="CRO996" s="124"/>
      <c r="CRP996" s="124"/>
      <c r="CRQ996" s="124"/>
      <c r="CRR996" s="124"/>
      <c r="CRS996" s="124"/>
      <c r="CRT996" s="124"/>
      <c r="CRU996" s="124"/>
      <c r="CRV996" s="124"/>
      <c r="CRW996" s="124"/>
      <c r="CRX996" s="124"/>
      <c r="CRY996" s="124"/>
      <c r="CRZ996" s="124"/>
      <c r="CSA996" s="124"/>
      <c r="CSB996" s="124"/>
      <c r="CSC996" s="124"/>
      <c r="CSD996" s="124"/>
      <c r="CSE996" s="124"/>
      <c r="CSF996" s="124"/>
      <c r="CSG996" s="124"/>
      <c r="CSH996" s="124"/>
      <c r="CSI996" s="124"/>
      <c r="CSJ996" s="124"/>
      <c r="CSK996" s="124"/>
      <c r="CSL996" s="124"/>
      <c r="CSM996" s="124"/>
      <c r="CSN996" s="124"/>
      <c r="CSO996" s="124"/>
      <c r="CSP996" s="124"/>
      <c r="CSQ996" s="124"/>
      <c r="CSR996" s="124"/>
      <c r="CSS996" s="124"/>
      <c r="CST996" s="124"/>
      <c r="CSU996" s="124"/>
      <c r="CSV996" s="124"/>
      <c r="CSW996" s="124"/>
      <c r="CSX996" s="124"/>
      <c r="CSY996" s="124"/>
      <c r="CSZ996" s="124"/>
      <c r="CTA996" s="124"/>
      <c r="CTB996" s="124"/>
      <c r="CTC996" s="124"/>
      <c r="CTD996" s="124"/>
      <c r="CTE996" s="124"/>
      <c r="CTF996" s="124"/>
      <c r="CTG996" s="124"/>
      <c r="CTH996" s="124"/>
      <c r="CTI996" s="124"/>
      <c r="CTJ996" s="124"/>
      <c r="CTK996" s="124"/>
      <c r="CTL996" s="124"/>
      <c r="CTM996" s="124"/>
      <c r="CTN996" s="124"/>
      <c r="CTO996" s="124"/>
      <c r="CTP996" s="124"/>
      <c r="CTQ996" s="124"/>
      <c r="CTR996" s="124"/>
      <c r="CTS996" s="124"/>
      <c r="CTT996" s="124"/>
      <c r="CTU996" s="124"/>
      <c r="CTV996" s="124"/>
      <c r="CTW996" s="124"/>
      <c r="CTX996" s="124"/>
      <c r="CTY996" s="124"/>
      <c r="CTZ996" s="124"/>
      <c r="CUA996" s="124"/>
      <c r="CUB996" s="124"/>
      <c r="CUC996" s="124"/>
      <c r="CUD996" s="124"/>
      <c r="CUE996" s="124"/>
      <c r="CUF996" s="124"/>
      <c r="CUG996" s="124"/>
      <c r="CUH996" s="124"/>
      <c r="CUI996" s="124"/>
      <c r="CUJ996" s="124"/>
      <c r="CUK996" s="124"/>
      <c r="CUL996" s="124"/>
      <c r="CUM996" s="124"/>
      <c r="CUN996" s="124"/>
      <c r="CUO996" s="124"/>
      <c r="CUP996" s="124"/>
      <c r="CUQ996" s="124"/>
      <c r="CUR996" s="124"/>
      <c r="CUS996" s="124"/>
      <c r="CUT996" s="124"/>
      <c r="CUU996" s="124"/>
      <c r="CUV996" s="124"/>
      <c r="CUW996" s="124"/>
      <c r="CUX996" s="124"/>
      <c r="CUY996" s="124"/>
      <c r="CUZ996" s="124"/>
      <c r="CVA996" s="124"/>
      <c r="CVB996" s="124"/>
      <c r="CVC996" s="124"/>
      <c r="CVD996" s="124"/>
      <c r="CVE996" s="124"/>
      <c r="CVF996" s="124"/>
      <c r="CVG996" s="124"/>
      <c r="CVH996" s="124"/>
      <c r="CVI996" s="124"/>
      <c r="CVJ996" s="124"/>
      <c r="CVK996" s="124"/>
      <c r="CVL996" s="124"/>
      <c r="CVM996" s="124"/>
      <c r="CVN996" s="124"/>
      <c r="CVO996" s="124"/>
      <c r="CVP996" s="124"/>
      <c r="CVQ996" s="124"/>
      <c r="CVR996" s="124"/>
      <c r="CVS996" s="124"/>
      <c r="CVT996" s="124"/>
      <c r="CVU996" s="124"/>
      <c r="CVV996" s="124"/>
      <c r="CVW996" s="124"/>
      <c r="CVX996" s="124"/>
      <c r="CVY996" s="124"/>
      <c r="CVZ996" s="124"/>
      <c r="CWA996" s="124"/>
      <c r="CWB996" s="124"/>
      <c r="CWC996" s="124"/>
      <c r="CWD996" s="124"/>
      <c r="CWE996" s="124"/>
      <c r="CWF996" s="124"/>
      <c r="CWG996" s="124"/>
      <c r="CWH996" s="124"/>
      <c r="CWI996" s="124"/>
      <c r="CWJ996" s="124"/>
      <c r="CWK996" s="124"/>
      <c r="CWL996" s="124"/>
      <c r="CWM996" s="124"/>
      <c r="CWN996" s="124"/>
      <c r="CWO996" s="124"/>
      <c r="CWP996" s="124"/>
      <c r="CWQ996" s="124"/>
      <c r="CWR996" s="124"/>
      <c r="CWS996" s="124"/>
      <c r="CWT996" s="124"/>
      <c r="CWU996" s="124"/>
      <c r="CWV996" s="124"/>
      <c r="CWW996" s="124"/>
      <c r="CWX996" s="124"/>
      <c r="CWY996" s="124"/>
      <c r="CWZ996" s="124"/>
      <c r="CXA996" s="124"/>
      <c r="CXB996" s="124"/>
      <c r="CXC996" s="124"/>
      <c r="CXD996" s="124"/>
      <c r="CXE996" s="124"/>
      <c r="CXF996" s="124"/>
      <c r="CXG996" s="124"/>
      <c r="CXH996" s="124"/>
      <c r="CXI996" s="124"/>
      <c r="CXJ996" s="124"/>
      <c r="CXK996" s="124"/>
      <c r="CXL996" s="124"/>
      <c r="CXM996" s="124"/>
      <c r="CXN996" s="124"/>
      <c r="CXO996" s="124"/>
      <c r="CXP996" s="124"/>
      <c r="CXQ996" s="124"/>
      <c r="CXR996" s="124"/>
      <c r="CXS996" s="124"/>
      <c r="CXT996" s="124"/>
      <c r="CXU996" s="124"/>
      <c r="CXV996" s="124"/>
      <c r="CXW996" s="124"/>
      <c r="CXX996" s="124"/>
      <c r="CXY996" s="124"/>
      <c r="CXZ996" s="124"/>
      <c r="CYA996" s="124"/>
      <c r="CYB996" s="124"/>
      <c r="CYC996" s="124"/>
      <c r="CYD996" s="124"/>
      <c r="CYE996" s="124"/>
      <c r="CYF996" s="124"/>
      <c r="CYG996" s="124"/>
      <c r="CYH996" s="124"/>
      <c r="CYI996" s="124"/>
      <c r="CYJ996" s="124"/>
      <c r="CYK996" s="124"/>
      <c r="CYL996" s="124"/>
      <c r="CYM996" s="124"/>
      <c r="CYN996" s="124"/>
      <c r="CYO996" s="124"/>
      <c r="CYP996" s="124"/>
      <c r="CYQ996" s="124"/>
      <c r="CYR996" s="124"/>
      <c r="CYS996" s="124"/>
      <c r="CYT996" s="124"/>
      <c r="CYU996" s="124"/>
      <c r="CYV996" s="124"/>
      <c r="CYW996" s="124"/>
      <c r="CYX996" s="124"/>
      <c r="CYY996" s="124"/>
      <c r="CYZ996" s="124"/>
      <c r="CZA996" s="124"/>
      <c r="CZB996" s="124"/>
      <c r="CZC996" s="124"/>
      <c r="CZD996" s="124"/>
      <c r="CZE996" s="124"/>
      <c r="CZF996" s="124"/>
      <c r="CZG996" s="124"/>
      <c r="CZH996" s="124"/>
      <c r="CZI996" s="124"/>
      <c r="CZJ996" s="124"/>
      <c r="CZK996" s="124"/>
      <c r="CZL996" s="124"/>
      <c r="CZM996" s="124"/>
      <c r="CZN996" s="124"/>
      <c r="CZO996" s="124"/>
      <c r="CZP996" s="124"/>
      <c r="CZQ996" s="124"/>
      <c r="CZR996" s="124"/>
      <c r="CZS996" s="124"/>
      <c r="CZT996" s="124"/>
      <c r="CZU996" s="124"/>
      <c r="CZV996" s="124"/>
      <c r="CZW996" s="124"/>
      <c r="CZX996" s="124"/>
      <c r="CZY996" s="124"/>
      <c r="CZZ996" s="124"/>
      <c r="DAA996" s="124"/>
      <c r="DAB996" s="124"/>
      <c r="DAC996" s="124"/>
      <c r="DAD996" s="124"/>
      <c r="DAE996" s="124"/>
      <c r="DAF996" s="124"/>
      <c r="DAG996" s="124"/>
      <c r="DAH996" s="124"/>
      <c r="DAI996" s="124"/>
      <c r="DAJ996" s="124"/>
      <c r="DAK996" s="124"/>
      <c r="DAL996" s="124"/>
      <c r="DAM996" s="124"/>
      <c r="DAN996" s="124"/>
      <c r="DAO996" s="124"/>
      <c r="DAP996" s="124"/>
      <c r="DAQ996" s="124"/>
      <c r="DAR996" s="124"/>
      <c r="DAS996" s="124"/>
      <c r="DAT996" s="124"/>
      <c r="DAU996" s="124"/>
      <c r="DAV996" s="124"/>
      <c r="DAW996" s="124"/>
      <c r="DAX996" s="124"/>
      <c r="DAY996" s="124"/>
      <c r="DAZ996" s="124"/>
      <c r="DBA996" s="124"/>
      <c r="DBB996" s="124"/>
      <c r="DBC996" s="124"/>
      <c r="DBD996" s="124"/>
      <c r="DBE996" s="124"/>
      <c r="DBF996" s="124"/>
      <c r="DBG996" s="124"/>
      <c r="DBH996" s="124"/>
      <c r="DBI996" s="124"/>
      <c r="DBJ996" s="124"/>
      <c r="DBK996" s="124"/>
      <c r="DBL996" s="124"/>
      <c r="DBM996" s="124"/>
      <c r="DBN996" s="124"/>
      <c r="DBO996" s="124"/>
      <c r="DBP996" s="124"/>
      <c r="DBQ996" s="124"/>
      <c r="DBR996" s="124"/>
      <c r="DBS996" s="124"/>
      <c r="DBT996" s="124"/>
      <c r="DBU996" s="124"/>
      <c r="DBV996" s="124"/>
      <c r="DBW996" s="124"/>
      <c r="DBX996" s="124"/>
      <c r="DBY996" s="124"/>
      <c r="DBZ996" s="124"/>
      <c r="DCA996" s="124"/>
      <c r="DCB996" s="124"/>
      <c r="DCC996" s="124"/>
      <c r="DCD996" s="124"/>
      <c r="DCE996" s="124"/>
      <c r="DCF996" s="124"/>
      <c r="DCG996" s="124"/>
      <c r="DCH996" s="124"/>
      <c r="DCI996" s="124"/>
      <c r="DCJ996" s="124"/>
      <c r="DCK996" s="124"/>
      <c r="DCL996" s="124"/>
      <c r="DCM996" s="124"/>
      <c r="DCN996" s="124"/>
      <c r="DCO996" s="124"/>
      <c r="DCP996" s="124"/>
      <c r="DCQ996" s="124"/>
      <c r="DCR996" s="124"/>
      <c r="DCS996" s="124"/>
      <c r="DCT996" s="124"/>
      <c r="DCU996" s="124"/>
      <c r="DCV996" s="124"/>
      <c r="DCW996" s="124"/>
      <c r="DCX996" s="124"/>
      <c r="DCY996" s="124"/>
      <c r="DCZ996" s="124"/>
      <c r="DDA996" s="124"/>
      <c r="DDB996" s="124"/>
      <c r="DDC996" s="124"/>
      <c r="DDD996" s="124"/>
      <c r="DDE996" s="124"/>
      <c r="DDF996" s="124"/>
      <c r="DDG996" s="124"/>
      <c r="DDH996" s="124"/>
      <c r="DDI996" s="124"/>
      <c r="DDJ996" s="124"/>
      <c r="DDK996" s="124"/>
      <c r="DDL996" s="124"/>
      <c r="DDM996" s="124"/>
      <c r="DDN996" s="124"/>
      <c r="DDO996" s="124"/>
      <c r="DDP996" s="124"/>
      <c r="DDQ996" s="124"/>
      <c r="DDR996" s="124"/>
      <c r="DDS996" s="124"/>
      <c r="DDT996" s="124"/>
      <c r="DDU996" s="124"/>
      <c r="DDV996" s="124"/>
      <c r="DDW996" s="124"/>
      <c r="DDX996" s="124"/>
      <c r="DDY996" s="124"/>
      <c r="DDZ996" s="124"/>
      <c r="DEA996" s="124"/>
      <c r="DEB996" s="124"/>
      <c r="DEC996" s="124"/>
      <c r="DED996" s="124"/>
      <c r="DEE996" s="124"/>
      <c r="DEF996" s="124"/>
      <c r="DEG996" s="124"/>
      <c r="DEH996" s="124"/>
      <c r="DEI996" s="124"/>
      <c r="DEJ996" s="124"/>
      <c r="DEK996" s="124"/>
      <c r="DEL996" s="124"/>
      <c r="DEM996" s="124"/>
      <c r="DEN996" s="124"/>
      <c r="DEO996" s="124"/>
      <c r="DEP996" s="124"/>
      <c r="DEQ996" s="124"/>
      <c r="DER996" s="124"/>
      <c r="DES996" s="124"/>
      <c r="DET996" s="124"/>
      <c r="DEU996" s="124"/>
      <c r="DEV996" s="124"/>
      <c r="DEW996" s="124"/>
      <c r="DEX996" s="124"/>
      <c r="DEY996" s="124"/>
      <c r="DEZ996" s="124"/>
      <c r="DFA996" s="124"/>
      <c r="DFB996" s="124"/>
      <c r="DFC996" s="124"/>
      <c r="DFD996" s="124"/>
      <c r="DFE996" s="124"/>
      <c r="DFF996" s="124"/>
      <c r="DFG996" s="124"/>
      <c r="DFH996" s="124"/>
      <c r="DFI996" s="124"/>
      <c r="DFJ996" s="124"/>
      <c r="DFK996" s="124"/>
      <c r="DFL996" s="124"/>
      <c r="DFM996" s="124"/>
      <c r="DFN996" s="124"/>
      <c r="DFO996" s="124"/>
      <c r="DFP996" s="124"/>
      <c r="DFQ996" s="124"/>
      <c r="DFR996" s="124"/>
      <c r="DFS996" s="124"/>
      <c r="DFT996" s="124"/>
      <c r="DFU996" s="124"/>
      <c r="DFV996" s="124"/>
      <c r="DFW996" s="124"/>
      <c r="DFX996" s="124"/>
      <c r="DFY996" s="124"/>
      <c r="DFZ996" s="124"/>
      <c r="DGA996" s="124"/>
      <c r="DGB996" s="124"/>
      <c r="DGC996" s="124"/>
      <c r="DGD996" s="124"/>
      <c r="DGE996" s="124"/>
      <c r="DGF996" s="124"/>
      <c r="DGG996" s="124"/>
      <c r="DGH996" s="124"/>
      <c r="DGI996" s="124"/>
      <c r="DGJ996" s="124"/>
      <c r="DGK996" s="124"/>
      <c r="DGL996" s="124"/>
      <c r="DGM996" s="124"/>
      <c r="DGN996" s="124"/>
      <c r="DGO996" s="124"/>
      <c r="DGP996" s="124"/>
      <c r="DGQ996" s="124"/>
      <c r="DGR996" s="124"/>
      <c r="DGS996" s="124"/>
      <c r="DGT996" s="124"/>
      <c r="DGU996" s="124"/>
      <c r="DGV996" s="124"/>
      <c r="DGW996" s="124"/>
      <c r="DGX996" s="124"/>
      <c r="DGY996" s="124"/>
      <c r="DGZ996" s="124"/>
      <c r="DHA996" s="124"/>
      <c r="DHB996" s="124"/>
      <c r="DHC996" s="124"/>
      <c r="DHD996" s="124"/>
      <c r="DHE996" s="124"/>
      <c r="DHF996" s="124"/>
      <c r="DHG996" s="124"/>
      <c r="DHH996" s="124"/>
      <c r="DHI996" s="124"/>
      <c r="DHJ996" s="124"/>
      <c r="DHK996" s="124"/>
      <c r="DHL996" s="124"/>
      <c r="DHM996" s="124"/>
      <c r="DHN996" s="124"/>
      <c r="DHO996" s="124"/>
      <c r="DHP996" s="124"/>
      <c r="DHQ996" s="124"/>
      <c r="DHR996" s="124"/>
      <c r="DHS996" s="124"/>
      <c r="DHT996" s="124"/>
      <c r="DHU996" s="124"/>
      <c r="DHV996" s="124"/>
      <c r="DHW996" s="124"/>
      <c r="DHX996" s="124"/>
      <c r="DHY996" s="124"/>
      <c r="DHZ996" s="124"/>
      <c r="DIA996" s="124"/>
      <c r="DIB996" s="124"/>
      <c r="DIC996" s="124"/>
      <c r="DID996" s="124"/>
      <c r="DIE996" s="124"/>
      <c r="DIF996" s="124"/>
      <c r="DIG996" s="124"/>
      <c r="DIH996" s="124"/>
      <c r="DII996" s="124"/>
      <c r="DIJ996" s="124"/>
      <c r="DIK996" s="124"/>
      <c r="DIL996" s="124"/>
      <c r="DIM996" s="124"/>
      <c r="DIN996" s="124"/>
      <c r="DIO996" s="124"/>
      <c r="DIP996" s="124"/>
      <c r="DIQ996" s="124"/>
      <c r="DIR996" s="124"/>
      <c r="DIS996" s="124"/>
      <c r="DIT996" s="124"/>
      <c r="DIU996" s="124"/>
      <c r="DIV996" s="124"/>
      <c r="DIW996" s="124"/>
      <c r="DIX996" s="124"/>
      <c r="DIY996" s="124"/>
      <c r="DIZ996" s="124"/>
      <c r="DJA996" s="124"/>
      <c r="DJB996" s="124"/>
      <c r="DJC996" s="124"/>
      <c r="DJD996" s="124"/>
      <c r="DJE996" s="124"/>
      <c r="DJF996" s="124"/>
      <c r="DJG996" s="124"/>
      <c r="DJH996" s="124"/>
      <c r="DJI996" s="124"/>
      <c r="DJJ996" s="124"/>
      <c r="DJK996" s="124"/>
      <c r="DJL996" s="124"/>
      <c r="DJM996" s="124"/>
      <c r="DJN996" s="124"/>
      <c r="DJO996" s="124"/>
      <c r="DJP996" s="124"/>
      <c r="DJQ996" s="124"/>
      <c r="DJR996" s="124"/>
      <c r="DJS996" s="124"/>
      <c r="DJT996" s="124"/>
      <c r="DJU996" s="124"/>
      <c r="DJV996" s="124"/>
      <c r="DJW996" s="124"/>
      <c r="DJX996" s="124"/>
      <c r="DJY996" s="124"/>
      <c r="DJZ996" s="124"/>
      <c r="DKA996" s="124"/>
      <c r="DKB996" s="124"/>
      <c r="DKC996" s="124"/>
      <c r="DKD996" s="124"/>
      <c r="DKE996" s="124"/>
      <c r="DKF996" s="124"/>
      <c r="DKG996" s="124"/>
      <c r="DKH996" s="124"/>
      <c r="DKI996" s="124"/>
      <c r="DKJ996" s="124"/>
      <c r="DKK996" s="124"/>
      <c r="DKL996" s="124"/>
      <c r="DKM996" s="124"/>
      <c r="DKN996" s="124"/>
      <c r="DKO996" s="124"/>
      <c r="DKP996" s="124"/>
      <c r="DKQ996" s="124"/>
      <c r="DKR996" s="124"/>
      <c r="DKS996" s="124"/>
      <c r="DKT996" s="124"/>
      <c r="DKU996" s="124"/>
      <c r="DKV996" s="124"/>
      <c r="DKW996" s="124"/>
      <c r="DKX996" s="124"/>
      <c r="DKY996" s="124"/>
      <c r="DKZ996" s="124"/>
      <c r="DLA996" s="124"/>
      <c r="DLB996" s="124"/>
      <c r="DLC996" s="124"/>
      <c r="DLD996" s="124"/>
      <c r="DLE996" s="124"/>
      <c r="DLF996" s="124"/>
      <c r="DLG996" s="124"/>
      <c r="DLH996" s="124"/>
      <c r="DLI996" s="124"/>
      <c r="DLJ996" s="124"/>
      <c r="DLK996" s="124"/>
      <c r="DLL996" s="124"/>
      <c r="DLM996" s="124"/>
      <c r="DLN996" s="124"/>
      <c r="DLO996" s="124"/>
      <c r="DLP996" s="124"/>
      <c r="DLQ996" s="124"/>
      <c r="DLR996" s="124"/>
      <c r="DLS996" s="124"/>
      <c r="DLT996" s="124"/>
      <c r="DLU996" s="124"/>
      <c r="DLV996" s="124"/>
      <c r="DLW996" s="124"/>
      <c r="DLX996" s="124"/>
      <c r="DLY996" s="124"/>
      <c r="DLZ996" s="124"/>
      <c r="DMA996" s="124"/>
      <c r="DMB996" s="124"/>
      <c r="DMC996" s="124"/>
      <c r="DMD996" s="124"/>
      <c r="DME996" s="124"/>
      <c r="DMF996" s="124"/>
      <c r="DMG996" s="124"/>
      <c r="DMH996" s="124"/>
      <c r="DMI996" s="124"/>
      <c r="DMJ996" s="124"/>
      <c r="DMK996" s="124"/>
      <c r="DML996" s="124"/>
      <c r="DMM996" s="124"/>
      <c r="DMN996" s="124"/>
      <c r="DMO996" s="124"/>
      <c r="DMP996" s="124"/>
      <c r="DMQ996" s="124"/>
      <c r="DMR996" s="124"/>
      <c r="DMS996" s="124"/>
      <c r="DMT996" s="124"/>
      <c r="DMU996" s="124"/>
      <c r="DMV996" s="124"/>
      <c r="DMW996" s="124"/>
      <c r="DMX996" s="124"/>
      <c r="DMY996" s="124"/>
      <c r="DMZ996" s="124"/>
      <c r="DNA996" s="124"/>
      <c r="DNB996" s="124"/>
      <c r="DNC996" s="124"/>
      <c r="DND996" s="124"/>
      <c r="DNE996" s="124"/>
      <c r="DNF996" s="124"/>
      <c r="DNG996" s="124"/>
      <c r="DNH996" s="124"/>
      <c r="DNI996" s="124"/>
      <c r="DNJ996" s="124"/>
      <c r="DNK996" s="124"/>
      <c r="DNL996" s="124"/>
      <c r="DNM996" s="124"/>
      <c r="DNN996" s="124"/>
      <c r="DNO996" s="124"/>
      <c r="DNP996" s="124"/>
      <c r="DNQ996" s="124"/>
      <c r="DNR996" s="124"/>
      <c r="DNS996" s="124"/>
      <c r="DNT996" s="124"/>
      <c r="DNU996" s="124"/>
      <c r="DNV996" s="124"/>
      <c r="DNW996" s="124"/>
      <c r="DNX996" s="124"/>
      <c r="DNY996" s="124"/>
      <c r="DNZ996" s="124"/>
      <c r="DOA996" s="124"/>
      <c r="DOB996" s="124"/>
      <c r="DOC996" s="124"/>
      <c r="DOD996" s="124"/>
      <c r="DOE996" s="124"/>
      <c r="DOF996" s="124"/>
      <c r="DOG996" s="124"/>
      <c r="DOH996" s="124"/>
      <c r="DOI996" s="124"/>
      <c r="DOJ996" s="124"/>
      <c r="DOK996" s="124"/>
      <c r="DOL996" s="124"/>
      <c r="DOM996" s="124"/>
      <c r="DON996" s="124"/>
      <c r="DOO996" s="124"/>
      <c r="DOP996" s="124"/>
      <c r="DOQ996" s="124"/>
      <c r="DOR996" s="124"/>
      <c r="DOS996" s="124"/>
      <c r="DOT996" s="124"/>
      <c r="DOU996" s="124"/>
      <c r="DOV996" s="124"/>
      <c r="DOW996" s="124"/>
      <c r="DOX996" s="124"/>
      <c r="DOY996" s="124"/>
      <c r="DOZ996" s="124"/>
      <c r="DPA996" s="124"/>
      <c r="DPB996" s="124"/>
      <c r="DPC996" s="124"/>
      <c r="DPD996" s="124"/>
      <c r="DPE996" s="124"/>
      <c r="DPF996" s="124"/>
      <c r="DPG996" s="124"/>
      <c r="DPH996" s="124"/>
      <c r="DPI996" s="124"/>
      <c r="DPJ996" s="124"/>
      <c r="DPK996" s="124"/>
      <c r="DPL996" s="124"/>
      <c r="DPM996" s="124"/>
      <c r="DPN996" s="124"/>
      <c r="DPO996" s="124"/>
      <c r="DPP996" s="124"/>
      <c r="DPQ996" s="124"/>
      <c r="DPR996" s="124"/>
      <c r="DPS996" s="124"/>
      <c r="DPT996" s="124"/>
      <c r="DPU996" s="124"/>
      <c r="DPV996" s="124"/>
      <c r="DPW996" s="124"/>
      <c r="DPX996" s="124"/>
      <c r="DPY996" s="124"/>
      <c r="DPZ996" s="124"/>
      <c r="DQA996" s="124"/>
      <c r="DQB996" s="124"/>
      <c r="DQC996" s="124"/>
      <c r="DQD996" s="124"/>
      <c r="DQE996" s="124"/>
      <c r="DQF996" s="124"/>
      <c r="DQG996" s="124"/>
      <c r="DQH996" s="124"/>
      <c r="DQI996" s="124"/>
      <c r="DQJ996" s="124"/>
      <c r="DQK996" s="124"/>
      <c r="DQL996" s="124"/>
      <c r="DQM996" s="124"/>
      <c r="DQN996" s="124"/>
      <c r="DQO996" s="124"/>
      <c r="DQP996" s="124"/>
      <c r="DQQ996" s="124"/>
      <c r="DQR996" s="124"/>
      <c r="DQS996" s="124"/>
      <c r="DQT996" s="124"/>
      <c r="DQU996" s="124"/>
      <c r="DQV996" s="124"/>
      <c r="DQW996" s="124"/>
      <c r="DQX996" s="124"/>
      <c r="DQY996" s="124"/>
      <c r="DQZ996" s="124"/>
      <c r="DRA996" s="124"/>
      <c r="DRB996" s="124"/>
      <c r="DRC996" s="124"/>
      <c r="DRD996" s="124"/>
      <c r="DRE996" s="124"/>
      <c r="DRF996" s="124"/>
      <c r="DRG996" s="124"/>
      <c r="DRH996" s="124"/>
      <c r="DRI996" s="124"/>
      <c r="DRJ996" s="124"/>
      <c r="DRK996" s="124"/>
      <c r="DRL996" s="124"/>
      <c r="DRM996" s="124"/>
      <c r="DRN996" s="124"/>
      <c r="DRO996" s="124"/>
      <c r="DRP996" s="124"/>
      <c r="DRQ996" s="124"/>
      <c r="DRR996" s="124"/>
      <c r="DRS996" s="124"/>
      <c r="DRT996" s="124"/>
      <c r="DRU996" s="124"/>
      <c r="DRV996" s="124"/>
      <c r="DRW996" s="124"/>
      <c r="DRX996" s="124"/>
      <c r="DRY996" s="124"/>
      <c r="DRZ996" s="124"/>
      <c r="DSA996" s="124"/>
      <c r="DSB996" s="124"/>
      <c r="DSC996" s="124"/>
      <c r="DSD996" s="124"/>
      <c r="DSE996" s="124"/>
      <c r="DSF996" s="124"/>
      <c r="DSG996" s="124"/>
      <c r="DSH996" s="124"/>
      <c r="DSI996" s="124"/>
      <c r="DSJ996" s="124"/>
      <c r="DSK996" s="124"/>
      <c r="DSL996" s="124"/>
      <c r="DSM996" s="124"/>
      <c r="DSN996" s="124"/>
      <c r="DSO996" s="124"/>
      <c r="DSP996" s="124"/>
      <c r="DSQ996" s="124"/>
      <c r="DSR996" s="124"/>
      <c r="DSS996" s="124"/>
      <c r="DST996" s="124"/>
      <c r="DSU996" s="124"/>
      <c r="DSV996" s="124"/>
      <c r="DSW996" s="124"/>
      <c r="DSX996" s="124"/>
      <c r="DSY996" s="124"/>
      <c r="DSZ996" s="124"/>
      <c r="DTA996" s="124"/>
      <c r="DTB996" s="124"/>
      <c r="DTC996" s="124"/>
      <c r="DTD996" s="124"/>
      <c r="DTE996" s="124"/>
      <c r="DTF996" s="124"/>
      <c r="DTG996" s="124"/>
      <c r="DTH996" s="124"/>
      <c r="DTI996" s="124"/>
      <c r="DTJ996" s="124"/>
      <c r="DTK996" s="124"/>
      <c r="DTL996" s="124"/>
      <c r="DTM996" s="124"/>
      <c r="DTN996" s="124"/>
      <c r="DTO996" s="124"/>
      <c r="DTP996" s="124"/>
      <c r="DTQ996" s="124"/>
      <c r="DTR996" s="124"/>
      <c r="DTS996" s="124"/>
      <c r="DTT996" s="124"/>
      <c r="DTU996" s="124"/>
      <c r="DTV996" s="124"/>
      <c r="DTW996" s="124"/>
      <c r="DTX996" s="124"/>
      <c r="DTY996" s="124"/>
      <c r="DTZ996" s="124"/>
      <c r="DUA996" s="124"/>
      <c r="DUB996" s="124"/>
      <c r="DUC996" s="124"/>
      <c r="DUD996" s="124"/>
      <c r="DUE996" s="124"/>
      <c r="DUF996" s="124"/>
      <c r="DUG996" s="124"/>
      <c r="DUH996" s="124"/>
      <c r="DUI996" s="124"/>
      <c r="DUJ996" s="124"/>
      <c r="DUK996" s="124"/>
      <c r="DUL996" s="124"/>
      <c r="DUM996" s="124"/>
      <c r="DUN996" s="124"/>
      <c r="DUO996" s="124"/>
      <c r="DUP996" s="124"/>
      <c r="DUQ996" s="124"/>
      <c r="DUR996" s="124"/>
      <c r="DUS996" s="124"/>
      <c r="DUT996" s="124"/>
      <c r="DUU996" s="124"/>
      <c r="DUV996" s="124"/>
      <c r="DUW996" s="124"/>
      <c r="DUX996" s="124"/>
      <c r="DUY996" s="124"/>
      <c r="DUZ996" s="124"/>
      <c r="DVA996" s="124"/>
      <c r="DVB996" s="124"/>
      <c r="DVC996" s="124"/>
      <c r="DVD996" s="124"/>
      <c r="DVE996" s="124"/>
      <c r="DVF996" s="124"/>
      <c r="DVG996" s="124"/>
      <c r="DVH996" s="124"/>
      <c r="DVI996" s="124"/>
      <c r="DVJ996" s="124"/>
      <c r="DVK996" s="124"/>
      <c r="DVL996" s="124"/>
      <c r="DVM996" s="124"/>
      <c r="DVN996" s="124"/>
      <c r="DVO996" s="124"/>
      <c r="DVP996" s="124"/>
      <c r="DVQ996" s="124"/>
      <c r="DVR996" s="124"/>
      <c r="DVS996" s="124"/>
      <c r="DVT996" s="124"/>
      <c r="DVU996" s="124"/>
      <c r="DVV996" s="124"/>
      <c r="DVW996" s="124"/>
      <c r="DVX996" s="124"/>
      <c r="DVY996" s="124"/>
      <c r="DVZ996" s="124"/>
      <c r="DWA996" s="124"/>
      <c r="DWB996" s="124"/>
      <c r="DWC996" s="124"/>
      <c r="DWD996" s="124"/>
      <c r="DWE996" s="124"/>
      <c r="DWF996" s="124"/>
      <c r="DWG996" s="124"/>
      <c r="DWH996" s="124"/>
      <c r="DWI996" s="124"/>
      <c r="DWJ996" s="124"/>
      <c r="DWK996" s="124"/>
      <c r="DWL996" s="124"/>
      <c r="DWM996" s="124"/>
      <c r="DWN996" s="124"/>
      <c r="DWO996" s="124"/>
      <c r="DWP996" s="124"/>
      <c r="DWQ996" s="124"/>
      <c r="DWR996" s="124"/>
      <c r="DWS996" s="124"/>
      <c r="DWT996" s="124"/>
      <c r="DWU996" s="124"/>
      <c r="DWV996" s="124"/>
      <c r="DWW996" s="124"/>
      <c r="DWX996" s="124"/>
      <c r="DWY996" s="124"/>
      <c r="DWZ996" s="124"/>
      <c r="DXA996" s="124"/>
      <c r="DXB996" s="124"/>
      <c r="DXC996" s="124"/>
      <c r="DXD996" s="124"/>
      <c r="DXE996" s="124"/>
      <c r="DXF996" s="124"/>
      <c r="DXG996" s="124"/>
      <c r="DXH996" s="124"/>
      <c r="DXI996" s="124"/>
      <c r="DXJ996" s="124"/>
      <c r="DXK996" s="124"/>
      <c r="DXL996" s="124"/>
      <c r="DXM996" s="124"/>
      <c r="DXN996" s="124"/>
      <c r="DXO996" s="124"/>
      <c r="DXP996" s="124"/>
      <c r="DXQ996" s="124"/>
      <c r="DXR996" s="124"/>
      <c r="DXS996" s="124"/>
      <c r="DXT996" s="124"/>
      <c r="DXU996" s="124"/>
      <c r="DXV996" s="124"/>
      <c r="DXW996" s="124"/>
      <c r="DXX996" s="124"/>
      <c r="DXY996" s="124"/>
      <c r="DXZ996" s="124"/>
      <c r="DYA996" s="124"/>
      <c r="DYB996" s="124"/>
      <c r="DYC996" s="124"/>
      <c r="DYD996" s="124"/>
      <c r="DYE996" s="124"/>
      <c r="DYF996" s="124"/>
      <c r="DYG996" s="124"/>
      <c r="DYH996" s="124"/>
      <c r="DYI996" s="124"/>
      <c r="DYJ996" s="124"/>
      <c r="DYK996" s="124"/>
      <c r="DYL996" s="124"/>
      <c r="DYM996" s="124"/>
      <c r="DYN996" s="124"/>
      <c r="DYO996" s="124"/>
      <c r="DYP996" s="124"/>
      <c r="DYQ996" s="124"/>
      <c r="DYR996" s="124"/>
      <c r="DYS996" s="124"/>
      <c r="DYT996" s="124"/>
      <c r="DYU996" s="124"/>
      <c r="DYV996" s="124"/>
      <c r="DYW996" s="124"/>
      <c r="DYX996" s="124"/>
      <c r="DYY996" s="124"/>
      <c r="DYZ996" s="124"/>
      <c r="DZA996" s="124"/>
      <c r="DZB996" s="124"/>
      <c r="DZC996" s="124"/>
      <c r="DZD996" s="124"/>
      <c r="DZE996" s="124"/>
      <c r="DZF996" s="124"/>
      <c r="DZG996" s="124"/>
      <c r="DZH996" s="124"/>
      <c r="DZI996" s="124"/>
      <c r="DZJ996" s="124"/>
      <c r="DZK996" s="124"/>
      <c r="DZL996" s="124"/>
      <c r="DZM996" s="124"/>
      <c r="DZN996" s="124"/>
      <c r="DZO996" s="124"/>
      <c r="DZP996" s="124"/>
      <c r="DZQ996" s="124"/>
      <c r="DZR996" s="124"/>
      <c r="DZS996" s="124"/>
      <c r="DZT996" s="124"/>
      <c r="DZU996" s="124"/>
      <c r="DZV996" s="124"/>
      <c r="DZW996" s="124"/>
      <c r="DZX996" s="124"/>
      <c r="DZY996" s="124"/>
      <c r="DZZ996" s="124"/>
      <c r="EAA996" s="124"/>
      <c r="EAB996" s="124"/>
      <c r="EAC996" s="124"/>
      <c r="EAD996" s="124"/>
      <c r="EAE996" s="124"/>
      <c r="EAF996" s="124"/>
      <c r="EAG996" s="124"/>
      <c r="EAH996" s="124"/>
      <c r="EAI996" s="124"/>
      <c r="EAJ996" s="124"/>
      <c r="EAK996" s="124"/>
      <c r="EAL996" s="124"/>
      <c r="EAM996" s="124"/>
      <c r="EAN996" s="124"/>
      <c r="EAO996" s="124"/>
      <c r="EAP996" s="124"/>
      <c r="EAQ996" s="124"/>
      <c r="EAR996" s="124"/>
      <c r="EAS996" s="124"/>
      <c r="EAT996" s="124"/>
      <c r="EAU996" s="124"/>
      <c r="EAV996" s="124"/>
      <c r="EAW996" s="124"/>
      <c r="EAX996" s="124"/>
      <c r="EAY996" s="124"/>
      <c r="EAZ996" s="124"/>
      <c r="EBA996" s="124"/>
      <c r="EBB996" s="124"/>
      <c r="EBC996" s="124"/>
      <c r="EBD996" s="124"/>
      <c r="EBE996" s="124"/>
      <c r="EBF996" s="124"/>
      <c r="EBG996" s="124"/>
      <c r="EBH996" s="124"/>
      <c r="EBI996" s="124"/>
      <c r="EBJ996" s="124"/>
      <c r="EBK996" s="124"/>
      <c r="EBL996" s="124"/>
      <c r="EBM996" s="124"/>
      <c r="EBN996" s="124"/>
      <c r="EBO996" s="124"/>
      <c r="EBP996" s="124"/>
      <c r="EBQ996" s="124"/>
      <c r="EBR996" s="124"/>
      <c r="EBS996" s="124"/>
      <c r="EBT996" s="124"/>
      <c r="EBU996" s="124"/>
      <c r="EBV996" s="124"/>
      <c r="EBW996" s="124"/>
      <c r="EBX996" s="124"/>
      <c r="EBY996" s="124"/>
      <c r="EBZ996" s="124"/>
      <c r="ECA996" s="124"/>
      <c r="ECB996" s="124"/>
      <c r="ECC996" s="124"/>
      <c r="ECD996" s="124"/>
      <c r="ECE996" s="124"/>
      <c r="ECF996" s="124"/>
      <c r="ECG996" s="124"/>
      <c r="ECH996" s="124"/>
      <c r="ECI996" s="124"/>
      <c r="ECJ996" s="124"/>
      <c r="ECK996" s="124"/>
      <c r="ECL996" s="124"/>
      <c r="ECM996" s="124"/>
      <c r="ECN996" s="124"/>
      <c r="ECO996" s="124"/>
      <c r="ECP996" s="124"/>
      <c r="ECQ996" s="124"/>
      <c r="ECR996" s="124"/>
      <c r="ECS996" s="124"/>
      <c r="ECT996" s="124"/>
      <c r="ECU996" s="124"/>
      <c r="ECV996" s="124"/>
      <c r="ECW996" s="124"/>
      <c r="ECX996" s="124"/>
      <c r="ECY996" s="124"/>
      <c r="ECZ996" s="124"/>
      <c r="EDA996" s="124"/>
      <c r="EDB996" s="124"/>
      <c r="EDC996" s="124"/>
      <c r="EDD996" s="124"/>
      <c r="EDE996" s="124"/>
      <c r="EDF996" s="124"/>
      <c r="EDG996" s="124"/>
      <c r="EDH996" s="124"/>
      <c r="EDI996" s="124"/>
      <c r="EDJ996" s="124"/>
      <c r="EDK996" s="124"/>
      <c r="EDL996" s="124"/>
      <c r="EDM996" s="124"/>
      <c r="EDN996" s="124"/>
      <c r="EDO996" s="124"/>
      <c r="EDP996" s="124"/>
      <c r="EDQ996" s="124"/>
      <c r="EDR996" s="124"/>
      <c r="EDS996" s="124"/>
      <c r="EDT996" s="124"/>
      <c r="EDU996" s="124"/>
      <c r="EDV996" s="124"/>
      <c r="EDW996" s="124"/>
      <c r="EDX996" s="124"/>
      <c r="EDY996" s="124"/>
      <c r="EDZ996" s="124"/>
      <c r="EEA996" s="124"/>
      <c r="EEB996" s="124"/>
      <c r="EEC996" s="124"/>
      <c r="EED996" s="124"/>
      <c r="EEE996" s="124"/>
      <c r="EEF996" s="124"/>
      <c r="EEG996" s="124"/>
      <c r="EEH996" s="124"/>
      <c r="EEI996" s="124"/>
      <c r="EEJ996" s="124"/>
      <c r="EEK996" s="124"/>
      <c r="EEL996" s="124"/>
      <c r="EEM996" s="124"/>
      <c r="EEN996" s="124"/>
      <c r="EEO996" s="124"/>
      <c r="EEP996" s="124"/>
      <c r="EEQ996" s="124"/>
      <c r="EER996" s="124"/>
      <c r="EES996" s="124"/>
      <c r="EET996" s="124"/>
      <c r="EEU996" s="124"/>
      <c r="EEV996" s="124"/>
      <c r="EEW996" s="124"/>
      <c r="EEX996" s="124"/>
      <c r="EEY996" s="124"/>
      <c r="EEZ996" s="124"/>
      <c r="EFA996" s="124"/>
      <c r="EFB996" s="124"/>
      <c r="EFC996" s="124"/>
      <c r="EFD996" s="124"/>
      <c r="EFE996" s="124"/>
      <c r="EFF996" s="124"/>
      <c r="EFG996" s="124"/>
      <c r="EFH996" s="124"/>
      <c r="EFI996" s="124"/>
      <c r="EFJ996" s="124"/>
      <c r="EFK996" s="124"/>
      <c r="EFL996" s="124"/>
      <c r="EFM996" s="124"/>
      <c r="EFN996" s="124"/>
      <c r="EFO996" s="124"/>
      <c r="EFP996" s="124"/>
      <c r="EFQ996" s="124"/>
      <c r="EFR996" s="124"/>
      <c r="EFS996" s="124"/>
      <c r="EFT996" s="124"/>
      <c r="EFU996" s="124"/>
      <c r="EFV996" s="124"/>
      <c r="EFW996" s="124"/>
      <c r="EFX996" s="124"/>
      <c r="EFY996" s="124"/>
      <c r="EFZ996" s="124"/>
      <c r="EGA996" s="124"/>
      <c r="EGB996" s="124"/>
      <c r="EGC996" s="124"/>
      <c r="EGD996" s="124"/>
      <c r="EGE996" s="124"/>
      <c r="EGF996" s="124"/>
      <c r="EGG996" s="124"/>
      <c r="EGH996" s="124"/>
      <c r="EGI996" s="124"/>
      <c r="EGJ996" s="124"/>
      <c r="EGK996" s="124"/>
      <c r="EGL996" s="124"/>
      <c r="EGM996" s="124"/>
      <c r="EGN996" s="124"/>
      <c r="EGO996" s="124"/>
      <c r="EGP996" s="124"/>
      <c r="EGQ996" s="124"/>
      <c r="EGR996" s="124"/>
      <c r="EGS996" s="124"/>
      <c r="EGT996" s="124"/>
      <c r="EGU996" s="124"/>
      <c r="EGV996" s="124"/>
      <c r="EGW996" s="124"/>
      <c r="EGX996" s="124"/>
      <c r="EGY996" s="124"/>
      <c r="EGZ996" s="124"/>
      <c r="EHA996" s="124"/>
      <c r="EHB996" s="124"/>
      <c r="EHC996" s="124"/>
      <c r="EHD996" s="124"/>
      <c r="EHE996" s="124"/>
      <c r="EHF996" s="124"/>
      <c r="EHG996" s="124"/>
      <c r="EHH996" s="124"/>
      <c r="EHI996" s="124"/>
      <c r="EHJ996" s="124"/>
      <c r="EHK996" s="124"/>
      <c r="EHL996" s="124"/>
      <c r="EHM996" s="124"/>
      <c r="EHN996" s="124"/>
      <c r="EHO996" s="124"/>
      <c r="EHP996" s="124"/>
      <c r="EHQ996" s="124"/>
      <c r="EHR996" s="124"/>
      <c r="EHS996" s="124"/>
      <c r="EHT996" s="124"/>
      <c r="EHU996" s="124"/>
      <c r="EHV996" s="124"/>
      <c r="EHW996" s="124"/>
      <c r="EHX996" s="124"/>
      <c r="EHY996" s="124"/>
      <c r="EHZ996" s="124"/>
      <c r="EIA996" s="124"/>
      <c r="EIB996" s="124"/>
      <c r="EIC996" s="124"/>
      <c r="EID996" s="124"/>
      <c r="EIE996" s="124"/>
      <c r="EIF996" s="124"/>
      <c r="EIG996" s="124"/>
      <c r="EIH996" s="124"/>
      <c r="EII996" s="124"/>
      <c r="EIJ996" s="124"/>
      <c r="EIK996" s="124"/>
      <c r="EIL996" s="124"/>
      <c r="EIM996" s="124"/>
      <c r="EIN996" s="124"/>
      <c r="EIO996" s="124"/>
      <c r="EIP996" s="124"/>
      <c r="EIQ996" s="124"/>
      <c r="EIR996" s="124"/>
      <c r="EIS996" s="124"/>
      <c r="EIT996" s="124"/>
      <c r="EIU996" s="124"/>
      <c r="EIV996" s="124"/>
      <c r="EIW996" s="124"/>
      <c r="EIX996" s="124"/>
      <c r="EIY996" s="124"/>
      <c r="EIZ996" s="124"/>
      <c r="EJA996" s="124"/>
      <c r="EJB996" s="124"/>
      <c r="EJC996" s="124"/>
      <c r="EJD996" s="124"/>
      <c r="EJE996" s="124"/>
      <c r="EJF996" s="124"/>
      <c r="EJG996" s="124"/>
      <c r="EJH996" s="124"/>
      <c r="EJI996" s="124"/>
      <c r="EJJ996" s="124"/>
      <c r="EJK996" s="124"/>
      <c r="EJL996" s="124"/>
      <c r="EJM996" s="124"/>
      <c r="EJN996" s="124"/>
      <c r="EJO996" s="124"/>
      <c r="EJP996" s="124"/>
      <c r="EJQ996" s="124"/>
      <c r="EJR996" s="124"/>
      <c r="EJS996" s="124"/>
      <c r="EJT996" s="124"/>
      <c r="EJU996" s="124"/>
      <c r="EJV996" s="124"/>
      <c r="EJW996" s="124"/>
      <c r="EJX996" s="124"/>
      <c r="EJY996" s="124"/>
      <c r="EJZ996" s="124"/>
      <c r="EKA996" s="124"/>
      <c r="EKB996" s="124"/>
      <c r="EKC996" s="124"/>
      <c r="EKD996" s="124"/>
      <c r="EKE996" s="124"/>
      <c r="EKF996" s="124"/>
      <c r="EKG996" s="124"/>
      <c r="EKH996" s="124"/>
      <c r="EKI996" s="124"/>
      <c r="EKJ996" s="124"/>
      <c r="EKK996" s="124"/>
      <c r="EKL996" s="124"/>
      <c r="EKM996" s="124"/>
      <c r="EKN996" s="124"/>
      <c r="EKO996" s="124"/>
      <c r="EKP996" s="124"/>
      <c r="EKQ996" s="124"/>
      <c r="EKR996" s="124"/>
      <c r="EKS996" s="124"/>
      <c r="EKT996" s="124"/>
      <c r="EKU996" s="124"/>
      <c r="EKV996" s="124"/>
      <c r="EKW996" s="124"/>
      <c r="EKX996" s="124"/>
      <c r="EKY996" s="124"/>
      <c r="EKZ996" s="124"/>
      <c r="ELA996" s="124"/>
      <c r="ELB996" s="124"/>
      <c r="ELC996" s="124"/>
      <c r="ELD996" s="124"/>
      <c r="ELE996" s="124"/>
      <c r="ELF996" s="124"/>
      <c r="ELG996" s="124"/>
      <c r="ELH996" s="124"/>
      <c r="ELI996" s="124"/>
      <c r="ELJ996" s="124"/>
      <c r="ELK996" s="124"/>
      <c r="ELL996" s="124"/>
      <c r="ELM996" s="124"/>
      <c r="ELN996" s="124"/>
      <c r="ELO996" s="124"/>
      <c r="ELP996" s="124"/>
      <c r="ELQ996" s="124"/>
      <c r="ELR996" s="124"/>
      <c r="ELS996" s="124"/>
      <c r="ELT996" s="124"/>
      <c r="ELU996" s="124"/>
      <c r="ELV996" s="124"/>
      <c r="ELW996" s="124"/>
      <c r="ELX996" s="124"/>
      <c r="ELY996" s="124"/>
      <c r="ELZ996" s="124"/>
      <c r="EMA996" s="124"/>
      <c r="EMB996" s="124"/>
      <c r="EMC996" s="124"/>
      <c r="EMD996" s="124"/>
      <c r="EME996" s="124"/>
      <c r="EMF996" s="124"/>
      <c r="EMG996" s="124"/>
      <c r="EMH996" s="124"/>
      <c r="EMI996" s="124"/>
      <c r="EMJ996" s="124"/>
      <c r="EMK996" s="124"/>
      <c r="EML996" s="124"/>
      <c r="EMM996" s="124"/>
      <c r="EMN996" s="124"/>
      <c r="EMO996" s="124"/>
      <c r="EMP996" s="124"/>
      <c r="EMQ996" s="124"/>
      <c r="EMR996" s="124"/>
      <c r="EMS996" s="124"/>
      <c r="EMT996" s="124"/>
      <c r="EMU996" s="124"/>
      <c r="EMV996" s="124"/>
      <c r="EMW996" s="124"/>
      <c r="EMX996" s="124"/>
      <c r="EMY996" s="124"/>
      <c r="EMZ996" s="124"/>
      <c r="ENA996" s="124"/>
      <c r="ENB996" s="124"/>
      <c r="ENC996" s="124"/>
      <c r="END996" s="124"/>
      <c r="ENE996" s="124"/>
      <c r="ENF996" s="124"/>
      <c r="ENG996" s="124"/>
      <c r="ENH996" s="124"/>
      <c r="ENI996" s="124"/>
      <c r="ENJ996" s="124"/>
      <c r="ENK996" s="124"/>
      <c r="ENL996" s="124"/>
      <c r="ENM996" s="124"/>
      <c r="ENN996" s="124"/>
      <c r="ENO996" s="124"/>
      <c r="ENP996" s="124"/>
      <c r="ENQ996" s="124"/>
      <c r="ENR996" s="124"/>
      <c r="ENS996" s="124"/>
      <c r="ENT996" s="124"/>
      <c r="ENU996" s="124"/>
      <c r="ENV996" s="124"/>
      <c r="ENW996" s="124"/>
      <c r="ENX996" s="124"/>
      <c r="ENY996" s="124"/>
      <c r="ENZ996" s="124"/>
      <c r="EOA996" s="124"/>
      <c r="EOB996" s="124"/>
      <c r="EOC996" s="124"/>
      <c r="EOD996" s="124"/>
      <c r="EOE996" s="124"/>
      <c r="EOF996" s="124"/>
      <c r="EOG996" s="124"/>
      <c r="EOH996" s="124"/>
      <c r="EOI996" s="124"/>
      <c r="EOJ996" s="124"/>
      <c r="EOK996" s="124"/>
      <c r="EOL996" s="124"/>
      <c r="EOM996" s="124"/>
      <c r="EON996" s="124"/>
      <c r="EOO996" s="124"/>
      <c r="EOP996" s="124"/>
      <c r="EOQ996" s="124"/>
      <c r="EOR996" s="124"/>
      <c r="EOS996" s="124"/>
      <c r="EOT996" s="124"/>
      <c r="EOU996" s="124"/>
      <c r="EOV996" s="124"/>
      <c r="EOW996" s="124"/>
      <c r="EOX996" s="124"/>
      <c r="EOY996" s="124"/>
      <c r="EOZ996" s="124"/>
      <c r="EPA996" s="124"/>
      <c r="EPB996" s="124"/>
      <c r="EPC996" s="124"/>
      <c r="EPD996" s="124"/>
      <c r="EPE996" s="124"/>
      <c r="EPF996" s="124"/>
      <c r="EPG996" s="124"/>
      <c r="EPH996" s="124"/>
      <c r="EPI996" s="124"/>
      <c r="EPJ996" s="124"/>
      <c r="EPK996" s="124"/>
      <c r="EPL996" s="124"/>
      <c r="EPM996" s="124"/>
      <c r="EPN996" s="124"/>
      <c r="EPO996" s="124"/>
      <c r="EPP996" s="124"/>
      <c r="EPQ996" s="124"/>
      <c r="EPR996" s="124"/>
      <c r="EPS996" s="124"/>
      <c r="EPT996" s="124"/>
      <c r="EPU996" s="124"/>
      <c r="EPV996" s="124"/>
      <c r="EPW996" s="124"/>
      <c r="EPX996" s="124"/>
      <c r="EPY996" s="124"/>
      <c r="EPZ996" s="124"/>
      <c r="EQA996" s="124"/>
      <c r="EQB996" s="124"/>
      <c r="EQC996" s="124"/>
      <c r="EQD996" s="124"/>
      <c r="EQE996" s="124"/>
      <c r="EQF996" s="124"/>
      <c r="EQG996" s="124"/>
      <c r="EQH996" s="124"/>
      <c r="EQI996" s="124"/>
      <c r="EQJ996" s="124"/>
      <c r="EQK996" s="124"/>
      <c r="EQL996" s="124"/>
      <c r="EQM996" s="124"/>
      <c r="EQN996" s="124"/>
      <c r="EQO996" s="124"/>
      <c r="EQP996" s="124"/>
      <c r="EQQ996" s="124"/>
      <c r="EQR996" s="124"/>
      <c r="EQS996" s="124"/>
      <c r="EQT996" s="124"/>
      <c r="EQU996" s="124"/>
      <c r="EQV996" s="124"/>
      <c r="EQW996" s="124"/>
      <c r="EQX996" s="124"/>
      <c r="EQY996" s="124"/>
      <c r="EQZ996" s="124"/>
      <c r="ERA996" s="124"/>
      <c r="ERB996" s="124"/>
      <c r="ERC996" s="124"/>
      <c r="ERD996" s="124"/>
      <c r="ERE996" s="124"/>
      <c r="ERF996" s="124"/>
      <c r="ERG996" s="124"/>
      <c r="ERH996" s="124"/>
      <c r="ERI996" s="124"/>
      <c r="ERJ996" s="124"/>
      <c r="ERK996" s="124"/>
      <c r="ERL996" s="124"/>
      <c r="ERM996" s="124"/>
      <c r="ERN996" s="124"/>
      <c r="ERO996" s="124"/>
      <c r="ERP996" s="124"/>
      <c r="ERQ996" s="124"/>
      <c r="ERR996" s="124"/>
      <c r="ERS996" s="124"/>
      <c r="ERT996" s="124"/>
      <c r="ERU996" s="124"/>
      <c r="ERV996" s="124"/>
      <c r="ERW996" s="124"/>
      <c r="ERX996" s="124"/>
      <c r="ERY996" s="124"/>
      <c r="ERZ996" s="124"/>
      <c r="ESA996" s="124"/>
      <c r="ESB996" s="124"/>
      <c r="ESC996" s="124"/>
      <c r="ESD996" s="124"/>
      <c r="ESE996" s="124"/>
      <c r="ESF996" s="124"/>
      <c r="ESG996" s="124"/>
      <c r="ESH996" s="124"/>
      <c r="ESI996" s="124"/>
      <c r="ESJ996" s="124"/>
      <c r="ESK996" s="124"/>
      <c r="ESL996" s="124"/>
      <c r="ESM996" s="124"/>
      <c r="ESN996" s="124"/>
      <c r="ESO996" s="124"/>
      <c r="ESP996" s="124"/>
      <c r="ESQ996" s="124"/>
      <c r="ESR996" s="124"/>
      <c r="ESS996" s="124"/>
      <c r="EST996" s="124"/>
      <c r="ESU996" s="124"/>
      <c r="ESV996" s="124"/>
      <c r="ESW996" s="124"/>
      <c r="ESX996" s="124"/>
      <c r="ESY996" s="124"/>
      <c r="ESZ996" s="124"/>
      <c r="ETA996" s="124"/>
      <c r="ETB996" s="124"/>
      <c r="ETC996" s="124"/>
      <c r="ETD996" s="124"/>
      <c r="ETE996" s="124"/>
      <c r="ETF996" s="124"/>
      <c r="ETG996" s="124"/>
      <c r="ETH996" s="124"/>
      <c r="ETI996" s="124"/>
      <c r="ETJ996" s="124"/>
      <c r="ETK996" s="124"/>
      <c r="ETL996" s="124"/>
      <c r="ETM996" s="124"/>
      <c r="ETN996" s="124"/>
      <c r="ETO996" s="124"/>
      <c r="ETP996" s="124"/>
      <c r="ETQ996" s="124"/>
      <c r="ETR996" s="124"/>
      <c r="ETS996" s="124"/>
      <c r="ETT996" s="124"/>
      <c r="ETU996" s="124"/>
      <c r="ETV996" s="124"/>
      <c r="ETW996" s="124"/>
      <c r="ETX996" s="124"/>
      <c r="ETY996" s="124"/>
      <c r="ETZ996" s="124"/>
      <c r="EUA996" s="124"/>
      <c r="EUB996" s="124"/>
      <c r="EUC996" s="124"/>
      <c r="EUD996" s="124"/>
      <c r="EUE996" s="124"/>
      <c r="EUF996" s="124"/>
      <c r="EUG996" s="124"/>
      <c r="EUH996" s="124"/>
      <c r="EUI996" s="124"/>
      <c r="EUJ996" s="124"/>
      <c r="EUK996" s="124"/>
      <c r="EUL996" s="124"/>
      <c r="EUM996" s="124"/>
      <c r="EUN996" s="124"/>
      <c r="EUO996" s="124"/>
      <c r="EUP996" s="124"/>
      <c r="EUQ996" s="124"/>
      <c r="EUR996" s="124"/>
      <c r="EUS996" s="124"/>
      <c r="EUT996" s="124"/>
      <c r="EUU996" s="124"/>
      <c r="EUV996" s="124"/>
      <c r="EUW996" s="124"/>
      <c r="EUX996" s="124"/>
      <c r="EUY996" s="124"/>
      <c r="EUZ996" s="124"/>
      <c r="EVA996" s="124"/>
      <c r="EVB996" s="124"/>
      <c r="EVC996" s="124"/>
      <c r="EVD996" s="124"/>
      <c r="EVE996" s="124"/>
      <c r="EVF996" s="124"/>
      <c r="EVG996" s="124"/>
      <c r="EVH996" s="124"/>
      <c r="EVI996" s="124"/>
      <c r="EVJ996" s="124"/>
      <c r="EVK996" s="124"/>
      <c r="EVL996" s="124"/>
      <c r="EVM996" s="124"/>
      <c r="EVN996" s="124"/>
      <c r="EVO996" s="124"/>
      <c r="EVP996" s="124"/>
      <c r="EVQ996" s="124"/>
      <c r="EVR996" s="124"/>
      <c r="EVS996" s="124"/>
      <c r="EVT996" s="124"/>
      <c r="EVU996" s="124"/>
      <c r="EVV996" s="124"/>
      <c r="EVW996" s="124"/>
      <c r="EVX996" s="124"/>
      <c r="EVY996" s="124"/>
      <c r="EVZ996" s="124"/>
      <c r="EWA996" s="124"/>
      <c r="EWB996" s="124"/>
      <c r="EWC996" s="124"/>
      <c r="EWD996" s="124"/>
      <c r="EWE996" s="124"/>
      <c r="EWF996" s="124"/>
      <c r="EWG996" s="124"/>
      <c r="EWH996" s="124"/>
      <c r="EWI996" s="124"/>
      <c r="EWJ996" s="124"/>
      <c r="EWK996" s="124"/>
      <c r="EWL996" s="124"/>
      <c r="EWM996" s="124"/>
      <c r="EWN996" s="124"/>
      <c r="EWO996" s="124"/>
      <c r="EWP996" s="124"/>
      <c r="EWQ996" s="124"/>
      <c r="EWR996" s="124"/>
      <c r="EWS996" s="124"/>
      <c r="EWT996" s="124"/>
      <c r="EWU996" s="124"/>
      <c r="EWV996" s="124"/>
      <c r="EWW996" s="124"/>
      <c r="EWX996" s="124"/>
      <c r="EWY996" s="124"/>
      <c r="EWZ996" s="124"/>
      <c r="EXA996" s="124"/>
      <c r="EXB996" s="124"/>
      <c r="EXC996" s="124"/>
      <c r="EXD996" s="124"/>
      <c r="EXE996" s="124"/>
      <c r="EXF996" s="124"/>
      <c r="EXG996" s="124"/>
      <c r="EXH996" s="124"/>
      <c r="EXI996" s="124"/>
      <c r="EXJ996" s="124"/>
      <c r="EXK996" s="124"/>
      <c r="EXL996" s="124"/>
      <c r="EXM996" s="124"/>
      <c r="EXN996" s="124"/>
      <c r="EXO996" s="124"/>
      <c r="EXP996" s="124"/>
      <c r="EXQ996" s="124"/>
      <c r="EXR996" s="124"/>
      <c r="EXS996" s="124"/>
      <c r="EXT996" s="124"/>
      <c r="EXU996" s="124"/>
      <c r="EXV996" s="124"/>
      <c r="EXW996" s="124"/>
      <c r="EXX996" s="124"/>
      <c r="EXY996" s="124"/>
      <c r="EXZ996" s="124"/>
      <c r="EYA996" s="124"/>
      <c r="EYB996" s="124"/>
      <c r="EYC996" s="124"/>
      <c r="EYD996" s="124"/>
      <c r="EYE996" s="124"/>
      <c r="EYF996" s="124"/>
      <c r="EYG996" s="124"/>
      <c r="EYH996" s="124"/>
      <c r="EYI996" s="124"/>
      <c r="EYJ996" s="124"/>
      <c r="EYK996" s="124"/>
      <c r="EYL996" s="124"/>
      <c r="EYM996" s="124"/>
      <c r="EYN996" s="124"/>
      <c r="EYO996" s="124"/>
      <c r="EYP996" s="124"/>
      <c r="EYQ996" s="124"/>
      <c r="EYR996" s="124"/>
      <c r="EYS996" s="124"/>
      <c r="EYT996" s="124"/>
      <c r="EYU996" s="124"/>
      <c r="EYV996" s="124"/>
      <c r="EYW996" s="124"/>
      <c r="EYX996" s="124"/>
      <c r="EYY996" s="124"/>
      <c r="EYZ996" s="124"/>
      <c r="EZA996" s="124"/>
      <c r="EZB996" s="124"/>
      <c r="EZC996" s="124"/>
      <c r="EZD996" s="124"/>
      <c r="EZE996" s="124"/>
      <c r="EZF996" s="124"/>
      <c r="EZG996" s="124"/>
      <c r="EZH996" s="124"/>
      <c r="EZI996" s="124"/>
      <c r="EZJ996" s="124"/>
      <c r="EZK996" s="124"/>
      <c r="EZL996" s="124"/>
      <c r="EZM996" s="124"/>
      <c r="EZN996" s="124"/>
      <c r="EZO996" s="124"/>
      <c r="EZP996" s="124"/>
      <c r="EZQ996" s="124"/>
      <c r="EZR996" s="124"/>
      <c r="EZS996" s="124"/>
      <c r="EZT996" s="124"/>
      <c r="EZU996" s="124"/>
      <c r="EZV996" s="124"/>
      <c r="EZW996" s="124"/>
      <c r="EZX996" s="124"/>
      <c r="EZY996" s="124"/>
      <c r="EZZ996" s="124"/>
      <c r="FAA996" s="124"/>
      <c r="FAB996" s="124"/>
      <c r="FAC996" s="124"/>
      <c r="FAD996" s="124"/>
      <c r="FAE996" s="124"/>
      <c r="FAF996" s="124"/>
      <c r="FAG996" s="124"/>
      <c r="FAH996" s="124"/>
      <c r="FAI996" s="124"/>
      <c r="FAJ996" s="124"/>
      <c r="FAK996" s="124"/>
      <c r="FAL996" s="124"/>
      <c r="FAM996" s="124"/>
      <c r="FAN996" s="124"/>
      <c r="FAO996" s="124"/>
      <c r="FAP996" s="124"/>
      <c r="FAQ996" s="124"/>
      <c r="FAR996" s="124"/>
      <c r="FAS996" s="124"/>
      <c r="FAT996" s="124"/>
      <c r="FAU996" s="124"/>
      <c r="FAV996" s="124"/>
      <c r="FAW996" s="124"/>
      <c r="FAX996" s="124"/>
      <c r="FAY996" s="124"/>
      <c r="FAZ996" s="124"/>
      <c r="FBA996" s="124"/>
      <c r="FBB996" s="124"/>
      <c r="FBC996" s="124"/>
      <c r="FBD996" s="124"/>
      <c r="FBE996" s="124"/>
      <c r="FBF996" s="124"/>
      <c r="FBG996" s="124"/>
      <c r="FBH996" s="124"/>
      <c r="FBI996" s="124"/>
      <c r="FBJ996" s="124"/>
      <c r="FBK996" s="124"/>
      <c r="FBL996" s="124"/>
      <c r="FBM996" s="124"/>
      <c r="FBN996" s="124"/>
      <c r="FBO996" s="124"/>
      <c r="FBP996" s="124"/>
      <c r="FBQ996" s="124"/>
      <c r="FBR996" s="124"/>
      <c r="FBS996" s="124"/>
      <c r="FBT996" s="124"/>
      <c r="FBU996" s="124"/>
      <c r="FBV996" s="124"/>
      <c r="FBW996" s="124"/>
      <c r="FBX996" s="124"/>
      <c r="FBY996" s="124"/>
      <c r="FBZ996" s="124"/>
      <c r="FCA996" s="124"/>
      <c r="FCB996" s="124"/>
      <c r="FCC996" s="124"/>
      <c r="FCD996" s="124"/>
      <c r="FCE996" s="124"/>
      <c r="FCF996" s="124"/>
      <c r="FCG996" s="124"/>
      <c r="FCH996" s="124"/>
      <c r="FCI996" s="124"/>
      <c r="FCJ996" s="124"/>
      <c r="FCK996" s="124"/>
      <c r="FCL996" s="124"/>
      <c r="FCM996" s="124"/>
      <c r="FCN996" s="124"/>
      <c r="FCO996" s="124"/>
      <c r="FCP996" s="124"/>
      <c r="FCQ996" s="124"/>
      <c r="FCR996" s="124"/>
      <c r="FCS996" s="124"/>
      <c r="FCT996" s="124"/>
      <c r="FCU996" s="124"/>
      <c r="FCV996" s="124"/>
      <c r="FCW996" s="124"/>
      <c r="FCX996" s="124"/>
      <c r="FCY996" s="124"/>
      <c r="FCZ996" s="124"/>
      <c r="FDA996" s="124"/>
      <c r="FDB996" s="124"/>
      <c r="FDC996" s="124"/>
      <c r="FDD996" s="124"/>
      <c r="FDE996" s="124"/>
      <c r="FDF996" s="124"/>
      <c r="FDG996" s="124"/>
      <c r="FDH996" s="124"/>
      <c r="FDI996" s="124"/>
      <c r="FDJ996" s="124"/>
      <c r="FDK996" s="124"/>
      <c r="FDL996" s="124"/>
      <c r="FDM996" s="124"/>
      <c r="FDN996" s="124"/>
      <c r="FDO996" s="124"/>
      <c r="FDP996" s="124"/>
      <c r="FDQ996" s="124"/>
      <c r="FDR996" s="124"/>
      <c r="FDS996" s="124"/>
      <c r="FDT996" s="124"/>
      <c r="FDU996" s="124"/>
      <c r="FDV996" s="124"/>
      <c r="FDW996" s="124"/>
      <c r="FDX996" s="124"/>
      <c r="FDY996" s="124"/>
      <c r="FDZ996" s="124"/>
      <c r="FEA996" s="124"/>
      <c r="FEB996" s="124"/>
      <c r="FEC996" s="124"/>
      <c r="FED996" s="124"/>
      <c r="FEE996" s="124"/>
      <c r="FEF996" s="124"/>
      <c r="FEG996" s="124"/>
      <c r="FEH996" s="124"/>
      <c r="FEI996" s="124"/>
      <c r="FEJ996" s="124"/>
      <c r="FEK996" s="124"/>
      <c r="FEL996" s="124"/>
      <c r="FEM996" s="124"/>
      <c r="FEN996" s="124"/>
      <c r="FEO996" s="124"/>
      <c r="FEP996" s="124"/>
      <c r="FEQ996" s="124"/>
      <c r="FER996" s="124"/>
      <c r="FES996" s="124"/>
      <c r="FET996" s="124"/>
      <c r="FEU996" s="124"/>
      <c r="FEV996" s="124"/>
      <c r="FEW996" s="124"/>
      <c r="FEX996" s="124"/>
      <c r="FEY996" s="124"/>
      <c r="FEZ996" s="124"/>
      <c r="FFA996" s="124"/>
      <c r="FFB996" s="124"/>
      <c r="FFC996" s="124"/>
      <c r="FFD996" s="124"/>
      <c r="FFE996" s="124"/>
      <c r="FFF996" s="124"/>
      <c r="FFG996" s="124"/>
      <c r="FFH996" s="124"/>
      <c r="FFI996" s="124"/>
      <c r="FFJ996" s="124"/>
      <c r="FFK996" s="124"/>
      <c r="FFL996" s="124"/>
      <c r="FFM996" s="124"/>
      <c r="FFN996" s="124"/>
      <c r="FFO996" s="124"/>
      <c r="FFP996" s="124"/>
      <c r="FFQ996" s="124"/>
      <c r="FFR996" s="124"/>
      <c r="FFS996" s="124"/>
      <c r="FFT996" s="124"/>
      <c r="FFU996" s="124"/>
      <c r="FFV996" s="124"/>
      <c r="FFW996" s="124"/>
      <c r="FFX996" s="124"/>
      <c r="FFY996" s="124"/>
      <c r="FFZ996" s="124"/>
      <c r="FGA996" s="124"/>
      <c r="FGB996" s="124"/>
      <c r="FGC996" s="124"/>
      <c r="FGD996" s="124"/>
      <c r="FGE996" s="124"/>
      <c r="FGF996" s="124"/>
      <c r="FGG996" s="124"/>
      <c r="FGH996" s="124"/>
      <c r="FGI996" s="124"/>
      <c r="FGJ996" s="124"/>
      <c r="FGK996" s="124"/>
      <c r="FGL996" s="124"/>
      <c r="FGM996" s="124"/>
      <c r="FGN996" s="124"/>
      <c r="FGO996" s="124"/>
      <c r="FGP996" s="124"/>
      <c r="FGQ996" s="124"/>
      <c r="FGR996" s="124"/>
      <c r="FGS996" s="124"/>
      <c r="FGT996" s="124"/>
      <c r="FGU996" s="124"/>
      <c r="FGV996" s="124"/>
      <c r="FGW996" s="124"/>
      <c r="FGX996" s="124"/>
      <c r="FGY996" s="124"/>
      <c r="FGZ996" s="124"/>
      <c r="FHA996" s="124"/>
      <c r="FHB996" s="124"/>
      <c r="FHC996" s="124"/>
      <c r="FHD996" s="124"/>
      <c r="FHE996" s="124"/>
      <c r="FHF996" s="124"/>
      <c r="FHG996" s="124"/>
      <c r="FHH996" s="124"/>
      <c r="FHI996" s="124"/>
      <c r="FHJ996" s="124"/>
      <c r="FHK996" s="124"/>
      <c r="FHL996" s="124"/>
      <c r="FHM996" s="124"/>
      <c r="FHN996" s="124"/>
      <c r="FHO996" s="124"/>
      <c r="FHP996" s="124"/>
      <c r="FHQ996" s="124"/>
      <c r="FHR996" s="124"/>
      <c r="FHS996" s="124"/>
      <c r="FHT996" s="124"/>
      <c r="FHU996" s="124"/>
      <c r="FHV996" s="124"/>
      <c r="FHW996" s="124"/>
      <c r="FHX996" s="124"/>
      <c r="FHY996" s="124"/>
      <c r="FHZ996" s="124"/>
      <c r="FIA996" s="124"/>
      <c r="FIB996" s="124"/>
      <c r="FIC996" s="124"/>
      <c r="FID996" s="124"/>
      <c r="FIE996" s="124"/>
      <c r="FIF996" s="124"/>
      <c r="FIG996" s="124"/>
      <c r="FIH996" s="124"/>
      <c r="FII996" s="124"/>
      <c r="FIJ996" s="124"/>
      <c r="FIK996" s="124"/>
      <c r="FIL996" s="124"/>
      <c r="FIM996" s="124"/>
      <c r="FIN996" s="124"/>
      <c r="FIO996" s="124"/>
      <c r="FIP996" s="124"/>
      <c r="FIQ996" s="124"/>
      <c r="FIR996" s="124"/>
      <c r="FIS996" s="124"/>
      <c r="FIT996" s="124"/>
      <c r="FIU996" s="124"/>
      <c r="FIV996" s="124"/>
      <c r="FIW996" s="124"/>
      <c r="FIX996" s="124"/>
      <c r="FIY996" s="124"/>
      <c r="FIZ996" s="124"/>
      <c r="FJA996" s="124"/>
      <c r="FJB996" s="124"/>
      <c r="FJC996" s="124"/>
      <c r="FJD996" s="124"/>
      <c r="FJE996" s="124"/>
      <c r="FJF996" s="124"/>
      <c r="FJG996" s="124"/>
      <c r="FJH996" s="124"/>
      <c r="FJI996" s="124"/>
      <c r="FJJ996" s="124"/>
      <c r="FJK996" s="124"/>
      <c r="FJL996" s="124"/>
      <c r="FJM996" s="124"/>
      <c r="FJN996" s="124"/>
      <c r="FJO996" s="124"/>
      <c r="FJP996" s="124"/>
      <c r="FJQ996" s="124"/>
      <c r="FJR996" s="124"/>
      <c r="FJS996" s="124"/>
      <c r="FJT996" s="124"/>
      <c r="FJU996" s="124"/>
      <c r="FJV996" s="124"/>
      <c r="FJW996" s="124"/>
      <c r="FJX996" s="124"/>
      <c r="FJY996" s="124"/>
      <c r="FJZ996" s="124"/>
      <c r="FKA996" s="124"/>
      <c r="FKB996" s="124"/>
      <c r="FKC996" s="124"/>
      <c r="FKD996" s="124"/>
      <c r="FKE996" s="124"/>
      <c r="FKF996" s="124"/>
      <c r="FKG996" s="124"/>
      <c r="FKH996" s="124"/>
      <c r="FKI996" s="124"/>
      <c r="FKJ996" s="124"/>
      <c r="FKK996" s="124"/>
      <c r="FKL996" s="124"/>
      <c r="FKM996" s="124"/>
      <c r="FKN996" s="124"/>
      <c r="FKO996" s="124"/>
      <c r="FKP996" s="124"/>
      <c r="FKQ996" s="124"/>
      <c r="FKR996" s="124"/>
      <c r="FKS996" s="124"/>
      <c r="FKT996" s="124"/>
      <c r="FKU996" s="124"/>
      <c r="FKV996" s="124"/>
      <c r="FKW996" s="124"/>
      <c r="FKX996" s="124"/>
      <c r="FKY996" s="124"/>
      <c r="FKZ996" s="124"/>
      <c r="FLA996" s="124"/>
      <c r="FLB996" s="124"/>
      <c r="FLC996" s="124"/>
      <c r="FLD996" s="124"/>
      <c r="FLE996" s="124"/>
      <c r="FLF996" s="124"/>
      <c r="FLG996" s="124"/>
      <c r="FLH996" s="124"/>
      <c r="FLI996" s="124"/>
      <c r="FLJ996" s="124"/>
      <c r="FLK996" s="124"/>
      <c r="FLL996" s="124"/>
      <c r="FLM996" s="124"/>
      <c r="FLN996" s="124"/>
      <c r="FLO996" s="124"/>
      <c r="FLP996" s="124"/>
      <c r="FLQ996" s="124"/>
      <c r="FLR996" s="124"/>
      <c r="FLS996" s="124"/>
      <c r="FLT996" s="124"/>
      <c r="FLU996" s="124"/>
      <c r="FLV996" s="124"/>
      <c r="FLW996" s="124"/>
      <c r="FLX996" s="124"/>
      <c r="FLY996" s="124"/>
      <c r="FLZ996" s="124"/>
      <c r="FMA996" s="124"/>
      <c r="FMB996" s="124"/>
      <c r="FMC996" s="124"/>
      <c r="FMD996" s="124"/>
      <c r="FME996" s="124"/>
      <c r="FMF996" s="124"/>
      <c r="FMG996" s="124"/>
      <c r="FMH996" s="124"/>
      <c r="FMI996" s="124"/>
      <c r="FMJ996" s="124"/>
      <c r="FMK996" s="124"/>
      <c r="FML996" s="124"/>
      <c r="FMM996" s="124"/>
      <c r="FMN996" s="124"/>
      <c r="FMO996" s="124"/>
      <c r="FMP996" s="124"/>
      <c r="FMQ996" s="124"/>
      <c r="FMR996" s="124"/>
      <c r="FMS996" s="124"/>
      <c r="FMT996" s="124"/>
      <c r="FMU996" s="124"/>
      <c r="FMV996" s="124"/>
      <c r="FMW996" s="124"/>
      <c r="FMX996" s="124"/>
      <c r="FMY996" s="124"/>
      <c r="FMZ996" s="124"/>
      <c r="FNA996" s="124"/>
      <c r="FNB996" s="124"/>
      <c r="FNC996" s="124"/>
      <c r="FND996" s="124"/>
      <c r="FNE996" s="124"/>
      <c r="FNF996" s="124"/>
      <c r="FNG996" s="124"/>
      <c r="FNH996" s="124"/>
      <c r="FNI996" s="124"/>
      <c r="FNJ996" s="124"/>
      <c r="FNK996" s="124"/>
      <c r="FNL996" s="124"/>
      <c r="FNM996" s="124"/>
      <c r="FNN996" s="124"/>
      <c r="FNO996" s="124"/>
      <c r="FNP996" s="124"/>
      <c r="FNQ996" s="124"/>
      <c r="FNR996" s="124"/>
      <c r="FNS996" s="124"/>
      <c r="FNT996" s="124"/>
      <c r="FNU996" s="124"/>
      <c r="FNV996" s="124"/>
      <c r="FNW996" s="124"/>
      <c r="FNX996" s="124"/>
      <c r="FNY996" s="124"/>
      <c r="FNZ996" s="124"/>
      <c r="FOA996" s="124"/>
      <c r="FOB996" s="124"/>
      <c r="FOC996" s="124"/>
      <c r="FOD996" s="124"/>
      <c r="FOE996" s="124"/>
      <c r="FOF996" s="124"/>
      <c r="FOG996" s="124"/>
      <c r="FOH996" s="124"/>
      <c r="FOI996" s="124"/>
      <c r="FOJ996" s="124"/>
      <c r="FOK996" s="124"/>
      <c r="FOL996" s="124"/>
      <c r="FOM996" s="124"/>
      <c r="FON996" s="124"/>
      <c r="FOO996" s="124"/>
      <c r="FOP996" s="124"/>
      <c r="FOQ996" s="124"/>
      <c r="FOR996" s="124"/>
      <c r="FOS996" s="124"/>
      <c r="FOT996" s="124"/>
      <c r="FOU996" s="124"/>
      <c r="FOV996" s="124"/>
      <c r="FOW996" s="124"/>
      <c r="FOX996" s="124"/>
      <c r="FOY996" s="124"/>
      <c r="FOZ996" s="124"/>
      <c r="FPA996" s="124"/>
      <c r="FPB996" s="124"/>
      <c r="FPC996" s="124"/>
      <c r="FPD996" s="124"/>
      <c r="FPE996" s="124"/>
      <c r="FPF996" s="124"/>
      <c r="FPG996" s="124"/>
      <c r="FPH996" s="124"/>
      <c r="FPI996" s="124"/>
      <c r="FPJ996" s="124"/>
      <c r="FPK996" s="124"/>
      <c r="FPL996" s="124"/>
      <c r="FPM996" s="124"/>
      <c r="FPN996" s="124"/>
      <c r="FPO996" s="124"/>
      <c r="FPP996" s="124"/>
      <c r="FPQ996" s="124"/>
      <c r="FPR996" s="124"/>
      <c r="FPS996" s="124"/>
      <c r="FPT996" s="124"/>
      <c r="FPU996" s="124"/>
      <c r="FPV996" s="124"/>
      <c r="FPW996" s="124"/>
      <c r="FPX996" s="124"/>
      <c r="FPY996" s="124"/>
      <c r="FPZ996" s="124"/>
      <c r="FQA996" s="124"/>
      <c r="FQB996" s="124"/>
      <c r="FQC996" s="124"/>
      <c r="FQD996" s="124"/>
      <c r="FQE996" s="124"/>
      <c r="FQF996" s="124"/>
      <c r="FQG996" s="124"/>
      <c r="FQH996" s="124"/>
      <c r="FQI996" s="124"/>
      <c r="FQJ996" s="124"/>
      <c r="FQK996" s="124"/>
      <c r="FQL996" s="124"/>
      <c r="FQM996" s="124"/>
      <c r="FQN996" s="124"/>
      <c r="FQO996" s="124"/>
      <c r="FQP996" s="124"/>
      <c r="FQQ996" s="124"/>
      <c r="FQR996" s="124"/>
      <c r="FQS996" s="124"/>
      <c r="FQT996" s="124"/>
      <c r="FQU996" s="124"/>
      <c r="FQV996" s="124"/>
      <c r="FQW996" s="124"/>
      <c r="FQX996" s="124"/>
      <c r="FQY996" s="124"/>
      <c r="FQZ996" s="124"/>
      <c r="FRA996" s="124"/>
      <c r="FRB996" s="124"/>
      <c r="FRC996" s="124"/>
      <c r="FRD996" s="124"/>
      <c r="FRE996" s="124"/>
      <c r="FRF996" s="124"/>
      <c r="FRG996" s="124"/>
      <c r="FRH996" s="124"/>
      <c r="FRI996" s="124"/>
      <c r="FRJ996" s="124"/>
      <c r="FRK996" s="124"/>
      <c r="FRL996" s="124"/>
      <c r="FRM996" s="124"/>
      <c r="FRN996" s="124"/>
      <c r="FRO996" s="124"/>
      <c r="FRP996" s="124"/>
      <c r="FRQ996" s="124"/>
      <c r="FRR996" s="124"/>
      <c r="FRS996" s="124"/>
      <c r="FRT996" s="124"/>
      <c r="FRU996" s="124"/>
      <c r="FRV996" s="124"/>
      <c r="FRW996" s="124"/>
      <c r="FRX996" s="124"/>
      <c r="FRY996" s="124"/>
      <c r="FRZ996" s="124"/>
      <c r="FSA996" s="124"/>
      <c r="FSB996" s="124"/>
      <c r="FSC996" s="124"/>
      <c r="FSD996" s="124"/>
      <c r="FSE996" s="124"/>
      <c r="FSF996" s="124"/>
      <c r="FSG996" s="124"/>
      <c r="FSH996" s="124"/>
      <c r="FSI996" s="124"/>
      <c r="FSJ996" s="124"/>
      <c r="FSK996" s="124"/>
      <c r="FSL996" s="124"/>
      <c r="FSM996" s="124"/>
      <c r="FSN996" s="124"/>
      <c r="FSO996" s="124"/>
      <c r="FSP996" s="124"/>
      <c r="FSQ996" s="124"/>
      <c r="FSR996" s="124"/>
      <c r="FSS996" s="124"/>
      <c r="FST996" s="124"/>
      <c r="FSU996" s="124"/>
      <c r="FSV996" s="124"/>
      <c r="FSW996" s="124"/>
      <c r="FSX996" s="124"/>
      <c r="FSY996" s="124"/>
      <c r="FSZ996" s="124"/>
      <c r="FTA996" s="124"/>
      <c r="FTB996" s="124"/>
      <c r="FTC996" s="124"/>
      <c r="FTD996" s="124"/>
      <c r="FTE996" s="124"/>
      <c r="FTF996" s="124"/>
      <c r="FTG996" s="124"/>
      <c r="FTH996" s="124"/>
      <c r="FTI996" s="124"/>
      <c r="FTJ996" s="124"/>
      <c r="FTK996" s="124"/>
      <c r="FTL996" s="124"/>
      <c r="FTM996" s="124"/>
      <c r="FTN996" s="124"/>
      <c r="FTO996" s="124"/>
      <c r="FTP996" s="124"/>
      <c r="FTQ996" s="124"/>
      <c r="FTR996" s="124"/>
      <c r="FTS996" s="124"/>
      <c r="FTT996" s="124"/>
      <c r="FTU996" s="124"/>
      <c r="FTV996" s="124"/>
      <c r="FTW996" s="124"/>
      <c r="FTX996" s="124"/>
      <c r="FTY996" s="124"/>
      <c r="FTZ996" s="124"/>
      <c r="FUA996" s="124"/>
      <c r="FUB996" s="124"/>
      <c r="FUC996" s="124"/>
      <c r="FUD996" s="124"/>
      <c r="FUE996" s="124"/>
      <c r="FUF996" s="124"/>
      <c r="FUG996" s="124"/>
      <c r="FUH996" s="124"/>
      <c r="FUI996" s="124"/>
      <c r="FUJ996" s="124"/>
      <c r="FUK996" s="124"/>
      <c r="FUL996" s="124"/>
      <c r="FUM996" s="124"/>
      <c r="FUN996" s="124"/>
      <c r="FUO996" s="124"/>
      <c r="FUP996" s="124"/>
      <c r="FUQ996" s="124"/>
      <c r="FUR996" s="124"/>
      <c r="FUS996" s="124"/>
      <c r="FUT996" s="124"/>
      <c r="FUU996" s="124"/>
      <c r="FUV996" s="124"/>
      <c r="FUW996" s="124"/>
      <c r="FUX996" s="124"/>
      <c r="FUY996" s="124"/>
      <c r="FUZ996" s="124"/>
      <c r="FVA996" s="124"/>
      <c r="FVB996" s="124"/>
      <c r="FVC996" s="124"/>
      <c r="FVD996" s="124"/>
      <c r="FVE996" s="124"/>
      <c r="FVF996" s="124"/>
      <c r="FVG996" s="124"/>
      <c r="FVH996" s="124"/>
      <c r="FVI996" s="124"/>
      <c r="FVJ996" s="124"/>
      <c r="FVK996" s="124"/>
      <c r="FVL996" s="124"/>
      <c r="FVM996" s="124"/>
      <c r="FVN996" s="124"/>
      <c r="FVO996" s="124"/>
      <c r="FVP996" s="124"/>
      <c r="FVQ996" s="124"/>
      <c r="FVR996" s="124"/>
      <c r="FVS996" s="124"/>
      <c r="FVT996" s="124"/>
      <c r="FVU996" s="124"/>
      <c r="FVV996" s="124"/>
      <c r="FVW996" s="124"/>
      <c r="FVX996" s="124"/>
      <c r="FVY996" s="124"/>
      <c r="FVZ996" s="124"/>
      <c r="FWA996" s="124"/>
      <c r="FWB996" s="124"/>
      <c r="FWC996" s="124"/>
      <c r="FWD996" s="124"/>
      <c r="FWE996" s="124"/>
      <c r="FWF996" s="124"/>
      <c r="FWG996" s="124"/>
      <c r="FWH996" s="124"/>
      <c r="FWI996" s="124"/>
      <c r="FWJ996" s="124"/>
      <c r="FWK996" s="124"/>
      <c r="FWL996" s="124"/>
      <c r="FWM996" s="124"/>
      <c r="FWN996" s="124"/>
      <c r="FWO996" s="124"/>
      <c r="FWP996" s="124"/>
      <c r="FWQ996" s="124"/>
      <c r="FWR996" s="124"/>
      <c r="FWS996" s="124"/>
      <c r="FWT996" s="124"/>
      <c r="FWU996" s="124"/>
      <c r="FWV996" s="124"/>
      <c r="FWW996" s="124"/>
      <c r="FWX996" s="124"/>
      <c r="FWY996" s="124"/>
      <c r="FWZ996" s="124"/>
      <c r="FXA996" s="124"/>
      <c r="FXB996" s="124"/>
      <c r="FXC996" s="124"/>
      <c r="FXD996" s="124"/>
      <c r="FXE996" s="124"/>
      <c r="FXF996" s="124"/>
      <c r="FXG996" s="124"/>
      <c r="FXH996" s="124"/>
      <c r="FXI996" s="124"/>
      <c r="FXJ996" s="124"/>
      <c r="FXK996" s="124"/>
      <c r="FXL996" s="124"/>
      <c r="FXM996" s="124"/>
      <c r="FXN996" s="124"/>
      <c r="FXO996" s="124"/>
      <c r="FXP996" s="124"/>
      <c r="FXQ996" s="124"/>
      <c r="FXR996" s="124"/>
      <c r="FXS996" s="124"/>
      <c r="FXT996" s="124"/>
      <c r="FXU996" s="124"/>
      <c r="FXV996" s="124"/>
      <c r="FXW996" s="124"/>
      <c r="FXX996" s="124"/>
      <c r="FXY996" s="124"/>
      <c r="FXZ996" s="124"/>
      <c r="FYA996" s="124"/>
      <c r="FYB996" s="124"/>
      <c r="FYC996" s="124"/>
      <c r="FYD996" s="124"/>
      <c r="FYE996" s="124"/>
      <c r="FYF996" s="124"/>
      <c r="FYG996" s="124"/>
      <c r="FYH996" s="124"/>
      <c r="FYI996" s="124"/>
      <c r="FYJ996" s="124"/>
      <c r="FYK996" s="124"/>
      <c r="FYL996" s="124"/>
      <c r="FYM996" s="124"/>
      <c r="FYN996" s="124"/>
      <c r="FYO996" s="124"/>
      <c r="FYP996" s="124"/>
      <c r="FYQ996" s="124"/>
      <c r="FYR996" s="124"/>
      <c r="FYS996" s="124"/>
      <c r="FYT996" s="124"/>
      <c r="FYU996" s="124"/>
      <c r="FYV996" s="124"/>
      <c r="FYW996" s="124"/>
      <c r="FYX996" s="124"/>
      <c r="FYY996" s="124"/>
      <c r="FYZ996" s="124"/>
      <c r="FZA996" s="124"/>
      <c r="FZB996" s="124"/>
      <c r="FZC996" s="124"/>
      <c r="FZD996" s="124"/>
      <c r="FZE996" s="124"/>
      <c r="FZF996" s="124"/>
      <c r="FZG996" s="124"/>
      <c r="FZH996" s="124"/>
      <c r="FZI996" s="124"/>
      <c r="FZJ996" s="124"/>
      <c r="FZK996" s="124"/>
      <c r="FZL996" s="124"/>
      <c r="FZM996" s="124"/>
      <c r="FZN996" s="124"/>
      <c r="FZO996" s="124"/>
      <c r="FZP996" s="124"/>
      <c r="FZQ996" s="124"/>
      <c r="FZR996" s="124"/>
      <c r="FZS996" s="124"/>
      <c r="FZT996" s="124"/>
      <c r="FZU996" s="124"/>
      <c r="FZV996" s="124"/>
      <c r="FZW996" s="124"/>
      <c r="FZX996" s="124"/>
      <c r="FZY996" s="124"/>
      <c r="FZZ996" s="124"/>
      <c r="GAA996" s="124"/>
      <c r="GAB996" s="124"/>
      <c r="GAC996" s="124"/>
      <c r="GAD996" s="124"/>
      <c r="GAE996" s="124"/>
      <c r="GAF996" s="124"/>
      <c r="GAG996" s="124"/>
      <c r="GAH996" s="124"/>
      <c r="GAI996" s="124"/>
      <c r="GAJ996" s="124"/>
      <c r="GAK996" s="124"/>
      <c r="GAL996" s="124"/>
      <c r="GAM996" s="124"/>
      <c r="GAN996" s="124"/>
      <c r="GAO996" s="124"/>
      <c r="GAP996" s="124"/>
      <c r="GAQ996" s="124"/>
      <c r="GAR996" s="124"/>
      <c r="GAS996" s="124"/>
      <c r="GAT996" s="124"/>
      <c r="GAU996" s="124"/>
      <c r="GAV996" s="124"/>
      <c r="GAW996" s="124"/>
      <c r="GAX996" s="124"/>
      <c r="GAY996" s="124"/>
      <c r="GAZ996" s="124"/>
      <c r="GBA996" s="124"/>
      <c r="GBB996" s="124"/>
      <c r="GBC996" s="124"/>
      <c r="GBD996" s="124"/>
      <c r="GBE996" s="124"/>
      <c r="GBF996" s="124"/>
      <c r="GBG996" s="124"/>
      <c r="GBH996" s="124"/>
      <c r="GBI996" s="124"/>
      <c r="GBJ996" s="124"/>
      <c r="GBK996" s="124"/>
      <c r="GBL996" s="124"/>
      <c r="GBM996" s="124"/>
      <c r="GBN996" s="124"/>
      <c r="GBO996" s="124"/>
      <c r="GBP996" s="124"/>
      <c r="GBQ996" s="124"/>
      <c r="GBR996" s="124"/>
      <c r="GBS996" s="124"/>
      <c r="GBT996" s="124"/>
      <c r="GBU996" s="124"/>
      <c r="GBV996" s="124"/>
      <c r="GBW996" s="124"/>
      <c r="GBX996" s="124"/>
      <c r="GBY996" s="124"/>
      <c r="GBZ996" s="124"/>
      <c r="GCA996" s="124"/>
      <c r="GCB996" s="124"/>
      <c r="GCC996" s="124"/>
      <c r="GCD996" s="124"/>
      <c r="GCE996" s="124"/>
      <c r="GCF996" s="124"/>
      <c r="GCG996" s="124"/>
      <c r="GCH996" s="124"/>
      <c r="GCI996" s="124"/>
      <c r="GCJ996" s="124"/>
      <c r="GCK996" s="124"/>
      <c r="GCL996" s="124"/>
      <c r="GCM996" s="124"/>
      <c r="GCN996" s="124"/>
      <c r="GCO996" s="124"/>
      <c r="GCP996" s="124"/>
      <c r="GCQ996" s="124"/>
      <c r="GCR996" s="124"/>
      <c r="GCS996" s="124"/>
      <c r="GCT996" s="124"/>
      <c r="GCU996" s="124"/>
      <c r="GCV996" s="124"/>
      <c r="GCW996" s="124"/>
      <c r="GCX996" s="124"/>
      <c r="GCY996" s="124"/>
      <c r="GCZ996" s="124"/>
      <c r="GDA996" s="124"/>
      <c r="GDB996" s="124"/>
      <c r="GDC996" s="124"/>
      <c r="GDD996" s="124"/>
      <c r="GDE996" s="124"/>
      <c r="GDF996" s="124"/>
      <c r="GDG996" s="124"/>
      <c r="GDH996" s="124"/>
      <c r="GDI996" s="124"/>
      <c r="GDJ996" s="124"/>
      <c r="GDK996" s="124"/>
      <c r="GDL996" s="124"/>
      <c r="GDM996" s="124"/>
      <c r="GDN996" s="124"/>
      <c r="GDO996" s="124"/>
      <c r="GDP996" s="124"/>
      <c r="GDQ996" s="124"/>
      <c r="GDR996" s="124"/>
      <c r="GDS996" s="124"/>
      <c r="GDT996" s="124"/>
      <c r="GDU996" s="124"/>
      <c r="GDV996" s="124"/>
      <c r="GDW996" s="124"/>
      <c r="GDX996" s="124"/>
      <c r="GDY996" s="124"/>
      <c r="GDZ996" s="124"/>
      <c r="GEA996" s="124"/>
      <c r="GEB996" s="124"/>
      <c r="GEC996" s="124"/>
      <c r="GED996" s="124"/>
      <c r="GEE996" s="124"/>
      <c r="GEF996" s="124"/>
      <c r="GEG996" s="124"/>
      <c r="GEH996" s="124"/>
      <c r="GEI996" s="124"/>
      <c r="GEJ996" s="124"/>
      <c r="GEK996" s="124"/>
      <c r="GEL996" s="124"/>
      <c r="GEM996" s="124"/>
      <c r="GEN996" s="124"/>
      <c r="GEO996" s="124"/>
      <c r="GEP996" s="124"/>
      <c r="GEQ996" s="124"/>
      <c r="GER996" s="124"/>
      <c r="GES996" s="124"/>
      <c r="GET996" s="124"/>
      <c r="GEU996" s="124"/>
      <c r="GEV996" s="124"/>
      <c r="GEW996" s="124"/>
      <c r="GEX996" s="124"/>
      <c r="GEY996" s="124"/>
      <c r="GEZ996" s="124"/>
      <c r="GFA996" s="124"/>
      <c r="GFB996" s="124"/>
      <c r="GFC996" s="124"/>
      <c r="GFD996" s="124"/>
      <c r="GFE996" s="124"/>
      <c r="GFF996" s="124"/>
      <c r="GFG996" s="124"/>
      <c r="GFH996" s="124"/>
      <c r="GFI996" s="124"/>
      <c r="GFJ996" s="124"/>
      <c r="GFK996" s="124"/>
      <c r="GFL996" s="124"/>
      <c r="GFM996" s="124"/>
      <c r="GFN996" s="124"/>
      <c r="GFO996" s="124"/>
      <c r="GFP996" s="124"/>
      <c r="GFQ996" s="124"/>
      <c r="GFR996" s="124"/>
      <c r="GFS996" s="124"/>
      <c r="GFT996" s="124"/>
      <c r="GFU996" s="124"/>
      <c r="GFV996" s="124"/>
      <c r="GFW996" s="124"/>
      <c r="GFX996" s="124"/>
      <c r="GFY996" s="124"/>
      <c r="GFZ996" s="124"/>
      <c r="GGA996" s="124"/>
      <c r="GGB996" s="124"/>
      <c r="GGC996" s="124"/>
      <c r="GGD996" s="124"/>
      <c r="GGE996" s="124"/>
      <c r="GGF996" s="124"/>
      <c r="GGG996" s="124"/>
      <c r="GGH996" s="124"/>
      <c r="GGI996" s="124"/>
      <c r="GGJ996" s="124"/>
      <c r="GGK996" s="124"/>
      <c r="GGL996" s="124"/>
      <c r="GGM996" s="124"/>
      <c r="GGN996" s="124"/>
      <c r="GGO996" s="124"/>
      <c r="GGP996" s="124"/>
      <c r="GGQ996" s="124"/>
      <c r="GGR996" s="124"/>
      <c r="GGS996" s="124"/>
      <c r="GGT996" s="124"/>
      <c r="GGU996" s="124"/>
      <c r="GGV996" s="124"/>
      <c r="GGW996" s="124"/>
      <c r="GGX996" s="124"/>
      <c r="GGY996" s="124"/>
      <c r="GGZ996" s="124"/>
      <c r="GHA996" s="124"/>
      <c r="GHB996" s="124"/>
      <c r="GHC996" s="124"/>
      <c r="GHD996" s="124"/>
      <c r="GHE996" s="124"/>
      <c r="GHF996" s="124"/>
      <c r="GHG996" s="124"/>
      <c r="GHH996" s="124"/>
      <c r="GHI996" s="124"/>
      <c r="GHJ996" s="124"/>
      <c r="GHK996" s="124"/>
      <c r="GHL996" s="124"/>
      <c r="GHM996" s="124"/>
      <c r="GHN996" s="124"/>
      <c r="GHO996" s="124"/>
      <c r="GHP996" s="124"/>
      <c r="GHQ996" s="124"/>
      <c r="GHR996" s="124"/>
      <c r="GHS996" s="124"/>
      <c r="GHT996" s="124"/>
      <c r="GHU996" s="124"/>
      <c r="GHV996" s="124"/>
      <c r="GHW996" s="124"/>
      <c r="GHX996" s="124"/>
      <c r="GHY996" s="124"/>
      <c r="GHZ996" s="124"/>
      <c r="GIA996" s="124"/>
      <c r="GIB996" s="124"/>
      <c r="GIC996" s="124"/>
      <c r="GID996" s="124"/>
      <c r="GIE996" s="124"/>
      <c r="GIF996" s="124"/>
      <c r="GIG996" s="124"/>
      <c r="GIH996" s="124"/>
      <c r="GII996" s="124"/>
      <c r="GIJ996" s="124"/>
      <c r="GIK996" s="124"/>
      <c r="GIL996" s="124"/>
      <c r="GIM996" s="124"/>
      <c r="GIN996" s="124"/>
      <c r="GIO996" s="124"/>
      <c r="GIP996" s="124"/>
      <c r="GIQ996" s="124"/>
      <c r="GIR996" s="124"/>
      <c r="GIS996" s="124"/>
      <c r="GIT996" s="124"/>
      <c r="GIU996" s="124"/>
      <c r="GIV996" s="124"/>
      <c r="GIW996" s="124"/>
      <c r="GIX996" s="124"/>
      <c r="GIY996" s="124"/>
      <c r="GIZ996" s="124"/>
      <c r="GJA996" s="124"/>
      <c r="GJB996" s="124"/>
      <c r="GJC996" s="124"/>
      <c r="GJD996" s="124"/>
      <c r="GJE996" s="124"/>
      <c r="GJF996" s="124"/>
      <c r="GJG996" s="124"/>
      <c r="GJH996" s="124"/>
      <c r="GJI996" s="124"/>
      <c r="GJJ996" s="124"/>
      <c r="GJK996" s="124"/>
      <c r="GJL996" s="124"/>
      <c r="GJM996" s="124"/>
      <c r="GJN996" s="124"/>
      <c r="GJO996" s="124"/>
      <c r="GJP996" s="124"/>
      <c r="GJQ996" s="124"/>
      <c r="GJR996" s="124"/>
      <c r="GJS996" s="124"/>
      <c r="GJT996" s="124"/>
      <c r="GJU996" s="124"/>
      <c r="GJV996" s="124"/>
      <c r="GJW996" s="124"/>
      <c r="GJX996" s="124"/>
      <c r="GJY996" s="124"/>
      <c r="GJZ996" s="124"/>
      <c r="GKA996" s="124"/>
      <c r="GKB996" s="124"/>
      <c r="GKC996" s="124"/>
      <c r="GKD996" s="124"/>
      <c r="GKE996" s="124"/>
      <c r="GKF996" s="124"/>
      <c r="GKG996" s="124"/>
      <c r="GKH996" s="124"/>
      <c r="GKI996" s="124"/>
      <c r="GKJ996" s="124"/>
      <c r="GKK996" s="124"/>
      <c r="GKL996" s="124"/>
      <c r="GKM996" s="124"/>
      <c r="GKN996" s="124"/>
      <c r="GKO996" s="124"/>
      <c r="GKP996" s="124"/>
      <c r="GKQ996" s="124"/>
      <c r="GKR996" s="124"/>
      <c r="GKS996" s="124"/>
      <c r="GKT996" s="124"/>
      <c r="GKU996" s="124"/>
      <c r="GKV996" s="124"/>
      <c r="GKW996" s="124"/>
      <c r="GKX996" s="124"/>
      <c r="GKY996" s="124"/>
      <c r="GKZ996" s="124"/>
      <c r="GLA996" s="124"/>
      <c r="GLB996" s="124"/>
      <c r="GLC996" s="124"/>
      <c r="GLD996" s="124"/>
      <c r="GLE996" s="124"/>
      <c r="GLF996" s="124"/>
      <c r="GLG996" s="124"/>
      <c r="GLH996" s="124"/>
      <c r="GLI996" s="124"/>
      <c r="GLJ996" s="124"/>
      <c r="GLK996" s="124"/>
      <c r="GLL996" s="124"/>
      <c r="GLM996" s="124"/>
      <c r="GLN996" s="124"/>
      <c r="GLO996" s="124"/>
      <c r="GLP996" s="124"/>
      <c r="GLQ996" s="124"/>
      <c r="GLR996" s="124"/>
      <c r="GLS996" s="124"/>
      <c r="GLT996" s="124"/>
      <c r="GLU996" s="124"/>
      <c r="GLV996" s="124"/>
      <c r="GLW996" s="124"/>
      <c r="GLX996" s="124"/>
      <c r="GLY996" s="124"/>
      <c r="GLZ996" s="124"/>
      <c r="GMA996" s="124"/>
      <c r="GMB996" s="124"/>
      <c r="GMC996" s="124"/>
      <c r="GMD996" s="124"/>
      <c r="GME996" s="124"/>
      <c r="GMF996" s="124"/>
      <c r="GMG996" s="124"/>
      <c r="GMH996" s="124"/>
      <c r="GMI996" s="124"/>
      <c r="GMJ996" s="124"/>
      <c r="GMK996" s="124"/>
      <c r="GML996" s="124"/>
      <c r="GMM996" s="124"/>
      <c r="GMN996" s="124"/>
      <c r="GMO996" s="124"/>
      <c r="GMP996" s="124"/>
      <c r="GMQ996" s="124"/>
      <c r="GMR996" s="124"/>
      <c r="GMS996" s="124"/>
      <c r="GMT996" s="124"/>
      <c r="GMU996" s="124"/>
      <c r="GMV996" s="124"/>
      <c r="GMW996" s="124"/>
      <c r="GMX996" s="124"/>
      <c r="GMY996" s="124"/>
      <c r="GMZ996" s="124"/>
      <c r="GNA996" s="124"/>
      <c r="GNB996" s="124"/>
      <c r="GNC996" s="124"/>
      <c r="GND996" s="124"/>
      <c r="GNE996" s="124"/>
      <c r="GNF996" s="124"/>
      <c r="GNG996" s="124"/>
      <c r="GNH996" s="124"/>
      <c r="GNI996" s="124"/>
      <c r="GNJ996" s="124"/>
      <c r="GNK996" s="124"/>
      <c r="GNL996" s="124"/>
      <c r="GNM996" s="124"/>
      <c r="GNN996" s="124"/>
      <c r="GNO996" s="124"/>
      <c r="GNP996" s="124"/>
      <c r="GNQ996" s="124"/>
      <c r="GNR996" s="124"/>
      <c r="GNS996" s="124"/>
      <c r="GNT996" s="124"/>
      <c r="GNU996" s="124"/>
      <c r="GNV996" s="124"/>
      <c r="GNW996" s="124"/>
      <c r="GNX996" s="124"/>
      <c r="GNY996" s="124"/>
      <c r="GNZ996" s="124"/>
      <c r="GOA996" s="124"/>
      <c r="GOB996" s="124"/>
      <c r="GOC996" s="124"/>
      <c r="GOD996" s="124"/>
      <c r="GOE996" s="124"/>
      <c r="GOF996" s="124"/>
      <c r="GOG996" s="124"/>
      <c r="GOH996" s="124"/>
      <c r="GOI996" s="124"/>
      <c r="GOJ996" s="124"/>
      <c r="GOK996" s="124"/>
      <c r="GOL996" s="124"/>
      <c r="GOM996" s="124"/>
      <c r="GON996" s="124"/>
      <c r="GOO996" s="124"/>
      <c r="GOP996" s="124"/>
      <c r="GOQ996" s="124"/>
      <c r="GOR996" s="124"/>
      <c r="GOS996" s="124"/>
      <c r="GOT996" s="124"/>
      <c r="GOU996" s="124"/>
      <c r="GOV996" s="124"/>
      <c r="GOW996" s="124"/>
      <c r="GOX996" s="124"/>
      <c r="GOY996" s="124"/>
      <c r="GOZ996" s="124"/>
      <c r="GPA996" s="124"/>
      <c r="GPB996" s="124"/>
      <c r="GPC996" s="124"/>
      <c r="GPD996" s="124"/>
      <c r="GPE996" s="124"/>
      <c r="GPF996" s="124"/>
      <c r="GPG996" s="124"/>
      <c r="GPH996" s="124"/>
      <c r="GPI996" s="124"/>
      <c r="GPJ996" s="124"/>
      <c r="GPK996" s="124"/>
      <c r="GPL996" s="124"/>
      <c r="GPM996" s="124"/>
      <c r="GPN996" s="124"/>
      <c r="GPO996" s="124"/>
      <c r="GPP996" s="124"/>
      <c r="GPQ996" s="124"/>
      <c r="GPR996" s="124"/>
      <c r="GPS996" s="124"/>
      <c r="GPT996" s="124"/>
      <c r="GPU996" s="124"/>
      <c r="GPV996" s="124"/>
      <c r="GPW996" s="124"/>
      <c r="GPX996" s="124"/>
      <c r="GPY996" s="124"/>
      <c r="GPZ996" s="124"/>
      <c r="GQA996" s="124"/>
      <c r="GQB996" s="124"/>
      <c r="GQC996" s="124"/>
      <c r="GQD996" s="124"/>
      <c r="GQE996" s="124"/>
      <c r="GQF996" s="124"/>
      <c r="GQG996" s="124"/>
      <c r="GQH996" s="124"/>
      <c r="GQI996" s="124"/>
      <c r="GQJ996" s="124"/>
      <c r="GQK996" s="124"/>
      <c r="GQL996" s="124"/>
      <c r="GQM996" s="124"/>
      <c r="GQN996" s="124"/>
      <c r="GQO996" s="124"/>
      <c r="GQP996" s="124"/>
      <c r="GQQ996" s="124"/>
      <c r="GQR996" s="124"/>
      <c r="GQS996" s="124"/>
      <c r="GQT996" s="124"/>
      <c r="GQU996" s="124"/>
      <c r="GQV996" s="124"/>
      <c r="GQW996" s="124"/>
      <c r="GQX996" s="124"/>
      <c r="GQY996" s="124"/>
      <c r="GQZ996" s="124"/>
      <c r="GRA996" s="124"/>
      <c r="GRB996" s="124"/>
      <c r="GRC996" s="124"/>
      <c r="GRD996" s="124"/>
      <c r="GRE996" s="124"/>
      <c r="GRF996" s="124"/>
      <c r="GRG996" s="124"/>
      <c r="GRH996" s="124"/>
      <c r="GRI996" s="124"/>
      <c r="GRJ996" s="124"/>
      <c r="GRK996" s="124"/>
      <c r="GRL996" s="124"/>
      <c r="GRM996" s="124"/>
      <c r="GRN996" s="124"/>
      <c r="GRO996" s="124"/>
      <c r="GRP996" s="124"/>
      <c r="GRQ996" s="124"/>
      <c r="GRR996" s="124"/>
      <c r="GRS996" s="124"/>
      <c r="GRT996" s="124"/>
      <c r="GRU996" s="124"/>
      <c r="GRV996" s="124"/>
      <c r="GRW996" s="124"/>
      <c r="GRX996" s="124"/>
      <c r="GRY996" s="124"/>
      <c r="GRZ996" s="124"/>
      <c r="GSA996" s="124"/>
      <c r="GSB996" s="124"/>
      <c r="GSC996" s="124"/>
      <c r="GSD996" s="124"/>
      <c r="GSE996" s="124"/>
      <c r="GSF996" s="124"/>
      <c r="GSG996" s="124"/>
      <c r="GSH996" s="124"/>
      <c r="GSI996" s="124"/>
      <c r="GSJ996" s="124"/>
      <c r="GSK996" s="124"/>
      <c r="GSL996" s="124"/>
      <c r="GSM996" s="124"/>
      <c r="GSN996" s="124"/>
      <c r="GSO996" s="124"/>
      <c r="GSP996" s="124"/>
      <c r="GSQ996" s="124"/>
      <c r="GSR996" s="124"/>
      <c r="GSS996" s="124"/>
      <c r="GST996" s="124"/>
      <c r="GSU996" s="124"/>
      <c r="GSV996" s="124"/>
      <c r="GSW996" s="124"/>
      <c r="GSX996" s="124"/>
      <c r="GSY996" s="124"/>
      <c r="GSZ996" s="124"/>
      <c r="GTA996" s="124"/>
      <c r="GTB996" s="124"/>
      <c r="GTC996" s="124"/>
      <c r="GTD996" s="124"/>
      <c r="GTE996" s="124"/>
      <c r="GTF996" s="124"/>
      <c r="GTG996" s="124"/>
      <c r="GTH996" s="124"/>
      <c r="GTI996" s="124"/>
      <c r="GTJ996" s="124"/>
      <c r="GTK996" s="124"/>
      <c r="GTL996" s="124"/>
      <c r="GTM996" s="124"/>
      <c r="GTN996" s="124"/>
      <c r="GTO996" s="124"/>
      <c r="GTP996" s="124"/>
      <c r="GTQ996" s="124"/>
      <c r="GTR996" s="124"/>
      <c r="GTS996" s="124"/>
      <c r="GTT996" s="124"/>
      <c r="GTU996" s="124"/>
      <c r="GTV996" s="124"/>
      <c r="GTW996" s="124"/>
      <c r="GTX996" s="124"/>
      <c r="GTY996" s="124"/>
      <c r="GTZ996" s="124"/>
      <c r="GUA996" s="124"/>
      <c r="GUB996" s="124"/>
      <c r="GUC996" s="124"/>
      <c r="GUD996" s="124"/>
      <c r="GUE996" s="124"/>
      <c r="GUF996" s="124"/>
      <c r="GUG996" s="124"/>
      <c r="GUH996" s="124"/>
      <c r="GUI996" s="124"/>
      <c r="GUJ996" s="124"/>
      <c r="GUK996" s="124"/>
      <c r="GUL996" s="124"/>
      <c r="GUM996" s="124"/>
      <c r="GUN996" s="124"/>
      <c r="GUO996" s="124"/>
      <c r="GUP996" s="124"/>
      <c r="GUQ996" s="124"/>
      <c r="GUR996" s="124"/>
      <c r="GUS996" s="124"/>
      <c r="GUT996" s="124"/>
      <c r="GUU996" s="124"/>
      <c r="GUV996" s="124"/>
      <c r="GUW996" s="124"/>
      <c r="GUX996" s="124"/>
      <c r="GUY996" s="124"/>
      <c r="GUZ996" s="124"/>
      <c r="GVA996" s="124"/>
      <c r="GVB996" s="124"/>
      <c r="GVC996" s="124"/>
      <c r="GVD996" s="124"/>
      <c r="GVE996" s="124"/>
      <c r="GVF996" s="124"/>
      <c r="GVG996" s="124"/>
      <c r="GVH996" s="124"/>
      <c r="GVI996" s="124"/>
      <c r="GVJ996" s="124"/>
      <c r="GVK996" s="124"/>
      <c r="GVL996" s="124"/>
      <c r="GVM996" s="124"/>
      <c r="GVN996" s="124"/>
      <c r="GVO996" s="124"/>
      <c r="GVP996" s="124"/>
      <c r="GVQ996" s="124"/>
      <c r="GVR996" s="124"/>
      <c r="GVS996" s="124"/>
      <c r="GVT996" s="124"/>
      <c r="GVU996" s="124"/>
      <c r="GVV996" s="124"/>
      <c r="GVW996" s="124"/>
      <c r="GVX996" s="124"/>
      <c r="GVY996" s="124"/>
      <c r="GVZ996" s="124"/>
      <c r="GWA996" s="124"/>
      <c r="GWB996" s="124"/>
      <c r="GWC996" s="124"/>
      <c r="GWD996" s="124"/>
      <c r="GWE996" s="124"/>
      <c r="GWF996" s="124"/>
      <c r="GWG996" s="124"/>
      <c r="GWH996" s="124"/>
      <c r="GWI996" s="124"/>
      <c r="GWJ996" s="124"/>
      <c r="GWK996" s="124"/>
      <c r="GWL996" s="124"/>
      <c r="GWM996" s="124"/>
      <c r="GWN996" s="124"/>
      <c r="GWO996" s="124"/>
      <c r="GWP996" s="124"/>
      <c r="GWQ996" s="124"/>
      <c r="GWR996" s="124"/>
      <c r="GWS996" s="124"/>
      <c r="GWT996" s="124"/>
      <c r="GWU996" s="124"/>
      <c r="GWV996" s="124"/>
      <c r="GWW996" s="124"/>
      <c r="GWX996" s="124"/>
      <c r="GWY996" s="124"/>
      <c r="GWZ996" s="124"/>
      <c r="GXA996" s="124"/>
      <c r="GXB996" s="124"/>
      <c r="GXC996" s="124"/>
      <c r="GXD996" s="124"/>
      <c r="GXE996" s="124"/>
      <c r="GXF996" s="124"/>
      <c r="GXG996" s="124"/>
      <c r="GXH996" s="124"/>
      <c r="GXI996" s="124"/>
      <c r="GXJ996" s="124"/>
      <c r="GXK996" s="124"/>
      <c r="GXL996" s="124"/>
      <c r="GXM996" s="124"/>
      <c r="GXN996" s="124"/>
      <c r="GXO996" s="124"/>
      <c r="GXP996" s="124"/>
      <c r="GXQ996" s="124"/>
      <c r="GXR996" s="124"/>
      <c r="GXS996" s="124"/>
      <c r="GXT996" s="124"/>
      <c r="GXU996" s="124"/>
      <c r="GXV996" s="124"/>
      <c r="GXW996" s="124"/>
      <c r="GXX996" s="124"/>
      <c r="GXY996" s="124"/>
      <c r="GXZ996" s="124"/>
      <c r="GYA996" s="124"/>
      <c r="GYB996" s="124"/>
      <c r="GYC996" s="124"/>
      <c r="GYD996" s="124"/>
      <c r="GYE996" s="124"/>
      <c r="GYF996" s="124"/>
      <c r="GYG996" s="124"/>
      <c r="GYH996" s="124"/>
      <c r="GYI996" s="124"/>
      <c r="GYJ996" s="124"/>
      <c r="GYK996" s="124"/>
      <c r="GYL996" s="124"/>
      <c r="GYM996" s="124"/>
      <c r="GYN996" s="124"/>
      <c r="GYO996" s="124"/>
      <c r="GYP996" s="124"/>
      <c r="GYQ996" s="124"/>
      <c r="GYR996" s="124"/>
      <c r="GYS996" s="124"/>
      <c r="GYT996" s="124"/>
      <c r="GYU996" s="124"/>
      <c r="GYV996" s="124"/>
      <c r="GYW996" s="124"/>
      <c r="GYX996" s="124"/>
      <c r="GYY996" s="124"/>
      <c r="GYZ996" s="124"/>
      <c r="GZA996" s="124"/>
      <c r="GZB996" s="124"/>
      <c r="GZC996" s="124"/>
      <c r="GZD996" s="124"/>
      <c r="GZE996" s="124"/>
      <c r="GZF996" s="124"/>
      <c r="GZG996" s="124"/>
      <c r="GZH996" s="124"/>
      <c r="GZI996" s="124"/>
      <c r="GZJ996" s="124"/>
      <c r="GZK996" s="124"/>
      <c r="GZL996" s="124"/>
      <c r="GZM996" s="124"/>
      <c r="GZN996" s="124"/>
      <c r="GZO996" s="124"/>
      <c r="GZP996" s="124"/>
      <c r="GZQ996" s="124"/>
      <c r="GZR996" s="124"/>
      <c r="GZS996" s="124"/>
      <c r="GZT996" s="124"/>
      <c r="GZU996" s="124"/>
      <c r="GZV996" s="124"/>
      <c r="GZW996" s="124"/>
      <c r="GZX996" s="124"/>
      <c r="GZY996" s="124"/>
      <c r="GZZ996" s="124"/>
      <c r="HAA996" s="124"/>
      <c r="HAB996" s="124"/>
      <c r="HAC996" s="124"/>
      <c r="HAD996" s="124"/>
      <c r="HAE996" s="124"/>
      <c r="HAF996" s="124"/>
      <c r="HAG996" s="124"/>
      <c r="HAH996" s="124"/>
      <c r="HAI996" s="124"/>
      <c r="HAJ996" s="124"/>
      <c r="HAK996" s="124"/>
      <c r="HAL996" s="124"/>
      <c r="HAM996" s="124"/>
      <c r="HAN996" s="124"/>
      <c r="HAO996" s="124"/>
      <c r="HAP996" s="124"/>
      <c r="HAQ996" s="124"/>
      <c r="HAR996" s="124"/>
      <c r="HAS996" s="124"/>
      <c r="HAT996" s="124"/>
      <c r="HAU996" s="124"/>
      <c r="HAV996" s="124"/>
      <c r="HAW996" s="124"/>
      <c r="HAX996" s="124"/>
      <c r="HAY996" s="124"/>
      <c r="HAZ996" s="124"/>
      <c r="HBA996" s="124"/>
      <c r="HBB996" s="124"/>
      <c r="HBC996" s="124"/>
      <c r="HBD996" s="124"/>
      <c r="HBE996" s="124"/>
      <c r="HBF996" s="124"/>
      <c r="HBG996" s="124"/>
      <c r="HBH996" s="124"/>
      <c r="HBI996" s="124"/>
      <c r="HBJ996" s="124"/>
      <c r="HBK996" s="124"/>
      <c r="HBL996" s="124"/>
      <c r="HBM996" s="124"/>
      <c r="HBN996" s="124"/>
      <c r="HBO996" s="124"/>
      <c r="HBP996" s="124"/>
      <c r="HBQ996" s="124"/>
      <c r="HBR996" s="124"/>
      <c r="HBS996" s="124"/>
      <c r="HBT996" s="124"/>
      <c r="HBU996" s="124"/>
      <c r="HBV996" s="124"/>
      <c r="HBW996" s="124"/>
      <c r="HBX996" s="124"/>
      <c r="HBY996" s="124"/>
      <c r="HBZ996" s="124"/>
      <c r="HCA996" s="124"/>
      <c r="HCB996" s="124"/>
      <c r="HCC996" s="124"/>
      <c r="HCD996" s="124"/>
      <c r="HCE996" s="124"/>
      <c r="HCF996" s="124"/>
      <c r="HCG996" s="124"/>
      <c r="HCH996" s="124"/>
      <c r="HCI996" s="124"/>
      <c r="HCJ996" s="124"/>
      <c r="HCK996" s="124"/>
      <c r="HCL996" s="124"/>
      <c r="HCM996" s="124"/>
      <c r="HCN996" s="124"/>
      <c r="HCO996" s="124"/>
      <c r="HCP996" s="124"/>
      <c r="HCQ996" s="124"/>
      <c r="HCR996" s="124"/>
      <c r="HCS996" s="124"/>
      <c r="HCT996" s="124"/>
      <c r="HCU996" s="124"/>
      <c r="HCV996" s="124"/>
      <c r="HCW996" s="124"/>
      <c r="HCX996" s="124"/>
      <c r="HCY996" s="124"/>
      <c r="HCZ996" s="124"/>
      <c r="HDA996" s="124"/>
      <c r="HDB996" s="124"/>
      <c r="HDC996" s="124"/>
      <c r="HDD996" s="124"/>
      <c r="HDE996" s="124"/>
      <c r="HDF996" s="124"/>
      <c r="HDG996" s="124"/>
      <c r="HDH996" s="124"/>
      <c r="HDI996" s="124"/>
      <c r="HDJ996" s="124"/>
      <c r="HDK996" s="124"/>
      <c r="HDL996" s="124"/>
      <c r="HDM996" s="124"/>
      <c r="HDN996" s="124"/>
      <c r="HDO996" s="124"/>
      <c r="HDP996" s="124"/>
      <c r="HDQ996" s="124"/>
      <c r="HDR996" s="124"/>
      <c r="HDS996" s="124"/>
      <c r="HDT996" s="124"/>
      <c r="HDU996" s="124"/>
      <c r="HDV996" s="124"/>
      <c r="HDW996" s="124"/>
      <c r="HDX996" s="124"/>
      <c r="HDY996" s="124"/>
      <c r="HDZ996" s="124"/>
      <c r="HEA996" s="124"/>
      <c r="HEB996" s="124"/>
      <c r="HEC996" s="124"/>
      <c r="HED996" s="124"/>
      <c r="HEE996" s="124"/>
      <c r="HEF996" s="124"/>
      <c r="HEG996" s="124"/>
      <c r="HEH996" s="124"/>
      <c r="HEI996" s="124"/>
      <c r="HEJ996" s="124"/>
      <c r="HEK996" s="124"/>
      <c r="HEL996" s="124"/>
      <c r="HEM996" s="124"/>
      <c r="HEN996" s="124"/>
      <c r="HEO996" s="124"/>
      <c r="HEP996" s="124"/>
      <c r="HEQ996" s="124"/>
      <c r="HER996" s="124"/>
      <c r="HES996" s="124"/>
      <c r="HET996" s="124"/>
      <c r="HEU996" s="124"/>
      <c r="HEV996" s="124"/>
      <c r="HEW996" s="124"/>
      <c r="HEX996" s="124"/>
      <c r="HEY996" s="124"/>
      <c r="HEZ996" s="124"/>
      <c r="HFA996" s="124"/>
      <c r="HFB996" s="124"/>
      <c r="HFC996" s="124"/>
      <c r="HFD996" s="124"/>
      <c r="HFE996" s="124"/>
      <c r="HFF996" s="124"/>
      <c r="HFG996" s="124"/>
      <c r="HFH996" s="124"/>
      <c r="HFI996" s="124"/>
      <c r="HFJ996" s="124"/>
      <c r="HFK996" s="124"/>
      <c r="HFL996" s="124"/>
      <c r="HFM996" s="124"/>
      <c r="HFN996" s="124"/>
      <c r="HFO996" s="124"/>
      <c r="HFP996" s="124"/>
      <c r="HFQ996" s="124"/>
      <c r="HFR996" s="124"/>
      <c r="HFS996" s="124"/>
      <c r="HFT996" s="124"/>
      <c r="HFU996" s="124"/>
      <c r="HFV996" s="124"/>
      <c r="HFW996" s="124"/>
      <c r="HFX996" s="124"/>
      <c r="HFY996" s="124"/>
      <c r="HFZ996" s="124"/>
      <c r="HGA996" s="124"/>
      <c r="HGB996" s="124"/>
      <c r="HGC996" s="124"/>
      <c r="HGD996" s="124"/>
      <c r="HGE996" s="124"/>
      <c r="HGF996" s="124"/>
      <c r="HGG996" s="124"/>
      <c r="HGH996" s="124"/>
      <c r="HGI996" s="124"/>
      <c r="HGJ996" s="124"/>
      <c r="HGK996" s="124"/>
      <c r="HGL996" s="124"/>
      <c r="HGM996" s="124"/>
      <c r="HGN996" s="124"/>
      <c r="HGO996" s="124"/>
      <c r="HGP996" s="124"/>
      <c r="HGQ996" s="124"/>
      <c r="HGR996" s="124"/>
      <c r="HGS996" s="124"/>
      <c r="HGT996" s="124"/>
      <c r="HGU996" s="124"/>
      <c r="HGV996" s="124"/>
      <c r="HGW996" s="124"/>
      <c r="HGX996" s="124"/>
      <c r="HGY996" s="124"/>
      <c r="HGZ996" s="124"/>
      <c r="HHA996" s="124"/>
      <c r="HHB996" s="124"/>
      <c r="HHC996" s="124"/>
      <c r="HHD996" s="124"/>
      <c r="HHE996" s="124"/>
      <c r="HHF996" s="124"/>
      <c r="HHG996" s="124"/>
      <c r="HHH996" s="124"/>
      <c r="HHI996" s="124"/>
      <c r="HHJ996" s="124"/>
      <c r="HHK996" s="124"/>
      <c r="HHL996" s="124"/>
      <c r="HHM996" s="124"/>
      <c r="HHN996" s="124"/>
      <c r="HHO996" s="124"/>
      <c r="HHP996" s="124"/>
      <c r="HHQ996" s="124"/>
      <c r="HHR996" s="124"/>
      <c r="HHS996" s="124"/>
      <c r="HHT996" s="124"/>
      <c r="HHU996" s="124"/>
      <c r="HHV996" s="124"/>
      <c r="HHW996" s="124"/>
      <c r="HHX996" s="124"/>
      <c r="HHY996" s="124"/>
      <c r="HHZ996" s="124"/>
      <c r="HIA996" s="124"/>
      <c r="HIB996" s="124"/>
      <c r="HIC996" s="124"/>
      <c r="HID996" s="124"/>
      <c r="HIE996" s="124"/>
      <c r="HIF996" s="124"/>
      <c r="HIG996" s="124"/>
      <c r="HIH996" s="124"/>
      <c r="HII996" s="124"/>
      <c r="HIJ996" s="124"/>
      <c r="HIK996" s="124"/>
      <c r="HIL996" s="124"/>
      <c r="HIM996" s="124"/>
      <c r="HIN996" s="124"/>
      <c r="HIO996" s="124"/>
      <c r="HIP996" s="124"/>
      <c r="HIQ996" s="124"/>
      <c r="HIR996" s="124"/>
      <c r="HIS996" s="124"/>
      <c r="HIT996" s="124"/>
      <c r="HIU996" s="124"/>
      <c r="HIV996" s="124"/>
      <c r="HIW996" s="124"/>
      <c r="HIX996" s="124"/>
      <c r="HIY996" s="124"/>
      <c r="HIZ996" s="124"/>
      <c r="HJA996" s="124"/>
      <c r="HJB996" s="124"/>
      <c r="HJC996" s="124"/>
      <c r="HJD996" s="124"/>
      <c r="HJE996" s="124"/>
      <c r="HJF996" s="124"/>
      <c r="HJG996" s="124"/>
      <c r="HJH996" s="124"/>
      <c r="HJI996" s="124"/>
      <c r="HJJ996" s="124"/>
      <c r="HJK996" s="124"/>
      <c r="HJL996" s="124"/>
      <c r="HJM996" s="124"/>
      <c r="HJN996" s="124"/>
      <c r="HJO996" s="124"/>
      <c r="HJP996" s="124"/>
      <c r="HJQ996" s="124"/>
      <c r="HJR996" s="124"/>
      <c r="HJS996" s="124"/>
      <c r="HJT996" s="124"/>
      <c r="HJU996" s="124"/>
      <c r="HJV996" s="124"/>
      <c r="HJW996" s="124"/>
      <c r="HJX996" s="124"/>
      <c r="HJY996" s="124"/>
      <c r="HJZ996" s="124"/>
      <c r="HKA996" s="124"/>
      <c r="HKB996" s="124"/>
      <c r="HKC996" s="124"/>
      <c r="HKD996" s="124"/>
      <c r="HKE996" s="124"/>
      <c r="HKF996" s="124"/>
      <c r="HKG996" s="124"/>
      <c r="HKH996" s="124"/>
      <c r="HKI996" s="124"/>
      <c r="HKJ996" s="124"/>
      <c r="HKK996" s="124"/>
      <c r="HKL996" s="124"/>
      <c r="HKM996" s="124"/>
      <c r="HKN996" s="124"/>
      <c r="HKO996" s="124"/>
      <c r="HKP996" s="124"/>
      <c r="HKQ996" s="124"/>
      <c r="HKR996" s="124"/>
      <c r="HKS996" s="124"/>
      <c r="HKT996" s="124"/>
      <c r="HKU996" s="124"/>
      <c r="HKV996" s="124"/>
      <c r="HKW996" s="124"/>
      <c r="HKX996" s="124"/>
      <c r="HKY996" s="124"/>
      <c r="HKZ996" s="124"/>
      <c r="HLA996" s="124"/>
      <c r="HLB996" s="124"/>
      <c r="HLC996" s="124"/>
      <c r="HLD996" s="124"/>
      <c r="HLE996" s="124"/>
      <c r="HLF996" s="124"/>
      <c r="HLG996" s="124"/>
      <c r="HLH996" s="124"/>
      <c r="HLI996" s="124"/>
      <c r="HLJ996" s="124"/>
      <c r="HLK996" s="124"/>
      <c r="HLL996" s="124"/>
      <c r="HLM996" s="124"/>
      <c r="HLN996" s="124"/>
      <c r="HLO996" s="124"/>
      <c r="HLP996" s="124"/>
      <c r="HLQ996" s="124"/>
      <c r="HLR996" s="124"/>
      <c r="HLS996" s="124"/>
      <c r="HLT996" s="124"/>
      <c r="HLU996" s="124"/>
      <c r="HLV996" s="124"/>
      <c r="HLW996" s="124"/>
      <c r="HLX996" s="124"/>
      <c r="HLY996" s="124"/>
      <c r="HLZ996" s="124"/>
      <c r="HMA996" s="124"/>
      <c r="HMB996" s="124"/>
      <c r="HMC996" s="124"/>
      <c r="HMD996" s="124"/>
      <c r="HME996" s="124"/>
      <c r="HMF996" s="124"/>
      <c r="HMG996" s="124"/>
      <c r="HMH996" s="124"/>
      <c r="HMI996" s="124"/>
      <c r="HMJ996" s="124"/>
      <c r="HMK996" s="124"/>
      <c r="HML996" s="124"/>
      <c r="HMM996" s="124"/>
      <c r="HMN996" s="124"/>
      <c r="HMO996" s="124"/>
      <c r="HMP996" s="124"/>
      <c r="HMQ996" s="124"/>
      <c r="HMR996" s="124"/>
      <c r="HMS996" s="124"/>
      <c r="HMT996" s="124"/>
      <c r="HMU996" s="124"/>
      <c r="HMV996" s="124"/>
      <c r="HMW996" s="124"/>
      <c r="HMX996" s="124"/>
      <c r="HMY996" s="124"/>
      <c r="HMZ996" s="124"/>
      <c r="HNA996" s="124"/>
      <c r="HNB996" s="124"/>
      <c r="HNC996" s="124"/>
      <c r="HND996" s="124"/>
      <c r="HNE996" s="124"/>
      <c r="HNF996" s="124"/>
      <c r="HNG996" s="124"/>
      <c r="HNH996" s="124"/>
      <c r="HNI996" s="124"/>
      <c r="HNJ996" s="124"/>
      <c r="HNK996" s="124"/>
      <c r="HNL996" s="124"/>
      <c r="HNM996" s="124"/>
      <c r="HNN996" s="124"/>
      <c r="HNO996" s="124"/>
      <c r="HNP996" s="124"/>
      <c r="HNQ996" s="124"/>
      <c r="HNR996" s="124"/>
      <c r="HNS996" s="124"/>
      <c r="HNT996" s="124"/>
      <c r="HNU996" s="124"/>
      <c r="HNV996" s="124"/>
      <c r="HNW996" s="124"/>
      <c r="HNX996" s="124"/>
      <c r="HNY996" s="124"/>
      <c r="HNZ996" s="124"/>
      <c r="HOA996" s="124"/>
      <c r="HOB996" s="124"/>
      <c r="HOC996" s="124"/>
      <c r="HOD996" s="124"/>
      <c r="HOE996" s="124"/>
      <c r="HOF996" s="124"/>
      <c r="HOG996" s="124"/>
      <c r="HOH996" s="124"/>
      <c r="HOI996" s="124"/>
      <c r="HOJ996" s="124"/>
      <c r="HOK996" s="124"/>
      <c r="HOL996" s="124"/>
      <c r="HOM996" s="124"/>
      <c r="HON996" s="124"/>
      <c r="HOO996" s="124"/>
      <c r="HOP996" s="124"/>
      <c r="HOQ996" s="124"/>
      <c r="HOR996" s="124"/>
      <c r="HOS996" s="124"/>
      <c r="HOT996" s="124"/>
      <c r="HOU996" s="124"/>
      <c r="HOV996" s="124"/>
      <c r="HOW996" s="124"/>
      <c r="HOX996" s="124"/>
      <c r="HOY996" s="124"/>
      <c r="HOZ996" s="124"/>
      <c r="HPA996" s="124"/>
      <c r="HPB996" s="124"/>
      <c r="HPC996" s="124"/>
      <c r="HPD996" s="124"/>
      <c r="HPE996" s="124"/>
      <c r="HPF996" s="124"/>
      <c r="HPG996" s="124"/>
      <c r="HPH996" s="124"/>
      <c r="HPI996" s="124"/>
      <c r="HPJ996" s="124"/>
      <c r="HPK996" s="124"/>
      <c r="HPL996" s="124"/>
      <c r="HPM996" s="124"/>
      <c r="HPN996" s="124"/>
      <c r="HPO996" s="124"/>
      <c r="HPP996" s="124"/>
      <c r="HPQ996" s="124"/>
      <c r="HPR996" s="124"/>
      <c r="HPS996" s="124"/>
      <c r="HPT996" s="124"/>
      <c r="HPU996" s="124"/>
      <c r="HPV996" s="124"/>
      <c r="HPW996" s="124"/>
      <c r="HPX996" s="124"/>
      <c r="HPY996" s="124"/>
      <c r="HPZ996" s="124"/>
      <c r="HQA996" s="124"/>
      <c r="HQB996" s="124"/>
      <c r="HQC996" s="124"/>
      <c r="HQD996" s="124"/>
      <c r="HQE996" s="124"/>
      <c r="HQF996" s="124"/>
      <c r="HQG996" s="124"/>
      <c r="HQH996" s="124"/>
      <c r="HQI996" s="124"/>
      <c r="HQJ996" s="124"/>
      <c r="HQK996" s="124"/>
      <c r="HQL996" s="124"/>
      <c r="HQM996" s="124"/>
      <c r="HQN996" s="124"/>
      <c r="HQO996" s="124"/>
      <c r="HQP996" s="124"/>
      <c r="HQQ996" s="124"/>
      <c r="HQR996" s="124"/>
      <c r="HQS996" s="124"/>
      <c r="HQT996" s="124"/>
      <c r="HQU996" s="124"/>
      <c r="HQV996" s="124"/>
      <c r="HQW996" s="124"/>
      <c r="HQX996" s="124"/>
      <c r="HQY996" s="124"/>
      <c r="HQZ996" s="124"/>
      <c r="HRA996" s="124"/>
      <c r="HRB996" s="124"/>
      <c r="HRC996" s="124"/>
      <c r="HRD996" s="124"/>
      <c r="HRE996" s="124"/>
      <c r="HRF996" s="124"/>
      <c r="HRG996" s="124"/>
      <c r="HRH996" s="124"/>
      <c r="HRI996" s="124"/>
      <c r="HRJ996" s="124"/>
      <c r="HRK996" s="124"/>
      <c r="HRL996" s="124"/>
      <c r="HRM996" s="124"/>
      <c r="HRN996" s="124"/>
      <c r="HRO996" s="124"/>
      <c r="HRP996" s="124"/>
      <c r="HRQ996" s="124"/>
      <c r="HRR996" s="124"/>
      <c r="HRS996" s="124"/>
      <c r="HRT996" s="124"/>
      <c r="HRU996" s="124"/>
      <c r="HRV996" s="124"/>
      <c r="HRW996" s="124"/>
      <c r="HRX996" s="124"/>
      <c r="HRY996" s="124"/>
      <c r="HRZ996" s="124"/>
      <c r="HSA996" s="124"/>
      <c r="HSB996" s="124"/>
      <c r="HSC996" s="124"/>
      <c r="HSD996" s="124"/>
      <c r="HSE996" s="124"/>
      <c r="HSF996" s="124"/>
      <c r="HSG996" s="124"/>
      <c r="HSH996" s="124"/>
      <c r="HSI996" s="124"/>
      <c r="HSJ996" s="124"/>
      <c r="HSK996" s="124"/>
      <c r="HSL996" s="124"/>
      <c r="HSM996" s="124"/>
      <c r="HSN996" s="124"/>
      <c r="HSO996" s="124"/>
      <c r="HSP996" s="124"/>
      <c r="HSQ996" s="124"/>
      <c r="HSR996" s="124"/>
      <c r="HSS996" s="124"/>
      <c r="HST996" s="124"/>
      <c r="HSU996" s="124"/>
      <c r="HSV996" s="124"/>
      <c r="HSW996" s="124"/>
      <c r="HSX996" s="124"/>
      <c r="HSY996" s="124"/>
      <c r="HSZ996" s="124"/>
      <c r="HTA996" s="124"/>
      <c r="HTB996" s="124"/>
      <c r="HTC996" s="124"/>
      <c r="HTD996" s="124"/>
      <c r="HTE996" s="124"/>
      <c r="HTF996" s="124"/>
      <c r="HTG996" s="124"/>
      <c r="HTH996" s="124"/>
      <c r="HTI996" s="124"/>
      <c r="HTJ996" s="124"/>
      <c r="HTK996" s="124"/>
      <c r="HTL996" s="124"/>
      <c r="HTM996" s="124"/>
      <c r="HTN996" s="124"/>
      <c r="HTO996" s="124"/>
      <c r="HTP996" s="124"/>
      <c r="HTQ996" s="124"/>
      <c r="HTR996" s="124"/>
      <c r="HTS996" s="124"/>
      <c r="HTT996" s="124"/>
      <c r="HTU996" s="124"/>
      <c r="HTV996" s="124"/>
      <c r="HTW996" s="124"/>
      <c r="HTX996" s="124"/>
      <c r="HTY996" s="124"/>
      <c r="HTZ996" s="124"/>
      <c r="HUA996" s="124"/>
      <c r="HUB996" s="124"/>
      <c r="HUC996" s="124"/>
      <c r="HUD996" s="124"/>
      <c r="HUE996" s="124"/>
      <c r="HUF996" s="124"/>
      <c r="HUG996" s="124"/>
      <c r="HUH996" s="124"/>
      <c r="HUI996" s="124"/>
      <c r="HUJ996" s="124"/>
      <c r="HUK996" s="124"/>
      <c r="HUL996" s="124"/>
      <c r="HUM996" s="124"/>
      <c r="HUN996" s="124"/>
      <c r="HUO996" s="124"/>
      <c r="HUP996" s="124"/>
      <c r="HUQ996" s="124"/>
      <c r="HUR996" s="124"/>
      <c r="HUS996" s="124"/>
      <c r="HUT996" s="124"/>
      <c r="HUU996" s="124"/>
      <c r="HUV996" s="124"/>
      <c r="HUW996" s="124"/>
      <c r="HUX996" s="124"/>
      <c r="HUY996" s="124"/>
      <c r="HUZ996" s="124"/>
      <c r="HVA996" s="124"/>
      <c r="HVB996" s="124"/>
      <c r="HVC996" s="124"/>
      <c r="HVD996" s="124"/>
      <c r="HVE996" s="124"/>
      <c r="HVF996" s="124"/>
      <c r="HVG996" s="124"/>
      <c r="HVH996" s="124"/>
      <c r="HVI996" s="124"/>
      <c r="HVJ996" s="124"/>
      <c r="HVK996" s="124"/>
      <c r="HVL996" s="124"/>
      <c r="HVM996" s="124"/>
      <c r="HVN996" s="124"/>
      <c r="HVO996" s="124"/>
      <c r="HVP996" s="124"/>
      <c r="HVQ996" s="124"/>
      <c r="HVR996" s="124"/>
      <c r="HVS996" s="124"/>
      <c r="HVT996" s="124"/>
      <c r="HVU996" s="124"/>
      <c r="HVV996" s="124"/>
      <c r="HVW996" s="124"/>
      <c r="HVX996" s="124"/>
      <c r="HVY996" s="124"/>
      <c r="HVZ996" s="124"/>
      <c r="HWA996" s="124"/>
      <c r="HWB996" s="124"/>
      <c r="HWC996" s="124"/>
      <c r="HWD996" s="124"/>
      <c r="HWE996" s="124"/>
      <c r="HWF996" s="124"/>
      <c r="HWG996" s="124"/>
      <c r="HWH996" s="124"/>
      <c r="HWI996" s="124"/>
      <c r="HWJ996" s="124"/>
      <c r="HWK996" s="124"/>
      <c r="HWL996" s="124"/>
      <c r="HWM996" s="124"/>
      <c r="HWN996" s="124"/>
      <c r="HWO996" s="124"/>
      <c r="HWP996" s="124"/>
      <c r="HWQ996" s="124"/>
      <c r="HWR996" s="124"/>
      <c r="HWS996" s="124"/>
      <c r="HWT996" s="124"/>
      <c r="HWU996" s="124"/>
      <c r="HWV996" s="124"/>
      <c r="HWW996" s="124"/>
      <c r="HWX996" s="124"/>
      <c r="HWY996" s="124"/>
      <c r="HWZ996" s="124"/>
      <c r="HXA996" s="124"/>
      <c r="HXB996" s="124"/>
      <c r="HXC996" s="124"/>
      <c r="HXD996" s="124"/>
      <c r="HXE996" s="124"/>
      <c r="HXF996" s="124"/>
      <c r="HXG996" s="124"/>
      <c r="HXH996" s="124"/>
      <c r="HXI996" s="124"/>
      <c r="HXJ996" s="124"/>
      <c r="HXK996" s="124"/>
      <c r="HXL996" s="124"/>
      <c r="HXM996" s="124"/>
      <c r="HXN996" s="124"/>
      <c r="HXO996" s="124"/>
      <c r="HXP996" s="124"/>
      <c r="HXQ996" s="124"/>
      <c r="HXR996" s="124"/>
      <c r="HXS996" s="124"/>
      <c r="HXT996" s="124"/>
      <c r="HXU996" s="124"/>
      <c r="HXV996" s="124"/>
      <c r="HXW996" s="124"/>
      <c r="HXX996" s="124"/>
      <c r="HXY996" s="124"/>
      <c r="HXZ996" s="124"/>
      <c r="HYA996" s="124"/>
      <c r="HYB996" s="124"/>
      <c r="HYC996" s="124"/>
      <c r="HYD996" s="124"/>
      <c r="HYE996" s="124"/>
      <c r="HYF996" s="124"/>
      <c r="HYG996" s="124"/>
      <c r="HYH996" s="124"/>
      <c r="HYI996" s="124"/>
      <c r="HYJ996" s="124"/>
      <c r="HYK996" s="124"/>
      <c r="HYL996" s="124"/>
      <c r="HYM996" s="124"/>
      <c r="HYN996" s="124"/>
      <c r="HYO996" s="124"/>
      <c r="HYP996" s="124"/>
      <c r="HYQ996" s="124"/>
      <c r="HYR996" s="124"/>
      <c r="HYS996" s="124"/>
      <c r="HYT996" s="124"/>
      <c r="HYU996" s="124"/>
      <c r="HYV996" s="124"/>
      <c r="HYW996" s="124"/>
      <c r="HYX996" s="124"/>
      <c r="HYY996" s="124"/>
      <c r="HYZ996" s="124"/>
      <c r="HZA996" s="124"/>
      <c r="HZB996" s="124"/>
      <c r="HZC996" s="124"/>
      <c r="HZD996" s="124"/>
      <c r="HZE996" s="124"/>
      <c r="HZF996" s="124"/>
      <c r="HZG996" s="124"/>
      <c r="HZH996" s="124"/>
      <c r="HZI996" s="124"/>
      <c r="HZJ996" s="124"/>
      <c r="HZK996" s="124"/>
      <c r="HZL996" s="124"/>
      <c r="HZM996" s="124"/>
      <c r="HZN996" s="124"/>
      <c r="HZO996" s="124"/>
      <c r="HZP996" s="124"/>
      <c r="HZQ996" s="124"/>
      <c r="HZR996" s="124"/>
      <c r="HZS996" s="124"/>
      <c r="HZT996" s="124"/>
      <c r="HZU996" s="124"/>
      <c r="HZV996" s="124"/>
      <c r="HZW996" s="124"/>
      <c r="HZX996" s="124"/>
      <c r="HZY996" s="124"/>
      <c r="HZZ996" s="124"/>
      <c r="IAA996" s="124"/>
      <c r="IAB996" s="124"/>
      <c r="IAC996" s="124"/>
      <c r="IAD996" s="124"/>
      <c r="IAE996" s="124"/>
      <c r="IAF996" s="124"/>
      <c r="IAG996" s="124"/>
      <c r="IAH996" s="124"/>
      <c r="IAI996" s="124"/>
      <c r="IAJ996" s="124"/>
      <c r="IAK996" s="124"/>
      <c r="IAL996" s="124"/>
      <c r="IAM996" s="124"/>
      <c r="IAN996" s="124"/>
      <c r="IAO996" s="124"/>
      <c r="IAP996" s="124"/>
      <c r="IAQ996" s="124"/>
      <c r="IAR996" s="124"/>
      <c r="IAS996" s="124"/>
      <c r="IAT996" s="124"/>
      <c r="IAU996" s="124"/>
      <c r="IAV996" s="124"/>
      <c r="IAW996" s="124"/>
      <c r="IAX996" s="124"/>
      <c r="IAY996" s="124"/>
      <c r="IAZ996" s="124"/>
      <c r="IBA996" s="124"/>
      <c r="IBB996" s="124"/>
      <c r="IBC996" s="124"/>
      <c r="IBD996" s="124"/>
      <c r="IBE996" s="124"/>
      <c r="IBF996" s="124"/>
      <c r="IBG996" s="124"/>
      <c r="IBH996" s="124"/>
      <c r="IBI996" s="124"/>
      <c r="IBJ996" s="124"/>
      <c r="IBK996" s="124"/>
      <c r="IBL996" s="124"/>
      <c r="IBM996" s="124"/>
      <c r="IBN996" s="124"/>
      <c r="IBO996" s="124"/>
      <c r="IBP996" s="124"/>
      <c r="IBQ996" s="124"/>
      <c r="IBR996" s="124"/>
      <c r="IBS996" s="124"/>
      <c r="IBT996" s="124"/>
      <c r="IBU996" s="124"/>
      <c r="IBV996" s="124"/>
      <c r="IBW996" s="124"/>
      <c r="IBX996" s="124"/>
      <c r="IBY996" s="124"/>
      <c r="IBZ996" s="124"/>
      <c r="ICA996" s="124"/>
      <c r="ICB996" s="124"/>
      <c r="ICC996" s="124"/>
      <c r="ICD996" s="124"/>
      <c r="ICE996" s="124"/>
      <c r="ICF996" s="124"/>
      <c r="ICG996" s="124"/>
      <c r="ICH996" s="124"/>
      <c r="ICI996" s="124"/>
      <c r="ICJ996" s="124"/>
      <c r="ICK996" s="124"/>
      <c r="ICL996" s="124"/>
      <c r="ICM996" s="124"/>
      <c r="ICN996" s="124"/>
      <c r="ICO996" s="124"/>
      <c r="ICP996" s="124"/>
      <c r="ICQ996" s="124"/>
      <c r="ICR996" s="124"/>
      <c r="ICS996" s="124"/>
      <c r="ICT996" s="124"/>
      <c r="ICU996" s="124"/>
      <c r="ICV996" s="124"/>
      <c r="ICW996" s="124"/>
      <c r="ICX996" s="124"/>
      <c r="ICY996" s="124"/>
      <c r="ICZ996" s="124"/>
      <c r="IDA996" s="124"/>
      <c r="IDB996" s="124"/>
      <c r="IDC996" s="124"/>
      <c r="IDD996" s="124"/>
      <c r="IDE996" s="124"/>
      <c r="IDF996" s="124"/>
      <c r="IDG996" s="124"/>
      <c r="IDH996" s="124"/>
      <c r="IDI996" s="124"/>
      <c r="IDJ996" s="124"/>
      <c r="IDK996" s="124"/>
      <c r="IDL996" s="124"/>
      <c r="IDM996" s="124"/>
      <c r="IDN996" s="124"/>
      <c r="IDO996" s="124"/>
      <c r="IDP996" s="124"/>
      <c r="IDQ996" s="124"/>
      <c r="IDR996" s="124"/>
      <c r="IDS996" s="124"/>
      <c r="IDT996" s="124"/>
      <c r="IDU996" s="124"/>
      <c r="IDV996" s="124"/>
      <c r="IDW996" s="124"/>
      <c r="IDX996" s="124"/>
      <c r="IDY996" s="124"/>
      <c r="IDZ996" s="124"/>
      <c r="IEA996" s="124"/>
      <c r="IEB996" s="124"/>
      <c r="IEC996" s="124"/>
      <c r="IED996" s="124"/>
      <c r="IEE996" s="124"/>
      <c r="IEF996" s="124"/>
      <c r="IEG996" s="124"/>
      <c r="IEH996" s="124"/>
      <c r="IEI996" s="124"/>
      <c r="IEJ996" s="124"/>
      <c r="IEK996" s="124"/>
      <c r="IEL996" s="124"/>
      <c r="IEM996" s="124"/>
      <c r="IEN996" s="124"/>
      <c r="IEO996" s="124"/>
      <c r="IEP996" s="124"/>
      <c r="IEQ996" s="124"/>
      <c r="IER996" s="124"/>
      <c r="IES996" s="124"/>
      <c r="IET996" s="124"/>
      <c r="IEU996" s="124"/>
      <c r="IEV996" s="124"/>
      <c r="IEW996" s="124"/>
      <c r="IEX996" s="124"/>
      <c r="IEY996" s="124"/>
      <c r="IEZ996" s="124"/>
      <c r="IFA996" s="124"/>
      <c r="IFB996" s="124"/>
      <c r="IFC996" s="124"/>
      <c r="IFD996" s="124"/>
      <c r="IFE996" s="124"/>
      <c r="IFF996" s="124"/>
      <c r="IFG996" s="124"/>
      <c r="IFH996" s="124"/>
      <c r="IFI996" s="124"/>
      <c r="IFJ996" s="124"/>
      <c r="IFK996" s="124"/>
      <c r="IFL996" s="124"/>
      <c r="IFM996" s="124"/>
      <c r="IFN996" s="124"/>
      <c r="IFO996" s="124"/>
      <c r="IFP996" s="124"/>
      <c r="IFQ996" s="124"/>
      <c r="IFR996" s="124"/>
      <c r="IFS996" s="124"/>
      <c r="IFT996" s="124"/>
      <c r="IFU996" s="124"/>
      <c r="IFV996" s="124"/>
      <c r="IFW996" s="124"/>
      <c r="IFX996" s="124"/>
      <c r="IFY996" s="124"/>
      <c r="IFZ996" s="124"/>
      <c r="IGA996" s="124"/>
      <c r="IGB996" s="124"/>
      <c r="IGC996" s="124"/>
      <c r="IGD996" s="124"/>
      <c r="IGE996" s="124"/>
      <c r="IGF996" s="124"/>
      <c r="IGG996" s="124"/>
      <c r="IGH996" s="124"/>
      <c r="IGI996" s="124"/>
      <c r="IGJ996" s="124"/>
      <c r="IGK996" s="124"/>
      <c r="IGL996" s="124"/>
      <c r="IGM996" s="124"/>
      <c r="IGN996" s="124"/>
      <c r="IGO996" s="124"/>
      <c r="IGP996" s="124"/>
      <c r="IGQ996" s="124"/>
      <c r="IGR996" s="124"/>
      <c r="IGS996" s="124"/>
      <c r="IGT996" s="124"/>
      <c r="IGU996" s="124"/>
      <c r="IGV996" s="124"/>
      <c r="IGW996" s="124"/>
      <c r="IGX996" s="124"/>
      <c r="IGY996" s="124"/>
      <c r="IGZ996" s="124"/>
      <c r="IHA996" s="124"/>
      <c r="IHB996" s="124"/>
      <c r="IHC996" s="124"/>
      <c r="IHD996" s="124"/>
      <c r="IHE996" s="124"/>
      <c r="IHF996" s="124"/>
      <c r="IHG996" s="124"/>
      <c r="IHH996" s="124"/>
      <c r="IHI996" s="124"/>
      <c r="IHJ996" s="124"/>
      <c r="IHK996" s="124"/>
      <c r="IHL996" s="124"/>
      <c r="IHM996" s="124"/>
      <c r="IHN996" s="124"/>
      <c r="IHO996" s="124"/>
      <c r="IHP996" s="124"/>
      <c r="IHQ996" s="124"/>
      <c r="IHR996" s="124"/>
      <c r="IHS996" s="124"/>
      <c r="IHT996" s="124"/>
      <c r="IHU996" s="124"/>
      <c r="IHV996" s="124"/>
      <c r="IHW996" s="124"/>
      <c r="IHX996" s="124"/>
      <c r="IHY996" s="124"/>
      <c r="IHZ996" s="124"/>
      <c r="IIA996" s="124"/>
      <c r="IIB996" s="124"/>
      <c r="IIC996" s="124"/>
      <c r="IID996" s="124"/>
      <c r="IIE996" s="124"/>
      <c r="IIF996" s="124"/>
      <c r="IIG996" s="124"/>
      <c r="IIH996" s="124"/>
      <c r="III996" s="124"/>
      <c r="IIJ996" s="124"/>
      <c r="IIK996" s="124"/>
      <c r="IIL996" s="124"/>
      <c r="IIM996" s="124"/>
      <c r="IIN996" s="124"/>
      <c r="IIO996" s="124"/>
      <c r="IIP996" s="124"/>
      <c r="IIQ996" s="124"/>
      <c r="IIR996" s="124"/>
      <c r="IIS996" s="124"/>
      <c r="IIT996" s="124"/>
      <c r="IIU996" s="124"/>
      <c r="IIV996" s="124"/>
      <c r="IIW996" s="124"/>
      <c r="IIX996" s="124"/>
      <c r="IIY996" s="124"/>
      <c r="IIZ996" s="124"/>
      <c r="IJA996" s="124"/>
      <c r="IJB996" s="124"/>
      <c r="IJC996" s="124"/>
      <c r="IJD996" s="124"/>
      <c r="IJE996" s="124"/>
      <c r="IJF996" s="124"/>
      <c r="IJG996" s="124"/>
      <c r="IJH996" s="124"/>
      <c r="IJI996" s="124"/>
      <c r="IJJ996" s="124"/>
      <c r="IJK996" s="124"/>
      <c r="IJL996" s="124"/>
      <c r="IJM996" s="124"/>
      <c r="IJN996" s="124"/>
      <c r="IJO996" s="124"/>
      <c r="IJP996" s="124"/>
      <c r="IJQ996" s="124"/>
      <c r="IJR996" s="124"/>
      <c r="IJS996" s="124"/>
      <c r="IJT996" s="124"/>
      <c r="IJU996" s="124"/>
      <c r="IJV996" s="124"/>
      <c r="IJW996" s="124"/>
      <c r="IJX996" s="124"/>
      <c r="IJY996" s="124"/>
      <c r="IJZ996" s="124"/>
      <c r="IKA996" s="124"/>
      <c r="IKB996" s="124"/>
      <c r="IKC996" s="124"/>
      <c r="IKD996" s="124"/>
      <c r="IKE996" s="124"/>
      <c r="IKF996" s="124"/>
      <c r="IKG996" s="124"/>
      <c r="IKH996" s="124"/>
      <c r="IKI996" s="124"/>
      <c r="IKJ996" s="124"/>
      <c r="IKK996" s="124"/>
      <c r="IKL996" s="124"/>
      <c r="IKM996" s="124"/>
      <c r="IKN996" s="124"/>
      <c r="IKO996" s="124"/>
      <c r="IKP996" s="124"/>
      <c r="IKQ996" s="124"/>
      <c r="IKR996" s="124"/>
      <c r="IKS996" s="124"/>
      <c r="IKT996" s="124"/>
      <c r="IKU996" s="124"/>
      <c r="IKV996" s="124"/>
      <c r="IKW996" s="124"/>
      <c r="IKX996" s="124"/>
      <c r="IKY996" s="124"/>
      <c r="IKZ996" s="124"/>
      <c r="ILA996" s="124"/>
      <c r="ILB996" s="124"/>
      <c r="ILC996" s="124"/>
      <c r="ILD996" s="124"/>
      <c r="ILE996" s="124"/>
      <c r="ILF996" s="124"/>
      <c r="ILG996" s="124"/>
      <c r="ILH996" s="124"/>
      <c r="ILI996" s="124"/>
      <c r="ILJ996" s="124"/>
      <c r="ILK996" s="124"/>
      <c r="ILL996" s="124"/>
      <c r="ILM996" s="124"/>
      <c r="ILN996" s="124"/>
      <c r="ILO996" s="124"/>
      <c r="ILP996" s="124"/>
      <c r="ILQ996" s="124"/>
      <c r="ILR996" s="124"/>
      <c r="ILS996" s="124"/>
      <c r="ILT996" s="124"/>
      <c r="ILU996" s="124"/>
      <c r="ILV996" s="124"/>
      <c r="ILW996" s="124"/>
      <c r="ILX996" s="124"/>
      <c r="ILY996" s="124"/>
      <c r="ILZ996" s="124"/>
      <c r="IMA996" s="124"/>
      <c r="IMB996" s="124"/>
      <c r="IMC996" s="124"/>
      <c r="IMD996" s="124"/>
      <c r="IME996" s="124"/>
      <c r="IMF996" s="124"/>
      <c r="IMG996" s="124"/>
      <c r="IMH996" s="124"/>
      <c r="IMI996" s="124"/>
      <c r="IMJ996" s="124"/>
      <c r="IMK996" s="124"/>
      <c r="IML996" s="124"/>
      <c r="IMM996" s="124"/>
      <c r="IMN996" s="124"/>
      <c r="IMO996" s="124"/>
      <c r="IMP996" s="124"/>
      <c r="IMQ996" s="124"/>
      <c r="IMR996" s="124"/>
      <c r="IMS996" s="124"/>
      <c r="IMT996" s="124"/>
      <c r="IMU996" s="124"/>
      <c r="IMV996" s="124"/>
      <c r="IMW996" s="124"/>
      <c r="IMX996" s="124"/>
      <c r="IMY996" s="124"/>
      <c r="IMZ996" s="124"/>
      <c r="INA996" s="124"/>
      <c r="INB996" s="124"/>
      <c r="INC996" s="124"/>
      <c r="IND996" s="124"/>
      <c r="INE996" s="124"/>
      <c r="INF996" s="124"/>
      <c r="ING996" s="124"/>
      <c r="INH996" s="124"/>
      <c r="INI996" s="124"/>
      <c r="INJ996" s="124"/>
      <c r="INK996" s="124"/>
      <c r="INL996" s="124"/>
      <c r="INM996" s="124"/>
      <c r="INN996" s="124"/>
      <c r="INO996" s="124"/>
      <c r="INP996" s="124"/>
      <c r="INQ996" s="124"/>
      <c r="INR996" s="124"/>
      <c r="INS996" s="124"/>
      <c r="INT996" s="124"/>
      <c r="INU996" s="124"/>
      <c r="INV996" s="124"/>
      <c r="INW996" s="124"/>
      <c r="INX996" s="124"/>
      <c r="INY996" s="124"/>
      <c r="INZ996" s="124"/>
      <c r="IOA996" s="124"/>
      <c r="IOB996" s="124"/>
      <c r="IOC996" s="124"/>
      <c r="IOD996" s="124"/>
      <c r="IOE996" s="124"/>
      <c r="IOF996" s="124"/>
      <c r="IOG996" s="124"/>
      <c r="IOH996" s="124"/>
      <c r="IOI996" s="124"/>
      <c r="IOJ996" s="124"/>
      <c r="IOK996" s="124"/>
      <c r="IOL996" s="124"/>
      <c r="IOM996" s="124"/>
      <c r="ION996" s="124"/>
      <c r="IOO996" s="124"/>
      <c r="IOP996" s="124"/>
      <c r="IOQ996" s="124"/>
      <c r="IOR996" s="124"/>
      <c r="IOS996" s="124"/>
      <c r="IOT996" s="124"/>
      <c r="IOU996" s="124"/>
      <c r="IOV996" s="124"/>
      <c r="IOW996" s="124"/>
      <c r="IOX996" s="124"/>
      <c r="IOY996" s="124"/>
      <c r="IOZ996" s="124"/>
      <c r="IPA996" s="124"/>
      <c r="IPB996" s="124"/>
      <c r="IPC996" s="124"/>
      <c r="IPD996" s="124"/>
      <c r="IPE996" s="124"/>
      <c r="IPF996" s="124"/>
      <c r="IPG996" s="124"/>
      <c r="IPH996" s="124"/>
      <c r="IPI996" s="124"/>
      <c r="IPJ996" s="124"/>
      <c r="IPK996" s="124"/>
      <c r="IPL996" s="124"/>
      <c r="IPM996" s="124"/>
      <c r="IPN996" s="124"/>
      <c r="IPO996" s="124"/>
      <c r="IPP996" s="124"/>
      <c r="IPQ996" s="124"/>
      <c r="IPR996" s="124"/>
      <c r="IPS996" s="124"/>
      <c r="IPT996" s="124"/>
      <c r="IPU996" s="124"/>
      <c r="IPV996" s="124"/>
      <c r="IPW996" s="124"/>
      <c r="IPX996" s="124"/>
      <c r="IPY996" s="124"/>
      <c r="IPZ996" s="124"/>
      <c r="IQA996" s="124"/>
      <c r="IQB996" s="124"/>
      <c r="IQC996" s="124"/>
      <c r="IQD996" s="124"/>
      <c r="IQE996" s="124"/>
      <c r="IQF996" s="124"/>
      <c r="IQG996" s="124"/>
      <c r="IQH996" s="124"/>
      <c r="IQI996" s="124"/>
      <c r="IQJ996" s="124"/>
      <c r="IQK996" s="124"/>
      <c r="IQL996" s="124"/>
      <c r="IQM996" s="124"/>
      <c r="IQN996" s="124"/>
      <c r="IQO996" s="124"/>
      <c r="IQP996" s="124"/>
      <c r="IQQ996" s="124"/>
      <c r="IQR996" s="124"/>
      <c r="IQS996" s="124"/>
      <c r="IQT996" s="124"/>
      <c r="IQU996" s="124"/>
      <c r="IQV996" s="124"/>
      <c r="IQW996" s="124"/>
      <c r="IQX996" s="124"/>
      <c r="IQY996" s="124"/>
      <c r="IQZ996" s="124"/>
      <c r="IRA996" s="124"/>
      <c r="IRB996" s="124"/>
      <c r="IRC996" s="124"/>
      <c r="IRD996" s="124"/>
      <c r="IRE996" s="124"/>
      <c r="IRF996" s="124"/>
      <c r="IRG996" s="124"/>
      <c r="IRH996" s="124"/>
      <c r="IRI996" s="124"/>
      <c r="IRJ996" s="124"/>
      <c r="IRK996" s="124"/>
      <c r="IRL996" s="124"/>
      <c r="IRM996" s="124"/>
      <c r="IRN996" s="124"/>
      <c r="IRO996" s="124"/>
      <c r="IRP996" s="124"/>
      <c r="IRQ996" s="124"/>
      <c r="IRR996" s="124"/>
      <c r="IRS996" s="124"/>
      <c r="IRT996" s="124"/>
      <c r="IRU996" s="124"/>
      <c r="IRV996" s="124"/>
      <c r="IRW996" s="124"/>
      <c r="IRX996" s="124"/>
      <c r="IRY996" s="124"/>
      <c r="IRZ996" s="124"/>
      <c r="ISA996" s="124"/>
      <c r="ISB996" s="124"/>
      <c r="ISC996" s="124"/>
      <c r="ISD996" s="124"/>
      <c r="ISE996" s="124"/>
      <c r="ISF996" s="124"/>
      <c r="ISG996" s="124"/>
      <c r="ISH996" s="124"/>
      <c r="ISI996" s="124"/>
      <c r="ISJ996" s="124"/>
      <c r="ISK996" s="124"/>
      <c r="ISL996" s="124"/>
      <c r="ISM996" s="124"/>
      <c r="ISN996" s="124"/>
      <c r="ISO996" s="124"/>
      <c r="ISP996" s="124"/>
      <c r="ISQ996" s="124"/>
      <c r="ISR996" s="124"/>
      <c r="ISS996" s="124"/>
      <c r="IST996" s="124"/>
      <c r="ISU996" s="124"/>
      <c r="ISV996" s="124"/>
      <c r="ISW996" s="124"/>
      <c r="ISX996" s="124"/>
      <c r="ISY996" s="124"/>
      <c r="ISZ996" s="124"/>
      <c r="ITA996" s="124"/>
      <c r="ITB996" s="124"/>
      <c r="ITC996" s="124"/>
      <c r="ITD996" s="124"/>
      <c r="ITE996" s="124"/>
      <c r="ITF996" s="124"/>
      <c r="ITG996" s="124"/>
      <c r="ITH996" s="124"/>
      <c r="ITI996" s="124"/>
      <c r="ITJ996" s="124"/>
      <c r="ITK996" s="124"/>
      <c r="ITL996" s="124"/>
      <c r="ITM996" s="124"/>
      <c r="ITN996" s="124"/>
      <c r="ITO996" s="124"/>
      <c r="ITP996" s="124"/>
      <c r="ITQ996" s="124"/>
      <c r="ITR996" s="124"/>
      <c r="ITS996" s="124"/>
      <c r="ITT996" s="124"/>
      <c r="ITU996" s="124"/>
      <c r="ITV996" s="124"/>
      <c r="ITW996" s="124"/>
      <c r="ITX996" s="124"/>
      <c r="ITY996" s="124"/>
      <c r="ITZ996" s="124"/>
      <c r="IUA996" s="124"/>
      <c r="IUB996" s="124"/>
      <c r="IUC996" s="124"/>
      <c r="IUD996" s="124"/>
      <c r="IUE996" s="124"/>
      <c r="IUF996" s="124"/>
      <c r="IUG996" s="124"/>
      <c r="IUH996" s="124"/>
      <c r="IUI996" s="124"/>
      <c r="IUJ996" s="124"/>
      <c r="IUK996" s="124"/>
      <c r="IUL996" s="124"/>
      <c r="IUM996" s="124"/>
      <c r="IUN996" s="124"/>
      <c r="IUO996" s="124"/>
      <c r="IUP996" s="124"/>
      <c r="IUQ996" s="124"/>
      <c r="IUR996" s="124"/>
      <c r="IUS996" s="124"/>
      <c r="IUT996" s="124"/>
      <c r="IUU996" s="124"/>
      <c r="IUV996" s="124"/>
      <c r="IUW996" s="124"/>
      <c r="IUX996" s="124"/>
      <c r="IUY996" s="124"/>
      <c r="IUZ996" s="124"/>
      <c r="IVA996" s="124"/>
      <c r="IVB996" s="124"/>
      <c r="IVC996" s="124"/>
      <c r="IVD996" s="124"/>
      <c r="IVE996" s="124"/>
      <c r="IVF996" s="124"/>
      <c r="IVG996" s="124"/>
      <c r="IVH996" s="124"/>
      <c r="IVI996" s="124"/>
      <c r="IVJ996" s="124"/>
      <c r="IVK996" s="124"/>
      <c r="IVL996" s="124"/>
      <c r="IVM996" s="124"/>
      <c r="IVN996" s="124"/>
      <c r="IVO996" s="124"/>
      <c r="IVP996" s="124"/>
      <c r="IVQ996" s="124"/>
      <c r="IVR996" s="124"/>
      <c r="IVS996" s="124"/>
      <c r="IVT996" s="124"/>
      <c r="IVU996" s="124"/>
      <c r="IVV996" s="124"/>
      <c r="IVW996" s="124"/>
      <c r="IVX996" s="124"/>
      <c r="IVY996" s="124"/>
      <c r="IVZ996" s="124"/>
      <c r="IWA996" s="124"/>
      <c r="IWB996" s="124"/>
      <c r="IWC996" s="124"/>
      <c r="IWD996" s="124"/>
      <c r="IWE996" s="124"/>
      <c r="IWF996" s="124"/>
      <c r="IWG996" s="124"/>
      <c r="IWH996" s="124"/>
      <c r="IWI996" s="124"/>
      <c r="IWJ996" s="124"/>
      <c r="IWK996" s="124"/>
      <c r="IWL996" s="124"/>
      <c r="IWM996" s="124"/>
      <c r="IWN996" s="124"/>
      <c r="IWO996" s="124"/>
      <c r="IWP996" s="124"/>
      <c r="IWQ996" s="124"/>
      <c r="IWR996" s="124"/>
      <c r="IWS996" s="124"/>
      <c r="IWT996" s="124"/>
      <c r="IWU996" s="124"/>
      <c r="IWV996" s="124"/>
      <c r="IWW996" s="124"/>
      <c r="IWX996" s="124"/>
      <c r="IWY996" s="124"/>
      <c r="IWZ996" s="124"/>
      <c r="IXA996" s="124"/>
      <c r="IXB996" s="124"/>
      <c r="IXC996" s="124"/>
      <c r="IXD996" s="124"/>
      <c r="IXE996" s="124"/>
      <c r="IXF996" s="124"/>
      <c r="IXG996" s="124"/>
      <c r="IXH996" s="124"/>
      <c r="IXI996" s="124"/>
      <c r="IXJ996" s="124"/>
      <c r="IXK996" s="124"/>
      <c r="IXL996" s="124"/>
      <c r="IXM996" s="124"/>
      <c r="IXN996" s="124"/>
      <c r="IXO996" s="124"/>
      <c r="IXP996" s="124"/>
      <c r="IXQ996" s="124"/>
      <c r="IXR996" s="124"/>
      <c r="IXS996" s="124"/>
      <c r="IXT996" s="124"/>
      <c r="IXU996" s="124"/>
      <c r="IXV996" s="124"/>
      <c r="IXW996" s="124"/>
      <c r="IXX996" s="124"/>
      <c r="IXY996" s="124"/>
      <c r="IXZ996" s="124"/>
      <c r="IYA996" s="124"/>
      <c r="IYB996" s="124"/>
      <c r="IYC996" s="124"/>
      <c r="IYD996" s="124"/>
      <c r="IYE996" s="124"/>
      <c r="IYF996" s="124"/>
      <c r="IYG996" s="124"/>
      <c r="IYH996" s="124"/>
      <c r="IYI996" s="124"/>
      <c r="IYJ996" s="124"/>
      <c r="IYK996" s="124"/>
      <c r="IYL996" s="124"/>
      <c r="IYM996" s="124"/>
      <c r="IYN996" s="124"/>
      <c r="IYO996" s="124"/>
      <c r="IYP996" s="124"/>
      <c r="IYQ996" s="124"/>
      <c r="IYR996" s="124"/>
      <c r="IYS996" s="124"/>
      <c r="IYT996" s="124"/>
      <c r="IYU996" s="124"/>
      <c r="IYV996" s="124"/>
      <c r="IYW996" s="124"/>
      <c r="IYX996" s="124"/>
      <c r="IYY996" s="124"/>
      <c r="IYZ996" s="124"/>
      <c r="IZA996" s="124"/>
      <c r="IZB996" s="124"/>
      <c r="IZC996" s="124"/>
      <c r="IZD996" s="124"/>
      <c r="IZE996" s="124"/>
      <c r="IZF996" s="124"/>
      <c r="IZG996" s="124"/>
      <c r="IZH996" s="124"/>
      <c r="IZI996" s="124"/>
      <c r="IZJ996" s="124"/>
      <c r="IZK996" s="124"/>
      <c r="IZL996" s="124"/>
      <c r="IZM996" s="124"/>
      <c r="IZN996" s="124"/>
      <c r="IZO996" s="124"/>
      <c r="IZP996" s="124"/>
      <c r="IZQ996" s="124"/>
      <c r="IZR996" s="124"/>
      <c r="IZS996" s="124"/>
      <c r="IZT996" s="124"/>
      <c r="IZU996" s="124"/>
      <c r="IZV996" s="124"/>
      <c r="IZW996" s="124"/>
      <c r="IZX996" s="124"/>
      <c r="IZY996" s="124"/>
      <c r="IZZ996" s="124"/>
      <c r="JAA996" s="124"/>
      <c r="JAB996" s="124"/>
      <c r="JAC996" s="124"/>
      <c r="JAD996" s="124"/>
      <c r="JAE996" s="124"/>
      <c r="JAF996" s="124"/>
      <c r="JAG996" s="124"/>
      <c r="JAH996" s="124"/>
      <c r="JAI996" s="124"/>
      <c r="JAJ996" s="124"/>
      <c r="JAK996" s="124"/>
      <c r="JAL996" s="124"/>
      <c r="JAM996" s="124"/>
      <c r="JAN996" s="124"/>
      <c r="JAO996" s="124"/>
      <c r="JAP996" s="124"/>
      <c r="JAQ996" s="124"/>
      <c r="JAR996" s="124"/>
      <c r="JAS996" s="124"/>
      <c r="JAT996" s="124"/>
      <c r="JAU996" s="124"/>
      <c r="JAV996" s="124"/>
      <c r="JAW996" s="124"/>
      <c r="JAX996" s="124"/>
      <c r="JAY996" s="124"/>
      <c r="JAZ996" s="124"/>
      <c r="JBA996" s="124"/>
      <c r="JBB996" s="124"/>
      <c r="JBC996" s="124"/>
      <c r="JBD996" s="124"/>
      <c r="JBE996" s="124"/>
      <c r="JBF996" s="124"/>
      <c r="JBG996" s="124"/>
      <c r="JBH996" s="124"/>
      <c r="JBI996" s="124"/>
      <c r="JBJ996" s="124"/>
      <c r="JBK996" s="124"/>
      <c r="JBL996" s="124"/>
      <c r="JBM996" s="124"/>
      <c r="JBN996" s="124"/>
      <c r="JBO996" s="124"/>
      <c r="JBP996" s="124"/>
      <c r="JBQ996" s="124"/>
      <c r="JBR996" s="124"/>
      <c r="JBS996" s="124"/>
      <c r="JBT996" s="124"/>
      <c r="JBU996" s="124"/>
      <c r="JBV996" s="124"/>
      <c r="JBW996" s="124"/>
      <c r="JBX996" s="124"/>
      <c r="JBY996" s="124"/>
      <c r="JBZ996" s="124"/>
      <c r="JCA996" s="124"/>
      <c r="JCB996" s="124"/>
      <c r="JCC996" s="124"/>
      <c r="JCD996" s="124"/>
      <c r="JCE996" s="124"/>
      <c r="JCF996" s="124"/>
      <c r="JCG996" s="124"/>
      <c r="JCH996" s="124"/>
      <c r="JCI996" s="124"/>
      <c r="JCJ996" s="124"/>
      <c r="JCK996" s="124"/>
      <c r="JCL996" s="124"/>
      <c r="JCM996" s="124"/>
      <c r="JCN996" s="124"/>
      <c r="JCO996" s="124"/>
      <c r="JCP996" s="124"/>
      <c r="JCQ996" s="124"/>
      <c r="JCR996" s="124"/>
      <c r="JCS996" s="124"/>
      <c r="JCT996" s="124"/>
      <c r="JCU996" s="124"/>
      <c r="JCV996" s="124"/>
      <c r="JCW996" s="124"/>
      <c r="JCX996" s="124"/>
      <c r="JCY996" s="124"/>
      <c r="JCZ996" s="124"/>
      <c r="JDA996" s="124"/>
      <c r="JDB996" s="124"/>
      <c r="JDC996" s="124"/>
      <c r="JDD996" s="124"/>
      <c r="JDE996" s="124"/>
      <c r="JDF996" s="124"/>
      <c r="JDG996" s="124"/>
      <c r="JDH996" s="124"/>
      <c r="JDI996" s="124"/>
      <c r="JDJ996" s="124"/>
      <c r="JDK996" s="124"/>
      <c r="JDL996" s="124"/>
      <c r="JDM996" s="124"/>
      <c r="JDN996" s="124"/>
      <c r="JDO996" s="124"/>
      <c r="JDP996" s="124"/>
      <c r="JDQ996" s="124"/>
      <c r="JDR996" s="124"/>
      <c r="JDS996" s="124"/>
      <c r="JDT996" s="124"/>
      <c r="JDU996" s="124"/>
      <c r="JDV996" s="124"/>
      <c r="JDW996" s="124"/>
      <c r="JDX996" s="124"/>
      <c r="JDY996" s="124"/>
      <c r="JDZ996" s="124"/>
      <c r="JEA996" s="124"/>
      <c r="JEB996" s="124"/>
      <c r="JEC996" s="124"/>
      <c r="JED996" s="124"/>
      <c r="JEE996" s="124"/>
      <c r="JEF996" s="124"/>
      <c r="JEG996" s="124"/>
      <c r="JEH996" s="124"/>
      <c r="JEI996" s="124"/>
      <c r="JEJ996" s="124"/>
      <c r="JEK996" s="124"/>
      <c r="JEL996" s="124"/>
      <c r="JEM996" s="124"/>
      <c r="JEN996" s="124"/>
      <c r="JEO996" s="124"/>
      <c r="JEP996" s="124"/>
      <c r="JEQ996" s="124"/>
      <c r="JER996" s="124"/>
      <c r="JES996" s="124"/>
      <c r="JET996" s="124"/>
      <c r="JEU996" s="124"/>
      <c r="JEV996" s="124"/>
      <c r="JEW996" s="124"/>
      <c r="JEX996" s="124"/>
      <c r="JEY996" s="124"/>
      <c r="JEZ996" s="124"/>
      <c r="JFA996" s="124"/>
      <c r="JFB996" s="124"/>
      <c r="JFC996" s="124"/>
      <c r="JFD996" s="124"/>
      <c r="JFE996" s="124"/>
      <c r="JFF996" s="124"/>
      <c r="JFG996" s="124"/>
      <c r="JFH996" s="124"/>
      <c r="JFI996" s="124"/>
      <c r="JFJ996" s="124"/>
      <c r="JFK996" s="124"/>
      <c r="JFL996" s="124"/>
      <c r="JFM996" s="124"/>
      <c r="JFN996" s="124"/>
      <c r="JFO996" s="124"/>
      <c r="JFP996" s="124"/>
      <c r="JFQ996" s="124"/>
      <c r="JFR996" s="124"/>
      <c r="JFS996" s="124"/>
      <c r="JFT996" s="124"/>
      <c r="JFU996" s="124"/>
      <c r="JFV996" s="124"/>
      <c r="JFW996" s="124"/>
      <c r="JFX996" s="124"/>
      <c r="JFY996" s="124"/>
      <c r="JFZ996" s="124"/>
      <c r="JGA996" s="124"/>
      <c r="JGB996" s="124"/>
      <c r="JGC996" s="124"/>
      <c r="JGD996" s="124"/>
      <c r="JGE996" s="124"/>
      <c r="JGF996" s="124"/>
      <c r="JGG996" s="124"/>
      <c r="JGH996" s="124"/>
      <c r="JGI996" s="124"/>
      <c r="JGJ996" s="124"/>
      <c r="JGK996" s="124"/>
      <c r="JGL996" s="124"/>
      <c r="JGM996" s="124"/>
      <c r="JGN996" s="124"/>
      <c r="JGO996" s="124"/>
      <c r="JGP996" s="124"/>
      <c r="JGQ996" s="124"/>
      <c r="JGR996" s="124"/>
      <c r="JGS996" s="124"/>
      <c r="JGT996" s="124"/>
      <c r="JGU996" s="124"/>
      <c r="JGV996" s="124"/>
      <c r="JGW996" s="124"/>
      <c r="JGX996" s="124"/>
      <c r="JGY996" s="124"/>
      <c r="JGZ996" s="124"/>
      <c r="JHA996" s="124"/>
      <c r="JHB996" s="124"/>
      <c r="JHC996" s="124"/>
      <c r="JHD996" s="124"/>
      <c r="JHE996" s="124"/>
      <c r="JHF996" s="124"/>
      <c r="JHG996" s="124"/>
      <c r="JHH996" s="124"/>
      <c r="JHI996" s="124"/>
      <c r="JHJ996" s="124"/>
      <c r="JHK996" s="124"/>
      <c r="JHL996" s="124"/>
      <c r="JHM996" s="124"/>
      <c r="JHN996" s="124"/>
      <c r="JHO996" s="124"/>
      <c r="JHP996" s="124"/>
      <c r="JHQ996" s="124"/>
      <c r="JHR996" s="124"/>
      <c r="JHS996" s="124"/>
      <c r="JHT996" s="124"/>
      <c r="JHU996" s="124"/>
      <c r="JHV996" s="124"/>
      <c r="JHW996" s="124"/>
      <c r="JHX996" s="124"/>
      <c r="JHY996" s="124"/>
      <c r="JHZ996" s="124"/>
      <c r="JIA996" s="124"/>
      <c r="JIB996" s="124"/>
      <c r="JIC996" s="124"/>
      <c r="JID996" s="124"/>
      <c r="JIE996" s="124"/>
      <c r="JIF996" s="124"/>
      <c r="JIG996" s="124"/>
      <c r="JIH996" s="124"/>
      <c r="JII996" s="124"/>
      <c r="JIJ996" s="124"/>
      <c r="JIK996" s="124"/>
      <c r="JIL996" s="124"/>
      <c r="JIM996" s="124"/>
      <c r="JIN996" s="124"/>
      <c r="JIO996" s="124"/>
      <c r="JIP996" s="124"/>
      <c r="JIQ996" s="124"/>
      <c r="JIR996" s="124"/>
      <c r="JIS996" s="124"/>
      <c r="JIT996" s="124"/>
      <c r="JIU996" s="124"/>
      <c r="JIV996" s="124"/>
      <c r="JIW996" s="124"/>
      <c r="JIX996" s="124"/>
      <c r="JIY996" s="124"/>
      <c r="JIZ996" s="124"/>
      <c r="JJA996" s="124"/>
      <c r="JJB996" s="124"/>
      <c r="JJC996" s="124"/>
      <c r="JJD996" s="124"/>
      <c r="JJE996" s="124"/>
      <c r="JJF996" s="124"/>
      <c r="JJG996" s="124"/>
      <c r="JJH996" s="124"/>
      <c r="JJI996" s="124"/>
      <c r="JJJ996" s="124"/>
      <c r="JJK996" s="124"/>
      <c r="JJL996" s="124"/>
      <c r="JJM996" s="124"/>
      <c r="JJN996" s="124"/>
      <c r="JJO996" s="124"/>
      <c r="JJP996" s="124"/>
      <c r="JJQ996" s="124"/>
      <c r="JJR996" s="124"/>
      <c r="JJS996" s="124"/>
      <c r="JJT996" s="124"/>
      <c r="JJU996" s="124"/>
      <c r="JJV996" s="124"/>
      <c r="JJW996" s="124"/>
      <c r="JJX996" s="124"/>
      <c r="JJY996" s="124"/>
      <c r="JJZ996" s="124"/>
      <c r="JKA996" s="124"/>
      <c r="JKB996" s="124"/>
      <c r="JKC996" s="124"/>
      <c r="JKD996" s="124"/>
      <c r="JKE996" s="124"/>
      <c r="JKF996" s="124"/>
      <c r="JKG996" s="124"/>
      <c r="JKH996" s="124"/>
      <c r="JKI996" s="124"/>
      <c r="JKJ996" s="124"/>
      <c r="JKK996" s="124"/>
      <c r="JKL996" s="124"/>
      <c r="JKM996" s="124"/>
      <c r="JKN996" s="124"/>
      <c r="JKO996" s="124"/>
      <c r="JKP996" s="124"/>
      <c r="JKQ996" s="124"/>
      <c r="JKR996" s="124"/>
      <c r="JKS996" s="124"/>
      <c r="JKT996" s="124"/>
      <c r="JKU996" s="124"/>
      <c r="JKV996" s="124"/>
      <c r="JKW996" s="124"/>
      <c r="JKX996" s="124"/>
      <c r="JKY996" s="124"/>
      <c r="JKZ996" s="124"/>
      <c r="JLA996" s="124"/>
      <c r="JLB996" s="124"/>
      <c r="JLC996" s="124"/>
      <c r="JLD996" s="124"/>
      <c r="JLE996" s="124"/>
      <c r="JLF996" s="124"/>
      <c r="JLG996" s="124"/>
      <c r="JLH996" s="124"/>
      <c r="JLI996" s="124"/>
      <c r="JLJ996" s="124"/>
      <c r="JLK996" s="124"/>
      <c r="JLL996" s="124"/>
      <c r="JLM996" s="124"/>
      <c r="JLN996" s="124"/>
      <c r="JLO996" s="124"/>
      <c r="JLP996" s="124"/>
      <c r="JLQ996" s="124"/>
      <c r="JLR996" s="124"/>
      <c r="JLS996" s="124"/>
      <c r="JLT996" s="124"/>
      <c r="JLU996" s="124"/>
      <c r="JLV996" s="124"/>
      <c r="JLW996" s="124"/>
      <c r="JLX996" s="124"/>
      <c r="JLY996" s="124"/>
      <c r="JLZ996" s="124"/>
      <c r="JMA996" s="124"/>
      <c r="JMB996" s="124"/>
      <c r="JMC996" s="124"/>
      <c r="JMD996" s="124"/>
      <c r="JME996" s="124"/>
      <c r="JMF996" s="124"/>
      <c r="JMG996" s="124"/>
      <c r="JMH996" s="124"/>
      <c r="JMI996" s="124"/>
      <c r="JMJ996" s="124"/>
      <c r="JMK996" s="124"/>
      <c r="JML996" s="124"/>
      <c r="JMM996" s="124"/>
      <c r="JMN996" s="124"/>
      <c r="JMO996" s="124"/>
      <c r="JMP996" s="124"/>
      <c r="JMQ996" s="124"/>
      <c r="JMR996" s="124"/>
      <c r="JMS996" s="124"/>
      <c r="JMT996" s="124"/>
      <c r="JMU996" s="124"/>
      <c r="JMV996" s="124"/>
      <c r="JMW996" s="124"/>
      <c r="JMX996" s="124"/>
      <c r="JMY996" s="124"/>
      <c r="JMZ996" s="124"/>
      <c r="JNA996" s="124"/>
      <c r="JNB996" s="124"/>
      <c r="JNC996" s="124"/>
      <c r="JND996" s="124"/>
      <c r="JNE996" s="124"/>
      <c r="JNF996" s="124"/>
      <c r="JNG996" s="124"/>
      <c r="JNH996" s="124"/>
      <c r="JNI996" s="124"/>
      <c r="JNJ996" s="124"/>
      <c r="JNK996" s="124"/>
      <c r="JNL996" s="124"/>
      <c r="JNM996" s="124"/>
      <c r="JNN996" s="124"/>
      <c r="JNO996" s="124"/>
      <c r="JNP996" s="124"/>
      <c r="JNQ996" s="124"/>
      <c r="JNR996" s="124"/>
      <c r="JNS996" s="124"/>
      <c r="JNT996" s="124"/>
      <c r="JNU996" s="124"/>
      <c r="JNV996" s="124"/>
      <c r="JNW996" s="124"/>
      <c r="JNX996" s="124"/>
      <c r="JNY996" s="124"/>
      <c r="JNZ996" s="124"/>
      <c r="JOA996" s="124"/>
      <c r="JOB996" s="124"/>
      <c r="JOC996" s="124"/>
      <c r="JOD996" s="124"/>
      <c r="JOE996" s="124"/>
      <c r="JOF996" s="124"/>
      <c r="JOG996" s="124"/>
      <c r="JOH996" s="124"/>
      <c r="JOI996" s="124"/>
      <c r="JOJ996" s="124"/>
      <c r="JOK996" s="124"/>
      <c r="JOL996" s="124"/>
      <c r="JOM996" s="124"/>
      <c r="JON996" s="124"/>
      <c r="JOO996" s="124"/>
      <c r="JOP996" s="124"/>
      <c r="JOQ996" s="124"/>
      <c r="JOR996" s="124"/>
      <c r="JOS996" s="124"/>
      <c r="JOT996" s="124"/>
      <c r="JOU996" s="124"/>
      <c r="JOV996" s="124"/>
      <c r="JOW996" s="124"/>
      <c r="JOX996" s="124"/>
      <c r="JOY996" s="124"/>
      <c r="JOZ996" s="124"/>
      <c r="JPA996" s="124"/>
      <c r="JPB996" s="124"/>
      <c r="JPC996" s="124"/>
      <c r="JPD996" s="124"/>
      <c r="JPE996" s="124"/>
      <c r="JPF996" s="124"/>
      <c r="JPG996" s="124"/>
      <c r="JPH996" s="124"/>
      <c r="JPI996" s="124"/>
      <c r="JPJ996" s="124"/>
      <c r="JPK996" s="124"/>
      <c r="JPL996" s="124"/>
      <c r="JPM996" s="124"/>
      <c r="JPN996" s="124"/>
      <c r="JPO996" s="124"/>
      <c r="JPP996" s="124"/>
      <c r="JPQ996" s="124"/>
      <c r="JPR996" s="124"/>
      <c r="JPS996" s="124"/>
      <c r="JPT996" s="124"/>
      <c r="JPU996" s="124"/>
      <c r="JPV996" s="124"/>
      <c r="JPW996" s="124"/>
      <c r="JPX996" s="124"/>
      <c r="JPY996" s="124"/>
      <c r="JPZ996" s="124"/>
      <c r="JQA996" s="124"/>
      <c r="JQB996" s="124"/>
      <c r="JQC996" s="124"/>
      <c r="JQD996" s="124"/>
      <c r="JQE996" s="124"/>
      <c r="JQF996" s="124"/>
      <c r="JQG996" s="124"/>
      <c r="JQH996" s="124"/>
      <c r="JQI996" s="124"/>
      <c r="JQJ996" s="124"/>
      <c r="JQK996" s="124"/>
      <c r="JQL996" s="124"/>
      <c r="JQM996" s="124"/>
      <c r="JQN996" s="124"/>
      <c r="JQO996" s="124"/>
      <c r="JQP996" s="124"/>
      <c r="JQQ996" s="124"/>
      <c r="JQR996" s="124"/>
      <c r="JQS996" s="124"/>
      <c r="JQT996" s="124"/>
      <c r="JQU996" s="124"/>
      <c r="JQV996" s="124"/>
      <c r="JQW996" s="124"/>
      <c r="JQX996" s="124"/>
      <c r="JQY996" s="124"/>
      <c r="JQZ996" s="124"/>
      <c r="JRA996" s="124"/>
      <c r="JRB996" s="124"/>
      <c r="JRC996" s="124"/>
      <c r="JRD996" s="124"/>
      <c r="JRE996" s="124"/>
      <c r="JRF996" s="124"/>
      <c r="JRG996" s="124"/>
      <c r="JRH996" s="124"/>
      <c r="JRI996" s="124"/>
      <c r="JRJ996" s="124"/>
      <c r="JRK996" s="124"/>
      <c r="JRL996" s="124"/>
      <c r="JRM996" s="124"/>
      <c r="JRN996" s="124"/>
      <c r="JRO996" s="124"/>
      <c r="JRP996" s="124"/>
      <c r="JRQ996" s="124"/>
      <c r="JRR996" s="124"/>
      <c r="JRS996" s="124"/>
      <c r="JRT996" s="124"/>
      <c r="JRU996" s="124"/>
      <c r="JRV996" s="124"/>
      <c r="JRW996" s="124"/>
      <c r="JRX996" s="124"/>
      <c r="JRY996" s="124"/>
      <c r="JRZ996" s="124"/>
      <c r="JSA996" s="124"/>
      <c r="JSB996" s="124"/>
      <c r="JSC996" s="124"/>
      <c r="JSD996" s="124"/>
      <c r="JSE996" s="124"/>
      <c r="JSF996" s="124"/>
      <c r="JSG996" s="124"/>
      <c r="JSH996" s="124"/>
      <c r="JSI996" s="124"/>
      <c r="JSJ996" s="124"/>
      <c r="JSK996" s="124"/>
      <c r="JSL996" s="124"/>
      <c r="JSM996" s="124"/>
      <c r="JSN996" s="124"/>
      <c r="JSO996" s="124"/>
      <c r="JSP996" s="124"/>
      <c r="JSQ996" s="124"/>
      <c r="JSR996" s="124"/>
      <c r="JSS996" s="124"/>
      <c r="JST996" s="124"/>
      <c r="JSU996" s="124"/>
      <c r="JSV996" s="124"/>
      <c r="JSW996" s="124"/>
      <c r="JSX996" s="124"/>
      <c r="JSY996" s="124"/>
      <c r="JSZ996" s="124"/>
      <c r="JTA996" s="124"/>
      <c r="JTB996" s="124"/>
      <c r="JTC996" s="124"/>
      <c r="JTD996" s="124"/>
      <c r="JTE996" s="124"/>
      <c r="JTF996" s="124"/>
      <c r="JTG996" s="124"/>
      <c r="JTH996" s="124"/>
      <c r="JTI996" s="124"/>
      <c r="JTJ996" s="124"/>
      <c r="JTK996" s="124"/>
      <c r="JTL996" s="124"/>
      <c r="JTM996" s="124"/>
      <c r="JTN996" s="124"/>
      <c r="JTO996" s="124"/>
      <c r="JTP996" s="124"/>
      <c r="JTQ996" s="124"/>
      <c r="JTR996" s="124"/>
      <c r="JTS996" s="124"/>
      <c r="JTT996" s="124"/>
      <c r="JTU996" s="124"/>
      <c r="JTV996" s="124"/>
      <c r="JTW996" s="124"/>
      <c r="JTX996" s="124"/>
      <c r="JTY996" s="124"/>
      <c r="JTZ996" s="124"/>
      <c r="JUA996" s="124"/>
      <c r="JUB996" s="124"/>
      <c r="JUC996" s="124"/>
      <c r="JUD996" s="124"/>
      <c r="JUE996" s="124"/>
      <c r="JUF996" s="124"/>
      <c r="JUG996" s="124"/>
      <c r="JUH996" s="124"/>
      <c r="JUI996" s="124"/>
      <c r="JUJ996" s="124"/>
      <c r="JUK996" s="124"/>
      <c r="JUL996" s="124"/>
      <c r="JUM996" s="124"/>
      <c r="JUN996" s="124"/>
      <c r="JUO996" s="124"/>
      <c r="JUP996" s="124"/>
      <c r="JUQ996" s="124"/>
      <c r="JUR996" s="124"/>
      <c r="JUS996" s="124"/>
      <c r="JUT996" s="124"/>
      <c r="JUU996" s="124"/>
      <c r="JUV996" s="124"/>
      <c r="JUW996" s="124"/>
      <c r="JUX996" s="124"/>
      <c r="JUY996" s="124"/>
      <c r="JUZ996" s="124"/>
      <c r="JVA996" s="124"/>
      <c r="JVB996" s="124"/>
      <c r="JVC996" s="124"/>
      <c r="JVD996" s="124"/>
      <c r="JVE996" s="124"/>
      <c r="JVF996" s="124"/>
      <c r="JVG996" s="124"/>
      <c r="JVH996" s="124"/>
      <c r="JVI996" s="124"/>
      <c r="JVJ996" s="124"/>
      <c r="JVK996" s="124"/>
      <c r="JVL996" s="124"/>
      <c r="JVM996" s="124"/>
      <c r="JVN996" s="124"/>
      <c r="JVO996" s="124"/>
      <c r="JVP996" s="124"/>
      <c r="JVQ996" s="124"/>
      <c r="JVR996" s="124"/>
      <c r="JVS996" s="124"/>
      <c r="JVT996" s="124"/>
      <c r="JVU996" s="124"/>
      <c r="JVV996" s="124"/>
      <c r="JVW996" s="124"/>
      <c r="JVX996" s="124"/>
      <c r="JVY996" s="124"/>
      <c r="JVZ996" s="124"/>
      <c r="JWA996" s="124"/>
      <c r="JWB996" s="124"/>
      <c r="JWC996" s="124"/>
      <c r="JWD996" s="124"/>
      <c r="JWE996" s="124"/>
      <c r="JWF996" s="124"/>
      <c r="JWG996" s="124"/>
      <c r="JWH996" s="124"/>
      <c r="JWI996" s="124"/>
      <c r="JWJ996" s="124"/>
      <c r="JWK996" s="124"/>
      <c r="JWL996" s="124"/>
      <c r="JWM996" s="124"/>
      <c r="JWN996" s="124"/>
      <c r="JWO996" s="124"/>
      <c r="JWP996" s="124"/>
      <c r="JWQ996" s="124"/>
      <c r="JWR996" s="124"/>
      <c r="JWS996" s="124"/>
      <c r="JWT996" s="124"/>
      <c r="JWU996" s="124"/>
      <c r="JWV996" s="124"/>
      <c r="JWW996" s="124"/>
      <c r="JWX996" s="124"/>
      <c r="JWY996" s="124"/>
      <c r="JWZ996" s="124"/>
      <c r="JXA996" s="124"/>
      <c r="JXB996" s="124"/>
      <c r="JXC996" s="124"/>
      <c r="JXD996" s="124"/>
      <c r="JXE996" s="124"/>
      <c r="JXF996" s="124"/>
      <c r="JXG996" s="124"/>
      <c r="JXH996" s="124"/>
      <c r="JXI996" s="124"/>
      <c r="JXJ996" s="124"/>
      <c r="JXK996" s="124"/>
      <c r="JXL996" s="124"/>
      <c r="JXM996" s="124"/>
      <c r="JXN996" s="124"/>
      <c r="JXO996" s="124"/>
      <c r="JXP996" s="124"/>
      <c r="JXQ996" s="124"/>
      <c r="JXR996" s="124"/>
      <c r="JXS996" s="124"/>
      <c r="JXT996" s="124"/>
      <c r="JXU996" s="124"/>
      <c r="JXV996" s="124"/>
      <c r="JXW996" s="124"/>
      <c r="JXX996" s="124"/>
      <c r="JXY996" s="124"/>
      <c r="JXZ996" s="124"/>
      <c r="JYA996" s="124"/>
      <c r="JYB996" s="124"/>
      <c r="JYC996" s="124"/>
      <c r="JYD996" s="124"/>
      <c r="JYE996" s="124"/>
      <c r="JYF996" s="124"/>
      <c r="JYG996" s="124"/>
      <c r="JYH996" s="124"/>
      <c r="JYI996" s="124"/>
      <c r="JYJ996" s="124"/>
      <c r="JYK996" s="124"/>
      <c r="JYL996" s="124"/>
      <c r="JYM996" s="124"/>
      <c r="JYN996" s="124"/>
      <c r="JYO996" s="124"/>
      <c r="JYP996" s="124"/>
      <c r="JYQ996" s="124"/>
      <c r="JYR996" s="124"/>
      <c r="JYS996" s="124"/>
      <c r="JYT996" s="124"/>
      <c r="JYU996" s="124"/>
      <c r="JYV996" s="124"/>
      <c r="JYW996" s="124"/>
      <c r="JYX996" s="124"/>
      <c r="JYY996" s="124"/>
      <c r="JYZ996" s="124"/>
      <c r="JZA996" s="124"/>
      <c r="JZB996" s="124"/>
      <c r="JZC996" s="124"/>
      <c r="JZD996" s="124"/>
      <c r="JZE996" s="124"/>
      <c r="JZF996" s="124"/>
      <c r="JZG996" s="124"/>
      <c r="JZH996" s="124"/>
      <c r="JZI996" s="124"/>
      <c r="JZJ996" s="124"/>
      <c r="JZK996" s="124"/>
      <c r="JZL996" s="124"/>
      <c r="JZM996" s="124"/>
      <c r="JZN996" s="124"/>
      <c r="JZO996" s="124"/>
      <c r="JZP996" s="124"/>
      <c r="JZQ996" s="124"/>
      <c r="JZR996" s="124"/>
      <c r="JZS996" s="124"/>
      <c r="JZT996" s="124"/>
      <c r="JZU996" s="124"/>
      <c r="JZV996" s="124"/>
      <c r="JZW996" s="124"/>
      <c r="JZX996" s="124"/>
      <c r="JZY996" s="124"/>
      <c r="JZZ996" s="124"/>
      <c r="KAA996" s="124"/>
      <c r="KAB996" s="124"/>
      <c r="KAC996" s="124"/>
      <c r="KAD996" s="124"/>
      <c r="KAE996" s="124"/>
      <c r="KAF996" s="124"/>
      <c r="KAG996" s="124"/>
      <c r="KAH996" s="124"/>
      <c r="KAI996" s="124"/>
      <c r="KAJ996" s="124"/>
      <c r="KAK996" s="124"/>
      <c r="KAL996" s="124"/>
      <c r="KAM996" s="124"/>
      <c r="KAN996" s="124"/>
      <c r="KAO996" s="124"/>
      <c r="KAP996" s="124"/>
      <c r="KAQ996" s="124"/>
      <c r="KAR996" s="124"/>
      <c r="KAS996" s="124"/>
      <c r="KAT996" s="124"/>
      <c r="KAU996" s="124"/>
      <c r="KAV996" s="124"/>
      <c r="KAW996" s="124"/>
      <c r="KAX996" s="124"/>
      <c r="KAY996" s="124"/>
      <c r="KAZ996" s="124"/>
      <c r="KBA996" s="124"/>
      <c r="KBB996" s="124"/>
      <c r="KBC996" s="124"/>
      <c r="KBD996" s="124"/>
      <c r="KBE996" s="124"/>
      <c r="KBF996" s="124"/>
      <c r="KBG996" s="124"/>
      <c r="KBH996" s="124"/>
      <c r="KBI996" s="124"/>
      <c r="KBJ996" s="124"/>
      <c r="KBK996" s="124"/>
      <c r="KBL996" s="124"/>
      <c r="KBM996" s="124"/>
      <c r="KBN996" s="124"/>
      <c r="KBO996" s="124"/>
      <c r="KBP996" s="124"/>
      <c r="KBQ996" s="124"/>
      <c r="KBR996" s="124"/>
      <c r="KBS996" s="124"/>
      <c r="KBT996" s="124"/>
      <c r="KBU996" s="124"/>
      <c r="KBV996" s="124"/>
      <c r="KBW996" s="124"/>
      <c r="KBX996" s="124"/>
      <c r="KBY996" s="124"/>
      <c r="KBZ996" s="124"/>
      <c r="KCA996" s="124"/>
      <c r="KCB996" s="124"/>
      <c r="KCC996" s="124"/>
      <c r="KCD996" s="124"/>
      <c r="KCE996" s="124"/>
      <c r="KCF996" s="124"/>
      <c r="KCG996" s="124"/>
      <c r="KCH996" s="124"/>
      <c r="KCI996" s="124"/>
      <c r="KCJ996" s="124"/>
      <c r="KCK996" s="124"/>
      <c r="KCL996" s="124"/>
      <c r="KCM996" s="124"/>
      <c r="KCN996" s="124"/>
      <c r="KCO996" s="124"/>
      <c r="KCP996" s="124"/>
      <c r="KCQ996" s="124"/>
      <c r="KCR996" s="124"/>
      <c r="KCS996" s="124"/>
      <c r="KCT996" s="124"/>
      <c r="KCU996" s="124"/>
      <c r="KCV996" s="124"/>
      <c r="KCW996" s="124"/>
      <c r="KCX996" s="124"/>
      <c r="KCY996" s="124"/>
      <c r="KCZ996" s="124"/>
      <c r="KDA996" s="124"/>
      <c r="KDB996" s="124"/>
      <c r="KDC996" s="124"/>
      <c r="KDD996" s="124"/>
      <c r="KDE996" s="124"/>
      <c r="KDF996" s="124"/>
      <c r="KDG996" s="124"/>
      <c r="KDH996" s="124"/>
      <c r="KDI996" s="124"/>
      <c r="KDJ996" s="124"/>
      <c r="KDK996" s="124"/>
      <c r="KDL996" s="124"/>
      <c r="KDM996" s="124"/>
      <c r="KDN996" s="124"/>
      <c r="KDO996" s="124"/>
      <c r="KDP996" s="124"/>
      <c r="KDQ996" s="124"/>
      <c r="KDR996" s="124"/>
      <c r="KDS996" s="124"/>
      <c r="KDT996" s="124"/>
      <c r="KDU996" s="124"/>
      <c r="KDV996" s="124"/>
      <c r="KDW996" s="124"/>
      <c r="KDX996" s="124"/>
      <c r="KDY996" s="124"/>
      <c r="KDZ996" s="124"/>
      <c r="KEA996" s="124"/>
      <c r="KEB996" s="124"/>
      <c r="KEC996" s="124"/>
      <c r="KED996" s="124"/>
      <c r="KEE996" s="124"/>
      <c r="KEF996" s="124"/>
      <c r="KEG996" s="124"/>
      <c r="KEH996" s="124"/>
      <c r="KEI996" s="124"/>
      <c r="KEJ996" s="124"/>
      <c r="KEK996" s="124"/>
      <c r="KEL996" s="124"/>
      <c r="KEM996" s="124"/>
      <c r="KEN996" s="124"/>
      <c r="KEO996" s="124"/>
      <c r="KEP996" s="124"/>
      <c r="KEQ996" s="124"/>
      <c r="KER996" s="124"/>
      <c r="KES996" s="124"/>
      <c r="KET996" s="124"/>
      <c r="KEU996" s="124"/>
      <c r="KEV996" s="124"/>
      <c r="KEW996" s="124"/>
      <c r="KEX996" s="124"/>
      <c r="KEY996" s="124"/>
      <c r="KEZ996" s="124"/>
      <c r="KFA996" s="124"/>
      <c r="KFB996" s="124"/>
      <c r="KFC996" s="124"/>
      <c r="KFD996" s="124"/>
      <c r="KFE996" s="124"/>
      <c r="KFF996" s="124"/>
      <c r="KFG996" s="124"/>
      <c r="KFH996" s="124"/>
      <c r="KFI996" s="124"/>
      <c r="KFJ996" s="124"/>
      <c r="KFK996" s="124"/>
      <c r="KFL996" s="124"/>
      <c r="KFM996" s="124"/>
      <c r="KFN996" s="124"/>
      <c r="KFO996" s="124"/>
      <c r="KFP996" s="124"/>
      <c r="KFQ996" s="124"/>
      <c r="KFR996" s="124"/>
      <c r="KFS996" s="124"/>
      <c r="KFT996" s="124"/>
      <c r="KFU996" s="124"/>
      <c r="KFV996" s="124"/>
      <c r="KFW996" s="124"/>
      <c r="KFX996" s="124"/>
      <c r="KFY996" s="124"/>
      <c r="KFZ996" s="124"/>
      <c r="KGA996" s="124"/>
      <c r="KGB996" s="124"/>
      <c r="KGC996" s="124"/>
      <c r="KGD996" s="124"/>
      <c r="KGE996" s="124"/>
      <c r="KGF996" s="124"/>
      <c r="KGG996" s="124"/>
      <c r="KGH996" s="124"/>
      <c r="KGI996" s="124"/>
      <c r="KGJ996" s="124"/>
      <c r="KGK996" s="124"/>
      <c r="KGL996" s="124"/>
      <c r="KGM996" s="124"/>
      <c r="KGN996" s="124"/>
      <c r="KGO996" s="124"/>
      <c r="KGP996" s="124"/>
      <c r="KGQ996" s="124"/>
      <c r="KGR996" s="124"/>
      <c r="KGS996" s="124"/>
      <c r="KGT996" s="124"/>
      <c r="KGU996" s="124"/>
      <c r="KGV996" s="124"/>
      <c r="KGW996" s="124"/>
      <c r="KGX996" s="124"/>
      <c r="KGY996" s="124"/>
      <c r="KGZ996" s="124"/>
      <c r="KHA996" s="124"/>
      <c r="KHB996" s="124"/>
      <c r="KHC996" s="124"/>
      <c r="KHD996" s="124"/>
      <c r="KHE996" s="124"/>
      <c r="KHF996" s="124"/>
      <c r="KHG996" s="124"/>
      <c r="KHH996" s="124"/>
      <c r="KHI996" s="124"/>
      <c r="KHJ996" s="124"/>
      <c r="KHK996" s="124"/>
      <c r="KHL996" s="124"/>
      <c r="KHM996" s="124"/>
      <c r="KHN996" s="124"/>
      <c r="KHO996" s="124"/>
      <c r="KHP996" s="124"/>
      <c r="KHQ996" s="124"/>
      <c r="KHR996" s="124"/>
      <c r="KHS996" s="124"/>
      <c r="KHT996" s="124"/>
      <c r="KHU996" s="124"/>
      <c r="KHV996" s="124"/>
      <c r="KHW996" s="124"/>
      <c r="KHX996" s="124"/>
      <c r="KHY996" s="124"/>
      <c r="KHZ996" s="124"/>
      <c r="KIA996" s="124"/>
      <c r="KIB996" s="124"/>
      <c r="KIC996" s="124"/>
      <c r="KID996" s="124"/>
      <c r="KIE996" s="124"/>
      <c r="KIF996" s="124"/>
      <c r="KIG996" s="124"/>
      <c r="KIH996" s="124"/>
      <c r="KII996" s="124"/>
      <c r="KIJ996" s="124"/>
      <c r="KIK996" s="124"/>
      <c r="KIL996" s="124"/>
      <c r="KIM996" s="124"/>
      <c r="KIN996" s="124"/>
      <c r="KIO996" s="124"/>
      <c r="KIP996" s="124"/>
      <c r="KIQ996" s="124"/>
      <c r="KIR996" s="124"/>
      <c r="KIS996" s="124"/>
      <c r="KIT996" s="124"/>
      <c r="KIU996" s="124"/>
      <c r="KIV996" s="124"/>
      <c r="KIW996" s="124"/>
      <c r="KIX996" s="124"/>
      <c r="KIY996" s="124"/>
      <c r="KIZ996" s="124"/>
      <c r="KJA996" s="124"/>
      <c r="KJB996" s="124"/>
      <c r="KJC996" s="124"/>
      <c r="KJD996" s="124"/>
      <c r="KJE996" s="124"/>
      <c r="KJF996" s="124"/>
      <c r="KJG996" s="124"/>
      <c r="KJH996" s="124"/>
      <c r="KJI996" s="124"/>
      <c r="KJJ996" s="124"/>
      <c r="KJK996" s="124"/>
      <c r="KJL996" s="124"/>
      <c r="KJM996" s="124"/>
      <c r="KJN996" s="124"/>
      <c r="KJO996" s="124"/>
      <c r="KJP996" s="124"/>
      <c r="KJQ996" s="124"/>
      <c r="KJR996" s="124"/>
      <c r="KJS996" s="124"/>
      <c r="KJT996" s="124"/>
      <c r="KJU996" s="124"/>
      <c r="KJV996" s="124"/>
      <c r="KJW996" s="124"/>
      <c r="KJX996" s="124"/>
      <c r="KJY996" s="124"/>
      <c r="KJZ996" s="124"/>
      <c r="KKA996" s="124"/>
      <c r="KKB996" s="124"/>
      <c r="KKC996" s="124"/>
      <c r="KKD996" s="124"/>
      <c r="KKE996" s="124"/>
      <c r="KKF996" s="124"/>
      <c r="KKG996" s="124"/>
      <c r="KKH996" s="124"/>
      <c r="KKI996" s="124"/>
      <c r="KKJ996" s="124"/>
      <c r="KKK996" s="124"/>
      <c r="KKL996" s="124"/>
      <c r="KKM996" s="124"/>
      <c r="KKN996" s="124"/>
      <c r="KKO996" s="124"/>
      <c r="KKP996" s="124"/>
      <c r="KKQ996" s="124"/>
      <c r="KKR996" s="124"/>
      <c r="KKS996" s="124"/>
      <c r="KKT996" s="124"/>
      <c r="KKU996" s="124"/>
      <c r="KKV996" s="124"/>
      <c r="KKW996" s="124"/>
      <c r="KKX996" s="124"/>
      <c r="KKY996" s="124"/>
      <c r="KKZ996" s="124"/>
      <c r="KLA996" s="124"/>
      <c r="KLB996" s="124"/>
      <c r="KLC996" s="124"/>
      <c r="KLD996" s="124"/>
      <c r="KLE996" s="124"/>
      <c r="KLF996" s="124"/>
      <c r="KLG996" s="124"/>
      <c r="KLH996" s="124"/>
      <c r="KLI996" s="124"/>
      <c r="KLJ996" s="124"/>
      <c r="KLK996" s="124"/>
      <c r="KLL996" s="124"/>
      <c r="KLM996" s="124"/>
      <c r="KLN996" s="124"/>
      <c r="KLO996" s="124"/>
      <c r="KLP996" s="124"/>
      <c r="KLQ996" s="124"/>
      <c r="KLR996" s="124"/>
      <c r="KLS996" s="124"/>
      <c r="KLT996" s="124"/>
      <c r="KLU996" s="124"/>
      <c r="KLV996" s="124"/>
      <c r="KLW996" s="124"/>
      <c r="KLX996" s="124"/>
      <c r="KLY996" s="124"/>
      <c r="KLZ996" s="124"/>
      <c r="KMA996" s="124"/>
      <c r="KMB996" s="124"/>
      <c r="KMC996" s="124"/>
      <c r="KMD996" s="124"/>
      <c r="KME996" s="124"/>
      <c r="KMF996" s="124"/>
      <c r="KMG996" s="124"/>
      <c r="KMH996" s="124"/>
      <c r="KMI996" s="124"/>
      <c r="KMJ996" s="124"/>
      <c r="KMK996" s="124"/>
      <c r="KML996" s="124"/>
      <c r="KMM996" s="124"/>
      <c r="KMN996" s="124"/>
      <c r="KMO996" s="124"/>
      <c r="KMP996" s="124"/>
      <c r="KMQ996" s="124"/>
      <c r="KMR996" s="124"/>
      <c r="KMS996" s="124"/>
      <c r="KMT996" s="124"/>
      <c r="KMU996" s="124"/>
      <c r="KMV996" s="124"/>
      <c r="KMW996" s="124"/>
      <c r="KMX996" s="124"/>
      <c r="KMY996" s="124"/>
      <c r="KMZ996" s="124"/>
      <c r="KNA996" s="124"/>
      <c r="KNB996" s="124"/>
      <c r="KNC996" s="124"/>
      <c r="KND996" s="124"/>
      <c r="KNE996" s="124"/>
      <c r="KNF996" s="124"/>
      <c r="KNG996" s="124"/>
      <c r="KNH996" s="124"/>
      <c r="KNI996" s="124"/>
      <c r="KNJ996" s="124"/>
      <c r="KNK996" s="124"/>
      <c r="KNL996" s="124"/>
      <c r="KNM996" s="124"/>
      <c r="KNN996" s="124"/>
      <c r="KNO996" s="124"/>
      <c r="KNP996" s="124"/>
      <c r="KNQ996" s="124"/>
      <c r="KNR996" s="124"/>
      <c r="KNS996" s="124"/>
      <c r="KNT996" s="124"/>
      <c r="KNU996" s="124"/>
      <c r="KNV996" s="124"/>
      <c r="KNW996" s="124"/>
      <c r="KNX996" s="124"/>
      <c r="KNY996" s="124"/>
      <c r="KNZ996" s="124"/>
      <c r="KOA996" s="124"/>
      <c r="KOB996" s="124"/>
      <c r="KOC996" s="124"/>
      <c r="KOD996" s="124"/>
      <c r="KOE996" s="124"/>
      <c r="KOF996" s="124"/>
      <c r="KOG996" s="124"/>
      <c r="KOH996" s="124"/>
      <c r="KOI996" s="124"/>
      <c r="KOJ996" s="124"/>
      <c r="KOK996" s="124"/>
      <c r="KOL996" s="124"/>
      <c r="KOM996" s="124"/>
      <c r="KON996" s="124"/>
      <c r="KOO996" s="124"/>
      <c r="KOP996" s="124"/>
      <c r="KOQ996" s="124"/>
      <c r="KOR996" s="124"/>
      <c r="KOS996" s="124"/>
      <c r="KOT996" s="124"/>
      <c r="KOU996" s="124"/>
      <c r="KOV996" s="124"/>
      <c r="KOW996" s="124"/>
      <c r="KOX996" s="124"/>
      <c r="KOY996" s="124"/>
      <c r="KOZ996" s="124"/>
      <c r="KPA996" s="124"/>
      <c r="KPB996" s="124"/>
      <c r="KPC996" s="124"/>
      <c r="KPD996" s="124"/>
      <c r="KPE996" s="124"/>
      <c r="KPF996" s="124"/>
      <c r="KPG996" s="124"/>
      <c r="KPH996" s="124"/>
      <c r="KPI996" s="124"/>
      <c r="KPJ996" s="124"/>
      <c r="KPK996" s="124"/>
      <c r="KPL996" s="124"/>
      <c r="KPM996" s="124"/>
      <c r="KPN996" s="124"/>
      <c r="KPO996" s="124"/>
      <c r="KPP996" s="124"/>
      <c r="KPQ996" s="124"/>
      <c r="KPR996" s="124"/>
      <c r="KPS996" s="124"/>
      <c r="KPT996" s="124"/>
      <c r="KPU996" s="124"/>
      <c r="KPV996" s="124"/>
      <c r="KPW996" s="124"/>
      <c r="KPX996" s="124"/>
      <c r="KPY996" s="124"/>
      <c r="KPZ996" s="124"/>
      <c r="KQA996" s="124"/>
      <c r="KQB996" s="124"/>
      <c r="KQC996" s="124"/>
      <c r="KQD996" s="124"/>
      <c r="KQE996" s="124"/>
      <c r="KQF996" s="124"/>
      <c r="KQG996" s="124"/>
      <c r="KQH996" s="124"/>
      <c r="KQI996" s="124"/>
      <c r="KQJ996" s="124"/>
      <c r="KQK996" s="124"/>
      <c r="KQL996" s="124"/>
      <c r="KQM996" s="124"/>
      <c r="KQN996" s="124"/>
      <c r="KQO996" s="124"/>
      <c r="KQP996" s="124"/>
      <c r="KQQ996" s="124"/>
      <c r="KQR996" s="124"/>
      <c r="KQS996" s="124"/>
      <c r="KQT996" s="124"/>
      <c r="KQU996" s="124"/>
      <c r="KQV996" s="124"/>
      <c r="KQW996" s="124"/>
      <c r="KQX996" s="124"/>
      <c r="KQY996" s="124"/>
      <c r="KQZ996" s="124"/>
      <c r="KRA996" s="124"/>
      <c r="KRB996" s="124"/>
      <c r="KRC996" s="124"/>
      <c r="KRD996" s="124"/>
      <c r="KRE996" s="124"/>
      <c r="KRF996" s="124"/>
      <c r="KRG996" s="124"/>
      <c r="KRH996" s="124"/>
      <c r="KRI996" s="124"/>
      <c r="KRJ996" s="124"/>
      <c r="KRK996" s="124"/>
      <c r="KRL996" s="124"/>
      <c r="KRM996" s="124"/>
      <c r="KRN996" s="124"/>
      <c r="KRO996" s="124"/>
      <c r="KRP996" s="124"/>
      <c r="KRQ996" s="124"/>
      <c r="KRR996" s="124"/>
      <c r="KRS996" s="124"/>
      <c r="KRT996" s="124"/>
      <c r="KRU996" s="124"/>
      <c r="KRV996" s="124"/>
      <c r="KRW996" s="124"/>
      <c r="KRX996" s="124"/>
      <c r="KRY996" s="124"/>
      <c r="KRZ996" s="124"/>
      <c r="KSA996" s="124"/>
      <c r="KSB996" s="124"/>
      <c r="KSC996" s="124"/>
      <c r="KSD996" s="124"/>
      <c r="KSE996" s="124"/>
      <c r="KSF996" s="124"/>
      <c r="KSG996" s="124"/>
      <c r="KSH996" s="124"/>
      <c r="KSI996" s="124"/>
      <c r="KSJ996" s="124"/>
      <c r="KSK996" s="124"/>
      <c r="KSL996" s="124"/>
      <c r="KSM996" s="124"/>
      <c r="KSN996" s="124"/>
      <c r="KSO996" s="124"/>
      <c r="KSP996" s="124"/>
      <c r="KSQ996" s="124"/>
      <c r="KSR996" s="124"/>
      <c r="KSS996" s="124"/>
      <c r="KST996" s="124"/>
      <c r="KSU996" s="124"/>
      <c r="KSV996" s="124"/>
      <c r="KSW996" s="124"/>
      <c r="KSX996" s="124"/>
      <c r="KSY996" s="124"/>
      <c r="KSZ996" s="124"/>
      <c r="KTA996" s="124"/>
      <c r="KTB996" s="124"/>
      <c r="KTC996" s="124"/>
      <c r="KTD996" s="124"/>
      <c r="KTE996" s="124"/>
      <c r="KTF996" s="124"/>
      <c r="KTG996" s="124"/>
      <c r="KTH996" s="124"/>
      <c r="KTI996" s="124"/>
      <c r="KTJ996" s="124"/>
      <c r="KTK996" s="124"/>
      <c r="KTL996" s="124"/>
      <c r="KTM996" s="124"/>
      <c r="KTN996" s="124"/>
      <c r="KTO996" s="124"/>
      <c r="KTP996" s="124"/>
      <c r="KTQ996" s="124"/>
      <c r="KTR996" s="124"/>
      <c r="KTS996" s="124"/>
      <c r="KTT996" s="124"/>
      <c r="KTU996" s="124"/>
      <c r="KTV996" s="124"/>
      <c r="KTW996" s="124"/>
      <c r="KTX996" s="124"/>
      <c r="KTY996" s="124"/>
      <c r="KTZ996" s="124"/>
      <c r="KUA996" s="124"/>
      <c r="KUB996" s="124"/>
      <c r="KUC996" s="124"/>
      <c r="KUD996" s="124"/>
      <c r="KUE996" s="124"/>
      <c r="KUF996" s="124"/>
      <c r="KUG996" s="124"/>
      <c r="KUH996" s="124"/>
      <c r="KUI996" s="124"/>
      <c r="KUJ996" s="124"/>
      <c r="KUK996" s="124"/>
      <c r="KUL996" s="124"/>
      <c r="KUM996" s="124"/>
      <c r="KUN996" s="124"/>
      <c r="KUO996" s="124"/>
      <c r="KUP996" s="124"/>
      <c r="KUQ996" s="124"/>
      <c r="KUR996" s="124"/>
      <c r="KUS996" s="124"/>
      <c r="KUT996" s="124"/>
      <c r="KUU996" s="124"/>
      <c r="KUV996" s="124"/>
      <c r="KUW996" s="124"/>
      <c r="KUX996" s="124"/>
      <c r="KUY996" s="124"/>
      <c r="KUZ996" s="124"/>
      <c r="KVA996" s="124"/>
      <c r="KVB996" s="124"/>
      <c r="KVC996" s="124"/>
      <c r="KVD996" s="124"/>
      <c r="KVE996" s="124"/>
      <c r="KVF996" s="124"/>
      <c r="KVG996" s="124"/>
      <c r="KVH996" s="124"/>
      <c r="KVI996" s="124"/>
      <c r="KVJ996" s="124"/>
      <c r="KVK996" s="124"/>
      <c r="KVL996" s="124"/>
      <c r="KVM996" s="124"/>
      <c r="KVN996" s="124"/>
      <c r="KVO996" s="124"/>
      <c r="KVP996" s="124"/>
      <c r="KVQ996" s="124"/>
      <c r="KVR996" s="124"/>
      <c r="KVS996" s="124"/>
      <c r="KVT996" s="124"/>
      <c r="KVU996" s="124"/>
      <c r="KVV996" s="124"/>
      <c r="KVW996" s="124"/>
      <c r="KVX996" s="124"/>
      <c r="KVY996" s="124"/>
      <c r="KVZ996" s="124"/>
      <c r="KWA996" s="124"/>
      <c r="KWB996" s="124"/>
      <c r="KWC996" s="124"/>
      <c r="KWD996" s="124"/>
      <c r="KWE996" s="124"/>
      <c r="KWF996" s="124"/>
      <c r="KWG996" s="124"/>
      <c r="KWH996" s="124"/>
      <c r="KWI996" s="124"/>
      <c r="KWJ996" s="124"/>
      <c r="KWK996" s="124"/>
      <c r="KWL996" s="124"/>
      <c r="KWM996" s="124"/>
      <c r="KWN996" s="124"/>
      <c r="KWO996" s="124"/>
      <c r="KWP996" s="124"/>
      <c r="KWQ996" s="124"/>
      <c r="KWR996" s="124"/>
      <c r="KWS996" s="124"/>
      <c r="KWT996" s="124"/>
      <c r="KWU996" s="124"/>
      <c r="KWV996" s="124"/>
      <c r="KWW996" s="124"/>
      <c r="KWX996" s="124"/>
      <c r="KWY996" s="124"/>
      <c r="KWZ996" s="124"/>
      <c r="KXA996" s="124"/>
      <c r="KXB996" s="124"/>
      <c r="KXC996" s="124"/>
      <c r="KXD996" s="124"/>
      <c r="KXE996" s="124"/>
      <c r="KXF996" s="124"/>
      <c r="KXG996" s="124"/>
      <c r="KXH996" s="124"/>
      <c r="KXI996" s="124"/>
      <c r="KXJ996" s="124"/>
      <c r="KXK996" s="124"/>
      <c r="KXL996" s="124"/>
      <c r="KXM996" s="124"/>
      <c r="KXN996" s="124"/>
      <c r="KXO996" s="124"/>
      <c r="KXP996" s="124"/>
      <c r="KXQ996" s="124"/>
      <c r="KXR996" s="124"/>
      <c r="KXS996" s="124"/>
      <c r="KXT996" s="124"/>
      <c r="KXU996" s="124"/>
      <c r="KXV996" s="124"/>
      <c r="KXW996" s="124"/>
      <c r="KXX996" s="124"/>
      <c r="KXY996" s="124"/>
      <c r="KXZ996" s="124"/>
      <c r="KYA996" s="124"/>
      <c r="KYB996" s="124"/>
      <c r="KYC996" s="124"/>
      <c r="KYD996" s="124"/>
      <c r="KYE996" s="124"/>
      <c r="KYF996" s="124"/>
      <c r="KYG996" s="124"/>
      <c r="KYH996" s="124"/>
      <c r="KYI996" s="124"/>
      <c r="KYJ996" s="124"/>
      <c r="KYK996" s="124"/>
      <c r="KYL996" s="124"/>
      <c r="KYM996" s="124"/>
      <c r="KYN996" s="124"/>
      <c r="KYO996" s="124"/>
      <c r="KYP996" s="124"/>
      <c r="KYQ996" s="124"/>
      <c r="KYR996" s="124"/>
      <c r="KYS996" s="124"/>
      <c r="KYT996" s="124"/>
      <c r="KYU996" s="124"/>
      <c r="KYV996" s="124"/>
      <c r="KYW996" s="124"/>
      <c r="KYX996" s="124"/>
      <c r="KYY996" s="124"/>
      <c r="KYZ996" s="124"/>
      <c r="KZA996" s="124"/>
      <c r="KZB996" s="124"/>
      <c r="KZC996" s="124"/>
      <c r="KZD996" s="124"/>
      <c r="KZE996" s="124"/>
      <c r="KZF996" s="124"/>
      <c r="KZG996" s="124"/>
      <c r="KZH996" s="124"/>
      <c r="KZI996" s="124"/>
      <c r="KZJ996" s="124"/>
      <c r="KZK996" s="124"/>
      <c r="KZL996" s="124"/>
      <c r="KZM996" s="124"/>
      <c r="KZN996" s="124"/>
      <c r="KZO996" s="124"/>
      <c r="KZP996" s="124"/>
      <c r="KZQ996" s="124"/>
      <c r="KZR996" s="124"/>
      <c r="KZS996" s="124"/>
      <c r="KZT996" s="124"/>
      <c r="KZU996" s="124"/>
      <c r="KZV996" s="124"/>
      <c r="KZW996" s="124"/>
      <c r="KZX996" s="124"/>
      <c r="KZY996" s="124"/>
      <c r="KZZ996" s="124"/>
      <c r="LAA996" s="124"/>
      <c r="LAB996" s="124"/>
      <c r="LAC996" s="124"/>
      <c r="LAD996" s="124"/>
      <c r="LAE996" s="124"/>
      <c r="LAF996" s="124"/>
      <c r="LAG996" s="124"/>
      <c r="LAH996" s="124"/>
      <c r="LAI996" s="124"/>
      <c r="LAJ996" s="124"/>
      <c r="LAK996" s="124"/>
      <c r="LAL996" s="124"/>
      <c r="LAM996" s="124"/>
      <c r="LAN996" s="124"/>
      <c r="LAO996" s="124"/>
      <c r="LAP996" s="124"/>
      <c r="LAQ996" s="124"/>
      <c r="LAR996" s="124"/>
      <c r="LAS996" s="124"/>
      <c r="LAT996" s="124"/>
      <c r="LAU996" s="124"/>
      <c r="LAV996" s="124"/>
      <c r="LAW996" s="124"/>
      <c r="LAX996" s="124"/>
      <c r="LAY996" s="124"/>
      <c r="LAZ996" s="124"/>
      <c r="LBA996" s="124"/>
      <c r="LBB996" s="124"/>
      <c r="LBC996" s="124"/>
      <c r="LBD996" s="124"/>
      <c r="LBE996" s="124"/>
      <c r="LBF996" s="124"/>
      <c r="LBG996" s="124"/>
      <c r="LBH996" s="124"/>
      <c r="LBI996" s="124"/>
      <c r="LBJ996" s="124"/>
      <c r="LBK996" s="124"/>
      <c r="LBL996" s="124"/>
      <c r="LBM996" s="124"/>
      <c r="LBN996" s="124"/>
      <c r="LBO996" s="124"/>
      <c r="LBP996" s="124"/>
      <c r="LBQ996" s="124"/>
      <c r="LBR996" s="124"/>
      <c r="LBS996" s="124"/>
      <c r="LBT996" s="124"/>
      <c r="LBU996" s="124"/>
      <c r="LBV996" s="124"/>
      <c r="LBW996" s="124"/>
      <c r="LBX996" s="124"/>
      <c r="LBY996" s="124"/>
      <c r="LBZ996" s="124"/>
      <c r="LCA996" s="124"/>
      <c r="LCB996" s="124"/>
      <c r="LCC996" s="124"/>
      <c r="LCD996" s="124"/>
      <c r="LCE996" s="124"/>
      <c r="LCF996" s="124"/>
      <c r="LCG996" s="124"/>
      <c r="LCH996" s="124"/>
      <c r="LCI996" s="124"/>
      <c r="LCJ996" s="124"/>
      <c r="LCK996" s="124"/>
      <c r="LCL996" s="124"/>
      <c r="LCM996" s="124"/>
      <c r="LCN996" s="124"/>
      <c r="LCO996" s="124"/>
      <c r="LCP996" s="124"/>
      <c r="LCQ996" s="124"/>
      <c r="LCR996" s="124"/>
      <c r="LCS996" s="124"/>
      <c r="LCT996" s="124"/>
      <c r="LCU996" s="124"/>
      <c r="LCV996" s="124"/>
      <c r="LCW996" s="124"/>
      <c r="LCX996" s="124"/>
      <c r="LCY996" s="124"/>
      <c r="LCZ996" s="124"/>
      <c r="LDA996" s="124"/>
      <c r="LDB996" s="124"/>
      <c r="LDC996" s="124"/>
      <c r="LDD996" s="124"/>
      <c r="LDE996" s="124"/>
      <c r="LDF996" s="124"/>
      <c r="LDG996" s="124"/>
      <c r="LDH996" s="124"/>
      <c r="LDI996" s="124"/>
      <c r="LDJ996" s="124"/>
      <c r="LDK996" s="124"/>
      <c r="LDL996" s="124"/>
      <c r="LDM996" s="124"/>
      <c r="LDN996" s="124"/>
      <c r="LDO996" s="124"/>
      <c r="LDP996" s="124"/>
      <c r="LDQ996" s="124"/>
      <c r="LDR996" s="124"/>
      <c r="LDS996" s="124"/>
      <c r="LDT996" s="124"/>
      <c r="LDU996" s="124"/>
      <c r="LDV996" s="124"/>
      <c r="LDW996" s="124"/>
      <c r="LDX996" s="124"/>
      <c r="LDY996" s="124"/>
      <c r="LDZ996" s="124"/>
      <c r="LEA996" s="124"/>
      <c r="LEB996" s="124"/>
      <c r="LEC996" s="124"/>
      <c r="LED996" s="124"/>
      <c r="LEE996" s="124"/>
      <c r="LEF996" s="124"/>
      <c r="LEG996" s="124"/>
      <c r="LEH996" s="124"/>
      <c r="LEI996" s="124"/>
      <c r="LEJ996" s="124"/>
      <c r="LEK996" s="124"/>
      <c r="LEL996" s="124"/>
      <c r="LEM996" s="124"/>
      <c r="LEN996" s="124"/>
      <c r="LEO996" s="124"/>
      <c r="LEP996" s="124"/>
      <c r="LEQ996" s="124"/>
      <c r="LER996" s="124"/>
      <c r="LES996" s="124"/>
      <c r="LET996" s="124"/>
      <c r="LEU996" s="124"/>
      <c r="LEV996" s="124"/>
      <c r="LEW996" s="124"/>
      <c r="LEX996" s="124"/>
      <c r="LEY996" s="124"/>
      <c r="LEZ996" s="124"/>
      <c r="LFA996" s="124"/>
      <c r="LFB996" s="124"/>
      <c r="LFC996" s="124"/>
      <c r="LFD996" s="124"/>
      <c r="LFE996" s="124"/>
      <c r="LFF996" s="124"/>
      <c r="LFG996" s="124"/>
      <c r="LFH996" s="124"/>
      <c r="LFI996" s="124"/>
      <c r="LFJ996" s="124"/>
      <c r="LFK996" s="124"/>
      <c r="LFL996" s="124"/>
      <c r="LFM996" s="124"/>
      <c r="LFN996" s="124"/>
      <c r="LFO996" s="124"/>
      <c r="LFP996" s="124"/>
      <c r="LFQ996" s="124"/>
      <c r="LFR996" s="124"/>
      <c r="LFS996" s="124"/>
      <c r="LFT996" s="124"/>
      <c r="LFU996" s="124"/>
      <c r="LFV996" s="124"/>
      <c r="LFW996" s="124"/>
      <c r="LFX996" s="124"/>
      <c r="LFY996" s="124"/>
      <c r="LFZ996" s="124"/>
      <c r="LGA996" s="124"/>
      <c r="LGB996" s="124"/>
      <c r="LGC996" s="124"/>
      <c r="LGD996" s="124"/>
      <c r="LGE996" s="124"/>
      <c r="LGF996" s="124"/>
      <c r="LGG996" s="124"/>
      <c r="LGH996" s="124"/>
      <c r="LGI996" s="124"/>
      <c r="LGJ996" s="124"/>
      <c r="LGK996" s="124"/>
      <c r="LGL996" s="124"/>
      <c r="LGM996" s="124"/>
      <c r="LGN996" s="124"/>
      <c r="LGO996" s="124"/>
      <c r="LGP996" s="124"/>
      <c r="LGQ996" s="124"/>
      <c r="LGR996" s="124"/>
      <c r="LGS996" s="124"/>
      <c r="LGT996" s="124"/>
      <c r="LGU996" s="124"/>
      <c r="LGV996" s="124"/>
      <c r="LGW996" s="124"/>
      <c r="LGX996" s="124"/>
      <c r="LGY996" s="124"/>
      <c r="LGZ996" s="124"/>
      <c r="LHA996" s="124"/>
      <c r="LHB996" s="124"/>
      <c r="LHC996" s="124"/>
      <c r="LHD996" s="124"/>
      <c r="LHE996" s="124"/>
      <c r="LHF996" s="124"/>
      <c r="LHG996" s="124"/>
      <c r="LHH996" s="124"/>
      <c r="LHI996" s="124"/>
      <c r="LHJ996" s="124"/>
      <c r="LHK996" s="124"/>
      <c r="LHL996" s="124"/>
      <c r="LHM996" s="124"/>
      <c r="LHN996" s="124"/>
      <c r="LHO996" s="124"/>
      <c r="LHP996" s="124"/>
      <c r="LHQ996" s="124"/>
      <c r="LHR996" s="124"/>
      <c r="LHS996" s="124"/>
      <c r="LHT996" s="124"/>
      <c r="LHU996" s="124"/>
      <c r="LHV996" s="124"/>
      <c r="LHW996" s="124"/>
      <c r="LHX996" s="124"/>
      <c r="LHY996" s="124"/>
      <c r="LHZ996" s="124"/>
      <c r="LIA996" s="124"/>
      <c r="LIB996" s="124"/>
      <c r="LIC996" s="124"/>
      <c r="LID996" s="124"/>
      <c r="LIE996" s="124"/>
      <c r="LIF996" s="124"/>
      <c r="LIG996" s="124"/>
      <c r="LIH996" s="124"/>
      <c r="LII996" s="124"/>
      <c r="LIJ996" s="124"/>
      <c r="LIK996" s="124"/>
      <c r="LIL996" s="124"/>
      <c r="LIM996" s="124"/>
      <c r="LIN996" s="124"/>
      <c r="LIO996" s="124"/>
      <c r="LIP996" s="124"/>
      <c r="LIQ996" s="124"/>
      <c r="LIR996" s="124"/>
      <c r="LIS996" s="124"/>
      <c r="LIT996" s="124"/>
      <c r="LIU996" s="124"/>
      <c r="LIV996" s="124"/>
      <c r="LIW996" s="124"/>
      <c r="LIX996" s="124"/>
      <c r="LIY996" s="124"/>
      <c r="LIZ996" s="124"/>
      <c r="LJA996" s="124"/>
      <c r="LJB996" s="124"/>
      <c r="LJC996" s="124"/>
      <c r="LJD996" s="124"/>
      <c r="LJE996" s="124"/>
      <c r="LJF996" s="124"/>
      <c r="LJG996" s="124"/>
      <c r="LJH996" s="124"/>
      <c r="LJI996" s="124"/>
      <c r="LJJ996" s="124"/>
      <c r="LJK996" s="124"/>
      <c r="LJL996" s="124"/>
      <c r="LJM996" s="124"/>
      <c r="LJN996" s="124"/>
      <c r="LJO996" s="124"/>
      <c r="LJP996" s="124"/>
      <c r="LJQ996" s="124"/>
      <c r="LJR996" s="124"/>
      <c r="LJS996" s="124"/>
      <c r="LJT996" s="124"/>
      <c r="LJU996" s="124"/>
      <c r="LJV996" s="124"/>
      <c r="LJW996" s="124"/>
      <c r="LJX996" s="124"/>
      <c r="LJY996" s="124"/>
      <c r="LJZ996" s="124"/>
      <c r="LKA996" s="124"/>
      <c r="LKB996" s="124"/>
      <c r="LKC996" s="124"/>
      <c r="LKD996" s="124"/>
      <c r="LKE996" s="124"/>
      <c r="LKF996" s="124"/>
      <c r="LKG996" s="124"/>
      <c r="LKH996" s="124"/>
      <c r="LKI996" s="124"/>
      <c r="LKJ996" s="124"/>
      <c r="LKK996" s="124"/>
      <c r="LKL996" s="124"/>
      <c r="LKM996" s="124"/>
      <c r="LKN996" s="124"/>
      <c r="LKO996" s="124"/>
      <c r="LKP996" s="124"/>
      <c r="LKQ996" s="124"/>
      <c r="LKR996" s="124"/>
      <c r="LKS996" s="124"/>
      <c r="LKT996" s="124"/>
      <c r="LKU996" s="124"/>
      <c r="LKV996" s="124"/>
      <c r="LKW996" s="124"/>
      <c r="LKX996" s="124"/>
      <c r="LKY996" s="124"/>
      <c r="LKZ996" s="124"/>
      <c r="LLA996" s="124"/>
      <c r="LLB996" s="124"/>
      <c r="LLC996" s="124"/>
      <c r="LLD996" s="124"/>
      <c r="LLE996" s="124"/>
      <c r="LLF996" s="124"/>
      <c r="LLG996" s="124"/>
      <c r="LLH996" s="124"/>
      <c r="LLI996" s="124"/>
      <c r="LLJ996" s="124"/>
      <c r="LLK996" s="124"/>
      <c r="LLL996" s="124"/>
      <c r="LLM996" s="124"/>
      <c r="LLN996" s="124"/>
      <c r="LLO996" s="124"/>
      <c r="LLP996" s="124"/>
      <c r="LLQ996" s="124"/>
      <c r="LLR996" s="124"/>
      <c r="LLS996" s="124"/>
      <c r="LLT996" s="124"/>
      <c r="LLU996" s="124"/>
      <c r="LLV996" s="124"/>
      <c r="LLW996" s="124"/>
      <c r="LLX996" s="124"/>
      <c r="LLY996" s="124"/>
      <c r="LLZ996" s="124"/>
      <c r="LMA996" s="124"/>
      <c r="LMB996" s="124"/>
      <c r="LMC996" s="124"/>
      <c r="LMD996" s="124"/>
      <c r="LME996" s="124"/>
      <c r="LMF996" s="124"/>
      <c r="LMG996" s="124"/>
      <c r="LMH996" s="124"/>
      <c r="LMI996" s="124"/>
      <c r="LMJ996" s="124"/>
      <c r="LMK996" s="124"/>
      <c r="LML996" s="124"/>
      <c r="LMM996" s="124"/>
      <c r="LMN996" s="124"/>
      <c r="LMO996" s="124"/>
      <c r="LMP996" s="124"/>
      <c r="LMQ996" s="124"/>
      <c r="LMR996" s="124"/>
      <c r="LMS996" s="124"/>
      <c r="LMT996" s="124"/>
      <c r="LMU996" s="124"/>
      <c r="LMV996" s="124"/>
      <c r="LMW996" s="124"/>
      <c r="LMX996" s="124"/>
      <c r="LMY996" s="124"/>
      <c r="LMZ996" s="124"/>
      <c r="LNA996" s="124"/>
      <c r="LNB996" s="124"/>
      <c r="LNC996" s="124"/>
      <c r="LND996" s="124"/>
      <c r="LNE996" s="124"/>
      <c r="LNF996" s="124"/>
      <c r="LNG996" s="124"/>
      <c r="LNH996" s="124"/>
      <c r="LNI996" s="124"/>
      <c r="LNJ996" s="124"/>
      <c r="LNK996" s="124"/>
      <c r="LNL996" s="124"/>
      <c r="LNM996" s="124"/>
      <c r="LNN996" s="124"/>
      <c r="LNO996" s="124"/>
      <c r="LNP996" s="124"/>
      <c r="LNQ996" s="124"/>
      <c r="LNR996" s="124"/>
      <c r="LNS996" s="124"/>
      <c r="LNT996" s="124"/>
      <c r="LNU996" s="124"/>
      <c r="LNV996" s="124"/>
      <c r="LNW996" s="124"/>
      <c r="LNX996" s="124"/>
      <c r="LNY996" s="124"/>
      <c r="LNZ996" s="124"/>
      <c r="LOA996" s="124"/>
      <c r="LOB996" s="124"/>
      <c r="LOC996" s="124"/>
      <c r="LOD996" s="124"/>
      <c r="LOE996" s="124"/>
      <c r="LOF996" s="124"/>
      <c r="LOG996" s="124"/>
      <c r="LOH996" s="124"/>
      <c r="LOI996" s="124"/>
      <c r="LOJ996" s="124"/>
      <c r="LOK996" s="124"/>
      <c r="LOL996" s="124"/>
      <c r="LOM996" s="124"/>
      <c r="LON996" s="124"/>
      <c r="LOO996" s="124"/>
      <c r="LOP996" s="124"/>
      <c r="LOQ996" s="124"/>
      <c r="LOR996" s="124"/>
      <c r="LOS996" s="124"/>
      <c r="LOT996" s="124"/>
      <c r="LOU996" s="124"/>
      <c r="LOV996" s="124"/>
      <c r="LOW996" s="124"/>
      <c r="LOX996" s="124"/>
      <c r="LOY996" s="124"/>
      <c r="LOZ996" s="124"/>
      <c r="LPA996" s="124"/>
      <c r="LPB996" s="124"/>
      <c r="LPC996" s="124"/>
      <c r="LPD996" s="124"/>
      <c r="LPE996" s="124"/>
      <c r="LPF996" s="124"/>
      <c r="LPG996" s="124"/>
      <c r="LPH996" s="124"/>
      <c r="LPI996" s="124"/>
      <c r="LPJ996" s="124"/>
      <c r="LPK996" s="124"/>
      <c r="LPL996" s="124"/>
      <c r="LPM996" s="124"/>
      <c r="LPN996" s="124"/>
      <c r="LPO996" s="124"/>
      <c r="LPP996" s="124"/>
      <c r="LPQ996" s="124"/>
      <c r="LPR996" s="124"/>
      <c r="LPS996" s="124"/>
      <c r="LPT996" s="124"/>
      <c r="LPU996" s="124"/>
      <c r="LPV996" s="124"/>
      <c r="LPW996" s="124"/>
      <c r="LPX996" s="124"/>
      <c r="LPY996" s="124"/>
      <c r="LPZ996" s="124"/>
      <c r="LQA996" s="124"/>
      <c r="LQB996" s="124"/>
      <c r="LQC996" s="124"/>
      <c r="LQD996" s="124"/>
      <c r="LQE996" s="124"/>
      <c r="LQF996" s="124"/>
      <c r="LQG996" s="124"/>
      <c r="LQH996" s="124"/>
      <c r="LQI996" s="124"/>
      <c r="LQJ996" s="124"/>
      <c r="LQK996" s="124"/>
      <c r="LQL996" s="124"/>
      <c r="LQM996" s="124"/>
      <c r="LQN996" s="124"/>
      <c r="LQO996" s="124"/>
      <c r="LQP996" s="124"/>
      <c r="LQQ996" s="124"/>
      <c r="LQR996" s="124"/>
      <c r="LQS996" s="124"/>
      <c r="LQT996" s="124"/>
      <c r="LQU996" s="124"/>
      <c r="LQV996" s="124"/>
      <c r="LQW996" s="124"/>
      <c r="LQX996" s="124"/>
      <c r="LQY996" s="124"/>
      <c r="LQZ996" s="124"/>
      <c r="LRA996" s="124"/>
      <c r="LRB996" s="124"/>
      <c r="LRC996" s="124"/>
      <c r="LRD996" s="124"/>
      <c r="LRE996" s="124"/>
      <c r="LRF996" s="124"/>
      <c r="LRG996" s="124"/>
      <c r="LRH996" s="124"/>
      <c r="LRI996" s="124"/>
      <c r="LRJ996" s="124"/>
      <c r="LRK996" s="124"/>
      <c r="LRL996" s="124"/>
      <c r="LRM996" s="124"/>
      <c r="LRN996" s="124"/>
      <c r="LRO996" s="124"/>
      <c r="LRP996" s="124"/>
      <c r="LRQ996" s="124"/>
      <c r="LRR996" s="124"/>
      <c r="LRS996" s="124"/>
      <c r="LRT996" s="124"/>
      <c r="LRU996" s="124"/>
      <c r="LRV996" s="124"/>
      <c r="LRW996" s="124"/>
      <c r="LRX996" s="124"/>
      <c r="LRY996" s="124"/>
      <c r="LRZ996" s="124"/>
      <c r="LSA996" s="124"/>
      <c r="LSB996" s="124"/>
      <c r="LSC996" s="124"/>
      <c r="LSD996" s="124"/>
      <c r="LSE996" s="124"/>
      <c r="LSF996" s="124"/>
      <c r="LSG996" s="124"/>
      <c r="LSH996" s="124"/>
      <c r="LSI996" s="124"/>
      <c r="LSJ996" s="124"/>
      <c r="LSK996" s="124"/>
      <c r="LSL996" s="124"/>
      <c r="LSM996" s="124"/>
      <c r="LSN996" s="124"/>
      <c r="LSO996" s="124"/>
      <c r="LSP996" s="124"/>
      <c r="LSQ996" s="124"/>
      <c r="LSR996" s="124"/>
      <c r="LSS996" s="124"/>
      <c r="LST996" s="124"/>
      <c r="LSU996" s="124"/>
      <c r="LSV996" s="124"/>
      <c r="LSW996" s="124"/>
      <c r="LSX996" s="124"/>
      <c r="LSY996" s="124"/>
      <c r="LSZ996" s="124"/>
      <c r="LTA996" s="124"/>
      <c r="LTB996" s="124"/>
      <c r="LTC996" s="124"/>
      <c r="LTD996" s="124"/>
      <c r="LTE996" s="124"/>
      <c r="LTF996" s="124"/>
      <c r="LTG996" s="124"/>
      <c r="LTH996" s="124"/>
      <c r="LTI996" s="124"/>
      <c r="LTJ996" s="124"/>
      <c r="LTK996" s="124"/>
      <c r="LTL996" s="124"/>
      <c r="LTM996" s="124"/>
      <c r="LTN996" s="124"/>
      <c r="LTO996" s="124"/>
      <c r="LTP996" s="124"/>
      <c r="LTQ996" s="124"/>
      <c r="LTR996" s="124"/>
      <c r="LTS996" s="124"/>
      <c r="LTT996" s="124"/>
      <c r="LTU996" s="124"/>
      <c r="LTV996" s="124"/>
      <c r="LTW996" s="124"/>
      <c r="LTX996" s="124"/>
      <c r="LTY996" s="124"/>
      <c r="LTZ996" s="124"/>
      <c r="LUA996" s="124"/>
      <c r="LUB996" s="124"/>
      <c r="LUC996" s="124"/>
      <c r="LUD996" s="124"/>
      <c r="LUE996" s="124"/>
      <c r="LUF996" s="124"/>
      <c r="LUG996" s="124"/>
      <c r="LUH996" s="124"/>
      <c r="LUI996" s="124"/>
      <c r="LUJ996" s="124"/>
      <c r="LUK996" s="124"/>
      <c r="LUL996" s="124"/>
      <c r="LUM996" s="124"/>
      <c r="LUN996" s="124"/>
      <c r="LUO996" s="124"/>
      <c r="LUP996" s="124"/>
      <c r="LUQ996" s="124"/>
      <c r="LUR996" s="124"/>
      <c r="LUS996" s="124"/>
      <c r="LUT996" s="124"/>
      <c r="LUU996" s="124"/>
      <c r="LUV996" s="124"/>
      <c r="LUW996" s="124"/>
      <c r="LUX996" s="124"/>
      <c r="LUY996" s="124"/>
      <c r="LUZ996" s="124"/>
      <c r="LVA996" s="124"/>
      <c r="LVB996" s="124"/>
      <c r="LVC996" s="124"/>
      <c r="LVD996" s="124"/>
      <c r="LVE996" s="124"/>
      <c r="LVF996" s="124"/>
      <c r="LVG996" s="124"/>
      <c r="LVH996" s="124"/>
      <c r="LVI996" s="124"/>
      <c r="LVJ996" s="124"/>
      <c r="LVK996" s="124"/>
      <c r="LVL996" s="124"/>
      <c r="LVM996" s="124"/>
      <c r="LVN996" s="124"/>
      <c r="LVO996" s="124"/>
      <c r="LVP996" s="124"/>
      <c r="LVQ996" s="124"/>
      <c r="LVR996" s="124"/>
      <c r="LVS996" s="124"/>
      <c r="LVT996" s="124"/>
      <c r="LVU996" s="124"/>
      <c r="LVV996" s="124"/>
      <c r="LVW996" s="124"/>
      <c r="LVX996" s="124"/>
      <c r="LVY996" s="124"/>
      <c r="LVZ996" s="124"/>
      <c r="LWA996" s="124"/>
      <c r="LWB996" s="124"/>
      <c r="LWC996" s="124"/>
      <c r="LWD996" s="124"/>
      <c r="LWE996" s="124"/>
      <c r="LWF996" s="124"/>
      <c r="LWG996" s="124"/>
      <c r="LWH996" s="124"/>
      <c r="LWI996" s="124"/>
      <c r="LWJ996" s="124"/>
      <c r="LWK996" s="124"/>
      <c r="LWL996" s="124"/>
      <c r="LWM996" s="124"/>
      <c r="LWN996" s="124"/>
      <c r="LWO996" s="124"/>
      <c r="LWP996" s="124"/>
      <c r="LWQ996" s="124"/>
      <c r="LWR996" s="124"/>
      <c r="LWS996" s="124"/>
      <c r="LWT996" s="124"/>
      <c r="LWU996" s="124"/>
      <c r="LWV996" s="124"/>
      <c r="LWW996" s="124"/>
      <c r="LWX996" s="124"/>
      <c r="LWY996" s="124"/>
      <c r="LWZ996" s="124"/>
      <c r="LXA996" s="124"/>
      <c r="LXB996" s="124"/>
      <c r="LXC996" s="124"/>
      <c r="LXD996" s="124"/>
      <c r="LXE996" s="124"/>
      <c r="LXF996" s="124"/>
      <c r="LXG996" s="124"/>
      <c r="LXH996" s="124"/>
      <c r="LXI996" s="124"/>
      <c r="LXJ996" s="124"/>
      <c r="LXK996" s="124"/>
      <c r="LXL996" s="124"/>
      <c r="LXM996" s="124"/>
      <c r="LXN996" s="124"/>
      <c r="LXO996" s="124"/>
      <c r="LXP996" s="124"/>
      <c r="LXQ996" s="124"/>
      <c r="LXR996" s="124"/>
      <c r="LXS996" s="124"/>
      <c r="LXT996" s="124"/>
      <c r="LXU996" s="124"/>
      <c r="LXV996" s="124"/>
      <c r="LXW996" s="124"/>
      <c r="LXX996" s="124"/>
      <c r="LXY996" s="124"/>
      <c r="LXZ996" s="124"/>
      <c r="LYA996" s="124"/>
      <c r="LYB996" s="124"/>
      <c r="LYC996" s="124"/>
      <c r="LYD996" s="124"/>
      <c r="LYE996" s="124"/>
      <c r="LYF996" s="124"/>
      <c r="LYG996" s="124"/>
      <c r="LYH996" s="124"/>
      <c r="LYI996" s="124"/>
      <c r="LYJ996" s="124"/>
      <c r="LYK996" s="124"/>
      <c r="LYL996" s="124"/>
      <c r="LYM996" s="124"/>
      <c r="LYN996" s="124"/>
      <c r="LYO996" s="124"/>
      <c r="LYP996" s="124"/>
      <c r="LYQ996" s="124"/>
      <c r="LYR996" s="124"/>
      <c r="LYS996" s="124"/>
      <c r="LYT996" s="124"/>
      <c r="LYU996" s="124"/>
      <c r="LYV996" s="124"/>
      <c r="LYW996" s="124"/>
      <c r="LYX996" s="124"/>
      <c r="LYY996" s="124"/>
      <c r="LYZ996" s="124"/>
      <c r="LZA996" s="124"/>
      <c r="LZB996" s="124"/>
      <c r="LZC996" s="124"/>
      <c r="LZD996" s="124"/>
      <c r="LZE996" s="124"/>
      <c r="LZF996" s="124"/>
      <c r="LZG996" s="124"/>
      <c r="LZH996" s="124"/>
      <c r="LZI996" s="124"/>
      <c r="LZJ996" s="124"/>
      <c r="LZK996" s="124"/>
      <c r="LZL996" s="124"/>
      <c r="LZM996" s="124"/>
      <c r="LZN996" s="124"/>
      <c r="LZO996" s="124"/>
      <c r="LZP996" s="124"/>
      <c r="LZQ996" s="124"/>
      <c r="LZR996" s="124"/>
      <c r="LZS996" s="124"/>
      <c r="LZT996" s="124"/>
      <c r="LZU996" s="124"/>
      <c r="LZV996" s="124"/>
      <c r="LZW996" s="124"/>
      <c r="LZX996" s="124"/>
      <c r="LZY996" s="124"/>
      <c r="LZZ996" s="124"/>
      <c r="MAA996" s="124"/>
      <c r="MAB996" s="124"/>
      <c r="MAC996" s="124"/>
      <c r="MAD996" s="124"/>
      <c r="MAE996" s="124"/>
      <c r="MAF996" s="124"/>
      <c r="MAG996" s="124"/>
      <c r="MAH996" s="124"/>
      <c r="MAI996" s="124"/>
      <c r="MAJ996" s="124"/>
      <c r="MAK996" s="124"/>
      <c r="MAL996" s="124"/>
      <c r="MAM996" s="124"/>
      <c r="MAN996" s="124"/>
      <c r="MAO996" s="124"/>
      <c r="MAP996" s="124"/>
      <c r="MAQ996" s="124"/>
      <c r="MAR996" s="124"/>
      <c r="MAS996" s="124"/>
      <c r="MAT996" s="124"/>
      <c r="MAU996" s="124"/>
      <c r="MAV996" s="124"/>
      <c r="MAW996" s="124"/>
      <c r="MAX996" s="124"/>
      <c r="MAY996" s="124"/>
      <c r="MAZ996" s="124"/>
      <c r="MBA996" s="124"/>
      <c r="MBB996" s="124"/>
      <c r="MBC996" s="124"/>
      <c r="MBD996" s="124"/>
      <c r="MBE996" s="124"/>
      <c r="MBF996" s="124"/>
      <c r="MBG996" s="124"/>
      <c r="MBH996" s="124"/>
      <c r="MBI996" s="124"/>
      <c r="MBJ996" s="124"/>
      <c r="MBK996" s="124"/>
      <c r="MBL996" s="124"/>
      <c r="MBM996" s="124"/>
      <c r="MBN996" s="124"/>
      <c r="MBO996" s="124"/>
      <c r="MBP996" s="124"/>
      <c r="MBQ996" s="124"/>
      <c r="MBR996" s="124"/>
      <c r="MBS996" s="124"/>
      <c r="MBT996" s="124"/>
      <c r="MBU996" s="124"/>
      <c r="MBV996" s="124"/>
      <c r="MBW996" s="124"/>
      <c r="MBX996" s="124"/>
      <c r="MBY996" s="124"/>
      <c r="MBZ996" s="124"/>
      <c r="MCA996" s="124"/>
      <c r="MCB996" s="124"/>
      <c r="MCC996" s="124"/>
      <c r="MCD996" s="124"/>
    </row>
    <row r="997" spans="1:8870" s="18" customFormat="1" ht="38.25" customHeight="1">
      <c r="A997" s="21" t="s">
        <v>1</v>
      </c>
      <c r="B997" s="18" t="s">
        <v>1855</v>
      </c>
      <c r="C997" s="18" t="s">
        <v>1891</v>
      </c>
      <c r="D997" s="21" t="s">
        <v>2876</v>
      </c>
      <c r="E997" s="21" t="s">
        <v>740</v>
      </c>
      <c r="F997" s="18" t="s">
        <v>277</v>
      </c>
      <c r="G997" s="21" t="s">
        <v>85</v>
      </c>
      <c r="H997" s="21" t="s">
        <v>80</v>
      </c>
      <c r="I997" s="21" t="s">
        <v>80</v>
      </c>
      <c r="J997" s="21" t="s">
        <v>109</v>
      </c>
      <c r="K997" s="21" t="s">
        <v>80</v>
      </c>
      <c r="L997" s="21" t="s">
        <v>278</v>
      </c>
      <c r="M997" s="21" t="s">
        <v>80</v>
      </c>
      <c r="N997" s="21" t="s">
        <v>80</v>
      </c>
      <c r="O997" s="21" t="s">
        <v>20</v>
      </c>
      <c r="P997" s="18" t="s">
        <v>1301</v>
      </c>
      <c r="Q997" s="18" t="s">
        <v>2851</v>
      </c>
      <c r="R997" s="21" t="s">
        <v>6</v>
      </c>
      <c r="S997" s="74">
        <v>2013</v>
      </c>
      <c r="T997" s="18" t="s">
        <v>1301</v>
      </c>
      <c r="U997" s="18" t="s">
        <v>1301</v>
      </c>
      <c r="V997" s="18" t="s">
        <v>1301</v>
      </c>
      <c r="W997" s="105" t="s">
        <v>32</v>
      </c>
      <c r="X997" s="18" t="s">
        <v>2856</v>
      </c>
      <c r="Y997" s="124"/>
      <c r="Z997" s="124"/>
      <c r="AA997" s="124"/>
      <c r="AB997" s="124"/>
      <c r="AC997" s="124"/>
      <c r="AD997" s="124"/>
      <c r="AE997" s="124"/>
      <c r="AF997" s="124"/>
      <c r="AG997" s="124"/>
      <c r="AH997" s="124"/>
      <c r="AI997" s="124"/>
      <c r="AJ997" s="124"/>
      <c r="AK997" s="124"/>
      <c r="AL997" s="124"/>
      <c r="AM997" s="124"/>
      <c r="AN997" s="124"/>
      <c r="AO997" s="124"/>
      <c r="AP997" s="124"/>
      <c r="AQ997" s="124"/>
      <c r="AR997" s="124"/>
      <c r="AS997" s="124"/>
      <c r="AT997" s="124"/>
      <c r="AU997" s="124"/>
      <c r="AV997" s="124"/>
      <c r="AW997" s="124"/>
      <c r="AX997" s="124"/>
      <c r="AY997" s="124"/>
      <c r="AZ997" s="124"/>
      <c r="BA997" s="124"/>
      <c r="BB997" s="124"/>
      <c r="BC997" s="124"/>
      <c r="BD997" s="124"/>
      <c r="BE997" s="124"/>
      <c r="BF997" s="124"/>
      <c r="BG997" s="124"/>
      <c r="BH997" s="124"/>
      <c r="BI997" s="124"/>
      <c r="BJ997" s="124"/>
      <c r="BK997" s="124"/>
      <c r="BL997" s="124"/>
      <c r="BM997" s="124"/>
      <c r="BN997" s="124"/>
      <c r="BO997" s="124"/>
      <c r="BP997" s="124"/>
      <c r="BQ997" s="124"/>
      <c r="BR997" s="124"/>
      <c r="BS997" s="124"/>
      <c r="BT997" s="124"/>
      <c r="BU997" s="124"/>
      <c r="BV997" s="124"/>
      <c r="BW997" s="124"/>
      <c r="BX997" s="124"/>
      <c r="BY997" s="124"/>
      <c r="BZ997" s="124"/>
      <c r="CA997" s="124"/>
      <c r="CB997" s="124"/>
      <c r="CC997" s="124"/>
      <c r="CD997" s="124"/>
      <c r="CE997" s="124"/>
      <c r="CF997" s="124"/>
      <c r="CG997" s="124"/>
      <c r="CH997" s="124"/>
      <c r="CI997" s="124"/>
      <c r="CJ997" s="124"/>
      <c r="CK997" s="124"/>
      <c r="CL997" s="124"/>
      <c r="CM997" s="124"/>
      <c r="CN997" s="124"/>
      <c r="CO997" s="124"/>
      <c r="CP997" s="124"/>
      <c r="CQ997" s="124"/>
      <c r="CR997" s="124"/>
      <c r="CS997" s="124"/>
      <c r="CT997" s="124"/>
      <c r="CU997" s="124"/>
      <c r="CV997" s="124"/>
      <c r="CW997" s="124"/>
      <c r="CX997" s="124"/>
      <c r="CY997" s="124"/>
      <c r="CZ997" s="124"/>
      <c r="DA997" s="124"/>
      <c r="DB997" s="124"/>
      <c r="DC997" s="124"/>
      <c r="DD997" s="124"/>
      <c r="DE997" s="124"/>
      <c r="DF997" s="124"/>
      <c r="DG997" s="124"/>
      <c r="DH997" s="124"/>
      <c r="DI997" s="124"/>
      <c r="DJ997" s="124"/>
      <c r="DK997" s="124"/>
      <c r="DL997" s="124"/>
      <c r="DM997" s="124"/>
      <c r="DN997" s="124"/>
      <c r="DO997" s="124"/>
      <c r="DP997" s="124"/>
      <c r="DQ997" s="124"/>
      <c r="DR997" s="124"/>
      <c r="DS997" s="124"/>
      <c r="DT997" s="124"/>
      <c r="DU997" s="124"/>
      <c r="DV997" s="124"/>
      <c r="DW997" s="124"/>
      <c r="DX997" s="124"/>
      <c r="DY997" s="124"/>
      <c r="DZ997" s="124"/>
      <c r="EA997" s="124"/>
      <c r="EB997" s="124"/>
      <c r="EC997" s="124"/>
      <c r="ED997" s="124"/>
      <c r="EE997" s="124"/>
      <c r="EF997" s="124"/>
      <c r="EG997" s="124"/>
      <c r="EH997" s="124"/>
      <c r="EI997" s="124"/>
      <c r="EJ997" s="124"/>
      <c r="EK997" s="124"/>
      <c r="EL997" s="124"/>
      <c r="EM997" s="124"/>
      <c r="EN997" s="124"/>
      <c r="EO997" s="124"/>
      <c r="EP997" s="124"/>
      <c r="EQ997" s="124"/>
      <c r="ER997" s="124"/>
      <c r="ES997" s="124"/>
      <c r="ET997" s="124"/>
      <c r="EU997" s="124"/>
      <c r="EV997" s="124"/>
      <c r="EW997" s="124"/>
      <c r="EX997" s="124"/>
      <c r="EY997" s="124"/>
      <c r="EZ997" s="124"/>
      <c r="FA997" s="124"/>
      <c r="FB997" s="124"/>
      <c r="FC997" s="124"/>
      <c r="FD997" s="124"/>
      <c r="FE997" s="124"/>
      <c r="FF997" s="124"/>
      <c r="FG997" s="124"/>
      <c r="FH997" s="124"/>
      <c r="FI997" s="124"/>
      <c r="FJ997" s="124"/>
      <c r="FK997" s="124"/>
      <c r="FL997" s="124"/>
      <c r="FM997" s="124"/>
      <c r="FN997" s="124"/>
      <c r="FO997" s="124"/>
      <c r="FP997" s="124"/>
      <c r="FQ997" s="124"/>
      <c r="FR997" s="124"/>
      <c r="FS997" s="124"/>
      <c r="FT997" s="124"/>
      <c r="FU997" s="124"/>
      <c r="FV997" s="124"/>
      <c r="FW997" s="124"/>
      <c r="FX997" s="124"/>
      <c r="FY997" s="124"/>
      <c r="FZ997" s="124"/>
      <c r="GA997" s="124"/>
      <c r="GB997" s="124"/>
      <c r="GC997" s="124"/>
      <c r="GD997" s="124"/>
      <c r="GE997" s="124"/>
      <c r="GF997" s="124"/>
      <c r="GG997" s="124"/>
      <c r="GH997" s="124"/>
      <c r="GI997" s="124"/>
      <c r="GJ997" s="124"/>
      <c r="GK997" s="124"/>
      <c r="GL997" s="124"/>
      <c r="GM997" s="124"/>
      <c r="GN997" s="124"/>
      <c r="GO997" s="124"/>
      <c r="GP997" s="124"/>
      <c r="GQ997" s="124"/>
      <c r="GR997" s="124"/>
      <c r="GS997" s="124"/>
      <c r="GT997" s="124"/>
      <c r="GU997" s="124"/>
      <c r="GV997" s="124"/>
      <c r="GW997" s="124"/>
      <c r="GX997" s="124"/>
      <c r="GY997" s="124"/>
      <c r="GZ997" s="124"/>
      <c r="HA997" s="124"/>
      <c r="HB997" s="124"/>
      <c r="HC997" s="124"/>
      <c r="HD997" s="124"/>
      <c r="HE997" s="124"/>
      <c r="HF997" s="124"/>
      <c r="HG997" s="124"/>
      <c r="HH997" s="124"/>
      <c r="HI997" s="124"/>
      <c r="HJ997" s="124"/>
      <c r="HK997" s="124"/>
      <c r="HL997" s="124"/>
      <c r="HM997" s="124"/>
      <c r="HN997" s="124"/>
      <c r="HO997" s="124"/>
      <c r="HP997" s="124"/>
      <c r="HQ997" s="124"/>
      <c r="HR997" s="124"/>
      <c r="HS997" s="124"/>
      <c r="HT997" s="124"/>
      <c r="HU997" s="124"/>
      <c r="HV997" s="124"/>
      <c r="HW997" s="124"/>
      <c r="HX997" s="124"/>
      <c r="HY997" s="124"/>
      <c r="HZ997" s="124"/>
      <c r="IA997" s="124"/>
      <c r="IB997" s="124"/>
      <c r="IC997" s="124"/>
      <c r="ID997" s="124"/>
      <c r="IE997" s="124"/>
      <c r="IF997" s="124"/>
      <c r="IG997" s="124"/>
      <c r="IH997" s="124"/>
      <c r="II997" s="124"/>
      <c r="IJ997" s="124"/>
      <c r="IK997" s="124"/>
      <c r="IL997" s="124"/>
      <c r="IM997" s="124"/>
      <c r="IN997" s="124"/>
      <c r="IO997" s="124"/>
      <c r="IP997" s="124"/>
      <c r="IQ997" s="124"/>
      <c r="IR997" s="124"/>
      <c r="IS997" s="124"/>
      <c r="IT997" s="124"/>
      <c r="IU997" s="124"/>
      <c r="IV997" s="124"/>
      <c r="IW997" s="124"/>
      <c r="IX997" s="124"/>
      <c r="IY997" s="124"/>
      <c r="IZ997" s="124"/>
      <c r="JA997" s="124"/>
      <c r="JB997" s="124"/>
      <c r="JC997" s="124"/>
      <c r="JD997" s="124"/>
      <c r="JE997" s="124"/>
      <c r="JF997" s="124"/>
      <c r="JG997" s="124"/>
      <c r="JH997" s="124"/>
      <c r="JI997" s="124"/>
      <c r="JJ997" s="124"/>
      <c r="JK997" s="124"/>
      <c r="JL997" s="124"/>
      <c r="JM997" s="124"/>
      <c r="JN997" s="124"/>
      <c r="JO997" s="124"/>
      <c r="JP997" s="124"/>
      <c r="JQ997" s="124"/>
      <c r="JR997" s="124"/>
      <c r="JS997" s="124"/>
      <c r="JT997" s="124"/>
      <c r="JU997" s="124"/>
      <c r="JV997" s="124"/>
      <c r="JW997" s="124"/>
      <c r="JX997" s="124"/>
      <c r="JY997" s="124"/>
      <c r="JZ997" s="124"/>
      <c r="KA997" s="124"/>
      <c r="KB997" s="124"/>
      <c r="KC997" s="124"/>
      <c r="KD997" s="124"/>
      <c r="KE997" s="124"/>
      <c r="KF997" s="124"/>
      <c r="KG997" s="124"/>
      <c r="KH997" s="124"/>
      <c r="KI997" s="124"/>
      <c r="KJ997" s="124"/>
      <c r="KK997" s="124"/>
      <c r="KL997" s="124"/>
      <c r="KM997" s="124"/>
      <c r="KN997" s="124"/>
      <c r="KO997" s="124"/>
      <c r="KP997" s="124"/>
      <c r="KQ997" s="124"/>
      <c r="KR997" s="124"/>
      <c r="KS997" s="124"/>
      <c r="KT997" s="124"/>
      <c r="KU997" s="124"/>
      <c r="KV997" s="124"/>
      <c r="KW997" s="124"/>
      <c r="KX997" s="124"/>
      <c r="KY997" s="124"/>
      <c r="KZ997" s="124"/>
      <c r="LA997" s="124"/>
      <c r="LB997" s="124"/>
      <c r="LC997" s="124"/>
      <c r="LD997" s="124"/>
      <c r="LE997" s="124"/>
      <c r="LF997" s="124"/>
      <c r="LG997" s="124"/>
      <c r="LH997" s="124"/>
      <c r="LI997" s="124"/>
      <c r="LJ997" s="124"/>
      <c r="LK997" s="124"/>
      <c r="LL997" s="124"/>
      <c r="LM997" s="124"/>
      <c r="LN997" s="124"/>
      <c r="LO997" s="124"/>
      <c r="LP997" s="124"/>
      <c r="LQ997" s="124"/>
      <c r="LR997" s="124"/>
      <c r="LS997" s="124"/>
      <c r="LT997" s="124"/>
      <c r="LU997" s="124"/>
      <c r="LV997" s="124"/>
      <c r="LW997" s="124"/>
      <c r="LX997" s="124"/>
      <c r="LY997" s="124"/>
      <c r="LZ997" s="124"/>
      <c r="MA997" s="124"/>
      <c r="MB997" s="124"/>
      <c r="MC997" s="124"/>
      <c r="MD997" s="124"/>
      <c r="ME997" s="124"/>
      <c r="MF997" s="124"/>
      <c r="MG997" s="124"/>
      <c r="MH997" s="124"/>
      <c r="MI997" s="124"/>
      <c r="MJ997" s="124"/>
      <c r="MK997" s="124"/>
      <c r="ML997" s="124"/>
      <c r="MM997" s="124"/>
      <c r="MN997" s="124"/>
      <c r="MO997" s="124"/>
      <c r="MP997" s="124"/>
      <c r="MQ997" s="124"/>
      <c r="MR997" s="124"/>
      <c r="MS997" s="124"/>
      <c r="MT997" s="124"/>
      <c r="MU997" s="124"/>
      <c r="MV997" s="124"/>
      <c r="MW997" s="124"/>
      <c r="MX997" s="124"/>
      <c r="MY997" s="124"/>
      <c r="MZ997" s="124"/>
      <c r="NA997" s="124"/>
      <c r="NB997" s="124"/>
      <c r="NC997" s="124"/>
      <c r="ND997" s="124"/>
      <c r="NE997" s="124"/>
      <c r="NF997" s="124"/>
      <c r="NG997" s="124"/>
      <c r="NH997" s="124"/>
      <c r="NI997" s="124"/>
      <c r="NJ997" s="124"/>
      <c r="NK997" s="124"/>
      <c r="NL997" s="124"/>
      <c r="NM997" s="124"/>
      <c r="NN997" s="124"/>
      <c r="NO997" s="124"/>
      <c r="NP997" s="124"/>
      <c r="NQ997" s="124"/>
      <c r="NR997" s="124"/>
      <c r="NS997" s="124"/>
      <c r="NT997" s="124"/>
      <c r="NU997" s="124"/>
      <c r="NV997" s="124"/>
      <c r="NW997" s="124"/>
      <c r="NX997" s="124"/>
      <c r="NY997" s="124"/>
      <c r="NZ997" s="124"/>
      <c r="OA997" s="124"/>
      <c r="OB997" s="124"/>
      <c r="OC997" s="124"/>
      <c r="OD997" s="124"/>
      <c r="OE997" s="124"/>
      <c r="OF997" s="124"/>
      <c r="OG997" s="124"/>
      <c r="OH997" s="124"/>
      <c r="OI997" s="124"/>
      <c r="OJ997" s="124"/>
      <c r="OK997" s="124"/>
      <c r="OL997" s="124"/>
      <c r="OM997" s="124"/>
      <c r="ON997" s="124"/>
      <c r="OO997" s="124"/>
      <c r="OP997" s="124"/>
      <c r="OQ997" s="124"/>
      <c r="OR997" s="124"/>
      <c r="OS997" s="124"/>
      <c r="OT997" s="124"/>
      <c r="OU997" s="124"/>
      <c r="OV997" s="124"/>
      <c r="OW997" s="124"/>
      <c r="OX997" s="124"/>
      <c r="OY997" s="124"/>
      <c r="OZ997" s="124"/>
      <c r="PA997" s="124"/>
      <c r="PB997" s="124"/>
      <c r="PC997" s="124"/>
      <c r="PD997" s="124"/>
      <c r="PE997" s="124"/>
      <c r="PF997" s="124"/>
      <c r="PG997" s="124"/>
      <c r="PH997" s="124"/>
      <c r="PI997" s="124"/>
      <c r="PJ997" s="124"/>
      <c r="PK997" s="124"/>
      <c r="PL997" s="124"/>
      <c r="PM997" s="124"/>
      <c r="PN997" s="124"/>
      <c r="PO997" s="124"/>
      <c r="PP997" s="124"/>
      <c r="PQ997" s="124"/>
      <c r="PR997" s="124"/>
      <c r="PS997" s="124"/>
      <c r="PT997" s="124"/>
      <c r="PU997" s="124"/>
      <c r="PV997" s="124"/>
      <c r="PW997" s="124"/>
      <c r="PX997" s="124"/>
      <c r="PY997" s="124"/>
      <c r="PZ997" s="124"/>
      <c r="QA997" s="124"/>
      <c r="QB997" s="124"/>
      <c r="QC997" s="124"/>
      <c r="QD997" s="124"/>
      <c r="QE997" s="124"/>
      <c r="QF997" s="124"/>
      <c r="QG997" s="124"/>
      <c r="QH997" s="124"/>
      <c r="QI997" s="124"/>
      <c r="QJ997" s="124"/>
      <c r="QK997" s="124"/>
      <c r="QL997" s="124"/>
      <c r="QM997" s="124"/>
      <c r="QN997" s="124"/>
      <c r="QO997" s="124"/>
      <c r="QP997" s="124"/>
      <c r="QQ997" s="124"/>
      <c r="QR997" s="124"/>
      <c r="QS997" s="124"/>
      <c r="QT997" s="124"/>
      <c r="QU997" s="124"/>
      <c r="QV997" s="124"/>
      <c r="QW997" s="124"/>
      <c r="QX997" s="124"/>
      <c r="QY997" s="124"/>
      <c r="QZ997" s="124"/>
      <c r="RA997" s="124"/>
      <c r="RB997" s="124"/>
      <c r="RC997" s="124"/>
      <c r="RD997" s="124"/>
      <c r="RE997" s="124"/>
      <c r="RF997" s="124"/>
      <c r="RG997" s="124"/>
      <c r="RH997" s="124"/>
      <c r="RI997" s="124"/>
      <c r="RJ997" s="124"/>
      <c r="RK997" s="124"/>
      <c r="RL997" s="124"/>
      <c r="RM997" s="124"/>
      <c r="RN997" s="124"/>
      <c r="RO997" s="124"/>
      <c r="RP997" s="124"/>
      <c r="RQ997" s="124"/>
      <c r="RR997" s="124"/>
      <c r="RS997" s="124"/>
      <c r="RT997" s="124"/>
      <c r="RU997" s="124"/>
      <c r="RV997" s="124"/>
      <c r="RW997" s="124"/>
      <c r="RX997" s="124"/>
      <c r="RY997" s="124"/>
      <c r="RZ997" s="124"/>
      <c r="SA997" s="124"/>
      <c r="SB997" s="124"/>
      <c r="SC997" s="124"/>
      <c r="SD997" s="124"/>
      <c r="SE997" s="124"/>
      <c r="SF997" s="124"/>
      <c r="SG997" s="124"/>
      <c r="SH997" s="124"/>
      <c r="SI997" s="124"/>
      <c r="SJ997" s="124"/>
      <c r="SK997" s="124"/>
      <c r="SL997" s="124"/>
      <c r="SM997" s="124"/>
      <c r="SN997" s="124"/>
      <c r="SO997" s="124"/>
      <c r="SP997" s="124"/>
      <c r="SQ997" s="124"/>
      <c r="SR997" s="124"/>
      <c r="SS997" s="124"/>
      <c r="ST997" s="124"/>
      <c r="SU997" s="124"/>
      <c r="SV997" s="124"/>
      <c r="SW997" s="124"/>
      <c r="SX997" s="124"/>
      <c r="SY997" s="124"/>
      <c r="SZ997" s="124"/>
      <c r="TA997" s="124"/>
      <c r="TB997" s="124"/>
      <c r="TC997" s="124"/>
      <c r="TD997" s="124"/>
      <c r="TE997" s="124"/>
      <c r="TF997" s="124"/>
      <c r="TG997" s="124"/>
      <c r="TH997" s="124"/>
      <c r="TI997" s="124"/>
      <c r="TJ997" s="124"/>
      <c r="TK997" s="124"/>
      <c r="TL997" s="124"/>
      <c r="TM997" s="124"/>
      <c r="TN997" s="124"/>
      <c r="TO997" s="124"/>
      <c r="TP997" s="124"/>
      <c r="TQ997" s="124"/>
      <c r="TR997" s="124"/>
      <c r="TS997" s="124"/>
      <c r="TT997" s="124"/>
      <c r="TU997" s="124"/>
      <c r="TV997" s="124"/>
      <c r="TW997" s="124"/>
      <c r="TX997" s="124"/>
      <c r="TY997" s="124"/>
      <c r="TZ997" s="124"/>
      <c r="UA997" s="124"/>
      <c r="UB997" s="124"/>
      <c r="UC997" s="124"/>
      <c r="UD997" s="124"/>
      <c r="UE997" s="124"/>
      <c r="UF997" s="124"/>
      <c r="UG997" s="124"/>
      <c r="UH997" s="124"/>
      <c r="UI997" s="124"/>
      <c r="UJ997" s="124"/>
      <c r="UK997" s="124"/>
      <c r="UL997" s="124"/>
      <c r="UM997" s="124"/>
      <c r="UN997" s="124"/>
      <c r="UO997" s="124"/>
      <c r="UP997" s="124"/>
      <c r="UQ997" s="124"/>
      <c r="UR997" s="124"/>
      <c r="US997" s="124"/>
      <c r="UT997" s="124"/>
      <c r="UU997" s="124"/>
      <c r="UV997" s="124"/>
      <c r="UW997" s="124"/>
      <c r="UX997" s="124"/>
      <c r="UY997" s="124"/>
      <c r="UZ997" s="124"/>
      <c r="VA997" s="124"/>
      <c r="VB997" s="124"/>
      <c r="VC997" s="124"/>
      <c r="VD997" s="124"/>
      <c r="VE997" s="124"/>
      <c r="VF997" s="124"/>
      <c r="VG997" s="124"/>
      <c r="VH997" s="124"/>
      <c r="VI997" s="124"/>
      <c r="VJ997" s="124"/>
      <c r="VK997" s="124"/>
      <c r="VL997" s="124"/>
      <c r="VM997" s="124"/>
      <c r="VN997" s="124"/>
      <c r="VO997" s="124"/>
      <c r="VP997" s="124"/>
      <c r="VQ997" s="124"/>
      <c r="VR997" s="124"/>
      <c r="VS997" s="124"/>
      <c r="VT997" s="124"/>
      <c r="VU997" s="124"/>
      <c r="VV997" s="124"/>
      <c r="VW997" s="124"/>
      <c r="VX997" s="124"/>
      <c r="VY997" s="124"/>
      <c r="VZ997" s="124"/>
      <c r="WA997" s="124"/>
      <c r="WB997" s="124"/>
      <c r="WC997" s="124"/>
      <c r="WD997" s="124"/>
      <c r="WE997" s="124"/>
      <c r="WF997" s="124"/>
      <c r="WG997" s="124"/>
      <c r="WH997" s="124"/>
      <c r="WI997" s="124"/>
      <c r="WJ997" s="124"/>
      <c r="WK997" s="124"/>
      <c r="WL997" s="124"/>
      <c r="WM997" s="124"/>
      <c r="WN997" s="124"/>
      <c r="WO997" s="124"/>
      <c r="WP997" s="124"/>
      <c r="WQ997" s="124"/>
      <c r="WR997" s="124"/>
      <c r="WS997" s="124"/>
      <c r="WT997" s="124"/>
      <c r="WU997" s="124"/>
      <c r="WV997" s="124"/>
      <c r="WW997" s="124"/>
      <c r="WX997" s="124"/>
      <c r="WY997" s="124"/>
      <c r="WZ997" s="124"/>
      <c r="XA997" s="124"/>
      <c r="XB997" s="124"/>
      <c r="XC997" s="124"/>
      <c r="XD997" s="124"/>
      <c r="XE997" s="124"/>
      <c r="XF997" s="124"/>
      <c r="XG997" s="124"/>
      <c r="XH997" s="124"/>
      <c r="XI997" s="124"/>
      <c r="XJ997" s="124"/>
      <c r="XK997" s="124"/>
      <c r="XL997" s="124"/>
      <c r="XM997" s="124"/>
      <c r="XN997" s="124"/>
      <c r="XO997" s="124"/>
      <c r="XP997" s="124"/>
      <c r="XQ997" s="124"/>
      <c r="XR997" s="124"/>
      <c r="XS997" s="124"/>
      <c r="XT997" s="124"/>
      <c r="XU997" s="124"/>
      <c r="XV997" s="124"/>
      <c r="XW997" s="124"/>
      <c r="XX997" s="124"/>
      <c r="XY997" s="124"/>
      <c r="XZ997" s="124"/>
      <c r="YA997" s="124"/>
      <c r="YB997" s="124"/>
      <c r="YC997" s="124"/>
      <c r="YD997" s="124"/>
      <c r="YE997" s="124"/>
      <c r="YF997" s="124"/>
      <c r="YG997" s="124"/>
      <c r="YH997" s="124"/>
      <c r="YI997" s="124"/>
      <c r="YJ997" s="124"/>
      <c r="YK997" s="124"/>
      <c r="YL997" s="124"/>
      <c r="YM997" s="124"/>
      <c r="YN997" s="124"/>
      <c r="YO997" s="124"/>
      <c r="YP997" s="124"/>
      <c r="YQ997" s="124"/>
      <c r="YR997" s="124"/>
      <c r="YS997" s="124"/>
      <c r="YT997" s="124"/>
      <c r="YU997" s="124"/>
      <c r="YV997" s="124"/>
      <c r="YW997" s="124"/>
      <c r="YX997" s="124"/>
      <c r="YY997" s="124"/>
      <c r="YZ997" s="124"/>
      <c r="ZA997" s="124"/>
      <c r="ZB997" s="124"/>
      <c r="ZC997" s="124"/>
      <c r="ZD997" s="124"/>
      <c r="ZE997" s="124"/>
      <c r="ZF997" s="124"/>
      <c r="ZG997" s="124"/>
      <c r="ZH997" s="124"/>
      <c r="ZI997" s="124"/>
      <c r="ZJ997" s="124"/>
      <c r="ZK997" s="124"/>
      <c r="ZL997" s="124"/>
      <c r="ZM997" s="124"/>
      <c r="ZN997" s="124"/>
      <c r="ZO997" s="124"/>
      <c r="ZP997" s="124"/>
      <c r="ZQ997" s="124"/>
      <c r="ZR997" s="124"/>
      <c r="ZS997" s="124"/>
      <c r="ZT997" s="124"/>
      <c r="ZU997" s="124"/>
      <c r="ZV997" s="124"/>
      <c r="ZW997" s="124"/>
      <c r="ZX997" s="124"/>
      <c r="ZY997" s="124"/>
      <c r="ZZ997" s="124"/>
      <c r="AAA997" s="124"/>
      <c r="AAB997" s="124"/>
      <c r="AAC997" s="124"/>
      <c r="AAD997" s="124"/>
      <c r="AAE997" s="124"/>
      <c r="AAF997" s="124"/>
      <c r="AAG997" s="124"/>
      <c r="AAH997" s="124"/>
      <c r="AAI997" s="124"/>
      <c r="AAJ997" s="124"/>
      <c r="AAK997" s="124"/>
      <c r="AAL997" s="124"/>
      <c r="AAM997" s="124"/>
      <c r="AAN997" s="124"/>
      <c r="AAO997" s="124"/>
      <c r="AAP997" s="124"/>
      <c r="AAQ997" s="124"/>
      <c r="AAR997" s="124"/>
      <c r="AAS997" s="124"/>
      <c r="AAT997" s="124"/>
      <c r="AAU997" s="124"/>
      <c r="AAV997" s="124"/>
      <c r="AAW997" s="124"/>
      <c r="AAX997" s="124"/>
      <c r="AAY997" s="124"/>
      <c r="AAZ997" s="124"/>
      <c r="ABA997" s="124"/>
      <c r="ABB997" s="124"/>
      <c r="ABC997" s="124"/>
      <c r="ABD997" s="124"/>
      <c r="ABE997" s="124"/>
      <c r="ABF997" s="124"/>
      <c r="ABG997" s="124"/>
      <c r="ABH997" s="124"/>
      <c r="ABI997" s="124"/>
      <c r="ABJ997" s="124"/>
      <c r="ABK997" s="124"/>
      <c r="ABL997" s="124"/>
      <c r="ABM997" s="124"/>
      <c r="ABN997" s="124"/>
      <c r="ABO997" s="124"/>
      <c r="ABP997" s="124"/>
      <c r="ABQ997" s="124"/>
      <c r="ABR997" s="124"/>
      <c r="ABS997" s="124"/>
      <c r="ABT997" s="124"/>
      <c r="ABU997" s="124"/>
      <c r="ABV997" s="124"/>
      <c r="ABW997" s="124"/>
      <c r="ABX997" s="124"/>
      <c r="ABY997" s="124"/>
      <c r="ABZ997" s="124"/>
      <c r="ACA997" s="124"/>
      <c r="ACB997" s="124"/>
      <c r="ACC997" s="124"/>
      <c r="ACD997" s="124"/>
      <c r="ACE997" s="124"/>
      <c r="ACF997" s="124"/>
      <c r="ACG997" s="124"/>
      <c r="ACH997" s="124"/>
      <c r="ACI997" s="124"/>
      <c r="ACJ997" s="124"/>
      <c r="ACK997" s="124"/>
      <c r="ACL997" s="124"/>
      <c r="ACM997" s="124"/>
      <c r="ACN997" s="124"/>
      <c r="ACO997" s="124"/>
      <c r="ACP997" s="124"/>
      <c r="ACQ997" s="124"/>
      <c r="ACR997" s="124"/>
      <c r="ACS997" s="124"/>
      <c r="ACT997" s="124"/>
      <c r="ACU997" s="124"/>
      <c r="ACV997" s="124"/>
      <c r="ACW997" s="124"/>
      <c r="ACX997" s="124"/>
      <c r="ACY997" s="124"/>
      <c r="ACZ997" s="124"/>
      <c r="ADA997" s="124"/>
      <c r="ADB997" s="124"/>
      <c r="ADC997" s="124"/>
      <c r="ADD997" s="124"/>
      <c r="ADE997" s="124"/>
      <c r="ADF997" s="124"/>
      <c r="ADG997" s="124"/>
      <c r="ADH997" s="124"/>
      <c r="ADI997" s="124"/>
      <c r="ADJ997" s="124"/>
      <c r="ADK997" s="124"/>
      <c r="ADL997" s="124"/>
      <c r="ADM997" s="124"/>
      <c r="ADN997" s="124"/>
      <c r="ADO997" s="124"/>
      <c r="ADP997" s="124"/>
      <c r="ADQ997" s="124"/>
      <c r="ADR997" s="124"/>
      <c r="ADS997" s="124"/>
      <c r="ADT997" s="124"/>
      <c r="ADU997" s="124"/>
      <c r="ADV997" s="124"/>
      <c r="ADW997" s="124"/>
      <c r="ADX997" s="124"/>
      <c r="ADY997" s="124"/>
      <c r="ADZ997" s="124"/>
      <c r="AEA997" s="124"/>
      <c r="AEB997" s="124"/>
      <c r="AEC997" s="124"/>
      <c r="AED997" s="124"/>
      <c r="AEE997" s="124"/>
      <c r="AEF997" s="124"/>
      <c r="AEG997" s="124"/>
      <c r="AEH997" s="124"/>
      <c r="AEI997" s="124"/>
      <c r="AEJ997" s="124"/>
      <c r="AEK997" s="124"/>
      <c r="AEL997" s="124"/>
      <c r="AEM997" s="124"/>
      <c r="AEN997" s="124"/>
      <c r="AEO997" s="124"/>
      <c r="AEP997" s="124"/>
      <c r="AEQ997" s="124"/>
      <c r="AER997" s="124"/>
      <c r="AES997" s="124"/>
      <c r="AET997" s="124"/>
      <c r="AEU997" s="124"/>
      <c r="AEV997" s="124"/>
      <c r="AEW997" s="124"/>
      <c r="AEX997" s="124"/>
      <c r="AEY997" s="124"/>
      <c r="AEZ997" s="124"/>
      <c r="AFA997" s="124"/>
      <c r="AFB997" s="124"/>
      <c r="AFC997" s="124"/>
      <c r="AFD997" s="124"/>
      <c r="AFE997" s="124"/>
      <c r="AFF997" s="124"/>
      <c r="AFG997" s="124"/>
      <c r="AFH997" s="124"/>
      <c r="AFI997" s="124"/>
      <c r="AFJ997" s="124"/>
      <c r="AFK997" s="124"/>
      <c r="AFL997" s="124"/>
      <c r="AFM997" s="124"/>
      <c r="AFN997" s="124"/>
      <c r="AFO997" s="124"/>
      <c r="AFP997" s="124"/>
      <c r="AFQ997" s="124"/>
      <c r="AFR997" s="124"/>
      <c r="AFS997" s="124"/>
      <c r="AFT997" s="124"/>
      <c r="AFU997" s="124"/>
      <c r="AFV997" s="124"/>
      <c r="AFW997" s="124"/>
      <c r="AFX997" s="124"/>
      <c r="AFY997" s="124"/>
      <c r="AFZ997" s="124"/>
      <c r="AGA997" s="124"/>
      <c r="AGB997" s="124"/>
      <c r="AGC997" s="124"/>
      <c r="AGD997" s="124"/>
      <c r="AGE997" s="124"/>
      <c r="AGF997" s="124"/>
      <c r="AGG997" s="124"/>
      <c r="AGH997" s="124"/>
      <c r="AGI997" s="124"/>
      <c r="AGJ997" s="124"/>
      <c r="AGK997" s="124"/>
      <c r="AGL997" s="124"/>
      <c r="AGM997" s="124"/>
      <c r="AGN997" s="124"/>
      <c r="AGO997" s="124"/>
      <c r="AGP997" s="124"/>
      <c r="AGQ997" s="124"/>
      <c r="AGR997" s="124"/>
      <c r="AGS997" s="124"/>
      <c r="AGT997" s="124"/>
      <c r="AGU997" s="124"/>
      <c r="AGV997" s="124"/>
      <c r="AGW997" s="124"/>
      <c r="AGX997" s="124"/>
      <c r="AGY997" s="124"/>
      <c r="AGZ997" s="124"/>
      <c r="AHA997" s="124"/>
      <c r="AHB997" s="124"/>
      <c r="AHC997" s="124"/>
      <c r="AHD997" s="124"/>
      <c r="AHE997" s="124"/>
      <c r="AHF997" s="124"/>
      <c r="AHG997" s="124"/>
      <c r="AHH997" s="124"/>
      <c r="AHI997" s="124"/>
      <c r="AHJ997" s="124"/>
      <c r="AHK997" s="124"/>
      <c r="AHL997" s="124"/>
      <c r="AHM997" s="124"/>
      <c r="AHN997" s="124"/>
      <c r="AHO997" s="124"/>
      <c r="AHP997" s="124"/>
      <c r="AHQ997" s="124"/>
      <c r="AHR997" s="124"/>
      <c r="AHS997" s="124"/>
      <c r="AHT997" s="124"/>
      <c r="AHU997" s="124"/>
      <c r="AHV997" s="124"/>
      <c r="AHW997" s="124"/>
      <c r="AHX997" s="124"/>
      <c r="AHY997" s="124"/>
      <c r="AHZ997" s="124"/>
      <c r="AIA997" s="124"/>
      <c r="AIB997" s="124"/>
      <c r="AIC997" s="124"/>
      <c r="AID997" s="124"/>
      <c r="AIE997" s="124"/>
      <c r="AIF997" s="124"/>
      <c r="AIG997" s="124"/>
      <c r="AIH997" s="124"/>
      <c r="AII997" s="124"/>
      <c r="AIJ997" s="124"/>
      <c r="AIK997" s="124"/>
      <c r="AIL997" s="124"/>
      <c r="AIM997" s="124"/>
      <c r="AIN997" s="124"/>
      <c r="AIO997" s="124"/>
      <c r="AIP997" s="124"/>
      <c r="AIQ997" s="124"/>
      <c r="AIR997" s="124"/>
      <c r="AIS997" s="124"/>
      <c r="AIT997" s="124"/>
      <c r="AIU997" s="124"/>
      <c r="AIV997" s="124"/>
      <c r="AIW997" s="124"/>
      <c r="AIX997" s="124"/>
      <c r="AIY997" s="124"/>
      <c r="AIZ997" s="124"/>
      <c r="AJA997" s="124"/>
      <c r="AJB997" s="124"/>
      <c r="AJC997" s="124"/>
      <c r="AJD997" s="124"/>
      <c r="AJE997" s="124"/>
      <c r="AJF997" s="124"/>
      <c r="AJG997" s="124"/>
      <c r="AJH997" s="124"/>
      <c r="AJI997" s="124"/>
      <c r="AJJ997" s="124"/>
      <c r="AJK997" s="124"/>
      <c r="AJL997" s="124"/>
      <c r="AJM997" s="124"/>
      <c r="AJN997" s="124"/>
      <c r="AJO997" s="124"/>
      <c r="AJP997" s="124"/>
      <c r="AJQ997" s="124"/>
      <c r="AJR997" s="124"/>
      <c r="AJS997" s="124"/>
      <c r="AJT997" s="124"/>
      <c r="AJU997" s="124"/>
      <c r="AJV997" s="124"/>
      <c r="AJW997" s="124"/>
      <c r="AJX997" s="124"/>
      <c r="AJY997" s="124"/>
      <c r="AJZ997" s="124"/>
      <c r="AKA997" s="124"/>
      <c r="AKB997" s="124"/>
      <c r="AKC997" s="124"/>
      <c r="AKD997" s="124"/>
      <c r="AKE997" s="124"/>
      <c r="AKF997" s="124"/>
      <c r="AKG997" s="124"/>
      <c r="AKH997" s="124"/>
      <c r="AKI997" s="124"/>
      <c r="AKJ997" s="124"/>
      <c r="AKK997" s="124"/>
      <c r="AKL997" s="124"/>
      <c r="AKM997" s="124"/>
      <c r="AKN997" s="124"/>
      <c r="AKO997" s="124"/>
      <c r="AKP997" s="124"/>
      <c r="AKQ997" s="124"/>
      <c r="AKR997" s="124"/>
      <c r="AKS997" s="124"/>
      <c r="AKT997" s="124"/>
      <c r="AKU997" s="124"/>
      <c r="AKV997" s="124"/>
      <c r="AKW997" s="124"/>
      <c r="AKX997" s="124"/>
      <c r="AKY997" s="124"/>
      <c r="AKZ997" s="124"/>
      <c r="ALA997" s="124"/>
      <c r="ALB997" s="124"/>
      <c r="ALC997" s="124"/>
      <c r="ALD997" s="124"/>
      <c r="ALE997" s="124"/>
      <c r="ALF997" s="124"/>
      <c r="ALG997" s="124"/>
      <c r="ALH997" s="124"/>
      <c r="ALI997" s="124"/>
      <c r="ALJ997" s="124"/>
      <c r="ALK997" s="124"/>
      <c r="ALL997" s="124"/>
      <c r="ALM997" s="124"/>
      <c r="ALN997" s="124"/>
      <c r="ALO997" s="124"/>
      <c r="ALP997" s="124"/>
      <c r="ALQ997" s="124"/>
      <c r="ALR997" s="124"/>
      <c r="ALS997" s="124"/>
      <c r="ALT997" s="124"/>
      <c r="ALU997" s="124"/>
      <c r="ALV997" s="124"/>
      <c r="ALW997" s="124"/>
      <c r="ALX997" s="124"/>
      <c r="ALY997" s="124"/>
      <c r="ALZ997" s="124"/>
      <c r="AMA997" s="124"/>
      <c r="AMB997" s="124"/>
      <c r="AMC997" s="124"/>
      <c r="AMD997" s="124"/>
      <c r="AME997" s="124"/>
      <c r="AMF997" s="124"/>
      <c r="AMG997" s="124"/>
      <c r="AMH997" s="124"/>
      <c r="AMI997" s="124"/>
      <c r="AMJ997" s="124"/>
      <c r="AMK997" s="124"/>
      <c r="AML997" s="124"/>
      <c r="AMM997" s="124"/>
      <c r="AMN997" s="124"/>
      <c r="AMO997" s="124"/>
      <c r="AMP997" s="124"/>
      <c r="AMQ997" s="124"/>
      <c r="AMR997" s="124"/>
      <c r="AMS997" s="124"/>
      <c r="AMT997" s="124"/>
      <c r="AMU997" s="124"/>
      <c r="AMV997" s="124"/>
      <c r="AMW997" s="124"/>
      <c r="AMX997" s="124"/>
      <c r="AMY997" s="124"/>
      <c r="AMZ997" s="124"/>
      <c r="ANA997" s="124"/>
      <c r="ANB997" s="124"/>
      <c r="ANC997" s="124"/>
      <c r="AND997" s="124"/>
      <c r="ANE997" s="124"/>
      <c r="ANF997" s="124"/>
      <c r="ANG997" s="124"/>
      <c r="ANH997" s="124"/>
      <c r="ANI997" s="124"/>
      <c r="ANJ997" s="124"/>
      <c r="ANK997" s="124"/>
      <c r="ANL997" s="124"/>
      <c r="ANM997" s="124"/>
      <c r="ANN997" s="124"/>
      <c r="ANO997" s="124"/>
      <c r="ANP997" s="124"/>
      <c r="ANQ997" s="124"/>
      <c r="ANR997" s="124"/>
      <c r="ANS997" s="124"/>
      <c r="ANT997" s="124"/>
      <c r="ANU997" s="124"/>
      <c r="ANV997" s="124"/>
      <c r="ANW997" s="124"/>
      <c r="ANX997" s="124"/>
      <c r="ANY997" s="124"/>
      <c r="ANZ997" s="124"/>
      <c r="AOA997" s="124"/>
      <c r="AOB997" s="124"/>
      <c r="AOC997" s="124"/>
      <c r="AOD997" s="124"/>
      <c r="AOE997" s="124"/>
      <c r="AOF997" s="124"/>
      <c r="AOG997" s="124"/>
      <c r="AOH997" s="124"/>
      <c r="AOI997" s="124"/>
      <c r="AOJ997" s="124"/>
      <c r="AOK997" s="124"/>
      <c r="AOL997" s="124"/>
      <c r="AOM997" s="124"/>
      <c r="AON997" s="124"/>
      <c r="AOO997" s="124"/>
      <c r="AOP997" s="124"/>
      <c r="AOQ997" s="124"/>
      <c r="AOR997" s="124"/>
      <c r="AOS997" s="124"/>
      <c r="AOT997" s="124"/>
      <c r="AOU997" s="124"/>
      <c r="AOV997" s="124"/>
      <c r="AOW997" s="124"/>
      <c r="AOX997" s="124"/>
      <c r="AOY997" s="124"/>
      <c r="AOZ997" s="124"/>
      <c r="APA997" s="124"/>
      <c r="APB997" s="124"/>
      <c r="APC997" s="124"/>
      <c r="APD997" s="124"/>
      <c r="APE997" s="124"/>
      <c r="APF997" s="124"/>
      <c r="APG997" s="124"/>
      <c r="APH997" s="124"/>
      <c r="API997" s="124"/>
      <c r="APJ997" s="124"/>
      <c r="APK997" s="124"/>
      <c r="APL997" s="124"/>
      <c r="APM997" s="124"/>
      <c r="APN997" s="124"/>
      <c r="APO997" s="124"/>
      <c r="APP997" s="124"/>
      <c r="APQ997" s="124"/>
      <c r="APR997" s="124"/>
      <c r="APS997" s="124"/>
      <c r="APT997" s="124"/>
      <c r="APU997" s="124"/>
      <c r="APV997" s="124"/>
      <c r="APW997" s="124"/>
      <c r="APX997" s="124"/>
      <c r="APY997" s="124"/>
      <c r="APZ997" s="124"/>
      <c r="AQA997" s="124"/>
      <c r="AQB997" s="124"/>
      <c r="AQC997" s="124"/>
      <c r="AQD997" s="124"/>
      <c r="AQE997" s="124"/>
      <c r="AQF997" s="124"/>
      <c r="AQG997" s="124"/>
      <c r="AQH997" s="124"/>
      <c r="AQI997" s="124"/>
      <c r="AQJ997" s="124"/>
      <c r="AQK997" s="124"/>
      <c r="AQL997" s="124"/>
      <c r="AQM997" s="124"/>
      <c r="AQN997" s="124"/>
      <c r="AQO997" s="124"/>
      <c r="AQP997" s="124"/>
      <c r="AQQ997" s="124"/>
      <c r="AQR997" s="124"/>
      <c r="AQS997" s="124"/>
      <c r="AQT997" s="124"/>
      <c r="AQU997" s="124"/>
      <c r="AQV997" s="124"/>
      <c r="AQW997" s="124"/>
      <c r="AQX997" s="124"/>
      <c r="AQY997" s="124"/>
      <c r="AQZ997" s="124"/>
      <c r="ARA997" s="124"/>
      <c r="ARB997" s="124"/>
      <c r="ARC997" s="124"/>
      <c r="ARD997" s="124"/>
      <c r="ARE997" s="124"/>
      <c r="ARF997" s="124"/>
      <c r="ARG997" s="124"/>
      <c r="ARH997" s="124"/>
      <c r="ARI997" s="124"/>
      <c r="ARJ997" s="124"/>
      <c r="ARK997" s="124"/>
      <c r="ARL997" s="124"/>
      <c r="ARM997" s="124"/>
      <c r="ARN997" s="124"/>
      <c r="ARO997" s="124"/>
      <c r="ARP997" s="124"/>
      <c r="ARQ997" s="124"/>
      <c r="ARR997" s="124"/>
      <c r="ARS997" s="124"/>
      <c r="ART997" s="124"/>
      <c r="ARU997" s="124"/>
      <c r="ARV997" s="124"/>
      <c r="ARW997" s="124"/>
      <c r="ARX997" s="124"/>
      <c r="ARY997" s="124"/>
      <c r="ARZ997" s="124"/>
      <c r="ASA997" s="124"/>
      <c r="ASB997" s="124"/>
      <c r="ASC997" s="124"/>
      <c r="ASD997" s="124"/>
      <c r="ASE997" s="124"/>
      <c r="ASF997" s="124"/>
      <c r="ASG997" s="124"/>
      <c r="ASH997" s="124"/>
      <c r="ASI997" s="124"/>
      <c r="ASJ997" s="124"/>
      <c r="ASK997" s="124"/>
      <c r="ASL997" s="124"/>
      <c r="ASM997" s="124"/>
      <c r="ASN997" s="124"/>
      <c r="ASO997" s="124"/>
      <c r="ASP997" s="124"/>
      <c r="ASQ997" s="124"/>
      <c r="ASR997" s="124"/>
      <c r="ASS997" s="124"/>
      <c r="AST997" s="124"/>
      <c r="ASU997" s="124"/>
      <c r="ASV997" s="124"/>
      <c r="ASW997" s="124"/>
      <c r="ASX997" s="124"/>
      <c r="ASY997" s="124"/>
      <c r="ASZ997" s="124"/>
      <c r="ATA997" s="124"/>
      <c r="ATB997" s="124"/>
      <c r="ATC997" s="124"/>
      <c r="ATD997" s="124"/>
      <c r="ATE997" s="124"/>
      <c r="ATF997" s="124"/>
      <c r="ATG997" s="124"/>
      <c r="ATH997" s="124"/>
      <c r="ATI997" s="124"/>
      <c r="ATJ997" s="124"/>
      <c r="ATK997" s="124"/>
      <c r="ATL997" s="124"/>
      <c r="ATM997" s="124"/>
      <c r="ATN997" s="124"/>
      <c r="ATO997" s="124"/>
      <c r="ATP997" s="124"/>
      <c r="ATQ997" s="124"/>
      <c r="ATR997" s="124"/>
      <c r="ATS997" s="124"/>
      <c r="ATT997" s="124"/>
      <c r="ATU997" s="124"/>
      <c r="ATV997" s="124"/>
      <c r="ATW997" s="124"/>
      <c r="ATX997" s="124"/>
      <c r="ATY997" s="124"/>
      <c r="ATZ997" s="124"/>
      <c r="AUA997" s="124"/>
      <c r="AUB997" s="124"/>
      <c r="AUC997" s="124"/>
      <c r="AUD997" s="124"/>
      <c r="AUE997" s="124"/>
      <c r="AUF997" s="124"/>
      <c r="AUG997" s="124"/>
      <c r="AUH997" s="124"/>
      <c r="AUI997" s="124"/>
      <c r="AUJ997" s="124"/>
      <c r="AUK997" s="124"/>
      <c r="AUL997" s="124"/>
      <c r="AUM997" s="124"/>
      <c r="AUN997" s="124"/>
      <c r="AUO997" s="124"/>
      <c r="AUP997" s="124"/>
      <c r="AUQ997" s="124"/>
      <c r="AUR997" s="124"/>
      <c r="AUS997" s="124"/>
      <c r="AUT997" s="124"/>
      <c r="AUU997" s="124"/>
      <c r="AUV997" s="124"/>
      <c r="AUW997" s="124"/>
      <c r="AUX997" s="124"/>
      <c r="AUY997" s="124"/>
      <c r="AUZ997" s="124"/>
      <c r="AVA997" s="124"/>
      <c r="AVB997" s="124"/>
      <c r="AVC997" s="124"/>
      <c r="AVD997" s="124"/>
      <c r="AVE997" s="124"/>
      <c r="AVF997" s="124"/>
      <c r="AVG997" s="124"/>
      <c r="AVH997" s="124"/>
      <c r="AVI997" s="124"/>
      <c r="AVJ997" s="124"/>
      <c r="AVK997" s="124"/>
      <c r="AVL997" s="124"/>
      <c r="AVM997" s="124"/>
      <c r="AVN997" s="124"/>
      <c r="AVO997" s="124"/>
      <c r="AVP997" s="124"/>
      <c r="AVQ997" s="124"/>
      <c r="AVR997" s="124"/>
      <c r="AVS997" s="124"/>
      <c r="AVT997" s="124"/>
      <c r="AVU997" s="124"/>
      <c r="AVV997" s="124"/>
      <c r="AVW997" s="124"/>
      <c r="AVX997" s="124"/>
      <c r="AVY997" s="124"/>
      <c r="AVZ997" s="124"/>
      <c r="AWA997" s="124"/>
      <c r="AWB997" s="124"/>
      <c r="AWC997" s="124"/>
      <c r="AWD997" s="124"/>
      <c r="AWE997" s="124"/>
      <c r="AWF997" s="124"/>
      <c r="AWG997" s="124"/>
      <c r="AWH997" s="124"/>
      <c r="AWI997" s="124"/>
      <c r="AWJ997" s="124"/>
      <c r="AWK997" s="124"/>
      <c r="AWL997" s="124"/>
      <c r="AWM997" s="124"/>
      <c r="AWN997" s="124"/>
      <c r="AWO997" s="124"/>
      <c r="AWP997" s="124"/>
      <c r="AWQ997" s="124"/>
      <c r="AWR997" s="124"/>
      <c r="AWS997" s="124"/>
      <c r="AWT997" s="124"/>
      <c r="AWU997" s="124"/>
      <c r="AWV997" s="124"/>
      <c r="AWW997" s="124"/>
      <c r="AWX997" s="124"/>
      <c r="AWY997" s="124"/>
      <c r="AWZ997" s="124"/>
      <c r="AXA997" s="124"/>
      <c r="AXB997" s="124"/>
      <c r="AXC997" s="124"/>
      <c r="AXD997" s="124"/>
      <c r="AXE997" s="124"/>
      <c r="AXF997" s="124"/>
      <c r="AXG997" s="124"/>
      <c r="AXH997" s="124"/>
      <c r="AXI997" s="124"/>
      <c r="AXJ997" s="124"/>
      <c r="AXK997" s="124"/>
      <c r="AXL997" s="124"/>
      <c r="AXM997" s="124"/>
      <c r="AXN997" s="124"/>
      <c r="AXO997" s="124"/>
      <c r="AXP997" s="124"/>
      <c r="AXQ997" s="124"/>
      <c r="AXR997" s="124"/>
      <c r="AXS997" s="124"/>
      <c r="AXT997" s="124"/>
      <c r="AXU997" s="124"/>
      <c r="AXV997" s="124"/>
      <c r="AXW997" s="124"/>
      <c r="AXX997" s="124"/>
      <c r="AXY997" s="124"/>
      <c r="AXZ997" s="124"/>
      <c r="AYA997" s="124"/>
      <c r="AYB997" s="124"/>
      <c r="AYC997" s="124"/>
      <c r="AYD997" s="124"/>
      <c r="AYE997" s="124"/>
      <c r="AYF997" s="124"/>
      <c r="AYG997" s="124"/>
      <c r="AYH997" s="124"/>
      <c r="AYI997" s="124"/>
      <c r="AYJ997" s="124"/>
      <c r="AYK997" s="124"/>
      <c r="AYL997" s="124"/>
      <c r="AYM997" s="124"/>
      <c r="AYN997" s="124"/>
      <c r="AYO997" s="124"/>
      <c r="AYP997" s="124"/>
      <c r="AYQ997" s="124"/>
      <c r="AYR997" s="124"/>
      <c r="AYS997" s="124"/>
      <c r="AYT997" s="124"/>
      <c r="AYU997" s="124"/>
      <c r="AYV997" s="124"/>
      <c r="AYW997" s="124"/>
      <c r="AYX997" s="124"/>
      <c r="AYY997" s="124"/>
      <c r="AYZ997" s="124"/>
      <c r="AZA997" s="124"/>
      <c r="AZB997" s="124"/>
      <c r="AZC997" s="124"/>
      <c r="AZD997" s="124"/>
      <c r="AZE997" s="124"/>
      <c r="AZF997" s="124"/>
      <c r="AZG997" s="124"/>
      <c r="AZH997" s="124"/>
      <c r="AZI997" s="124"/>
      <c r="AZJ997" s="124"/>
      <c r="AZK997" s="124"/>
      <c r="AZL997" s="124"/>
      <c r="AZM997" s="124"/>
      <c r="AZN997" s="124"/>
      <c r="AZO997" s="124"/>
      <c r="AZP997" s="124"/>
      <c r="AZQ997" s="124"/>
      <c r="AZR997" s="124"/>
      <c r="AZS997" s="124"/>
      <c r="AZT997" s="124"/>
      <c r="AZU997" s="124"/>
      <c r="AZV997" s="124"/>
      <c r="AZW997" s="124"/>
      <c r="AZX997" s="124"/>
      <c r="AZY997" s="124"/>
      <c r="AZZ997" s="124"/>
      <c r="BAA997" s="124"/>
      <c r="BAB997" s="124"/>
      <c r="BAC997" s="124"/>
      <c r="BAD997" s="124"/>
      <c r="BAE997" s="124"/>
      <c r="BAF997" s="124"/>
      <c r="BAG997" s="124"/>
      <c r="BAH997" s="124"/>
      <c r="BAI997" s="124"/>
      <c r="BAJ997" s="124"/>
      <c r="BAK997" s="124"/>
      <c r="BAL997" s="124"/>
      <c r="BAM997" s="124"/>
      <c r="BAN997" s="124"/>
      <c r="BAO997" s="124"/>
      <c r="BAP997" s="124"/>
      <c r="BAQ997" s="124"/>
      <c r="BAR997" s="124"/>
      <c r="BAS997" s="124"/>
      <c r="BAT997" s="124"/>
      <c r="BAU997" s="124"/>
      <c r="BAV997" s="124"/>
      <c r="BAW997" s="124"/>
      <c r="BAX997" s="124"/>
      <c r="BAY997" s="124"/>
      <c r="BAZ997" s="124"/>
      <c r="BBA997" s="124"/>
      <c r="BBB997" s="124"/>
      <c r="BBC997" s="124"/>
      <c r="BBD997" s="124"/>
      <c r="BBE997" s="124"/>
      <c r="BBF997" s="124"/>
      <c r="BBG997" s="124"/>
      <c r="BBH997" s="124"/>
      <c r="BBI997" s="124"/>
      <c r="BBJ997" s="124"/>
      <c r="BBK997" s="124"/>
      <c r="BBL997" s="124"/>
      <c r="BBM997" s="124"/>
      <c r="BBN997" s="124"/>
      <c r="BBO997" s="124"/>
      <c r="BBP997" s="124"/>
      <c r="BBQ997" s="124"/>
      <c r="BBR997" s="124"/>
      <c r="BBS997" s="124"/>
      <c r="BBT997" s="124"/>
      <c r="BBU997" s="124"/>
      <c r="BBV997" s="124"/>
      <c r="BBW997" s="124"/>
      <c r="BBX997" s="124"/>
      <c r="BBY997" s="124"/>
      <c r="BBZ997" s="124"/>
      <c r="BCA997" s="124"/>
      <c r="BCB997" s="124"/>
      <c r="BCC997" s="124"/>
      <c r="BCD997" s="124"/>
      <c r="BCE997" s="124"/>
      <c r="BCF997" s="124"/>
      <c r="BCG997" s="124"/>
      <c r="BCH997" s="124"/>
      <c r="BCI997" s="124"/>
      <c r="BCJ997" s="124"/>
      <c r="BCK997" s="124"/>
      <c r="BCL997" s="124"/>
      <c r="BCM997" s="124"/>
      <c r="BCN997" s="124"/>
      <c r="BCO997" s="124"/>
      <c r="BCP997" s="124"/>
      <c r="BCQ997" s="124"/>
      <c r="BCR997" s="124"/>
      <c r="BCS997" s="124"/>
      <c r="BCT997" s="124"/>
      <c r="BCU997" s="124"/>
      <c r="BCV997" s="124"/>
      <c r="BCW997" s="124"/>
      <c r="BCX997" s="124"/>
      <c r="BCY997" s="124"/>
      <c r="BCZ997" s="124"/>
      <c r="BDA997" s="124"/>
      <c r="BDB997" s="124"/>
      <c r="BDC997" s="124"/>
      <c r="BDD997" s="124"/>
      <c r="BDE997" s="124"/>
      <c r="BDF997" s="124"/>
      <c r="BDG997" s="124"/>
      <c r="BDH997" s="124"/>
      <c r="BDI997" s="124"/>
      <c r="BDJ997" s="124"/>
      <c r="BDK997" s="124"/>
      <c r="BDL997" s="124"/>
      <c r="BDM997" s="124"/>
      <c r="BDN997" s="124"/>
      <c r="BDO997" s="124"/>
      <c r="BDP997" s="124"/>
      <c r="BDQ997" s="124"/>
      <c r="BDR997" s="124"/>
      <c r="BDS997" s="124"/>
      <c r="BDT997" s="124"/>
      <c r="BDU997" s="124"/>
      <c r="BDV997" s="124"/>
      <c r="BDW997" s="124"/>
      <c r="BDX997" s="124"/>
      <c r="BDY997" s="124"/>
      <c r="BDZ997" s="124"/>
      <c r="BEA997" s="124"/>
      <c r="BEB997" s="124"/>
      <c r="BEC997" s="124"/>
      <c r="BED997" s="124"/>
      <c r="BEE997" s="124"/>
      <c r="BEF997" s="124"/>
      <c r="BEG997" s="124"/>
      <c r="BEH997" s="124"/>
      <c r="BEI997" s="124"/>
      <c r="BEJ997" s="124"/>
      <c r="BEK997" s="124"/>
      <c r="BEL997" s="124"/>
      <c r="BEM997" s="124"/>
      <c r="BEN997" s="124"/>
      <c r="BEO997" s="124"/>
      <c r="BEP997" s="124"/>
      <c r="BEQ997" s="124"/>
      <c r="BER997" s="124"/>
      <c r="BES997" s="124"/>
      <c r="BET997" s="124"/>
      <c r="BEU997" s="124"/>
      <c r="BEV997" s="124"/>
      <c r="BEW997" s="124"/>
      <c r="BEX997" s="124"/>
      <c r="BEY997" s="124"/>
      <c r="BEZ997" s="124"/>
      <c r="BFA997" s="124"/>
      <c r="BFB997" s="124"/>
      <c r="BFC997" s="124"/>
      <c r="BFD997" s="124"/>
      <c r="BFE997" s="124"/>
      <c r="BFF997" s="124"/>
      <c r="BFG997" s="124"/>
      <c r="BFH997" s="124"/>
      <c r="BFI997" s="124"/>
      <c r="BFJ997" s="124"/>
      <c r="BFK997" s="124"/>
      <c r="BFL997" s="124"/>
      <c r="BFM997" s="124"/>
      <c r="BFN997" s="124"/>
      <c r="BFO997" s="124"/>
      <c r="BFP997" s="124"/>
      <c r="BFQ997" s="124"/>
      <c r="BFR997" s="124"/>
      <c r="BFS997" s="124"/>
      <c r="BFT997" s="124"/>
      <c r="BFU997" s="124"/>
      <c r="BFV997" s="124"/>
      <c r="BFW997" s="124"/>
      <c r="BFX997" s="124"/>
      <c r="BFY997" s="124"/>
      <c r="BFZ997" s="124"/>
      <c r="BGA997" s="124"/>
      <c r="BGB997" s="124"/>
      <c r="BGC997" s="124"/>
      <c r="BGD997" s="124"/>
      <c r="BGE997" s="124"/>
      <c r="BGF997" s="124"/>
      <c r="BGG997" s="124"/>
      <c r="BGH997" s="124"/>
      <c r="BGI997" s="124"/>
      <c r="BGJ997" s="124"/>
      <c r="BGK997" s="124"/>
      <c r="BGL997" s="124"/>
      <c r="BGM997" s="124"/>
      <c r="BGN997" s="124"/>
      <c r="BGO997" s="124"/>
      <c r="BGP997" s="124"/>
      <c r="BGQ997" s="124"/>
      <c r="BGR997" s="124"/>
      <c r="BGS997" s="124"/>
      <c r="BGT997" s="124"/>
      <c r="BGU997" s="124"/>
      <c r="BGV997" s="124"/>
      <c r="BGW997" s="124"/>
      <c r="BGX997" s="124"/>
      <c r="BGY997" s="124"/>
      <c r="BGZ997" s="124"/>
      <c r="BHA997" s="124"/>
      <c r="BHB997" s="124"/>
      <c r="BHC997" s="124"/>
      <c r="BHD997" s="124"/>
      <c r="BHE997" s="124"/>
      <c r="BHF997" s="124"/>
      <c r="BHG997" s="124"/>
      <c r="BHH997" s="124"/>
      <c r="BHI997" s="124"/>
      <c r="BHJ997" s="124"/>
      <c r="BHK997" s="124"/>
      <c r="BHL997" s="124"/>
      <c r="BHM997" s="124"/>
      <c r="BHN997" s="124"/>
      <c r="BHO997" s="124"/>
      <c r="BHP997" s="124"/>
      <c r="BHQ997" s="124"/>
      <c r="BHR997" s="124"/>
      <c r="BHS997" s="124"/>
      <c r="BHT997" s="124"/>
      <c r="BHU997" s="124"/>
      <c r="BHV997" s="124"/>
      <c r="BHW997" s="124"/>
      <c r="BHX997" s="124"/>
      <c r="BHY997" s="124"/>
      <c r="BHZ997" s="124"/>
      <c r="BIA997" s="124"/>
      <c r="BIB997" s="124"/>
      <c r="BIC997" s="124"/>
      <c r="BID997" s="124"/>
      <c r="BIE997" s="124"/>
      <c r="BIF997" s="124"/>
      <c r="BIG997" s="124"/>
      <c r="BIH997" s="124"/>
      <c r="BII997" s="124"/>
      <c r="BIJ997" s="124"/>
      <c r="BIK997" s="124"/>
      <c r="BIL997" s="124"/>
      <c r="BIM997" s="124"/>
      <c r="BIN997" s="124"/>
      <c r="BIO997" s="124"/>
      <c r="BIP997" s="124"/>
      <c r="BIQ997" s="124"/>
      <c r="BIR997" s="124"/>
      <c r="BIS997" s="124"/>
      <c r="BIT997" s="124"/>
      <c r="BIU997" s="124"/>
      <c r="BIV997" s="124"/>
      <c r="BIW997" s="124"/>
      <c r="BIX997" s="124"/>
      <c r="BIY997" s="124"/>
      <c r="BIZ997" s="124"/>
      <c r="BJA997" s="124"/>
      <c r="BJB997" s="124"/>
      <c r="BJC997" s="124"/>
      <c r="BJD997" s="124"/>
      <c r="BJE997" s="124"/>
      <c r="BJF997" s="124"/>
      <c r="BJG997" s="124"/>
      <c r="BJH997" s="124"/>
      <c r="BJI997" s="124"/>
      <c r="BJJ997" s="124"/>
      <c r="BJK997" s="124"/>
      <c r="BJL997" s="124"/>
      <c r="BJM997" s="124"/>
      <c r="BJN997" s="124"/>
      <c r="BJO997" s="124"/>
      <c r="BJP997" s="124"/>
      <c r="BJQ997" s="124"/>
      <c r="BJR997" s="124"/>
      <c r="BJS997" s="124"/>
      <c r="BJT997" s="124"/>
      <c r="BJU997" s="124"/>
      <c r="BJV997" s="124"/>
      <c r="BJW997" s="124"/>
      <c r="BJX997" s="124"/>
      <c r="BJY997" s="124"/>
      <c r="BJZ997" s="124"/>
      <c r="BKA997" s="124"/>
      <c r="BKB997" s="124"/>
      <c r="BKC997" s="124"/>
      <c r="BKD997" s="124"/>
      <c r="BKE997" s="124"/>
      <c r="BKF997" s="124"/>
      <c r="BKG997" s="124"/>
      <c r="BKH997" s="124"/>
      <c r="BKI997" s="124"/>
      <c r="BKJ997" s="124"/>
      <c r="BKK997" s="124"/>
      <c r="BKL997" s="124"/>
      <c r="BKM997" s="124"/>
      <c r="BKN997" s="124"/>
      <c r="BKO997" s="124"/>
      <c r="BKP997" s="124"/>
      <c r="BKQ997" s="124"/>
      <c r="BKR997" s="124"/>
      <c r="BKS997" s="124"/>
      <c r="BKT997" s="124"/>
      <c r="BKU997" s="124"/>
      <c r="BKV997" s="124"/>
      <c r="BKW997" s="124"/>
      <c r="BKX997" s="124"/>
      <c r="BKY997" s="124"/>
      <c r="BKZ997" s="124"/>
      <c r="BLA997" s="124"/>
      <c r="BLB997" s="124"/>
      <c r="BLC997" s="124"/>
      <c r="BLD997" s="124"/>
      <c r="BLE997" s="124"/>
      <c r="BLF997" s="124"/>
      <c r="BLG997" s="124"/>
      <c r="BLH997" s="124"/>
      <c r="BLI997" s="124"/>
      <c r="BLJ997" s="124"/>
      <c r="BLK997" s="124"/>
      <c r="BLL997" s="124"/>
      <c r="BLM997" s="124"/>
      <c r="BLN997" s="124"/>
      <c r="BLO997" s="124"/>
      <c r="BLP997" s="124"/>
      <c r="BLQ997" s="124"/>
      <c r="BLR997" s="124"/>
      <c r="BLS997" s="124"/>
      <c r="BLT997" s="124"/>
      <c r="BLU997" s="124"/>
      <c r="BLV997" s="124"/>
      <c r="BLW997" s="124"/>
      <c r="BLX997" s="124"/>
      <c r="BLY997" s="124"/>
      <c r="BLZ997" s="124"/>
      <c r="BMA997" s="124"/>
      <c r="BMB997" s="124"/>
      <c r="BMC997" s="124"/>
      <c r="BMD997" s="124"/>
      <c r="BME997" s="124"/>
      <c r="BMF997" s="124"/>
      <c r="BMG997" s="124"/>
      <c r="BMH997" s="124"/>
      <c r="BMI997" s="124"/>
      <c r="BMJ997" s="124"/>
      <c r="BMK997" s="124"/>
      <c r="BML997" s="124"/>
      <c r="BMM997" s="124"/>
      <c r="BMN997" s="124"/>
      <c r="BMO997" s="124"/>
      <c r="BMP997" s="124"/>
      <c r="BMQ997" s="124"/>
      <c r="BMR997" s="124"/>
      <c r="BMS997" s="124"/>
      <c r="BMT997" s="124"/>
      <c r="BMU997" s="124"/>
      <c r="BMV997" s="124"/>
      <c r="BMW997" s="124"/>
      <c r="BMX997" s="124"/>
      <c r="BMY997" s="124"/>
      <c r="BMZ997" s="124"/>
      <c r="BNA997" s="124"/>
      <c r="BNB997" s="124"/>
      <c r="BNC997" s="124"/>
      <c r="BND997" s="124"/>
      <c r="BNE997" s="124"/>
      <c r="BNF997" s="124"/>
      <c r="BNG997" s="124"/>
      <c r="BNH997" s="124"/>
      <c r="BNI997" s="124"/>
      <c r="BNJ997" s="124"/>
      <c r="BNK997" s="124"/>
      <c r="BNL997" s="124"/>
      <c r="BNM997" s="124"/>
      <c r="BNN997" s="124"/>
      <c r="BNO997" s="124"/>
      <c r="BNP997" s="124"/>
      <c r="BNQ997" s="124"/>
      <c r="BNR997" s="124"/>
      <c r="BNS997" s="124"/>
      <c r="BNT997" s="124"/>
      <c r="BNU997" s="124"/>
      <c r="BNV997" s="124"/>
      <c r="BNW997" s="124"/>
      <c r="BNX997" s="124"/>
      <c r="BNY997" s="124"/>
      <c r="BNZ997" s="124"/>
      <c r="BOA997" s="124"/>
      <c r="BOB997" s="124"/>
      <c r="BOC997" s="124"/>
      <c r="BOD997" s="124"/>
      <c r="BOE997" s="124"/>
      <c r="BOF997" s="124"/>
      <c r="BOG997" s="124"/>
      <c r="BOH997" s="124"/>
      <c r="BOI997" s="124"/>
      <c r="BOJ997" s="124"/>
      <c r="BOK997" s="124"/>
      <c r="BOL997" s="124"/>
      <c r="BOM997" s="124"/>
      <c r="BON997" s="124"/>
      <c r="BOO997" s="124"/>
      <c r="BOP997" s="124"/>
      <c r="BOQ997" s="124"/>
      <c r="BOR997" s="124"/>
      <c r="BOS997" s="124"/>
      <c r="BOT997" s="124"/>
      <c r="BOU997" s="124"/>
      <c r="BOV997" s="124"/>
      <c r="BOW997" s="124"/>
      <c r="BOX997" s="124"/>
      <c r="BOY997" s="124"/>
      <c r="BOZ997" s="124"/>
      <c r="BPA997" s="124"/>
      <c r="BPB997" s="124"/>
      <c r="BPC997" s="124"/>
      <c r="BPD997" s="124"/>
      <c r="BPE997" s="124"/>
      <c r="BPF997" s="124"/>
      <c r="BPG997" s="124"/>
      <c r="BPH997" s="124"/>
      <c r="BPI997" s="124"/>
      <c r="BPJ997" s="124"/>
      <c r="BPK997" s="124"/>
      <c r="BPL997" s="124"/>
      <c r="BPM997" s="124"/>
      <c r="BPN997" s="124"/>
      <c r="BPO997" s="124"/>
      <c r="BPP997" s="124"/>
      <c r="BPQ997" s="124"/>
      <c r="BPR997" s="124"/>
      <c r="BPS997" s="124"/>
      <c r="BPT997" s="124"/>
      <c r="BPU997" s="124"/>
      <c r="BPV997" s="124"/>
      <c r="BPW997" s="124"/>
      <c r="BPX997" s="124"/>
      <c r="BPY997" s="124"/>
      <c r="BPZ997" s="124"/>
      <c r="BQA997" s="124"/>
      <c r="BQB997" s="124"/>
      <c r="BQC997" s="124"/>
      <c r="BQD997" s="124"/>
      <c r="BQE997" s="124"/>
      <c r="BQF997" s="124"/>
      <c r="BQG997" s="124"/>
      <c r="BQH997" s="124"/>
      <c r="BQI997" s="124"/>
      <c r="BQJ997" s="124"/>
      <c r="BQK997" s="124"/>
      <c r="BQL997" s="124"/>
      <c r="BQM997" s="124"/>
      <c r="BQN997" s="124"/>
      <c r="BQO997" s="124"/>
      <c r="BQP997" s="124"/>
      <c r="BQQ997" s="124"/>
      <c r="BQR997" s="124"/>
      <c r="BQS997" s="124"/>
      <c r="BQT997" s="124"/>
      <c r="BQU997" s="124"/>
      <c r="BQV997" s="124"/>
      <c r="BQW997" s="124"/>
      <c r="BQX997" s="124"/>
      <c r="BQY997" s="124"/>
      <c r="BQZ997" s="124"/>
      <c r="BRA997" s="124"/>
      <c r="BRB997" s="124"/>
      <c r="BRC997" s="124"/>
      <c r="BRD997" s="124"/>
      <c r="BRE997" s="124"/>
      <c r="BRF997" s="124"/>
      <c r="BRG997" s="124"/>
      <c r="BRH997" s="124"/>
      <c r="BRI997" s="124"/>
      <c r="BRJ997" s="124"/>
      <c r="BRK997" s="124"/>
      <c r="BRL997" s="124"/>
      <c r="BRM997" s="124"/>
      <c r="BRN997" s="124"/>
      <c r="BRO997" s="124"/>
      <c r="BRP997" s="124"/>
      <c r="BRQ997" s="124"/>
      <c r="BRR997" s="124"/>
      <c r="BRS997" s="124"/>
      <c r="BRT997" s="124"/>
      <c r="BRU997" s="124"/>
      <c r="BRV997" s="124"/>
      <c r="BRW997" s="124"/>
      <c r="BRX997" s="124"/>
      <c r="BRY997" s="124"/>
      <c r="BRZ997" s="124"/>
      <c r="BSA997" s="124"/>
      <c r="BSB997" s="124"/>
      <c r="BSC997" s="124"/>
      <c r="BSD997" s="124"/>
      <c r="BSE997" s="124"/>
      <c r="BSF997" s="124"/>
      <c r="BSG997" s="124"/>
      <c r="BSH997" s="124"/>
      <c r="BSI997" s="124"/>
      <c r="BSJ997" s="124"/>
      <c r="BSK997" s="124"/>
      <c r="BSL997" s="124"/>
      <c r="BSM997" s="124"/>
      <c r="BSN997" s="124"/>
      <c r="BSO997" s="124"/>
      <c r="BSP997" s="124"/>
      <c r="BSQ997" s="124"/>
      <c r="BSR997" s="124"/>
      <c r="BSS997" s="124"/>
      <c r="BST997" s="124"/>
      <c r="BSU997" s="124"/>
      <c r="BSV997" s="124"/>
      <c r="BSW997" s="124"/>
      <c r="BSX997" s="124"/>
      <c r="BSY997" s="124"/>
      <c r="BSZ997" s="124"/>
      <c r="BTA997" s="124"/>
      <c r="BTB997" s="124"/>
      <c r="BTC997" s="124"/>
      <c r="BTD997" s="124"/>
      <c r="BTE997" s="124"/>
      <c r="BTF997" s="124"/>
      <c r="BTG997" s="124"/>
      <c r="BTH997" s="124"/>
      <c r="BTI997" s="124"/>
      <c r="BTJ997" s="124"/>
      <c r="BTK997" s="124"/>
      <c r="BTL997" s="124"/>
      <c r="BTM997" s="124"/>
      <c r="BTN997" s="124"/>
      <c r="BTO997" s="124"/>
      <c r="BTP997" s="124"/>
      <c r="BTQ997" s="124"/>
      <c r="BTR997" s="124"/>
      <c r="BTS997" s="124"/>
      <c r="BTT997" s="124"/>
      <c r="BTU997" s="124"/>
      <c r="BTV997" s="124"/>
      <c r="BTW997" s="124"/>
      <c r="BTX997" s="124"/>
      <c r="BTY997" s="124"/>
      <c r="BTZ997" s="124"/>
      <c r="BUA997" s="124"/>
      <c r="BUB997" s="124"/>
      <c r="BUC997" s="124"/>
      <c r="BUD997" s="124"/>
      <c r="BUE997" s="124"/>
      <c r="BUF997" s="124"/>
      <c r="BUG997" s="124"/>
      <c r="BUH997" s="124"/>
      <c r="BUI997" s="124"/>
      <c r="BUJ997" s="124"/>
      <c r="BUK997" s="124"/>
      <c r="BUL997" s="124"/>
      <c r="BUM997" s="124"/>
      <c r="BUN997" s="124"/>
      <c r="BUO997" s="124"/>
      <c r="BUP997" s="124"/>
      <c r="BUQ997" s="124"/>
      <c r="BUR997" s="124"/>
      <c r="BUS997" s="124"/>
      <c r="BUT997" s="124"/>
      <c r="BUU997" s="124"/>
      <c r="BUV997" s="124"/>
      <c r="BUW997" s="124"/>
      <c r="BUX997" s="124"/>
      <c r="BUY997" s="124"/>
      <c r="BUZ997" s="124"/>
      <c r="BVA997" s="124"/>
      <c r="BVB997" s="124"/>
      <c r="BVC997" s="124"/>
      <c r="BVD997" s="124"/>
      <c r="BVE997" s="124"/>
      <c r="BVF997" s="124"/>
      <c r="BVG997" s="124"/>
      <c r="BVH997" s="124"/>
      <c r="BVI997" s="124"/>
      <c r="BVJ997" s="124"/>
      <c r="BVK997" s="124"/>
      <c r="BVL997" s="124"/>
      <c r="BVM997" s="124"/>
      <c r="BVN997" s="124"/>
      <c r="BVO997" s="124"/>
      <c r="BVP997" s="124"/>
      <c r="BVQ997" s="124"/>
      <c r="BVR997" s="124"/>
      <c r="BVS997" s="124"/>
      <c r="BVT997" s="124"/>
      <c r="BVU997" s="124"/>
      <c r="BVV997" s="124"/>
      <c r="BVW997" s="124"/>
      <c r="BVX997" s="124"/>
      <c r="BVY997" s="124"/>
      <c r="BVZ997" s="124"/>
      <c r="BWA997" s="124"/>
      <c r="BWB997" s="124"/>
      <c r="BWC997" s="124"/>
      <c r="BWD997" s="124"/>
      <c r="BWE997" s="124"/>
      <c r="BWF997" s="124"/>
      <c r="BWG997" s="124"/>
      <c r="BWH997" s="124"/>
      <c r="BWI997" s="124"/>
      <c r="BWJ997" s="124"/>
      <c r="BWK997" s="124"/>
      <c r="BWL997" s="124"/>
      <c r="BWM997" s="124"/>
      <c r="BWN997" s="124"/>
      <c r="BWO997" s="124"/>
      <c r="BWP997" s="124"/>
      <c r="BWQ997" s="124"/>
      <c r="BWR997" s="124"/>
      <c r="BWS997" s="124"/>
      <c r="BWT997" s="124"/>
      <c r="BWU997" s="124"/>
      <c r="BWV997" s="124"/>
      <c r="BWW997" s="124"/>
      <c r="BWX997" s="124"/>
      <c r="BWY997" s="124"/>
      <c r="BWZ997" s="124"/>
      <c r="BXA997" s="124"/>
      <c r="BXB997" s="124"/>
      <c r="BXC997" s="124"/>
      <c r="BXD997" s="124"/>
      <c r="BXE997" s="124"/>
      <c r="BXF997" s="124"/>
      <c r="BXG997" s="124"/>
      <c r="BXH997" s="124"/>
      <c r="BXI997" s="124"/>
      <c r="BXJ997" s="124"/>
      <c r="BXK997" s="124"/>
      <c r="BXL997" s="124"/>
      <c r="BXM997" s="124"/>
      <c r="BXN997" s="124"/>
      <c r="BXO997" s="124"/>
      <c r="BXP997" s="124"/>
      <c r="BXQ997" s="124"/>
      <c r="BXR997" s="124"/>
      <c r="BXS997" s="124"/>
      <c r="BXT997" s="124"/>
      <c r="BXU997" s="124"/>
      <c r="BXV997" s="124"/>
      <c r="BXW997" s="124"/>
      <c r="BXX997" s="124"/>
      <c r="BXY997" s="124"/>
      <c r="BXZ997" s="124"/>
      <c r="BYA997" s="124"/>
      <c r="BYB997" s="124"/>
      <c r="BYC997" s="124"/>
      <c r="BYD997" s="124"/>
      <c r="BYE997" s="124"/>
      <c r="BYF997" s="124"/>
      <c r="BYG997" s="124"/>
      <c r="BYH997" s="124"/>
      <c r="BYI997" s="124"/>
      <c r="BYJ997" s="124"/>
      <c r="BYK997" s="124"/>
      <c r="BYL997" s="124"/>
      <c r="BYM997" s="124"/>
      <c r="BYN997" s="124"/>
      <c r="BYO997" s="124"/>
      <c r="BYP997" s="124"/>
      <c r="BYQ997" s="124"/>
      <c r="BYR997" s="124"/>
      <c r="BYS997" s="124"/>
      <c r="BYT997" s="124"/>
      <c r="BYU997" s="124"/>
      <c r="BYV997" s="124"/>
      <c r="BYW997" s="124"/>
      <c r="BYX997" s="124"/>
      <c r="BYY997" s="124"/>
      <c r="BYZ997" s="124"/>
      <c r="BZA997" s="124"/>
      <c r="BZB997" s="124"/>
      <c r="BZC997" s="124"/>
      <c r="BZD997" s="124"/>
      <c r="BZE997" s="124"/>
      <c r="BZF997" s="124"/>
      <c r="BZG997" s="124"/>
      <c r="BZH997" s="124"/>
      <c r="BZI997" s="124"/>
      <c r="BZJ997" s="124"/>
      <c r="BZK997" s="124"/>
      <c r="BZL997" s="124"/>
      <c r="BZM997" s="124"/>
      <c r="BZN997" s="124"/>
      <c r="BZO997" s="124"/>
      <c r="BZP997" s="124"/>
      <c r="BZQ997" s="124"/>
      <c r="BZR997" s="124"/>
      <c r="BZS997" s="124"/>
      <c r="BZT997" s="124"/>
      <c r="BZU997" s="124"/>
      <c r="BZV997" s="124"/>
      <c r="BZW997" s="124"/>
      <c r="BZX997" s="124"/>
      <c r="BZY997" s="124"/>
      <c r="BZZ997" s="124"/>
      <c r="CAA997" s="124"/>
      <c r="CAB997" s="124"/>
      <c r="CAC997" s="124"/>
      <c r="CAD997" s="124"/>
      <c r="CAE997" s="124"/>
      <c r="CAF997" s="124"/>
      <c r="CAG997" s="124"/>
      <c r="CAH997" s="124"/>
      <c r="CAI997" s="124"/>
      <c r="CAJ997" s="124"/>
      <c r="CAK997" s="124"/>
      <c r="CAL997" s="124"/>
      <c r="CAM997" s="124"/>
      <c r="CAN997" s="124"/>
      <c r="CAO997" s="124"/>
      <c r="CAP997" s="124"/>
      <c r="CAQ997" s="124"/>
      <c r="CAR997" s="124"/>
      <c r="CAS997" s="124"/>
      <c r="CAT997" s="124"/>
      <c r="CAU997" s="124"/>
      <c r="CAV997" s="124"/>
      <c r="CAW997" s="124"/>
      <c r="CAX997" s="124"/>
      <c r="CAY997" s="124"/>
      <c r="CAZ997" s="124"/>
      <c r="CBA997" s="124"/>
      <c r="CBB997" s="124"/>
      <c r="CBC997" s="124"/>
      <c r="CBD997" s="124"/>
      <c r="CBE997" s="124"/>
      <c r="CBF997" s="124"/>
      <c r="CBG997" s="124"/>
      <c r="CBH997" s="124"/>
      <c r="CBI997" s="124"/>
      <c r="CBJ997" s="124"/>
      <c r="CBK997" s="124"/>
      <c r="CBL997" s="124"/>
      <c r="CBM997" s="124"/>
      <c r="CBN997" s="124"/>
      <c r="CBO997" s="124"/>
      <c r="CBP997" s="124"/>
      <c r="CBQ997" s="124"/>
      <c r="CBR997" s="124"/>
      <c r="CBS997" s="124"/>
      <c r="CBT997" s="124"/>
      <c r="CBU997" s="124"/>
      <c r="CBV997" s="124"/>
      <c r="CBW997" s="124"/>
      <c r="CBX997" s="124"/>
      <c r="CBY997" s="124"/>
      <c r="CBZ997" s="124"/>
      <c r="CCA997" s="124"/>
      <c r="CCB997" s="124"/>
      <c r="CCC997" s="124"/>
      <c r="CCD997" s="124"/>
      <c r="CCE997" s="124"/>
      <c r="CCF997" s="124"/>
      <c r="CCG997" s="124"/>
      <c r="CCH997" s="124"/>
      <c r="CCI997" s="124"/>
      <c r="CCJ997" s="124"/>
      <c r="CCK997" s="124"/>
      <c r="CCL997" s="124"/>
      <c r="CCM997" s="124"/>
      <c r="CCN997" s="124"/>
      <c r="CCO997" s="124"/>
      <c r="CCP997" s="124"/>
      <c r="CCQ997" s="124"/>
      <c r="CCR997" s="124"/>
      <c r="CCS997" s="124"/>
      <c r="CCT997" s="124"/>
      <c r="CCU997" s="124"/>
      <c r="CCV997" s="124"/>
      <c r="CCW997" s="124"/>
      <c r="CCX997" s="124"/>
      <c r="CCY997" s="124"/>
      <c r="CCZ997" s="124"/>
      <c r="CDA997" s="124"/>
      <c r="CDB997" s="124"/>
      <c r="CDC997" s="124"/>
      <c r="CDD997" s="124"/>
      <c r="CDE997" s="124"/>
      <c r="CDF997" s="124"/>
      <c r="CDG997" s="124"/>
      <c r="CDH997" s="124"/>
      <c r="CDI997" s="124"/>
      <c r="CDJ997" s="124"/>
      <c r="CDK997" s="124"/>
      <c r="CDL997" s="124"/>
      <c r="CDM997" s="124"/>
      <c r="CDN997" s="124"/>
      <c r="CDO997" s="124"/>
      <c r="CDP997" s="124"/>
      <c r="CDQ997" s="124"/>
      <c r="CDR997" s="124"/>
      <c r="CDS997" s="124"/>
      <c r="CDT997" s="124"/>
      <c r="CDU997" s="124"/>
      <c r="CDV997" s="124"/>
      <c r="CDW997" s="124"/>
      <c r="CDX997" s="124"/>
      <c r="CDY997" s="124"/>
      <c r="CDZ997" s="124"/>
      <c r="CEA997" s="124"/>
      <c r="CEB997" s="124"/>
      <c r="CEC997" s="124"/>
      <c r="CED997" s="124"/>
      <c r="CEE997" s="124"/>
      <c r="CEF997" s="124"/>
      <c r="CEG997" s="124"/>
      <c r="CEH997" s="124"/>
      <c r="CEI997" s="124"/>
      <c r="CEJ997" s="124"/>
      <c r="CEK997" s="124"/>
      <c r="CEL997" s="124"/>
      <c r="CEM997" s="124"/>
      <c r="CEN997" s="124"/>
      <c r="CEO997" s="124"/>
      <c r="CEP997" s="124"/>
      <c r="CEQ997" s="124"/>
      <c r="CER997" s="124"/>
      <c r="CES997" s="124"/>
      <c r="CET997" s="124"/>
      <c r="CEU997" s="124"/>
      <c r="CEV997" s="124"/>
      <c r="CEW997" s="124"/>
      <c r="CEX997" s="124"/>
      <c r="CEY997" s="124"/>
      <c r="CEZ997" s="124"/>
      <c r="CFA997" s="124"/>
      <c r="CFB997" s="124"/>
      <c r="CFC997" s="124"/>
      <c r="CFD997" s="124"/>
      <c r="CFE997" s="124"/>
      <c r="CFF997" s="124"/>
      <c r="CFG997" s="124"/>
      <c r="CFH997" s="124"/>
      <c r="CFI997" s="124"/>
      <c r="CFJ997" s="124"/>
      <c r="CFK997" s="124"/>
      <c r="CFL997" s="124"/>
      <c r="CFM997" s="124"/>
      <c r="CFN997" s="124"/>
      <c r="CFO997" s="124"/>
      <c r="CFP997" s="124"/>
      <c r="CFQ997" s="124"/>
      <c r="CFR997" s="124"/>
      <c r="CFS997" s="124"/>
      <c r="CFT997" s="124"/>
      <c r="CFU997" s="124"/>
      <c r="CFV997" s="124"/>
      <c r="CFW997" s="124"/>
      <c r="CFX997" s="124"/>
      <c r="CFY997" s="124"/>
      <c r="CFZ997" s="124"/>
      <c r="CGA997" s="124"/>
      <c r="CGB997" s="124"/>
      <c r="CGC997" s="124"/>
      <c r="CGD997" s="124"/>
      <c r="CGE997" s="124"/>
      <c r="CGF997" s="124"/>
      <c r="CGG997" s="124"/>
      <c r="CGH997" s="124"/>
      <c r="CGI997" s="124"/>
      <c r="CGJ997" s="124"/>
      <c r="CGK997" s="124"/>
      <c r="CGL997" s="124"/>
      <c r="CGM997" s="124"/>
      <c r="CGN997" s="124"/>
      <c r="CGO997" s="124"/>
      <c r="CGP997" s="124"/>
      <c r="CGQ997" s="124"/>
      <c r="CGR997" s="124"/>
      <c r="CGS997" s="124"/>
      <c r="CGT997" s="124"/>
      <c r="CGU997" s="124"/>
      <c r="CGV997" s="124"/>
      <c r="CGW997" s="124"/>
      <c r="CGX997" s="124"/>
      <c r="CGY997" s="124"/>
      <c r="CGZ997" s="124"/>
      <c r="CHA997" s="124"/>
      <c r="CHB997" s="124"/>
      <c r="CHC997" s="124"/>
      <c r="CHD997" s="124"/>
      <c r="CHE997" s="124"/>
      <c r="CHF997" s="124"/>
      <c r="CHG997" s="124"/>
      <c r="CHH997" s="124"/>
      <c r="CHI997" s="124"/>
      <c r="CHJ997" s="124"/>
      <c r="CHK997" s="124"/>
      <c r="CHL997" s="124"/>
      <c r="CHM997" s="124"/>
      <c r="CHN997" s="124"/>
      <c r="CHO997" s="124"/>
      <c r="CHP997" s="124"/>
      <c r="CHQ997" s="124"/>
      <c r="CHR997" s="124"/>
      <c r="CHS997" s="124"/>
      <c r="CHT997" s="124"/>
      <c r="CHU997" s="124"/>
      <c r="CHV997" s="124"/>
      <c r="CHW997" s="124"/>
      <c r="CHX997" s="124"/>
      <c r="CHY997" s="124"/>
      <c r="CHZ997" s="124"/>
      <c r="CIA997" s="124"/>
      <c r="CIB997" s="124"/>
      <c r="CIC997" s="124"/>
      <c r="CID997" s="124"/>
      <c r="CIE997" s="124"/>
      <c r="CIF997" s="124"/>
      <c r="CIG997" s="124"/>
      <c r="CIH997" s="124"/>
      <c r="CII997" s="124"/>
      <c r="CIJ997" s="124"/>
      <c r="CIK997" s="124"/>
      <c r="CIL997" s="124"/>
      <c r="CIM997" s="124"/>
      <c r="CIN997" s="124"/>
      <c r="CIO997" s="124"/>
      <c r="CIP997" s="124"/>
      <c r="CIQ997" s="124"/>
      <c r="CIR997" s="124"/>
      <c r="CIS997" s="124"/>
      <c r="CIT997" s="124"/>
      <c r="CIU997" s="124"/>
      <c r="CIV997" s="124"/>
      <c r="CIW997" s="124"/>
      <c r="CIX997" s="124"/>
      <c r="CIY997" s="124"/>
      <c r="CIZ997" s="124"/>
      <c r="CJA997" s="124"/>
      <c r="CJB997" s="124"/>
      <c r="CJC997" s="124"/>
      <c r="CJD997" s="124"/>
      <c r="CJE997" s="124"/>
      <c r="CJF997" s="124"/>
      <c r="CJG997" s="124"/>
      <c r="CJH997" s="124"/>
      <c r="CJI997" s="124"/>
      <c r="CJJ997" s="124"/>
      <c r="CJK997" s="124"/>
      <c r="CJL997" s="124"/>
      <c r="CJM997" s="124"/>
      <c r="CJN997" s="124"/>
      <c r="CJO997" s="124"/>
      <c r="CJP997" s="124"/>
      <c r="CJQ997" s="124"/>
      <c r="CJR997" s="124"/>
      <c r="CJS997" s="124"/>
      <c r="CJT997" s="124"/>
      <c r="CJU997" s="124"/>
      <c r="CJV997" s="124"/>
      <c r="CJW997" s="124"/>
      <c r="CJX997" s="124"/>
      <c r="CJY997" s="124"/>
      <c r="CJZ997" s="124"/>
      <c r="CKA997" s="124"/>
      <c r="CKB997" s="124"/>
      <c r="CKC997" s="124"/>
      <c r="CKD997" s="124"/>
      <c r="CKE997" s="124"/>
      <c r="CKF997" s="124"/>
      <c r="CKG997" s="124"/>
      <c r="CKH997" s="124"/>
      <c r="CKI997" s="124"/>
      <c r="CKJ997" s="124"/>
      <c r="CKK997" s="124"/>
      <c r="CKL997" s="124"/>
      <c r="CKM997" s="124"/>
      <c r="CKN997" s="124"/>
      <c r="CKO997" s="124"/>
      <c r="CKP997" s="124"/>
      <c r="CKQ997" s="124"/>
      <c r="CKR997" s="124"/>
      <c r="CKS997" s="124"/>
      <c r="CKT997" s="124"/>
      <c r="CKU997" s="124"/>
      <c r="CKV997" s="124"/>
      <c r="CKW997" s="124"/>
      <c r="CKX997" s="124"/>
      <c r="CKY997" s="124"/>
      <c r="CKZ997" s="124"/>
      <c r="CLA997" s="124"/>
      <c r="CLB997" s="124"/>
      <c r="CLC997" s="124"/>
      <c r="CLD997" s="124"/>
      <c r="CLE997" s="124"/>
      <c r="CLF997" s="124"/>
      <c r="CLG997" s="124"/>
      <c r="CLH997" s="124"/>
      <c r="CLI997" s="124"/>
      <c r="CLJ997" s="124"/>
      <c r="CLK997" s="124"/>
      <c r="CLL997" s="124"/>
      <c r="CLM997" s="124"/>
      <c r="CLN997" s="124"/>
      <c r="CLO997" s="124"/>
      <c r="CLP997" s="124"/>
      <c r="CLQ997" s="124"/>
      <c r="CLR997" s="124"/>
      <c r="CLS997" s="124"/>
      <c r="CLT997" s="124"/>
      <c r="CLU997" s="124"/>
      <c r="CLV997" s="124"/>
      <c r="CLW997" s="124"/>
      <c r="CLX997" s="124"/>
      <c r="CLY997" s="124"/>
      <c r="CLZ997" s="124"/>
      <c r="CMA997" s="124"/>
      <c r="CMB997" s="124"/>
      <c r="CMC997" s="124"/>
      <c r="CMD997" s="124"/>
      <c r="CME997" s="124"/>
      <c r="CMF997" s="124"/>
      <c r="CMG997" s="124"/>
      <c r="CMH997" s="124"/>
      <c r="CMI997" s="124"/>
      <c r="CMJ997" s="124"/>
      <c r="CMK997" s="124"/>
      <c r="CML997" s="124"/>
      <c r="CMM997" s="124"/>
      <c r="CMN997" s="124"/>
      <c r="CMO997" s="124"/>
      <c r="CMP997" s="124"/>
      <c r="CMQ997" s="124"/>
      <c r="CMR997" s="124"/>
      <c r="CMS997" s="124"/>
      <c r="CMT997" s="124"/>
      <c r="CMU997" s="124"/>
      <c r="CMV997" s="124"/>
      <c r="CMW997" s="124"/>
      <c r="CMX997" s="124"/>
      <c r="CMY997" s="124"/>
      <c r="CMZ997" s="124"/>
      <c r="CNA997" s="124"/>
      <c r="CNB997" s="124"/>
      <c r="CNC997" s="124"/>
      <c r="CND997" s="124"/>
      <c r="CNE997" s="124"/>
      <c r="CNF997" s="124"/>
      <c r="CNG997" s="124"/>
      <c r="CNH997" s="124"/>
      <c r="CNI997" s="124"/>
      <c r="CNJ997" s="124"/>
      <c r="CNK997" s="124"/>
      <c r="CNL997" s="124"/>
      <c r="CNM997" s="124"/>
      <c r="CNN997" s="124"/>
      <c r="CNO997" s="124"/>
      <c r="CNP997" s="124"/>
      <c r="CNQ997" s="124"/>
      <c r="CNR997" s="124"/>
      <c r="CNS997" s="124"/>
      <c r="CNT997" s="124"/>
      <c r="CNU997" s="124"/>
      <c r="CNV997" s="124"/>
      <c r="CNW997" s="124"/>
      <c r="CNX997" s="124"/>
      <c r="CNY997" s="124"/>
      <c r="CNZ997" s="124"/>
      <c r="COA997" s="124"/>
      <c r="COB997" s="124"/>
      <c r="COC997" s="124"/>
      <c r="COD997" s="124"/>
      <c r="COE997" s="124"/>
      <c r="COF997" s="124"/>
      <c r="COG997" s="124"/>
      <c r="COH997" s="124"/>
      <c r="COI997" s="124"/>
      <c r="COJ997" s="124"/>
      <c r="COK997" s="124"/>
      <c r="COL997" s="124"/>
      <c r="COM997" s="124"/>
      <c r="CON997" s="124"/>
      <c r="COO997" s="124"/>
      <c r="COP997" s="124"/>
      <c r="COQ997" s="124"/>
      <c r="COR997" s="124"/>
      <c r="COS997" s="124"/>
      <c r="COT997" s="124"/>
      <c r="COU997" s="124"/>
      <c r="COV997" s="124"/>
      <c r="COW997" s="124"/>
      <c r="COX997" s="124"/>
      <c r="COY997" s="124"/>
      <c r="COZ997" s="124"/>
      <c r="CPA997" s="124"/>
      <c r="CPB997" s="124"/>
      <c r="CPC997" s="124"/>
      <c r="CPD997" s="124"/>
      <c r="CPE997" s="124"/>
      <c r="CPF997" s="124"/>
      <c r="CPG997" s="124"/>
      <c r="CPH997" s="124"/>
      <c r="CPI997" s="124"/>
      <c r="CPJ997" s="124"/>
      <c r="CPK997" s="124"/>
      <c r="CPL997" s="124"/>
      <c r="CPM997" s="124"/>
      <c r="CPN997" s="124"/>
      <c r="CPO997" s="124"/>
      <c r="CPP997" s="124"/>
      <c r="CPQ997" s="124"/>
      <c r="CPR997" s="124"/>
      <c r="CPS997" s="124"/>
      <c r="CPT997" s="124"/>
      <c r="CPU997" s="124"/>
      <c r="CPV997" s="124"/>
      <c r="CPW997" s="124"/>
      <c r="CPX997" s="124"/>
      <c r="CPY997" s="124"/>
      <c r="CPZ997" s="124"/>
      <c r="CQA997" s="124"/>
      <c r="CQB997" s="124"/>
      <c r="CQC997" s="124"/>
      <c r="CQD997" s="124"/>
      <c r="CQE997" s="124"/>
      <c r="CQF997" s="124"/>
      <c r="CQG997" s="124"/>
      <c r="CQH997" s="124"/>
      <c r="CQI997" s="124"/>
      <c r="CQJ997" s="124"/>
      <c r="CQK997" s="124"/>
      <c r="CQL997" s="124"/>
      <c r="CQM997" s="124"/>
      <c r="CQN997" s="124"/>
      <c r="CQO997" s="124"/>
      <c r="CQP997" s="124"/>
      <c r="CQQ997" s="124"/>
      <c r="CQR997" s="124"/>
      <c r="CQS997" s="124"/>
      <c r="CQT997" s="124"/>
      <c r="CQU997" s="124"/>
      <c r="CQV997" s="124"/>
      <c r="CQW997" s="124"/>
      <c r="CQX997" s="124"/>
      <c r="CQY997" s="124"/>
      <c r="CQZ997" s="124"/>
      <c r="CRA997" s="124"/>
      <c r="CRB997" s="124"/>
      <c r="CRC997" s="124"/>
      <c r="CRD997" s="124"/>
      <c r="CRE997" s="124"/>
      <c r="CRF997" s="124"/>
      <c r="CRG997" s="124"/>
      <c r="CRH997" s="124"/>
      <c r="CRI997" s="124"/>
      <c r="CRJ997" s="124"/>
      <c r="CRK997" s="124"/>
      <c r="CRL997" s="124"/>
      <c r="CRM997" s="124"/>
      <c r="CRN997" s="124"/>
      <c r="CRO997" s="124"/>
      <c r="CRP997" s="124"/>
      <c r="CRQ997" s="124"/>
      <c r="CRR997" s="124"/>
      <c r="CRS997" s="124"/>
      <c r="CRT997" s="124"/>
      <c r="CRU997" s="124"/>
      <c r="CRV997" s="124"/>
      <c r="CRW997" s="124"/>
      <c r="CRX997" s="124"/>
      <c r="CRY997" s="124"/>
      <c r="CRZ997" s="124"/>
      <c r="CSA997" s="124"/>
      <c r="CSB997" s="124"/>
      <c r="CSC997" s="124"/>
      <c r="CSD997" s="124"/>
      <c r="CSE997" s="124"/>
      <c r="CSF997" s="124"/>
      <c r="CSG997" s="124"/>
      <c r="CSH997" s="124"/>
      <c r="CSI997" s="124"/>
      <c r="CSJ997" s="124"/>
      <c r="CSK997" s="124"/>
      <c r="CSL997" s="124"/>
      <c r="CSM997" s="124"/>
      <c r="CSN997" s="124"/>
      <c r="CSO997" s="124"/>
      <c r="CSP997" s="124"/>
      <c r="CSQ997" s="124"/>
      <c r="CSR997" s="124"/>
      <c r="CSS997" s="124"/>
      <c r="CST997" s="124"/>
      <c r="CSU997" s="124"/>
      <c r="CSV997" s="124"/>
      <c r="CSW997" s="124"/>
      <c r="CSX997" s="124"/>
      <c r="CSY997" s="124"/>
      <c r="CSZ997" s="124"/>
      <c r="CTA997" s="124"/>
      <c r="CTB997" s="124"/>
      <c r="CTC997" s="124"/>
      <c r="CTD997" s="124"/>
      <c r="CTE997" s="124"/>
      <c r="CTF997" s="124"/>
      <c r="CTG997" s="124"/>
      <c r="CTH997" s="124"/>
      <c r="CTI997" s="124"/>
      <c r="CTJ997" s="124"/>
      <c r="CTK997" s="124"/>
      <c r="CTL997" s="124"/>
      <c r="CTM997" s="124"/>
      <c r="CTN997" s="124"/>
      <c r="CTO997" s="124"/>
      <c r="CTP997" s="124"/>
      <c r="CTQ997" s="124"/>
      <c r="CTR997" s="124"/>
      <c r="CTS997" s="124"/>
      <c r="CTT997" s="124"/>
      <c r="CTU997" s="124"/>
      <c r="CTV997" s="124"/>
      <c r="CTW997" s="124"/>
      <c r="CTX997" s="124"/>
      <c r="CTY997" s="124"/>
      <c r="CTZ997" s="124"/>
      <c r="CUA997" s="124"/>
      <c r="CUB997" s="124"/>
      <c r="CUC997" s="124"/>
      <c r="CUD997" s="124"/>
      <c r="CUE997" s="124"/>
      <c r="CUF997" s="124"/>
      <c r="CUG997" s="124"/>
      <c r="CUH997" s="124"/>
      <c r="CUI997" s="124"/>
      <c r="CUJ997" s="124"/>
      <c r="CUK997" s="124"/>
      <c r="CUL997" s="124"/>
      <c r="CUM997" s="124"/>
      <c r="CUN997" s="124"/>
      <c r="CUO997" s="124"/>
      <c r="CUP997" s="124"/>
      <c r="CUQ997" s="124"/>
      <c r="CUR997" s="124"/>
      <c r="CUS997" s="124"/>
      <c r="CUT997" s="124"/>
      <c r="CUU997" s="124"/>
      <c r="CUV997" s="124"/>
      <c r="CUW997" s="124"/>
      <c r="CUX997" s="124"/>
      <c r="CUY997" s="124"/>
      <c r="CUZ997" s="124"/>
      <c r="CVA997" s="124"/>
      <c r="CVB997" s="124"/>
      <c r="CVC997" s="124"/>
      <c r="CVD997" s="124"/>
      <c r="CVE997" s="124"/>
      <c r="CVF997" s="124"/>
      <c r="CVG997" s="124"/>
      <c r="CVH997" s="124"/>
      <c r="CVI997" s="124"/>
      <c r="CVJ997" s="124"/>
      <c r="CVK997" s="124"/>
      <c r="CVL997" s="124"/>
      <c r="CVM997" s="124"/>
      <c r="CVN997" s="124"/>
      <c r="CVO997" s="124"/>
      <c r="CVP997" s="124"/>
      <c r="CVQ997" s="124"/>
      <c r="CVR997" s="124"/>
      <c r="CVS997" s="124"/>
      <c r="CVT997" s="124"/>
      <c r="CVU997" s="124"/>
      <c r="CVV997" s="124"/>
      <c r="CVW997" s="124"/>
      <c r="CVX997" s="124"/>
      <c r="CVY997" s="124"/>
      <c r="CVZ997" s="124"/>
      <c r="CWA997" s="124"/>
      <c r="CWB997" s="124"/>
      <c r="CWC997" s="124"/>
      <c r="CWD997" s="124"/>
      <c r="CWE997" s="124"/>
      <c r="CWF997" s="124"/>
      <c r="CWG997" s="124"/>
      <c r="CWH997" s="124"/>
      <c r="CWI997" s="124"/>
      <c r="CWJ997" s="124"/>
      <c r="CWK997" s="124"/>
      <c r="CWL997" s="124"/>
      <c r="CWM997" s="124"/>
      <c r="CWN997" s="124"/>
      <c r="CWO997" s="124"/>
      <c r="CWP997" s="124"/>
      <c r="CWQ997" s="124"/>
      <c r="CWR997" s="124"/>
      <c r="CWS997" s="124"/>
      <c r="CWT997" s="124"/>
      <c r="CWU997" s="124"/>
      <c r="CWV997" s="124"/>
      <c r="CWW997" s="124"/>
      <c r="CWX997" s="124"/>
      <c r="CWY997" s="124"/>
      <c r="CWZ997" s="124"/>
      <c r="CXA997" s="124"/>
      <c r="CXB997" s="124"/>
      <c r="CXC997" s="124"/>
      <c r="CXD997" s="124"/>
      <c r="CXE997" s="124"/>
      <c r="CXF997" s="124"/>
      <c r="CXG997" s="124"/>
      <c r="CXH997" s="124"/>
      <c r="CXI997" s="124"/>
      <c r="CXJ997" s="124"/>
      <c r="CXK997" s="124"/>
      <c r="CXL997" s="124"/>
      <c r="CXM997" s="124"/>
      <c r="CXN997" s="124"/>
      <c r="CXO997" s="124"/>
      <c r="CXP997" s="124"/>
      <c r="CXQ997" s="124"/>
      <c r="CXR997" s="124"/>
      <c r="CXS997" s="124"/>
      <c r="CXT997" s="124"/>
      <c r="CXU997" s="124"/>
      <c r="CXV997" s="124"/>
      <c r="CXW997" s="124"/>
      <c r="CXX997" s="124"/>
      <c r="CXY997" s="124"/>
      <c r="CXZ997" s="124"/>
      <c r="CYA997" s="124"/>
      <c r="CYB997" s="124"/>
      <c r="CYC997" s="124"/>
      <c r="CYD997" s="124"/>
      <c r="CYE997" s="124"/>
      <c r="CYF997" s="124"/>
      <c r="CYG997" s="124"/>
      <c r="CYH997" s="124"/>
      <c r="CYI997" s="124"/>
      <c r="CYJ997" s="124"/>
      <c r="CYK997" s="124"/>
      <c r="CYL997" s="124"/>
      <c r="CYM997" s="124"/>
      <c r="CYN997" s="124"/>
      <c r="CYO997" s="124"/>
      <c r="CYP997" s="124"/>
      <c r="CYQ997" s="124"/>
      <c r="CYR997" s="124"/>
      <c r="CYS997" s="124"/>
      <c r="CYT997" s="124"/>
      <c r="CYU997" s="124"/>
      <c r="CYV997" s="124"/>
      <c r="CYW997" s="124"/>
      <c r="CYX997" s="124"/>
      <c r="CYY997" s="124"/>
      <c r="CYZ997" s="124"/>
      <c r="CZA997" s="124"/>
      <c r="CZB997" s="124"/>
      <c r="CZC997" s="124"/>
      <c r="CZD997" s="124"/>
      <c r="CZE997" s="124"/>
      <c r="CZF997" s="124"/>
      <c r="CZG997" s="124"/>
      <c r="CZH997" s="124"/>
      <c r="CZI997" s="124"/>
      <c r="CZJ997" s="124"/>
      <c r="CZK997" s="124"/>
      <c r="CZL997" s="124"/>
      <c r="CZM997" s="124"/>
      <c r="CZN997" s="124"/>
      <c r="CZO997" s="124"/>
      <c r="CZP997" s="124"/>
      <c r="CZQ997" s="124"/>
      <c r="CZR997" s="124"/>
      <c r="CZS997" s="124"/>
      <c r="CZT997" s="124"/>
      <c r="CZU997" s="124"/>
      <c r="CZV997" s="124"/>
      <c r="CZW997" s="124"/>
      <c r="CZX997" s="124"/>
      <c r="CZY997" s="124"/>
      <c r="CZZ997" s="124"/>
      <c r="DAA997" s="124"/>
      <c r="DAB997" s="124"/>
      <c r="DAC997" s="124"/>
      <c r="DAD997" s="124"/>
      <c r="DAE997" s="124"/>
      <c r="DAF997" s="124"/>
      <c r="DAG997" s="124"/>
      <c r="DAH997" s="124"/>
      <c r="DAI997" s="124"/>
      <c r="DAJ997" s="124"/>
      <c r="DAK997" s="124"/>
      <c r="DAL997" s="124"/>
      <c r="DAM997" s="124"/>
      <c r="DAN997" s="124"/>
      <c r="DAO997" s="124"/>
      <c r="DAP997" s="124"/>
      <c r="DAQ997" s="124"/>
      <c r="DAR997" s="124"/>
      <c r="DAS997" s="124"/>
      <c r="DAT997" s="124"/>
      <c r="DAU997" s="124"/>
      <c r="DAV997" s="124"/>
      <c r="DAW997" s="124"/>
      <c r="DAX997" s="124"/>
      <c r="DAY997" s="124"/>
      <c r="DAZ997" s="124"/>
      <c r="DBA997" s="124"/>
      <c r="DBB997" s="124"/>
      <c r="DBC997" s="124"/>
      <c r="DBD997" s="124"/>
      <c r="DBE997" s="124"/>
      <c r="DBF997" s="124"/>
      <c r="DBG997" s="124"/>
      <c r="DBH997" s="124"/>
      <c r="DBI997" s="124"/>
      <c r="DBJ997" s="124"/>
      <c r="DBK997" s="124"/>
      <c r="DBL997" s="124"/>
      <c r="DBM997" s="124"/>
      <c r="DBN997" s="124"/>
      <c r="DBO997" s="124"/>
      <c r="DBP997" s="124"/>
      <c r="DBQ997" s="124"/>
      <c r="DBR997" s="124"/>
      <c r="DBS997" s="124"/>
      <c r="DBT997" s="124"/>
      <c r="DBU997" s="124"/>
      <c r="DBV997" s="124"/>
      <c r="DBW997" s="124"/>
      <c r="DBX997" s="124"/>
      <c r="DBY997" s="124"/>
      <c r="DBZ997" s="124"/>
      <c r="DCA997" s="124"/>
      <c r="DCB997" s="124"/>
      <c r="DCC997" s="124"/>
      <c r="DCD997" s="124"/>
      <c r="DCE997" s="124"/>
      <c r="DCF997" s="124"/>
      <c r="DCG997" s="124"/>
      <c r="DCH997" s="124"/>
      <c r="DCI997" s="124"/>
      <c r="DCJ997" s="124"/>
      <c r="DCK997" s="124"/>
      <c r="DCL997" s="124"/>
      <c r="DCM997" s="124"/>
      <c r="DCN997" s="124"/>
      <c r="DCO997" s="124"/>
      <c r="DCP997" s="124"/>
      <c r="DCQ997" s="124"/>
      <c r="DCR997" s="124"/>
      <c r="DCS997" s="124"/>
      <c r="DCT997" s="124"/>
      <c r="DCU997" s="124"/>
      <c r="DCV997" s="124"/>
      <c r="DCW997" s="124"/>
      <c r="DCX997" s="124"/>
      <c r="DCY997" s="124"/>
      <c r="DCZ997" s="124"/>
      <c r="DDA997" s="124"/>
      <c r="DDB997" s="124"/>
      <c r="DDC997" s="124"/>
      <c r="DDD997" s="124"/>
      <c r="DDE997" s="124"/>
      <c r="DDF997" s="124"/>
      <c r="DDG997" s="124"/>
      <c r="DDH997" s="124"/>
      <c r="DDI997" s="124"/>
      <c r="DDJ997" s="124"/>
      <c r="DDK997" s="124"/>
      <c r="DDL997" s="124"/>
      <c r="DDM997" s="124"/>
      <c r="DDN997" s="124"/>
      <c r="DDO997" s="124"/>
      <c r="DDP997" s="124"/>
      <c r="DDQ997" s="124"/>
      <c r="DDR997" s="124"/>
      <c r="DDS997" s="124"/>
      <c r="DDT997" s="124"/>
      <c r="DDU997" s="124"/>
      <c r="DDV997" s="124"/>
      <c r="DDW997" s="124"/>
      <c r="DDX997" s="124"/>
      <c r="DDY997" s="124"/>
      <c r="DDZ997" s="124"/>
      <c r="DEA997" s="124"/>
      <c r="DEB997" s="124"/>
      <c r="DEC997" s="124"/>
      <c r="DED997" s="124"/>
      <c r="DEE997" s="124"/>
      <c r="DEF997" s="124"/>
      <c r="DEG997" s="124"/>
      <c r="DEH997" s="124"/>
      <c r="DEI997" s="124"/>
      <c r="DEJ997" s="124"/>
      <c r="DEK997" s="124"/>
      <c r="DEL997" s="124"/>
      <c r="DEM997" s="124"/>
      <c r="DEN997" s="124"/>
      <c r="DEO997" s="124"/>
      <c r="DEP997" s="124"/>
      <c r="DEQ997" s="124"/>
      <c r="DER997" s="124"/>
      <c r="DES997" s="124"/>
      <c r="DET997" s="124"/>
      <c r="DEU997" s="124"/>
      <c r="DEV997" s="124"/>
      <c r="DEW997" s="124"/>
      <c r="DEX997" s="124"/>
      <c r="DEY997" s="124"/>
      <c r="DEZ997" s="124"/>
      <c r="DFA997" s="124"/>
      <c r="DFB997" s="124"/>
      <c r="DFC997" s="124"/>
      <c r="DFD997" s="124"/>
      <c r="DFE997" s="124"/>
      <c r="DFF997" s="124"/>
      <c r="DFG997" s="124"/>
      <c r="DFH997" s="124"/>
      <c r="DFI997" s="124"/>
      <c r="DFJ997" s="124"/>
      <c r="DFK997" s="124"/>
      <c r="DFL997" s="124"/>
      <c r="DFM997" s="124"/>
      <c r="DFN997" s="124"/>
      <c r="DFO997" s="124"/>
      <c r="DFP997" s="124"/>
      <c r="DFQ997" s="124"/>
      <c r="DFR997" s="124"/>
      <c r="DFS997" s="124"/>
      <c r="DFT997" s="124"/>
      <c r="DFU997" s="124"/>
      <c r="DFV997" s="124"/>
      <c r="DFW997" s="124"/>
      <c r="DFX997" s="124"/>
      <c r="DFY997" s="124"/>
      <c r="DFZ997" s="124"/>
      <c r="DGA997" s="124"/>
      <c r="DGB997" s="124"/>
      <c r="DGC997" s="124"/>
      <c r="DGD997" s="124"/>
      <c r="DGE997" s="124"/>
      <c r="DGF997" s="124"/>
      <c r="DGG997" s="124"/>
      <c r="DGH997" s="124"/>
      <c r="DGI997" s="124"/>
      <c r="DGJ997" s="124"/>
      <c r="DGK997" s="124"/>
      <c r="DGL997" s="124"/>
      <c r="DGM997" s="124"/>
      <c r="DGN997" s="124"/>
      <c r="DGO997" s="124"/>
      <c r="DGP997" s="124"/>
      <c r="DGQ997" s="124"/>
      <c r="DGR997" s="124"/>
      <c r="DGS997" s="124"/>
      <c r="DGT997" s="124"/>
      <c r="DGU997" s="124"/>
      <c r="DGV997" s="124"/>
      <c r="DGW997" s="124"/>
      <c r="DGX997" s="124"/>
      <c r="DGY997" s="124"/>
      <c r="DGZ997" s="124"/>
      <c r="DHA997" s="124"/>
      <c r="DHB997" s="124"/>
      <c r="DHC997" s="124"/>
      <c r="DHD997" s="124"/>
      <c r="DHE997" s="124"/>
      <c r="DHF997" s="124"/>
      <c r="DHG997" s="124"/>
      <c r="DHH997" s="124"/>
      <c r="DHI997" s="124"/>
      <c r="DHJ997" s="124"/>
      <c r="DHK997" s="124"/>
      <c r="DHL997" s="124"/>
      <c r="DHM997" s="124"/>
      <c r="DHN997" s="124"/>
      <c r="DHO997" s="124"/>
      <c r="DHP997" s="124"/>
      <c r="DHQ997" s="124"/>
      <c r="DHR997" s="124"/>
      <c r="DHS997" s="124"/>
      <c r="DHT997" s="124"/>
      <c r="DHU997" s="124"/>
      <c r="DHV997" s="124"/>
      <c r="DHW997" s="124"/>
      <c r="DHX997" s="124"/>
      <c r="DHY997" s="124"/>
      <c r="DHZ997" s="124"/>
      <c r="DIA997" s="124"/>
      <c r="DIB997" s="124"/>
      <c r="DIC997" s="124"/>
      <c r="DID997" s="124"/>
      <c r="DIE997" s="124"/>
      <c r="DIF997" s="124"/>
      <c r="DIG997" s="124"/>
      <c r="DIH997" s="124"/>
      <c r="DII997" s="124"/>
      <c r="DIJ997" s="124"/>
      <c r="DIK997" s="124"/>
      <c r="DIL997" s="124"/>
      <c r="DIM997" s="124"/>
      <c r="DIN997" s="124"/>
      <c r="DIO997" s="124"/>
      <c r="DIP997" s="124"/>
      <c r="DIQ997" s="124"/>
      <c r="DIR997" s="124"/>
      <c r="DIS997" s="124"/>
      <c r="DIT997" s="124"/>
      <c r="DIU997" s="124"/>
      <c r="DIV997" s="124"/>
      <c r="DIW997" s="124"/>
      <c r="DIX997" s="124"/>
      <c r="DIY997" s="124"/>
      <c r="DIZ997" s="124"/>
      <c r="DJA997" s="124"/>
      <c r="DJB997" s="124"/>
      <c r="DJC997" s="124"/>
      <c r="DJD997" s="124"/>
      <c r="DJE997" s="124"/>
      <c r="DJF997" s="124"/>
      <c r="DJG997" s="124"/>
      <c r="DJH997" s="124"/>
      <c r="DJI997" s="124"/>
      <c r="DJJ997" s="124"/>
      <c r="DJK997" s="124"/>
      <c r="DJL997" s="124"/>
      <c r="DJM997" s="124"/>
      <c r="DJN997" s="124"/>
      <c r="DJO997" s="124"/>
      <c r="DJP997" s="124"/>
      <c r="DJQ997" s="124"/>
      <c r="DJR997" s="124"/>
      <c r="DJS997" s="124"/>
      <c r="DJT997" s="124"/>
      <c r="DJU997" s="124"/>
      <c r="DJV997" s="124"/>
      <c r="DJW997" s="124"/>
      <c r="DJX997" s="124"/>
      <c r="DJY997" s="124"/>
      <c r="DJZ997" s="124"/>
      <c r="DKA997" s="124"/>
      <c r="DKB997" s="124"/>
      <c r="DKC997" s="124"/>
      <c r="DKD997" s="124"/>
      <c r="DKE997" s="124"/>
      <c r="DKF997" s="124"/>
      <c r="DKG997" s="124"/>
      <c r="DKH997" s="124"/>
      <c r="DKI997" s="124"/>
      <c r="DKJ997" s="124"/>
      <c r="DKK997" s="124"/>
      <c r="DKL997" s="124"/>
      <c r="DKM997" s="124"/>
      <c r="DKN997" s="124"/>
      <c r="DKO997" s="124"/>
      <c r="DKP997" s="124"/>
      <c r="DKQ997" s="124"/>
      <c r="DKR997" s="124"/>
      <c r="DKS997" s="124"/>
      <c r="DKT997" s="124"/>
      <c r="DKU997" s="124"/>
      <c r="DKV997" s="124"/>
      <c r="DKW997" s="124"/>
      <c r="DKX997" s="124"/>
      <c r="DKY997" s="124"/>
      <c r="DKZ997" s="124"/>
      <c r="DLA997" s="124"/>
      <c r="DLB997" s="124"/>
      <c r="DLC997" s="124"/>
      <c r="DLD997" s="124"/>
      <c r="DLE997" s="124"/>
      <c r="DLF997" s="124"/>
      <c r="DLG997" s="124"/>
      <c r="DLH997" s="124"/>
      <c r="DLI997" s="124"/>
      <c r="DLJ997" s="124"/>
      <c r="DLK997" s="124"/>
      <c r="DLL997" s="124"/>
      <c r="DLM997" s="124"/>
      <c r="DLN997" s="124"/>
      <c r="DLO997" s="124"/>
      <c r="DLP997" s="124"/>
      <c r="DLQ997" s="124"/>
      <c r="DLR997" s="124"/>
      <c r="DLS997" s="124"/>
      <c r="DLT997" s="124"/>
      <c r="DLU997" s="124"/>
      <c r="DLV997" s="124"/>
      <c r="DLW997" s="124"/>
      <c r="DLX997" s="124"/>
      <c r="DLY997" s="124"/>
      <c r="DLZ997" s="124"/>
      <c r="DMA997" s="124"/>
      <c r="DMB997" s="124"/>
      <c r="DMC997" s="124"/>
      <c r="DMD997" s="124"/>
      <c r="DME997" s="124"/>
      <c r="DMF997" s="124"/>
      <c r="DMG997" s="124"/>
      <c r="DMH997" s="124"/>
      <c r="DMI997" s="124"/>
      <c r="DMJ997" s="124"/>
      <c r="DMK997" s="124"/>
      <c r="DML997" s="124"/>
      <c r="DMM997" s="124"/>
      <c r="DMN997" s="124"/>
      <c r="DMO997" s="124"/>
      <c r="DMP997" s="124"/>
      <c r="DMQ997" s="124"/>
      <c r="DMR997" s="124"/>
      <c r="DMS997" s="124"/>
      <c r="DMT997" s="124"/>
      <c r="DMU997" s="124"/>
      <c r="DMV997" s="124"/>
      <c r="DMW997" s="124"/>
      <c r="DMX997" s="124"/>
      <c r="DMY997" s="124"/>
      <c r="DMZ997" s="124"/>
      <c r="DNA997" s="124"/>
      <c r="DNB997" s="124"/>
      <c r="DNC997" s="124"/>
      <c r="DND997" s="124"/>
      <c r="DNE997" s="124"/>
      <c r="DNF997" s="124"/>
      <c r="DNG997" s="124"/>
      <c r="DNH997" s="124"/>
      <c r="DNI997" s="124"/>
      <c r="DNJ997" s="124"/>
      <c r="DNK997" s="124"/>
      <c r="DNL997" s="124"/>
      <c r="DNM997" s="124"/>
      <c r="DNN997" s="124"/>
      <c r="DNO997" s="124"/>
      <c r="DNP997" s="124"/>
      <c r="DNQ997" s="124"/>
      <c r="DNR997" s="124"/>
      <c r="DNS997" s="124"/>
      <c r="DNT997" s="124"/>
      <c r="DNU997" s="124"/>
      <c r="DNV997" s="124"/>
      <c r="DNW997" s="124"/>
      <c r="DNX997" s="124"/>
      <c r="DNY997" s="124"/>
      <c r="DNZ997" s="124"/>
      <c r="DOA997" s="124"/>
      <c r="DOB997" s="124"/>
      <c r="DOC997" s="124"/>
      <c r="DOD997" s="124"/>
      <c r="DOE997" s="124"/>
      <c r="DOF997" s="124"/>
      <c r="DOG997" s="124"/>
      <c r="DOH997" s="124"/>
      <c r="DOI997" s="124"/>
      <c r="DOJ997" s="124"/>
      <c r="DOK997" s="124"/>
      <c r="DOL997" s="124"/>
      <c r="DOM997" s="124"/>
      <c r="DON997" s="124"/>
      <c r="DOO997" s="124"/>
      <c r="DOP997" s="124"/>
      <c r="DOQ997" s="124"/>
      <c r="DOR997" s="124"/>
      <c r="DOS997" s="124"/>
      <c r="DOT997" s="124"/>
      <c r="DOU997" s="124"/>
      <c r="DOV997" s="124"/>
      <c r="DOW997" s="124"/>
      <c r="DOX997" s="124"/>
      <c r="DOY997" s="124"/>
      <c r="DOZ997" s="124"/>
      <c r="DPA997" s="124"/>
      <c r="DPB997" s="124"/>
      <c r="DPC997" s="124"/>
      <c r="DPD997" s="124"/>
      <c r="DPE997" s="124"/>
      <c r="DPF997" s="124"/>
      <c r="DPG997" s="124"/>
      <c r="DPH997" s="124"/>
      <c r="DPI997" s="124"/>
      <c r="DPJ997" s="124"/>
      <c r="DPK997" s="124"/>
      <c r="DPL997" s="124"/>
      <c r="DPM997" s="124"/>
      <c r="DPN997" s="124"/>
      <c r="DPO997" s="124"/>
      <c r="DPP997" s="124"/>
      <c r="DPQ997" s="124"/>
      <c r="DPR997" s="124"/>
      <c r="DPS997" s="124"/>
      <c r="DPT997" s="124"/>
      <c r="DPU997" s="124"/>
      <c r="DPV997" s="124"/>
      <c r="DPW997" s="124"/>
      <c r="DPX997" s="124"/>
      <c r="DPY997" s="124"/>
      <c r="DPZ997" s="124"/>
      <c r="DQA997" s="124"/>
      <c r="DQB997" s="124"/>
      <c r="DQC997" s="124"/>
      <c r="DQD997" s="124"/>
      <c r="DQE997" s="124"/>
      <c r="DQF997" s="124"/>
      <c r="DQG997" s="124"/>
      <c r="DQH997" s="124"/>
      <c r="DQI997" s="124"/>
      <c r="DQJ997" s="124"/>
      <c r="DQK997" s="124"/>
      <c r="DQL997" s="124"/>
      <c r="DQM997" s="124"/>
      <c r="DQN997" s="124"/>
      <c r="DQO997" s="124"/>
      <c r="DQP997" s="124"/>
      <c r="DQQ997" s="124"/>
      <c r="DQR997" s="124"/>
      <c r="DQS997" s="124"/>
      <c r="DQT997" s="124"/>
      <c r="DQU997" s="124"/>
      <c r="DQV997" s="124"/>
      <c r="DQW997" s="124"/>
      <c r="DQX997" s="124"/>
      <c r="DQY997" s="124"/>
      <c r="DQZ997" s="124"/>
      <c r="DRA997" s="124"/>
      <c r="DRB997" s="124"/>
      <c r="DRC997" s="124"/>
      <c r="DRD997" s="124"/>
      <c r="DRE997" s="124"/>
      <c r="DRF997" s="124"/>
      <c r="DRG997" s="124"/>
      <c r="DRH997" s="124"/>
      <c r="DRI997" s="124"/>
      <c r="DRJ997" s="124"/>
      <c r="DRK997" s="124"/>
      <c r="DRL997" s="124"/>
      <c r="DRM997" s="124"/>
      <c r="DRN997" s="124"/>
      <c r="DRO997" s="124"/>
      <c r="DRP997" s="124"/>
      <c r="DRQ997" s="124"/>
      <c r="DRR997" s="124"/>
      <c r="DRS997" s="124"/>
      <c r="DRT997" s="124"/>
      <c r="DRU997" s="124"/>
      <c r="DRV997" s="124"/>
      <c r="DRW997" s="124"/>
      <c r="DRX997" s="124"/>
      <c r="DRY997" s="124"/>
      <c r="DRZ997" s="124"/>
      <c r="DSA997" s="124"/>
      <c r="DSB997" s="124"/>
      <c r="DSC997" s="124"/>
      <c r="DSD997" s="124"/>
      <c r="DSE997" s="124"/>
      <c r="DSF997" s="124"/>
      <c r="DSG997" s="124"/>
      <c r="DSH997" s="124"/>
      <c r="DSI997" s="124"/>
      <c r="DSJ997" s="124"/>
      <c r="DSK997" s="124"/>
      <c r="DSL997" s="124"/>
      <c r="DSM997" s="124"/>
      <c r="DSN997" s="124"/>
      <c r="DSO997" s="124"/>
      <c r="DSP997" s="124"/>
      <c r="DSQ997" s="124"/>
      <c r="DSR997" s="124"/>
      <c r="DSS997" s="124"/>
      <c r="DST997" s="124"/>
      <c r="DSU997" s="124"/>
      <c r="DSV997" s="124"/>
      <c r="DSW997" s="124"/>
      <c r="DSX997" s="124"/>
      <c r="DSY997" s="124"/>
      <c r="DSZ997" s="124"/>
      <c r="DTA997" s="124"/>
      <c r="DTB997" s="124"/>
      <c r="DTC997" s="124"/>
      <c r="DTD997" s="124"/>
      <c r="DTE997" s="124"/>
      <c r="DTF997" s="124"/>
      <c r="DTG997" s="124"/>
      <c r="DTH997" s="124"/>
      <c r="DTI997" s="124"/>
      <c r="DTJ997" s="124"/>
      <c r="DTK997" s="124"/>
      <c r="DTL997" s="124"/>
      <c r="DTM997" s="124"/>
      <c r="DTN997" s="124"/>
      <c r="DTO997" s="124"/>
      <c r="DTP997" s="124"/>
      <c r="DTQ997" s="124"/>
      <c r="DTR997" s="124"/>
      <c r="DTS997" s="124"/>
      <c r="DTT997" s="124"/>
      <c r="DTU997" s="124"/>
      <c r="DTV997" s="124"/>
      <c r="DTW997" s="124"/>
      <c r="DTX997" s="124"/>
      <c r="DTY997" s="124"/>
      <c r="DTZ997" s="124"/>
      <c r="DUA997" s="124"/>
      <c r="DUB997" s="124"/>
      <c r="DUC997" s="124"/>
      <c r="DUD997" s="124"/>
      <c r="DUE997" s="124"/>
      <c r="DUF997" s="124"/>
      <c r="DUG997" s="124"/>
      <c r="DUH997" s="124"/>
      <c r="DUI997" s="124"/>
      <c r="DUJ997" s="124"/>
      <c r="DUK997" s="124"/>
      <c r="DUL997" s="124"/>
      <c r="DUM997" s="124"/>
      <c r="DUN997" s="124"/>
      <c r="DUO997" s="124"/>
      <c r="DUP997" s="124"/>
      <c r="DUQ997" s="124"/>
      <c r="DUR997" s="124"/>
      <c r="DUS997" s="124"/>
      <c r="DUT997" s="124"/>
      <c r="DUU997" s="124"/>
      <c r="DUV997" s="124"/>
      <c r="DUW997" s="124"/>
      <c r="DUX997" s="124"/>
      <c r="DUY997" s="124"/>
      <c r="DUZ997" s="124"/>
      <c r="DVA997" s="124"/>
      <c r="DVB997" s="124"/>
      <c r="DVC997" s="124"/>
      <c r="DVD997" s="124"/>
      <c r="DVE997" s="124"/>
      <c r="DVF997" s="124"/>
      <c r="DVG997" s="124"/>
      <c r="DVH997" s="124"/>
      <c r="DVI997" s="124"/>
      <c r="DVJ997" s="124"/>
      <c r="DVK997" s="124"/>
      <c r="DVL997" s="124"/>
      <c r="DVM997" s="124"/>
      <c r="DVN997" s="124"/>
      <c r="DVO997" s="124"/>
      <c r="DVP997" s="124"/>
      <c r="DVQ997" s="124"/>
      <c r="DVR997" s="124"/>
      <c r="DVS997" s="124"/>
      <c r="DVT997" s="124"/>
      <c r="DVU997" s="124"/>
      <c r="DVV997" s="124"/>
      <c r="DVW997" s="124"/>
      <c r="DVX997" s="124"/>
      <c r="DVY997" s="124"/>
      <c r="DVZ997" s="124"/>
      <c r="DWA997" s="124"/>
      <c r="DWB997" s="124"/>
      <c r="DWC997" s="124"/>
      <c r="DWD997" s="124"/>
      <c r="DWE997" s="124"/>
      <c r="DWF997" s="124"/>
      <c r="DWG997" s="124"/>
      <c r="DWH997" s="124"/>
      <c r="DWI997" s="124"/>
      <c r="DWJ997" s="124"/>
      <c r="DWK997" s="124"/>
      <c r="DWL997" s="124"/>
      <c r="DWM997" s="124"/>
      <c r="DWN997" s="124"/>
      <c r="DWO997" s="124"/>
      <c r="DWP997" s="124"/>
      <c r="DWQ997" s="124"/>
      <c r="DWR997" s="124"/>
      <c r="DWS997" s="124"/>
      <c r="DWT997" s="124"/>
      <c r="DWU997" s="124"/>
      <c r="DWV997" s="124"/>
      <c r="DWW997" s="124"/>
      <c r="DWX997" s="124"/>
      <c r="DWY997" s="124"/>
      <c r="DWZ997" s="124"/>
      <c r="DXA997" s="124"/>
      <c r="DXB997" s="124"/>
      <c r="DXC997" s="124"/>
      <c r="DXD997" s="124"/>
      <c r="DXE997" s="124"/>
      <c r="DXF997" s="124"/>
      <c r="DXG997" s="124"/>
      <c r="DXH997" s="124"/>
      <c r="DXI997" s="124"/>
      <c r="DXJ997" s="124"/>
      <c r="DXK997" s="124"/>
      <c r="DXL997" s="124"/>
      <c r="DXM997" s="124"/>
      <c r="DXN997" s="124"/>
      <c r="DXO997" s="124"/>
      <c r="DXP997" s="124"/>
      <c r="DXQ997" s="124"/>
      <c r="DXR997" s="124"/>
      <c r="DXS997" s="124"/>
      <c r="DXT997" s="124"/>
      <c r="DXU997" s="124"/>
      <c r="DXV997" s="124"/>
      <c r="DXW997" s="124"/>
      <c r="DXX997" s="124"/>
      <c r="DXY997" s="124"/>
      <c r="DXZ997" s="124"/>
      <c r="DYA997" s="124"/>
      <c r="DYB997" s="124"/>
      <c r="DYC997" s="124"/>
      <c r="DYD997" s="124"/>
      <c r="DYE997" s="124"/>
      <c r="DYF997" s="124"/>
      <c r="DYG997" s="124"/>
      <c r="DYH997" s="124"/>
      <c r="DYI997" s="124"/>
      <c r="DYJ997" s="124"/>
      <c r="DYK997" s="124"/>
      <c r="DYL997" s="124"/>
      <c r="DYM997" s="124"/>
      <c r="DYN997" s="124"/>
      <c r="DYO997" s="124"/>
      <c r="DYP997" s="124"/>
      <c r="DYQ997" s="124"/>
      <c r="DYR997" s="124"/>
      <c r="DYS997" s="124"/>
      <c r="DYT997" s="124"/>
      <c r="DYU997" s="124"/>
      <c r="DYV997" s="124"/>
      <c r="DYW997" s="124"/>
      <c r="DYX997" s="124"/>
      <c r="DYY997" s="124"/>
      <c r="DYZ997" s="124"/>
      <c r="DZA997" s="124"/>
      <c r="DZB997" s="124"/>
      <c r="DZC997" s="124"/>
      <c r="DZD997" s="124"/>
      <c r="DZE997" s="124"/>
      <c r="DZF997" s="124"/>
      <c r="DZG997" s="124"/>
      <c r="DZH997" s="124"/>
      <c r="DZI997" s="124"/>
      <c r="DZJ997" s="124"/>
      <c r="DZK997" s="124"/>
      <c r="DZL997" s="124"/>
      <c r="DZM997" s="124"/>
      <c r="DZN997" s="124"/>
      <c r="DZO997" s="124"/>
      <c r="DZP997" s="124"/>
      <c r="DZQ997" s="124"/>
      <c r="DZR997" s="124"/>
      <c r="DZS997" s="124"/>
      <c r="DZT997" s="124"/>
      <c r="DZU997" s="124"/>
      <c r="DZV997" s="124"/>
      <c r="DZW997" s="124"/>
      <c r="DZX997" s="124"/>
      <c r="DZY997" s="124"/>
      <c r="DZZ997" s="124"/>
      <c r="EAA997" s="124"/>
      <c r="EAB997" s="124"/>
      <c r="EAC997" s="124"/>
      <c r="EAD997" s="124"/>
      <c r="EAE997" s="124"/>
      <c r="EAF997" s="124"/>
      <c r="EAG997" s="124"/>
      <c r="EAH997" s="124"/>
      <c r="EAI997" s="124"/>
      <c r="EAJ997" s="124"/>
      <c r="EAK997" s="124"/>
      <c r="EAL997" s="124"/>
      <c r="EAM997" s="124"/>
      <c r="EAN997" s="124"/>
      <c r="EAO997" s="124"/>
      <c r="EAP997" s="124"/>
      <c r="EAQ997" s="124"/>
      <c r="EAR997" s="124"/>
      <c r="EAS997" s="124"/>
      <c r="EAT997" s="124"/>
      <c r="EAU997" s="124"/>
      <c r="EAV997" s="124"/>
      <c r="EAW997" s="124"/>
      <c r="EAX997" s="124"/>
      <c r="EAY997" s="124"/>
      <c r="EAZ997" s="124"/>
      <c r="EBA997" s="124"/>
      <c r="EBB997" s="124"/>
      <c r="EBC997" s="124"/>
      <c r="EBD997" s="124"/>
      <c r="EBE997" s="124"/>
      <c r="EBF997" s="124"/>
      <c r="EBG997" s="124"/>
      <c r="EBH997" s="124"/>
      <c r="EBI997" s="124"/>
      <c r="EBJ997" s="124"/>
      <c r="EBK997" s="124"/>
      <c r="EBL997" s="124"/>
      <c r="EBM997" s="124"/>
      <c r="EBN997" s="124"/>
      <c r="EBO997" s="124"/>
      <c r="EBP997" s="124"/>
      <c r="EBQ997" s="124"/>
      <c r="EBR997" s="124"/>
      <c r="EBS997" s="124"/>
      <c r="EBT997" s="124"/>
      <c r="EBU997" s="124"/>
      <c r="EBV997" s="124"/>
      <c r="EBW997" s="124"/>
      <c r="EBX997" s="124"/>
      <c r="EBY997" s="124"/>
      <c r="EBZ997" s="124"/>
      <c r="ECA997" s="124"/>
      <c r="ECB997" s="124"/>
      <c r="ECC997" s="124"/>
      <c r="ECD997" s="124"/>
      <c r="ECE997" s="124"/>
      <c r="ECF997" s="124"/>
      <c r="ECG997" s="124"/>
      <c r="ECH997" s="124"/>
      <c r="ECI997" s="124"/>
      <c r="ECJ997" s="124"/>
      <c r="ECK997" s="124"/>
      <c r="ECL997" s="124"/>
      <c r="ECM997" s="124"/>
      <c r="ECN997" s="124"/>
      <c r="ECO997" s="124"/>
      <c r="ECP997" s="124"/>
      <c r="ECQ997" s="124"/>
      <c r="ECR997" s="124"/>
      <c r="ECS997" s="124"/>
      <c r="ECT997" s="124"/>
      <c r="ECU997" s="124"/>
      <c r="ECV997" s="124"/>
      <c r="ECW997" s="124"/>
      <c r="ECX997" s="124"/>
      <c r="ECY997" s="124"/>
      <c r="ECZ997" s="124"/>
      <c r="EDA997" s="124"/>
      <c r="EDB997" s="124"/>
      <c r="EDC997" s="124"/>
      <c r="EDD997" s="124"/>
      <c r="EDE997" s="124"/>
      <c r="EDF997" s="124"/>
      <c r="EDG997" s="124"/>
      <c r="EDH997" s="124"/>
      <c r="EDI997" s="124"/>
      <c r="EDJ997" s="124"/>
      <c r="EDK997" s="124"/>
      <c r="EDL997" s="124"/>
      <c r="EDM997" s="124"/>
      <c r="EDN997" s="124"/>
      <c r="EDO997" s="124"/>
      <c r="EDP997" s="124"/>
      <c r="EDQ997" s="124"/>
      <c r="EDR997" s="124"/>
      <c r="EDS997" s="124"/>
      <c r="EDT997" s="124"/>
      <c r="EDU997" s="124"/>
      <c r="EDV997" s="124"/>
      <c r="EDW997" s="124"/>
      <c r="EDX997" s="124"/>
      <c r="EDY997" s="124"/>
      <c r="EDZ997" s="124"/>
      <c r="EEA997" s="124"/>
      <c r="EEB997" s="124"/>
      <c r="EEC997" s="124"/>
      <c r="EED997" s="124"/>
      <c r="EEE997" s="124"/>
      <c r="EEF997" s="124"/>
      <c r="EEG997" s="124"/>
      <c r="EEH997" s="124"/>
      <c r="EEI997" s="124"/>
      <c r="EEJ997" s="124"/>
      <c r="EEK997" s="124"/>
      <c r="EEL997" s="124"/>
      <c r="EEM997" s="124"/>
      <c r="EEN997" s="124"/>
      <c r="EEO997" s="124"/>
      <c r="EEP997" s="124"/>
      <c r="EEQ997" s="124"/>
      <c r="EER997" s="124"/>
      <c r="EES997" s="124"/>
      <c r="EET997" s="124"/>
      <c r="EEU997" s="124"/>
      <c r="EEV997" s="124"/>
      <c r="EEW997" s="124"/>
      <c r="EEX997" s="124"/>
      <c r="EEY997" s="124"/>
      <c r="EEZ997" s="124"/>
      <c r="EFA997" s="124"/>
      <c r="EFB997" s="124"/>
      <c r="EFC997" s="124"/>
      <c r="EFD997" s="124"/>
      <c r="EFE997" s="124"/>
      <c r="EFF997" s="124"/>
      <c r="EFG997" s="124"/>
      <c r="EFH997" s="124"/>
      <c r="EFI997" s="124"/>
      <c r="EFJ997" s="124"/>
      <c r="EFK997" s="124"/>
      <c r="EFL997" s="124"/>
      <c r="EFM997" s="124"/>
      <c r="EFN997" s="124"/>
      <c r="EFO997" s="124"/>
      <c r="EFP997" s="124"/>
      <c r="EFQ997" s="124"/>
      <c r="EFR997" s="124"/>
      <c r="EFS997" s="124"/>
      <c r="EFT997" s="124"/>
      <c r="EFU997" s="124"/>
      <c r="EFV997" s="124"/>
      <c r="EFW997" s="124"/>
      <c r="EFX997" s="124"/>
      <c r="EFY997" s="124"/>
      <c r="EFZ997" s="124"/>
      <c r="EGA997" s="124"/>
      <c r="EGB997" s="124"/>
      <c r="EGC997" s="124"/>
      <c r="EGD997" s="124"/>
      <c r="EGE997" s="124"/>
      <c r="EGF997" s="124"/>
      <c r="EGG997" s="124"/>
      <c r="EGH997" s="124"/>
      <c r="EGI997" s="124"/>
      <c r="EGJ997" s="124"/>
      <c r="EGK997" s="124"/>
      <c r="EGL997" s="124"/>
      <c r="EGM997" s="124"/>
      <c r="EGN997" s="124"/>
      <c r="EGO997" s="124"/>
      <c r="EGP997" s="124"/>
      <c r="EGQ997" s="124"/>
      <c r="EGR997" s="124"/>
      <c r="EGS997" s="124"/>
      <c r="EGT997" s="124"/>
      <c r="EGU997" s="124"/>
      <c r="EGV997" s="124"/>
      <c r="EGW997" s="124"/>
      <c r="EGX997" s="124"/>
      <c r="EGY997" s="124"/>
      <c r="EGZ997" s="124"/>
      <c r="EHA997" s="124"/>
      <c r="EHB997" s="124"/>
      <c r="EHC997" s="124"/>
      <c r="EHD997" s="124"/>
      <c r="EHE997" s="124"/>
      <c r="EHF997" s="124"/>
      <c r="EHG997" s="124"/>
      <c r="EHH997" s="124"/>
      <c r="EHI997" s="124"/>
      <c r="EHJ997" s="124"/>
      <c r="EHK997" s="124"/>
      <c r="EHL997" s="124"/>
      <c r="EHM997" s="124"/>
      <c r="EHN997" s="124"/>
      <c r="EHO997" s="124"/>
      <c r="EHP997" s="124"/>
      <c r="EHQ997" s="124"/>
      <c r="EHR997" s="124"/>
      <c r="EHS997" s="124"/>
      <c r="EHT997" s="124"/>
      <c r="EHU997" s="124"/>
      <c r="EHV997" s="124"/>
      <c r="EHW997" s="124"/>
      <c r="EHX997" s="124"/>
      <c r="EHY997" s="124"/>
      <c r="EHZ997" s="124"/>
      <c r="EIA997" s="124"/>
      <c r="EIB997" s="124"/>
      <c r="EIC997" s="124"/>
      <c r="EID997" s="124"/>
      <c r="EIE997" s="124"/>
      <c r="EIF997" s="124"/>
      <c r="EIG997" s="124"/>
      <c r="EIH997" s="124"/>
      <c r="EII997" s="124"/>
      <c r="EIJ997" s="124"/>
      <c r="EIK997" s="124"/>
      <c r="EIL997" s="124"/>
      <c r="EIM997" s="124"/>
      <c r="EIN997" s="124"/>
      <c r="EIO997" s="124"/>
      <c r="EIP997" s="124"/>
      <c r="EIQ997" s="124"/>
      <c r="EIR997" s="124"/>
      <c r="EIS997" s="124"/>
      <c r="EIT997" s="124"/>
      <c r="EIU997" s="124"/>
      <c r="EIV997" s="124"/>
      <c r="EIW997" s="124"/>
      <c r="EIX997" s="124"/>
      <c r="EIY997" s="124"/>
      <c r="EIZ997" s="124"/>
      <c r="EJA997" s="124"/>
      <c r="EJB997" s="124"/>
      <c r="EJC997" s="124"/>
      <c r="EJD997" s="124"/>
      <c r="EJE997" s="124"/>
      <c r="EJF997" s="124"/>
      <c r="EJG997" s="124"/>
      <c r="EJH997" s="124"/>
      <c r="EJI997" s="124"/>
      <c r="EJJ997" s="124"/>
      <c r="EJK997" s="124"/>
      <c r="EJL997" s="124"/>
      <c r="EJM997" s="124"/>
      <c r="EJN997" s="124"/>
      <c r="EJO997" s="124"/>
      <c r="EJP997" s="124"/>
      <c r="EJQ997" s="124"/>
      <c r="EJR997" s="124"/>
      <c r="EJS997" s="124"/>
      <c r="EJT997" s="124"/>
      <c r="EJU997" s="124"/>
      <c r="EJV997" s="124"/>
      <c r="EJW997" s="124"/>
      <c r="EJX997" s="124"/>
      <c r="EJY997" s="124"/>
      <c r="EJZ997" s="124"/>
      <c r="EKA997" s="124"/>
      <c r="EKB997" s="124"/>
      <c r="EKC997" s="124"/>
      <c r="EKD997" s="124"/>
      <c r="EKE997" s="124"/>
      <c r="EKF997" s="124"/>
      <c r="EKG997" s="124"/>
      <c r="EKH997" s="124"/>
      <c r="EKI997" s="124"/>
      <c r="EKJ997" s="124"/>
      <c r="EKK997" s="124"/>
      <c r="EKL997" s="124"/>
      <c r="EKM997" s="124"/>
      <c r="EKN997" s="124"/>
      <c r="EKO997" s="124"/>
      <c r="EKP997" s="124"/>
      <c r="EKQ997" s="124"/>
      <c r="EKR997" s="124"/>
      <c r="EKS997" s="124"/>
      <c r="EKT997" s="124"/>
      <c r="EKU997" s="124"/>
      <c r="EKV997" s="124"/>
      <c r="EKW997" s="124"/>
      <c r="EKX997" s="124"/>
      <c r="EKY997" s="124"/>
      <c r="EKZ997" s="124"/>
      <c r="ELA997" s="124"/>
      <c r="ELB997" s="124"/>
      <c r="ELC997" s="124"/>
      <c r="ELD997" s="124"/>
      <c r="ELE997" s="124"/>
      <c r="ELF997" s="124"/>
      <c r="ELG997" s="124"/>
      <c r="ELH997" s="124"/>
      <c r="ELI997" s="124"/>
      <c r="ELJ997" s="124"/>
      <c r="ELK997" s="124"/>
      <c r="ELL997" s="124"/>
      <c r="ELM997" s="124"/>
      <c r="ELN997" s="124"/>
      <c r="ELO997" s="124"/>
      <c r="ELP997" s="124"/>
      <c r="ELQ997" s="124"/>
      <c r="ELR997" s="124"/>
      <c r="ELS997" s="124"/>
      <c r="ELT997" s="124"/>
      <c r="ELU997" s="124"/>
      <c r="ELV997" s="124"/>
      <c r="ELW997" s="124"/>
      <c r="ELX997" s="124"/>
      <c r="ELY997" s="124"/>
      <c r="ELZ997" s="124"/>
      <c r="EMA997" s="124"/>
      <c r="EMB997" s="124"/>
      <c r="EMC997" s="124"/>
      <c r="EMD997" s="124"/>
      <c r="EME997" s="124"/>
      <c r="EMF997" s="124"/>
      <c r="EMG997" s="124"/>
      <c r="EMH997" s="124"/>
      <c r="EMI997" s="124"/>
      <c r="EMJ997" s="124"/>
      <c r="EMK997" s="124"/>
      <c r="EML997" s="124"/>
      <c r="EMM997" s="124"/>
      <c r="EMN997" s="124"/>
      <c r="EMO997" s="124"/>
      <c r="EMP997" s="124"/>
      <c r="EMQ997" s="124"/>
      <c r="EMR997" s="124"/>
      <c r="EMS997" s="124"/>
      <c r="EMT997" s="124"/>
      <c r="EMU997" s="124"/>
      <c r="EMV997" s="124"/>
      <c r="EMW997" s="124"/>
      <c r="EMX997" s="124"/>
      <c r="EMY997" s="124"/>
      <c r="EMZ997" s="124"/>
      <c r="ENA997" s="124"/>
      <c r="ENB997" s="124"/>
      <c r="ENC997" s="124"/>
      <c r="END997" s="124"/>
      <c r="ENE997" s="124"/>
      <c r="ENF997" s="124"/>
      <c r="ENG997" s="124"/>
      <c r="ENH997" s="124"/>
      <c r="ENI997" s="124"/>
      <c r="ENJ997" s="124"/>
      <c r="ENK997" s="124"/>
      <c r="ENL997" s="124"/>
      <c r="ENM997" s="124"/>
      <c r="ENN997" s="124"/>
      <c r="ENO997" s="124"/>
      <c r="ENP997" s="124"/>
      <c r="ENQ997" s="124"/>
      <c r="ENR997" s="124"/>
      <c r="ENS997" s="124"/>
      <c r="ENT997" s="124"/>
      <c r="ENU997" s="124"/>
      <c r="ENV997" s="124"/>
      <c r="ENW997" s="124"/>
      <c r="ENX997" s="124"/>
      <c r="ENY997" s="124"/>
      <c r="ENZ997" s="124"/>
      <c r="EOA997" s="124"/>
      <c r="EOB997" s="124"/>
      <c r="EOC997" s="124"/>
      <c r="EOD997" s="124"/>
      <c r="EOE997" s="124"/>
      <c r="EOF997" s="124"/>
      <c r="EOG997" s="124"/>
      <c r="EOH997" s="124"/>
      <c r="EOI997" s="124"/>
      <c r="EOJ997" s="124"/>
      <c r="EOK997" s="124"/>
      <c r="EOL997" s="124"/>
      <c r="EOM997" s="124"/>
      <c r="EON997" s="124"/>
      <c r="EOO997" s="124"/>
      <c r="EOP997" s="124"/>
      <c r="EOQ997" s="124"/>
      <c r="EOR997" s="124"/>
      <c r="EOS997" s="124"/>
      <c r="EOT997" s="124"/>
      <c r="EOU997" s="124"/>
      <c r="EOV997" s="124"/>
      <c r="EOW997" s="124"/>
      <c r="EOX997" s="124"/>
      <c r="EOY997" s="124"/>
      <c r="EOZ997" s="124"/>
      <c r="EPA997" s="124"/>
      <c r="EPB997" s="124"/>
      <c r="EPC997" s="124"/>
      <c r="EPD997" s="124"/>
      <c r="EPE997" s="124"/>
      <c r="EPF997" s="124"/>
      <c r="EPG997" s="124"/>
      <c r="EPH997" s="124"/>
      <c r="EPI997" s="124"/>
      <c r="EPJ997" s="124"/>
      <c r="EPK997" s="124"/>
      <c r="EPL997" s="124"/>
      <c r="EPM997" s="124"/>
      <c r="EPN997" s="124"/>
      <c r="EPO997" s="124"/>
      <c r="EPP997" s="124"/>
      <c r="EPQ997" s="124"/>
      <c r="EPR997" s="124"/>
      <c r="EPS997" s="124"/>
      <c r="EPT997" s="124"/>
      <c r="EPU997" s="124"/>
      <c r="EPV997" s="124"/>
      <c r="EPW997" s="124"/>
      <c r="EPX997" s="124"/>
      <c r="EPY997" s="124"/>
      <c r="EPZ997" s="124"/>
      <c r="EQA997" s="124"/>
      <c r="EQB997" s="124"/>
      <c r="EQC997" s="124"/>
      <c r="EQD997" s="124"/>
      <c r="EQE997" s="124"/>
      <c r="EQF997" s="124"/>
      <c r="EQG997" s="124"/>
      <c r="EQH997" s="124"/>
      <c r="EQI997" s="124"/>
      <c r="EQJ997" s="124"/>
      <c r="EQK997" s="124"/>
      <c r="EQL997" s="124"/>
      <c r="EQM997" s="124"/>
      <c r="EQN997" s="124"/>
      <c r="EQO997" s="124"/>
      <c r="EQP997" s="124"/>
      <c r="EQQ997" s="124"/>
      <c r="EQR997" s="124"/>
      <c r="EQS997" s="124"/>
      <c r="EQT997" s="124"/>
      <c r="EQU997" s="124"/>
      <c r="EQV997" s="124"/>
      <c r="EQW997" s="124"/>
      <c r="EQX997" s="124"/>
      <c r="EQY997" s="124"/>
      <c r="EQZ997" s="124"/>
      <c r="ERA997" s="124"/>
      <c r="ERB997" s="124"/>
      <c r="ERC997" s="124"/>
      <c r="ERD997" s="124"/>
      <c r="ERE997" s="124"/>
      <c r="ERF997" s="124"/>
      <c r="ERG997" s="124"/>
      <c r="ERH997" s="124"/>
      <c r="ERI997" s="124"/>
      <c r="ERJ997" s="124"/>
      <c r="ERK997" s="124"/>
      <c r="ERL997" s="124"/>
      <c r="ERM997" s="124"/>
      <c r="ERN997" s="124"/>
      <c r="ERO997" s="124"/>
      <c r="ERP997" s="124"/>
      <c r="ERQ997" s="124"/>
      <c r="ERR997" s="124"/>
      <c r="ERS997" s="124"/>
      <c r="ERT997" s="124"/>
      <c r="ERU997" s="124"/>
      <c r="ERV997" s="124"/>
      <c r="ERW997" s="124"/>
      <c r="ERX997" s="124"/>
      <c r="ERY997" s="124"/>
      <c r="ERZ997" s="124"/>
      <c r="ESA997" s="124"/>
      <c r="ESB997" s="124"/>
      <c r="ESC997" s="124"/>
      <c r="ESD997" s="124"/>
      <c r="ESE997" s="124"/>
      <c r="ESF997" s="124"/>
      <c r="ESG997" s="124"/>
      <c r="ESH997" s="124"/>
      <c r="ESI997" s="124"/>
      <c r="ESJ997" s="124"/>
      <c r="ESK997" s="124"/>
      <c r="ESL997" s="124"/>
      <c r="ESM997" s="124"/>
      <c r="ESN997" s="124"/>
      <c r="ESO997" s="124"/>
      <c r="ESP997" s="124"/>
      <c r="ESQ997" s="124"/>
      <c r="ESR997" s="124"/>
      <c r="ESS997" s="124"/>
      <c r="EST997" s="124"/>
      <c r="ESU997" s="124"/>
      <c r="ESV997" s="124"/>
      <c r="ESW997" s="124"/>
      <c r="ESX997" s="124"/>
      <c r="ESY997" s="124"/>
      <c r="ESZ997" s="124"/>
      <c r="ETA997" s="124"/>
      <c r="ETB997" s="124"/>
      <c r="ETC997" s="124"/>
      <c r="ETD997" s="124"/>
      <c r="ETE997" s="124"/>
      <c r="ETF997" s="124"/>
      <c r="ETG997" s="124"/>
      <c r="ETH997" s="124"/>
      <c r="ETI997" s="124"/>
      <c r="ETJ997" s="124"/>
      <c r="ETK997" s="124"/>
      <c r="ETL997" s="124"/>
      <c r="ETM997" s="124"/>
      <c r="ETN997" s="124"/>
      <c r="ETO997" s="124"/>
      <c r="ETP997" s="124"/>
      <c r="ETQ997" s="124"/>
      <c r="ETR997" s="124"/>
      <c r="ETS997" s="124"/>
      <c r="ETT997" s="124"/>
      <c r="ETU997" s="124"/>
      <c r="ETV997" s="124"/>
      <c r="ETW997" s="124"/>
      <c r="ETX997" s="124"/>
      <c r="ETY997" s="124"/>
      <c r="ETZ997" s="124"/>
      <c r="EUA997" s="124"/>
      <c r="EUB997" s="124"/>
      <c r="EUC997" s="124"/>
      <c r="EUD997" s="124"/>
      <c r="EUE997" s="124"/>
      <c r="EUF997" s="124"/>
      <c r="EUG997" s="124"/>
      <c r="EUH997" s="124"/>
      <c r="EUI997" s="124"/>
      <c r="EUJ997" s="124"/>
      <c r="EUK997" s="124"/>
      <c r="EUL997" s="124"/>
      <c r="EUM997" s="124"/>
      <c r="EUN997" s="124"/>
      <c r="EUO997" s="124"/>
      <c r="EUP997" s="124"/>
      <c r="EUQ997" s="124"/>
      <c r="EUR997" s="124"/>
      <c r="EUS997" s="124"/>
      <c r="EUT997" s="124"/>
      <c r="EUU997" s="124"/>
      <c r="EUV997" s="124"/>
      <c r="EUW997" s="124"/>
      <c r="EUX997" s="124"/>
      <c r="EUY997" s="124"/>
      <c r="EUZ997" s="124"/>
      <c r="EVA997" s="124"/>
      <c r="EVB997" s="124"/>
      <c r="EVC997" s="124"/>
      <c r="EVD997" s="124"/>
      <c r="EVE997" s="124"/>
      <c r="EVF997" s="124"/>
      <c r="EVG997" s="124"/>
      <c r="EVH997" s="124"/>
      <c r="EVI997" s="124"/>
      <c r="EVJ997" s="124"/>
      <c r="EVK997" s="124"/>
      <c r="EVL997" s="124"/>
      <c r="EVM997" s="124"/>
      <c r="EVN997" s="124"/>
      <c r="EVO997" s="124"/>
      <c r="EVP997" s="124"/>
      <c r="EVQ997" s="124"/>
      <c r="EVR997" s="124"/>
      <c r="EVS997" s="124"/>
      <c r="EVT997" s="124"/>
      <c r="EVU997" s="124"/>
      <c r="EVV997" s="124"/>
      <c r="EVW997" s="124"/>
      <c r="EVX997" s="124"/>
      <c r="EVY997" s="124"/>
      <c r="EVZ997" s="124"/>
      <c r="EWA997" s="124"/>
      <c r="EWB997" s="124"/>
      <c r="EWC997" s="124"/>
      <c r="EWD997" s="124"/>
      <c r="EWE997" s="124"/>
      <c r="EWF997" s="124"/>
      <c r="EWG997" s="124"/>
      <c r="EWH997" s="124"/>
      <c r="EWI997" s="124"/>
      <c r="EWJ997" s="124"/>
      <c r="EWK997" s="124"/>
      <c r="EWL997" s="124"/>
      <c r="EWM997" s="124"/>
      <c r="EWN997" s="124"/>
      <c r="EWO997" s="124"/>
      <c r="EWP997" s="124"/>
      <c r="EWQ997" s="124"/>
      <c r="EWR997" s="124"/>
      <c r="EWS997" s="124"/>
      <c r="EWT997" s="124"/>
      <c r="EWU997" s="124"/>
      <c r="EWV997" s="124"/>
      <c r="EWW997" s="124"/>
      <c r="EWX997" s="124"/>
      <c r="EWY997" s="124"/>
      <c r="EWZ997" s="124"/>
      <c r="EXA997" s="124"/>
      <c r="EXB997" s="124"/>
      <c r="EXC997" s="124"/>
      <c r="EXD997" s="124"/>
      <c r="EXE997" s="124"/>
      <c r="EXF997" s="124"/>
      <c r="EXG997" s="124"/>
      <c r="EXH997" s="124"/>
      <c r="EXI997" s="124"/>
      <c r="EXJ997" s="124"/>
      <c r="EXK997" s="124"/>
      <c r="EXL997" s="124"/>
      <c r="EXM997" s="124"/>
      <c r="EXN997" s="124"/>
      <c r="EXO997" s="124"/>
      <c r="EXP997" s="124"/>
      <c r="EXQ997" s="124"/>
      <c r="EXR997" s="124"/>
      <c r="EXS997" s="124"/>
      <c r="EXT997" s="124"/>
      <c r="EXU997" s="124"/>
      <c r="EXV997" s="124"/>
      <c r="EXW997" s="124"/>
      <c r="EXX997" s="124"/>
      <c r="EXY997" s="124"/>
      <c r="EXZ997" s="124"/>
      <c r="EYA997" s="124"/>
      <c r="EYB997" s="124"/>
      <c r="EYC997" s="124"/>
      <c r="EYD997" s="124"/>
      <c r="EYE997" s="124"/>
      <c r="EYF997" s="124"/>
      <c r="EYG997" s="124"/>
      <c r="EYH997" s="124"/>
      <c r="EYI997" s="124"/>
      <c r="EYJ997" s="124"/>
      <c r="EYK997" s="124"/>
      <c r="EYL997" s="124"/>
      <c r="EYM997" s="124"/>
      <c r="EYN997" s="124"/>
      <c r="EYO997" s="124"/>
      <c r="EYP997" s="124"/>
      <c r="EYQ997" s="124"/>
      <c r="EYR997" s="124"/>
      <c r="EYS997" s="124"/>
      <c r="EYT997" s="124"/>
      <c r="EYU997" s="124"/>
      <c r="EYV997" s="124"/>
      <c r="EYW997" s="124"/>
      <c r="EYX997" s="124"/>
      <c r="EYY997" s="124"/>
      <c r="EYZ997" s="124"/>
      <c r="EZA997" s="124"/>
      <c r="EZB997" s="124"/>
      <c r="EZC997" s="124"/>
      <c r="EZD997" s="124"/>
      <c r="EZE997" s="124"/>
      <c r="EZF997" s="124"/>
      <c r="EZG997" s="124"/>
      <c r="EZH997" s="124"/>
      <c r="EZI997" s="124"/>
      <c r="EZJ997" s="124"/>
      <c r="EZK997" s="124"/>
      <c r="EZL997" s="124"/>
      <c r="EZM997" s="124"/>
      <c r="EZN997" s="124"/>
      <c r="EZO997" s="124"/>
      <c r="EZP997" s="124"/>
      <c r="EZQ997" s="124"/>
      <c r="EZR997" s="124"/>
      <c r="EZS997" s="124"/>
      <c r="EZT997" s="124"/>
      <c r="EZU997" s="124"/>
      <c r="EZV997" s="124"/>
      <c r="EZW997" s="124"/>
      <c r="EZX997" s="124"/>
      <c r="EZY997" s="124"/>
      <c r="EZZ997" s="124"/>
      <c r="FAA997" s="124"/>
      <c r="FAB997" s="124"/>
      <c r="FAC997" s="124"/>
      <c r="FAD997" s="124"/>
      <c r="FAE997" s="124"/>
      <c r="FAF997" s="124"/>
      <c r="FAG997" s="124"/>
      <c r="FAH997" s="124"/>
      <c r="FAI997" s="124"/>
      <c r="FAJ997" s="124"/>
      <c r="FAK997" s="124"/>
      <c r="FAL997" s="124"/>
      <c r="FAM997" s="124"/>
      <c r="FAN997" s="124"/>
      <c r="FAO997" s="124"/>
      <c r="FAP997" s="124"/>
      <c r="FAQ997" s="124"/>
      <c r="FAR997" s="124"/>
      <c r="FAS997" s="124"/>
      <c r="FAT997" s="124"/>
      <c r="FAU997" s="124"/>
      <c r="FAV997" s="124"/>
      <c r="FAW997" s="124"/>
      <c r="FAX997" s="124"/>
      <c r="FAY997" s="124"/>
      <c r="FAZ997" s="124"/>
      <c r="FBA997" s="124"/>
      <c r="FBB997" s="124"/>
      <c r="FBC997" s="124"/>
      <c r="FBD997" s="124"/>
      <c r="FBE997" s="124"/>
      <c r="FBF997" s="124"/>
      <c r="FBG997" s="124"/>
      <c r="FBH997" s="124"/>
      <c r="FBI997" s="124"/>
      <c r="FBJ997" s="124"/>
      <c r="FBK997" s="124"/>
      <c r="FBL997" s="124"/>
      <c r="FBM997" s="124"/>
      <c r="FBN997" s="124"/>
      <c r="FBO997" s="124"/>
      <c r="FBP997" s="124"/>
      <c r="FBQ997" s="124"/>
      <c r="FBR997" s="124"/>
      <c r="FBS997" s="124"/>
      <c r="FBT997" s="124"/>
      <c r="FBU997" s="124"/>
      <c r="FBV997" s="124"/>
      <c r="FBW997" s="124"/>
      <c r="FBX997" s="124"/>
      <c r="FBY997" s="124"/>
      <c r="FBZ997" s="124"/>
      <c r="FCA997" s="124"/>
      <c r="FCB997" s="124"/>
      <c r="FCC997" s="124"/>
      <c r="FCD997" s="124"/>
      <c r="FCE997" s="124"/>
      <c r="FCF997" s="124"/>
      <c r="FCG997" s="124"/>
      <c r="FCH997" s="124"/>
      <c r="FCI997" s="124"/>
      <c r="FCJ997" s="124"/>
      <c r="FCK997" s="124"/>
      <c r="FCL997" s="124"/>
      <c r="FCM997" s="124"/>
      <c r="FCN997" s="124"/>
      <c r="FCO997" s="124"/>
      <c r="FCP997" s="124"/>
      <c r="FCQ997" s="124"/>
      <c r="FCR997" s="124"/>
      <c r="FCS997" s="124"/>
      <c r="FCT997" s="124"/>
      <c r="FCU997" s="124"/>
      <c r="FCV997" s="124"/>
      <c r="FCW997" s="124"/>
      <c r="FCX997" s="124"/>
      <c r="FCY997" s="124"/>
      <c r="FCZ997" s="124"/>
      <c r="FDA997" s="124"/>
      <c r="FDB997" s="124"/>
      <c r="FDC997" s="124"/>
      <c r="FDD997" s="124"/>
      <c r="FDE997" s="124"/>
      <c r="FDF997" s="124"/>
      <c r="FDG997" s="124"/>
      <c r="FDH997" s="124"/>
      <c r="FDI997" s="124"/>
      <c r="FDJ997" s="124"/>
      <c r="FDK997" s="124"/>
      <c r="FDL997" s="124"/>
      <c r="FDM997" s="124"/>
      <c r="FDN997" s="124"/>
      <c r="FDO997" s="124"/>
      <c r="FDP997" s="124"/>
      <c r="FDQ997" s="124"/>
      <c r="FDR997" s="124"/>
      <c r="FDS997" s="124"/>
      <c r="FDT997" s="124"/>
      <c r="FDU997" s="124"/>
      <c r="FDV997" s="124"/>
      <c r="FDW997" s="124"/>
      <c r="FDX997" s="124"/>
      <c r="FDY997" s="124"/>
      <c r="FDZ997" s="124"/>
      <c r="FEA997" s="124"/>
      <c r="FEB997" s="124"/>
      <c r="FEC997" s="124"/>
      <c r="FED997" s="124"/>
      <c r="FEE997" s="124"/>
      <c r="FEF997" s="124"/>
      <c r="FEG997" s="124"/>
      <c r="FEH997" s="124"/>
      <c r="FEI997" s="124"/>
      <c r="FEJ997" s="124"/>
      <c r="FEK997" s="124"/>
      <c r="FEL997" s="124"/>
      <c r="FEM997" s="124"/>
      <c r="FEN997" s="124"/>
      <c r="FEO997" s="124"/>
      <c r="FEP997" s="124"/>
      <c r="FEQ997" s="124"/>
      <c r="FER997" s="124"/>
      <c r="FES997" s="124"/>
      <c r="FET997" s="124"/>
      <c r="FEU997" s="124"/>
      <c r="FEV997" s="124"/>
      <c r="FEW997" s="124"/>
      <c r="FEX997" s="124"/>
      <c r="FEY997" s="124"/>
      <c r="FEZ997" s="124"/>
      <c r="FFA997" s="124"/>
      <c r="FFB997" s="124"/>
      <c r="FFC997" s="124"/>
      <c r="FFD997" s="124"/>
      <c r="FFE997" s="124"/>
      <c r="FFF997" s="124"/>
      <c r="FFG997" s="124"/>
      <c r="FFH997" s="124"/>
      <c r="FFI997" s="124"/>
      <c r="FFJ997" s="124"/>
      <c r="FFK997" s="124"/>
      <c r="FFL997" s="124"/>
      <c r="FFM997" s="124"/>
      <c r="FFN997" s="124"/>
      <c r="FFO997" s="124"/>
      <c r="FFP997" s="124"/>
      <c r="FFQ997" s="124"/>
      <c r="FFR997" s="124"/>
      <c r="FFS997" s="124"/>
      <c r="FFT997" s="124"/>
      <c r="FFU997" s="124"/>
      <c r="FFV997" s="124"/>
      <c r="FFW997" s="124"/>
      <c r="FFX997" s="124"/>
      <c r="FFY997" s="124"/>
      <c r="FFZ997" s="124"/>
      <c r="FGA997" s="124"/>
      <c r="FGB997" s="124"/>
      <c r="FGC997" s="124"/>
      <c r="FGD997" s="124"/>
      <c r="FGE997" s="124"/>
      <c r="FGF997" s="124"/>
      <c r="FGG997" s="124"/>
      <c r="FGH997" s="124"/>
      <c r="FGI997" s="124"/>
      <c r="FGJ997" s="124"/>
      <c r="FGK997" s="124"/>
      <c r="FGL997" s="124"/>
      <c r="FGM997" s="124"/>
      <c r="FGN997" s="124"/>
      <c r="FGO997" s="124"/>
      <c r="FGP997" s="124"/>
      <c r="FGQ997" s="124"/>
      <c r="FGR997" s="124"/>
      <c r="FGS997" s="124"/>
      <c r="FGT997" s="124"/>
      <c r="FGU997" s="124"/>
      <c r="FGV997" s="124"/>
      <c r="FGW997" s="124"/>
      <c r="FGX997" s="124"/>
      <c r="FGY997" s="124"/>
      <c r="FGZ997" s="124"/>
      <c r="FHA997" s="124"/>
      <c r="FHB997" s="124"/>
      <c r="FHC997" s="124"/>
      <c r="FHD997" s="124"/>
      <c r="FHE997" s="124"/>
      <c r="FHF997" s="124"/>
      <c r="FHG997" s="124"/>
      <c r="FHH997" s="124"/>
      <c r="FHI997" s="124"/>
      <c r="FHJ997" s="124"/>
      <c r="FHK997" s="124"/>
      <c r="FHL997" s="124"/>
      <c r="FHM997" s="124"/>
      <c r="FHN997" s="124"/>
      <c r="FHO997" s="124"/>
      <c r="FHP997" s="124"/>
      <c r="FHQ997" s="124"/>
      <c r="FHR997" s="124"/>
      <c r="FHS997" s="124"/>
      <c r="FHT997" s="124"/>
      <c r="FHU997" s="124"/>
      <c r="FHV997" s="124"/>
      <c r="FHW997" s="124"/>
      <c r="FHX997" s="124"/>
      <c r="FHY997" s="124"/>
      <c r="FHZ997" s="124"/>
      <c r="FIA997" s="124"/>
      <c r="FIB997" s="124"/>
      <c r="FIC997" s="124"/>
      <c r="FID997" s="124"/>
      <c r="FIE997" s="124"/>
      <c r="FIF997" s="124"/>
      <c r="FIG997" s="124"/>
      <c r="FIH997" s="124"/>
      <c r="FII997" s="124"/>
      <c r="FIJ997" s="124"/>
      <c r="FIK997" s="124"/>
      <c r="FIL997" s="124"/>
      <c r="FIM997" s="124"/>
      <c r="FIN997" s="124"/>
      <c r="FIO997" s="124"/>
      <c r="FIP997" s="124"/>
      <c r="FIQ997" s="124"/>
      <c r="FIR997" s="124"/>
      <c r="FIS997" s="124"/>
      <c r="FIT997" s="124"/>
      <c r="FIU997" s="124"/>
      <c r="FIV997" s="124"/>
      <c r="FIW997" s="124"/>
      <c r="FIX997" s="124"/>
      <c r="FIY997" s="124"/>
      <c r="FIZ997" s="124"/>
      <c r="FJA997" s="124"/>
      <c r="FJB997" s="124"/>
      <c r="FJC997" s="124"/>
      <c r="FJD997" s="124"/>
      <c r="FJE997" s="124"/>
      <c r="FJF997" s="124"/>
      <c r="FJG997" s="124"/>
      <c r="FJH997" s="124"/>
      <c r="FJI997" s="124"/>
      <c r="FJJ997" s="124"/>
      <c r="FJK997" s="124"/>
      <c r="FJL997" s="124"/>
      <c r="FJM997" s="124"/>
      <c r="FJN997" s="124"/>
      <c r="FJO997" s="124"/>
      <c r="FJP997" s="124"/>
      <c r="FJQ997" s="124"/>
      <c r="FJR997" s="124"/>
      <c r="FJS997" s="124"/>
      <c r="FJT997" s="124"/>
      <c r="FJU997" s="124"/>
      <c r="FJV997" s="124"/>
      <c r="FJW997" s="124"/>
      <c r="FJX997" s="124"/>
      <c r="FJY997" s="124"/>
      <c r="FJZ997" s="124"/>
      <c r="FKA997" s="124"/>
      <c r="FKB997" s="124"/>
      <c r="FKC997" s="124"/>
      <c r="FKD997" s="124"/>
      <c r="FKE997" s="124"/>
      <c r="FKF997" s="124"/>
      <c r="FKG997" s="124"/>
      <c r="FKH997" s="124"/>
      <c r="FKI997" s="124"/>
      <c r="FKJ997" s="124"/>
      <c r="FKK997" s="124"/>
      <c r="FKL997" s="124"/>
      <c r="FKM997" s="124"/>
      <c r="FKN997" s="124"/>
      <c r="FKO997" s="124"/>
      <c r="FKP997" s="124"/>
      <c r="FKQ997" s="124"/>
      <c r="FKR997" s="124"/>
      <c r="FKS997" s="124"/>
      <c r="FKT997" s="124"/>
      <c r="FKU997" s="124"/>
      <c r="FKV997" s="124"/>
      <c r="FKW997" s="124"/>
      <c r="FKX997" s="124"/>
      <c r="FKY997" s="124"/>
      <c r="FKZ997" s="124"/>
      <c r="FLA997" s="124"/>
      <c r="FLB997" s="124"/>
      <c r="FLC997" s="124"/>
      <c r="FLD997" s="124"/>
      <c r="FLE997" s="124"/>
      <c r="FLF997" s="124"/>
      <c r="FLG997" s="124"/>
      <c r="FLH997" s="124"/>
      <c r="FLI997" s="124"/>
      <c r="FLJ997" s="124"/>
      <c r="FLK997" s="124"/>
      <c r="FLL997" s="124"/>
      <c r="FLM997" s="124"/>
      <c r="FLN997" s="124"/>
      <c r="FLO997" s="124"/>
      <c r="FLP997" s="124"/>
      <c r="FLQ997" s="124"/>
      <c r="FLR997" s="124"/>
      <c r="FLS997" s="124"/>
      <c r="FLT997" s="124"/>
      <c r="FLU997" s="124"/>
      <c r="FLV997" s="124"/>
      <c r="FLW997" s="124"/>
      <c r="FLX997" s="124"/>
      <c r="FLY997" s="124"/>
      <c r="FLZ997" s="124"/>
      <c r="FMA997" s="124"/>
      <c r="FMB997" s="124"/>
      <c r="FMC997" s="124"/>
      <c r="FMD997" s="124"/>
      <c r="FME997" s="124"/>
      <c r="FMF997" s="124"/>
      <c r="FMG997" s="124"/>
      <c r="FMH997" s="124"/>
      <c r="FMI997" s="124"/>
      <c r="FMJ997" s="124"/>
      <c r="FMK997" s="124"/>
      <c r="FML997" s="124"/>
      <c r="FMM997" s="124"/>
      <c r="FMN997" s="124"/>
      <c r="FMO997" s="124"/>
      <c r="FMP997" s="124"/>
      <c r="FMQ997" s="124"/>
      <c r="FMR997" s="124"/>
      <c r="FMS997" s="124"/>
      <c r="FMT997" s="124"/>
      <c r="FMU997" s="124"/>
      <c r="FMV997" s="124"/>
      <c r="FMW997" s="124"/>
      <c r="FMX997" s="124"/>
      <c r="FMY997" s="124"/>
      <c r="FMZ997" s="124"/>
      <c r="FNA997" s="124"/>
      <c r="FNB997" s="124"/>
      <c r="FNC997" s="124"/>
      <c r="FND997" s="124"/>
      <c r="FNE997" s="124"/>
      <c r="FNF997" s="124"/>
      <c r="FNG997" s="124"/>
      <c r="FNH997" s="124"/>
      <c r="FNI997" s="124"/>
      <c r="FNJ997" s="124"/>
      <c r="FNK997" s="124"/>
      <c r="FNL997" s="124"/>
      <c r="FNM997" s="124"/>
      <c r="FNN997" s="124"/>
      <c r="FNO997" s="124"/>
      <c r="FNP997" s="124"/>
      <c r="FNQ997" s="124"/>
      <c r="FNR997" s="124"/>
      <c r="FNS997" s="124"/>
      <c r="FNT997" s="124"/>
      <c r="FNU997" s="124"/>
      <c r="FNV997" s="124"/>
      <c r="FNW997" s="124"/>
      <c r="FNX997" s="124"/>
      <c r="FNY997" s="124"/>
      <c r="FNZ997" s="124"/>
      <c r="FOA997" s="124"/>
      <c r="FOB997" s="124"/>
      <c r="FOC997" s="124"/>
      <c r="FOD997" s="124"/>
      <c r="FOE997" s="124"/>
      <c r="FOF997" s="124"/>
      <c r="FOG997" s="124"/>
      <c r="FOH997" s="124"/>
      <c r="FOI997" s="124"/>
      <c r="FOJ997" s="124"/>
      <c r="FOK997" s="124"/>
      <c r="FOL997" s="124"/>
      <c r="FOM997" s="124"/>
      <c r="FON997" s="124"/>
      <c r="FOO997" s="124"/>
      <c r="FOP997" s="124"/>
      <c r="FOQ997" s="124"/>
      <c r="FOR997" s="124"/>
      <c r="FOS997" s="124"/>
      <c r="FOT997" s="124"/>
      <c r="FOU997" s="124"/>
      <c r="FOV997" s="124"/>
      <c r="FOW997" s="124"/>
      <c r="FOX997" s="124"/>
      <c r="FOY997" s="124"/>
      <c r="FOZ997" s="124"/>
      <c r="FPA997" s="124"/>
      <c r="FPB997" s="124"/>
      <c r="FPC997" s="124"/>
      <c r="FPD997" s="124"/>
      <c r="FPE997" s="124"/>
      <c r="FPF997" s="124"/>
      <c r="FPG997" s="124"/>
      <c r="FPH997" s="124"/>
      <c r="FPI997" s="124"/>
      <c r="FPJ997" s="124"/>
      <c r="FPK997" s="124"/>
      <c r="FPL997" s="124"/>
      <c r="FPM997" s="124"/>
      <c r="FPN997" s="124"/>
      <c r="FPO997" s="124"/>
      <c r="FPP997" s="124"/>
      <c r="FPQ997" s="124"/>
      <c r="FPR997" s="124"/>
      <c r="FPS997" s="124"/>
      <c r="FPT997" s="124"/>
      <c r="FPU997" s="124"/>
      <c r="FPV997" s="124"/>
      <c r="FPW997" s="124"/>
      <c r="FPX997" s="124"/>
      <c r="FPY997" s="124"/>
      <c r="FPZ997" s="124"/>
      <c r="FQA997" s="124"/>
      <c r="FQB997" s="124"/>
      <c r="FQC997" s="124"/>
      <c r="FQD997" s="124"/>
      <c r="FQE997" s="124"/>
      <c r="FQF997" s="124"/>
      <c r="FQG997" s="124"/>
      <c r="FQH997" s="124"/>
      <c r="FQI997" s="124"/>
      <c r="FQJ997" s="124"/>
      <c r="FQK997" s="124"/>
      <c r="FQL997" s="124"/>
      <c r="FQM997" s="124"/>
      <c r="FQN997" s="124"/>
      <c r="FQO997" s="124"/>
      <c r="FQP997" s="124"/>
      <c r="FQQ997" s="124"/>
      <c r="FQR997" s="124"/>
      <c r="FQS997" s="124"/>
      <c r="FQT997" s="124"/>
      <c r="FQU997" s="124"/>
      <c r="FQV997" s="124"/>
      <c r="FQW997" s="124"/>
      <c r="FQX997" s="124"/>
      <c r="FQY997" s="124"/>
      <c r="FQZ997" s="124"/>
      <c r="FRA997" s="124"/>
      <c r="FRB997" s="124"/>
      <c r="FRC997" s="124"/>
      <c r="FRD997" s="124"/>
      <c r="FRE997" s="124"/>
      <c r="FRF997" s="124"/>
      <c r="FRG997" s="124"/>
      <c r="FRH997" s="124"/>
      <c r="FRI997" s="124"/>
      <c r="FRJ997" s="124"/>
      <c r="FRK997" s="124"/>
      <c r="FRL997" s="124"/>
      <c r="FRM997" s="124"/>
      <c r="FRN997" s="124"/>
      <c r="FRO997" s="124"/>
      <c r="FRP997" s="124"/>
      <c r="FRQ997" s="124"/>
      <c r="FRR997" s="124"/>
      <c r="FRS997" s="124"/>
      <c r="FRT997" s="124"/>
      <c r="FRU997" s="124"/>
      <c r="FRV997" s="124"/>
      <c r="FRW997" s="124"/>
      <c r="FRX997" s="124"/>
      <c r="FRY997" s="124"/>
      <c r="FRZ997" s="124"/>
      <c r="FSA997" s="124"/>
      <c r="FSB997" s="124"/>
      <c r="FSC997" s="124"/>
      <c r="FSD997" s="124"/>
      <c r="FSE997" s="124"/>
      <c r="FSF997" s="124"/>
      <c r="FSG997" s="124"/>
      <c r="FSH997" s="124"/>
      <c r="FSI997" s="124"/>
      <c r="FSJ997" s="124"/>
      <c r="FSK997" s="124"/>
      <c r="FSL997" s="124"/>
      <c r="FSM997" s="124"/>
      <c r="FSN997" s="124"/>
      <c r="FSO997" s="124"/>
      <c r="FSP997" s="124"/>
      <c r="FSQ997" s="124"/>
      <c r="FSR997" s="124"/>
      <c r="FSS997" s="124"/>
      <c r="FST997" s="124"/>
      <c r="FSU997" s="124"/>
      <c r="FSV997" s="124"/>
      <c r="FSW997" s="124"/>
      <c r="FSX997" s="124"/>
      <c r="FSY997" s="124"/>
      <c r="FSZ997" s="124"/>
      <c r="FTA997" s="124"/>
      <c r="FTB997" s="124"/>
      <c r="FTC997" s="124"/>
      <c r="FTD997" s="124"/>
      <c r="FTE997" s="124"/>
      <c r="FTF997" s="124"/>
      <c r="FTG997" s="124"/>
      <c r="FTH997" s="124"/>
      <c r="FTI997" s="124"/>
      <c r="FTJ997" s="124"/>
      <c r="FTK997" s="124"/>
      <c r="FTL997" s="124"/>
      <c r="FTM997" s="124"/>
      <c r="FTN997" s="124"/>
      <c r="FTO997" s="124"/>
      <c r="FTP997" s="124"/>
      <c r="FTQ997" s="124"/>
      <c r="FTR997" s="124"/>
      <c r="FTS997" s="124"/>
      <c r="FTT997" s="124"/>
      <c r="FTU997" s="124"/>
      <c r="FTV997" s="124"/>
      <c r="FTW997" s="124"/>
      <c r="FTX997" s="124"/>
      <c r="FTY997" s="124"/>
      <c r="FTZ997" s="124"/>
      <c r="FUA997" s="124"/>
      <c r="FUB997" s="124"/>
      <c r="FUC997" s="124"/>
      <c r="FUD997" s="124"/>
      <c r="FUE997" s="124"/>
      <c r="FUF997" s="124"/>
      <c r="FUG997" s="124"/>
      <c r="FUH997" s="124"/>
      <c r="FUI997" s="124"/>
      <c r="FUJ997" s="124"/>
      <c r="FUK997" s="124"/>
      <c r="FUL997" s="124"/>
      <c r="FUM997" s="124"/>
      <c r="FUN997" s="124"/>
      <c r="FUO997" s="124"/>
      <c r="FUP997" s="124"/>
      <c r="FUQ997" s="124"/>
      <c r="FUR997" s="124"/>
      <c r="FUS997" s="124"/>
      <c r="FUT997" s="124"/>
      <c r="FUU997" s="124"/>
      <c r="FUV997" s="124"/>
      <c r="FUW997" s="124"/>
      <c r="FUX997" s="124"/>
      <c r="FUY997" s="124"/>
      <c r="FUZ997" s="124"/>
      <c r="FVA997" s="124"/>
      <c r="FVB997" s="124"/>
      <c r="FVC997" s="124"/>
      <c r="FVD997" s="124"/>
      <c r="FVE997" s="124"/>
      <c r="FVF997" s="124"/>
      <c r="FVG997" s="124"/>
      <c r="FVH997" s="124"/>
      <c r="FVI997" s="124"/>
      <c r="FVJ997" s="124"/>
      <c r="FVK997" s="124"/>
      <c r="FVL997" s="124"/>
      <c r="FVM997" s="124"/>
      <c r="FVN997" s="124"/>
      <c r="FVO997" s="124"/>
      <c r="FVP997" s="124"/>
      <c r="FVQ997" s="124"/>
      <c r="FVR997" s="124"/>
      <c r="FVS997" s="124"/>
      <c r="FVT997" s="124"/>
      <c r="FVU997" s="124"/>
      <c r="FVV997" s="124"/>
      <c r="FVW997" s="124"/>
      <c r="FVX997" s="124"/>
      <c r="FVY997" s="124"/>
      <c r="FVZ997" s="124"/>
      <c r="FWA997" s="124"/>
      <c r="FWB997" s="124"/>
      <c r="FWC997" s="124"/>
      <c r="FWD997" s="124"/>
      <c r="FWE997" s="124"/>
      <c r="FWF997" s="124"/>
      <c r="FWG997" s="124"/>
      <c r="FWH997" s="124"/>
      <c r="FWI997" s="124"/>
      <c r="FWJ997" s="124"/>
      <c r="FWK997" s="124"/>
      <c r="FWL997" s="124"/>
      <c r="FWM997" s="124"/>
      <c r="FWN997" s="124"/>
      <c r="FWO997" s="124"/>
      <c r="FWP997" s="124"/>
      <c r="FWQ997" s="124"/>
      <c r="FWR997" s="124"/>
      <c r="FWS997" s="124"/>
      <c r="FWT997" s="124"/>
      <c r="FWU997" s="124"/>
      <c r="FWV997" s="124"/>
      <c r="FWW997" s="124"/>
      <c r="FWX997" s="124"/>
      <c r="FWY997" s="124"/>
      <c r="FWZ997" s="124"/>
      <c r="FXA997" s="124"/>
      <c r="FXB997" s="124"/>
      <c r="FXC997" s="124"/>
      <c r="FXD997" s="124"/>
      <c r="FXE997" s="124"/>
      <c r="FXF997" s="124"/>
      <c r="FXG997" s="124"/>
      <c r="FXH997" s="124"/>
      <c r="FXI997" s="124"/>
      <c r="FXJ997" s="124"/>
      <c r="FXK997" s="124"/>
      <c r="FXL997" s="124"/>
      <c r="FXM997" s="124"/>
      <c r="FXN997" s="124"/>
      <c r="FXO997" s="124"/>
      <c r="FXP997" s="124"/>
      <c r="FXQ997" s="124"/>
      <c r="FXR997" s="124"/>
      <c r="FXS997" s="124"/>
      <c r="FXT997" s="124"/>
      <c r="FXU997" s="124"/>
      <c r="FXV997" s="124"/>
      <c r="FXW997" s="124"/>
      <c r="FXX997" s="124"/>
      <c r="FXY997" s="124"/>
      <c r="FXZ997" s="124"/>
      <c r="FYA997" s="124"/>
      <c r="FYB997" s="124"/>
      <c r="FYC997" s="124"/>
      <c r="FYD997" s="124"/>
      <c r="FYE997" s="124"/>
      <c r="FYF997" s="124"/>
      <c r="FYG997" s="124"/>
      <c r="FYH997" s="124"/>
      <c r="FYI997" s="124"/>
      <c r="FYJ997" s="124"/>
      <c r="FYK997" s="124"/>
      <c r="FYL997" s="124"/>
      <c r="FYM997" s="124"/>
      <c r="FYN997" s="124"/>
      <c r="FYO997" s="124"/>
      <c r="FYP997" s="124"/>
      <c r="FYQ997" s="124"/>
      <c r="FYR997" s="124"/>
      <c r="FYS997" s="124"/>
      <c r="FYT997" s="124"/>
      <c r="FYU997" s="124"/>
      <c r="FYV997" s="124"/>
      <c r="FYW997" s="124"/>
      <c r="FYX997" s="124"/>
      <c r="FYY997" s="124"/>
      <c r="FYZ997" s="124"/>
      <c r="FZA997" s="124"/>
      <c r="FZB997" s="124"/>
      <c r="FZC997" s="124"/>
      <c r="FZD997" s="124"/>
      <c r="FZE997" s="124"/>
      <c r="FZF997" s="124"/>
      <c r="FZG997" s="124"/>
      <c r="FZH997" s="124"/>
      <c r="FZI997" s="124"/>
      <c r="FZJ997" s="124"/>
      <c r="FZK997" s="124"/>
      <c r="FZL997" s="124"/>
      <c r="FZM997" s="124"/>
      <c r="FZN997" s="124"/>
      <c r="FZO997" s="124"/>
      <c r="FZP997" s="124"/>
      <c r="FZQ997" s="124"/>
      <c r="FZR997" s="124"/>
      <c r="FZS997" s="124"/>
      <c r="FZT997" s="124"/>
      <c r="FZU997" s="124"/>
      <c r="FZV997" s="124"/>
      <c r="FZW997" s="124"/>
      <c r="FZX997" s="124"/>
      <c r="FZY997" s="124"/>
      <c r="FZZ997" s="124"/>
      <c r="GAA997" s="124"/>
      <c r="GAB997" s="124"/>
      <c r="GAC997" s="124"/>
      <c r="GAD997" s="124"/>
      <c r="GAE997" s="124"/>
      <c r="GAF997" s="124"/>
      <c r="GAG997" s="124"/>
      <c r="GAH997" s="124"/>
      <c r="GAI997" s="124"/>
      <c r="GAJ997" s="124"/>
      <c r="GAK997" s="124"/>
      <c r="GAL997" s="124"/>
      <c r="GAM997" s="124"/>
      <c r="GAN997" s="124"/>
      <c r="GAO997" s="124"/>
      <c r="GAP997" s="124"/>
      <c r="GAQ997" s="124"/>
      <c r="GAR997" s="124"/>
      <c r="GAS997" s="124"/>
      <c r="GAT997" s="124"/>
      <c r="GAU997" s="124"/>
      <c r="GAV997" s="124"/>
      <c r="GAW997" s="124"/>
      <c r="GAX997" s="124"/>
      <c r="GAY997" s="124"/>
      <c r="GAZ997" s="124"/>
      <c r="GBA997" s="124"/>
      <c r="GBB997" s="124"/>
      <c r="GBC997" s="124"/>
      <c r="GBD997" s="124"/>
      <c r="GBE997" s="124"/>
      <c r="GBF997" s="124"/>
      <c r="GBG997" s="124"/>
      <c r="GBH997" s="124"/>
      <c r="GBI997" s="124"/>
      <c r="GBJ997" s="124"/>
      <c r="GBK997" s="124"/>
      <c r="GBL997" s="124"/>
      <c r="GBM997" s="124"/>
      <c r="GBN997" s="124"/>
      <c r="GBO997" s="124"/>
      <c r="GBP997" s="124"/>
      <c r="GBQ997" s="124"/>
      <c r="GBR997" s="124"/>
      <c r="GBS997" s="124"/>
      <c r="GBT997" s="124"/>
      <c r="GBU997" s="124"/>
      <c r="GBV997" s="124"/>
      <c r="GBW997" s="124"/>
      <c r="GBX997" s="124"/>
      <c r="GBY997" s="124"/>
      <c r="GBZ997" s="124"/>
      <c r="GCA997" s="124"/>
      <c r="GCB997" s="124"/>
      <c r="GCC997" s="124"/>
      <c r="GCD997" s="124"/>
      <c r="GCE997" s="124"/>
      <c r="GCF997" s="124"/>
      <c r="GCG997" s="124"/>
      <c r="GCH997" s="124"/>
      <c r="GCI997" s="124"/>
      <c r="GCJ997" s="124"/>
      <c r="GCK997" s="124"/>
      <c r="GCL997" s="124"/>
      <c r="GCM997" s="124"/>
      <c r="GCN997" s="124"/>
      <c r="GCO997" s="124"/>
      <c r="GCP997" s="124"/>
      <c r="GCQ997" s="124"/>
      <c r="GCR997" s="124"/>
      <c r="GCS997" s="124"/>
      <c r="GCT997" s="124"/>
      <c r="GCU997" s="124"/>
      <c r="GCV997" s="124"/>
      <c r="GCW997" s="124"/>
      <c r="GCX997" s="124"/>
      <c r="GCY997" s="124"/>
      <c r="GCZ997" s="124"/>
      <c r="GDA997" s="124"/>
      <c r="GDB997" s="124"/>
      <c r="GDC997" s="124"/>
      <c r="GDD997" s="124"/>
      <c r="GDE997" s="124"/>
      <c r="GDF997" s="124"/>
      <c r="GDG997" s="124"/>
      <c r="GDH997" s="124"/>
      <c r="GDI997" s="124"/>
      <c r="GDJ997" s="124"/>
      <c r="GDK997" s="124"/>
      <c r="GDL997" s="124"/>
      <c r="GDM997" s="124"/>
      <c r="GDN997" s="124"/>
      <c r="GDO997" s="124"/>
      <c r="GDP997" s="124"/>
      <c r="GDQ997" s="124"/>
      <c r="GDR997" s="124"/>
      <c r="GDS997" s="124"/>
      <c r="GDT997" s="124"/>
      <c r="GDU997" s="124"/>
      <c r="GDV997" s="124"/>
      <c r="GDW997" s="124"/>
      <c r="GDX997" s="124"/>
      <c r="GDY997" s="124"/>
      <c r="GDZ997" s="124"/>
      <c r="GEA997" s="124"/>
      <c r="GEB997" s="124"/>
      <c r="GEC997" s="124"/>
      <c r="GED997" s="124"/>
      <c r="GEE997" s="124"/>
      <c r="GEF997" s="124"/>
      <c r="GEG997" s="124"/>
      <c r="GEH997" s="124"/>
      <c r="GEI997" s="124"/>
      <c r="GEJ997" s="124"/>
      <c r="GEK997" s="124"/>
      <c r="GEL997" s="124"/>
      <c r="GEM997" s="124"/>
      <c r="GEN997" s="124"/>
      <c r="GEO997" s="124"/>
      <c r="GEP997" s="124"/>
      <c r="GEQ997" s="124"/>
      <c r="GER997" s="124"/>
      <c r="GES997" s="124"/>
      <c r="GET997" s="124"/>
      <c r="GEU997" s="124"/>
      <c r="GEV997" s="124"/>
      <c r="GEW997" s="124"/>
      <c r="GEX997" s="124"/>
      <c r="GEY997" s="124"/>
      <c r="GEZ997" s="124"/>
      <c r="GFA997" s="124"/>
      <c r="GFB997" s="124"/>
      <c r="GFC997" s="124"/>
      <c r="GFD997" s="124"/>
      <c r="GFE997" s="124"/>
      <c r="GFF997" s="124"/>
      <c r="GFG997" s="124"/>
      <c r="GFH997" s="124"/>
      <c r="GFI997" s="124"/>
      <c r="GFJ997" s="124"/>
      <c r="GFK997" s="124"/>
      <c r="GFL997" s="124"/>
      <c r="GFM997" s="124"/>
      <c r="GFN997" s="124"/>
      <c r="GFO997" s="124"/>
      <c r="GFP997" s="124"/>
      <c r="GFQ997" s="124"/>
      <c r="GFR997" s="124"/>
      <c r="GFS997" s="124"/>
      <c r="GFT997" s="124"/>
      <c r="GFU997" s="124"/>
      <c r="GFV997" s="124"/>
      <c r="GFW997" s="124"/>
      <c r="GFX997" s="124"/>
      <c r="GFY997" s="124"/>
      <c r="GFZ997" s="124"/>
      <c r="GGA997" s="124"/>
      <c r="GGB997" s="124"/>
      <c r="GGC997" s="124"/>
      <c r="GGD997" s="124"/>
      <c r="GGE997" s="124"/>
      <c r="GGF997" s="124"/>
      <c r="GGG997" s="124"/>
      <c r="GGH997" s="124"/>
      <c r="GGI997" s="124"/>
      <c r="GGJ997" s="124"/>
      <c r="GGK997" s="124"/>
      <c r="GGL997" s="124"/>
      <c r="GGM997" s="124"/>
      <c r="GGN997" s="124"/>
      <c r="GGO997" s="124"/>
      <c r="GGP997" s="124"/>
      <c r="GGQ997" s="124"/>
      <c r="GGR997" s="124"/>
      <c r="GGS997" s="124"/>
      <c r="GGT997" s="124"/>
      <c r="GGU997" s="124"/>
      <c r="GGV997" s="124"/>
      <c r="GGW997" s="124"/>
      <c r="GGX997" s="124"/>
      <c r="GGY997" s="124"/>
      <c r="GGZ997" s="124"/>
      <c r="GHA997" s="124"/>
      <c r="GHB997" s="124"/>
      <c r="GHC997" s="124"/>
      <c r="GHD997" s="124"/>
      <c r="GHE997" s="124"/>
      <c r="GHF997" s="124"/>
      <c r="GHG997" s="124"/>
      <c r="GHH997" s="124"/>
      <c r="GHI997" s="124"/>
      <c r="GHJ997" s="124"/>
      <c r="GHK997" s="124"/>
      <c r="GHL997" s="124"/>
      <c r="GHM997" s="124"/>
      <c r="GHN997" s="124"/>
      <c r="GHO997" s="124"/>
      <c r="GHP997" s="124"/>
      <c r="GHQ997" s="124"/>
      <c r="GHR997" s="124"/>
      <c r="GHS997" s="124"/>
      <c r="GHT997" s="124"/>
      <c r="GHU997" s="124"/>
      <c r="GHV997" s="124"/>
      <c r="GHW997" s="124"/>
      <c r="GHX997" s="124"/>
      <c r="GHY997" s="124"/>
      <c r="GHZ997" s="124"/>
      <c r="GIA997" s="124"/>
      <c r="GIB997" s="124"/>
      <c r="GIC997" s="124"/>
      <c r="GID997" s="124"/>
      <c r="GIE997" s="124"/>
      <c r="GIF997" s="124"/>
      <c r="GIG997" s="124"/>
      <c r="GIH997" s="124"/>
      <c r="GII997" s="124"/>
      <c r="GIJ997" s="124"/>
      <c r="GIK997" s="124"/>
      <c r="GIL997" s="124"/>
      <c r="GIM997" s="124"/>
      <c r="GIN997" s="124"/>
      <c r="GIO997" s="124"/>
      <c r="GIP997" s="124"/>
      <c r="GIQ997" s="124"/>
      <c r="GIR997" s="124"/>
      <c r="GIS997" s="124"/>
      <c r="GIT997" s="124"/>
      <c r="GIU997" s="124"/>
      <c r="GIV997" s="124"/>
      <c r="GIW997" s="124"/>
      <c r="GIX997" s="124"/>
      <c r="GIY997" s="124"/>
      <c r="GIZ997" s="124"/>
      <c r="GJA997" s="124"/>
      <c r="GJB997" s="124"/>
      <c r="GJC997" s="124"/>
      <c r="GJD997" s="124"/>
      <c r="GJE997" s="124"/>
      <c r="GJF997" s="124"/>
      <c r="GJG997" s="124"/>
      <c r="GJH997" s="124"/>
      <c r="GJI997" s="124"/>
      <c r="GJJ997" s="124"/>
      <c r="GJK997" s="124"/>
      <c r="GJL997" s="124"/>
      <c r="GJM997" s="124"/>
      <c r="GJN997" s="124"/>
      <c r="GJO997" s="124"/>
      <c r="GJP997" s="124"/>
      <c r="GJQ997" s="124"/>
      <c r="GJR997" s="124"/>
      <c r="GJS997" s="124"/>
      <c r="GJT997" s="124"/>
      <c r="GJU997" s="124"/>
      <c r="GJV997" s="124"/>
      <c r="GJW997" s="124"/>
      <c r="GJX997" s="124"/>
      <c r="GJY997" s="124"/>
      <c r="GJZ997" s="124"/>
      <c r="GKA997" s="124"/>
      <c r="GKB997" s="124"/>
      <c r="GKC997" s="124"/>
      <c r="GKD997" s="124"/>
      <c r="GKE997" s="124"/>
      <c r="GKF997" s="124"/>
      <c r="GKG997" s="124"/>
      <c r="GKH997" s="124"/>
      <c r="GKI997" s="124"/>
      <c r="GKJ997" s="124"/>
      <c r="GKK997" s="124"/>
      <c r="GKL997" s="124"/>
      <c r="GKM997" s="124"/>
      <c r="GKN997" s="124"/>
      <c r="GKO997" s="124"/>
      <c r="GKP997" s="124"/>
      <c r="GKQ997" s="124"/>
      <c r="GKR997" s="124"/>
      <c r="GKS997" s="124"/>
      <c r="GKT997" s="124"/>
      <c r="GKU997" s="124"/>
      <c r="GKV997" s="124"/>
      <c r="GKW997" s="124"/>
      <c r="GKX997" s="124"/>
      <c r="GKY997" s="124"/>
      <c r="GKZ997" s="124"/>
      <c r="GLA997" s="124"/>
      <c r="GLB997" s="124"/>
      <c r="GLC997" s="124"/>
      <c r="GLD997" s="124"/>
      <c r="GLE997" s="124"/>
      <c r="GLF997" s="124"/>
      <c r="GLG997" s="124"/>
      <c r="GLH997" s="124"/>
      <c r="GLI997" s="124"/>
      <c r="GLJ997" s="124"/>
      <c r="GLK997" s="124"/>
      <c r="GLL997" s="124"/>
      <c r="GLM997" s="124"/>
      <c r="GLN997" s="124"/>
      <c r="GLO997" s="124"/>
      <c r="GLP997" s="124"/>
      <c r="GLQ997" s="124"/>
      <c r="GLR997" s="124"/>
      <c r="GLS997" s="124"/>
      <c r="GLT997" s="124"/>
      <c r="GLU997" s="124"/>
      <c r="GLV997" s="124"/>
      <c r="GLW997" s="124"/>
      <c r="GLX997" s="124"/>
      <c r="GLY997" s="124"/>
      <c r="GLZ997" s="124"/>
      <c r="GMA997" s="124"/>
      <c r="GMB997" s="124"/>
      <c r="GMC997" s="124"/>
      <c r="GMD997" s="124"/>
      <c r="GME997" s="124"/>
      <c r="GMF997" s="124"/>
      <c r="GMG997" s="124"/>
      <c r="GMH997" s="124"/>
      <c r="GMI997" s="124"/>
      <c r="GMJ997" s="124"/>
      <c r="GMK997" s="124"/>
      <c r="GML997" s="124"/>
      <c r="GMM997" s="124"/>
      <c r="GMN997" s="124"/>
      <c r="GMO997" s="124"/>
      <c r="GMP997" s="124"/>
      <c r="GMQ997" s="124"/>
      <c r="GMR997" s="124"/>
      <c r="GMS997" s="124"/>
      <c r="GMT997" s="124"/>
      <c r="GMU997" s="124"/>
      <c r="GMV997" s="124"/>
      <c r="GMW997" s="124"/>
      <c r="GMX997" s="124"/>
      <c r="GMY997" s="124"/>
      <c r="GMZ997" s="124"/>
      <c r="GNA997" s="124"/>
      <c r="GNB997" s="124"/>
      <c r="GNC997" s="124"/>
      <c r="GND997" s="124"/>
      <c r="GNE997" s="124"/>
      <c r="GNF997" s="124"/>
      <c r="GNG997" s="124"/>
      <c r="GNH997" s="124"/>
      <c r="GNI997" s="124"/>
      <c r="GNJ997" s="124"/>
      <c r="GNK997" s="124"/>
      <c r="GNL997" s="124"/>
      <c r="GNM997" s="124"/>
      <c r="GNN997" s="124"/>
      <c r="GNO997" s="124"/>
      <c r="GNP997" s="124"/>
      <c r="GNQ997" s="124"/>
      <c r="GNR997" s="124"/>
      <c r="GNS997" s="124"/>
      <c r="GNT997" s="124"/>
      <c r="GNU997" s="124"/>
      <c r="GNV997" s="124"/>
      <c r="GNW997" s="124"/>
      <c r="GNX997" s="124"/>
      <c r="GNY997" s="124"/>
      <c r="GNZ997" s="124"/>
      <c r="GOA997" s="124"/>
      <c r="GOB997" s="124"/>
      <c r="GOC997" s="124"/>
      <c r="GOD997" s="124"/>
      <c r="GOE997" s="124"/>
      <c r="GOF997" s="124"/>
      <c r="GOG997" s="124"/>
      <c r="GOH997" s="124"/>
      <c r="GOI997" s="124"/>
      <c r="GOJ997" s="124"/>
      <c r="GOK997" s="124"/>
      <c r="GOL997" s="124"/>
      <c r="GOM997" s="124"/>
      <c r="GON997" s="124"/>
      <c r="GOO997" s="124"/>
      <c r="GOP997" s="124"/>
      <c r="GOQ997" s="124"/>
      <c r="GOR997" s="124"/>
      <c r="GOS997" s="124"/>
      <c r="GOT997" s="124"/>
      <c r="GOU997" s="124"/>
      <c r="GOV997" s="124"/>
      <c r="GOW997" s="124"/>
      <c r="GOX997" s="124"/>
      <c r="GOY997" s="124"/>
      <c r="GOZ997" s="124"/>
      <c r="GPA997" s="124"/>
      <c r="GPB997" s="124"/>
      <c r="GPC997" s="124"/>
      <c r="GPD997" s="124"/>
      <c r="GPE997" s="124"/>
      <c r="GPF997" s="124"/>
      <c r="GPG997" s="124"/>
      <c r="GPH997" s="124"/>
      <c r="GPI997" s="124"/>
      <c r="GPJ997" s="124"/>
      <c r="GPK997" s="124"/>
      <c r="GPL997" s="124"/>
      <c r="GPM997" s="124"/>
      <c r="GPN997" s="124"/>
      <c r="GPO997" s="124"/>
      <c r="GPP997" s="124"/>
      <c r="GPQ997" s="124"/>
      <c r="GPR997" s="124"/>
      <c r="GPS997" s="124"/>
      <c r="GPT997" s="124"/>
      <c r="GPU997" s="124"/>
      <c r="GPV997" s="124"/>
      <c r="GPW997" s="124"/>
      <c r="GPX997" s="124"/>
      <c r="GPY997" s="124"/>
      <c r="GPZ997" s="124"/>
      <c r="GQA997" s="124"/>
      <c r="GQB997" s="124"/>
      <c r="GQC997" s="124"/>
      <c r="GQD997" s="124"/>
      <c r="GQE997" s="124"/>
      <c r="GQF997" s="124"/>
      <c r="GQG997" s="124"/>
      <c r="GQH997" s="124"/>
      <c r="GQI997" s="124"/>
      <c r="GQJ997" s="124"/>
      <c r="GQK997" s="124"/>
      <c r="GQL997" s="124"/>
      <c r="GQM997" s="124"/>
      <c r="GQN997" s="124"/>
      <c r="GQO997" s="124"/>
      <c r="GQP997" s="124"/>
      <c r="GQQ997" s="124"/>
      <c r="GQR997" s="124"/>
      <c r="GQS997" s="124"/>
      <c r="GQT997" s="124"/>
      <c r="GQU997" s="124"/>
      <c r="GQV997" s="124"/>
      <c r="GQW997" s="124"/>
      <c r="GQX997" s="124"/>
      <c r="GQY997" s="124"/>
      <c r="GQZ997" s="124"/>
      <c r="GRA997" s="124"/>
      <c r="GRB997" s="124"/>
      <c r="GRC997" s="124"/>
      <c r="GRD997" s="124"/>
      <c r="GRE997" s="124"/>
      <c r="GRF997" s="124"/>
      <c r="GRG997" s="124"/>
      <c r="GRH997" s="124"/>
      <c r="GRI997" s="124"/>
      <c r="GRJ997" s="124"/>
      <c r="GRK997" s="124"/>
      <c r="GRL997" s="124"/>
      <c r="GRM997" s="124"/>
      <c r="GRN997" s="124"/>
      <c r="GRO997" s="124"/>
      <c r="GRP997" s="124"/>
      <c r="GRQ997" s="124"/>
      <c r="GRR997" s="124"/>
      <c r="GRS997" s="124"/>
      <c r="GRT997" s="124"/>
      <c r="GRU997" s="124"/>
      <c r="GRV997" s="124"/>
      <c r="GRW997" s="124"/>
      <c r="GRX997" s="124"/>
      <c r="GRY997" s="124"/>
      <c r="GRZ997" s="124"/>
      <c r="GSA997" s="124"/>
      <c r="GSB997" s="124"/>
      <c r="GSC997" s="124"/>
      <c r="GSD997" s="124"/>
      <c r="GSE997" s="124"/>
      <c r="GSF997" s="124"/>
      <c r="GSG997" s="124"/>
      <c r="GSH997" s="124"/>
      <c r="GSI997" s="124"/>
      <c r="GSJ997" s="124"/>
      <c r="GSK997" s="124"/>
      <c r="GSL997" s="124"/>
      <c r="GSM997" s="124"/>
      <c r="GSN997" s="124"/>
      <c r="GSO997" s="124"/>
      <c r="GSP997" s="124"/>
      <c r="GSQ997" s="124"/>
      <c r="GSR997" s="124"/>
      <c r="GSS997" s="124"/>
      <c r="GST997" s="124"/>
      <c r="GSU997" s="124"/>
      <c r="GSV997" s="124"/>
      <c r="GSW997" s="124"/>
      <c r="GSX997" s="124"/>
      <c r="GSY997" s="124"/>
      <c r="GSZ997" s="124"/>
      <c r="GTA997" s="124"/>
      <c r="GTB997" s="124"/>
      <c r="GTC997" s="124"/>
      <c r="GTD997" s="124"/>
      <c r="GTE997" s="124"/>
      <c r="GTF997" s="124"/>
      <c r="GTG997" s="124"/>
      <c r="GTH997" s="124"/>
      <c r="GTI997" s="124"/>
      <c r="GTJ997" s="124"/>
      <c r="GTK997" s="124"/>
      <c r="GTL997" s="124"/>
      <c r="GTM997" s="124"/>
      <c r="GTN997" s="124"/>
      <c r="GTO997" s="124"/>
      <c r="GTP997" s="124"/>
      <c r="GTQ997" s="124"/>
      <c r="GTR997" s="124"/>
      <c r="GTS997" s="124"/>
      <c r="GTT997" s="124"/>
      <c r="GTU997" s="124"/>
      <c r="GTV997" s="124"/>
      <c r="GTW997" s="124"/>
      <c r="GTX997" s="124"/>
      <c r="GTY997" s="124"/>
      <c r="GTZ997" s="124"/>
      <c r="GUA997" s="124"/>
      <c r="GUB997" s="124"/>
      <c r="GUC997" s="124"/>
      <c r="GUD997" s="124"/>
      <c r="GUE997" s="124"/>
      <c r="GUF997" s="124"/>
      <c r="GUG997" s="124"/>
      <c r="GUH997" s="124"/>
      <c r="GUI997" s="124"/>
      <c r="GUJ997" s="124"/>
      <c r="GUK997" s="124"/>
      <c r="GUL997" s="124"/>
      <c r="GUM997" s="124"/>
      <c r="GUN997" s="124"/>
      <c r="GUO997" s="124"/>
      <c r="GUP997" s="124"/>
      <c r="GUQ997" s="124"/>
      <c r="GUR997" s="124"/>
      <c r="GUS997" s="124"/>
      <c r="GUT997" s="124"/>
      <c r="GUU997" s="124"/>
      <c r="GUV997" s="124"/>
      <c r="GUW997" s="124"/>
      <c r="GUX997" s="124"/>
      <c r="GUY997" s="124"/>
      <c r="GUZ997" s="124"/>
      <c r="GVA997" s="124"/>
      <c r="GVB997" s="124"/>
      <c r="GVC997" s="124"/>
      <c r="GVD997" s="124"/>
      <c r="GVE997" s="124"/>
      <c r="GVF997" s="124"/>
      <c r="GVG997" s="124"/>
      <c r="GVH997" s="124"/>
      <c r="GVI997" s="124"/>
      <c r="GVJ997" s="124"/>
      <c r="GVK997" s="124"/>
      <c r="GVL997" s="124"/>
      <c r="GVM997" s="124"/>
      <c r="GVN997" s="124"/>
      <c r="GVO997" s="124"/>
      <c r="GVP997" s="124"/>
      <c r="GVQ997" s="124"/>
      <c r="GVR997" s="124"/>
      <c r="GVS997" s="124"/>
      <c r="GVT997" s="124"/>
      <c r="GVU997" s="124"/>
      <c r="GVV997" s="124"/>
      <c r="GVW997" s="124"/>
      <c r="GVX997" s="124"/>
      <c r="GVY997" s="124"/>
      <c r="GVZ997" s="124"/>
      <c r="GWA997" s="124"/>
      <c r="GWB997" s="124"/>
      <c r="GWC997" s="124"/>
      <c r="GWD997" s="124"/>
      <c r="GWE997" s="124"/>
      <c r="GWF997" s="124"/>
      <c r="GWG997" s="124"/>
      <c r="GWH997" s="124"/>
      <c r="GWI997" s="124"/>
      <c r="GWJ997" s="124"/>
      <c r="GWK997" s="124"/>
      <c r="GWL997" s="124"/>
      <c r="GWM997" s="124"/>
      <c r="GWN997" s="124"/>
      <c r="GWO997" s="124"/>
      <c r="GWP997" s="124"/>
      <c r="GWQ997" s="124"/>
      <c r="GWR997" s="124"/>
      <c r="GWS997" s="124"/>
      <c r="GWT997" s="124"/>
      <c r="GWU997" s="124"/>
      <c r="GWV997" s="124"/>
      <c r="GWW997" s="124"/>
      <c r="GWX997" s="124"/>
      <c r="GWY997" s="124"/>
      <c r="GWZ997" s="124"/>
      <c r="GXA997" s="124"/>
      <c r="GXB997" s="124"/>
      <c r="GXC997" s="124"/>
      <c r="GXD997" s="124"/>
      <c r="GXE997" s="124"/>
      <c r="GXF997" s="124"/>
      <c r="GXG997" s="124"/>
      <c r="GXH997" s="124"/>
      <c r="GXI997" s="124"/>
      <c r="GXJ997" s="124"/>
      <c r="GXK997" s="124"/>
      <c r="GXL997" s="124"/>
      <c r="GXM997" s="124"/>
      <c r="GXN997" s="124"/>
      <c r="GXO997" s="124"/>
      <c r="GXP997" s="124"/>
      <c r="GXQ997" s="124"/>
      <c r="GXR997" s="124"/>
      <c r="GXS997" s="124"/>
      <c r="GXT997" s="124"/>
      <c r="GXU997" s="124"/>
      <c r="GXV997" s="124"/>
      <c r="GXW997" s="124"/>
      <c r="GXX997" s="124"/>
      <c r="GXY997" s="124"/>
      <c r="GXZ997" s="124"/>
      <c r="GYA997" s="124"/>
      <c r="GYB997" s="124"/>
      <c r="GYC997" s="124"/>
      <c r="GYD997" s="124"/>
      <c r="GYE997" s="124"/>
      <c r="GYF997" s="124"/>
      <c r="GYG997" s="124"/>
      <c r="GYH997" s="124"/>
      <c r="GYI997" s="124"/>
      <c r="GYJ997" s="124"/>
      <c r="GYK997" s="124"/>
      <c r="GYL997" s="124"/>
      <c r="GYM997" s="124"/>
      <c r="GYN997" s="124"/>
      <c r="GYO997" s="124"/>
      <c r="GYP997" s="124"/>
      <c r="GYQ997" s="124"/>
      <c r="GYR997" s="124"/>
      <c r="GYS997" s="124"/>
      <c r="GYT997" s="124"/>
      <c r="GYU997" s="124"/>
      <c r="GYV997" s="124"/>
      <c r="GYW997" s="124"/>
      <c r="GYX997" s="124"/>
      <c r="GYY997" s="124"/>
      <c r="GYZ997" s="124"/>
      <c r="GZA997" s="124"/>
      <c r="GZB997" s="124"/>
      <c r="GZC997" s="124"/>
      <c r="GZD997" s="124"/>
      <c r="GZE997" s="124"/>
      <c r="GZF997" s="124"/>
      <c r="GZG997" s="124"/>
      <c r="GZH997" s="124"/>
      <c r="GZI997" s="124"/>
      <c r="GZJ997" s="124"/>
      <c r="GZK997" s="124"/>
      <c r="GZL997" s="124"/>
      <c r="GZM997" s="124"/>
      <c r="GZN997" s="124"/>
      <c r="GZO997" s="124"/>
      <c r="GZP997" s="124"/>
      <c r="GZQ997" s="124"/>
      <c r="GZR997" s="124"/>
      <c r="GZS997" s="124"/>
      <c r="GZT997" s="124"/>
      <c r="GZU997" s="124"/>
      <c r="GZV997" s="124"/>
      <c r="GZW997" s="124"/>
      <c r="GZX997" s="124"/>
      <c r="GZY997" s="124"/>
      <c r="GZZ997" s="124"/>
      <c r="HAA997" s="124"/>
      <c r="HAB997" s="124"/>
      <c r="HAC997" s="124"/>
      <c r="HAD997" s="124"/>
      <c r="HAE997" s="124"/>
      <c r="HAF997" s="124"/>
      <c r="HAG997" s="124"/>
      <c r="HAH997" s="124"/>
      <c r="HAI997" s="124"/>
      <c r="HAJ997" s="124"/>
      <c r="HAK997" s="124"/>
      <c r="HAL997" s="124"/>
      <c r="HAM997" s="124"/>
      <c r="HAN997" s="124"/>
      <c r="HAO997" s="124"/>
      <c r="HAP997" s="124"/>
      <c r="HAQ997" s="124"/>
      <c r="HAR997" s="124"/>
      <c r="HAS997" s="124"/>
      <c r="HAT997" s="124"/>
      <c r="HAU997" s="124"/>
      <c r="HAV997" s="124"/>
      <c r="HAW997" s="124"/>
      <c r="HAX997" s="124"/>
      <c r="HAY997" s="124"/>
      <c r="HAZ997" s="124"/>
      <c r="HBA997" s="124"/>
      <c r="HBB997" s="124"/>
      <c r="HBC997" s="124"/>
      <c r="HBD997" s="124"/>
      <c r="HBE997" s="124"/>
      <c r="HBF997" s="124"/>
      <c r="HBG997" s="124"/>
      <c r="HBH997" s="124"/>
      <c r="HBI997" s="124"/>
      <c r="HBJ997" s="124"/>
      <c r="HBK997" s="124"/>
      <c r="HBL997" s="124"/>
      <c r="HBM997" s="124"/>
      <c r="HBN997" s="124"/>
      <c r="HBO997" s="124"/>
      <c r="HBP997" s="124"/>
      <c r="HBQ997" s="124"/>
      <c r="HBR997" s="124"/>
      <c r="HBS997" s="124"/>
      <c r="HBT997" s="124"/>
      <c r="HBU997" s="124"/>
      <c r="HBV997" s="124"/>
      <c r="HBW997" s="124"/>
      <c r="HBX997" s="124"/>
      <c r="HBY997" s="124"/>
      <c r="HBZ997" s="124"/>
      <c r="HCA997" s="124"/>
      <c r="HCB997" s="124"/>
      <c r="HCC997" s="124"/>
      <c r="HCD997" s="124"/>
      <c r="HCE997" s="124"/>
      <c r="HCF997" s="124"/>
      <c r="HCG997" s="124"/>
      <c r="HCH997" s="124"/>
      <c r="HCI997" s="124"/>
      <c r="HCJ997" s="124"/>
      <c r="HCK997" s="124"/>
      <c r="HCL997" s="124"/>
      <c r="HCM997" s="124"/>
      <c r="HCN997" s="124"/>
      <c r="HCO997" s="124"/>
      <c r="HCP997" s="124"/>
      <c r="HCQ997" s="124"/>
      <c r="HCR997" s="124"/>
      <c r="HCS997" s="124"/>
      <c r="HCT997" s="124"/>
      <c r="HCU997" s="124"/>
      <c r="HCV997" s="124"/>
      <c r="HCW997" s="124"/>
      <c r="HCX997" s="124"/>
      <c r="HCY997" s="124"/>
      <c r="HCZ997" s="124"/>
      <c r="HDA997" s="124"/>
      <c r="HDB997" s="124"/>
      <c r="HDC997" s="124"/>
      <c r="HDD997" s="124"/>
      <c r="HDE997" s="124"/>
      <c r="HDF997" s="124"/>
      <c r="HDG997" s="124"/>
      <c r="HDH997" s="124"/>
      <c r="HDI997" s="124"/>
      <c r="HDJ997" s="124"/>
      <c r="HDK997" s="124"/>
      <c r="HDL997" s="124"/>
      <c r="HDM997" s="124"/>
      <c r="HDN997" s="124"/>
      <c r="HDO997" s="124"/>
      <c r="HDP997" s="124"/>
      <c r="HDQ997" s="124"/>
      <c r="HDR997" s="124"/>
      <c r="HDS997" s="124"/>
      <c r="HDT997" s="124"/>
      <c r="HDU997" s="124"/>
      <c r="HDV997" s="124"/>
      <c r="HDW997" s="124"/>
      <c r="HDX997" s="124"/>
      <c r="HDY997" s="124"/>
      <c r="HDZ997" s="124"/>
      <c r="HEA997" s="124"/>
      <c r="HEB997" s="124"/>
      <c r="HEC997" s="124"/>
      <c r="HED997" s="124"/>
      <c r="HEE997" s="124"/>
      <c r="HEF997" s="124"/>
      <c r="HEG997" s="124"/>
      <c r="HEH997" s="124"/>
      <c r="HEI997" s="124"/>
      <c r="HEJ997" s="124"/>
      <c r="HEK997" s="124"/>
      <c r="HEL997" s="124"/>
      <c r="HEM997" s="124"/>
      <c r="HEN997" s="124"/>
      <c r="HEO997" s="124"/>
      <c r="HEP997" s="124"/>
      <c r="HEQ997" s="124"/>
      <c r="HER997" s="124"/>
      <c r="HES997" s="124"/>
      <c r="HET997" s="124"/>
      <c r="HEU997" s="124"/>
      <c r="HEV997" s="124"/>
      <c r="HEW997" s="124"/>
      <c r="HEX997" s="124"/>
      <c r="HEY997" s="124"/>
      <c r="HEZ997" s="124"/>
      <c r="HFA997" s="124"/>
      <c r="HFB997" s="124"/>
      <c r="HFC997" s="124"/>
      <c r="HFD997" s="124"/>
      <c r="HFE997" s="124"/>
      <c r="HFF997" s="124"/>
      <c r="HFG997" s="124"/>
      <c r="HFH997" s="124"/>
      <c r="HFI997" s="124"/>
      <c r="HFJ997" s="124"/>
      <c r="HFK997" s="124"/>
      <c r="HFL997" s="124"/>
      <c r="HFM997" s="124"/>
      <c r="HFN997" s="124"/>
      <c r="HFO997" s="124"/>
      <c r="HFP997" s="124"/>
      <c r="HFQ997" s="124"/>
      <c r="HFR997" s="124"/>
      <c r="HFS997" s="124"/>
      <c r="HFT997" s="124"/>
      <c r="HFU997" s="124"/>
      <c r="HFV997" s="124"/>
      <c r="HFW997" s="124"/>
      <c r="HFX997" s="124"/>
      <c r="HFY997" s="124"/>
      <c r="HFZ997" s="124"/>
      <c r="HGA997" s="124"/>
      <c r="HGB997" s="124"/>
      <c r="HGC997" s="124"/>
      <c r="HGD997" s="124"/>
      <c r="HGE997" s="124"/>
      <c r="HGF997" s="124"/>
      <c r="HGG997" s="124"/>
      <c r="HGH997" s="124"/>
      <c r="HGI997" s="124"/>
      <c r="HGJ997" s="124"/>
      <c r="HGK997" s="124"/>
      <c r="HGL997" s="124"/>
      <c r="HGM997" s="124"/>
      <c r="HGN997" s="124"/>
      <c r="HGO997" s="124"/>
      <c r="HGP997" s="124"/>
      <c r="HGQ997" s="124"/>
      <c r="HGR997" s="124"/>
      <c r="HGS997" s="124"/>
      <c r="HGT997" s="124"/>
      <c r="HGU997" s="124"/>
      <c r="HGV997" s="124"/>
      <c r="HGW997" s="124"/>
      <c r="HGX997" s="124"/>
      <c r="HGY997" s="124"/>
      <c r="HGZ997" s="124"/>
      <c r="HHA997" s="124"/>
      <c r="HHB997" s="124"/>
      <c r="HHC997" s="124"/>
      <c r="HHD997" s="124"/>
      <c r="HHE997" s="124"/>
      <c r="HHF997" s="124"/>
      <c r="HHG997" s="124"/>
      <c r="HHH997" s="124"/>
      <c r="HHI997" s="124"/>
      <c r="HHJ997" s="124"/>
      <c r="HHK997" s="124"/>
      <c r="HHL997" s="124"/>
      <c r="HHM997" s="124"/>
      <c r="HHN997" s="124"/>
      <c r="HHO997" s="124"/>
      <c r="HHP997" s="124"/>
      <c r="HHQ997" s="124"/>
      <c r="HHR997" s="124"/>
      <c r="HHS997" s="124"/>
      <c r="HHT997" s="124"/>
      <c r="HHU997" s="124"/>
      <c r="HHV997" s="124"/>
      <c r="HHW997" s="124"/>
      <c r="HHX997" s="124"/>
      <c r="HHY997" s="124"/>
      <c r="HHZ997" s="124"/>
      <c r="HIA997" s="124"/>
      <c r="HIB997" s="124"/>
      <c r="HIC997" s="124"/>
      <c r="HID997" s="124"/>
      <c r="HIE997" s="124"/>
      <c r="HIF997" s="124"/>
      <c r="HIG997" s="124"/>
      <c r="HIH997" s="124"/>
      <c r="HII997" s="124"/>
      <c r="HIJ997" s="124"/>
      <c r="HIK997" s="124"/>
      <c r="HIL997" s="124"/>
      <c r="HIM997" s="124"/>
      <c r="HIN997" s="124"/>
      <c r="HIO997" s="124"/>
      <c r="HIP997" s="124"/>
      <c r="HIQ997" s="124"/>
      <c r="HIR997" s="124"/>
      <c r="HIS997" s="124"/>
      <c r="HIT997" s="124"/>
      <c r="HIU997" s="124"/>
      <c r="HIV997" s="124"/>
      <c r="HIW997" s="124"/>
      <c r="HIX997" s="124"/>
      <c r="HIY997" s="124"/>
      <c r="HIZ997" s="124"/>
      <c r="HJA997" s="124"/>
      <c r="HJB997" s="124"/>
      <c r="HJC997" s="124"/>
      <c r="HJD997" s="124"/>
      <c r="HJE997" s="124"/>
      <c r="HJF997" s="124"/>
      <c r="HJG997" s="124"/>
      <c r="HJH997" s="124"/>
      <c r="HJI997" s="124"/>
      <c r="HJJ997" s="124"/>
      <c r="HJK997" s="124"/>
      <c r="HJL997" s="124"/>
      <c r="HJM997" s="124"/>
      <c r="HJN997" s="124"/>
      <c r="HJO997" s="124"/>
      <c r="HJP997" s="124"/>
      <c r="HJQ997" s="124"/>
      <c r="HJR997" s="124"/>
      <c r="HJS997" s="124"/>
      <c r="HJT997" s="124"/>
      <c r="HJU997" s="124"/>
      <c r="HJV997" s="124"/>
      <c r="HJW997" s="124"/>
      <c r="HJX997" s="124"/>
      <c r="HJY997" s="124"/>
      <c r="HJZ997" s="124"/>
      <c r="HKA997" s="124"/>
      <c r="HKB997" s="124"/>
      <c r="HKC997" s="124"/>
      <c r="HKD997" s="124"/>
      <c r="HKE997" s="124"/>
      <c r="HKF997" s="124"/>
      <c r="HKG997" s="124"/>
      <c r="HKH997" s="124"/>
      <c r="HKI997" s="124"/>
      <c r="HKJ997" s="124"/>
      <c r="HKK997" s="124"/>
      <c r="HKL997" s="124"/>
      <c r="HKM997" s="124"/>
      <c r="HKN997" s="124"/>
      <c r="HKO997" s="124"/>
      <c r="HKP997" s="124"/>
      <c r="HKQ997" s="124"/>
      <c r="HKR997" s="124"/>
      <c r="HKS997" s="124"/>
      <c r="HKT997" s="124"/>
      <c r="HKU997" s="124"/>
      <c r="HKV997" s="124"/>
      <c r="HKW997" s="124"/>
      <c r="HKX997" s="124"/>
      <c r="HKY997" s="124"/>
      <c r="HKZ997" s="124"/>
      <c r="HLA997" s="124"/>
      <c r="HLB997" s="124"/>
      <c r="HLC997" s="124"/>
      <c r="HLD997" s="124"/>
      <c r="HLE997" s="124"/>
      <c r="HLF997" s="124"/>
      <c r="HLG997" s="124"/>
      <c r="HLH997" s="124"/>
      <c r="HLI997" s="124"/>
      <c r="HLJ997" s="124"/>
      <c r="HLK997" s="124"/>
      <c r="HLL997" s="124"/>
      <c r="HLM997" s="124"/>
      <c r="HLN997" s="124"/>
      <c r="HLO997" s="124"/>
      <c r="HLP997" s="124"/>
      <c r="HLQ997" s="124"/>
      <c r="HLR997" s="124"/>
      <c r="HLS997" s="124"/>
      <c r="HLT997" s="124"/>
      <c r="HLU997" s="124"/>
      <c r="HLV997" s="124"/>
      <c r="HLW997" s="124"/>
      <c r="HLX997" s="124"/>
      <c r="HLY997" s="124"/>
      <c r="HLZ997" s="124"/>
      <c r="HMA997" s="124"/>
      <c r="HMB997" s="124"/>
      <c r="HMC997" s="124"/>
      <c r="HMD997" s="124"/>
      <c r="HME997" s="124"/>
      <c r="HMF997" s="124"/>
      <c r="HMG997" s="124"/>
      <c r="HMH997" s="124"/>
      <c r="HMI997" s="124"/>
      <c r="HMJ997" s="124"/>
      <c r="HMK997" s="124"/>
      <c r="HML997" s="124"/>
      <c r="HMM997" s="124"/>
      <c r="HMN997" s="124"/>
      <c r="HMO997" s="124"/>
      <c r="HMP997" s="124"/>
      <c r="HMQ997" s="124"/>
      <c r="HMR997" s="124"/>
      <c r="HMS997" s="124"/>
      <c r="HMT997" s="124"/>
      <c r="HMU997" s="124"/>
      <c r="HMV997" s="124"/>
      <c r="HMW997" s="124"/>
      <c r="HMX997" s="124"/>
      <c r="HMY997" s="124"/>
      <c r="HMZ997" s="124"/>
      <c r="HNA997" s="124"/>
      <c r="HNB997" s="124"/>
      <c r="HNC997" s="124"/>
      <c r="HND997" s="124"/>
      <c r="HNE997" s="124"/>
      <c r="HNF997" s="124"/>
      <c r="HNG997" s="124"/>
      <c r="HNH997" s="124"/>
      <c r="HNI997" s="124"/>
      <c r="HNJ997" s="124"/>
      <c r="HNK997" s="124"/>
      <c r="HNL997" s="124"/>
      <c r="HNM997" s="124"/>
      <c r="HNN997" s="124"/>
      <c r="HNO997" s="124"/>
      <c r="HNP997" s="124"/>
      <c r="HNQ997" s="124"/>
      <c r="HNR997" s="124"/>
      <c r="HNS997" s="124"/>
      <c r="HNT997" s="124"/>
      <c r="HNU997" s="124"/>
      <c r="HNV997" s="124"/>
      <c r="HNW997" s="124"/>
      <c r="HNX997" s="124"/>
      <c r="HNY997" s="124"/>
      <c r="HNZ997" s="124"/>
      <c r="HOA997" s="124"/>
      <c r="HOB997" s="124"/>
      <c r="HOC997" s="124"/>
      <c r="HOD997" s="124"/>
      <c r="HOE997" s="124"/>
      <c r="HOF997" s="124"/>
      <c r="HOG997" s="124"/>
      <c r="HOH997" s="124"/>
      <c r="HOI997" s="124"/>
      <c r="HOJ997" s="124"/>
      <c r="HOK997" s="124"/>
      <c r="HOL997" s="124"/>
      <c r="HOM997" s="124"/>
      <c r="HON997" s="124"/>
      <c r="HOO997" s="124"/>
      <c r="HOP997" s="124"/>
      <c r="HOQ997" s="124"/>
      <c r="HOR997" s="124"/>
      <c r="HOS997" s="124"/>
      <c r="HOT997" s="124"/>
      <c r="HOU997" s="124"/>
      <c r="HOV997" s="124"/>
      <c r="HOW997" s="124"/>
      <c r="HOX997" s="124"/>
      <c r="HOY997" s="124"/>
      <c r="HOZ997" s="124"/>
      <c r="HPA997" s="124"/>
      <c r="HPB997" s="124"/>
      <c r="HPC997" s="124"/>
      <c r="HPD997" s="124"/>
      <c r="HPE997" s="124"/>
      <c r="HPF997" s="124"/>
      <c r="HPG997" s="124"/>
      <c r="HPH997" s="124"/>
      <c r="HPI997" s="124"/>
      <c r="HPJ997" s="124"/>
      <c r="HPK997" s="124"/>
      <c r="HPL997" s="124"/>
      <c r="HPM997" s="124"/>
      <c r="HPN997" s="124"/>
      <c r="HPO997" s="124"/>
      <c r="HPP997" s="124"/>
      <c r="HPQ997" s="124"/>
      <c r="HPR997" s="124"/>
      <c r="HPS997" s="124"/>
      <c r="HPT997" s="124"/>
      <c r="HPU997" s="124"/>
      <c r="HPV997" s="124"/>
      <c r="HPW997" s="124"/>
      <c r="HPX997" s="124"/>
      <c r="HPY997" s="124"/>
      <c r="HPZ997" s="124"/>
      <c r="HQA997" s="124"/>
      <c r="HQB997" s="124"/>
      <c r="HQC997" s="124"/>
      <c r="HQD997" s="124"/>
      <c r="HQE997" s="124"/>
      <c r="HQF997" s="124"/>
      <c r="HQG997" s="124"/>
      <c r="HQH997" s="124"/>
      <c r="HQI997" s="124"/>
      <c r="HQJ997" s="124"/>
      <c r="HQK997" s="124"/>
      <c r="HQL997" s="124"/>
      <c r="HQM997" s="124"/>
      <c r="HQN997" s="124"/>
      <c r="HQO997" s="124"/>
      <c r="HQP997" s="124"/>
      <c r="HQQ997" s="124"/>
      <c r="HQR997" s="124"/>
      <c r="HQS997" s="124"/>
      <c r="HQT997" s="124"/>
      <c r="HQU997" s="124"/>
      <c r="HQV997" s="124"/>
      <c r="HQW997" s="124"/>
      <c r="HQX997" s="124"/>
      <c r="HQY997" s="124"/>
      <c r="HQZ997" s="124"/>
      <c r="HRA997" s="124"/>
      <c r="HRB997" s="124"/>
      <c r="HRC997" s="124"/>
      <c r="HRD997" s="124"/>
      <c r="HRE997" s="124"/>
      <c r="HRF997" s="124"/>
      <c r="HRG997" s="124"/>
      <c r="HRH997" s="124"/>
      <c r="HRI997" s="124"/>
      <c r="HRJ997" s="124"/>
      <c r="HRK997" s="124"/>
      <c r="HRL997" s="124"/>
      <c r="HRM997" s="124"/>
      <c r="HRN997" s="124"/>
      <c r="HRO997" s="124"/>
      <c r="HRP997" s="124"/>
      <c r="HRQ997" s="124"/>
      <c r="HRR997" s="124"/>
      <c r="HRS997" s="124"/>
      <c r="HRT997" s="124"/>
      <c r="HRU997" s="124"/>
      <c r="HRV997" s="124"/>
      <c r="HRW997" s="124"/>
      <c r="HRX997" s="124"/>
      <c r="HRY997" s="124"/>
      <c r="HRZ997" s="124"/>
      <c r="HSA997" s="124"/>
      <c r="HSB997" s="124"/>
      <c r="HSC997" s="124"/>
      <c r="HSD997" s="124"/>
      <c r="HSE997" s="124"/>
      <c r="HSF997" s="124"/>
      <c r="HSG997" s="124"/>
      <c r="HSH997" s="124"/>
      <c r="HSI997" s="124"/>
      <c r="HSJ997" s="124"/>
      <c r="HSK997" s="124"/>
      <c r="HSL997" s="124"/>
      <c r="HSM997" s="124"/>
      <c r="HSN997" s="124"/>
      <c r="HSO997" s="124"/>
      <c r="HSP997" s="124"/>
      <c r="HSQ997" s="124"/>
      <c r="HSR997" s="124"/>
      <c r="HSS997" s="124"/>
      <c r="HST997" s="124"/>
      <c r="HSU997" s="124"/>
      <c r="HSV997" s="124"/>
      <c r="HSW997" s="124"/>
      <c r="HSX997" s="124"/>
      <c r="HSY997" s="124"/>
      <c r="HSZ997" s="124"/>
      <c r="HTA997" s="124"/>
      <c r="HTB997" s="124"/>
      <c r="HTC997" s="124"/>
      <c r="HTD997" s="124"/>
      <c r="HTE997" s="124"/>
      <c r="HTF997" s="124"/>
      <c r="HTG997" s="124"/>
      <c r="HTH997" s="124"/>
      <c r="HTI997" s="124"/>
      <c r="HTJ997" s="124"/>
      <c r="HTK997" s="124"/>
      <c r="HTL997" s="124"/>
      <c r="HTM997" s="124"/>
      <c r="HTN997" s="124"/>
      <c r="HTO997" s="124"/>
      <c r="HTP997" s="124"/>
      <c r="HTQ997" s="124"/>
      <c r="HTR997" s="124"/>
      <c r="HTS997" s="124"/>
      <c r="HTT997" s="124"/>
      <c r="HTU997" s="124"/>
      <c r="HTV997" s="124"/>
      <c r="HTW997" s="124"/>
      <c r="HTX997" s="124"/>
      <c r="HTY997" s="124"/>
      <c r="HTZ997" s="124"/>
      <c r="HUA997" s="124"/>
      <c r="HUB997" s="124"/>
      <c r="HUC997" s="124"/>
      <c r="HUD997" s="124"/>
      <c r="HUE997" s="124"/>
      <c r="HUF997" s="124"/>
      <c r="HUG997" s="124"/>
      <c r="HUH997" s="124"/>
      <c r="HUI997" s="124"/>
      <c r="HUJ997" s="124"/>
      <c r="HUK997" s="124"/>
      <c r="HUL997" s="124"/>
      <c r="HUM997" s="124"/>
      <c r="HUN997" s="124"/>
      <c r="HUO997" s="124"/>
      <c r="HUP997" s="124"/>
      <c r="HUQ997" s="124"/>
      <c r="HUR997" s="124"/>
      <c r="HUS997" s="124"/>
      <c r="HUT997" s="124"/>
      <c r="HUU997" s="124"/>
      <c r="HUV997" s="124"/>
      <c r="HUW997" s="124"/>
      <c r="HUX997" s="124"/>
      <c r="HUY997" s="124"/>
      <c r="HUZ997" s="124"/>
      <c r="HVA997" s="124"/>
      <c r="HVB997" s="124"/>
      <c r="HVC997" s="124"/>
      <c r="HVD997" s="124"/>
      <c r="HVE997" s="124"/>
      <c r="HVF997" s="124"/>
      <c r="HVG997" s="124"/>
      <c r="HVH997" s="124"/>
      <c r="HVI997" s="124"/>
      <c r="HVJ997" s="124"/>
      <c r="HVK997" s="124"/>
      <c r="HVL997" s="124"/>
      <c r="HVM997" s="124"/>
      <c r="HVN997" s="124"/>
      <c r="HVO997" s="124"/>
      <c r="HVP997" s="124"/>
      <c r="HVQ997" s="124"/>
      <c r="HVR997" s="124"/>
      <c r="HVS997" s="124"/>
      <c r="HVT997" s="124"/>
      <c r="HVU997" s="124"/>
      <c r="HVV997" s="124"/>
      <c r="HVW997" s="124"/>
      <c r="HVX997" s="124"/>
      <c r="HVY997" s="124"/>
      <c r="HVZ997" s="124"/>
      <c r="HWA997" s="124"/>
      <c r="HWB997" s="124"/>
      <c r="HWC997" s="124"/>
      <c r="HWD997" s="124"/>
      <c r="HWE997" s="124"/>
      <c r="HWF997" s="124"/>
      <c r="HWG997" s="124"/>
      <c r="HWH997" s="124"/>
      <c r="HWI997" s="124"/>
      <c r="HWJ997" s="124"/>
      <c r="HWK997" s="124"/>
      <c r="HWL997" s="124"/>
      <c r="HWM997" s="124"/>
      <c r="HWN997" s="124"/>
      <c r="HWO997" s="124"/>
      <c r="HWP997" s="124"/>
      <c r="HWQ997" s="124"/>
      <c r="HWR997" s="124"/>
      <c r="HWS997" s="124"/>
      <c r="HWT997" s="124"/>
      <c r="HWU997" s="124"/>
      <c r="HWV997" s="124"/>
      <c r="HWW997" s="124"/>
      <c r="HWX997" s="124"/>
      <c r="HWY997" s="124"/>
      <c r="HWZ997" s="124"/>
      <c r="HXA997" s="124"/>
      <c r="HXB997" s="124"/>
      <c r="HXC997" s="124"/>
      <c r="HXD997" s="124"/>
      <c r="HXE997" s="124"/>
      <c r="HXF997" s="124"/>
      <c r="HXG997" s="124"/>
      <c r="HXH997" s="124"/>
      <c r="HXI997" s="124"/>
      <c r="HXJ997" s="124"/>
      <c r="HXK997" s="124"/>
      <c r="HXL997" s="124"/>
      <c r="HXM997" s="124"/>
      <c r="HXN997" s="124"/>
      <c r="HXO997" s="124"/>
      <c r="HXP997" s="124"/>
      <c r="HXQ997" s="124"/>
      <c r="HXR997" s="124"/>
      <c r="HXS997" s="124"/>
      <c r="HXT997" s="124"/>
      <c r="HXU997" s="124"/>
      <c r="HXV997" s="124"/>
      <c r="HXW997" s="124"/>
      <c r="HXX997" s="124"/>
      <c r="HXY997" s="124"/>
      <c r="HXZ997" s="124"/>
      <c r="HYA997" s="124"/>
      <c r="HYB997" s="124"/>
      <c r="HYC997" s="124"/>
      <c r="HYD997" s="124"/>
      <c r="HYE997" s="124"/>
      <c r="HYF997" s="124"/>
      <c r="HYG997" s="124"/>
      <c r="HYH997" s="124"/>
      <c r="HYI997" s="124"/>
      <c r="HYJ997" s="124"/>
      <c r="HYK997" s="124"/>
      <c r="HYL997" s="124"/>
      <c r="HYM997" s="124"/>
      <c r="HYN997" s="124"/>
      <c r="HYO997" s="124"/>
      <c r="HYP997" s="124"/>
      <c r="HYQ997" s="124"/>
      <c r="HYR997" s="124"/>
      <c r="HYS997" s="124"/>
      <c r="HYT997" s="124"/>
      <c r="HYU997" s="124"/>
      <c r="HYV997" s="124"/>
      <c r="HYW997" s="124"/>
      <c r="HYX997" s="124"/>
      <c r="HYY997" s="124"/>
      <c r="HYZ997" s="124"/>
      <c r="HZA997" s="124"/>
      <c r="HZB997" s="124"/>
      <c r="HZC997" s="124"/>
      <c r="HZD997" s="124"/>
      <c r="HZE997" s="124"/>
      <c r="HZF997" s="124"/>
      <c r="HZG997" s="124"/>
      <c r="HZH997" s="124"/>
      <c r="HZI997" s="124"/>
      <c r="HZJ997" s="124"/>
      <c r="HZK997" s="124"/>
      <c r="HZL997" s="124"/>
      <c r="HZM997" s="124"/>
      <c r="HZN997" s="124"/>
      <c r="HZO997" s="124"/>
      <c r="HZP997" s="124"/>
      <c r="HZQ997" s="124"/>
      <c r="HZR997" s="124"/>
      <c r="HZS997" s="124"/>
      <c r="HZT997" s="124"/>
      <c r="HZU997" s="124"/>
      <c r="HZV997" s="124"/>
      <c r="HZW997" s="124"/>
      <c r="HZX997" s="124"/>
      <c r="HZY997" s="124"/>
      <c r="HZZ997" s="124"/>
      <c r="IAA997" s="124"/>
      <c r="IAB997" s="124"/>
      <c r="IAC997" s="124"/>
      <c r="IAD997" s="124"/>
      <c r="IAE997" s="124"/>
      <c r="IAF997" s="124"/>
      <c r="IAG997" s="124"/>
      <c r="IAH997" s="124"/>
      <c r="IAI997" s="124"/>
      <c r="IAJ997" s="124"/>
      <c r="IAK997" s="124"/>
      <c r="IAL997" s="124"/>
      <c r="IAM997" s="124"/>
      <c r="IAN997" s="124"/>
      <c r="IAO997" s="124"/>
      <c r="IAP997" s="124"/>
      <c r="IAQ997" s="124"/>
      <c r="IAR997" s="124"/>
      <c r="IAS997" s="124"/>
      <c r="IAT997" s="124"/>
      <c r="IAU997" s="124"/>
      <c r="IAV997" s="124"/>
      <c r="IAW997" s="124"/>
      <c r="IAX997" s="124"/>
      <c r="IAY997" s="124"/>
      <c r="IAZ997" s="124"/>
      <c r="IBA997" s="124"/>
      <c r="IBB997" s="124"/>
      <c r="IBC997" s="124"/>
      <c r="IBD997" s="124"/>
      <c r="IBE997" s="124"/>
      <c r="IBF997" s="124"/>
      <c r="IBG997" s="124"/>
      <c r="IBH997" s="124"/>
      <c r="IBI997" s="124"/>
      <c r="IBJ997" s="124"/>
      <c r="IBK997" s="124"/>
      <c r="IBL997" s="124"/>
      <c r="IBM997" s="124"/>
      <c r="IBN997" s="124"/>
      <c r="IBO997" s="124"/>
      <c r="IBP997" s="124"/>
      <c r="IBQ997" s="124"/>
      <c r="IBR997" s="124"/>
      <c r="IBS997" s="124"/>
      <c r="IBT997" s="124"/>
      <c r="IBU997" s="124"/>
      <c r="IBV997" s="124"/>
      <c r="IBW997" s="124"/>
      <c r="IBX997" s="124"/>
      <c r="IBY997" s="124"/>
      <c r="IBZ997" s="124"/>
      <c r="ICA997" s="124"/>
      <c r="ICB997" s="124"/>
      <c r="ICC997" s="124"/>
      <c r="ICD997" s="124"/>
      <c r="ICE997" s="124"/>
      <c r="ICF997" s="124"/>
      <c r="ICG997" s="124"/>
      <c r="ICH997" s="124"/>
      <c r="ICI997" s="124"/>
      <c r="ICJ997" s="124"/>
      <c r="ICK997" s="124"/>
      <c r="ICL997" s="124"/>
      <c r="ICM997" s="124"/>
      <c r="ICN997" s="124"/>
      <c r="ICO997" s="124"/>
      <c r="ICP997" s="124"/>
      <c r="ICQ997" s="124"/>
      <c r="ICR997" s="124"/>
      <c r="ICS997" s="124"/>
      <c r="ICT997" s="124"/>
      <c r="ICU997" s="124"/>
      <c r="ICV997" s="124"/>
      <c r="ICW997" s="124"/>
      <c r="ICX997" s="124"/>
      <c r="ICY997" s="124"/>
      <c r="ICZ997" s="124"/>
      <c r="IDA997" s="124"/>
      <c r="IDB997" s="124"/>
      <c r="IDC997" s="124"/>
      <c r="IDD997" s="124"/>
      <c r="IDE997" s="124"/>
      <c r="IDF997" s="124"/>
      <c r="IDG997" s="124"/>
      <c r="IDH997" s="124"/>
      <c r="IDI997" s="124"/>
      <c r="IDJ997" s="124"/>
      <c r="IDK997" s="124"/>
      <c r="IDL997" s="124"/>
      <c r="IDM997" s="124"/>
      <c r="IDN997" s="124"/>
      <c r="IDO997" s="124"/>
      <c r="IDP997" s="124"/>
      <c r="IDQ997" s="124"/>
      <c r="IDR997" s="124"/>
      <c r="IDS997" s="124"/>
      <c r="IDT997" s="124"/>
      <c r="IDU997" s="124"/>
      <c r="IDV997" s="124"/>
      <c r="IDW997" s="124"/>
      <c r="IDX997" s="124"/>
      <c r="IDY997" s="124"/>
      <c r="IDZ997" s="124"/>
      <c r="IEA997" s="124"/>
      <c r="IEB997" s="124"/>
      <c r="IEC997" s="124"/>
      <c r="IED997" s="124"/>
      <c r="IEE997" s="124"/>
      <c r="IEF997" s="124"/>
      <c r="IEG997" s="124"/>
      <c r="IEH997" s="124"/>
      <c r="IEI997" s="124"/>
      <c r="IEJ997" s="124"/>
      <c r="IEK997" s="124"/>
      <c r="IEL997" s="124"/>
      <c r="IEM997" s="124"/>
      <c r="IEN997" s="124"/>
      <c r="IEO997" s="124"/>
      <c r="IEP997" s="124"/>
      <c r="IEQ997" s="124"/>
      <c r="IER997" s="124"/>
      <c r="IES997" s="124"/>
      <c r="IET997" s="124"/>
      <c r="IEU997" s="124"/>
      <c r="IEV997" s="124"/>
      <c r="IEW997" s="124"/>
      <c r="IEX997" s="124"/>
      <c r="IEY997" s="124"/>
      <c r="IEZ997" s="124"/>
      <c r="IFA997" s="124"/>
      <c r="IFB997" s="124"/>
      <c r="IFC997" s="124"/>
      <c r="IFD997" s="124"/>
      <c r="IFE997" s="124"/>
      <c r="IFF997" s="124"/>
      <c r="IFG997" s="124"/>
      <c r="IFH997" s="124"/>
      <c r="IFI997" s="124"/>
      <c r="IFJ997" s="124"/>
      <c r="IFK997" s="124"/>
      <c r="IFL997" s="124"/>
      <c r="IFM997" s="124"/>
      <c r="IFN997" s="124"/>
      <c r="IFO997" s="124"/>
      <c r="IFP997" s="124"/>
      <c r="IFQ997" s="124"/>
      <c r="IFR997" s="124"/>
      <c r="IFS997" s="124"/>
      <c r="IFT997" s="124"/>
      <c r="IFU997" s="124"/>
      <c r="IFV997" s="124"/>
      <c r="IFW997" s="124"/>
      <c r="IFX997" s="124"/>
      <c r="IFY997" s="124"/>
      <c r="IFZ997" s="124"/>
      <c r="IGA997" s="124"/>
      <c r="IGB997" s="124"/>
      <c r="IGC997" s="124"/>
      <c r="IGD997" s="124"/>
      <c r="IGE997" s="124"/>
      <c r="IGF997" s="124"/>
      <c r="IGG997" s="124"/>
      <c r="IGH997" s="124"/>
      <c r="IGI997" s="124"/>
      <c r="IGJ997" s="124"/>
      <c r="IGK997" s="124"/>
      <c r="IGL997" s="124"/>
      <c r="IGM997" s="124"/>
      <c r="IGN997" s="124"/>
      <c r="IGO997" s="124"/>
      <c r="IGP997" s="124"/>
      <c r="IGQ997" s="124"/>
      <c r="IGR997" s="124"/>
      <c r="IGS997" s="124"/>
      <c r="IGT997" s="124"/>
      <c r="IGU997" s="124"/>
      <c r="IGV997" s="124"/>
      <c r="IGW997" s="124"/>
      <c r="IGX997" s="124"/>
      <c r="IGY997" s="124"/>
      <c r="IGZ997" s="124"/>
      <c r="IHA997" s="124"/>
      <c r="IHB997" s="124"/>
      <c r="IHC997" s="124"/>
      <c r="IHD997" s="124"/>
      <c r="IHE997" s="124"/>
      <c r="IHF997" s="124"/>
      <c r="IHG997" s="124"/>
      <c r="IHH997" s="124"/>
      <c r="IHI997" s="124"/>
      <c r="IHJ997" s="124"/>
      <c r="IHK997" s="124"/>
      <c r="IHL997" s="124"/>
      <c r="IHM997" s="124"/>
      <c r="IHN997" s="124"/>
      <c r="IHO997" s="124"/>
      <c r="IHP997" s="124"/>
      <c r="IHQ997" s="124"/>
      <c r="IHR997" s="124"/>
      <c r="IHS997" s="124"/>
      <c r="IHT997" s="124"/>
      <c r="IHU997" s="124"/>
      <c r="IHV997" s="124"/>
      <c r="IHW997" s="124"/>
      <c r="IHX997" s="124"/>
      <c r="IHY997" s="124"/>
      <c r="IHZ997" s="124"/>
      <c r="IIA997" s="124"/>
      <c r="IIB997" s="124"/>
      <c r="IIC997" s="124"/>
      <c r="IID997" s="124"/>
      <c r="IIE997" s="124"/>
      <c r="IIF997" s="124"/>
      <c r="IIG997" s="124"/>
      <c r="IIH997" s="124"/>
      <c r="III997" s="124"/>
      <c r="IIJ997" s="124"/>
      <c r="IIK997" s="124"/>
      <c r="IIL997" s="124"/>
      <c r="IIM997" s="124"/>
      <c r="IIN997" s="124"/>
      <c r="IIO997" s="124"/>
      <c r="IIP997" s="124"/>
      <c r="IIQ997" s="124"/>
      <c r="IIR997" s="124"/>
      <c r="IIS997" s="124"/>
      <c r="IIT997" s="124"/>
      <c r="IIU997" s="124"/>
      <c r="IIV997" s="124"/>
      <c r="IIW997" s="124"/>
      <c r="IIX997" s="124"/>
      <c r="IIY997" s="124"/>
      <c r="IIZ997" s="124"/>
      <c r="IJA997" s="124"/>
      <c r="IJB997" s="124"/>
      <c r="IJC997" s="124"/>
      <c r="IJD997" s="124"/>
      <c r="IJE997" s="124"/>
      <c r="IJF997" s="124"/>
      <c r="IJG997" s="124"/>
      <c r="IJH997" s="124"/>
      <c r="IJI997" s="124"/>
      <c r="IJJ997" s="124"/>
      <c r="IJK997" s="124"/>
      <c r="IJL997" s="124"/>
      <c r="IJM997" s="124"/>
      <c r="IJN997" s="124"/>
      <c r="IJO997" s="124"/>
      <c r="IJP997" s="124"/>
      <c r="IJQ997" s="124"/>
      <c r="IJR997" s="124"/>
      <c r="IJS997" s="124"/>
      <c r="IJT997" s="124"/>
      <c r="IJU997" s="124"/>
      <c r="IJV997" s="124"/>
      <c r="IJW997" s="124"/>
      <c r="IJX997" s="124"/>
      <c r="IJY997" s="124"/>
      <c r="IJZ997" s="124"/>
      <c r="IKA997" s="124"/>
      <c r="IKB997" s="124"/>
      <c r="IKC997" s="124"/>
      <c r="IKD997" s="124"/>
      <c r="IKE997" s="124"/>
      <c r="IKF997" s="124"/>
      <c r="IKG997" s="124"/>
      <c r="IKH997" s="124"/>
      <c r="IKI997" s="124"/>
      <c r="IKJ997" s="124"/>
      <c r="IKK997" s="124"/>
      <c r="IKL997" s="124"/>
      <c r="IKM997" s="124"/>
      <c r="IKN997" s="124"/>
      <c r="IKO997" s="124"/>
      <c r="IKP997" s="124"/>
      <c r="IKQ997" s="124"/>
      <c r="IKR997" s="124"/>
      <c r="IKS997" s="124"/>
      <c r="IKT997" s="124"/>
      <c r="IKU997" s="124"/>
      <c r="IKV997" s="124"/>
      <c r="IKW997" s="124"/>
      <c r="IKX997" s="124"/>
      <c r="IKY997" s="124"/>
      <c r="IKZ997" s="124"/>
      <c r="ILA997" s="124"/>
      <c r="ILB997" s="124"/>
      <c r="ILC997" s="124"/>
      <c r="ILD997" s="124"/>
      <c r="ILE997" s="124"/>
      <c r="ILF997" s="124"/>
      <c r="ILG997" s="124"/>
      <c r="ILH997" s="124"/>
      <c r="ILI997" s="124"/>
      <c r="ILJ997" s="124"/>
      <c r="ILK997" s="124"/>
      <c r="ILL997" s="124"/>
      <c r="ILM997" s="124"/>
      <c r="ILN997" s="124"/>
      <c r="ILO997" s="124"/>
      <c r="ILP997" s="124"/>
      <c r="ILQ997" s="124"/>
      <c r="ILR997" s="124"/>
      <c r="ILS997" s="124"/>
      <c r="ILT997" s="124"/>
      <c r="ILU997" s="124"/>
      <c r="ILV997" s="124"/>
      <c r="ILW997" s="124"/>
      <c r="ILX997" s="124"/>
      <c r="ILY997" s="124"/>
      <c r="ILZ997" s="124"/>
      <c r="IMA997" s="124"/>
      <c r="IMB997" s="124"/>
      <c r="IMC997" s="124"/>
      <c r="IMD997" s="124"/>
      <c r="IME997" s="124"/>
      <c r="IMF997" s="124"/>
      <c r="IMG997" s="124"/>
      <c r="IMH997" s="124"/>
      <c r="IMI997" s="124"/>
      <c r="IMJ997" s="124"/>
      <c r="IMK997" s="124"/>
      <c r="IML997" s="124"/>
      <c r="IMM997" s="124"/>
      <c r="IMN997" s="124"/>
      <c r="IMO997" s="124"/>
      <c r="IMP997" s="124"/>
      <c r="IMQ997" s="124"/>
      <c r="IMR997" s="124"/>
      <c r="IMS997" s="124"/>
      <c r="IMT997" s="124"/>
      <c r="IMU997" s="124"/>
      <c r="IMV997" s="124"/>
      <c r="IMW997" s="124"/>
      <c r="IMX997" s="124"/>
      <c r="IMY997" s="124"/>
      <c r="IMZ997" s="124"/>
      <c r="INA997" s="124"/>
      <c r="INB997" s="124"/>
      <c r="INC997" s="124"/>
      <c r="IND997" s="124"/>
      <c r="INE997" s="124"/>
      <c r="INF997" s="124"/>
      <c r="ING997" s="124"/>
      <c r="INH997" s="124"/>
      <c r="INI997" s="124"/>
      <c r="INJ997" s="124"/>
      <c r="INK997" s="124"/>
      <c r="INL997" s="124"/>
      <c r="INM997" s="124"/>
      <c r="INN997" s="124"/>
      <c r="INO997" s="124"/>
      <c r="INP997" s="124"/>
      <c r="INQ997" s="124"/>
      <c r="INR997" s="124"/>
      <c r="INS997" s="124"/>
      <c r="INT997" s="124"/>
      <c r="INU997" s="124"/>
      <c r="INV997" s="124"/>
      <c r="INW997" s="124"/>
      <c r="INX997" s="124"/>
      <c r="INY997" s="124"/>
      <c r="INZ997" s="124"/>
      <c r="IOA997" s="124"/>
      <c r="IOB997" s="124"/>
      <c r="IOC997" s="124"/>
      <c r="IOD997" s="124"/>
      <c r="IOE997" s="124"/>
      <c r="IOF997" s="124"/>
      <c r="IOG997" s="124"/>
      <c r="IOH997" s="124"/>
      <c r="IOI997" s="124"/>
      <c r="IOJ997" s="124"/>
      <c r="IOK997" s="124"/>
      <c r="IOL997" s="124"/>
      <c r="IOM997" s="124"/>
      <c r="ION997" s="124"/>
      <c r="IOO997" s="124"/>
      <c r="IOP997" s="124"/>
      <c r="IOQ997" s="124"/>
      <c r="IOR997" s="124"/>
      <c r="IOS997" s="124"/>
      <c r="IOT997" s="124"/>
      <c r="IOU997" s="124"/>
      <c r="IOV997" s="124"/>
      <c r="IOW997" s="124"/>
      <c r="IOX997" s="124"/>
      <c r="IOY997" s="124"/>
      <c r="IOZ997" s="124"/>
      <c r="IPA997" s="124"/>
      <c r="IPB997" s="124"/>
      <c r="IPC997" s="124"/>
      <c r="IPD997" s="124"/>
      <c r="IPE997" s="124"/>
      <c r="IPF997" s="124"/>
      <c r="IPG997" s="124"/>
      <c r="IPH997" s="124"/>
      <c r="IPI997" s="124"/>
      <c r="IPJ997" s="124"/>
      <c r="IPK997" s="124"/>
      <c r="IPL997" s="124"/>
      <c r="IPM997" s="124"/>
      <c r="IPN997" s="124"/>
      <c r="IPO997" s="124"/>
      <c r="IPP997" s="124"/>
      <c r="IPQ997" s="124"/>
      <c r="IPR997" s="124"/>
      <c r="IPS997" s="124"/>
      <c r="IPT997" s="124"/>
      <c r="IPU997" s="124"/>
      <c r="IPV997" s="124"/>
      <c r="IPW997" s="124"/>
      <c r="IPX997" s="124"/>
      <c r="IPY997" s="124"/>
      <c r="IPZ997" s="124"/>
      <c r="IQA997" s="124"/>
      <c r="IQB997" s="124"/>
      <c r="IQC997" s="124"/>
      <c r="IQD997" s="124"/>
      <c r="IQE997" s="124"/>
      <c r="IQF997" s="124"/>
      <c r="IQG997" s="124"/>
      <c r="IQH997" s="124"/>
      <c r="IQI997" s="124"/>
      <c r="IQJ997" s="124"/>
      <c r="IQK997" s="124"/>
      <c r="IQL997" s="124"/>
      <c r="IQM997" s="124"/>
      <c r="IQN997" s="124"/>
      <c r="IQO997" s="124"/>
      <c r="IQP997" s="124"/>
      <c r="IQQ997" s="124"/>
      <c r="IQR997" s="124"/>
      <c r="IQS997" s="124"/>
      <c r="IQT997" s="124"/>
      <c r="IQU997" s="124"/>
      <c r="IQV997" s="124"/>
      <c r="IQW997" s="124"/>
      <c r="IQX997" s="124"/>
      <c r="IQY997" s="124"/>
      <c r="IQZ997" s="124"/>
      <c r="IRA997" s="124"/>
      <c r="IRB997" s="124"/>
      <c r="IRC997" s="124"/>
      <c r="IRD997" s="124"/>
      <c r="IRE997" s="124"/>
      <c r="IRF997" s="124"/>
      <c r="IRG997" s="124"/>
      <c r="IRH997" s="124"/>
      <c r="IRI997" s="124"/>
      <c r="IRJ997" s="124"/>
      <c r="IRK997" s="124"/>
      <c r="IRL997" s="124"/>
      <c r="IRM997" s="124"/>
      <c r="IRN997" s="124"/>
      <c r="IRO997" s="124"/>
      <c r="IRP997" s="124"/>
      <c r="IRQ997" s="124"/>
      <c r="IRR997" s="124"/>
      <c r="IRS997" s="124"/>
      <c r="IRT997" s="124"/>
      <c r="IRU997" s="124"/>
      <c r="IRV997" s="124"/>
      <c r="IRW997" s="124"/>
      <c r="IRX997" s="124"/>
      <c r="IRY997" s="124"/>
      <c r="IRZ997" s="124"/>
      <c r="ISA997" s="124"/>
      <c r="ISB997" s="124"/>
      <c r="ISC997" s="124"/>
      <c r="ISD997" s="124"/>
      <c r="ISE997" s="124"/>
      <c r="ISF997" s="124"/>
      <c r="ISG997" s="124"/>
      <c r="ISH997" s="124"/>
      <c r="ISI997" s="124"/>
      <c r="ISJ997" s="124"/>
      <c r="ISK997" s="124"/>
      <c r="ISL997" s="124"/>
      <c r="ISM997" s="124"/>
      <c r="ISN997" s="124"/>
      <c r="ISO997" s="124"/>
      <c r="ISP997" s="124"/>
      <c r="ISQ997" s="124"/>
      <c r="ISR997" s="124"/>
      <c r="ISS997" s="124"/>
      <c r="IST997" s="124"/>
      <c r="ISU997" s="124"/>
      <c r="ISV997" s="124"/>
      <c r="ISW997" s="124"/>
      <c r="ISX997" s="124"/>
      <c r="ISY997" s="124"/>
      <c r="ISZ997" s="124"/>
      <c r="ITA997" s="124"/>
      <c r="ITB997" s="124"/>
      <c r="ITC997" s="124"/>
      <c r="ITD997" s="124"/>
      <c r="ITE997" s="124"/>
      <c r="ITF997" s="124"/>
      <c r="ITG997" s="124"/>
      <c r="ITH997" s="124"/>
      <c r="ITI997" s="124"/>
      <c r="ITJ997" s="124"/>
      <c r="ITK997" s="124"/>
      <c r="ITL997" s="124"/>
      <c r="ITM997" s="124"/>
      <c r="ITN997" s="124"/>
      <c r="ITO997" s="124"/>
      <c r="ITP997" s="124"/>
      <c r="ITQ997" s="124"/>
      <c r="ITR997" s="124"/>
      <c r="ITS997" s="124"/>
      <c r="ITT997" s="124"/>
      <c r="ITU997" s="124"/>
      <c r="ITV997" s="124"/>
      <c r="ITW997" s="124"/>
      <c r="ITX997" s="124"/>
      <c r="ITY997" s="124"/>
      <c r="ITZ997" s="124"/>
      <c r="IUA997" s="124"/>
      <c r="IUB997" s="124"/>
      <c r="IUC997" s="124"/>
      <c r="IUD997" s="124"/>
      <c r="IUE997" s="124"/>
      <c r="IUF997" s="124"/>
      <c r="IUG997" s="124"/>
      <c r="IUH997" s="124"/>
      <c r="IUI997" s="124"/>
      <c r="IUJ997" s="124"/>
      <c r="IUK997" s="124"/>
      <c r="IUL997" s="124"/>
      <c r="IUM997" s="124"/>
      <c r="IUN997" s="124"/>
      <c r="IUO997" s="124"/>
      <c r="IUP997" s="124"/>
      <c r="IUQ997" s="124"/>
      <c r="IUR997" s="124"/>
      <c r="IUS997" s="124"/>
      <c r="IUT997" s="124"/>
      <c r="IUU997" s="124"/>
      <c r="IUV997" s="124"/>
      <c r="IUW997" s="124"/>
      <c r="IUX997" s="124"/>
      <c r="IUY997" s="124"/>
      <c r="IUZ997" s="124"/>
      <c r="IVA997" s="124"/>
      <c r="IVB997" s="124"/>
      <c r="IVC997" s="124"/>
      <c r="IVD997" s="124"/>
      <c r="IVE997" s="124"/>
      <c r="IVF997" s="124"/>
      <c r="IVG997" s="124"/>
      <c r="IVH997" s="124"/>
      <c r="IVI997" s="124"/>
      <c r="IVJ997" s="124"/>
      <c r="IVK997" s="124"/>
      <c r="IVL997" s="124"/>
      <c r="IVM997" s="124"/>
      <c r="IVN997" s="124"/>
      <c r="IVO997" s="124"/>
      <c r="IVP997" s="124"/>
      <c r="IVQ997" s="124"/>
      <c r="IVR997" s="124"/>
      <c r="IVS997" s="124"/>
      <c r="IVT997" s="124"/>
      <c r="IVU997" s="124"/>
      <c r="IVV997" s="124"/>
      <c r="IVW997" s="124"/>
      <c r="IVX997" s="124"/>
      <c r="IVY997" s="124"/>
      <c r="IVZ997" s="124"/>
      <c r="IWA997" s="124"/>
      <c r="IWB997" s="124"/>
      <c r="IWC997" s="124"/>
      <c r="IWD997" s="124"/>
      <c r="IWE997" s="124"/>
      <c r="IWF997" s="124"/>
      <c r="IWG997" s="124"/>
      <c r="IWH997" s="124"/>
      <c r="IWI997" s="124"/>
      <c r="IWJ997" s="124"/>
      <c r="IWK997" s="124"/>
      <c r="IWL997" s="124"/>
      <c r="IWM997" s="124"/>
      <c r="IWN997" s="124"/>
      <c r="IWO997" s="124"/>
      <c r="IWP997" s="124"/>
      <c r="IWQ997" s="124"/>
      <c r="IWR997" s="124"/>
      <c r="IWS997" s="124"/>
      <c r="IWT997" s="124"/>
      <c r="IWU997" s="124"/>
      <c r="IWV997" s="124"/>
      <c r="IWW997" s="124"/>
      <c r="IWX997" s="124"/>
      <c r="IWY997" s="124"/>
      <c r="IWZ997" s="124"/>
      <c r="IXA997" s="124"/>
      <c r="IXB997" s="124"/>
      <c r="IXC997" s="124"/>
      <c r="IXD997" s="124"/>
      <c r="IXE997" s="124"/>
      <c r="IXF997" s="124"/>
      <c r="IXG997" s="124"/>
      <c r="IXH997" s="124"/>
      <c r="IXI997" s="124"/>
      <c r="IXJ997" s="124"/>
      <c r="IXK997" s="124"/>
      <c r="IXL997" s="124"/>
      <c r="IXM997" s="124"/>
      <c r="IXN997" s="124"/>
      <c r="IXO997" s="124"/>
      <c r="IXP997" s="124"/>
      <c r="IXQ997" s="124"/>
      <c r="IXR997" s="124"/>
      <c r="IXS997" s="124"/>
      <c r="IXT997" s="124"/>
      <c r="IXU997" s="124"/>
      <c r="IXV997" s="124"/>
      <c r="IXW997" s="124"/>
      <c r="IXX997" s="124"/>
      <c r="IXY997" s="124"/>
      <c r="IXZ997" s="124"/>
      <c r="IYA997" s="124"/>
      <c r="IYB997" s="124"/>
      <c r="IYC997" s="124"/>
      <c r="IYD997" s="124"/>
      <c r="IYE997" s="124"/>
      <c r="IYF997" s="124"/>
      <c r="IYG997" s="124"/>
      <c r="IYH997" s="124"/>
      <c r="IYI997" s="124"/>
      <c r="IYJ997" s="124"/>
      <c r="IYK997" s="124"/>
      <c r="IYL997" s="124"/>
      <c r="IYM997" s="124"/>
      <c r="IYN997" s="124"/>
      <c r="IYO997" s="124"/>
      <c r="IYP997" s="124"/>
      <c r="IYQ997" s="124"/>
      <c r="IYR997" s="124"/>
      <c r="IYS997" s="124"/>
      <c r="IYT997" s="124"/>
      <c r="IYU997" s="124"/>
      <c r="IYV997" s="124"/>
      <c r="IYW997" s="124"/>
      <c r="IYX997" s="124"/>
      <c r="IYY997" s="124"/>
      <c r="IYZ997" s="124"/>
      <c r="IZA997" s="124"/>
      <c r="IZB997" s="124"/>
      <c r="IZC997" s="124"/>
      <c r="IZD997" s="124"/>
      <c r="IZE997" s="124"/>
      <c r="IZF997" s="124"/>
      <c r="IZG997" s="124"/>
      <c r="IZH997" s="124"/>
      <c r="IZI997" s="124"/>
      <c r="IZJ997" s="124"/>
      <c r="IZK997" s="124"/>
      <c r="IZL997" s="124"/>
      <c r="IZM997" s="124"/>
      <c r="IZN997" s="124"/>
      <c r="IZO997" s="124"/>
      <c r="IZP997" s="124"/>
      <c r="IZQ997" s="124"/>
      <c r="IZR997" s="124"/>
      <c r="IZS997" s="124"/>
      <c r="IZT997" s="124"/>
      <c r="IZU997" s="124"/>
      <c r="IZV997" s="124"/>
      <c r="IZW997" s="124"/>
      <c r="IZX997" s="124"/>
      <c r="IZY997" s="124"/>
      <c r="IZZ997" s="124"/>
      <c r="JAA997" s="124"/>
      <c r="JAB997" s="124"/>
      <c r="JAC997" s="124"/>
      <c r="JAD997" s="124"/>
      <c r="JAE997" s="124"/>
      <c r="JAF997" s="124"/>
      <c r="JAG997" s="124"/>
      <c r="JAH997" s="124"/>
      <c r="JAI997" s="124"/>
      <c r="JAJ997" s="124"/>
      <c r="JAK997" s="124"/>
      <c r="JAL997" s="124"/>
      <c r="JAM997" s="124"/>
      <c r="JAN997" s="124"/>
      <c r="JAO997" s="124"/>
      <c r="JAP997" s="124"/>
      <c r="JAQ997" s="124"/>
      <c r="JAR997" s="124"/>
      <c r="JAS997" s="124"/>
      <c r="JAT997" s="124"/>
      <c r="JAU997" s="124"/>
      <c r="JAV997" s="124"/>
      <c r="JAW997" s="124"/>
      <c r="JAX997" s="124"/>
      <c r="JAY997" s="124"/>
      <c r="JAZ997" s="124"/>
      <c r="JBA997" s="124"/>
      <c r="JBB997" s="124"/>
      <c r="JBC997" s="124"/>
      <c r="JBD997" s="124"/>
      <c r="JBE997" s="124"/>
      <c r="JBF997" s="124"/>
      <c r="JBG997" s="124"/>
      <c r="JBH997" s="124"/>
      <c r="JBI997" s="124"/>
      <c r="JBJ997" s="124"/>
      <c r="JBK997" s="124"/>
      <c r="JBL997" s="124"/>
      <c r="JBM997" s="124"/>
      <c r="JBN997" s="124"/>
      <c r="JBO997" s="124"/>
      <c r="JBP997" s="124"/>
      <c r="JBQ997" s="124"/>
      <c r="JBR997" s="124"/>
      <c r="JBS997" s="124"/>
      <c r="JBT997" s="124"/>
      <c r="JBU997" s="124"/>
      <c r="JBV997" s="124"/>
      <c r="JBW997" s="124"/>
      <c r="JBX997" s="124"/>
      <c r="JBY997" s="124"/>
      <c r="JBZ997" s="124"/>
      <c r="JCA997" s="124"/>
      <c r="JCB997" s="124"/>
      <c r="JCC997" s="124"/>
      <c r="JCD997" s="124"/>
      <c r="JCE997" s="124"/>
      <c r="JCF997" s="124"/>
      <c r="JCG997" s="124"/>
      <c r="JCH997" s="124"/>
      <c r="JCI997" s="124"/>
      <c r="JCJ997" s="124"/>
      <c r="JCK997" s="124"/>
      <c r="JCL997" s="124"/>
      <c r="JCM997" s="124"/>
      <c r="JCN997" s="124"/>
      <c r="JCO997" s="124"/>
      <c r="JCP997" s="124"/>
      <c r="JCQ997" s="124"/>
      <c r="JCR997" s="124"/>
      <c r="JCS997" s="124"/>
      <c r="JCT997" s="124"/>
      <c r="JCU997" s="124"/>
      <c r="JCV997" s="124"/>
      <c r="JCW997" s="124"/>
      <c r="JCX997" s="124"/>
      <c r="JCY997" s="124"/>
      <c r="JCZ997" s="124"/>
      <c r="JDA997" s="124"/>
      <c r="JDB997" s="124"/>
      <c r="JDC997" s="124"/>
      <c r="JDD997" s="124"/>
      <c r="JDE997" s="124"/>
      <c r="JDF997" s="124"/>
      <c r="JDG997" s="124"/>
      <c r="JDH997" s="124"/>
      <c r="JDI997" s="124"/>
      <c r="JDJ997" s="124"/>
      <c r="JDK997" s="124"/>
      <c r="JDL997" s="124"/>
      <c r="JDM997" s="124"/>
      <c r="JDN997" s="124"/>
      <c r="JDO997" s="124"/>
      <c r="JDP997" s="124"/>
      <c r="JDQ997" s="124"/>
      <c r="JDR997" s="124"/>
      <c r="JDS997" s="124"/>
      <c r="JDT997" s="124"/>
      <c r="JDU997" s="124"/>
      <c r="JDV997" s="124"/>
      <c r="JDW997" s="124"/>
      <c r="JDX997" s="124"/>
      <c r="JDY997" s="124"/>
      <c r="JDZ997" s="124"/>
      <c r="JEA997" s="124"/>
      <c r="JEB997" s="124"/>
      <c r="JEC997" s="124"/>
      <c r="JED997" s="124"/>
      <c r="JEE997" s="124"/>
      <c r="JEF997" s="124"/>
      <c r="JEG997" s="124"/>
      <c r="JEH997" s="124"/>
      <c r="JEI997" s="124"/>
      <c r="JEJ997" s="124"/>
      <c r="JEK997" s="124"/>
      <c r="JEL997" s="124"/>
      <c r="JEM997" s="124"/>
      <c r="JEN997" s="124"/>
      <c r="JEO997" s="124"/>
      <c r="JEP997" s="124"/>
      <c r="JEQ997" s="124"/>
      <c r="JER997" s="124"/>
      <c r="JES997" s="124"/>
      <c r="JET997" s="124"/>
      <c r="JEU997" s="124"/>
      <c r="JEV997" s="124"/>
      <c r="JEW997" s="124"/>
      <c r="JEX997" s="124"/>
      <c r="JEY997" s="124"/>
      <c r="JEZ997" s="124"/>
      <c r="JFA997" s="124"/>
      <c r="JFB997" s="124"/>
      <c r="JFC997" s="124"/>
      <c r="JFD997" s="124"/>
      <c r="JFE997" s="124"/>
      <c r="JFF997" s="124"/>
      <c r="JFG997" s="124"/>
      <c r="JFH997" s="124"/>
      <c r="JFI997" s="124"/>
      <c r="JFJ997" s="124"/>
      <c r="JFK997" s="124"/>
      <c r="JFL997" s="124"/>
      <c r="JFM997" s="124"/>
      <c r="JFN997" s="124"/>
      <c r="JFO997" s="124"/>
      <c r="JFP997" s="124"/>
      <c r="JFQ997" s="124"/>
      <c r="JFR997" s="124"/>
      <c r="JFS997" s="124"/>
      <c r="JFT997" s="124"/>
      <c r="JFU997" s="124"/>
      <c r="JFV997" s="124"/>
      <c r="JFW997" s="124"/>
      <c r="JFX997" s="124"/>
      <c r="JFY997" s="124"/>
      <c r="JFZ997" s="124"/>
      <c r="JGA997" s="124"/>
      <c r="JGB997" s="124"/>
      <c r="JGC997" s="124"/>
      <c r="JGD997" s="124"/>
      <c r="JGE997" s="124"/>
      <c r="JGF997" s="124"/>
      <c r="JGG997" s="124"/>
      <c r="JGH997" s="124"/>
      <c r="JGI997" s="124"/>
      <c r="JGJ997" s="124"/>
      <c r="JGK997" s="124"/>
      <c r="JGL997" s="124"/>
      <c r="JGM997" s="124"/>
      <c r="JGN997" s="124"/>
      <c r="JGO997" s="124"/>
      <c r="JGP997" s="124"/>
      <c r="JGQ997" s="124"/>
      <c r="JGR997" s="124"/>
      <c r="JGS997" s="124"/>
      <c r="JGT997" s="124"/>
      <c r="JGU997" s="124"/>
      <c r="JGV997" s="124"/>
      <c r="JGW997" s="124"/>
      <c r="JGX997" s="124"/>
      <c r="JGY997" s="124"/>
      <c r="JGZ997" s="124"/>
      <c r="JHA997" s="124"/>
      <c r="JHB997" s="124"/>
      <c r="JHC997" s="124"/>
      <c r="JHD997" s="124"/>
      <c r="JHE997" s="124"/>
      <c r="JHF997" s="124"/>
      <c r="JHG997" s="124"/>
      <c r="JHH997" s="124"/>
      <c r="JHI997" s="124"/>
      <c r="JHJ997" s="124"/>
      <c r="JHK997" s="124"/>
      <c r="JHL997" s="124"/>
      <c r="JHM997" s="124"/>
      <c r="JHN997" s="124"/>
      <c r="JHO997" s="124"/>
      <c r="JHP997" s="124"/>
      <c r="JHQ997" s="124"/>
      <c r="JHR997" s="124"/>
      <c r="JHS997" s="124"/>
      <c r="JHT997" s="124"/>
      <c r="JHU997" s="124"/>
      <c r="JHV997" s="124"/>
      <c r="JHW997" s="124"/>
      <c r="JHX997" s="124"/>
      <c r="JHY997" s="124"/>
      <c r="JHZ997" s="124"/>
      <c r="JIA997" s="124"/>
      <c r="JIB997" s="124"/>
      <c r="JIC997" s="124"/>
      <c r="JID997" s="124"/>
      <c r="JIE997" s="124"/>
      <c r="JIF997" s="124"/>
      <c r="JIG997" s="124"/>
      <c r="JIH997" s="124"/>
      <c r="JII997" s="124"/>
      <c r="JIJ997" s="124"/>
      <c r="JIK997" s="124"/>
      <c r="JIL997" s="124"/>
      <c r="JIM997" s="124"/>
      <c r="JIN997" s="124"/>
      <c r="JIO997" s="124"/>
      <c r="JIP997" s="124"/>
      <c r="JIQ997" s="124"/>
      <c r="JIR997" s="124"/>
      <c r="JIS997" s="124"/>
      <c r="JIT997" s="124"/>
      <c r="JIU997" s="124"/>
      <c r="JIV997" s="124"/>
      <c r="JIW997" s="124"/>
      <c r="JIX997" s="124"/>
      <c r="JIY997" s="124"/>
      <c r="JIZ997" s="124"/>
      <c r="JJA997" s="124"/>
      <c r="JJB997" s="124"/>
      <c r="JJC997" s="124"/>
      <c r="JJD997" s="124"/>
      <c r="JJE997" s="124"/>
      <c r="JJF997" s="124"/>
      <c r="JJG997" s="124"/>
      <c r="JJH997" s="124"/>
      <c r="JJI997" s="124"/>
      <c r="JJJ997" s="124"/>
      <c r="JJK997" s="124"/>
      <c r="JJL997" s="124"/>
      <c r="JJM997" s="124"/>
      <c r="JJN997" s="124"/>
      <c r="JJO997" s="124"/>
      <c r="JJP997" s="124"/>
      <c r="JJQ997" s="124"/>
      <c r="JJR997" s="124"/>
      <c r="JJS997" s="124"/>
      <c r="JJT997" s="124"/>
      <c r="JJU997" s="124"/>
      <c r="JJV997" s="124"/>
      <c r="JJW997" s="124"/>
      <c r="JJX997" s="124"/>
      <c r="JJY997" s="124"/>
      <c r="JJZ997" s="124"/>
      <c r="JKA997" s="124"/>
      <c r="JKB997" s="124"/>
      <c r="JKC997" s="124"/>
      <c r="JKD997" s="124"/>
      <c r="JKE997" s="124"/>
      <c r="JKF997" s="124"/>
      <c r="JKG997" s="124"/>
      <c r="JKH997" s="124"/>
      <c r="JKI997" s="124"/>
      <c r="JKJ997" s="124"/>
      <c r="JKK997" s="124"/>
      <c r="JKL997" s="124"/>
      <c r="JKM997" s="124"/>
      <c r="JKN997" s="124"/>
      <c r="JKO997" s="124"/>
      <c r="JKP997" s="124"/>
      <c r="JKQ997" s="124"/>
      <c r="JKR997" s="124"/>
      <c r="JKS997" s="124"/>
      <c r="JKT997" s="124"/>
      <c r="JKU997" s="124"/>
      <c r="JKV997" s="124"/>
      <c r="JKW997" s="124"/>
      <c r="JKX997" s="124"/>
      <c r="JKY997" s="124"/>
      <c r="JKZ997" s="124"/>
      <c r="JLA997" s="124"/>
      <c r="JLB997" s="124"/>
      <c r="JLC997" s="124"/>
      <c r="JLD997" s="124"/>
      <c r="JLE997" s="124"/>
      <c r="JLF997" s="124"/>
      <c r="JLG997" s="124"/>
      <c r="JLH997" s="124"/>
      <c r="JLI997" s="124"/>
      <c r="JLJ997" s="124"/>
      <c r="JLK997" s="124"/>
      <c r="JLL997" s="124"/>
      <c r="JLM997" s="124"/>
      <c r="JLN997" s="124"/>
      <c r="JLO997" s="124"/>
      <c r="JLP997" s="124"/>
      <c r="JLQ997" s="124"/>
      <c r="JLR997" s="124"/>
      <c r="JLS997" s="124"/>
      <c r="JLT997" s="124"/>
      <c r="JLU997" s="124"/>
      <c r="JLV997" s="124"/>
      <c r="JLW997" s="124"/>
      <c r="JLX997" s="124"/>
      <c r="JLY997" s="124"/>
      <c r="JLZ997" s="124"/>
      <c r="JMA997" s="124"/>
      <c r="JMB997" s="124"/>
      <c r="JMC997" s="124"/>
      <c r="JMD997" s="124"/>
      <c r="JME997" s="124"/>
      <c r="JMF997" s="124"/>
      <c r="JMG997" s="124"/>
      <c r="JMH997" s="124"/>
      <c r="JMI997" s="124"/>
      <c r="JMJ997" s="124"/>
      <c r="JMK997" s="124"/>
      <c r="JML997" s="124"/>
      <c r="JMM997" s="124"/>
      <c r="JMN997" s="124"/>
      <c r="JMO997" s="124"/>
      <c r="JMP997" s="124"/>
      <c r="JMQ997" s="124"/>
      <c r="JMR997" s="124"/>
      <c r="JMS997" s="124"/>
      <c r="JMT997" s="124"/>
      <c r="JMU997" s="124"/>
      <c r="JMV997" s="124"/>
      <c r="JMW997" s="124"/>
      <c r="JMX997" s="124"/>
      <c r="JMY997" s="124"/>
      <c r="JMZ997" s="124"/>
      <c r="JNA997" s="124"/>
      <c r="JNB997" s="124"/>
      <c r="JNC997" s="124"/>
      <c r="JND997" s="124"/>
      <c r="JNE997" s="124"/>
      <c r="JNF997" s="124"/>
      <c r="JNG997" s="124"/>
      <c r="JNH997" s="124"/>
      <c r="JNI997" s="124"/>
      <c r="JNJ997" s="124"/>
      <c r="JNK997" s="124"/>
      <c r="JNL997" s="124"/>
      <c r="JNM997" s="124"/>
      <c r="JNN997" s="124"/>
      <c r="JNO997" s="124"/>
      <c r="JNP997" s="124"/>
      <c r="JNQ997" s="124"/>
      <c r="JNR997" s="124"/>
      <c r="JNS997" s="124"/>
      <c r="JNT997" s="124"/>
      <c r="JNU997" s="124"/>
      <c r="JNV997" s="124"/>
      <c r="JNW997" s="124"/>
      <c r="JNX997" s="124"/>
      <c r="JNY997" s="124"/>
      <c r="JNZ997" s="124"/>
      <c r="JOA997" s="124"/>
      <c r="JOB997" s="124"/>
      <c r="JOC997" s="124"/>
      <c r="JOD997" s="124"/>
      <c r="JOE997" s="124"/>
      <c r="JOF997" s="124"/>
      <c r="JOG997" s="124"/>
      <c r="JOH997" s="124"/>
      <c r="JOI997" s="124"/>
      <c r="JOJ997" s="124"/>
      <c r="JOK997" s="124"/>
      <c r="JOL997" s="124"/>
      <c r="JOM997" s="124"/>
      <c r="JON997" s="124"/>
      <c r="JOO997" s="124"/>
      <c r="JOP997" s="124"/>
      <c r="JOQ997" s="124"/>
      <c r="JOR997" s="124"/>
      <c r="JOS997" s="124"/>
      <c r="JOT997" s="124"/>
      <c r="JOU997" s="124"/>
      <c r="JOV997" s="124"/>
      <c r="JOW997" s="124"/>
      <c r="JOX997" s="124"/>
      <c r="JOY997" s="124"/>
      <c r="JOZ997" s="124"/>
      <c r="JPA997" s="124"/>
      <c r="JPB997" s="124"/>
      <c r="JPC997" s="124"/>
      <c r="JPD997" s="124"/>
      <c r="JPE997" s="124"/>
      <c r="JPF997" s="124"/>
      <c r="JPG997" s="124"/>
      <c r="JPH997" s="124"/>
      <c r="JPI997" s="124"/>
      <c r="JPJ997" s="124"/>
      <c r="JPK997" s="124"/>
      <c r="JPL997" s="124"/>
      <c r="JPM997" s="124"/>
      <c r="JPN997" s="124"/>
      <c r="JPO997" s="124"/>
      <c r="JPP997" s="124"/>
      <c r="JPQ997" s="124"/>
      <c r="JPR997" s="124"/>
      <c r="JPS997" s="124"/>
      <c r="JPT997" s="124"/>
      <c r="JPU997" s="124"/>
      <c r="JPV997" s="124"/>
      <c r="JPW997" s="124"/>
      <c r="JPX997" s="124"/>
      <c r="JPY997" s="124"/>
      <c r="JPZ997" s="124"/>
      <c r="JQA997" s="124"/>
      <c r="JQB997" s="124"/>
      <c r="JQC997" s="124"/>
      <c r="JQD997" s="124"/>
      <c r="JQE997" s="124"/>
      <c r="JQF997" s="124"/>
      <c r="JQG997" s="124"/>
      <c r="JQH997" s="124"/>
      <c r="JQI997" s="124"/>
      <c r="JQJ997" s="124"/>
      <c r="JQK997" s="124"/>
      <c r="JQL997" s="124"/>
      <c r="JQM997" s="124"/>
      <c r="JQN997" s="124"/>
      <c r="JQO997" s="124"/>
      <c r="JQP997" s="124"/>
      <c r="JQQ997" s="124"/>
      <c r="JQR997" s="124"/>
      <c r="JQS997" s="124"/>
      <c r="JQT997" s="124"/>
      <c r="JQU997" s="124"/>
      <c r="JQV997" s="124"/>
      <c r="JQW997" s="124"/>
      <c r="JQX997" s="124"/>
      <c r="JQY997" s="124"/>
      <c r="JQZ997" s="124"/>
      <c r="JRA997" s="124"/>
      <c r="JRB997" s="124"/>
      <c r="JRC997" s="124"/>
      <c r="JRD997" s="124"/>
      <c r="JRE997" s="124"/>
      <c r="JRF997" s="124"/>
      <c r="JRG997" s="124"/>
      <c r="JRH997" s="124"/>
      <c r="JRI997" s="124"/>
      <c r="JRJ997" s="124"/>
      <c r="JRK997" s="124"/>
      <c r="JRL997" s="124"/>
      <c r="JRM997" s="124"/>
      <c r="JRN997" s="124"/>
      <c r="JRO997" s="124"/>
      <c r="JRP997" s="124"/>
      <c r="JRQ997" s="124"/>
      <c r="JRR997" s="124"/>
      <c r="JRS997" s="124"/>
      <c r="JRT997" s="124"/>
      <c r="JRU997" s="124"/>
      <c r="JRV997" s="124"/>
      <c r="JRW997" s="124"/>
      <c r="JRX997" s="124"/>
      <c r="JRY997" s="124"/>
      <c r="JRZ997" s="124"/>
      <c r="JSA997" s="124"/>
      <c r="JSB997" s="124"/>
      <c r="JSC997" s="124"/>
      <c r="JSD997" s="124"/>
      <c r="JSE997" s="124"/>
      <c r="JSF997" s="124"/>
      <c r="JSG997" s="124"/>
      <c r="JSH997" s="124"/>
      <c r="JSI997" s="124"/>
      <c r="JSJ997" s="124"/>
      <c r="JSK997" s="124"/>
      <c r="JSL997" s="124"/>
      <c r="JSM997" s="124"/>
      <c r="JSN997" s="124"/>
      <c r="JSO997" s="124"/>
      <c r="JSP997" s="124"/>
      <c r="JSQ997" s="124"/>
      <c r="JSR997" s="124"/>
      <c r="JSS997" s="124"/>
      <c r="JST997" s="124"/>
      <c r="JSU997" s="124"/>
      <c r="JSV997" s="124"/>
      <c r="JSW997" s="124"/>
      <c r="JSX997" s="124"/>
      <c r="JSY997" s="124"/>
      <c r="JSZ997" s="124"/>
      <c r="JTA997" s="124"/>
      <c r="JTB997" s="124"/>
      <c r="JTC997" s="124"/>
      <c r="JTD997" s="124"/>
      <c r="JTE997" s="124"/>
      <c r="JTF997" s="124"/>
      <c r="JTG997" s="124"/>
      <c r="JTH997" s="124"/>
      <c r="JTI997" s="124"/>
      <c r="JTJ997" s="124"/>
      <c r="JTK997" s="124"/>
      <c r="JTL997" s="124"/>
      <c r="JTM997" s="124"/>
      <c r="JTN997" s="124"/>
      <c r="JTO997" s="124"/>
      <c r="JTP997" s="124"/>
      <c r="JTQ997" s="124"/>
      <c r="JTR997" s="124"/>
      <c r="JTS997" s="124"/>
      <c r="JTT997" s="124"/>
      <c r="JTU997" s="124"/>
      <c r="JTV997" s="124"/>
      <c r="JTW997" s="124"/>
      <c r="JTX997" s="124"/>
      <c r="JTY997" s="124"/>
      <c r="JTZ997" s="124"/>
      <c r="JUA997" s="124"/>
      <c r="JUB997" s="124"/>
      <c r="JUC997" s="124"/>
      <c r="JUD997" s="124"/>
      <c r="JUE997" s="124"/>
      <c r="JUF997" s="124"/>
      <c r="JUG997" s="124"/>
      <c r="JUH997" s="124"/>
      <c r="JUI997" s="124"/>
      <c r="JUJ997" s="124"/>
      <c r="JUK997" s="124"/>
      <c r="JUL997" s="124"/>
      <c r="JUM997" s="124"/>
      <c r="JUN997" s="124"/>
      <c r="JUO997" s="124"/>
      <c r="JUP997" s="124"/>
      <c r="JUQ997" s="124"/>
      <c r="JUR997" s="124"/>
      <c r="JUS997" s="124"/>
      <c r="JUT997" s="124"/>
      <c r="JUU997" s="124"/>
      <c r="JUV997" s="124"/>
      <c r="JUW997" s="124"/>
      <c r="JUX997" s="124"/>
      <c r="JUY997" s="124"/>
      <c r="JUZ997" s="124"/>
      <c r="JVA997" s="124"/>
      <c r="JVB997" s="124"/>
      <c r="JVC997" s="124"/>
      <c r="JVD997" s="124"/>
      <c r="JVE997" s="124"/>
      <c r="JVF997" s="124"/>
      <c r="JVG997" s="124"/>
      <c r="JVH997" s="124"/>
      <c r="JVI997" s="124"/>
      <c r="JVJ997" s="124"/>
      <c r="JVK997" s="124"/>
      <c r="JVL997" s="124"/>
      <c r="JVM997" s="124"/>
      <c r="JVN997" s="124"/>
      <c r="JVO997" s="124"/>
      <c r="JVP997" s="124"/>
      <c r="JVQ997" s="124"/>
      <c r="JVR997" s="124"/>
      <c r="JVS997" s="124"/>
      <c r="JVT997" s="124"/>
      <c r="JVU997" s="124"/>
      <c r="JVV997" s="124"/>
      <c r="JVW997" s="124"/>
      <c r="JVX997" s="124"/>
      <c r="JVY997" s="124"/>
      <c r="JVZ997" s="124"/>
      <c r="JWA997" s="124"/>
      <c r="JWB997" s="124"/>
      <c r="JWC997" s="124"/>
      <c r="JWD997" s="124"/>
      <c r="JWE997" s="124"/>
      <c r="JWF997" s="124"/>
      <c r="JWG997" s="124"/>
      <c r="JWH997" s="124"/>
      <c r="JWI997" s="124"/>
      <c r="JWJ997" s="124"/>
      <c r="JWK997" s="124"/>
      <c r="JWL997" s="124"/>
      <c r="JWM997" s="124"/>
      <c r="JWN997" s="124"/>
      <c r="JWO997" s="124"/>
      <c r="JWP997" s="124"/>
      <c r="JWQ997" s="124"/>
      <c r="JWR997" s="124"/>
      <c r="JWS997" s="124"/>
      <c r="JWT997" s="124"/>
      <c r="JWU997" s="124"/>
      <c r="JWV997" s="124"/>
      <c r="JWW997" s="124"/>
      <c r="JWX997" s="124"/>
      <c r="JWY997" s="124"/>
      <c r="JWZ997" s="124"/>
      <c r="JXA997" s="124"/>
      <c r="JXB997" s="124"/>
      <c r="JXC997" s="124"/>
      <c r="JXD997" s="124"/>
      <c r="JXE997" s="124"/>
      <c r="JXF997" s="124"/>
      <c r="JXG997" s="124"/>
      <c r="JXH997" s="124"/>
      <c r="JXI997" s="124"/>
      <c r="JXJ997" s="124"/>
      <c r="JXK997" s="124"/>
      <c r="JXL997" s="124"/>
      <c r="JXM997" s="124"/>
      <c r="JXN997" s="124"/>
      <c r="JXO997" s="124"/>
      <c r="JXP997" s="124"/>
      <c r="JXQ997" s="124"/>
      <c r="JXR997" s="124"/>
      <c r="JXS997" s="124"/>
      <c r="JXT997" s="124"/>
      <c r="JXU997" s="124"/>
      <c r="JXV997" s="124"/>
      <c r="JXW997" s="124"/>
      <c r="JXX997" s="124"/>
      <c r="JXY997" s="124"/>
      <c r="JXZ997" s="124"/>
      <c r="JYA997" s="124"/>
      <c r="JYB997" s="124"/>
      <c r="JYC997" s="124"/>
      <c r="JYD997" s="124"/>
      <c r="JYE997" s="124"/>
      <c r="JYF997" s="124"/>
      <c r="JYG997" s="124"/>
      <c r="JYH997" s="124"/>
      <c r="JYI997" s="124"/>
      <c r="JYJ997" s="124"/>
      <c r="JYK997" s="124"/>
      <c r="JYL997" s="124"/>
      <c r="JYM997" s="124"/>
      <c r="JYN997" s="124"/>
      <c r="JYO997" s="124"/>
      <c r="JYP997" s="124"/>
      <c r="JYQ997" s="124"/>
      <c r="JYR997" s="124"/>
      <c r="JYS997" s="124"/>
      <c r="JYT997" s="124"/>
      <c r="JYU997" s="124"/>
      <c r="JYV997" s="124"/>
      <c r="JYW997" s="124"/>
      <c r="JYX997" s="124"/>
      <c r="JYY997" s="124"/>
      <c r="JYZ997" s="124"/>
      <c r="JZA997" s="124"/>
      <c r="JZB997" s="124"/>
      <c r="JZC997" s="124"/>
      <c r="JZD997" s="124"/>
      <c r="JZE997" s="124"/>
      <c r="JZF997" s="124"/>
      <c r="JZG997" s="124"/>
      <c r="JZH997" s="124"/>
      <c r="JZI997" s="124"/>
      <c r="JZJ997" s="124"/>
      <c r="JZK997" s="124"/>
      <c r="JZL997" s="124"/>
      <c r="JZM997" s="124"/>
      <c r="JZN997" s="124"/>
      <c r="JZO997" s="124"/>
      <c r="JZP997" s="124"/>
      <c r="JZQ997" s="124"/>
      <c r="JZR997" s="124"/>
      <c r="JZS997" s="124"/>
      <c r="JZT997" s="124"/>
      <c r="JZU997" s="124"/>
      <c r="JZV997" s="124"/>
      <c r="JZW997" s="124"/>
      <c r="JZX997" s="124"/>
      <c r="JZY997" s="124"/>
      <c r="JZZ997" s="124"/>
      <c r="KAA997" s="124"/>
      <c r="KAB997" s="124"/>
      <c r="KAC997" s="124"/>
      <c r="KAD997" s="124"/>
      <c r="KAE997" s="124"/>
      <c r="KAF997" s="124"/>
      <c r="KAG997" s="124"/>
      <c r="KAH997" s="124"/>
      <c r="KAI997" s="124"/>
      <c r="KAJ997" s="124"/>
      <c r="KAK997" s="124"/>
      <c r="KAL997" s="124"/>
      <c r="KAM997" s="124"/>
      <c r="KAN997" s="124"/>
      <c r="KAO997" s="124"/>
      <c r="KAP997" s="124"/>
      <c r="KAQ997" s="124"/>
      <c r="KAR997" s="124"/>
      <c r="KAS997" s="124"/>
      <c r="KAT997" s="124"/>
      <c r="KAU997" s="124"/>
      <c r="KAV997" s="124"/>
      <c r="KAW997" s="124"/>
      <c r="KAX997" s="124"/>
      <c r="KAY997" s="124"/>
      <c r="KAZ997" s="124"/>
      <c r="KBA997" s="124"/>
      <c r="KBB997" s="124"/>
      <c r="KBC997" s="124"/>
      <c r="KBD997" s="124"/>
      <c r="KBE997" s="124"/>
      <c r="KBF997" s="124"/>
      <c r="KBG997" s="124"/>
      <c r="KBH997" s="124"/>
      <c r="KBI997" s="124"/>
      <c r="KBJ997" s="124"/>
      <c r="KBK997" s="124"/>
      <c r="KBL997" s="124"/>
      <c r="KBM997" s="124"/>
      <c r="KBN997" s="124"/>
      <c r="KBO997" s="124"/>
      <c r="KBP997" s="124"/>
      <c r="KBQ997" s="124"/>
      <c r="KBR997" s="124"/>
      <c r="KBS997" s="124"/>
      <c r="KBT997" s="124"/>
      <c r="KBU997" s="124"/>
      <c r="KBV997" s="124"/>
      <c r="KBW997" s="124"/>
      <c r="KBX997" s="124"/>
      <c r="KBY997" s="124"/>
      <c r="KBZ997" s="124"/>
      <c r="KCA997" s="124"/>
      <c r="KCB997" s="124"/>
      <c r="KCC997" s="124"/>
      <c r="KCD997" s="124"/>
      <c r="KCE997" s="124"/>
      <c r="KCF997" s="124"/>
      <c r="KCG997" s="124"/>
      <c r="KCH997" s="124"/>
      <c r="KCI997" s="124"/>
      <c r="KCJ997" s="124"/>
      <c r="KCK997" s="124"/>
      <c r="KCL997" s="124"/>
      <c r="KCM997" s="124"/>
      <c r="KCN997" s="124"/>
      <c r="KCO997" s="124"/>
      <c r="KCP997" s="124"/>
      <c r="KCQ997" s="124"/>
      <c r="KCR997" s="124"/>
      <c r="KCS997" s="124"/>
      <c r="KCT997" s="124"/>
      <c r="KCU997" s="124"/>
      <c r="KCV997" s="124"/>
      <c r="KCW997" s="124"/>
      <c r="KCX997" s="124"/>
      <c r="KCY997" s="124"/>
      <c r="KCZ997" s="124"/>
      <c r="KDA997" s="124"/>
      <c r="KDB997" s="124"/>
      <c r="KDC997" s="124"/>
      <c r="KDD997" s="124"/>
      <c r="KDE997" s="124"/>
      <c r="KDF997" s="124"/>
      <c r="KDG997" s="124"/>
      <c r="KDH997" s="124"/>
      <c r="KDI997" s="124"/>
      <c r="KDJ997" s="124"/>
      <c r="KDK997" s="124"/>
      <c r="KDL997" s="124"/>
      <c r="KDM997" s="124"/>
      <c r="KDN997" s="124"/>
      <c r="KDO997" s="124"/>
      <c r="KDP997" s="124"/>
      <c r="KDQ997" s="124"/>
      <c r="KDR997" s="124"/>
      <c r="KDS997" s="124"/>
      <c r="KDT997" s="124"/>
      <c r="KDU997" s="124"/>
      <c r="KDV997" s="124"/>
      <c r="KDW997" s="124"/>
      <c r="KDX997" s="124"/>
      <c r="KDY997" s="124"/>
      <c r="KDZ997" s="124"/>
      <c r="KEA997" s="124"/>
      <c r="KEB997" s="124"/>
      <c r="KEC997" s="124"/>
      <c r="KED997" s="124"/>
      <c r="KEE997" s="124"/>
      <c r="KEF997" s="124"/>
      <c r="KEG997" s="124"/>
      <c r="KEH997" s="124"/>
      <c r="KEI997" s="124"/>
      <c r="KEJ997" s="124"/>
      <c r="KEK997" s="124"/>
      <c r="KEL997" s="124"/>
      <c r="KEM997" s="124"/>
      <c r="KEN997" s="124"/>
      <c r="KEO997" s="124"/>
      <c r="KEP997" s="124"/>
      <c r="KEQ997" s="124"/>
      <c r="KER997" s="124"/>
      <c r="KES997" s="124"/>
      <c r="KET997" s="124"/>
      <c r="KEU997" s="124"/>
      <c r="KEV997" s="124"/>
      <c r="KEW997" s="124"/>
      <c r="KEX997" s="124"/>
      <c r="KEY997" s="124"/>
      <c r="KEZ997" s="124"/>
      <c r="KFA997" s="124"/>
      <c r="KFB997" s="124"/>
      <c r="KFC997" s="124"/>
      <c r="KFD997" s="124"/>
      <c r="KFE997" s="124"/>
      <c r="KFF997" s="124"/>
      <c r="KFG997" s="124"/>
      <c r="KFH997" s="124"/>
      <c r="KFI997" s="124"/>
      <c r="KFJ997" s="124"/>
      <c r="KFK997" s="124"/>
      <c r="KFL997" s="124"/>
      <c r="KFM997" s="124"/>
      <c r="KFN997" s="124"/>
      <c r="KFO997" s="124"/>
      <c r="KFP997" s="124"/>
      <c r="KFQ997" s="124"/>
      <c r="KFR997" s="124"/>
      <c r="KFS997" s="124"/>
      <c r="KFT997" s="124"/>
      <c r="KFU997" s="124"/>
      <c r="KFV997" s="124"/>
      <c r="KFW997" s="124"/>
      <c r="KFX997" s="124"/>
      <c r="KFY997" s="124"/>
      <c r="KFZ997" s="124"/>
      <c r="KGA997" s="124"/>
      <c r="KGB997" s="124"/>
      <c r="KGC997" s="124"/>
      <c r="KGD997" s="124"/>
      <c r="KGE997" s="124"/>
      <c r="KGF997" s="124"/>
      <c r="KGG997" s="124"/>
      <c r="KGH997" s="124"/>
      <c r="KGI997" s="124"/>
      <c r="KGJ997" s="124"/>
      <c r="KGK997" s="124"/>
      <c r="KGL997" s="124"/>
      <c r="KGM997" s="124"/>
      <c r="KGN997" s="124"/>
      <c r="KGO997" s="124"/>
      <c r="KGP997" s="124"/>
      <c r="KGQ997" s="124"/>
      <c r="KGR997" s="124"/>
      <c r="KGS997" s="124"/>
      <c r="KGT997" s="124"/>
      <c r="KGU997" s="124"/>
      <c r="KGV997" s="124"/>
      <c r="KGW997" s="124"/>
      <c r="KGX997" s="124"/>
      <c r="KGY997" s="124"/>
      <c r="KGZ997" s="124"/>
      <c r="KHA997" s="124"/>
      <c r="KHB997" s="124"/>
      <c r="KHC997" s="124"/>
      <c r="KHD997" s="124"/>
      <c r="KHE997" s="124"/>
      <c r="KHF997" s="124"/>
      <c r="KHG997" s="124"/>
      <c r="KHH997" s="124"/>
      <c r="KHI997" s="124"/>
      <c r="KHJ997" s="124"/>
      <c r="KHK997" s="124"/>
      <c r="KHL997" s="124"/>
      <c r="KHM997" s="124"/>
      <c r="KHN997" s="124"/>
      <c r="KHO997" s="124"/>
      <c r="KHP997" s="124"/>
      <c r="KHQ997" s="124"/>
      <c r="KHR997" s="124"/>
      <c r="KHS997" s="124"/>
      <c r="KHT997" s="124"/>
      <c r="KHU997" s="124"/>
      <c r="KHV997" s="124"/>
      <c r="KHW997" s="124"/>
      <c r="KHX997" s="124"/>
      <c r="KHY997" s="124"/>
      <c r="KHZ997" s="124"/>
      <c r="KIA997" s="124"/>
      <c r="KIB997" s="124"/>
      <c r="KIC997" s="124"/>
      <c r="KID997" s="124"/>
      <c r="KIE997" s="124"/>
      <c r="KIF997" s="124"/>
      <c r="KIG997" s="124"/>
      <c r="KIH997" s="124"/>
      <c r="KII997" s="124"/>
      <c r="KIJ997" s="124"/>
      <c r="KIK997" s="124"/>
      <c r="KIL997" s="124"/>
      <c r="KIM997" s="124"/>
      <c r="KIN997" s="124"/>
      <c r="KIO997" s="124"/>
      <c r="KIP997" s="124"/>
      <c r="KIQ997" s="124"/>
      <c r="KIR997" s="124"/>
      <c r="KIS997" s="124"/>
      <c r="KIT997" s="124"/>
      <c r="KIU997" s="124"/>
      <c r="KIV997" s="124"/>
      <c r="KIW997" s="124"/>
      <c r="KIX997" s="124"/>
      <c r="KIY997" s="124"/>
      <c r="KIZ997" s="124"/>
      <c r="KJA997" s="124"/>
      <c r="KJB997" s="124"/>
      <c r="KJC997" s="124"/>
      <c r="KJD997" s="124"/>
      <c r="KJE997" s="124"/>
      <c r="KJF997" s="124"/>
      <c r="KJG997" s="124"/>
      <c r="KJH997" s="124"/>
      <c r="KJI997" s="124"/>
      <c r="KJJ997" s="124"/>
      <c r="KJK997" s="124"/>
      <c r="KJL997" s="124"/>
      <c r="KJM997" s="124"/>
      <c r="KJN997" s="124"/>
      <c r="KJO997" s="124"/>
      <c r="KJP997" s="124"/>
      <c r="KJQ997" s="124"/>
      <c r="KJR997" s="124"/>
      <c r="KJS997" s="124"/>
      <c r="KJT997" s="124"/>
      <c r="KJU997" s="124"/>
      <c r="KJV997" s="124"/>
      <c r="KJW997" s="124"/>
      <c r="KJX997" s="124"/>
      <c r="KJY997" s="124"/>
      <c r="KJZ997" s="124"/>
      <c r="KKA997" s="124"/>
      <c r="KKB997" s="124"/>
      <c r="KKC997" s="124"/>
      <c r="KKD997" s="124"/>
      <c r="KKE997" s="124"/>
      <c r="KKF997" s="124"/>
      <c r="KKG997" s="124"/>
      <c r="KKH997" s="124"/>
      <c r="KKI997" s="124"/>
      <c r="KKJ997" s="124"/>
      <c r="KKK997" s="124"/>
      <c r="KKL997" s="124"/>
      <c r="KKM997" s="124"/>
      <c r="KKN997" s="124"/>
      <c r="KKO997" s="124"/>
      <c r="KKP997" s="124"/>
      <c r="KKQ997" s="124"/>
      <c r="KKR997" s="124"/>
      <c r="KKS997" s="124"/>
      <c r="KKT997" s="124"/>
      <c r="KKU997" s="124"/>
      <c r="KKV997" s="124"/>
      <c r="KKW997" s="124"/>
      <c r="KKX997" s="124"/>
      <c r="KKY997" s="124"/>
      <c r="KKZ997" s="124"/>
      <c r="KLA997" s="124"/>
      <c r="KLB997" s="124"/>
      <c r="KLC997" s="124"/>
      <c r="KLD997" s="124"/>
      <c r="KLE997" s="124"/>
      <c r="KLF997" s="124"/>
      <c r="KLG997" s="124"/>
      <c r="KLH997" s="124"/>
      <c r="KLI997" s="124"/>
      <c r="KLJ997" s="124"/>
      <c r="KLK997" s="124"/>
      <c r="KLL997" s="124"/>
      <c r="KLM997" s="124"/>
      <c r="KLN997" s="124"/>
      <c r="KLO997" s="124"/>
      <c r="KLP997" s="124"/>
      <c r="KLQ997" s="124"/>
      <c r="KLR997" s="124"/>
      <c r="KLS997" s="124"/>
      <c r="KLT997" s="124"/>
      <c r="KLU997" s="124"/>
      <c r="KLV997" s="124"/>
      <c r="KLW997" s="124"/>
      <c r="KLX997" s="124"/>
      <c r="KLY997" s="124"/>
      <c r="KLZ997" s="124"/>
      <c r="KMA997" s="124"/>
      <c r="KMB997" s="124"/>
      <c r="KMC997" s="124"/>
      <c r="KMD997" s="124"/>
      <c r="KME997" s="124"/>
      <c r="KMF997" s="124"/>
      <c r="KMG997" s="124"/>
      <c r="KMH997" s="124"/>
      <c r="KMI997" s="124"/>
      <c r="KMJ997" s="124"/>
      <c r="KMK997" s="124"/>
      <c r="KML997" s="124"/>
      <c r="KMM997" s="124"/>
      <c r="KMN997" s="124"/>
      <c r="KMO997" s="124"/>
      <c r="KMP997" s="124"/>
      <c r="KMQ997" s="124"/>
      <c r="KMR997" s="124"/>
      <c r="KMS997" s="124"/>
      <c r="KMT997" s="124"/>
      <c r="KMU997" s="124"/>
      <c r="KMV997" s="124"/>
      <c r="KMW997" s="124"/>
      <c r="KMX997" s="124"/>
      <c r="KMY997" s="124"/>
      <c r="KMZ997" s="124"/>
      <c r="KNA997" s="124"/>
      <c r="KNB997" s="124"/>
      <c r="KNC997" s="124"/>
      <c r="KND997" s="124"/>
      <c r="KNE997" s="124"/>
      <c r="KNF997" s="124"/>
      <c r="KNG997" s="124"/>
      <c r="KNH997" s="124"/>
      <c r="KNI997" s="124"/>
      <c r="KNJ997" s="124"/>
      <c r="KNK997" s="124"/>
      <c r="KNL997" s="124"/>
      <c r="KNM997" s="124"/>
      <c r="KNN997" s="124"/>
      <c r="KNO997" s="124"/>
      <c r="KNP997" s="124"/>
      <c r="KNQ997" s="124"/>
      <c r="KNR997" s="124"/>
      <c r="KNS997" s="124"/>
      <c r="KNT997" s="124"/>
      <c r="KNU997" s="124"/>
      <c r="KNV997" s="124"/>
      <c r="KNW997" s="124"/>
      <c r="KNX997" s="124"/>
      <c r="KNY997" s="124"/>
      <c r="KNZ997" s="124"/>
      <c r="KOA997" s="124"/>
      <c r="KOB997" s="124"/>
      <c r="KOC997" s="124"/>
      <c r="KOD997" s="124"/>
      <c r="KOE997" s="124"/>
      <c r="KOF997" s="124"/>
      <c r="KOG997" s="124"/>
      <c r="KOH997" s="124"/>
      <c r="KOI997" s="124"/>
      <c r="KOJ997" s="124"/>
      <c r="KOK997" s="124"/>
      <c r="KOL997" s="124"/>
      <c r="KOM997" s="124"/>
      <c r="KON997" s="124"/>
      <c r="KOO997" s="124"/>
      <c r="KOP997" s="124"/>
      <c r="KOQ997" s="124"/>
      <c r="KOR997" s="124"/>
      <c r="KOS997" s="124"/>
      <c r="KOT997" s="124"/>
      <c r="KOU997" s="124"/>
      <c r="KOV997" s="124"/>
      <c r="KOW997" s="124"/>
      <c r="KOX997" s="124"/>
      <c r="KOY997" s="124"/>
      <c r="KOZ997" s="124"/>
      <c r="KPA997" s="124"/>
      <c r="KPB997" s="124"/>
      <c r="KPC997" s="124"/>
      <c r="KPD997" s="124"/>
      <c r="KPE997" s="124"/>
      <c r="KPF997" s="124"/>
      <c r="KPG997" s="124"/>
      <c r="KPH997" s="124"/>
      <c r="KPI997" s="124"/>
      <c r="KPJ997" s="124"/>
      <c r="KPK997" s="124"/>
      <c r="KPL997" s="124"/>
      <c r="KPM997" s="124"/>
      <c r="KPN997" s="124"/>
      <c r="KPO997" s="124"/>
      <c r="KPP997" s="124"/>
      <c r="KPQ997" s="124"/>
      <c r="KPR997" s="124"/>
      <c r="KPS997" s="124"/>
      <c r="KPT997" s="124"/>
      <c r="KPU997" s="124"/>
      <c r="KPV997" s="124"/>
      <c r="KPW997" s="124"/>
      <c r="KPX997" s="124"/>
      <c r="KPY997" s="124"/>
      <c r="KPZ997" s="124"/>
      <c r="KQA997" s="124"/>
      <c r="KQB997" s="124"/>
      <c r="KQC997" s="124"/>
      <c r="KQD997" s="124"/>
      <c r="KQE997" s="124"/>
      <c r="KQF997" s="124"/>
      <c r="KQG997" s="124"/>
      <c r="KQH997" s="124"/>
      <c r="KQI997" s="124"/>
      <c r="KQJ997" s="124"/>
      <c r="KQK997" s="124"/>
      <c r="KQL997" s="124"/>
      <c r="KQM997" s="124"/>
      <c r="KQN997" s="124"/>
      <c r="KQO997" s="124"/>
      <c r="KQP997" s="124"/>
      <c r="KQQ997" s="124"/>
      <c r="KQR997" s="124"/>
      <c r="KQS997" s="124"/>
      <c r="KQT997" s="124"/>
      <c r="KQU997" s="124"/>
      <c r="KQV997" s="124"/>
      <c r="KQW997" s="124"/>
      <c r="KQX997" s="124"/>
      <c r="KQY997" s="124"/>
      <c r="KQZ997" s="124"/>
      <c r="KRA997" s="124"/>
      <c r="KRB997" s="124"/>
      <c r="KRC997" s="124"/>
      <c r="KRD997" s="124"/>
      <c r="KRE997" s="124"/>
      <c r="KRF997" s="124"/>
      <c r="KRG997" s="124"/>
      <c r="KRH997" s="124"/>
      <c r="KRI997" s="124"/>
      <c r="KRJ997" s="124"/>
      <c r="KRK997" s="124"/>
      <c r="KRL997" s="124"/>
      <c r="KRM997" s="124"/>
      <c r="KRN997" s="124"/>
      <c r="KRO997" s="124"/>
      <c r="KRP997" s="124"/>
      <c r="KRQ997" s="124"/>
      <c r="KRR997" s="124"/>
      <c r="KRS997" s="124"/>
      <c r="KRT997" s="124"/>
      <c r="KRU997" s="124"/>
      <c r="KRV997" s="124"/>
      <c r="KRW997" s="124"/>
      <c r="KRX997" s="124"/>
      <c r="KRY997" s="124"/>
      <c r="KRZ997" s="124"/>
      <c r="KSA997" s="124"/>
      <c r="KSB997" s="124"/>
      <c r="KSC997" s="124"/>
      <c r="KSD997" s="124"/>
      <c r="KSE997" s="124"/>
      <c r="KSF997" s="124"/>
      <c r="KSG997" s="124"/>
      <c r="KSH997" s="124"/>
      <c r="KSI997" s="124"/>
      <c r="KSJ997" s="124"/>
      <c r="KSK997" s="124"/>
      <c r="KSL997" s="124"/>
      <c r="KSM997" s="124"/>
      <c r="KSN997" s="124"/>
      <c r="KSO997" s="124"/>
      <c r="KSP997" s="124"/>
      <c r="KSQ997" s="124"/>
      <c r="KSR997" s="124"/>
      <c r="KSS997" s="124"/>
      <c r="KST997" s="124"/>
      <c r="KSU997" s="124"/>
      <c r="KSV997" s="124"/>
      <c r="KSW997" s="124"/>
      <c r="KSX997" s="124"/>
      <c r="KSY997" s="124"/>
      <c r="KSZ997" s="124"/>
      <c r="KTA997" s="124"/>
      <c r="KTB997" s="124"/>
      <c r="KTC997" s="124"/>
      <c r="KTD997" s="124"/>
      <c r="KTE997" s="124"/>
      <c r="KTF997" s="124"/>
      <c r="KTG997" s="124"/>
      <c r="KTH997" s="124"/>
      <c r="KTI997" s="124"/>
      <c r="KTJ997" s="124"/>
      <c r="KTK997" s="124"/>
      <c r="KTL997" s="124"/>
      <c r="KTM997" s="124"/>
      <c r="KTN997" s="124"/>
      <c r="KTO997" s="124"/>
      <c r="KTP997" s="124"/>
      <c r="KTQ997" s="124"/>
      <c r="KTR997" s="124"/>
      <c r="KTS997" s="124"/>
      <c r="KTT997" s="124"/>
      <c r="KTU997" s="124"/>
      <c r="KTV997" s="124"/>
      <c r="KTW997" s="124"/>
      <c r="KTX997" s="124"/>
      <c r="KTY997" s="124"/>
      <c r="KTZ997" s="124"/>
      <c r="KUA997" s="124"/>
      <c r="KUB997" s="124"/>
      <c r="KUC997" s="124"/>
      <c r="KUD997" s="124"/>
      <c r="KUE997" s="124"/>
      <c r="KUF997" s="124"/>
      <c r="KUG997" s="124"/>
      <c r="KUH997" s="124"/>
      <c r="KUI997" s="124"/>
      <c r="KUJ997" s="124"/>
      <c r="KUK997" s="124"/>
      <c r="KUL997" s="124"/>
      <c r="KUM997" s="124"/>
      <c r="KUN997" s="124"/>
      <c r="KUO997" s="124"/>
      <c r="KUP997" s="124"/>
      <c r="KUQ997" s="124"/>
      <c r="KUR997" s="124"/>
      <c r="KUS997" s="124"/>
      <c r="KUT997" s="124"/>
      <c r="KUU997" s="124"/>
      <c r="KUV997" s="124"/>
      <c r="KUW997" s="124"/>
      <c r="KUX997" s="124"/>
      <c r="KUY997" s="124"/>
      <c r="KUZ997" s="124"/>
      <c r="KVA997" s="124"/>
      <c r="KVB997" s="124"/>
      <c r="KVC997" s="124"/>
      <c r="KVD997" s="124"/>
      <c r="KVE997" s="124"/>
      <c r="KVF997" s="124"/>
      <c r="KVG997" s="124"/>
      <c r="KVH997" s="124"/>
      <c r="KVI997" s="124"/>
      <c r="KVJ997" s="124"/>
      <c r="KVK997" s="124"/>
      <c r="KVL997" s="124"/>
      <c r="KVM997" s="124"/>
      <c r="KVN997" s="124"/>
      <c r="KVO997" s="124"/>
      <c r="KVP997" s="124"/>
      <c r="KVQ997" s="124"/>
      <c r="KVR997" s="124"/>
      <c r="KVS997" s="124"/>
      <c r="KVT997" s="124"/>
      <c r="KVU997" s="124"/>
      <c r="KVV997" s="124"/>
      <c r="KVW997" s="124"/>
      <c r="KVX997" s="124"/>
      <c r="KVY997" s="124"/>
      <c r="KVZ997" s="124"/>
      <c r="KWA997" s="124"/>
      <c r="KWB997" s="124"/>
      <c r="KWC997" s="124"/>
      <c r="KWD997" s="124"/>
      <c r="KWE997" s="124"/>
      <c r="KWF997" s="124"/>
      <c r="KWG997" s="124"/>
      <c r="KWH997" s="124"/>
      <c r="KWI997" s="124"/>
      <c r="KWJ997" s="124"/>
      <c r="KWK997" s="124"/>
      <c r="KWL997" s="124"/>
      <c r="KWM997" s="124"/>
      <c r="KWN997" s="124"/>
      <c r="KWO997" s="124"/>
      <c r="KWP997" s="124"/>
      <c r="KWQ997" s="124"/>
      <c r="KWR997" s="124"/>
      <c r="KWS997" s="124"/>
      <c r="KWT997" s="124"/>
      <c r="KWU997" s="124"/>
      <c r="KWV997" s="124"/>
      <c r="KWW997" s="124"/>
      <c r="KWX997" s="124"/>
      <c r="KWY997" s="124"/>
      <c r="KWZ997" s="124"/>
      <c r="KXA997" s="124"/>
      <c r="KXB997" s="124"/>
      <c r="KXC997" s="124"/>
      <c r="KXD997" s="124"/>
      <c r="KXE997" s="124"/>
      <c r="KXF997" s="124"/>
      <c r="KXG997" s="124"/>
      <c r="KXH997" s="124"/>
      <c r="KXI997" s="124"/>
      <c r="KXJ997" s="124"/>
      <c r="KXK997" s="124"/>
      <c r="KXL997" s="124"/>
      <c r="KXM997" s="124"/>
      <c r="KXN997" s="124"/>
      <c r="KXO997" s="124"/>
      <c r="KXP997" s="124"/>
      <c r="KXQ997" s="124"/>
      <c r="KXR997" s="124"/>
      <c r="KXS997" s="124"/>
      <c r="KXT997" s="124"/>
      <c r="KXU997" s="124"/>
      <c r="KXV997" s="124"/>
      <c r="KXW997" s="124"/>
      <c r="KXX997" s="124"/>
      <c r="KXY997" s="124"/>
      <c r="KXZ997" s="124"/>
      <c r="KYA997" s="124"/>
      <c r="KYB997" s="124"/>
      <c r="KYC997" s="124"/>
      <c r="KYD997" s="124"/>
      <c r="KYE997" s="124"/>
      <c r="KYF997" s="124"/>
      <c r="KYG997" s="124"/>
      <c r="KYH997" s="124"/>
      <c r="KYI997" s="124"/>
      <c r="KYJ997" s="124"/>
      <c r="KYK997" s="124"/>
      <c r="KYL997" s="124"/>
      <c r="KYM997" s="124"/>
      <c r="KYN997" s="124"/>
      <c r="KYO997" s="124"/>
      <c r="KYP997" s="124"/>
      <c r="KYQ997" s="124"/>
      <c r="KYR997" s="124"/>
      <c r="KYS997" s="124"/>
      <c r="KYT997" s="124"/>
      <c r="KYU997" s="124"/>
      <c r="KYV997" s="124"/>
      <c r="KYW997" s="124"/>
      <c r="KYX997" s="124"/>
      <c r="KYY997" s="124"/>
      <c r="KYZ997" s="124"/>
      <c r="KZA997" s="124"/>
      <c r="KZB997" s="124"/>
      <c r="KZC997" s="124"/>
      <c r="KZD997" s="124"/>
      <c r="KZE997" s="124"/>
      <c r="KZF997" s="124"/>
      <c r="KZG997" s="124"/>
      <c r="KZH997" s="124"/>
      <c r="KZI997" s="124"/>
      <c r="KZJ997" s="124"/>
      <c r="KZK997" s="124"/>
      <c r="KZL997" s="124"/>
      <c r="KZM997" s="124"/>
      <c r="KZN997" s="124"/>
      <c r="KZO997" s="124"/>
      <c r="KZP997" s="124"/>
      <c r="KZQ997" s="124"/>
      <c r="KZR997" s="124"/>
      <c r="KZS997" s="124"/>
      <c r="KZT997" s="124"/>
      <c r="KZU997" s="124"/>
      <c r="KZV997" s="124"/>
      <c r="KZW997" s="124"/>
      <c r="KZX997" s="124"/>
      <c r="KZY997" s="124"/>
      <c r="KZZ997" s="124"/>
      <c r="LAA997" s="124"/>
      <c r="LAB997" s="124"/>
      <c r="LAC997" s="124"/>
      <c r="LAD997" s="124"/>
      <c r="LAE997" s="124"/>
      <c r="LAF997" s="124"/>
      <c r="LAG997" s="124"/>
      <c r="LAH997" s="124"/>
      <c r="LAI997" s="124"/>
      <c r="LAJ997" s="124"/>
      <c r="LAK997" s="124"/>
      <c r="LAL997" s="124"/>
      <c r="LAM997" s="124"/>
      <c r="LAN997" s="124"/>
      <c r="LAO997" s="124"/>
      <c r="LAP997" s="124"/>
      <c r="LAQ997" s="124"/>
      <c r="LAR997" s="124"/>
      <c r="LAS997" s="124"/>
      <c r="LAT997" s="124"/>
      <c r="LAU997" s="124"/>
      <c r="LAV997" s="124"/>
      <c r="LAW997" s="124"/>
      <c r="LAX997" s="124"/>
      <c r="LAY997" s="124"/>
      <c r="LAZ997" s="124"/>
      <c r="LBA997" s="124"/>
      <c r="LBB997" s="124"/>
      <c r="LBC997" s="124"/>
      <c r="LBD997" s="124"/>
      <c r="LBE997" s="124"/>
      <c r="LBF997" s="124"/>
      <c r="LBG997" s="124"/>
      <c r="LBH997" s="124"/>
      <c r="LBI997" s="124"/>
      <c r="LBJ997" s="124"/>
      <c r="LBK997" s="124"/>
      <c r="LBL997" s="124"/>
      <c r="LBM997" s="124"/>
      <c r="LBN997" s="124"/>
      <c r="LBO997" s="124"/>
      <c r="LBP997" s="124"/>
      <c r="LBQ997" s="124"/>
      <c r="LBR997" s="124"/>
      <c r="LBS997" s="124"/>
      <c r="LBT997" s="124"/>
      <c r="LBU997" s="124"/>
      <c r="LBV997" s="124"/>
      <c r="LBW997" s="124"/>
      <c r="LBX997" s="124"/>
      <c r="LBY997" s="124"/>
      <c r="LBZ997" s="124"/>
      <c r="LCA997" s="124"/>
      <c r="LCB997" s="124"/>
      <c r="LCC997" s="124"/>
      <c r="LCD997" s="124"/>
      <c r="LCE997" s="124"/>
      <c r="LCF997" s="124"/>
      <c r="LCG997" s="124"/>
      <c r="LCH997" s="124"/>
      <c r="LCI997" s="124"/>
      <c r="LCJ997" s="124"/>
      <c r="LCK997" s="124"/>
      <c r="LCL997" s="124"/>
      <c r="LCM997" s="124"/>
      <c r="LCN997" s="124"/>
      <c r="LCO997" s="124"/>
      <c r="LCP997" s="124"/>
      <c r="LCQ997" s="124"/>
      <c r="LCR997" s="124"/>
      <c r="LCS997" s="124"/>
      <c r="LCT997" s="124"/>
      <c r="LCU997" s="124"/>
      <c r="LCV997" s="124"/>
      <c r="LCW997" s="124"/>
      <c r="LCX997" s="124"/>
      <c r="LCY997" s="124"/>
      <c r="LCZ997" s="124"/>
      <c r="LDA997" s="124"/>
      <c r="LDB997" s="124"/>
      <c r="LDC997" s="124"/>
      <c r="LDD997" s="124"/>
      <c r="LDE997" s="124"/>
      <c r="LDF997" s="124"/>
      <c r="LDG997" s="124"/>
      <c r="LDH997" s="124"/>
      <c r="LDI997" s="124"/>
      <c r="LDJ997" s="124"/>
      <c r="LDK997" s="124"/>
      <c r="LDL997" s="124"/>
      <c r="LDM997" s="124"/>
      <c r="LDN997" s="124"/>
      <c r="LDO997" s="124"/>
      <c r="LDP997" s="124"/>
      <c r="LDQ997" s="124"/>
      <c r="LDR997" s="124"/>
      <c r="LDS997" s="124"/>
      <c r="LDT997" s="124"/>
      <c r="LDU997" s="124"/>
      <c r="LDV997" s="124"/>
      <c r="LDW997" s="124"/>
      <c r="LDX997" s="124"/>
      <c r="LDY997" s="124"/>
      <c r="LDZ997" s="124"/>
      <c r="LEA997" s="124"/>
      <c r="LEB997" s="124"/>
      <c r="LEC997" s="124"/>
      <c r="LED997" s="124"/>
      <c r="LEE997" s="124"/>
      <c r="LEF997" s="124"/>
      <c r="LEG997" s="124"/>
      <c r="LEH997" s="124"/>
      <c r="LEI997" s="124"/>
      <c r="LEJ997" s="124"/>
      <c r="LEK997" s="124"/>
      <c r="LEL997" s="124"/>
      <c r="LEM997" s="124"/>
      <c r="LEN997" s="124"/>
      <c r="LEO997" s="124"/>
      <c r="LEP997" s="124"/>
      <c r="LEQ997" s="124"/>
      <c r="LER997" s="124"/>
      <c r="LES997" s="124"/>
      <c r="LET997" s="124"/>
      <c r="LEU997" s="124"/>
      <c r="LEV997" s="124"/>
      <c r="LEW997" s="124"/>
      <c r="LEX997" s="124"/>
      <c r="LEY997" s="124"/>
      <c r="LEZ997" s="124"/>
      <c r="LFA997" s="124"/>
      <c r="LFB997" s="124"/>
      <c r="LFC997" s="124"/>
      <c r="LFD997" s="124"/>
      <c r="LFE997" s="124"/>
      <c r="LFF997" s="124"/>
      <c r="LFG997" s="124"/>
      <c r="LFH997" s="124"/>
      <c r="LFI997" s="124"/>
      <c r="LFJ997" s="124"/>
      <c r="LFK997" s="124"/>
      <c r="LFL997" s="124"/>
      <c r="LFM997" s="124"/>
      <c r="LFN997" s="124"/>
      <c r="LFO997" s="124"/>
      <c r="LFP997" s="124"/>
      <c r="LFQ997" s="124"/>
      <c r="LFR997" s="124"/>
      <c r="LFS997" s="124"/>
      <c r="LFT997" s="124"/>
      <c r="LFU997" s="124"/>
      <c r="LFV997" s="124"/>
      <c r="LFW997" s="124"/>
      <c r="LFX997" s="124"/>
      <c r="LFY997" s="124"/>
      <c r="LFZ997" s="124"/>
      <c r="LGA997" s="124"/>
      <c r="LGB997" s="124"/>
      <c r="LGC997" s="124"/>
      <c r="LGD997" s="124"/>
      <c r="LGE997" s="124"/>
      <c r="LGF997" s="124"/>
      <c r="LGG997" s="124"/>
      <c r="LGH997" s="124"/>
      <c r="LGI997" s="124"/>
      <c r="LGJ997" s="124"/>
      <c r="LGK997" s="124"/>
      <c r="LGL997" s="124"/>
      <c r="LGM997" s="124"/>
      <c r="LGN997" s="124"/>
      <c r="LGO997" s="124"/>
      <c r="LGP997" s="124"/>
      <c r="LGQ997" s="124"/>
      <c r="LGR997" s="124"/>
      <c r="LGS997" s="124"/>
      <c r="LGT997" s="124"/>
      <c r="LGU997" s="124"/>
      <c r="LGV997" s="124"/>
      <c r="LGW997" s="124"/>
      <c r="LGX997" s="124"/>
      <c r="LGY997" s="124"/>
      <c r="LGZ997" s="124"/>
      <c r="LHA997" s="124"/>
      <c r="LHB997" s="124"/>
      <c r="LHC997" s="124"/>
      <c r="LHD997" s="124"/>
      <c r="LHE997" s="124"/>
      <c r="LHF997" s="124"/>
      <c r="LHG997" s="124"/>
      <c r="LHH997" s="124"/>
      <c r="LHI997" s="124"/>
      <c r="LHJ997" s="124"/>
      <c r="LHK997" s="124"/>
      <c r="LHL997" s="124"/>
      <c r="LHM997" s="124"/>
      <c r="LHN997" s="124"/>
      <c r="LHO997" s="124"/>
      <c r="LHP997" s="124"/>
      <c r="LHQ997" s="124"/>
      <c r="LHR997" s="124"/>
      <c r="LHS997" s="124"/>
      <c r="LHT997" s="124"/>
      <c r="LHU997" s="124"/>
      <c r="LHV997" s="124"/>
      <c r="LHW997" s="124"/>
      <c r="LHX997" s="124"/>
      <c r="LHY997" s="124"/>
      <c r="LHZ997" s="124"/>
      <c r="LIA997" s="124"/>
      <c r="LIB997" s="124"/>
      <c r="LIC997" s="124"/>
      <c r="LID997" s="124"/>
      <c r="LIE997" s="124"/>
      <c r="LIF997" s="124"/>
      <c r="LIG997" s="124"/>
      <c r="LIH997" s="124"/>
      <c r="LII997" s="124"/>
      <c r="LIJ997" s="124"/>
      <c r="LIK997" s="124"/>
      <c r="LIL997" s="124"/>
      <c r="LIM997" s="124"/>
      <c r="LIN997" s="124"/>
      <c r="LIO997" s="124"/>
      <c r="LIP997" s="124"/>
      <c r="LIQ997" s="124"/>
      <c r="LIR997" s="124"/>
      <c r="LIS997" s="124"/>
      <c r="LIT997" s="124"/>
      <c r="LIU997" s="124"/>
      <c r="LIV997" s="124"/>
      <c r="LIW997" s="124"/>
      <c r="LIX997" s="124"/>
      <c r="LIY997" s="124"/>
      <c r="LIZ997" s="124"/>
      <c r="LJA997" s="124"/>
      <c r="LJB997" s="124"/>
      <c r="LJC997" s="124"/>
      <c r="LJD997" s="124"/>
      <c r="LJE997" s="124"/>
      <c r="LJF997" s="124"/>
      <c r="LJG997" s="124"/>
      <c r="LJH997" s="124"/>
      <c r="LJI997" s="124"/>
      <c r="LJJ997" s="124"/>
      <c r="LJK997" s="124"/>
      <c r="LJL997" s="124"/>
      <c r="LJM997" s="124"/>
      <c r="LJN997" s="124"/>
      <c r="LJO997" s="124"/>
      <c r="LJP997" s="124"/>
      <c r="LJQ997" s="124"/>
      <c r="LJR997" s="124"/>
      <c r="LJS997" s="124"/>
      <c r="LJT997" s="124"/>
      <c r="LJU997" s="124"/>
      <c r="LJV997" s="124"/>
      <c r="LJW997" s="124"/>
      <c r="LJX997" s="124"/>
      <c r="LJY997" s="124"/>
      <c r="LJZ997" s="124"/>
      <c r="LKA997" s="124"/>
      <c r="LKB997" s="124"/>
      <c r="LKC997" s="124"/>
      <c r="LKD997" s="124"/>
      <c r="LKE997" s="124"/>
      <c r="LKF997" s="124"/>
      <c r="LKG997" s="124"/>
      <c r="LKH997" s="124"/>
      <c r="LKI997" s="124"/>
      <c r="LKJ997" s="124"/>
      <c r="LKK997" s="124"/>
      <c r="LKL997" s="124"/>
      <c r="LKM997" s="124"/>
      <c r="LKN997" s="124"/>
      <c r="LKO997" s="124"/>
      <c r="LKP997" s="124"/>
      <c r="LKQ997" s="124"/>
      <c r="LKR997" s="124"/>
      <c r="LKS997" s="124"/>
      <c r="LKT997" s="124"/>
      <c r="LKU997" s="124"/>
      <c r="LKV997" s="124"/>
      <c r="LKW997" s="124"/>
      <c r="LKX997" s="124"/>
      <c r="LKY997" s="124"/>
      <c r="LKZ997" s="124"/>
      <c r="LLA997" s="124"/>
      <c r="LLB997" s="124"/>
      <c r="LLC997" s="124"/>
      <c r="LLD997" s="124"/>
      <c r="LLE997" s="124"/>
      <c r="LLF997" s="124"/>
      <c r="LLG997" s="124"/>
      <c r="LLH997" s="124"/>
      <c r="LLI997" s="124"/>
      <c r="LLJ997" s="124"/>
      <c r="LLK997" s="124"/>
      <c r="LLL997" s="124"/>
      <c r="LLM997" s="124"/>
      <c r="LLN997" s="124"/>
      <c r="LLO997" s="124"/>
      <c r="LLP997" s="124"/>
      <c r="LLQ997" s="124"/>
      <c r="LLR997" s="124"/>
      <c r="LLS997" s="124"/>
      <c r="LLT997" s="124"/>
      <c r="LLU997" s="124"/>
      <c r="LLV997" s="124"/>
      <c r="LLW997" s="124"/>
      <c r="LLX997" s="124"/>
      <c r="LLY997" s="124"/>
      <c r="LLZ997" s="124"/>
      <c r="LMA997" s="124"/>
      <c r="LMB997" s="124"/>
      <c r="LMC997" s="124"/>
      <c r="LMD997" s="124"/>
      <c r="LME997" s="124"/>
      <c r="LMF997" s="124"/>
      <c r="LMG997" s="124"/>
      <c r="LMH997" s="124"/>
      <c r="LMI997" s="124"/>
      <c r="LMJ997" s="124"/>
      <c r="LMK997" s="124"/>
      <c r="LML997" s="124"/>
      <c r="LMM997" s="124"/>
      <c r="LMN997" s="124"/>
      <c r="LMO997" s="124"/>
      <c r="LMP997" s="124"/>
      <c r="LMQ997" s="124"/>
      <c r="LMR997" s="124"/>
      <c r="LMS997" s="124"/>
      <c r="LMT997" s="124"/>
      <c r="LMU997" s="124"/>
      <c r="LMV997" s="124"/>
      <c r="LMW997" s="124"/>
      <c r="LMX997" s="124"/>
      <c r="LMY997" s="124"/>
      <c r="LMZ997" s="124"/>
      <c r="LNA997" s="124"/>
      <c r="LNB997" s="124"/>
      <c r="LNC997" s="124"/>
      <c r="LND997" s="124"/>
      <c r="LNE997" s="124"/>
      <c r="LNF997" s="124"/>
      <c r="LNG997" s="124"/>
      <c r="LNH997" s="124"/>
      <c r="LNI997" s="124"/>
      <c r="LNJ997" s="124"/>
      <c r="LNK997" s="124"/>
      <c r="LNL997" s="124"/>
      <c r="LNM997" s="124"/>
      <c r="LNN997" s="124"/>
      <c r="LNO997" s="124"/>
      <c r="LNP997" s="124"/>
      <c r="LNQ997" s="124"/>
      <c r="LNR997" s="124"/>
      <c r="LNS997" s="124"/>
      <c r="LNT997" s="124"/>
      <c r="LNU997" s="124"/>
      <c r="LNV997" s="124"/>
      <c r="LNW997" s="124"/>
      <c r="LNX997" s="124"/>
      <c r="LNY997" s="124"/>
      <c r="LNZ997" s="124"/>
      <c r="LOA997" s="124"/>
      <c r="LOB997" s="124"/>
      <c r="LOC997" s="124"/>
      <c r="LOD997" s="124"/>
      <c r="LOE997" s="124"/>
      <c r="LOF997" s="124"/>
      <c r="LOG997" s="124"/>
      <c r="LOH997" s="124"/>
      <c r="LOI997" s="124"/>
      <c r="LOJ997" s="124"/>
      <c r="LOK997" s="124"/>
      <c r="LOL997" s="124"/>
      <c r="LOM997" s="124"/>
      <c r="LON997" s="124"/>
      <c r="LOO997" s="124"/>
      <c r="LOP997" s="124"/>
      <c r="LOQ997" s="124"/>
      <c r="LOR997" s="124"/>
      <c r="LOS997" s="124"/>
      <c r="LOT997" s="124"/>
      <c r="LOU997" s="124"/>
      <c r="LOV997" s="124"/>
      <c r="LOW997" s="124"/>
      <c r="LOX997" s="124"/>
      <c r="LOY997" s="124"/>
      <c r="LOZ997" s="124"/>
      <c r="LPA997" s="124"/>
      <c r="LPB997" s="124"/>
      <c r="LPC997" s="124"/>
      <c r="LPD997" s="124"/>
      <c r="LPE997" s="124"/>
      <c r="LPF997" s="124"/>
      <c r="LPG997" s="124"/>
      <c r="LPH997" s="124"/>
      <c r="LPI997" s="124"/>
      <c r="LPJ997" s="124"/>
      <c r="LPK997" s="124"/>
      <c r="LPL997" s="124"/>
      <c r="LPM997" s="124"/>
      <c r="LPN997" s="124"/>
      <c r="LPO997" s="124"/>
      <c r="LPP997" s="124"/>
      <c r="LPQ997" s="124"/>
      <c r="LPR997" s="124"/>
      <c r="LPS997" s="124"/>
      <c r="LPT997" s="124"/>
      <c r="LPU997" s="124"/>
      <c r="LPV997" s="124"/>
      <c r="LPW997" s="124"/>
      <c r="LPX997" s="124"/>
      <c r="LPY997" s="124"/>
      <c r="LPZ997" s="124"/>
      <c r="LQA997" s="124"/>
      <c r="LQB997" s="124"/>
      <c r="LQC997" s="124"/>
      <c r="LQD997" s="124"/>
      <c r="LQE997" s="124"/>
      <c r="LQF997" s="124"/>
      <c r="LQG997" s="124"/>
      <c r="LQH997" s="124"/>
      <c r="LQI997" s="124"/>
      <c r="LQJ997" s="124"/>
      <c r="LQK997" s="124"/>
      <c r="LQL997" s="124"/>
      <c r="LQM997" s="124"/>
      <c r="LQN997" s="124"/>
      <c r="LQO997" s="124"/>
      <c r="LQP997" s="124"/>
      <c r="LQQ997" s="124"/>
      <c r="LQR997" s="124"/>
      <c r="LQS997" s="124"/>
      <c r="LQT997" s="124"/>
      <c r="LQU997" s="124"/>
      <c r="LQV997" s="124"/>
      <c r="LQW997" s="124"/>
      <c r="LQX997" s="124"/>
      <c r="LQY997" s="124"/>
      <c r="LQZ997" s="124"/>
      <c r="LRA997" s="124"/>
      <c r="LRB997" s="124"/>
      <c r="LRC997" s="124"/>
      <c r="LRD997" s="124"/>
      <c r="LRE997" s="124"/>
      <c r="LRF997" s="124"/>
      <c r="LRG997" s="124"/>
      <c r="LRH997" s="124"/>
      <c r="LRI997" s="124"/>
      <c r="LRJ997" s="124"/>
      <c r="LRK997" s="124"/>
      <c r="LRL997" s="124"/>
      <c r="LRM997" s="124"/>
      <c r="LRN997" s="124"/>
      <c r="LRO997" s="124"/>
      <c r="LRP997" s="124"/>
      <c r="LRQ997" s="124"/>
      <c r="LRR997" s="124"/>
      <c r="LRS997" s="124"/>
      <c r="LRT997" s="124"/>
      <c r="LRU997" s="124"/>
      <c r="LRV997" s="124"/>
      <c r="LRW997" s="124"/>
      <c r="LRX997" s="124"/>
      <c r="LRY997" s="124"/>
      <c r="LRZ997" s="124"/>
      <c r="LSA997" s="124"/>
      <c r="LSB997" s="124"/>
      <c r="LSC997" s="124"/>
      <c r="LSD997" s="124"/>
      <c r="LSE997" s="124"/>
      <c r="LSF997" s="124"/>
      <c r="LSG997" s="124"/>
      <c r="LSH997" s="124"/>
      <c r="LSI997" s="124"/>
      <c r="LSJ997" s="124"/>
      <c r="LSK997" s="124"/>
      <c r="LSL997" s="124"/>
      <c r="LSM997" s="124"/>
      <c r="LSN997" s="124"/>
      <c r="LSO997" s="124"/>
      <c r="LSP997" s="124"/>
      <c r="LSQ997" s="124"/>
      <c r="LSR997" s="124"/>
      <c r="LSS997" s="124"/>
      <c r="LST997" s="124"/>
      <c r="LSU997" s="124"/>
      <c r="LSV997" s="124"/>
      <c r="LSW997" s="124"/>
      <c r="LSX997" s="124"/>
      <c r="LSY997" s="124"/>
      <c r="LSZ997" s="124"/>
      <c r="LTA997" s="124"/>
      <c r="LTB997" s="124"/>
      <c r="LTC997" s="124"/>
      <c r="LTD997" s="124"/>
      <c r="LTE997" s="124"/>
      <c r="LTF997" s="124"/>
      <c r="LTG997" s="124"/>
      <c r="LTH997" s="124"/>
      <c r="LTI997" s="124"/>
      <c r="LTJ997" s="124"/>
      <c r="LTK997" s="124"/>
      <c r="LTL997" s="124"/>
      <c r="LTM997" s="124"/>
      <c r="LTN997" s="124"/>
      <c r="LTO997" s="124"/>
      <c r="LTP997" s="124"/>
      <c r="LTQ997" s="124"/>
      <c r="LTR997" s="124"/>
      <c r="LTS997" s="124"/>
      <c r="LTT997" s="124"/>
      <c r="LTU997" s="124"/>
      <c r="LTV997" s="124"/>
      <c r="LTW997" s="124"/>
      <c r="LTX997" s="124"/>
      <c r="LTY997" s="124"/>
      <c r="LTZ997" s="124"/>
      <c r="LUA997" s="124"/>
      <c r="LUB997" s="124"/>
      <c r="LUC997" s="124"/>
      <c r="LUD997" s="124"/>
      <c r="LUE997" s="124"/>
      <c r="LUF997" s="124"/>
      <c r="LUG997" s="124"/>
      <c r="LUH997" s="124"/>
      <c r="LUI997" s="124"/>
      <c r="LUJ997" s="124"/>
      <c r="LUK997" s="124"/>
      <c r="LUL997" s="124"/>
      <c r="LUM997" s="124"/>
      <c r="LUN997" s="124"/>
      <c r="LUO997" s="124"/>
      <c r="LUP997" s="124"/>
      <c r="LUQ997" s="124"/>
      <c r="LUR997" s="124"/>
      <c r="LUS997" s="124"/>
      <c r="LUT997" s="124"/>
      <c r="LUU997" s="124"/>
      <c r="LUV997" s="124"/>
      <c r="LUW997" s="124"/>
      <c r="LUX997" s="124"/>
      <c r="LUY997" s="124"/>
      <c r="LUZ997" s="124"/>
      <c r="LVA997" s="124"/>
      <c r="LVB997" s="124"/>
      <c r="LVC997" s="124"/>
      <c r="LVD997" s="124"/>
      <c r="LVE997" s="124"/>
      <c r="LVF997" s="124"/>
      <c r="LVG997" s="124"/>
      <c r="LVH997" s="124"/>
      <c r="LVI997" s="124"/>
      <c r="LVJ997" s="124"/>
      <c r="LVK997" s="124"/>
      <c r="LVL997" s="124"/>
      <c r="LVM997" s="124"/>
      <c r="LVN997" s="124"/>
      <c r="LVO997" s="124"/>
      <c r="LVP997" s="124"/>
      <c r="LVQ997" s="124"/>
      <c r="LVR997" s="124"/>
      <c r="LVS997" s="124"/>
      <c r="LVT997" s="124"/>
      <c r="LVU997" s="124"/>
      <c r="LVV997" s="124"/>
      <c r="LVW997" s="124"/>
      <c r="LVX997" s="124"/>
      <c r="LVY997" s="124"/>
      <c r="LVZ997" s="124"/>
      <c r="LWA997" s="124"/>
      <c r="LWB997" s="124"/>
      <c r="LWC997" s="124"/>
      <c r="LWD997" s="124"/>
      <c r="LWE997" s="124"/>
      <c r="LWF997" s="124"/>
      <c r="LWG997" s="124"/>
      <c r="LWH997" s="124"/>
      <c r="LWI997" s="124"/>
      <c r="LWJ997" s="124"/>
      <c r="LWK997" s="124"/>
      <c r="LWL997" s="124"/>
      <c r="LWM997" s="124"/>
      <c r="LWN997" s="124"/>
      <c r="LWO997" s="124"/>
      <c r="LWP997" s="124"/>
      <c r="LWQ997" s="124"/>
      <c r="LWR997" s="124"/>
      <c r="LWS997" s="124"/>
      <c r="LWT997" s="124"/>
      <c r="LWU997" s="124"/>
      <c r="LWV997" s="124"/>
      <c r="LWW997" s="124"/>
      <c r="LWX997" s="124"/>
      <c r="LWY997" s="124"/>
      <c r="LWZ997" s="124"/>
      <c r="LXA997" s="124"/>
      <c r="LXB997" s="124"/>
      <c r="LXC997" s="124"/>
      <c r="LXD997" s="124"/>
      <c r="LXE997" s="124"/>
      <c r="LXF997" s="124"/>
      <c r="LXG997" s="124"/>
      <c r="LXH997" s="124"/>
      <c r="LXI997" s="124"/>
      <c r="LXJ997" s="124"/>
      <c r="LXK997" s="124"/>
      <c r="LXL997" s="124"/>
      <c r="LXM997" s="124"/>
      <c r="LXN997" s="124"/>
      <c r="LXO997" s="124"/>
      <c r="LXP997" s="124"/>
      <c r="LXQ997" s="124"/>
      <c r="LXR997" s="124"/>
      <c r="LXS997" s="124"/>
      <c r="LXT997" s="124"/>
      <c r="LXU997" s="124"/>
      <c r="LXV997" s="124"/>
      <c r="LXW997" s="124"/>
      <c r="LXX997" s="124"/>
      <c r="LXY997" s="124"/>
      <c r="LXZ997" s="124"/>
      <c r="LYA997" s="124"/>
      <c r="LYB997" s="124"/>
      <c r="LYC997" s="124"/>
      <c r="LYD997" s="124"/>
      <c r="LYE997" s="124"/>
      <c r="LYF997" s="124"/>
      <c r="LYG997" s="124"/>
      <c r="LYH997" s="124"/>
      <c r="LYI997" s="124"/>
      <c r="LYJ997" s="124"/>
      <c r="LYK997" s="124"/>
      <c r="LYL997" s="124"/>
      <c r="LYM997" s="124"/>
      <c r="LYN997" s="124"/>
      <c r="LYO997" s="124"/>
      <c r="LYP997" s="124"/>
      <c r="LYQ997" s="124"/>
      <c r="LYR997" s="124"/>
      <c r="LYS997" s="124"/>
      <c r="LYT997" s="124"/>
      <c r="LYU997" s="124"/>
      <c r="LYV997" s="124"/>
      <c r="LYW997" s="124"/>
      <c r="LYX997" s="124"/>
      <c r="LYY997" s="124"/>
      <c r="LYZ997" s="124"/>
      <c r="LZA997" s="124"/>
      <c r="LZB997" s="124"/>
      <c r="LZC997" s="124"/>
      <c r="LZD997" s="124"/>
      <c r="LZE997" s="124"/>
      <c r="LZF997" s="124"/>
      <c r="LZG997" s="124"/>
      <c r="LZH997" s="124"/>
      <c r="LZI997" s="124"/>
      <c r="LZJ997" s="124"/>
      <c r="LZK997" s="124"/>
      <c r="LZL997" s="124"/>
      <c r="LZM997" s="124"/>
      <c r="LZN997" s="124"/>
      <c r="LZO997" s="124"/>
      <c r="LZP997" s="124"/>
      <c r="LZQ997" s="124"/>
      <c r="LZR997" s="124"/>
      <c r="LZS997" s="124"/>
      <c r="LZT997" s="124"/>
      <c r="LZU997" s="124"/>
      <c r="LZV997" s="124"/>
      <c r="LZW997" s="124"/>
      <c r="LZX997" s="124"/>
      <c r="LZY997" s="124"/>
      <c r="LZZ997" s="124"/>
      <c r="MAA997" s="124"/>
      <c r="MAB997" s="124"/>
      <c r="MAC997" s="124"/>
      <c r="MAD997" s="124"/>
      <c r="MAE997" s="124"/>
      <c r="MAF997" s="124"/>
      <c r="MAG997" s="124"/>
      <c r="MAH997" s="124"/>
      <c r="MAI997" s="124"/>
      <c r="MAJ997" s="124"/>
      <c r="MAK997" s="124"/>
      <c r="MAL997" s="124"/>
      <c r="MAM997" s="124"/>
      <c r="MAN997" s="124"/>
      <c r="MAO997" s="124"/>
      <c r="MAP997" s="124"/>
      <c r="MAQ997" s="124"/>
      <c r="MAR997" s="124"/>
      <c r="MAS997" s="124"/>
      <c r="MAT997" s="124"/>
      <c r="MAU997" s="124"/>
      <c r="MAV997" s="124"/>
      <c r="MAW997" s="124"/>
      <c r="MAX997" s="124"/>
      <c r="MAY997" s="124"/>
      <c r="MAZ997" s="124"/>
      <c r="MBA997" s="124"/>
      <c r="MBB997" s="124"/>
      <c r="MBC997" s="124"/>
      <c r="MBD997" s="124"/>
      <c r="MBE997" s="124"/>
      <c r="MBF997" s="124"/>
      <c r="MBG997" s="124"/>
      <c r="MBH997" s="124"/>
      <c r="MBI997" s="124"/>
      <c r="MBJ997" s="124"/>
      <c r="MBK997" s="124"/>
      <c r="MBL997" s="124"/>
      <c r="MBM997" s="124"/>
      <c r="MBN997" s="124"/>
      <c r="MBO997" s="124"/>
      <c r="MBP997" s="124"/>
      <c r="MBQ997" s="124"/>
      <c r="MBR997" s="124"/>
      <c r="MBS997" s="124"/>
      <c r="MBT997" s="124"/>
      <c r="MBU997" s="124"/>
      <c r="MBV997" s="124"/>
      <c r="MBW997" s="124"/>
      <c r="MBX997" s="124"/>
      <c r="MBY997" s="124"/>
      <c r="MBZ997" s="124"/>
      <c r="MCA997" s="124"/>
      <c r="MCB997" s="124"/>
      <c r="MCC997" s="124"/>
      <c r="MCD997" s="124"/>
    </row>
  </sheetData>
  <autoFilter ref="A105:X997"/>
  <mergeCells count="1">
    <mergeCell ref="A1:W1"/>
  </mergeCells>
  <dataValidations count="54">
    <dataValidation type="list" errorStyle="warning" allowBlank="1" showErrorMessage="1" sqref="Q615:Q616 Q608:Q609 Q602:Q603 Q587:Q592">
      <formula1>"New Requirement, Exercise Option 1, Exercise Option 2, Exercise Option 3, Exercise Option 4,"</formula1>
    </dataValidation>
    <dataValidation type="list" errorStyle="warning" allowBlank="1" showErrorMessage="1" sqref="R615:R616 R608:R609 R603 R587:R592">
      <formula1>"1st Quarter, 2nd Quarter, 3rd Quarter, 4th Quarter,"</formula1>
    </dataValidation>
    <dataValidation type="list" allowBlank="1" showErrorMessage="1" sqref="C615:C616 C608:C609 C603 C587:C592">
      <formula1>[1]R5!C1:C4</formula1>
    </dataValidation>
    <dataValidation type="list" errorStyle="warning" allowBlank="1" showErrorMessage="1" sqref="I615:I616 I608:I609 I603 I587:I592">
      <formula1>[1]R5!I1:I8</formula1>
    </dataValidation>
    <dataValidation type="list" errorStyle="warning" allowBlank="1" showErrorMessage="1" sqref="J615:J616 J608:J609 J603 J587:J592">
      <formula1>[1]R5!J1:J9</formula1>
    </dataValidation>
    <dataValidation type="list" errorStyle="warning" allowBlank="1" showErrorMessage="1" sqref="K615:K616 K608:K609 K603 K587:K592">
      <formula1>[1]R5!K1:K10</formula1>
    </dataValidation>
    <dataValidation type="list" errorStyle="warning" allowBlank="1" showErrorMessage="1" sqref="E615:E616 E608:E611 E603 E596 E587:E593 E618">
      <formula1>[1]R5!E1:E101</formula1>
    </dataValidation>
    <dataValidation type="list" allowBlank="1" showErrorMessage="1" sqref="V408">
      <formula1>[2]Sheet1!W2:W15</formula1>
    </dataValidation>
    <dataValidation type="list" allowBlank="1" showErrorMessage="1" sqref="V395">
      <formula1>[2]Sheet1!W1</formula1>
    </dataValidation>
    <dataValidation type="list" allowBlank="1" showInputMessage="1" showErrorMessage="1" sqref="E750:E751 E996:E997 E967:E977 E106:E113 E183:E185">
      <formula1>$E$2:$E$102</formula1>
    </dataValidation>
    <dataValidation type="list" allowBlank="1" showErrorMessage="1" sqref="W575:W586 W436:W572">
      <formula1>'[3]PBS Region 4'!W2:W15</formula1>
    </dataValidation>
    <dataValidation type="list" allowBlank="1" showInputMessage="1" showErrorMessage="1" sqref="A195:A209 A990:A997 A967:A981 A183:A185 A106:A113">
      <formula1>$A$2:$A$18</formula1>
    </dataValidation>
    <dataValidation type="list" allowBlank="1" showErrorMessage="1" sqref="B186:B210">
      <formula1>'[4]GSA Forecast'!B2:B13</formula1>
    </dataValidation>
    <dataValidation type="list" allowBlank="1" showErrorMessage="1" sqref="W186:W209">
      <formula1>'[4]GSA Forecast'!W2:W15</formula1>
    </dataValidation>
    <dataValidation type="list" allowBlank="1" showInputMessage="1" showErrorMessage="1" sqref="W183:W185 W106:W113 W990:W997">
      <formula1>$W$2:$W$15</formula1>
    </dataValidation>
    <dataValidation type="list" allowBlank="1" showInputMessage="1" showErrorMessage="1" sqref="S183:S185">
      <formula1>$S$2:$S$2</formula1>
    </dataValidation>
    <dataValidation type="list" allowBlank="1" showInputMessage="1" showErrorMessage="1" sqref="R183:R185 R996:R997 R967:R977 R106:R113">
      <formula1>$R$2:$R$6</formula1>
    </dataValidation>
    <dataValidation type="list" allowBlank="1" showInputMessage="1" showErrorMessage="1" sqref="O183:O185 O996:O997 O967:O977 O106:O113">
      <formula1>$O$2:$O$4</formula1>
    </dataValidation>
    <dataValidation type="list" allowBlank="1" showInputMessage="1" showErrorMessage="1" sqref="K183:K185 K996:K997 K972 K974:K977 K967:K968 K106:K113">
      <formula1>$K$2:$K$11</formula1>
    </dataValidation>
    <dataValidation type="list" allowBlank="1" showInputMessage="1" showErrorMessage="1" sqref="J183:J185">
      <formula1>$J$2:$J$27</formula1>
    </dataValidation>
    <dataValidation type="list" allowBlank="1" showInputMessage="1" showErrorMessage="1" sqref="I183:I185 I996:I997 I967:I977 I106:I113">
      <formula1>$I$2:$I$9</formula1>
    </dataValidation>
    <dataValidation type="custom" allowBlank="1" showInputMessage="1" showErrorMessage="1" sqref="H183 H185">
      <formula1>H183</formula1>
    </dataValidation>
    <dataValidation type="list" allowBlank="1" showInputMessage="1" showErrorMessage="1" sqref="G183:G185 G996:G997 G967:G977 G106:G113">
      <formula1>$G$2:$G$62</formula1>
    </dataValidation>
    <dataValidation type="list" allowBlank="1" showInputMessage="1" showErrorMessage="1" sqref="C183:C185 C996:C997 C967:C977 C106:C113">
      <formula1>$C$2:$C$6</formula1>
    </dataValidation>
    <dataValidation type="list" allowBlank="1" showInputMessage="1" showErrorMessage="1" sqref="B183:B185 B996:B997 B967:B977 B106:B113">
      <formula1>$B$2:$B$13</formula1>
    </dataValidation>
    <dataValidation type="custom" allowBlank="1" showInputMessage="1" showErrorMessage="1" sqref="X185">
      <formula1>#REF!</formula1>
    </dataValidation>
    <dataValidation type="list" allowBlank="1" showErrorMessage="1" sqref="S186:S194">
      <formula1>'[4]GSA Forecast'!S2</formula1>
    </dataValidation>
    <dataValidation type="list" allowBlank="1" showErrorMessage="1" sqref="O186:O194">
      <formula1>'[4]GSA Forecast'!O2:O4</formula1>
    </dataValidation>
    <dataValidation type="list" allowBlank="1" showErrorMessage="1" sqref="K186:K194">
      <formula1>'[4]GSA Forecast'!K2:K11</formula1>
    </dataValidation>
    <dataValidation type="list" allowBlank="1" showErrorMessage="1" sqref="J186:J194">
      <formula1>'[4]GSA Forecast'!J2:J27</formula1>
    </dataValidation>
    <dataValidation type="list" allowBlank="1" showErrorMessage="1" sqref="I186:I194">
      <formula1>'[4]GSA Forecast'!I2:I9</formula1>
    </dataValidation>
    <dataValidation type="list" allowBlank="1" showErrorMessage="1" sqref="G186:G194">
      <formula1>'[4]GSA Forecast'!G2:G62</formula1>
    </dataValidation>
    <dataValidation type="list" allowBlank="1" showErrorMessage="1" sqref="E186:E194">
      <formula1>'[4]GSA Forecast'!E2:E102</formula1>
    </dataValidation>
    <dataValidation type="list" allowBlank="1" showErrorMessage="1" sqref="C186:C194 R186:R194">
      <formula1>'[4]GSA Forecast'!C2:C6</formula1>
    </dataValidation>
    <dataValidation type="list" allowBlank="1" showErrorMessage="1" sqref="A186:A194">
      <formula1>'[4]GSA Forecast'!A2:A18</formula1>
    </dataValidation>
    <dataValidation type="list" allowBlank="1" showInputMessage="1" showErrorMessage="1" prompt="validationFailed" sqref="B167:B168">
      <formula1>'[5]GSA Forecast'!B2:B13</formula1>
    </dataValidation>
    <dataValidation type="list" allowBlank="1" showInputMessage="1" showErrorMessage="1" prompt="validationFailed" sqref="A167:A168">
      <formula1>'[5]GSA Forecast'!A2:A18</formula1>
    </dataValidation>
    <dataValidation type="list" allowBlank="1" showErrorMessage="1" sqref="F139:F142 F127:F129 F132 F134">
      <formula1>'[5]GSA Forecast'!F2:F3</formula1>
    </dataValidation>
    <dataValidation type="list" allowBlank="1" showErrorMessage="1" sqref="W114:W182">
      <formula1>'[5]GSA Forecast'!W2:W15</formula1>
    </dataValidation>
    <dataValidation type="list" allowBlank="1" showErrorMessage="1" sqref="S167 S169:S182 S114:S165">
      <formula1>'[5]GSA Forecast'!S2</formula1>
    </dataValidation>
    <dataValidation type="list" allowBlank="1" showErrorMessage="1" sqref="O114:O182">
      <formula1>'[5]GSA Forecast'!O2:O4</formula1>
    </dataValidation>
    <dataValidation type="list" allowBlank="1" showErrorMessage="1" sqref="K114:K151">
      <formula1>'[5]GSA Forecast'!K2:K11</formula1>
    </dataValidation>
    <dataValidation type="list" allowBlank="1" showErrorMessage="1" sqref="J114:J151">
      <formula1>'[5]GSA Forecast'!J2:J27</formula1>
    </dataValidation>
    <dataValidation type="list" allowBlank="1" showErrorMessage="1" sqref="I114:I151">
      <formula1>'[5]GSA Forecast'!I2:I9</formula1>
    </dataValidation>
    <dataValidation type="list" allowBlank="1" showErrorMessage="1" sqref="G114:G166">
      <formula1>'[5]GSA Forecast'!G2:G62</formula1>
    </dataValidation>
    <dataValidation type="list" allowBlank="1" showErrorMessage="1" sqref="E114:E166">
      <formula1>'[5]GSA Forecast'!E2:E102</formula1>
    </dataValidation>
    <dataValidation type="list" allowBlank="1" showErrorMessage="1" sqref="R114:R165 C114:C182">
      <formula1>'[5]GSA Forecast'!C2:C6</formula1>
    </dataValidation>
    <dataValidation type="list" allowBlank="1" showErrorMessage="1" sqref="B114:B166 B169:B182">
      <formula1>'[5]GSA Forecast'!B2:B13</formula1>
    </dataValidation>
    <dataValidation type="list" allowBlank="1" showErrorMessage="1" sqref="A114:A166 A169:A182">
      <formula1>'[5]GSA Forecast'!A2:A18</formula1>
    </dataValidation>
    <dataValidation type="list" allowBlank="1" showInputMessage="1" showErrorMessage="1" sqref="S106:S113 S996:S997 S967:S977">
      <formula1>$S$2:$S$3</formula1>
    </dataValidation>
    <dataValidation type="list" allowBlank="1" showInputMessage="1" showErrorMessage="1" sqref="J106:J113 J996:J997 J967:J977">
      <formula1>$J$2:$J$26</formula1>
    </dataValidation>
    <dataValidation type="custom" allowBlank="1" showInputMessage="1" showErrorMessage="1" sqref="D967 X967">
      <formula1>#REF!</formula1>
    </dataValidation>
    <dataValidation type="list" allowBlank="1" showInputMessage="1" showErrorMessage="1" sqref="W978:W981">
      <formula1>$W$2:$W$5</formula1>
    </dataValidation>
    <dataValidation type="custom" allowBlank="1" showInputMessage="1" showErrorMessage="1" sqref="D996 X996">
      <formula1>#REF!</formula1>
    </dataValidation>
  </dataValidations>
  <hyperlinks>
    <hyperlink ref="V183" r:id="rId1"/>
    <hyperlink ref="V184" r:id="rId2"/>
    <hyperlink ref="V185" r:id="rId3"/>
    <hyperlink ref="V197" r:id="rId4" display="mailto:gerard.bernard@gsa.gov"/>
    <hyperlink ref="V196" r:id="rId5"/>
    <hyperlink ref="V200" r:id="rId6"/>
    <hyperlink ref="V202" r:id="rId7"/>
    <hyperlink ref="V773" r:id="rId8"/>
    <hyperlink ref="V782" r:id="rId9"/>
    <hyperlink ref="V784" r:id="rId10"/>
    <hyperlink ref="V785" r:id="rId11"/>
    <hyperlink ref="V786" r:id="rId12"/>
    <hyperlink ref="V787" r:id="rId13"/>
    <hyperlink ref="V788" r:id="rId14"/>
    <hyperlink ref="V789" r:id="rId15"/>
    <hyperlink ref="U373" r:id="rId16"/>
    <hyperlink ref="V857" r:id="rId17"/>
    <hyperlink ref="V858" r:id="rId18"/>
    <hyperlink ref="V859" r:id="rId19"/>
    <hyperlink ref="V860" r:id="rId20"/>
    <hyperlink ref="V861" r:id="rId21"/>
    <hyperlink ref="V862" r:id="rId22"/>
    <hyperlink ref="V863" r:id="rId23"/>
    <hyperlink ref="V864" r:id="rId24"/>
    <hyperlink ref="V865" r:id="rId25"/>
    <hyperlink ref="V866" r:id="rId26"/>
    <hyperlink ref="V867" r:id="rId27"/>
    <hyperlink ref="V868" r:id="rId28"/>
    <hyperlink ref="V968" r:id="rId29"/>
    <hyperlink ref="V967" r:id="rId30"/>
    <hyperlink ref="V974" r:id="rId31"/>
    <hyperlink ref="V975" r:id="rId32"/>
    <hyperlink ref="V976" r:id="rId33"/>
    <hyperlink ref="V977" r:id="rId34"/>
    <hyperlink ref="V970" r:id="rId35"/>
    <hyperlink ref="V972" r:id="rId36"/>
    <hyperlink ref="V973" r:id="rId37"/>
    <hyperlink ref="V971" r:id="rId38"/>
    <hyperlink ref="V969" r:id="rId39"/>
    <hyperlink ref="V978" r:id="rId40"/>
    <hyperlink ref="V979" r:id="rId41"/>
    <hyperlink ref="V980" r:id="rId42"/>
    <hyperlink ref="V981" r:id="rId43"/>
    <hyperlink ref="V982" r:id="rId44"/>
    <hyperlink ref="V991" r:id="rId45"/>
    <hyperlink ref="V992" r:id="rId46"/>
    <hyperlink ref="V994" r:id="rId47"/>
    <hyperlink ref="V990" r:id="rId48"/>
  </hyperlinks>
  <pageMargins left="0.7" right="0.7" top="0.75" bottom="0.75" header="0.3" footer="0.3"/>
  <pageSetup paperSize="5" scale="56" orientation="landscape" r:id="rId49"/>
</worksheet>
</file>

<file path=xl/worksheets/sheet2.xml><?xml version="1.0" encoding="utf-8"?>
<worksheet xmlns="http://schemas.openxmlformats.org/spreadsheetml/2006/main" xmlns:r="http://schemas.openxmlformats.org/officeDocument/2006/relationships">
  <dimension ref="A1:A83"/>
  <sheetViews>
    <sheetView showGridLines="0" workbookViewId="0"/>
  </sheetViews>
  <sheetFormatPr defaultColWidth="9.140625" defaultRowHeight="12.75" customHeight="1"/>
  <cols>
    <col min="2" max="2" width="13.28515625" customWidth="1"/>
  </cols>
  <sheetData>
    <row r="1" spans="1:1" ht="18.75" customHeight="1">
      <c r="A1" s="12" t="s">
        <v>1813</v>
      </c>
    </row>
    <row r="2" spans="1:1" ht="15" customHeight="1">
      <c r="A2" s="4" t="s">
        <v>1814</v>
      </c>
    </row>
    <row r="3" spans="1:1" ht="15" customHeight="1">
      <c r="A3" s="4" t="s">
        <v>1814</v>
      </c>
    </row>
    <row r="4" spans="1:1" ht="15" customHeight="1">
      <c r="A4" s="5" t="s">
        <v>1815</v>
      </c>
    </row>
    <row r="5" spans="1:1" ht="15" customHeight="1">
      <c r="A5" s="4" t="s">
        <v>1816</v>
      </c>
    </row>
    <row r="6" spans="1:1" ht="15" customHeight="1">
      <c r="A6" s="4" t="s">
        <v>1817</v>
      </c>
    </row>
    <row r="7" spans="1:1" ht="15" customHeight="1">
      <c r="A7" s="4" t="s">
        <v>1818</v>
      </c>
    </row>
    <row r="8" spans="1:1" ht="15" customHeight="1">
      <c r="A8" s="4" t="s">
        <v>1819</v>
      </c>
    </row>
    <row r="9" spans="1:1" ht="15" customHeight="1">
      <c r="A9" s="4" t="s">
        <v>1820</v>
      </c>
    </row>
    <row r="10" spans="1:1" ht="15" customHeight="1">
      <c r="A10" s="4" t="s">
        <v>1821</v>
      </c>
    </row>
    <row r="11" spans="1:1">
      <c r="A11" s="10" t="str">
        <f>HYPERLINK("http://www.census.gov/eos/www/naics","Primary NAICS Code")</f>
        <v>Primary NAICS Code</v>
      </c>
    </row>
    <row r="12" spans="1:1" ht="15" customHeight="1">
      <c r="A12" s="2" t="s">
        <v>1822</v>
      </c>
    </row>
    <row r="13" spans="1:1" ht="15" customHeight="1">
      <c r="A13" s="2" t="s">
        <v>1823</v>
      </c>
    </row>
    <row r="14" spans="1:1" ht="15" customHeight="1">
      <c r="A14" s="4" t="s">
        <v>1824</v>
      </c>
    </row>
    <row r="15" spans="1:1" ht="15" customHeight="1">
      <c r="A15" s="4" t="s">
        <v>1825</v>
      </c>
    </row>
    <row r="16" spans="1:1" ht="15" customHeight="1">
      <c r="A16" s="4" t="s">
        <v>1826</v>
      </c>
    </row>
    <row r="17" spans="1:1" ht="15" customHeight="1">
      <c r="A17" s="4" t="s">
        <v>1827</v>
      </c>
    </row>
    <row r="18" spans="1:1" ht="15" customHeight="1">
      <c r="A18" s="4" t="s">
        <v>1828</v>
      </c>
    </row>
    <row r="19" spans="1:1" ht="15" customHeight="1">
      <c r="A19" s="4" t="s">
        <v>1829</v>
      </c>
    </row>
    <row r="20" spans="1:1" ht="15" customHeight="1">
      <c r="A20" s="4" t="s">
        <v>1830</v>
      </c>
    </row>
    <row r="21" spans="1:1" ht="15" customHeight="1">
      <c r="A21" s="4" t="s">
        <v>1831</v>
      </c>
    </row>
    <row r="22" spans="1:1" ht="15" customHeight="1">
      <c r="A22" s="4" t="s">
        <v>1832</v>
      </c>
    </row>
    <row r="23" spans="1:1" ht="15" customHeight="1">
      <c r="A23" s="4" t="s">
        <v>1833</v>
      </c>
    </row>
    <row r="24" spans="1:1" ht="15" customHeight="1"/>
    <row r="26" spans="1:1" ht="15" customHeight="1">
      <c r="A26" s="5" t="s">
        <v>1834</v>
      </c>
    </row>
    <row r="27" spans="1:1" ht="15" customHeight="1">
      <c r="A27" s="4" t="s">
        <v>1835</v>
      </c>
    </row>
    <row r="28" spans="1:1" ht="15" customHeight="1">
      <c r="A28" s="4" t="s">
        <v>1836</v>
      </c>
    </row>
    <row r="29" spans="1:1" ht="15" customHeight="1">
      <c r="A29" s="4" t="s">
        <v>1837</v>
      </c>
    </row>
    <row r="30" spans="1:1" ht="15" customHeight="1">
      <c r="A30" s="4" t="s">
        <v>1838</v>
      </c>
    </row>
    <row r="31" spans="1:1" ht="15" customHeight="1">
      <c r="A31" s="4" t="s">
        <v>1839</v>
      </c>
    </row>
    <row r="32" spans="1:1" ht="15" customHeight="1"/>
    <row r="33" spans="1:1" ht="15" customHeight="1"/>
    <row r="34" spans="1:1" ht="15" customHeight="1">
      <c r="A34" s="5" t="s">
        <v>1840</v>
      </c>
    </row>
    <row r="35" spans="1:1" ht="15" customHeight="1">
      <c r="A35" s="2" t="s">
        <v>1841</v>
      </c>
    </row>
    <row r="36" spans="1:1" ht="15" customHeight="1">
      <c r="A36" s="4" t="s">
        <v>1842</v>
      </c>
    </row>
    <row r="37" spans="1:1" ht="15" customHeight="1">
      <c r="A37" s="4" t="s">
        <v>1843</v>
      </c>
    </row>
    <row r="38" spans="1:1" ht="15" customHeight="1">
      <c r="A38" s="2" t="s">
        <v>1844</v>
      </c>
    </row>
    <row r="39" spans="1:1" ht="15" customHeight="1">
      <c r="A39" s="4" t="s">
        <v>1845</v>
      </c>
    </row>
    <row r="40" spans="1:1" ht="15" customHeight="1">
      <c r="A40" s="4" t="s">
        <v>1846</v>
      </c>
    </row>
    <row r="41" spans="1:1" ht="15" customHeight="1">
      <c r="A41" s="4" t="s">
        <v>1847</v>
      </c>
    </row>
    <row r="42" spans="1:1" ht="15" customHeight="1">
      <c r="A42" s="4" t="s">
        <v>1848</v>
      </c>
    </row>
    <row r="43" spans="1:1" ht="15" customHeight="1">
      <c r="A43" s="4" t="s">
        <v>1849</v>
      </c>
    </row>
    <row r="44" spans="1:1" ht="15" customHeight="1">
      <c r="A44" s="4" t="s">
        <v>1850</v>
      </c>
    </row>
    <row r="45" spans="1:1" ht="15" customHeight="1">
      <c r="A45" s="2" t="s">
        <v>1851</v>
      </c>
    </row>
    <row r="46" spans="1:1" ht="15" customHeight="1">
      <c r="A46" s="4" t="s">
        <v>1852</v>
      </c>
    </row>
    <row r="47" spans="1:1" ht="15" customHeight="1">
      <c r="A47" s="4" t="s">
        <v>1853</v>
      </c>
    </row>
    <row r="48" spans="1:1" ht="15" customHeight="1">
      <c r="A48" s="2" t="s">
        <v>1854</v>
      </c>
    </row>
    <row r="49" spans="1:1" ht="15" customHeight="1">
      <c r="A49" s="2" t="s">
        <v>1855</v>
      </c>
    </row>
    <row r="50" spans="1:1" ht="15" customHeight="1"/>
    <row r="51" spans="1:1" ht="15" customHeight="1"/>
    <row r="52" spans="1:1" ht="15" customHeight="1">
      <c r="A52" s="5" t="s">
        <v>1856</v>
      </c>
    </row>
    <row r="53" spans="1:1" ht="15" customHeight="1">
      <c r="A53" s="10" t="str">
        <f>HYPERLINK("http://www.sba.gov/8a"," 8a")</f>
        <v> 8a</v>
      </c>
    </row>
    <row r="54" spans="1:1" ht="15" customHeight="1">
      <c r="A54" s="2" t="s">
        <v>1857</v>
      </c>
    </row>
    <row r="55" spans="1:1">
      <c r="A55" s="10" t="str">
        <f>HYPERLINK("http://www.sba.gov/hubzone","HUBZone")</f>
        <v>HUBZone</v>
      </c>
    </row>
    <row r="56" spans="1:1" ht="15" customHeight="1">
      <c r="A56" s="2" t="s">
        <v>1858</v>
      </c>
    </row>
    <row r="57" spans="1:1" ht="15" customHeight="1">
      <c r="A57" s="2" t="s">
        <v>1859</v>
      </c>
    </row>
    <row r="58" spans="1:1" ht="15" customHeight="1">
      <c r="A58" s="2" t="s">
        <v>1860</v>
      </c>
    </row>
    <row r="59" spans="1:1">
      <c r="A59" s="10" t="str">
        <f>HYPERLINK("http://www.sba.gov/wosb","WOSB ")</f>
        <v xml:space="preserve">WOSB </v>
      </c>
    </row>
    <row r="60" spans="1:1" ht="15" customHeight="1">
      <c r="A60" s="2" t="s">
        <v>1861</v>
      </c>
    </row>
    <row r="61" spans="1:1" ht="15" customHeight="1">
      <c r="A61" s="2" t="s">
        <v>1862</v>
      </c>
    </row>
    <row r="62" spans="1:1">
      <c r="A62" s="8" t="str">
        <f>HYPERLINK("http://www.sba.gov/content/service-disabled-veteran-owned-small-business-concerns-sdvosbc","SDVOSB ")</f>
        <v xml:space="preserve">SDVOSB </v>
      </c>
    </row>
    <row r="63" spans="1:1" ht="15" customHeight="1">
      <c r="A63" s="2" t="s">
        <v>1863</v>
      </c>
    </row>
    <row r="64" spans="1:1" ht="15" customHeight="1">
      <c r="A64" s="2" t="s">
        <v>1864</v>
      </c>
    </row>
    <row r="65" spans="1:1" ht="15" customHeight="1">
      <c r="A65" s="2" t="s">
        <v>1865</v>
      </c>
    </row>
    <row r="66" spans="1:1" ht="15" customHeight="1">
      <c r="A66" s="4" t="s">
        <v>1866</v>
      </c>
    </row>
    <row r="67" spans="1:1" ht="15" customHeight="1">
      <c r="A67" s="2" t="s">
        <v>1867</v>
      </c>
    </row>
    <row r="68" spans="1:1" ht="15" customHeight="1">
      <c r="A68" s="2" t="s">
        <v>1868</v>
      </c>
    </row>
    <row r="69" spans="1:1" ht="15" customHeight="1">
      <c r="A69" s="4" t="s">
        <v>1869</v>
      </c>
    </row>
    <row r="70" spans="1:1" ht="15" customHeight="1">
      <c r="A70" s="2" t="s">
        <v>1870</v>
      </c>
    </row>
    <row r="71" spans="1:1" ht="15" customHeight="1">
      <c r="A71" s="4" t="s">
        <v>1871</v>
      </c>
    </row>
    <row r="72" spans="1:1" ht="15" customHeight="1">
      <c r="A72" s="2" t="s">
        <v>1872</v>
      </c>
    </row>
    <row r="73" spans="1:1" ht="15" customHeight="1">
      <c r="A73" s="2" t="s">
        <v>1873</v>
      </c>
    </row>
    <row r="74" spans="1:1" ht="15" customHeight="1">
      <c r="A74" s="4" t="s">
        <v>1874</v>
      </c>
    </row>
    <row r="75" spans="1:1" ht="15" customHeight="1">
      <c r="A75" s="2" t="s">
        <v>1875</v>
      </c>
    </row>
    <row r="76" spans="1:1" ht="15" customHeight="1">
      <c r="A76" s="2" t="s">
        <v>1876</v>
      </c>
    </row>
    <row r="77" spans="1:1" ht="15" customHeight="1">
      <c r="A77" s="2" t="s">
        <v>1877</v>
      </c>
    </row>
    <row r="78" spans="1:1" ht="15" customHeight="1">
      <c r="A78" s="2" t="s">
        <v>1878</v>
      </c>
    </row>
    <row r="79" spans="1:1" ht="15" customHeight="1">
      <c r="A79" s="2" t="s">
        <v>1879</v>
      </c>
    </row>
    <row r="80" spans="1:1" ht="15" customHeight="1">
      <c r="A80" s="2" t="s">
        <v>1880</v>
      </c>
    </row>
    <row r="81" spans="1:1" ht="15" customHeight="1">
      <c r="A81" s="2" t="s">
        <v>1838</v>
      </c>
    </row>
    <row r="82" spans="1:1">
      <c r="A82" s="10" t="str">
        <f>HYPERLINK("http://www.gsa.gov/schedules","GSA Schedule")</f>
        <v>GSA Schedule</v>
      </c>
    </row>
    <row r="83" spans="1:1" ht="15" customHeight="1">
      <c r="A83" s="2" t="s">
        <v>1881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GSA Forecast</vt:lpstr>
      <vt:lpstr>Forecast LEGEND</vt:lpstr>
      <vt:lpstr>_FilterDatabase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YolandaGJohnson</cp:lastModifiedBy>
  <cp:lastPrinted>2013-03-28T23:58:16Z</cp:lastPrinted>
  <dcterms:created xsi:type="dcterms:W3CDTF">2012-10-18T17:23:55Z</dcterms:created>
  <dcterms:modified xsi:type="dcterms:W3CDTF">2013-04-16T18:33:27Z</dcterms:modified>
</cp:coreProperties>
</file>