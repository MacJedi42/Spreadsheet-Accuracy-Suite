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20115" windowHeight="7485"/>
  </bookViews>
  <sheets>
    <sheet name="Table S4" sheetId="6" r:id="rId1"/>
  </sheets>
  <externalReferences>
    <externalReference r:id="rId2"/>
  </externalReferences>
  <definedNames>
    <definedName name="_xlnm._FilterDatabase" localSheetId="0" hidden="1">'Table S4'!$B$4:$CB$4</definedName>
  </definedNames>
  <calcPr calcId="125725"/>
  <fileRecoveryPr repairLoad="1"/>
</workbook>
</file>

<file path=xl/calcChain.xml><?xml version="1.0" encoding="utf-8"?>
<calcChain xmlns="http://schemas.openxmlformats.org/spreadsheetml/2006/main">
  <c r="Q53" i="6"/>
  <c r="P53"/>
  <c r="M53"/>
  <c r="J53"/>
  <c r="I53"/>
  <c r="Q52"/>
  <c r="P52"/>
  <c r="M52"/>
  <c r="J52"/>
  <c r="I52"/>
  <c r="Q51"/>
  <c r="P51"/>
  <c r="M51"/>
  <c r="J51"/>
  <c r="I51"/>
  <c r="Q50"/>
  <c r="P50"/>
  <c r="M50"/>
  <c r="J50"/>
  <c r="I50"/>
  <c r="Q49"/>
  <c r="P49"/>
  <c r="M49"/>
  <c r="J49"/>
  <c r="I49"/>
  <c r="Q48"/>
  <c r="P48"/>
  <c r="M48"/>
  <c r="J48"/>
  <c r="I48"/>
  <c r="Q47"/>
  <c r="P47"/>
  <c r="M47"/>
  <c r="J47"/>
  <c r="I47"/>
  <c r="Q46"/>
  <c r="P46"/>
  <c r="M46"/>
  <c r="J46"/>
  <c r="I46"/>
  <c r="Q45"/>
  <c r="P45"/>
  <c r="M45"/>
  <c r="J45"/>
  <c r="I45"/>
  <c r="Q44"/>
  <c r="P44"/>
  <c r="M44"/>
  <c r="J44"/>
  <c r="I44"/>
  <c r="Q43"/>
  <c r="P43"/>
  <c r="M43"/>
  <c r="J43"/>
  <c r="I43"/>
  <c r="Q42"/>
  <c r="P42"/>
  <c r="M42"/>
  <c r="J42"/>
  <c r="I42"/>
  <c r="Q41"/>
  <c r="P41"/>
  <c r="M41"/>
  <c r="J41"/>
  <c r="I41"/>
  <c r="Q40"/>
  <c r="P40"/>
  <c r="M40"/>
  <c r="J40"/>
  <c r="I40"/>
  <c r="Q39"/>
  <c r="P39"/>
  <c r="M39"/>
  <c r="J39"/>
  <c r="I39"/>
  <c r="Q38"/>
  <c r="P38"/>
  <c r="M38"/>
  <c r="J38"/>
  <c r="I38"/>
  <c r="Q37"/>
  <c r="P37"/>
  <c r="M37"/>
  <c r="J37"/>
  <c r="I37"/>
  <c r="Q36"/>
  <c r="P36"/>
  <c r="M36"/>
  <c r="J36"/>
  <c r="I36"/>
  <c r="Q35"/>
  <c r="P35"/>
  <c r="M35"/>
  <c r="J35"/>
  <c r="I35"/>
  <c r="Q34"/>
  <c r="P34"/>
  <c r="M34"/>
  <c r="J34"/>
  <c r="I34"/>
  <c r="Q33"/>
  <c r="P33"/>
  <c r="M33"/>
  <c r="J33"/>
  <c r="I33"/>
  <c r="Q32"/>
  <c r="P32"/>
  <c r="M32"/>
  <c r="J32"/>
  <c r="I32"/>
  <c r="Q31"/>
  <c r="P31"/>
  <c r="M31"/>
  <c r="J31"/>
  <c r="I31"/>
  <c r="Q30"/>
  <c r="P30"/>
  <c r="M30"/>
  <c r="J30"/>
  <c r="I30"/>
  <c r="Q29"/>
  <c r="P29"/>
  <c r="M29"/>
  <c r="J29"/>
  <c r="I29"/>
  <c r="Q28"/>
  <c r="P28"/>
  <c r="M28"/>
  <c r="J28"/>
  <c r="I28"/>
  <c r="Q27"/>
  <c r="P27"/>
  <c r="M27"/>
  <c r="J27"/>
  <c r="I27"/>
  <c r="Q26"/>
  <c r="P26"/>
  <c r="M26"/>
  <c r="J26"/>
  <c r="I26"/>
  <c r="Q25"/>
  <c r="P25"/>
  <c r="M25"/>
  <c r="J25"/>
  <c r="I25"/>
  <c r="Q24"/>
  <c r="P24"/>
  <c r="M24"/>
  <c r="J24"/>
  <c r="I24"/>
  <c r="Q23"/>
  <c r="P23"/>
  <c r="M23"/>
  <c r="J23"/>
  <c r="I23"/>
  <c r="Q22"/>
  <c r="P22"/>
  <c r="M22"/>
  <c r="J22"/>
  <c r="I22"/>
  <c r="Q21"/>
  <c r="P21"/>
  <c r="M21"/>
  <c r="J21"/>
  <c r="I21"/>
  <c r="Q20"/>
  <c r="P20"/>
  <c r="M20"/>
  <c r="J20"/>
  <c r="I20"/>
  <c r="Q19"/>
  <c r="P19"/>
  <c r="M19"/>
  <c r="J19"/>
  <c r="I19"/>
  <c r="Q18"/>
  <c r="P18"/>
  <c r="M18"/>
  <c r="J18"/>
  <c r="I18"/>
  <c r="Q17"/>
  <c r="P17"/>
  <c r="M17"/>
  <c r="J17"/>
  <c r="I17"/>
  <c r="Q16"/>
  <c r="P16"/>
  <c r="M16"/>
  <c r="J16"/>
  <c r="I16"/>
  <c r="Q15"/>
  <c r="P15"/>
  <c r="M15"/>
  <c r="J15"/>
  <c r="I15"/>
  <c r="Q14"/>
  <c r="P14"/>
  <c r="M14"/>
  <c r="J14"/>
  <c r="I14"/>
  <c r="Q13"/>
  <c r="P13"/>
  <c r="M13"/>
  <c r="J13"/>
  <c r="I13"/>
  <c r="Q12"/>
  <c r="P12"/>
  <c r="M12"/>
  <c r="J12"/>
  <c r="I12"/>
  <c r="Q11"/>
  <c r="P11"/>
  <c r="M11"/>
  <c r="J11"/>
  <c r="I11"/>
  <c r="Q10"/>
  <c r="P10"/>
  <c r="M10"/>
  <c r="J10"/>
  <c r="I10"/>
  <c r="Q9"/>
  <c r="P9"/>
  <c r="M9"/>
  <c r="J9"/>
  <c r="I9"/>
  <c r="Q8"/>
  <c r="P8"/>
  <c r="M8"/>
  <c r="J8"/>
  <c r="I8"/>
  <c r="Q7"/>
  <c r="P7"/>
  <c r="M7"/>
  <c r="J7"/>
  <c r="I7"/>
  <c r="Q6"/>
  <c r="P6"/>
  <c r="M6"/>
  <c r="J6"/>
  <c r="I6"/>
  <c r="Q5"/>
  <c r="P5"/>
  <c r="M5"/>
  <c r="J5"/>
  <c r="I5"/>
  <c r="Q4"/>
  <c r="P4"/>
  <c r="M4"/>
  <c r="J4"/>
  <c r="I4"/>
  <c r="Q3"/>
  <c r="P3"/>
  <c r="M3"/>
  <c r="J3"/>
  <c r="I3"/>
  <c r="Q2"/>
  <c r="P2"/>
  <c r="M2"/>
  <c r="J2"/>
  <c r="I2"/>
</calcChain>
</file>

<file path=xl/sharedStrings.xml><?xml version="1.0" encoding="utf-8"?>
<sst xmlns="http://schemas.openxmlformats.org/spreadsheetml/2006/main" count="173" uniqueCount="77">
  <si>
    <t>% Coverage</t>
  </si>
  <si>
    <t xml:space="preserve">Total reads </t>
  </si>
  <si>
    <t>E value</t>
  </si>
  <si>
    <t>Comments</t>
  </si>
  <si>
    <t>Class</t>
  </si>
  <si>
    <t>DBase</t>
  </si>
  <si>
    <t>Evalue</t>
  </si>
  <si>
    <t>Best match to NR-LIGHT protein database</t>
  </si>
  <si>
    <t>met/aa</t>
  </si>
  <si>
    <t>pm/protease</t>
  </si>
  <si>
    <t>s/protinh</t>
  </si>
  <si>
    <t>Trypsin</t>
  </si>
  <si>
    <t>ab-tri_asb-10425</t>
  </si>
  <si>
    <t>ab-tri_asb-10899</t>
  </si>
  <si>
    <t>ab-tri_asb-11922</t>
  </si>
  <si>
    <t>ab-tri_asb-12326</t>
  </si>
  <si>
    <t>trypsin</t>
  </si>
  <si>
    <t>ab-tri_asb-1271</t>
  </si>
  <si>
    <t>ab-tri_asb-13739</t>
  </si>
  <si>
    <t>ab-tri_asb-1390</t>
  </si>
  <si>
    <t>ab-tri_asb-1468</t>
  </si>
  <si>
    <t>Trypsin-like serine protease</t>
  </si>
  <si>
    <t>ab-tri_asb-14726</t>
  </si>
  <si>
    <t>ab-tri_asb-1633</t>
  </si>
  <si>
    <t>ab-tri_asb-16536</t>
  </si>
  <si>
    <t>ab-tri_asb-1766</t>
  </si>
  <si>
    <t>trypsin-like serine protease precursor</t>
  </si>
  <si>
    <t>ab-tri_asb-18069</t>
  </si>
  <si>
    <t>ab-tri_asb-18319</t>
  </si>
  <si>
    <t>ab-tri_asb-20282</t>
  </si>
  <si>
    <t>ab-tri_asb-22530</t>
  </si>
  <si>
    <t>ab-tri_asb-22762</t>
  </si>
  <si>
    <t>Trypsin Inhibitor like cysteine rich domain</t>
  </si>
  <si>
    <t>ab-tri_asb-23436</t>
  </si>
  <si>
    <t>ab-tri_asb-23524</t>
  </si>
  <si>
    <t>ab-tri_asb-23957</t>
  </si>
  <si>
    <t>ab-tri_asb-268</t>
  </si>
  <si>
    <t>ab-tri_asb-28587</t>
  </si>
  <si>
    <t>ab-tri_asb-31595</t>
  </si>
  <si>
    <t>ab-tri_asb-34122</t>
  </si>
  <si>
    <t>ab-tri_asb-35460</t>
  </si>
  <si>
    <t>ab-tri_asb-36171</t>
  </si>
  <si>
    <t>ab-tri_asb-36585</t>
  </si>
  <si>
    <t>ab-tri_asb-38244</t>
  </si>
  <si>
    <t>ab-tri_asb-38831</t>
  </si>
  <si>
    <t>ab-tri_asb-39791</t>
  </si>
  <si>
    <t>ab-tri_asb-4029</t>
  </si>
  <si>
    <t>ab-tri_asb-4144</t>
  </si>
  <si>
    <t>ab-tri_asb-51923</t>
  </si>
  <si>
    <t>ab-tri_asb-54448</t>
  </si>
  <si>
    <t>ab-tri_asb-54500</t>
  </si>
  <si>
    <t>ab-tri_asb-54665</t>
  </si>
  <si>
    <t>ab-tri_asb-54789</t>
  </si>
  <si>
    <t>ab-tri_asb-55502</t>
  </si>
  <si>
    <t>ab-tri_asb-55565</t>
  </si>
  <si>
    <t>ab-tri_asb-55610</t>
  </si>
  <si>
    <t>ab-tri_asb-55861</t>
  </si>
  <si>
    <t>ab-tri_asb-56229</t>
  </si>
  <si>
    <t>ab-tri_asb-56389</t>
  </si>
  <si>
    <t>ab-tri_asb-57045</t>
  </si>
  <si>
    <t>ab-tri_asb-57264</t>
  </si>
  <si>
    <t>ab-tri_asb-57606</t>
  </si>
  <si>
    <t>ab-tri_asb-57754</t>
  </si>
  <si>
    <t>ab-tri_asb-57829</t>
  </si>
  <si>
    <t>ab-tri_asb-6078</t>
  </si>
  <si>
    <t>ab-tri_asb-6131</t>
  </si>
  <si>
    <t>ab-tri_asb-7372</t>
  </si>
  <si>
    <t>ab-tri_asb-7948</t>
  </si>
  <si>
    <t>Feature ID</t>
  </si>
  <si>
    <t>Kal's Z-test: Dry (48) vs Lactating (192) original values - Bonferroni</t>
  </si>
  <si>
    <t>Dry (48)   RNA-Seq - Unique gene reads</t>
  </si>
  <si>
    <t>Dry (48)   RNA-Seq - Total gene reads</t>
  </si>
  <si>
    <t>Dry (48)  RNA-Seq - RPKM</t>
  </si>
  <si>
    <t>Lactating (192)  RNA-Seq - Unique gene reads</t>
  </si>
  <si>
    <t>Lactating (192)  RNA-Seq - Total gene reads</t>
  </si>
  <si>
    <t>Lactating (192) -  RNA-Seq - RPKM</t>
  </si>
  <si>
    <t xml:space="preserve">Fold change (Lactaing/Dry)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</si>
</sst>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1" fontId="0" fillId="0" borderId="0" xfId="0" applyNumberFormat="1"/>
    <xf numFmtId="0" fontId="0" fillId="0" borderId="0" xfId="0" applyBorder="1"/>
    <xf numFmtId="0" fontId="0" fillId="2" borderId="1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0" fillId="0" borderId="1" xfId="0" applyBorder="1"/>
    <xf numFmtId="0" fontId="0" fillId="4" borderId="4" xfId="0" applyFill="1" applyBorder="1"/>
    <xf numFmtId="0" fontId="0" fillId="5" borderId="4" xfId="0" applyFill="1" applyBorder="1"/>
    <xf numFmtId="11" fontId="0" fillId="0" borderId="0" xfId="0" applyNumberFormat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hua%20Benoit/Dropbox/Transcriptional%20Analysis%20of%20Partuition/Transcriptome%20paper/Transcriptome%20(CLC)/Removal%20of%20milk/48%20vs.%20192(milk%20only,over%2050,sig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48 vs. 192"/>
    </sheetNames>
    <sheetDataSet>
      <sheetData sheetId="0">
        <row r="2">
          <cell r="AE2">
            <v>3456</v>
          </cell>
          <cell r="AF2">
            <v>74.720544771039911</v>
          </cell>
        </row>
        <row r="3">
          <cell r="AE3">
            <v>6369</v>
          </cell>
          <cell r="AF3">
            <v>45.402920113602796</v>
          </cell>
        </row>
        <row r="4">
          <cell r="AE4">
            <v>154336</v>
          </cell>
          <cell r="AF4">
            <v>43.915985199119675</v>
          </cell>
        </row>
        <row r="5">
          <cell r="AE5">
            <v>3147</v>
          </cell>
          <cell r="AF5">
            <v>40.960444088124603</v>
          </cell>
        </row>
        <row r="6">
          <cell r="AE6">
            <v>1680</v>
          </cell>
          <cell r="AF6">
            <v>40.050211997277387</v>
          </cell>
        </row>
        <row r="7">
          <cell r="AE7">
            <v>134545</v>
          </cell>
          <cell r="AF7">
            <v>39.585306944234468</v>
          </cell>
        </row>
        <row r="8">
          <cell r="AE8">
            <v>1395</v>
          </cell>
          <cell r="AF8">
            <v>34.995586909824695</v>
          </cell>
        </row>
        <row r="9">
          <cell r="AE9">
            <v>2746</v>
          </cell>
          <cell r="AF9">
            <v>32.403809582374308</v>
          </cell>
        </row>
        <row r="10">
          <cell r="AE10">
            <v>1809</v>
          </cell>
          <cell r="AF10">
            <v>26.915265967791221</v>
          </cell>
        </row>
        <row r="11">
          <cell r="AE11">
            <v>238120</v>
          </cell>
          <cell r="AF11">
            <v>25.159869009766993</v>
          </cell>
        </row>
        <row r="12">
          <cell r="AE12">
            <v>24492</v>
          </cell>
          <cell r="AF12">
            <v>24.088459418586041</v>
          </cell>
        </row>
        <row r="13">
          <cell r="AE13">
            <v>126708</v>
          </cell>
          <cell r="AF13">
            <v>22.553067033110406</v>
          </cell>
        </row>
        <row r="14">
          <cell r="AE14">
            <v>2727</v>
          </cell>
          <cell r="AF14">
            <v>18.086016739214635</v>
          </cell>
        </row>
        <row r="15">
          <cell r="AE15">
            <v>6691</v>
          </cell>
          <cell r="AF15">
            <v>16.386894745968789</v>
          </cell>
        </row>
        <row r="16">
          <cell r="AE16">
            <v>838</v>
          </cell>
          <cell r="AF16">
            <v>14.90425799699676</v>
          </cell>
        </row>
        <row r="17">
          <cell r="AE17">
            <v>1754</v>
          </cell>
          <cell r="AF17">
            <v>14.504303053379477</v>
          </cell>
        </row>
        <row r="18">
          <cell r="AE18">
            <v>6411</v>
          </cell>
          <cell r="AF18">
            <v>14.020739801218953</v>
          </cell>
        </row>
        <row r="19">
          <cell r="AE19">
            <v>15491</v>
          </cell>
          <cell r="AF19">
            <v>13.954951266286596</v>
          </cell>
        </row>
        <row r="20">
          <cell r="AE20">
            <v>2178</v>
          </cell>
          <cell r="AF20">
            <v>13.463708160931754</v>
          </cell>
        </row>
        <row r="21">
          <cell r="AE21">
            <v>2056</v>
          </cell>
          <cell r="AF21">
            <v>12.553051521534703</v>
          </cell>
        </row>
        <row r="22">
          <cell r="AE22">
            <v>5353</v>
          </cell>
          <cell r="AF22">
            <v>11.557886101885918</v>
          </cell>
        </row>
        <row r="23">
          <cell r="AE23">
            <v>30431</v>
          </cell>
          <cell r="AF23">
            <v>11.331214272840008</v>
          </cell>
        </row>
        <row r="24">
          <cell r="AE24">
            <v>3992747</v>
          </cell>
          <cell r="AF24">
            <v>11.082178358883905</v>
          </cell>
        </row>
        <row r="25">
          <cell r="AE25">
            <v>10823</v>
          </cell>
          <cell r="AF25">
            <v>11.026265013584315</v>
          </cell>
        </row>
        <row r="26">
          <cell r="AE26">
            <v>9298</v>
          </cell>
          <cell r="AF26">
            <v>10.306880370159117</v>
          </cell>
        </row>
        <row r="27">
          <cell r="AE27">
            <v>3290</v>
          </cell>
          <cell r="AF27">
            <v>10.101735585013815</v>
          </cell>
        </row>
        <row r="28">
          <cell r="AE28">
            <v>3581</v>
          </cell>
          <cell r="AF28">
            <v>9.2029098361153405</v>
          </cell>
        </row>
        <row r="29">
          <cell r="AE29">
            <v>427</v>
          </cell>
          <cell r="AF29">
            <v>9.1457946799752854</v>
          </cell>
        </row>
        <row r="30">
          <cell r="AE30">
            <v>9146</v>
          </cell>
          <cell r="AF30">
            <v>8.9056361227698897</v>
          </cell>
        </row>
        <row r="31">
          <cell r="AE31">
            <v>4788</v>
          </cell>
          <cell r="AF31">
            <v>8.416323145149903</v>
          </cell>
        </row>
        <row r="32">
          <cell r="AE32">
            <v>4819</v>
          </cell>
          <cell r="AF32">
            <v>7.0883917415684143</v>
          </cell>
        </row>
        <row r="33">
          <cell r="AE33">
            <v>716</v>
          </cell>
          <cell r="AF33">
            <v>6.9413861183219101</v>
          </cell>
        </row>
        <row r="34">
          <cell r="AE34">
            <v>3749</v>
          </cell>
          <cell r="AF34">
            <v>6.7276901147461023</v>
          </cell>
        </row>
        <row r="35">
          <cell r="AE35">
            <v>1577</v>
          </cell>
          <cell r="AF35">
            <v>5.7682662262819901</v>
          </cell>
        </row>
        <row r="36">
          <cell r="AE36">
            <v>5302</v>
          </cell>
          <cell r="AF36">
            <v>5.7110793651361513</v>
          </cell>
        </row>
        <row r="37">
          <cell r="AE37">
            <v>6930</v>
          </cell>
          <cell r="AF37">
            <v>5.6261224516558519</v>
          </cell>
        </row>
        <row r="38">
          <cell r="AE38">
            <v>8335</v>
          </cell>
          <cell r="AF38">
            <v>5.5086599181666713</v>
          </cell>
        </row>
        <row r="39">
          <cell r="AE39">
            <v>1669</v>
          </cell>
          <cell r="AF39">
            <v>5.3499196733441456</v>
          </cell>
        </row>
        <row r="40">
          <cell r="AE40">
            <v>12192</v>
          </cell>
          <cell r="AF40">
            <v>5.1125278870757258</v>
          </cell>
        </row>
        <row r="41">
          <cell r="AE41">
            <v>9769</v>
          </cell>
          <cell r="AF41">
            <v>4.7459678604853117</v>
          </cell>
        </row>
        <row r="42">
          <cell r="AE42">
            <v>2386</v>
          </cell>
          <cell r="AF42">
            <v>4.7392218503329486</v>
          </cell>
        </row>
        <row r="43">
          <cell r="AE43">
            <v>6222</v>
          </cell>
          <cell r="AF43">
            <v>4.6863059438282866</v>
          </cell>
        </row>
        <row r="44">
          <cell r="AE44">
            <v>9622</v>
          </cell>
          <cell r="AF44">
            <v>4.6499727816887324</v>
          </cell>
        </row>
        <row r="45">
          <cell r="AE45">
            <v>4863</v>
          </cell>
          <cell r="AF45">
            <v>4.6379637258767596</v>
          </cell>
        </row>
        <row r="46">
          <cell r="AE46">
            <v>4062</v>
          </cell>
          <cell r="AF46">
            <v>4.5299330267442937</v>
          </cell>
        </row>
        <row r="47">
          <cell r="AE47">
            <v>2626</v>
          </cell>
          <cell r="AF47">
            <v>4.19803976728896</v>
          </cell>
        </row>
        <row r="48">
          <cell r="AE48">
            <v>4700</v>
          </cell>
          <cell r="AF48">
            <v>4.0802103750931611</v>
          </cell>
        </row>
        <row r="49">
          <cell r="AE49">
            <v>2186</v>
          </cell>
          <cell r="AF49">
            <v>4.0751779746983914</v>
          </cell>
        </row>
        <row r="50">
          <cell r="AE50">
            <v>568</v>
          </cell>
          <cell r="AF50">
            <v>4.0272238758882768</v>
          </cell>
        </row>
        <row r="51">
          <cell r="AE51">
            <v>10194</v>
          </cell>
          <cell r="AF51">
            <v>3.9862926357396007</v>
          </cell>
        </row>
        <row r="52">
          <cell r="AE52">
            <v>11263</v>
          </cell>
          <cell r="AF52">
            <v>3.9660054422185498</v>
          </cell>
        </row>
        <row r="53">
          <cell r="AE53">
            <v>2813</v>
          </cell>
          <cell r="AF53">
            <v>3.881097722550662</v>
          </cell>
        </row>
        <row r="54">
          <cell r="AE54">
            <v>8486</v>
          </cell>
          <cell r="AF54">
            <v>3.720433385730213</v>
          </cell>
        </row>
        <row r="55">
          <cell r="AE55">
            <v>9918</v>
          </cell>
          <cell r="AF55">
            <v>3.7182906605245343</v>
          </cell>
        </row>
        <row r="56">
          <cell r="AE56">
            <v>3880</v>
          </cell>
          <cell r="AF56">
            <v>3.5921381399526555</v>
          </cell>
        </row>
        <row r="57">
          <cell r="AE57">
            <v>1673</v>
          </cell>
          <cell r="AF57">
            <v>3.5451042807384487</v>
          </cell>
        </row>
        <row r="58">
          <cell r="AE58">
            <v>2196</v>
          </cell>
          <cell r="AF58">
            <v>3.2880896243503801</v>
          </cell>
        </row>
        <row r="59">
          <cell r="AE59">
            <v>21739</v>
          </cell>
          <cell r="AF59">
            <v>3.2854456105736349</v>
          </cell>
        </row>
        <row r="60">
          <cell r="AE60">
            <v>7875</v>
          </cell>
          <cell r="AF60">
            <v>3.2793301157703802</v>
          </cell>
        </row>
        <row r="61">
          <cell r="AE61">
            <v>3766</v>
          </cell>
          <cell r="AF61">
            <v>3.1835246989553747</v>
          </cell>
        </row>
        <row r="62">
          <cell r="AE62">
            <v>11307</v>
          </cell>
          <cell r="AF62">
            <v>3.0264751197968147</v>
          </cell>
        </row>
        <row r="63">
          <cell r="AE63">
            <v>2986</v>
          </cell>
          <cell r="AF63">
            <v>2.8030787027240582</v>
          </cell>
        </row>
        <row r="64">
          <cell r="AE64">
            <v>2464</v>
          </cell>
          <cell r="AF64">
            <v>2.7903937881301211</v>
          </cell>
        </row>
        <row r="65">
          <cell r="AE65">
            <v>6498</v>
          </cell>
          <cell r="AF65">
            <v>2.7532611190702334</v>
          </cell>
        </row>
        <row r="66">
          <cell r="AE66">
            <v>10282</v>
          </cell>
          <cell r="AF66">
            <v>2.7226607320245488</v>
          </cell>
        </row>
        <row r="67">
          <cell r="AE67">
            <v>5304</v>
          </cell>
          <cell r="AF67">
            <v>2.7145867677577415</v>
          </cell>
        </row>
        <row r="68">
          <cell r="AE68">
            <v>4467</v>
          </cell>
          <cell r="AF68">
            <v>2.6620129120432323</v>
          </cell>
        </row>
        <row r="69">
          <cell r="AE69">
            <v>1203</v>
          </cell>
          <cell r="AF69">
            <v>2.5915271869370429</v>
          </cell>
        </row>
        <row r="70">
          <cell r="AE70">
            <v>11676</v>
          </cell>
          <cell r="AF70">
            <v>2.5779991881087971</v>
          </cell>
        </row>
        <row r="71">
          <cell r="AE71">
            <v>8083</v>
          </cell>
          <cell r="AF71">
            <v>2.5478833020220186</v>
          </cell>
        </row>
        <row r="72">
          <cell r="AE72">
            <v>1275</v>
          </cell>
          <cell r="AF72">
            <v>2.4566115165616242</v>
          </cell>
        </row>
        <row r="73">
          <cell r="AE73">
            <v>18739</v>
          </cell>
          <cell r="AF73">
            <v>2.4331588086730576</v>
          </cell>
        </row>
        <row r="74">
          <cell r="AE74">
            <v>16048</v>
          </cell>
          <cell r="AF74">
            <v>2.3878441127179917</v>
          </cell>
        </row>
        <row r="75">
          <cell r="AE75">
            <v>2013</v>
          </cell>
          <cell r="AF75">
            <v>2.3751814739690373</v>
          </cell>
        </row>
        <row r="76">
          <cell r="AE76">
            <v>1829</v>
          </cell>
          <cell r="AF76">
            <v>2.1968930973558303</v>
          </cell>
        </row>
        <row r="77">
          <cell r="AE77">
            <v>4833</v>
          </cell>
          <cell r="AF77">
            <v>2.1480372706894313</v>
          </cell>
        </row>
        <row r="78">
          <cell r="AE78">
            <v>40977</v>
          </cell>
          <cell r="AF78">
            <v>2.1329609495380883</v>
          </cell>
        </row>
        <row r="79">
          <cell r="AE79">
            <v>12304</v>
          </cell>
          <cell r="AF79">
            <v>2.1307115473533029</v>
          </cell>
        </row>
        <row r="80">
          <cell r="AE80">
            <v>2557</v>
          </cell>
          <cell r="AF80">
            <v>2.1225484212330241</v>
          </cell>
        </row>
        <row r="81">
          <cell r="AE81">
            <v>6142</v>
          </cell>
          <cell r="AF81">
            <v>2.1097565582411266</v>
          </cell>
        </row>
        <row r="82">
          <cell r="AE82">
            <v>1332</v>
          </cell>
          <cell r="AF82">
            <v>2.1097565582411262</v>
          </cell>
        </row>
        <row r="83">
          <cell r="AE83">
            <v>43087</v>
          </cell>
          <cell r="AF83">
            <v>2.0936035853469019</v>
          </cell>
        </row>
        <row r="84">
          <cell r="AE84">
            <v>5761</v>
          </cell>
          <cell r="AF84">
            <v>2.0818612399072935</v>
          </cell>
        </row>
        <row r="85">
          <cell r="AE85">
            <v>5200</v>
          </cell>
          <cell r="AF85">
            <v>2.0552929706563217</v>
          </cell>
        </row>
        <row r="86">
          <cell r="AE86">
            <v>28192</v>
          </cell>
          <cell r="AF86">
            <v>2.0460537022602128</v>
          </cell>
        </row>
        <row r="87">
          <cell r="AE87">
            <v>10388</v>
          </cell>
          <cell r="AF87">
            <v>2.0201620857729337</v>
          </cell>
        </row>
        <row r="88">
          <cell r="AE88">
            <v>3490</v>
          </cell>
          <cell r="AF88">
            <v>1.997496041196013</v>
          </cell>
        </row>
        <row r="89">
          <cell r="AE89">
            <v>11263</v>
          </cell>
          <cell r="AF89">
            <v>1.9714524796701289</v>
          </cell>
        </row>
        <row r="90">
          <cell r="AE90">
            <v>7159</v>
          </cell>
          <cell r="AF90">
            <v>1.9550821431245291</v>
          </cell>
        </row>
        <row r="91">
          <cell r="AE91">
            <v>1976</v>
          </cell>
          <cell r="AF91">
            <v>1.9250144965567384</v>
          </cell>
        </row>
        <row r="92">
          <cell r="AE92">
            <v>7121</v>
          </cell>
          <cell r="AF92">
            <v>1.9156932698313198</v>
          </cell>
        </row>
        <row r="93">
          <cell r="AE93">
            <v>83573</v>
          </cell>
          <cell r="AF93">
            <v>1.8764151065822812</v>
          </cell>
        </row>
        <row r="94">
          <cell r="AE94">
            <v>25011</v>
          </cell>
          <cell r="AF94">
            <v>1.8264352029902806</v>
          </cell>
        </row>
        <row r="95">
          <cell r="AE95">
            <v>61796</v>
          </cell>
          <cell r="AF95">
            <v>1.8200734790868898</v>
          </cell>
        </row>
        <row r="96">
          <cell r="AE96">
            <v>1210</v>
          </cell>
          <cell r="AF96">
            <v>1.7873746155131922</v>
          </cell>
        </row>
        <row r="97">
          <cell r="AE97">
            <v>1740</v>
          </cell>
          <cell r="AF97">
            <v>1.7606134740583981</v>
          </cell>
        </row>
        <row r="98">
          <cell r="AE98">
            <v>4484</v>
          </cell>
          <cell r="AF98">
            <v>1.7521770075409993</v>
          </cell>
        </row>
        <row r="99">
          <cell r="AE99">
            <v>203153</v>
          </cell>
          <cell r="AF99">
            <v>1.7059132490560354</v>
          </cell>
        </row>
        <row r="100">
          <cell r="AE100">
            <v>133757</v>
          </cell>
          <cell r="AF100">
            <v>1.7009455084650571</v>
          </cell>
        </row>
        <row r="101">
          <cell r="AE101">
            <v>2299</v>
          </cell>
          <cell r="AF101">
            <v>1.6946771270914025</v>
          </cell>
        </row>
        <row r="102">
          <cell r="AE102">
            <v>6366</v>
          </cell>
          <cell r="AF102">
            <v>1.6925401200900227</v>
          </cell>
        </row>
        <row r="103">
          <cell r="AE103">
            <v>1729</v>
          </cell>
          <cell r="AF103">
            <v>1.6866213203537088</v>
          </cell>
        </row>
        <row r="104">
          <cell r="AE104">
            <v>7225</v>
          </cell>
          <cell r="AF104">
            <v>1.6821743244484542</v>
          </cell>
        </row>
        <row r="105">
          <cell r="AE105">
            <v>3806</v>
          </cell>
          <cell r="AF105">
            <v>1.6783617787838869</v>
          </cell>
        </row>
        <row r="106">
          <cell r="AE106">
            <v>1978</v>
          </cell>
          <cell r="AF106">
            <v>1.6572260902526359</v>
          </cell>
        </row>
        <row r="107">
          <cell r="AE107">
            <v>35463</v>
          </cell>
          <cell r="AF107">
            <v>1.6543677897024214</v>
          </cell>
        </row>
        <row r="108">
          <cell r="AE108">
            <v>6371</v>
          </cell>
          <cell r="AF108">
            <v>1.6459213076958508</v>
          </cell>
        </row>
        <row r="109">
          <cell r="AE109">
            <v>18599</v>
          </cell>
          <cell r="AF109">
            <v>1.6423741991577645</v>
          </cell>
        </row>
        <row r="110">
          <cell r="AE110">
            <v>32080</v>
          </cell>
          <cell r="AF110">
            <v>1.6043470052327604</v>
          </cell>
        </row>
        <row r="111">
          <cell r="AE111">
            <v>28710</v>
          </cell>
          <cell r="AF111">
            <v>1.6021724777628874</v>
          </cell>
        </row>
        <row r="112">
          <cell r="AE112">
            <v>7836</v>
          </cell>
          <cell r="AF112">
            <v>1.6001492176517311</v>
          </cell>
        </row>
        <row r="113">
          <cell r="AE113">
            <v>41007</v>
          </cell>
          <cell r="AF113">
            <v>1.5838627971930814</v>
          </cell>
        </row>
        <row r="114">
          <cell r="AE114">
            <v>35245</v>
          </cell>
          <cell r="AF114">
            <v>1.5767210236516531</v>
          </cell>
        </row>
        <row r="115">
          <cell r="AE115">
            <v>18730</v>
          </cell>
          <cell r="AF115">
            <v>1.572613257339702</v>
          </cell>
        </row>
        <row r="116">
          <cell r="AE116">
            <v>64000</v>
          </cell>
          <cell r="AF116">
            <v>1.533974182650411</v>
          </cell>
        </row>
        <row r="117">
          <cell r="AE117">
            <v>7689</v>
          </cell>
          <cell r="AF117">
            <v>1.5173024716819858</v>
          </cell>
        </row>
        <row r="118">
          <cell r="AE118">
            <v>14779</v>
          </cell>
          <cell r="AF118">
            <v>1.4270080613527298</v>
          </cell>
        </row>
        <row r="119">
          <cell r="AE119">
            <v>17005</v>
          </cell>
          <cell r="AF119">
            <v>1.406932419456298</v>
          </cell>
        </row>
        <row r="120">
          <cell r="AE120">
            <v>34956</v>
          </cell>
          <cell r="AF120">
            <v>1.3881093165017058</v>
          </cell>
        </row>
        <row r="121">
          <cell r="AE121">
            <v>46070</v>
          </cell>
          <cell r="AF121">
            <v>1.3762385737127742</v>
          </cell>
        </row>
        <row r="122">
          <cell r="AE122">
            <v>17691</v>
          </cell>
          <cell r="AF122">
            <v>1.3634380479892916</v>
          </cell>
        </row>
        <row r="123">
          <cell r="AE123">
            <v>3153</v>
          </cell>
          <cell r="AF123">
            <v>1.3619820727685532</v>
          </cell>
        </row>
        <row r="124">
          <cell r="AE124">
            <v>24841</v>
          </cell>
          <cell r="AF124">
            <v>1.3618307489795425</v>
          </cell>
        </row>
        <row r="125">
          <cell r="AE125">
            <v>12852</v>
          </cell>
          <cell r="AF125">
            <v>1.3574113128549488</v>
          </cell>
        </row>
        <row r="126">
          <cell r="AE126">
            <v>26290</v>
          </cell>
          <cell r="AF126">
            <v>1.3528981119305004</v>
          </cell>
        </row>
        <row r="127">
          <cell r="AE127">
            <v>27206</v>
          </cell>
          <cell r="AF127">
            <v>1.3397875435904623</v>
          </cell>
        </row>
        <row r="128">
          <cell r="AE128">
            <v>28527</v>
          </cell>
          <cell r="AF128">
            <v>1.3279559515110844</v>
          </cell>
        </row>
        <row r="129">
          <cell r="AE129">
            <v>6515</v>
          </cell>
          <cell r="AF129">
            <v>1.3214241690033868</v>
          </cell>
        </row>
        <row r="130">
          <cell r="AE130">
            <v>26393</v>
          </cell>
          <cell r="AF130">
            <v>1.3119676600055623</v>
          </cell>
        </row>
        <row r="131">
          <cell r="AE131">
            <v>34472</v>
          </cell>
          <cell r="AF131">
            <v>1.3063057454075422</v>
          </cell>
        </row>
        <row r="132">
          <cell r="AE132">
            <v>33348</v>
          </cell>
          <cell r="AF132">
            <v>1.3033689723359356</v>
          </cell>
        </row>
        <row r="133">
          <cell r="AE133">
            <v>17956</v>
          </cell>
          <cell r="AF133">
            <v>1.2910335965497377</v>
          </cell>
        </row>
        <row r="134">
          <cell r="AE134">
            <v>7330</v>
          </cell>
          <cell r="AF134">
            <v>1.2779308124392805</v>
          </cell>
        </row>
        <row r="135">
          <cell r="AE135">
            <v>14774</v>
          </cell>
          <cell r="AF135">
            <v>1.2657199589480206</v>
          </cell>
        </row>
        <row r="136">
          <cell r="AE136">
            <v>438886</v>
          </cell>
          <cell r="AF136">
            <v>1.2426429099776084</v>
          </cell>
        </row>
        <row r="137">
          <cell r="AE137">
            <v>903771</v>
          </cell>
          <cell r="AF137">
            <v>1.2378298558355545</v>
          </cell>
        </row>
        <row r="138">
          <cell r="AE138">
            <v>32819</v>
          </cell>
          <cell r="AF138">
            <v>1.2363623055103929</v>
          </cell>
        </row>
        <row r="139">
          <cell r="AE139">
            <v>116270</v>
          </cell>
          <cell r="AF139">
            <v>1.230683166197736</v>
          </cell>
        </row>
        <row r="140">
          <cell r="AE140">
            <v>53258</v>
          </cell>
          <cell r="AF140">
            <v>1.2294693815649573</v>
          </cell>
        </row>
        <row r="141">
          <cell r="AE141">
            <v>31391</v>
          </cell>
          <cell r="AF141">
            <v>1.2213945976304854</v>
          </cell>
        </row>
        <row r="142">
          <cell r="AE142">
            <v>20746</v>
          </cell>
          <cell r="AF142">
            <v>1.2079700848754755</v>
          </cell>
        </row>
        <row r="143">
          <cell r="AE143">
            <v>141331</v>
          </cell>
          <cell r="AF143">
            <v>1.1683426864221627</v>
          </cell>
        </row>
        <row r="144">
          <cell r="AE144">
            <v>134537</v>
          </cell>
          <cell r="AF144">
            <v>1.1502823237195279</v>
          </cell>
        </row>
        <row r="145">
          <cell r="AE145">
            <v>35192</v>
          </cell>
          <cell r="AF145">
            <v>1.1352252492991477</v>
          </cell>
        </row>
        <row r="146">
          <cell r="AE146">
            <v>58675</v>
          </cell>
          <cell r="AF146">
            <v>1.1300940048320911</v>
          </cell>
        </row>
        <row r="147">
          <cell r="AE147">
            <v>72553</v>
          </cell>
          <cell r="AF147">
            <v>1.1096898665369708</v>
          </cell>
        </row>
        <row r="148">
          <cell r="AE148">
            <v>197570</v>
          </cell>
          <cell r="AF148">
            <v>1.0698140127775178</v>
          </cell>
        </row>
        <row r="149">
          <cell r="AE149">
            <v>8128426</v>
          </cell>
          <cell r="AF149">
            <v>1.0385216232762262</v>
          </cell>
        </row>
        <row r="150">
          <cell r="AE150">
            <v>448600</v>
          </cell>
          <cell r="AF150">
            <v>1.0205470825542871</v>
          </cell>
        </row>
        <row r="151">
          <cell r="AE151">
            <v>915947</v>
          </cell>
          <cell r="AF151">
            <v>1.0070844068923528</v>
          </cell>
        </row>
        <row r="152">
          <cell r="AE152">
            <v>637911</v>
          </cell>
          <cell r="AF152">
            <v>1.0014987100213704</v>
          </cell>
        </row>
        <row r="153">
          <cell r="AE153">
            <v>306315</v>
          </cell>
          <cell r="AF153">
            <v>0.9988515266945549</v>
          </cell>
        </row>
        <row r="154">
          <cell r="AE154">
            <v>158454</v>
          </cell>
          <cell r="AF154">
            <v>0.70457048642304421</v>
          </cell>
        </row>
        <row r="155">
          <cell r="AE155">
            <v>48231</v>
          </cell>
          <cell r="AF155">
            <v>0.68677339937170523</v>
          </cell>
        </row>
        <row r="156">
          <cell r="AE156">
            <v>101746</v>
          </cell>
          <cell r="AF156">
            <v>0.66839603988496987</v>
          </cell>
        </row>
        <row r="157">
          <cell r="AE157">
            <v>84825</v>
          </cell>
          <cell r="AF157">
            <v>0.66741553859936531</v>
          </cell>
        </row>
        <row r="158">
          <cell r="AE158">
            <v>36603</v>
          </cell>
          <cell r="AF158">
            <v>0.66439400075732202</v>
          </cell>
        </row>
        <row r="159">
          <cell r="AE159">
            <v>26243</v>
          </cell>
          <cell r="AF159">
            <v>0.66332279197902233</v>
          </cell>
        </row>
        <row r="160">
          <cell r="AE160">
            <v>61582</v>
          </cell>
          <cell r="AF160">
            <v>0.65406474204863474</v>
          </cell>
        </row>
        <row r="161">
          <cell r="AE161">
            <v>101025</v>
          </cell>
          <cell r="AF161">
            <v>0.64535859936586415</v>
          </cell>
        </row>
        <row r="162">
          <cell r="AE162">
            <v>38713</v>
          </cell>
          <cell r="AF162">
            <v>0.64425317714738695</v>
          </cell>
        </row>
        <row r="163">
          <cell r="AE163">
            <v>15312</v>
          </cell>
          <cell r="AF163">
            <v>0.640143965269937</v>
          </cell>
        </row>
        <row r="164">
          <cell r="AE164">
            <v>30807</v>
          </cell>
          <cell r="AF164">
            <v>0.6371314447099572</v>
          </cell>
        </row>
        <row r="165">
          <cell r="AE165">
            <v>10792</v>
          </cell>
          <cell r="AF165">
            <v>0.63283439948996567</v>
          </cell>
        </row>
        <row r="166">
          <cell r="AE166">
            <v>78694</v>
          </cell>
          <cell r="AF166">
            <v>0.63159833235610285</v>
          </cell>
        </row>
        <row r="167">
          <cell r="AE167">
            <v>443982</v>
          </cell>
          <cell r="AF167">
            <v>0.60877609162326329</v>
          </cell>
        </row>
        <row r="168">
          <cell r="AE168">
            <v>67024</v>
          </cell>
          <cell r="AF168">
            <v>0.60167115905859159</v>
          </cell>
        </row>
        <row r="169">
          <cell r="AE169">
            <v>109487</v>
          </cell>
          <cell r="AF169">
            <v>0.59957834821358147</v>
          </cell>
        </row>
        <row r="170">
          <cell r="AE170">
            <v>84399</v>
          </cell>
          <cell r="AF170">
            <v>0.5965656391604498</v>
          </cell>
        </row>
        <row r="171">
          <cell r="AE171">
            <v>26830</v>
          </cell>
          <cell r="AF171">
            <v>0.59414567848308453</v>
          </cell>
        </row>
        <row r="172">
          <cell r="AE172">
            <v>6091</v>
          </cell>
          <cell r="AF172">
            <v>0.59371481815450411</v>
          </cell>
        </row>
        <row r="173">
          <cell r="AE173">
            <v>5833</v>
          </cell>
          <cell r="AF173">
            <v>0.59163134491761826</v>
          </cell>
        </row>
        <row r="174">
          <cell r="AE174">
            <v>48148</v>
          </cell>
          <cell r="AF174">
            <v>0.58813602749644067</v>
          </cell>
        </row>
        <row r="175">
          <cell r="AE175">
            <v>55692</v>
          </cell>
          <cell r="AF175">
            <v>0.58722077173926457</v>
          </cell>
        </row>
        <row r="176">
          <cell r="AE176">
            <v>16024</v>
          </cell>
          <cell r="AF176">
            <v>0.57120361156987498</v>
          </cell>
        </row>
        <row r="177">
          <cell r="AE177">
            <v>54837</v>
          </cell>
          <cell r="AF177">
            <v>0.56235327069286634</v>
          </cell>
        </row>
        <row r="178">
          <cell r="AE178">
            <v>21848</v>
          </cell>
          <cell r="AF178">
            <v>0.55745193610188915</v>
          </cell>
        </row>
        <row r="179">
          <cell r="AE179">
            <v>84585</v>
          </cell>
          <cell r="AF179">
            <v>0.55554624953229659</v>
          </cell>
        </row>
        <row r="180">
          <cell r="AE180">
            <v>9519</v>
          </cell>
          <cell r="AF180">
            <v>0.55540763768721246</v>
          </cell>
        </row>
        <row r="181">
          <cell r="AE181">
            <v>12009</v>
          </cell>
          <cell r="AF181">
            <v>0.55391744666452858</v>
          </cell>
        </row>
        <row r="182">
          <cell r="AE182">
            <v>67625</v>
          </cell>
          <cell r="AF182">
            <v>0.55229208977104249</v>
          </cell>
        </row>
        <row r="183">
          <cell r="AE183">
            <v>31221</v>
          </cell>
          <cell r="AF183">
            <v>0.54961202149534716</v>
          </cell>
        </row>
        <row r="184">
          <cell r="AE184">
            <v>27391</v>
          </cell>
          <cell r="AF184">
            <v>0.54743080463563298</v>
          </cell>
        </row>
        <row r="185">
          <cell r="AE185">
            <v>36029</v>
          </cell>
          <cell r="AF185">
            <v>0.54682123847364139</v>
          </cell>
        </row>
        <row r="186">
          <cell r="AE186">
            <v>58418</v>
          </cell>
          <cell r="AF186">
            <v>0.54668000627303237</v>
          </cell>
        </row>
        <row r="187">
          <cell r="AE187">
            <v>10472</v>
          </cell>
          <cell r="AF187">
            <v>0.54506641699247937</v>
          </cell>
        </row>
        <row r="188">
          <cell r="AE188">
            <v>11855</v>
          </cell>
          <cell r="AF188">
            <v>0.54445592464352199</v>
          </cell>
        </row>
        <row r="189">
          <cell r="AE189">
            <v>6839</v>
          </cell>
          <cell r="AF189">
            <v>0.54232515755358457</v>
          </cell>
        </row>
        <row r="190">
          <cell r="AE190">
            <v>72346</v>
          </cell>
          <cell r="AF190">
            <v>0.54196469725931018</v>
          </cell>
        </row>
        <row r="191">
          <cell r="AE191">
            <v>29724</v>
          </cell>
          <cell r="AF191">
            <v>0.53947906320118522</v>
          </cell>
        </row>
        <row r="192">
          <cell r="AE192">
            <v>23767</v>
          </cell>
          <cell r="AF192">
            <v>0.53828222646655921</v>
          </cell>
        </row>
        <row r="193">
          <cell r="AE193">
            <v>238701</v>
          </cell>
          <cell r="AF193">
            <v>0.52935029402882661</v>
          </cell>
        </row>
        <row r="194">
          <cell r="AE194">
            <v>68646</v>
          </cell>
          <cell r="AF194">
            <v>0.52619887794670939</v>
          </cell>
        </row>
        <row r="195">
          <cell r="AE195">
            <v>84972</v>
          </cell>
          <cell r="AF195">
            <v>0.52490352877556423</v>
          </cell>
        </row>
        <row r="196">
          <cell r="AE196">
            <v>11968</v>
          </cell>
          <cell r="AF196">
            <v>0.52393123079360993</v>
          </cell>
        </row>
        <row r="197">
          <cell r="AE197">
            <v>91574</v>
          </cell>
          <cell r="AF197">
            <v>0.51838107638000674</v>
          </cell>
        </row>
        <row r="198">
          <cell r="AE198">
            <v>3453</v>
          </cell>
          <cell r="AF198">
            <v>0.51638278758591105</v>
          </cell>
        </row>
        <row r="199">
          <cell r="AE199">
            <v>20587</v>
          </cell>
          <cell r="AF199">
            <v>0.51252945530789373</v>
          </cell>
        </row>
        <row r="200">
          <cell r="AE200">
            <v>21249</v>
          </cell>
          <cell r="AF200">
            <v>0.51222994946381328</v>
          </cell>
        </row>
        <row r="201">
          <cell r="AE201">
            <v>16103</v>
          </cell>
          <cell r="AF201">
            <v>0.5098970976718914</v>
          </cell>
        </row>
        <row r="202">
          <cell r="AE202">
            <v>12018</v>
          </cell>
          <cell r="AF202">
            <v>0.50900327945301493</v>
          </cell>
        </row>
        <row r="203">
          <cell r="AE203">
            <v>22257</v>
          </cell>
          <cell r="AF203">
            <v>0.50612644152550923</v>
          </cell>
        </row>
        <row r="204">
          <cell r="AE204">
            <v>31381</v>
          </cell>
          <cell r="AF204">
            <v>0.50534796671063242</v>
          </cell>
        </row>
        <row r="205">
          <cell r="AE205">
            <v>11035</v>
          </cell>
          <cell r="AF205">
            <v>0.50534661386328583</v>
          </cell>
        </row>
        <row r="206">
          <cell r="AE206">
            <v>26850</v>
          </cell>
          <cell r="AF206">
            <v>0.50492271712590064</v>
          </cell>
        </row>
        <row r="207">
          <cell r="AE207">
            <v>20609</v>
          </cell>
          <cell r="AF207">
            <v>0.50394567316241379</v>
          </cell>
        </row>
        <row r="208">
          <cell r="AE208">
            <v>13787</v>
          </cell>
          <cell r="AF208">
            <v>0.50171589404603567</v>
          </cell>
        </row>
        <row r="209">
          <cell r="AE209">
            <v>29621</v>
          </cell>
          <cell r="AF209">
            <v>0.50057634553698871</v>
          </cell>
        </row>
        <row r="210">
          <cell r="AE210">
            <v>19603</v>
          </cell>
          <cell r="AF210">
            <v>0.49910497828413175</v>
          </cell>
        </row>
        <row r="211">
          <cell r="AE211">
            <v>20150</v>
          </cell>
          <cell r="AF211">
            <v>0.49778322851779772</v>
          </cell>
        </row>
        <row r="212">
          <cell r="AE212">
            <v>39526</v>
          </cell>
          <cell r="AF212">
            <v>0.49638945490302616</v>
          </cell>
        </row>
        <row r="213">
          <cell r="AE213">
            <v>86853</v>
          </cell>
          <cell r="AF213">
            <v>0.49570938566756445</v>
          </cell>
        </row>
        <row r="214">
          <cell r="AE214">
            <v>10701</v>
          </cell>
          <cell r="AF214">
            <v>0.49259485763054595</v>
          </cell>
        </row>
        <row r="215">
          <cell r="AE215">
            <v>17496</v>
          </cell>
          <cell r="AF215">
            <v>0.49238155444082354</v>
          </cell>
        </row>
        <row r="216">
          <cell r="AE216">
            <v>21953</v>
          </cell>
          <cell r="AF216">
            <v>0.49223162010214455</v>
          </cell>
        </row>
        <row r="217">
          <cell r="AE217">
            <v>16218</v>
          </cell>
          <cell r="AF217">
            <v>0.49064183065613892</v>
          </cell>
        </row>
        <row r="218">
          <cell r="AE218">
            <v>180394</v>
          </cell>
          <cell r="AF218">
            <v>0.48843830047739034</v>
          </cell>
        </row>
        <row r="219">
          <cell r="AE219">
            <v>8103</v>
          </cell>
          <cell r="AF219">
            <v>0.48680323535125947</v>
          </cell>
        </row>
        <row r="220">
          <cell r="AE220">
            <v>2186</v>
          </cell>
          <cell r="AF220">
            <v>0.48585730972052921</v>
          </cell>
        </row>
        <row r="221">
          <cell r="AE221">
            <v>2623</v>
          </cell>
          <cell r="AF221">
            <v>0.48568354101175937</v>
          </cell>
        </row>
        <row r="222">
          <cell r="AE222">
            <v>78809</v>
          </cell>
          <cell r="AF222">
            <v>0.48526611789586793</v>
          </cell>
        </row>
        <row r="223">
          <cell r="AE223">
            <v>16559</v>
          </cell>
          <cell r="AF223">
            <v>0.48394158966126888</v>
          </cell>
        </row>
        <row r="224">
          <cell r="AE224">
            <v>26146</v>
          </cell>
          <cell r="AF224">
            <v>0.4810298167448786</v>
          </cell>
        </row>
        <row r="225">
          <cell r="AE225">
            <v>13294</v>
          </cell>
          <cell r="AF225">
            <v>0.48086872387994239</v>
          </cell>
        </row>
        <row r="226">
          <cell r="AE226">
            <v>97569</v>
          </cell>
          <cell r="AF226">
            <v>0.48066640286685614</v>
          </cell>
        </row>
        <row r="227">
          <cell r="AE227">
            <v>18043</v>
          </cell>
          <cell r="AF227">
            <v>0.48004262023915473</v>
          </cell>
        </row>
        <row r="228">
          <cell r="AE228">
            <v>103627</v>
          </cell>
          <cell r="AF228">
            <v>0.47870552478502126</v>
          </cell>
        </row>
        <row r="229">
          <cell r="AE229">
            <v>46467</v>
          </cell>
          <cell r="AF229">
            <v>0.47379119181950274</v>
          </cell>
        </row>
        <row r="230">
          <cell r="AE230">
            <v>49780</v>
          </cell>
          <cell r="AF230">
            <v>0.4737120869775146</v>
          </cell>
        </row>
        <row r="231">
          <cell r="AE231">
            <v>2878</v>
          </cell>
          <cell r="AF231">
            <v>0.47233355781517766</v>
          </cell>
        </row>
        <row r="232">
          <cell r="AE232">
            <v>13597</v>
          </cell>
          <cell r="AF232">
            <v>0.47071861853533103</v>
          </cell>
        </row>
        <row r="233">
          <cell r="AE233">
            <v>16441</v>
          </cell>
          <cell r="AF233">
            <v>0.468928320257262</v>
          </cell>
        </row>
        <row r="234">
          <cell r="AE234">
            <v>62137</v>
          </cell>
          <cell r="AF234">
            <v>0.46850718877021297</v>
          </cell>
        </row>
        <row r="235">
          <cell r="AE235">
            <v>44218</v>
          </cell>
          <cell r="AF235">
            <v>0.4680379346908507</v>
          </cell>
        </row>
        <row r="236">
          <cell r="AE236">
            <v>39864</v>
          </cell>
          <cell r="AF236">
            <v>0.46547766460419693</v>
          </cell>
        </row>
        <row r="237">
          <cell r="AE237">
            <v>22406</v>
          </cell>
          <cell r="AF237">
            <v>0.46530864710033076</v>
          </cell>
        </row>
        <row r="238">
          <cell r="AE238">
            <v>56267</v>
          </cell>
          <cell r="AF238">
            <v>0.46263657634396144</v>
          </cell>
        </row>
        <row r="239">
          <cell r="AE239">
            <v>38971</v>
          </cell>
          <cell r="AF239">
            <v>0.46263592276844384</v>
          </cell>
        </row>
        <row r="240">
          <cell r="AE240">
            <v>52251</v>
          </cell>
          <cell r="AF240">
            <v>0.46217959148672688</v>
          </cell>
        </row>
        <row r="241">
          <cell r="AE241">
            <v>14176</v>
          </cell>
          <cell r="AF241">
            <v>0.46160515364674359</v>
          </cell>
        </row>
        <row r="242">
          <cell r="AE242">
            <v>78940</v>
          </cell>
          <cell r="AF242">
            <v>0.46106722968202152</v>
          </cell>
        </row>
        <row r="243">
          <cell r="AE243">
            <v>17456</v>
          </cell>
          <cell r="AF243">
            <v>0.46039475188514611</v>
          </cell>
        </row>
        <row r="244">
          <cell r="AE244">
            <v>3856</v>
          </cell>
          <cell r="AF244">
            <v>0.45693084195814576</v>
          </cell>
        </row>
        <row r="245">
          <cell r="AE245">
            <v>44151</v>
          </cell>
          <cell r="AF245">
            <v>0.45257072910508334</v>
          </cell>
        </row>
        <row r="246">
          <cell r="AE246">
            <v>68056</v>
          </cell>
          <cell r="AF246">
            <v>0.44942722904367327</v>
          </cell>
        </row>
        <row r="247">
          <cell r="AE247">
            <v>12335</v>
          </cell>
          <cell r="AF247">
            <v>0.44877768102095483</v>
          </cell>
        </row>
        <row r="248">
          <cell r="AE248">
            <v>176472</v>
          </cell>
          <cell r="AF248">
            <v>0.44646074158222798</v>
          </cell>
        </row>
        <row r="249">
          <cell r="AE249">
            <v>5116</v>
          </cell>
          <cell r="AF249">
            <v>0.44602529727130874</v>
          </cell>
        </row>
        <row r="250">
          <cell r="AE250">
            <v>21018</v>
          </cell>
          <cell r="AF250">
            <v>0.44531438762874792</v>
          </cell>
        </row>
        <row r="251">
          <cell r="AE251">
            <v>46213</v>
          </cell>
          <cell r="AF251">
            <v>0.4439903565219202</v>
          </cell>
        </row>
        <row r="252">
          <cell r="AE252">
            <v>16052</v>
          </cell>
          <cell r="AF252">
            <v>0.4414666826531497</v>
          </cell>
        </row>
        <row r="253">
          <cell r="AE253">
            <v>18752</v>
          </cell>
          <cell r="AF253">
            <v>0.44141132030611135</v>
          </cell>
        </row>
        <row r="254">
          <cell r="AE254">
            <v>32014</v>
          </cell>
          <cell r="AF254">
            <v>0.44101260703626494</v>
          </cell>
        </row>
        <row r="255">
          <cell r="AE255">
            <v>11626</v>
          </cell>
          <cell r="AF255">
            <v>0.44058941603341556</v>
          </cell>
        </row>
        <row r="256">
          <cell r="AE256">
            <v>24585</v>
          </cell>
          <cell r="AF256">
            <v>0.439694680595548</v>
          </cell>
        </row>
        <row r="257">
          <cell r="AE257">
            <v>5724</v>
          </cell>
          <cell r="AF257">
            <v>0.43818726429208094</v>
          </cell>
        </row>
        <row r="258">
          <cell r="AE258">
            <v>12014</v>
          </cell>
          <cell r="AF258">
            <v>0.43699916121994514</v>
          </cell>
        </row>
        <row r="259">
          <cell r="AE259">
            <v>66108</v>
          </cell>
          <cell r="AF259">
            <v>0.43230661328248565</v>
          </cell>
        </row>
        <row r="260">
          <cell r="AE260">
            <v>22023</v>
          </cell>
          <cell r="AF260">
            <v>0.43082661800068422</v>
          </cell>
        </row>
        <row r="261">
          <cell r="AE261">
            <v>15557</v>
          </cell>
          <cell r="AF261">
            <v>0.42825974919894633</v>
          </cell>
        </row>
        <row r="262">
          <cell r="AE262">
            <v>96772</v>
          </cell>
          <cell r="AF262">
            <v>0.42711658049707374</v>
          </cell>
        </row>
        <row r="263">
          <cell r="AE263">
            <v>10009</v>
          </cell>
          <cell r="AF263">
            <v>0.42675273659215068</v>
          </cell>
        </row>
        <row r="264">
          <cell r="AE264">
            <v>10566</v>
          </cell>
          <cell r="AF264">
            <v>0.42387690270302064</v>
          </cell>
        </row>
        <row r="265">
          <cell r="AE265">
            <v>9834</v>
          </cell>
          <cell r="AF265">
            <v>0.42330371969837993</v>
          </cell>
        </row>
        <row r="266">
          <cell r="AE266">
            <v>31126</v>
          </cell>
          <cell r="AF266">
            <v>0.41609737186304863</v>
          </cell>
        </row>
        <row r="267">
          <cell r="AE267">
            <v>6117</v>
          </cell>
          <cell r="AF267">
            <v>0.41564243430431064</v>
          </cell>
        </row>
        <row r="268">
          <cell r="AE268">
            <v>41863</v>
          </cell>
          <cell r="AF268">
            <v>0.41401126756087525</v>
          </cell>
        </row>
        <row r="269">
          <cell r="AE269">
            <v>4816</v>
          </cell>
          <cell r="AF269">
            <v>0.4098955598868475</v>
          </cell>
        </row>
        <row r="270">
          <cell r="AE270">
            <v>9773</v>
          </cell>
          <cell r="AF270">
            <v>0.40900061953084921</v>
          </cell>
        </row>
        <row r="271">
          <cell r="AE271">
            <v>17557</v>
          </cell>
          <cell r="AF271">
            <v>0.40736719732586235</v>
          </cell>
        </row>
        <row r="272">
          <cell r="AE272">
            <v>282752</v>
          </cell>
          <cell r="AF272">
            <v>0.40654988832070071</v>
          </cell>
        </row>
        <row r="273">
          <cell r="AE273">
            <v>19927</v>
          </cell>
          <cell r="AF273">
            <v>0.40564551977602759</v>
          </cell>
        </row>
        <row r="274">
          <cell r="AE274">
            <v>27861</v>
          </cell>
          <cell r="AF274">
            <v>0.40481244017971574</v>
          </cell>
        </row>
        <row r="275">
          <cell r="AE275">
            <v>15051</v>
          </cell>
          <cell r="AF275">
            <v>0.40055022098184373</v>
          </cell>
        </row>
        <row r="276">
          <cell r="AE276">
            <v>16432</v>
          </cell>
          <cell r="AF276">
            <v>0.40052704165536579</v>
          </cell>
        </row>
        <row r="277">
          <cell r="AE277">
            <v>45925</v>
          </cell>
          <cell r="AF277">
            <v>0.39909304147108865</v>
          </cell>
        </row>
        <row r="278">
          <cell r="AE278">
            <v>17079</v>
          </cell>
          <cell r="AF278">
            <v>0.39815314898317711</v>
          </cell>
        </row>
        <row r="279">
          <cell r="AE279">
            <v>35587</v>
          </cell>
          <cell r="AF279">
            <v>0.39585074555568756</v>
          </cell>
        </row>
        <row r="280">
          <cell r="AE280">
            <v>2021</v>
          </cell>
          <cell r="AF280">
            <v>0.39130325073586175</v>
          </cell>
        </row>
        <row r="281">
          <cell r="AE281">
            <v>16472</v>
          </cell>
          <cell r="AF281">
            <v>0.38945454414912223</v>
          </cell>
        </row>
        <row r="282">
          <cell r="AE282">
            <v>54166</v>
          </cell>
          <cell r="AF282">
            <v>0.3888409209489565</v>
          </cell>
        </row>
        <row r="283">
          <cell r="AE283">
            <v>15345</v>
          </cell>
          <cell r="AF283">
            <v>0.3887767239470743</v>
          </cell>
        </row>
        <row r="284">
          <cell r="AE284">
            <v>55080</v>
          </cell>
          <cell r="AF284">
            <v>0.3839890871079919</v>
          </cell>
        </row>
        <row r="285">
          <cell r="AE285">
            <v>10455</v>
          </cell>
          <cell r="AF285">
            <v>0.38175090391143818</v>
          </cell>
        </row>
        <row r="286">
          <cell r="AE286">
            <v>17468</v>
          </cell>
          <cell r="AF286">
            <v>0.38010895320978605</v>
          </cell>
        </row>
        <row r="287">
          <cell r="AE287">
            <v>34203</v>
          </cell>
          <cell r="AF287">
            <v>0.37989297379765946</v>
          </cell>
        </row>
        <row r="288">
          <cell r="AE288">
            <v>119674</v>
          </cell>
          <cell r="AF288">
            <v>0.37131992058613428</v>
          </cell>
        </row>
        <row r="289">
          <cell r="AE289">
            <v>6767</v>
          </cell>
          <cell r="AF289">
            <v>0.37061816571883843</v>
          </cell>
        </row>
        <row r="290">
          <cell r="AE290">
            <v>17209</v>
          </cell>
          <cell r="AF290">
            <v>0.36964360331644808</v>
          </cell>
        </row>
        <row r="291">
          <cell r="AE291">
            <v>17009</v>
          </cell>
          <cell r="AF291">
            <v>0.36951781000577227</v>
          </cell>
        </row>
        <row r="292">
          <cell r="AE292">
            <v>7725</v>
          </cell>
          <cell r="AF292">
            <v>0.36351667180530201</v>
          </cell>
        </row>
        <row r="293">
          <cell r="AE293">
            <v>7616</v>
          </cell>
          <cell r="AF293">
            <v>0.36228142919292078</v>
          </cell>
        </row>
        <row r="294">
          <cell r="AE294">
            <v>21735</v>
          </cell>
          <cell r="AF294">
            <v>0.35943115913942847</v>
          </cell>
        </row>
        <row r="295">
          <cell r="AE295">
            <v>15618</v>
          </cell>
          <cell r="AF295">
            <v>0.35634628673676688</v>
          </cell>
        </row>
        <row r="296">
          <cell r="AE296">
            <v>12428</v>
          </cell>
          <cell r="AF296">
            <v>0.35547730053819837</v>
          </cell>
        </row>
        <row r="297">
          <cell r="AE297">
            <v>3080</v>
          </cell>
          <cell r="AF297">
            <v>0.35336167461096524</v>
          </cell>
        </row>
        <row r="298">
          <cell r="AE298">
            <v>9405</v>
          </cell>
          <cell r="AF298">
            <v>0.35031665677607016</v>
          </cell>
        </row>
        <row r="299">
          <cell r="AE299">
            <v>6654</v>
          </cell>
          <cell r="AF299">
            <v>0.34976944664374715</v>
          </cell>
        </row>
        <row r="300">
          <cell r="AE300">
            <v>22538</v>
          </cell>
          <cell r="AF300">
            <v>0.34813107051955949</v>
          </cell>
        </row>
        <row r="301">
          <cell r="AE301">
            <v>4904</v>
          </cell>
          <cell r="AF301">
            <v>0.34073003575282257</v>
          </cell>
        </row>
        <row r="302">
          <cell r="AE302">
            <v>13397</v>
          </cell>
          <cell r="AF302">
            <v>0.33882862580946532</v>
          </cell>
        </row>
        <row r="303">
          <cell r="AE303">
            <v>3343</v>
          </cell>
          <cell r="AF303">
            <v>0.33787605029777024</v>
          </cell>
        </row>
        <row r="304">
          <cell r="AE304">
            <v>2829</v>
          </cell>
          <cell r="AF304">
            <v>0.33741927651332254</v>
          </cell>
        </row>
        <row r="305">
          <cell r="AE305">
            <v>13852</v>
          </cell>
          <cell r="AF305">
            <v>0.33366091710756685</v>
          </cell>
        </row>
        <row r="306">
          <cell r="AE306">
            <v>13527</v>
          </cell>
          <cell r="AF306">
            <v>0.33347138444897551</v>
          </cell>
        </row>
        <row r="307">
          <cell r="AE307">
            <v>6282</v>
          </cell>
          <cell r="AF307">
            <v>0.33306915540069432</v>
          </cell>
        </row>
        <row r="308">
          <cell r="AE308">
            <v>8153</v>
          </cell>
          <cell r="AF308">
            <v>0.33057654147977789</v>
          </cell>
        </row>
        <row r="309">
          <cell r="AE309">
            <v>16770</v>
          </cell>
          <cell r="AF309">
            <v>0.33009355681948915</v>
          </cell>
        </row>
        <row r="310">
          <cell r="AE310">
            <v>11219</v>
          </cell>
          <cell r="AF310">
            <v>0.3294073900309275</v>
          </cell>
        </row>
        <row r="311">
          <cell r="AE311">
            <v>16304</v>
          </cell>
          <cell r="AF311">
            <v>0.32846674310961638</v>
          </cell>
        </row>
        <row r="312">
          <cell r="AE312">
            <v>72307</v>
          </cell>
          <cell r="AF312">
            <v>0.32573624858024913</v>
          </cell>
        </row>
        <row r="313">
          <cell r="AE313">
            <v>10701</v>
          </cell>
          <cell r="AF313">
            <v>0.32504550483907058</v>
          </cell>
        </row>
        <row r="314">
          <cell r="AE314">
            <v>11819</v>
          </cell>
          <cell r="AF314">
            <v>0.32365966696269061</v>
          </cell>
        </row>
        <row r="315">
          <cell r="AE315">
            <v>43407</v>
          </cell>
          <cell r="AF315">
            <v>0.32190685172087041</v>
          </cell>
        </row>
        <row r="316">
          <cell r="AE316">
            <v>39971</v>
          </cell>
          <cell r="AF316">
            <v>0.31679575331481458</v>
          </cell>
        </row>
        <row r="317">
          <cell r="AE317">
            <v>12181</v>
          </cell>
          <cell r="AF317">
            <v>0.31622917953124602</v>
          </cell>
        </row>
        <row r="318">
          <cell r="AE318">
            <v>3399</v>
          </cell>
          <cell r="AF318">
            <v>0.31365582291721694</v>
          </cell>
        </row>
        <row r="319">
          <cell r="AE319">
            <v>1683</v>
          </cell>
          <cell r="AF319">
            <v>0.30992103308517738</v>
          </cell>
        </row>
        <row r="320">
          <cell r="AE320">
            <v>8065</v>
          </cell>
          <cell r="AF320">
            <v>0.30338837604338731</v>
          </cell>
        </row>
        <row r="321">
          <cell r="AE321">
            <v>13621</v>
          </cell>
          <cell r="AF321">
            <v>0.30303759558018034</v>
          </cell>
        </row>
        <row r="322">
          <cell r="AE322">
            <v>22379</v>
          </cell>
          <cell r="AF322">
            <v>0.30248768241950041</v>
          </cell>
        </row>
        <row r="323">
          <cell r="AE323">
            <v>956</v>
          </cell>
          <cell r="AF323">
            <v>0.29997698560095137</v>
          </cell>
        </row>
        <row r="324">
          <cell r="AE324">
            <v>2010</v>
          </cell>
          <cell r="AF324">
            <v>0.29870871293263079</v>
          </cell>
        </row>
        <row r="325">
          <cell r="AE325">
            <v>10886</v>
          </cell>
          <cell r="AF325">
            <v>0.29325976955884836</v>
          </cell>
        </row>
        <row r="326">
          <cell r="AE326">
            <v>7181</v>
          </cell>
          <cell r="AF326">
            <v>0.2928299723150814</v>
          </cell>
        </row>
        <row r="327">
          <cell r="AE327">
            <v>4319</v>
          </cell>
          <cell r="AF327">
            <v>0.28819920950119982</v>
          </cell>
        </row>
        <row r="328">
          <cell r="AE328">
            <v>1929</v>
          </cell>
          <cell r="AF328">
            <v>0.2868406240639319</v>
          </cell>
        </row>
        <row r="329">
          <cell r="AE329">
            <v>12561</v>
          </cell>
          <cell r="AF329">
            <v>0.28547716440762755</v>
          </cell>
        </row>
        <row r="330">
          <cell r="AE330">
            <v>7782</v>
          </cell>
          <cell r="AF330">
            <v>0.2824776685855645</v>
          </cell>
        </row>
        <row r="331">
          <cell r="AE331">
            <v>17583</v>
          </cell>
          <cell r="AF331">
            <v>0.2763801863431336</v>
          </cell>
        </row>
        <row r="332">
          <cell r="AE332">
            <v>633</v>
          </cell>
          <cell r="AF332">
            <v>0.27438363981496622</v>
          </cell>
        </row>
        <row r="333">
          <cell r="AE333">
            <v>18521</v>
          </cell>
          <cell r="AF333">
            <v>0.27209968918550442</v>
          </cell>
        </row>
        <row r="334">
          <cell r="AE334">
            <v>29695</v>
          </cell>
          <cell r="AF334">
            <v>0.2705716587492365</v>
          </cell>
        </row>
        <row r="335">
          <cell r="AE335">
            <v>6479</v>
          </cell>
          <cell r="AF335">
            <v>0.27042732153724852</v>
          </cell>
        </row>
        <row r="336">
          <cell r="AE336">
            <v>5081</v>
          </cell>
          <cell r="AF336">
            <v>0.26771622464900968</v>
          </cell>
        </row>
        <row r="337">
          <cell r="AE337">
            <v>22243</v>
          </cell>
          <cell r="AF337">
            <v>0.26577247661076464</v>
          </cell>
        </row>
        <row r="338">
          <cell r="AE338">
            <v>17325</v>
          </cell>
          <cell r="AF338">
            <v>0.26152190669863962</v>
          </cell>
        </row>
        <row r="339">
          <cell r="AE339">
            <v>19558</v>
          </cell>
          <cell r="AF339">
            <v>0.25741299759747827</v>
          </cell>
        </row>
        <row r="340">
          <cell r="AE340">
            <v>1488</v>
          </cell>
          <cell r="AF340">
            <v>0.25618472492927968</v>
          </cell>
        </row>
        <row r="341">
          <cell r="AE341">
            <v>8681</v>
          </cell>
          <cell r="AF341">
            <v>0.25615099866217467</v>
          </cell>
        </row>
        <row r="342">
          <cell r="AE342">
            <v>4231</v>
          </cell>
          <cell r="AF342">
            <v>0.25570044378574608</v>
          </cell>
        </row>
        <row r="343">
          <cell r="AE343">
            <v>5449</v>
          </cell>
          <cell r="AF343">
            <v>0.25141376018378775</v>
          </cell>
        </row>
        <row r="344">
          <cell r="AE344">
            <v>35145</v>
          </cell>
          <cell r="AF344">
            <v>0.2415529237346942</v>
          </cell>
        </row>
        <row r="345">
          <cell r="AE345">
            <v>1749</v>
          </cell>
          <cell r="AF345">
            <v>0.23809914525486808</v>
          </cell>
        </row>
        <row r="346">
          <cell r="AE346">
            <v>8032</v>
          </cell>
          <cell r="AF346">
            <v>0.22799937208833729</v>
          </cell>
        </row>
        <row r="347">
          <cell r="AE347">
            <v>20994</v>
          </cell>
          <cell r="AF347">
            <v>0.22160629965383716</v>
          </cell>
        </row>
        <row r="348">
          <cell r="AE348">
            <v>14740</v>
          </cell>
          <cell r="AF348">
            <v>0.21820832707810875</v>
          </cell>
        </row>
        <row r="349">
          <cell r="AE349">
            <v>54026</v>
          </cell>
          <cell r="AF349">
            <v>0.20704659686649304</v>
          </cell>
        </row>
        <row r="350">
          <cell r="AE350">
            <v>11623</v>
          </cell>
          <cell r="AF350">
            <v>0.19824575646877854</v>
          </cell>
        </row>
        <row r="351">
          <cell r="AE351">
            <v>1964</v>
          </cell>
          <cell r="AF351">
            <v>0.18426312893565819</v>
          </cell>
        </row>
        <row r="352">
          <cell r="AE352">
            <v>4073</v>
          </cell>
          <cell r="AF352">
            <v>0.17758730662259026</v>
          </cell>
        </row>
        <row r="353">
          <cell r="AE353">
            <v>2977</v>
          </cell>
          <cell r="AF353">
            <v>0.16225032578854379</v>
          </cell>
        </row>
        <row r="354">
          <cell r="AE354">
            <v>7294</v>
          </cell>
          <cell r="AF354">
            <v>0.13652098354154002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E56"/>
  <sheetViews>
    <sheetView tabSelected="1" workbookViewId="0">
      <selection activeCell="R7" sqref="R7"/>
    </sheetView>
  </sheetViews>
  <sheetFormatPr defaultRowHeight="15"/>
  <cols>
    <col min="1" max="1" width="9.140625" style="2"/>
    <col min="2" max="2" width="18.42578125" style="2" customWidth="1"/>
    <col min="3" max="3" width="13.7109375" style="2" bestFit="1" customWidth="1"/>
    <col min="4" max="17" width="9.140625" style="2"/>
    <col min="18" max="18" width="35.42578125" style="2" customWidth="1"/>
    <col min="19" max="16384" width="9.140625" style="2"/>
  </cols>
  <sheetData>
    <row r="1" spans="1:17" ht="90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4" t="s">
        <v>1</v>
      </c>
      <c r="J1" s="4" t="s">
        <v>76</v>
      </c>
      <c r="K1" s="5" t="s">
        <v>3</v>
      </c>
      <c r="L1" s="6" t="s">
        <v>4</v>
      </c>
      <c r="M1" s="5" t="s">
        <v>5</v>
      </c>
      <c r="N1" s="5" t="s">
        <v>6</v>
      </c>
      <c r="O1" s="5" t="s">
        <v>0</v>
      </c>
      <c r="P1" s="5" t="s">
        <v>7</v>
      </c>
      <c r="Q1" s="6" t="s">
        <v>2</v>
      </c>
    </row>
    <row r="2" spans="1:17" customFormat="1">
      <c r="A2" s="7" t="s">
        <v>56</v>
      </c>
      <c r="B2" s="7">
        <v>1.2393530646193085E-10</v>
      </c>
      <c r="C2" s="7">
        <v>65782</v>
      </c>
      <c r="D2" s="7">
        <v>65791</v>
      </c>
      <c r="E2" s="7">
        <v>1797.4095806014111</v>
      </c>
      <c r="F2" s="7">
        <v>62916</v>
      </c>
      <c r="G2" s="7">
        <v>62944</v>
      </c>
      <c r="H2" s="7">
        <v>1707.3835895883744</v>
      </c>
      <c r="I2" s="2">
        <f t="shared" ref="I2:I33" si="0">SUM(D2,G2)</f>
        <v>128735</v>
      </c>
      <c r="J2" s="2">
        <f t="shared" ref="J2:J33" si="1">H2/(E2+1)</f>
        <v>0.94938528353335594</v>
      </c>
      <c r="K2" s="8" t="s">
        <v>11</v>
      </c>
      <c r="L2" t="s">
        <v>8</v>
      </c>
      <c r="M2" t="str">
        <f>HYPERLINK(".\links\KOG\ab-tri_asb-55861-KOG.txt","KOG")</f>
        <v>KOG</v>
      </c>
      <c r="N2" s="1">
        <v>7.0000000000000001E-63</v>
      </c>
      <c r="O2">
        <v>100</v>
      </c>
      <c r="P2" s="9" t="str">
        <f>HYPERLINK(".\links\NR-LIGHT\ab-tri_asb-55861-NR-LIGHT.txt","midgut trypsin")</f>
        <v>midgut trypsin</v>
      </c>
      <c r="Q2" t="str">
        <f>HYPERLINK("http://www.ncbi.nlm.nih.gov/sutils/blink.cgi?pid=289739889","1E-165")</f>
        <v>1E-165</v>
      </c>
    </row>
    <row r="3" spans="1:17" customFormat="1">
      <c r="A3" s="7" t="s">
        <v>18</v>
      </c>
      <c r="B3" s="7">
        <v>1</v>
      </c>
      <c r="C3" s="7">
        <v>659</v>
      </c>
      <c r="D3" s="7">
        <v>680</v>
      </c>
      <c r="E3" s="7">
        <v>12.849502810559656</v>
      </c>
      <c r="F3" s="7">
        <v>669</v>
      </c>
      <c r="G3" s="7">
        <v>697</v>
      </c>
      <c r="H3" s="7">
        <v>13.076947768555787</v>
      </c>
      <c r="I3" s="2">
        <f t="shared" si="0"/>
        <v>1377</v>
      </c>
      <c r="J3" s="2">
        <f t="shared" si="1"/>
        <v>0.94421785008665948</v>
      </c>
      <c r="K3" s="8" t="s">
        <v>11</v>
      </c>
      <c r="L3" t="s">
        <v>8</v>
      </c>
      <c r="M3" t="str">
        <f>HYPERLINK(".\links\KOG\ab-tri_asb-13739-KOG.txt","KOG")</f>
        <v>KOG</v>
      </c>
      <c r="N3" s="1">
        <v>2.0000000000000001E-53</v>
      </c>
      <c r="O3">
        <v>99.2</v>
      </c>
      <c r="P3" s="9" t="str">
        <f>HYPERLINK(".\links\NR-LIGHT\ab-tri_asb-13739-NR-LIGHT.txt","RH61984p")</f>
        <v>RH61984p</v>
      </c>
      <c r="Q3" t="str">
        <f>HYPERLINK("http://www.ncbi.nlm.nih.gov/sutils/blink.cgi?pid=21464468","4E-078")</f>
        <v>4E-078</v>
      </c>
    </row>
    <row r="4" spans="1:17" customFormat="1">
      <c r="A4" s="7" t="s">
        <v>52</v>
      </c>
      <c r="B4" s="7">
        <v>1.3823553413061518E-10</v>
      </c>
      <c r="C4" s="7">
        <v>19422</v>
      </c>
      <c r="D4" s="7">
        <v>20346</v>
      </c>
      <c r="E4" s="7">
        <v>2493.8249683654699</v>
      </c>
      <c r="F4" s="7">
        <v>17793</v>
      </c>
      <c r="G4" s="7">
        <v>18338</v>
      </c>
      <c r="H4" s="7">
        <v>2231.696318707443</v>
      </c>
      <c r="I4" s="2">
        <f t="shared" si="0"/>
        <v>38684</v>
      </c>
      <c r="J4" s="2">
        <f t="shared" si="1"/>
        <v>0.89453021635003904</v>
      </c>
      <c r="K4" s="8" t="s">
        <v>16</v>
      </c>
      <c r="L4" t="s">
        <v>9</v>
      </c>
      <c r="M4" t="str">
        <f>HYPERLINK(".\links\DIPTERA\ab-tri_asb-54789-DIPTERA.txt","DIPTERA")</f>
        <v>DIPTERA</v>
      </c>
      <c r="N4" s="1">
        <v>9.9999999999999993E-35</v>
      </c>
      <c r="O4">
        <v>25.5</v>
      </c>
      <c r="P4" s="9" t="str">
        <f>HYPERLINK(".\links\NR-LIGHT\ab-tri_asb-54789-NR-LIGHT.txt","trypsin")</f>
        <v>trypsin</v>
      </c>
      <c r="Q4" t="str">
        <f>HYPERLINK("http://www.ncbi.nlm.nih.gov/sutils/blink.cgi?pid=289724696","4E-034")</f>
        <v>4E-034</v>
      </c>
    </row>
    <row r="5" spans="1:17" customFormat="1">
      <c r="A5" s="7" t="s">
        <v>36</v>
      </c>
      <c r="B5" s="7">
        <v>1</v>
      </c>
      <c r="C5" s="7">
        <v>37</v>
      </c>
      <c r="D5" s="7">
        <v>37</v>
      </c>
      <c r="E5" s="7">
        <v>1.1161821927524105</v>
      </c>
      <c r="F5" s="7">
        <v>61</v>
      </c>
      <c r="G5" s="7">
        <v>61</v>
      </c>
      <c r="H5" s="7">
        <v>1.8270877278770599</v>
      </c>
      <c r="I5" s="2">
        <f t="shared" si="0"/>
        <v>98</v>
      </c>
      <c r="J5" s="2">
        <f t="shared" si="1"/>
        <v>0.86338866952691806</v>
      </c>
      <c r="K5" s="8" t="s">
        <v>11</v>
      </c>
      <c r="L5" t="s">
        <v>8</v>
      </c>
      <c r="M5" t="str">
        <f>HYPERLINK(".\links\KOG\ab-tri_asb-268-KOG.txt","KOG")</f>
        <v>KOG</v>
      </c>
      <c r="N5" s="1">
        <v>1E-62</v>
      </c>
      <c r="O5">
        <v>94.9</v>
      </c>
      <c r="P5" s="9" t="str">
        <f>HYPERLINK(".\links\NR-LIGHT\ab-tri_asb-268-NR-LIGHT.txt","gonadal trypsin")</f>
        <v>gonadal trypsin</v>
      </c>
      <c r="Q5" t="str">
        <f>HYPERLINK("http://www.ncbi.nlm.nih.gov/sutils/blink.cgi?pid=289722588","1E-162")</f>
        <v>1E-162</v>
      </c>
    </row>
    <row r="6" spans="1:17" customFormat="1">
      <c r="A6" s="7" t="s">
        <v>12</v>
      </c>
      <c r="B6" s="7">
        <v>1</v>
      </c>
      <c r="C6" s="7">
        <v>7329</v>
      </c>
      <c r="D6" s="7">
        <v>7329</v>
      </c>
      <c r="E6" s="7">
        <v>76.791415876900999</v>
      </c>
      <c r="F6" s="7">
        <v>5325</v>
      </c>
      <c r="G6" s="7">
        <v>5325</v>
      </c>
      <c r="H6" s="7">
        <v>55.396683563965361</v>
      </c>
      <c r="I6" s="2">
        <f t="shared" si="0"/>
        <v>12654</v>
      </c>
      <c r="J6" s="2">
        <f t="shared" si="1"/>
        <v>0.71211820661069336</v>
      </c>
      <c r="K6" s="8" t="s">
        <v>11</v>
      </c>
      <c r="L6" t="s">
        <v>8</v>
      </c>
      <c r="M6" t="str">
        <f>HYPERLINK(".\links\KOG\ab-tri_asb-10425-KOG.txt","KOG")</f>
        <v>KOG</v>
      </c>
      <c r="N6" s="1">
        <v>4.0000000000000002E-56</v>
      </c>
      <c r="O6">
        <v>98.8</v>
      </c>
      <c r="P6" s="9" t="str">
        <f>HYPERLINK(".\links\NR-LIGHT\ab-tri_asb-10425-NR-LIGHT.txt","midgut trypsin")</f>
        <v>midgut trypsin</v>
      </c>
      <c r="Q6" t="str">
        <f>HYPERLINK("http://www.ncbi.nlm.nih.gov/sutils/blink.cgi?pid=289740179","1E-148")</f>
        <v>1E-148</v>
      </c>
    </row>
    <row r="7" spans="1:17" customFormat="1">
      <c r="A7" s="7" t="s">
        <v>43</v>
      </c>
      <c r="B7" s="7">
        <v>1</v>
      </c>
      <c r="C7" s="7">
        <v>6</v>
      </c>
      <c r="D7" s="7">
        <v>6</v>
      </c>
      <c r="E7" s="7">
        <v>0.73212677580608965</v>
      </c>
      <c r="F7" s="7">
        <v>10</v>
      </c>
      <c r="G7" s="7">
        <v>10</v>
      </c>
      <c r="H7" s="7">
        <v>1.2115218191171859</v>
      </c>
      <c r="I7" s="2">
        <f t="shared" si="0"/>
        <v>16</v>
      </c>
      <c r="J7" s="2">
        <f t="shared" si="1"/>
        <v>0.69944177068296465</v>
      </c>
      <c r="K7" s="8" t="s">
        <v>16</v>
      </c>
      <c r="L7" t="s">
        <v>9</v>
      </c>
      <c r="M7" t="str">
        <f>HYPERLINK(".\links\DIPTERA\ab-tri_asb-38244-DIPTERA.txt","DIPTERA")</f>
        <v>DIPTERA</v>
      </c>
      <c r="N7" s="1">
        <v>7.0000000000000004E-25</v>
      </c>
      <c r="O7">
        <v>20.8</v>
      </c>
      <c r="P7" s="9" t="str">
        <f>HYPERLINK(".\links\NR-LIGHT\ab-tri_asb-38244-NR-LIGHT.txt","trypsin")</f>
        <v>trypsin</v>
      </c>
      <c r="Q7" t="str">
        <f>HYPERLINK("http://www.ncbi.nlm.nih.gov/sutils/blink.cgi?pid=289742999","2E-024")</f>
        <v>2E-024</v>
      </c>
    </row>
    <row r="8" spans="1:17" customFormat="1">
      <c r="A8" s="7" t="s">
        <v>49</v>
      </c>
      <c r="B8" s="7">
        <v>4.5760728539789852E-10</v>
      </c>
      <c r="C8" s="7">
        <v>233981</v>
      </c>
      <c r="D8" s="7">
        <v>248119</v>
      </c>
      <c r="E8" s="7">
        <v>5083.9567843159575</v>
      </c>
      <c r="F8" s="7">
        <v>163052</v>
      </c>
      <c r="G8" s="7">
        <v>173534</v>
      </c>
      <c r="H8" s="7">
        <v>3530.3893600140082</v>
      </c>
      <c r="I8" s="2">
        <f t="shared" si="0"/>
        <v>421653</v>
      </c>
      <c r="J8" s="2">
        <f t="shared" si="1"/>
        <v>0.69428109416841899</v>
      </c>
      <c r="K8" s="8" t="s">
        <v>16</v>
      </c>
      <c r="L8" t="s">
        <v>9</v>
      </c>
      <c r="M8" t="str">
        <f>HYPERLINK(".\links\NR-LIGHT\ab-tri_asb-54448-NR-LIGHT.txt","NR-LIGHT")</f>
        <v>NR-LIGHT</v>
      </c>
      <c r="N8">
        <v>0</v>
      </c>
      <c r="O8">
        <v>106.5</v>
      </c>
      <c r="P8" s="9" t="str">
        <f>HYPERLINK(".\links\NR-LIGHT\ab-tri_asb-54448-NR-LIGHT.txt","trypsin")</f>
        <v>trypsin</v>
      </c>
      <c r="Q8" t="str">
        <f>HYPERLINK("http://www.ncbi.nlm.nih.gov/sutils/blink.cgi?pid=289724696","1E-146")</f>
        <v>1E-146</v>
      </c>
    </row>
    <row r="9" spans="1:17" customFormat="1">
      <c r="A9" s="7" t="s">
        <v>53</v>
      </c>
      <c r="B9" s="7">
        <v>1.3346879157438707E-10</v>
      </c>
      <c r="C9" s="7">
        <v>15387</v>
      </c>
      <c r="D9" s="7">
        <v>15387</v>
      </c>
      <c r="E9" s="7">
        <v>387.67705832564985</v>
      </c>
      <c r="F9" s="7">
        <v>9563</v>
      </c>
      <c r="G9" s="7">
        <v>9563</v>
      </c>
      <c r="H9" s="7">
        <v>239.22496702190145</v>
      </c>
      <c r="I9" s="2">
        <f t="shared" si="0"/>
        <v>24950</v>
      </c>
      <c r="J9" s="2">
        <f t="shared" si="1"/>
        <v>0.61548517438214423</v>
      </c>
      <c r="K9" s="8" t="s">
        <v>11</v>
      </c>
      <c r="L9" t="s">
        <v>8</v>
      </c>
      <c r="M9" t="str">
        <f>HYPERLINK(".\links\KOG\ab-tri_asb-55502-KOG.txt","KOG")</f>
        <v>KOG</v>
      </c>
      <c r="N9" s="1">
        <v>5E-53</v>
      </c>
      <c r="O9">
        <v>97.2</v>
      </c>
      <c r="P9" s="9" t="str">
        <f>HYPERLINK(".\links\NR-LIGHT\ab-tri_asb-55502-NR-LIGHT.txt","trypsin")</f>
        <v>trypsin</v>
      </c>
      <c r="Q9" t="str">
        <f>HYPERLINK("http://www.ncbi.nlm.nih.gov/sutils/blink.cgi?pid=289724550","1E-142")</f>
        <v>1E-142</v>
      </c>
    </row>
    <row r="10" spans="1:17" customFormat="1">
      <c r="A10" s="7" t="s">
        <v>51</v>
      </c>
      <c r="B10" s="7">
        <v>5.8630933441605748E-10</v>
      </c>
      <c r="C10" s="7">
        <v>94365</v>
      </c>
      <c r="D10" s="7">
        <v>94447</v>
      </c>
      <c r="E10" s="7">
        <v>1889.6838974983305</v>
      </c>
      <c r="F10" s="7">
        <v>49773</v>
      </c>
      <c r="G10" s="7">
        <v>49815</v>
      </c>
      <c r="H10" s="7">
        <v>989.59462871389292</v>
      </c>
      <c r="I10" s="2">
        <f t="shared" si="0"/>
        <v>144262</v>
      </c>
      <c r="J10" s="2">
        <f t="shared" si="1"/>
        <v>0.52340564703770998</v>
      </c>
      <c r="K10" s="8" t="s">
        <v>11</v>
      </c>
      <c r="L10" t="s">
        <v>8</v>
      </c>
      <c r="M10" t="str">
        <f>HYPERLINK(".\links\KOG\ab-tri_asb-54665-KOG.txt","KOG")</f>
        <v>KOG</v>
      </c>
      <c r="N10" s="1">
        <v>1.9999999999999999E-60</v>
      </c>
      <c r="O10">
        <v>100.3</v>
      </c>
      <c r="P10" s="9" t="str">
        <f>HYPERLINK(".\links\NR-LIGHT\ab-tri_asb-54665-NR-LIGHT.txt","trypsin-like protein")</f>
        <v>trypsin-like protein</v>
      </c>
      <c r="Q10" t="str">
        <f>HYPERLINK("http://www.ncbi.nlm.nih.gov/sutils/blink.cgi?pid=182676658","1E-147")</f>
        <v>1E-147</v>
      </c>
    </row>
    <row r="11" spans="1:17" customFormat="1">
      <c r="A11" s="7" t="s">
        <v>17</v>
      </c>
      <c r="B11" s="7">
        <v>1.1454482362616147E-8</v>
      </c>
      <c r="C11" s="7">
        <v>5474</v>
      </c>
      <c r="D11" s="7">
        <v>5489</v>
      </c>
      <c r="E11" s="7">
        <v>173.27099449828239</v>
      </c>
      <c r="F11" s="7">
        <v>2690</v>
      </c>
      <c r="G11" s="7">
        <v>2697</v>
      </c>
      <c r="H11" s="7">
        <v>84.529788769543885</v>
      </c>
      <c r="I11" s="2">
        <f t="shared" si="0"/>
        <v>8186</v>
      </c>
      <c r="J11" s="2">
        <f t="shared" si="1"/>
        <v>0.48504795082452468</v>
      </c>
      <c r="K11" s="8" t="s">
        <v>11</v>
      </c>
      <c r="L11" t="s">
        <v>8</v>
      </c>
      <c r="M11" t="str">
        <f>HYPERLINK(".\links\KOG\ab-tri_asb-1271-KOG.txt","KOG")</f>
        <v>KOG</v>
      </c>
      <c r="N11" s="1">
        <v>1E-51</v>
      </c>
      <c r="O11">
        <v>96.4</v>
      </c>
      <c r="P11" s="9" t="str">
        <f>HYPERLINK(".\links\NR-LIGHT\ab-tri_asb-1271-NR-LIGHT.txt","midgut trypsin-like serine protease precursor")</f>
        <v>midgut trypsin-like serine protease precursor</v>
      </c>
      <c r="Q11" t="str">
        <f>HYPERLINK("http://www.ncbi.nlm.nih.gov/sutils/blink.cgi?pid=289724890","1E-143")</f>
        <v>1E-143</v>
      </c>
    </row>
    <row r="12" spans="1:17" customFormat="1">
      <c r="A12" s="7" t="s">
        <v>41</v>
      </c>
      <c r="B12" s="7">
        <v>0.43203657807390439</v>
      </c>
      <c r="C12" s="7">
        <v>1856</v>
      </c>
      <c r="D12" s="7">
        <v>1856</v>
      </c>
      <c r="E12" s="7">
        <v>49.953591655923312</v>
      </c>
      <c r="F12" s="7">
        <v>775</v>
      </c>
      <c r="G12" s="7">
        <v>775</v>
      </c>
      <c r="H12" s="7">
        <v>20.710312402465643</v>
      </c>
      <c r="I12" s="2">
        <f t="shared" si="0"/>
        <v>2631</v>
      </c>
      <c r="J12" s="2">
        <f t="shared" si="1"/>
        <v>0.40645441723357073</v>
      </c>
      <c r="K12" s="8" t="s">
        <v>16</v>
      </c>
      <c r="L12" t="s">
        <v>9</v>
      </c>
      <c r="M12" t="str">
        <f>HYPERLINK(".\links\NR-LIGHT\ab-tri_asb-36171-NR-LIGHT.txt","NR-LIGHT")</f>
        <v>NR-LIGHT</v>
      </c>
      <c r="N12">
        <v>0</v>
      </c>
      <c r="O12">
        <v>100</v>
      </c>
      <c r="P12" s="9" t="str">
        <f>HYPERLINK(".\links\NR-LIGHT\ab-tri_asb-36171-NR-LIGHT.txt","trypsin")</f>
        <v>trypsin</v>
      </c>
      <c r="Q12" t="str">
        <f>HYPERLINK("http://www.ncbi.nlm.nih.gov/sutils/blink.cgi?pid=289739581","1E-158")</f>
        <v>1E-158</v>
      </c>
    </row>
    <row r="13" spans="1:17" customFormat="1">
      <c r="A13" s="7" t="s">
        <v>34</v>
      </c>
      <c r="B13" s="7">
        <v>1</v>
      </c>
      <c r="C13" s="7">
        <v>19</v>
      </c>
      <c r="D13" s="7">
        <v>19</v>
      </c>
      <c r="E13" s="7">
        <v>1.7291087787571915</v>
      </c>
      <c r="F13" s="7">
        <v>12</v>
      </c>
      <c r="G13" s="7">
        <v>12</v>
      </c>
      <c r="H13" s="7">
        <v>1.0842917685476887</v>
      </c>
      <c r="I13" s="2">
        <f t="shared" si="0"/>
        <v>31</v>
      </c>
      <c r="J13" s="2">
        <f t="shared" si="1"/>
        <v>0.39730617445064403</v>
      </c>
      <c r="K13" s="8" t="s">
        <v>11</v>
      </c>
      <c r="L13" t="s">
        <v>8</v>
      </c>
      <c r="M13" t="str">
        <f>HYPERLINK(".\links\KOG\ab-tri_asb-23524-KOG.txt","KOG")</f>
        <v>KOG</v>
      </c>
      <c r="N13">
        <v>9.0000000000000002E-6</v>
      </c>
      <c r="O13">
        <v>18.3</v>
      </c>
      <c r="P13" s="9" t="str">
        <f>HYPERLINK(".\links\NR-LIGHT\ab-tri_asb-23524-NR-LIGHT.txt","trypsin")</f>
        <v>trypsin</v>
      </c>
      <c r="Q13" t="str">
        <f>HYPERLINK("http://www.ncbi.nlm.nih.gov/sutils/blink.cgi?pid=289740257","1E-004")</f>
        <v>1E-004</v>
      </c>
    </row>
    <row r="14" spans="1:17" customFormat="1">
      <c r="A14" s="7" t="s">
        <v>23</v>
      </c>
      <c r="B14" s="7">
        <v>1</v>
      </c>
      <c r="C14" s="7">
        <v>4665</v>
      </c>
      <c r="D14" s="7">
        <v>4665</v>
      </c>
      <c r="E14" s="7">
        <v>23.291370771779693</v>
      </c>
      <c r="F14" s="7">
        <v>1783</v>
      </c>
      <c r="G14" s="7">
        <v>1783</v>
      </c>
      <c r="H14" s="7">
        <v>8.8387519078415622</v>
      </c>
      <c r="I14" s="2">
        <f t="shared" si="0"/>
        <v>6448</v>
      </c>
      <c r="J14" s="2">
        <f t="shared" si="1"/>
        <v>0.36386385893503842</v>
      </c>
      <c r="K14" s="8" t="s">
        <v>11</v>
      </c>
      <c r="L14" t="s">
        <v>8</v>
      </c>
      <c r="M14" t="str">
        <f>HYPERLINK(".\links\KOG\ab-tri_asb-1633-KOG.txt","KOG")</f>
        <v>KOG</v>
      </c>
      <c r="N14" s="1">
        <v>1E-58</v>
      </c>
      <c r="O14">
        <v>99.2</v>
      </c>
      <c r="P14" s="9" t="str">
        <f>HYPERLINK(".\links\NR-LIGHT\ab-tri_asb-1633-NR-LIGHT.txt","mitochondrial ATP-dependent protease PIM1/LON")</f>
        <v>mitochondrial ATP-dependent protease PIM1/LON</v>
      </c>
      <c r="Q14" t="str">
        <f>HYPERLINK("http://www.ncbi.nlm.nih.gov/sutils/blink.cgi?pid=289740707","0.0")</f>
        <v>0.0</v>
      </c>
    </row>
    <row r="15" spans="1:17" customFormat="1">
      <c r="A15" s="7" t="s">
        <v>60</v>
      </c>
      <c r="B15" s="7">
        <v>1</v>
      </c>
      <c r="C15" s="7">
        <v>456</v>
      </c>
      <c r="D15" s="7">
        <v>456</v>
      </c>
      <c r="E15" s="7">
        <v>9.5815325068429402</v>
      </c>
      <c r="F15" s="7">
        <v>171</v>
      </c>
      <c r="G15" s="7">
        <v>171</v>
      </c>
      <c r="H15" s="7">
        <v>3.5674873767100888</v>
      </c>
      <c r="I15" s="2">
        <f t="shared" si="0"/>
        <v>627</v>
      </c>
      <c r="J15" s="2">
        <f t="shared" si="1"/>
        <v>0.33714278857084651</v>
      </c>
      <c r="K15" s="8" t="s">
        <v>11</v>
      </c>
      <c r="L15" t="s">
        <v>8</v>
      </c>
      <c r="M15" t="str">
        <f>HYPERLINK(".\links\KOG\ab-tri_asb-57264-KOG.txt","KOG")</f>
        <v>KOG</v>
      </c>
      <c r="N15" s="1">
        <v>9.0000000000000001E-52</v>
      </c>
      <c r="O15">
        <v>104</v>
      </c>
      <c r="P15" s="9" t="str">
        <f>HYPERLINK(".\links\NR-LIGHT\ab-tri_asb-57264-NR-LIGHT.txt","CG5909")</f>
        <v>CG5909</v>
      </c>
      <c r="Q15" t="str">
        <f>HYPERLINK("http://www.ncbi.nlm.nih.gov/sutils/blink.cgi?pid=24650547","2E-065")</f>
        <v>2E-065</v>
      </c>
    </row>
    <row r="16" spans="1:17" customFormat="1">
      <c r="A16" s="7" t="s">
        <v>13</v>
      </c>
      <c r="B16" s="7">
        <v>1</v>
      </c>
      <c r="C16" s="7">
        <v>658</v>
      </c>
      <c r="D16" s="7">
        <v>658</v>
      </c>
      <c r="E16" s="7">
        <v>6.5107812315836817</v>
      </c>
      <c r="F16" s="7">
        <v>254</v>
      </c>
      <c r="G16" s="7">
        <v>254</v>
      </c>
      <c r="H16" s="7">
        <v>2.495382504670387</v>
      </c>
      <c r="I16" s="2">
        <f t="shared" si="0"/>
        <v>912</v>
      </c>
      <c r="J16" s="2">
        <f t="shared" si="1"/>
        <v>0.33224007300026559</v>
      </c>
      <c r="K16" s="8" t="s">
        <v>11</v>
      </c>
      <c r="L16" t="s">
        <v>8</v>
      </c>
      <c r="M16" t="str">
        <f>HYPERLINK(".\links\KOG\ab-tri_asb-10899-KOG.txt","KOG")</f>
        <v>KOG</v>
      </c>
      <c r="N16" s="1">
        <v>1E-53</v>
      </c>
      <c r="O16">
        <v>101.9</v>
      </c>
      <c r="P16" s="9" t="str">
        <f>HYPERLINK(".\links\NR-LIGHT\ab-tri_asb-10899-NR-LIGHT.txt","RH51833p")</f>
        <v>RH51833p</v>
      </c>
      <c r="Q16" t="str">
        <f>HYPERLINK("http://www.ncbi.nlm.nih.gov/sutils/blink.cgi?pid=21483544","1E-065")</f>
        <v>1E-065</v>
      </c>
    </row>
    <row r="17" spans="1:57" customFormat="1">
      <c r="A17" s="7" t="s">
        <v>66</v>
      </c>
      <c r="B17" s="7">
        <v>0.18694511521107238</v>
      </c>
      <c r="C17" s="7">
        <v>3325</v>
      </c>
      <c r="D17" s="7">
        <v>3325</v>
      </c>
      <c r="E17" s="7">
        <v>42.697318003053347</v>
      </c>
      <c r="F17" s="7">
        <v>1128</v>
      </c>
      <c r="G17" s="7">
        <v>1128</v>
      </c>
      <c r="H17" s="7">
        <v>14.381833150920878</v>
      </c>
      <c r="I17" s="2">
        <f t="shared" si="0"/>
        <v>4453</v>
      </c>
      <c r="J17" s="2">
        <f t="shared" si="1"/>
        <v>0.32912393273005791</v>
      </c>
      <c r="K17" s="8" t="s">
        <v>11</v>
      </c>
      <c r="L17" t="s">
        <v>8</v>
      </c>
      <c r="M17" t="str">
        <f>HYPERLINK(".\links\KOG\ab-tri_asb-7372-KOG.txt","KOG")</f>
        <v>KOG</v>
      </c>
      <c r="N17" s="1">
        <v>6.0000000000000004E-53</v>
      </c>
      <c r="O17">
        <v>105.8</v>
      </c>
      <c r="P17" s="9" t="str">
        <f>HYPERLINK(".\links\NR-LIGHT\ab-tri_asb-7372-NR-LIGHT.txt","easter")</f>
        <v>easter</v>
      </c>
      <c r="Q17" t="str">
        <f>HYPERLINK("http://www.ncbi.nlm.nih.gov/sutils/blink.cgi?pid=24647107","2E-099")</f>
        <v>2E-099</v>
      </c>
    </row>
    <row r="18" spans="1:57" customFormat="1">
      <c r="A18" s="7" t="s">
        <v>33</v>
      </c>
      <c r="B18" s="7">
        <v>1</v>
      </c>
      <c r="C18" s="7">
        <v>1218</v>
      </c>
      <c r="D18" s="7">
        <v>1218</v>
      </c>
      <c r="E18" s="7">
        <v>19.280190235000507</v>
      </c>
      <c r="F18" s="7">
        <v>408</v>
      </c>
      <c r="G18" s="7">
        <v>408</v>
      </c>
      <c r="H18" s="7">
        <v>6.4123968115507877</v>
      </c>
      <c r="I18" s="2">
        <f t="shared" si="0"/>
        <v>1626</v>
      </c>
      <c r="J18" s="2">
        <f t="shared" si="1"/>
        <v>0.31619017066634669</v>
      </c>
      <c r="K18" s="8" t="s">
        <v>11</v>
      </c>
      <c r="L18" t="s">
        <v>8</v>
      </c>
      <c r="M18" t="str">
        <f>HYPERLINK(".\links\KOG\ab-tri_asb-23436-KOG.txt","KOG")</f>
        <v>KOG</v>
      </c>
      <c r="N18" s="1">
        <v>5.0000000000000002E-54</v>
      </c>
      <c r="O18">
        <v>102.7</v>
      </c>
      <c r="P18" s="9" t="str">
        <f>HYPERLINK(".\links\NR-LIGHT\ab-tri_asb-23436-NR-LIGHT.txt","RH04813p")</f>
        <v>RH04813p</v>
      </c>
      <c r="Q18" t="str">
        <f>HYPERLINK("http://www.ncbi.nlm.nih.gov/sutils/blink.cgi?pid=19528541","1E-180")</f>
        <v>1E-180</v>
      </c>
    </row>
    <row r="19" spans="1:57" customFormat="1">
      <c r="A19" s="7" t="s">
        <v>55</v>
      </c>
      <c r="B19" s="7">
        <v>2.8600455337368658E-11</v>
      </c>
      <c r="C19" s="7">
        <v>16010</v>
      </c>
      <c r="D19" s="7">
        <v>16011</v>
      </c>
      <c r="E19" s="7">
        <v>438.74190047955358</v>
      </c>
      <c r="F19" s="7">
        <v>5048</v>
      </c>
      <c r="G19" s="7">
        <v>5050</v>
      </c>
      <c r="H19" s="7">
        <v>137.39731083573201</v>
      </c>
      <c r="I19" s="2">
        <f t="shared" si="0"/>
        <v>21061</v>
      </c>
      <c r="J19" s="2">
        <f t="shared" si="1"/>
        <v>0.31244989546344243</v>
      </c>
      <c r="K19" s="8" t="s">
        <v>16</v>
      </c>
      <c r="L19" t="s">
        <v>9</v>
      </c>
      <c r="M19" t="str">
        <f>HYPERLINK(".\links\NR-LIGHT\ab-tri_asb-55610-NR-LIGHT.txt","NR-LIGHT")</f>
        <v>NR-LIGHT</v>
      </c>
      <c r="N19">
        <v>0</v>
      </c>
      <c r="O19">
        <v>100</v>
      </c>
      <c r="P19" s="9" t="str">
        <f>HYPERLINK(".\links\NR-LIGHT\ab-tri_asb-55610-NR-LIGHT.txt","trypsin")</f>
        <v>trypsin</v>
      </c>
      <c r="Q19" t="str">
        <f>HYPERLINK("http://www.ncbi.nlm.nih.gov/sutils/blink.cgi?pid=289740257","1E-163")</f>
        <v>1E-163</v>
      </c>
    </row>
    <row r="20" spans="1:57" customFormat="1">
      <c r="A20" s="7" t="s">
        <v>64</v>
      </c>
      <c r="B20" s="7">
        <v>1</v>
      </c>
      <c r="C20" s="7">
        <v>762</v>
      </c>
      <c r="D20" s="7">
        <v>763</v>
      </c>
      <c r="E20" s="7">
        <v>16.662739269212192</v>
      </c>
      <c r="F20" s="7">
        <v>252</v>
      </c>
      <c r="G20" s="7">
        <v>252</v>
      </c>
      <c r="H20" s="7">
        <v>5.4640995302656004</v>
      </c>
      <c r="I20" s="2">
        <f t="shared" si="0"/>
        <v>1015</v>
      </c>
      <c r="J20" s="2">
        <f t="shared" si="1"/>
        <v>0.30935742451851944</v>
      </c>
      <c r="K20" s="8" t="s">
        <v>11</v>
      </c>
      <c r="L20" t="s">
        <v>8</v>
      </c>
      <c r="M20" t="str">
        <f>HYPERLINK(".\links\KOG\ab-tri_asb-6078-KOG.txt","KOG")</f>
        <v>KOG</v>
      </c>
      <c r="N20" s="1">
        <v>4.0000000000000001E-53</v>
      </c>
      <c r="O20">
        <v>99.6</v>
      </c>
      <c r="P20" s="9" t="str">
        <f>HYPERLINK(".\links\NR-LIGHT\ab-tri_asb-6078-NR-LIGHT.txt","fat body trypsin")</f>
        <v>fat body trypsin</v>
      </c>
      <c r="Q20" t="str">
        <f>HYPERLINK("http://www.ncbi.nlm.nih.gov/sutils/blink.cgi?pid=289741345","0.0")</f>
        <v>0.0</v>
      </c>
    </row>
    <row r="21" spans="1:57" customFormat="1">
      <c r="A21" s="7" t="s">
        <v>38</v>
      </c>
      <c r="B21" s="7">
        <v>3.2788453236615167E-3</v>
      </c>
      <c r="C21" s="7">
        <v>2740</v>
      </c>
      <c r="D21" s="7">
        <v>2740</v>
      </c>
      <c r="E21" s="7">
        <v>54.302513055721882</v>
      </c>
      <c r="F21" s="7">
        <v>860</v>
      </c>
      <c r="G21" s="7">
        <v>860</v>
      </c>
      <c r="H21" s="7">
        <v>16.92248029645258</v>
      </c>
      <c r="I21" s="2">
        <f t="shared" si="0"/>
        <v>3600</v>
      </c>
      <c r="J21" s="2">
        <f t="shared" si="1"/>
        <v>0.30599839611993351</v>
      </c>
      <c r="K21" s="8" t="s">
        <v>16</v>
      </c>
      <c r="L21" t="s">
        <v>9</v>
      </c>
      <c r="M21" t="str">
        <f>HYPERLINK(".\links\NR-LIGHT\ab-tri_asb-31595-NR-LIGHT.txt","NR-LIGHT")</f>
        <v>NR-LIGHT</v>
      </c>
      <c r="N21">
        <v>0</v>
      </c>
      <c r="O21">
        <v>100</v>
      </c>
      <c r="P21" s="9" t="str">
        <f>HYPERLINK(".\links\NR-LIGHT\ab-tri_asb-31595-NR-LIGHT.txt","trypsin")</f>
        <v>trypsin</v>
      </c>
      <c r="Q21" t="str">
        <f>HYPERLINK("http://www.ncbi.nlm.nih.gov/sutils/blink.cgi?pid=289739739","0.0")</f>
        <v>0.0</v>
      </c>
    </row>
    <row r="22" spans="1:57" customFormat="1">
      <c r="A22" s="7" t="s">
        <v>29</v>
      </c>
      <c r="B22" s="7">
        <v>8.1789688242120961E-2</v>
      </c>
      <c r="C22" s="7">
        <v>1918</v>
      </c>
      <c r="D22" s="7">
        <v>1918</v>
      </c>
      <c r="E22" s="7">
        <v>42.190901615080278</v>
      </c>
      <c r="F22" s="7">
        <v>595</v>
      </c>
      <c r="G22" s="7">
        <v>595</v>
      </c>
      <c r="H22" s="7">
        <v>12.995212010474035</v>
      </c>
      <c r="I22" s="2">
        <f t="shared" si="0"/>
        <v>2513</v>
      </c>
      <c r="J22" s="2">
        <f t="shared" si="1"/>
        <v>0.3008784610770131</v>
      </c>
      <c r="K22" s="8" t="s">
        <v>11</v>
      </c>
      <c r="L22" t="s">
        <v>8</v>
      </c>
      <c r="M22" t="str">
        <f>HYPERLINK(".\links\KOG\ab-tri_asb-20282-KOG.txt","KOG")</f>
        <v>KOG</v>
      </c>
      <c r="N22" s="1">
        <v>1E-52</v>
      </c>
      <c r="O22">
        <v>95</v>
      </c>
      <c r="P22" s="9" t="str">
        <f>HYPERLINK(".\links\NR-LIGHT\ab-tri_asb-20282-NR-LIGHT.txt","CG16749")</f>
        <v>CG16749</v>
      </c>
      <c r="Q22" t="str">
        <f>HYPERLINK("http://www.ncbi.nlm.nih.gov/sutils/blink.cgi?pid=24645304","1E-073")</f>
        <v>1E-073</v>
      </c>
    </row>
    <row r="23" spans="1:57" customFormat="1">
      <c r="A23" s="7" t="s">
        <v>44</v>
      </c>
      <c r="B23" s="7">
        <v>1</v>
      </c>
      <c r="C23" s="7">
        <v>350</v>
      </c>
      <c r="D23" s="7">
        <v>350</v>
      </c>
      <c r="E23" s="7">
        <v>11.516020727864831</v>
      </c>
      <c r="F23" s="7">
        <v>114</v>
      </c>
      <c r="G23" s="7">
        <v>114</v>
      </c>
      <c r="H23" s="7">
        <v>3.7242210018859856</v>
      </c>
      <c r="I23" s="2">
        <f t="shared" si="0"/>
        <v>464</v>
      </c>
      <c r="J23" s="2">
        <f t="shared" si="1"/>
        <v>0.29755631465155929</v>
      </c>
      <c r="K23" s="8" t="s">
        <v>16</v>
      </c>
      <c r="L23" t="s">
        <v>9</v>
      </c>
      <c r="M23" t="str">
        <f>HYPERLINK(".\links\NR-LIGHT\ab-tri_asb-38831-NR-LIGHT.txt","NR-LIGHT")</f>
        <v>NR-LIGHT</v>
      </c>
      <c r="N23">
        <v>0</v>
      </c>
      <c r="O23">
        <v>97</v>
      </c>
      <c r="P23" s="9" t="str">
        <f>HYPERLINK(".\links\NR-LIGHT\ab-tri_asb-38831-NR-LIGHT.txt","trypsin")</f>
        <v>trypsin</v>
      </c>
      <c r="Q23" t="str">
        <f>HYPERLINK("http://www.ncbi.nlm.nih.gov/sutils/blink.cgi?pid=289724591","1E-130")</f>
        <v>1E-130</v>
      </c>
    </row>
    <row r="24" spans="1:57" customFormat="1">
      <c r="A24" s="7" t="s">
        <v>47</v>
      </c>
      <c r="B24" s="7">
        <v>1.4904860838160783E-4</v>
      </c>
      <c r="C24" s="7">
        <v>15468</v>
      </c>
      <c r="D24" s="7">
        <v>15470</v>
      </c>
      <c r="E24" s="7">
        <v>61.749994436546039</v>
      </c>
      <c r="F24" s="7">
        <v>4531</v>
      </c>
      <c r="G24" s="7">
        <v>4531</v>
      </c>
      <c r="H24" s="7">
        <v>17.95712770749088</v>
      </c>
      <c r="I24" s="2">
        <f t="shared" si="0"/>
        <v>20001</v>
      </c>
      <c r="J24" s="2">
        <f t="shared" si="1"/>
        <v>0.28616939122838425</v>
      </c>
      <c r="K24" s="8" t="s">
        <v>11</v>
      </c>
      <c r="L24" t="s">
        <v>8</v>
      </c>
      <c r="M24" t="str">
        <f>HYPERLINK(".\links\KOG\ab-tri_asb-4144-KOG.txt","KOG")</f>
        <v>KOG</v>
      </c>
      <c r="N24" s="1">
        <v>9.9999999999999998E-67</v>
      </c>
      <c r="O24">
        <v>97.6</v>
      </c>
      <c r="P24" s="9" t="str">
        <f>HYPERLINK(".\links\NR-LIGHT\ab-tri_asb-4144-NR-LIGHT.txt","GRAAL protein")</f>
        <v>GRAAL protein</v>
      </c>
      <c r="Q24" t="str">
        <f>HYPERLINK("http://www.ncbi.nlm.nih.gov/sutils/blink.cgi?pid=6682301","0.0")</f>
        <v>0.0</v>
      </c>
      <c r="AU24" s="1"/>
      <c r="AZ24" s="1"/>
      <c r="BE24" s="1"/>
    </row>
    <row r="25" spans="1:57" customFormat="1">
      <c r="A25" s="7" t="s">
        <v>15</v>
      </c>
      <c r="B25" s="7">
        <v>1</v>
      </c>
      <c r="C25" s="7">
        <v>435</v>
      </c>
      <c r="D25" s="7">
        <v>435</v>
      </c>
      <c r="E25" s="7">
        <v>3.6839899308574395</v>
      </c>
      <c r="F25" s="7">
        <v>159</v>
      </c>
      <c r="G25" s="7">
        <v>159</v>
      </c>
      <c r="H25" s="7">
        <v>1.3369725845141009</v>
      </c>
      <c r="I25" s="2">
        <f t="shared" si="0"/>
        <v>594</v>
      </c>
      <c r="J25" s="2">
        <f t="shared" si="1"/>
        <v>0.28543455563521208</v>
      </c>
      <c r="K25" s="8" t="s">
        <v>11</v>
      </c>
      <c r="L25" t="s">
        <v>8</v>
      </c>
      <c r="M25" t="str">
        <f>HYPERLINK(".\links\KOG\ab-tri_asb-12326-KOG.txt","KOG")</f>
        <v>KOG</v>
      </c>
      <c r="N25" s="1">
        <v>2.0000000000000001E-56</v>
      </c>
      <c r="O25">
        <v>96.8</v>
      </c>
      <c r="P25" s="9" t="str">
        <f>HYPERLINK(".\links\NR-LIGHT\ab-tri_asb-12326-NR-LIGHT.txt","CG10663")</f>
        <v>CG10663</v>
      </c>
      <c r="Q25" t="str">
        <f>HYPERLINK("http://www.ncbi.nlm.nih.gov/sutils/blink.cgi?pid=161083384","0.0")</f>
        <v>0.0</v>
      </c>
    </row>
    <row r="26" spans="1:57" customFormat="1">
      <c r="A26" s="7" t="s">
        <v>48</v>
      </c>
      <c r="B26" s="7">
        <v>7.1501138343421644E-11</v>
      </c>
      <c r="C26" s="7">
        <v>20158</v>
      </c>
      <c r="D26" s="7">
        <v>20158</v>
      </c>
      <c r="E26" s="7">
        <v>756.57038503768081</v>
      </c>
      <c r="F26" s="7">
        <v>5733</v>
      </c>
      <c r="G26" s="7">
        <v>5733</v>
      </c>
      <c r="H26" s="7">
        <v>213.63875494437772</v>
      </c>
      <c r="I26" s="2">
        <f t="shared" si="0"/>
        <v>25891</v>
      </c>
      <c r="J26" s="2">
        <f t="shared" si="1"/>
        <v>0.28200515643672047</v>
      </c>
      <c r="K26" s="8" t="s">
        <v>16</v>
      </c>
      <c r="L26" t="s">
        <v>9</v>
      </c>
      <c r="M26" t="str">
        <f>HYPERLINK(".\links\NR-LIGHT\ab-tri_asb-51923-NR-LIGHT.txt","NR-LIGHT")</f>
        <v>NR-LIGHT</v>
      </c>
      <c r="N26">
        <v>0</v>
      </c>
      <c r="O26">
        <v>83.4</v>
      </c>
      <c r="P26" s="9" t="str">
        <f>HYPERLINK(".\links\NR-LIGHT\ab-tri_asb-51923-NR-LIGHT.txt","trypsin")</f>
        <v>trypsin</v>
      </c>
      <c r="Q26" t="str">
        <f>HYPERLINK("http://www.ncbi.nlm.nih.gov/sutils/blink.cgi?pid=289739365","1E-121")</f>
        <v>1E-121</v>
      </c>
      <c r="AU26" s="1"/>
      <c r="AZ26" s="1"/>
      <c r="BE26" s="1"/>
    </row>
    <row r="27" spans="1:57" customFormat="1">
      <c r="A27" s="7" t="s">
        <v>62</v>
      </c>
      <c r="B27" s="7">
        <v>1</v>
      </c>
      <c r="C27" s="7">
        <v>628</v>
      </c>
      <c r="D27" s="7">
        <v>628</v>
      </c>
      <c r="E27" s="7">
        <v>9.147926676569238</v>
      </c>
      <c r="F27" s="7">
        <v>192</v>
      </c>
      <c r="G27" s="7">
        <v>192</v>
      </c>
      <c r="H27" s="7">
        <v>2.7769014029615326</v>
      </c>
      <c r="I27" s="2">
        <f t="shared" si="0"/>
        <v>820</v>
      </c>
      <c r="J27" s="2">
        <f t="shared" si="1"/>
        <v>0.27364224155986255</v>
      </c>
      <c r="K27" s="8" t="s">
        <v>11</v>
      </c>
      <c r="L27" t="s">
        <v>8</v>
      </c>
      <c r="M27" t="str">
        <f>HYPERLINK(".\links\KOG\ab-tri_asb-57754-KOG.txt","KOG")</f>
        <v>KOG</v>
      </c>
      <c r="N27" s="1">
        <v>6E-51</v>
      </c>
      <c r="O27">
        <v>101.5</v>
      </c>
      <c r="P27" s="9" t="str">
        <f>HYPERLINK(".\links\NR-LIGHT\ab-tri_asb-57754-NR-LIGHT.txt","similar to pro-phenoloxidase activating enzyme I")</f>
        <v>similar to pro-phenoloxidase activating enzyme I</v>
      </c>
      <c r="Q27" t="str">
        <f>HYPERLINK("http://www.ncbi.nlm.nih.gov/sutils/blink.cgi?pid=189234628","5E-050")</f>
        <v>5E-050</v>
      </c>
    </row>
    <row r="28" spans="1:57" customFormat="1">
      <c r="A28" s="7" t="s">
        <v>28</v>
      </c>
      <c r="B28" s="7">
        <v>1</v>
      </c>
      <c r="C28" s="7">
        <v>66</v>
      </c>
      <c r="D28" s="7">
        <v>66</v>
      </c>
      <c r="E28" s="7">
        <v>2.0524651212026717</v>
      </c>
      <c r="F28" s="7">
        <v>26</v>
      </c>
      <c r="G28" s="7">
        <v>26</v>
      </c>
      <c r="H28" s="7">
        <v>0.80278897225616508</v>
      </c>
      <c r="I28" s="2">
        <f t="shared" si="0"/>
        <v>92</v>
      </c>
      <c r="J28" s="2">
        <f t="shared" si="1"/>
        <v>0.26299693538836116</v>
      </c>
      <c r="K28" s="8" t="s">
        <v>11</v>
      </c>
      <c r="L28" t="s">
        <v>8</v>
      </c>
      <c r="M28" t="str">
        <f>HYPERLINK(".\links\KOG\ab-tri_asb-18319-KOG.txt","KOG")</f>
        <v>KOG</v>
      </c>
      <c r="N28" s="1">
        <v>5E-56</v>
      </c>
      <c r="O28">
        <v>101.5</v>
      </c>
      <c r="P28" s="9" t="str">
        <f>HYPERLINK(".\links\NR-LIGHT\ab-tri_asb-18319-NR-LIGHT.txt","CG13430, isoform B")</f>
        <v>CG13430, isoform B</v>
      </c>
      <c r="Q28" t="str">
        <f>HYPERLINK("http://www.ncbi.nlm.nih.gov/sutils/blink.cgi?pid=78707268","3E-050")</f>
        <v>3E-050</v>
      </c>
    </row>
    <row r="29" spans="1:57" customFormat="1">
      <c r="A29" s="7" t="s">
        <v>19</v>
      </c>
      <c r="B29" s="7">
        <v>2.1568964942253466E-3</v>
      </c>
      <c r="C29" s="7">
        <v>2535</v>
      </c>
      <c r="D29" s="7">
        <v>2536</v>
      </c>
      <c r="E29" s="7">
        <v>47.55779821595064</v>
      </c>
      <c r="F29" s="7">
        <v>653</v>
      </c>
      <c r="G29" s="7">
        <v>653</v>
      </c>
      <c r="H29" s="7">
        <v>12.158552431290524</v>
      </c>
      <c r="I29" s="2">
        <f t="shared" si="0"/>
        <v>3189</v>
      </c>
      <c r="J29" s="2">
        <f t="shared" si="1"/>
        <v>0.25039340493195156</v>
      </c>
      <c r="K29" s="8" t="s">
        <v>11</v>
      </c>
      <c r="L29" t="s">
        <v>8</v>
      </c>
      <c r="M29" t="str">
        <f>HYPERLINK(".\links\KOG\ab-tri_asb-1390-KOG.txt","KOG")</f>
        <v>KOG</v>
      </c>
      <c r="N29" s="1">
        <v>1E-58</v>
      </c>
      <c r="O29">
        <v>101.5</v>
      </c>
      <c r="P29" s="9" t="str">
        <f>HYPERLINK(".\links\NR-LIGHT\ab-tri_asb-1390-NR-LIGHT.txt","serine protease 7, isoform A")</f>
        <v>serine protease 7, isoform A</v>
      </c>
      <c r="Q29" t="str">
        <f>HYPERLINK("http://www.ncbi.nlm.nih.gov/sutils/blink.cgi?pid=24644870","1E-120")</f>
        <v>1E-120</v>
      </c>
    </row>
    <row r="30" spans="1:57" customFormat="1">
      <c r="A30" s="7" t="s">
        <v>59</v>
      </c>
      <c r="B30" s="7">
        <v>1</v>
      </c>
      <c r="C30" s="7">
        <v>626</v>
      </c>
      <c r="D30" s="7">
        <v>626</v>
      </c>
      <c r="E30" s="7">
        <v>13.307738756377409</v>
      </c>
      <c r="F30" s="7">
        <v>168</v>
      </c>
      <c r="G30" s="7">
        <v>169</v>
      </c>
      <c r="H30" s="7">
        <v>3.5670799060210459</v>
      </c>
      <c r="I30" s="2">
        <f t="shared" si="0"/>
        <v>795</v>
      </c>
      <c r="J30" s="2">
        <f t="shared" si="1"/>
        <v>0.24931122707500417</v>
      </c>
      <c r="K30" s="8" t="s">
        <v>11</v>
      </c>
      <c r="L30" t="s">
        <v>8</v>
      </c>
      <c r="M30" t="str">
        <f>HYPERLINK(".\links\KOG\ab-tri_asb-57045-KOG.txt","KOG")</f>
        <v>KOG</v>
      </c>
      <c r="N30" s="1">
        <v>8E-55</v>
      </c>
      <c r="O30">
        <v>101.9</v>
      </c>
      <c r="P30" s="9" t="str">
        <f>HYPERLINK(".\links\NR-LIGHT\ab-tri_asb-57045-NR-LIGHT.txt","midgut and salivary serine protease")</f>
        <v>midgut and salivary serine protease</v>
      </c>
      <c r="Q30" t="str">
        <f>HYPERLINK("http://www.ncbi.nlm.nih.gov/sutils/blink.cgi?pid=289742847","1E-157")</f>
        <v>1E-157</v>
      </c>
      <c r="AU30" s="1"/>
      <c r="AZ30" s="1"/>
      <c r="BE30" s="1"/>
    </row>
    <row r="31" spans="1:57" customFormat="1">
      <c r="A31" s="7" t="s">
        <v>46</v>
      </c>
      <c r="B31" s="7">
        <v>1</v>
      </c>
      <c r="C31" s="7">
        <v>504</v>
      </c>
      <c r="D31" s="7">
        <v>504</v>
      </c>
      <c r="E31" s="7">
        <v>11.731564383575424</v>
      </c>
      <c r="F31" s="7">
        <v>135</v>
      </c>
      <c r="G31" s="7">
        <v>135</v>
      </c>
      <c r="H31" s="7">
        <v>3.1200055059472098</v>
      </c>
      <c r="I31" s="2">
        <f t="shared" si="0"/>
        <v>639</v>
      </c>
      <c r="J31" s="2">
        <f t="shared" si="1"/>
        <v>0.24506065491623535</v>
      </c>
      <c r="K31" s="8" t="s">
        <v>11</v>
      </c>
      <c r="L31" t="s">
        <v>8</v>
      </c>
      <c r="M31" t="str">
        <f>HYPERLINK(".\links\KOG\ab-tri_asb-4029-KOG.txt","KOG")</f>
        <v>KOG</v>
      </c>
      <c r="N31" s="1">
        <v>1E-52</v>
      </c>
      <c r="O31">
        <v>103.9</v>
      </c>
      <c r="P31" s="9" t="str">
        <f>HYPERLINK(".\links\NR-LIGHT\ab-tri_asb-4029-NR-LIGHT.txt","midgut and salivary serine protease")</f>
        <v>midgut and salivary serine protease</v>
      </c>
      <c r="Q31" t="str">
        <f>HYPERLINK("http://www.ncbi.nlm.nih.gov/sutils/blink.cgi?pid=289742847","0.0")</f>
        <v>0.0</v>
      </c>
      <c r="AU31" s="1"/>
      <c r="AZ31" s="1"/>
      <c r="BE31" s="1"/>
    </row>
    <row r="32" spans="1:57" customFormat="1">
      <c r="A32" s="7" t="s">
        <v>22</v>
      </c>
      <c r="B32" s="7">
        <v>1</v>
      </c>
      <c r="C32" s="7">
        <v>918</v>
      </c>
      <c r="D32" s="7">
        <v>919</v>
      </c>
      <c r="E32" s="7">
        <v>17.66005944601843</v>
      </c>
      <c r="F32" s="7">
        <v>239</v>
      </c>
      <c r="G32" s="7">
        <v>239</v>
      </c>
      <c r="H32" s="7">
        <v>4.5600620334384647</v>
      </c>
      <c r="I32" s="2">
        <f t="shared" si="0"/>
        <v>1158</v>
      </c>
      <c r="J32" s="2">
        <f t="shared" si="1"/>
        <v>0.24437553624254199</v>
      </c>
      <c r="K32" s="8" t="s">
        <v>16</v>
      </c>
      <c r="L32" t="s">
        <v>9</v>
      </c>
      <c r="M32" t="str">
        <f>HYPERLINK(".\links\NR-LIGHT\ab-tri_asb-14726-NR-LIGHT.txt","NR-LIGHT")</f>
        <v>NR-LIGHT</v>
      </c>
      <c r="N32">
        <v>0</v>
      </c>
      <c r="O32">
        <v>100</v>
      </c>
      <c r="P32" s="9" t="str">
        <f>HYPERLINK(".\links\NR-LIGHT\ab-tri_asb-14726-NR-LIGHT.txt","trypsin")</f>
        <v>trypsin</v>
      </c>
      <c r="Q32" t="str">
        <f>HYPERLINK("http://www.ncbi.nlm.nih.gov/sutils/blink.cgi?pid=289742999","0.0")</f>
        <v>0.0</v>
      </c>
    </row>
    <row r="33" spans="1:57" customFormat="1">
      <c r="A33" s="7" t="s">
        <v>37</v>
      </c>
      <c r="B33" s="7">
        <v>1</v>
      </c>
      <c r="C33" s="7">
        <v>1145</v>
      </c>
      <c r="D33" s="7">
        <v>1145</v>
      </c>
      <c r="E33" s="7">
        <v>21.108580657232146</v>
      </c>
      <c r="F33" s="7">
        <v>288</v>
      </c>
      <c r="G33" s="7">
        <v>288</v>
      </c>
      <c r="H33" s="7">
        <v>5.271597378792829</v>
      </c>
      <c r="I33" s="2">
        <f t="shared" si="0"/>
        <v>1433</v>
      </c>
      <c r="J33" s="2">
        <f t="shared" si="1"/>
        <v>0.23844123964911276</v>
      </c>
      <c r="K33" s="8" t="s">
        <v>11</v>
      </c>
      <c r="L33" t="s">
        <v>8</v>
      </c>
      <c r="M33" t="str">
        <f>HYPERLINK(".\links\KOG\ab-tri_asb-28587-KOG.txt","KOG")</f>
        <v>KOG</v>
      </c>
      <c r="N33" s="1">
        <v>3.9999999999999998E-57</v>
      </c>
      <c r="O33">
        <v>105</v>
      </c>
      <c r="P33" s="9" t="str">
        <f>HYPERLINK(".\links\NR-LIGHT\ab-tri_asb-28587-NR-LIGHT.txt","fat body serine protease")</f>
        <v>fat body serine protease</v>
      </c>
      <c r="Q33" t="str">
        <f>HYPERLINK("http://www.ncbi.nlm.nih.gov/sutils/blink.cgi?pid=289740211","4E-072")</f>
        <v>4E-072</v>
      </c>
    </row>
    <row r="34" spans="1:57" customFormat="1">
      <c r="A34" s="7" t="s">
        <v>61</v>
      </c>
      <c r="B34" s="7">
        <v>0.38228081912629941</v>
      </c>
      <c r="C34" s="7">
        <v>1472</v>
      </c>
      <c r="D34" s="7">
        <v>1472</v>
      </c>
      <c r="E34" s="7">
        <v>30.298160226803297</v>
      </c>
      <c r="F34" s="7">
        <v>357</v>
      </c>
      <c r="G34" s="7">
        <v>357</v>
      </c>
      <c r="H34" s="7">
        <v>7.295799057620143</v>
      </c>
      <c r="I34" s="2">
        <f t="shared" ref="I34:I53" si="2">SUM(D34,G34)</f>
        <v>1829</v>
      </c>
      <c r="J34" s="2">
        <f t="shared" ref="J34:J53" si="3">H34/(E34+1)</f>
        <v>0.23310632333500947</v>
      </c>
      <c r="K34" s="8" t="s">
        <v>11</v>
      </c>
      <c r="L34" t="s">
        <v>8</v>
      </c>
      <c r="M34" t="str">
        <f>HYPERLINK(".\links\KOG\ab-tri_asb-57606-KOG.txt","KOG")</f>
        <v>KOG</v>
      </c>
      <c r="N34" s="1">
        <v>4.0000000000000001E-58</v>
      </c>
      <c r="O34">
        <v>106.6</v>
      </c>
      <c r="P34" s="9" t="str">
        <f>HYPERLINK(".\links\NR-LIGHT\ab-tri_asb-57606-NR-LIGHT.txt","fat body serine protease")</f>
        <v>fat body serine protease</v>
      </c>
      <c r="Q34" t="str">
        <f>HYPERLINK("http://www.ncbi.nlm.nih.gov/sutils/blink.cgi?pid=289740211","0.0")</f>
        <v>0.0</v>
      </c>
      <c r="AU34" s="1"/>
      <c r="AZ34" s="1"/>
      <c r="BE34" s="1"/>
    </row>
    <row r="35" spans="1:57" customFormat="1">
      <c r="A35" s="7" t="s">
        <v>14</v>
      </c>
      <c r="B35" s="7">
        <v>1.2870204901815896E-10</v>
      </c>
      <c r="C35" s="7">
        <v>6314</v>
      </c>
      <c r="D35" s="7">
        <v>6329</v>
      </c>
      <c r="E35" s="7">
        <v>107.50099575417325</v>
      </c>
      <c r="F35" s="7">
        <v>1485</v>
      </c>
      <c r="G35" s="7">
        <v>1486</v>
      </c>
      <c r="H35" s="7">
        <v>25.060654018440378</v>
      </c>
      <c r="I35" s="2">
        <f t="shared" si="2"/>
        <v>7815</v>
      </c>
      <c r="J35" s="2">
        <f t="shared" si="3"/>
        <v>0.23097165002263564</v>
      </c>
      <c r="K35" s="8" t="s">
        <v>11</v>
      </c>
      <c r="L35" t="s">
        <v>8</v>
      </c>
      <c r="M35" t="str">
        <f>HYPERLINK(".\links\KOG\ab-tri_asb-11922-KOG.txt","KOG")</f>
        <v>KOG</v>
      </c>
      <c r="N35" s="1">
        <v>1E-51</v>
      </c>
      <c r="O35">
        <v>99.2</v>
      </c>
      <c r="P35" s="9" t="str">
        <f>HYPERLINK(".\links\NR-LIGHT\ab-tri_asb-11922-NR-LIGHT.txt","large serine protease")</f>
        <v>large serine protease</v>
      </c>
      <c r="Q35" t="str">
        <f>HYPERLINK("http://www.ncbi.nlm.nih.gov/sutils/blink.cgi?pid=289739637","0.0")</f>
        <v>0.0</v>
      </c>
    </row>
    <row r="36" spans="1:57" customFormat="1">
      <c r="A36" s="7" t="s">
        <v>30</v>
      </c>
      <c r="B36" s="7">
        <v>0</v>
      </c>
      <c r="C36" s="7">
        <v>7515</v>
      </c>
      <c r="D36" s="7">
        <v>7515</v>
      </c>
      <c r="E36" s="7">
        <v>129.17782655303813</v>
      </c>
      <c r="F36" s="7">
        <v>1476</v>
      </c>
      <c r="G36" s="7">
        <v>1476</v>
      </c>
      <c r="H36" s="7">
        <v>25.190775977181524</v>
      </c>
      <c r="I36" s="2">
        <f t="shared" si="2"/>
        <v>8991</v>
      </c>
      <c r="J36" s="2">
        <f t="shared" si="3"/>
        <v>0.19351049748029162</v>
      </c>
      <c r="K36" s="8" t="s">
        <v>11</v>
      </c>
      <c r="L36" t="s">
        <v>8</v>
      </c>
      <c r="M36" t="str">
        <f>HYPERLINK(".\links\KOG\ab-tri_asb-22530-KOG.txt","KOG")</f>
        <v>KOG</v>
      </c>
      <c r="N36" s="1">
        <v>4E-55</v>
      </c>
      <c r="O36">
        <v>96</v>
      </c>
      <c r="P36" s="9" t="str">
        <f>HYPERLINK(".\links\NR-LIGHT\ab-tri_asb-22530-NR-LIGHT.txt","midgut trypsin")</f>
        <v>midgut trypsin</v>
      </c>
      <c r="Q36" t="str">
        <f>HYPERLINK("http://www.ncbi.nlm.nih.gov/sutils/blink.cgi?pid=289740657","1E-145")</f>
        <v>1E-145</v>
      </c>
    </row>
    <row r="37" spans="1:57" customFormat="1">
      <c r="A37" s="7" t="s">
        <v>40</v>
      </c>
      <c r="B37" s="7">
        <v>1</v>
      </c>
      <c r="C37" s="7">
        <v>15</v>
      </c>
      <c r="D37" s="7">
        <v>15</v>
      </c>
      <c r="E37" s="7">
        <v>1.2147639211663541</v>
      </c>
      <c r="F37" s="7">
        <v>4</v>
      </c>
      <c r="G37" s="7">
        <v>4</v>
      </c>
      <c r="H37" s="7">
        <v>0.32163019721801483</v>
      </c>
      <c r="I37" s="2">
        <f t="shared" si="2"/>
        <v>19</v>
      </c>
      <c r="J37" s="2">
        <f t="shared" si="3"/>
        <v>0.14522098456824947</v>
      </c>
      <c r="K37" s="8" t="s">
        <v>11</v>
      </c>
      <c r="L37" t="s">
        <v>8</v>
      </c>
      <c r="M37" t="str">
        <f>HYPERLINK(".\links\KOG\ab-tri_asb-35460-KOG.txt","KOG")</f>
        <v>KOG</v>
      </c>
      <c r="N37">
        <v>7.9999999999999996E-7</v>
      </c>
      <c r="O37">
        <v>36.299999999999997</v>
      </c>
      <c r="P37" s="9" t="str">
        <f>HYPERLINK(".\links\NR-LIGHT\ab-tri_asb-35460-NR-LIGHT.txt","chymotrypsin-1")</f>
        <v>chymotrypsin-1</v>
      </c>
      <c r="Q37" t="str">
        <f>HYPERLINK("http://www.ncbi.nlm.nih.gov/sutils/blink.cgi?pid=345497649","6E-007")</f>
        <v>6E-007</v>
      </c>
    </row>
    <row r="38" spans="1:57" customFormat="1">
      <c r="A38" s="7" t="s">
        <v>39</v>
      </c>
      <c r="B38" s="7">
        <v>1</v>
      </c>
      <c r="C38" s="7">
        <v>238</v>
      </c>
      <c r="D38" s="7">
        <v>239</v>
      </c>
      <c r="E38" s="7">
        <v>6.7884761256327693</v>
      </c>
      <c r="F38" s="7">
        <v>8</v>
      </c>
      <c r="G38" s="7">
        <v>8</v>
      </c>
      <c r="H38" s="7">
        <v>0.22561116130532982</v>
      </c>
      <c r="I38" s="2">
        <f t="shared" si="2"/>
        <v>247</v>
      </c>
      <c r="J38" s="2">
        <f t="shared" si="3"/>
        <v>2.89673047289466E-2</v>
      </c>
      <c r="K38" s="8" t="s">
        <v>11</v>
      </c>
      <c r="L38" t="s">
        <v>8</v>
      </c>
      <c r="M38" t="str">
        <f>HYPERLINK(".\links\KOG\ab-tri_asb-34122-KOG.txt","KOG")</f>
        <v>KOG</v>
      </c>
      <c r="N38" s="1">
        <v>8.9999999999999997E-53</v>
      </c>
      <c r="O38">
        <v>96.4</v>
      </c>
      <c r="P38" s="9" t="str">
        <f>HYPERLINK(".\links\NR-LIGHT\ab-tri_asb-34122-NR-LIGHT.txt","midgut trypsin")</f>
        <v>midgut trypsin</v>
      </c>
      <c r="Q38" t="str">
        <f>HYPERLINK("http://www.ncbi.nlm.nih.gov/sutils/blink.cgi?pid=289742833","1E-118")</f>
        <v>1E-118</v>
      </c>
    </row>
    <row r="39" spans="1:57" customFormat="1">
      <c r="A39" s="7" t="s">
        <v>27</v>
      </c>
      <c r="B39" s="7">
        <v>5.2741098671704734E-6</v>
      </c>
      <c r="C39" s="7">
        <v>1847</v>
      </c>
      <c r="D39" s="7">
        <v>1847</v>
      </c>
      <c r="E39" s="7">
        <v>35.145583746595335</v>
      </c>
      <c r="F39" s="7">
        <v>38</v>
      </c>
      <c r="G39" s="7">
        <v>38</v>
      </c>
      <c r="H39" s="7">
        <v>0.71793258008384853</v>
      </c>
      <c r="I39" s="2">
        <f t="shared" si="2"/>
        <v>1885</v>
      </c>
      <c r="J39" s="2">
        <f t="shared" si="3"/>
        <v>1.9862248874358623E-2</v>
      </c>
      <c r="K39" s="8" t="s">
        <v>11</v>
      </c>
      <c r="L39" t="s">
        <v>8</v>
      </c>
      <c r="M39" t="str">
        <f>HYPERLINK(".\links\KOG\ab-tri_asb-18069-KOG.txt","KOG")</f>
        <v>KOG</v>
      </c>
      <c r="N39" s="1">
        <v>3E-51</v>
      </c>
      <c r="O39">
        <v>99.2</v>
      </c>
      <c r="P39" s="9" t="str">
        <f>HYPERLINK(".\links\NR-LIGHT\ab-tri_asb-18069-NR-LIGHT.txt","trypsin")</f>
        <v>trypsin</v>
      </c>
      <c r="Q39" t="str">
        <f>HYPERLINK("http://www.ncbi.nlm.nih.gov/sutils/blink.cgi?pid=289739913","0.0")</f>
        <v>0.0</v>
      </c>
    </row>
    <row r="40" spans="1:57" customFormat="1">
      <c r="A40" s="7" t="s">
        <v>35</v>
      </c>
      <c r="B40" s="7">
        <v>0</v>
      </c>
      <c r="C40" s="7">
        <v>7074</v>
      </c>
      <c r="D40" s="7">
        <v>7076</v>
      </c>
      <c r="E40" s="7">
        <v>339.58200518214801</v>
      </c>
      <c r="F40" s="7">
        <v>3458</v>
      </c>
      <c r="G40" s="7">
        <v>3459</v>
      </c>
      <c r="H40" s="7">
        <v>164.81760772994272</v>
      </c>
      <c r="I40" s="2">
        <f t="shared" si="2"/>
        <v>10535</v>
      </c>
      <c r="J40" s="2">
        <f t="shared" si="3"/>
        <v>0.4839292893404511</v>
      </c>
      <c r="K40" s="8" t="s">
        <v>32</v>
      </c>
      <c r="L40" t="s">
        <v>10</v>
      </c>
      <c r="M40" t="str">
        <f>HYPERLINK(".\links\PFAM\ab-tri_asb-23957-PFAM.txt","PFAM")</f>
        <v>PFAM</v>
      </c>
      <c r="N40" s="1">
        <v>3.0000000000000003E-20</v>
      </c>
      <c r="O40">
        <v>100</v>
      </c>
      <c r="P40" s="9" t="str">
        <f>HYPERLINK(".\links\NR-LIGHT\ab-tri_asb-23957-NR-LIGHT.txt","immune reactive putative protease inhibitor PrInh6")</f>
        <v>immune reactive putative protease inhibitor PrInh6</v>
      </c>
      <c r="Q40" t="str">
        <f>HYPERLINK("http://www.ncbi.nlm.nih.gov/sutils/blink.cgi?pid=21311570","1E-036")</f>
        <v>1E-036</v>
      </c>
    </row>
    <row r="41" spans="1:57" customFormat="1">
      <c r="A41" s="7" t="s">
        <v>31</v>
      </c>
      <c r="B41" s="7">
        <v>1</v>
      </c>
      <c r="C41" s="7">
        <v>436</v>
      </c>
      <c r="D41" s="7">
        <v>436</v>
      </c>
      <c r="E41" s="7">
        <v>15.839613297301842</v>
      </c>
      <c r="F41" s="7">
        <v>148</v>
      </c>
      <c r="G41" s="7">
        <v>148</v>
      </c>
      <c r="H41" s="7">
        <v>5.338460095880321</v>
      </c>
      <c r="I41" s="2">
        <f t="shared" si="2"/>
        <v>584</v>
      </c>
      <c r="J41" s="2">
        <f t="shared" si="3"/>
        <v>0.31701797432223017</v>
      </c>
      <c r="K41" s="8" t="s">
        <v>32</v>
      </c>
      <c r="L41" t="s">
        <v>10</v>
      </c>
      <c r="M41" t="str">
        <f>HYPERLINK(".\links\PFAM\ab-tri_asb-22762-PFAM.txt","PFAM")</f>
        <v>PFAM</v>
      </c>
      <c r="N41" s="1">
        <v>3.9999999999999999E-16</v>
      </c>
      <c r="O41">
        <v>101.8</v>
      </c>
      <c r="P41" s="9" t="str">
        <f>HYPERLINK(".\links\NR-LIGHT\ab-tri_asb-22762-NR-LIGHT.txt","CG42259")</f>
        <v>CG42259</v>
      </c>
      <c r="Q41" t="str">
        <f>HYPERLINK("http://www.ncbi.nlm.nih.gov/sutils/blink.cgi?pid=221329628","4E-019")</f>
        <v>4E-019</v>
      </c>
      <c r="AU41" s="1"/>
      <c r="AZ41" s="1"/>
      <c r="BE41" s="1"/>
    </row>
    <row r="42" spans="1:57" customFormat="1">
      <c r="A42" s="7" t="s">
        <v>65</v>
      </c>
      <c r="B42" s="7">
        <v>1</v>
      </c>
      <c r="C42" s="7">
        <v>542</v>
      </c>
      <c r="D42" s="7">
        <v>1441</v>
      </c>
      <c r="E42" s="7">
        <v>11.7186598185822</v>
      </c>
      <c r="F42" s="7">
        <v>120</v>
      </c>
      <c r="G42" s="7">
        <v>349</v>
      </c>
      <c r="H42" s="7">
        <v>2.817964991525201</v>
      </c>
      <c r="I42" s="2">
        <f t="shared" si="2"/>
        <v>1790</v>
      </c>
      <c r="J42" s="2">
        <f t="shared" si="3"/>
        <v>0.22156147201988227</v>
      </c>
      <c r="K42" s="8" t="s">
        <v>32</v>
      </c>
      <c r="L42" t="s">
        <v>10</v>
      </c>
      <c r="M42" t="str">
        <f>HYPERLINK(".\links\PFAM\ab-tri_asb-6131-PFAM.txt","PFAM")</f>
        <v>PFAM</v>
      </c>
      <c r="N42">
        <v>7.0000000000000005E-8</v>
      </c>
      <c r="O42">
        <v>103.6</v>
      </c>
      <c r="P42" s="9" t="str">
        <f>HYPERLINK(".\links\NR-LIGHT\ab-tri_asb-6131-NR-LIGHT.txt","nimrod A")</f>
        <v>nimrod A</v>
      </c>
      <c r="Q42" t="str">
        <f>HYPERLINK("http://www.ncbi.nlm.nih.gov/sutils/blink.cgi?pid=221475119","4E-085")</f>
        <v>4E-085</v>
      </c>
    </row>
    <row r="43" spans="1:57" customFormat="1">
      <c r="A43" s="7" t="s">
        <v>45</v>
      </c>
      <c r="B43" s="7">
        <v>1</v>
      </c>
      <c r="C43" s="7">
        <v>5023</v>
      </c>
      <c r="D43" s="7">
        <v>5143</v>
      </c>
      <c r="E43" s="7">
        <v>190.40094008559419</v>
      </c>
      <c r="F43" s="7">
        <v>5570</v>
      </c>
      <c r="G43" s="7">
        <v>5688</v>
      </c>
      <c r="H43" s="7">
        <v>209.0780070601221</v>
      </c>
      <c r="I43" s="2">
        <f t="shared" si="2"/>
        <v>10831</v>
      </c>
      <c r="J43" s="2">
        <f t="shared" si="3"/>
        <v>1.0923562181388595</v>
      </c>
      <c r="K43" s="8" t="s">
        <v>21</v>
      </c>
      <c r="L43" t="s">
        <v>9</v>
      </c>
      <c r="M43" t="str">
        <f>HYPERLINK(".\links\SMART\ab-tri_asb-39791-SMART.txt","SMART")</f>
        <v>SMART</v>
      </c>
      <c r="N43" s="1">
        <v>3.0000000000000001E-54</v>
      </c>
      <c r="O43">
        <v>90.8</v>
      </c>
      <c r="P43" s="9" t="str">
        <f>HYPERLINK(".\links\NR-LIGHT\ab-tri_asb-39791-NR-LIGHT.txt","IP08381p")</f>
        <v>IP08381p</v>
      </c>
      <c r="Q43" t="str">
        <f>HYPERLINK("http://www.ncbi.nlm.nih.gov/sutils/blink.cgi?pid=66772069","1E-051")</f>
        <v>1E-051</v>
      </c>
    </row>
    <row r="44" spans="1:57" customFormat="1">
      <c r="A44" s="7" t="s">
        <v>20</v>
      </c>
      <c r="B44" s="7">
        <v>1</v>
      </c>
      <c r="C44" s="7">
        <v>1104</v>
      </c>
      <c r="D44" s="7">
        <v>1406</v>
      </c>
      <c r="E44" s="7">
        <v>18.986729944804775</v>
      </c>
      <c r="F44" s="7">
        <v>973</v>
      </c>
      <c r="G44" s="7">
        <v>1266</v>
      </c>
      <c r="H44" s="7">
        <v>16.974412750844948</v>
      </c>
      <c r="I44" s="2">
        <f t="shared" si="2"/>
        <v>2672</v>
      </c>
      <c r="J44" s="2">
        <f t="shared" si="3"/>
        <v>0.84928413991290108</v>
      </c>
      <c r="K44" s="8" t="s">
        <v>21</v>
      </c>
      <c r="L44" t="s">
        <v>9</v>
      </c>
      <c r="M44" t="str">
        <f>HYPERLINK(".\links\SMART\ab-tri_asb-1468-SMART.txt","SMART")</f>
        <v>SMART</v>
      </c>
      <c r="N44" s="1">
        <v>1.9999999999999999E-34</v>
      </c>
      <c r="O44">
        <v>40.6</v>
      </c>
      <c r="P44" s="9" t="str">
        <f>HYPERLINK(".\links\NR-LIGHT\ab-tri_asb-1468-NR-LIGHT.txt","CG6048")</f>
        <v>CG6048</v>
      </c>
      <c r="Q44" t="str">
        <f>HYPERLINK("http://www.ncbi.nlm.nih.gov/sutils/blink.cgi?pid=24640017","2E-032")</f>
        <v>2E-032</v>
      </c>
    </row>
    <row r="45" spans="1:57" customFormat="1">
      <c r="A45" s="7" t="s">
        <v>67</v>
      </c>
      <c r="B45" s="7">
        <v>1</v>
      </c>
      <c r="C45" s="7">
        <v>994</v>
      </c>
      <c r="D45" s="7">
        <v>994</v>
      </c>
      <c r="E45" s="7">
        <v>23.830350275878036</v>
      </c>
      <c r="F45" s="7">
        <v>284</v>
      </c>
      <c r="G45" s="7">
        <v>284</v>
      </c>
      <c r="H45" s="7">
        <v>6.7601850086634023</v>
      </c>
      <c r="I45" s="2">
        <f t="shared" si="2"/>
        <v>1278</v>
      </c>
      <c r="J45" s="2">
        <f t="shared" si="3"/>
        <v>0.27225491922402423</v>
      </c>
      <c r="K45" s="8" t="s">
        <v>21</v>
      </c>
      <c r="L45" t="s">
        <v>9</v>
      </c>
      <c r="M45" t="str">
        <f>HYPERLINK(".\links\SMART\ab-tri_asb-7948-SMART.txt","SMART")</f>
        <v>SMART</v>
      </c>
      <c r="N45" s="1">
        <v>2.0000000000000001E-56</v>
      </c>
      <c r="O45">
        <v>106.1</v>
      </c>
      <c r="P45" s="9" t="str">
        <f>HYPERLINK(".\links\NR-LIGHT\ab-tri_asb-7948-NR-LIGHT.txt","CG6048")</f>
        <v>CG6048</v>
      </c>
      <c r="Q45" t="str">
        <f>HYPERLINK("http://www.ncbi.nlm.nih.gov/sutils/blink.cgi?pid=24640017","5E-038")</f>
        <v>5E-038</v>
      </c>
    </row>
    <row r="46" spans="1:57" customFormat="1">
      <c r="A46" s="7" t="s">
        <v>24</v>
      </c>
      <c r="B46" s="7">
        <v>1</v>
      </c>
      <c r="C46" s="7">
        <v>23</v>
      </c>
      <c r="D46" s="7">
        <v>23</v>
      </c>
      <c r="E46" s="7">
        <v>1.6823827209271656</v>
      </c>
      <c r="F46" s="7">
        <v>10</v>
      </c>
      <c r="G46" s="7">
        <v>10</v>
      </c>
      <c r="H46" s="7">
        <v>0.72626173565358187</v>
      </c>
      <c r="I46" s="2">
        <f t="shared" si="2"/>
        <v>33</v>
      </c>
      <c r="J46" s="2">
        <f t="shared" si="3"/>
        <v>0.27075246570427858</v>
      </c>
      <c r="K46" s="8" t="s">
        <v>21</v>
      </c>
      <c r="L46" t="s">
        <v>9</v>
      </c>
      <c r="M46" t="str">
        <f>HYPERLINK(".\links\SMART\ab-tri_asb-16536-SMART.txt","SMART")</f>
        <v>SMART</v>
      </c>
      <c r="N46" s="1">
        <v>1.9999999999999999E-29</v>
      </c>
      <c r="O46">
        <v>50.6</v>
      </c>
      <c r="P46" s="9" t="str">
        <f>HYPERLINK(".\links\NR-LIGHT\ab-tri_asb-16536-NR-LIGHT.txt","secreted salivary gland peptide, putative")</f>
        <v>secreted salivary gland peptide, putative</v>
      </c>
      <c r="Q46" t="str">
        <f>HYPERLINK("http://www.ncbi.nlm.nih.gov/sutils/blink.cgi?pid=242002392","8E-014")</f>
        <v>8E-014</v>
      </c>
    </row>
    <row r="47" spans="1:57" customFormat="1">
      <c r="A47" s="7" t="s">
        <v>42</v>
      </c>
      <c r="B47" s="7">
        <v>1</v>
      </c>
      <c r="C47" s="7">
        <v>14</v>
      </c>
      <c r="D47" s="7">
        <v>14</v>
      </c>
      <c r="E47" s="7">
        <v>1.3556938280347639</v>
      </c>
      <c r="F47" s="7">
        <v>6</v>
      </c>
      <c r="G47" s="7">
        <v>6</v>
      </c>
      <c r="H47" s="7">
        <v>0.57687409038391269</v>
      </c>
      <c r="I47" s="2">
        <f t="shared" si="2"/>
        <v>20</v>
      </c>
      <c r="J47" s="2">
        <f t="shared" si="3"/>
        <v>0.24488500310126021</v>
      </c>
      <c r="K47" s="8" t="s">
        <v>21</v>
      </c>
      <c r="L47" t="s">
        <v>9</v>
      </c>
      <c r="M47" t="str">
        <f>HYPERLINK(".\links\SMART\ab-tri_asb-36585-SMART.txt","SMART")</f>
        <v>SMART</v>
      </c>
      <c r="N47" s="1">
        <v>8.9999999999999997E-22</v>
      </c>
      <c r="O47">
        <v>41.4</v>
      </c>
      <c r="P47" s="9" t="str">
        <f>HYPERLINK(".\links\NR-LIGHT\ab-tri_asb-36585-NR-LIGHT.txt","CG32260")</f>
        <v>CG32260</v>
      </c>
      <c r="Q47" t="str">
        <f>HYPERLINK("http://www.ncbi.nlm.nih.gov/sutils/blink.cgi?pid=24657277","3E-017")</f>
        <v>3E-017</v>
      </c>
    </row>
    <row r="48" spans="1:57" customFormat="1">
      <c r="A48" s="7" t="s">
        <v>63</v>
      </c>
      <c r="B48" s="7">
        <v>1</v>
      </c>
      <c r="C48" s="7">
        <v>350</v>
      </c>
      <c r="D48" s="7">
        <v>350</v>
      </c>
      <c r="E48" s="7">
        <v>9.5812365613120889</v>
      </c>
      <c r="F48" s="7">
        <v>86</v>
      </c>
      <c r="G48" s="7">
        <v>86</v>
      </c>
      <c r="H48" s="7">
        <v>2.3374814333027558</v>
      </c>
      <c r="I48" s="2">
        <f t="shared" si="2"/>
        <v>436</v>
      </c>
      <c r="J48" s="2">
        <f t="shared" si="3"/>
        <v>0.22090815376429923</v>
      </c>
      <c r="K48" s="8" t="s">
        <v>21</v>
      </c>
      <c r="L48" t="s">
        <v>9</v>
      </c>
      <c r="M48" t="str">
        <f>HYPERLINK(".\links\SMART\ab-tri_asb-57829-SMART.txt","SMART")</f>
        <v>SMART</v>
      </c>
      <c r="N48">
        <v>7.9999999999999995E-11</v>
      </c>
      <c r="O48">
        <v>79.900000000000006</v>
      </c>
      <c r="P48" s="9" t="str">
        <f>HYPERLINK(".\links\NR-LIGHT\ab-tri_asb-57829-NR-LIGHT.txt","conserved hypothetical protein")</f>
        <v>conserved hypothetical protein</v>
      </c>
      <c r="Q48" t="str">
        <f>HYPERLINK("http://www.ncbi.nlm.nih.gov/sutils/blink.cgi?pid=170031195","4E-012")</f>
        <v>4E-012</v>
      </c>
    </row>
    <row r="49" spans="1:57" customFormat="1">
      <c r="A49" s="7" t="s">
        <v>57</v>
      </c>
      <c r="B49" s="7">
        <v>0</v>
      </c>
      <c r="C49" s="7">
        <v>159647</v>
      </c>
      <c r="D49" s="7">
        <v>188360</v>
      </c>
      <c r="E49" s="7">
        <v>5850.9242934657941</v>
      </c>
      <c r="F49" s="7">
        <v>86993</v>
      </c>
      <c r="G49" s="7">
        <v>105791</v>
      </c>
      <c r="H49" s="7">
        <v>3262.7268679073568</v>
      </c>
      <c r="I49" s="2">
        <f t="shared" si="2"/>
        <v>294151</v>
      </c>
      <c r="J49" s="2">
        <f t="shared" si="3"/>
        <v>0.55754768932169685</v>
      </c>
      <c r="K49" s="8" t="s">
        <v>26</v>
      </c>
      <c r="L49" t="s">
        <v>9</v>
      </c>
      <c r="M49" t="str">
        <f>HYPERLINK(".\links\NR-LIGHT\ab-tri_asb-56229-NR-LIGHT.txt","NR-LIGHT")</f>
        <v>NR-LIGHT</v>
      </c>
      <c r="N49">
        <v>0</v>
      </c>
      <c r="O49">
        <v>79.599999999999994</v>
      </c>
      <c r="P49" s="9" t="str">
        <f>HYPERLINK(".\links\NR-LIGHT\ab-tri_asb-56229-NR-LIGHT.txt","trypsin-like serine protease precursor")</f>
        <v>trypsin-like serine protease precursor</v>
      </c>
      <c r="Q49" t="str">
        <f>HYPERLINK("http://www.ncbi.nlm.nih.gov/sutils/blink.cgi?pid=9651986","1E-135")</f>
        <v>1E-135</v>
      </c>
    </row>
    <row r="50" spans="1:57" customFormat="1">
      <c r="A50" s="7" t="s">
        <v>58</v>
      </c>
      <c r="B50" s="7">
        <v>0</v>
      </c>
      <c r="C50" s="7">
        <v>21169</v>
      </c>
      <c r="D50" s="7">
        <v>23149</v>
      </c>
      <c r="E50" s="7">
        <v>1999.6849785656839</v>
      </c>
      <c r="F50" s="7">
        <v>10676</v>
      </c>
      <c r="G50" s="7">
        <v>12019</v>
      </c>
      <c r="H50" s="7">
        <v>1030.8462240968854</v>
      </c>
      <c r="I50" s="2">
        <f t="shared" si="2"/>
        <v>35168</v>
      </c>
      <c r="J50" s="2">
        <f t="shared" si="3"/>
        <v>0.51524664559430644</v>
      </c>
      <c r="K50" s="8" t="s">
        <v>26</v>
      </c>
      <c r="L50" t="s">
        <v>9</v>
      </c>
      <c r="M50" t="str">
        <f>HYPERLINK(".\links\DIPTERA\ab-tri_asb-56389-DIPTERA.txt","DIPTERA")</f>
        <v>DIPTERA</v>
      </c>
      <c r="N50" s="1">
        <v>9.9999999999999996E-39</v>
      </c>
      <c r="O50">
        <v>40.700000000000003</v>
      </c>
      <c r="P50" s="9" t="str">
        <f>HYPERLINK(".\links\NR-LIGHT\ab-tri_asb-56389-NR-LIGHT.txt","trypsin-like serine protease precursor")</f>
        <v>trypsin-like serine protease precursor</v>
      </c>
      <c r="Q50" t="str">
        <f>HYPERLINK("http://www.ncbi.nlm.nih.gov/sutils/blink.cgi?pid=9651986","4E-038")</f>
        <v>4E-038</v>
      </c>
    </row>
    <row r="51" spans="1:57" customFormat="1">
      <c r="A51" s="7" t="s">
        <v>50</v>
      </c>
      <c r="B51" s="7">
        <v>0</v>
      </c>
      <c r="C51" s="7">
        <v>24233</v>
      </c>
      <c r="D51" s="7">
        <v>24300</v>
      </c>
      <c r="E51" s="7">
        <v>1640.745155258734</v>
      </c>
      <c r="F51" s="7">
        <v>5671</v>
      </c>
      <c r="G51" s="7">
        <v>5679</v>
      </c>
      <c r="H51" s="7">
        <v>380.71757508707924</v>
      </c>
      <c r="I51" s="2">
        <f t="shared" si="2"/>
        <v>29979</v>
      </c>
      <c r="J51" s="2">
        <f t="shared" si="3"/>
        <v>0.23189809567434314</v>
      </c>
      <c r="K51" s="8" t="s">
        <v>26</v>
      </c>
      <c r="L51" t="s">
        <v>9</v>
      </c>
      <c r="M51" t="str">
        <f>HYPERLINK(".\links\DIPTERA\ab-tri_asb-54500-DIPTERA.txt","DIPTERA")</f>
        <v>DIPTERA</v>
      </c>
      <c r="N51" s="1">
        <v>5.9999999999999998E-56</v>
      </c>
      <c r="O51">
        <v>42</v>
      </c>
      <c r="P51" s="9" t="str">
        <f>HYPERLINK(".\links\NR-LIGHT\ab-tri_asb-54500-NR-LIGHT.txt","trypsin-like serine protease precursor")</f>
        <v>trypsin-like serine protease precursor</v>
      </c>
      <c r="Q51" t="str">
        <f>HYPERLINK("http://www.ncbi.nlm.nih.gov/sutils/blink.cgi?pid=289724850","2E-055")</f>
        <v>2E-055</v>
      </c>
    </row>
    <row r="52" spans="1:57" customFormat="1">
      <c r="A52" s="7" t="s">
        <v>25</v>
      </c>
      <c r="B52" s="7">
        <v>6.9117767065307589E-10</v>
      </c>
      <c r="C52" s="7">
        <v>42792</v>
      </c>
      <c r="D52" s="7">
        <v>43452</v>
      </c>
      <c r="E52" s="7">
        <v>957.37639726028931</v>
      </c>
      <c r="F52" s="7">
        <v>9400</v>
      </c>
      <c r="G52" s="7">
        <v>9434</v>
      </c>
      <c r="H52" s="7">
        <v>206.37876887983739</v>
      </c>
      <c r="I52" s="2">
        <f t="shared" si="2"/>
        <v>52886</v>
      </c>
      <c r="J52" s="2">
        <f t="shared" si="3"/>
        <v>0.21534208216084244</v>
      </c>
      <c r="K52" s="8" t="s">
        <v>26</v>
      </c>
      <c r="L52" t="s">
        <v>9</v>
      </c>
      <c r="M52" t="str">
        <f>HYPERLINK(".\links\DIPTERA\ab-tri_asb-1766-DIPTERA.txt","DIPTERA")</f>
        <v>DIPTERA</v>
      </c>
      <c r="N52" s="1">
        <v>5.0000000000000001E-92</v>
      </c>
      <c r="O52">
        <v>65</v>
      </c>
      <c r="P52" s="9" t="str">
        <f>HYPERLINK(".\links\NR-LIGHT\ab-tri_asb-1766-NR-LIGHT.txt","trypsin-like serine protease precursor")</f>
        <v>trypsin-like serine protease precursor</v>
      </c>
      <c r="Q52" t="str">
        <f>HYPERLINK("http://www.ncbi.nlm.nih.gov/sutils/blink.cgi?pid=289724850","1E-091")</f>
        <v>1E-091</v>
      </c>
    </row>
    <row r="53" spans="1:57" customFormat="1">
      <c r="A53" s="7" t="s">
        <v>54</v>
      </c>
      <c r="B53" s="7">
        <v>4.1947334494807365E-10</v>
      </c>
      <c r="C53" s="7">
        <v>3131</v>
      </c>
      <c r="D53" s="7">
        <v>3455</v>
      </c>
      <c r="E53" s="7">
        <v>598.80897698666547</v>
      </c>
      <c r="F53" s="7">
        <v>563</v>
      </c>
      <c r="G53" s="7">
        <v>577</v>
      </c>
      <c r="H53" s="7">
        <v>99.291543941163965</v>
      </c>
      <c r="I53" s="2">
        <f t="shared" si="2"/>
        <v>4032</v>
      </c>
      <c r="J53" s="2">
        <f t="shared" si="3"/>
        <v>0.16553860937525006</v>
      </c>
      <c r="K53" s="8" t="s">
        <v>26</v>
      </c>
      <c r="L53" t="s">
        <v>9</v>
      </c>
      <c r="M53" t="str">
        <f>HYPERLINK(".\links\DIPTERA\ab-tri_asb-55565-DIPTERA.txt","DIPTERA")</f>
        <v>DIPTERA</v>
      </c>
      <c r="N53" s="1">
        <v>1.9999999999999998E-24</v>
      </c>
      <c r="O53">
        <v>20</v>
      </c>
      <c r="P53" s="9" t="str">
        <f>HYPERLINK(".\links\NR-LIGHT\ab-tri_asb-55565-NR-LIGHT.txt","trypsin-like serine protease precursor")</f>
        <v>trypsin-like serine protease precursor</v>
      </c>
      <c r="Q53" t="str">
        <f>HYPERLINK("http://www.ncbi.nlm.nih.gov/sutils/blink.cgi?pid=289724850","7E-024")</f>
        <v>7E-024</v>
      </c>
    </row>
    <row r="55" spans="1:57">
      <c r="AU55" s="10"/>
      <c r="AZ55" s="10"/>
      <c r="BE55" s="10"/>
    </row>
    <row r="56" spans="1:57">
      <c r="AU56" s="10"/>
      <c r="AZ56" s="10"/>
      <c r="BE56" s="10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Benoit</dc:creator>
  <cp:lastModifiedBy>Joshua Benoit</cp:lastModifiedBy>
  <dcterms:created xsi:type="dcterms:W3CDTF">2012-05-23T21:19:36Z</dcterms:created>
  <dcterms:modified xsi:type="dcterms:W3CDTF">2013-05-07T20:41:47Z</dcterms:modified>
</cp:coreProperties>
</file>