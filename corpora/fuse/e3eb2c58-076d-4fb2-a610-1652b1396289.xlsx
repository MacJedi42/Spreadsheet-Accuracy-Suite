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defaultThemeVersion="124226"/>
  <workbookProtection workbookPassword="AD8C" lockStructure="1"/>
  <bookViews>
    <workbookView xWindow="240" yWindow="225" windowWidth="21075" windowHeight="9855" activeTab="1"/>
  </bookViews>
  <sheets>
    <sheet name="Menu" sheetId="6" r:id="rId1"/>
    <sheet name="Data Entry" sheetId="4" r:id="rId2"/>
    <sheet name="Categorie" sheetId="1" state="hidden" r:id="rId3"/>
    <sheet name="Teksten" sheetId="5" state="hidden" r:id="rId4"/>
    <sheet name="Canvas Top" sheetId="7" r:id="rId5"/>
    <sheet name="Canvas Detail" sheetId="2" r:id="rId6"/>
    <sheet name="Graph" sheetId="3" r:id="rId7"/>
  </sheets>
  <calcPr calcId="144525"/>
</workbook>
</file>

<file path=xl/calcChain.xml><?xml version="1.0" encoding="utf-8"?>
<calcChain xmlns="http://schemas.openxmlformats.org/spreadsheetml/2006/main">
  <c r="N25" i="4" l="1"/>
  <c r="N24" i="4"/>
  <c r="N23" i="4"/>
  <c r="N22" i="4"/>
  <c r="N21" i="4"/>
  <c r="N20" i="4"/>
  <c r="N19" i="4"/>
  <c r="N18" i="4"/>
  <c r="N17" i="4"/>
  <c r="N16" i="4"/>
  <c r="N15" i="4"/>
  <c r="N14" i="4"/>
  <c r="N13" i="4"/>
  <c r="N12" i="4"/>
  <c r="N11" i="4"/>
  <c r="N10" i="4"/>
  <c r="N9" i="4"/>
  <c r="N8" i="4"/>
  <c r="N7" i="4"/>
  <c r="N6" i="4"/>
  <c r="N5"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B16" i="4"/>
  <c r="B15" i="4"/>
  <c r="B14" i="4"/>
  <c r="B13" i="4"/>
  <c r="B12" i="4"/>
  <c r="B11" i="4"/>
  <c r="B10" i="4"/>
  <c r="B9" i="4"/>
  <c r="B8" i="4"/>
  <c r="B7" i="4"/>
  <c r="B6" i="4"/>
  <c r="B5" i="4"/>
  <c r="I69" i="1"/>
  <c r="E52" i="1"/>
  <c r="E69" i="1" l="1"/>
  <c r="E59" i="1"/>
  <c r="E44" i="1"/>
  <c r="E37" i="1"/>
  <c r="E30" i="1"/>
  <c r="E23" i="1"/>
  <c r="E12" i="1"/>
  <c r="E4" i="1"/>
  <c r="I59" i="1"/>
  <c r="I52" i="1"/>
  <c r="I44" i="1"/>
  <c r="I37" i="1"/>
  <c r="I30" i="1"/>
  <c r="I23" i="1"/>
  <c r="I12" i="1"/>
  <c r="I4" i="1"/>
  <c r="B20" i="4"/>
  <c r="B19" i="4"/>
  <c r="B18" i="4"/>
  <c r="B17" i="4"/>
  <c r="B21" i="4"/>
  <c r="N2" i="4" l="1"/>
  <c r="J2" i="4"/>
  <c r="E2" i="4"/>
  <c r="O2" i="3" l="1"/>
  <c r="L2" i="3"/>
  <c r="G2" i="3"/>
  <c r="B5" i="1"/>
  <c r="B6" i="1"/>
  <c r="B7" i="1"/>
  <c r="B8" i="1"/>
  <c r="K2" i="2"/>
  <c r="I2" i="2"/>
  <c r="F2" i="2"/>
  <c r="E2" i="2"/>
  <c r="B2" i="2"/>
  <c r="O2" i="7"/>
  <c r="L2" i="7"/>
  <c r="G2" i="7"/>
  <c r="J70" i="1"/>
  <c r="J71" i="1" s="1"/>
  <c r="J61" i="1"/>
  <c r="J60" i="1"/>
  <c r="J62" i="1" s="1"/>
  <c r="J56" i="1"/>
  <c r="J55" i="1"/>
  <c r="J54" i="1"/>
  <c r="J53" i="1"/>
  <c r="J57" i="1" s="1"/>
  <c r="J47" i="1"/>
  <c r="J46" i="1"/>
  <c r="J45" i="1"/>
  <c r="J39" i="1"/>
  <c r="J38" i="1"/>
  <c r="J32" i="1"/>
  <c r="J31" i="1"/>
  <c r="J25" i="1"/>
  <c r="J24" i="1"/>
  <c r="F75" i="1"/>
  <c r="F74" i="1"/>
  <c r="F73" i="1"/>
  <c r="F72" i="1"/>
  <c r="F71" i="1"/>
  <c r="F70" i="1"/>
  <c r="F64" i="1"/>
  <c r="F63" i="1"/>
  <c r="F62" i="1"/>
  <c r="F61" i="1"/>
  <c r="F60" i="1"/>
  <c r="F55" i="1"/>
  <c r="F54" i="1"/>
  <c r="F53" i="1"/>
  <c r="F49" i="1"/>
  <c r="F48" i="1"/>
  <c r="F47" i="1"/>
  <c r="F46" i="1"/>
  <c r="F45" i="1"/>
  <c r="F40" i="1"/>
  <c r="F39" i="1"/>
  <c r="F38" i="1"/>
  <c r="F34" i="1"/>
  <c r="F33" i="1"/>
  <c r="F32" i="1"/>
  <c r="F31" i="1"/>
  <c r="F24" i="1"/>
  <c r="F25" i="1" s="1"/>
  <c r="F17" i="1"/>
  <c r="F16" i="1"/>
  <c r="F15" i="1"/>
  <c r="F14" i="1"/>
  <c r="F13" i="1"/>
  <c r="B73" i="1"/>
  <c r="B72" i="1"/>
  <c r="B71" i="1"/>
  <c r="B70" i="1"/>
  <c r="B66" i="1"/>
  <c r="B65" i="1"/>
  <c r="B64" i="1"/>
  <c r="B63" i="1"/>
  <c r="B62" i="1"/>
  <c r="B61" i="1"/>
  <c r="B60" i="1"/>
  <c r="B55" i="1"/>
  <c r="B54" i="1"/>
  <c r="B53" i="1"/>
  <c r="B46" i="1"/>
  <c r="B45" i="1"/>
  <c r="B41" i="1"/>
  <c r="B40" i="1"/>
  <c r="B39" i="1"/>
  <c r="B38" i="1"/>
  <c r="B33" i="1"/>
  <c r="B32" i="1"/>
  <c r="B31" i="1"/>
  <c r="B27" i="1"/>
  <c r="B26" i="1"/>
  <c r="B25" i="1"/>
  <c r="B24" i="1"/>
  <c r="B20" i="1"/>
  <c r="B19" i="1"/>
  <c r="B18" i="1"/>
  <c r="B17" i="1"/>
  <c r="B16" i="1"/>
  <c r="B15" i="1"/>
  <c r="B14" i="1"/>
  <c r="B13" i="1"/>
  <c r="J15" i="1"/>
  <c r="J14" i="1"/>
  <c r="J13" i="1"/>
  <c r="J6" i="1"/>
  <c r="J5" i="1"/>
  <c r="F9" i="1"/>
  <c r="F8" i="1"/>
  <c r="F7" i="1"/>
  <c r="F6" i="1"/>
  <c r="F5" i="1"/>
  <c r="F2" i="7"/>
  <c r="A2" i="7"/>
  <c r="Y17" i="7"/>
  <c r="Y19" i="7"/>
  <c r="B21" i="1" l="1"/>
  <c r="B28" i="1"/>
  <c r="B34" i="1"/>
  <c r="V8" i="3" s="1"/>
  <c r="B67" i="1"/>
  <c r="F18" i="1"/>
  <c r="F35" i="1"/>
  <c r="F41" i="1"/>
  <c r="F56" i="1"/>
  <c r="F76" i="1"/>
  <c r="J7" i="1"/>
  <c r="J16" i="1"/>
  <c r="J26" i="1"/>
  <c r="J33" i="1"/>
  <c r="J40" i="1"/>
  <c r="J48" i="1"/>
  <c r="F10" i="1"/>
  <c r="F50" i="1"/>
  <c r="F65" i="1"/>
  <c r="B9" i="1"/>
  <c r="B42" i="1"/>
  <c r="B47" i="1"/>
  <c r="B56" i="1"/>
  <c r="B74" i="1"/>
  <c r="A11" i="1"/>
  <c r="W4" i="2"/>
  <c r="V4" i="2"/>
  <c r="U4" i="2"/>
  <c r="T4" i="2"/>
  <c r="R13" i="2"/>
  <c r="R12" i="2"/>
  <c r="R11" i="2"/>
  <c r="R10" i="2"/>
  <c r="R9" i="2"/>
  <c r="R8" i="2"/>
  <c r="R7" i="2"/>
  <c r="R6" i="2"/>
  <c r="R5" i="2"/>
  <c r="Y19" i="3"/>
  <c r="Y17" i="3"/>
  <c r="A2" i="3"/>
  <c r="L5" i="1"/>
  <c r="L4" i="1"/>
  <c r="L9"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L25" i="4"/>
  <c r="L24" i="4"/>
  <c r="L23" i="4"/>
  <c r="L22" i="4"/>
  <c r="L21" i="4"/>
  <c r="L20" i="4"/>
  <c r="L19" i="4"/>
  <c r="L18" i="4"/>
  <c r="L17" i="4"/>
  <c r="L16" i="4"/>
  <c r="L15" i="4"/>
  <c r="L14" i="4"/>
  <c r="L13" i="4"/>
  <c r="L12" i="4"/>
  <c r="L11" i="4"/>
  <c r="L10" i="4"/>
  <c r="L8" i="4"/>
  <c r="L7" i="4"/>
  <c r="L6" i="4"/>
  <c r="L5" i="4"/>
  <c r="B43" i="4"/>
  <c r="B42" i="4"/>
  <c r="B41" i="4"/>
  <c r="B40" i="4"/>
  <c r="B39" i="4"/>
  <c r="B38" i="4"/>
  <c r="B37" i="4"/>
  <c r="B36" i="4"/>
  <c r="B35" i="4"/>
  <c r="B34" i="4"/>
  <c r="B33" i="4"/>
  <c r="B32" i="4"/>
  <c r="B31" i="4"/>
  <c r="B30" i="4"/>
  <c r="B29" i="4"/>
  <c r="B28" i="4"/>
  <c r="B27" i="4"/>
  <c r="B26" i="4"/>
  <c r="B25" i="4"/>
  <c r="B24" i="4"/>
  <c r="B23" i="4"/>
  <c r="B22" i="4"/>
  <c r="X6" i="7" l="1"/>
  <c r="X10" i="3"/>
  <c r="V9" i="2" s="1"/>
  <c r="H13" i="2" s="1"/>
  <c r="X10" i="7"/>
  <c r="K70" i="1"/>
  <c r="K61" i="1"/>
  <c r="K60" i="1"/>
  <c r="K56" i="1"/>
  <c r="K55" i="1"/>
  <c r="K54" i="1"/>
  <c r="K53" i="1"/>
  <c r="K47" i="1"/>
  <c r="K46" i="1"/>
  <c r="K45" i="1"/>
  <c r="K39" i="1"/>
  <c r="K38" i="1"/>
  <c r="K32" i="1"/>
  <c r="K31" i="1"/>
  <c r="K25" i="1"/>
  <c r="K24" i="1"/>
  <c r="K15" i="1"/>
  <c r="K14" i="1"/>
  <c r="K13" i="1"/>
  <c r="K6" i="1"/>
  <c r="K5" i="1"/>
  <c r="W12" i="3" l="1"/>
  <c r="U11" i="2" s="1"/>
  <c r="J15" i="2" s="1"/>
  <c r="W12" i="7"/>
  <c r="X12" i="3"/>
  <c r="V11" i="2" s="1"/>
  <c r="J21" i="2" s="1"/>
  <c r="X12" i="7"/>
  <c r="X6" i="3"/>
  <c r="V5" i="2" s="1"/>
  <c r="B22" i="2" s="1"/>
  <c r="X8" i="3"/>
  <c r="X8" i="7"/>
  <c r="X14" i="3"/>
  <c r="V13" i="2" s="1"/>
  <c r="G38" i="2" s="1"/>
  <c r="X14" i="7"/>
  <c r="X11" i="3"/>
  <c r="V10" i="2" s="1"/>
  <c r="H26" i="2" s="1"/>
  <c r="X11" i="7"/>
  <c r="X7" i="3"/>
  <c r="X7" i="7"/>
  <c r="X13" i="3"/>
  <c r="X13" i="7"/>
  <c r="W13" i="7"/>
  <c r="G75" i="1"/>
  <c r="G74" i="1"/>
  <c r="G73" i="1"/>
  <c r="G72" i="1"/>
  <c r="G71" i="1"/>
  <c r="G70" i="1"/>
  <c r="G64" i="1"/>
  <c r="G63" i="1"/>
  <c r="G62" i="1"/>
  <c r="G61" i="1"/>
  <c r="G60" i="1"/>
  <c r="W10" i="7"/>
  <c r="G55" i="1"/>
  <c r="G54" i="1"/>
  <c r="G53" i="1"/>
  <c r="G49" i="1"/>
  <c r="G48" i="1"/>
  <c r="G47" i="1"/>
  <c r="G46" i="1"/>
  <c r="G45" i="1"/>
  <c r="W6" i="7"/>
  <c r="G40" i="1"/>
  <c r="G39" i="1"/>
  <c r="G38" i="1"/>
  <c r="G34" i="1"/>
  <c r="G33" i="1"/>
  <c r="G32" i="1"/>
  <c r="G31" i="1"/>
  <c r="W8" i="7"/>
  <c r="G24" i="1"/>
  <c r="G17" i="1"/>
  <c r="G16" i="1"/>
  <c r="G15" i="1"/>
  <c r="G14" i="1"/>
  <c r="G13" i="1"/>
  <c r="G9" i="1"/>
  <c r="G8" i="1"/>
  <c r="G7" i="1"/>
  <c r="G6" i="1"/>
  <c r="G5" i="1"/>
  <c r="K71" i="1"/>
  <c r="K62" i="1"/>
  <c r="K57" i="1"/>
  <c r="K48" i="1"/>
  <c r="K40" i="1"/>
  <c r="K33" i="1"/>
  <c r="K26" i="1"/>
  <c r="K16" i="1"/>
  <c r="C73" i="1"/>
  <c r="C72" i="1"/>
  <c r="C71" i="1"/>
  <c r="C70" i="1"/>
  <c r="C66" i="1"/>
  <c r="C65" i="1"/>
  <c r="C64" i="1"/>
  <c r="C63" i="1"/>
  <c r="C62" i="1"/>
  <c r="C61" i="1"/>
  <c r="C60" i="1"/>
  <c r="V10" i="7"/>
  <c r="V11" i="7"/>
  <c r="V12" i="7"/>
  <c r="V6" i="7"/>
  <c r="V7" i="7"/>
  <c r="V13" i="7"/>
  <c r="C55" i="1"/>
  <c r="C54" i="1"/>
  <c r="C53" i="1"/>
  <c r="C46" i="1"/>
  <c r="C45" i="1"/>
  <c r="C41" i="1"/>
  <c r="C40" i="1"/>
  <c r="C39" i="1"/>
  <c r="C38" i="1"/>
  <c r="C33" i="1"/>
  <c r="C32" i="1"/>
  <c r="C31" i="1"/>
  <c r="C27" i="1"/>
  <c r="C26" i="1"/>
  <c r="C25" i="1"/>
  <c r="C24" i="1"/>
  <c r="C20" i="1"/>
  <c r="C19" i="1"/>
  <c r="C18" i="1"/>
  <c r="C17" i="1"/>
  <c r="C16" i="1"/>
  <c r="C15" i="1"/>
  <c r="C14" i="1"/>
  <c r="C13" i="1"/>
  <c r="V14" i="7"/>
  <c r="C8" i="1"/>
  <c r="C7" i="1"/>
  <c r="C6" i="1"/>
  <c r="C5" i="1"/>
  <c r="V9" i="7"/>
  <c r="C34" i="1" l="1"/>
  <c r="V8" i="7"/>
  <c r="V6" i="2"/>
  <c r="D13" i="2" s="1"/>
  <c r="V12" i="2"/>
  <c r="B38" i="2" s="1"/>
  <c r="V7" i="2"/>
  <c r="D26" i="2" s="1"/>
  <c r="W9" i="3"/>
  <c r="W9" i="7"/>
  <c r="W7" i="3"/>
  <c r="U6" i="2" s="1"/>
  <c r="D9" i="2" s="1"/>
  <c r="W7" i="7"/>
  <c r="W14" i="3"/>
  <c r="W14" i="7"/>
  <c r="W11" i="3"/>
  <c r="U10" i="2" s="1"/>
  <c r="H22" i="2" s="1"/>
  <c r="W11" i="7"/>
  <c r="V9" i="3"/>
  <c r="G41" i="1"/>
  <c r="C28" i="1"/>
  <c r="V13" i="3"/>
  <c r="C42" i="1"/>
  <c r="V7" i="3"/>
  <c r="V12" i="3"/>
  <c r="C74" i="1"/>
  <c r="V10" i="3"/>
  <c r="G50" i="1"/>
  <c r="W6" i="3"/>
  <c r="U5" i="2" s="1"/>
  <c r="B15" i="2" s="1"/>
  <c r="G76" i="1"/>
  <c r="W10" i="3"/>
  <c r="U9" i="2" s="1"/>
  <c r="H9" i="2" s="1"/>
  <c r="C21" i="1"/>
  <c r="V14" i="3"/>
  <c r="Y14" i="3" s="1"/>
  <c r="C47" i="1"/>
  <c r="V6" i="3"/>
  <c r="Y6" i="3" s="1"/>
  <c r="C67" i="1"/>
  <c r="V11" i="3"/>
  <c r="G35" i="1"/>
  <c r="W8" i="3"/>
  <c r="G25" i="1"/>
  <c r="W13" i="3"/>
  <c r="U12" i="2" s="1"/>
  <c r="B35" i="2" s="1"/>
  <c r="G10" i="1"/>
  <c r="N7" i="1"/>
  <c r="C9" i="1"/>
  <c r="N5" i="1"/>
  <c r="G65" i="1"/>
  <c r="G56" i="1"/>
  <c r="G18" i="1"/>
  <c r="C56" i="1"/>
  <c r="Y7" i="3" l="1"/>
  <c r="Y10" i="3"/>
  <c r="Y10" i="7" s="1"/>
  <c r="J4" i="7" s="1"/>
  <c r="U7" i="2"/>
  <c r="D22" i="2" s="1"/>
  <c r="Y8" i="3"/>
  <c r="Y8" i="7" s="1"/>
  <c r="D15" i="7" s="1"/>
  <c r="Y11" i="3"/>
  <c r="Y11" i="7" s="1"/>
  <c r="J15" i="7" s="1"/>
  <c r="Y12" i="3"/>
  <c r="Y12" i="7" s="1"/>
  <c r="M4" i="7" s="1"/>
  <c r="T12" i="2"/>
  <c r="B32" i="2" s="1"/>
  <c r="Y13" i="3"/>
  <c r="Y13" i="7" s="1"/>
  <c r="A26" i="7" s="1"/>
  <c r="Y7" i="7"/>
  <c r="D4" i="7" s="1"/>
  <c r="T6" i="2"/>
  <c r="D5" i="2" s="1"/>
  <c r="U13" i="2"/>
  <c r="G35" i="2" s="1"/>
  <c r="Y14" i="7"/>
  <c r="H26" i="7" s="1"/>
  <c r="U8" i="2"/>
  <c r="F15" i="2" s="1"/>
  <c r="T10" i="2"/>
  <c r="H18" i="2" s="1"/>
  <c r="T5" i="2"/>
  <c r="B5" i="2" s="1"/>
  <c r="T11" i="2"/>
  <c r="J5" i="2" s="1"/>
  <c r="T13" i="2"/>
  <c r="G32" i="2" s="1"/>
  <c r="T7" i="2"/>
  <c r="D18" i="2" s="1"/>
  <c r="T9" i="2"/>
  <c r="H5" i="2" s="1"/>
  <c r="W10" i="2" l="1"/>
  <c r="W11" i="2"/>
  <c r="W6" i="2"/>
  <c r="W12" i="2"/>
  <c r="W13" i="2"/>
  <c r="W7" i="2"/>
  <c r="W9" i="2"/>
  <c r="T8" i="2"/>
  <c r="F5" i="2" s="1"/>
  <c r="W5" i="2" l="1"/>
  <c r="Y6" i="7"/>
  <c r="A4" i="7" s="1"/>
  <c r="K7" i="1"/>
  <c r="X9" i="7"/>
  <c r="N6" i="1"/>
  <c r="X9" i="3"/>
  <c r="V8" i="2" l="1"/>
  <c r="F21" i="2" s="1"/>
  <c r="Y9" i="3"/>
  <c r="Y9" i="7" s="1"/>
  <c r="G4" i="7" s="1"/>
  <c r="W8" i="2" l="1"/>
</calcChain>
</file>

<file path=xl/sharedStrings.xml><?xml version="1.0" encoding="utf-8"?>
<sst xmlns="http://schemas.openxmlformats.org/spreadsheetml/2006/main" count="521" uniqueCount="430">
  <si>
    <t>Score</t>
  </si>
  <si>
    <t>Total</t>
  </si>
  <si>
    <t>Resources</t>
  </si>
  <si>
    <t>Partners</t>
  </si>
  <si>
    <t>Bedreiging</t>
  </si>
  <si>
    <t>Omzet</t>
  </si>
  <si>
    <t>Kosten</t>
  </si>
  <si>
    <t>Activiteiten</t>
  </si>
  <si>
    <t>Kans</t>
  </si>
  <si>
    <t>Waardepropositie</t>
  </si>
  <si>
    <t>Klantrelaties</t>
  </si>
  <si>
    <t>Distributieknanalen</t>
  </si>
  <si>
    <t>Afnemersegmenten</t>
  </si>
  <si>
    <t>Business Model Generation: Evaluating Business Models</t>
  </si>
  <si>
    <t>Sterkte of Zwakte</t>
  </si>
  <si>
    <t>Datum:</t>
  </si>
  <si>
    <t>Nr.</t>
  </si>
  <si>
    <t>Toegevoegde waarde klanten</t>
  </si>
  <si>
    <t>Producten of diensten aanpassen</t>
  </si>
  <si>
    <t>Substituut</t>
  </si>
  <si>
    <t>Betere prijs</t>
  </si>
  <si>
    <t>Goede en sterke relaties</t>
  </si>
  <si>
    <t>Klantenbinding door overstapkosten en sterk merk</t>
  </si>
  <si>
    <t>Gemiddelde</t>
  </si>
  <si>
    <t>Maximum</t>
  </si>
  <si>
    <t>Minimum</t>
  </si>
  <si>
    <t>Klantrelaties, overstapkosten, niet winstgevende klanten, relaties automatiseren</t>
  </si>
  <si>
    <t>Verslechteren</t>
  </si>
  <si>
    <t>Verloop, segmenteren, werven</t>
  </si>
  <si>
    <t>Groei, nieuwe segmenteren, fijnere segmentatie</t>
  </si>
  <si>
    <t>Kwaliteit, klantensegmenten, nieuwe kanalen</t>
  </si>
  <si>
    <t>Concurrentie en irrelevant</t>
  </si>
  <si>
    <t>Marge, inkomsten voorspelbaar,  goed betalende klanten(herhalingsaankopen, duurzaam , divers)</t>
  </si>
  <si>
    <t>x</t>
  </si>
  <si>
    <t>Margedruk, inkomstenbronnen</t>
  </si>
  <si>
    <t>Concurrentie, verzadiging en overlopen</t>
  </si>
  <si>
    <t xml:space="preserve">Efficiënt en effectief, afgestemd op klanten en geïntegreerd </t>
  </si>
  <si>
    <t xml:space="preserve">Efficiënt, kopiëren, kwaliteit en verhouding in-outsourcing </t>
  </si>
  <si>
    <t>Standaardiseren, efficiency, ict</t>
  </si>
  <si>
    <t>Verstoring, bedreiging kwaliteit</t>
  </si>
  <si>
    <t>Kosten, inkoop, onderbenut, intellectuele eigendommen.</t>
  </si>
  <si>
    <t>Aanbod en kwaliteit.</t>
  </si>
  <si>
    <t>Beperken</t>
  </si>
  <si>
    <t>Onvoorspelbaar, snel groeien</t>
  </si>
  <si>
    <t>Focus, werkrelatie</t>
  </si>
  <si>
    <t>Verliezen, samenwerken, afhankelijk.</t>
  </si>
  <si>
    <t>-9 tot -3</t>
  </si>
  <si>
    <t>-3 tot 3</t>
  </si>
  <si>
    <t>3 tot 9</t>
  </si>
  <si>
    <t>Cross selling en andere bronnen, inkomensstromen, prijzen verhogen</t>
  </si>
  <si>
    <t>Voorspelbaar, moeilijk te kopiëren , juiste hoeveelheid resources</t>
  </si>
  <si>
    <t xml:space="preserve">Voorspelbaar, afgestemd, efficiënt, schaalvoordelen </t>
  </si>
  <si>
    <t>Outsourcing, focus, cross selling, kanalen, aanvulling waarde propositie</t>
  </si>
  <si>
    <t>V 2.1</t>
  </si>
  <si>
    <t>Branche</t>
  </si>
  <si>
    <t>E-mail</t>
  </si>
  <si>
    <t>Company</t>
  </si>
  <si>
    <t>Contactperson</t>
  </si>
  <si>
    <t>Phone</t>
  </si>
  <si>
    <t>Name of the model</t>
  </si>
  <si>
    <t>Date</t>
  </si>
  <si>
    <t>Current Business Model</t>
  </si>
  <si>
    <t>Our Value Propositions are well aligned with customer needs</t>
  </si>
  <si>
    <t>Our Value Propositions have strong network effects</t>
  </si>
  <si>
    <t>There are strong synergies between our products and services</t>
  </si>
  <si>
    <t>Our customers are very satisfied</t>
  </si>
  <si>
    <t>We benefit from strong margins</t>
  </si>
  <si>
    <t>Our revenues are predictable</t>
  </si>
  <si>
    <t>Our Revenue Streams are diversified</t>
  </si>
  <si>
    <t>Our Revenue Streams are sustainable</t>
  </si>
  <si>
    <t xml:space="preserve">We collect revenues before we incur expenses </t>
  </si>
  <si>
    <t xml:space="preserve">We charge for what customers are really willing to pay for </t>
  </si>
  <si>
    <t xml:space="preserve">Our pricing mechanisms capture full willingness to pay </t>
  </si>
  <si>
    <t>Our costs are predictable</t>
  </si>
  <si>
    <t>Our Cost Structure is correctly matched to our business model</t>
  </si>
  <si>
    <t>Value Proposition</t>
  </si>
  <si>
    <t>Costs</t>
  </si>
  <si>
    <t>We benefit from economies of scale</t>
  </si>
  <si>
    <t>Our Key Resources are difficult for competitors to replicate</t>
  </si>
  <si>
    <t>Resource needs are predictable</t>
  </si>
  <si>
    <t>We deploy Key Resources in the right amount at the right time</t>
  </si>
  <si>
    <t>Activities</t>
  </si>
  <si>
    <t>Our Key Activities are difficult to copy</t>
  </si>
  <si>
    <t>Execution quality is high</t>
  </si>
  <si>
    <t>Balance of in-house versus outsourced execution is ideal</t>
  </si>
  <si>
    <t>We are focused and work with partners when necessary</t>
  </si>
  <si>
    <t>We enjoy good working relationships with Key Partners</t>
  </si>
  <si>
    <t>Customer churn rates are low</t>
  </si>
  <si>
    <t>Customer base is well segmented</t>
  </si>
  <si>
    <t xml:space="preserve"> We are continuously acquiring new customers</t>
  </si>
  <si>
    <t>Channels</t>
  </si>
  <si>
    <t>Our Channels are very effective</t>
  </si>
  <si>
    <t>Channel reach is strong among customers</t>
  </si>
  <si>
    <t>Customers can easily see our Channels</t>
  </si>
  <si>
    <t>Channels are strongly integrated</t>
  </si>
  <si>
    <t>Channels provide economies of scope</t>
  </si>
  <si>
    <t xml:space="preserve">Channels are well matched to Customer Segments </t>
  </si>
  <si>
    <t>Strong Customer Relationships</t>
  </si>
  <si>
    <t>Relationship quality correctly matches Customer Segments</t>
  </si>
  <si>
    <t>Relationships bind customers through high switching costs</t>
  </si>
  <si>
    <t>Our brand is strong</t>
  </si>
  <si>
    <t>Are substitute products and services available?</t>
  </si>
  <si>
    <t>Are competitors threatening to offer better price or value?</t>
  </si>
  <si>
    <t>Are our margins threatened by competitors? By technology?</t>
  </si>
  <si>
    <t xml:space="preserve">Do we depend excessively on one or more Revenue Streams? </t>
  </si>
  <si>
    <t xml:space="preserve">Which Revenue Streams are likely to disappear in the future? </t>
  </si>
  <si>
    <t>Which costs threaten to become unpredictable?</t>
  </si>
  <si>
    <t>Which costs threaten to grow more quickly than the revenues they support?</t>
  </si>
  <si>
    <t xml:space="preserve">Could we face a disruption in the supply of certain resources? </t>
  </si>
  <si>
    <t xml:space="preserve"> Is the quality of our resources  threatened in any way? </t>
  </si>
  <si>
    <t>What Key Activities might be disrupted?</t>
  </si>
  <si>
    <t>Is the quality of our activities threatened in any way?</t>
  </si>
  <si>
    <t>Are we in danger of losing any partners?</t>
  </si>
  <si>
    <t xml:space="preserve"> Might our partners collaborate with competitors?</t>
  </si>
  <si>
    <t>Are we too dependent on certain partners?</t>
  </si>
  <si>
    <t>Could our market be saturated soon?</t>
  </si>
  <si>
    <t xml:space="preserve"> Are competitors threatening our market share?</t>
  </si>
  <si>
    <t>How likely are customers to defect?</t>
  </si>
  <si>
    <t>How quickly will competition in our market intensify?</t>
  </si>
  <si>
    <t>Do competitors threaten our Channels?</t>
  </si>
  <si>
    <t>Are our Channels in danger of becoming irrelevant to customers?</t>
  </si>
  <si>
    <t xml:space="preserve">Are any of our Customer Relationships in danger of deteriorating? </t>
  </si>
  <si>
    <t>Could we generate recurring   revenues by converting products  into services?</t>
  </si>
  <si>
    <t>Could we better integrate our  products or services?</t>
  </si>
  <si>
    <t xml:space="preserve">Which additional customer needs could we satisfy? </t>
  </si>
  <si>
    <t xml:space="preserve">What complements to or extensions of our Value Proposition are possible? </t>
  </si>
  <si>
    <t>What other jobs could we do on  behalf of customers?</t>
  </si>
  <si>
    <t xml:space="preserve"> Can we replace one-time  transaction revenues with recurring revenues?</t>
  </si>
  <si>
    <t xml:space="preserve">What other elements would customers be willing to pay for? </t>
  </si>
  <si>
    <t xml:space="preserve">Do we have cross-selling  opportunities either internally or with partners? </t>
  </si>
  <si>
    <t>What other Revenue Streams could we add or create?</t>
  </si>
  <si>
    <t>Can we increase prices?</t>
  </si>
  <si>
    <t xml:space="preserve">Where can we reduce costs? </t>
  </si>
  <si>
    <t>Could we use less costly resources to achieve the same result?</t>
  </si>
  <si>
    <t xml:space="preserve">Which Key Resources could be better sourced from partners? </t>
  </si>
  <si>
    <t>Which Key Resources are under-exploited?</t>
  </si>
  <si>
    <t xml:space="preserve">Do we have unused intellectual property of value to others? </t>
  </si>
  <si>
    <t>Could we standardize some Key Activities?</t>
  </si>
  <si>
    <t xml:space="preserve"> How could we improve efficiency in general?</t>
  </si>
  <si>
    <t>Would IT support boost efficiency?</t>
  </si>
  <si>
    <t>Are there outsourcing opportunities?</t>
  </si>
  <si>
    <t>Could greater collaboration with partners help us focus on our core business?</t>
  </si>
  <si>
    <t>Are there cross-selling opportunities with partners?</t>
  </si>
  <si>
    <t>Could partner Channels help us better reach customers?</t>
  </si>
  <si>
    <t>Could partners complement our Value Proposition?</t>
  </si>
  <si>
    <t>Could we serve new Customer Segments?</t>
  </si>
  <si>
    <t>Could we better serve our customers through finer segmentation?</t>
  </si>
  <si>
    <t>How could we improve channel efficiency or effectiveness?</t>
  </si>
  <si>
    <t>Could we integrate our Channels  better?</t>
  </si>
  <si>
    <t>Could we find new complementary partner Channels?</t>
  </si>
  <si>
    <t xml:space="preserve">Could we increase margins by directly serving customers? </t>
  </si>
  <si>
    <t>Could we better align Channels with Customer Segments?</t>
  </si>
  <si>
    <t>Is there potential to improve customer follow-up?</t>
  </si>
  <si>
    <t xml:space="preserve">How could we tighten our relationships with customers?   </t>
  </si>
  <si>
    <t>Could we improve personalization?</t>
  </si>
  <si>
    <t xml:space="preserve"> How could we increase switching costs?</t>
  </si>
  <si>
    <t xml:space="preserve"> Have we identified and “fired” unprofitable customers? If not, why not?</t>
  </si>
  <si>
    <t xml:space="preserve">Do we need to automate some relationships? </t>
  </si>
  <si>
    <t>A better alignment of your products and services and a better alignment on your customer needs would improve a better relationship with your customers.</t>
  </si>
  <si>
    <t xml:space="preserve">Your value proposition is not balanced. Either the products and services are not well aligned or they do not meet customer expectations. </t>
  </si>
  <si>
    <t>Customers are slightly satisfied with your products and services. A better alignment with customer needs or a better alignment of your product portfolio is needed.</t>
  </si>
  <si>
    <t>You know what customers want and you do your best to meet these expectations. You are doing pretty nice.</t>
  </si>
  <si>
    <t>Customers are satisfied with your value proposition. There still is a possibility for improvement.</t>
  </si>
  <si>
    <t>Your portfolio is in balance. You have aligned your products and services with your customer needs.</t>
  </si>
  <si>
    <t xml:space="preserve">Your products and services are well aligned with your customer needs. That makes your customer satisfied. </t>
  </si>
  <si>
    <t>Use the opportunity to mutually align your portfolio and to better align with customer needs.</t>
  </si>
  <si>
    <t>There are opportunities to better align your portfolio on customer needs or to improve the balance in your portfolio.</t>
  </si>
  <si>
    <t>There are not many opportunities to improve your value proposition.</t>
  </si>
  <si>
    <t>Thread of substitutes or price pressure.</t>
  </si>
  <si>
    <t>There is a low thread of substitutes or low prices at the competition.</t>
  </si>
  <si>
    <t>Customer relations are poor. The relation are not good and not strong. Customers can easily switch and the brand is not strong.</t>
  </si>
  <si>
    <t>The relations with your customers are bad. They will switch easily to other suppliers.</t>
  </si>
  <si>
    <t>Your customer relations are wakening and the loyalty of customers is getting less.</t>
  </si>
  <si>
    <t>Your customer relations are reasonable and there is some loyalty of your customers.</t>
  </si>
  <si>
    <t>You have a common segmentation, your relationships are maintained however not exploited. Customers can switch whenever they want.</t>
  </si>
  <si>
    <t>You have good relationships with your customers and you have a strong brand. Switching is not easy for your customers.</t>
  </si>
  <si>
    <t xml:space="preserve">You customer relations are very good, they are strong and good. Customers can hardly switch and your brand is strong. </t>
  </si>
  <si>
    <t>Customer relationships opportunities</t>
  </si>
  <si>
    <t>Value proposition threads</t>
  </si>
  <si>
    <t>Check the relations with your customers, are the switching cost high enough or do you have non profitable customers?</t>
  </si>
  <si>
    <t>Your customer relationship probably can be better. Can you "fire" non profitable customers or can you raise switching cost?</t>
  </si>
  <si>
    <t>There is an opportunity to improve your customer relationship or to get rid of non profitable customers.</t>
  </si>
  <si>
    <t>Customer relationship threads</t>
  </si>
  <si>
    <t>Spent attention to your customer relations.</t>
  </si>
  <si>
    <t>Customer segments strength and weakness</t>
  </si>
  <si>
    <t>Your segmentation is bad, acquisition has no effect and customer retention is high.</t>
  </si>
  <si>
    <t>Is your strategy aligned with the segments in your target group?</t>
  </si>
  <si>
    <t>Is your target group well defined?</t>
  </si>
  <si>
    <t>The approach of your customers is to common. Is your segmentation correct? How do you target these segments?</t>
  </si>
  <si>
    <t>Could you improve customer acquisition by target each segment in a different way? Are you able to keep customer retention low?</t>
  </si>
  <si>
    <t>Make use of growth and a better segmentation. Develop offerings for new customer segments.</t>
  </si>
  <si>
    <t>Choose market penetration or find a better segmentation.</t>
  </si>
  <si>
    <t>Use growing markets, new segments or amore detailed segmentation.</t>
  </si>
  <si>
    <t>Competition and saturation of the market causes customer retention. Make a new positioning and find new markets.</t>
  </si>
  <si>
    <t>Go compete competitors or find other market segments to avoid a battle with competition.</t>
  </si>
  <si>
    <t>Competition is penetrating your segments, keep sharp. How much growth is possible for everybody?</t>
  </si>
  <si>
    <t>Channels strength and weakness</t>
  </si>
  <si>
    <t>Improve your channels on all aspects.</t>
  </si>
  <si>
    <t>Are your channels efficient and effective? Are they aligned with customer needs? Are they able to handle large amounts?</t>
  </si>
  <si>
    <t>Further development of channels offer possibilities.</t>
  </si>
  <si>
    <t>Your channels offer advantages. However they can be used better.</t>
  </si>
  <si>
    <t>O at least two of the following aspects your channels are fine: quality, customer orientation and size. Improve the third one.</t>
  </si>
  <si>
    <t>Your channels are very good.</t>
  </si>
  <si>
    <t>Channels opportunities</t>
  </si>
  <si>
    <t>Customer segments opportunities</t>
  </si>
  <si>
    <t>Improvement on all aspects of your channels is possible.</t>
  </si>
  <si>
    <t>On more than one aspect of your channels are improvements possible.</t>
  </si>
  <si>
    <t>Improve one of the aspects of quality, customer orientation, integration, new channels of your channels.</t>
  </si>
  <si>
    <t>Try to improve your channels.</t>
  </si>
  <si>
    <t>Channels threats</t>
  </si>
  <si>
    <t>Protect your channels.</t>
  </si>
  <si>
    <t>Decide which channels are important for you and protect them.</t>
  </si>
  <si>
    <t>Your customers are not consistent in paying. That is why the predictability of payments reduces and your margins getting less.</t>
  </si>
  <si>
    <t>Help your customers with their payments and pay attention to your margins.</t>
  </si>
  <si>
    <t>Assess your credit management and mind your margins.</t>
  </si>
  <si>
    <t>Guarantee a good customer relationship so customers turn in to loyal paying customers.</t>
  </si>
  <si>
    <t>Activities strength and weakness</t>
  </si>
  <si>
    <t>Outsources easy to copy activities and focus on low cost and high quality of the other activities.</t>
  </si>
  <si>
    <t>Check which activities you want to keep and which ones to outsource in relation with the quality and cost of your activities.</t>
  </si>
  <si>
    <t>Analyse your activities with respect to cost and quality. Which ones are easy to copy and to outsource.</t>
  </si>
  <si>
    <t>Which of the aspects of cost, quality, easy to copy or outsourcing can be improved?</t>
  </si>
  <si>
    <t>Continue your activities as they are.</t>
  </si>
  <si>
    <t>Activities opportunities</t>
  </si>
  <si>
    <t>By standardizing your activities, make them more efficient and support them with ICT you reach comprehensive savings.</t>
  </si>
  <si>
    <t>Optimizing your activities will save you cost.</t>
  </si>
  <si>
    <t>Activities threat</t>
  </si>
  <si>
    <t>defend your core activities and guard the quality of your activities.</t>
  </si>
  <si>
    <t>What does disrupt the quality of your activities and what are these disruptions?</t>
  </si>
  <si>
    <t>Which risks are there for your activities?</t>
  </si>
  <si>
    <t>Resource strength and weakness</t>
  </si>
  <si>
    <t>Balance your resources and make them predictable. See whether they are easy to copy.</t>
  </si>
  <si>
    <t>Make a further analysis of your resources concerning predictability, amount and the possibility of copying.</t>
  </si>
  <si>
    <t>Watch the balance between your resources. Align them to your needs and/or make sure they are unique and stay unique.</t>
  </si>
  <si>
    <t>Your resources are unique and predictable, keep it this way. Keep aligning your resources to your needs.</t>
  </si>
  <si>
    <t>Keep your resources aligned and keep them unique.</t>
  </si>
  <si>
    <t>Resource opportunities</t>
  </si>
  <si>
    <t>Save cost o your resources. Intellectual property may yield money.</t>
  </si>
  <si>
    <t>Are your resources allocated to the right activities?</t>
  </si>
  <si>
    <t>Resources threats</t>
  </si>
  <si>
    <t>Defend and guard the quality of your key resources.</t>
  </si>
  <si>
    <t>What can disturb the quality of your resources and which disturbances are there?</t>
  </si>
  <si>
    <t>Investigate possible disturbances or threat of the quality of your resources.</t>
  </si>
  <si>
    <t xml:space="preserve">What endangers the continuity of your resources?. </t>
  </si>
  <si>
    <t>What risks are there with respect to your resources?</t>
  </si>
  <si>
    <t>Cost structure strength and weakness</t>
  </si>
  <si>
    <t>Get more insight on your costs and align them with your processes. Make your processes more efficient and try to make use of economies of scale.</t>
  </si>
  <si>
    <t>Decide who can influence your costs and make your processes more leaner and meaner.</t>
  </si>
  <si>
    <t>Does your cost structure fits to the company processes and are you able to plan them?</t>
  </si>
  <si>
    <t>Make your business processes more efficient.</t>
  </si>
  <si>
    <t>Your cost structure is good.</t>
  </si>
  <si>
    <t>Cost structure opportunities</t>
  </si>
  <si>
    <t>Cost can be lowered. Analyse where and how much.</t>
  </si>
  <si>
    <t>Decide on which aspects cost can be saved.</t>
  </si>
  <si>
    <t>Save cost on the clear subjects. However don't spent too much time and effort. Your organisation is already pretty lean and mean.</t>
  </si>
  <si>
    <t>Cost structure threats</t>
  </si>
  <si>
    <t>Take care of your cost control. They can get out of hand.</t>
  </si>
  <si>
    <t>Check your cost structure, but don't invest too much time and energy.</t>
  </si>
  <si>
    <t>Partners strength and weakness</t>
  </si>
  <si>
    <t>You are less interested in your partners. You have a bad relationship with them.</t>
  </si>
  <si>
    <t>Find a better focus and/or build a better working relationship with your partners.</t>
  </si>
  <si>
    <t>Analyse your partners and your relation with them.</t>
  </si>
  <si>
    <t>Invest more in your partners.</t>
  </si>
  <si>
    <t>Which partners can support you.</t>
  </si>
  <si>
    <t xml:space="preserve">With which partners can you start better relationships. </t>
  </si>
  <si>
    <t>How can partners better support you?</t>
  </si>
  <si>
    <t>Improve the focus of your working relationships with your partners.</t>
  </si>
  <si>
    <t>You have good connections with your partners. Tighten them more.</t>
  </si>
  <si>
    <t>Partners opportunities</t>
  </si>
  <si>
    <t>Further partner relationships support your company.</t>
  </si>
  <si>
    <t>Investigate which partners can help you improve your company.</t>
  </si>
  <si>
    <t>Which partners offer more value for your customers.</t>
  </si>
  <si>
    <t>Partners threat</t>
  </si>
  <si>
    <t>You have less insight on your partners that can do you harm.</t>
  </si>
  <si>
    <t>Look at the possibilities with partners, but don't spent too much time and effort.</t>
  </si>
  <si>
    <t>Your partner policy is not ok. Spent time to change this.</t>
  </si>
  <si>
    <t>Spent attention to your partners to focus better and maintain relations.</t>
  </si>
  <si>
    <t>Good partner policy. Keep this.</t>
  </si>
  <si>
    <t>You can execute your activities more efficient and improve the quality. Perhaps some activities can be outsourced.</t>
  </si>
  <si>
    <t>Use your resources more efficient by aligning them better with your company needs.</t>
  </si>
  <si>
    <t>Your resources are well utilised. There is still room for optimizing.</t>
  </si>
  <si>
    <t>Value proposition</t>
  </si>
  <si>
    <t>You do what your customer asks. Search for extra possibilities with customers and prospects.</t>
  </si>
  <si>
    <t>You add value to your customers. Perhaps extra products and services add more value.</t>
  </si>
  <si>
    <t>Customer relations</t>
  </si>
  <si>
    <t>You are capable of maintaining customer relationships. However this is not enough, intensify your relationship and align with customers needs.</t>
  </si>
  <si>
    <t>The reach of your channels is surely too low. Decide how to reach customers and prospects.</t>
  </si>
  <si>
    <t>You know how to reach your customers and prospects. However it can be better. How do you reach the different segments and how are opportunities integrated?</t>
  </si>
  <si>
    <t>You know how to communicate you value proposition to your customers. Find improvement in efficiency and how to reach customers.</t>
  </si>
  <si>
    <t>Intensify your canvassing en segment your customer file. Mind your competition. They take over your customers.</t>
  </si>
  <si>
    <t>You have good contact with your customers and know how to keep them. Keep your relationships, however mind your competition.</t>
  </si>
  <si>
    <t>Cost structure</t>
  </si>
  <si>
    <t>You have a good overview of your cost structure. Watch superfluous costs so they don't get more and keep them predictable.</t>
  </si>
  <si>
    <t>Value proposition strength and weakness</t>
  </si>
  <si>
    <t>Your products  and services are not aligned with your customer needs, nor on each other and that causes unsatisfied customers.</t>
  </si>
  <si>
    <t>The added value of your products and services are poor. Are they well aligned on each other and do they meet customer expectations?</t>
  </si>
  <si>
    <t>Customers are not quite satisfied. Make sure the alignment of your products and services meet customer expectations.</t>
  </si>
  <si>
    <t>A doubtful score. Check to see what is happening or else you will lose customers.</t>
  </si>
  <si>
    <t>Value proposition opportunities</t>
  </si>
  <si>
    <t xml:space="preserve">There are opportunities to offer more value for your customers or to better align your products and services with each other. </t>
  </si>
  <si>
    <t>A better alignment of you portfolio and more added value for your customers will offer extra revenues.</t>
  </si>
  <si>
    <t>Competitors have a better price or there are many substitutes available.</t>
  </si>
  <si>
    <t>Substitutes are available and there is a price pressure.</t>
  </si>
  <si>
    <t>See if there are substitutes or check whether your price is to high?</t>
  </si>
  <si>
    <t>Customer relations strength and weakness</t>
  </si>
  <si>
    <t xml:space="preserve">Give attention to your customers, a better segmentation or account management is needed. Check the switching cost en the image of your brand. </t>
  </si>
  <si>
    <t>Mind your segmentation and how is your account management. How high are switching cost and what is the image of your brand.</t>
  </si>
  <si>
    <t>Take care that your relationships with your customers don't weaken and the brand gets less strong. Mind the switching cost for your customers.</t>
  </si>
  <si>
    <t>Improve your customer relationships, increase the switching cost en "fire" non profitable customers.</t>
  </si>
  <si>
    <t>Check to see if you can improve your relationship with your customers or if you have any non profitable customers.</t>
  </si>
  <si>
    <t>Your customer relation are under pressure en will weaken rapidly.</t>
  </si>
  <si>
    <t>Your relationship with customers are weakening.</t>
  </si>
  <si>
    <t>Your customer relationships are under pressure.</t>
  </si>
  <si>
    <t>Your customer relationships may weaken.</t>
  </si>
  <si>
    <t>Your customer retention is too high, your segmentation is inadequate and acquisition has no effect.</t>
  </si>
  <si>
    <t>Is your segmentation correct? Do have to canvass a lot because of a high retention rate?</t>
  </si>
  <si>
    <t>Targeting your segments is successful and customer retention is normal.</t>
  </si>
  <si>
    <t>Customer acquisition is aligned with the target group. An other market approach strategy may help.</t>
  </si>
  <si>
    <t>You have a good distinction between your customer segments, customer retention is low and customer acquisition is successful.</t>
  </si>
  <si>
    <t>Your segmentation is good. That is why customers stay and customer acquisition is successful.</t>
  </si>
  <si>
    <t>Segment your target group in more detail and use the growth of the market.</t>
  </si>
  <si>
    <t>Choose between market development and market penetration in a growing market.</t>
  </si>
  <si>
    <t>Customer segments threads</t>
  </si>
  <si>
    <t>Defend yourself against competition to avoid customer retention and search for other markets to expand.</t>
  </si>
  <si>
    <t>Compare your competitors or check the saturation of the market.</t>
  </si>
  <si>
    <t>Your channels are poor. On at least two aspect they don't meet expectations: quality, customers and size.</t>
  </si>
  <si>
    <t>Evaluate your channels on quality, customers and size. These subjects are not well aligned with each other.</t>
  </si>
  <si>
    <t>Your channels can be improved. Make a proper analysis.</t>
  </si>
  <si>
    <t>Your channels are good. Better alignment between quality, customer orientation and size gives advantages.</t>
  </si>
  <si>
    <t>Improve the alignment of your channels.</t>
  </si>
  <si>
    <t>Protect your channels against competition and make sure they stay relevant for your customers.</t>
  </si>
  <si>
    <t>Either competition takes over your channels or customers think they are irrelevant or it is both.</t>
  </si>
  <si>
    <t>Customers and/or competitors threaten your channels. Which are relevant for the customers and which are relevant for competition?</t>
  </si>
  <si>
    <t>Revenue streams strength and weakness</t>
  </si>
  <si>
    <t>Your revenue streams are in serious danger. Build better relation with your customers so your revenue streams stay.</t>
  </si>
  <si>
    <t>Your revenue streams are under pressure. Causes can be a low margin, the unpredictability of your revenue streams and your customers are not consistent in their payments.</t>
  </si>
  <si>
    <t>Improve your relationships with your customers for a better margin and predictability of revenue streams.</t>
  </si>
  <si>
    <t>Find preservation for your revenue streams.</t>
  </si>
  <si>
    <t>Check where revenue streams can be improved on margin, predictability or loyal customers.</t>
  </si>
  <si>
    <t>Your customers are loyal payers. Keep satisfying them with what they are willing to pay for.</t>
  </si>
  <si>
    <t>You have regular revenue streams and a good margin. Check where you can invest your money.</t>
  </si>
  <si>
    <t>Revenue streams opportunities</t>
  </si>
  <si>
    <t xml:space="preserve">Consider raising your prices, apply cross selling, find other revenue streams and change single revenue streams into repeating revenue streams. </t>
  </si>
  <si>
    <t>You have enough possibilities to find new revenue streams.</t>
  </si>
  <si>
    <t>There is a possibility for other revenue streams or price increase.</t>
  </si>
  <si>
    <t>Increase the continuity of your revenue streams. Possibly increase prices.</t>
  </si>
  <si>
    <t>Revenue streams threats</t>
  </si>
  <si>
    <t>Defend your revenue streams or find new ones. Guard your margin for example by saving cost.</t>
  </si>
  <si>
    <t>Of which revenue streams are depending and what pressure on your margin does this mean?</t>
  </si>
  <si>
    <t>Continue your revenue streams and margins.</t>
  </si>
  <si>
    <t>Make a risk analysis of your revenue streams and margins.</t>
  </si>
  <si>
    <t>Which developments on the market can be of influence on your revenue streams and margins?</t>
  </si>
  <si>
    <t>Increase efficiency and quality of your activities. Make sure they are hard to copy. Check the balance between in-house activities and outsourcing.</t>
  </si>
  <si>
    <t>Make a choice with respect to cost and quality of your activities. What have you outsourced and what not?</t>
  </si>
  <si>
    <t>Analyse the ratio between cost and quality of your activities. Are the easy to copy? Make a choice in in-house activities or outsourcing.</t>
  </si>
  <si>
    <t>Improve the efficiency or the quality of your activities. What are in-house activities and which activities can be outsourced?</t>
  </si>
  <si>
    <t>Check if activities can be more efficient. Protect against copying or outsource activities.</t>
  </si>
  <si>
    <t>Are quality and cost to be improved by in-house activities or outsourcing?</t>
  </si>
  <si>
    <t>Which of the three aspects offer cost savings, ICT, more efficient activities or standardisation of activities.</t>
  </si>
  <si>
    <t>Analyse cost savings by standardisation and improvement of efficiency.</t>
  </si>
  <si>
    <t>Analyse cost savings on your activities.</t>
  </si>
  <si>
    <t>Check possible disruptions of your activities or threat of the quality.</t>
  </si>
  <si>
    <t>What is a risk for continuity of your activities?</t>
  </si>
  <si>
    <t>Make a planning of the resources needed, decrease not used resources or attract resources you need and make sure they are unique.</t>
  </si>
  <si>
    <t>Align the resources in the internal demand and consult with customers concerning orders to be expected. Make sure sources cannot be copied.</t>
  </si>
  <si>
    <t>Are there too many or too less resources, are they aligned with the number of expected orders and how unique are they?</t>
  </si>
  <si>
    <t>Take care for more understanding of your resource needs en determine the risk of copying.</t>
  </si>
  <si>
    <t>Improve the there aspects of your resources predictability, amount and the possibility of copying.</t>
  </si>
  <si>
    <t>On which of the three aspects can your resources bee improved: predictability, correct amount and the possibility of copying.</t>
  </si>
  <si>
    <t>Resources can be optimized or you have unused intellectual property.</t>
  </si>
  <si>
    <t>Investigate which aspects of your resources make cost savings or better utilization possible?</t>
  </si>
  <si>
    <t>Analyse your resources for cost savings. Check if intellectual property or other means of value can be transferred into money.</t>
  </si>
  <si>
    <t>Lower your cost by making activities more efficient or to get economies of scale. Make a planning of your cost structure and align the cost better with the activities.</t>
  </si>
  <si>
    <t>Obtain more insight in your cost structure and the cause of the costs.</t>
  </si>
  <si>
    <t>What is the impact of the costs in your business operation.</t>
  </si>
  <si>
    <t>Improvement of your cost structure is desirable.</t>
  </si>
  <si>
    <t>Obtain more insight on unexpected costs that are not aligned on your business processes.</t>
  </si>
  <si>
    <t>Check where your cost can be lowered or better aligned.</t>
  </si>
  <si>
    <t>Big opportunity to lower cost. Start immediately.</t>
  </si>
  <si>
    <t>Check how many cost can be saved.</t>
  </si>
  <si>
    <t>Are your cost unpredictable or are they growing too fast compared with your revenue streams.</t>
  </si>
  <si>
    <t>determine what influences your cost structure.</t>
  </si>
  <si>
    <t>There are many opportunities that partners can support you. Start immediately.</t>
  </si>
  <si>
    <t>Check possibilities with partners, however don't spent too much time and effort.</t>
  </si>
  <si>
    <t>Spent much attention to your partners. You are losing them, they work together with your competition and you are depending too much on them.</t>
  </si>
  <si>
    <t>Analyse your partner policy. You lose them, they work together with competition or you are too depending of them.</t>
  </si>
  <si>
    <t>Spent attention to your partners or they may cause a threat.</t>
  </si>
  <si>
    <t>Your activities don't contribute to your success. They are too expensive and the quality is threatened. Outsource your secondary activities.</t>
  </si>
  <si>
    <t xml:space="preserve">You have a good balance in your activities. Check the possibilities for more efficiency by outsourcing non primary activities. </t>
  </si>
  <si>
    <t>Your resources are too expensive and insufficient aligned on your company needs. Get cheaper resources and use your unused resources.</t>
  </si>
  <si>
    <t>Your value proposition is badly aligned on Your customer needs. Segment your customers and determine their needs.</t>
  </si>
  <si>
    <t>The way you maintain relationships with your customers is absolutely inadequate. Strengthen your relations with your customers or they will go to your competition.</t>
  </si>
  <si>
    <t xml:space="preserve">You know how to control your customer relationships. Your challenge is to personalise these and to make the relationships stronger. </t>
  </si>
  <si>
    <t>Customer segments</t>
  </si>
  <si>
    <t>You know your customers. A better contact lowers customer retention. Mind your competition because they are trying to steal your customers.</t>
  </si>
  <si>
    <t>You have no control over your cost structure. Eliminate  superfluous cost and make them predictable.</t>
  </si>
  <si>
    <t xml:space="preserve">You know your cost structure. Align them better with your business model, lower overall cost and make them predictable. </t>
  </si>
  <si>
    <t>Revenue streams</t>
  </si>
  <si>
    <t xml:space="preserve">You have no idea of your revenue streams. Get more insight of your revenue streams and make clear what the margins are. Find possibilities at your customers and make sure that revenue streams don't get exhausted. </t>
  </si>
  <si>
    <t xml:space="preserve">You know your revenue streams. Better arguments with customers will lead to consistent revenue streams and less risk that revenues disappear. </t>
  </si>
  <si>
    <t>You have a good overview on your revenue streams. Keep making good agreements with your customers. Perhaps cross selling offers more revenue. Mind your margins.</t>
  </si>
  <si>
    <t xml:space="preserve"> prijs</t>
  </si>
  <si>
    <t>Your segmentation or relationship management is inadequate. Besides that customers can easily switch and your brand is not strong.</t>
  </si>
  <si>
    <t>Improve your channels on quality, effectiveness, efficiency, customer orientation and size.</t>
  </si>
  <si>
    <t>Your pricing is correct, which other revenue streams are available, apply cross selling.</t>
  </si>
  <si>
    <t>Your costs are unpredictable and they grow harder than your revenue streams.</t>
  </si>
  <si>
    <t>You neglect your partners. Contact them directly.</t>
  </si>
  <si>
    <t>Fine focus on relationship with customers. Pay attention to keep them this way.</t>
  </si>
  <si>
    <t>We efficiently execute Key Activities</t>
  </si>
  <si>
    <t>We have recurring Revenue Streams and frequent repeat purchases</t>
  </si>
  <si>
    <t>Our operations are cost-efficient</t>
  </si>
  <si>
    <t>Customer Segments</t>
  </si>
  <si>
    <t>How can we benefit from a growing market?</t>
  </si>
  <si>
    <t>Our Channels are very efficient</t>
  </si>
  <si>
    <t>Customer relationships</t>
  </si>
  <si>
    <t>strength / weakness</t>
  </si>
  <si>
    <t>Subject</t>
  </si>
  <si>
    <t>Threat</t>
  </si>
  <si>
    <t>Opportunity</t>
  </si>
  <si>
    <t>Threats</t>
  </si>
  <si>
    <t>Results</t>
  </si>
  <si>
    <t>Opportunities</t>
  </si>
  <si>
    <t>Result</t>
  </si>
  <si>
    <t>Strenght/Weakness</t>
  </si>
  <si>
    <t>Evaluation Business Model</t>
  </si>
  <si>
    <t>Company:</t>
  </si>
  <si>
    <t>Name model</t>
  </si>
  <si>
    <t>Example company</t>
  </si>
  <si>
    <t>Name
 Model:</t>
  </si>
  <si>
    <t>Date:</t>
  </si>
  <si>
    <t>Strenght or weakness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</si>
</sst>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_ ;[Red]\-0.0\ "/>
    <numFmt numFmtId="165" formatCode="0.0"/>
    <numFmt numFmtId="166" formatCode="m/d/yyyy"/>
  </numFmts>
  <fonts count="8" x14ac:knownFonts="1">
    <font>
      <sz val="11"/>
      <color theme="1"/>
      <name val="Calibri"/>
      <family val="2"/>
      <scheme val="minor"/>
    </font>
    <font>
      <b/>
      <sz val="11"/>
      <color theme="1"/>
      <name val="Calibri"/>
      <family val="2"/>
      <scheme val="minor"/>
    </font>
    <font>
      <sz val="22"/>
      <color theme="1"/>
      <name val="Calibri"/>
      <family val="2"/>
      <scheme val="minor"/>
    </font>
    <font>
      <sz val="11"/>
      <color rgb="FF006100"/>
      <name val="Calibri"/>
      <family val="2"/>
      <scheme val="minor"/>
    </font>
    <font>
      <u/>
      <sz val="14"/>
      <color theme="1"/>
      <name val="Calibri"/>
      <family val="2"/>
      <scheme val="minor"/>
    </font>
    <font>
      <sz val="11"/>
      <color theme="0"/>
      <name val="Calibri"/>
      <family val="2"/>
      <scheme val="minor"/>
    </font>
    <font>
      <sz val="22"/>
      <color theme="0"/>
      <name val="Calibri"/>
      <family val="2"/>
      <scheme val="minor"/>
    </font>
    <font>
      <b/>
      <sz val="14"/>
      <color theme="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8" tint="0.79998168889431442"/>
        <bgColor indexed="64"/>
      </patternFill>
    </fill>
    <fill>
      <patternFill patternType="solid">
        <fgColor rgb="FFC6EFCE"/>
      </patternFill>
    </fill>
    <fill>
      <patternFill patternType="solid">
        <fgColor theme="1"/>
        <bgColor indexed="64"/>
      </patternFill>
    </fill>
    <fill>
      <gradientFill degree="90">
        <stop position="0">
          <color theme="0"/>
        </stop>
        <stop position="1">
          <color rgb="FF92D050"/>
        </stop>
      </gradientFill>
    </fill>
    <fill>
      <gradientFill degree="90">
        <stop position="0">
          <color theme="0"/>
        </stop>
        <stop position="1">
          <color rgb="FFFFFF00"/>
        </stop>
      </gradientFill>
    </fill>
  </fills>
  <borders count="13">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2">
    <xf numFmtId="0" fontId="0" fillId="0" borderId="0"/>
    <xf numFmtId="0" fontId="3" fillId="6" borderId="0" applyNumberFormat="0" applyBorder="0" applyAlignment="0" applyProtection="0"/>
  </cellStyleXfs>
  <cellXfs count="86">
    <xf numFmtId="0" fontId="0" fillId="0" borderId="0" xfId="0"/>
    <xf numFmtId="0" fontId="0" fillId="3" borderId="0" xfId="0" applyFill="1"/>
    <xf numFmtId="0" fontId="0" fillId="4" borderId="0" xfId="0" applyFill="1"/>
    <xf numFmtId="0" fontId="0" fillId="5" borderId="0" xfId="0" applyFill="1"/>
    <xf numFmtId="0" fontId="0" fillId="0" borderId="0" xfId="0" applyAlignment="1">
      <alignment wrapText="1"/>
    </xf>
    <xf numFmtId="0" fontId="0" fillId="5" borderId="0" xfId="0" applyFill="1" applyAlignment="1" applyProtection="1">
      <alignment horizontal="center" vertical="center"/>
      <protection locked="0"/>
    </xf>
    <xf numFmtId="0" fontId="0" fillId="5" borderId="0" xfId="0" applyFill="1" applyAlignment="1">
      <alignment horizontal="center" vertical="center"/>
    </xf>
    <xf numFmtId="0" fontId="0" fillId="5" borderId="0" xfId="0" applyFill="1" applyAlignment="1">
      <alignment wrapText="1"/>
    </xf>
    <xf numFmtId="2" fontId="0" fillId="0" borderId="0" xfId="0" applyNumberFormat="1" applyAlignment="1">
      <alignment wrapText="1"/>
    </xf>
    <xf numFmtId="0" fontId="0" fillId="5" borderId="0" xfId="0" applyFill="1" applyAlignment="1">
      <alignment horizontal="left" wrapText="1"/>
    </xf>
    <xf numFmtId="0" fontId="0" fillId="5" borderId="0" xfId="0" applyFill="1" applyAlignment="1">
      <alignment horizontal="center" vertical="center" wrapText="1"/>
    </xf>
    <xf numFmtId="0" fontId="0" fillId="2" borderId="0" xfId="0" applyFill="1" applyAlignment="1">
      <alignment horizontal="center"/>
    </xf>
    <xf numFmtId="0" fontId="0" fillId="5" borderId="1" xfId="0" applyFill="1" applyBorder="1" applyAlignment="1">
      <alignment horizontal="right" vertical="top" wrapText="1"/>
    </xf>
    <xf numFmtId="0" fontId="0" fillId="5" borderId="3" xfId="0" applyFill="1" applyBorder="1" applyAlignment="1">
      <alignment horizontal="center" vertical="center"/>
    </xf>
    <xf numFmtId="0" fontId="0" fillId="5" borderId="4" xfId="0" applyFill="1" applyBorder="1" applyAlignment="1">
      <alignment horizontal="right" vertical="top" wrapText="1"/>
    </xf>
    <xf numFmtId="0" fontId="0" fillId="5" borderId="6" xfId="0" applyFill="1" applyBorder="1" applyAlignment="1">
      <alignment horizontal="right" vertical="top" wrapText="1"/>
    </xf>
    <xf numFmtId="0" fontId="0" fillId="5" borderId="3" xfId="0" applyFill="1" applyBorder="1" applyAlignment="1">
      <alignment horizontal="center" vertical="center" wrapText="1"/>
    </xf>
    <xf numFmtId="0" fontId="0" fillId="4" borderId="8" xfId="0" applyFill="1" applyBorder="1"/>
    <xf numFmtId="0" fontId="0" fillId="4" borderId="9" xfId="0" applyFill="1" applyBorder="1"/>
    <xf numFmtId="0" fontId="0" fillId="4" borderId="10" xfId="0" applyFill="1" applyBorder="1"/>
    <xf numFmtId="164" fontId="0" fillId="5" borderId="0" xfId="0" applyNumberFormat="1" applyFill="1" applyAlignment="1">
      <alignment horizontal="center" vertical="center"/>
    </xf>
    <xf numFmtId="164" fontId="0" fillId="0" borderId="0" xfId="0" applyNumberFormat="1"/>
    <xf numFmtId="0" fontId="0" fillId="0" borderId="0" xfId="0" applyAlignment="1">
      <alignment horizontal="left" vertical="top"/>
    </xf>
    <xf numFmtId="165" fontId="0" fillId="0" borderId="0" xfId="0" applyNumberFormat="1"/>
    <xf numFmtId="0" fontId="3" fillId="6" borderId="0" xfId="1"/>
    <xf numFmtId="164" fontId="0" fillId="0" borderId="0" xfId="0" applyNumberFormat="1" applyAlignment="1">
      <alignment horizontal="left" vertical="top"/>
    </xf>
    <xf numFmtId="0" fontId="0" fillId="0" borderId="0" xfId="0"/>
    <xf numFmtId="0" fontId="3" fillId="6" borderId="0" xfId="1"/>
    <xf numFmtId="0" fontId="0" fillId="0" borderId="0" xfId="0" applyAlignment="1">
      <alignment vertical="top" wrapText="1"/>
    </xf>
    <xf numFmtId="0" fontId="0" fillId="2" borderId="0" xfId="0" applyFill="1"/>
    <xf numFmtId="0" fontId="0" fillId="0" borderId="0" xfId="0" quotePrefix="1"/>
    <xf numFmtId="0" fontId="1" fillId="0" borderId="0" xfId="0" applyFont="1"/>
    <xf numFmtId="0" fontId="0" fillId="0" borderId="0" xfId="0" applyAlignment="1">
      <alignment wrapText="1"/>
    </xf>
    <xf numFmtId="0" fontId="0" fillId="0" borderId="0" xfId="0" applyAlignment="1">
      <alignment horizontal="left" vertical="center" wrapText="1" indent="2"/>
    </xf>
    <xf numFmtId="0" fontId="5" fillId="7" borderId="9" xfId="0" applyFont="1" applyFill="1" applyBorder="1" applyAlignment="1">
      <alignment vertical="center"/>
    </xf>
    <xf numFmtId="14" fontId="5" fillId="7" borderId="10" xfId="0" applyNumberFormat="1" applyFont="1" applyFill="1" applyBorder="1" applyAlignment="1">
      <alignment vertical="center"/>
    </xf>
    <xf numFmtId="0" fontId="5" fillId="7" borderId="9" xfId="0" applyFont="1" applyFill="1" applyBorder="1" applyAlignment="1">
      <alignment vertical="center" wrapText="1"/>
    </xf>
    <xf numFmtId="14" fontId="5" fillId="7" borderId="10" xfId="0" applyNumberFormat="1" applyFont="1" applyFill="1" applyBorder="1" applyAlignment="1" applyProtection="1">
      <alignment vertical="center"/>
      <protection locked="0"/>
    </xf>
    <xf numFmtId="0" fontId="0" fillId="5" borderId="2" xfId="0" applyFill="1" applyBorder="1" applyAlignment="1">
      <alignment vertical="center" wrapText="1"/>
    </xf>
    <xf numFmtId="0" fontId="0" fillId="5" borderId="5" xfId="0" applyFill="1" applyBorder="1" applyAlignment="1">
      <alignment vertical="center" wrapText="1"/>
    </xf>
    <xf numFmtId="0" fontId="0" fillId="5" borderId="7" xfId="0" applyFill="1" applyBorder="1" applyAlignment="1">
      <alignment vertical="center" wrapText="1"/>
    </xf>
    <xf numFmtId="0" fontId="0" fillId="8" borderId="0" xfId="0" applyFill="1"/>
    <xf numFmtId="0" fontId="5" fillId="7" borderId="9" xfId="0" applyFont="1" applyFill="1" applyBorder="1" applyAlignment="1">
      <alignment vertical="center" wrapText="1"/>
    </xf>
    <xf numFmtId="0" fontId="0" fillId="0" borderId="0" xfId="0" applyAlignment="1">
      <alignment vertical="top" wrapText="1"/>
    </xf>
    <xf numFmtId="0" fontId="2" fillId="3" borderId="0" xfId="0" applyFont="1" applyFill="1" applyAlignment="1">
      <alignment vertical="top"/>
    </xf>
    <xf numFmtId="0" fontId="0" fillId="4" borderId="0" xfId="0" applyFill="1" applyAlignment="1">
      <alignment vertical="top"/>
    </xf>
    <xf numFmtId="0" fontId="1" fillId="5" borderId="0" xfId="0" applyFont="1" applyFill="1" applyAlignment="1">
      <alignment vertical="top" wrapText="1"/>
    </xf>
    <xf numFmtId="0" fontId="0" fillId="5" borderId="2" xfId="0" applyFill="1" applyBorder="1" applyAlignment="1">
      <alignment vertical="top" wrapText="1"/>
    </xf>
    <xf numFmtId="0" fontId="0" fillId="5" borderId="5" xfId="0" applyFill="1" applyBorder="1" applyAlignment="1">
      <alignment vertical="top" wrapText="1"/>
    </xf>
    <xf numFmtId="0" fontId="0" fillId="5" borderId="0" xfId="0" applyFill="1" applyAlignment="1">
      <alignment vertical="top" wrapText="1"/>
    </xf>
    <xf numFmtId="0" fontId="0" fillId="0" borderId="0" xfId="0" applyAlignment="1">
      <alignment vertical="top"/>
    </xf>
    <xf numFmtId="0" fontId="0" fillId="3" borderId="0" xfId="0" applyFill="1" applyAlignment="1">
      <alignment vertical="top"/>
    </xf>
    <xf numFmtId="0" fontId="0" fillId="2" borderId="0" xfId="0" applyFill="1" applyAlignment="1">
      <alignment vertical="top"/>
    </xf>
    <xf numFmtId="166" fontId="5" fillId="7" borderId="10" xfId="0" applyNumberFormat="1" applyFont="1" applyFill="1" applyBorder="1" applyAlignment="1" applyProtection="1">
      <alignment vertical="center"/>
      <protection locked="0"/>
    </xf>
    <xf numFmtId="166" fontId="5" fillId="7" borderId="10" xfId="0" applyNumberFormat="1" applyFont="1" applyFill="1" applyBorder="1" applyAlignment="1">
      <alignment vertical="center"/>
    </xf>
    <xf numFmtId="166" fontId="0" fillId="9" borderId="0" xfId="0" applyNumberFormat="1" applyFill="1" applyAlignment="1" applyProtection="1">
      <alignment horizontal="left"/>
      <protection locked="0"/>
    </xf>
    <xf numFmtId="0" fontId="0" fillId="9" borderId="0" xfId="0" applyFill="1" applyAlignment="1" applyProtection="1">
      <protection locked="0"/>
    </xf>
    <xf numFmtId="0" fontId="4" fillId="2" borderId="11" xfId="0" applyFont="1" applyFill="1" applyBorder="1" applyAlignment="1">
      <alignment horizontal="center"/>
    </xf>
    <xf numFmtId="0" fontId="0" fillId="0" borderId="11" xfId="0" applyBorder="1" applyAlignment="1"/>
    <xf numFmtId="0" fontId="0" fillId="0" borderId="12" xfId="0" applyBorder="1" applyAlignment="1"/>
    <xf numFmtId="0" fontId="7" fillId="7" borderId="9" xfId="0" applyFont="1" applyFill="1" applyBorder="1" applyAlignment="1" applyProtection="1">
      <alignment vertical="center"/>
      <protection locked="0"/>
    </xf>
    <xf numFmtId="0" fontId="4" fillId="2" borderId="8" xfId="0" applyFont="1" applyFill="1" applyBorder="1" applyAlignment="1">
      <alignment horizontal="center"/>
    </xf>
    <xf numFmtId="0" fontId="0" fillId="0" borderId="9" xfId="0" applyBorder="1" applyAlignment="1"/>
    <xf numFmtId="0" fontId="0" fillId="0" borderId="10" xfId="0" applyBorder="1" applyAlignment="1"/>
    <xf numFmtId="0" fontId="6" fillId="7" borderId="8" xfId="0" applyFont="1" applyFill="1" applyBorder="1" applyAlignment="1">
      <alignment vertical="center"/>
    </xf>
    <xf numFmtId="0" fontId="5" fillId="7" borderId="9" xfId="0" applyFont="1" applyFill="1" applyBorder="1" applyAlignment="1">
      <alignment vertical="center"/>
    </xf>
    <xf numFmtId="0" fontId="0" fillId="2" borderId="0" xfId="0" applyFill="1" applyAlignment="1">
      <alignment horizontal="center"/>
    </xf>
    <xf numFmtId="0" fontId="0" fillId="0" borderId="0" xfId="0" applyAlignment="1">
      <alignment horizontal="center" vertical="center" wrapText="1"/>
    </xf>
    <xf numFmtId="0" fontId="0" fillId="0" borderId="0" xfId="0" applyAlignment="1">
      <alignment horizontal="center"/>
    </xf>
    <xf numFmtId="0" fontId="6" fillId="7" borderId="8" xfId="0" applyFont="1" applyFill="1" applyBorder="1" applyAlignment="1">
      <alignment vertical="center" wrapText="1"/>
    </xf>
    <xf numFmtId="0" fontId="5" fillId="7" borderId="9" xfId="0" applyFont="1" applyFill="1" applyBorder="1" applyAlignment="1">
      <alignment vertical="center" wrapText="1"/>
    </xf>
    <xf numFmtId="0" fontId="7" fillId="7" borderId="0" xfId="0" applyFont="1" applyFill="1" applyBorder="1" applyAlignment="1">
      <alignment vertical="center" wrapText="1"/>
    </xf>
    <xf numFmtId="0" fontId="5" fillId="7" borderId="0" xfId="0" applyFont="1" applyFill="1" applyAlignment="1">
      <alignment wrapText="1"/>
    </xf>
    <xf numFmtId="0" fontId="7" fillId="7" borderId="9" xfId="0" applyFont="1" applyFill="1" applyBorder="1" applyAlignment="1">
      <alignment vertical="center" wrapText="1"/>
    </xf>
    <xf numFmtId="0" fontId="0" fillId="0" borderId="0" xfId="0" applyAlignment="1">
      <alignment horizontal="left" vertical="center" wrapText="1" indent="2"/>
    </xf>
    <xf numFmtId="0" fontId="0" fillId="0" borderId="0" xfId="0" applyAlignment="1">
      <alignment vertical="top" wrapText="1"/>
    </xf>
    <xf numFmtId="0" fontId="0" fillId="0" borderId="0" xfId="0" applyAlignment="1">
      <alignment wrapText="1"/>
    </xf>
    <xf numFmtId="0" fontId="0" fillId="0" borderId="9" xfId="0" applyBorder="1" applyAlignment="1">
      <alignment vertical="center" wrapText="1"/>
    </xf>
    <xf numFmtId="0" fontId="0" fillId="5" borderId="2" xfId="0" applyFill="1" applyBorder="1" applyAlignment="1" applyProtection="1">
      <alignment horizontal="right" vertical="center" wrapText="1" indent="3"/>
      <protection locked="0"/>
    </xf>
    <xf numFmtId="0" fontId="0" fillId="5" borderId="5" xfId="0" applyFill="1" applyBorder="1" applyAlignment="1" applyProtection="1">
      <alignment horizontal="right" vertical="center" wrapText="1" indent="3"/>
      <protection locked="0"/>
    </xf>
    <xf numFmtId="0" fontId="0" fillId="5" borderId="5" xfId="0" applyFill="1" applyBorder="1" applyAlignment="1" applyProtection="1">
      <alignment horizontal="right" vertical="center" indent="3"/>
      <protection locked="0"/>
    </xf>
    <xf numFmtId="0" fontId="0" fillId="5" borderId="7" xfId="0" applyFill="1" applyBorder="1" applyAlignment="1" applyProtection="1">
      <alignment horizontal="right" vertical="center" indent="3"/>
      <protection locked="0"/>
    </xf>
    <xf numFmtId="0" fontId="0" fillId="5" borderId="2" xfId="0" applyFill="1" applyBorder="1" applyAlignment="1" applyProtection="1">
      <alignment horizontal="center" vertical="center"/>
      <protection locked="0"/>
    </xf>
    <xf numFmtId="0" fontId="0" fillId="5" borderId="5" xfId="0" applyFill="1" applyBorder="1" applyAlignment="1" applyProtection="1">
      <alignment horizontal="center" vertical="center"/>
      <protection locked="0"/>
    </xf>
    <xf numFmtId="0" fontId="0" fillId="5" borderId="7" xfId="0" applyFill="1" applyBorder="1" applyAlignment="1" applyProtection="1">
      <alignment horizontal="center" vertical="center"/>
      <protection locked="0"/>
    </xf>
    <xf numFmtId="0" fontId="0" fillId="5" borderId="7" xfId="0" applyFill="1" applyBorder="1" applyAlignment="1" applyProtection="1">
      <alignment horizontal="right" vertical="center" wrapText="1" indent="3"/>
      <protection locked="0"/>
    </xf>
  </cellXfs>
  <cellStyles count="2">
    <cellStyle name="Goed" xfId="1" builtinId="26"/>
    <cellStyle name="Standaard" xfId="0" builtinId="0"/>
  </cellStyles>
  <dxfs count="117">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C000"/>
        </patternFill>
      </fill>
    </dxf>
    <dxf>
      <fill>
        <patternFill>
          <bgColor rgb="FFFF0000"/>
        </patternFill>
      </fill>
    </dxf>
    <dxf>
      <fill>
        <patternFill>
          <bgColor rgb="FF92D050"/>
        </patternFill>
      </fill>
    </dxf>
    <dxf>
      <fill>
        <patternFill>
          <bgColor rgb="FFFFC000"/>
        </patternFill>
      </fill>
    </dxf>
    <dxf>
      <fill>
        <patternFill>
          <bgColor rgb="FF92D05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Graph!$V$5</c:f>
              <c:strCache>
                <c:ptCount val="1"/>
                <c:pt idx="0">
                  <c:v>Strenght or weakness</c:v>
                </c:pt>
              </c:strCache>
            </c:strRef>
          </c:tx>
          <c:spPr>
            <a:solidFill>
              <a:srgbClr val="4F81BD"/>
            </a:solidFill>
            <a:ln>
              <a:solidFill>
                <a:schemeClr val="bg1"/>
              </a:solidFill>
            </a:ln>
          </c:spPr>
          <c:invertIfNegative val="1"/>
          <c:cat>
            <c:strRef>
              <c:f>Graph!$T$6:$T$14</c:f>
              <c:strCache>
                <c:ptCount val="9"/>
                <c:pt idx="0">
                  <c:v>Partners</c:v>
                </c:pt>
                <c:pt idx="1">
                  <c:v>Activities</c:v>
                </c:pt>
                <c:pt idx="2">
                  <c:v>Resources</c:v>
                </c:pt>
                <c:pt idx="3">
                  <c:v>Value proposition</c:v>
                </c:pt>
                <c:pt idx="4">
                  <c:v>Customer relations</c:v>
                </c:pt>
                <c:pt idx="5">
                  <c:v>Channels</c:v>
                </c:pt>
                <c:pt idx="6">
                  <c:v>Customer segments</c:v>
                </c:pt>
                <c:pt idx="7">
                  <c:v>Cost structure</c:v>
                </c:pt>
                <c:pt idx="8">
                  <c:v>Revenue streams</c:v>
                </c:pt>
              </c:strCache>
            </c:strRef>
          </c:cat>
          <c:val>
            <c:numRef>
              <c:f>Graph!$V$6:$V$14</c:f>
              <c:numCache>
                <c:formatCode>0.0_ ;[Red]\-0.0\ </c:formatCode>
                <c:ptCount val="9"/>
                <c:pt idx="0">
                  <c:v>1.5</c:v>
                </c:pt>
                <c:pt idx="1">
                  <c:v>2</c:v>
                </c:pt>
                <c:pt idx="2">
                  <c:v>5</c:v>
                </c:pt>
                <c:pt idx="3">
                  <c:v>1.75</c:v>
                </c:pt>
                <c:pt idx="4">
                  <c:v>3</c:v>
                </c:pt>
                <c:pt idx="5">
                  <c:v>-0.8571428571428571</c:v>
                </c:pt>
                <c:pt idx="6">
                  <c:v>3</c:v>
                </c:pt>
                <c:pt idx="7">
                  <c:v>2.25</c:v>
                </c:pt>
                <c:pt idx="8">
                  <c:v>0.75</c:v>
                </c:pt>
              </c:numCache>
            </c:numRef>
          </c:val>
          <c:extLst>
            <c:ext xmlns:c14="http://schemas.microsoft.com/office/drawing/2007/8/2/chart" uri="{6F2FDCE9-48DA-4B69-8628-5D25D57E5C99}">
              <c14:invertSolidFillFmt>
                <c14:spPr xmlns:c14="http://schemas.microsoft.com/office/drawing/2007/8/2/chart">
                  <a:solidFill>
                    <a:srgbClr val="FF0000"/>
                  </a:solidFill>
                  <a:ln>
                    <a:solidFill>
                      <a:schemeClr val="bg1"/>
                    </a:solidFill>
                  </a:ln>
                </c14:spPr>
              </c14:invertSolidFillFmt>
            </c:ext>
          </c:extLst>
        </c:ser>
        <c:ser>
          <c:idx val="1"/>
          <c:order val="1"/>
          <c:tx>
            <c:strRef>
              <c:f>Graph!$W$5</c:f>
              <c:strCache>
                <c:ptCount val="1"/>
                <c:pt idx="0">
                  <c:v>Opportunity</c:v>
                </c:pt>
              </c:strCache>
            </c:strRef>
          </c:tx>
          <c:spPr>
            <a:solidFill>
              <a:srgbClr val="00B050"/>
            </a:solidFill>
            <a:ln>
              <a:solidFill>
                <a:schemeClr val="bg1"/>
              </a:solidFill>
            </a:ln>
          </c:spPr>
          <c:invertIfNegative val="0"/>
          <c:cat>
            <c:strRef>
              <c:f>Graph!$T$6:$T$14</c:f>
              <c:strCache>
                <c:ptCount val="9"/>
                <c:pt idx="0">
                  <c:v>Partners</c:v>
                </c:pt>
                <c:pt idx="1">
                  <c:v>Activities</c:v>
                </c:pt>
                <c:pt idx="2">
                  <c:v>Resources</c:v>
                </c:pt>
                <c:pt idx="3">
                  <c:v>Value proposition</c:v>
                </c:pt>
                <c:pt idx="4">
                  <c:v>Customer relations</c:v>
                </c:pt>
                <c:pt idx="5">
                  <c:v>Channels</c:v>
                </c:pt>
                <c:pt idx="6">
                  <c:v>Customer segments</c:v>
                </c:pt>
                <c:pt idx="7">
                  <c:v>Cost structure</c:v>
                </c:pt>
                <c:pt idx="8">
                  <c:v>Revenue streams</c:v>
                </c:pt>
              </c:strCache>
            </c:strRef>
          </c:cat>
          <c:val>
            <c:numRef>
              <c:f>Graph!$W$6:$W$14</c:f>
              <c:numCache>
                <c:formatCode>0.0_ ;[Red]\-0.0\ </c:formatCode>
                <c:ptCount val="9"/>
                <c:pt idx="0">
                  <c:v>1.8</c:v>
                </c:pt>
                <c:pt idx="1">
                  <c:v>2</c:v>
                </c:pt>
                <c:pt idx="2">
                  <c:v>1</c:v>
                </c:pt>
                <c:pt idx="3">
                  <c:v>2.8</c:v>
                </c:pt>
                <c:pt idx="4">
                  <c:v>1.5</c:v>
                </c:pt>
                <c:pt idx="5">
                  <c:v>1.6</c:v>
                </c:pt>
                <c:pt idx="6">
                  <c:v>3.3333333333333335</c:v>
                </c:pt>
                <c:pt idx="7">
                  <c:v>1</c:v>
                </c:pt>
                <c:pt idx="8">
                  <c:v>1.4</c:v>
                </c:pt>
              </c:numCache>
            </c:numRef>
          </c:val>
        </c:ser>
        <c:ser>
          <c:idx val="2"/>
          <c:order val="2"/>
          <c:tx>
            <c:strRef>
              <c:f>Graph!$X$5</c:f>
              <c:strCache>
                <c:ptCount val="1"/>
                <c:pt idx="0">
                  <c:v>Threat</c:v>
                </c:pt>
              </c:strCache>
            </c:strRef>
          </c:tx>
          <c:spPr>
            <a:solidFill>
              <a:srgbClr val="FFC000"/>
            </a:solidFill>
            <a:ln>
              <a:solidFill>
                <a:schemeClr val="bg1"/>
              </a:solidFill>
            </a:ln>
          </c:spPr>
          <c:invertIfNegative val="0"/>
          <c:cat>
            <c:strRef>
              <c:f>Graph!$T$6:$T$14</c:f>
              <c:strCache>
                <c:ptCount val="9"/>
                <c:pt idx="0">
                  <c:v>Partners</c:v>
                </c:pt>
                <c:pt idx="1">
                  <c:v>Activities</c:v>
                </c:pt>
                <c:pt idx="2">
                  <c:v>Resources</c:v>
                </c:pt>
                <c:pt idx="3">
                  <c:v>Value proposition</c:v>
                </c:pt>
                <c:pt idx="4">
                  <c:v>Customer relations</c:v>
                </c:pt>
                <c:pt idx="5">
                  <c:v>Channels</c:v>
                </c:pt>
                <c:pt idx="6">
                  <c:v>Customer segments</c:v>
                </c:pt>
                <c:pt idx="7">
                  <c:v>Cost structure</c:v>
                </c:pt>
                <c:pt idx="8">
                  <c:v>Revenue streams</c:v>
                </c:pt>
              </c:strCache>
            </c:strRef>
          </c:cat>
          <c:val>
            <c:numRef>
              <c:f>Graph!$X$6:$X$14</c:f>
              <c:numCache>
                <c:formatCode>0.0_ ;[Red]\-0.0\ </c:formatCode>
                <c:ptCount val="9"/>
                <c:pt idx="0">
                  <c:v>1.3333333333333333</c:v>
                </c:pt>
                <c:pt idx="1">
                  <c:v>2</c:v>
                </c:pt>
                <c:pt idx="2">
                  <c:v>1</c:v>
                </c:pt>
                <c:pt idx="3">
                  <c:v>3</c:v>
                </c:pt>
                <c:pt idx="4">
                  <c:v>2</c:v>
                </c:pt>
                <c:pt idx="5">
                  <c:v>1</c:v>
                </c:pt>
                <c:pt idx="6">
                  <c:v>2</c:v>
                </c:pt>
                <c:pt idx="7">
                  <c:v>1</c:v>
                </c:pt>
                <c:pt idx="8">
                  <c:v>1</c:v>
                </c:pt>
              </c:numCache>
            </c:numRef>
          </c:val>
        </c:ser>
        <c:dLbls>
          <c:showLegendKey val="0"/>
          <c:showVal val="0"/>
          <c:showCatName val="0"/>
          <c:showSerName val="0"/>
          <c:showPercent val="0"/>
          <c:showBubbleSize val="0"/>
        </c:dLbls>
        <c:gapWidth val="150"/>
        <c:axId val="53345664"/>
        <c:axId val="54752384"/>
      </c:barChart>
      <c:catAx>
        <c:axId val="53345664"/>
        <c:scaling>
          <c:orientation val="minMax"/>
        </c:scaling>
        <c:delete val="0"/>
        <c:axPos val="b"/>
        <c:majorGridlines/>
        <c:majorTickMark val="out"/>
        <c:minorTickMark val="none"/>
        <c:tickLblPos val="nextTo"/>
        <c:txPr>
          <a:bodyPr/>
          <a:lstStyle/>
          <a:p>
            <a:pPr>
              <a:defRPr b="1">
                <a:solidFill>
                  <a:schemeClr val="bg1"/>
                </a:solidFill>
              </a:defRPr>
            </a:pPr>
            <a:endParaRPr lang="nl-NL"/>
          </a:p>
        </c:txPr>
        <c:crossAx val="54752384"/>
        <c:crosses val="autoZero"/>
        <c:auto val="1"/>
        <c:lblAlgn val="ctr"/>
        <c:lblOffset val="100"/>
        <c:noMultiLvlLbl val="0"/>
      </c:catAx>
      <c:valAx>
        <c:axId val="54752384"/>
        <c:scaling>
          <c:orientation val="minMax"/>
          <c:max val="5"/>
          <c:min val="-5"/>
        </c:scaling>
        <c:delete val="0"/>
        <c:axPos val="l"/>
        <c:majorGridlines/>
        <c:numFmt formatCode="0.0_ ;[Red]\-0.0\ " sourceLinked="1"/>
        <c:majorTickMark val="out"/>
        <c:minorTickMark val="none"/>
        <c:tickLblPos val="nextTo"/>
        <c:crossAx val="53345664"/>
        <c:crosses val="autoZero"/>
        <c:crossBetween val="between"/>
      </c:valAx>
      <c:spPr>
        <a:solidFill>
          <a:schemeClr val="tx1"/>
        </a:solidFill>
      </c:spPr>
    </c:plotArea>
    <c:legend>
      <c:legendPos val="r"/>
      <c:overlay val="0"/>
    </c:legend>
    <c:plotVisOnly val="1"/>
    <c:dispBlanksAs val="gap"/>
    <c:showDLblsOverMax val="0"/>
  </c:chart>
  <c:spPr>
    <a:solidFill>
      <a:schemeClr val="accent5">
        <a:lumMod val="20000"/>
        <a:lumOff val="80000"/>
      </a:schemeClr>
    </a:solidFill>
  </c:spPr>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Graph!A1"/><Relationship Id="rId2" Type="http://schemas.openxmlformats.org/officeDocument/2006/relationships/hyperlink" Target="#'Canvas Detail'!A1"/><Relationship Id="rId1" Type="http://schemas.openxmlformats.org/officeDocument/2006/relationships/hyperlink" Target="#'Data Entry'!A1"/><Relationship Id="rId5" Type="http://schemas.openxmlformats.org/officeDocument/2006/relationships/hyperlink" Target="#'Canvas Top'!A1"/><Relationship Id="rId4"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hyperlink" Target="#Graph!A1"/><Relationship Id="rId2" Type="http://schemas.openxmlformats.org/officeDocument/2006/relationships/hyperlink" Target="#'Canvas Top'!A1"/><Relationship Id="rId1" Type="http://schemas.openxmlformats.org/officeDocument/2006/relationships/hyperlink" Target="#Menu!A1"/><Relationship Id="rId4" Type="http://schemas.openxmlformats.org/officeDocument/2006/relationships/hyperlink" Target="#'Canvas Detail'!A1"/></Relationships>
</file>

<file path=xl/drawings/_rels/drawing3.xml.rels><?xml version="1.0" encoding="UTF-8" standalone="yes"?>
<Relationships xmlns="http://schemas.openxmlformats.org/package/2006/relationships"><Relationship Id="rId3" Type="http://schemas.openxmlformats.org/officeDocument/2006/relationships/hyperlink" Target="#Graph!A1"/><Relationship Id="rId2" Type="http://schemas.openxmlformats.org/officeDocument/2006/relationships/hyperlink" Target="#'Data Entry'!A1"/><Relationship Id="rId1" Type="http://schemas.openxmlformats.org/officeDocument/2006/relationships/hyperlink" Target="#Menu!A1"/><Relationship Id="rId4" Type="http://schemas.openxmlformats.org/officeDocument/2006/relationships/hyperlink" Target="#'Canvas Detail'!A1"/></Relationships>
</file>

<file path=xl/drawings/_rels/drawing4.xml.rels><?xml version="1.0" encoding="UTF-8" standalone="yes"?>
<Relationships xmlns="http://schemas.openxmlformats.org/package/2006/relationships"><Relationship Id="rId3" Type="http://schemas.openxmlformats.org/officeDocument/2006/relationships/hyperlink" Target="#Graph!A1"/><Relationship Id="rId2" Type="http://schemas.openxmlformats.org/officeDocument/2006/relationships/hyperlink" Target="#Invoer!A1"/><Relationship Id="rId1" Type="http://schemas.openxmlformats.org/officeDocument/2006/relationships/hyperlink" Target="#Menu!A1"/><Relationship Id="rId5" Type="http://schemas.openxmlformats.org/officeDocument/2006/relationships/hyperlink" Target="#'Canvas Top'!A1"/><Relationship Id="rId4" Type="http://schemas.openxmlformats.org/officeDocument/2006/relationships/hyperlink" Target="#'Data Entry'!A1"/></Relationships>
</file>

<file path=xl/drawings/_rels/drawing5.xml.rels><?xml version="1.0" encoding="UTF-8" standalone="yes"?>
<Relationships xmlns="http://schemas.openxmlformats.org/package/2006/relationships"><Relationship Id="rId3" Type="http://schemas.openxmlformats.org/officeDocument/2006/relationships/hyperlink" Target="#'Canvas Top'!A1"/><Relationship Id="rId2" Type="http://schemas.openxmlformats.org/officeDocument/2006/relationships/hyperlink" Target="#Menu!A1"/><Relationship Id="rId1" Type="http://schemas.openxmlformats.org/officeDocument/2006/relationships/chart" Target="../charts/chart1.xml"/><Relationship Id="rId5" Type="http://schemas.openxmlformats.org/officeDocument/2006/relationships/hyperlink" Target="#'Canvas Detail'!A1"/><Relationship Id="rId4" Type="http://schemas.openxmlformats.org/officeDocument/2006/relationships/hyperlink" Target="#'Data Entry'!A1"/></Relationships>
</file>

<file path=xl/drawings/drawing1.xml><?xml version="1.0" encoding="utf-8"?>
<xdr:wsDr xmlns:xdr="http://schemas.openxmlformats.org/drawingml/2006/spreadsheetDrawing" xmlns:a="http://schemas.openxmlformats.org/drawingml/2006/main">
  <xdr:twoCellAnchor>
    <xdr:from>
      <xdr:col>1</xdr:col>
      <xdr:colOff>466725</xdr:colOff>
      <xdr:row>11</xdr:row>
      <xdr:rowOff>161925</xdr:rowOff>
    </xdr:from>
    <xdr:to>
      <xdr:col>4</xdr:col>
      <xdr:colOff>561975</xdr:colOff>
      <xdr:row>14</xdr:row>
      <xdr:rowOff>57150</xdr:rowOff>
    </xdr:to>
    <xdr:sp macro="" textlink="">
      <xdr:nvSpPr>
        <xdr:cNvPr id="2" name="Afgeronde rechthoek 1">
          <a:hlinkClick xmlns:r="http://schemas.openxmlformats.org/officeDocument/2006/relationships" r:id="rId1"/>
        </xdr:cNvPr>
        <xdr:cNvSpPr/>
      </xdr:nvSpPr>
      <xdr:spPr>
        <a:xfrm>
          <a:off x="1076325" y="2257425"/>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Data Entry</a:t>
          </a:r>
        </a:p>
      </xdr:txBody>
    </xdr:sp>
    <xdr:clientData/>
  </xdr:twoCellAnchor>
  <xdr:twoCellAnchor>
    <xdr:from>
      <xdr:col>5</xdr:col>
      <xdr:colOff>219075</xdr:colOff>
      <xdr:row>16</xdr:row>
      <xdr:rowOff>0</xdr:rowOff>
    </xdr:from>
    <xdr:to>
      <xdr:col>8</xdr:col>
      <xdr:colOff>314325</xdr:colOff>
      <xdr:row>18</xdr:row>
      <xdr:rowOff>85725</xdr:rowOff>
    </xdr:to>
    <xdr:sp macro="" textlink="">
      <xdr:nvSpPr>
        <xdr:cNvPr id="3" name="Afgeronde rechthoek 2">
          <a:hlinkClick xmlns:r="http://schemas.openxmlformats.org/officeDocument/2006/relationships" r:id="rId2"/>
        </xdr:cNvPr>
        <xdr:cNvSpPr/>
      </xdr:nvSpPr>
      <xdr:spPr>
        <a:xfrm>
          <a:off x="3267075" y="3048000"/>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Canvas Detail</a:t>
          </a:r>
        </a:p>
      </xdr:txBody>
    </xdr:sp>
    <xdr:clientData/>
  </xdr:twoCellAnchor>
  <xdr:twoCellAnchor>
    <xdr:from>
      <xdr:col>1</xdr:col>
      <xdr:colOff>466725</xdr:colOff>
      <xdr:row>19</xdr:row>
      <xdr:rowOff>152400</xdr:rowOff>
    </xdr:from>
    <xdr:to>
      <xdr:col>4</xdr:col>
      <xdr:colOff>561975</xdr:colOff>
      <xdr:row>22</xdr:row>
      <xdr:rowOff>47625</xdr:rowOff>
    </xdr:to>
    <xdr:sp macro="" textlink="">
      <xdr:nvSpPr>
        <xdr:cNvPr id="4" name="Afgeronde rechthoek 3">
          <a:hlinkClick xmlns:r="http://schemas.openxmlformats.org/officeDocument/2006/relationships" r:id="rId3"/>
        </xdr:cNvPr>
        <xdr:cNvSpPr/>
      </xdr:nvSpPr>
      <xdr:spPr>
        <a:xfrm>
          <a:off x="1076325" y="3771900"/>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Graph</a:t>
          </a:r>
        </a:p>
      </xdr:txBody>
    </xdr:sp>
    <xdr:clientData/>
  </xdr:twoCellAnchor>
  <xdr:twoCellAnchor editAs="oneCell">
    <xdr:from>
      <xdr:col>0</xdr:col>
      <xdr:colOff>0</xdr:colOff>
      <xdr:row>0</xdr:row>
      <xdr:rowOff>0</xdr:rowOff>
    </xdr:from>
    <xdr:to>
      <xdr:col>2</xdr:col>
      <xdr:colOff>542925</xdr:colOff>
      <xdr:row>8</xdr:row>
      <xdr:rowOff>17859</xdr:rowOff>
    </xdr:to>
    <xdr:pic>
      <xdr:nvPicPr>
        <xdr:cNvPr id="5" name="Afbeelding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1762125" cy="1541859"/>
        </a:xfrm>
        <a:prstGeom prst="rect">
          <a:avLst/>
        </a:prstGeom>
      </xdr:spPr>
    </xdr:pic>
    <xdr:clientData/>
  </xdr:twoCellAnchor>
  <xdr:twoCellAnchor>
    <xdr:from>
      <xdr:col>3</xdr:col>
      <xdr:colOff>13970</xdr:colOff>
      <xdr:row>0</xdr:row>
      <xdr:rowOff>151130</xdr:rowOff>
    </xdr:from>
    <xdr:to>
      <xdr:col>12</xdr:col>
      <xdr:colOff>292100</xdr:colOff>
      <xdr:row>1</xdr:row>
      <xdr:rowOff>55880</xdr:rowOff>
    </xdr:to>
    <xdr:sp macro="" textlink="">
      <xdr:nvSpPr>
        <xdr:cNvPr id="6" name="Afgeronde rechthoek 5"/>
        <xdr:cNvSpPr/>
      </xdr:nvSpPr>
      <xdr:spPr>
        <a:xfrm>
          <a:off x="1842770" y="151130"/>
          <a:ext cx="5764530" cy="95250"/>
        </a:xfrm>
        <a:prstGeom prst="roundRect">
          <a:avLst/>
        </a:prstGeom>
      </xdr:spPr>
      <xdr:style>
        <a:lnRef idx="0">
          <a:schemeClr val="accent3"/>
        </a:lnRef>
        <a:fillRef idx="3">
          <a:schemeClr val="accent3"/>
        </a:fillRef>
        <a:effectRef idx="3">
          <a:schemeClr val="accent3"/>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nl-NL"/>
        </a:p>
      </xdr:txBody>
    </xdr:sp>
    <xdr:clientData/>
  </xdr:twoCellAnchor>
  <xdr:twoCellAnchor>
    <xdr:from>
      <xdr:col>8</xdr:col>
      <xdr:colOff>328295</xdr:colOff>
      <xdr:row>0</xdr:row>
      <xdr:rowOff>161925</xdr:rowOff>
    </xdr:from>
    <xdr:to>
      <xdr:col>11</xdr:col>
      <xdr:colOff>177165</xdr:colOff>
      <xdr:row>8</xdr:row>
      <xdr:rowOff>41910</xdr:rowOff>
    </xdr:to>
    <xdr:sp macro="" textlink="">
      <xdr:nvSpPr>
        <xdr:cNvPr id="7" name="Tekstvak 2"/>
        <xdr:cNvSpPr txBox="1">
          <a:spLocks noChangeArrowheads="1"/>
        </xdr:cNvSpPr>
      </xdr:nvSpPr>
      <xdr:spPr bwMode="auto">
        <a:xfrm>
          <a:off x="5205095" y="161925"/>
          <a:ext cx="1677670" cy="1403985"/>
        </a:xfrm>
        <a:prstGeom prst="rect">
          <a:avLst/>
        </a:prstGeom>
        <a:solidFill>
          <a:srgbClr val="FFFFFF"/>
        </a:solidFill>
        <a:ln w="9525">
          <a:noFill/>
          <a:miter lim="800000"/>
          <a:headEnd/>
          <a:tailEnd/>
        </a:ln>
      </xdr:spPr>
      <xdr:txBody>
        <a:bodyPr rot="0" vert="horz" wrap="square" lIns="91440" tIns="45720" rIns="91440" bIns="45720" anchor="t" anchorCtr="0">
          <a:spAutoFit/>
          <a:scene3d>
            <a:camera prst="orthographicFront"/>
            <a:lightRig rig="flat" dir="t">
              <a:rot lat="0" lon="0" rev="18900000"/>
            </a:lightRig>
          </a:scene3d>
          <a:sp3d extrusionH="31750" contourW="6350" prstMaterial="powder">
            <a:bevelT w="19050" h="19050" prst="angle"/>
            <a:contourClr>
              <a:schemeClr val="accent3">
                <a:tint val="100000"/>
                <a:shade val="100000"/>
                <a:satMod val="100000"/>
                <a:hueMod val="100000"/>
              </a:schemeClr>
            </a:contourClr>
          </a:sp3d>
        </a:bodyPr>
        <a:lstStyle/>
        <a:p>
          <a:pPr>
            <a:lnSpc>
              <a:spcPct val="115000"/>
            </a:lnSpc>
            <a:spcAft>
              <a:spcPts val="1000"/>
            </a:spcAft>
          </a:pPr>
          <a:r>
            <a:rPr lang="nl-NL" sz="1100" i="1">
              <a:effectLst/>
              <a:latin typeface="Calibri"/>
              <a:ea typeface="Calibri"/>
              <a:cs typeface="Times New Roman"/>
            </a:rPr>
            <a:t>Tolo Branca</a:t>
          </a:r>
          <a:br>
            <a:rPr lang="nl-NL" sz="1100" i="1">
              <a:effectLst/>
              <a:latin typeface="Calibri"/>
              <a:ea typeface="Calibri"/>
              <a:cs typeface="Times New Roman"/>
            </a:rPr>
          </a:br>
          <a:r>
            <a:rPr lang="nl-NL" sz="1100" i="1">
              <a:effectLst/>
              <a:latin typeface="Calibri"/>
              <a:ea typeface="Calibri"/>
              <a:cs typeface="Times New Roman"/>
            </a:rPr>
            <a:t>Belversestraat 18</a:t>
          </a:r>
          <a:br>
            <a:rPr lang="nl-NL" sz="1100" i="1">
              <a:effectLst/>
              <a:latin typeface="Calibri"/>
              <a:ea typeface="Calibri"/>
              <a:cs typeface="Times New Roman"/>
            </a:rPr>
          </a:br>
          <a:r>
            <a:rPr lang="nl-NL" sz="1100" i="1">
              <a:effectLst/>
              <a:latin typeface="Calibri"/>
              <a:ea typeface="Calibri"/>
              <a:cs typeface="Times New Roman"/>
            </a:rPr>
            <a:t>5076 PX Haaren</a:t>
          </a:r>
          <a:br>
            <a:rPr lang="nl-NL" sz="1100" i="1">
              <a:effectLst/>
              <a:latin typeface="Calibri"/>
              <a:ea typeface="Calibri"/>
              <a:cs typeface="Times New Roman"/>
            </a:rPr>
          </a:br>
          <a:r>
            <a:rPr lang="nl-NL" sz="1100" i="1">
              <a:effectLst/>
              <a:latin typeface="Calibri"/>
              <a:ea typeface="Calibri"/>
              <a:cs typeface="Times New Roman"/>
            </a:rPr>
            <a:t>+31 653 210 387</a:t>
          </a:r>
          <a:br>
            <a:rPr lang="nl-NL" sz="1100" i="1">
              <a:effectLst/>
              <a:latin typeface="Calibri"/>
              <a:ea typeface="Calibri"/>
              <a:cs typeface="Times New Roman"/>
            </a:rPr>
          </a:br>
          <a:r>
            <a:rPr lang="nl-NL" sz="1100" i="1" u="none" strike="noStrike">
              <a:solidFill>
                <a:srgbClr val="0000FF"/>
              </a:solidFill>
              <a:effectLst/>
              <a:latin typeface="Calibri"/>
              <a:ea typeface="Calibri"/>
              <a:cs typeface="Times New Roman"/>
            </a:rPr>
            <a:t>mmulders@tolobranca.nl</a:t>
          </a:r>
          <a:r>
            <a:rPr lang="nl-NL" sz="1100" i="1">
              <a:effectLst/>
              <a:latin typeface="Calibri"/>
              <a:ea typeface="Calibri"/>
              <a:cs typeface="Times New Roman"/>
            </a:rPr>
            <a:t/>
          </a:r>
          <a:br>
            <a:rPr lang="nl-NL" sz="1100" i="1">
              <a:effectLst/>
              <a:latin typeface="Calibri"/>
              <a:ea typeface="Calibri"/>
              <a:cs typeface="Times New Roman"/>
            </a:rPr>
          </a:br>
          <a:r>
            <a:rPr lang="nl-NL" sz="1100" i="1">
              <a:effectLst/>
              <a:latin typeface="Calibri"/>
              <a:ea typeface="Calibri"/>
              <a:cs typeface="Times New Roman"/>
            </a:rPr>
            <a:t>www.tolobranca.nl</a:t>
          </a:r>
          <a:endParaRPr lang="nl-NL" sz="1100">
            <a:effectLst/>
            <a:latin typeface="Calibri"/>
            <a:ea typeface="Calibri"/>
            <a:cs typeface="Times New Roman"/>
          </a:endParaRPr>
        </a:p>
      </xdr:txBody>
    </xdr:sp>
    <xdr:clientData/>
  </xdr:twoCellAnchor>
  <xdr:twoCellAnchor>
    <xdr:from>
      <xdr:col>2</xdr:col>
      <xdr:colOff>552450</xdr:colOff>
      <xdr:row>7</xdr:row>
      <xdr:rowOff>144145</xdr:rowOff>
    </xdr:from>
    <xdr:to>
      <xdr:col>12</xdr:col>
      <xdr:colOff>409575</xdr:colOff>
      <xdr:row>7</xdr:row>
      <xdr:rowOff>189864</xdr:rowOff>
    </xdr:to>
    <xdr:sp macro="" textlink="">
      <xdr:nvSpPr>
        <xdr:cNvPr id="8" name="Afgeronde rechthoek 7"/>
        <xdr:cNvSpPr/>
      </xdr:nvSpPr>
      <xdr:spPr>
        <a:xfrm>
          <a:off x="1771650" y="1477645"/>
          <a:ext cx="5953125" cy="45719"/>
        </a:xfrm>
        <a:prstGeom prst="roundRect">
          <a:avLst/>
        </a:prstGeom>
        <a:gradFill rotWithShape="1">
          <a:gsLst>
            <a:gs pos="0">
              <a:srgbClr val="9BBB59">
                <a:shade val="51000"/>
                <a:satMod val="130000"/>
              </a:srgbClr>
            </a:gs>
            <a:gs pos="80000">
              <a:srgbClr val="9BBB59">
                <a:shade val="93000"/>
                <a:satMod val="130000"/>
              </a:srgbClr>
            </a:gs>
            <a:gs pos="100000">
              <a:srgbClr val="9BBB59">
                <a:shade val="94000"/>
                <a:satMod val="135000"/>
              </a:srgb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xdr:spPr>
      <xdr:txBody>
        <a:bodyPr rot="0" spcFirstLastPara="0" vert="horz" wrap="square" lIns="91440" tIns="45720" rIns="91440" bIns="45720" numCol="1" spcCol="0" rtlCol="0" fromWordArt="0" anchor="ctr" anchorCtr="0" forceAA="0" compatLnSpc="1">
          <a:prstTxWarp prst="textNoShape">
            <a:avLst/>
          </a:prstTxWarp>
          <a:noAutofit/>
        </a:bodyPr>
        <a:lstStyle/>
        <a:p>
          <a:endParaRPr lang="nl-NL"/>
        </a:p>
      </xdr:txBody>
    </xdr:sp>
    <xdr:clientData/>
  </xdr:twoCellAnchor>
  <xdr:twoCellAnchor>
    <xdr:from>
      <xdr:col>1</xdr:col>
      <xdr:colOff>466725</xdr:colOff>
      <xdr:row>16</xdr:row>
      <xdr:rowOff>0</xdr:rowOff>
    </xdr:from>
    <xdr:to>
      <xdr:col>4</xdr:col>
      <xdr:colOff>561975</xdr:colOff>
      <xdr:row>18</xdr:row>
      <xdr:rowOff>85725</xdr:rowOff>
    </xdr:to>
    <xdr:sp macro="" textlink="">
      <xdr:nvSpPr>
        <xdr:cNvPr id="12" name="Afgeronde rechthoek 11">
          <a:hlinkClick xmlns:r="http://schemas.openxmlformats.org/officeDocument/2006/relationships" r:id="rId5"/>
        </xdr:cNvPr>
        <xdr:cNvSpPr/>
      </xdr:nvSpPr>
      <xdr:spPr>
        <a:xfrm>
          <a:off x="1076325" y="3048000"/>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Canvas Top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95250</xdr:colOff>
      <xdr:row>0</xdr:row>
      <xdr:rowOff>114300</xdr:rowOff>
    </xdr:from>
    <xdr:to>
      <xdr:col>1</xdr:col>
      <xdr:colOff>1724025</xdr:colOff>
      <xdr:row>0</xdr:row>
      <xdr:rowOff>581025</xdr:rowOff>
    </xdr:to>
    <xdr:sp macro="" textlink="">
      <xdr:nvSpPr>
        <xdr:cNvPr id="2" name="Afgeronde rechthoek 1">
          <a:hlinkClick xmlns:r="http://schemas.openxmlformats.org/officeDocument/2006/relationships" r:id="rId1"/>
        </xdr:cNvPr>
        <xdr:cNvSpPr/>
      </xdr:nvSpPr>
      <xdr:spPr>
        <a:xfrm>
          <a:off x="95250" y="114300"/>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Menu</a:t>
          </a:r>
        </a:p>
      </xdr:txBody>
    </xdr:sp>
    <xdr:clientData/>
  </xdr:twoCellAnchor>
  <xdr:twoCellAnchor>
    <xdr:from>
      <xdr:col>1</xdr:col>
      <xdr:colOff>1905000</xdr:colOff>
      <xdr:row>0</xdr:row>
      <xdr:rowOff>114300</xdr:rowOff>
    </xdr:from>
    <xdr:to>
      <xdr:col>3</xdr:col>
      <xdr:colOff>123825</xdr:colOff>
      <xdr:row>0</xdr:row>
      <xdr:rowOff>581025</xdr:rowOff>
    </xdr:to>
    <xdr:sp macro="" textlink="">
      <xdr:nvSpPr>
        <xdr:cNvPr id="3" name="Afgeronde rechthoek 2">
          <a:hlinkClick xmlns:r="http://schemas.openxmlformats.org/officeDocument/2006/relationships" r:id="rId2"/>
        </xdr:cNvPr>
        <xdr:cNvSpPr/>
      </xdr:nvSpPr>
      <xdr:spPr>
        <a:xfrm>
          <a:off x="2200275" y="114300"/>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Canvas Top</a:t>
          </a:r>
        </a:p>
      </xdr:txBody>
    </xdr:sp>
    <xdr:clientData/>
  </xdr:twoCellAnchor>
  <xdr:twoCellAnchor>
    <xdr:from>
      <xdr:col>6</xdr:col>
      <xdr:colOff>1133475</xdr:colOff>
      <xdr:row>0</xdr:row>
      <xdr:rowOff>152400</xdr:rowOff>
    </xdr:from>
    <xdr:to>
      <xdr:col>7</xdr:col>
      <xdr:colOff>590550</xdr:colOff>
      <xdr:row>0</xdr:row>
      <xdr:rowOff>619125</xdr:rowOff>
    </xdr:to>
    <xdr:sp macro="" textlink="">
      <xdr:nvSpPr>
        <xdr:cNvPr id="5" name="Afgeronde rechthoek 4">
          <a:hlinkClick xmlns:r="http://schemas.openxmlformats.org/officeDocument/2006/relationships" r:id="rId3"/>
        </xdr:cNvPr>
        <xdr:cNvSpPr/>
      </xdr:nvSpPr>
      <xdr:spPr>
        <a:xfrm>
          <a:off x="6429375" y="152400"/>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Grafiek</a:t>
          </a:r>
        </a:p>
      </xdr:txBody>
    </xdr:sp>
    <xdr:clientData/>
  </xdr:twoCellAnchor>
  <xdr:twoCellAnchor>
    <xdr:from>
      <xdr:col>3</xdr:col>
      <xdr:colOff>295275</xdr:colOff>
      <xdr:row>0</xdr:row>
      <xdr:rowOff>152400</xdr:rowOff>
    </xdr:from>
    <xdr:to>
      <xdr:col>6</xdr:col>
      <xdr:colOff>923925</xdr:colOff>
      <xdr:row>0</xdr:row>
      <xdr:rowOff>619125</xdr:rowOff>
    </xdr:to>
    <xdr:sp macro="" textlink="">
      <xdr:nvSpPr>
        <xdr:cNvPr id="6" name="Afgeronde rechthoek 5">
          <a:hlinkClick xmlns:r="http://schemas.openxmlformats.org/officeDocument/2006/relationships" r:id="rId4"/>
        </xdr:cNvPr>
        <xdr:cNvSpPr/>
      </xdr:nvSpPr>
      <xdr:spPr>
        <a:xfrm>
          <a:off x="4295775" y="152400"/>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Canvas Detail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15878</xdr:colOff>
      <xdr:row>2</xdr:row>
      <xdr:rowOff>0</xdr:rowOff>
    </xdr:from>
    <xdr:to>
      <xdr:col>15</xdr:col>
      <xdr:colOff>0</xdr:colOff>
      <xdr:row>31</xdr:row>
      <xdr:rowOff>158750</xdr:rowOff>
    </xdr:to>
    <xdr:grpSp>
      <xdr:nvGrpSpPr>
        <xdr:cNvPr id="23" name="Groep 22"/>
        <xdr:cNvGrpSpPr/>
      </xdr:nvGrpSpPr>
      <xdr:grpSpPr>
        <a:xfrm>
          <a:off x="15878" y="1047750"/>
          <a:ext cx="10604497" cy="5683250"/>
          <a:chOff x="316439" y="1404994"/>
          <a:chExt cx="8522761" cy="5041289"/>
        </a:xfrm>
      </xdr:grpSpPr>
      <xdr:grpSp>
        <xdr:nvGrpSpPr>
          <xdr:cNvPr id="24" name="Groep 23"/>
          <xdr:cNvGrpSpPr/>
        </xdr:nvGrpSpPr>
        <xdr:grpSpPr>
          <a:xfrm>
            <a:off x="323850" y="1404994"/>
            <a:ext cx="8515350" cy="5041289"/>
            <a:chOff x="323850" y="1404994"/>
            <a:chExt cx="8515350" cy="5041289"/>
          </a:xfrm>
        </xdr:grpSpPr>
        <xdr:sp macro="" textlink="">
          <xdr:nvSpPr>
            <xdr:cNvPr id="34" name="Rechthoek 33"/>
            <xdr:cNvSpPr/>
          </xdr:nvSpPr>
          <xdr:spPr>
            <a:xfrm>
              <a:off x="323850" y="1411660"/>
              <a:ext cx="8515350" cy="5034623"/>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GB"/>
              </a:defPPr>
              <a:lvl1pPr algn="l" rtl="0" fontAlgn="base">
                <a:spcBef>
                  <a:spcPct val="0"/>
                </a:spcBef>
                <a:spcAft>
                  <a:spcPct val="0"/>
                </a:spcAft>
                <a:defRPr sz="1600" kern="1200">
                  <a:solidFill>
                    <a:schemeClr val="lt1"/>
                  </a:solidFill>
                  <a:latin typeface="+mn-lt"/>
                  <a:ea typeface="+mn-ea"/>
                  <a:cs typeface="+mn-cs"/>
                </a:defRPr>
              </a:lvl1pPr>
              <a:lvl2pPr marL="457200" algn="l" rtl="0" fontAlgn="base">
                <a:spcBef>
                  <a:spcPct val="0"/>
                </a:spcBef>
                <a:spcAft>
                  <a:spcPct val="0"/>
                </a:spcAft>
                <a:defRPr sz="1600" kern="1200">
                  <a:solidFill>
                    <a:schemeClr val="lt1"/>
                  </a:solidFill>
                  <a:latin typeface="+mn-lt"/>
                  <a:ea typeface="+mn-ea"/>
                  <a:cs typeface="+mn-cs"/>
                </a:defRPr>
              </a:lvl2pPr>
              <a:lvl3pPr marL="914400" algn="l" rtl="0" fontAlgn="base">
                <a:spcBef>
                  <a:spcPct val="0"/>
                </a:spcBef>
                <a:spcAft>
                  <a:spcPct val="0"/>
                </a:spcAft>
                <a:defRPr sz="1600" kern="1200">
                  <a:solidFill>
                    <a:schemeClr val="lt1"/>
                  </a:solidFill>
                  <a:latin typeface="+mn-lt"/>
                  <a:ea typeface="+mn-ea"/>
                  <a:cs typeface="+mn-cs"/>
                </a:defRPr>
              </a:lvl3pPr>
              <a:lvl4pPr marL="1371600" algn="l" rtl="0" fontAlgn="base">
                <a:spcBef>
                  <a:spcPct val="0"/>
                </a:spcBef>
                <a:spcAft>
                  <a:spcPct val="0"/>
                </a:spcAft>
                <a:defRPr sz="1600" kern="1200">
                  <a:solidFill>
                    <a:schemeClr val="lt1"/>
                  </a:solidFill>
                  <a:latin typeface="+mn-lt"/>
                  <a:ea typeface="+mn-ea"/>
                  <a:cs typeface="+mn-cs"/>
                </a:defRPr>
              </a:lvl4pPr>
              <a:lvl5pPr marL="1828800" algn="l" rtl="0" fontAlgn="base">
                <a:spcBef>
                  <a:spcPct val="0"/>
                </a:spcBef>
                <a:spcAft>
                  <a:spcPct val="0"/>
                </a:spcAft>
                <a:defRPr sz="1600" kern="1200">
                  <a:solidFill>
                    <a:schemeClr val="lt1"/>
                  </a:solidFill>
                  <a:latin typeface="+mn-lt"/>
                  <a:ea typeface="+mn-ea"/>
                  <a:cs typeface="+mn-cs"/>
                </a:defRPr>
              </a:lvl5pPr>
              <a:lvl6pPr marL="2286000" algn="l" defTabSz="914400" rtl="0" eaLnBrk="1" latinLnBrk="0" hangingPunct="1">
                <a:defRPr sz="1600" kern="1200">
                  <a:solidFill>
                    <a:schemeClr val="lt1"/>
                  </a:solidFill>
                  <a:latin typeface="+mn-lt"/>
                  <a:ea typeface="+mn-ea"/>
                  <a:cs typeface="+mn-cs"/>
                </a:defRPr>
              </a:lvl6pPr>
              <a:lvl7pPr marL="2743200" algn="l" defTabSz="914400" rtl="0" eaLnBrk="1" latinLnBrk="0" hangingPunct="1">
                <a:defRPr sz="1600" kern="1200">
                  <a:solidFill>
                    <a:schemeClr val="lt1"/>
                  </a:solidFill>
                  <a:latin typeface="+mn-lt"/>
                  <a:ea typeface="+mn-ea"/>
                  <a:cs typeface="+mn-cs"/>
                </a:defRPr>
              </a:lvl7pPr>
              <a:lvl8pPr marL="3200400" algn="l" defTabSz="914400" rtl="0" eaLnBrk="1" latinLnBrk="0" hangingPunct="1">
                <a:defRPr sz="1600" kern="1200">
                  <a:solidFill>
                    <a:schemeClr val="lt1"/>
                  </a:solidFill>
                  <a:latin typeface="+mn-lt"/>
                  <a:ea typeface="+mn-ea"/>
                  <a:cs typeface="+mn-cs"/>
                </a:defRPr>
              </a:lvl8pPr>
              <a:lvl9pPr marL="3657600" algn="l" defTabSz="914400" rtl="0" eaLnBrk="1" latinLnBrk="0" hangingPunct="1">
                <a:defRPr sz="1600" kern="1200">
                  <a:solidFill>
                    <a:schemeClr val="lt1"/>
                  </a:solidFill>
                  <a:latin typeface="+mn-lt"/>
                  <a:ea typeface="+mn-ea"/>
                  <a:cs typeface="+mn-cs"/>
                </a:defRPr>
              </a:lvl9pPr>
            </a:lstStyle>
            <a:p>
              <a:pPr algn="ctr"/>
              <a:endParaRPr lang="nl-NL"/>
            </a:p>
          </xdr:txBody>
        </xdr:sp>
        <xdr:cxnSp macro="">
          <xdr:nvCxnSpPr>
            <xdr:cNvPr id="35" name="Rechte verbindingslijn 34"/>
            <xdr:cNvCxnSpPr/>
          </xdr:nvCxnSpPr>
          <xdr:spPr>
            <a:xfrm>
              <a:off x="2048854" y="1411660"/>
              <a:ext cx="0" cy="369374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36" name="Rechte verbindingslijn 35"/>
            <xdr:cNvCxnSpPr/>
          </xdr:nvCxnSpPr>
          <xdr:spPr>
            <a:xfrm>
              <a:off x="3744304" y="1411660"/>
              <a:ext cx="0" cy="369374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37" name="Rechte verbindingslijn 36"/>
            <xdr:cNvCxnSpPr/>
          </xdr:nvCxnSpPr>
          <xdr:spPr>
            <a:xfrm>
              <a:off x="5449279" y="1404994"/>
              <a:ext cx="0" cy="369374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38" name="Rechte verbindingslijn 37"/>
            <xdr:cNvCxnSpPr/>
          </xdr:nvCxnSpPr>
          <xdr:spPr>
            <a:xfrm>
              <a:off x="7125679" y="1411660"/>
              <a:ext cx="0" cy="369374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39" name="Rechte verbindingslijn 38"/>
            <xdr:cNvCxnSpPr/>
          </xdr:nvCxnSpPr>
          <xdr:spPr>
            <a:xfrm>
              <a:off x="2048854" y="3258530"/>
              <a:ext cx="1695450" cy="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40" name="Rechte verbindingslijn 39"/>
            <xdr:cNvCxnSpPr/>
          </xdr:nvCxnSpPr>
          <xdr:spPr>
            <a:xfrm>
              <a:off x="5450111" y="3258530"/>
              <a:ext cx="1675568" cy="98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41" name="Rechte verbindingslijn 40"/>
            <xdr:cNvCxnSpPr/>
          </xdr:nvCxnSpPr>
          <xdr:spPr>
            <a:xfrm>
              <a:off x="323850" y="5098734"/>
              <a:ext cx="8515350" cy="6666"/>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42" name="Rechte verbindingslijn 41"/>
            <xdr:cNvCxnSpPr>
              <a:stCxn id="34" idx="2"/>
            </xdr:cNvCxnSpPr>
          </xdr:nvCxnSpPr>
          <xdr:spPr>
            <a:xfrm flipV="1">
              <a:off x="4581525" y="5105401"/>
              <a:ext cx="0" cy="1340882"/>
            </a:xfrm>
            <a:prstGeom prst="line">
              <a:avLst/>
            </a:prstGeom>
            <a:ln w="19050"/>
          </xdr:spPr>
          <xdr:style>
            <a:lnRef idx="1">
              <a:schemeClr val="accent1"/>
            </a:lnRef>
            <a:fillRef idx="0">
              <a:schemeClr val="accent1"/>
            </a:fillRef>
            <a:effectRef idx="0">
              <a:schemeClr val="accent1"/>
            </a:effectRef>
            <a:fontRef idx="minor">
              <a:schemeClr val="tx1"/>
            </a:fontRef>
          </xdr:style>
        </xdr:cxnSp>
      </xdr:grpSp>
      <xdr:sp macro="" textlink="">
        <xdr:nvSpPr>
          <xdr:cNvPr id="25" name="Tekstvak 15"/>
          <xdr:cNvSpPr txBox="1"/>
        </xdr:nvSpPr>
        <xdr:spPr>
          <a:xfrm>
            <a:off x="3987209" y="5105400"/>
            <a:ext cx="184731" cy="338554"/>
          </a:xfrm>
          <a:prstGeom prst="rect">
            <a:avLst/>
          </a:prstGeom>
          <a:noFill/>
        </xdr:spPr>
        <xdr:txBody>
          <a:bodyPr wrap="square" rtlCol="0">
            <a:sp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endParaRPr lang="nl-NL"/>
          </a:p>
        </xdr:txBody>
      </xdr:sp>
      <xdr:sp macro="" textlink="">
        <xdr:nvSpPr>
          <xdr:cNvPr id="26" name="Tekstvak 16"/>
          <xdr:cNvSpPr txBox="1"/>
        </xdr:nvSpPr>
        <xdr:spPr>
          <a:xfrm>
            <a:off x="316439" y="1419978"/>
            <a:ext cx="1728186" cy="241601"/>
          </a:xfrm>
          <a:prstGeom prst="rect">
            <a:avLst/>
          </a:prstGeom>
          <a:solidFill>
            <a:schemeClr val="tx1"/>
          </a:solidFill>
        </xdr:spPr>
        <xdr:txBody>
          <a:bodyPr wrap="square"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600" kern="1200">
                <a:solidFill>
                  <a:schemeClr val="bg1"/>
                </a:solidFill>
                <a:latin typeface="Verdana" pitchFamily="34" charset="0"/>
                <a:ea typeface="+mn-ea"/>
                <a:cs typeface="+mn-cs"/>
              </a:rPr>
              <a:t>Partners</a:t>
            </a:r>
          </a:p>
        </xdr:txBody>
      </xdr:sp>
      <xdr:sp macro="" textlink="">
        <xdr:nvSpPr>
          <xdr:cNvPr id="27" name="Tekstvak 17"/>
          <xdr:cNvSpPr txBox="1"/>
        </xdr:nvSpPr>
        <xdr:spPr>
          <a:xfrm>
            <a:off x="316470" y="4961826"/>
            <a:ext cx="4262708" cy="339342"/>
          </a:xfrm>
          <a:prstGeom prst="rect">
            <a:avLst/>
          </a:prstGeom>
          <a:solidFill>
            <a:schemeClr val="tx1"/>
          </a:solidFill>
        </xdr:spPr>
        <xdr:txBody>
          <a:bodyPr wrap="square"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600" kern="1200">
                <a:solidFill>
                  <a:schemeClr val="bg1"/>
                </a:solidFill>
                <a:latin typeface="Verdana" pitchFamily="34" charset="0"/>
                <a:ea typeface="+mn-ea"/>
                <a:cs typeface="+mn-cs"/>
              </a:rPr>
              <a:t>Cost structure</a:t>
            </a:r>
          </a:p>
        </xdr:txBody>
      </xdr:sp>
      <xdr:sp macro="" textlink="">
        <xdr:nvSpPr>
          <xdr:cNvPr id="28" name="Tekstvak 19"/>
          <xdr:cNvSpPr txBox="1"/>
        </xdr:nvSpPr>
        <xdr:spPr>
          <a:xfrm>
            <a:off x="2052011" y="1419979"/>
            <a:ext cx="1683170" cy="239875"/>
          </a:xfrm>
          <a:prstGeom prst="rect">
            <a:avLst/>
          </a:prstGeom>
          <a:solidFill>
            <a:schemeClr val="tx1"/>
          </a:solidFill>
        </xdr:spPr>
        <xdr:txBody>
          <a:bodyPr wrap="square"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600" kern="1200">
                <a:solidFill>
                  <a:schemeClr val="bg1"/>
                </a:solidFill>
                <a:latin typeface="Verdana" pitchFamily="34" charset="0"/>
                <a:ea typeface="+mn-ea"/>
                <a:cs typeface="+mn-cs"/>
              </a:rPr>
              <a:t>Activities</a:t>
            </a:r>
          </a:p>
        </xdr:txBody>
      </xdr:sp>
      <xdr:sp macro="" textlink="">
        <xdr:nvSpPr>
          <xdr:cNvPr id="29" name="Tekstvak 20"/>
          <xdr:cNvSpPr txBox="1"/>
        </xdr:nvSpPr>
        <xdr:spPr>
          <a:xfrm>
            <a:off x="2051113" y="3265789"/>
            <a:ext cx="1687029" cy="208787"/>
          </a:xfrm>
          <a:prstGeom prst="rect">
            <a:avLst/>
          </a:prstGeom>
          <a:solidFill>
            <a:schemeClr val="tx1"/>
          </a:solidFill>
        </xdr:spPr>
        <xdr:txBody>
          <a:bodyPr wrap="square" tIns="0" bIns="0"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600" kern="1200">
                <a:solidFill>
                  <a:schemeClr val="bg1"/>
                </a:solidFill>
                <a:latin typeface="Verdana" pitchFamily="34" charset="0"/>
                <a:ea typeface="+mn-ea"/>
                <a:cs typeface="+mn-cs"/>
              </a:rPr>
              <a:t>Resources</a:t>
            </a:r>
          </a:p>
        </xdr:txBody>
      </xdr:sp>
      <xdr:sp macro="" textlink="">
        <xdr:nvSpPr>
          <xdr:cNvPr id="30" name="Tekstvak 21"/>
          <xdr:cNvSpPr txBox="1"/>
        </xdr:nvSpPr>
        <xdr:spPr>
          <a:xfrm>
            <a:off x="3750486" y="1419051"/>
            <a:ext cx="1694073" cy="240731"/>
          </a:xfrm>
          <a:prstGeom prst="rect">
            <a:avLst/>
          </a:prstGeom>
          <a:solidFill>
            <a:schemeClr val="tx1"/>
          </a:solidFill>
        </xdr:spPr>
        <xdr:txBody>
          <a:bodyPr wrap="square"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600" kern="1200">
                <a:solidFill>
                  <a:schemeClr val="bg1"/>
                </a:solidFill>
                <a:latin typeface="Verdana" pitchFamily="34" charset="0"/>
                <a:ea typeface="+mn-ea"/>
                <a:cs typeface="+mn-cs"/>
              </a:rPr>
              <a:t>Value proposition</a:t>
            </a:r>
          </a:p>
        </xdr:txBody>
      </xdr:sp>
      <xdr:sp macro="" textlink="">
        <xdr:nvSpPr>
          <xdr:cNvPr id="31" name="Tekstvak 22"/>
          <xdr:cNvSpPr txBox="1"/>
        </xdr:nvSpPr>
        <xdr:spPr>
          <a:xfrm>
            <a:off x="5463267" y="1418580"/>
            <a:ext cx="1676484" cy="241203"/>
          </a:xfrm>
          <a:prstGeom prst="rect">
            <a:avLst/>
          </a:prstGeom>
          <a:solidFill>
            <a:schemeClr val="tx1"/>
          </a:solidFill>
        </xdr:spPr>
        <xdr:txBody>
          <a:bodyPr wrap="square"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600" kern="1200">
                <a:solidFill>
                  <a:schemeClr val="bg1"/>
                </a:solidFill>
                <a:latin typeface="Verdana" pitchFamily="34" charset="0"/>
                <a:ea typeface="+mn-ea"/>
                <a:cs typeface="+mn-cs"/>
              </a:rPr>
              <a:t> Relationships</a:t>
            </a:r>
          </a:p>
        </xdr:txBody>
      </xdr:sp>
      <xdr:sp macro="" textlink="">
        <xdr:nvSpPr>
          <xdr:cNvPr id="32" name="Tekstvak 24"/>
          <xdr:cNvSpPr txBox="1"/>
        </xdr:nvSpPr>
        <xdr:spPr>
          <a:xfrm>
            <a:off x="7134959" y="1414430"/>
            <a:ext cx="1698673" cy="225172"/>
          </a:xfrm>
          <a:prstGeom prst="rect">
            <a:avLst/>
          </a:prstGeom>
          <a:solidFill>
            <a:schemeClr val="tx1"/>
          </a:solidFill>
        </xdr:spPr>
        <xdr:txBody>
          <a:bodyPr wrap="square"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400" kern="1200">
                <a:solidFill>
                  <a:schemeClr val="bg1"/>
                </a:solidFill>
                <a:latin typeface="Verdana" pitchFamily="34" charset="0"/>
                <a:ea typeface="+mn-ea"/>
                <a:cs typeface="+mn-cs"/>
              </a:rPr>
              <a:t>Customer segments</a:t>
            </a:r>
          </a:p>
        </xdr:txBody>
      </xdr:sp>
      <xdr:sp macro="" textlink="">
        <xdr:nvSpPr>
          <xdr:cNvPr id="33" name="Tekstvak 23"/>
          <xdr:cNvSpPr txBox="1"/>
        </xdr:nvSpPr>
        <xdr:spPr>
          <a:xfrm>
            <a:off x="5457481" y="3268029"/>
            <a:ext cx="1665418" cy="231684"/>
          </a:xfrm>
          <a:prstGeom prst="rect">
            <a:avLst/>
          </a:prstGeom>
          <a:solidFill>
            <a:schemeClr val="tx1"/>
          </a:solidFill>
        </xdr:spPr>
        <xdr:txBody>
          <a:bodyPr wrap="square" tIns="0" bIns="0"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r>
              <a:rPr lang="nl-NL" sz="1400">
                <a:solidFill>
                  <a:schemeClr val="bg1"/>
                </a:solidFill>
              </a:rPr>
              <a:t>Channels</a:t>
            </a:r>
          </a:p>
        </xdr:txBody>
      </xdr:sp>
    </xdr:grpSp>
    <xdr:clientData/>
  </xdr:twoCellAnchor>
  <xdr:twoCellAnchor>
    <xdr:from>
      <xdr:col>6</xdr:col>
      <xdr:colOff>1025528</xdr:colOff>
      <xdr:row>23</xdr:row>
      <xdr:rowOff>0</xdr:rowOff>
    </xdr:from>
    <xdr:to>
      <xdr:col>14</xdr:col>
      <xdr:colOff>885889</xdr:colOff>
      <xdr:row>25</xdr:row>
      <xdr:rowOff>4760</xdr:rowOff>
    </xdr:to>
    <xdr:sp macro="" textlink="">
      <xdr:nvSpPr>
        <xdr:cNvPr id="43" name="Tekstvak 17"/>
        <xdr:cNvSpPr txBox="1"/>
      </xdr:nvSpPr>
      <xdr:spPr>
        <a:xfrm>
          <a:off x="5302253" y="10753725"/>
          <a:ext cx="5299136" cy="385760"/>
        </a:xfrm>
        <a:prstGeom prst="rect">
          <a:avLst/>
        </a:prstGeom>
        <a:solidFill>
          <a:schemeClr val="tx1"/>
        </a:solidFill>
      </xdr:spPr>
      <xdr:txBody>
        <a:bodyPr wrap="square"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600" kern="1200">
              <a:solidFill>
                <a:schemeClr val="bg1"/>
              </a:solidFill>
              <a:latin typeface="Verdana" pitchFamily="34" charset="0"/>
              <a:ea typeface="+mn-ea"/>
              <a:cs typeface="+mn-cs"/>
            </a:rPr>
            <a:t>Revenue streams</a:t>
          </a:r>
        </a:p>
      </xdr:txBody>
    </xdr:sp>
    <xdr:clientData/>
  </xdr:twoCellAnchor>
  <xdr:twoCellAnchor>
    <xdr:from>
      <xdr:col>0</xdr:col>
      <xdr:colOff>190500</xdr:colOff>
      <xdr:row>0</xdr:row>
      <xdr:rowOff>76200</xdr:rowOff>
    </xdr:from>
    <xdr:to>
      <xdr:col>2</xdr:col>
      <xdr:colOff>895350</xdr:colOff>
      <xdr:row>0</xdr:row>
      <xdr:rowOff>542925</xdr:rowOff>
    </xdr:to>
    <xdr:sp macro="" textlink="">
      <xdr:nvSpPr>
        <xdr:cNvPr id="44" name="Afgeronde rechthoek 43">
          <a:hlinkClick xmlns:r="http://schemas.openxmlformats.org/officeDocument/2006/relationships" r:id="rId1"/>
        </xdr:cNvPr>
        <xdr:cNvSpPr/>
      </xdr:nvSpPr>
      <xdr:spPr>
        <a:xfrm>
          <a:off x="190500" y="76200"/>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Menu</a:t>
          </a:r>
        </a:p>
      </xdr:txBody>
    </xdr:sp>
    <xdr:clientData/>
  </xdr:twoCellAnchor>
  <xdr:twoCellAnchor>
    <xdr:from>
      <xdr:col>3</xdr:col>
      <xdr:colOff>133350</xdr:colOff>
      <xdr:row>0</xdr:row>
      <xdr:rowOff>76200</xdr:rowOff>
    </xdr:from>
    <xdr:to>
      <xdr:col>5</xdr:col>
      <xdr:colOff>838200</xdr:colOff>
      <xdr:row>0</xdr:row>
      <xdr:rowOff>542925</xdr:rowOff>
    </xdr:to>
    <xdr:sp macro="" textlink="">
      <xdr:nvSpPr>
        <xdr:cNvPr id="45" name="Afgeronde rechthoek 44">
          <a:hlinkClick xmlns:r="http://schemas.openxmlformats.org/officeDocument/2006/relationships" r:id="rId2"/>
        </xdr:cNvPr>
        <xdr:cNvSpPr/>
      </xdr:nvSpPr>
      <xdr:spPr>
        <a:xfrm>
          <a:off x="2295525" y="76200"/>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Data Entry</a:t>
          </a:r>
        </a:p>
      </xdr:txBody>
    </xdr:sp>
    <xdr:clientData/>
  </xdr:twoCellAnchor>
  <xdr:twoCellAnchor>
    <xdr:from>
      <xdr:col>9</xdr:col>
      <xdr:colOff>161925</xdr:colOff>
      <xdr:row>0</xdr:row>
      <xdr:rowOff>76200</xdr:rowOff>
    </xdr:from>
    <xdr:to>
      <xdr:col>11</xdr:col>
      <xdr:colOff>866775</xdr:colOff>
      <xdr:row>0</xdr:row>
      <xdr:rowOff>542925</xdr:rowOff>
    </xdr:to>
    <xdr:sp macro="" textlink="">
      <xdr:nvSpPr>
        <xdr:cNvPr id="46" name="Afgeronde rechthoek 45">
          <a:hlinkClick xmlns:r="http://schemas.openxmlformats.org/officeDocument/2006/relationships" r:id="rId3"/>
        </xdr:cNvPr>
        <xdr:cNvSpPr/>
      </xdr:nvSpPr>
      <xdr:spPr>
        <a:xfrm>
          <a:off x="6562725" y="76200"/>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Graph</a:t>
          </a:r>
        </a:p>
      </xdr:txBody>
    </xdr:sp>
    <xdr:clientData/>
  </xdr:twoCellAnchor>
  <xdr:twoCellAnchor>
    <xdr:from>
      <xdr:col>6</xdr:col>
      <xdr:colOff>152400</xdr:colOff>
      <xdr:row>0</xdr:row>
      <xdr:rowOff>76200</xdr:rowOff>
    </xdr:from>
    <xdr:to>
      <xdr:col>8</xdr:col>
      <xdr:colOff>438150</xdr:colOff>
      <xdr:row>0</xdr:row>
      <xdr:rowOff>542925</xdr:rowOff>
    </xdr:to>
    <xdr:sp macro="" textlink="">
      <xdr:nvSpPr>
        <xdr:cNvPr id="47" name="Afgeronde rechthoek 46">
          <a:hlinkClick xmlns:r="http://schemas.openxmlformats.org/officeDocument/2006/relationships" r:id="rId4"/>
        </xdr:cNvPr>
        <xdr:cNvSpPr/>
      </xdr:nvSpPr>
      <xdr:spPr>
        <a:xfrm>
          <a:off x="4429125" y="76200"/>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Canvas Detail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231322</xdr:rowOff>
    </xdr:from>
    <xdr:to>
      <xdr:col>10</xdr:col>
      <xdr:colOff>790575</xdr:colOff>
      <xdr:row>40</xdr:row>
      <xdr:rowOff>25979</xdr:rowOff>
    </xdr:to>
    <xdr:grpSp>
      <xdr:nvGrpSpPr>
        <xdr:cNvPr id="2" name="Groep 1"/>
        <xdr:cNvGrpSpPr/>
      </xdr:nvGrpSpPr>
      <xdr:grpSpPr>
        <a:xfrm>
          <a:off x="171450" y="983797"/>
          <a:ext cx="12201525" cy="7357507"/>
          <a:chOff x="316439" y="1383052"/>
          <a:chExt cx="8522761" cy="5063231"/>
        </a:xfrm>
      </xdr:grpSpPr>
      <xdr:grpSp>
        <xdr:nvGrpSpPr>
          <xdr:cNvPr id="3" name="Groep 2"/>
          <xdr:cNvGrpSpPr/>
        </xdr:nvGrpSpPr>
        <xdr:grpSpPr>
          <a:xfrm>
            <a:off x="323850" y="1404994"/>
            <a:ext cx="8515350" cy="5041289"/>
            <a:chOff x="323850" y="1404994"/>
            <a:chExt cx="8515350" cy="5041289"/>
          </a:xfrm>
        </xdr:grpSpPr>
        <xdr:sp macro="" textlink="">
          <xdr:nvSpPr>
            <xdr:cNvPr id="14" name="Rechthoek 13"/>
            <xdr:cNvSpPr/>
          </xdr:nvSpPr>
          <xdr:spPr>
            <a:xfrm>
              <a:off x="323850" y="1411660"/>
              <a:ext cx="8515350" cy="5034623"/>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GB"/>
              </a:defPPr>
              <a:lvl1pPr algn="l" rtl="0" fontAlgn="base">
                <a:spcBef>
                  <a:spcPct val="0"/>
                </a:spcBef>
                <a:spcAft>
                  <a:spcPct val="0"/>
                </a:spcAft>
                <a:defRPr sz="1600" kern="1200">
                  <a:solidFill>
                    <a:schemeClr val="lt1"/>
                  </a:solidFill>
                  <a:latin typeface="+mn-lt"/>
                  <a:ea typeface="+mn-ea"/>
                  <a:cs typeface="+mn-cs"/>
                </a:defRPr>
              </a:lvl1pPr>
              <a:lvl2pPr marL="457200" algn="l" rtl="0" fontAlgn="base">
                <a:spcBef>
                  <a:spcPct val="0"/>
                </a:spcBef>
                <a:spcAft>
                  <a:spcPct val="0"/>
                </a:spcAft>
                <a:defRPr sz="1600" kern="1200">
                  <a:solidFill>
                    <a:schemeClr val="lt1"/>
                  </a:solidFill>
                  <a:latin typeface="+mn-lt"/>
                  <a:ea typeface="+mn-ea"/>
                  <a:cs typeface="+mn-cs"/>
                </a:defRPr>
              </a:lvl2pPr>
              <a:lvl3pPr marL="914400" algn="l" rtl="0" fontAlgn="base">
                <a:spcBef>
                  <a:spcPct val="0"/>
                </a:spcBef>
                <a:spcAft>
                  <a:spcPct val="0"/>
                </a:spcAft>
                <a:defRPr sz="1600" kern="1200">
                  <a:solidFill>
                    <a:schemeClr val="lt1"/>
                  </a:solidFill>
                  <a:latin typeface="+mn-lt"/>
                  <a:ea typeface="+mn-ea"/>
                  <a:cs typeface="+mn-cs"/>
                </a:defRPr>
              </a:lvl3pPr>
              <a:lvl4pPr marL="1371600" algn="l" rtl="0" fontAlgn="base">
                <a:spcBef>
                  <a:spcPct val="0"/>
                </a:spcBef>
                <a:spcAft>
                  <a:spcPct val="0"/>
                </a:spcAft>
                <a:defRPr sz="1600" kern="1200">
                  <a:solidFill>
                    <a:schemeClr val="lt1"/>
                  </a:solidFill>
                  <a:latin typeface="+mn-lt"/>
                  <a:ea typeface="+mn-ea"/>
                  <a:cs typeface="+mn-cs"/>
                </a:defRPr>
              </a:lvl4pPr>
              <a:lvl5pPr marL="1828800" algn="l" rtl="0" fontAlgn="base">
                <a:spcBef>
                  <a:spcPct val="0"/>
                </a:spcBef>
                <a:spcAft>
                  <a:spcPct val="0"/>
                </a:spcAft>
                <a:defRPr sz="1600" kern="1200">
                  <a:solidFill>
                    <a:schemeClr val="lt1"/>
                  </a:solidFill>
                  <a:latin typeface="+mn-lt"/>
                  <a:ea typeface="+mn-ea"/>
                  <a:cs typeface="+mn-cs"/>
                </a:defRPr>
              </a:lvl5pPr>
              <a:lvl6pPr marL="2286000" algn="l" defTabSz="914400" rtl="0" eaLnBrk="1" latinLnBrk="0" hangingPunct="1">
                <a:defRPr sz="1600" kern="1200">
                  <a:solidFill>
                    <a:schemeClr val="lt1"/>
                  </a:solidFill>
                  <a:latin typeface="+mn-lt"/>
                  <a:ea typeface="+mn-ea"/>
                  <a:cs typeface="+mn-cs"/>
                </a:defRPr>
              </a:lvl6pPr>
              <a:lvl7pPr marL="2743200" algn="l" defTabSz="914400" rtl="0" eaLnBrk="1" latinLnBrk="0" hangingPunct="1">
                <a:defRPr sz="1600" kern="1200">
                  <a:solidFill>
                    <a:schemeClr val="lt1"/>
                  </a:solidFill>
                  <a:latin typeface="+mn-lt"/>
                  <a:ea typeface="+mn-ea"/>
                  <a:cs typeface="+mn-cs"/>
                </a:defRPr>
              </a:lvl7pPr>
              <a:lvl8pPr marL="3200400" algn="l" defTabSz="914400" rtl="0" eaLnBrk="1" latinLnBrk="0" hangingPunct="1">
                <a:defRPr sz="1600" kern="1200">
                  <a:solidFill>
                    <a:schemeClr val="lt1"/>
                  </a:solidFill>
                  <a:latin typeface="+mn-lt"/>
                  <a:ea typeface="+mn-ea"/>
                  <a:cs typeface="+mn-cs"/>
                </a:defRPr>
              </a:lvl8pPr>
              <a:lvl9pPr marL="3657600" algn="l" defTabSz="914400" rtl="0" eaLnBrk="1" latinLnBrk="0" hangingPunct="1">
                <a:defRPr sz="1600" kern="1200">
                  <a:solidFill>
                    <a:schemeClr val="lt1"/>
                  </a:solidFill>
                  <a:latin typeface="+mn-lt"/>
                  <a:ea typeface="+mn-ea"/>
                  <a:cs typeface="+mn-cs"/>
                </a:defRPr>
              </a:lvl9pPr>
            </a:lstStyle>
            <a:p>
              <a:pPr algn="ctr"/>
              <a:endParaRPr lang="nl-NL"/>
            </a:p>
          </xdr:txBody>
        </xdr:sp>
        <xdr:cxnSp macro="">
          <xdr:nvCxnSpPr>
            <xdr:cNvPr id="15" name="Rechte verbindingslijn 14"/>
            <xdr:cNvCxnSpPr/>
          </xdr:nvCxnSpPr>
          <xdr:spPr>
            <a:xfrm>
              <a:off x="2048854" y="1411660"/>
              <a:ext cx="0" cy="369374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16" name="Rechte verbindingslijn 15"/>
            <xdr:cNvCxnSpPr/>
          </xdr:nvCxnSpPr>
          <xdr:spPr>
            <a:xfrm>
              <a:off x="3744304" y="1411660"/>
              <a:ext cx="0" cy="369374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17" name="Rechte verbindingslijn 16"/>
            <xdr:cNvCxnSpPr/>
          </xdr:nvCxnSpPr>
          <xdr:spPr>
            <a:xfrm>
              <a:off x="5449279" y="1404994"/>
              <a:ext cx="0" cy="369374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18" name="Rechte verbindingslijn 17"/>
            <xdr:cNvCxnSpPr/>
          </xdr:nvCxnSpPr>
          <xdr:spPr>
            <a:xfrm>
              <a:off x="7125679" y="1411660"/>
              <a:ext cx="0" cy="369374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19" name="Rechte verbindingslijn 18"/>
            <xdr:cNvCxnSpPr/>
          </xdr:nvCxnSpPr>
          <xdr:spPr>
            <a:xfrm>
              <a:off x="2048854" y="3258530"/>
              <a:ext cx="1695450" cy="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20" name="Rechte verbindingslijn 19"/>
            <xdr:cNvCxnSpPr/>
          </xdr:nvCxnSpPr>
          <xdr:spPr>
            <a:xfrm>
              <a:off x="5450111" y="3258530"/>
              <a:ext cx="1675568" cy="980"/>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21" name="Rechte verbindingslijn 20"/>
            <xdr:cNvCxnSpPr/>
          </xdr:nvCxnSpPr>
          <xdr:spPr>
            <a:xfrm>
              <a:off x="323850" y="5098734"/>
              <a:ext cx="8515350" cy="6666"/>
            </a:xfrm>
            <a:prstGeom prst="line">
              <a:avLst/>
            </a:prstGeom>
            <a:ln w="19050"/>
          </xdr:spPr>
          <xdr:style>
            <a:lnRef idx="1">
              <a:schemeClr val="accent1"/>
            </a:lnRef>
            <a:fillRef idx="0">
              <a:schemeClr val="accent1"/>
            </a:fillRef>
            <a:effectRef idx="0">
              <a:schemeClr val="accent1"/>
            </a:effectRef>
            <a:fontRef idx="minor">
              <a:schemeClr val="tx1"/>
            </a:fontRef>
          </xdr:style>
        </xdr:cxnSp>
        <xdr:cxnSp macro="">
          <xdr:nvCxnSpPr>
            <xdr:cNvPr id="22" name="Rechte verbindingslijn 21"/>
            <xdr:cNvCxnSpPr>
              <a:stCxn id="14" idx="2"/>
            </xdr:cNvCxnSpPr>
          </xdr:nvCxnSpPr>
          <xdr:spPr>
            <a:xfrm flipV="1">
              <a:off x="4581525" y="5105401"/>
              <a:ext cx="0" cy="1340882"/>
            </a:xfrm>
            <a:prstGeom prst="line">
              <a:avLst/>
            </a:prstGeom>
            <a:ln w="19050"/>
          </xdr:spPr>
          <xdr:style>
            <a:lnRef idx="1">
              <a:schemeClr val="accent1"/>
            </a:lnRef>
            <a:fillRef idx="0">
              <a:schemeClr val="accent1"/>
            </a:fillRef>
            <a:effectRef idx="0">
              <a:schemeClr val="accent1"/>
            </a:effectRef>
            <a:fontRef idx="minor">
              <a:schemeClr val="tx1"/>
            </a:fontRef>
          </xdr:style>
        </xdr:cxnSp>
      </xdr:grpSp>
      <xdr:sp macro="" textlink="">
        <xdr:nvSpPr>
          <xdr:cNvPr id="4" name="Tekstvak 15"/>
          <xdr:cNvSpPr txBox="1"/>
        </xdr:nvSpPr>
        <xdr:spPr>
          <a:xfrm>
            <a:off x="3987209" y="5105400"/>
            <a:ext cx="184731" cy="338554"/>
          </a:xfrm>
          <a:prstGeom prst="rect">
            <a:avLst/>
          </a:prstGeom>
          <a:noFill/>
        </xdr:spPr>
        <xdr:txBody>
          <a:bodyPr wrap="square" rtlCol="0">
            <a:sp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endParaRPr lang="nl-NL"/>
          </a:p>
        </xdr:txBody>
      </xdr:sp>
      <xdr:sp macro="" textlink="">
        <xdr:nvSpPr>
          <xdr:cNvPr id="5" name="Tekstvak 16"/>
          <xdr:cNvSpPr txBox="1"/>
        </xdr:nvSpPr>
        <xdr:spPr>
          <a:xfrm>
            <a:off x="316439" y="1389082"/>
            <a:ext cx="1728186" cy="272497"/>
          </a:xfrm>
          <a:prstGeom prst="rect">
            <a:avLst/>
          </a:prstGeom>
          <a:solidFill>
            <a:schemeClr val="tx1"/>
          </a:solidFill>
        </xdr:spPr>
        <xdr:txBody>
          <a:bodyPr wrap="square"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600" kern="1200">
                <a:solidFill>
                  <a:schemeClr val="bg1"/>
                </a:solidFill>
                <a:latin typeface="Verdana" pitchFamily="34" charset="0"/>
                <a:ea typeface="+mn-ea"/>
                <a:cs typeface="+mn-cs"/>
              </a:rPr>
              <a:t>Partners</a:t>
            </a:r>
          </a:p>
        </xdr:txBody>
      </xdr:sp>
      <xdr:sp macro="" textlink="">
        <xdr:nvSpPr>
          <xdr:cNvPr id="6" name="Tekstvak 17"/>
          <xdr:cNvSpPr txBox="1"/>
        </xdr:nvSpPr>
        <xdr:spPr>
          <a:xfrm>
            <a:off x="316470" y="4947011"/>
            <a:ext cx="4262708" cy="288412"/>
          </a:xfrm>
          <a:prstGeom prst="rect">
            <a:avLst/>
          </a:prstGeom>
          <a:solidFill>
            <a:schemeClr val="tx1"/>
          </a:solidFill>
        </xdr:spPr>
        <xdr:txBody>
          <a:bodyPr wrap="square"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600" kern="1200">
                <a:solidFill>
                  <a:schemeClr val="bg1"/>
                </a:solidFill>
                <a:latin typeface="Verdana" pitchFamily="34" charset="0"/>
                <a:ea typeface="+mn-ea"/>
                <a:cs typeface="+mn-cs"/>
              </a:rPr>
              <a:t>Cost structure</a:t>
            </a:r>
          </a:p>
        </xdr:txBody>
      </xdr:sp>
      <xdr:sp macro="" textlink="">
        <xdr:nvSpPr>
          <xdr:cNvPr id="7" name="Tekstvak 18"/>
          <xdr:cNvSpPr txBox="1"/>
        </xdr:nvSpPr>
        <xdr:spPr>
          <a:xfrm>
            <a:off x="4579179" y="4947011"/>
            <a:ext cx="4239633" cy="288412"/>
          </a:xfrm>
          <a:prstGeom prst="rect">
            <a:avLst/>
          </a:prstGeom>
          <a:solidFill>
            <a:schemeClr val="tx1"/>
          </a:solidFill>
        </xdr:spPr>
        <xdr:txBody>
          <a:bodyPr wrap="square"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600" kern="1200">
                <a:solidFill>
                  <a:schemeClr val="bg1"/>
                </a:solidFill>
                <a:latin typeface="Verdana" pitchFamily="34" charset="0"/>
                <a:ea typeface="+mn-ea"/>
                <a:cs typeface="+mn-cs"/>
              </a:rPr>
              <a:t>Revenue streams</a:t>
            </a:r>
          </a:p>
        </xdr:txBody>
      </xdr:sp>
      <xdr:sp macro="" textlink="">
        <xdr:nvSpPr>
          <xdr:cNvPr id="8" name="Tekstvak 19"/>
          <xdr:cNvSpPr txBox="1"/>
        </xdr:nvSpPr>
        <xdr:spPr>
          <a:xfrm>
            <a:off x="2052011" y="1389304"/>
            <a:ext cx="1689235" cy="270550"/>
          </a:xfrm>
          <a:prstGeom prst="rect">
            <a:avLst/>
          </a:prstGeom>
          <a:solidFill>
            <a:schemeClr val="tx1"/>
          </a:solidFill>
        </xdr:spPr>
        <xdr:txBody>
          <a:bodyPr wrap="square"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600" kern="1200">
                <a:solidFill>
                  <a:schemeClr val="bg1"/>
                </a:solidFill>
                <a:latin typeface="Verdana" pitchFamily="34" charset="0"/>
                <a:ea typeface="+mn-ea"/>
                <a:cs typeface="+mn-cs"/>
              </a:rPr>
              <a:t>Activities</a:t>
            </a:r>
          </a:p>
        </xdr:txBody>
      </xdr:sp>
      <xdr:sp macro="" textlink="">
        <xdr:nvSpPr>
          <xdr:cNvPr id="9" name="Tekstvak 20"/>
          <xdr:cNvSpPr txBox="1"/>
        </xdr:nvSpPr>
        <xdr:spPr>
          <a:xfrm>
            <a:off x="2051113" y="3265789"/>
            <a:ext cx="1687029" cy="177139"/>
          </a:xfrm>
          <a:prstGeom prst="rect">
            <a:avLst/>
          </a:prstGeom>
          <a:solidFill>
            <a:schemeClr val="tx1"/>
          </a:solidFill>
        </xdr:spPr>
        <xdr:txBody>
          <a:bodyPr wrap="square" tIns="0" bIns="0"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600" kern="1200">
                <a:solidFill>
                  <a:schemeClr val="bg1"/>
                </a:solidFill>
                <a:latin typeface="Verdana" pitchFamily="34" charset="0"/>
                <a:ea typeface="+mn-ea"/>
                <a:cs typeface="+mn-cs"/>
              </a:rPr>
              <a:t>Resources</a:t>
            </a:r>
          </a:p>
        </xdr:txBody>
      </xdr:sp>
      <xdr:sp macro="" textlink="">
        <xdr:nvSpPr>
          <xdr:cNvPr id="10" name="Tekstvak 21"/>
          <xdr:cNvSpPr txBox="1"/>
        </xdr:nvSpPr>
        <xdr:spPr>
          <a:xfrm>
            <a:off x="3750486" y="1388267"/>
            <a:ext cx="1694073" cy="271516"/>
          </a:xfrm>
          <a:prstGeom prst="rect">
            <a:avLst/>
          </a:prstGeom>
          <a:solidFill>
            <a:schemeClr val="tx1"/>
          </a:solidFill>
        </xdr:spPr>
        <xdr:txBody>
          <a:bodyPr wrap="square"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600" kern="1200">
                <a:solidFill>
                  <a:schemeClr val="bg1"/>
                </a:solidFill>
                <a:latin typeface="Verdana" pitchFamily="34" charset="0"/>
                <a:ea typeface="+mn-ea"/>
                <a:cs typeface="+mn-cs"/>
              </a:rPr>
              <a:t>Value proposition</a:t>
            </a:r>
          </a:p>
        </xdr:txBody>
      </xdr:sp>
      <xdr:sp macro="" textlink="">
        <xdr:nvSpPr>
          <xdr:cNvPr id="11" name="Tekstvak 22"/>
          <xdr:cNvSpPr txBox="1"/>
        </xdr:nvSpPr>
        <xdr:spPr>
          <a:xfrm>
            <a:off x="5457079" y="1387734"/>
            <a:ext cx="1663253" cy="272048"/>
          </a:xfrm>
          <a:prstGeom prst="rect">
            <a:avLst/>
          </a:prstGeom>
          <a:solidFill>
            <a:schemeClr val="tx1"/>
          </a:solidFill>
        </xdr:spPr>
        <xdr:txBody>
          <a:bodyPr wrap="square"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600" kern="1200">
                <a:solidFill>
                  <a:schemeClr val="bg1"/>
                </a:solidFill>
                <a:latin typeface="Verdana" pitchFamily="34" charset="0"/>
                <a:ea typeface="+mn-ea"/>
                <a:cs typeface="+mn-cs"/>
              </a:rPr>
              <a:t>Relationships</a:t>
            </a:r>
          </a:p>
        </xdr:txBody>
      </xdr:sp>
      <xdr:sp macro="" textlink="">
        <xdr:nvSpPr>
          <xdr:cNvPr id="13" name="Tekstvak 24"/>
          <xdr:cNvSpPr txBox="1"/>
        </xdr:nvSpPr>
        <xdr:spPr>
          <a:xfrm>
            <a:off x="7132801" y="1383052"/>
            <a:ext cx="1700831" cy="276730"/>
          </a:xfrm>
          <a:prstGeom prst="rect">
            <a:avLst/>
          </a:prstGeom>
          <a:solidFill>
            <a:schemeClr val="tx1"/>
          </a:solidFill>
        </xdr:spPr>
        <xdr:txBody>
          <a:bodyPr wrap="square"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pPr marL="0" indent="0" algn="l" rtl="0" fontAlgn="base">
              <a:spcBef>
                <a:spcPct val="0"/>
              </a:spcBef>
              <a:spcAft>
                <a:spcPct val="0"/>
              </a:spcAft>
            </a:pPr>
            <a:r>
              <a:rPr lang="nl-NL" sz="1600" kern="1200">
                <a:solidFill>
                  <a:schemeClr val="bg1"/>
                </a:solidFill>
                <a:latin typeface="Verdana" pitchFamily="34" charset="0"/>
                <a:ea typeface="+mn-ea"/>
                <a:cs typeface="+mn-cs"/>
              </a:rPr>
              <a:t>Customers segments</a:t>
            </a:r>
          </a:p>
        </xdr:txBody>
      </xdr:sp>
      <xdr:sp macro="" textlink="">
        <xdr:nvSpPr>
          <xdr:cNvPr id="12" name="Tekstvak 23"/>
          <xdr:cNvSpPr txBox="1"/>
        </xdr:nvSpPr>
        <xdr:spPr>
          <a:xfrm>
            <a:off x="5457482" y="3268029"/>
            <a:ext cx="1664246" cy="173449"/>
          </a:xfrm>
          <a:prstGeom prst="rect">
            <a:avLst/>
          </a:prstGeom>
          <a:solidFill>
            <a:schemeClr val="tx1"/>
          </a:solidFill>
        </xdr:spPr>
        <xdr:txBody>
          <a:bodyPr wrap="square" tIns="0" bIns="0" rtlCol="0">
            <a:noAutofit/>
          </a:bodyPr>
          <a:lstStyle>
            <a:defPPr>
              <a:defRPr lang="en-GB"/>
            </a:defPPr>
            <a:lvl1pPr algn="l" rtl="0" fontAlgn="base">
              <a:spcBef>
                <a:spcPct val="0"/>
              </a:spcBef>
              <a:spcAft>
                <a:spcPct val="0"/>
              </a:spcAft>
              <a:defRPr sz="1600" kern="1200">
                <a:solidFill>
                  <a:schemeClr val="tx1"/>
                </a:solidFill>
                <a:latin typeface="Verdana" pitchFamily="34" charset="0"/>
                <a:ea typeface="+mn-ea"/>
                <a:cs typeface="+mn-cs"/>
              </a:defRPr>
            </a:lvl1pPr>
            <a:lvl2pPr marL="457200" algn="l" rtl="0" fontAlgn="base">
              <a:spcBef>
                <a:spcPct val="0"/>
              </a:spcBef>
              <a:spcAft>
                <a:spcPct val="0"/>
              </a:spcAft>
              <a:defRPr sz="1600" kern="1200">
                <a:solidFill>
                  <a:schemeClr val="tx1"/>
                </a:solidFill>
                <a:latin typeface="Verdana" pitchFamily="34" charset="0"/>
                <a:ea typeface="+mn-ea"/>
                <a:cs typeface="+mn-cs"/>
              </a:defRPr>
            </a:lvl2pPr>
            <a:lvl3pPr marL="914400" algn="l" rtl="0" fontAlgn="base">
              <a:spcBef>
                <a:spcPct val="0"/>
              </a:spcBef>
              <a:spcAft>
                <a:spcPct val="0"/>
              </a:spcAft>
              <a:defRPr sz="1600" kern="1200">
                <a:solidFill>
                  <a:schemeClr val="tx1"/>
                </a:solidFill>
                <a:latin typeface="Verdana" pitchFamily="34" charset="0"/>
                <a:ea typeface="+mn-ea"/>
                <a:cs typeface="+mn-cs"/>
              </a:defRPr>
            </a:lvl3pPr>
            <a:lvl4pPr marL="1371600" algn="l" rtl="0" fontAlgn="base">
              <a:spcBef>
                <a:spcPct val="0"/>
              </a:spcBef>
              <a:spcAft>
                <a:spcPct val="0"/>
              </a:spcAft>
              <a:defRPr sz="1600" kern="1200">
                <a:solidFill>
                  <a:schemeClr val="tx1"/>
                </a:solidFill>
                <a:latin typeface="Verdana" pitchFamily="34" charset="0"/>
                <a:ea typeface="+mn-ea"/>
                <a:cs typeface="+mn-cs"/>
              </a:defRPr>
            </a:lvl4pPr>
            <a:lvl5pPr marL="1828800" algn="l" rtl="0" fontAlgn="base">
              <a:spcBef>
                <a:spcPct val="0"/>
              </a:spcBef>
              <a:spcAft>
                <a:spcPct val="0"/>
              </a:spcAft>
              <a:defRPr sz="1600" kern="1200">
                <a:solidFill>
                  <a:schemeClr val="tx1"/>
                </a:solidFill>
                <a:latin typeface="Verdana" pitchFamily="34" charset="0"/>
                <a:ea typeface="+mn-ea"/>
                <a:cs typeface="+mn-cs"/>
              </a:defRPr>
            </a:lvl5pPr>
            <a:lvl6pPr marL="2286000" algn="l" defTabSz="914400" rtl="0" eaLnBrk="1" latinLnBrk="0" hangingPunct="1">
              <a:defRPr sz="1600" kern="1200">
                <a:solidFill>
                  <a:schemeClr val="tx1"/>
                </a:solidFill>
                <a:latin typeface="Verdana" pitchFamily="34" charset="0"/>
                <a:ea typeface="+mn-ea"/>
                <a:cs typeface="+mn-cs"/>
              </a:defRPr>
            </a:lvl6pPr>
            <a:lvl7pPr marL="2743200" algn="l" defTabSz="914400" rtl="0" eaLnBrk="1" latinLnBrk="0" hangingPunct="1">
              <a:defRPr sz="1600" kern="1200">
                <a:solidFill>
                  <a:schemeClr val="tx1"/>
                </a:solidFill>
                <a:latin typeface="Verdana" pitchFamily="34" charset="0"/>
                <a:ea typeface="+mn-ea"/>
                <a:cs typeface="+mn-cs"/>
              </a:defRPr>
            </a:lvl7pPr>
            <a:lvl8pPr marL="3200400" algn="l" defTabSz="914400" rtl="0" eaLnBrk="1" latinLnBrk="0" hangingPunct="1">
              <a:defRPr sz="1600" kern="1200">
                <a:solidFill>
                  <a:schemeClr val="tx1"/>
                </a:solidFill>
                <a:latin typeface="Verdana" pitchFamily="34" charset="0"/>
                <a:ea typeface="+mn-ea"/>
                <a:cs typeface="+mn-cs"/>
              </a:defRPr>
            </a:lvl8pPr>
            <a:lvl9pPr marL="3657600" algn="l" defTabSz="914400" rtl="0" eaLnBrk="1" latinLnBrk="0" hangingPunct="1">
              <a:defRPr sz="1600" kern="1200">
                <a:solidFill>
                  <a:schemeClr val="tx1"/>
                </a:solidFill>
                <a:latin typeface="Verdana" pitchFamily="34" charset="0"/>
                <a:ea typeface="+mn-ea"/>
                <a:cs typeface="+mn-cs"/>
              </a:defRPr>
            </a:lvl9pPr>
          </a:lstStyle>
          <a:p>
            <a:r>
              <a:rPr lang="nl-NL">
                <a:solidFill>
                  <a:schemeClr val="bg1"/>
                </a:solidFill>
              </a:rPr>
              <a:t>Channels</a:t>
            </a:r>
          </a:p>
        </xdr:txBody>
      </xdr:sp>
    </xdr:grpSp>
    <xdr:clientData/>
  </xdr:twoCellAnchor>
  <xdr:twoCellAnchor>
    <xdr:from>
      <xdr:col>1</xdr:col>
      <xdr:colOff>119063</xdr:colOff>
      <xdr:row>0</xdr:row>
      <xdr:rowOff>130969</xdr:rowOff>
    </xdr:from>
    <xdr:to>
      <xdr:col>2</xdr:col>
      <xdr:colOff>923925</xdr:colOff>
      <xdr:row>0</xdr:row>
      <xdr:rowOff>597694</xdr:rowOff>
    </xdr:to>
    <xdr:sp macro="" textlink="">
      <xdr:nvSpPr>
        <xdr:cNvPr id="23" name="Afgeronde rechthoek 22">
          <a:hlinkClick xmlns:r="http://schemas.openxmlformats.org/officeDocument/2006/relationships" r:id="rId1"/>
        </xdr:cNvPr>
        <xdr:cNvSpPr/>
      </xdr:nvSpPr>
      <xdr:spPr>
        <a:xfrm>
          <a:off x="119063" y="130969"/>
          <a:ext cx="1924050" cy="4667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nl-NL" sz="2000"/>
            <a:t>Menu</a:t>
          </a:r>
        </a:p>
      </xdr:txBody>
    </xdr:sp>
    <xdr:clientData/>
  </xdr:twoCellAnchor>
  <xdr:twoCellAnchor>
    <xdr:from>
      <xdr:col>2</xdr:col>
      <xdr:colOff>1104900</xdr:colOff>
      <xdr:row>0</xdr:row>
      <xdr:rowOff>130969</xdr:rowOff>
    </xdr:from>
    <xdr:to>
      <xdr:col>4</xdr:col>
      <xdr:colOff>314325</xdr:colOff>
      <xdr:row>0</xdr:row>
      <xdr:rowOff>597694</xdr:rowOff>
    </xdr:to>
    <xdr:sp macro="" textlink="">
      <xdr:nvSpPr>
        <xdr:cNvPr id="24" name="Afgeronde rechthoek 23">
          <a:hlinkClick xmlns:r="http://schemas.openxmlformats.org/officeDocument/2006/relationships" r:id="rId2"/>
        </xdr:cNvPr>
        <xdr:cNvSpPr/>
      </xdr:nvSpPr>
      <xdr:spPr>
        <a:xfrm>
          <a:off x="2224088" y="130969"/>
          <a:ext cx="1924050" cy="4667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nl-NL" sz="2000"/>
            <a:t>Invoer</a:t>
          </a:r>
        </a:p>
      </xdr:txBody>
    </xdr:sp>
    <xdr:clientData/>
  </xdr:twoCellAnchor>
  <xdr:twoCellAnchor>
    <xdr:from>
      <xdr:col>6</xdr:col>
      <xdr:colOff>485775</xdr:colOff>
      <xdr:row>0</xdr:row>
      <xdr:rowOff>130969</xdr:rowOff>
    </xdr:from>
    <xdr:to>
      <xdr:col>7</xdr:col>
      <xdr:colOff>1190625</xdr:colOff>
      <xdr:row>0</xdr:row>
      <xdr:rowOff>597694</xdr:rowOff>
    </xdr:to>
    <xdr:sp macro="" textlink="">
      <xdr:nvSpPr>
        <xdr:cNvPr id="25" name="Afgeronde rechthoek 24">
          <a:hlinkClick xmlns:r="http://schemas.openxmlformats.org/officeDocument/2006/relationships" r:id="rId3"/>
        </xdr:cNvPr>
        <xdr:cNvSpPr/>
      </xdr:nvSpPr>
      <xdr:spPr>
        <a:xfrm>
          <a:off x="6781800" y="130969"/>
          <a:ext cx="1933575"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Grafiek</a:t>
          </a:r>
        </a:p>
      </xdr:txBody>
    </xdr:sp>
    <xdr:clientData/>
  </xdr:twoCellAnchor>
  <xdr:twoCellAnchor>
    <xdr:from>
      <xdr:col>1</xdr:col>
      <xdr:colOff>147638</xdr:colOff>
      <xdr:row>0</xdr:row>
      <xdr:rowOff>130969</xdr:rowOff>
    </xdr:from>
    <xdr:to>
      <xdr:col>2</xdr:col>
      <xdr:colOff>952500</xdr:colOff>
      <xdr:row>0</xdr:row>
      <xdr:rowOff>597694</xdr:rowOff>
    </xdr:to>
    <xdr:sp macro="" textlink="">
      <xdr:nvSpPr>
        <xdr:cNvPr id="26" name="Afgeronde rechthoek 25">
          <a:hlinkClick xmlns:r="http://schemas.openxmlformats.org/officeDocument/2006/relationships" r:id="rId1"/>
        </xdr:cNvPr>
        <xdr:cNvSpPr/>
      </xdr:nvSpPr>
      <xdr:spPr>
        <a:xfrm>
          <a:off x="319088" y="130969"/>
          <a:ext cx="1928812"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Menu</a:t>
          </a:r>
        </a:p>
      </xdr:txBody>
    </xdr:sp>
    <xdr:clientData/>
  </xdr:twoCellAnchor>
  <xdr:twoCellAnchor>
    <xdr:from>
      <xdr:col>2</xdr:col>
      <xdr:colOff>1133475</xdr:colOff>
      <xdr:row>0</xdr:row>
      <xdr:rowOff>130969</xdr:rowOff>
    </xdr:from>
    <xdr:to>
      <xdr:col>4</xdr:col>
      <xdr:colOff>342900</xdr:colOff>
      <xdr:row>0</xdr:row>
      <xdr:rowOff>597694</xdr:rowOff>
    </xdr:to>
    <xdr:sp macro="" textlink="">
      <xdr:nvSpPr>
        <xdr:cNvPr id="27" name="Afgeronde rechthoek 26">
          <a:hlinkClick xmlns:r="http://schemas.openxmlformats.org/officeDocument/2006/relationships" r:id="rId4"/>
        </xdr:cNvPr>
        <xdr:cNvSpPr/>
      </xdr:nvSpPr>
      <xdr:spPr>
        <a:xfrm>
          <a:off x="2428875" y="130969"/>
          <a:ext cx="1914525"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Data entry</a:t>
          </a:r>
        </a:p>
      </xdr:txBody>
    </xdr:sp>
    <xdr:clientData/>
  </xdr:twoCellAnchor>
  <xdr:twoCellAnchor>
    <xdr:from>
      <xdr:col>4</xdr:col>
      <xdr:colOff>619125</xdr:colOff>
      <xdr:row>0</xdr:row>
      <xdr:rowOff>130969</xdr:rowOff>
    </xdr:from>
    <xdr:to>
      <xdr:col>6</xdr:col>
      <xdr:colOff>257175</xdr:colOff>
      <xdr:row>0</xdr:row>
      <xdr:rowOff>597694</xdr:rowOff>
    </xdr:to>
    <xdr:sp macro="" textlink="">
      <xdr:nvSpPr>
        <xdr:cNvPr id="28" name="Afgeronde rechthoek 27">
          <a:hlinkClick xmlns:r="http://schemas.openxmlformats.org/officeDocument/2006/relationships" r:id="rId5"/>
        </xdr:cNvPr>
        <xdr:cNvSpPr/>
      </xdr:nvSpPr>
      <xdr:spPr>
        <a:xfrm>
          <a:off x="4619625" y="130969"/>
          <a:ext cx="1933575"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Canvas Top</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2</xdr:row>
      <xdr:rowOff>19050</xdr:rowOff>
    </xdr:from>
    <xdr:to>
      <xdr:col>15</xdr:col>
      <xdr:colOff>9526</xdr:colOff>
      <xdr:row>28</xdr:row>
      <xdr:rowOff>76200</xdr:rowOff>
    </xdr:to>
    <xdr:graphicFrame macro="">
      <xdr:nvGraphicFramePr>
        <xdr:cNvPr id="3" name="Grafiek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114300</xdr:colOff>
      <xdr:row>0</xdr:row>
      <xdr:rowOff>66675</xdr:rowOff>
    </xdr:from>
    <xdr:to>
      <xdr:col>2</xdr:col>
      <xdr:colOff>819150</xdr:colOff>
      <xdr:row>0</xdr:row>
      <xdr:rowOff>533400</xdr:rowOff>
    </xdr:to>
    <xdr:sp macro="" textlink="">
      <xdr:nvSpPr>
        <xdr:cNvPr id="26" name="Afgeronde rechthoek 25">
          <a:hlinkClick xmlns:r="http://schemas.openxmlformats.org/officeDocument/2006/relationships" r:id="rId2"/>
        </xdr:cNvPr>
        <xdr:cNvSpPr/>
      </xdr:nvSpPr>
      <xdr:spPr>
        <a:xfrm>
          <a:off x="114300" y="66675"/>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Menu</a:t>
          </a:r>
        </a:p>
      </xdr:txBody>
    </xdr:sp>
    <xdr:clientData/>
  </xdr:twoCellAnchor>
  <xdr:twoCellAnchor>
    <xdr:from>
      <xdr:col>6</xdr:col>
      <xdr:colOff>19050</xdr:colOff>
      <xdr:row>0</xdr:row>
      <xdr:rowOff>66675</xdr:rowOff>
    </xdr:from>
    <xdr:to>
      <xdr:col>8</xdr:col>
      <xdr:colOff>304800</xdr:colOff>
      <xdr:row>0</xdr:row>
      <xdr:rowOff>533400</xdr:rowOff>
    </xdr:to>
    <xdr:sp macro="" textlink="">
      <xdr:nvSpPr>
        <xdr:cNvPr id="27" name="Afgeronde rechthoek 26">
          <a:hlinkClick xmlns:r="http://schemas.openxmlformats.org/officeDocument/2006/relationships" r:id="rId3"/>
        </xdr:cNvPr>
        <xdr:cNvSpPr/>
      </xdr:nvSpPr>
      <xdr:spPr>
        <a:xfrm>
          <a:off x="4295775" y="66675"/>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Canvas Top</a:t>
          </a:r>
        </a:p>
      </xdr:txBody>
    </xdr:sp>
    <xdr:clientData/>
  </xdr:twoCellAnchor>
  <xdr:twoCellAnchor>
    <xdr:from>
      <xdr:col>3</xdr:col>
      <xdr:colOff>47625</xdr:colOff>
      <xdr:row>0</xdr:row>
      <xdr:rowOff>66675</xdr:rowOff>
    </xdr:from>
    <xdr:to>
      <xdr:col>5</xdr:col>
      <xdr:colOff>752475</xdr:colOff>
      <xdr:row>0</xdr:row>
      <xdr:rowOff>533400</xdr:rowOff>
    </xdr:to>
    <xdr:sp macro="" textlink="">
      <xdr:nvSpPr>
        <xdr:cNvPr id="28" name="Afgeronde rechthoek 27">
          <a:hlinkClick xmlns:r="http://schemas.openxmlformats.org/officeDocument/2006/relationships" r:id="rId4"/>
        </xdr:cNvPr>
        <xdr:cNvSpPr/>
      </xdr:nvSpPr>
      <xdr:spPr>
        <a:xfrm>
          <a:off x="2209800" y="66675"/>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Data entry</a:t>
          </a:r>
        </a:p>
      </xdr:txBody>
    </xdr:sp>
    <xdr:clientData/>
  </xdr:twoCellAnchor>
  <xdr:twoCellAnchor>
    <xdr:from>
      <xdr:col>8</xdr:col>
      <xdr:colOff>457200</xdr:colOff>
      <xdr:row>0</xdr:row>
      <xdr:rowOff>66675</xdr:rowOff>
    </xdr:from>
    <xdr:to>
      <xdr:col>11</xdr:col>
      <xdr:colOff>676275</xdr:colOff>
      <xdr:row>0</xdr:row>
      <xdr:rowOff>533400</xdr:rowOff>
    </xdr:to>
    <xdr:sp macro="" textlink="">
      <xdr:nvSpPr>
        <xdr:cNvPr id="29" name="Afgeronde rechthoek 28">
          <a:hlinkClick xmlns:r="http://schemas.openxmlformats.org/officeDocument/2006/relationships" r:id="rId5"/>
        </xdr:cNvPr>
        <xdr:cNvSpPr/>
      </xdr:nvSpPr>
      <xdr:spPr>
        <a:xfrm>
          <a:off x="6372225" y="66675"/>
          <a:ext cx="1924050" cy="4667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nl-NL" sz="2000"/>
            <a:t>Canvas Detail</a:t>
          </a:r>
        </a:p>
      </xdr:txBody>
    </xdr:sp>
    <xdr:clientData/>
  </xdr:twoCellAnchor>
</xdr: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8:S18"/>
  <sheetViews>
    <sheetView showGridLines="0" showRowColHeaders="0" workbookViewId="0">
      <selection activeCell="N11" sqref="N11:S11"/>
    </sheetView>
  </sheetViews>
  <sheetFormatPr defaultRowHeight="15" x14ac:dyDescent="0.25"/>
  <sheetData>
    <row r="8" spans="4:19" x14ac:dyDescent="0.25">
      <c r="D8" t="s">
        <v>53</v>
      </c>
    </row>
    <row r="11" spans="4:19" x14ac:dyDescent="0.25">
      <c r="H11" s="26"/>
      <c r="L11" s="41" t="s">
        <v>56</v>
      </c>
      <c r="M11" s="41"/>
      <c r="N11" s="56" t="s">
        <v>426</v>
      </c>
      <c r="O11" s="56"/>
      <c r="P11" s="56"/>
      <c r="Q11" s="56"/>
      <c r="R11" s="56"/>
      <c r="S11" s="56"/>
    </row>
    <row r="12" spans="4:19" x14ac:dyDescent="0.25">
      <c r="L12" s="41" t="s">
        <v>54</v>
      </c>
      <c r="M12" s="41"/>
      <c r="N12" s="56"/>
      <c r="O12" s="56"/>
      <c r="P12" s="56"/>
      <c r="Q12" s="56"/>
      <c r="R12" s="56"/>
      <c r="S12" s="56"/>
    </row>
    <row r="13" spans="4:19" x14ac:dyDescent="0.25">
      <c r="L13" s="41" t="s">
        <v>57</v>
      </c>
      <c r="M13" s="41"/>
      <c r="N13" s="56"/>
      <c r="O13" s="56"/>
      <c r="P13" s="56"/>
      <c r="Q13" s="56"/>
      <c r="R13" s="56"/>
      <c r="S13" s="56"/>
    </row>
    <row r="14" spans="4:19" x14ac:dyDescent="0.25">
      <c r="L14" s="41" t="s">
        <v>58</v>
      </c>
      <c r="M14" s="41"/>
      <c r="N14" s="56"/>
      <c r="O14" s="56"/>
      <c r="P14" s="56"/>
      <c r="Q14" s="56"/>
      <c r="R14" s="56"/>
      <c r="S14" s="56"/>
    </row>
    <row r="15" spans="4:19" x14ac:dyDescent="0.25">
      <c r="L15" s="41" t="s">
        <v>55</v>
      </c>
      <c r="M15" s="41"/>
      <c r="N15" s="56"/>
      <c r="O15" s="56"/>
      <c r="P15" s="56"/>
      <c r="Q15" s="56"/>
      <c r="R15" s="56"/>
      <c r="S15" s="56"/>
    </row>
    <row r="17" spans="12:19" x14ac:dyDescent="0.25">
      <c r="L17" s="41" t="s">
        <v>59</v>
      </c>
      <c r="M17" s="41"/>
      <c r="N17" s="56" t="s">
        <v>61</v>
      </c>
      <c r="O17" s="56"/>
      <c r="P17" s="56"/>
      <c r="Q17" s="56"/>
      <c r="R17" s="56"/>
      <c r="S17" s="56"/>
    </row>
    <row r="18" spans="12:19" x14ac:dyDescent="0.25">
      <c r="L18" s="41" t="s">
        <v>60</v>
      </c>
      <c r="M18" s="41"/>
      <c r="N18" s="55">
        <v>40908</v>
      </c>
      <c r="O18" s="55"/>
      <c r="P18" s="55"/>
      <c r="Q18" s="55"/>
      <c r="R18" s="55"/>
      <c r="S18" s="55"/>
    </row>
  </sheetData>
  <sheetProtection password="AD8C" sheet="1" objects="1" scenarios="1" selectLockedCells="1"/>
  <mergeCells count="7">
    <mergeCell ref="N18:S18"/>
    <mergeCell ref="N11:S11"/>
    <mergeCell ref="N12:S12"/>
    <mergeCell ref="N13:S13"/>
    <mergeCell ref="N14:S14"/>
    <mergeCell ref="N15:S15"/>
    <mergeCell ref="N17:S1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showGridLines="0" showRowColHeaders="0" tabSelected="1" zoomScaleNormal="100" workbookViewId="0">
      <pane xSplit="1" ySplit="4" topLeftCell="B5" activePane="bottomRight" state="frozen"/>
      <selection pane="topRight" activeCell="B1" sqref="B1"/>
      <selection pane="bottomLeft" activeCell="A5" sqref="A5"/>
      <selection pane="bottomRight" activeCell="M5" sqref="M5:M25"/>
    </sheetView>
  </sheetViews>
  <sheetFormatPr defaultRowHeight="15" x14ac:dyDescent="0.25"/>
  <cols>
    <col min="1" max="1" width="4.42578125" customWidth="1"/>
    <col min="2" max="2" width="46.42578125" customWidth="1"/>
    <col min="5" max="6" width="5.140625" customWidth="1"/>
    <col min="7" max="7" width="37" customWidth="1"/>
    <col min="9" max="9" width="9.42578125" bestFit="1" customWidth="1"/>
    <col min="10" max="11" width="4.42578125" customWidth="1"/>
    <col min="12" max="12" width="40.85546875" customWidth="1"/>
    <col min="14" max="14" width="10.7109375" customWidth="1"/>
  </cols>
  <sheetData>
    <row r="1" spans="1:14" s="26" customFormat="1" ht="61.5" customHeight="1" x14ac:dyDescent="0.25"/>
    <row r="2" spans="1:14" ht="37.5" customHeight="1" x14ac:dyDescent="0.25">
      <c r="A2" s="64" t="s">
        <v>423</v>
      </c>
      <c r="B2" s="65"/>
      <c r="C2" s="34"/>
      <c r="D2" s="34" t="s">
        <v>424</v>
      </c>
      <c r="E2" s="60" t="str">
        <f>Menu!N11</f>
        <v>Example company</v>
      </c>
      <c r="F2" s="60"/>
      <c r="G2" s="60"/>
      <c r="H2" s="34" t="s">
        <v>425</v>
      </c>
      <c r="I2" s="37"/>
      <c r="J2" s="60" t="str">
        <f>Menu!N17</f>
        <v>Current Business Model</v>
      </c>
      <c r="K2" s="60"/>
      <c r="L2" s="60"/>
      <c r="M2" s="34" t="s">
        <v>60</v>
      </c>
      <c r="N2" s="53">
        <f>Menu!N18</f>
        <v>40908</v>
      </c>
    </row>
    <row r="3" spans="1:14" ht="18.75" x14ac:dyDescent="0.3">
      <c r="A3" s="61" t="s">
        <v>422</v>
      </c>
      <c r="B3" s="62"/>
      <c r="C3" s="62"/>
      <c r="D3" s="63"/>
      <c r="F3" s="57" t="s">
        <v>420</v>
      </c>
      <c r="G3" s="58"/>
      <c r="H3" s="58"/>
      <c r="I3" s="59"/>
      <c r="K3" s="61" t="s">
        <v>418</v>
      </c>
      <c r="L3" s="62"/>
      <c r="M3" s="62"/>
      <c r="N3" s="63"/>
    </row>
    <row r="4" spans="1:14" x14ac:dyDescent="0.25">
      <c r="A4" s="17" t="s">
        <v>16</v>
      </c>
      <c r="B4" s="18" t="s">
        <v>415</v>
      </c>
      <c r="C4" s="18" t="s">
        <v>0</v>
      </c>
      <c r="D4" s="19" t="s">
        <v>421</v>
      </c>
      <c r="F4" s="17"/>
      <c r="G4" s="17" t="s">
        <v>415</v>
      </c>
      <c r="H4" s="18" t="s">
        <v>0</v>
      </c>
      <c r="I4" s="19" t="s">
        <v>421</v>
      </c>
      <c r="K4" s="17"/>
      <c r="L4" s="18" t="s">
        <v>415</v>
      </c>
      <c r="M4" s="18" t="s">
        <v>0</v>
      </c>
      <c r="N4" s="19" t="s">
        <v>416</v>
      </c>
    </row>
    <row r="5" spans="1:14" ht="30" x14ac:dyDescent="0.25">
      <c r="A5" s="12">
        <v>1</v>
      </c>
      <c r="B5" s="38" t="str">
        <f>Categorie!A5</f>
        <v>Our Value Propositions are well aligned with customer needs</v>
      </c>
      <c r="C5" s="78">
        <v>3</v>
      </c>
      <c r="D5" s="13" t="str">
        <f>IF(C5&lt;0,"Weakness","Strength")</f>
        <v>Strength</v>
      </c>
      <c r="F5" s="12">
        <v>1</v>
      </c>
      <c r="G5" s="38" t="str">
        <f>Categorie!E5</f>
        <v>Could we generate recurring   revenues by converting products  into services?</v>
      </c>
      <c r="H5" s="82">
        <v>1</v>
      </c>
      <c r="I5" s="13" t="str">
        <f>IF(H5=5,"Extreme",IF(H5=4,"Very high",IF(H5=3,"High",IF(H5=2,"Present","Low"))))</f>
        <v>Low</v>
      </c>
      <c r="K5" s="12">
        <v>1</v>
      </c>
      <c r="L5" s="38" t="str">
        <f>Categorie!I5</f>
        <v>Are substitute products and services available?</v>
      </c>
      <c r="M5" s="78">
        <v>5</v>
      </c>
      <c r="N5" s="16" t="str">
        <f>IF(M5=5,"Extreme",IF(M5=4,"Very high",IF(M5=3,"High",IF(M5=2,"Present","Low"))))</f>
        <v>Extreme</v>
      </c>
    </row>
    <row r="6" spans="1:14" ht="30" x14ac:dyDescent="0.25">
      <c r="A6" s="14">
        <v>2</v>
      </c>
      <c r="B6" s="39" t="str">
        <f>Categorie!A6</f>
        <v>Our Value Propositions have strong network effects</v>
      </c>
      <c r="C6" s="79">
        <v>-2</v>
      </c>
      <c r="D6" s="13" t="str">
        <f t="shared" ref="D6:D43" si="0">IF(C6&lt;0,"Weakness","Strength")</f>
        <v>Weakness</v>
      </c>
      <c r="F6" s="14">
        <v>2</v>
      </c>
      <c r="G6" s="39" t="str">
        <f>Categorie!E6</f>
        <v>Could we better integrate our  products or services?</v>
      </c>
      <c r="H6" s="83">
        <v>1</v>
      </c>
      <c r="I6" s="13" t="str">
        <f t="shared" ref="I6:I41" si="1">IF(H6=5,"Extreme",IF(H6=4,"Very high",IF(H6=3,"High",IF(H6=2,"Present","Low"))))</f>
        <v>Low</v>
      </c>
      <c r="K6" s="14">
        <v>2</v>
      </c>
      <c r="L6" s="39" t="str">
        <f>Categorie!I6</f>
        <v>Are competitors threatening to offer better price or value?</v>
      </c>
      <c r="M6" s="79">
        <v>1</v>
      </c>
      <c r="N6" s="16" t="str">
        <f t="shared" ref="N6:N25" si="2">IF(M6=5,"Extreme",IF(M6=4,"Very high",IF(M6=3,"High",IF(M6=2,"Present","Low"))))</f>
        <v>Low</v>
      </c>
    </row>
    <row r="7" spans="1:14" ht="30" x14ac:dyDescent="0.25">
      <c r="A7" s="14">
        <v>3</v>
      </c>
      <c r="B7" s="39" t="str">
        <f>Categorie!A7</f>
        <v>There are strong synergies between our products and services</v>
      </c>
      <c r="C7" s="79">
        <v>4</v>
      </c>
      <c r="D7" s="13" t="str">
        <f t="shared" si="0"/>
        <v>Strength</v>
      </c>
      <c r="F7" s="14">
        <v>3</v>
      </c>
      <c r="G7" s="39" t="str">
        <f>Categorie!E7</f>
        <v xml:space="preserve">Which additional customer needs could we satisfy? </v>
      </c>
      <c r="H7" s="83">
        <v>5</v>
      </c>
      <c r="I7" s="13" t="str">
        <f t="shared" si="1"/>
        <v>Extreme</v>
      </c>
      <c r="K7" s="14">
        <v>3</v>
      </c>
      <c r="L7" s="39" t="str">
        <f>Categorie!I13</f>
        <v>Are our margins threatened by competitors? By technology?</v>
      </c>
      <c r="M7" s="79">
        <v>1</v>
      </c>
      <c r="N7" s="16" t="str">
        <f t="shared" si="2"/>
        <v>Low</v>
      </c>
    </row>
    <row r="8" spans="1:14" ht="30" x14ac:dyDescent="0.25">
      <c r="A8" s="14">
        <v>4</v>
      </c>
      <c r="B8" s="39" t="str">
        <f>Categorie!A8</f>
        <v>Our customers are very satisfied</v>
      </c>
      <c r="C8" s="79">
        <v>2</v>
      </c>
      <c r="D8" s="13" t="str">
        <f t="shared" si="0"/>
        <v>Strength</v>
      </c>
      <c r="F8" s="14">
        <v>4</v>
      </c>
      <c r="G8" s="39" t="str">
        <f>Categorie!E8</f>
        <v xml:space="preserve">What complements to or extensions of our Value Proposition are possible? </v>
      </c>
      <c r="H8" s="83">
        <v>4</v>
      </c>
      <c r="I8" s="13" t="str">
        <f t="shared" si="1"/>
        <v>Very high</v>
      </c>
      <c r="K8" s="14">
        <v>4</v>
      </c>
      <c r="L8" s="39" t="str">
        <f>Categorie!I14</f>
        <v xml:space="preserve">Do we depend excessively on one or more Revenue Streams? </v>
      </c>
      <c r="M8" s="79">
        <v>1</v>
      </c>
      <c r="N8" s="16" t="str">
        <f t="shared" si="2"/>
        <v>Low</v>
      </c>
    </row>
    <row r="9" spans="1:14" ht="30" x14ac:dyDescent="0.25">
      <c r="A9" s="14">
        <v>5</v>
      </c>
      <c r="B9" s="39" t="str">
        <f>Categorie!A13</f>
        <v>We benefit from strong margins</v>
      </c>
      <c r="C9" s="80">
        <v>3</v>
      </c>
      <c r="D9" s="13" t="str">
        <f t="shared" si="0"/>
        <v>Strength</v>
      </c>
      <c r="F9" s="14">
        <v>5</v>
      </c>
      <c r="G9" s="39" t="str">
        <f>Categorie!E9</f>
        <v>What other jobs could we do on  behalf of customers?</v>
      </c>
      <c r="H9" s="83">
        <v>3</v>
      </c>
      <c r="I9" s="13" t="str">
        <f t="shared" si="1"/>
        <v>High</v>
      </c>
      <c r="K9" s="14">
        <v>5</v>
      </c>
      <c r="L9" s="39" t="str">
        <f>Categorie!I15</f>
        <v xml:space="preserve">Which Revenue Streams are likely to disappear in the future? </v>
      </c>
      <c r="M9" s="79">
        <v>1</v>
      </c>
      <c r="N9" s="16" t="str">
        <f t="shared" si="2"/>
        <v>Low</v>
      </c>
    </row>
    <row r="10" spans="1:14" ht="30" x14ac:dyDescent="0.25">
      <c r="A10" s="14">
        <v>6</v>
      </c>
      <c r="B10" s="39" t="str">
        <f>Categorie!A14</f>
        <v>Our revenues are predictable</v>
      </c>
      <c r="C10" s="80">
        <v>-5</v>
      </c>
      <c r="D10" s="13" t="str">
        <f t="shared" si="0"/>
        <v>Weakness</v>
      </c>
      <c r="F10" s="14">
        <v>6</v>
      </c>
      <c r="G10" s="39" t="str">
        <f>Categorie!E13</f>
        <v xml:space="preserve"> Can we replace one-time  transaction revenues with recurring revenues?</v>
      </c>
      <c r="H10" s="83">
        <v>1</v>
      </c>
      <c r="I10" s="13" t="str">
        <f t="shared" si="1"/>
        <v>Low</v>
      </c>
      <c r="K10" s="14">
        <v>6</v>
      </c>
      <c r="L10" s="39" t="str">
        <f>Categorie!I24</f>
        <v>Which costs threaten to become unpredictable?</v>
      </c>
      <c r="M10" s="79">
        <v>1</v>
      </c>
      <c r="N10" s="16" t="str">
        <f t="shared" si="2"/>
        <v>Low</v>
      </c>
    </row>
    <row r="11" spans="1:14" ht="30" x14ac:dyDescent="0.25">
      <c r="A11" s="14">
        <v>7</v>
      </c>
      <c r="B11" s="39" t="str">
        <f>Categorie!A15</f>
        <v>We have recurring Revenue Streams and frequent repeat purchases</v>
      </c>
      <c r="C11" s="80">
        <v>-5</v>
      </c>
      <c r="D11" s="13" t="str">
        <f t="shared" si="0"/>
        <v>Weakness</v>
      </c>
      <c r="F11" s="14">
        <v>7</v>
      </c>
      <c r="G11" s="39" t="str">
        <f>Categorie!E14</f>
        <v xml:space="preserve">What other elements would customers be willing to pay for? </v>
      </c>
      <c r="H11" s="83">
        <v>2</v>
      </c>
      <c r="I11" s="13" t="str">
        <f t="shared" si="1"/>
        <v>Present</v>
      </c>
      <c r="K11" s="14">
        <v>7</v>
      </c>
      <c r="L11" s="39" t="str">
        <f>Categorie!I25</f>
        <v>Which costs threaten to grow more quickly than the revenues they support?</v>
      </c>
      <c r="M11" s="79">
        <v>1</v>
      </c>
      <c r="N11" s="16" t="str">
        <f t="shared" si="2"/>
        <v>Low</v>
      </c>
    </row>
    <row r="12" spans="1:14" ht="30" x14ac:dyDescent="0.25">
      <c r="A12" s="14">
        <v>8</v>
      </c>
      <c r="B12" s="39" t="str">
        <f>Categorie!A16</f>
        <v>Our Revenue Streams are diversified</v>
      </c>
      <c r="C12" s="80">
        <v>5</v>
      </c>
      <c r="D12" s="13" t="str">
        <f t="shared" si="0"/>
        <v>Strength</v>
      </c>
      <c r="F12" s="14">
        <v>8</v>
      </c>
      <c r="G12" s="39" t="str">
        <f>Categorie!E15</f>
        <v xml:space="preserve">Do we have cross-selling  opportunities either internally or with partners? </v>
      </c>
      <c r="H12" s="83">
        <v>1</v>
      </c>
      <c r="I12" s="13" t="str">
        <f t="shared" si="1"/>
        <v>Low</v>
      </c>
      <c r="K12" s="14">
        <v>8</v>
      </c>
      <c r="L12" s="39" t="str">
        <f>Categorie!I31</f>
        <v xml:space="preserve">Could we face a disruption in the supply of certain resources? </v>
      </c>
      <c r="M12" s="79">
        <v>1</v>
      </c>
      <c r="N12" s="16" t="str">
        <f t="shared" si="2"/>
        <v>Low</v>
      </c>
    </row>
    <row r="13" spans="1:14" ht="30" x14ac:dyDescent="0.25">
      <c r="A13" s="14">
        <v>9</v>
      </c>
      <c r="B13" s="39" t="str">
        <f>Categorie!A17</f>
        <v>Our Revenue Streams are sustainable</v>
      </c>
      <c r="C13" s="80">
        <v>3</v>
      </c>
      <c r="D13" s="13" t="str">
        <f t="shared" si="0"/>
        <v>Strength</v>
      </c>
      <c r="F13" s="14">
        <v>9</v>
      </c>
      <c r="G13" s="39" t="str">
        <f>Categorie!E16</f>
        <v>What other Revenue Streams could we add or create?</v>
      </c>
      <c r="H13" s="83">
        <v>2</v>
      </c>
      <c r="I13" s="13" t="str">
        <f t="shared" si="1"/>
        <v>Present</v>
      </c>
      <c r="K13" s="14">
        <v>9</v>
      </c>
      <c r="L13" s="39" t="str">
        <f>Categorie!I32</f>
        <v xml:space="preserve"> Is the quality of our resources  threatened in any way? </v>
      </c>
      <c r="M13" s="79">
        <v>1</v>
      </c>
      <c r="N13" s="16" t="str">
        <f t="shared" si="2"/>
        <v>Low</v>
      </c>
    </row>
    <row r="14" spans="1:14" x14ac:dyDescent="0.25">
      <c r="A14" s="14">
        <v>10</v>
      </c>
      <c r="B14" s="39" t="str">
        <f>Categorie!A18</f>
        <v xml:space="preserve">We collect revenues before we incur expenses </v>
      </c>
      <c r="C14" s="80">
        <v>-5</v>
      </c>
      <c r="D14" s="13" t="str">
        <f t="shared" si="0"/>
        <v>Weakness</v>
      </c>
      <c r="F14" s="14">
        <v>10</v>
      </c>
      <c r="G14" s="39" t="str">
        <f>Categorie!E17</f>
        <v>Can we increase prices?</v>
      </c>
      <c r="H14" s="83">
        <v>1</v>
      </c>
      <c r="I14" s="13" t="str">
        <f t="shared" si="1"/>
        <v>Low</v>
      </c>
      <c r="K14" s="14">
        <v>10</v>
      </c>
      <c r="L14" s="39" t="str">
        <f>Categorie!I38</f>
        <v>What Key Activities might be disrupted?</v>
      </c>
      <c r="M14" s="79">
        <v>2</v>
      </c>
      <c r="N14" s="16" t="str">
        <f t="shared" si="2"/>
        <v>Present</v>
      </c>
    </row>
    <row r="15" spans="1:14" ht="30" x14ac:dyDescent="0.25">
      <c r="A15" s="14">
        <v>11</v>
      </c>
      <c r="B15" s="39" t="str">
        <f>Categorie!A19</f>
        <v xml:space="preserve">We charge for what customers are really willing to pay for </v>
      </c>
      <c r="C15" s="80">
        <v>5</v>
      </c>
      <c r="D15" s="13" t="str">
        <f t="shared" si="0"/>
        <v>Strength</v>
      </c>
      <c r="F15" s="14">
        <v>11</v>
      </c>
      <c r="G15" s="39" t="str">
        <f>Categorie!E24</f>
        <v xml:space="preserve">Where can we reduce costs? </v>
      </c>
      <c r="H15" s="83">
        <v>1</v>
      </c>
      <c r="I15" s="13" t="str">
        <f t="shared" si="1"/>
        <v>Low</v>
      </c>
      <c r="K15" s="14">
        <v>11</v>
      </c>
      <c r="L15" s="39" t="str">
        <f>Categorie!I39</f>
        <v>Is the quality of our activities threatened in any way?</v>
      </c>
      <c r="M15" s="79">
        <v>2</v>
      </c>
      <c r="N15" s="16" t="str">
        <f t="shared" si="2"/>
        <v>Present</v>
      </c>
    </row>
    <row r="16" spans="1:14" ht="30" x14ac:dyDescent="0.25">
      <c r="A16" s="14">
        <v>12</v>
      </c>
      <c r="B16" s="39" t="str">
        <f>Categorie!A20</f>
        <v xml:space="preserve">Our pricing mechanisms capture full willingness to pay </v>
      </c>
      <c r="C16" s="80">
        <v>5</v>
      </c>
      <c r="D16" s="13" t="str">
        <f t="shared" si="0"/>
        <v>Strength</v>
      </c>
      <c r="F16" s="14">
        <v>12</v>
      </c>
      <c r="G16" s="39" t="str">
        <f>Categorie!E31</f>
        <v>Could we use less costly resources to achieve the same result?</v>
      </c>
      <c r="H16" s="83">
        <v>1</v>
      </c>
      <c r="I16" s="13" t="str">
        <f t="shared" si="1"/>
        <v>Low</v>
      </c>
      <c r="K16" s="14">
        <v>12</v>
      </c>
      <c r="L16" s="39" t="str">
        <f>Categorie!I45</f>
        <v>Are we in danger of losing any partners?</v>
      </c>
      <c r="M16" s="79">
        <v>1</v>
      </c>
      <c r="N16" s="16" t="str">
        <f t="shared" si="2"/>
        <v>Low</v>
      </c>
    </row>
    <row r="17" spans="1:14" ht="30" x14ac:dyDescent="0.25">
      <c r="A17" s="14">
        <v>13</v>
      </c>
      <c r="B17" s="39" t="str">
        <f>Categorie!A24</f>
        <v>Our costs are predictable</v>
      </c>
      <c r="C17" s="80">
        <v>5</v>
      </c>
      <c r="D17" s="13" t="str">
        <f t="shared" si="0"/>
        <v>Strength</v>
      </c>
      <c r="F17" s="14">
        <v>13</v>
      </c>
      <c r="G17" s="39" t="str">
        <f>Categorie!E32</f>
        <v xml:space="preserve">Which Key Resources could be better sourced from partners? </v>
      </c>
      <c r="H17" s="83">
        <v>1</v>
      </c>
      <c r="I17" s="13" t="str">
        <f t="shared" si="1"/>
        <v>Low</v>
      </c>
      <c r="K17" s="14">
        <v>13</v>
      </c>
      <c r="L17" s="39" t="str">
        <f>Categorie!I46</f>
        <v xml:space="preserve"> Might our partners collaborate with competitors?</v>
      </c>
      <c r="M17" s="79">
        <v>2</v>
      </c>
      <c r="N17" s="16" t="str">
        <f t="shared" si="2"/>
        <v>Present</v>
      </c>
    </row>
    <row r="18" spans="1:14" ht="30" x14ac:dyDescent="0.25">
      <c r="A18" s="14">
        <v>14</v>
      </c>
      <c r="B18" s="39" t="str">
        <f>Categorie!A25</f>
        <v>Our Cost Structure is correctly matched to our business model</v>
      </c>
      <c r="C18" s="80">
        <v>5</v>
      </c>
      <c r="D18" s="13" t="str">
        <f t="shared" si="0"/>
        <v>Strength</v>
      </c>
      <c r="F18" s="14">
        <v>14</v>
      </c>
      <c r="G18" s="39" t="str">
        <f>Categorie!E33</f>
        <v>Which Key Resources are under-exploited?</v>
      </c>
      <c r="H18" s="83">
        <v>1</v>
      </c>
      <c r="I18" s="13" t="str">
        <f t="shared" si="1"/>
        <v>Low</v>
      </c>
      <c r="K18" s="14">
        <v>14</v>
      </c>
      <c r="L18" s="39" t="str">
        <f>Categorie!I47</f>
        <v>Are we too dependent on certain partners?</v>
      </c>
      <c r="M18" s="79">
        <v>1</v>
      </c>
      <c r="N18" s="16" t="str">
        <f t="shared" si="2"/>
        <v>Low</v>
      </c>
    </row>
    <row r="19" spans="1:14" ht="30" x14ac:dyDescent="0.25">
      <c r="A19" s="14">
        <v>15</v>
      </c>
      <c r="B19" s="39" t="str">
        <f>Categorie!A26</f>
        <v>Our operations are cost-efficient</v>
      </c>
      <c r="C19" s="80">
        <v>2</v>
      </c>
      <c r="D19" s="13" t="str">
        <f t="shared" si="0"/>
        <v>Strength</v>
      </c>
      <c r="F19" s="14">
        <v>15</v>
      </c>
      <c r="G19" s="39" t="str">
        <f>Categorie!E34</f>
        <v xml:space="preserve">Do we have unused intellectual property of value to others? </v>
      </c>
      <c r="H19" s="83">
        <v>1</v>
      </c>
      <c r="I19" s="13" t="str">
        <f t="shared" si="1"/>
        <v>Low</v>
      </c>
      <c r="K19" s="14">
        <v>15</v>
      </c>
      <c r="L19" s="39" t="str">
        <f>Categorie!I53</f>
        <v>Could our market be saturated soon?</v>
      </c>
      <c r="M19" s="79">
        <v>1</v>
      </c>
      <c r="N19" s="16" t="str">
        <f t="shared" si="2"/>
        <v>Low</v>
      </c>
    </row>
    <row r="20" spans="1:14" ht="30" x14ac:dyDescent="0.25">
      <c r="A20" s="14">
        <v>16</v>
      </c>
      <c r="B20" s="39" t="str">
        <f>Categorie!A27</f>
        <v>We benefit from economies of scale</v>
      </c>
      <c r="C20" s="80">
        <v>-3</v>
      </c>
      <c r="D20" s="13" t="str">
        <f t="shared" si="0"/>
        <v>Weakness</v>
      </c>
      <c r="F20" s="14">
        <v>16</v>
      </c>
      <c r="G20" s="39" t="str">
        <f>Categorie!E38</f>
        <v>Could we standardize some Key Activities?</v>
      </c>
      <c r="H20" s="83">
        <v>3</v>
      </c>
      <c r="I20" s="13" t="str">
        <f t="shared" si="1"/>
        <v>High</v>
      </c>
      <c r="K20" s="14">
        <v>16</v>
      </c>
      <c r="L20" s="39" t="str">
        <f>Categorie!I54</f>
        <v xml:space="preserve"> Are competitors threatening our market share?</v>
      </c>
      <c r="M20" s="79">
        <v>1</v>
      </c>
      <c r="N20" s="16" t="str">
        <f t="shared" si="2"/>
        <v>Low</v>
      </c>
    </row>
    <row r="21" spans="1:14" ht="30" x14ac:dyDescent="0.25">
      <c r="A21" s="14">
        <v>17</v>
      </c>
      <c r="B21" s="39" t="str">
        <f>Categorie!A31</f>
        <v>Our Key Resources are difficult for competitors to replicate</v>
      </c>
      <c r="C21" s="80">
        <v>5</v>
      </c>
      <c r="D21" s="13" t="str">
        <f t="shared" si="0"/>
        <v>Strength</v>
      </c>
      <c r="F21" s="14">
        <v>17</v>
      </c>
      <c r="G21" s="39" t="str">
        <f>Categorie!E39</f>
        <v xml:space="preserve"> How could we improve efficiency in general?</v>
      </c>
      <c r="H21" s="83">
        <v>1</v>
      </c>
      <c r="I21" s="13" t="str">
        <f t="shared" si="1"/>
        <v>Low</v>
      </c>
      <c r="K21" s="14">
        <v>17</v>
      </c>
      <c r="L21" s="39" t="str">
        <f>Categorie!I55</f>
        <v>How likely are customers to defect?</v>
      </c>
      <c r="M21" s="79">
        <v>4</v>
      </c>
      <c r="N21" s="16" t="str">
        <f t="shared" si="2"/>
        <v>Very high</v>
      </c>
    </row>
    <row r="22" spans="1:14" ht="30" x14ac:dyDescent="0.25">
      <c r="A22" s="14">
        <v>18</v>
      </c>
      <c r="B22" s="39" t="str">
        <f>Categorie!A32</f>
        <v>Resource needs are predictable</v>
      </c>
      <c r="C22" s="80">
        <v>5</v>
      </c>
      <c r="D22" s="13" t="str">
        <f t="shared" si="0"/>
        <v>Strength</v>
      </c>
      <c r="F22" s="14">
        <v>18</v>
      </c>
      <c r="G22" s="39" t="str">
        <f>Categorie!E40</f>
        <v>Would IT support boost efficiency?</v>
      </c>
      <c r="H22" s="83">
        <v>2</v>
      </c>
      <c r="I22" s="13" t="str">
        <f t="shared" si="1"/>
        <v>Present</v>
      </c>
      <c r="K22" s="14">
        <v>18</v>
      </c>
      <c r="L22" s="39" t="str">
        <f>Categorie!I56</f>
        <v>How quickly will competition in our market intensify?</v>
      </c>
      <c r="M22" s="79">
        <v>2</v>
      </c>
      <c r="N22" s="16" t="str">
        <f t="shared" si="2"/>
        <v>Present</v>
      </c>
    </row>
    <row r="23" spans="1:14" ht="30" x14ac:dyDescent="0.25">
      <c r="A23" s="14">
        <v>19</v>
      </c>
      <c r="B23" s="39" t="str">
        <f>Categorie!A33</f>
        <v>We deploy Key Resources in the right amount at the right time</v>
      </c>
      <c r="C23" s="80">
        <v>5</v>
      </c>
      <c r="D23" s="13" t="str">
        <f t="shared" si="0"/>
        <v>Strength</v>
      </c>
      <c r="F23" s="14">
        <v>19</v>
      </c>
      <c r="G23" s="39" t="str">
        <f>Categorie!E45</f>
        <v>Are there outsourcing opportunities?</v>
      </c>
      <c r="H23" s="83">
        <v>1</v>
      </c>
      <c r="I23" s="13" t="str">
        <f t="shared" si="1"/>
        <v>Low</v>
      </c>
      <c r="K23" s="14">
        <v>19</v>
      </c>
      <c r="L23" s="39" t="str">
        <f>Categorie!I60</f>
        <v>Do competitors threaten our Channels?</v>
      </c>
      <c r="M23" s="79">
        <v>1</v>
      </c>
      <c r="N23" s="16" t="str">
        <f t="shared" si="2"/>
        <v>Low</v>
      </c>
    </row>
    <row r="24" spans="1:14" ht="45" x14ac:dyDescent="0.25">
      <c r="A24" s="14">
        <v>20</v>
      </c>
      <c r="B24" s="39" t="str">
        <f>Categorie!A38</f>
        <v>We efficiently execute Key Activities</v>
      </c>
      <c r="C24" s="80">
        <v>1</v>
      </c>
      <c r="D24" s="13" t="str">
        <f t="shared" si="0"/>
        <v>Strength</v>
      </c>
      <c r="F24" s="14">
        <v>20</v>
      </c>
      <c r="G24" s="39" t="str">
        <f>Categorie!E46</f>
        <v>Could greater collaboration with partners help us focus on our core business?</v>
      </c>
      <c r="H24" s="83">
        <v>1</v>
      </c>
      <c r="I24" s="13" t="str">
        <f t="shared" si="1"/>
        <v>Low</v>
      </c>
      <c r="K24" s="14">
        <v>20</v>
      </c>
      <c r="L24" s="39" t="str">
        <f>Categorie!I61</f>
        <v>Are our Channels in danger of becoming irrelevant to customers?</v>
      </c>
      <c r="M24" s="79">
        <v>1</v>
      </c>
      <c r="N24" s="16" t="str">
        <f t="shared" si="2"/>
        <v>Low</v>
      </c>
    </row>
    <row r="25" spans="1:14" ht="30" x14ac:dyDescent="0.25">
      <c r="A25" s="14">
        <v>21</v>
      </c>
      <c r="B25" s="39" t="str">
        <f>Categorie!A39</f>
        <v>Our Key Activities are difficult to copy</v>
      </c>
      <c r="C25" s="80">
        <v>3</v>
      </c>
      <c r="D25" s="13" t="str">
        <f t="shared" si="0"/>
        <v>Strength</v>
      </c>
      <c r="F25" s="14">
        <v>21</v>
      </c>
      <c r="G25" s="39" t="str">
        <f>Categorie!E47</f>
        <v>Are there cross-selling opportunities with partners?</v>
      </c>
      <c r="H25" s="83">
        <v>2</v>
      </c>
      <c r="I25" s="13" t="str">
        <f t="shared" si="1"/>
        <v>Present</v>
      </c>
      <c r="K25" s="15">
        <v>21</v>
      </c>
      <c r="L25" s="40" t="str">
        <f>Categorie!I70</f>
        <v xml:space="preserve">Are any of our Customer Relationships in danger of deteriorating? </v>
      </c>
      <c r="M25" s="85">
        <v>2</v>
      </c>
      <c r="N25" s="16" t="str">
        <f t="shared" si="2"/>
        <v>Present</v>
      </c>
    </row>
    <row r="26" spans="1:14" ht="30" x14ac:dyDescent="0.25">
      <c r="A26" s="14">
        <v>22</v>
      </c>
      <c r="B26" s="39" t="str">
        <f>Categorie!A40</f>
        <v>Execution quality is high</v>
      </c>
      <c r="C26" s="80">
        <v>4</v>
      </c>
      <c r="D26" s="13" t="str">
        <f t="shared" si="0"/>
        <v>Strength</v>
      </c>
      <c r="F26" s="14">
        <v>22</v>
      </c>
      <c r="G26" s="39" t="str">
        <f>Categorie!E48</f>
        <v>Could partner Channels help us better reach customers?</v>
      </c>
      <c r="H26" s="83">
        <v>3</v>
      </c>
      <c r="I26" s="13" t="str">
        <f t="shared" si="1"/>
        <v>High</v>
      </c>
    </row>
    <row r="27" spans="1:14" ht="30" x14ac:dyDescent="0.25">
      <c r="A27" s="14">
        <v>23</v>
      </c>
      <c r="B27" s="39" t="str">
        <f>Categorie!A41</f>
        <v>Balance of in-house versus outsourced execution is ideal</v>
      </c>
      <c r="C27" s="80">
        <v>0</v>
      </c>
      <c r="D27" s="13" t="str">
        <f t="shared" si="0"/>
        <v>Strength</v>
      </c>
      <c r="F27" s="14">
        <v>23</v>
      </c>
      <c r="G27" s="39" t="str">
        <f>Categorie!E49</f>
        <v>Could partners complement our Value Proposition?</v>
      </c>
      <c r="H27" s="83">
        <v>2</v>
      </c>
      <c r="I27" s="13" t="str">
        <f t="shared" si="1"/>
        <v>Present</v>
      </c>
    </row>
    <row r="28" spans="1:14" ht="30" x14ac:dyDescent="0.25">
      <c r="A28" s="14">
        <v>24</v>
      </c>
      <c r="B28" s="39" t="str">
        <f>Categorie!A45</f>
        <v>We are focused and work with partners when necessary</v>
      </c>
      <c r="C28" s="80">
        <v>1</v>
      </c>
      <c r="D28" s="13" t="str">
        <f t="shared" si="0"/>
        <v>Strength</v>
      </c>
      <c r="F28" s="14">
        <v>24</v>
      </c>
      <c r="G28" s="39" t="str">
        <f>Categorie!E53</f>
        <v>How can we benefit from a growing market?</v>
      </c>
      <c r="H28" s="83">
        <v>4</v>
      </c>
      <c r="I28" s="13" t="str">
        <f t="shared" si="1"/>
        <v>Very high</v>
      </c>
    </row>
    <row r="29" spans="1:14" ht="30" x14ac:dyDescent="0.25">
      <c r="A29" s="14">
        <v>25</v>
      </c>
      <c r="B29" s="39" t="str">
        <f>Categorie!A46</f>
        <v>We enjoy good working relationships with Key Partners</v>
      </c>
      <c r="C29" s="80">
        <v>2</v>
      </c>
      <c r="D29" s="13" t="str">
        <f t="shared" si="0"/>
        <v>Strength</v>
      </c>
      <c r="F29" s="14">
        <v>25</v>
      </c>
      <c r="G29" s="39" t="str">
        <f>Categorie!E54</f>
        <v>Could we serve new Customer Segments?</v>
      </c>
      <c r="H29" s="83">
        <v>4</v>
      </c>
      <c r="I29" s="13" t="str">
        <f t="shared" si="1"/>
        <v>Very high</v>
      </c>
    </row>
    <row r="30" spans="1:14" ht="30" x14ac:dyDescent="0.25">
      <c r="A30" s="14">
        <v>26</v>
      </c>
      <c r="B30" s="39" t="str">
        <f>Categorie!A53</f>
        <v>Customer churn rates are low</v>
      </c>
      <c r="C30" s="80">
        <v>4</v>
      </c>
      <c r="D30" s="13" t="str">
        <f t="shared" si="0"/>
        <v>Strength</v>
      </c>
      <c r="F30" s="14">
        <v>26</v>
      </c>
      <c r="G30" s="39" t="str">
        <f>Categorie!E55</f>
        <v>Could we better serve our customers through finer segmentation?</v>
      </c>
      <c r="H30" s="83">
        <v>2</v>
      </c>
      <c r="I30" s="13" t="str">
        <f t="shared" si="1"/>
        <v>Present</v>
      </c>
    </row>
    <row r="31" spans="1:14" ht="30" x14ac:dyDescent="0.25">
      <c r="A31" s="14">
        <v>27</v>
      </c>
      <c r="B31" s="39" t="str">
        <f>Categorie!A54</f>
        <v>Customer base is well segmented</v>
      </c>
      <c r="C31" s="80">
        <v>4</v>
      </c>
      <c r="D31" s="13" t="str">
        <f t="shared" si="0"/>
        <v>Strength</v>
      </c>
      <c r="F31" s="14">
        <v>27</v>
      </c>
      <c r="G31" s="39" t="str">
        <f>Categorie!E60</f>
        <v>How could we improve channel efficiency or effectiveness?</v>
      </c>
      <c r="H31" s="83">
        <v>1</v>
      </c>
      <c r="I31" s="13" t="str">
        <f t="shared" si="1"/>
        <v>Low</v>
      </c>
    </row>
    <row r="32" spans="1:14" ht="30" x14ac:dyDescent="0.25">
      <c r="A32" s="14">
        <v>28</v>
      </c>
      <c r="B32" s="39" t="str">
        <f>Categorie!A55</f>
        <v xml:space="preserve"> We are continuously acquiring new customers</v>
      </c>
      <c r="C32" s="80">
        <v>1</v>
      </c>
      <c r="D32" s="13" t="str">
        <f t="shared" si="0"/>
        <v>Strength</v>
      </c>
      <c r="F32" s="14">
        <v>28</v>
      </c>
      <c r="G32" s="39" t="str">
        <f>Categorie!E61</f>
        <v>Could we integrate our Channels  better?</v>
      </c>
      <c r="H32" s="83">
        <v>1</v>
      </c>
      <c r="I32" s="13" t="str">
        <f t="shared" si="1"/>
        <v>Low</v>
      </c>
    </row>
    <row r="33" spans="1:9" ht="30" x14ac:dyDescent="0.25">
      <c r="A33" s="14">
        <v>29</v>
      </c>
      <c r="B33" s="39" t="str">
        <f>Categorie!A60</f>
        <v>Our Channels are very efficient</v>
      </c>
      <c r="C33" s="80">
        <v>0</v>
      </c>
      <c r="D33" s="13" t="str">
        <f t="shared" si="0"/>
        <v>Strength</v>
      </c>
      <c r="F33" s="14">
        <v>29</v>
      </c>
      <c r="G33" s="39" t="str">
        <f>Categorie!E62</f>
        <v>Could we find new complementary partner Channels?</v>
      </c>
      <c r="H33" s="83">
        <v>4</v>
      </c>
      <c r="I33" s="13" t="str">
        <f t="shared" si="1"/>
        <v>Very high</v>
      </c>
    </row>
    <row r="34" spans="1:9" ht="30" x14ac:dyDescent="0.25">
      <c r="A34" s="14">
        <v>30</v>
      </c>
      <c r="B34" s="39" t="str">
        <f>Categorie!A61</f>
        <v>Our Channels are very effective</v>
      </c>
      <c r="C34" s="80">
        <v>4</v>
      </c>
      <c r="D34" s="13" t="str">
        <f t="shared" si="0"/>
        <v>Strength</v>
      </c>
      <c r="F34" s="14">
        <v>30</v>
      </c>
      <c r="G34" s="39" t="str">
        <f>Categorie!E63</f>
        <v xml:space="preserve">Could we increase margins by directly serving customers? </v>
      </c>
      <c r="H34" s="83">
        <v>1</v>
      </c>
      <c r="I34" s="13" t="str">
        <f t="shared" si="1"/>
        <v>Low</v>
      </c>
    </row>
    <row r="35" spans="1:9" ht="30" x14ac:dyDescent="0.25">
      <c r="A35" s="14">
        <v>31</v>
      </c>
      <c r="B35" s="39" t="str">
        <f>Categorie!A62</f>
        <v>Channel reach is strong among customers</v>
      </c>
      <c r="C35" s="80">
        <v>-5</v>
      </c>
      <c r="D35" s="13" t="str">
        <f t="shared" si="0"/>
        <v>Weakness</v>
      </c>
      <c r="F35" s="14">
        <v>31</v>
      </c>
      <c r="G35" s="39" t="str">
        <f>Categorie!E64</f>
        <v>Could we better align Channels with Customer Segments?</v>
      </c>
      <c r="H35" s="83">
        <v>1</v>
      </c>
      <c r="I35" s="13" t="str">
        <f t="shared" si="1"/>
        <v>Low</v>
      </c>
    </row>
    <row r="36" spans="1:9" ht="30" x14ac:dyDescent="0.25">
      <c r="A36" s="14">
        <v>32</v>
      </c>
      <c r="B36" s="39" t="str">
        <f>Categorie!A63</f>
        <v>Customers can easily see our Channels</v>
      </c>
      <c r="C36" s="80">
        <v>-5</v>
      </c>
      <c r="D36" s="13" t="str">
        <f t="shared" si="0"/>
        <v>Weakness</v>
      </c>
      <c r="F36" s="14">
        <v>32</v>
      </c>
      <c r="G36" s="39" t="str">
        <f>Categorie!E70</f>
        <v>Is there potential to improve customer follow-up?</v>
      </c>
      <c r="H36" s="83">
        <v>2</v>
      </c>
      <c r="I36" s="13" t="str">
        <f t="shared" si="1"/>
        <v>Present</v>
      </c>
    </row>
    <row r="37" spans="1:9" ht="30" x14ac:dyDescent="0.25">
      <c r="A37" s="14">
        <v>33</v>
      </c>
      <c r="B37" s="39" t="str">
        <f>Categorie!A64</f>
        <v>Channels are strongly integrated</v>
      </c>
      <c r="C37" s="80">
        <v>0</v>
      </c>
      <c r="D37" s="13" t="str">
        <f t="shared" si="0"/>
        <v>Strength</v>
      </c>
      <c r="F37" s="14">
        <v>33</v>
      </c>
      <c r="G37" s="39" t="str">
        <f>Categorie!E71</f>
        <v xml:space="preserve">How could we tighten our relationships with customers?   </v>
      </c>
      <c r="H37" s="83">
        <v>2</v>
      </c>
      <c r="I37" s="13" t="str">
        <f t="shared" si="1"/>
        <v>Present</v>
      </c>
    </row>
    <row r="38" spans="1:9" x14ac:dyDescent="0.25">
      <c r="A38" s="14">
        <v>34</v>
      </c>
      <c r="B38" s="39" t="str">
        <f>Categorie!A65</f>
        <v>Channels provide economies of scope</v>
      </c>
      <c r="C38" s="80">
        <v>0</v>
      </c>
      <c r="D38" s="13" t="str">
        <f t="shared" si="0"/>
        <v>Strength</v>
      </c>
      <c r="F38" s="14">
        <v>34</v>
      </c>
      <c r="G38" s="39" t="str">
        <f>Categorie!E72</f>
        <v>Could we improve personalization?</v>
      </c>
      <c r="H38" s="83">
        <v>2</v>
      </c>
      <c r="I38" s="13" t="str">
        <f t="shared" si="1"/>
        <v>Present</v>
      </c>
    </row>
    <row r="39" spans="1:9" ht="30" x14ac:dyDescent="0.25">
      <c r="A39" s="14">
        <v>35</v>
      </c>
      <c r="B39" s="39" t="str">
        <f>Categorie!A66</f>
        <v xml:space="preserve">Channels are well matched to Customer Segments </v>
      </c>
      <c r="C39" s="80">
        <v>0</v>
      </c>
      <c r="D39" s="13" t="str">
        <f t="shared" si="0"/>
        <v>Strength</v>
      </c>
      <c r="F39" s="14">
        <v>35</v>
      </c>
      <c r="G39" s="39" t="str">
        <f>Categorie!E73</f>
        <v xml:space="preserve"> How could we increase switching costs?</v>
      </c>
      <c r="H39" s="83">
        <v>1</v>
      </c>
      <c r="I39" s="13" t="str">
        <f t="shared" si="1"/>
        <v>Low</v>
      </c>
    </row>
    <row r="40" spans="1:9" ht="45" x14ac:dyDescent="0.25">
      <c r="A40" s="14">
        <v>36</v>
      </c>
      <c r="B40" s="39" t="str">
        <f>Categorie!A70</f>
        <v>Strong Customer Relationships</v>
      </c>
      <c r="C40" s="80">
        <v>5</v>
      </c>
      <c r="D40" s="13" t="str">
        <f t="shared" si="0"/>
        <v>Strength</v>
      </c>
      <c r="F40" s="14">
        <v>36</v>
      </c>
      <c r="G40" s="39" t="str">
        <f>Categorie!E74</f>
        <v xml:space="preserve"> Have we identified and “fired” unprofitable customers? If not, why not?</v>
      </c>
      <c r="H40" s="83">
        <v>1</v>
      </c>
      <c r="I40" s="13" t="str">
        <f t="shared" si="1"/>
        <v>Low</v>
      </c>
    </row>
    <row r="41" spans="1:9" ht="30" x14ac:dyDescent="0.25">
      <c r="A41" s="14">
        <v>37</v>
      </c>
      <c r="B41" s="39" t="str">
        <f>Categorie!A71</f>
        <v>Relationship quality correctly matches Customer Segments</v>
      </c>
      <c r="C41" s="80">
        <v>4</v>
      </c>
      <c r="D41" s="13" t="str">
        <f t="shared" si="0"/>
        <v>Strength</v>
      </c>
      <c r="F41" s="15">
        <v>37</v>
      </c>
      <c r="G41" s="40" t="str">
        <f>Categorie!E75</f>
        <v xml:space="preserve">Do we need to automate some relationships? </v>
      </c>
      <c r="H41" s="84">
        <v>1</v>
      </c>
      <c r="I41" s="13" t="str">
        <f t="shared" si="1"/>
        <v>Low</v>
      </c>
    </row>
    <row r="42" spans="1:9" ht="30" x14ac:dyDescent="0.25">
      <c r="A42" s="14">
        <v>38</v>
      </c>
      <c r="B42" s="39" t="str">
        <f>Categorie!A72</f>
        <v>Relationships bind customers through high switching costs</v>
      </c>
      <c r="C42" s="80">
        <v>0</v>
      </c>
      <c r="D42" s="13" t="str">
        <f t="shared" si="0"/>
        <v>Strength</v>
      </c>
    </row>
    <row r="43" spans="1:9" x14ac:dyDescent="0.25">
      <c r="A43" s="15">
        <v>39</v>
      </c>
      <c r="B43" s="40" t="str">
        <f>Categorie!A73</f>
        <v>Our brand is strong</v>
      </c>
      <c r="C43" s="81">
        <v>3</v>
      </c>
      <c r="D43" s="13" t="str">
        <f t="shared" si="0"/>
        <v>Strength</v>
      </c>
      <c r="G43" s="4"/>
    </row>
    <row r="44" spans="1:9" x14ac:dyDescent="0.25">
      <c r="B44" s="4"/>
      <c r="G44" s="4"/>
    </row>
    <row r="45" spans="1:9" x14ac:dyDescent="0.25">
      <c r="B45" s="4"/>
      <c r="G45" s="4"/>
    </row>
    <row r="46" spans="1:9" x14ac:dyDescent="0.25">
      <c r="B46" s="4"/>
      <c r="G46" s="4"/>
    </row>
    <row r="47" spans="1:9" x14ac:dyDescent="0.25">
      <c r="B47" s="4"/>
      <c r="G47" s="4"/>
    </row>
    <row r="48" spans="1:9" x14ac:dyDescent="0.25">
      <c r="B48" s="4"/>
      <c r="G48" s="4"/>
    </row>
    <row r="49" spans="2:7" x14ac:dyDescent="0.25">
      <c r="B49" s="4"/>
      <c r="G49" s="4"/>
    </row>
    <row r="50" spans="2:7" x14ac:dyDescent="0.25">
      <c r="B50" s="4"/>
      <c r="G50" s="4"/>
    </row>
    <row r="51" spans="2:7" x14ac:dyDescent="0.25">
      <c r="B51" s="4"/>
      <c r="G51" s="4"/>
    </row>
    <row r="52" spans="2:7" x14ac:dyDescent="0.25">
      <c r="B52" s="4"/>
      <c r="G52" s="4"/>
    </row>
    <row r="53" spans="2:7" x14ac:dyDescent="0.25">
      <c r="B53" s="4"/>
      <c r="G53" s="4"/>
    </row>
    <row r="54" spans="2:7" x14ac:dyDescent="0.25">
      <c r="B54" s="4"/>
      <c r="G54" s="4"/>
    </row>
    <row r="55" spans="2:7" x14ac:dyDescent="0.25">
      <c r="B55" s="4"/>
      <c r="G55" s="4"/>
    </row>
    <row r="56" spans="2:7" x14ac:dyDescent="0.25">
      <c r="B56" s="4"/>
      <c r="G56" s="4"/>
    </row>
    <row r="57" spans="2:7" x14ac:dyDescent="0.25">
      <c r="B57" s="4"/>
    </row>
    <row r="58" spans="2:7" x14ac:dyDescent="0.25">
      <c r="B58" s="4"/>
    </row>
    <row r="59" spans="2:7" x14ac:dyDescent="0.25">
      <c r="B59" s="4"/>
    </row>
    <row r="60" spans="2:7" x14ac:dyDescent="0.25">
      <c r="B60" s="4"/>
    </row>
    <row r="61" spans="2:7" x14ac:dyDescent="0.25">
      <c r="B61" s="4"/>
    </row>
    <row r="62" spans="2:7" x14ac:dyDescent="0.25">
      <c r="B62" s="4"/>
    </row>
    <row r="63" spans="2:7" x14ac:dyDescent="0.25">
      <c r="B63" s="4"/>
    </row>
    <row r="64" spans="2:7" x14ac:dyDescent="0.25">
      <c r="B64" s="4"/>
    </row>
    <row r="65" spans="2:2" x14ac:dyDescent="0.25">
      <c r="B65" s="4"/>
    </row>
    <row r="66" spans="2:2" x14ac:dyDescent="0.25">
      <c r="B66" s="4"/>
    </row>
    <row r="67" spans="2:2" x14ac:dyDescent="0.25">
      <c r="B67" s="4"/>
    </row>
    <row r="68" spans="2:2" x14ac:dyDescent="0.25">
      <c r="B68" s="4"/>
    </row>
    <row r="69" spans="2:2" x14ac:dyDescent="0.25">
      <c r="B69" s="4"/>
    </row>
    <row r="70" spans="2:2" x14ac:dyDescent="0.25">
      <c r="B70" s="4"/>
    </row>
    <row r="71" spans="2:2" x14ac:dyDescent="0.25">
      <c r="B71" s="4"/>
    </row>
    <row r="72" spans="2:2" x14ac:dyDescent="0.25">
      <c r="B72" s="4"/>
    </row>
    <row r="73" spans="2:2" x14ac:dyDescent="0.25">
      <c r="B73" s="4"/>
    </row>
  </sheetData>
  <sheetProtection password="AD8C" sheet="1" objects="1" scenarios="1" selectLockedCells="1" selectUnlockedCells="1"/>
  <mergeCells count="6">
    <mergeCell ref="F3:I3"/>
    <mergeCell ref="J2:L2"/>
    <mergeCell ref="A3:D3"/>
    <mergeCell ref="A2:B2"/>
    <mergeCell ref="K3:N3"/>
    <mergeCell ref="E2:G2"/>
  </mergeCells>
  <dataValidations xWindow="358" yWindow="342" count="3">
    <dataValidation type="whole" allowBlank="1" showErrorMessage="1" errorTitle="Sterkte en Zwakte" error="De score voor Sterkte en Zwakte moet liggen tussen de -5 en 5." promptTitle="S/Z" prompt="De score bij sterkte en zwakte moet liggen tussen -5 en 5." sqref="C5:C43">
      <formula1>-5</formula1>
      <formula2>5</formula2>
    </dataValidation>
    <dataValidation type="whole" allowBlank="1" showInputMessage="1" showErrorMessage="1" errorTitle="Bedreiging" error="De waarde moet liggen tussen 1 en 5._x000a_" sqref="M5:M25">
      <formula1>1</formula1>
      <formula2>5</formula2>
    </dataValidation>
    <dataValidation type="whole" allowBlank="1" showInputMessage="1" showErrorMessage="1" errorTitle="Kansen" error="De waarde moet liggen tussen de 1 en de 5." sqref="H5:H41">
      <formula1>1</formula1>
      <formula2>5</formula2>
    </dataValidation>
  </dataValidations>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4"/>
  <sheetViews>
    <sheetView showGridLines="0" zoomScaleNormal="100" workbookViewId="0">
      <pane ySplit="3" topLeftCell="A10" activePane="bottomLeft" state="frozen"/>
      <selection pane="bottomLeft" activeCell="A5" sqref="A5"/>
    </sheetView>
  </sheetViews>
  <sheetFormatPr defaultRowHeight="15" x14ac:dyDescent="0.25"/>
  <cols>
    <col min="1" max="1" width="46.42578125" style="50" customWidth="1"/>
    <col min="5" max="5" width="40.85546875" style="50" customWidth="1"/>
    <col min="7" max="7" width="10.7109375" customWidth="1"/>
    <col min="9" max="9" width="37" style="50" customWidth="1"/>
    <col min="11" max="11" width="11.7109375" customWidth="1"/>
  </cols>
  <sheetData>
    <row r="1" spans="1:14" ht="28.5" x14ac:dyDescent="0.25">
      <c r="A1" s="44" t="s">
        <v>13</v>
      </c>
      <c r="B1" s="1"/>
      <c r="C1" s="1"/>
      <c r="D1" s="1"/>
      <c r="E1" s="51"/>
      <c r="F1" s="1"/>
      <c r="G1" s="1"/>
      <c r="H1" s="1"/>
      <c r="I1" s="51"/>
      <c r="J1" s="1"/>
      <c r="K1" s="1"/>
    </row>
    <row r="2" spans="1:14" x14ac:dyDescent="0.25">
      <c r="A2" s="66" t="s">
        <v>414</v>
      </c>
      <c r="B2" s="66"/>
      <c r="C2" s="66"/>
      <c r="E2" s="52" t="s">
        <v>420</v>
      </c>
      <c r="F2" s="11"/>
      <c r="G2" s="11"/>
      <c r="I2" s="66" t="s">
        <v>418</v>
      </c>
      <c r="J2" s="66"/>
      <c r="K2" s="66"/>
    </row>
    <row r="3" spans="1:14" x14ac:dyDescent="0.25">
      <c r="A3" s="45" t="s">
        <v>415</v>
      </c>
      <c r="B3" s="2" t="s">
        <v>0</v>
      </c>
      <c r="C3" s="2" t="s">
        <v>419</v>
      </c>
      <c r="E3" s="45" t="s">
        <v>415</v>
      </c>
      <c r="F3" s="2" t="s">
        <v>0</v>
      </c>
      <c r="G3" s="2" t="s">
        <v>417</v>
      </c>
      <c r="I3" s="45" t="s">
        <v>415</v>
      </c>
      <c r="J3" s="2" t="s">
        <v>0</v>
      </c>
      <c r="K3" s="2" t="s">
        <v>416</v>
      </c>
    </row>
    <row r="4" spans="1:14" x14ac:dyDescent="0.25">
      <c r="A4" s="46" t="s">
        <v>75</v>
      </c>
      <c r="B4" s="3"/>
      <c r="C4" s="3"/>
      <c r="E4" s="46" t="str">
        <f>A4</f>
        <v>Value Proposition</v>
      </c>
      <c r="F4" s="3"/>
      <c r="G4" s="3"/>
      <c r="I4" s="46" t="str">
        <f>A4</f>
        <v>Value Proposition</v>
      </c>
      <c r="J4" s="7"/>
      <c r="K4" s="7"/>
      <c r="L4" t="str">
        <f>A4</f>
        <v>Value Proposition</v>
      </c>
    </row>
    <row r="5" spans="1:14" ht="30" x14ac:dyDescent="0.25">
      <c r="A5" s="47" t="s">
        <v>62</v>
      </c>
      <c r="B5" s="10">
        <f>IF('Data Entry'!C5="","",'Data Entry'!C5)</f>
        <v>3</v>
      </c>
      <c r="C5" s="6" t="str">
        <f>IF(B5&lt;0,"Zwakte","Sterkte")</f>
        <v>Sterkte</v>
      </c>
      <c r="E5" s="49" t="s">
        <v>122</v>
      </c>
      <c r="F5" s="5">
        <f>IF('Data Entry'!H5="","",'Data Entry'!H5)</f>
        <v>1</v>
      </c>
      <c r="G5" s="6" t="str">
        <f t="shared" ref="G5:G10" si="0">IF(F5=5,"Extreem",IF(F5=4,"Zeer groot",IF(F5=3,"Groot",IF(F5=2,"Aanwezig","Matig"))))</f>
        <v>Matig</v>
      </c>
      <c r="I5" s="49" t="s">
        <v>101</v>
      </c>
      <c r="J5" s="5">
        <f>IF('Data Entry'!M5="","",'Data Entry'!M5)</f>
        <v>5</v>
      </c>
      <c r="K5" s="10" t="str">
        <f>IF(J5=-5,"Extreem",IF(J5=-4,"Zeer groot",IF(J5=-3,"Groot",IF(J5=-2,"Aanwezig","Matig"))))</f>
        <v>Matig</v>
      </c>
      <c r="L5" t="str">
        <f>A2</f>
        <v>strength / weakness</v>
      </c>
      <c r="N5" s="21">
        <f>B9</f>
        <v>1.75</v>
      </c>
    </row>
    <row r="6" spans="1:14" ht="30" x14ac:dyDescent="0.25">
      <c r="A6" s="48" t="s">
        <v>63</v>
      </c>
      <c r="B6" s="10">
        <f>IF('Data Entry'!C6="","",'Data Entry'!C6)</f>
        <v>-2</v>
      </c>
      <c r="C6" s="6" t="str">
        <f t="shared" ref="C6:C8" si="1">IF(B6&lt;0,"Zwakte","Sterkte")</f>
        <v>Zwakte</v>
      </c>
      <c r="E6" s="49" t="s">
        <v>123</v>
      </c>
      <c r="F6" s="5">
        <f>IF('Data Entry'!H6="","",'Data Entry'!H6)</f>
        <v>1</v>
      </c>
      <c r="G6" s="6" t="str">
        <f t="shared" si="0"/>
        <v>Matig</v>
      </c>
      <c r="I6" s="49" t="s">
        <v>102</v>
      </c>
      <c r="J6" s="5">
        <f>IF('Data Entry'!M6="","",'Data Entry'!M6)</f>
        <v>1</v>
      </c>
      <c r="K6" s="10" t="str">
        <f>IF(J6=-5,"Extreem",IF(J6=-4,"Zeer groot",IF(J6=-3,"Groot",IF(J6=-2,"Aanwezig","Matig"))))</f>
        <v>Matig</v>
      </c>
      <c r="L6" t="s">
        <v>416</v>
      </c>
      <c r="N6" s="23">
        <f>J7</f>
        <v>3</v>
      </c>
    </row>
    <row r="7" spans="1:14" ht="30" x14ac:dyDescent="0.25">
      <c r="A7" s="48" t="s">
        <v>64</v>
      </c>
      <c r="B7" s="10">
        <f>IF('Data Entry'!C7="","",'Data Entry'!C7)</f>
        <v>4</v>
      </c>
      <c r="C7" s="6" t="str">
        <f t="shared" si="1"/>
        <v>Sterkte</v>
      </c>
      <c r="E7" s="49" t="s">
        <v>124</v>
      </c>
      <c r="F7" s="5">
        <f>IF('Data Entry'!H7="","",'Data Entry'!H7)</f>
        <v>5</v>
      </c>
      <c r="G7" s="6" t="str">
        <f t="shared" si="0"/>
        <v>Extreem</v>
      </c>
      <c r="I7" s="46" t="s">
        <v>1</v>
      </c>
      <c r="J7" s="20">
        <f>IF(COUNTBLANK(J5:J6)=2,"",SUM(J5:J6)/2)</f>
        <v>3</v>
      </c>
      <c r="K7" s="10" t="str">
        <f>IF(J7=-5,"Extreem",IF(J7=-4,"Zeer groot",IF(J7=-3,"Groot",IF(J7=-2,"Aanwezig","Matig"))))</f>
        <v>Matig</v>
      </c>
      <c r="L7" t="s">
        <v>417</v>
      </c>
      <c r="N7" s="21">
        <f>F10</f>
        <v>2.8</v>
      </c>
    </row>
    <row r="8" spans="1:14" ht="30" x14ac:dyDescent="0.25">
      <c r="A8" s="48" t="s">
        <v>65</v>
      </c>
      <c r="B8" s="10">
        <f>IF('Data Entry'!C8="","",'Data Entry'!C8)</f>
        <v>2</v>
      </c>
      <c r="C8" s="6" t="str">
        <f t="shared" si="1"/>
        <v>Sterkte</v>
      </c>
      <c r="E8" s="49" t="s">
        <v>125</v>
      </c>
      <c r="F8" s="5">
        <f>IF('Data Entry'!H8="","",'Data Entry'!H8)</f>
        <v>4</v>
      </c>
      <c r="G8" s="6" t="str">
        <f t="shared" si="0"/>
        <v>Zeer groot</v>
      </c>
      <c r="I8" s="46"/>
      <c r="J8" s="20"/>
      <c r="K8" s="10"/>
    </row>
    <row r="9" spans="1:14" ht="30" x14ac:dyDescent="0.25">
      <c r="A9" s="46" t="s">
        <v>1</v>
      </c>
      <c r="B9" s="20">
        <f>IF(COUNTBLANK(B5:B8)=4,"",SUM(B5:B8)/4)</f>
        <v>1.75</v>
      </c>
      <c r="C9" s="6" t="str">
        <f>IF(B9&lt;0,"Zwakte","Sterkte")</f>
        <v>Sterkte</v>
      </c>
      <c r="E9" s="49" t="s">
        <v>126</v>
      </c>
      <c r="F9" s="5">
        <f>IF('Data Entry'!H9="","",'Data Entry'!H9)</f>
        <v>3</v>
      </c>
      <c r="G9" s="6" t="str">
        <f t="shared" si="0"/>
        <v>Groot</v>
      </c>
      <c r="I9" s="46"/>
      <c r="J9" s="20"/>
      <c r="K9" s="10"/>
    </row>
    <row r="10" spans="1:14" x14ac:dyDescent="0.25">
      <c r="A10" s="46"/>
      <c r="B10" s="20"/>
      <c r="C10" s="6"/>
      <c r="E10" s="46" t="s">
        <v>1</v>
      </c>
      <c r="F10" s="20">
        <f>IF(COUNTBLANK(F5:F9)=5,"",SUM(F5:F9)/5)</f>
        <v>2.8</v>
      </c>
      <c r="G10" s="6" t="str">
        <f t="shared" si="0"/>
        <v>Matig</v>
      </c>
      <c r="I10" s="46"/>
      <c r="J10" s="20"/>
      <c r="K10" s="10"/>
    </row>
    <row r="11" spans="1:14" x14ac:dyDescent="0.25">
      <c r="A11" s="43">
        <f>IF(COUNTBLANK(B5:B8)=4,"",SUM(B5:B8))</f>
        <v>7</v>
      </c>
      <c r="E11" s="43"/>
      <c r="I11" s="43"/>
      <c r="J11" s="8"/>
      <c r="K11" s="4"/>
    </row>
    <row r="12" spans="1:14" x14ac:dyDescent="0.25">
      <c r="A12" s="46" t="s">
        <v>396</v>
      </c>
      <c r="B12" s="3"/>
      <c r="C12" s="3"/>
      <c r="E12" s="46" t="str">
        <f>A12</f>
        <v>Revenue streams</v>
      </c>
      <c r="F12" s="3"/>
      <c r="G12" s="3"/>
      <c r="I12" s="46" t="str">
        <f>A12</f>
        <v>Revenue streams</v>
      </c>
      <c r="J12" s="7"/>
      <c r="K12" s="7"/>
    </row>
    <row r="13" spans="1:14" ht="30" x14ac:dyDescent="0.25">
      <c r="A13" s="48" t="s">
        <v>66</v>
      </c>
      <c r="B13" s="10">
        <f>IF('Data Entry'!C9="","",'Data Entry'!C9)</f>
        <v>3</v>
      </c>
      <c r="C13" s="6" t="str">
        <f t="shared" ref="C13:C21" si="2">IF(B13&lt;0,"Zwakte","Sterkte")</f>
        <v>Sterkte</v>
      </c>
      <c r="E13" s="49" t="s">
        <v>127</v>
      </c>
      <c r="F13" s="5">
        <f>IF('Data Entry'!H10="","",'Data Entry'!H10)</f>
        <v>1</v>
      </c>
      <c r="G13" s="6" t="str">
        <f t="shared" ref="G13:G18" si="3">IF(F13=5,"Extreem",IF(F13=4,"Zeer groot",IF(F13=3,"Groot",IF(F13=2,"Aanwezig","Matig"))))</f>
        <v>Matig</v>
      </c>
      <c r="I13" s="49" t="s">
        <v>103</v>
      </c>
      <c r="J13" s="5">
        <f>IF('Data Entry'!M7="","",'Data Entry'!M7)</f>
        <v>1</v>
      </c>
      <c r="K13" s="10" t="str">
        <f t="shared" ref="K13:K16" si="4">IF(J13=-5,"Extreem",IF(J13=-4,"Zeer groot",IF(J13=-3,"Groot",IF(J13=-2,"Aanwezig","Matig"))))</f>
        <v>Matig</v>
      </c>
    </row>
    <row r="14" spans="1:14" ht="30" x14ac:dyDescent="0.25">
      <c r="A14" s="48" t="s">
        <v>67</v>
      </c>
      <c r="B14" s="10">
        <f>IF('Data Entry'!C10="","",'Data Entry'!C10)</f>
        <v>-5</v>
      </c>
      <c r="C14" s="6" t="str">
        <f t="shared" si="2"/>
        <v>Zwakte</v>
      </c>
      <c r="E14" s="49" t="s">
        <v>128</v>
      </c>
      <c r="F14" s="5">
        <f>IF('Data Entry'!H11="","",'Data Entry'!H11)</f>
        <v>2</v>
      </c>
      <c r="G14" s="6" t="str">
        <f t="shared" si="3"/>
        <v>Aanwezig</v>
      </c>
      <c r="I14" s="49" t="s">
        <v>104</v>
      </c>
      <c r="J14" s="5">
        <f>IF('Data Entry'!M8="","",'Data Entry'!M8)</f>
        <v>1</v>
      </c>
      <c r="K14" s="10" t="str">
        <f t="shared" si="4"/>
        <v>Matig</v>
      </c>
    </row>
    <row r="15" spans="1:14" ht="30" x14ac:dyDescent="0.25">
      <c r="A15" s="48" t="s">
        <v>408</v>
      </c>
      <c r="B15" s="10">
        <f>IF('Data Entry'!C11="","",'Data Entry'!C11)</f>
        <v>-5</v>
      </c>
      <c r="C15" s="6" t="str">
        <f t="shared" si="2"/>
        <v>Zwakte</v>
      </c>
      <c r="E15" s="49" t="s">
        <v>129</v>
      </c>
      <c r="F15" s="5">
        <f>IF('Data Entry'!H12="","",'Data Entry'!H12)</f>
        <v>1</v>
      </c>
      <c r="G15" s="6" t="str">
        <f t="shared" si="3"/>
        <v>Matig</v>
      </c>
      <c r="I15" s="49" t="s">
        <v>105</v>
      </c>
      <c r="J15" s="5">
        <f>IF('Data Entry'!M9="","",'Data Entry'!M9)</f>
        <v>1</v>
      </c>
      <c r="K15" s="10" t="str">
        <f t="shared" si="4"/>
        <v>Matig</v>
      </c>
    </row>
    <row r="16" spans="1:14" ht="30" x14ac:dyDescent="0.25">
      <c r="A16" s="48" t="s">
        <v>68</v>
      </c>
      <c r="B16" s="10">
        <f>IF('Data Entry'!C12="","",'Data Entry'!C12)</f>
        <v>5</v>
      </c>
      <c r="C16" s="6" t="str">
        <f t="shared" si="2"/>
        <v>Sterkte</v>
      </c>
      <c r="E16" s="49" t="s">
        <v>130</v>
      </c>
      <c r="F16" s="5">
        <f>IF('Data Entry'!H13="","",'Data Entry'!H13)</f>
        <v>2</v>
      </c>
      <c r="G16" s="6" t="str">
        <f t="shared" si="3"/>
        <v>Aanwezig</v>
      </c>
      <c r="I16" s="46" t="s">
        <v>1</v>
      </c>
      <c r="J16" s="20">
        <f>IF(COUNTBLANK(J13:J15)=3,"",SUM(J13:J15)/3)</f>
        <v>1</v>
      </c>
      <c r="K16" s="10" t="str">
        <f t="shared" si="4"/>
        <v>Matig</v>
      </c>
    </row>
    <row r="17" spans="1:11" x14ac:dyDescent="0.25">
      <c r="A17" s="48" t="s">
        <v>69</v>
      </c>
      <c r="B17" s="10">
        <f>IF('Data Entry'!C13="","",'Data Entry'!C13)</f>
        <v>3</v>
      </c>
      <c r="C17" s="6" t="str">
        <f t="shared" si="2"/>
        <v>Sterkte</v>
      </c>
      <c r="E17" s="49" t="s">
        <v>131</v>
      </c>
      <c r="F17" s="5">
        <f>IF('Data Entry'!H14="","",'Data Entry'!H14)</f>
        <v>1</v>
      </c>
      <c r="G17" s="6" t="str">
        <f t="shared" si="3"/>
        <v>Matig</v>
      </c>
      <c r="I17" s="46"/>
      <c r="J17" s="20"/>
      <c r="K17" s="10"/>
    </row>
    <row r="18" spans="1:11" x14ac:dyDescent="0.25">
      <c r="A18" s="48" t="s">
        <v>70</v>
      </c>
      <c r="B18" s="10">
        <f>IF('Data Entry'!C14="","",'Data Entry'!C14)</f>
        <v>-5</v>
      </c>
      <c r="C18" s="6" t="str">
        <f t="shared" si="2"/>
        <v>Zwakte</v>
      </c>
      <c r="E18" s="46" t="s">
        <v>1</v>
      </c>
      <c r="F18" s="20">
        <f>IF(COUNTBLANK(F13:F17)=5,"",SUM(F13:F17)/5)</f>
        <v>1.4</v>
      </c>
      <c r="G18" s="6" t="str">
        <f t="shared" si="3"/>
        <v>Matig</v>
      </c>
      <c r="I18" s="46"/>
      <c r="J18" s="20"/>
      <c r="K18" s="10"/>
    </row>
    <row r="19" spans="1:11" ht="30" x14ac:dyDescent="0.25">
      <c r="A19" s="48" t="s">
        <v>71</v>
      </c>
      <c r="B19" s="10">
        <f>IF('Data Entry'!C15="","",'Data Entry'!C15)</f>
        <v>5</v>
      </c>
      <c r="C19" s="6" t="str">
        <f t="shared" si="2"/>
        <v>Sterkte</v>
      </c>
      <c r="E19" s="46"/>
      <c r="F19" s="20"/>
      <c r="G19" s="6"/>
      <c r="I19" s="46"/>
      <c r="J19" s="20"/>
      <c r="K19" s="10"/>
    </row>
    <row r="20" spans="1:11" ht="30" x14ac:dyDescent="0.25">
      <c r="A20" s="48" t="s">
        <v>72</v>
      </c>
      <c r="B20" s="10">
        <f>IF('Data Entry'!C16="","",'Data Entry'!C16)</f>
        <v>5</v>
      </c>
      <c r="C20" s="6" t="str">
        <f t="shared" si="2"/>
        <v>Sterkte</v>
      </c>
      <c r="E20" s="46"/>
      <c r="F20" s="20"/>
      <c r="G20" s="6"/>
      <c r="I20" s="46"/>
      <c r="J20" s="20"/>
      <c r="K20" s="10"/>
    </row>
    <row r="21" spans="1:11" x14ac:dyDescent="0.25">
      <c r="A21" s="46" t="s">
        <v>1</v>
      </c>
      <c r="B21" s="20">
        <f>IF(COUNTBLANK(B13:B20)=8,"",SUM(B13:B20)/8)</f>
        <v>0.75</v>
      </c>
      <c r="C21" s="6" t="str">
        <f t="shared" si="2"/>
        <v>Sterkte</v>
      </c>
      <c r="E21" s="46"/>
      <c r="F21" s="20"/>
      <c r="G21" s="6"/>
      <c r="I21" s="46"/>
      <c r="J21" s="20"/>
      <c r="K21" s="10"/>
    </row>
    <row r="22" spans="1:11" x14ac:dyDescent="0.25">
      <c r="A22" s="43"/>
      <c r="E22" s="43"/>
      <c r="I22" s="43"/>
      <c r="J22" s="4"/>
      <c r="K22" s="4"/>
    </row>
    <row r="23" spans="1:11" x14ac:dyDescent="0.25">
      <c r="A23" s="46" t="s">
        <v>76</v>
      </c>
      <c r="B23" s="3"/>
      <c r="C23" s="3"/>
      <c r="E23" s="46" t="str">
        <f>A23</f>
        <v>Costs</v>
      </c>
      <c r="F23" s="3"/>
      <c r="G23" s="3"/>
      <c r="I23" s="46" t="str">
        <f>A23</f>
        <v>Costs</v>
      </c>
      <c r="J23" s="7"/>
      <c r="K23" s="7"/>
    </row>
    <row r="24" spans="1:11" ht="30" x14ac:dyDescent="0.25">
      <c r="A24" s="48" t="s">
        <v>73</v>
      </c>
      <c r="B24" s="10">
        <f>IF('Data Entry'!C17="","",'Data Entry'!C17)</f>
        <v>5</v>
      </c>
      <c r="C24" s="6" t="str">
        <f t="shared" ref="C24:C28" si="5">IF(B24&lt;0,"Zwakte","Sterkte")</f>
        <v>Sterkte</v>
      </c>
      <c r="E24" s="49" t="s">
        <v>132</v>
      </c>
      <c r="F24" s="5">
        <f>IF('Data Entry'!H15="","",'Data Entry'!H15)</f>
        <v>1</v>
      </c>
      <c r="G24" s="6" t="str">
        <f>IF(F24=5,"Extreem",IF(F24=4,"Zeer groot",IF(F24=3,"Groot",IF(F24=2,"Aanwezig","Matig"))))</f>
        <v>Matig</v>
      </c>
      <c r="I24" s="49" t="s">
        <v>106</v>
      </c>
      <c r="J24" s="5">
        <f>IF('Data Entry'!M10="","",'Data Entry'!M10)</f>
        <v>1</v>
      </c>
      <c r="K24" s="10" t="str">
        <f t="shared" ref="K24:K26" si="6">IF(J24=-5,"Extreem",IF(J24=-4,"Zeer groot",IF(J24=-3,"Groot",IF(J24=-2,"Aanwezig","Matig"))))</f>
        <v>Matig</v>
      </c>
    </row>
    <row r="25" spans="1:11" ht="45" x14ac:dyDescent="0.25">
      <c r="A25" s="48" t="s">
        <v>74</v>
      </c>
      <c r="B25" s="10">
        <f>IF('Data Entry'!C18="","",'Data Entry'!C18)</f>
        <v>5</v>
      </c>
      <c r="C25" s="6" t="str">
        <f t="shared" si="5"/>
        <v>Sterkte</v>
      </c>
      <c r="E25" s="46" t="s">
        <v>1</v>
      </c>
      <c r="F25" s="20">
        <f>IF(COUNTBLANK(F24)=1,"",SUM(F24))</f>
        <v>1</v>
      </c>
      <c r="G25" s="6" t="str">
        <f>IF(F25=5,"Extreem",IF(F25=4,"Zeer groot",IF(F25=3,"Groot",IF(F25=2,"Aanwezig","Matig"))))</f>
        <v>Matig</v>
      </c>
      <c r="I25" s="49" t="s">
        <v>107</v>
      </c>
      <c r="J25" s="5">
        <f>IF('Data Entry'!M11="","",'Data Entry'!M11)</f>
        <v>1</v>
      </c>
      <c r="K25" s="10" t="str">
        <f t="shared" si="6"/>
        <v>Matig</v>
      </c>
    </row>
    <row r="26" spans="1:11" x14ac:dyDescent="0.25">
      <c r="A26" s="48" t="s">
        <v>409</v>
      </c>
      <c r="B26" s="10">
        <f>IF('Data Entry'!C19="","",'Data Entry'!C19)</f>
        <v>2</v>
      </c>
      <c r="C26" s="6" t="str">
        <f t="shared" si="5"/>
        <v>Sterkte</v>
      </c>
      <c r="E26" s="46"/>
      <c r="F26" s="20"/>
      <c r="G26" s="6"/>
      <c r="I26" s="46" t="s">
        <v>1</v>
      </c>
      <c r="J26" s="20">
        <f>IF(COUNTBLANK(J24:J25)=2,"",SUM(J24:J25)/2)</f>
        <v>1</v>
      </c>
      <c r="K26" s="10" t="str">
        <f t="shared" si="6"/>
        <v>Matig</v>
      </c>
    </row>
    <row r="27" spans="1:11" x14ac:dyDescent="0.25">
      <c r="A27" s="48" t="s">
        <v>77</v>
      </c>
      <c r="B27" s="10">
        <f>IF('Data Entry'!C20="","",'Data Entry'!C20)</f>
        <v>-3</v>
      </c>
      <c r="C27" s="6" t="str">
        <f t="shared" si="5"/>
        <v>Zwakte</v>
      </c>
      <c r="E27" s="46"/>
      <c r="F27" s="20"/>
      <c r="G27" s="6"/>
      <c r="I27" s="46"/>
      <c r="J27" s="20"/>
      <c r="K27" s="10"/>
    </row>
    <row r="28" spans="1:11" x14ac:dyDescent="0.25">
      <c r="A28" s="46" t="s">
        <v>1</v>
      </c>
      <c r="B28" s="20">
        <f>IF(COUNTBLANK(B24:B27)=4,"",SUM(B24:B27)/4)</f>
        <v>2.25</v>
      </c>
      <c r="C28" s="6" t="str">
        <f t="shared" si="5"/>
        <v>Sterkte</v>
      </c>
      <c r="E28" s="46"/>
      <c r="F28" s="20"/>
      <c r="G28" s="6"/>
      <c r="I28" s="46"/>
      <c r="J28" s="20"/>
      <c r="K28" s="10"/>
    </row>
    <row r="29" spans="1:11" x14ac:dyDescent="0.25">
      <c r="A29" s="43"/>
      <c r="E29" s="43"/>
      <c r="I29" s="43"/>
      <c r="J29" s="4"/>
      <c r="K29" s="4"/>
    </row>
    <row r="30" spans="1:11" x14ac:dyDescent="0.25">
      <c r="A30" s="46" t="s">
        <v>2</v>
      </c>
      <c r="B30" s="3"/>
      <c r="C30" s="3"/>
      <c r="E30" s="46" t="str">
        <f>A30</f>
        <v>Resources</v>
      </c>
      <c r="F30" s="3"/>
      <c r="G30" s="3"/>
      <c r="I30" s="46" t="str">
        <f>A30</f>
        <v>Resources</v>
      </c>
      <c r="J30" s="7"/>
      <c r="K30" s="7"/>
    </row>
    <row r="31" spans="1:11" ht="30" x14ac:dyDescent="0.25">
      <c r="A31" s="49" t="s">
        <v>78</v>
      </c>
      <c r="B31" s="10">
        <f>IF('Data Entry'!C21="","",'Data Entry'!C21)</f>
        <v>5</v>
      </c>
      <c r="C31" s="6" t="str">
        <f t="shared" ref="C31:C34" si="7">IF(B31&lt;0,"Zwakte","Sterkte")</f>
        <v>Sterkte</v>
      </c>
      <c r="E31" s="49" t="s">
        <v>133</v>
      </c>
      <c r="F31" s="5">
        <f>IF('Data Entry'!H16="","",'Data Entry'!H16)</f>
        <v>1</v>
      </c>
      <c r="G31" s="6" t="str">
        <f>IF(F31=5,"Extreem",IF(F31=4,"Zeer groot",IF(F31=3,"Groot",IF(F31=2,"Aanwezig","Matig"))))</f>
        <v>Matig</v>
      </c>
      <c r="I31" s="49" t="s">
        <v>108</v>
      </c>
      <c r="J31" s="5">
        <f>IF('Data Entry'!M12="","",'Data Entry'!M12)</f>
        <v>1</v>
      </c>
      <c r="K31" s="10" t="str">
        <f t="shared" ref="K31:K33" si="8">IF(J31=-5,"Extreem",IF(J31=-4,"Zeer groot",IF(J31=-3,"Groot",IF(J31=-2,"Aanwezig","Matig"))))</f>
        <v>Matig</v>
      </c>
    </row>
    <row r="32" spans="1:11" ht="30" x14ac:dyDescent="0.25">
      <c r="A32" s="49" t="s">
        <v>79</v>
      </c>
      <c r="B32" s="10">
        <f>IF('Data Entry'!C22="","",'Data Entry'!C22)</f>
        <v>5</v>
      </c>
      <c r="C32" s="6" t="str">
        <f t="shared" si="7"/>
        <v>Sterkte</v>
      </c>
      <c r="E32" s="49" t="s">
        <v>134</v>
      </c>
      <c r="F32" s="5">
        <f>IF('Data Entry'!H17="","",'Data Entry'!H17)</f>
        <v>1</v>
      </c>
      <c r="G32" s="6" t="str">
        <f>IF(F32=5,"Extreem",IF(F32=4,"Zeer groot",IF(F32=3,"Groot",IF(F32=2,"Aanwezig","Matig"))))</f>
        <v>Matig</v>
      </c>
      <c r="I32" s="49" t="s">
        <v>109</v>
      </c>
      <c r="J32" s="5">
        <f>IF('Data Entry'!M13="","",'Data Entry'!M13)</f>
        <v>1</v>
      </c>
      <c r="K32" s="10" t="str">
        <f t="shared" si="8"/>
        <v>Matig</v>
      </c>
    </row>
    <row r="33" spans="1:11" ht="30" x14ac:dyDescent="0.25">
      <c r="A33" s="49" t="s">
        <v>80</v>
      </c>
      <c r="B33" s="10">
        <f>IF('Data Entry'!C23="","",'Data Entry'!C23)</f>
        <v>5</v>
      </c>
      <c r="C33" s="6" t="str">
        <f t="shared" si="7"/>
        <v>Sterkte</v>
      </c>
      <c r="E33" s="49" t="s">
        <v>135</v>
      </c>
      <c r="F33" s="5">
        <f>IF('Data Entry'!H18="","",'Data Entry'!H18)</f>
        <v>1</v>
      </c>
      <c r="G33" s="6" t="str">
        <f>IF(F33=5,"Extreem",IF(F33=4,"Zeer groot",IF(F33=3,"Groot",IF(F33=2,"Aanwezig","Matig"))))</f>
        <v>Matig</v>
      </c>
      <c r="I33" s="46" t="s">
        <v>1</v>
      </c>
      <c r="J33" s="20">
        <f>IF(COUNTBLANK(J31:J32)=2,"",SUM(J31:J32)/2)</f>
        <v>1</v>
      </c>
      <c r="K33" s="10" t="str">
        <f t="shared" si="8"/>
        <v>Matig</v>
      </c>
    </row>
    <row r="34" spans="1:11" ht="30" x14ac:dyDescent="0.25">
      <c r="A34" s="46" t="s">
        <v>1</v>
      </c>
      <c r="B34" s="20">
        <f>IF(COUNTBLANK(B31:B33)=3,"",SUM(B31:B33)/3)</f>
        <v>5</v>
      </c>
      <c r="C34" s="6" t="str">
        <f t="shared" si="7"/>
        <v>Sterkte</v>
      </c>
      <c r="E34" s="49" t="s">
        <v>136</v>
      </c>
      <c r="F34" s="5">
        <f>IF('Data Entry'!H19="","",'Data Entry'!H19)</f>
        <v>1</v>
      </c>
      <c r="G34" s="6" t="str">
        <f>IF(F34=5,"Extreem",IF(F34=4,"Zeer groot",IF(F34=3,"Groot",IF(F34=2,"Aanwezig","Matig"))))</f>
        <v>Matig</v>
      </c>
      <c r="I34" s="46"/>
      <c r="J34" s="20"/>
      <c r="K34" s="10"/>
    </row>
    <row r="35" spans="1:11" x14ac:dyDescent="0.25">
      <c r="A35" s="46"/>
      <c r="B35" s="20"/>
      <c r="C35" s="6"/>
      <c r="E35" s="46" t="s">
        <v>1</v>
      </c>
      <c r="F35" s="20">
        <f>IF(COUNTBLANK(F31:F34)=4,"",SUM(F31:F34)/4)</f>
        <v>1</v>
      </c>
      <c r="G35" s="6" t="str">
        <f>IF(F35=5,"Extreem",IF(F35=4,"Zeer groot",IF(F35=3,"Groot",IF(F35=2,"Aanwezig","Matig"))))</f>
        <v>Matig</v>
      </c>
      <c r="I35" s="46"/>
      <c r="J35" s="20"/>
      <c r="K35" s="10"/>
    </row>
    <row r="36" spans="1:11" x14ac:dyDescent="0.25">
      <c r="A36" s="43"/>
      <c r="E36" s="43"/>
      <c r="I36" s="43"/>
      <c r="J36" s="4"/>
      <c r="K36" s="4"/>
    </row>
    <row r="37" spans="1:11" x14ac:dyDescent="0.25">
      <c r="A37" s="46" t="s">
        <v>81</v>
      </c>
      <c r="B37" s="3"/>
      <c r="C37" s="3"/>
      <c r="E37" s="46" t="str">
        <f>A37</f>
        <v>Activities</v>
      </c>
      <c r="F37" s="3"/>
      <c r="G37" s="3"/>
      <c r="I37" s="46" t="str">
        <f>A37</f>
        <v>Activities</v>
      </c>
      <c r="J37" s="7"/>
      <c r="K37" s="7"/>
    </row>
    <row r="38" spans="1:11" ht="30" x14ac:dyDescent="0.25">
      <c r="A38" s="49" t="s">
        <v>407</v>
      </c>
      <c r="B38" s="10">
        <f>IF('Data Entry'!C24="","",'Data Entry'!C24)</f>
        <v>1</v>
      </c>
      <c r="C38" s="6" t="str">
        <f t="shared" ref="C38:C42" si="9">IF(B38&lt;0,"Zwakte","Sterkte")</f>
        <v>Sterkte</v>
      </c>
      <c r="E38" s="49" t="s">
        <v>137</v>
      </c>
      <c r="F38" s="5">
        <f>IF('Data Entry'!H20="","",'Data Entry'!H20)</f>
        <v>3</v>
      </c>
      <c r="G38" s="6" t="str">
        <f>IF(F38=5,"Extreem",IF(F38=4,"Zeer groot",IF(F38=3,"Groot",IF(F38=2,"Aanwezig","Matig"))))</f>
        <v>Groot</v>
      </c>
      <c r="I38" s="49" t="s">
        <v>110</v>
      </c>
      <c r="J38" s="5">
        <f>IF('Data Entry'!M14="","",'Data Entry'!M14)</f>
        <v>2</v>
      </c>
      <c r="K38" s="10" t="str">
        <f t="shared" ref="K38:K40" si="10">IF(J38=-5,"Extreem",IF(J38=-4,"Zeer groot",IF(J38=-3,"Groot",IF(J38=-2,"Aanwezig","Matig"))))</f>
        <v>Matig</v>
      </c>
    </row>
    <row r="39" spans="1:11" ht="30" x14ac:dyDescent="0.25">
      <c r="A39" s="49" t="s">
        <v>82</v>
      </c>
      <c r="B39" s="10">
        <f>IF('Data Entry'!C25="","",'Data Entry'!C25)</f>
        <v>3</v>
      </c>
      <c r="C39" s="6" t="str">
        <f t="shared" si="9"/>
        <v>Sterkte</v>
      </c>
      <c r="E39" s="49" t="s">
        <v>138</v>
      </c>
      <c r="F39" s="5">
        <f>IF('Data Entry'!H21="","",'Data Entry'!H21)</f>
        <v>1</v>
      </c>
      <c r="G39" s="6" t="str">
        <f>IF(F39=5,"Extreem",IF(F39=4,"Zeer groot",IF(F39=3,"Groot",IF(F39=2,"Aanwezig","Matig"))))</f>
        <v>Matig</v>
      </c>
      <c r="I39" s="49" t="s">
        <v>111</v>
      </c>
      <c r="J39" s="5">
        <f>IF('Data Entry'!M15="","",'Data Entry'!M15)</f>
        <v>2</v>
      </c>
      <c r="K39" s="10" t="str">
        <f t="shared" si="10"/>
        <v>Matig</v>
      </c>
    </row>
    <row r="40" spans="1:11" x14ac:dyDescent="0.25">
      <c r="A40" s="49" t="s">
        <v>83</v>
      </c>
      <c r="B40" s="10">
        <f>IF('Data Entry'!C26="","",'Data Entry'!C26)</f>
        <v>4</v>
      </c>
      <c r="C40" s="6" t="str">
        <f t="shared" si="9"/>
        <v>Sterkte</v>
      </c>
      <c r="E40" s="49" t="s">
        <v>139</v>
      </c>
      <c r="F40" s="5">
        <f>IF('Data Entry'!H22="","",'Data Entry'!H22)</f>
        <v>2</v>
      </c>
      <c r="G40" s="6" t="str">
        <f>IF(F40=5,"Extreem",IF(F40=4,"Zeer groot",IF(F40=3,"Groot",IF(F40=2,"Aanwezig","Matig"))))</f>
        <v>Aanwezig</v>
      </c>
      <c r="I40" s="46" t="s">
        <v>1</v>
      </c>
      <c r="J40" s="20">
        <f>IF(COUNTBLANK(J38:J39)=2,"",SUM(J38:J39)/2)</f>
        <v>2</v>
      </c>
      <c r="K40" s="10" t="str">
        <f t="shared" si="10"/>
        <v>Matig</v>
      </c>
    </row>
    <row r="41" spans="1:11" ht="30" x14ac:dyDescent="0.25">
      <c r="A41" s="49" t="s">
        <v>84</v>
      </c>
      <c r="B41" s="10">
        <f>IF('Data Entry'!C27="","",'Data Entry'!C27)</f>
        <v>0</v>
      </c>
      <c r="C41" s="6" t="str">
        <f t="shared" si="9"/>
        <v>Sterkte</v>
      </c>
      <c r="E41" s="46" t="s">
        <v>1</v>
      </c>
      <c r="F41" s="20">
        <f>IF(COUNTBLANK(F38:F40)=3,"",SUM(F38:F40)/3)</f>
        <v>2</v>
      </c>
      <c r="G41" s="6" t="str">
        <f>IF(F41=5,"Extreem",IF(F41=4,"Zeer groot",IF(F41=3,"Groot",IF(F41=2,"Aanwezig","Matig"))))</f>
        <v>Aanwezig</v>
      </c>
      <c r="I41" s="46"/>
      <c r="J41" s="20"/>
      <c r="K41" s="10"/>
    </row>
    <row r="42" spans="1:11" x14ac:dyDescent="0.25">
      <c r="A42" s="46" t="s">
        <v>1</v>
      </c>
      <c r="B42" s="20">
        <f>IF(COUNTBLANK(B38:B41)=4,"",SUM(B38:B41)/4)</f>
        <v>2</v>
      </c>
      <c r="C42" s="6" t="str">
        <f t="shared" si="9"/>
        <v>Sterkte</v>
      </c>
      <c r="E42" s="46"/>
      <c r="F42" s="20"/>
      <c r="G42" s="6"/>
      <c r="I42" s="46"/>
      <c r="J42" s="20"/>
      <c r="K42" s="10"/>
    </row>
    <row r="43" spans="1:11" x14ac:dyDescent="0.25">
      <c r="A43" s="43"/>
      <c r="E43" s="43"/>
      <c r="I43" s="43"/>
      <c r="J43" s="4"/>
      <c r="K43" s="4"/>
    </row>
    <row r="44" spans="1:11" x14ac:dyDescent="0.25">
      <c r="A44" s="46" t="s">
        <v>3</v>
      </c>
      <c r="B44" s="3"/>
      <c r="C44" s="3"/>
      <c r="E44" s="46" t="str">
        <f>A44</f>
        <v>Partners</v>
      </c>
      <c r="F44" s="3"/>
      <c r="G44" s="3"/>
      <c r="I44" s="46" t="str">
        <f>A44</f>
        <v>Partners</v>
      </c>
      <c r="J44" s="7"/>
      <c r="K44" s="7"/>
    </row>
    <row r="45" spans="1:11" ht="30" x14ac:dyDescent="0.25">
      <c r="A45" s="49" t="s">
        <v>85</v>
      </c>
      <c r="B45" s="10">
        <f>IF('Data Entry'!C28="","",'Data Entry'!C28)</f>
        <v>1</v>
      </c>
      <c r="C45" s="6" t="str">
        <f t="shared" ref="C45:C47" si="11">IF(B45&lt;0,"Zwakte","Sterkte")</f>
        <v>Sterkte</v>
      </c>
      <c r="E45" s="49" t="s">
        <v>140</v>
      </c>
      <c r="F45" s="5">
        <f>IF('Data Entry'!H23="","",'Data Entry'!H23)</f>
        <v>1</v>
      </c>
      <c r="G45" s="6" t="str">
        <f t="shared" ref="G45:G50" si="12">IF(F45=5,"Extreem",IF(F45=4,"Zeer groot",IF(F45=3,"Groot",IF(F45=2,"Aanwezig","Matig"))))</f>
        <v>Matig</v>
      </c>
      <c r="I45" s="49" t="s">
        <v>112</v>
      </c>
      <c r="J45" s="5">
        <f>IF('Data Entry'!M16="","",'Data Entry'!M16)</f>
        <v>1</v>
      </c>
      <c r="K45" s="10" t="str">
        <f t="shared" ref="K45:K48" si="13">IF(J45=-5,"Extreem",IF(J45=-4,"Zeer groot",IF(J45=-3,"Groot",IF(J45=-2,"Aanwezig","Matig"))))</f>
        <v>Matig</v>
      </c>
    </row>
    <row r="46" spans="1:11" ht="30" x14ac:dyDescent="0.25">
      <c r="A46" s="49" t="s">
        <v>86</v>
      </c>
      <c r="B46" s="10">
        <f>IF('Data Entry'!C29="","",'Data Entry'!C29)</f>
        <v>2</v>
      </c>
      <c r="C46" s="6" t="str">
        <f t="shared" si="11"/>
        <v>Sterkte</v>
      </c>
      <c r="E46" s="49" t="s">
        <v>141</v>
      </c>
      <c r="F46" s="5">
        <f>IF('Data Entry'!H24="","",'Data Entry'!H24)</f>
        <v>1</v>
      </c>
      <c r="G46" s="6" t="str">
        <f t="shared" si="12"/>
        <v>Matig</v>
      </c>
      <c r="I46" s="49" t="s">
        <v>113</v>
      </c>
      <c r="J46" s="5">
        <f>IF('Data Entry'!M17="","",'Data Entry'!M17)</f>
        <v>2</v>
      </c>
      <c r="K46" s="10" t="str">
        <f t="shared" si="13"/>
        <v>Matig</v>
      </c>
    </row>
    <row r="47" spans="1:11" ht="30" x14ac:dyDescent="0.25">
      <c r="A47" s="46" t="s">
        <v>1</v>
      </c>
      <c r="B47" s="20">
        <f>IF(COUNTBLANK(B45:B46)=2,"",SUM(B45:B46)/2)</f>
        <v>1.5</v>
      </c>
      <c r="C47" s="6" t="str">
        <f t="shared" si="11"/>
        <v>Sterkte</v>
      </c>
      <c r="E47" s="49" t="s">
        <v>142</v>
      </c>
      <c r="F47" s="5">
        <f>IF('Data Entry'!H25="","",'Data Entry'!H25)</f>
        <v>2</v>
      </c>
      <c r="G47" s="6" t="str">
        <f t="shared" si="12"/>
        <v>Aanwezig</v>
      </c>
      <c r="I47" s="49" t="s">
        <v>114</v>
      </c>
      <c r="J47" s="5">
        <f>IF('Data Entry'!M18="","",'Data Entry'!M18)</f>
        <v>1</v>
      </c>
      <c r="K47" s="10" t="str">
        <f t="shared" si="13"/>
        <v>Matig</v>
      </c>
    </row>
    <row r="48" spans="1:11" ht="30" x14ac:dyDescent="0.25">
      <c r="A48" s="46"/>
      <c r="B48" s="20"/>
      <c r="C48" s="6"/>
      <c r="E48" s="49" t="s">
        <v>143</v>
      </c>
      <c r="F48" s="5">
        <f>IF('Data Entry'!H26="","",'Data Entry'!H26)</f>
        <v>3</v>
      </c>
      <c r="G48" s="6" t="str">
        <f t="shared" si="12"/>
        <v>Groot</v>
      </c>
      <c r="I48" s="46" t="s">
        <v>1</v>
      </c>
      <c r="J48" s="20">
        <f>IF(COUNTBLANK(J45:J47)=3,"",SUM(J45:J47)/3)</f>
        <v>1.3333333333333333</v>
      </c>
      <c r="K48" s="10" t="str">
        <f t="shared" si="13"/>
        <v>Matig</v>
      </c>
    </row>
    <row r="49" spans="1:11" ht="30" x14ac:dyDescent="0.25">
      <c r="A49" s="46"/>
      <c r="B49" s="20"/>
      <c r="C49" s="6"/>
      <c r="E49" s="49" t="s">
        <v>144</v>
      </c>
      <c r="F49" s="5">
        <f>IF('Data Entry'!H27="","",'Data Entry'!H27)</f>
        <v>2</v>
      </c>
      <c r="G49" s="6" t="str">
        <f t="shared" si="12"/>
        <v>Aanwezig</v>
      </c>
      <c r="I49" s="46"/>
      <c r="J49" s="20"/>
      <c r="K49" s="10"/>
    </row>
    <row r="50" spans="1:11" x14ac:dyDescent="0.25">
      <c r="A50" s="46"/>
      <c r="B50" s="20"/>
      <c r="C50" s="6"/>
      <c r="E50" s="46" t="s">
        <v>1</v>
      </c>
      <c r="F50" s="20">
        <f>IF(COUNTBLANK(F45:F49)=5,"",SUM(F45:F49)/5)</f>
        <v>1.8</v>
      </c>
      <c r="G50" s="6" t="str">
        <f t="shared" si="12"/>
        <v>Matig</v>
      </c>
      <c r="I50" s="46"/>
      <c r="J50" s="20"/>
      <c r="K50" s="10"/>
    </row>
    <row r="51" spans="1:11" x14ac:dyDescent="0.25">
      <c r="A51" s="43"/>
      <c r="E51" s="43"/>
      <c r="I51" s="43"/>
      <c r="J51" s="4"/>
      <c r="K51" s="4"/>
    </row>
    <row r="52" spans="1:11" x14ac:dyDescent="0.25">
      <c r="A52" s="46" t="s">
        <v>410</v>
      </c>
      <c r="B52" s="3"/>
      <c r="C52" s="3"/>
      <c r="E52" s="46" t="str">
        <f>A52</f>
        <v>Customer Segments</v>
      </c>
      <c r="F52" s="5"/>
      <c r="G52" s="6"/>
      <c r="I52" s="46" t="str">
        <f>A52</f>
        <v>Customer Segments</v>
      </c>
      <c r="J52" s="9"/>
      <c r="K52" s="7"/>
    </row>
    <row r="53" spans="1:11" ht="30" x14ac:dyDescent="0.25">
      <c r="A53" s="49" t="s">
        <v>87</v>
      </c>
      <c r="B53" s="10">
        <f>IF('Data Entry'!C30="","",'Data Entry'!C30)</f>
        <v>4</v>
      </c>
      <c r="C53" s="6" t="str">
        <f t="shared" ref="C53:C56" si="14">IF(B53&lt;0,"Zwakte","Sterkte")</f>
        <v>Sterkte</v>
      </c>
      <c r="E53" s="49" t="s">
        <v>411</v>
      </c>
      <c r="F53" s="5">
        <f>IF('Data Entry'!H28="","",'Data Entry'!H28)</f>
        <v>4</v>
      </c>
      <c r="G53" s="6" t="str">
        <f>IF(F53=5,"Extreem",IF(F53=4,"Zeer groot",IF(F53=3,"Groot",IF(F53=2,"Aanwezig","Matig"))))</f>
        <v>Zeer groot</v>
      </c>
      <c r="I53" s="49" t="s">
        <v>115</v>
      </c>
      <c r="J53" s="5">
        <f>IF('Data Entry'!M19="","",'Data Entry'!M19)</f>
        <v>1</v>
      </c>
      <c r="K53" s="10" t="str">
        <f t="shared" ref="K53:K57" si="15">IF(J53=-5,"Extreem",IF(J53=-4,"Zeer groot",IF(J53=-3,"Groot",IF(J53=-2,"Aanwezig","Matig"))))</f>
        <v>Matig</v>
      </c>
    </row>
    <row r="54" spans="1:11" ht="30" x14ac:dyDescent="0.25">
      <c r="A54" s="49" t="s">
        <v>88</v>
      </c>
      <c r="B54" s="10">
        <f>IF('Data Entry'!C31="","",'Data Entry'!C31)</f>
        <v>4</v>
      </c>
      <c r="C54" s="6" t="str">
        <f t="shared" si="14"/>
        <v>Sterkte</v>
      </c>
      <c r="E54" s="49" t="s">
        <v>145</v>
      </c>
      <c r="F54" s="5">
        <f>IF('Data Entry'!H29="","",'Data Entry'!H29)</f>
        <v>4</v>
      </c>
      <c r="G54" s="6" t="str">
        <f>IF(F54=5,"Extreem",IF(F54=4,"Zeer groot",IF(F54=3,"Groot",IF(F54=2,"Aanwezig","Matig"))))</f>
        <v>Zeer groot</v>
      </c>
      <c r="I54" s="49" t="s">
        <v>116</v>
      </c>
      <c r="J54" s="5">
        <f>IF('Data Entry'!M20="","",'Data Entry'!M20)</f>
        <v>1</v>
      </c>
      <c r="K54" s="10" t="str">
        <f t="shared" si="15"/>
        <v>Matig</v>
      </c>
    </row>
    <row r="55" spans="1:11" ht="30" x14ac:dyDescent="0.25">
      <c r="A55" s="49" t="s">
        <v>89</v>
      </c>
      <c r="B55" s="10">
        <f>IF('Data Entry'!C32="","",'Data Entry'!C32)</f>
        <v>1</v>
      </c>
      <c r="C55" s="6" t="str">
        <f t="shared" si="14"/>
        <v>Sterkte</v>
      </c>
      <c r="E55" s="49" t="s">
        <v>146</v>
      </c>
      <c r="F55" s="5">
        <f>IF('Data Entry'!H30="","",'Data Entry'!H30)</f>
        <v>2</v>
      </c>
      <c r="G55" s="6" t="str">
        <f>IF(F55=5,"Extreem",IF(F55=4,"Zeer groot",IF(F55=3,"Groot",IF(F55=2,"Aanwezig","Matig"))))</f>
        <v>Aanwezig</v>
      </c>
      <c r="I55" s="49" t="s">
        <v>117</v>
      </c>
      <c r="J55" s="5">
        <f>IF('Data Entry'!M21="","",'Data Entry'!M21)</f>
        <v>4</v>
      </c>
      <c r="K55" s="10" t="str">
        <f t="shared" si="15"/>
        <v>Matig</v>
      </c>
    </row>
    <row r="56" spans="1:11" ht="30" x14ac:dyDescent="0.25">
      <c r="A56" s="46" t="s">
        <v>1</v>
      </c>
      <c r="B56" s="20">
        <f>IF(COUNTBLANK(B53:B55)=3,"",SUM(B53:B55)/3)</f>
        <v>3</v>
      </c>
      <c r="C56" s="6" t="str">
        <f t="shared" si="14"/>
        <v>Sterkte</v>
      </c>
      <c r="E56" s="46" t="s">
        <v>1</v>
      </c>
      <c r="F56" s="20">
        <f>IF(COUNTBLANK(F53:F55)=3,"",SUM(F53:F55)/3)</f>
        <v>3.3333333333333335</v>
      </c>
      <c r="G56" s="6" t="str">
        <f>IF(F56=5,"Extreem",IF(F56=4,"Zeer groot",IF(F56=3,"Groot",IF(F56=2,"Aanwezig","Matig"))))</f>
        <v>Matig</v>
      </c>
      <c r="I56" s="49" t="s">
        <v>118</v>
      </c>
      <c r="J56" s="5">
        <f>IF('Data Entry'!M22="","",'Data Entry'!M22)</f>
        <v>2</v>
      </c>
      <c r="K56" s="10" t="str">
        <f t="shared" si="15"/>
        <v>Matig</v>
      </c>
    </row>
    <row r="57" spans="1:11" x14ac:dyDescent="0.25">
      <c r="A57" s="46"/>
      <c r="B57" s="20"/>
      <c r="C57" s="6"/>
      <c r="E57" s="46"/>
      <c r="F57" s="20"/>
      <c r="G57" s="6"/>
      <c r="I57" s="46" t="s">
        <v>1</v>
      </c>
      <c r="J57" s="20">
        <f>IF(COUNTBLANK(J53:J56)=4,"",SUM(J53:J56)/4)</f>
        <v>2</v>
      </c>
      <c r="K57" s="10" t="str">
        <f t="shared" si="15"/>
        <v>Matig</v>
      </c>
    </row>
    <row r="58" spans="1:11" x14ac:dyDescent="0.25">
      <c r="A58" s="43"/>
      <c r="E58" s="43"/>
      <c r="I58" s="43"/>
      <c r="J58" s="4"/>
      <c r="K58" s="4"/>
    </row>
    <row r="59" spans="1:11" x14ac:dyDescent="0.25">
      <c r="A59" s="46" t="s">
        <v>90</v>
      </c>
      <c r="B59" s="3"/>
      <c r="C59" s="3"/>
      <c r="E59" s="46" t="str">
        <f>A59</f>
        <v>Channels</v>
      </c>
      <c r="F59" s="3"/>
      <c r="G59" s="3"/>
      <c r="I59" s="46" t="str">
        <f>A59</f>
        <v>Channels</v>
      </c>
      <c r="J59" s="7"/>
      <c r="K59" s="7"/>
    </row>
    <row r="60" spans="1:11" ht="47.25" customHeight="1" x14ac:dyDescent="0.25">
      <c r="A60" s="49" t="s">
        <v>412</v>
      </c>
      <c r="B60" s="10">
        <f>IF('Data Entry'!C33="","",'Data Entry'!C33)</f>
        <v>0</v>
      </c>
      <c r="C60" s="6" t="str">
        <f t="shared" ref="C60:C67" si="16">IF(B60&lt;0,"Zwakte","Sterkte")</f>
        <v>Sterkte</v>
      </c>
      <c r="E60" s="49" t="s">
        <v>147</v>
      </c>
      <c r="F60" s="5">
        <f>IF('Data Entry'!H31="","",'Data Entry'!H31)</f>
        <v>1</v>
      </c>
      <c r="G60" s="6" t="str">
        <f t="shared" ref="G60:G65" si="17">IF(F60=5,"Extreem",IF(F60=4,"Zeer groot",IF(F60=3,"Groot",IF(F60=2,"Aanwezig","Matig"))))</f>
        <v>Matig</v>
      </c>
      <c r="I60" s="49" t="s">
        <v>119</v>
      </c>
      <c r="J60" s="5">
        <f>IF('Data Entry'!M23="","",'Data Entry'!M23)</f>
        <v>1</v>
      </c>
      <c r="K60" s="10" t="str">
        <f t="shared" ref="K60:K62" si="18">IF(J60=-5,"Extreem",IF(J60=-4,"Zeer groot",IF(J60=-3,"Groot",IF(J60=-2,"Aanwezig","Matig"))))</f>
        <v>Matig</v>
      </c>
    </row>
    <row r="61" spans="1:11" ht="45" customHeight="1" x14ac:dyDescent="0.25">
      <c r="A61" s="49" t="s">
        <v>91</v>
      </c>
      <c r="B61" s="10">
        <f>IF('Data Entry'!C34="","",'Data Entry'!C34)</f>
        <v>4</v>
      </c>
      <c r="C61" s="6" t="str">
        <f t="shared" si="16"/>
        <v>Sterkte</v>
      </c>
      <c r="E61" s="49" t="s">
        <v>148</v>
      </c>
      <c r="F61" s="5">
        <f>IF('Data Entry'!H32="","",'Data Entry'!H32)</f>
        <v>1</v>
      </c>
      <c r="G61" s="6" t="str">
        <f t="shared" si="17"/>
        <v>Matig</v>
      </c>
      <c r="I61" s="49" t="s">
        <v>120</v>
      </c>
      <c r="J61" s="5">
        <f>IF('Data Entry'!M24="","",'Data Entry'!M24)</f>
        <v>1</v>
      </c>
      <c r="K61" s="10" t="str">
        <f t="shared" si="18"/>
        <v>Matig</v>
      </c>
    </row>
    <row r="62" spans="1:11" ht="30" x14ac:dyDescent="0.25">
      <c r="A62" s="49" t="s">
        <v>92</v>
      </c>
      <c r="B62" s="10">
        <f>IF('Data Entry'!C35="","",'Data Entry'!C35)</f>
        <v>-5</v>
      </c>
      <c r="C62" s="6" t="str">
        <f t="shared" si="16"/>
        <v>Zwakte</v>
      </c>
      <c r="E62" s="49" t="s">
        <v>149</v>
      </c>
      <c r="F62" s="5">
        <f>IF('Data Entry'!H33="","",'Data Entry'!H33)</f>
        <v>4</v>
      </c>
      <c r="G62" s="6" t="str">
        <f t="shared" si="17"/>
        <v>Zeer groot</v>
      </c>
      <c r="I62" s="46" t="s">
        <v>1</v>
      </c>
      <c r="J62" s="20">
        <f>IF(COUNTBLANK(J60:J61)=2,"",SUM(J60:J61)/2)</f>
        <v>1</v>
      </c>
      <c r="K62" s="10" t="str">
        <f t="shared" si="18"/>
        <v>Matig</v>
      </c>
    </row>
    <row r="63" spans="1:11" ht="30" x14ac:dyDescent="0.25">
      <c r="A63" s="49" t="s">
        <v>93</v>
      </c>
      <c r="B63" s="10">
        <f>IF('Data Entry'!C36="","",'Data Entry'!C36)</f>
        <v>-5</v>
      </c>
      <c r="C63" s="6" t="str">
        <f t="shared" si="16"/>
        <v>Zwakte</v>
      </c>
      <c r="E63" s="49" t="s">
        <v>150</v>
      </c>
      <c r="F63" s="5">
        <f>IF('Data Entry'!H34="","",'Data Entry'!H34)</f>
        <v>1</v>
      </c>
      <c r="G63" s="6" t="str">
        <f t="shared" si="17"/>
        <v>Matig</v>
      </c>
      <c r="I63" s="46"/>
      <c r="J63" s="20"/>
      <c r="K63" s="10"/>
    </row>
    <row r="64" spans="1:11" ht="30" x14ac:dyDescent="0.25">
      <c r="A64" s="49" t="s">
        <v>94</v>
      </c>
      <c r="B64" s="10">
        <f>IF('Data Entry'!C37="","",'Data Entry'!C37)</f>
        <v>0</v>
      </c>
      <c r="C64" s="6" t="str">
        <f t="shared" si="16"/>
        <v>Sterkte</v>
      </c>
      <c r="E64" s="49" t="s">
        <v>151</v>
      </c>
      <c r="F64" s="5">
        <f>IF('Data Entry'!H35="","",'Data Entry'!H35)</f>
        <v>1</v>
      </c>
      <c r="G64" s="6" t="str">
        <f t="shared" si="17"/>
        <v>Matig</v>
      </c>
      <c r="I64" s="46"/>
      <c r="J64" s="20"/>
      <c r="K64" s="10"/>
    </row>
    <row r="65" spans="1:11" x14ac:dyDescent="0.25">
      <c r="A65" s="49" t="s">
        <v>95</v>
      </c>
      <c r="B65" s="10">
        <f>IF('Data Entry'!C38="","",'Data Entry'!C38)</f>
        <v>0</v>
      </c>
      <c r="C65" s="6" t="str">
        <f t="shared" si="16"/>
        <v>Sterkte</v>
      </c>
      <c r="E65" s="46" t="s">
        <v>1</v>
      </c>
      <c r="F65" s="20">
        <f>IF(COUNTBLANK(F60:F64)=5,"",SUM(F60:F64)/5)</f>
        <v>1.6</v>
      </c>
      <c r="G65" s="6" t="str">
        <f t="shared" si="17"/>
        <v>Matig</v>
      </c>
      <c r="I65" s="46"/>
      <c r="J65" s="20"/>
      <c r="K65" s="10"/>
    </row>
    <row r="66" spans="1:11" ht="30" x14ac:dyDescent="0.25">
      <c r="A66" s="49" t="s">
        <v>96</v>
      </c>
      <c r="B66" s="10">
        <f>IF('Data Entry'!C39="","",'Data Entry'!C39)</f>
        <v>0</v>
      </c>
      <c r="C66" s="6" t="str">
        <f t="shared" si="16"/>
        <v>Sterkte</v>
      </c>
      <c r="E66" s="46"/>
      <c r="F66" s="20"/>
      <c r="G66" s="6"/>
      <c r="I66" s="46"/>
      <c r="J66" s="20"/>
      <c r="K66" s="10"/>
    </row>
    <row r="67" spans="1:11" x14ac:dyDescent="0.25">
      <c r="A67" s="46" t="s">
        <v>1</v>
      </c>
      <c r="B67" s="20">
        <f>IF(COUNTBLANK(B60:B66)=7,"",SUM(B60:B66)/7)</f>
        <v>-0.8571428571428571</v>
      </c>
      <c r="C67" s="6" t="str">
        <f t="shared" si="16"/>
        <v>Zwakte</v>
      </c>
      <c r="E67" s="46"/>
      <c r="F67" s="20"/>
      <c r="G67" s="6"/>
      <c r="I67" s="46"/>
      <c r="J67" s="20"/>
      <c r="K67" s="10"/>
    </row>
    <row r="68" spans="1:11" x14ac:dyDescent="0.25">
      <c r="A68" s="43"/>
      <c r="E68" s="43"/>
      <c r="I68" s="43"/>
      <c r="J68" s="4"/>
      <c r="K68" s="4"/>
    </row>
    <row r="69" spans="1:11" x14ac:dyDescent="0.25">
      <c r="A69" s="46" t="s">
        <v>413</v>
      </c>
      <c r="B69" s="3"/>
      <c r="C69" s="3"/>
      <c r="E69" s="46" t="str">
        <f>A69</f>
        <v>Customer relationships</v>
      </c>
      <c r="F69" s="3"/>
      <c r="G69" s="3"/>
      <c r="I69" s="46" t="str">
        <f>A69</f>
        <v>Customer relationships</v>
      </c>
      <c r="J69" s="7"/>
      <c r="K69" s="7"/>
    </row>
    <row r="70" spans="1:11" ht="30" x14ac:dyDescent="0.25">
      <c r="A70" s="49" t="s">
        <v>97</v>
      </c>
      <c r="B70" s="10">
        <f>IF('Data Entry'!C40="","",'Data Entry'!C40)</f>
        <v>5</v>
      </c>
      <c r="C70" s="6" t="str">
        <f t="shared" ref="C70:C74" si="19">IF(B70&lt;0,"Zwakte","Sterkte")</f>
        <v>Sterkte</v>
      </c>
      <c r="E70" s="49" t="s">
        <v>152</v>
      </c>
      <c r="F70" s="5">
        <f>IF('Data Entry'!H36="","",'Data Entry'!H36)</f>
        <v>2</v>
      </c>
      <c r="G70" s="6" t="str">
        <f t="shared" ref="G70:G76" si="20">IF(F70=5,"Extreem",IF(F70=4,"Zeer groot",IF(F70=3,"Groot",IF(F70=2,"Aanwezig","Matig"))))</f>
        <v>Aanwezig</v>
      </c>
      <c r="I70" s="49" t="s">
        <v>121</v>
      </c>
      <c r="J70" s="5">
        <f>IF('Data Entry'!M25="","",'Data Entry'!M25)</f>
        <v>2</v>
      </c>
      <c r="K70" s="10" t="str">
        <f t="shared" ref="K70:K71" si="21">IF(J70=-5,"Extreem",IF(J70=-4,"Zeer groot",IF(J70=-3,"Groot",IF(J70=-2,"Aanwezig","Matig"))))</f>
        <v>Matig</v>
      </c>
    </row>
    <row r="71" spans="1:11" ht="30" x14ac:dyDescent="0.25">
      <c r="A71" s="49" t="s">
        <v>98</v>
      </c>
      <c r="B71" s="10">
        <f>IF('Data Entry'!C41="","",'Data Entry'!C41)</f>
        <v>4</v>
      </c>
      <c r="C71" s="6" t="str">
        <f t="shared" si="19"/>
        <v>Sterkte</v>
      </c>
      <c r="E71" s="49" t="s">
        <v>153</v>
      </c>
      <c r="F71" s="5">
        <f>IF('Data Entry'!H37="","",'Data Entry'!H37)</f>
        <v>2</v>
      </c>
      <c r="G71" s="6" t="str">
        <f t="shared" si="20"/>
        <v>Aanwezig</v>
      </c>
      <c r="I71" s="46" t="s">
        <v>1</v>
      </c>
      <c r="J71" s="20">
        <f>IF(COUNTBLANK(J70)=1,"",SUM(J70))</f>
        <v>2</v>
      </c>
      <c r="K71" s="10" t="str">
        <f t="shared" si="21"/>
        <v>Matig</v>
      </c>
    </row>
    <row r="72" spans="1:11" ht="30" x14ac:dyDescent="0.25">
      <c r="A72" s="49" t="s">
        <v>99</v>
      </c>
      <c r="B72" s="10">
        <f>IF('Data Entry'!C42="","",'Data Entry'!C42)</f>
        <v>0</v>
      </c>
      <c r="C72" s="6" t="str">
        <f t="shared" si="19"/>
        <v>Sterkte</v>
      </c>
      <c r="E72" s="49" t="s">
        <v>154</v>
      </c>
      <c r="F72" s="5">
        <f>IF('Data Entry'!H38="","",'Data Entry'!H38)</f>
        <v>2</v>
      </c>
      <c r="G72" s="6" t="str">
        <f t="shared" si="20"/>
        <v>Aanwezig</v>
      </c>
    </row>
    <row r="73" spans="1:11" x14ac:dyDescent="0.25">
      <c r="A73" s="49" t="s">
        <v>100</v>
      </c>
      <c r="B73" s="10">
        <f>IF('Data Entry'!C43="","",'Data Entry'!C43)</f>
        <v>3</v>
      </c>
      <c r="C73" s="6" t="str">
        <f t="shared" si="19"/>
        <v>Sterkte</v>
      </c>
      <c r="E73" s="49" t="s">
        <v>155</v>
      </c>
      <c r="F73" s="5">
        <f>IF('Data Entry'!H39="","",'Data Entry'!H39)</f>
        <v>1</v>
      </c>
      <c r="G73" s="6" t="str">
        <f t="shared" si="20"/>
        <v>Matig</v>
      </c>
    </row>
    <row r="74" spans="1:11" ht="30" x14ac:dyDescent="0.25">
      <c r="A74" s="46" t="s">
        <v>1</v>
      </c>
      <c r="B74" s="20">
        <f>IF(COUNTBLANK(B70:B73)=4,"",SUM(B70:B73)/4)</f>
        <v>3</v>
      </c>
      <c r="C74" s="6" t="str">
        <f t="shared" si="19"/>
        <v>Sterkte</v>
      </c>
      <c r="E74" s="49" t="s">
        <v>156</v>
      </c>
      <c r="F74" s="5">
        <f>IF('Data Entry'!H40="","",'Data Entry'!H40)</f>
        <v>1</v>
      </c>
      <c r="G74" s="6" t="str">
        <f t="shared" si="20"/>
        <v>Matig</v>
      </c>
    </row>
    <row r="75" spans="1:11" ht="30" x14ac:dyDescent="0.25">
      <c r="A75" s="43"/>
      <c r="E75" s="49" t="s">
        <v>157</v>
      </c>
      <c r="F75" s="5">
        <f>IF('Data Entry'!H41="","",'Data Entry'!H41)</f>
        <v>1</v>
      </c>
      <c r="G75" s="6" t="str">
        <f t="shared" si="20"/>
        <v>Matig</v>
      </c>
    </row>
    <row r="76" spans="1:11" x14ac:dyDescent="0.25">
      <c r="A76" s="43"/>
      <c r="E76" s="46" t="s">
        <v>1</v>
      </c>
      <c r="F76" s="20">
        <f>IF(COUNTBLANK(F70:F75)=6,"",SUM(F70:F75)/6)</f>
        <v>1.5</v>
      </c>
      <c r="G76" s="3" t="str">
        <f t="shared" si="20"/>
        <v>Matig</v>
      </c>
    </row>
    <row r="77" spans="1:11" x14ac:dyDescent="0.25">
      <c r="A77" s="43"/>
      <c r="I77" s="43"/>
    </row>
    <row r="78" spans="1:11" x14ac:dyDescent="0.25">
      <c r="A78" s="43"/>
      <c r="I78" s="43"/>
    </row>
    <row r="79" spans="1:11" x14ac:dyDescent="0.25">
      <c r="A79" s="43"/>
      <c r="I79" s="43"/>
    </row>
    <row r="80" spans="1:11" x14ac:dyDescent="0.25">
      <c r="A80" s="43"/>
      <c r="I80" s="43"/>
    </row>
    <row r="81" spans="1:9" x14ac:dyDescent="0.25">
      <c r="A81" s="43"/>
      <c r="I81" s="43"/>
    </row>
    <row r="82" spans="1:9" x14ac:dyDescent="0.25">
      <c r="A82" s="43"/>
      <c r="I82" s="43"/>
    </row>
    <row r="83" spans="1:9" x14ac:dyDescent="0.25">
      <c r="A83" s="43"/>
      <c r="I83" s="43"/>
    </row>
    <row r="84" spans="1:9" x14ac:dyDescent="0.25">
      <c r="A84" s="43"/>
      <c r="I84" s="43"/>
    </row>
    <row r="85" spans="1:9" x14ac:dyDescent="0.25">
      <c r="A85" s="43"/>
      <c r="I85" s="43"/>
    </row>
    <row r="86" spans="1:9" x14ac:dyDescent="0.25">
      <c r="A86" s="43"/>
      <c r="I86" s="43"/>
    </row>
    <row r="87" spans="1:9" x14ac:dyDescent="0.25">
      <c r="A87" s="43"/>
      <c r="I87" s="43"/>
    </row>
    <row r="88" spans="1:9" x14ac:dyDescent="0.25">
      <c r="A88" s="43"/>
      <c r="I88" s="43"/>
    </row>
    <row r="89" spans="1:9" x14ac:dyDescent="0.25">
      <c r="A89" s="43"/>
      <c r="I89" s="43"/>
    </row>
    <row r="90" spans="1:9" x14ac:dyDescent="0.25">
      <c r="A90" s="43"/>
      <c r="I90" s="43"/>
    </row>
    <row r="91" spans="1:9" x14ac:dyDescent="0.25">
      <c r="A91" s="43"/>
    </row>
    <row r="92" spans="1:9" x14ac:dyDescent="0.25">
      <c r="A92" s="43"/>
    </row>
    <row r="93" spans="1:9" x14ac:dyDescent="0.25">
      <c r="A93" s="43"/>
    </row>
    <row r="94" spans="1:9" x14ac:dyDescent="0.25">
      <c r="A94" s="43"/>
    </row>
    <row r="95" spans="1:9" x14ac:dyDescent="0.25">
      <c r="A95" s="43"/>
    </row>
    <row r="96" spans="1:9" x14ac:dyDescent="0.25">
      <c r="A96" s="43"/>
    </row>
    <row r="97" spans="1:1" x14ac:dyDescent="0.25">
      <c r="A97" s="43"/>
    </row>
    <row r="98" spans="1:1" x14ac:dyDescent="0.25">
      <c r="A98" s="43"/>
    </row>
    <row r="99" spans="1:1" x14ac:dyDescent="0.25">
      <c r="A99" s="43"/>
    </row>
    <row r="100" spans="1:1" x14ac:dyDescent="0.25">
      <c r="A100" s="43"/>
    </row>
    <row r="101" spans="1:1" x14ac:dyDescent="0.25">
      <c r="A101" s="43"/>
    </row>
    <row r="102" spans="1:1" x14ac:dyDescent="0.25">
      <c r="A102" s="43"/>
    </row>
    <row r="103" spans="1:1" x14ac:dyDescent="0.25">
      <c r="A103" s="43"/>
    </row>
    <row r="104" spans="1:1" x14ac:dyDescent="0.25">
      <c r="A104" s="43"/>
    </row>
  </sheetData>
  <sheetProtection selectLockedCells="1"/>
  <mergeCells count="2">
    <mergeCell ref="A2:C2"/>
    <mergeCell ref="I2:K2"/>
  </mergeCells>
  <pageMargins left="0.7" right="0.7" top="0.75" bottom="0.75" header="0.3" footer="0.3"/>
  <pageSetup paperSize="9" orientation="landscape" r:id="rId1"/>
  <ignoredErrors>
    <ignoredError sqref="F6"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0"/>
  <sheetViews>
    <sheetView topLeftCell="A213" workbookViewId="0">
      <selection activeCell="F226" sqref="F226"/>
    </sheetView>
  </sheetViews>
  <sheetFormatPr defaultRowHeight="15" x14ac:dyDescent="0.25"/>
  <cols>
    <col min="2" max="2" width="60.28515625" customWidth="1"/>
  </cols>
  <sheetData>
    <row r="1" spans="1:10" x14ac:dyDescent="0.25">
      <c r="A1" t="s">
        <v>292</v>
      </c>
    </row>
    <row r="2" spans="1:10" x14ac:dyDescent="0.25">
      <c r="A2">
        <v>-5</v>
      </c>
      <c r="B2" t="s">
        <v>293</v>
      </c>
    </row>
    <row r="3" spans="1:10" x14ac:dyDescent="0.25">
      <c r="A3">
        <v>-4</v>
      </c>
      <c r="B3" t="s">
        <v>158</v>
      </c>
    </row>
    <row r="4" spans="1:10" x14ac:dyDescent="0.25">
      <c r="A4">
        <v>-3</v>
      </c>
      <c r="B4" t="s">
        <v>294</v>
      </c>
    </row>
    <row r="5" spans="1:10" x14ac:dyDescent="0.25">
      <c r="A5">
        <v>-2</v>
      </c>
      <c r="B5" t="s">
        <v>159</v>
      </c>
    </row>
    <row r="6" spans="1:10" x14ac:dyDescent="0.25">
      <c r="A6">
        <v>-1</v>
      </c>
      <c r="B6" t="s">
        <v>295</v>
      </c>
    </row>
    <row r="7" spans="1:10" x14ac:dyDescent="0.25">
      <c r="A7">
        <v>0</v>
      </c>
      <c r="B7" t="s">
        <v>296</v>
      </c>
    </row>
    <row r="8" spans="1:10" x14ac:dyDescent="0.25">
      <c r="A8">
        <v>1</v>
      </c>
      <c r="B8" t="s">
        <v>160</v>
      </c>
    </row>
    <row r="9" spans="1:10" x14ac:dyDescent="0.25">
      <c r="A9">
        <v>2</v>
      </c>
      <c r="B9" t="s">
        <v>161</v>
      </c>
    </row>
    <row r="10" spans="1:10" x14ac:dyDescent="0.25">
      <c r="A10">
        <v>3</v>
      </c>
      <c r="B10" t="s">
        <v>162</v>
      </c>
    </row>
    <row r="11" spans="1:10" x14ac:dyDescent="0.25">
      <c r="A11">
        <v>4</v>
      </c>
      <c r="B11" t="s">
        <v>163</v>
      </c>
    </row>
    <row r="12" spans="1:10" x14ac:dyDescent="0.25">
      <c r="A12">
        <v>5</v>
      </c>
      <c r="B12" t="s">
        <v>164</v>
      </c>
    </row>
    <row r="14" spans="1:10" x14ac:dyDescent="0.25">
      <c r="A14" t="s">
        <v>297</v>
      </c>
      <c r="C14" s="24" t="s">
        <v>17</v>
      </c>
      <c r="D14" s="24"/>
      <c r="E14" s="24"/>
      <c r="F14" s="24"/>
      <c r="G14" s="24" t="s">
        <v>18</v>
      </c>
      <c r="H14" s="24"/>
      <c r="I14" s="24"/>
      <c r="J14" s="24"/>
    </row>
    <row r="15" spans="1:10" x14ac:dyDescent="0.25">
      <c r="A15">
        <v>5</v>
      </c>
      <c r="B15" t="s">
        <v>298</v>
      </c>
    </row>
    <row r="16" spans="1:10" x14ac:dyDescent="0.25">
      <c r="A16">
        <v>4</v>
      </c>
      <c r="B16" t="s">
        <v>299</v>
      </c>
    </row>
    <row r="17" spans="1:10" x14ac:dyDescent="0.25">
      <c r="A17">
        <v>3</v>
      </c>
      <c r="B17" t="s">
        <v>165</v>
      </c>
    </row>
    <row r="18" spans="1:10" x14ac:dyDescent="0.25">
      <c r="A18">
        <v>2</v>
      </c>
      <c r="B18" t="s">
        <v>166</v>
      </c>
    </row>
    <row r="19" spans="1:10" x14ac:dyDescent="0.25">
      <c r="A19">
        <v>1</v>
      </c>
      <c r="B19" t="s">
        <v>167</v>
      </c>
    </row>
    <row r="21" spans="1:10" x14ac:dyDescent="0.25">
      <c r="A21" t="s">
        <v>178</v>
      </c>
      <c r="C21" s="24" t="s">
        <v>19</v>
      </c>
      <c r="D21" s="24"/>
      <c r="E21" s="24" t="s">
        <v>20</v>
      </c>
      <c r="F21" s="24"/>
    </row>
    <row r="22" spans="1:10" x14ac:dyDescent="0.25">
      <c r="A22">
        <v>5</v>
      </c>
      <c r="B22" t="s">
        <v>300</v>
      </c>
    </row>
    <row r="23" spans="1:10" x14ac:dyDescent="0.25">
      <c r="A23">
        <v>4</v>
      </c>
      <c r="B23" t="s">
        <v>301</v>
      </c>
      <c r="D23" t="s">
        <v>400</v>
      </c>
    </row>
    <row r="24" spans="1:10" x14ac:dyDescent="0.25">
      <c r="A24">
        <v>3</v>
      </c>
      <c r="B24" t="s">
        <v>302</v>
      </c>
    </row>
    <row r="25" spans="1:10" x14ac:dyDescent="0.25">
      <c r="A25">
        <v>2</v>
      </c>
      <c r="B25" t="s">
        <v>168</v>
      </c>
    </row>
    <row r="26" spans="1:10" x14ac:dyDescent="0.25">
      <c r="A26">
        <v>1</v>
      </c>
      <c r="B26" t="s">
        <v>169</v>
      </c>
    </row>
    <row r="28" spans="1:10" x14ac:dyDescent="0.25">
      <c r="A28" t="s">
        <v>303</v>
      </c>
      <c r="C28" s="24" t="s">
        <v>21</v>
      </c>
      <c r="D28" s="24"/>
      <c r="E28" s="24"/>
      <c r="F28" s="24" t="s">
        <v>22</v>
      </c>
      <c r="G28" s="24"/>
      <c r="H28" s="24"/>
      <c r="I28" s="24"/>
      <c r="J28" s="24"/>
    </row>
    <row r="29" spans="1:10" x14ac:dyDescent="0.25">
      <c r="A29">
        <v>-5</v>
      </c>
      <c r="B29" t="s">
        <v>170</v>
      </c>
    </row>
    <row r="30" spans="1:10" x14ac:dyDescent="0.25">
      <c r="A30">
        <v>-4</v>
      </c>
      <c r="B30" t="s">
        <v>171</v>
      </c>
    </row>
    <row r="31" spans="1:10" x14ac:dyDescent="0.25">
      <c r="A31">
        <v>-3</v>
      </c>
      <c r="B31" t="s">
        <v>401</v>
      </c>
    </row>
    <row r="32" spans="1:10" x14ac:dyDescent="0.25">
      <c r="A32">
        <v>-2</v>
      </c>
      <c r="B32" t="s">
        <v>304</v>
      </c>
    </row>
    <row r="33" spans="1:9" x14ac:dyDescent="0.25">
      <c r="A33">
        <v>-1</v>
      </c>
      <c r="B33" t="s">
        <v>172</v>
      </c>
    </row>
    <row r="34" spans="1:9" x14ac:dyDescent="0.25">
      <c r="A34">
        <v>0</v>
      </c>
      <c r="B34" t="s">
        <v>305</v>
      </c>
    </row>
    <row r="35" spans="1:9" x14ac:dyDescent="0.25">
      <c r="A35">
        <v>1</v>
      </c>
      <c r="B35" t="s">
        <v>173</v>
      </c>
    </row>
    <row r="36" spans="1:9" x14ac:dyDescent="0.25">
      <c r="A36">
        <v>2</v>
      </c>
      <c r="B36" t="s">
        <v>174</v>
      </c>
    </row>
    <row r="37" spans="1:9" x14ac:dyDescent="0.25">
      <c r="A37">
        <v>3</v>
      </c>
      <c r="B37" t="s">
        <v>306</v>
      </c>
    </row>
    <row r="38" spans="1:9" x14ac:dyDescent="0.25">
      <c r="A38">
        <v>4</v>
      </c>
      <c r="B38" t="s">
        <v>175</v>
      </c>
    </row>
    <row r="39" spans="1:9" x14ac:dyDescent="0.25">
      <c r="A39">
        <v>5</v>
      </c>
      <c r="B39" t="s">
        <v>176</v>
      </c>
    </row>
    <row r="41" spans="1:9" x14ac:dyDescent="0.25">
      <c r="A41" t="s">
        <v>177</v>
      </c>
      <c r="C41" s="24" t="s">
        <v>26</v>
      </c>
      <c r="D41" s="24"/>
      <c r="E41" s="24"/>
      <c r="F41" s="24"/>
      <c r="G41" s="24"/>
      <c r="H41" s="24"/>
      <c r="I41" s="24"/>
    </row>
    <row r="42" spans="1:9" x14ac:dyDescent="0.25">
      <c r="A42">
        <v>5</v>
      </c>
      <c r="B42" t="s">
        <v>307</v>
      </c>
    </row>
    <row r="43" spans="1:9" x14ac:dyDescent="0.25">
      <c r="A43">
        <v>4</v>
      </c>
      <c r="B43" t="s">
        <v>179</v>
      </c>
    </row>
    <row r="44" spans="1:9" x14ac:dyDescent="0.25">
      <c r="A44">
        <v>3</v>
      </c>
      <c r="B44" t="s">
        <v>180</v>
      </c>
    </row>
    <row r="45" spans="1:9" x14ac:dyDescent="0.25">
      <c r="A45">
        <v>2</v>
      </c>
      <c r="B45" t="s">
        <v>308</v>
      </c>
    </row>
    <row r="46" spans="1:9" x14ac:dyDescent="0.25">
      <c r="A46">
        <v>1</v>
      </c>
      <c r="B46" t="s">
        <v>181</v>
      </c>
    </row>
    <row r="48" spans="1:9" x14ac:dyDescent="0.25">
      <c r="A48" t="s">
        <v>182</v>
      </c>
      <c r="C48" s="24" t="s">
        <v>27</v>
      </c>
      <c r="D48" s="24"/>
      <c r="E48" s="24"/>
      <c r="F48" s="24"/>
      <c r="G48" s="24"/>
      <c r="H48" s="24"/>
      <c r="I48" s="24"/>
    </row>
    <row r="49" spans="1:5" x14ac:dyDescent="0.25">
      <c r="A49">
        <v>5</v>
      </c>
      <c r="B49" t="s">
        <v>309</v>
      </c>
    </row>
    <row r="50" spans="1:5" x14ac:dyDescent="0.25">
      <c r="A50">
        <v>4</v>
      </c>
      <c r="B50" t="s">
        <v>310</v>
      </c>
    </row>
    <row r="51" spans="1:5" x14ac:dyDescent="0.25">
      <c r="A51">
        <v>3</v>
      </c>
      <c r="B51" t="s">
        <v>311</v>
      </c>
    </row>
    <row r="52" spans="1:5" x14ac:dyDescent="0.25">
      <c r="A52">
        <v>2</v>
      </c>
      <c r="B52" t="s">
        <v>312</v>
      </c>
    </row>
    <row r="53" spans="1:5" x14ac:dyDescent="0.25">
      <c r="A53">
        <v>1</v>
      </c>
      <c r="B53" t="s">
        <v>183</v>
      </c>
    </row>
    <row r="55" spans="1:5" x14ac:dyDescent="0.25">
      <c r="A55" t="s">
        <v>184</v>
      </c>
      <c r="C55" s="24" t="s">
        <v>28</v>
      </c>
      <c r="D55" s="24"/>
      <c r="E55" s="24"/>
    </row>
    <row r="56" spans="1:5" x14ac:dyDescent="0.25">
      <c r="A56">
        <v>-5</v>
      </c>
      <c r="B56" t="s">
        <v>313</v>
      </c>
    </row>
    <row r="57" spans="1:5" x14ac:dyDescent="0.25">
      <c r="A57">
        <v>-4</v>
      </c>
      <c r="B57" t="s">
        <v>185</v>
      </c>
    </row>
    <row r="58" spans="1:5" x14ac:dyDescent="0.25">
      <c r="A58">
        <v>-3</v>
      </c>
      <c r="B58" t="s">
        <v>314</v>
      </c>
    </row>
    <row r="59" spans="1:5" x14ac:dyDescent="0.25">
      <c r="A59">
        <v>-2</v>
      </c>
      <c r="B59" t="s">
        <v>186</v>
      </c>
    </row>
    <row r="60" spans="1:5" x14ac:dyDescent="0.25">
      <c r="A60">
        <v>-1</v>
      </c>
      <c r="B60" t="s">
        <v>187</v>
      </c>
    </row>
    <row r="61" spans="1:5" x14ac:dyDescent="0.25">
      <c r="A61">
        <v>0</v>
      </c>
      <c r="B61" t="s">
        <v>188</v>
      </c>
    </row>
    <row r="62" spans="1:5" x14ac:dyDescent="0.25">
      <c r="A62">
        <v>1</v>
      </c>
      <c r="B62" t="s">
        <v>315</v>
      </c>
    </row>
    <row r="63" spans="1:5" x14ac:dyDescent="0.25">
      <c r="A63">
        <v>2</v>
      </c>
      <c r="B63" t="s">
        <v>316</v>
      </c>
    </row>
    <row r="64" spans="1:5" x14ac:dyDescent="0.25">
      <c r="A64">
        <v>3</v>
      </c>
      <c r="B64" t="s">
        <v>189</v>
      </c>
    </row>
    <row r="65" spans="1:7" x14ac:dyDescent="0.25">
      <c r="A65">
        <v>4</v>
      </c>
      <c r="B65" t="s">
        <v>317</v>
      </c>
    </row>
    <row r="66" spans="1:7" x14ac:dyDescent="0.25">
      <c r="A66">
        <v>5</v>
      </c>
      <c r="B66" t="s">
        <v>318</v>
      </c>
    </row>
    <row r="68" spans="1:7" x14ac:dyDescent="0.25">
      <c r="A68" t="s">
        <v>204</v>
      </c>
      <c r="C68" s="24" t="s">
        <v>29</v>
      </c>
      <c r="D68" s="24"/>
      <c r="E68" s="24"/>
      <c r="F68" s="24"/>
      <c r="G68" s="24"/>
    </row>
    <row r="69" spans="1:7" x14ac:dyDescent="0.25">
      <c r="A69">
        <v>5</v>
      </c>
      <c r="B69" t="s">
        <v>190</v>
      </c>
    </row>
    <row r="70" spans="1:7" x14ac:dyDescent="0.25">
      <c r="A70">
        <v>4</v>
      </c>
      <c r="B70" t="s">
        <v>319</v>
      </c>
    </row>
    <row r="71" spans="1:7" x14ac:dyDescent="0.25">
      <c r="A71">
        <v>3</v>
      </c>
      <c r="B71" t="s">
        <v>320</v>
      </c>
    </row>
    <row r="72" spans="1:7" x14ac:dyDescent="0.25">
      <c r="A72">
        <v>2</v>
      </c>
      <c r="B72" t="s">
        <v>191</v>
      </c>
    </row>
    <row r="73" spans="1:7" x14ac:dyDescent="0.25">
      <c r="A73">
        <v>1</v>
      </c>
      <c r="B73" t="s">
        <v>192</v>
      </c>
    </row>
    <row r="75" spans="1:7" x14ac:dyDescent="0.25">
      <c r="A75" t="s">
        <v>321</v>
      </c>
      <c r="C75" s="24" t="s">
        <v>35</v>
      </c>
      <c r="D75" s="24"/>
      <c r="E75" s="24"/>
      <c r="F75" s="24"/>
      <c r="G75" s="24"/>
    </row>
    <row r="76" spans="1:7" x14ac:dyDescent="0.25">
      <c r="A76">
        <v>5</v>
      </c>
      <c r="B76" t="s">
        <v>322</v>
      </c>
    </row>
    <row r="77" spans="1:7" x14ac:dyDescent="0.25">
      <c r="A77">
        <v>4</v>
      </c>
      <c r="B77" t="s">
        <v>193</v>
      </c>
    </row>
    <row r="78" spans="1:7" x14ac:dyDescent="0.25">
      <c r="A78">
        <v>3</v>
      </c>
      <c r="B78" t="s">
        <v>194</v>
      </c>
    </row>
    <row r="79" spans="1:7" x14ac:dyDescent="0.25">
      <c r="A79">
        <v>2</v>
      </c>
      <c r="B79" t="s">
        <v>323</v>
      </c>
    </row>
    <row r="80" spans="1:7" x14ac:dyDescent="0.25">
      <c r="A80">
        <v>1</v>
      </c>
      <c r="B80" t="s">
        <v>195</v>
      </c>
    </row>
    <row r="82" spans="1:8" x14ac:dyDescent="0.25">
      <c r="A82" t="s">
        <v>196</v>
      </c>
      <c r="C82" s="24" t="s">
        <v>36</v>
      </c>
      <c r="D82" s="24"/>
      <c r="E82" s="24"/>
      <c r="F82" s="24"/>
      <c r="G82" s="24"/>
      <c r="H82" s="24"/>
    </row>
    <row r="83" spans="1:8" x14ac:dyDescent="0.25">
      <c r="A83">
        <v>-5</v>
      </c>
      <c r="B83" t="s">
        <v>197</v>
      </c>
    </row>
    <row r="84" spans="1:8" x14ac:dyDescent="0.25">
      <c r="A84">
        <v>-4</v>
      </c>
      <c r="B84" t="s">
        <v>324</v>
      </c>
    </row>
    <row r="85" spans="1:8" x14ac:dyDescent="0.25">
      <c r="A85">
        <v>-3</v>
      </c>
      <c r="B85" t="s">
        <v>325</v>
      </c>
    </row>
    <row r="86" spans="1:8" x14ac:dyDescent="0.25">
      <c r="A86">
        <v>-2</v>
      </c>
      <c r="B86" t="s">
        <v>198</v>
      </c>
    </row>
    <row r="87" spans="1:8" x14ac:dyDescent="0.25">
      <c r="A87">
        <v>-1</v>
      </c>
      <c r="B87" t="s">
        <v>326</v>
      </c>
    </row>
    <row r="88" spans="1:8" x14ac:dyDescent="0.25">
      <c r="A88">
        <v>0</v>
      </c>
      <c r="B88" t="s">
        <v>199</v>
      </c>
    </row>
    <row r="89" spans="1:8" x14ac:dyDescent="0.25">
      <c r="A89">
        <v>1</v>
      </c>
      <c r="B89" t="s">
        <v>200</v>
      </c>
    </row>
    <row r="90" spans="1:8" x14ac:dyDescent="0.25">
      <c r="A90">
        <v>2</v>
      </c>
      <c r="B90" t="s">
        <v>402</v>
      </c>
    </row>
    <row r="91" spans="1:8" x14ac:dyDescent="0.25">
      <c r="A91">
        <v>3</v>
      </c>
      <c r="B91" t="s">
        <v>327</v>
      </c>
    </row>
    <row r="92" spans="1:8" x14ac:dyDescent="0.25">
      <c r="A92">
        <v>4</v>
      </c>
      <c r="B92" t="s">
        <v>201</v>
      </c>
    </row>
    <row r="93" spans="1:8" x14ac:dyDescent="0.25">
      <c r="A93">
        <v>5</v>
      </c>
      <c r="B93" t="s">
        <v>202</v>
      </c>
    </row>
    <row r="95" spans="1:8" x14ac:dyDescent="0.25">
      <c r="A95" t="s">
        <v>203</v>
      </c>
      <c r="C95" s="27" t="s">
        <v>30</v>
      </c>
      <c r="D95" s="27"/>
      <c r="E95" s="27"/>
      <c r="F95" s="27"/>
      <c r="G95" s="27"/>
      <c r="H95" s="27"/>
    </row>
    <row r="96" spans="1:8" x14ac:dyDescent="0.25">
      <c r="A96">
        <v>5</v>
      </c>
      <c r="B96" t="s">
        <v>205</v>
      </c>
    </row>
    <row r="97" spans="1:12" x14ac:dyDescent="0.25">
      <c r="A97">
        <v>4</v>
      </c>
      <c r="B97" t="s">
        <v>328</v>
      </c>
    </row>
    <row r="98" spans="1:12" x14ac:dyDescent="0.25">
      <c r="A98">
        <v>3</v>
      </c>
      <c r="B98" t="s">
        <v>206</v>
      </c>
    </row>
    <row r="99" spans="1:12" x14ac:dyDescent="0.25">
      <c r="A99">
        <v>2</v>
      </c>
      <c r="B99" t="s">
        <v>207</v>
      </c>
    </row>
    <row r="100" spans="1:12" x14ac:dyDescent="0.25">
      <c r="A100">
        <v>1</v>
      </c>
      <c r="B100" t="s">
        <v>208</v>
      </c>
    </row>
    <row r="102" spans="1:12" x14ac:dyDescent="0.25">
      <c r="A102" s="26" t="s">
        <v>209</v>
      </c>
      <c r="B102" s="26"/>
      <c r="C102" s="27" t="s">
        <v>31</v>
      </c>
      <c r="D102" s="27"/>
      <c r="E102" s="27"/>
      <c r="F102" s="27"/>
      <c r="G102" s="27"/>
      <c r="H102" s="27"/>
    </row>
    <row r="103" spans="1:12" x14ac:dyDescent="0.25">
      <c r="A103">
        <v>5</v>
      </c>
      <c r="B103" t="s">
        <v>329</v>
      </c>
    </row>
    <row r="104" spans="1:12" x14ac:dyDescent="0.25">
      <c r="A104">
        <v>4</v>
      </c>
      <c r="B104" t="s">
        <v>330</v>
      </c>
    </row>
    <row r="105" spans="1:12" x14ac:dyDescent="0.25">
      <c r="A105">
        <v>3</v>
      </c>
      <c r="B105" t="s">
        <v>331</v>
      </c>
    </row>
    <row r="106" spans="1:12" x14ac:dyDescent="0.25">
      <c r="A106">
        <v>2</v>
      </c>
      <c r="B106" t="s">
        <v>210</v>
      </c>
    </row>
    <row r="107" spans="1:12" x14ac:dyDescent="0.25">
      <c r="A107">
        <v>1</v>
      </c>
      <c r="B107" t="s">
        <v>211</v>
      </c>
    </row>
    <row r="109" spans="1:12" x14ac:dyDescent="0.25">
      <c r="A109" t="s">
        <v>332</v>
      </c>
      <c r="C109" s="27" t="s">
        <v>32</v>
      </c>
      <c r="D109" s="27"/>
      <c r="E109" s="27"/>
      <c r="F109" s="27"/>
      <c r="G109" s="27"/>
      <c r="H109" s="27"/>
      <c r="I109" s="27"/>
      <c r="J109" s="27"/>
      <c r="K109" s="27"/>
      <c r="L109" s="27"/>
    </row>
    <row r="110" spans="1:12" x14ac:dyDescent="0.25">
      <c r="A110">
        <v>-5</v>
      </c>
      <c r="B110" t="s">
        <v>333</v>
      </c>
    </row>
    <row r="111" spans="1:12" x14ac:dyDescent="0.25">
      <c r="A111">
        <v>-4</v>
      </c>
      <c r="B111" t="s">
        <v>212</v>
      </c>
    </row>
    <row r="112" spans="1:12" x14ac:dyDescent="0.25">
      <c r="A112" s="26">
        <v>-3</v>
      </c>
      <c r="B112" t="s">
        <v>334</v>
      </c>
    </row>
    <row r="113" spans="1:9" x14ac:dyDescent="0.25">
      <c r="A113" s="26">
        <v>-2</v>
      </c>
      <c r="B113" t="s">
        <v>213</v>
      </c>
    </row>
    <row r="114" spans="1:9" x14ac:dyDescent="0.25">
      <c r="A114" s="26">
        <v>-1</v>
      </c>
      <c r="B114" t="s">
        <v>214</v>
      </c>
    </row>
    <row r="115" spans="1:9" x14ac:dyDescent="0.25">
      <c r="A115" s="26">
        <v>0</v>
      </c>
      <c r="B115" t="s">
        <v>335</v>
      </c>
    </row>
    <row r="116" spans="1:9" x14ac:dyDescent="0.25">
      <c r="A116" s="26">
        <v>1</v>
      </c>
      <c r="B116" t="s">
        <v>336</v>
      </c>
    </row>
    <row r="117" spans="1:9" x14ac:dyDescent="0.25">
      <c r="A117" s="26">
        <v>2</v>
      </c>
      <c r="B117" t="s">
        <v>337</v>
      </c>
    </row>
    <row r="118" spans="1:9" x14ac:dyDescent="0.25">
      <c r="A118" s="26">
        <v>3</v>
      </c>
      <c r="B118" t="s">
        <v>215</v>
      </c>
    </row>
    <row r="119" spans="1:9" x14ac:dyDescent="0.25">
      <c r="A119" s="26">
        <v>4</v>
      </c>
      <c r="B119" t="s">
        <v>338</v>
      </c>
    </row>
    <row r="120" spans="1:9" x14ac:dyDescent="0.25">
      <c r="A120" s="26">
        <v>5</v>
      </c>
      <c r="B120" t="s">
        <v>339</v>
      </c>
    </row>
    <row r="122" spans="1:9" x14ac:dyDescent="0.25">
      <c r="A122" t="s">
        <v>340</v>
      </c>
      <c r="C122" s="27" t="s">
        <v>49</v>
      </c>
      <c r="D122" s="27"/>
      <c r="E122" s="27"/>
      <c r="F122" s="27"/>
      <c r="G122" s="27"/>
      <c r="H122" s="27"/>
      <c r="I122" s="27"/>
    </row>
    <row r="123" spans="1:9" x14ac:dyDescent="0.25">
      <c r="A123">
        <v>5</v>
      </c>
      <c r="B123" t="s">
        <v>341</v>
      </c>
    </row>
    <row r="124" spans="1:9" x14ac:dyDescent="0.25">
      <c r="A124">
        <v>4</v>
      </c>
      <c r="B124" t="s">
        <v>342</v>
      </c>
    </row>
    <row r="125" spans="1:9" x14ac:dyDescent="0.25">
      <c r="A125">
        <v>3</v>
      </c>
      <c r="B125" t="s">
        <v>403</v>
      </c>
    </row>
    <row r="126" spans="1:9" x14ac:dyDescent="0.25">
      <c r="A126">
        <v>2</v>
      </c>
      <c r="B126" t="s">
        <v>343</v>
      </c>
    </row>
    <row r="127" spans="1:9" x14ac:dyDescent="0.25">
      <c r="A127">
        <v>1</v>
      </c>
      <c r="B127" t="s">
        <v>344</v>
      </c>
    </row>
    <row r="129" spans="1:8" x14ac:dyDescent="0.25">
      <c r="A129" t="s">
        <v>345</v>
      </c>
      <c r="C129" s="27" t="s">
        <v>34</v>
      </c>
      <c r="D129" s="27"/>
      <c r="E129" s="27"/>
      <c r="F129" s="27"/>
    </row>
    <row r="130" spans="1:8" x14ac:dyDescent="0.25">
      <c r="A130">
        <v>5</v>
      </c>
      <c r="B130" t="s">
        <v>346</v>
      </c>
    </row>
    <row r="131" spans="1:8" x14ac:dyDescent="0.25">
      <c r="A131">
        <v>4</v>
      </c>
      <c r="B131" t="s">
        <v>347</v>
      </c>
    </row>
    <row r="132" spans="1:8" x14ac:dyDescent="0.25">
      <c r="A132">
        <v>3</v>
      </c>
      <c r="B132" t="s">
        <v>348</v>
      </c>
    </row>
    <row r="133" spans="1:8" x14ac:dyDescent="0.25">
      <c r="A133">
        <v>2</v>
      </c>
      <c r="B133" t="s">
        <v>349</v>
      </c>
    </row>
    <row r="134" spans="1:8" x14ac:dyDescent="0.25">
      <c r="A134">
        <v>1</v>
      </c>
      <c r="B134" t="s">
        <v>350</v>
      </c>
    </row>
    <row r="136" spans="1:8" x14ac:dyDescent="0.25">
      <c r="A136" t="s">
        <v>216</v>
      </c>
      <c r="C136" s="27" t="s">
        <v>37</v>
      </c>
      <c r="D136" s="27"/>
      <c r="E136" s="27"/>
      <c r="F136" s="27"/>
      <c r="G136" s="27"/>
      <c r="H136" s="27"/>
    </row>
    <row r="137" spans="1:8" x14ac:dyDescent="0.25">
      <c r="A137">
        <v>-5</v>
      </c>
      <c r="B137" t="s">
        <v>351</v>
      </c>
    </row>
    <row r="138" spans="1:8" x14ac:dyDescent="0.25">
      <c r="A138">
        <v>-4</v>
      </c>
      <c r="B138" t="s">
        <v>218</v>
      </c>
    </row>
    <row r="139" spans="1:8" x14ac:dyDescent="0.25">
      <c r="A139" s="26">
        <v>-3</v>
      </c>
      <c r="B139" t="s">
        <v>217</v>
      </c>
    </row>
    <row r="140" spans="1:8" x14ac:dyDescent="0.25">
      <c r="A140" s="26">
        <v>-2</v>
      </c>
      <c r="B140" t="s">
        <v>219</v>
      </c>
    </row>
    <row r="141" spans="1:8" x14ac:dyDescent="0.25">
      <c r="A141" s="26">
        <v>-1</v>
      </c>
      <c r="B141" t="s">
        <v>352</v>
      </c>
    </row>
    <row r="142" spans="1:8" x14ac:dyDescent="0.25">
      <c r="A142" s="26">
        <v>0</v>
      </c>
      <c r="B142" t="s">
        <v>353</v>
      </c>
    </row>
    <row r="143" spans="1:8" x14ac:dyDescent="0.25">
      <c r="A143" s="26">
        <v>1</v>
      </c>
      <c r="B143" t="s">
        <v>354</v>
      </c>
    </row>
    <row r="144" spans="1:8" x14ac:dyDescent="0.25">
      <c r="A144" s="26">
        <v>2</v>
      </c>
      <c r="B144" t="s">
        <v>355</v>
      </c>
    </row>
    <row r="145" spans="1:6" x14ac:dyDescent="0.25">
      <c r="A145" s="26">
        <v>3</v>
      </c>
      <c r="B145" t="s">
        <v>220</v>
      </c>
    </row>
    <row r="146" spans="1:6" x14ac:dyDescent="0.25">
      <c r="A146" s="26">
        <v>4</v>
      </c>
      <c r="B146" t="s">
        <v>356</v>
      </c>
    </row>
    <row r="147" spans="1:6" x14ac:dyDescent="0.25">
      <c r="A147" s="26">
        <v>5</v>
      </c>
      <c r="B147" t="s">
        <v>221</v>
      </c>
    </row>
    <row r="149" spans="1:6" x14ac:dyDescent="0.25">
      <c r="A149" t="s">
        <v>222</v>
      </c>
      <c r="C149" s="27" t="s">
        <v>38</v>
      </c>
      <c r="D149" s="27"/>
      <c r="E149" s="27"/>
      <c r="F149" s="27"/>
    </row>
    <row r="150" spans="1:6" x14ac:dyDescent="0.25">
      <c r="A150">
        <v>5</v>
      </c>
      <c r="B150" t="s">
        <v>223</v>
      </c>
    </row>
    <row r="151" spans="1:6" x14ac:dyDescent="0.25">
      <c r="A151">
        <v>4</v>
      </c>
      <c r="B151" t="s">
        <v>224</v>
      </c>
    </row>
    <row r="152" spans="1:6" x14ac:dyDescent="0.25">
      <c r="A152">
        <v>3</v>
      </c>
      <c r="B152" t="s">
        <v>357</v>
      </c>
    </row>
    <row r="153" spans="1:6" x14ac:dyDescent="0.25">
      <c r="A153">
        <v>2</v>
      </c>
      <c r="B153" t="s">
        <v>358</v>
      </c>
    </row>
    <row r="154" spans="1:6" x14ac:dyDescent="0.25">
      <c r="A154">
        <v>1</v>
      </c>
      <c r="B154" t="s">
        <v>359</v>
      </c>
    </row>
    <row r="156" spans="1:6" x14ac:dyDescent="0.25">
      <c r="A156" t="s">
        <v>225</v>
      </c>
      <c r="C156" s="27" t="s">
        <v>39</v>
      </c>
      <c r="D156" s="27"/>
      <c r="E156" s="27"/>
      <c r="F156" s="27"/>
    </row>
    <row r="157" spans="1:6" x14ac:dyDescent="0.25">
      <c r="A157">
        <v>5</v>
      </c>
      <c r="B157" t="s">
        <v>226</v>
      </c>
    </row>
    <row r="158" spans="1:6" x14ac:dyDescent="0.25">
      <c r="A158">
        <v>4</v>
      </c>
      <c r="B158" t="s">
        <v>227</v>
      </c>
    </row>
    <row r="159" spans="1:6" x14ac:dyDescent="0.25">
      <c r="A159">
        <v>3</v>
      </c>
      <c r="B159" t="s">
        <v>360</v>
      </c>
    </row>
    <row r="160" spans="1:6" x14ac:dyDescent="0.25">
      <c r="A160">
        <v>2</v>
      </c>
      <c r="B160" t="s">
        <v>361</v>
      </c>
    </row>
    <row r="161" spans="1:9" x14ac:dyDescent="0.25">
      <c r="A161">
        <v>1</v>
      </c>
      <c r="B161" t="s">
        <v>228</v>
      </c>
    </row>
    <row r="163" spans="1:9" x14ac:dyDescent="0.25">
      <c r="A163" t="s">
        <v>229</v>
      </c>
      <c r="C163" s="27" t="s">
        <v>50</v>
      </c>
      <c r="D163" s="27"/>
      <c r="E163" s="27"/>
      <c r="F163" s="27"/>
      <c r="G163" s="27"/>
      <c r="H163" s="27"/>
      <c r="I163" s="27"/>
    </row>
    <row r="164" spans="1:9" x14ac:dyDescent="0.25">
      <c r="A164">
        <v>-5</v>
      </c>
      <c r="B164" t="s">
        <v>362</v>
      </c>
    </row>
    <row r="165" spans="1:9" x14ac:dyDescent="0.25">
      <c r="A165">
        <v>-4</v>
      </c>
      <c r="B165" t="s">
        <v>363</v>
      </c>
    </row>
    <row r="166" spans="1:9" x14ac:dyDescent="0.25">
      <c r="A166" s="26">
        <v>-3</v>
      </c>
      <c r="B166" t="s">
        <v>364</v>
      </c>
    </row>
    <row r="167" spans="1:9" x14ac:dyDescent="0.25">
      <c r="A167" s="26">
        <v>-2</v>
      </c>
      <c r="B167" t="s">
        <v>230</v>
      </c>
    </row>
    <row r="168" spans="1:9" x14ac:dyDescent="0.25">
      <c r="A168" s="26">
        <v>-1</v>
      </c>
      <c r="B168" t="s">
        <v>365</v>
      </c>
    </row>
    <row r="169" spans="1:9" x14ac:dyDescent="0.25">
      <c r="A169" s="26">
        <v>0</v>
      </c>
      <c r="B169" t="s">
        <v>366</v>
      </c>
    </row>
    <row r="170" spans="1:9" x14ac:dyDescent="0.25">
      <c r="A170" s="26">
        <v>1</v>
      </c>
      <c r="B170" t="s">
        <v>231</v>
      </c>
    </row>
    <row r="171" spans="1:9" x14ac:dyDescent="0.25">
      <c r="A171" s="26">
        <v>2</v>
      </c>
      <c r="B171" t="s">
        <v>232</v>
      </c>
    </row>
    <row r="172" spans="1:9" x14ac:dyDescent="0.25">
      <c r="A172" s="26">
        <v>3</v>
      </c>
      <c r="B172" t="s">
        <v>367</v>
      </c>
    </row>
    <row r="173" spans="1:9" x14ac:dyDescent="0.25">
      <c r="A173" s="26">
        <v>4</v>
      </c>
      <c r="B173" t="s">
        <v>233</v>
      </c>
    </row>
    <row r="174" spans="1:9" x14ac:dyDescent="0.25">
      <c r="A174" s="26">
        <v>5</v>
      </c>
      <c r="B174" t="s">
        <v>234</v>
      </c>
    </row>
    <row r="176" spans="1:9" x14ac:dyDescent="0.25">
      <c r="A176" t="s">
        <v>235</v>
      </c>
      <c r="C176" s="27" t="s">
        <v>40</v>
      </c>
      <c r="D176" s="27"/>
      <c r="E176" s="27"/>
      <c r="F176" s="27"/>
      <c r="G176" s="27"/>
      <c r="H176" s="27"/>
    </row>
    <row r="177" spans="1:8" x14ac:dyDescent="0.25">
      <c r="A177">
        <v>5</v>
      </c>
      <c r="B177" t="s">
        <v>236</v>
      </c>
    </row>
    <row r="178" spans="1:8" x14ac:dyDescent="0.25">
      <c r="A178">
        <v>4</v>
      </c>
      <c r="B178" t="s">
        <v>368</v>
      </c>
    </row>
    <row r="179" spans="1:8" x14ac:dyDescent="0.25">
      <c r="A179">
        <v>3</v>
      </c>
      <c r="B179" t="s">
        <v>237</v>
      </c>
    </row>
    <row r="180" spans="1:8" x14ac:dyDescent="0.25">
      <c r="A180">
        <v>2</v>
      </c>
      <c r="B180" t="s">
        <v>369</v>
      </c>
    </row>
    <row r="181" spans="1:8" x14ac:dyDescent="0.25">
      <c r="A181">
        <v>1</v>
      </c>
      <c r="B181" t="s">
        <v>370</v>
      </c>
    </row>
    <row r="183" spans="1:8" x14ac:dyDescent="0.25">
      <c r="A183" t="s">
        <v>238</v>
      </c>
      <c r="C183" s="27" t="s">
        <v>41</v>
      </c>
      <c r="D183" s="27"/>
      <c r="E183" s="27"/>
    </row>
    <row r="184" spans="1:8" x14ac:dyDescent="0.25">
      <c r="A184">
        <v>5</v>
      </c>
      <c r="B184" s="26" t="s">
        <v>239</v>
      </c>
    </row>
    <row r="185" spans="1:8" x14ac:dyDescent="0.25">
      <c r="A185">
        <v>4</v>
      </c>
      <c r="B185" s="26" t="s">
        <v>240</v>
      </c>
    </row>
    <row r="186" spans="1:8" x14ac:dyDescent="0.25">
      <c r="A186">
        <v>3</v>
      </c>
      <c r="B186" s="26" t="s">
        <v>241</v>
      </c>
    </row>
    <row r="187" spans="1:8" x14ac:dyDescent="0.25">
      <c r="A187">
        <v>2</v>
      </c>
      <c r="B187" s="26" t="s">
        <v>242</v>
      </c>
    </row>
    <row r="188" spans="1:8" x14ac:dyDescent="0.25">
      <c r="A188">
        <v>1</v>
      </c>
      <c r="B188" s="26" t="s">
        <v>243</v>
      </c>
    </row>
    <row r="190" spans="1:8" x14ac:dyDescent="0.25">
      <c r="A190" t="s">
        <v>244</v>
      </c>
      <c r="C190" s="27" t="s">
        <v>51</v>
      </c>
      <c r="D190" s="27"/>
      <c r="E190" s="27"/>
      <c r="F190" s="27"/>
      <c r="G190" s="27"/>
      <c r="H190" s="27"/>
    </row>
    <row r="191" spans="1:8" x14ac:dyDescent="0.25">
      <c r="A191">
        <v>-5</v>
      </c>
      <c r="B191" t="s">
        <v>245</v>
      </c>
    </row>
    <row r="192" spans="1:8" x14ac:dyDescent="0.25">
      <c r="A192">
        <v>-4</v>
      </c>
      <c r="B192" t="s">
        <v>371</v>
      </c>
    </row>
    <row r="193" spans="1:3" x14ac:dyDescent="0.25">
      <c r="A193" s="26">
        <v>-3</v>
      </c>
      <c r="B193" t="s">
        <v>246</v>
      </c>
    </row>
    <row r="194" spans="1:3" x14ac:dyDescent="0.25">
      <c r="A194" s="26">
        <v>-2</v>
      </c>
      <c r="B194" t="s">
        <v>247</v>
      </c>
    </row>
    <row r="195" spans="1:3" x14ac:dyDescent="0.25">
      <c r="A195" s="26">
        <v>-1</v>
      </c>
      <c r="B195" t="s">
        <v>372</v>
      </c>
    </row>
    <row r="196" spans="1:3" x14ac:dyDescent="0.25">
      <c r="A196" s="26">
        <v>0</v>
      </c>
      <c r="B196" t="s">
        <v>373</v>
      </c>
    </row>
    <row r="197" spans="1:3" x14ac:dyDescent="0.25">
      <c r="A197" s="26">
        <v>1</v>
      </c>
      <c r="B197" t="s">
        <v>374</v>
      </c>
    </row>
    <row r="198" spans="1:3" x14ac:dyDescent="0.25">
      <c r="A198" s="26">
        <v>2</v>
      </c>
      <c r="B198" t="s">
        <v>375</v>
      </c>
    </row>
    <row r="199" spans="1:3" x14ac:dyDescent="0.25">
      <c r="A199" s="26">
        <v>3</v>
      </c>
      <c r="B199" t="s">
        <v>248</v>
      </c>
    </row>
    <row r="200" spans="1:3" x14ac:dyDescent="0.25">
      <c r="A200" s="26">
        <v>4</v>
      </c>
      <c r="B200" t="s">
        <v>376</v>
      </c>
    </row>
    <row r="201" spans="1:3" x14ac:dyDescent="0.25">
      <c r="A201" s="26">
        <v>5</v>
      </c>
      <c r="B201" t="s">
        <v>249</v>
      </c>
    </row>
    <row r="203" spans="1:3" x14ac:dyDescent="0.25">
      <c r="A203" t="s">
        <v>250</v>
      </c>
      <c r="C203" s="27" t="s">
        <v>42</v>
      </c>
    </row>
    <row r="204" spans="1:3" x14ac:dyDescent="0.25">
      <c r="A204">
        <v>5</v>
      </c>
      <c r="B204" t="s">
        <v>377</v>
      </c>
    </row>
    <row r="205" spans="1:3" x14ac:dyDescent="0.25">
      <c r="A205">
        <v>4</v>
      </c>
      <c r="B205" t="s">
        <v>251</v>
      </c>
    </row>
    <row r="206" spans="1:3" x14ac:dyDescent="0.25">
      <c r="A206">
        <v>3</v>
      </c>
      <c r="B206" t="s">
        <v>252</v>
      </c>
    </row>
    <row r="207" spans="1:3" x14ac:dyDescent="0.25">
      <c r="A207">
        <v>2</v>
      </c>
      <c r="B207" t="s">
        <v>378</v>
      </c>
    </row>
    <row r="208" spans="1:3" x14ac:dyDescent="0.25">
      <c r="A208">
        <v>1</v>
      </c>
      <c r="B208" t="s">
        <v>253</v>
      </c>
    </row>
    <row r="210" spans="1:5" x14ac:dyDescent="0.25">
      <c r="A210" t="s">
        <v>254</v>
      </c>
      <c r="C210" s="27" t="s">
        <v>43</v>
      </c>
      <c r="D210" s="27"/>
      <c r="E210" s="27"/>
    </row>
    <row r="211" spans="1:5" x14ac:dyDescent="0.25">
      <c r="A211">
        <v>5</v>
      </c>
      <c r="B211" t="s">
        <v>404</v>
      </c>
    </row>
    <row r="212" spans="1:5" x14ac:dyDescent="0.25">
      <c r="A212">
        <v>4</v>
      </c>
      <c r="B212" t="s">
        <v>255</v>
      </c>
    </row>
    <row r="213" spans="1:5" x14ac:dyDescent="0.25">
      <c r="A213">
        <v>3</v>
      </c>
      <c r="B213" t="s">
        <v>379</v>
      </c>
    </row>
    <row r="214" spans="1:5" x14ac:dyDescent="0.25">
      <c r="A214">
        <v>2</v>
      </c>
      <c r="B214" t="s">
        <v>380</v>
      </c>
    </row>
    <row r="215" spans="1:5" x14ac:dyDescent="0.25">
      <c r="A215">
        <v>1</v>
      </c>
      <c r="B215" t="s">
        <v>256</v>
      </c>
    </row>
    <row r="217" spans="1:5" x14ac:dyDescent="0.25">
      <c r="A217" t="s">
        <v>257</v>
      </c>
      <c r="C217" s="27" t="s">
        <v>44</v>
      </c>
      <c r="D217" s="27"/>
    </row>
    <row r="218" spans="1:5" x14ac:dyDescent="0.25">
      <c r="A218">
        <v>-5</v>
      </c>
      <c r="B218" t="s">
        <v>405</v>
      </c>
    </row>
    <row r="219" spans="1:5" x14ac:dyDescent="0.25">
      <c r="A219">
        <v>-4</v>
      </c>
      <c r="B219" t="s">
        <v>258</v>
      </c>
    </row>
    <row r="220" spans="1:5" x14ac:dyDescent="0.25">
      <c r="A220" s="26">
        <v>-3</v>
      </c>
      <c r="B220" t="s">
        <v>259</v>
      </c>
    </row>
    <row r="221" spans="1:5" x14ac:dyDescent="0.25">
      <c r="A221" s="26">
        <v>-2</v>
      </c>
      <c r="B221" t="s">
        <v>260</v>
      </c>
    </row>
    <row r="222" spans="1:5" x14ac:dyDescent="0.25">
      <c r="A222" s="26">
        <v>-1</v>
      </c>
      <c r="B222" t="s">
        <v>261</v>
      </c>
    </row>
    <row r="223" spans="1:5" x14ac:dyDescent="0.25">
      <c r="A223" s="26">
        <v>0</v>
      </c>
      <c r="B223" t="s">
        <v>262</v>
      </c>
    </row>
    <row r="224" spans="1:5" x14ac:dyDescent="0.25">
      <c r="A224" s="26">
        <v>1</v>
      </c>
      <c r="B224" t="s">
        <v>263</v>
      </c>
    </row>
    <row r="225" spans="1:9" x14ac:dyDescent="0.25">
      <c r="A225" s="26">
        <v>2</v>
      </c>
      <c r="B225" t="s">
        <v>264</v>
      </c>
    </row>
    <row r="226" spans="1:9" x14ac:dyDescent="0.25">
      <c r="A226" s="26">
        <v>3</v>
      </c>
      <c r="B226" t="s">
        <v>265</v>
      </c>
    </row>
    <row r="227" spans="1:9" x14ac:dyDescent="0.25">
      <c r="A227" s="26">
        <v>4</v>
      </c>
      <c r="B227" t="s">
        <v>266</v>
      </c>
    </row>
    <row r="228" spans="1:9" x14ac:dyDescent="0.25">
      <c r="A228" s="26">
        <v>5</v>
      </c>
      <c r="B228" t="s">
        <v>406</v>
      </c>
    </row>
    <row r="230" spans="1:9" x14ac:dyDescent="0.25">
      <c r="A230" t="s">
        <v>267</v>
      </c>
      <c r="C230" s="27" t="s">
        <v>52</v>
      </c>
      <c r="D230" s="27"/>
      <c r="E230" s="27"/>
      <c r="F230" s="27"/>
      <c r="G230" s="27"/>
      <c r="H230" s="27"/>
      <c r="I230" s="27"/>
    </row>
    <row r="231" spans="1:9" x14ac:dyDescent="0.25">
      <c r="A231">
        <v>5</v>
      </c>
      <c r="B231" t="s">
        <v>381</v>
      </c>
    </row>
    <row r="232" spans="1:9" x14ac:dyDescent="0.25">
      <c r="A232">
        <v>4</v>
      </c>
      <c r="B232" t="s">
        <v>268</v>
      </c>
    </row>
    <row r="233" spans="1:9" x14ac:dyDescent="0.25">
      <c r="A233">
        <v>3</v>
      </c>
      <c r="B233" t="s">
        <v>269</v>
      </c>
    </row>
    <row r="234" spans="1:9" x14ac:dyDescent="0.25">
      <c r="A234">
        <v>2</v>
      </c>
      <c r="B234" t="s">
        <v>270</v>
      </c>
    </row>
    <row r="235" spans="1:9" x14ac:dyDescent="0.25">
      <c r="A235">
        <v>1</v>
      </c>
      <c r="B235" t="s">
        <v>382</v>
      </c>
    </row>
    <row r="237" spans="1:9" x14ac:dyDescent="0.25">
      <c r="A237" t="s">
        <v>271</v>
      </c>
      <c r="C237" s="27" t="s">
        <v>45</v>
      </c>
      <c r="D237" s="27"/>
      <c r="E237" s="27"/>
      <c r="F237" s="27"/>
    </row>
    <row r="238" spans="1:9" x14ac:dyDescent="0.25">
      <c r="A238">
        <v>5</v>
      </c>
      <c r="B238" t="s">
        <v>383</v>
      </c>
    </row>
    <row r="239" spans="1:9" x14ac:dyDescent="0.25">
      <c r="A239">
        <v>4</v>
      </c>
      <c r="B239" t="s">
        <v>272</v>
      </c>
    </row>
    <row r="240" spans="1:9" x14ac:dyDescent="0.25">
      <c r="A240">
        <v>3</v>
      </c>
      <c r="B240" t="s">
        <v>384</v>
      </c>
    </row>
    <row r="241" spans="1:2" x14ac:dyDescent="0.25">
      <c r="A241">
        <v>2</v>
      </c>
      <c r="B241" t="s">
        <v>385</v>
      </c>
    </row>
    <row r="242" spans="1:2" x14ac:dyDescent="0.25">
      <c r="A242">
        <v>1</v>
      </c>
      <c r="B242" t="s">
        <v>273</v>
      </c>
    </row>
    <row r="244" spans="1:2" s="29" customFormat="1" x14ac:dyDescent="0.25"/>
    <row r="245" spans="1:2" x14ac:dyDescent="0.25">
      <c r="A245" s="31" t="s">
        <v>3</v>
      </c>
    </row>
    <row r="246" spans="1:2" s="26" customFormat="1" x14ac:dyDescent="0.25">
      <c r="A246" s="30" t="s">
        <v>46</v>
      </c>
      <c r="B246" s="26" t="s">
        <v>274</v>
      </c>
    </row>
    <row r="247" spans="1:2" s="26" customFormat="1" x14ac:dyDescent="0.25">
      <c r="A247" s="30" t="s">
        <v>47</v>
      </c>
      <c r="B247" s="26" t="s">
        <v>275</v>
      </c>
    </row>
    <row r="248" spans="1:2" s="26" customFormat="1" x14ac:dyDescent="0.25">
      <c r="A248" s="30" t="s">
        <v>48</v>
      </c>
      <c r="B248" s="26" t="s">
        <v>276</v>
      </c>
    </row>
    <row r="249" spans="1:2" x14ac:dyDescent="0.25">
      <c r="A249" s="31" t="s">
        <v>81</v>
      </c>
    </row>
    <row r="250" spans="1:2" s="26" customFormat="1" x14ac:dyDescent="0.25">
      <c r="A250" s="30" t="s">
        <v>46</v>
      </c>
      <c r="B250" s="26" t="s">
        <v>386</v>
      </c>
    </row>
    <row r="251" spans="1:2" s="26" customFormat="1" x14ac:dyDescent="0.25">
      <c r="A251" s="30" t="s">
        <v>47</v>
      </c>
      <c r="B251" s="26" t="s">
        <v>277</v>
      </c>
    </row>
    <row r="252" spans="1:2" s="26" customFormat="1" x14ac:dyDescent="0.25">
      <c r="A252" s="30" t="s">
        <v>48</v>
      </c>
      <c r="B252" s="26" t="s">
        <v>387</v>
      </c>
    </row>
    <row r="253" spans="1:2" x14ac:dyDescent="0.25">
      <c r="A253" s="31" t="s">
        <v>2</v>
      </c>
    </row>
    <row r="254" spans="1:2" s="26" customFormat="1" x14ac:dyDescent="0.25">
      <c r="A254" s="30" t="s">
        <v>46</v>
      </c>
      <c r="B254" s="26" t="s">
        <v>388</v>
      </c>
    </row>
    <row r="255" spans="1:2" s="26" customFormat="1" x14ac:dyDescent="0.25">
      <c r="A255" s="30" t="s">
        <v>47</v>
      </c>
      <c r="B255" s="26" t="s">
        <v>278</v>
      </c>
    </row>
    <row r="256" spans="1:2" s="26" customFormat="1" x14ac:dyDescent="0.25">
      <c r="A256" s="30" t="s">
        <v>48</v>
      </c>
      <c r="B256" s="26" t="s">
        <v>279</v>
      </c>
    </row>
    <row r="257" spans="1:2" x14ac:dyDescent="0.25">
      <c r="A257" s="31" t="s">
        <v>280</v>
      </c>
    </row>
    <row r="258" spans="1:2" s="26" customFormat="1" x14ac:dyDescent="0.25">
      <c r="A258" s="30" t="s">
        <v>46</v>
      </c>
      <c r="B258" s="26" t="s">
        <v>389</v>
      </c>
    </row>
    <row r="259" spans="1:2" s="26" customFormat="1" x14ac:dyDescent="0.25">
      <c r="A259" s="30" t="s">
        <v>47</v>
      </c>
      <c r="B259" s="26" t="s">
        <v>281</v>
      </c>
    </row>
    <row r="260" spans="1:2" s="26" customFormat="1" x14ac:dyDescent="0.25">
      <c r="A260" s="30" t="s">
        <v>48</v>
      </c>
      <c r="B260" s="26" t="s">
        <v>282</v>
      </c>
    </row>
    <row r="261" spans="1:2" x14ac:dyDescent="0.25">
      <c r="A261" s="31" t="s">
        <v>283</v>
      </c>
    </row>
    <row r="262" spans="1:2" s="26" customFormat="1" x14ac:dyDescent="0.25">
      <c r="A262" s="30" t="s">
        <v>46</v>
      </c>
      <c r="B262" s="26" t="s">
        <v>390</v>
      </c>
    </row>
    <row r="263" spans="1:2" s="26" customFormat="1" x14ac:dyDescent="0.25">
      <c r="A263" s="30" t="s">
        <v>47</v>
      </c>
      <c r="B263" s="26" t="s">
        <v>284</v>
      </c>
    </row>
    <row r="264" spans="1:2" s="26" customFormat="1" x14ac:dyDescent="0.25">
      <c r="A264" s="30" t="s">
        <v>48</v>
      </c>
      <c r="B264" s="26" t="s">
        <v>391</v>
      </c>
    </row>
    <row r="265" spans="1:2" x14ac:dyDescent="0.25">
      <c r="A265" s="31" t="s">
        <v>90</v>
      </c>
    </row>
    <row r="266" spans="1:2" s="26" customFormat="1" x14ac:dyDescent="0.25">
      <c r="A266" s="30" t="s">
        <v>46</v>
      </c>
      <c r="B266" s="26" t="s">
        <v>285</v>
      </c>
    </row>
    <row r="267" spans="1:2" s="26" customFormat="1" x14ac:dyDescent="0.25">
      <c r="A267" s="30" t="s">
        <v>47</v>
      </c>
      <c r="B267" s="26" t="s">
        <v>286</v>
      </c>
    </row>
    <row r="268" spans="1:2" s="26" customFormat="1" x14ac:dyDescent="0.25">
      <c r="A268" s="30" t="s">
        <v>48</v>
      </c>
      <c r="B268" s="26" t="s">
        <v>287</v>
      </c>
    </row>
    <row r="269" spans="1:2" x14ac:dyDescent="0.25">
      <c r="A269" s="31" t="s">
        <v>392</v>
      </c>
    </row>
    <row r="270" spans="1:2" s="26" customFormat="1" x14ac:dyDescent="0.25">
      <c r="A270" s="30" t="s">
        <v>46</v>
      </c>
      <c r="B270" s="26" t="s">
        <v>288</v>
      </c>
    </row>
    <row r="271" spans="1:2" s="26" customFormat="1" x14ac:dyDescent="0.25">
      <c r="A271" s="30" t="s">
        <v>47</v>
      </c>
      <c r="B271" s="26" t="s">
        <v>393</v>
      </c>
    </row>
    <row r="272" spans="1:2" s="26" customFormat="1" x14ac:dyDescent="0.25">
      <c r="A272" s="30" t="s">
        <v>48</v>
      </c>
      <c r="B272" s="26" t="s">
        <v>289</v>
      </c>
    </row>
    <row r="273" spans="1:2" x14ac:dyDescent="0.25">
      <c r="A273" s="31" t="s">
        <v>290</v>
      </c>
    </row>
    <row r="274" spans="1:2" s="26" customFormat="1" x14ac:dyDescent="0.25">
      <c r="A274" s="30" t="s">
        <v>46</v>
      </c>
      <c r="B274" s="26" t="s">
        <v>394</v>
      </c>
    </row>
    <row r="275" spans="1:2" s="26" customFormat="1" x14ac:dyDescent="0.25">
      <c r="A275" s="30" t="s">
        <v>47</v>
      </c>
      <c r="B275" s="26" t="s">
        <v>395</v>
      </c>
    </row>
    <row r="276" spans="1:2" s="26" customFormat="1" x14ac:dyDescent="0.25">
      <c r="A276" s="30" t="s">
        <v>48</v>
      </c>
      <c r="B276" s="26" t="s">
        <v>291</v>
      </c>
    </row>
    <row r="277" spans="1:2" x14ac:dyDescent="0.25">
      <c r="A277" s="31" t="s">
        <v>396</v>
      </c>
    </row>
    <row r="278" spans="1:2" x14ac:dyDescent="0.25">
      <c r="A278" s="30" t="s">
        <v>46</v>
      </c>
      <c r="B278" t="s">
        <v>397</v>
      </c>
    </row>
    <row r="279" spans="1:2" x14ac:dyDescent="0.25">
      <c r="A279" s="30" t="s">
        <v>47</v>
      </c>
      <c r="B279" t="s">
        <v>398</v>
      </c>
    </row>
    <row r="280" spans="1:2" x14ac:dyDescent="0.25">
      <c r="A280" s="30" t="s">
        <v>48</v>
      </c>
      <c r="B280" t="s">
        <v>399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3"/>
  <sheetViews>
    <sheetView showGridLines="0" showRowColHeaders="0" zoomScaleNormal="100" workbookViewId="0">
      <pane ySplit="2" topLeftCell="A3" activePane="bottomLeft" state="frozen"/>
      <selection pane="bottomLeft"/>
    </sheetView>
  </sheetViews>
  <sheetFormatPr defaultRowHeight="15" x14ac:dyDescent="0.25"/>
  <cols>
    <col min="1" max="2" width="9.140625" style="26"/>
    <col min="3" max="3" width="14.140625" style="26" customWidth="1"/>
    <col min="4" max="5" width="9.140625" style="26"/>
    <col min="6" max="6" width="13.42578125" style="26" customWidth="1"/>
    <col min="7" max="7" width="15.42578125" style="26" customWidth="1"/>
    <col min="8" max="8" width="9.140625" style="26"/>
    <col min="9" max="9" width="7.28515625" style="26" customWidth="1"/>
    <col min="10" max="11" width="9.140625" style="26"/>
    <col min="12" max="12" width="13.140625" style="26" customWidth="1"/>
    <col min="13" max="14" width="9.140625" style="26"/>
    <col min="15" max="15" width="13.5703125" style="26" customWidth="1"/>
    <col min="19" max="19" width="9.140625" customWidth="1"/>
    <col min="20" max="26" width="9.140625" hidden="1" customWidth="1"/>
  </cols>
  <sheetData>
    <row r="1" spans="1:26" ht="52.5" customHeight="1" x14ac:dyDescent="0.25"/>
    <row r="2" spans="1:26" ht="30" x14ac:dyDescent="0.25">
      <c r="A2" s="69" t="str">
        <f>'Data Entry'!A2</f>
        <v>Evaluation Business Model</v>
      </c>
      <c r="B2" s="70"/>
      <c r="C2" s="70"/>
      <c r="D2" s="70"/>
      <c r="E2" s="70"/>
      <c r="F2" s="34" t="str">
        <f>'Data Entry'!D2</f>
        <v>Company:</v>
      </c>
      <c r="G2" s="71" t="str">
        <f>'Data Entry'!E2</f>
        <v>Example company</v>
      </c>
      <c r="H2" s="72"/>
      <c r="I2" s="72"/>
      <c r="J2" s="72"/>
      <c r="K2" s="36" t="s">
        <v>425</v>
      </c>
      <c r="L2" s="73" t="str">
        <f>'Data Entry'!J2</f>
        <v>Current Business Model</v>
      </c>
      <c r="M2" s="70"/>
      <c r="N2" s="34" t="s">
        <v>15</v>
      </c>
      <c r="O2" s="35">
        <f>'Data Entry'!N2</f>
        <v>40908</v>
      </c>
    </row>
    <row r="4" spans="1:26" x14ac:dyDescent="0.25">
      <c r="A4" s="74" t="str">
        <f>IF($Y$6="","",IF($Y$6&gt;3,Teksten!$B$248,IF($Y$6&lt;-3,Teksten!$B$246,IF($Y$6="","Geen Tekst",Teksten!$B$247))))</f>
        <v>Spent attention to your partners to focus better and maintain relations.</v>
      </c>
      <c r="B4" s="74"/>
      <c r="C4" s="74"/>
      <c r="D4" s="74" t="str">
        <f>IF($Y$7="","",(IF($Y$7&gt;3,Teksten!$B$252,IF($Y$7&lt;-3,Teksten!$B$250,Teksten!$B$251))))</f>
        <v>You can execute your activities more efficient and improve the quality. Perhaps some activities can be outsourced.</v>
      </c>
      <c r="E4" s="74"/>
      <c r="F4" s="74"/>
      <c r="G4" s="74" t="str">
        <f>IF($Y$9="","",IF($Y$9&gt;3,Teksten!$B$260,IF($Y$9&lt;-3,Teksten!$B$258,Teksten!$B$259)))</f>
        <v>You do what your customer asks. Search for extra possibilities with customers and prospects.</v>
      </c>
      <c r="H4" s="74"/>
      <c r="I4" s="74"/>
      <c r="J4" s="74" t="str">
        <f>IF($Y$10="","",IF($Y$10&gt;3,Teksten!$B$264,IF($Y$10&lt;-3,Teksten!$B$262,Teksten!$B$263)))</f>
        <v xml:space="preserve">You know how to control your customer relationships. Your challenge is to personalise these and to make the relationships stronger. </v>
      </c>
      <c r="K4" s="74"/>
      <c r="L4" s="74"/>
      <c r="M4" s="74" t="str">
        <f>IF($Y$12="","",IF($Y$12&gt;3,Teksten!$B$272,IF($Y$12&lt;-3,Teksten!$B$270,Teksten!$B$271)))</f>
        <v>You know your customers. A better contact lowers customer retention. Mind your competition because they are trying to steal your customers.</v>
      </c>
      <c r="N4" s="74"/>
      <c r="O4" s="74"/>
    </row>
    <row r="5" spans="1:26" ht="15" customHeight="1" x14ac:dyDescent="0.25">
      <c r="A5" s="74"/>
      <c r="B5" s="74"/>
      <c r="C5" s="74"/>
      <c r="D5" s="74"/>
      <c r="E5" s="74"/>
      <c r="F5" s="74"/>
      <c r="G5" s="74"/>
      <c r="H5" s="74"/>
      <c r="I5" s="74"/>
      <c r="J5" s="74"/>
      <c r="K5" s="74"/>
      <c r="L5" s="74"/>
      <c r="M5" s="74"/>
      <c r="N5" s="74"/>
      <c r="O5" s="74"/>
      <c r="T5" s="26"/>
      <c r="U5" s="26"/>
      <c r="V5" s="32" t="s">
        <v>14</v>
      </c>
      <c r="W5" s="32" t="s">
        <v>8</v>
      </c>
      <c r="X5" s="32" t="s">
        <v>4</v>
      </c>
      <c r="Y5" s="32" t="s">
        <v>23</v>
      </c>
      <c r="Z5" s="26"/>
    </row>
    <row r="6" spans="1:26" x14ac:dyDescent="0.25">
      <c r="A6" s="74"/>
      <c r="B6" s="74"/>
      <c r="C6" s="74"/>
      <c r="D6" s="74"/>
      <c r="E6" s="74"/>
      <c r="F6" s="74"/>
      <c r="G6" s="74"/>
      <c r="H6" s="74"/>
      <c r="I6" s="74"/>
      <c r="J6" s="74"/>
      <c r="K6" s="74"/>
      <c r="L6" s="74"/>
      <c r="M6" s="74"/>
      <c r="N6" s="74"/>
      <c r="O6" s="74"/>
      <c r="T6" s="26" t="s">
        <v>3</v>
      </c>
      <c r="U6" s="26"/>
      <c r="V6" s="21">
        <f>Categorie!B47</f>
        <v>1.5</v>
      </c>
      <c r="W6" s="21">
        <f>Categorie!F50</f>
        <v>1.8</v>
      </c>
      <c r="X6" s="21">
        <f>Categorie!J48</f>
        <v>1.3333333333333333</v>
      </c>
      <c r="Y6" s="21">
        <f>Graph!Y6</f>
        <v>1.033333333333333</v>
      </c>
      <c r="Z6" s="26"/>
    </row>
    <row r="7" spans="1:26" x14ac:dyDescent="0.25">
      <c r="A7" s="74"/>
      <c r="B7" s="74"/>
      <c r="C7" s="74"/>
      <c r="D7" s="74"/>
      <c r="E7" s="74"/>
      <c r="F7" s="74"/>
      <c r="G7" s="74"/>
      <c r="H7" s="74"/>
      <c r="I7" s="74"/>
      <c r="J7" s="74"/>
      <c r="K7" s="74"/>
      <c r="L7" s="74"/>
      <c r="M7" s="74"/>
      <c r="N7" s="74"/>
      <c r="O7" s="74"/>
      <c r="T7" s="26" t="s">
        <v>7</v>
      </c>
      <c r="U7" s="26"/>
      <c r="V7" s="21">
        <f>Categorie!B42</f>
        <v>2</v>
      </c>
      <c r="W7" s="21">
        <f>Categorie!F41</f>
        <v>2</v>
      </c>
      <c r="X7" s="21">
        <f>Categorie!J40</f>
        <v>2</v>
      </c>
      <c r="Y7" s="21">
        <f>Graph!Y7</f>
        <v>2</v>
      </c>
      <c r="Z7" s="26"/>
    </row>
    <row r="8" spans="1:26" x14ac:dyDescent="0.25">
      <c r="A8" s="74"/>
      <c r="B8" s="74"/>
      <c r="C8" s="74"/>
      <c r="D8" s="74"/>
      <c r="E8" s="74"/>
      <c r="F8" s="74"/>
      <c r="G8" s="74"/>
      <c r="H8" s="74"/>
      <c r="I8" s="74"/>
      <c r="J8" s="74"/>
      <c r="K8" s="74"/>
      <c r="L8" s="74"/>
      <c r="M8" s="74"/>
      <c r="N8" s="74"/>
      <c r="O8" s="74"/>
      <c r="T8" s="26" t="s">
        <v>2</v>
      </c>
      <c r="U8" s="26"/>
      <c r="V8" s="21">
        <f>Categorie!B34</f>
        <v>5</v>
      </c>
      <c r="W8" s="21">
        <f>Categorie!F35</f>
        <v>1</v>
      </c>
      <c r="X8" s="21">
        <f>Categorie!J33</f>
        <v>1</v>
      </c>
      <c r="Y8" s="21">
        <f>Graph!Y8</f>
        <v>5</v>
      </c>
      <c r="Z8" s="26"/>
    </row>
    <row r="9" spans="1:26" x14ac:dyDescent="0.25">
      <c r="A9" s="74"/>
      <c r="B9" s="74"/>
      <c r="C9" s="74"/>
      <c r="D9" s="74"/>
      <c r="E9" s="74"/>
      <c r="F9" s="74"/>
      <c r="G9" s="74"/>
      <c r="H9" s="74"/>
      <c r="I9" s="74"/>
      <c r="J9" s="74"/>
      <c r="K9" s="74"/>
      <c r="L9" s="74"/>
      <c r="M9" s="74"/>
      <c r="N9" s="74"/>
      <c r="O9" s="74"/>
      <c r="T9" s="26" t="s">
        <v>9</v>
      </c>
      <c r="U9" s="26"/>
      <c r="V9" s="21">
        <f>Categorie!B9</f>
        <v>1.75</v>
      </c>
      <c r="W9" s="21">
        <f>Categorie!F10</f>
        <v>2.8</v>
      </c>
      <c r="X9" s="21">
        <f>Categorie!J7</f>
        <v>3</v>
      </c>
      <c r="Y9" s="21">
        <f>Graph!Y9</f>
        <v>1.9500000000000002</v>
      </c>
      <c r="Z9" s="26"/>
    </row>
    <row r="10" spans="1:26" x14ac:dyDescent="0.25">
      <c r="A10" s="74"/>
      <c r="B10" s="74"/>
      <c r="C10" s="74"/>
      <c r="D10" s="74"/>
      <c r="E10" s="74"/>
      <c r="F10" s="74"/>
      <c r="G10" s="74"/>
      <c r="H10" s="74"/>
      <c r="I10" s="74"/>
      <c r="J10" s="74"/>
      <c r="K10" s="74"/>
      <c r="L10" s="74"/>
      <c r="M10" s="74"/>
      <c r="N10" s="74"/>
      <c r="O10" s="74"/>
      <c r="T10" s="26" t="s">
        <v>10</v>
      </c>
      <c r="U10" s="26"/>
      <c r="V10" s="21">
        <f>Categorie!B74</f>
        <v>3</v>
      </c>
      <c r="W10" s="21">
        <f>Categorie!F76</f>
        <v>1.5</v>
      </c>
      <c r="X10" s="21">
        <f>Categorie!J71</f>
        <v>2</v>
      </c>
      <c r="Y10" s="21">
        <f>Graph!Y10</f>
        <v>3.5</v>
      </c>
      <c r="Z10" s="26"/>
    </row>
    <row r="11" spans="1:26" x14ac:dyDescent="0.25">
      <c r="A11" s="74"/>
      <c r="B11" s="74"/>
      <c r="C11" s="74"/>
      <c r="D11" s="74"/>
      <c r="E11" s="74"/>
      <c r="F11" s="74"/>
      <c r="G11" s="74"/>
      <c r="H11" s="74"/>
      <c r="I11" s="74"/>
      <c r="J11" s="74"/>
      <c r="K11" s="74"/>
      <c r="L11" s="74"/>
      <c r="M11" s="74"/>
      <c r="N11" s="74"/>
      <c r="O11" s="74"/>
      <c r="T11" s="26" t="s">
        <v>11</v>
      </c>
      <c r="U11" s="26"/>
      <c r="V11" s="21">
        <f>Categorie!B67</f>
        <v>-0.8571428571428571</v>
      </c>
      <c r="W11" s="21">
        <f>Categorie!F65</f>
        <v>1.6</v>
      </c>
      <c r="X11" s="21">
        <f>Categorie!J62</f>
        <v>1</v>
      </c>
      <c r="Y11" s="21">
        <f>Graph!Y11</f>
        <v>-1.4571428571428573</v>
      </c>
      <c r="Z11" s="26"/>
    </row>
    <row r="12" spans="1:26" x14ac:dyDescent="0.25">
      <c r="A12" s="74"/>
      <c r="B12" s="74"/>
      <c r="C12" s="74"/>
      <c r="D12" s="74"/>
      <c r="E12" s="74"/>
      <c r="F12" s="74"/>
      <c r="G12" s="74"/>
      <c r="H12" s="74"/>
      <c r="I12" s="74"/>
      <c r="J12" s="74"/>
      <c r="K12" s="74"/>
      <c r="L12" s="74"/>
      <c r="M12" s="74"/>
      <c r="N12" s="74"/>
      <c r="O12" s="74"/>
      <c r="T12" s="26" t="s">
        <v>12</v>
      </c>
      <c r="U12" s="26"/>
      <c r="V12" s="21">
        <f>Categorie!B56</f>
        <v>3</v>
      </c>
      <c r="W12" s="21">
        <f>Categorie!F56</f>
        <v>3.3333333333333335</v>
      </c>
      <c r="X12" s="21">
        <f>Categorie!J57</f>
        <v>2</v>
      </c>
      <c r="Y12" s="21">
        <f>Graph!Y12</f>
        <v>1.6666666666666665</v>
      </c>
      <c r="Z12" s="26"/>
    </row>
    <row r="13" spans="1:26" x14ac:dyDescent="0.25">
      <c r="A13" s="74"/>
      <c r="B13" s="74"/>
      <c r="C13" s="74"/>
      <c r="D13" s="74"/>
      <c r="E13" s="74"/>
      <c r="F13" s="74"/>
      <c r="G13" s="74"/>
      <c r="H13" s="74"/>
      <c r="I13" s="74"/>
      <c r="J13" s="74"/>
      <c r="K13" s="74"/>
      <c r="L13" s="74"/>
      <c r="M13" s="74"/>
      <c r="N13" s="74"/>
      <c r="O13" s="74"/>
      <c r="T13" s="26" t="s">
        <v>6</v>
      </c>
      <c r="U13" s="26"/>
      <c r="V13" s="21">
        <f>Categorie!B28</f>
        <v>2.25</v>
      </c>
      <c r="W13" s="21">
        <f>Categorie!F25</f>
        <v>1</v>
      </c>
      <c r="X13" s="21">
        <f>Categorie!J26</f>
        <v>1</v>
      </c>
      <c r="Y13" s="21">
        <f>Graph!Y13</f>
        <v>2.25</v>
      </c>
      <c r="Z13" s="26"/>
    </row>
    <row r="14" spans="1:26" x14ac:dyDescent="0.25">
      <c r="A14" s="74"/>
      <c r="B14" s="74"/>
      <c r="C14" s="74"/>
      <c r="D14" s="33"/>
      <c r="E14" s="33"/>
      <c r="F14" s="33"/>
      <c r="G14" s="74"/>
      <c r="H14" s="74"/>
      <c r="I14" s="74"/>
      <c r="M14" s="74"/>
      <c r="N14" s="74"/>
      <c r="O14" s="74"/>
      <c r="T14" s="26" t="s">
        <v>5</v>
      </c>
      <c r="U14" s="26"/>
      <c r="V14" s="21">
        <f>Categorie!B21</f>
        <v>0.75</v>
      </c>
      <c r="W14" s="21">
        <f>Categorie!F18</f>
        <v>1.4</v>
      </c>
      <c r="X14" s="21">
        <f>Categorie!J16</f>
        <v>1</v>
      </c>
      <c r="Y14" s="21">
        <f>Graph!Y14</f>
        <v>0.35000000000000009</v>
      </c>
      <c r="Z14" s="26"/>
    </row>
    <row r="15" spans="1:26" x14ac:dyDescent="0.25">
      <c r="A15" s="74"/>
      <c r="B15" s="74"/>
      <c r="C15" s="74"/>
      <c r="D15" s="74" t="str">
        <f>IF($Y$8="","",IF($Y$8&gt;3,Teksten!$B$256,IF($Y$8&lt;-3,Teksten!$B$254,Teksten!$B$255)))</f>
        <v>Your resources are well utilised. There is still room for optimizing.</v>
      </c>
      <c r="E15" s="74"/>
      <c r="F15" s="74"/>
      <c r="G15" s="74"/>
      <c r="H15" s="74"/>
      <c r="I15" s="74"/>
      <c r="J15" s="74" t="str">
        <f>IF($Y$11="","",IF($Y$11&gt;3,Teksten!$B$268,IF($Y$11&lt;-3,Teksten!$B$266,Teksten!$B$267)))</f>
        <v>You know how to reach your customers and prospects. However it can be better. How do you reach the different segments and how are opportunities integrated?</v>
      </c>
      <c r="K15" s="74"/>
      <c r="L15" s="74"/>
      <c r="M15" s="74"/>
      <c r="N15" s="74"/>
      <c r="O15" s="74"/>
      <c r="T15" s="26"/>
      <c r="U15" s="26"/>
      <c r="V15" s="26"/>
      <c r="W15" s="26"/>
      <c r="X15" s="26"/>
      <c r="Y15" s="26"/>
      <c r="Z15" s="26"/>
    </row>
    <row r="16" spans="1:26" x14ac:dyDescent="0.25">
      <c r="A16" s="74"/>
      <c r="B16" s="74"/>
      <c r="C16" s="74"/>
      <c r="D16" s="74"/>
      <c r="E16" s="74"/>
      <c r="F16" s="74"/>
      <c r="G16" s="74"/>
      <c r="H16" s="74"/>
      <c r="I16" s="74"/>
      <c r="J16" s="74"/>
      <c r="K16" s="74"/>
      <c r="L16" s="74"/>
      <c r="M16" s="74"/>
      <c r="N16" s="74"/>
      <c r="O16" s="74"/>
      <c r="T16" s="26"/>
      <c r="U16" s="26"/>
      <c r="V16" s="26"/>
      <c r="W16" s="26"/>
      <c r="X16" s="26"/>
      <c r="Y16" s="26"/>
      <c r="Z16" s="26"/>
    </row>
    <row r="17" spans="1:26" x14ac:dyDescent="0.25">
      <c r="A17" s="74"/>
      <c r="B17" s="74"/>
      <c r="C17" s="74"/>
      <c r="D17" s="74"/>
      <c r="E17" s="74"/>
      <c r="F17" s="74"/>
      <c r="G17" s="74"/>
      <c r="H17" s="74"/>
      <c r="I17" s="74"/>
      <c r="J17" s="74"/>
      <c r="K17" s="74"/>
      <c r="L17" s="74"/>
      <c r="M17" s="74"/>
      <c r="N17" s="74"/>
      <c r="O17" s="74"/>
      <c r="T17" s="26" t="s">
        <v>24</v>
      </c>
      <c r="U17" s="26"/>
      <c r="V17" s="26">
        <v>5</v>
      </c>
      <c r="W17" s="26">
        <v>5</v>
      </c>
      <c r="X17" s="26">
        <v>1</v>
      </c>
      <c r="Y17" s="21">
        <f>V17+W17-X17</f>
        <v>9</v>
      </c>
      <c r="Z17" s="26">
        <v>3</v>
      </c>
    </row>
    <row r="18" spans="1:26" x14ac:dyDescent="0.25">
      <c r="A18" s="74"/>
      <c r="B18" s="74"/>
      <c r="C18" s="74"/>
      <c r="D18" s="74"/>
      <c r="E18" s="74"/>
      <c r="F18" s="74"/>
      <c r="G18" s="74"/>
      <c r="H18" s="74"/>
      <c r="I18" s="74"/>
      <c r="J18" s="74"/>
      <c r="K18" s="74"/>
      <c r="L18" s="74"/>
      <c r="M18" s="74"/>
      <c r="N18" s="74"/>
      <c r="O18" s="74"/>
      <c r="T18" s="26"/>
      <c r="U18" s="26"/>
      <c r="V18" s="26"/>
      <c r="W18" s="26"/>
      <c r="X18" s="26"/>
      <c r="Y18" s="21"/>
      <c r="Z18" s="26"/>
    </row>
    <row r="19" spans="1:26" x14ac:dyDescent="0.25">
      <c r="A19" s="74"/>
      <c r="B19" s="74"/>
      <c r="C19" s="74"/>
      <c r="D19" s="74"/>
      <c r="E19" s="74"/>
      <c r="F19" s="74"/>
      <c r="G19" s="74"/>
      <c r="H19" s="74"/>
      <c r="I19" s="74"/>
      <c r="J19" s="74"/>
      <c r="K19" s="74"/>
      <c r="L19" s="74"/>
      <c r="M19" s="74"/>
      <c r="N19" s="74"/>
      <c r="O19" s="74"/>
      <c r="T19" s="26" t="s">
        <v>25</v>
      </c>
      <c r="U19" s="26"/>
      <c r="V19" s="26">
        <v>-5</v>
      </c>
      <c r="W19" s="26">
        <v>1</v>
      </c>
      <c r="X19" s="26">
        <v>5</v>
      </c>
      <c r="Y19" s="21">
        <f>V19+W19-X19</f>
        <v>-9</v>
      </c>
      <c r="Z19" s="26">
        <v>-3</v>
      </c>
    </row>
    <row r="20" spans="1:26" x14ac:dyDescent="0.25">
      <c r="A20" s="74"/>
      <c r="B20" s="74"/>
      <c r="C20" s="74"/>
      <c r="D20" s="74"/>
      <c r="E20" s="74"/>
      <c r="F20" s="74"/>
      <c r="G20" s="74"/>
      <c r="H20" s="74"/>
      <c r="I20" s="74"/>
      <c r="J20" s="74"/>
      <c r="K20" s="74"/>
      <c r="L20" s="74"/>
      <c r="M20" s="74"/>
      <c r="N20" s="74"/>
      <c r="O20" s="74"/>
      <c r="T20" s="26"/>
      <c r="U20" s="26"/>
      <c r="V20" s="26"/>
      <c r="W20" s="26"/>
      <c r="X20" s="26"/>
      <c r="Y20" s="26"/>
      <c r="Z20" s="26"/>
    </row>
    <row r="21" spans="1:26" x14ac:dyDescent="0.25">
      <c r="A21" s="74"/>
      <c r="B21" s="74"/>
      <c r="C21" s="74"/>
      <c r="D21" s="74"/>
      <c r="E21" s="74"/>
      <c r="F21" s="74"/>
      <c r="G21" s="74"/>
      <c r="H21" s="74"/>
      <c r="I21" s="74"/>
      <c r="J21" s="74"/>
      <c r="K21" s="74"/>
      <c r="L21" s="74"/>
      <c r="M21" s="74"/>
      <c r="N21" s="74"/>
      <c r="O21" s="74"/>
    </row>
    <row r="22" spans="1:26" x14ac:dyDescent="0.25">
      <c r="A22" s="74"/>
      <c r="B22" s="74"/>
      <c r="C22" s="74"/>
      <c r="D22" s="74"/>
      <c r="E22" s="74"/>
      <c r="F22" s="74"/>
      <c r="G22" s="74"/>
      <c r="H22" s="74"/>
      <c r="I22" s="74"/>
      <c r="J22" s="74"/>
      <c r="K22" s="74"/>
      <c r="L22" s="74"/>
      <c r="M22" s="74"/>
      <c r="N22" s="74"/>
      <c r="O22" s="74"/>
    </row>
    <row r="23" spans="1:26" x14ac:dyDescent="0.25">
      <c r="A23" s="74"/>
      <c r="B23" s="74"/>
      <c r="C23" s="74"/>
      <c r="D23" s="74"/>
      <c r="E23" s="74"/>
      <c r="F23" s="74"/>
      <c r="G23" s="74"/>
      <c r="H23" s="74"/>
      <c r="I23" s="74"/>
      <c r="J23" s="74"/>
      <c r="K23" s="74"/>
      <c r="L23" s="74"/>
      <c r="M23" s="74"/>
      <c r="N23" s="74"/>
      <c r="O23" s="74"/>
    </row>
    <row r="24" spans="1:26" x14ac:dyDescent="0.25">
      <c r="D24" s="33"/>
      <c r="E24" s="33"/>
      <c r="F24" s="33"/>
    </row>
    <row r="25" spans="1:26" x14ac:dyDescent="0.25">
      <c r="D25" s="33"/>
      <c r="E25" s="33"/>
      <c r="F25" s="33"/>
    </row>
    <row r="26" spans="1:26" x14ac:dyDescent="0.25">
      <c r="A26" s="67" t="str">
        <f>IF($Y$13="","",IF($Y$13&gt;3,Teksten!$B$276,IF($Y$13&lt;-3,Teksten!$B$274,Teksten!$B$275)))</f>
        <v xml:space="preserve">You know your cost structure. Align them better with your business model, lower overall cost and make them predictable. </v>
      </c>
      <c r="B26" s="68"/>
      <c r="C26" s="68"/>
      <c r="D26" s="68"/>
      <c r="E26" s="68"/>
      <c r="F26" s="68"/>
      <c r="G26" s="68"/>
      <c r="H26" s="67" t="str">
        <f>IF($Y$14="","",IF($Y$14&gt;3,Teksten!$B$280,IF($Y$14&lt;-3,Teksten!$B$278,Teksten!$B$279)))</f>
        <v xml:space="preserve">You know your revenue streams. Better arguments with customers will lead to consistent revenue streams and less risk that revenues disappear. </v>
      </c>
      <c r="I26" s="67"/>
      <c r="J26" s="67"/>
      <c r="K26" s="67"/>
      <c r="L26" s="67"/>
      <c r="M26" s="67"/>
      <c r="N26" s="67"/>
      <c r="O26" s="67"/>
    </row>
    <row r="27" spans="1:26" x14ac:dyDescent="0.25">
      <c r="A27" s="68"/>
      <c r="B27" s="68"/>
      <c r="C27" s="68"/>
      <c r="D27" s="68"/>
      <c r="E27" s="68"/>
      <c r="F27" s="68"/>
      <c r="G27" s="68"/>
      <c r="H27" s="67"/>
      <c r="I27" s="67"/>
      <c r="J27" s="67"/>
      <c r="K27" s="67"/>
      <c r="L27" s="67"/>
      <c r="M27" s="67"/>
      <c r="N27" s="67"/>
      <c r="O27" s="67"/>
    </row>
    <row r="28" spans="1:26" x14ac:dyDescent="0.25">
      <c r="A28" s="68"/>
      <c r="B28" s="68"/>
      <c r="C28" s="68"/>
      <c r="D28" s="68"/>
      <c r="E28" s="68"/>
      <c r="F28" s="68"/>
      <c r="G28" s="68"/>
      <c r="H28" s="67"/>
      <c r="I28" s="67"/>
      <c r="J28" s="67"/>
      <c r="K28" s="67"/>
      <c r="L28" s="67"/>
      <c r="M28" s="67"/>
      <c r="N28" s="67"/>
      <c r="O28" s="67"/>
    </row>
    <row r="29" spans="1:26" x14ac:dyDescent="0.25">
      <c r="A29" s="68"/>
      <c r="B29" s="68"/>
      <c r="C29" s="68"/>
      <c r="D29" s="68"/>
      <c r="E29" s="68"/>
      <c r="F29" s="68"/>
      <c r="G29" s="68"/>
      <c r="H29" s="67"/>
      <c r="I29" s="67"/>
      <c r="J29" s="67"/>
      <c r="K29" s="67"/>
      <c r="L29" s="67"/>
      <c r="M29" s="67"/>
      <c r="N29" s="67"/>
      <c r="O29" s="67"/>
    </row>
    <row r="30" spans="1:26" x14ac:dyDescent="0.25">
      <c r="A30" s="68"/>
      <c r="B30" s="68"/>
      <c r="C30" s="68"/>
      <c r="D30" s="68"/>
      <c r="E30" s="68"/>
      <c r="F30" s="68"/>
      <c r="G30" s="68"/>
      <c r="H30" s="67"/>
      <c r="I30" s="67"/>
      <c r="J30" s="67"/>
      <c r="K30" s="67"/>
      <c r="L30" s="67"/>
      <c r="M30" s="67"/>
      <c r="N30" s="67"/>
      <c r="O30" s="67"/>
      <c r="P30" s="26"/>
    </row>
    <row r="31" spans="1:26" x14ac:dyDescent="0.25">
      <c r="A31" s="68"/>
      <c r="B31" s="68"/>
      <c r="C31" s="68"/>
      <c r="D31" s="68"/>
      <c r="E31" s="68"/>
      <c r="F31" s="68"/>
      <c r="G31" s="68"/>
      <c r="H31" s="67"/>
      <c r="I31" s="67"/>
      <c r="J31" s="67"/>
      <c r="K31" s="67"/>
      <c r="L31" s="67"/>
      <c r="M31" s="67"/>
      <c r="N31" s="67"/>
      <c r="O31" s="67"/>
      <c r="P31" s="26"/>
    </row>
    <row r="32" spans="1:26" ht="15" customHeight="1" x14ac:dyDescent="0.25">
      <c r="A32" s="68"/>
      <c r="B32" s="68"/>
      <c r="C32" s="68"/>
      <c r="D32" s="68"/>
      <c r="E32" s="68"/>
      <c r="F32" s="68"/>
      <c r="G32" s="68"/>
      <c r="H32" s="67"/>
      <c r="I32" s="67"/>
      <c r="J32" s="67"/>
      <c r="K32" s="67"/>
      <c r="L32" s="67"/>
      <c r="M32" s="67"/>
      <c r="N32" s="67"/>
      <c r="O32" s="67"/>
      <c r="P32" s="26"/>
    </row>
    <row r="33" spans="1:16" x14ac:dyDescent="0.25">
      <c r="A33" s="33"/>
      <c r="B33" s="33"/>
      <c r="C33" s="33"/>
      <c r="D33" s="33"/>
      <c r="E33" s="33"/>
      <c r="F33" s="33"/>
      <c r="P33" s="26"/>
    </row>
    <row r="34" spans="1:16" x14ac:dyDescent="0.25">
      <c r="A34" s="33"/>
      <c r="B34" s="33"/>
      <c r="C34" s="33"/>
      <c r="D34" s="33"/>
      <c r="E34" s="33"/>
      <c r="F34" s="33"/>
      <c r="P34" s="26"/>
    </row>
    <row r="35" spans="1:16" x14ac:dyDescent="0.25">
      <c r="P35" s="26"/>
    </row>
    <row r="36" spans="1:16" x14ac:dyDescent="0.25">
      <c r="P36" s="26"/>
    </row>
    <row r="37" spans="1:16" x14ac:dyDescent="0.25">
      <c r="P37" s="26"/>
    </row>
    <row r="38" spans="1:16" x14ac:dyDescent="0.25">
      <c r="P38" s="26"/>
    </row>
    <row r="39" spans="1:16" x14ac:dyDescent="0.25">
      <c r="P39" s="26"/>
    </row>
    <row r="40" spans="1:16" x14ac:dyDescent="0.25">
      <c r="P40" s="26"/>
    </row>
    <row r="41" spans="1:16" x14ac:dyDescent="0.25">
      <c r="P41" s="26"/>
    </row>
    <row r="42" spans="1:16" x14ac:dyDescent="0.25">
      <c r="P42" s="26"/>
    </row>
    <row r="43" spans="1:16" ht="15" customHeight="1" x14ac:dyDescent="0.25">
      <c r="P43" s="26"/>
    </row>
    <row r="44" spans="1:16" x14ac:dyDescent="0.25">
      <c r="P44" s="26"/>
    </row>
    <row r="45" spans="1:16" x14ac:dyDescent="0.25">
      <c r="P45" s="26"/>
    </row>
    <row r="46" spans="1:16" x14ac:dyDescent="0.25">
      <c r="P46" s="26"/>
    </row>
    <row r="47" spans="1:16" x14ac:dyDescent="0.25">
      <c r="P47" s="26"/>
    </row>
    <row r="48" spans="1:16" x14ac:dyDescent="0.25">
      <c r="P48" s="26"/>
    </row>
    <row r="49" spans="16:16" x14ac:dyDescent="0.25">
      <c r="P49" s="26"/>
    </row>
    <row r="50" spans="16:16" x14ac:dyDescent="0.25">
      <c r="P50" s="26"/>
    </row>
    <row r="51" spans="16:16" x14ac:dyDescent="0.25">
      <c r="P51" s="26"/>
    </row>
    <row r="52" spans="16:16" x14ac:dyDescent="0.25">
      <c r="P52" s="26"/>
    </row>
    <row r="53" spans="16:16" x14ac:dyDescent="0.25">
      <c r="P53" s="26"/>
    </row>
    <row r="54" spans="16:16" ht="15" customHeight="1" x14ac:dyDescent="0.25">
      <c r="P54" s="26"/>
    </row>
    <row r="55" spans="16:16" x14ac:dyDescent="0.25">
      <c r="P55" s="26"/>
    </row>
    <row r="56" spans="16:16" x14ac:dyDescent="0.25">
      <c r="P56" s="26"/>
    </row>
    <row r="57" spans="16:16" x14ac:dyDescent="0.25">
      <c r="P57" s="26"/>
    </row>
    <row r="58" spans="16:16" x14ac:dyDescent="0.25">
      <c r="P58" s="26"/>
    </row>
    <row r="59" spans="16:16" x14ac:dyDescent="0.25">
      <c r="P59" s="26"/>
    </row>
    <row r="60" spans="16:16" x14ac:dyDescent="0.25">
      <c r="P60" s="26"/>
    </row>
    <row r="61" spans="16:16" x14ac:dyDescent="0.25">
      <c r="P61" s="26"/>
    </row>
    <row r="62" spans="16:16" x14ac:dyDescent="0.25">
      <c r="P62" s="26"/>
    </row>
    <row r="63" spans="16:16" x14ac:dyDescent="0.25">
      <c r="P63" s="26"/>
    </row>
  </sheetData>
  <sheetProtection password="AD8C" sheet="1" objects="1" scenarios="1" selectLockedCells="1" selectUnlockedCells="1"/>
  <sortState ref="S26:S30">
    <sortCondition descending="1" ref="S26:S30"/>
  </sortState>
  <mergeCells count="12">
    <mergeCell ref="A26:G32"/>
    <mergeCell ref="H26:O32"/>
    <mergeCell ref="A2:E2"/>
    <mergeCell ref="G2:J2"/>
    <mergeCell ref="L2:M2"/>
    <mergeCell ref="A4:C23"/>
    <mergeCell ref="D4:F13"/>
    <mergeCell ref="G4:I23"/>
    <mergeCell ref="J4:L13"/>
    <mergeCell ref="M4:O23"/>
    <mergeCell ref="D15:F23"/>
    <mergeCell ref="J15:L23"/>
  </mergeCells>
  <conditionalFormatting sqref="A4">
    <cfRule type="expression" dxfId="116" priority="25">
      <formula>Y6&lt;-3</formula>
    </cfRule>
    <cfRule type="expression" dxfId="115" priority="26">
      <formula>Y6&gt;3</formula>
    </cfRule>
    <cfRule type="expression" dxfId="114" priority="27">
      <formula>Y6&lt;4</formula>
    </cfRule>
  </conditionalFormatting>
  <conditionalFormatting sqref="D4">
    <cfRule type="expression" dxfId="113" priority="22">
      <formula>Y7&lt;-3</formula>
    </cfRule>
    <cfRule type="expression" dxfId="112" priority="23">
      <formula>Y7&gt;3</formula>
    </cfRule>
    <cfRule type="expression" dxfId="111" priority="24">
      <formula>Y7&lt;4</formula>
    </cfRule>
  </conditionalFormatting>
  <conditionalFormatting sqref="D15">
    <cfRule type="expression" dxfId="110" priority="19">
      <formula>Y8&lt;-3</formula>
    </cfRule>
    <cfRule type="expression" dxfId="109" priority="20">
      <formula>Y8&gt;3</formula>
    </cfRule>
    <cfRule type="expression" dxfId="108" priority="21">
      <formula>Y8&lt;4</formula>
    </cfRule>
  </conditionalFormatting>
  <conditionalFormatting sqref="G4">
    <cfRule type="expression" dxfId="107" priority="16">
      <formula>Y9&lt;-3</formula>
    </cfRule>
    <cfRule type="expression" dxfId="106" priority="17">
      <formula>Y9&gt;3</formula>
    </cfRule>
    <cfRule type="expression" dxfId="105" priority="18">
      <formula>Y9&lt;4</formula>
    </cfRule>
  </conditionalFormatting>
  <conditionalFormatting sqref="J4">
    <cfRule type="expression" dxfId="104" priority="13">
      <formula>Y10&lt;-3</formula>
    </cfRule>
    <cfRule type="expression" dxfId="103" priority="14">
      <formula>Y10&gt;3</formula>
    </cfRule>
    <cfRule type="expression" dxfId="102" priority="15">
      <formula>Y10&lt;4</formula>
    </cfRule>
  </conditionalFormatting>
  <conditionalFormatting sqref="J15">
    <cfRule type="expression" dxfId="101" priority="10">
      <formula>Y11&lt;-3</formula>
    </cfRule>
    <cfRule type="expression" dxfId="100" priority="11">
      <formula>Y11&gt;3</formula>
    </cfRule>
    <cfRule type="expression" dxfId="99" priority="12">
      <formula>Y11&lt;4</formula>
    </cfRule>
  </conditionalFormatting>
  <conditionalFormatting sqref="M4">
    <cfRule type="expression" dxfId="98" priority="7">
      <formula>Y12&lt;-3</formula>
    </cfRule>
    <cfRule type="expression" dxfId="97" priority="8">
      <formula>Y12&gt;3</formula>
    </cfRule>
    <cfRule type="expression" dxfId="96" priority="9">
      <formula>Y12&lt;4</formula>
    </cfRule>
  </conditionalFormatting>
  <conditionalFormatting sqref="A26">
    <cfRule type="expression" dxfId="95" priority="4">
      <formula>Y13&lt;-3</formula>
    </cfRule>
    <cfRule type="expression" dxfId="94" priority="5">
      <formula>Y13&gt;3</formula>
    </cfRule>
    <cfRule type="expression" dxfId="93" priority="6">
      <formula>Y13&lt;4</formula>
    </cfRule>
  </conditionalFormatting>
  <conditionalFormatting sqref="H26">
    <cfRule type="expression" dxfId="92" priority="1">
      <formula>Y14&lt;-3</formula>
    </cfRule>
    <cfRule type="expression" dxfId="91" priority="2">
      <formula>Y14&gt;3</formula>
    </cfRule>
    <cfRule type="expression" dxfId="90" priority="3">
      <formula>Y14&lt;4</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1"/>
  <sheetViews>
    <sheetView showGridLines="0" showRowColHeaders="0" zoomScaleNormal="100" workbookViewId="0">
      <pane ySplit="2" topLeftCell="A3" activePane="bottomLeft" state="frozen"/>
      <selection pane="bottomLeft"/>
    </sheetView>
  </sheetViews>
  <sheetFormatPr defaultRowHeight="15" x14ac:dyDescent="0.25"/>
  <cols>
    <col min="1" max="1" width="2.5703125" style="26" customWidth="1"/>
    <col min="2" max="2" width="16.85546875" customWidth="1"/>
    <col min="3" max="4" width="20.28515625" customWidth="1"/>
    <col min="5" max="5" width="16.140625" customWidth="1"/>
    <col min="6" max="6" width="18.28515625" customWidth="1"/>
    <col min="7" max="7" width="18.42578125" customWidth="1"/>
    <col min="8" max="8" width="22.85546875" customWidth="1"/>
    <col min="9" max="9" width="13.140625" customWidth="1"/>
    <col min="10" max="10" width="24.85546875" customWidth="1"/>
    <col min="11" max="11" width="12" customWidth="1"/>
    <col min="13" max="17" width="9.140625" customWidth="1"/>
    <col min="18" max="18" width="14.140625" customWidth="1"/>
    <col min="19" max="26" width="9.140625" customWidth="1"/>
  </cols>
  <sheetData>
    <row r="1" spans="2:23" s="26" customFormat="1" ht="59.25" customHeight="1" x14ac:dyDescent="0.25"/>
    <row r="2" spans="2:23" ht="19.5" customHeight="1" x14ac:dyDescent="0.25">
      <c r="B2" s="69" t="str">
        <f>'Data Entry'!A2</f>
        <v>Evaluation Business Model</v>
      </c>
      <c r="C2" s="77"/>
      <c r="D2" s="77"/>
      <c r="E2" s="34" t="str">
        <f>'Data Entry'!D2</f>
        <v>Company:</v>
      </c>
      <c r="F2" s="71" t="str">
        <f>'Data Entry'!E2</f>
        <v>Example company</v>
      </c>
      <c r="G2" s="76"/>
      <c r="H2" s="36" t="s">
        <v>425</v>
      </c>
      <c r="I2" s="73" t="str">
        <f>'Data Entry'!J2</f>
        <v>Current Business Model</v>
      </c>
      <c r="J2" s="70"/>
      <c r="K2" s="35">
        <f>'Data Entry'!N2</f>
        <v>40908</v>
      </c>
      <c r="P2" t="s">
        <v>33</v>
      </c>
    </row>
    <row r="4" spans="2:23" ht="15" customHeight="1" x14ac:dyDescent="0.25">
      <c r="T4" s="21" t="str">
        <f>Graph!V5</f>
        <v>Strenght or weakness</v>
      </c>
      <c r="U4" s="21" t="str">
        <f>Graph!W5</f>
        <v>Opportunity</v>
      </c>
      <c r="V4" s="21" t="str">
        <f>Graph!X5</f>
        <v>Threat</v>
      </c>
      <c r="W4" s="21" t="str">
        <f>Graph!Y5</f>
        <v>Gemiddelde</v>
      </c>
    </row>
    <row r="5" spans="2:23" x14ac:dyDescent="0.25">
      <c r="B5" s="75" t="str">
        <f>IF(T5="","",IF(T5&gt;4,Teksten!$B228,IF(T5&gt;3,Teksten!$B227,IF(T5&gt;2,Teksten!$B226,IF(T5&gt;1,Teksten!$B225,IF(T5&gt;0,Teksten!$B224,IF(T5&gt;-1,Teksten!$B223,IF(T5&gt;-2,Teksten!$B222,IF(T5&gt;-3,Teksten!$B221,IF(T5&gt;-4,Teksten!$B220,IF(T5&gt;-5,Teksten!$B219,IF(T5&gt;-6,Teksten!$B218,"tekst ontbreekt"))))))))))))</f>
        <v>How can partners better support you?</v>
      </c>
      <c r="C5" s="75"/>
      <c r="D5" s="75" t="str">
        <f>IF(T6="","",IF(T6&gt;4,Teksten!B147,IF(T6&gt;3,Teksten!B146,IF(T6&gt;2,Teksten!B145,IF(T6&gt;1,Teksten!B144,IF(T6&gt;0,Teksten!B143,IF(T6&gt;-1,Teksten!B142,IF(T6&gt;-2,Teksten!B141,IF(T6&gt;-3,Teksten!B140,IF(T6&gt;-4,Teksten!B139,IF(T6&gt;-5,Teksten!B138,IF(T6&gt;-6,Teksten!B137,"tekst ontbreekt"))))))))))))</f>
        <v>Check if activities can be more efficient. Protect against copying or outsource activities.</v>
      </c>
      <c r="E5" s="75"/>
      <c r="F5" s="75" t="str">
        <f>IF(T8="","",IF(T8&gt;4,Teksten!B12,IF(T8&gt;3,Teksten!B11,IF(T8&gt;2,Teksten!B10,IF(T8&gt;1,Teksten!B9,IF(T8&gt;0,Teksten!B8,IF(T8&gt;-1,Teksten!B7,IF(T8&gt;-2,Teksten!B6,IF(T8&gt;-3,Teksten!B5,IF(T8&gt;-4,Teksten!B4,IF(T8&gt;-5,Teksten!B3,IF(T8&gt;-6,Teksten!B2,"tekst ontbreekt"))))))))))))</f>
        <v>You know what customers want and you do your best to meet these expectations. You are doing pretty nice.</v>
      </c>
      <c r="G5" s="75"/>
      <c r="H5" s="75" t="str">
        <f>IF(T9="","",IF(T9&gt;4,Teksten!B39,IF(T9&gt;3,Teksten!B38,IF(T9&gt;2,Teksten!B37,IF(T9&gt;1,Teksten!B36,IF(T9&gt;0,Teksten!B35,IF(T9&gt;-1,Teksten!B34,IF(T9&gt;-2,Teksten!B33,IF(T9&gt;-3,Teksten!B32,IF(T9&gt;-4,Teksten!B31,IF(T9&gt;-5,Teksten!B30,IF(T9&gt;-6,Teksten!B29,"tekst ontbreekt"))))))))))))</f>
        <v>Take care that your relationships with your customers don't weaken and the brand gets less strong. Mind the switching cost for your customers.</v>
      </c>
      <c r="I5" s="75"/>
      <c r="J5" s="75" t="str">
        <f>IF(T11="","",IF(T11&gt;4,Teksten!B66,IF(T11&gt;3,Teksten!B65,IF(T11&gt;2,Teksten!B64,IF(T11&gt;1,Teksten!B63,IF(T11&gt;0,Teksten!B62,IF(T11&gt;-1,Teksten!B61,IF(T11&gt;-2,Teksten!B60,IF(T11&gt;-3,Teksten!B59,IF(T11&gt;-4,Teksten!B58,IF(T11&gt;-5,Teksten!B57,IF(T11&gt;-6,Teksten!B56,"tekst ontbreekt"))))))))))))</f>
        <v>Could you improve customer acquisition by target each segment in a different way? Are you able to keep customer retention low?</v>
      </c>
      <c r="K5" s="75"/>
      <c r="R5" t="str">
        <f>Graph!T6</f>
        <v>Partners</v>
      </c>
      <c r="T5" s="21">
        <f>Graph!V6</f>
        <v>1.5</v>
      </c>
      <c r="U5" s="21">
        <f>Graph!W6</f>
        <v>1.8</v>
      </c>
      <c r="V5" s="21">
        <f>Graph!X6</f>
        <v>1.3333333333333333</v>
      </c>
      <c r="W5" s="21">
        <f>Graph!Y6</f>
        <v>1.033333333333333</v>
      </c>
    </row>
    <row r="6" spans="2:23" x14ac:dyDescent="0.25">
      <c r="B6" s="75"/>
      <c r="C6" s="75"/>
      <c r="D6" s="75"/>
      <c r="E6" s="75"/>
      <c r="F6" s="75"/>
      <c r="G6" s="75"/>
      <c r="H6" s="75"/>
      <c r="I6" s="75"/>
      <c r="J6" s="75"/>
      <c r="K6" s="75"/>
      <c r="R6" t="str">
        <f>Graph!T7</f>
        <v>Activities</v>
      </c>
      <c r="T6" s="21">
        <f>Graph!V7</f>
        <v>2</v>
      </c>
      <c r="U6" s="21">
        <f>Graph!W7</f>
        <v>2</v>
      </c>
      <c r="V6" s="21">
        <f>Graph!X7</f>
        <v>2</v>
      </c>
      <c r="W6" s="21">
        <f>Graph!Y7</f>
        <v>2</v>
      </c>
    </row>
    <row r="7" spans="2:23" ht="15" customHeight="1" x14ac:dyDescent="0.25">
      <c r="B7" s="75"/>
      <c r="C7" s="75"/>
      <c r="D7" s="75"/>
      <c r="E7" s="75"/>
      <c r="F7" s="75"/>
      <c r="G7" s="75"/>
      <c r="H7" s="75"/>
      <c r="I7" s="75"/>
      <c r="J7" s="75"/>
      <c r="K7" s="75"/>
      <c r="R7" t="str">
        <f>Graph!T8</f>
        <v>Resources</v>
      </c>
      <c r="T7" s="21">
        <f>Graph!V8</f>
        <v>5</v>
      </c>
      <c r="U7" s="21">
        <f>Graph!W8</f>
        <v>1</v>
      </c>
      <c r="V7" s="21">
        <f>Graph!X8</f>
        <v>1</v>
      </c>
      <c r="W7" s="21">
        <f>Graph!Y8</f>
        <v>5</v>
      </c>
    </row>
    <row r="8" spans="2:23" ht="15" customHeight="1" x14ac:dyDescent="0.25">
      <c r="B8" s="75"/>
      <c r="C8" s="75"/>
      <c r="D8" s="75"/>
      <c r="E8" s="75"/>
      <c r="F8" s="75"/>
      <c r="G8" s="75"/>
      <c r="H8" s="75"/>
      <c r="I8" s="75"/>
      <c r="J8" s="75"/>
      <c r="K8" s="75"/>
      <c r="R8" t="str">
        <f>Graph!T9</f>
        <v>Value proposition</v>
      </c>
      <c r="T8" s="21">
        <f>Graph!V9</f>
        <v>1.75</v>
      </c>
      <c r="U8" s="21">
        <f>Graph!W9</f>
        <v>2.8</v>
      </c>
      <c r="V8" s="21">
        <f>Graph!X9</f>
        <v>3</v>
      </c>
      <c r="W8" s="21">
        <f>Graph!Y9</f>
        <v>1.9500000000000002</v>
      </c>
    </row>
    <row r="9" spans="2:23" x14ac:dyDescent="0.25">
      <c r="B9" s="76"/>
      <c r="C9" s="76"/>
      <c r="D9" s="75" t="str">
        <f>IF(U6="","",IF(U6&gt;4,Teksten!$B150,IF(U6&gt;3,Teksten!$B151,IF(U6&gt;2,Teksten!$B152,IF(U6&gt;1,Teksten!$B153,IF(U6&gt;0,Teksten!$B154,))))))</f>
        <v>Analyse cost savings by standardisation and improvement of efficiency.</v>
      </c>
      <c r="E9" s="75"/>
      <c r="F9" s="75"/>
      <c r="G9" s="75"/>
      <c r="H9" s="75" t="str">
        <f>IF(U9="","",IF(U9&gt;4,Teksten!B42,IF(U9&gt;3,Teksten!B43,IF(U9&gt;2,Teksten!B44,IF(U9&gt;1,Teksten!B45,IF(U9&gt;0,Teksten!B46,))))))</f>
        <v>Check to see if you can improve your relationship with your customers or if you have any non profitable customers.</v>
      </c>
      <c r="I9" s="75"/>
      <c r="J9" s="75"/>
      <c r="K9" s="75"/>
      <c r="M9" s="22"/>
      <c r="R9" t="str">
        <f>Graph!T10</f>
        <v>Customer relations</v>
      </c>
      <c r="T9" s="21">
        <f>Graph!V10</f>
        <v>3</v>
      </c>
      <c r="U9" s="21">
        <f>Graph!W10</f>
        <v>1.5</v>
      </c>
      <c r="V9" s="21">
        <f>Graph!X10</f>
        <v>2</v>
      </c>
      <c r="W9" s="21">
        <f>Graph!Y10</f>
        <v>3.5</v>
      </c>
    </row>
    <row r="10" spans="2:23" ht="15" customHeight="1" x14ac:dyDescent="0.25">
      <c r="B10" s="76"/>
      <c r="C10" s="76"/>
      <c r="D10" s="75"/>
      <c r="E10" s="75"/>
      <c r="F10" s="75"/>
      <c r="G10" s="75"/>
      <c r="H10" s="75"/>
      <c r="I10" s="75"/>
      <c r="J10" s="75"/>
      <c r="K10" s="75"/>
      <c r="R10" t="str">
        <f>Graph!T11</f>
        <v>Channels</v>
      </c>
      <c r="T10" s="21">
        <f>Graph!V11</f>
        <v>-0.8571428571428571</v>
      </c>
      <c r="U10" s="21">
        <f>Graph!W11</f>
        <v>1.6</v>
      </c>
      <c r="V10" s="21">
        <f>Graph!X11</f>
        <v>1</v>
      </c>
      <c r="W10" s="21">
        <f>Graph!Y11</f>
        <v>-1.4571428571428573</v>
      </c>
    </row>
    <row r="11" spans="2:23" ht="15" customHeight="1" x14ac:dyDescent="0.25">
      <c r="B11" s="76"/>
      <c r="C11" s="76"/>
      <c r="D11" s="75"/>
      <c r="E11" s="75"/>
      <c r="F11" s="75"/>
      <c r="G11" s="75"/>
      <c r="H11" s="75"/>
      <c r="I11" s="75"/>
      <c r="J11" s="75"/>
      <c r="K11" s="75"/>
      <c r="R11" t="str">
        <f>Graph!T12</f>
        <v>Customer segments</v>
      </c>
      <c r="T11" s="21">
        <f>Graph!V12</f>
        <v>3</v>
      </c>
      <c r="U11" s="21">
        <f>Graph!W12</f>
        <v>3.3333333333333335</v>
      </c>
      <c r="V11" s="21">
        <f>Graph!X12</f>
        <v>2</v>
      </c>
      <c r="W11" s="21">
        <f>Graph!Y12</f>
        <v>1.6666666666666665</v>
      </c>
    </row>
    <row r="12" spans="2:23" x14ac:dyDescent="0.25">
      <c r="B12" s="76"/>
      <c r="C12" s="76"/>
      <c r="D12" s="75"/>
      <c r="E12" s="75"/>
      <c r="F12" s="75"/>
      <c r="G12" s="75"/>
      <c r="H12" s="75"/>
      <c r="I12" s="75"/>
      <c r="J12" s="75"/>
      <c r="K12" s="75"/>
      <c r="R12" t="str">
        <f>Graph!T13</f>
        <v>Cost structure</v>
      </c>
      <c r="T12" s="21">
        <f>Graph!V13</f>
        <v>2.25</v>
      </c>
      <c r="U12" s="21">
        <f>Graph!W13</f>
        <v>1</v>
      </c>
      <c r="V12" s="21">
        <f>Graph!X13</f>
        <v>1</v>
      </c>
      <c r="W12" s="21">
        <f>Graph!Y13</f>
        <v>2.25</v>
      </c>
    </row>
    <row r="13" spans="2:23" x14ac:dyDescent="0.25">
      <c r="B13" s="76"/>
      <c r="C13" s="76"/>
      <c r="D13" s="75" t="str">
        <f>IF(V6="","",IF(V6&gt;4,Teksten!$B157,IF(V6&gt;3,Teksten!$B158,IF(V6&gt;2,Teksten!$B159,IF(V6&gt;1,Teksten!$B160,IF(V6&gt;0,Teksten!$B161,))))))</f>
        <v>What is a risk for continuity of your activities?</v>
      </c>
      <c r="E13" s="75"/>
      <c r="F13" s="75"/>
      <c r="G13" s="75"/>
      <c r="H13" s="75" t="str">
        <f>IF(V9="","",IF(V9&gt;4,Teksten!B49,IF(V9&gt;3,Teksten!B50,IF(V9&gt;2,Teksten!B51,IF(V9&gt;1,Teksten!B52,IF(V9&gt;0,Teksten!B53,))))))</f>
        <v>Your customer relationships may weaken.</v>
      </c>
      <c r="I13" s="75"/>
      <c r="J13" s="75"/>
      <c r="K13" s="75"/>
      <c r="R13" t="str">
        <f>Graph!T14</f>
        <v>Revenue streams</v>
      </c>
      <c r="T13" s="21">
        <f>Graph!V14</f>
        <v>0.75</v>
      </c>
      <c r="U13" s="21">
        <f>Graph!W14</f>
        <v>1.4</v>
      </c>
      <c r="V13" s="21">
        <f>Graph!X14</f>
        <v>1</v>
      </c>
      <c r="W13" s="21">
        <f>Graph!Y14</f>
        <v>0.35000000000000009</v>
      </c>
    </row>
    <row r="14" spans="2:23" x14ac:dyDescent="0.25">
      <c r="B14" s="76"/>
      <c r="C14" s="76"/>
      <c r="D14" s="75"/>
      <c r="E14" s="75"/>
      <c r="F14" s="75"/>
      <c r="G14" s="75"/>
      <c r="H14" s="75"/>
      <c r="I14" s="75"/>
      <c r="J14" s="75"/>
      <c r="K14" s="75"/>
      <c r="T14" s="21"/>
      <c r="U14" s="21"/>
      <c r="V14" s="21"/>
      <c r="W14" s="21"/>
    </row>
    <row r="15" spans="2:23" ht="21" customHeight="1" x14ac:dyDescent="0.25">
      <c r="B15" s="75" t="str">
        <f>IF(U5="","",IF(U5&gt;4,Teksten!$B231,IF(U5&gt;3,Teksten!$B232,IF(U5&gt;2,Teksten!$B233,IF(U5&gt;1,Teksten!$B234,IF(U5&gt;0,Teksten!$B235,))))))</f>
        <v>Which partners offer more value for your customers.</v>
      </c>
      <c r="C15" s="75"/>
      <c r="D15" s="75"/>
      <c r="E15" s="75"/>
      <c r="F15" s="75" t="str">
        <f>IF(U8="","",IF(U8&gt;4,Teksten!B19,IF(U8&gt;3,Teksten!B18,IF(U8&gt;2,Teksten!B17,IF(U8&gt;1,Teksten!B16,IF(U8&gt;0,Teksten!B15,"tekst ontbreekt"))))))</f>
        <v>Use the opportunity to mutually align your portfolio and to better align with customer needs.</v>
      </c>
      <c r="G15" s="75"/>
      <c r="H15" s="75"/>
      <c r="I15" s="75"/>
      <c r="J15" s="75" t="str">
        <f>IF(U11="","",IF(U11&gt;4,Teksten!B69,IF(U11&gt;3,Teksten!B70,IF(U11&gt;2,Teksten!B71,IF(U11&gt;1,Teksten!B72,IF(U11&gt;0,Teksten!B73,"Geen tekst"))))))</f>
        <v>Segment your target group in more detail and use the growth of the market.</v>
      </c>
      <c r="K15" s="75"/>
      <c r="T15" s="21"/>
      <c r="U15" s="21"/>
      <c r="V15" s="21"/>
      <c r="W15" s="21"/>
    </row>
    <row r="16" spans="2:23" ht="13.5" customHeight="1" x14ac:dyDescent="0.25">
      <c r="B16" s="75"/>
      <c r="C16" s="75"/>
      <c r="D16" s="75"/>
      <c r="E16" s="75"/>
      <c r="F16" s="75"/>
      <c r="G16" s="75"/>
      <c r="H16" s="76"/>
      <c r="I16" s="76"/>
      <c r="J16" s="75"/>
      <c r="K16" s="75"/>
      <c r="T16" s="21"/>
      <c r="U16" s="21"/>
      <c r="V16" s="21"/>
      <c r="W16" s="21"/>
    </row>
    <row r="17" spans="2:11" x14ac:dyDescent="0.25">
      <c r="B17" s="75"/>
      <c r="C17" s="75"/>
      <c r="D17" s="22"/>
      <c r="E17" s="22"/>
      <c r="F17" s="75"/>
      <c r="G17" s="75"/>
      <c r="H17" s="22"/>
      <c r="I17" s="25"/>
      <c r="J17" s="75"/>
      <c r="K17" s="75"/>
    </row>
    <row r="18" spans="2:11" x14ac:dyDescent="0.25">
      <c r="B18" s="75"/>
      <c r="C18" s="75"/>
      <c r="D18" s="75" t="str">
        <f>IF(T7="","",IF(T7&gt;4,Teksten!B174,IF(T7&gt;3,Teksten!B173,IF(T7&gt;2,Teksten!B172,IF(T7&gt;1,Teksten!B171,IF(T7&gt;0,Teksten!B170,IF(T7&gt;-1,Teksten!B169,IF(T7&gt;-2,Teksten!B168,IF(T7&gt;-3,Teksten!B167,IF(T7&gt;-4,Teksten!B166,IF(T7&gt;-5,Teksten!B165,IF(T7&gt;-6,Teksten!B164,"tekst ontbreekt"))))))))))))</f>
        <v>Keep your resources aligned and keep them unique.</v>
      </c>
      <c r="E18" s="75"/>
      <c r="F18" s="75"/>
      <c r="G18" s="75"/>
      <c r="H18" s="75" t="str">
        <f>IF(T10="","",IF(T10&gt;4,Teksten!$B93,IF(T10&gt;3,Teksten!$B92,IF(T10&gt;2,Teksten!$B91,IF(T10&gt;1,Teksten!$B90,IF(T10&gt;0,Teksten!$B89,IF(T10&gt;-1,Teksten!$B88,IF(T10&gt;-2,Teksten!$B87,IF(T10&gt;-3,Teksten!$B86,IF(T10&gt;-4,Teksten!$B85,IF(T10&gt;-5,Teksten!$B84,IF(T10&gt;-6,Teksten!$B83,"tekst ontbreekt"))))))))))))</f>
        <v>Further development of channels offer possibilities.</v>
      </c>
      <c r="I18" s="75"/>
      <c r="J18" s="75"/>
      <c r="K18" s="75"/>
    </row>
    <row r="19" spans="2:11" x14ac:dyDescent="0.25">
      <c r="B19" s="75"/>
      <c r="C19" s="75"/>
      <c r="D19" s="75"/>
      <c r="E19" s="75"/>
      <c r="F19" s="75"/>
      <c r="G19" s="75"/>
      <c r="H19" s="75"/>
      <c r="I19" s="75"/>
      <c r="J19" s="75"/>
      <c r="K19" s="75"/>
    </row>
    <row r="20" spans="2:11" x14ac:dyDescent="0.25">
      <c r="B20" s="75"/>
      <c r="C20" s="75"/>
      <c r="D20" s="75"/>
      <c r="E20" s="75"/>
      <c r="F20" s="75"/>
      <c r="G20" s="75"/>
      <c r="H20" s="75"/>
      <c r="I20" s="75"/>
      <c r="J20" s="75"/>
      <c r="K20" s="75"/>
    </row>
    <row r="21" spans="2:11" x14ac:dyDescent="0.25">
      <c r="B21" s="75"/>
      <c r="C21" s="75"/>
      <c r="D21" s="75"/>
      <c r="E21" s="75"/>
      <c r="F21" s="75" t="str">
        <f>IF(V8="","",IF(V8&gt;4,Teksten!B26,IF(V8&gt;3,Teksten!B25,IF(V8&gt;2,Teksten!B24,IF(V8&gt;1,Teksten!B23,IF(V8&gt;0,Teksten!B22,"tekst ontbreekt"))))))</f>
        <v>See if there are substitutes or check whether your price is to high?</v>
      </c>
      <c r="G21" s="75"/>
      <c r="H21" s="75"/>
      <c r="I21" s="75"/>
      <c r="J21" s="75" t="str">
        <f>IF(V11="","",IF(V11&gt;4,Teksten!B76,IF(V11&gt;3,Teksten!B77,IF(V11&gt;2,Teksten!B78,IF(V11&gt;1,Teksten!B79,IF(V11&gt;0,Teksten!B80,))))))</f>
        <v>Compare your competitors or check the saturation of the market.</v>
      </c>
      <c r="K21" s="75"/>
    </row>
    <row r="22" spans="2:11" x14ac:dyDescent="0.25">
      <c r="B22" s="75" t="str">
        <f>IF(V5="","",IF(V5&gt;4,Teksten!$B238,IF(V5&gt;3,Teksten!$B239,IF(V5&gt;2,Teksten!$B240,IF(V5&gt;1,Teksten!$B241,IF(V5&gt;0,Teksten!$B184,))))))</f>
        <v>Spent attention to your partners or they may cause a threat.</v>
      </c>
      <c r="C22" s="75"/>
      <c r="D22" s="75" t="str">
        <f>IF(U7="","",IF(U7&gt;4,Teksten!$B177,IF(U7&gt;3,Teksten!$B178,IF(U7&gt;2,Teksten!$B179,IF(U7&gt;1,Teksten!$B180,IF(U7&gt;0,Teksten!$B181,))))))</f>
        <v>Analyse your resources for cost savings. Check if intellectual property or other means of value can be transferred into money.</v>
      </c>
      <c r="E22" s="75"/>
      <c r="F22" s="75"/>
      <c r="G22" s="75"/>
      <c r="H22" s="75" t="str">
        <f>IF(U10="","",IF(U10&gt;4,Teksten!$B96,IF(U10&gt;3,Teksten!$B97,IF(U10&gt;2,Teksten!$B98,IF(U10&gt;1,Teksten!$B99,IF(U10&gt;0,Teksten!$B100,))))))</f>
        <v>Improve one of the aspects of quality, customer orientation, integration, new channels of your channels.</v>
      </c>
      <c r="I22" s="75"/>
      <c r="J22" s="75"/>
      <c r="K22" s="75"/>
    </row>
    <row r="23" spans="2:11" ht="15" customHeight="1" x14ac:dyDescent="0.25">
      <c r="B23" s="75"/>
      <c r="C23" s="75"/>
      <c r="D23" s="75"/>
      <c r="E23" s="75"/>
      <c r="F23" s="75"/>
      <c r="G23" s="75"/>
      <c r="H23" s="75"/>
      <c r="I23" s="75"/>
      <c r="J23" s="75"/>
      <c r="K23" s="75"/>
    </row>
    <row r="24" spans="2:11" x14ac:dyDescent="0.25">
      <c r="B24" s="75"/>
      <c r="C24" s="75"/>
      <c r="D24" s="75"/>
      <c r="E24" s="75"/>
      <c r="F24" s="75"/>
      <c r="G24" s="75"/>
      <c r="H24" s="75"/>
      <c r="I24" s="75"/>
      <c r="J24" s="75"/>
      <c r="K24" s="75"/>
    </row>
    <row r="25" spans="2:11" x14ac:dyDescent="0.25">
      <c r="B25" s="75"/>
      <c r="C25" s="75"/>
      <c r="D25" s="75"/>
      <c r="E25" s="75"/>
      <c r="F25" s="75"/>
      <c r="G25" s="75"/>
      <c r="H25" s="75"/>
      <c r="I25" s="75"/>
      <c r="J25" s="75"/>
      <c r="K25" s="75"/>
    </row>
    <row r="26" spans="2:11" x14ac:dyDescent="0.25">
      <c r="B26" s="75"/>
      <c r="C26" s="75"/>
      <c r="D26" s="75" t="str">
        <f>IF(V7="","",IF(V7&gt;4,Teksten!$B184,IF(V7&gt;3,Teksten!$B185,IF(V7&gt;2,Teksten!$B186,IF(V7&gt;1,Teksten!$B187,IF(V7&gt;0,Teksten!$B188,))))))</f>
        <v>What risks are there with respect to your resources?</v>
      </c>
      <c r="E26" s="75"/>
      <c r="F26" s="75"/>
      <c r="G26" s="75"/>
      <c r="H26" s="75" t="str">
        <f>IF(V10="","",IF(V10&gt;4,Teksten!$B103,IF(V10&gt;3,Teksten!$B104,IF(V10&gt;2,Teksten!$B105,IF(V10&gt;1,Teksten!$B106,IF(V10&gt;0,Teksten!$B107,))))))</f>
        <v>Decide which channels are important for you and protect them.</v>
      </c>
      <c r="I26" s="75"/>
      <c r="J26" s="75"/>
      <c r="K26" s="75"/>
    </row>
    <row r="27" spans="2:11" x14ac:dyDescent="0.25">
      <c r="B27" s="75"/>
      <c r="C27" s="75"/>
      <c r="D27" s="75"/>
      <c r="E27" s="75"/>
      <c r="F27" s="76"/>
      <c r="G27" s="76"/>
      <c r="H27" s="75"/>
      <c r="I27" s="75"/>
      <c r="J27" s="75"/>
      <c r="K27" s="75"/>
    </row>
    <row r="28" spans="2:11" x14ac:dyDescent="0.25">
      <c r="B28" s="75"/>
      <c r="C28" s="75"/>
      <c r="D28" s="75"/>
      <c r="E28" s="75"/>
      <c r="F28" s="76"/>
      <c r="G28" s="76"/>
      <c r="H28" s="75"/>
      <c r="I28" s="75"/>
      <c r="J28" s="75"/>
      <c r="K28" s="75"/>
    </row>
    <row r="29" spans="2:11" ht="12" customHeight="1" x14ac:dyDescent="0.25">
      <c r="B29" s="75"/>
      <c r="C29" s="75"/>
      <c r="D29" s="75"/>
      <c r="E29" s="75"/>
      <c r="F29" s="76"/>
      <c r="G29" s="76"/>
      <c r="H29" s="75"/>
      <c r="I29" s="75"/>
      <c r="J29" s="75"/>
      <c r="K29" s="75"/>
    </row>
    <row r="30" spans="2:11" x14ac:dyDescent="0.25">
      <c r="B30" s="22"/>
      <c r="C30" s="25"/>
      <c r="D30" s="22"/>
      <c r="G30" s="22"/>
      <c r="H30" s="25"/>
    </row>
    <row r="31" spans="2:11" ht="18" customHeight="1" x14ac:dyDescent="0.25">
      <c r="G31" s="22"/>
      <c r="H31" s="25"/>
    </row>
    <row r="32" spans="2:11" x14ac:dyDescent="0.25">
      <c r="B32" s="75" t="str">
        <f>IF(T12="","",IF(T12&gt;4,Teksten!$B201,IF(T12&gt;3,Teksten!$B200,IF(T12&gt;2,Teksten!$B199,IF(T12&gt;1,Teksten!$B198,IF(T12&gt;0,Teksten!$B197,IF(T12&gt;-1,Teksten!$B196,IF(T12&gt;-2,Teksten!$B195,IF(T12&gt;-3,Teksten!$B194,IF(T12&gt;-4,Teksten!$B193,IF(T12&gt;-5,Teksten!$B92,IF(T12&gt;-6,Teksten!$B91,"tekst ontbreekt"))))))))))))</f>
        <v>Make your business processes more efficient.</v>
      </c>
      <c r="C32" s="76"/>
      <c r="D32" s="76"/>
      <c r="E32" s="76"/>
      <c r="F32" s="76"/>
      <c r="G32" s="75" t="str">
        <f>IF(T13="","",IF(T13&gt;4,Teksten!$B120,IF(T13&gt;3,Teksten!$B119,IF(T13&gt;2,Teksten!$B118,IF(T13&gt;1,Teksten!$B117,IF(T13&gt;0,Teksten!$B116,IF(T13&gt;-1,Teksten!$B115,IF(T13&gt;-2,Teksten!$B114,IF(T13&gt;-3,Teksten!$B113,IF(T13&gt;-4,Teksten!$B112,IF(T13&gt;-5,Teksten!$B111,IF(T13&gt;-6,Teksten!$B110,"tekst ontbreekt"))))))))))))</f>
        <v>Find preservation for your revenue streams.</v>
      </c>
      <c r="H32" s="75"/>
      <c r="I32" s="75"/>
      <c r="J32" s="75"/>
      <c r="K32" s="75"/>
    </row>
    <row r="33" spans="2:11" x14ac:dyDescent="0.25">
      <c r="B33" s="76"/>
      <c r="C33" s="76"/>
      <c r="D33" s="76"/>
      <c r="E33" s="76"/>
      <c r="F33" s="76"/>
      <c r="G33" s="75"/>
      <c r="H33" s="75"/>
      <c r="I33" s="75"/>
      <c r="J33" s="75"/>
      <c r="K33" s="75"/>
    </row>
    <row r="34" spans="2:11" ht="15" customHeight="1" x14ac:dyDescent="0.25">
      <c r="B34" s="76"/>
      <c r="C34" s="76"/>
      <c r="D34" s="76"/>
      <c r="E34" s="76"/>
      <c r="F34" s="76"/>
      <c r="G34" s="75"/>
      <c r="H34" s="75"/>
      <c r="I34" s="75"/>
      <c r="J34" s="75"/>
      <c r="K34" s="75"/>
    </row>
    <row r="35" spans="2:11" x14ac:dyDescent="0.25">
      <c r="B35" s="75" t="str">
        <f>IF(U12="","",IF(U12&gt;4,Teksten!$B204,IF(U12&gt;3,Teksten!$B205,IF(U12&gt;2,Teksten!$B206,IF(U12&gt;1,Teksten!$B207,IF(U12&gt;0,Teksten!$B208,))))))</f>
        <v>Save cost on the clear subjects. However don't spent too much time and effort. Your organisation is already pretty lean and mean.</v>
      </c>
      <c r="C35" s="76"/>
      <c r="D35" s="76"/>
      <c r="E35" s="76"/>
      <c r="F35" s="76"/>
      <c r="G35" s="75" t="str">
        <f>IF(U13="","",IF(U13&gt;4,Teksten!$B123,IF(U13&gt;3,Teksten!$B124,IF(U13&gt;2,Teksten!$B125,IF(U13&gt;1,Teksten!$B126,IF(U13&gt;0,Teksten!$B127,))))))</f>
        <v>There is a possibility for other revenue streams or price increase.</v>
      </c>
      <c r="H35" s="75"/>
      <c r="I35" s="75"/>
      <c r="J35" s="75"/>
      <c r="K35" s="75"/>
    </row>
    <row r="36" spans="2:11" x14ac:dyDescent="0.25">
      <c r="B36" s="76"/>
      <c r="C36" s="76"/>
      <c r="D36" s="76"/>
      <c r="E36" s="76"/>
      <c r="F36" s="76"/>
      <c r="G36" s="75"/>
      <c r="H36" s="75"/>
      <c r="I36" s="75"/>
      <c r="J36" s="75"/>
      <c r="K36" s="75"/>
    </row>
    <row r="37" spans="2:11" ht="16.5" customHeight="1" x14ac:dyDescent="0.25">
      <c r="B37" s="76"/>
      <c r="C37" s="76"/>
      <c r="D37" s="76"/>
      <c r="E37" s="76"/>
      <c r="F37" s="76"/>
      <c r="G37" s="75"/>
      <c r="H37" s="75"/>
      <c r="I37" s="75"/>
      <c r="J37" s="75"/>
      <c r="K37" s="75"/>
    </row>
    <row r="38" spans="2:11" x14ac:dyDescent="0.25">
      <c r="B38" s="75" t="str">
        <f>IF(V12="","",IF(V12&gt;4,Teksten!$B211,IF(V12&gt;3,Teksten!$B212,IF(V12&gt;2,Teksten!$B213,IF(V12&gt;1,Teksten!$B214,IF(V12&gt;0,Teksten!$B215,))))))</f>
        <v>Check your cost structure, but don't invest too much time and energy.</v>
      </c>
      <c r="C38" s="75"/>
      <c r="D38" s="75"/>
      <c r="E38" s="75"/>
      <c r="F38" s="75"/>
      <c r="G38" s="75" t="str">
        <f>IF(V13="","",IF(V13&gt;4,Teksten!$B130,IF('Canvas Detail'!V13&gt;3,Teksten!$B131,IF(V13&gt;2,Teksten!$B132,IF(V13&gt;1,Teksten!$B133,IF(V13&gt;0,Teksten!$B134,))))))</f>
        <v>Which developments on the market can be of influence on your revenue streams and margins?</v>
      </c>
      <c r="H38" s="75"/>
      <c r="I38" s="75"/>
      <c r="J38" s="75"/>
      <c r="K38" s="75"/>
    </row>
    <row r="39" spans="2:11" x14ac:dyDescent="0.25">
      <c r="B39" s="75"/>
      <c r="C39" s="75"/>
      <c r="D39" s="75"/>
      <c r="E39" s="75"/>
      <c r="F39" s="75"/>
      <c r="G39" s="75"/>
      <c r="H39" s="75"/>
      <c r="I39" s="75"/>
      <c r="J39" s="75"/>
      <c r="K39" s="75"/>
    </row>
    <row r="40" spans="2:11" x14ac:dyDescent="0.25">
      <c r="B40" s="75"/>
      <c r="C40" s="75"/>
      <c r="D40" s="75"/>
      <c r="E40" s="75"/>
      <c r="F40" s="75"/>
      <c r="G40" s="75"/>
      <c r="H40" s="75"/>
      <c r="I40" s="75"/>
      <c r="J40" s="75"/>
      <c r="K40" s="75"/>
    </row>
    <row r="41" spans="2:11" x14ac:dyDescent="0.25">
      <c r="B41" s="28"/>
      <c r="C41" s="28"/>
    </row>
  </sheetData>
  <sheetProtection password="AD8C" sheet="1" objects="1" scenarios="1" selectLockedCells="1" selectUnlockedCells="1"/>
  <mergeCells count="30">
    <mergeCell ref="I2:J2"/>
    <mergeCell ref="B2:D2"/>
    <mergeCell ref="F2:G2"/>
    <mergeCell ref="G35:K37"/>
    <mergeCell ref="D22:E25"/>
    <mergeCell ref="D26:E29"/>
    <mergeCell ref="D9:E12"/>
    <mergeCell ref="B5:C14"/>
    <mergeCell ref="B15:C21"/>
    <mergeCell ref="B22:C29"/>
    <mergeCell ref="B32:F34"/>
    <mergeCell ref="D13:E16"/>
    <mergeCell ref="D5:E8"/>
    <mergeCell ref="D18:E21"/>
    <mergeCell ref="B38:F40"/>
    <mergeCell ref="G38:K40"/>
    <mergeCell ref="G32:K34"/>
    <mergeCell ref="B35:F37"/>
    <mergeCell ref="J5:K14"/>
    <mergeCell ref="J15:K20"/>
    <mergeCell ref="H26:I29"/>
    <mergeCell ref="J21:K29"/>
    <mergeCell ref="F5:G14"/>
    <mergeCell ref="F15:G20"/>
    <mergeCell ref="H5:I8"/>
    <mergeCell ref="H9:I12"/>
    <mergeCell ref="H13:I16"/>
    <mergeCell ref="H18:I21"/>
    <mergeCell ref="H22:I25"/>
    <mergeCell ref="F21:G29"/>
  </mergeCells>
  <conditionalFormatting sqref="H9">
    <cfRule type="expression" dxfId="89" priority="94">
      <formula>U9&lt;2</formula>
    </cfRule>
    <cfRule type="expression" dxfId="88" priority="95">
      <formula>U9&gt;3</formula>
    </cfRule>
    <cfRule type="expression" dxfId="87" priority="96">
      <formula>U9&gt;1</formula>
    </cfRule>
  </conditionalFormatting>
  <conditionalFormatting sqref="F5:G14">
    <cfRule type="expression" dxfId="86" priority="88">
      <formula>T8&gt;3</formula>
    </cfRule>
    <cfRule type="expression" dxfId="85" priority="89">
      <formula>T8&gt;-3</formula>
    </cfRule>
    <cfRule type="expression" dxfId="84" priority="90">
      <formula>T8&lt;-2</formula>
    </cfRule>
  </conditionalFormatting>
  <conditionalFormatting sqref="F15:G20">
    <cfRule type="expression" dxfId="83" priority="85">
      <formula>U8&lt;2</formula>
    </cfRule>
    <cfRule type="expression" dxfId="82" priority="86">
      <formula>U8&gt;3</formula>
    </cfRule>
    <cfRule type="expression" dxfId="81" priority="87">
      <formula>U8&gt;1</formula>
    </cfRule>
  </conditionalFormatting>
  <conditionalFormatting sqref="F21:G26">
    <cfRule type="expression" dxfId="80" priority="82">
      <formula>V8&lt;2</formula>
    </cfRule>
    <cfRule type="expression" dxfId="79" priority="83">
      <formula>V8&gt;3</formula>
    </cfRule>
    <cfRule type="expression" dxfId="78" priority="84">
      <formula>V8&gt;1</formula>
    </cfRule>
  </conditionalFormatting>
  <conditionalFormatting sqref="H5:I7">
    <cfRule type="expression" dxfId="77" priority="79">
      <formula>T9&gt;3</formula>
    </cfRule>
    <cfRule type="expression" dxfId="76" priority="80">
      <formula>T9&gt;-3</formula>
    </cfRule>
    <cfRule type="expression" dxfId="75" priority="81">
      <formula>T9&lt;-2</formula>
    </cfRule>
  </conditionalFormatting>
  <conditionalFormatting sqref="H13">
    <cfRule type="expression" dxfId="74" priority="76">
      <formula>V9&lt;2</formula>
    </cfRule>
    <cfRule type="expression" dxfId="73" priority="77">
      <formula>V9&gt;3</formula>
    </cfRule>
    <cfRule type="expression" dxfId="72" priority="78">
      <formula>V9&gt;1</formula>
    </cfRule>
  </conditionalFormatting>
  <conditionalFormatting sqref="J5:K7">
    <cfRule type="expression" dxfId="71" priority="73">
      <formula>T11&gt;3</formula>
    </cfRule>
    <cfRule type="expression" dxfId="70" priority="74">
      <formula>T11&gt;-3</formula>
    </cfRule>
    <cfRule type="expression" dxfId="69" priority="75">
      <formula>T11&lt;-2</formula>
    </cfRule>
  </conditionalFormatting>
  <conditionalFormatting sqref="J15">
    <cfRule type="expression" dxfId="68" priority="70">
      <formula>U11&lt;2</formula>
    </cfRule>
    <cfRule type="expression" dxfId="67" priority="71">
      <formula>U11&gt;3</formula>
    </cfRule>
    <cfRule type="expression" dxfId="66" priority="72">
      <formula>U11&gt;1</formula>
    </cfRule>
  </conditionalFormatting>
  <conditionalFormatting sqref="J21">
    <cfRule type="expression" dxfId="65" priority="67">
      <formula>V11&lt;2</formula>
    </cfRule>
    <cfRule type="expression" dxfId="64" priority="68">
      <formula>V11&gt;3</formula>
    </cfRule>
    <cfRule type="expression" dxfId="63" priority="69">
      <formula>V11&gt;1</formula>
    </cfRule>
  </conditionalFormatting>
  <conditionalFormatting sqref="H18:I20">
    <cfRule type="expression" dxfId="62" priority="64">
      <formula>T10&gt;3</formula>
    </cfRule>
    <cfRule type="expression" dxfId="61" priority="65">
      <formula>T10&gt;-3</formula>
    </cfRule>
    <cfRule type="expression" dxfId="60" priority="66">
      <formula>T10&lt;-2</formula>
    </cfRule>
  </conditionalFormatting>
  <conditionalFormatting sqref="H22">
    <cfRule type="expression" dxfId="59" priority="61">
      <formula>U10&lt;2</formula>
    </cfRule>
    <cfRule type="expression" dxfId="58" priority="62">
      <formula>U10&gt;3</formula>
    </cfRule>
    <cfRule type="expression" dxfId="57" priority="63">
      <formula>U10&gt;1</formula>
    </cfRule>
  </conditionalFormatting>
  <conditionalFormatting sqref="H26">
    <cfRule type="expression" dxfId="56" priority="58">
      <formula>V10&lt;2</formula>
    </cfRule>
    <cfRule type="expression" dxfId="55" priority="59">
      <formula>V10&gt;3</formula>
    </cfRule>
    <cfRule type="expression" dxfId="54" priority="60">
      <formula>V10&gt;1</formula>
    </cfRule>
  </conditionalFormatting>
  <conditionalFormatting sqref="G32">
    <cfRule type="expression" dxfId="53" priority="55">
      <formula>T13&gt;3</formula>
    </cfRule>
    <cfRule type="expression" dxfId="52" priority="56">
      <formula>T13&gt;-3</formula>
    </cfRule>
    <cfRule type="expression" dxfId="51" priority="57">
      <formula>T13&lt;-2</formula>
    </cfRule>
  </conditionalFormatting>
  <conditionalFormatting sqref="G35">
    <cfRule type="expression" dxfId="50" priority="52">
      <formula>U13&lt;2</formula>
    </cfRule>
    <cfRule type="expression" dxfId="49" priority="53">
      <formula>U13&gt;3</formula>
    </cfRule>
    <cfRule type="expression" dxfId="48" priority="54">
      <formula>U13&gt;1</formula>
    </cfRule>
  </conditionalFormatting>
  <conditionalFormatting sqref="G38">
    <cfRule type="expression" dxfId="47" priority="49">
      <formula>V13&lt;2</formula>
    </cfRule>
    <cfRule type="expression" dxfId="46" priority="50">
      <formula>V13&gt;3</formula>
    </cfRule>
    <cfRule type="expression" dxfId="45" priority="51">
      <formula>V13&gt;1</formula>
    </cfRule>
  </conditionalFormatting>
  <conditionalFormatting sqref="D5:E7">
    <cfRule type="expression" dxfId="44" priority="43">
      <formula>T6&gt;3</formula>
    </cfRule>
    <cfRule type="expression" dxfId="43" priority="44">
      <formula>T6&gt;-3</formula>
    </cfRule>
    <cfRule type="expression" dxfId="42" priority="45">
      <formula>T6&lt;-2</formula>
    </cfRule>
  </conditionalFormatting>
  <conditionalFormatting sqref="D9">
    <cfRule type="expression" dxfId="41" priority="40">
      <formula>U6&lt;2</formula>
    </cfRule>
    <cfRule type="expression" dxfId="40" priority="41">
      <formula>U6&gt;3</formula>
    </cfRule>
    <cfRule type="expression" dxfId="39" priority="42">
      <formula>U6&gt;1</formula>
    </cfRule>
  </conditionalFormatting>
  <conditionalFormatting sqref="D13">
    <cfRule type="expression" dxfId="38" priority="37">
      <formula>V6&lt;2</formula>
    </cfRule>
    <cfRule type="expression" dxfId="37" priority="38">
      <formula>V6&gt;3</formula>
    </cfRule>
    <cfRule type="expression" dxfId="36" priority="39">
      <formula>V6&gt;1</formula>
    </cfRule>
  </conditionalFormatting>
  <conditionalFormatting sqref="D18:E20">
    <cfRule type="expression" dxfId="35" priority="34">
      <formula>T7&gt;3</formula>
    </cfRule>
    <cfRule type="expression" dxfId="34" priority="35">
      <formula>T7&gt;-3</formula>
    </cfRule>
    <cfRule type="expression" dxfId="33" priority="36">
      <formula>T7&lt;-2</formula>
    </cfRule>
  </conditionalFormatting>
  <conditionalFormatting sqref="D22">
    <cfRule type="expression" dxfId="32" priority="31">
      <formula>U7&lt;2</formula>
    </cfRule>
    <cfRule type="expression" dxfId="31" priority="32">
      <formula>U7&gt;3</formula>
    </cfRule>
    <cfRule type="expression" dxfId="30" priority="33">
      <formula>U7&gt;1</formula>
    </cfRule>
  </conditionalFormatting>
  <conditionalFormatting sqref="D26">
    <cfRule type="expression" dxfId="29" priority="28">
      <formula>V7&lt;2</formula>
    </cfRule>
    <cfRule type="expression" dxfId="28" priority="29">
      <formula>V7&gt;3</formula>
    </cfRule>
    <cfRule type="expression" dxfId="27" priority="30">
      <formula>V7&gt;1</formula>
    </cfRule>
  </conditionalFormatting>
  <conditionalFormatting sqref="B32">
    <cfRule type="expression" dxfId="26" priority="25">
      <formula>T12&gt;3</formula>
    </cfRule>
    <cfRule type="expression" dxfId="25" priority="26">
      <formula>T12&gt;-3</formula>
    </cfRule>
    <cfRule type="expression" dxfId="24" priority="27">
      <formula>T12&lt;-2</formula>
    </cfRule>
  </conditionalFormatting>
  <conditionalFormatting sqref="B35">
    <cfRule type="expression" dxfId="23" priority="22">
      <formula>U12&lt;2</formula>
    </cfRule>
    <cfRule type="expression" dxfId="22" priority="23">
      <formula>U12&gt;3</formula>
    </cfRule>
    <cfRule type="expression" dxfId="21" priority="24">
      <formula>U12&gt;1</formula>
    </cfRule>
  </conditionalFormatting>
  <conditionalFormatting sqref="B38">
    <cfRule type="expression" dxfId="20" priority="19">
      <formula>V12&lt;2</formula>
    </cfRule>
    <cfRule type="expression" dxfId="19" priority="20">
      <formula>V12&gt;3</formula>
    </cfRule>
    <cfRule type="expression" dxfId="18" priority="21">
      <formula>V12&gt;1</formula>
    </cfRule>
  </conditionalFormatting>
  <conditionalFormatting sqref="B5:C7">
    <cfRule type="expression" dxfId="17" priority="16">
      <formula>T5&gt;3</formula>
    </cfRule>
    <cfRule type="expression" dxfId="16" priority="17">
      <formula>T5&gt;-3</formula>
    </cfRule>
    <cfRule type="expression" dxfId="15" priority="18">
      <formula>T5&lt;-2</formula>
    </cfRule>
  </conditionalFormatting>
  <conditionalFormatting sqref="B15">
    <cfRule type="expression" dxfId="14" priority="13">
      <formula>U5&lt;2</formula>
    </cfRule>
    <cfRule type="expression" dxfId="13" priority="14">
      <formula>U5&gt;3</formula>
    </cfRule>
    <cfRule type="expression" dxfId="12" priority="15">
      <formula>U5&gt;1</formula>
    </cfRule>
  </conditionalFormatting>
  <conditionalFormatting sqref="B22">
    <cfRule type="expression" dxfId="11" priority="10">
      <formula>V5&lt;2</formula>
    </cfRule>
    <cfRule type="expression" dxfId="10" priority="11">
      <formula>V5&gt;3</formula>
    </cfRule>
    <cfRule type="expression" dxfId="9" priority="12">
      <formula>V5&gt;1</formula>
    </cfRule>
  </conditionalFormatting>
  <conditionalFormatting sqref="B22:C29">
    <cfRule type="expression" dxfId="8" priority="9">
      <formula>V5=""</formula>
    </cfRule>
  </conditionalFormatting>
  <conditionalFormatting sqref="D13:E16">
    <cfRule type="expression" dxfId="7" priority="8">
      <formula>V6=""</formula>
    </cfRule>
  </conditionalFormatting>
  <conditionalFormatting sqref="D26:E29">
    <cfRule type="expression" dxfId="6" priority="7">
      <formula>V7=""</formula>
    </cfRule>
  </conditionalFormatting>
  <conditionalFormatting sqref="F21:G29">
    <cfRule type="expression" dxfId="5" priority="6">
      <formula>V8=""</formula>
    </cfRule>
  </conditionalFormatting>
  <conditionalFormatting sqref="H13:I16">
    <cfRule type="expression" dxfId="4" priority="5">
      <formula>V9=""</formula>
    </cfRule>
  </conditionalFormatting>
  <conditionalFormatting sqref="H26:I29">
    <cfRule type="expression" dxfId="3" priority="4">
      <formula>V10=""</formula>
    </cfRule>
  </conditionalFormatting>
  <conditionalFormatting sqref="J21:K29">
    <cfRule type="expression" dxfId="2" priority="3">
      <formula>V11=""</formula>
    </cfRule>
  </conditionalFormatting>
  <conditionalFormatting sqref="G38:K40">
    <cfRule type="expression" dxfId="1" priority="2">
      <formula>V13=""</formula>
    </cfRule>
  </conditionalFormatting>
  <conditionalFormatting sqref="B38:F40">
    <cfRule type="expression" dxfId="0" priority="1">
      <formula>V12=""</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9"/>
  <sheetViews>
    <sheetView showGridLines="0" showRowColHeaders="0" zoomScaleNormal="100" workbookViewId="0">
      <pane ySplit="2" topLeftCell="A3" activePane="bottomLeft" state="frozen"/>
      <selection pane="bottomLeft" activeCell="X7" sqref="X7"/>
    </sheetView>
  </sheetViews>
  <sheetFormatPr defaultRowHeight="15" x14ac:dyDescent="0.25"/>
  <cols>
    <col min="3" max="3" width="14.140625" customWidth="1"/>
    <col min="6" max="6" width="13.42578125" customWidth="1"/>
    <col min="7" max="7" width="15.42578125" customWidth="1"/>
    <col min="9" max="9" width="7.28515625" customWidth="1"/>
    <col min="12" max="12" width="13.140625" customWidth="1"/>
    <col min="15" max="15" width="13.5703125" customWidth="1"/>
    <col min="17" max="17" width="13.42578125" customWidth="1"/>
    <col min="19" max="19" width="80.7109375" customWidth="1"/>
    <col min="22" max="22" width="13.85546875" customWidth="1"/>
    <col min="25" max="25" width="10.5703125" bestFit="1" customWidth="1"/>
  </cols>
  <sheetData>
    <row r="1" spans="1:25" s="26" customFormat="1" ht="49.5" customHeight="1" x14ac:dyDescent="0.25"/>
    <row r="2" spans="1:25" ht="32.25" customHeight="1" x14ac:dyDescent="0.25">
      <c r="A2" s="69" t="str">
        <f>'Data Entry'!A2</f>
        <v>Evaluation Business Model</v>
      </c>
      <c r="B2" s="70"/>
      <c r="C2" s="70"/>
      <c r="D2" s="70"/>
      <c r="E2" s="70"/>
      <c r="F2" s="34" t="s">
        <v>424</v>
      </c>
      <c r="G2" s="71" t="str">
        <f>'Data Entry'!E2</f>
        <v>Example company</v>
      </c>
      <c r="H2" s="72"/>
      <c r="I2" s="72"/>
      <c r="J2" s="72"/>
      <c r="K2" s="42" t="s">
        <v>427</v>
      </c>
      <c r="L2" s="73" t="str">
        <f>'Data Entry'!J2</f>
        <v>Current Business Model</v>
      </c>
      <c r="M2" s="70"/>
      <c r="N2" s="34" t="s">
        <v>428</v>
      </c>
      <c r="O2" s="54">
        <f>'Data Entry'!N2</f>
        <v>40908</v>
      </c>
    </row>
    <row r="5" spans="1:25" ht="30" x14ac:dyDescent="0.25">
      <c r="V5" s="4" t="s">
        <v>429</v>
      </c>
      <c r="W5" s="4" t="s">
        <v>417</v>
      </c>
      <c r="X5" s="4" t="s">
        <v>416</v>
      </c>
      <c r="Y5" s="4" t="s">
        <v>23</v>
      </c>
    </row>
    <row r="6" spans="1:25" x14ac:dyDescent="0.25">
      <c r="T6" t="s">
        <v>3</v>
      </c>
      <c r="V6" s="21">
        <f>Categorie!B47</f>
        <v>1.5</v>
      </c>
      <c r="W6" s="21">
        <f>Categorie!F50</f>
        <v>1.8</v>
      </c>
      <c r="X6" s="21">
        <f>Categorie!J48</f>
        <v>1.3333333333333333</v>
      </c>
      <c r="Y6" s="21">
        <f t="shared" ref="Y6:Y7" si="0">IF(V6="",IF(W6="",IF(X6="","",V6+X6-W6),V6+X6-W6),V6+X6-W6)</f>
        <v>1.033333333333333</v>
      </c>
    </row>
    <row r="7" spans="1:25" x14ac:dyDescent="0.25">
      <c r="T7" t="s">
        <v>81</v>
      </c>
      <c r="V7" s="21">
        <f>Categorie!B42</f>
        <v>2</v>
      </c>
      <c r="W7" s="21">
        <f>Categorie!F41</f>
        <v>2</v>
      </c>
      <c r="X7" s="21">
        <f>Categorie!J40</f>
        <v>2</v>
      </c>
      <c r="Y7" s="21">
        <f t="shared" si="0"/>
        <v>2</v>
      </c>
    </row>
    <row r="8" spans="1:25" x14ac:dyDescent="0.25">
      <c r="T8" t="s">
        <v>2</v>
      </c>
      <c r="V8" s="21">
        <f>Categorie!B34</f>
        <v>5</v>
      </c>
      <c r="W8" s="21">
        <f>Categorie!F35</f>
        <v>1</v>
      </c>
      <c r="X8" s="21">
        <f>Categorie!J33</f>
        <v>1</v>
      </c>
      <c r="Y8" s="21">
        <f>IF(V8="",IF(W8="",IF(X8="","",V8+X8-W8),V8+X8-W8),V8+X8-W8)</f>
        <v>5</v>
      </c>
    </row>
    <row r="9" spans="1:25" x14ac:dyDescent="0.25">
      <c r="T9" t="s">
        <v>280</v>
      </c>
      <c r="V9" s="21">
        <f>Categorie!B9</f>
        <v>1.75</v>
      </c>
      <c r="W9" s="21">
        <f>Categorie!F10</f>
        <v>2.8</v>
      </c>
      <c r="X9" s="21">
        <f>Categorie!J7</f>
        <v>3</v>
      </c>
      <c r="Y9" s="21">
        <f>IF(V9="",IF(W9="",IF(X9="","",V9+X9-W9),V9+X9-W9),V9+X9-W9)</f>
        <v>1.9500000000000002</v>
      </c>
    </row>
    <row r="10" spans="1:25" x14ac:dyDescent="0.25">
      <c r="T10" t="s">
        <v>283</v>
      </c>
      <c r="V10" s="21">
        <f>Categorie!B74</f>
        <v>3</v>
      </c>
      <c r="W10" s="21">
        <f>Categorie!F76</f>
        <v>1.5</v>
      </c>
      <c r="X10" s="21">
        <f>Categorie!J71</f>
        <v>2</v>
      </c>
      <c r="Y10" s="21">
        <f t="shared" ref="Y10:Y14" si="1">IF(V10="",IF(W10="",IF(X10="","",V10+X10-W10),V10+X10-W10),V10+X10-W10)</f>
        <v>3.5</v>
      </c>
    </row>
    <row r="11" spans="1:25" x14ac:dyDescent="0.25">
      <c r="T11" t="s">
        <v>90</v>
      </c>
      <c r="V11" s="21">
        <f>Categorie!B67</f>
        <v>-0.8571428571428571</v>
      </c>
      <c r="W11" s="21">
        <f>Categorie!F65</f>
        <v>1.6</v>
      </c>
      <c r="X11" s="21">
        <f>Categorie!J62</f>
        <v>1</v>
      </c>
      <c r="Y11" s="21">
        <f t="shared" si="1"/>
        <v>-1.4571428571428573</v>
      </c>
    </row>
    <row r="12" spans="1:25" x14ac:dyDescent="0.25">
      <c r="T12" t="s">
        <v>392</v>
      </c>
      <c r="V12" s="21">
        <f>Categorie!B56</f>
        <v>3</v>
      </c>
      <c r="W12" s="21">
        <f>Categorie!F56</f>
        <v>3.3333333333333335</v>
      </c>
      <c r="X12" s="21">
        <f>Categorie!J57</f>
        <v>2</v>
      </c>
      <c r="Y12" s="21">
        <f t="shared" si="1"/>
        <v>1.6666666666666665</v>
      </c>
    </row>
    <row r="13" spans="1:25" x14ac:dyDescent="0.25">
      <c r="T13" t="s">
        <v>290</v>
      </c>
      <c r="V13" s="21">
        <f>Categorie!B28</f>
        <v>2.25</v>
      </c>
      <c r="W13" s="21">
        <f>Categorie!F25</f>
        <v>1</v>
      </c>
      <c r="X13" s="21">
        <f>Categorie!J26</f>
        <v>1</v>
      </c>
      <c r="Y13" s="21">
        <f t="shared" si="1"/>
        <v>2.25</v>
      </c>
    </row>
    <row r="14" spans="1:25" x14ac:dyDescent="0.25">
      <c r="T14" t="s">
        <v>396</v>
      </c>
      <c r="V14" s="21">
        <f>Categorie!B21</f>
        <v>0.75</v>
      </c>
      <c r="W14" s="21">
        <f>Categorie!F18</f>
        <v>1.4</v>
      </c>
      <c r="X14" s="21">
        <f>Categorie!J16</f>
        <v>1</v>
      </c>
      <c r="Y14" s="21">
        <f t="shared" si="1"/>
        <v>0.35000000000000009</v>
      </c>
    </row>
    <row r="17" spans="20:26" x14ac:dyDescent="0.25">
      <c r="T17" t="s">
        <v>24</v>
      </c>
      <c r="V17">
        <v>5</v>
      </c>
      <c r="W17">
        <v>5</v>
      </c>
      <c r="X17">
        <v>1</v>
      </c>
      <c r="Y17" s="21">
        <f>V17+W17-X17</f>
        <v>9</v>
      </c>
      <c r="Z17">
        <v>3</v>
      </c>
    </row>
    <row r="18" spans="20:26" x14ac:dyDescent="0.25">
      <c r="Y18" s="21"/>
    </row>
    <row r="19" spans="20:26" x14ac:dyDescent="0.25">
      <c r="T19" t="s">
        <v>25</v>
      </c>
      <c r="V19">
        <v>-5</v>
      </c>
      <c r="W19">
        <v>1</v>
      </c>
      <c r="X19">
        <v>5</v>
      </c>
      <c r="Y19" s="21">
        <f>V19+W19-X19</f>
        <v>-9</v>
      </c>
      <c r="Z19">
        <v>-3</v>
      </c>
    </row>
  </sheetData>
  <sheetProtection password="AD8C" sheet="1" objects="1" scenarios="1" selectLockedCells="1" selectUnlockedCells="1"/>
  <mergeCells count="3">
    <mergeCell ref="L2:M2"/>
    <mergeCell ref="G2:J2"/>
    <mergeCell ref="A2:E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7</vt:i4>
      </vt:variant>
    </vt:vector>
  </HeadingPairs>
  <TitlesOfParts>
    <vt:vector size="7" baseType="lpstr">
      <vt:lpstr>Menu</vt:lpstr>
      <vt:lpstr>Data Entry</vt:lpstr>
      <vt:lpstr>Categorie</vt:lpstr>
      <vt:lpstr>Teksten</vt:lpstr>
      <vt:lpstr>Canvas Top</vt:lpstr>
      <vt:lpstr>Canvas Detail</vt:lpstr>
      <vt:lpstr>Graph</vt:lpstr>
    </vt:vector>
  </TitlesOfParts>
  <Company>Hunter Repacker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mmulders</dc:creator>
  <cp:lastModifiedBy>Marijn Mulders</cp:lastModifiedBy>
  <cp:lastPrinted>2011-04-04T08:04:10Z</cp:lastPrinted>
  <dcterms:created xsi:type="dcterms:W3CDTF">2011-04-03T16:24:13Z</dcterms:created>
  <dcterms:modified xsi:type="dcterms:W3CDTF">2011-06-13T16:32:19Z</dcterms:modified>
</cp:coreProperties>
</file>