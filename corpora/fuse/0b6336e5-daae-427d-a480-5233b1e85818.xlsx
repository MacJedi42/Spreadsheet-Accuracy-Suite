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D17" i="1"/>
  <c r="AD16"/>
  <c r="AD14"/>
  <c r="AD12"/>
  <c r="AD10"/>
  <c r="AD9"/>
  <c r="AD7"/>
  <c r="AD6"/>
  <c r="AD4"/>
  <c r="AD3"/>
  <c r="AC16"/>
  <c r="AC14"/>
  <c r="AC10"/>
  <c r="AC9"/>
  <c r="AC17"/>
  <c r="AC12"/>
  <c r="AC7"/>
  <c r="AC6"/>
  <c r="AC4"/>
  <c r="AC3"/>
  <c r="AB16"/>
  <c r="AB14"/>
  <c r="AB17"/>
  <c r="AB12"/>
  <c r="AB10"/>
  <c r="AB9"/>
  <c r="AB7"/>
  <c r="AB6"/>
  <c r="AB4"/>
  <c r="AB3"/>
  <c r="AA16"/>
  <c r="AA14"/>
  <c r="AA17"/>
  <c r="AA12"/>
  <c r="AA10"/>
  <c r="AA9"/>
  <c r="AA7"/>
  <c r="AA6"/>
  <c r="AA4"/>
  <c r="AA3"/>
  <c r="Z17"/>
  <c r="Z16"/>
  <c r="Z14"/>
  <c r="Z12"/>
  <c r="Z10"/>
  <c r="Z9"/>
  <c r="Z7"/>
  <c r="Z6"/>
  <c r="Z4"/>
  <c r="Z3"/>
  <c r="Y16"/>
  <c r="Y14"/>
  <c r="Y12"/>
  <c r="Y10"/>
  <c r="Y9"/>
  <c r="Y17"/>
  <c r="Y4"/>
  <c r="Y3"/>
  <c r="Y7"/>
  <c r="Y6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<sst xmlns="http://schemas.openxmlformats.org/spreadsheetml/2006/main" count="64" uniqueCount="17">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</sst>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/>
    <xf numFmtId="9" fontId="0" fillId="0" borderId="0" xfId="1" applyFont="1"/>
    <xf numFmtId="9" fontId="0" fillId="0" borderId="1" xfId="1" applyFont="1" applyBorder="1"/>
    <xf numFmtId="165" fontId="0" fillId="0" borderId="0" xfId="0" applyNumberFormat="1"/>
    <xf numFmtId="0" fontId="0" fillId="0" borderId="1" xfId="0" applyFill="1" applyBorder="1"/>
    <xf numFmtId="9" fontId="0" fillId="0" borderId="1" xfId="1" applyFont="1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17" fontId="2" fillId="0" borderId="2" xfId="0" applyNumberFormat="1" applyFont="1" applyBorder="1" applyAlignment="1">
      <alignment vertical="top" wrapText="1"/>
    </xf>
    <xf numFmtId="0" fontId="2" fillId="0" borderId="3" xfId="0" applyFont="1" applyBorder="1"/>
    <xf numFmtId="0" fontId="3" fillId="0" borderId="1" xfId="0" applyFont="1" applyBorder="1"/>
    <xf numFmtId="0" fontId="0" fillId="0" borderId="1" xfId="0" applyNumberFormat="1" applyBorder="1" applyAlignment="1">
      <alignment wrapText="1"/>
    </xf>
    <xf numFmtId="0" fontId="0" fillId="0" borderId="0" xfId="0" applyNumberFormat="1" applyAlignment="1"/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0" xfId="0" applyAlignment="1"/>
    <xf numFmtId="0" fontId="0" fillId="0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ill="1" applyBorder="1"/>
    <xf numFmtId="0" fontId="0" fillId="0" borderId="4" xfId="0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Data!$D$1:$AD$1</c:f>
              <c:numCache>
                <c:formatCode>mmm\-yy</c:formatCode>
                <c:ptCount val="27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</c:numCache>
            </c:numRef>
          </c:cat>
          <c:val>
            <c:numRef>
              <c:f>Data!$D$8:$AD$8</c:f>
              <c:numCache>
                <c:formatCode>General</c:formatCode>
                <c:ptCount val="27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</c:numCache>
            </c:numRef>
          </c:val>
        </c:ser>
        <c:gapDepth val="135"/>
        <c:shape val="cylinder"/>
        <c:axId val="149954560"/>
        <c:axId val="149956096"/>
        <c:axId val="0"/>
      </c:bar3DChart>
      <c:dateAx>
        <c:axId val="149954560"/>
        <c:scaling>
          <c:orientation val="minMax"/>
        </c:scaling>
        <c:axPos val="b"/>
        <c:numFmt formatCode="mmm\-yy" sourceLinked="1"/>
        <c:majorTickMark val="none"/>
        <c:tickLblPos val="nextTo"/>
        <c:crossAx val="149956096"/>
        <c:crosses val="autoZero"/>
        <c:auto val="1"/>
        <c:lblOffset val="100"/>
      </c:dateAx>
      <c:valAx>
        <c:axId val="14995609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49954560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Data!$B$2:$AD$2</c:f>
              <c:numCache>
                <c:formatCode>General</c:formatCode>
                <c:ptCount val="2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</c:numCache>
            </c:numRef>
          </c:val>
        </c:ser>
        <c:shape val="box"/>
        <c:axId val="150002688"/>
        <c:axId val="164397824"/>
        <c:axId val="0"/>
      </c:bar3DChart>
      <c:dateAx>
        <c:axId val="150002688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64397824"/>
        <c:crosses val="autoZero"/>
        <c:auto val="1"/>
        <c:lblOffset val="100"/>
      </c:dateAx>
      <c:valAx>
        <c:axId val="1643978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50002688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Data!$B$5:$AD$5</c:f>
              <c:numCache>
                <c:formatCode>General</c:formatCode>
                <c:ptCount val="29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</c:numCache>
            </c:numRef>
          </c:val>
        </c:ser>
        <c:marker val="1"/>
        <c:axId val="164311424"/>
        <c:axId val="164312960"/>
      </c:lineChart>
      <c:dateAx>
        <c:axId val="164311424"/>
        <c:scaling>
          <c:orientation val="minMax"/>
        </c:scaling>
        <c:axPos val="b"/>
        <c:numFmt formatCode="mmm\-yy" sourceLinked="1"/>
        <c:majorTickMark val="none"/>
        <c:tickLblPos val="nextTo"/>
        <c:crossAx val="164312960"/>
        <c:crosses val="autoZero"/>
        <c:auto val="1"/>
        <c:lblOffset val="100"/>
      </c:dateAx>
      <c:valAx>
        <c:axId val="164312960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311424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Data!$B$6:$AD$6</c:f>
              <c:numCache>
                <c:formatCode>General</c:formatCode>
                <c:ptCount val="29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</c:numCache>
            </c:numRef>
          </c:val>
        </c:ser>
        <c:shape val="box"/>
        <c:axId val="164442880"/>
        <c:axId val="164444416"/>
        <c:axId val="0"/>
      </c:bar3DChart>
      <c:dateAx>
        <c:axId val="164442880"/>
        <c:scaling>
          <c:orientation val="minMax"/>
        </c:scaling>
        <c:axPos val="b"/>
        <c:numFmt formatCode="mmm\-yy" sourceLinked="1"/>
        <c:majorTickMark val="none"/>
        <c:tickLblPos val="nextTo"/>
        <c:crossAx val="164444416"/>
        <c:crosses val="autoZero"/>
        <c:auto val="1"/>
        <c:lblOffset val="100"/>
      </c:dateAx>
      <c:valAx>
        <c:axId val="16444441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442880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122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Data!$B$2:$AD$2</c:f>
              <c:numCache>
                <c:formatCode>General</c:formatCode>
                <c:ptCount val="29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Data!$B$8:$AD$8</c:f>
              <c:numCache>
                <c:formatCode>General</c:formatCode>
                <c:ptCount val="29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</c:numCache>
            </c:numRef>
          </c:val>
        </c:ser>
        <c:marker val="1"/>
        <c:axId val="164478336"/>
        <c:axId val="164496512"/>
      </c:lineChart>
      <c:dateAx>
        <c:axId val="164478336"/>
        <c:scaling>
          <c:orientation val="minMax"/>
        </c:scaling>
        <c:axPos val="b"/>
        <c:numFmt formatCode="mmm\-yy" sourceLinked="1"/>
        <c:majorTickMark val="none"/>
        <c:tickLblPos val="nextTo"/>
        <c:crossAx val="164496512"/>
        <c:crosses val="autoZero"/>
        <c:auto val="1"/>
        <c:lblOffset val="100"/>
      </c:dateAx>
      <c:valAx>
        <c:axId val="16449651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478336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Data!$B$14:$AD$14</c:f>
              <c:numCache>
                <c:formatCode>0%</c:formatCode>
                <c:ptCount val="29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</c:numCache>
            </c:numRef>
          </c:val>
        </c:ser>
        <c:marker val="1"/>
        <c:axId val="164556800"/>
        <c:axId val="164558336"/>
      </c:lineChart>
      <c:dateAx>
        <c:axId val="164556800"/>
        <c:scaling>
          <c:orientation val="minMax"/>
        </c:scaling>
        <c:axPos val="b"/>
        <c:numFmt formatCode="mmm\-yy" sourceLinked="1"/>
        <c:tickLblPos val="nextTo"/>
        <c:crossAx val="164558336"/>
        <c:crosses val="autoZero"/>
        <c:auto val="1"/>
        <c:lblOffset val="100"/>
      </c:dateAx>
      <c:valAx>
        <c:axId val="164558336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4556800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3700579879956938"/>
          <c:h val="0.80838936113685278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Data!$B$16:$AD$16</c:f>
              <c:numCache>
                <c:formatCode>0.0%</c:formatCode>
                <c:ptCount val="29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</c:numCache>
            </c:numRef>
          </c:val>
        </c:ser>
        <c:marker val="1"/>
        <c:axId val="164590720"/>
        <c:axId val="164592256"/>
      </c:lineChart>
      <c:dateAx>
        <c:axId val="164590720"/>
        <c:scaling>
          <c:orientation val="minMax"/>
          <c:max val="40087"/>
        </c:scaling>
        <c:axPos val="b"/>
        <c:numFmt formatCode="mmm\-yy" sourceLinked="1"/>
        <c:tickLblPos val="nextTo"/>
        <c:crossAx val="164592256"/>
        <c:crosses val="autoZero"/>
        <c:auto val="1"/>
        <c:lblOffset val="100"/>
      </c:dateAx>
      <c:valAx>
        <c:axId val="164592256"/>
        <c:scaling>
          <c:orientation val="minMax"/>
          <c:min val="0.45"/>
        </c:scaling>
        <c:axPos val="l"/>
        <c:majorGridlines/>
        <c:numFmt formatCode="0.0%" sourceLinked="1"/>
        <c:tickLblPos val="nextTo"/>
        <c:crossAx val="1645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3"/>
          <c:w val="0.11005280502029265"/>
          <c:h val="0.17371685842603563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Data!$B$1:$AD$1</c:f>
              <c:numCache>
                <c:formatCode>mmm\-yy</c:formatCode>
                <c:ptCount val="29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</c:numCache>
            </c:numRef>
          </c:cat>
          <c:val>
            <c:numRef>
              <c:f>Data!$B$17:$AD$17</c:f>
              <c:numCache>
                <c:formatCode>0.0</c:formatCode>
                <c:ptCount val="29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</c:numCache>
            </c:numRef>
          </c:val>
        </c:ser>
        <c:marker val="1"/>
        <c:axId val="164727424"/>
        <c:axId val="164749696"/>
      </c:lineChart>
      <c:dateAx>
        <c:axId val="164727424"/>
        <c:scaling>
          <c:orientation val="minMax"/>
        </c:scaling>
        <c:axPos val="b"/>
        <c:numFmt formatCode="mmm\-yy" sourceLinked="1"/>
        <c:tickLblPos val="nextTo"/>
        <c:crossAx val="164749696"/>
        <c:crosses val="autoZero"/>
        <c:auto val="1"/>
        <c:lblOffset val="100"/>
      </c:dateAx>
      <c:valAx>
        <c:axId val="164749696"/>
        <c:scaling>
          <c:orientation val="minMax"/>
        </c:scaling>
        <c:axPos val="l"/>
        <c:majorGridlines/>
        <c:numFmt formatCode="0.0" sourceLinked="1"/>
        <c:tickLblPos val="nextTo"/>
        <c:crossAx val="16472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379"/>
          <c:y val="0.48273800216865431"/>
          <c:w val="0.11018456971966505"/>
          <c:h val="0.1091402862470971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5"/>
  <sheetViews>
    <sheetView tabSelected="1" topLeftCell="E1" zoomScale="70" zoomScaleNormal="70" workbookViewId="0">
      <selection activeCell="P19" sqref="P19"/>
    </sheetView>
  </sheetViews>
  <sheetFormatPr defaultRowHeight="15"/>
  <cols>
    <col min="1" max="1" width="19.5703125" style="25" customWidth="1"/>
    <col min="2" max="2" width="9.28515625" bestFit="1" customWidth="1"/>
    <col min="3" max="3" width="11.7109375" bestFit="1" customWidth="1"/>
    <col min="4" max="4" width="9.28515625" bestFit="1" customWidth="1"/>
    <col min="5" max="5" width="9.42578125" bestFit="1" customWidth="1"/>
    <col min="6" max="8" width="9.28515625" bestFit="1" customWidth="1"/>
    <col min="9" max="9" width="9.5703125" bestFit="1" customWidth="1"/>
    <col min="10" max="10" width="9.28515625" bestFit="1" customWidth="1"/>
    <col min="11" max="11" width="9.85546875" bestFit="1" customWidth="1"/>
    <col min="12" max="16" width="9.28515625" bestFit="1" customWidth="1"/>
    <col min="17" max="17" width="9.42578125" bestFit="1" customWidth="1"/>
    <col min="18" max="20" width="9.28515625" bestFit="1" customWidth="1"/>
    <col min="21" max="21" width="9.5703125" bestFit="1" customWidth="1"/>
    <col min="22" max="22" width="9.28515625" bestFit="1" customWidth="1"/>
    <col min="23" max="23" width="9.85546875" bestFit="1" customWidth="1"/>
    <col min="24" max="25" width="9.28515625" bestFit="1" customWidth="1"/>
  </cols>
  <sheetData>
    <row r="1" spans="1:30" s="11" customFormat="1" ht="27" customHeight="1" thickBot="1">
      <c r="A1" s="26"/>
      <c r="B1" s="10">
        <v>39295</v>
      </c>
      <c r="C1" s="10">
        <v>39326</v>
      </c>
      <c r="D1" s="10">
        <v>39356</v>
      </c>
      <c r="E1" s="10">
        <v>39387</v>
      </c>
      <c r="F1" s="10">
        <v>39417</v>
      </c>
      <c r="G1" s="10">
        <v>39448</v>
      </c>
      <c r="H1" s="10">
        <v>39479</v>
      </c>
      <c r="I1" s="10">
        <v>39508</v>
      </c>
      <c r="J1" s="10">
        <v>39539</v>
      </c>
      <c r="K1" s="10">
        <v>39569</v>
      </c>
      <c r="L1" s="10">
        <v>39600</v>
      </c>
      <c r="M1" s="10">
        <v>39630</v>
      </c>
      <c r="N1" s="10">
        <v>39661</v>
      </c>
      <c r="O1" s="10">
        <v>39692</v>
      </c>
      <c r="P1" s="10">
        <v>39722</v>
      </c>
      <c r="Q1" s="10">
        <v>39753</v>
      </c>
      <c r="R1" s="10">
        <v>39783</v>
      </c>
      <c r="S1" s="10">
        <v>39814</v>
      </c>
      <c r="T1" s="10">
        <v>39845</v>
      </c>
      <c r="U1" s="10">
        <v>39873</v>
      </c>
      <c r="V1" s="10">
        <v>39904</v>
      </c>
      <c r="W1" s="10">
        <v>39934</v>
      </c>
      <c r="X1" s="10">
        <v>39965</v>
      </c>
      <c r="Y1" s="10">
        <v>39995</v>
      </c>
      <c r="Z1" s="10">
        <v>40026</v>
      </c>
      <c r="AA1" s="10">
        <v>40057</v>
      </c>
      <c r="AB1" s="10">
        <v>40087</v>
      </c>
      <c r="AC1" s="10">
        <v>40118</v>
      </c>
      <c r="AD1" s="10">
        <v>40148</v>
      </c>
    </row>
    <row r="2" spans="1:30" ht="27" customHeight="1" thickBot="1">
      <c r="A2" s="19" t="s">
        <v>0</v>
      </c>
      <c r="B2" s="1">
        <v>150</v>
      </c>
      <c r="C2" s="1">
        <v>153</v>
      </c>
      <c r="D2" s="1">
        <v>163</v>
      </c>
      <c r="E2" s="2">
        <v>201</v>
      </c>
      <c r="F2" s="2">
        <v>217</v>
      </c>
      <c r="G2" s="2">
        <v>230</v>
      </c>
      <c r="H2" s="2">
        <v>240</v>
      </c>
      <c r="I2" s="2">
        <v>252</v>
      </c>
      <c r="J2" s="2">
        <v>287</v>
      </c>
      <c r="K2" s="2">
        <v>331</v>
      </c>
      <c r="L2" s="12">
        <v>339</v>
      </c>
      <c r="M2" s="2">
        <v>348</v>
      </c>
      <c r="N2" s="2">
        <v>365</v>
      </c>
      <c r="O2" s="2">
        <v>380</v>
      </c>
      <c r="P2" s="2">
        <v>397</v>
      </c>
      <c r="Q2" s="2">
        <v>450</v>
      </c>
      <c r="R2" s="2">
        <v>451</v>
      </c>
      <c r="S2" s="6">
        <v>495</v>
      </c>
      <c r="T2" s="6">
        <v>644</v>
      </c>
      <c r="U2" s="6">
        <v>974</v>
      </c>
      <c r="V2" s="6">
        <v>1076</v>
      </c>
      <c r="W2" s="6">
        <v>1361</v>
      </c>
      <c r="X2" s="6">
        <v>1524</v>
      </c>
      <c r="Y2" s="2">
        <v>1730</v>
      </c>
      <c r="Z2" s="27">
        <v>1887</v>
      </c>
      <c r="AA2" s="27">
        <v>2182</v>
      </c>
      <c r="AB2" s="27">
        <v>2511</v>
      </c>
      <c r="AC2" s="27">
        <v>2597</v>
      </c>
      <c r="AD2" s="27">
        <v>2885</v>
      </c>
    </row>
    <row r="3" spans="1:30" s="14" customFormat="1" ht="30.75" thickBot="1">
      <c r="A3" s="20" t="s">
        <v>1</v>
      </c>
      <c r="B3" s="13" t="s">
        <v>9</v>
      </c>
      <c r="C3" s="13">
        <f>C2-B2</f>
        <v>3</v>
      </c>
      <c r="D3" s="13">
        <f t="shared" ref="D3:AD3" si="0">D2-C2</f>
        <v>10</v>
      </c>
      <c r="E3" s="13">
        <f t="shared" si="0"/>
        <v>38</v>
      </c>
      <c r="F3" s="13">
        <f t="shared" si="0"/>
        <v>16</v>
      </c>
      <c r="G3" s="13">
        <f t="shared" si="0"/>
        <v>13</v>
      </c>
      <c r="H3" s="13">
        <f t="shared" si="0"/>
        <v>10</v>
      </c>
      <c r="I3" s="13">
        <f t="shared" si="0"/>
        <v>12</v>
      </c>
      <c r="J3" s="13">
        <f t="shared" si="0"/>
        <v>35</v>
      </c>
      <c r="K3" s="13">
        <f t="shared" si="0"/>
        <v>44</v>
      </c>
      <c r="L3" s="13">
        <f t="shared" ref="L3" si="1">L2-K2</f>
        <v>8</v>
      </c>
      <c r="M3" s="13">
        <f t="shared" ref="M3" si="2">M2-L2</f>
        <v>9</v>
      </c>
      <c r="N3" s="13">
        <f t="shared" ref="N3" si="3">N2-M2</f>
        <v>17</v>
      </c>
      <c r="O3" s="13">
        <f t="shared" ref="O3" si="4">O2-N2</f>
        <v>15</v>
      </c>
      <c r="P3" s="13">
        <f t="shared" ref="P3" si="5">P2-O2</f>
        <v>17</v>
      </c>
      <c r="Q3" s="13">
        <f t="shared" si="0"/>
        <v>53</v>
      </c>
      <c r="R3" s="13">
        <f t="shared" si="0"/>
        <v>1</v>
      </c>
      <c r="S3" s="13">
        <f t="shared" si="0"/>
        <v>44</v>
      </c>
      <c r="T3" s="13">
        <f t="shared" si="0"/>
        <v>149</v>
      </c>
      <c r="U3" s="13">
        <f t="shared" si="0"/>
        <v>330</v>
      </c>
      <c r="V3" s="13">
        <f t="shared" si="0"/>
        <v>102</v>
      </c>
      <c r="W3" s="13">
        <f t="shared" si="0"/>
        <v>285</v>
      </c>
      <c r="X3" s="13">
        <f t="shared" si="0"/>
        <v>163</v>
      </c>
      <c r="Y3" s="13">
        <f t="shared" si="0"/>
        <v>206</v>
      </c>
      <c r="Z3" s="13">
        <f t="shared" si="0"/>
        <v>157</v>
      </c>
      <c r="AA3" s="13">
        <f t="shared" si="0"/>
        <v>295</v>
      </c>
      <c r="AB3" s="13">
        <f t="shared" si="0"/>
        <v>329</v>
      </c>
      <c r="AC3" s="13">
        <f t="shared" si="0"/>
        <v>86</v>
      </c>
      <c r="AD3" s="13">
        <f t="shared" si="0"/>
        <v>288</v>
      </c>
    </row>
    <row r="4" spans="1:30" s="3" customFormat="1" ht="15.75" thickBot="1">
      <c r="A4" s="21" t="s">
        <v>2</v>
      </c>
      <c r="B4" s="7" t="s">
        <v>9</v>
      </c>
      <c r="C4" s="7">
        <f>C3/B2</f>
        <v>0.02</v>
      </c>
      <c r="D4" s="7">
        <f t="shared" ref="D4:J4" si="6">D3/C2</f>
        <v>6.535947712418301E-2</v>
      </c>
      <c r="E4" s="7">
        <f t="shared" si="6"/>
        <v>0.23312883435582821</v>
      </c>
      <c r="F4" s="7">
        <f t="shared" si="6"/>
        <v>7.9601990049751242E-2</v>
      </c>
      <c r="G4" s="7">
        <f t="shared" si="6"/>
        <v>5.9907834101382486E-2</v>
      </c>
      <c r="H4" s="7">
        <f t="shared" si="6"/>
        <v>4.3478260869565216E-2</v>
      </c>
      <c r="I4" s="7">
        <f t="shared" si="6"/>
        <v>0.05</v>
      </c>
      <c r="J4" s="7">
        <f t="shared" si="6"/>
        <v>0.1388888888888889</v>
      </c>
      <c r="K4" s="7">
        <f t="shared" ref="K4" si="7">K3/J2</f>
        <v>0.15331010452961671</v>
      </c>
      <c r="L4" s="7">
        <f t="shared" ref="L4" si="8">L3/K2</f>
        <v>2.4169184290030211E-2</v>
      </c>
      <c r="M4" s="7">
        <f t="shared" ref="M4" si="9">M3/L2</f>
        <v>2.6548672566371681E-2</v>
      </c>
      <c r="N4" s="7">
        <f t="shared" ref="N4" si="10">N3/M2</f>
        <v>4.8850574712643681E-2</v>
      </c>
      <c r="O4" s="7">
        <f t="shared" ref="O4" si="11">O3/N2</f>
        <v>4.1095890410958902E-2</v>
      </c>
      <c r="P4" s="7">
        <f t="shared" ref="P4" si="12">P3/O2</f>
        <v>4.4736842105263158E-2</v>
      </c>
      <c r="Q4" s="7">
        <f t="shared" ref="Q4" si="13">Q3/P2</f>
        <v>0.13350125944584382</v>
      </c>
      <c r="R4" s="7">
        <f t="shared" ref="R4:AD4" si="14">R3/Q2</f>
        <v>2.2222222222222222E-3</v>
      </c>
      <c r="S4" s="7">
        <f t="shared" si="14"/>
        <v>9.7560975609756101E-2</v>
      </c>
      <c r="T4" s="7">
        <f t="shared" si="14"/>
        <v>0.30101010101010101</v>
      </c>
      <c r="U4" s="7">
        <f t="shared" si="14"/>
        <v>0.51242236024844723</v>
      </c>
      <c r="V4" s="7">
        <f t="shared" si="14"/>
        <v>0.10472279260780287</v>
      </c>
      <c r="W4" s="7">
        <f t="shared" si="14"/>
        <v>0.26486988847583642</v>
      </c>
      <c r="X4" s="7">
        <f t="shared" si="14"/>
        <v>0.11976487876561352</v>
      </c>
      <c r="Y4" s="7">
        <f t="shared" si="14"/>
        <v>0.13517060367454067</v>
      </c>
      <c r="Z4" s="7">
        <f t="shared" si="14"/>
        <v>9.0751445086705199E-2</v>
      </c>
      <c r="AA4" s="7">
        <f t="shared" si="14"/>
        <v>0.15633280339162692</v>
      </c>
      <c r="AB4" s="7">
        <f t="shared" si="14"/>
        <v>0.15077910174152154</v>
      </c>
      <c r="AC4" s="7">
        <f t="shared" si="14"/>
        <v>3.4249303066507371E-2</v>
      </c>
      <c r="AD4" s="7">
        <f t="shared" si="14"/>
        <v>0.11089718906430497</v>
      </c>
    </row>
    <row r="5" spans="1:30" ht="15.75" thickBot="1">
      <c r="A5" s="19" t="s">
        <v>3</v>
      </c>
      <c r="B5" s="2">
        <v>5029</v>
      </c>
      <c r="C5" s="1">
        <v>6657</v>
      </c>
      <c r="D5" s="1">
        <v>8626</v>
      </c>
      <c r="E5" s="2">
        <v>10405</v>
      </c>
      <c r="F5" s="2">
        <v>12004</v>
      </c>
      <c r="G5" s="2">
        <v>13900</v>
      </c>
      <c r="H5" s="2">
        <v>15916</v>
      </c>
      <c r="I5" s="2">
        <v>18446</v>
      </c>
      <c r="J5" s="2">
        <v>21339</v>
      </c>
      <c r="K5" s="2">
        <v>25062</v>
      </c>
      <c r="L5" s="2">
        <v>29031</v>
      </c>
      <c r="M5" s="2">
        <v>33509</v>
      </c>
      <c r="N5" s="6">
        <v>37137</v>
      </c>
      <c r="O5" s="2">
        <v>41158</v>
      </c>
      <c r="P5" s="6">
        <v>45640</v>
      </c>
      <c r="Q5" s="2">
        <v>50226</v>
      </c>
      <c r="R5" s="2">
        <v>53908</v>
      </c>
      <c r="S5" s="6">
        <v>58062</v>
      </c>
      <c r="T5" s="6">
        <v>62237</v>
      </c>
      <c r="U5" s="6">
        <v>68560</v>
      </c>
      <c r="V5" s="6">
        <v>75704</v>
      </c>
      <c r="W5" s="6">
        <v>82737</v>
      </c>
      <c r="X5" s="6">
        <v>89647</v>
      </c>
      <c r="Y5" s="2">
        <v>98271</v>
      </c>
      <c r="Z5" s="27">
        <v>107420</v>
      </c>
      <c r="AA5" s="27">
        <v>118209</v>
      </c>
      <c r="AB5" s="27">
        <v>133608</v>
      </c>
      <c r="AC5" s="27">
        <v>148800</v>
      </c>
      <c r="AD5" s="27">
        <v>161375</v>
      </c>
    </row>
    <row r="6" spans="1:30" ht="30.75" thickBot="1">
      <c r="A6" s="19" t="s">
        <v>4</v>
      </c>
      <c r="B6" s="1"/>
      <c r="C6" s="1">
        <f>C5-B5</f>
        <v>1628</v>
      </c>
      <c r="D6" s="1">
        <f t="shared" ref="D6:AD6" si="15">D5-C5</f>
        <v>1969</v>
      </c>
      <c r="E6" s="1">
        <f t="shared" si="15"/>
        <v>1779</v>
      </c>
      <c r="F6" s="1">
        <f t="shared" si="15"/>
        <v>1599</v>
      </c>
      <c r="G6" s="1">
        <f t="shared" si="15"/>
        <v>1896</v>
      </c>
      <c r="H6" s="1">
        <f t="shared" si="15"/>
        <v>2016</v>
      </c>
      <c r="I6" s="1">
        <f t="shared" si="15"/>
        <v>2530</v>
      </c>
      <c r="J6" s="1">
        <f t="shared" si="15"/>
        <v>2893</v>
      </c>
      <c r="K6" s="1">
        <f t="shared" si="15"/>
        <v>3723</v>
      </c>
      <c r="L6" s="1">
        <f t="shared" si="15"/>
        <v>3969</v>
      </c>
      <c r="M6" s="1">
        <f t="shared" si="15"/>
        <v>4478</v>
      </c>
      <c r="N6" s="1">
        <f t="shared" si="15"/>
        <v>3628</v>
      </c>
      <c r="O6" s="1">
        <f t="shared" si="15"/>
        <v>4021</v>
      </c>
      <c r="P6" s="1">
        <f t="shared" si="15"/>
        <v>4482</v>
      </c>
      <c r="Q6" s="1">
        <f t="shared" si="15"/>
        <v>4586</v>
      </c>
      <c r="R6" s="1">
        <f t="shared" si="15"/>
        <v>3682</v>
      </c>
      <c r="S6" s="1">
        <f t="shared" si="15"/>
        <v>4154</v>
      </c>
      <c r="T6" s="1">
        <f t="shared" si="15"/>
        <v>4175</v>
      </c>
      <c r="U6" s="1">
        <f t="shared" si="15"/>
        <v>6323</v>
      </c>
      <c r="V6" s="1">
        <f t="shared" si="15"/>
        <v>7144</v>
      </c>
      <c r="W6" s="1">
        <f t="shared" si="15"/>
        <v>7033</v>
      </c>
      <c r="X6" s="1">
        <f t="shared" si="15"/>
        <v>6910</v>
      </c>
      <c r="Y6" s="1">
        <f t="shared" si="15"/>
        <v>8624</v>
      </c>
      <c r="Z6" s="1">
        <f t="shared" si="15"/>
        <v>9149</v>
      </c>
      <c r="AA6" s="1">
        <f t="shared" si="15"/>
        <v>10789</v>
      </c>
      <c r="AB6" s="1">
        <f t="shared" si="15"/>
        <v>15399</v>
      </c>
      <c r="AC6" s="1">
        <f t="shared" si="15"/>
        <v>15192</v>
      </c>
      <c r="AD6" s="1">
        <f t="shared" si="15"/>
        <v>12575</v>
      </c>
    </row>
    <row r="7" spans="1:30" s="3" customFormat="1" ht="15.75" thickBot="1">
      <c r="A7" s="21" t="s">
        <v>2</v>
      </c>
      <c r="B7" s="7" t="s">
        <v>9</v>
      </c>
      <c r="C7" s="7">
        <f>C6/B5</f>
        <v>0.32372241002187313</v>
      </c>
      <c r="D7" s="7">
        <f t="shared" ref="D7:AD7" si="16">D6/C5</f>
        <v>0.29577887937509389</v>
      </c>
      <c r="E7" s="7">
        <f t="shared" si="16"/>
        <v>0.20623695803385114</v>
      </c>
      <c r="F7" s="7">
        <f t="shared" si="16"/>
        <v>0.15367611725132149</v>
      </c>
      <c r="G7" s="7">
        <f t="shared" si="16"/>
        <v>0.15794735088303899</v>
      </c>
      <c r="H7" s="7">
        <f t="shared" si="16"/>
        <v>0.14503597122302159</v>
      </c>
      <c r="I7" s="7">
        <f t="shared" si="16"/>
        <v>0.15895953757225434</v>
      </c>
      <c r="J7" s="7">
        <f t="shared" si="16"/>
        <v>0.15683617044345657</v>
      </c>
      <c r="K7" s="7">
        <f t="shared" si="16"/>
        <v>0.17446928159707578</v>
      </c>
      <c r="L7" s="7">
        <f t="shared" si="16"/>
        <v>0.1583672492219296</v>
      </c>
      <c r="M7" s="7">
        <f t="shared" si="16"/>
        <v>0.15424890634149702</v>
      </c>
      <c r="N7" s="7">
        <f t="shared" si="16"/>
        <v>0.10826942015577905</v>
      </c>
      <c r="O7" s="7">
        <f t="shared" si="16"/>
        <v>0.10827476640547164</v>
      </c>
      <c r="P7" s="7">
        <f t="shared" si="16"/>
        <v>0.10889741969969387</v>
      </c>
      <c r="Q7" s="7">
        <f t="shared" si="16"/>
        <v>0.1004820333041192</v>
      </c>
      <c r="R7" s="7">
        <f t="shared" si="16"/>
        <v>7.330864492493927E-2</v>
      </c>
      <c r="S7" s="7">
        <f t="shared" si="16"/>
        <v>7.7057208577576614E-2</v>
      </c>
      <c r="T7" s="7">
        <f t="shared" si="16"/>
        <v>7.1905893699838103E-2</v>
      </c>
      <c r="U7" s="7">
        <f t="shared" si="16"/>
        <v>0.10159551392258624</v>
      </c>
      <c r="V7" s="7">
        <f t="shared" si="16"/>
        <v>0.10420070011668611</v>
      </c>
      <c r="W7" s="7">
        <f t="shared" si="16"/>
        <v>9.2901299799218004E-2</v>
      </c>
      <c r="X7" s="7">
        <f t="shared" si="16"/>
        <v>8.3517652320001939E-2</v>
      </c>
      <c r="Y7" s="7">
        <f t="shared" si="16"/>
        <v>9.6199538188673356E-2</v>
      </c>
      <c r="Z7" s="7">
        <f t="shared" si="16"/>
        <v>9.3099693704144657E-2</v>
      </c>
      <c r="AA7" s="7">
        <f t="shared" si="16"/>
        <v>0.10043753490970024</v>
      </c>
      <c r="AB7" s="7">
        <f t="shared" si="16"/>
        <v>0.13026926883739817</v>
      </c>
      <c r="AC7" s="7">
        <f t="shared" si="16"/>
        <v>0.11370576612178912</v>
      </c>
      <c r="AD7" s="7">
        <f t="shared" si="16"/>
        <v>8.4509408602150532E-2</v>
      </c>
    </row>
    <row r="8" spans="1:30" ht="30.75" thickBot="1">
      <c r="A8" s="19" t="s">
        <v>5</v>
      </c>
      <c r="B8" s="1"/>
      <c r="C8" s="1"/>
      <c r="D8" s="1">
        <v>113</v>
      </c>
      <c r="E8" s="2">
        <v>135</v>
      </c>
      <c r="F8" s="2">
        <v>140</v>
      </c>
      <c r="G8" s="2">
        <v>143</v>
      </c>
      <c r="H8" s="2">
        <v>156</v>
      </c>
      <c r="I8" s="2">
        <v>161</v>
      </c>
      <c r="J8" s="2">
        <v>196</v>
      </c>
      <c r="K8" s="2">
        <v>226</v>
      </c>
      <c r="L8" s="2">
        <v>226</v>
      </c>
      <c r="M8" s="2">
        <v>231</v>
      </c>
      <c r="N8" s="2">
        <v>238</v>
      </c>
      <c r="O8" s="2">
        <v>248</v>
      </c>
      <c r="P8" s="2">
        <v>255</v>
      </c>
      <c r="Q8" s="2">
        <v>269</v>
      </c>
      <c r="R8" s="2">
        <v>292</v>
      </c>
      <c r="S8" s="6">
        <v>326</v>
      </c>
      <c r="T8" s="6">
        <v>350</v>
      </c>
      <c r="U8" s="6">
        <v>386</v>
      </c>
      <c r="V8" s="6">
        <v>430</v>
      </c>
      <c r="W8" s="6">
        <v>491</v>
      </c>
      <c r="X8" s="6">
        <v>577</v>
      </c>
      <c r="Y8" s="2">
        <v>650</v>
      </c>
      <c r="Z8" s="27">
        <v>711</v>
      </c>
      <c r="AA8" s="27">
        <v>764</v>
      </c>
      <c r="AB8" s="27">
        <v>790</v>
      </c>
      <c r="AC8" s="27">
        <v>848</v>
      </c>
      <c r="AD8" s="27">
        <v>881</v>
      </c>
    </row>
    <row r="9" spans="1:30" ht="30.75" thickBot="1">
      <c r="A9" s="19" t="s">
        <v>6</v>
      </c>
      <c r="B9" s="1" t="s">
        <v>9</v>
      </c>
      <c r="C9" s="1" t="s">
        <v>9</v>
      </c>
      <c r="D9" s="1" t="s">
        <v>9</v>
      </c>
      <c r="E9" s="2">
        <f>E8-D8</f>
        <v>22</v>
      </c>
      <c r="F9" s="2" t="s">
        <v>10</v>
      </c>
      <c r="G9" s="2">
        <f>G8-F8</f>
        <v>3</v>
      </c>
      <c r="H9" s="2">
        <f t="shared" ref="H9:AD9" si="17">H8-G8</f>
        <v>13</v>
      </c>
      <c r="I9" s="2">
        <f t="shared" si="17"/>
        <v>5</v>
      </c>
      <c r="J9" s="2">
        <f t="shared" si="17"/>
        <v>35</v>
      </c>
      <c r="K9" s="2">
        <f t="shared" si="17"/>
        <v>30</v>
      </c>
      <c r="L9" s="2">
        <f t="shared" si="17"/>
        <v>0</v>
      </c>
      <c r="M9" s="2">
        <f t="shared" si="17"/>
        <v>5</v>
      </c>
      <c r="N9" s="2">
        <f t="shared" si="17"/>
        <v>7</v>
      </c>
      <c r="O9" s="2">
        <f t="shared" si="17"/>
        <v>10</v>
      </c>
      <c r="P9" s="2">
        <f t="shared" si="17"/>
        <v>7</v>
      </c>
      <c r="Q9" s="2">
        <f t="shared" si="17"/>
        <v>14</v>
      </c>
      <c r="R9" s="2">
        <f t="shared" si="17"/>
        <v>23</v>
      </c>
      <c r="S9" s="2">
        <f t="shared" si="17"/>
        <v>34</v>
      </c>
      <c r="T9" s="2">
        <f t="shared" si="17"/>
        <v>24</v>
      </c>
      <c r="U9" s="2">
        <f t="shared" si="17"/>
        <v>36</v>
      </c>
      <c r="V9" s="2">
        <f t="shared" si="17"/>
        <v>44</v>
      </c>
      <c r="W9" s="2">
        <f t="shared" si="17"/>
        <v>61</v>
      </c>
      <c r="X9" s="2">
        <f t="shared" si="17"/>
        <v>86</v>
      </c>
      <c r="Y9" s="2">
        <f t="shared" si="17"/>
        <v>73</v>
      </c>
      <c r="Z9" s="2">
        <f t="shared" si="17"/>
        <v>61</v>
      </c>
      <c r="AA9" s="2">
        <f t="shared" si="17"/>
        <v>53</v>
      </c>
      <c r="AB9" s="2">
        <f t="shared" si="17"/>
        <v>26</v>
      </c>
      <c r="AC9" s="2">
        <f t="shared" si="17"/>
        <v>58</v>
      </c>
      <c r="AD9" s="2">
        <f t="shared" si="17"/>
        <v>33</v>
      </c>
    </row>
    <row r="10" spans="1:30" s="3" customFormat="1" ht="21.75" customHeight="1" thickBot="1">
      <c r="A10" s="21" t="s">
        <v>2</v>
      </c>
      <c r="B10" s="7" t="s">
        <v>9</v>
      </c>
      <c r="C10" s="7" t="s">
        <v>10</v>
      </c>
      <c r="D10" s="7" t="s">
        <v>10</v>
      </c>
      <c r="E10" s="4" t="s">
        <v>10</v>
      </c>
      <c r="F10" s="4" t="s">
        <v>10</v>
      </c>
      <c r="G10" s="4">
        <f>G9/F8</f>
        <v>2.1428571428571429E-2</v>
      </c>
      <c r="H10" s="4">
        <f t="shared" ref="H10:AD10" si="18">H9/G8</f>
        <v>9.0909090909090912E-2</v>
      </c>
      <c r="I10" s="4">
        <f t="shared" si="18"/>
        <v>3.2051282051282048E-2</v>
      </c>
      <c r="J10" s="4">
        <f t="shared" si="18"/>
        <v>0.21739130434782608</v>
      </c>
      <c r="K10" s="4">
        <f t="shared" si="18"/>
        <v>0.15306122448979592</v>
      </c>
      <c r="L10" s="4">
        <f t="shared" si="18"/>
        <v>0</v>
      </c>
      <c r="M10" s="4">
        <f t="shared" si="18"/>
        <v>2.2123893805309734E-2</v>
      </c>
      <c r="N10" s="4">
        <f t="shared" si="18"/>
        <v>3.0303030303030304E-2</v>
      </c>
      <c r="O10" s="4">
        <f t="shared" si="18"/>
        <v>4.2016806722689079E-2</v>
      </c>
      <c r="P10" s="4">
        <f t="shared" ref="P10" si="19">P9/O8</f>
        <v>2.8225806451612902E-2</v>
      </c>
      <c r="Q10" s="4">
        <f t="shared" ref="Q10" si="20">Q9/P8</f>
        <v>5.4901960784313725E-2</v>
      </c>
      <c r="R10" s="4">
        <f t="shared" si="18"/>
        <v>8.5501858736059477E-2</v>
      </c>
      <c r="S10" s="4">
        <f t="shared" si="18"/>
        <v>0.11643835616438356</v>
      </c>
      <c r="T10" s="4">
        <f t="shared" si="18"/>
        <v>7.3619631901840496E-2</v>
      </c>
      <c r="U10" s="4">
        <f t="shared" si="18"/>
        <v>0.10285714285714286</v>
      </c>
      <c r="V10" s="4">
        <f t="shared" si="18"/>
        <v>0.11398963730569948</v>
      </c>
      <c r="W10" s="4">
        <f t="shared" si="18"/>
        <v>0.14186046511627906</v>
      </c>
      <c r="X10" s="4">
        <f t="shared" si="18"/>
        <v>0.17515274949083504</v>
      </c>
      <c r="Y10" s="4">
        <f t="shared" si="18"/>
        <v>0.1265164644714038</v>
      </c>
      <c r="Z10" s="4">
        <f t="shared" si="18"/>
        <v>9.3846153846153843E-2</v>
      </c>
      <c r="AA10" s="4">
        <f t="shared" si="18"/>
        <v>7.4542897327707455E-2</v>
      </c>
      <c r="AB10" s="4">
        <f t="shared" si="18"/>
        <v>3.4031413612565446E-2</v>
      </c>
      <c r="AC10" s="4">
        <f t="shared" si="18"/>
        <v>7.3417721518987344E-2</v>
      </c>
      <c r="AD10" s="4">
        <f t="shared" si="18"/>
        <v>3.891509433962264E-2</v>
      </c>
    </row>
    <row r="11" spans="1:30" s="17" customFormat="1" ht="30.75" thickBot="1">
      <c r="A11" s="19" t="s">
        <v>7</v>
      </c>
      <c r="B11" s="15" t="s">
        <v>10</v>
      </c>
      <c r="C11" s="15" t="s">
        <v>10</v>
      </c>
      <c r="D11" s="15" t="s">
        <v>10</v>
      </c>
      <c r="E11" s="15" t="s">
        <v>10</v>
      </c>
      <c r="F11" s="15" t="s">
        <v>10</v>
      </c>
      <c r="G11" s="15" t="s">
        <v>10</v>
      </c>
      <c r="H11" s="15" t="s">
        <v>10</v>
      </c>
      <c r="I11" s="15" t="s">
        <v>10</v>
      </c>
      <c r="J11" s="15" t="s">
        <v>10</v>
      </c>
      <c r="K11" s="15" t="s">
        <v>10</v>
      </c>
      <c r="L11" s="15" t="s">
        <v>10</v>
      </c>
      <c r="M11" s="15" t="s">
        <v>10</v>
      </c>
      <c r="N11" s="15" t="s">
        <v>10</v>
      </c>
      <c r="O11" s="15" t="s">
        <v>10</v>
      </c>
      <c r="P11" s="15" t="s">
        <v>10</v>
      </c>
      <c r="Q11" s="15" t="s">
        <v>10</v>
      </c>
      <c r="R11" s="15" t="s">
        <v>10</v>
      </c>
      <c r="S11" s="16">
        <v>43</v>
      </c>
      <c r="T11" s="16">
        <v>55</v>
      </c>
      <c r="U11" s="16">
        <v>59</v>
      </c>
      <c r="V11" s="16">
        <v>65</v>
      </c>
      <c r="W11" s="16">
        <v>72</v>
      </c>
      <c r="X11" s="16">
        <v>81</v>
      </c>
      <c r="Y11" s="16">
        <v>83</v>
      </c>
      <c r="Z11" s="28">
        <v>85</v>
      </c>
      <c r="AA11" s="28">
        <v>89</v>
      </c>
      <c r="AB11" s="28">
        <v>91</v>
      </c>
      <c r="AC11" s="28">
        <v>122</v>
      </c>
      <c r="AD11" s="28">
        <v>123</v>
      </c>
    </row>
    <row r="12" spans="1:30" s="17" customFormat="1" ht="30.75" thickBot="1">
      <c r="A12" s="19" t="s">
        <v>8</v>
      </c>
      <c r="B12" s="15" t="s">
        <v>10</v>
      </c>
      <c r="C12" s="15" t="s">
        <v>10</v>
      </c>
      <c r="D12" s="15" t="s">
        <v>10</v>
      </c>
      <c r="E12" s="15" t="s">
        <v>10</v>
      </c>
      <c r="F12" s="15" t="s">
        <v>10</v>
      </c>
      <c r="G12" s="15" t="s">
        <v>10</v>
      </c>
      <c r="H12" s="15" t="s">
        <v>10</v>
      </c>
      <c r="I12" s="15" t="s">
        <v>10</v>
      </c>
      <c r="J12" s="15" t="s">
        <v>10</v>
      </c>
      <c r="K12" s="15" t="s">
        <v>10</v>
      </c>
      <c r="L12" s="15" t="s">
        <v>10</v>
      </c>
      <c r="M12" s="15" t="s">
        <v>10</v>
      </c>
      <c r="N12" s="15" t="s">
        <v>10</v>
      </c>
      <c r="O12" s="15" t="s">
        <v>10</v>
      </c>
      <c r="P12" s="15" t="s">
        <v>10</v>
      </c>
      <c r="Q12" s="15" t="s">
        <v>10</v>
      </c>
      <c r="R12" s="16" t="s">
        <v>10</v>
      </c>
      <c r="S12" s="18" t="s">
        <v>10</v>
      </c>
      <c r="T12" s="16">
        <f t="shared" ref="T12:AD12" si="21">T11-S11</f>
        <v>12</v>
      </c>
      <c r="U12" s="16">
        <f t="shared" si="21"/>
        <v>4</v>
      </c>
      <c r="V12" s="16">
        <f t="shared" si="21"/>
        <v>6</v>
      </c>
      <c r="W12" s="16">
        <f t="shared" si="21"/>
        <v>7</v>
      </c>
      <c r="X12" s="16">
        <f t="shared" si="21"/>
        <v>9</v>
      </c>
      <c r="Y12" s="16">
        <f t="shared" si="21"/>
        <v>2</v>
      </c>
      <c r="Z12" s="16">
        <f t="shared" si="21"/>
        <v>2</v>
      </c>
      <c r="AA12" s="16">
        <f t="shared" si="21"/>
        <v>4</v>
      </c>
      <c r="AB12" s="16">
        <f t="shared" si="21"/>
        <v>2</v>
      </c>
      <c r="AC12" s="16">
        <f t="shared" si="21"/>
        <v>31</v>
      </c>
      <c r="AD12" s="16">
        <f t="shared" si="21"/>
        <v>1</v>
      </c>
    </row>
    <row r="13" spans="1:30" ht="27.75" customHeight="1" thickBot="1">
      <c r="A13" s="22" t="s">
        <v>12</v>
      </c>
      <c r="B13" s="2">
        <v>59</v>
      </c>
      <c r="C13" s="2">
        <v>60</v>
      </c>
      <c r="D13" s="2">
        <v>63</v>
      </c>
      <c r="E13" s="6">
        <v>64</v>
      </c>
      <c r="F13" s="6">
        <v>75</v>
      </c>
      <c r="G13" s="6">
        <v>75</v>
      </c>
      <c r="H13" s="6">
        <v>76</v>
      </c>
      <c r="I13" s="6">
        <v>77</v>
      </c>
      <c r="J13" s="6">
        <v>94</v>
      </c>
      <c r="K13" s="6">
        <v>142</v>
      </c>
      <c r="L13" s="6">
        <v>155</v>
      </c>
      <c r="M13" s="6">
        <v>158</v>
      </c>
      <c r="N13" s="6">
        <v>162</v>
      </c>
      <c r="O13" s="6">
        <v>168</v>
      </c>
      <c r="P13" s="6">
        <v>173</v>
      </c>
      <c r="Q13" s="6">
        <v>180</v>
      </c>
      <c r="R13" s="6">
        <v>196</v>
      </c>
      <c r="S13" s="6">
        <v>215</v>
      </c>
      <c r="T13" s="6">
        <v>230</v>
      </c>
      <c r="U13" s="6">
        <v>245</v>
      </c>
      <c r="V13" s="6">
        <v>300</v>
      </c>
      <c r="W13" s="6">
        <v>314</v>
      </c>
      <c r="X13" s="6">
        <v>319</v>
      </c>
      <c r="Y13" s="2">
        <v>377</v>
      </c>
      <c r="Z13" s="27">
        <v>410</v>
      </c>
      <c r="AA13" s="27">
        <v>433</v>
      </c>
      <c r="AB13" s="27">
        <v>454</v>
      </c>
      <c r="AC13" s="27">
        <v>549</v>
      </c>
      <c r="AD13" s="27">
        <v>576</v>
      </c>
    </row>
    <row r="14" spans="1:30" s="3" customFormat="1" ht="30.75" thickBot="1">
      <c r="A14" s="23" t="s">
        <v>13</v>
      </c>
      <c r="B14" s="4">
        <f>B13/B2</f>
        <v>0.39333333333333331</v>
      </c>
      <c r="C14" s="4">
        <f t="shared" ref="C14:AD14" si="22">C13/C2</f>
        <v>0.39215686274509803</v>
      </c>
      <c r="D14" s="4">
        <f t="shared" si="22"/>
        <v>0.38650306748466257</v>
      </c>
      <c r="E14" s="4">
        <f t="shared" si="22"/>
        <v>0.31840796019900497</v>
      </c>
      <c r="F14" s="4">
        <f t="shared" si="22"/>
        <v>0.34562211981566821</v>
      </c>
      <c r="G14" s="4">
        <f t="shared" si="22"/>
        <v>0.32608695652173914</v>
      </c>
      <c r="H14" s="4">
        <f t="shared" si="22"/>
        <v>0.31666666666666665</v>
      </c>
      <c r="I14" s="4">
        <f t="shared" si="22"/>
        <v>0.30555555555555558</v>
      </c>
      <c r="J14" s="4">
        <f t="shared" si="22"/>
        <v>0.32752613240418116</v>
      </c>
      <c r="K14" s="4">
        <f t="shared" si="22"/>
        <v>0.42900302114803623</v>
      </c>
      <c r="L14" s="4">
        <f t="shared" si="22"/>
        <v>0.45722713864306785</v>
      </c>
      <c r="M14" s="4">
        <f t="shared" si="22"/>
        <v>0.45402298850574713</v>
      </c>
      <c r="N14" s="4">
        <f t="shared" si="22"/>
        <v>0.44383561643835617</v>
      </c>
      <c r="O14" s="4">
        <f t="shared" si="22"/>
        <v>0.44210526315789472</v>
      </c>
      <c r="P14" s="4">
        <f t="shared" si="22"/>
        <v>0.4357682619647355</v>
      </c>
      <c r="Q14" s="4">
        <f t="shared" si="22"/>
        <v>0.4</v>
      </c>
      <c r="R14" s="4">
        <f t="shared" si="22"/>
        <v>0.43458980044345896</v>
      </c>
      <c r="S14" s="4">
        <f t="shared" si="22"/>
        <v>0.43434343434343436</v>
      </c>
      <c r="T14" s="4">
        <f t="shared" si="22"/>
        <v>0.35714285714285715</v>
      </c>
      <c r="U14" s="4">
        <f t="shared" si="22"/>
        <v>0.25154004106776179</v>
      </c>
      <c r="V14" s="4">
        <f t="shared" si="22"/>
        <v>0.27881040892193309</v>
      </c>
      <c r="W14" s="4">
        <f t="shared" si="22"/>
        <v>0.23071271124173401</v>
      </c>
      <c r="X14" s="4">
        <f t="shared" si="22"/>
        <v>0.20931758530183728</v>
      </c>
      <c r="Y14" s="4">
        <f t="shared" si="22"/>
        <v>0.21791907514450867</v>
      </c>
      <c r="Z14" s="4">
        <f t="shared" si="22"/>
        <v>0.21727609962904079</v>
      </c>
      <c r="AA14" s="4">
        <f t="shared" si="22"/>
        <v>0.19844179651695693</v>
      </c>
      <c r="AB14" s="4">
        <f t="shared" si="22"/>
        <v>0.18080446037435285</v>
      </c>
      <c r="AC14" s="4">
        <f t="shared" si="22"/>
        <v>0.21139776665383134</v>
      </c>
      <c r="AD14" s="4">
        <f t="shared" si="22"/>
        <v>0.19965337954939341</v>
      </c>
    </row>
    <row r="15" spans="1:30" ht="30.75" thickBot="1">
      <c r="A15" s="22" t="s">
        <v>15</v>
      </c>
      <c r="B15" s="2">
        <v>3674</v>
      </c>
      <c r="C15" s="2">
        <v>4817</v>
      </c>
      <c r="D15" s="2">
        <v>6152</v>
      </c>
      <c r="E15" s="2">
        <v>7322</v>
      </c>
      <c r="F15" s="2">
        <v>8254</v>
      </c>
      <c r="G15" s="2">
        <v>9211</v>
      </c>
      <c r="H15" s="2">
        <v>10398</v>
      </c>
      <c r="I15" s="2">
        <v>11841</v>
      </c>
      <c r="J15" s="2">
        <v>13534</v>
      </c>
      <c r="K15" s="2">
        <v>15886</v>
      </c>
      <c r="L15" s="2">
        <v>18504</v>
      </c>
      <c r="M15" s="2">
        <v>21415</v>
      </c>
      <c r="N15" s="2">
        <v>23207</v>
      </c>
      <c r="O15" s="2">
        <v>25609</v>
      </c>
      <c r="P15" s="2">
        <v>28254</v>
      </c>
      <c r="Q15" s="2">
        <v>30901</v>
      </c>
      <c r="R15" s="2">
        <v>32970</v>
      </c>
      <c r="S15" s="2">
        <v>35403</v>
      </c>
      <c r="T15" s="2">
        <v>37532</v>
      </c>
      <c r="U15" s="2">
        <v>40508</v>
      </c>
      <c r="V15" s="2">
        <v>43707</v>
      </c>
      <c r="W15" s="2">
        <v>47188</v>
      </c>
      <c r="X15" s="2">
        <v>50312</v>
      </c>
      <c r="Y15" s="2">
        <v>54149</v>
      </c>
      <c r="Z15" s="27">
        <v>56996</v>
      </c>
      <c r="AA15" s="27">
        <v>60525</v>
      </c>
      <c r="AB15" s="27">
        <v>65577</v>
      </c>
      <c r="AC15" s="27">
        <v>71925</v>
      </c>
      <c r="AD15" s="27">
        <v>76246</v>
      </c>
    </row>
    <row r="16" spans="1:30" ht="45.75" thickBot="1">
      <c r="A16" s="22" t="s">
        <v>14</v>
      </c>
      <c r="B16" s="8">
        <f>B15/B5</f>
        <v>0.73056273613044342</v>
      </c>
      <c r="C16" s="8">
        <f t="shared" ref="C16:AD16" si="23">C15/C5</f>
        <v>0.72359921886735767</v>
      </c>
      <c r="D16" s="8">
        <f t="shared" si="23"/>
        <v>0.71319267331323899</v>
      </c>
      <c r="E16" s="8">
        <f t="shared" si="23"/>
        <v>0.70370014416146087</v>
      </c>
      <c r="F16" s="8">
        <f t="shared" si="23"/>
        <v>0.68760413195601466</v>
      </c>
      <c r="G16" s="8">
        <f t="shared" si="23"/>
        <v>0.66266187050359715</v>
      </c>
      <c r="H16" s="8">
        <f t="shared" si="23"/>
        <v>0.65330485046494091</v>
      </c>
      <c r="I16" s="8">
        <f t="shared" si="23"/>
        <v>0.64192778922259564</v>
      </c>
      <c r="J16" s="8">
        <f t="shared" si="23"/>
        <v>0.63423778058953095</v>
      </c>
      <c r="K16" s="8">
        <f t="shared" si="23"/>
        <v>0.63386800734179238</v>
      </c>
      <c r="L16" s="8">
        <f t="shared" si="23"/>
        <v>0.63738762013020567</v>
      </c>
      <c r="M16" s="8">
        <f t="shared" si="23"/>
        <v>0.63908203766152372</v>
      </c>
      <c r="N16" s="8">
        <f t="shared" si="23"/>
        <v>0.62490238845356383</v>
      </c>
      <c r="O16" s="8">
        <f t="shared" si="23"/>
        <v>0.62221196365226683</v>
      </c>
      <c r="P16" s="8">
        <f t="shared" si="23"/>
        <v>0.61906222611744088</v>
      </c>
      <c r="Q16" s="8">
        <f t="shared" si="23"/>
        <v>0.61523911918130048</v>
      </c>
      <c r="R16" s="8">
        <f t="shared" si="23"/>
        <v>0.61159753654374116</v>
      </c>
      <c r="S16" s="8">
        <f t="shared" si="23"/>
        <v>0.60974475560607622</v>
      </c>
      <c r="T16" s="8">
        <f t="shared" si="23"/>
        <v>0.60304963285505409</v>
      </c>
      <c r="U16" s="8">
        <f t="shared" si="23"/>
        <v>0.59084014002333718</v>
      </c>
      <c r="V16" s="8">
        <f t="shared" si="23"/>
        <v>0.5773406953397443</v>
      </c>
      <c r="W16" s="8">
        <f t="shared" si="23"/>
        <v>0.57033733396183084</v>
      </c>
      <c r="X16" s="8">
        <f t="shared" si="23"/>
        <v>0.56122346536972789</v>
      </c>
      <c r="Y16" s="8">
        <f t="shared" si="23"/>
        <v>0.55101708540668148</v>
      </c>
      <c r="Z16" s="8">
        <f t="shared" si="23"/>
        <v>0.53059020666542545</v>
      </c>
      <c r="AA16" s="8">
        <f t="shared" si="23"/>
        <v>0.51201685150876841</v>
      </c>
      <c r="AB16" s="8">
        <f t="shared" si="23"/>
        <v>0.49081641817855221</v>
      </c>
      <c r="AC16" s="8">
        <f t="shared" si="23"/>
        <v>0.48336693548387094</v>
      </c>
      <c r="AD16" s="8">
        <f t="shared" si="23"/>
        <v>0.47247714949651431</v>
      </c>
    </row>
    <row r="17" spans="1:30" s="5" customFormat="1" ht="24.75" customHeight="1" thickBot="1">
      <c r="A17" s="24" t="s">
        <v>16</v>
      </c>
      <c r="B17" s="9">
        <f>B5/B2</f>
        <v>33.526666666666664</v>
      </c>
      <c r="C17" s="9">
        <f t="shared" ref="C17:AD17" si="24">C5/C2</f>
        <v>43.509803921568626</v>
      </c>
      <c r="D17" s="9">
        <f t="shared" si="24"/>
        <v>52.920245398773005</v>
      </c>
      <c r="E17" s="9">
        <f t="shared" si="24"/>
        <v>51.766169154228855</v>
      </c>
      <c r="F17" s="9">
        <f t="shared" si="24"/>
        <v>55.317972350230413</v>
      </c>
      <c r="G17" s="9">
        <f t="shared" si="24"/>
        <v>60.434782608695649</v>
      </c>
      <c r="H17" s="9">
        <f t="shared" si="24"/>
        <v>66.316666666666663</v>
      </c>
      <c r="I17" s="9">
        <f t="shared" si="24"/>
        <v>73.198412698412696</v>
      </c>
      <c r="J17" s="9">
        <f t="shared" si="24"/>
        <v>74.351916376306619</v>
      </c>
      <c r="K17" s="9">
        <f t="shared" si="24"/>
        <v>75.716012084592151</v>
      </c>
      <c r="L17" s="9">
        <f t="shared" si="24"/>
        <v>85.637168141592923</v>
      </c>
      <c r="M17" s="9">
        <f t="shared" si="24"/>
        <v>96.290229885057471</v>
      </c>
      <c r="N17" s="9">
        <f t="shared" si="24"/>
        <v>101.74520547945205</v>
      </c>
      <c r="O17" s="9">
        <f t="shared" si="24"/>
        <v>108.31052631578947</v>
      </c>
      <c r="P17" s="9">
        <f t="shared" si="24"/>
        <v>114.96221662468514</v>
      </c>
      <c r="Q17" s="9">
        <f t="shared" si="24"/>
        <v>111.61333333333333</v>
      </c>
      <c r="R17" s="9">
        <f t="shared" si="24"/>
        <v>119.52993348115299</v>
      </c>
      <c r="S17" s="9">
        <f t="shared" si="24"/>
        <v>117.2969696969697</v>
      </c>
      <c r="T17" s="9">
        <f t="shared" si="24"/>
        <v>96.641304347826093</v>
      </c>
      <c r="U17" s="9">
        <f t="shared" si="24"/>
        <v>70.390143737166326</v>
      </c>
      <c r="V17" s="9">
        <f t="shared" si="24"/>
        <v>70.356877323420079</v>
      </c>
      <c r="W17" s="9">
        <f t="shared" si="24"/>
        <v>60.791329904481998</v>
      </c>
      <c r="X17" s="9">
        <f t="shared" si="24"/>
        <v>58.823490813648291</v>
      </c>
      <c r="Y17" s="9">
        <f t="shared" si="24"/>
        <v>56.804046242774568</v>
      </c>
      <c r="Z17" s="9">
        <f t="shared" si="24"/>
        <v>56.926338102808693</v>
      </c>
      <c r="AA17" s="9">
        <f t="shared" si="24"/>
        <v>54.17461044912924</v>
      </c>
      <c r="AB17" s="9">
        <f t="shared" si="24"/>
        <v>53.209080047789726</v>
      </c>
      <c r="AC17" s="9">
        <f t="shared" si="24"/>
        <v>57.296881016557563</v>
      </c>
      <c r="AD17" s="9">
        <f t="shared" si="24"/>
        <v>55.935875216637783</v>
      </c>
    </row>
    <row r="25" spans="1:30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2010-01-05T15:14:52Z</dcterms:modified>
</cp:coreProperties>
</file>