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60" yWindow="135" windowWidth="13545" windowHeight="9975"/>
  </bookViews>
  <sheets>
    <sheet name="1 - BCA 20-year (Recent)" sheetId="18" r:id="rId1"/>
    <sheet name="2 - Traffic Volumes" sheetId="2" r:id="rId2"/>
    <sheet name="3 - Truck Traffic" sheetId="11" r:id="rId3"/>
    <sheet name="4 - Travel Time Savings" sheetId="6" r:id="rId4"/>
    <sheet name="5 - Collision History" sheetId="12" r:id="rId5"/>
    <sheet name="6 - 5yr Collision (Recent)" sheetId="15" r:id="rId6"/>
    <sheet name="7 - Collision Benefits" sheetId="9" r:id="rId7"/>
    <sheet name="8 - O&amp;M Costs" sheetId="13" r:id="rId8"/>
    <sheet name="9 - BCA 20-year (Previous)" sheetId="8" r:id="rId9"/>
    <sheet name="9 - 5yr Collision (Previous)" sheetId="17" r:id="rId10"/>
    <sheet name="9 - Collision Benefits" sheetId="19" r:id="rId11"/>
  </sheets>
  <externalReferences>
    <externalReference r:id="rId12"/>
  </externalReferences>
  <definedNames>
    <definedName name="_xlnm.Print_Area" localSheetId="1">'2 - Traffic Volumes'!$A$1:$P$39</definedName>
    <definedName name="_xlnm.Print_Area" localSheetId="2">'3 - Truck Traffic'!$A$1:$G$20</definedName>
    <definedName name="_xlnm.Print_Area" localSheetId="3">'4 - Travel Time Savings'!$A$1:$G$17</definedName>
    <definedName name="_xlnm.Print_Area" localSheetId="4">'5 - Collision History'!$A$1:$T$158</definedName>
    <definedName name="_xlnm.Print_Area" localSheetId="6">'7 - Collision Benefits'!$A$1:$J$20</definedName>
    <definedName name="_xlnm.Print_Area" localSheetId="7">'8 - O&amp;M Costs'!$A$1:$H$15</definedName>
    <definedName name="_xlnm.Print_Area" localSheetId="10">'9 - Collision Benefits'!$A$1:$J$36</definedName>
  </definedNames>
  <calcPr calcId="145621"/>
</workbook>
</file>

<file path=xl/calcChain.xml><?xml version="1.0" encoding="utf-8"?>
<calcChain xmlns="http://schemas.openxmlformats.org/spreadsheetml/2006/main">
  <c r="F57" i="8" l="1"/>
  <c r="G57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G38" i="8"/>
  <c r="F38" i="8"/>
  <c r="F17" i="19"/>
  <c r="G16" i="19"/>
  <c r="D16" i="19"/>
  <c r="D17" i="19" s="1"/>
  <c r="G15" i="19"/>
  <c r="H15" i="19" s="1"/>
  <c r="G14" i="19"/>
  <c r="H14" i="19" s="1"/>
  <c r="G13" i="19"/>
  <c r="H13" i="19" s="1"/>
  <c r="G12" i="19"/>
  <c r="H12" i="19" s="1"/>
  <c r="G11" i="19"/>
  <c r="H11" i="19" s="1"/>
  <c r="G10" i="19"/>
  <c r="F32" i="19"/>
  <c r="G31" i="19"/>
  <c r="D31" i="19"/>
  <c r="D32" i="19" s="1"/>
  <c r="G30" i="19"/>
  <c r="H30" i="19" s="1"/>
  <c r="G29" i="19"/>
  <c r="H29" i="19" s="1"/>
  <c r="G28" i="19"/>
  <c r="H28" i="19" s="1"/>
  <c r="G27" i="19"/>
  <c r="H27" i="19" s="1"/>
  <c r="G26" i="19"/>
  <c r="H26" i="19" s="1"/>
  <c r="G25" i="19"/>
  <c r="D39" i="8"/>
  <c r="E39" i="8"/>
  <c r="D40" i="8"/>
  <c r="E40" i="8"/>
  <c r="D41" i="8"/>
  <c r="E41" i="8"/>
  <c r="D42" i="8"/>
  <c r="E42" i="8"/>
  <c r="D43" i="8"/>
  <c r="E43" i="8"/>
  <c r="D44" i="8"/>
  <c r="E44" i="8"/>
  <c r="D45" i="8"/>
  <c r="E45" i="8"/>
  <c r="D46" i="8"/>
  <c r="E46" i="8"/>
  <c r="D47" i="8"/>
  <c r="E47" i="8"/>
  <c r="D48" i="8"/>
  <c r="E48" i="8"/>
  <c r="D49" i="8"/>
  <c r="E49" i="8"/>
  <c r="D50" i="8"/>
  <c r="E50" i="8"/>
  <c r="D51" i="8"/>
  <c r="E51" i="8"/>
  <c r="D52" i="8"/>
  <c r="E52" i="8"/>
  <c r="D53" i="8"/>
  <c r="E53" i="8"/>
  <c r="D54" i="8"/>
  <c r="E54" i="8"/>
  <c r="D55" i="8"/>
  <c r="E55" i="8"/>
  <c r="D56" i="8"/>
  <c r="E56" i="8"/>
  <c r="D57" i="8"/>
  <c r="E57" i="8"/>
  <c r="E38" i="8"/>
  <c r="D38" i="8"/>
  <c r="E96" i="18"/>
  <c r="D87" i="18"/>
  <c r="E86" i="18"/>
  <c r="F86" i="18" s="1"/>
  <c r="E85" i="18"/>
  <c r="F85" i="18" s="1"/>
  <c r="E84" i="18"/>
  <c r="F84" i="18" s="1"/>
  <c r="E83" i="18"/>
  <c r="F83" i="18" s="1"/>
  <c r="E82" i="18"/>
  <c r="F82" i="18" s="1"/>
  <c r="E81" i="18"/>
  <c r="F81" i="18" s="1"/>
  <c r="E80" i="18"/>
  <c r="F80" i="18" s="1"/>
  <c r="E79" i="18"/>
  <c r="F79" i="18" s="1"/>
  <c r="E78" i="18"/>
  <c r="F78" i="18" s="1"/>
  <c r="E77" i="18"/>
  <c r="F77" i="18" s="1"/>
  <c r="E76" i="18"/>
  <c r="F76" i="18" s="1"/>
  <c r="E75" i="18"/>
  <c r="F75" i="18" s="1"/>
  <c r="E74" i="18"/>
  <c r="F74" i="18" s="1"/>
  <c r="E73" i="18"/>
  <c r="F73" i="18" s="1"/>
  <c r="E72" i="18"/>
  <c r="F72" i="18" s="1"/>
  <c r="E71" i="18"/>
  <c r="F71" i="18" s="1"/>
  <c r="E70" i="18"/>
  <c r="F70" i="18" s="1"/>
  <c r="E69" i="18"/>
  <c r="F68" i="18"/>
  <c r="G68" i="18" s="1"/>
  <c r="F67" i="18"/>
  <c r="H67" i="18" s="1"/>
  <c r="F66" i="18"/>
  <c r="D17" i="18"/>
  <c r="F17" i="18" s="1"/>
  <c r="D16" i="18"/>
  <c r="G16" i="18" s="1"/>
  <c r="E32" i="19" l="1"/>
  <c r="G17" i="19"/>
  <c r="E17" i="19"/>
  <c r="G32" i="19"/>
  <c r="E87" i="18"/>
  <c r="G70" i="18"/>
  <c r="H70" i="18"/>
  <c r="G78" i="18"/>
  <c r="H78" i="18"/>
  <c r="G86" i="18"/>
  <c r="H86" i="18"/>
  <c r="G72" i="18"/>
  <c r="H72" i="18"/>
  <c r="G80" i="18"/>
  <c r="H80" i="18"/>
  <c r="G74" i="18"/>
  <c r="H74" i="18"/>
  <c r="G82" i="18"/>
  <c r="H82" i="18"/>
  <c r="G76" i="18"/>
  <c r="H76" i="18"/>
  <c r="G84" i="18"/>
  <c r="H84" i="18"/>
  <c r="G67" i="18"/>
  <c r="F16" i="18"/>
  <c r="H16" i="18" s="1"/>
  <c r="I16" i="18" s="1"/>
  <c r="H68" i="18"/>
  <c r="H17" i="19"/>
  <c r="H19" i="19" s="1"/>
  <c r="H32" i="19"/>
  <c r="H73" i="18"/>
  <c r="G73" i="18"/>
  <c r="H77" i="18"/>
  <c r="G77" i="18"/>
  <c r="H85" i="18"/>
  <c r="G85" i="18"/>
  <c r="G81" i="18"/>
  <c r="H81" i="18"/>
  <c r="J16" i="18"/>
  <c r="G71" i="18"/>
  <c r="H71" i="18"/>
  <c r="G75" i="18"/>
  <c r="H75" i="18"/>
  <c r="G79" i="18"/>
  <c r="H79" i="18"/>
  <c r="H83" i="18"/>
  <c r="G83" i="18"/>
  <c r="G17" i="18"/>
  <c r="H17" i="18" s="1"/>
  <c r="G66" i="18"/>
  <c r="D18" i="18"/>
  <c r="H66" i="18"/>
  <c r="F69" i="18"/>
  <c r="F87" i="18" s="1"/>
  <c r="H21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8" i="17"/>
  <c r="C21" i="17"/>
  <c r="D21" i="17"/>
  <c r="E21" i="17"/>
  <c r="F21" i="17"/>
  <c r="B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B31" i="17"/>
  <c r="E31" i="17"/>
  <c r="H34" i="19" l="1"/>
  <c r="H69" i="18"/>
  <c r="H87" i="18" s="1"/>
  <c r="H89" i="18" s="1"/>
  <c r="F11" i="18" s="1"/>
  <c r="G69" i="18"/>
  <c r="G87" i="18" s="1"/>
  <c r="G89" i="18" s="1"/>
  <c r="F8" i="18" s="1"/>
  <c r="G18" i="18"/>
  <c r="F18" i="18"/>
  <c r="H18" i="18" s="1"/>
  <c r="D19" i="18"/>
  <c r="J17" i="18"/>
  <c r="I17" i="18"/>
  <c r="G26" i="17"/>
  <c r="G35" i="17"/>
  <c r="C40" i="17" s="1"/>
  <c r="B37" i="17"/>
  <c r="G24" i="17"/>
  <c r="C31" i="17"/>
  <c r="F31" i="17"/>
  <c r="C37" i="17"/>
  <c r="F37" i="17"/>
  <c r="G30" i="17"/>
  <c r="B41" i="17" s="1"/>
  <c r="G25" i="17"/>
  <c r="D37" i="17"/>
  <c r="G36" i="17"/>
  <c r="C41" i="17" s="1"/>
  <c r="D31" i="17"/>
  <c r="E37" i="17"/>
  <c r="G31" i="17"/>
  <c r="G29" i="17"/>
  <c r="B40" i="17" s="1"/>
  <c r="J18" i="18" l="1"/>
  <c r="I18" i="18"/>
  <c r="G19" i="18"/>
  <c r="D20" i="18"/>
  <c r="F19" i="18"/>
  <c r="D41" i="17"/>
  <c r="E41" i="17"/>
  <c r="G37" i="17"/>
  <c r="G21" i="17"/>
  <c r="E40" i="17"/>
  <c r="D40" i="17"/>
  <c r="H19" i="18" l="1"/>
  <c r="J19" i="18" s="1"/>
  <c r="D21" i="18"/>
  <c r="F20" i="18"/>
  <c r="G20" i="18"/>
  <c r="E76" i="8"/>
  <c r="E77" i="8"/>
  <c r="E78" i="8"/>
  <c r="E79" i="8"/>
  <c r="E80" i="8"/>
  <c r="E81" i="8"/>
  <c r="E82" i="8"/>
  <c r="E83" i="8"/>
  <c r="E75" i="8"/>
  <c r="E68" i="8"/>
  <c r="E69" i="8"/>
  <c r="E70" i="8"/>
  <c r="E71" i="8"/>
  <c r="E72" i="8"/>
  <c r="E73" i="8"/>
  <c r="E67" i="8"/>
  <c r="B34" i="15"/>
  <c r="F34" i="15"/>
  <c r="E34" i="15"/>
  <c r="D28" i="15"/>
  <c r="B28" i="15"/>
  <c r="G26" i="15"/>
  <c r="B37" i="15" s="1"/>
  <c r="G23" i="15"/>
  <c r="G22" i="15"/>
  <c r="G21" i="15"/>
  <c r="G17" i="15"/>
  <c r="G15" i="15"/>
  <c r="G14" i="15"/>
  <c r="G13" i="15"/>
  <c r="G12" i="15"/>
  <c r="G11" i="15"/>
  <c r="G10" i="15"/>
  <c r="F18" i="15"/>
  <c r="E18" i="15"/>
  <c r="D18" i="15"/>
  <c r="G9" i="15"/>
  <c r="G8" i="15"/>
  <c r="C34" i="15"/>
  <c r="D34" i="15"/>
  <c r="E28" i="15"/>
  <c r="G27" i="15"/>
  <c r="B38" i="15" s="1"/>
  <c r="F28" i="15"/>
  <c r="G16" i="15"/>
  <c r="B18" i="15"/>
  <c r="I19" i="18" l="1"/>
  <c r="H20" i="18"/>
  <c r="G21" i="18"/>
  <c r="F21" i="18"/>
  <c r="D22" i="18"/>
  <c r="C18" i="15"/>
  <c r="G18" i="15" s="1"/>
  <c r="G33" i="15"/>
  <c r="C38" i="15" s="1"/>
  <c r="E38" i="15" s="1"/>
  <c r="C28" i="15"/>
  <c r="G28" i="15" s="1"/>
  <c r="G32" i="15"/>
  <c r="E84" i="8"/>
  <c r="E56" i="18" l="1"/>
  <c r="E52" i="18"/>
  <c r="E48" i="18"/>
  <c r="E44" i="18"/>
  <c r="E40" i="18"/>
  <c r="E59" i="18"/>
  <c r="E55" i="18"/>
  <c r="E51" i="18"/>
  <c r="E47" i="18"/>
  <c r="E43" i="18"/>
  <c r="E58" i="18"/>
  <c r="E54" i="18"/>
  <c r="E50" i="18"/>
  <c r="E46" i="18"/>
  <c r="E42" i="18"/>
  <c r="E57" i="18"/>
  <c r="E53" i="18"/>
  <c r="E49" i="18"/>
  <c r="E45" i="18"/>
  <c r="E41" i="18"/>
  <c r="H10" i="15"/>
  <c r="H13" i="15"/>
  <c r="G22" i="18"/>
  <c r="F22" i="18"/>
  <c r="H22" i="18" s="1"/>
  <c r="D23" i="18"/>
  <c r="H21" i="18"/>
  <c r="J20" i="18"/>
  <c r="I20" i="18"/>
  <c r="H17" i="15"/>
  <c r="H15" i="15"/>
  <c r="D38" i="15"/>
  <c r="H12" i="15"/>
  <c r="H16" i="15"/>
  <c r="H9" i="15"/>
  <c r="H11" i="15"/>
  <c r="G34" i="15"/>
  <c r="C37" i="15"/>
  <c r="H14" i="15"/>
  <c r="H8" i="15"/>
  <c r="E74" i="8"/>
  <c r="F74" i="8" s="1"/>
  <c r="F84" i="8"/>
  <c r="G84" i="8" s="1"/>
  <c r="E95" i="8"/>
  <c r="E15" i="13"/>
  <c r="E14" i="13"/>
  <c r="E12" i="13"/>
  <c r="G11" i="9"/>
  <c r="G12" i="9"/>
  <c r="G13" i="9"/>
  <c r="G14" i="9"/>
  <c r="G15" i="9"/>
  <c r="G16" i="9"/>
  <c r="G10" i="9"/>
  <c r="B86" i="12"/>
  <c r="B106" i="12" s="1"/>
  <c r="F106" i="12" s="1"/>
  <c r="C86" i="12"/>
  <c r="D106" i="12" s="1"/>
  <c r="D86" i="12"/>
  <c r="C123" i="12" s="1"/>
  <c r="E86" i="12"/>
  <c r="F86" i="12"/>
  <c r="L101" i="12"/>
  <c r="T69" i="12"/>
  <c r="S69" i="12"/>
  <c r="R69" i="12"/>
  <c r="C105" i="12" s="1"/>
  <c r="Q69" i="12"/>
  <c r="D122" i="12" s="1"/>
  <c r="P69" i="12"/>
  <c r="B105" i="12" s="1"/>
  <c r="B122" i="12" s="1"/>
  <c r="M69" i="12"/>
  <c r="L69" i="12"/>
  <c r="K69" i="12"/>
  <c r="C104" i="12" s="1"/>
  <c r="J69" i="12"/>
  <c r="D104" i="12" s="1"/>
  <c r="I69" i="12"/>
  <c r="B104" i="12" s="1"/>
  <c r="F69" i="12"/>
  <c r="E69" i="12"/>
  <c r="D69" i="12"/>
  <c r="C103" i="12" s="1"/>
  <c r="C69" i="12"/>
  <c r="D120" i="12" s="1"/>
  <c r="B69" i="12"/>
  <c r="T53" i="12"/>
  <c r="S53" i="12"/>
  <c r="R53" i="12"/>
  <c r="C119" i="12" s="1"/>
  <c r="Q53" i="12"/>
  <c r="D102" i="12" s="1"/>
  <c r="P53" i="12"/>
  <c r="M53" i="12"/>
  <c r="L53" i="12"/>
  <c r="K53" i="12"/>
  <c r="J53" i="12"/>
  <c r="I53" i="12"/>
  <c r="F53" i="12"/>
  <c r="E53" i="12"/>
  <c r="D53" i="12"/>
  <c r="C117" i="12" s="1"/>
  <c r="C53" i="12"/>
  <c r="D117" i="12" s="1"/>
  <c r="B53" i="12"/>
  <c r="B100" i="12" s="1"/>
  <c r="T37" i="12"/>
  <c r="S37" i="12"/>
  <c r="R37" i="12"/>
  <c r="C116" i="12" s="1"/>
  <c r="Q37" i="12"/>
  <c r="D116" i="12" s="1"/>
  <c r="P37" i="12"/>
  <c r="B99" i="12" s="1"/>
  <c r="B116" i="12" s="1"/>
  <c r="M37" i="12"/>
  <c r="L37" i="12"/>
  <c r="K37" i="12"/>
  <c r="C115" i="12" s="1"/>
  <c r="J37" i="12"/>
  <c r="I37" i="12"/>
  <c r="B98" i="12" s="1"/>
  <c r="F37" i="12"/>
  <c r="E37" i="12"/>
  <c r="D37" i="12"/>
  <c r="C37" i="12"/>
  <c r="D114" i="12" s="1"/>
  <c r="B37" i="12"/>
  <c r="T21" i="12"/>
  <c r="S21" i="12"/>
  <c r="R21" i="12"/>
  <c r="Q21" i="12"/>
  <c r="P21" i="12"/>
  <c r="B96" i="12" s="1"/>
  <c r="B113" i="12" s="1"/>
  <c r="M21" i="12"/>
  <c r="L21" i="12"/>
  <c r="K21" i="12"/>
  <c r="J21" i="12"/>
  <c r="D112" i="12" s="1"/>
  <c r="I21" i="12"/>
  <c r="F21" i="12"/>
  <c r="E21" i="12"/>
  <c r="D21" i="12"/>
  <c r="C111" i="12" s="1"/>
  <c r="C21" i="12"/>
  <c r="D111" i="12" s="1"/>
  <c r="B21" i="12"/>
  <c r="B111" i="12" s="1"/>
  <c r="G17" i="9" l="1"/>
  <c r="J21" i="18"/>
  <c r="I21" i="18"/>
  <c r="F23" i="18"/>
  <c r="G23" i="18"/>
  <c r="D24" i="18"/>
  <c r="J22" i="18"/>
  <c r="I22" i="18"/>
  <c r="H18" i="15"/>
  <c r="E37" i="15"/>
  <c r="D37" i="15"/>
  <c r="F17" i="9"/>
  <c r="L100" i="12"/>
  <c r="L99" i="12" s="1"/>
  <c r="C99" i="12" s="1"/>
  <c r="C101" i="12"/>
  <c r="D119" i="12"/>
  <c r="D105" i="12"/>
  <c r="E105" i="12" s="1"/>
  <c r="F102" i="12"/>
  <c r="B119" i="12"/>
  <c r="F104" i="12"/>
  <c r="B121" i="12"/>
  <c r="C90" i="12"/>
  <c r="D124" i="12" s="1"/>
  <c r="C102" i="12"/>
  <c r="E102" i="12" s="1"/>
  <c r="C94" i="12"/>
  <c r="C106" i="12"/>
  <c r="E106" i="12" s="1"/>
  <c r="B90" i="12"/>
  <c r="B124" i="12" s="1"/>
  <c r="E90" i="12"/>
  <c r="D103" i="12"/>
  <c r="E103" i="12" s="1"/>
  <c r="F90" i="12"/>
  <c r="D101" i="12"/>
  <c r="B97" i="12"/>
  <c r="B114" i="12" s="1"/>
  <c r="E111" i="12"/>
  <c r="F101" i="12"/>
  <c r="B118" i="12"/>
  <c r="B115" i="12"/>
  <c r="E104" i="12"/>
  <c r="B112" i="12"/>
  <c r="F103" i="12"/>
  <c r="B120" i="12"/>
  <c r="E116" i="12"/>
  <c r="B117" i="12"/>
  <c r="C113" i="12"/>
  <c r="C121" i="12"/>
  <c r="D94" i="12"/>
  <c r="F105" i="12"/>
  <c r="D113" i="12"/>
  <c r="C118" i="12"/>
  <c r="D121" i="12"/>
  <c r="B123" i="12"/>
  <c r="F94" i="12"/>
  <c r="D118" i="12"/>
  <c r="C112" i="12"/>
  <c r="D115" i="12"/>
  <c r="C120" i="12"/>
  <c r="D123" i="12"/>
  <c r="C114" i="12"/>
  <c r="C122" i="12"/>
  <c r="D90" i="12"/>
  <c r="B19" i="11"/>
  <c r="B12" i="11"/>
  <c r="D57" i="18" l="1"/>
  <c r="D53" i="18"/>
  <c r="D49" i="18"/>
  <c r="D45" i="18"/>
  <c r="D41" i="18"/>
  <c r="D56" i="18"/>
  <c r="D52" i="18"/>
  <c r="D48" i="18"/>
  <c r="D44" i="18"/>
  <c r="D40" i="18"/>
  <c r="D59" i="18"/>
  <c r="D55" i="18"/>
  <c r="D51" i="18"/>
  <c r="D47" i="18"/>
  <c r="D43" i="18"/>
  <c r="D58" i="18"/>
  <c r="D54" i="18"/>
  <c r="D50" i="18"/>
  <c r="D46" i="18"/>
  <c r="D42" i="18"/>
  <c r="H23" i="18"/>
  <c r="D25" i="18"/>
  <c r="F24" i="18"/>
  <c r="G24" i="18"/>
  <c r="F100" i="12"/>
  <c r="C100" i="12"/>
  <c r="D100" i="12"/>
  <c r="E119" i="12"/>
  <c r="E114" i="12"/>
  <c r="B107" i="12"/>
  <c r="E121" i="12"/>
  <c r="E117" i="12"/>
  <c r="E115" i="12"/>
  <c r="C124" i="12"/>
  <c r="E124" i="12" s="1"/>
  <c r="E113" i="12"/>
  <c r="E112" i="12"/>
  <c r="L98" i="12"/>
  <c r="D99" i="12"/>
  <c r="F99" i="12"/>
  <c r="E122" i="12"/>
  <c r="E118" i="12"/>
  <c r="E123" i="12"/>
  <c r="E120" i="12"/>
  <c r="D16" i="9"/>
  <c r="E17" i="9" s="1"/>
  <c r="H15" i="9"/>
  <c r="H14" i="9"/>
  <c r="H13" i="9"/>
  <c r="H12" i="9"/>
  <c r="H11" i="9"/>
  <c r="G56" i="18" l="1"/>
  <c r="G54" i="18"/>
  <c r="G50" i="18"/>
  <c r="G46" i="18"/>
  <c r="G57" i="18"/>
  <c r="G42" i="18"/>
  <c r="G53" i="18"/>
  <c r="G40" i="18"/>
  <c r="G51" i="18"/>
  <c r="G47" i="18"/>
  <c r="G58" i="18"/>
  <c r="G43" i="18"/>
  <c r="G41" i="18"/>
  <c r="G52" i="18"/>
  <c r="G48" i="18"/>
  <c r="G59" i="18"/>
  <c r="G44" i="18"/>
  <c r="G55" i="18"/>
  <c r="G49" i="18"/>
  <c r="G45" i="18"/>
  <c r="H24" i="18"/>
  <c r="G25" i="18"/>
  <c r="F25" i="18"/>
  <c r="H25" i="18" s="1"/>
  <c r="D26" i="18"/>
  <c r="J23" i="18"/>
  <c r="I23" i="18"/>
  <c r="C98" i="12"/>
  <c r="L97" i="12"/>
  <c r="D98" i="12"/>
  <c r="F98" i="12"/>
  <c r="H17" i="9"/>
  <c r="D17" i="9"/>
  <c r="F58" i="18" l="1"/>
  <c r="H58" i="18" s="1"/>
  <c r="F43" i="18"/>
  <c r="H43" i="18" s="1"/>
  <c r="F41" i="18"/>
  <c r="H41" i="18" s="1"/>
  <c r="F54" i="18"/>
  <c r="H54" i="18" s="1"/>
  <c r="F50" i="18"/>
  <c r="H50" i="18" s="1"/>
  <c r="F46" i="18"/>
  <c r="H46" i="18" s="1"/>
  <c r="F57" i="18"/>
  <c r="H57" i="18" s="1"/>
  <c r="F44" i="18"/>
  <c r="H44" i="18" s="1"/>
  <c r="F53" i="18"/>
  <c r="H53" i="18" s="1"/>
  <c r="F51" i="18"/>
  <c r="H51" i="18" s="1"/>
  <c r="F47" i="18"/>
  <c r="H47" i="18" s="1"/>
  <c r="F45" i="18"/>
  <c r="H45" i="18" s="1"/>
  <c r="F56" i="18"/>
  <c r="H56" i="18" s="1"/>
  <c r="F52" i="18"/>
  <c r="H52" i="18" s="1"/>
  <c r="F48" i="18"/>
  <c r="H48" i="18" s="1"/>
  <c r="F59" i="18"/>
  <c r="H59" i="18" s="1"/>
  <c r="F42" i="18"/>
  <c r="H42" i="18" s="1"/>
  <c r="F55" i="18"/>
  <c r="H55" i="18" s="1"/>
  <c r="F40" i="18"/>
  <c r="H40" i="18" s="1"/>
  <c r="F49" i="18"/>
  <c r="H49" i="18" s="1"/>
  <c r="J25" i="18"/>
  <c r="I25" i="18"/>
  <c r="G26" i="18"/>
  <c r="F26" i="18"/>
  <c r="H26" i="18" s="1"/>
  <c r="D27" i="18"/>
  <c r="J24" i="18"/>
  <c r="I24" i="18"/>
  <c r="L96" i="12"/>
  <c r="D97" i="12"/>
  <c r="F97" i="12"/>
  <c r="C97" i="12"/>
  <c r="H19" i="9"/>
  <c r="J51" i="18" l="1"/>
  <c r="I51" i="18"/>
  <c r="I59" i="18"/>
  <c r="J59" i="18"/>
  <c r="I55" i="18"/>
  <c r="J55" i="18"/>
  <c r="J52" i="18"/>
  <c r="I52" i="18"/>
  <c r="I46" i="18"/>
  <c r="J46" i="18"/>
  <c r="J43" i="18"/>
  <c r="I43" i="18"/>
  <c r="J56" i="18"/>
  <c r="I56" i="18"/>
  <c r="J50" i="18"/>
  <c r="I50" i="18"/>
  <c r="J47" i="18"/>
  <c r="I47" i="18"/>
  <c r="I48" i="18"/>
  <c r="J48" i="18"/>
  <c r="J57" i="18"/>
  <c r="I57" i="18"/>
  <c r="J49" i="18"/>
  <c r="I49" i="18"/>
  <c r="J45" i="18"/>
  <c r="I45" i="18"/>
  <c r="J54" i="18"/>
  <c r="I54" i="18"/>
  <c r="I40" i="18"/>
  <c r="J40" i="18"/>
  <c r="J41" i="18"/>
  <c r="I41" i="18"/>
  <c r="I42" i="18"/>
  <c r="J42" i="18"/>
  <c r="J53" i="18"/>
  <c r="I53" i="18"/>
  <c r="J58" i="18"/>
  <c r="I58" i="18"/>
  <c r="I44" i="18"/>
  <c r="J44" i="18"/>
  <c r="J26" i="18"/>
  <c r="I26" i="18"/>
  <c r="D28" i="18"/>
  <c r="G27" i="18"/>
  <c r="F27" i="18"/>
  <c r="H27" i="18" s="1"/>
  <c r="L95" i="12"/>
  <c r="D96" i="12"/>
  <c r="F96" i="12"/>
  <c r="C96" i="12"/>
  <c r="F65" i="8"/>
  <c r="G65" i="8" s="1"/>
  <c r="F66" i="8"/>
  <c r="G66" i="8" s="1"/>
  <c r="F67" i="8"/>
  <c r="H67" i="8" s="1"/>
  <c r="F68" i="8"/>
  <c r="G68" i="8" s="1"/>
  <c r="F69" i="8"/>
  <c r="H69" i="8" s="1"/>
  <c r="F70" i="8"/>
  <c r="G70" i="8" s="1"/>
  <c r="F71" i="8"/>
  <c r="H71" i="8" s="1"/>
  <c r="F72" i="8"/>
  <c r="H72" i="8" s="1"/>
  <c r="F73" i="8"/>
  <c r="G73" i="8" s="1"/>
  <c r="F75" i="8"/>
  <c r="H75" i="8" s="1"/>
  <c r="F76" i="8"/>
  <c r="G76" i="8" s="1"/>
  <c r="F77" i="8"/>
  <c r="G77" i="8" s="1"/>
  <c r="F78" i="8"/>
  <c r="G78" i="8" s="1"/>
  <c r="F79" i="8"/>
  <c r="H79" i="8" s="1"/>
  <c r="F80" i="8"/>
  <c r="G80" i="8" s="1"/>
  <c r="F81" i="8"/>
  <c r="G81" i="8" s="1"/>
  <c r="F82" i="8"/>
  <c r="H82" i="8" s="1"/>
  <c r="F83" i="8"/>
  <c r="H83" i="8" s="1"/>
  <c r="F64" i="8"/>
  <c r="H64" i="8" s="1"/>
  <c r="D85" i="8"/>
  <c r="G83" i="8" l="1"/>
  <c r="G64" i="8"/>
  <c r="H68" i="8"/>
  <c r="J60" i="18"/>
  <c r="I60" i="18"/>
  <c r="D29" i="18"/>
  <c r="F28" i="18"/>
  <c r="G28" i="18"/>
  <c r="J27" i="18"/>
  <c r="I27" i="18"/>
  <c r="H78" i="8"/>
  <c r="G69" i="8"/>
  <c r="G79" i="8"/>
  <c r="H77" i="8"/>
  <c r="H76" i="8"/>
  <c r="G75" i="8"/>
  <c r="G71" i="8"/>
  <c r="H70" i="8"/>
  <c r="G67" i="8"/>
  <c r="F85" i="8"/>
  <c r="H66" i="8"/>
  <c r="H81" i="8"/>
  <c r="H73" i="8"/>
  <c r="H65" i="8"/>
  <c r="H80" i="8"/>
  <c r="G72" i="8"/>
  <c r="G82" i="8"/>
  <c r="D95" i="12"/>
  <c r="L107" i="12"/>
  <c r="F95" i="12"/>
  <c r="C95" i="12"/>
  <c r="D36" i="2"/>
  <c r="D14" i="8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H28" i="18" l="1"/>
  <c r="J28" i="18"/>
  <c r="I28" i="18"/>
  <c r="F29" i="18"/>
  <c r="D30" i="18"/>
  <c r="G29" i="18"/>
  <c r="H84" i="8"/>
  <c r="E85" i="8"/>
  <c r="G74" i="8"/>
  <c r="H74" i="8"/>
  <c r="D107" i="12"/>
  <c r="C107" i="12"/>
  <c r="F107" i="12"/>
  <c r="F14" i="8"/>
  <c r="H42" i="8"/>
  <c r="H29" i="18" l="1"/>
  <c r="F30" i="18"/>
  <c r="G30" i="18"/>
  <c r="D31" i="18"/>
  <c r="H85" i="8"/>
  <c r="H87" i="8" s="1"/>
  <c r="F10" i="8" s="1"/>
  <c r="G85" i="8"/>
  <c r="G87" i="8" s="1"/>
  <c r="F7" i="8" s="1"/>
  <c r="E107" i="12"/>
  <c r="H38" i="8"/>
  <c r="I38" i="8" s="1"/>
  <c r="H39" i="8"/>
  <c r="J39" i="8" s="1"/>
  <c r="H56" i="8"/>
  <c r="I56" i="8" s="1"/>
  <c r="H40" i="8"/>
  <c r="I40" i="8" s="1"/>
  <c r="H41" i="8"/>
  <c r="J41" i="8" s="1"/>
  <c r="I42" i="8"/>
  <c r="J42" i="8"/>
  <c r="H54" i="8"/>
  <c r="H52" i="8"/>
  <c r="H50" i="8"/>
  <c r="H48" i="8"/>
  <c r="H46" i="8"/>
  <c r="H43" i="8"/>
  <c r="H57" i="8"/>
  <c r="H55" i="8"/>
  <c r="H53" i="8"/>
  <c r="H51" i="8"/>
  <c r="H49" i="8"/>
  <c r="H47" i="8"/>
  <c r="H45" i="8"/>
  <c r="H44" i="8"/>
  <c r="G14" i="8"/>
  <c r="H14" i="8" s="1"/>
  <c r="J14" i="8" s="1"/>
  <c r="H30" i="18" l="1"/>
  <c r="J30" i="18" s="1"/>
  <c r="G31" i="18"/>
  <c r="D32" i="18"/>
  <c r="F31" i="18"/>
  <c r="I29" i="18"/>
  <c r="J29" i="18"/>
  <c r="I39" i="8"/>
  <c r="J38" i="8"/>
  <c r="J56" i="8"/>
  <c r="I41" i="8"/>
  <c r="J40" i="8"/>
  <c r="I50" i="8"/>
  <c r="J50" i="8"/>
  <c r="I51" i="8"/>
  <c r="J51" i="8"/>
  <c r="I55" i="8"/>
  <c r="J55" i="8"/>
  <c r="I52" i="8"/>
  <c r="J52" i="8"/>
  <c r="I53" i="8"/>
  <c r="J53" i="8"/>
  <c r="I54" i="8"/>
  <c r="J54" i="8"/>
  <c r="I57" i="8"/>
  <c r="J57" i="8"/>
  <c r="I47" i="8"/>
  <c r="J47" i="8"/>
  <c r="I48" i="8"/>
  <c r="J48" i="8"/>
  <c r="I49" i="8"/>
  <c r="J49" i="8"/>
  <c r="I44" i="8"/>
  <c r="J44" i="8"/>
  <c r="I43" i="8"/>
  <c r="J43" i="8"/>
  <c r="I45" i="8"/>
  <c r="J45" i="8"/>
  <c r="I46" i="8"/>
  <c r="J46" i="8"/>
  <c r="I14" i="8"/>
  <c r="F15" i="8"/>
  <c r="G15" i="8"/>
  <c r="I30" i="18" l="1"/>
  <c r="H31" i="18"/>
  <c r="J31" i="18" s="1"/>
  <c r="I31" i="18"/>
  <c r="G32" i="18"/>
  <c r="D33" i="18"/>
  <c r="F32" i="18"/>
  <c r="H32" i="18" s="1"/>
  <c r="I58" i="8"/>
  <c r="J58" i="8"/>
  <c r="H15" i="8"/>
  <c r="J15" i="8" s="1"/>
  <c r="F16" i="8"/>
  <c r="G16" i="8"/>
  <c r="J32" i="18" l="1"/>
  <c r="I32" i="18"/>
  <c r="F33" i="18"/>
  <c r="D34" i="18"/>
  <c r="G33" i="18"/>
  <c r="H16" i="8"/>
  <c r="J16" i="8" s="1"/>
  <c r="I15" i="8"/>
  <c r="F17" i="8"/>
  <c r="G17" i="8"/>
  <c r="D9" i="6"/>
  <c r="F9" i="6"/>
  <c r="F11" i="6" s="1"/>
  <c r="B9" i="6"/>
  <c r="F16" i="2"/>
  <c r="F15" i="2"/>
  <c r="F14" i="2"/>
  <c r="F13" i="2"/>
  <c r="F12" i="2"/>
  <c r="F11" i="2"/>
  <c r="F10" i="2"/>
  <c r="F9" i="2"/>
  <c r="F8" i="2"/>
  <c r="D24" i="2"/>
  <c r="D25" i="2"/>
  <c r="H33" i="18" l="1"/>
  <c r="D35" i="18"/>
  <c r="F34" i="18"/>
  <c r="G34" i="18"/>
  <c r="E25" i="2"/>
  <c r="E26" i="2" s="1"/>
  <c r="I16" i="8"/>
  <c r="G18" i="8"/>
  <c r="F18" i="8"/>
  <c r="H17" i="8"/>
  <c r="J17" i="8" s="1"/>
  <c r="D37" i="2"/>
  <c r="E37" i="2" s="1"/>
  <c r="E38" i="2" s="1"/>
  <c r="D31" i="2"/>
  <c r="D30" i="2"/>
  <c r="F47" i="2"/>
  <c r="F49" i="2"/>
  <c r="F51" i="2"/>
  <c r="F61" i="2"/>
  <c r="F53" i="2"/>
  <c r="F59" i="2"/>
  <c r="F58" i="2"/>
  <c r="F57" i="2"/>
  <c r="F56" i="2"/>
  <c r="F55" i="2"/>
  <c r="F54" i="2"/>
  <c r="F60" i="2"/>
  <c r="F52" i="2"/>
  <c r="F62" i="2"/>
  <c r="F50" i="2"/>
  <c r="F63" i="2"/>
  <c r="F48" i="2"/>
  <c r="F64" i="2"/>
  <c r="H34" i="18" l="1"/>
  <c r="F35" i="18"/>
  <c r="G35" i="18"/>
  <c r="J33" i="18"/>
  <c r="I33" i="18"/>
  <c r="E31" i="2"/>
  <c r="E32" i="2" s="1"/>
  <c r="I17" i="8"/>
  <c r="H18" i="8"/>
  <c r="J18" i="8" s="1"/>
  <c r="F19" i="8"/>
  <c r="G19" i="8"/>
  <c r="H35" i="18" l="1"/>
  <c r="I34" i="18"/>
  <c r="J34" i="18"/>
  <c r="I18" i="8"/>
  <c r="H19" i="8"/>
  <c r="G20" i="8"/>
  <c r="F20" i="8"/>
  <c r="J35" i="18" l="1"/>
  <c r="J36" i="18" s="1"/>
  <c r="J62" i="18" s="1"/>
  <c r="F10" i="18" s="1"/>
  <c r="H10" i="18" s="1"/>
  <c r="I35" i="18"/>
  <c r="I36" i="18" s="1"/>
  <c r="I62" i="18" s="1"/>
  <c r="F7" i="18" s="1"/>
  <c r="H7" i="18" s="1"/>
  <c r="I19" i="8"/>
  <c r="J19" i="8"/>
  <c r="H20" i="8"/>
  <c r="G21" i="8"/>
  <c r="F21" i="8"/>
  <c r="I20" i="8" l="1"/>
  <c r="J20" i="8"/>
  <c r="H21" i="8"/>
  <c r="G22" i="8"/>
  <c r="F22" i="8"/>
  <c r="H22" i="8" l="1"/>
  <c r="I22" i="8" s="1"/>
  <c r="I21" i="8"/>
  <c r="J21" i="8"/>
  <c r="F23" i="8"/>
  <c r="G23" i="8"/>
  <c r="J22" i="8" l="1"/>
  <c r="H23" i="8"/>
  <c r="F24" i="8"/>
  <c r="G24" i="8"/>
  <c r="I23" i="8" l="1"/>
  <c r="J23" i="8"/>
  <c r="H24" i="8"/>
  <c r="F25" i="8"/>
  <c r="G25" i="8"/>
  <c r="I24" i="8" l="1"/>
  <c r="J24" i="8"/>
  <c r="H25" i="8"/>
  <c r="G26" i="8"/>
  <c r="F26" i="8"/>
  <c r="H26" i="8" l="1"/>
  <c r="I26" i="8" s="1"/>
  <c r="I25" i="8"/>
  <c r="J25" i="8"/>
  <c r="F27" i="8"/>
  <c r="G27" i="8"/>
  <c r="J26" i="8" l="1"/>
  <c r="H27" i="8"/>
  <c r="G28" i="8"/>
  <c r="F28" i="8"/>
  <c r="I27" i="8" l="1"/>
  <c r="J27" i="8"/>
  <c r="H28" i="8"/>
  <c r="F29" i="8"/>
  <c r="G29" i="8"/>
  <c r="I28" i="8" l="1"/>
  <c r="J28" i="8"/>
  <c r="H29" i="8"/>
  <c r="G30" i="8"/>
  <c r="F30" i="8"/>
  <c r="H30" i="8" l="1"/>
  <c r="I30" i="8" s="1"/>
  <c r="I29" i="8"/>
  <c r="J29" i="8"/>
  <c r="F31" i="8"/>
  <c r="G31" i="8"/>
  <c r="J30" i="8" l="1"/>
  <c r="F32" i="8"/>
  <c r="G32" i="8"/>
  <c r="H31" i="8"/>
  <c r="H32" i="8" l="1"/>
  <c r="I32" i="8" s="1"/>
  <c r="I31" i="8"/>
  <c r="J31" i="8"/>
  <c r="F33" i="8"/>
  <c r="G33" i="8"/>
  <c r="J32" i="8" l="1"/>
  <c r="H33" i="8"/>
  <c r="I33" i="8" l="1"/>
  <c r="I34" i="8" s="1"/>
  <c r="I60" i="8" s="1"/>
  <c r="F6" i="8" s="1"/>
  <c r="H6" i="8" s="1"/>
  <c r="J33" i="8"/>
  <c r="J34" i="8" s="1"/>
  <c r="J60" i="8" s="1"/>
  <c r="F9" i="8" s="1"/>
  <c r="H9" i="8" s="1"/>
</calcChain>
</file>

<file path=xl/comments1.xml><?xml version="1.0" encoding="utf-8"?>
<comments xmlns="http://schemas.openxmlformats.org/spreadsheetml/2006/main">
  <authors>
    <author>jchen</author>
  </authors>
  <commentList>
    <comment ref="L94" authorId="0">
      <text>
        <r>
          <rPr>
            <b/>
            <sz val="8"/>
            <color indexed="81"/>
            <rFont val="Tahoma"/>
            <family val="2"/>
          </rPr>
          <t>jchen:</t>
        </r>
        <r>
          <rPr>
            <sz val="8"/>
            <color indexed="81"/>
            <rFont val="Tahoma"/>
            <family val="2"/>
          </rPr>
          <t xml:space="preserve">
The ADT is estimated by the following data:
1996: 16,322
2004: 22,118
Diff: 5,796
Avg over 8 years = 725</t>
        </r>
      </text>
    </comment>
    <comment ref="L95" authorId="0">
      <text>
        <r>
          <rPr>
            <b/>
            <sz val="8"/>
            <color indexed="81"/>
            <rFont val="Tahoma"/>
            <family val="2"/>
          </rPr>
          <t>jchen:</t>
        </r>
        <r>
          <rPr>
            <sz val="8"/>
            <color indexed="81"/>
            <rFont val="Tahoma"/>
            <family val="2"/>
          </rPr>
          <t xml:space="preserve">
The ADT is estimated by the following data:
1996: 16,322
2004: 22,118
Diff: 5,796
Avg over 8 years = 725</t>
        </r>
      </text>
    </comment>
    <comment ref="L96" authorId="0">
      <text>
        <r>
          <rPr>
            <b/>
            <sz val="8"/>
            <color indexed="81"/>
            <rFont val="Tahoma"/>
            <family val="2"/>
          </rPr>
          <t>jchen:</t>
        </r>
        <r>
          <rPr>
            <sz val="8"/>
            <color indexed="81"/>
            <rFont val="Tahoma"/>
            <family val="2"/>
          </rPr>
          <t xml:space="preserve">
The ADT is estimated by the following data:
1996: 16,322
2004: 22,118
Diff: 5,796
Avg over 8 years = 725</t>
        </r>
      </text>
    </comment>
    <comment ref="L97" authorId="0">
      <text>
        <r>
          <rPr>
            <b/>
            <sz val="8"/>
            <color indexed="81"/>
            <rFont val="Tahoma"/>
            <family val="2"/>
          </rPr>
          <t>jchen:</t>
        </r>
        <r>
          <rPr>
            <sz val="8"/>
            <color indexed="81"/>
            <rFont val="Tahoma"/>
            <family val="2"/>
          </rPr>
          <t xml:space="preserve">
The ADT is estimated by the following data:
1996: 16,322
2004: 22,118
Diff: 5,796
Avg over 8 years = 725</t>
        </r>
      </text>
    </comment>
    <comment ref="L98" authorId="0">
      <text>
        <r>
          <rPr>
            <b/>
            <sz val="8"/>
            <color indexed="81"/>
            <rFont val="Tahoma"/>
            <family val="2"/>
          </rPr>
          <t>jchen:</t>
        </r>
        <r>
          <rPr>
            <sz val="8"/>
            <color indexed="81"/>
            <rFont val="Tahoma"/>
            <family val="2"/>
          </rPr>
          <t xml:space="preserve">
The ADT is estimated by the following data:
1996: 16,322
2004: 22,118
Diff: 5,796
Avg over 8 years = 725</t>
        </r>
      </text>
    </comment>
    <comment ref="L99" authorId="0">
      <text>
        <r>
          <rPr>
            <b/>
            <sz val="8"/>
            <color indexed="81"/>
            <rFont val="Tahoma"/>
            <family val="2"/>
          </rPr>
          <t>jchen:</t>
        </r>
        <r>
          <rPr>
            <sz val="8"/>
            <color indexed="81"/>
            <rFont val="Tahoma"/>
            <family val="2"/>
          </rPr>
          <t xml:space="preserve">
The ADT is estimated by the following data:
1996: 16,322
2004: 22,118
Diff: 5,796
Avg over 8 years = 725</t>
        </r>
      </text>
    </comment>
    <comment ref="L100" authorId="0">
      <text>
        <r>
          <rPr>
            <b/>
            <sz val="8"/>
            <color indexed="81"/>
            <rFont val="Tahoma"/>
            <family val="2"/>
          </rPr>
          <t>jchen:</t>
        </r>
        <r>
          <rPr>
            <sz val="8"/>
            <color indexed="81"/>
            <rFont val="Tahoma"/>
            <family val="2"/>
          </rPr>
          <t xml:space="preserve">
The ADT is estimated by the following data:
1996: 16,322
2004: 22,118
Diff: 5,796
Avg over 8 years = 725</t>
        </r>
      </text>
    </comment>
    <comment ref="L101" authorId="0">
      <text>
        <r>
          <rPr>
            <b/>
            <sz val="8"/>
            <color indexed="81"/>
            <rFont val="Tahoma"/>
            <family val="2"/>
          </rPr>
          <t>jchen:</t>
        </r>
        <r>
          <rPr>
            <sz val="8"/>
            <color indexed="81"/>
            <rFont val="Tahoma"/>
            <family val="2"/>
          </rPr>
          <t xml:space="preserve">
The ADT is estimated by the following data:
1996: 16,322
2004: 22,118
Diff: 5,796
Avg over 8 years = 725</t>
        </r>
      </text>
    </comment>
  </commentList>
</comments>
</file>

<file path=xl/sharedStrings.xml><?xml version="1.0" encoding="utf-8"?>
<sst xmlns="http://schemas.openxmlformats.org/spreadsheetml/2006/main" count="538" uniqueCount="214">
  <si>
    <t>Vasco Road South of Camino Diablo</t>
  </si>
  <si>
    <t xml:space="preserve"> ----- </t>
  </si>
  <si>
    <t xml:space="preserve">  N/B</t>
  </si>
  <si>
    <t xml:space="preserve">  S/B</t>
  </si>
  <si>
    <t>N/B or E/B DIRECTION</t>
  </si>
  <si>
    <t>S/B or W/B DIRECTION</t>
  </si>
  <si>
    <t xml:space="preserve">  TOTAL</t>
  </si>
  <si>
    <t>AM PEAK</t>
  </si>
  <si>
    <t>PM PEAK</t>
  </si>
  <si>
    <t>DATE</t>
  </si>
  <si>
    <t xml:space="preserve">  VOL</t>
  </si>
  <si>
    <t xml:space="preserve">  24 HR</t>
  </si>
  <si>
    <t>TIME</t>
  </si>
  <si>
    <t>Future Traffic Volumes</t>
  </si>
  <si>
    <t>Source: CCTA Decennial Model , Contra Costa Transportation Authority</t>
  </si>
  <si>
    <t>NB</t>
  </si>
  <si>
    <t>SB</t>
  </si>
  <si>
    <t>Total</t>
  </si>
  <si>
    <t>Vasco Road North of Camino Diablo</t>
  </si>
  <si>
    <t>Vasco Road North of Alameda/Contra Costa County Line</t>
  </si>
  <si>
    <t>Truck Count</t>
  </si>
  <si>
    <t>Traffic Count</t>
  </si>
  <si>
    <t>Vasco Road North of Camino Diablo (5:00-18:00)</t>
  </si>
  <si>
    <t>Vasco Road South of Camino Diablo (5:00-18:00)</t>
  </si>
  <si>
    <t>Date</t>
  </si>
  <si>
    <t>Primary Cause</t>
  </si>
  <si>
    <t>Improper Turning</t>
  </si>
  <si>
    <t>Unsafe Speed</t>
  </si>
  <si>
    <t>Improper Passing</t>
  </si>
  <si>
    <t>Other</t>
  </si>
  <si>
    <t>Wrong Side of Road</t>
  </si>
  <si>
    <t>Driving Under Influence</t>
  </si>
  <si>
    <t>Unsafe Lane Change</t>
  </si>
  <si>
    <t>Traffic Signals and Signs</t>
  </si>
  <si>
    <t>Unknown</t>
  </si>
  <si>
    <t>Time</t>
  </si>
  <si>
    <t>Injury</t>
  </si>
  <si>
    <t>Fatality</t>
  </si>
  <si>
    <t>Collision Reports</t>
  </si>
  <si>
    <t>Fatal</t>
  </si>
  <si>
    <t>Severity</t>
  </si>
  <si>
    <t>Calendar Year</t>
  </si>
  <si>
    <t>Project Year</t>
  </si>
  <si>
    <t>Percent Truck Traffic</t>
  </si>
  <si>
    <t>Discount rate</t>
  </si>
  <si>
    <t>Total Value of Travel Time Benefits</t>
  </si>
  <si>
    <t>Total Value of Collision Benefits</t>
  </si>
  <si>
    <t>5-Year Total</t>
  </si>
  <si>
    <t>%</t>
  </si>
  <si>
    <t>5-Year Average</t>
  </si>
  <si>
    <t>Prevented</t>
  </si>
  <si>
    <t>Bus Count</t>
  </si>
  <si>
    <t>Source: Vehicular Traffic Counts, Contra Costa County Public Works Department</t>
  </si>
  <si>
    <t>Southbound</t>
  </si>
  <si>
    <t>Northbound</t>
  </si>
  <si>
    <t>Northbound Volume</t>
  </si>
  <si>
    <t>Southbound Volume</t>
  </si>
  <si>
    <t>Total Daily Volume</t>
  </si>
  <si>
    <t xml:space="preserve">  Volume</t>
  </si>
  <si>
    <t>Level of Service Analysis</t>
  </si>
  <si>
    <t>With Project</t>
  </si>
  <si>
    <t>Without Project</t>
  </si>
  <si>
    <t>Level of Service</t>
  </si>
  <si>
    <t>C</t>
  </si>
  <si>
    <t>E</t>
  </si>
  <si>
    <t>Percent Time-Spent-Following (%)</t>
  </si>
  <si>
    <t>Average Travel Speed (mph)</t>
  </si>
  <si>
    <t>Travel Time during the peak 15-minute period (veh-hr)</t>
  </si>
  <si>
    <t>-</t>
  </si>
  <si>
    <t>Note: LOS Criteria for Two-Lane Highways in Class I per Exhibit 20-2, Highway Capacity Manual 2000</t>
  </si>
  <si>
    <t>Total Collisions</t>
  </si>
  <si>
    <t>Injury Collisions</t>
  </si>
  <si>
    <t>Fatal Collisions</t>
  </si>
  <si>
    <t>per person-hour</t>
  </si>
  <si>
    <t>Assumptions:</t>
  </si>
  <si>
    <t>Benefits</t>
  </si>
  <si>
    <t>Costs</t>
  </si>
  <si>
    <t xml:space="preserve">Beneift/Cost Ratio = </t>
  </si>
  <si>
    <t>=</t>
  </si>
  <si>
    <t>Total Benefits</t>
  </si>
  <si>
    <t>Total Costs</t>
  </si>
  <si>
    <t>Road - 1 mile South of Camino Diablo on August 5, 2009.</t>
  </si>
  <si>
    <t xml:space="preserve">Recommended hourly values of travel time savings taken from the US DOT memorandum "Revised Departmental Guidance on Valuation of </t>
  </si>
  <si>
    <t>Travel Time in Economic Analysis (Revision 2 - corrected)".</t>
  </si>
  <si>
    <t>Decrease/Increase</t>
  </si>
  <si>
    <t>TIGER V Grant Application</t>
  </si>
  <si>
    <t>Discount rate assumed for public expenditures per Federal Office of Management and Budget (OMB) Ciculars A-4 and A-94.</t>
  </si>
  <si>
    <t>Recommended Hourly Value of Travel Time Savings (Table 4, Intercity Personal)</t>
  </si>
  <si>
    <t>Recommended Hourly Value of Travel Time Savings (Table 4, Intercity Business)</t>
  </si>
  <si>
    <t>Project Costs</t>
  </si>
  <si>
    <t>per sy</t>
  </si>
  <si>
    <t>sy</t>
  </si>
  <si>
    <t>every 10-years</t>
  </si>
  <si>
    <t>Total Project Costs</t>
  </si>
  <si>
    <t># Fatalities at Crash Site</t>
  </si>
  <si>
    <t>$ Value</t>
  </si>
  <si>
    <t>Accident Counts</t>
  </si>
  <si>
    <t>Fatalities * VSL</t>
  </si>
  <si>
    <r>
      <t>[Pr(AIS</t>
    </r>
    <r>
      <rPr>
        <b/>
        <vertAlign val="subscript"/>
        <sz val="11"/>
        <color theme="1"/>
        <rFont val="Calibri"/>
        <family val="2"/>
        <scheme val="minor"/>
      </rPr>
      <t>x</t>
    </r>
    <r>
      <rPr>
        <b/>
        <sz val="11"/>
        <color theme="1"/>
        <rFont val="Calibri"/>
        <family val="2"/>
        <scheme val="minor"/>
      </rPr>
      <t>)*Value(AIS</t>
    </r>
    <r>
      <rPr>
        <b/>
        <vertAlign val="subscript"/>
        <sz val="11"/>
        <color theme="1"/>
        <rFont val="Calibri"/>
        <family val="2"/>
        <scheme val="minor"/>
      </rPr>
      <t>x</t>
    </r>
    <r>
      <rPr>
        <b/>
        <sz val="11"/>
        <color theme="1"/>
        <rFont val="Calibri"/>
        <family val="2"/>
        <scheme val="minor"/>
      </rPr>
      <t>)]</t>
    </r>
  </si>
  <si>
    <t>AIS</t>
  </si>
  <si>
    <t>SUBTOTALS</t>
  </si>
  <si>
    <t xml:space="preserve">Average Annual Collision Benefits </t>
  </si>
  <si>
    <t>TOTAL VALUE OF FATALITIES &amp; INJURIES</t>
  </si>
  <si>
    <t>Year</t>
  </si>
  <si>
    <t>Existing Traffic Volumes: Vasco Road South of Camino Diablo</t>
  </si>
  <si>
    <t>% Increase</t>
  </si>
  <si>
    <t>Annual Increase (%)</t>
  </si>
  <si>
    <t>Existing Truck Traffic</t>
  </si>
  <si>
    <t>Percentage of Truck Traffic</t>
  </si>
  <si>
    <t>Number of Vehicles</t>
  </si>
  <si>
    <t>Source: Highway Capacity Manual 2000, Transportation Research Board</t>
  </si>
  <si>
    <t xml:space="preserve">Source: Truck Traffic Turning Movement Counts, </t>
  </si>
  <si>
    <t>Contra Costa County Public Works Department, May 12-15, 2008</t>
  </si>
  <si>
    <t>Travel Time Savings (veh-hr)</t>
  </si>
  <si>
    <t>Average travel time saved calculated for peak 15-minute period per Chapter 20 - Two lane Highways, Highway Capacity Manual 2000.  Assuming a base free flow speed of 65 miles per hour and using vehicular traffic counts taken by the Contra Costa County Public Works Department on Vasco Road - 1 mile South of Camino Diablo on August 5, 2009.</t>
  </si>
  <si>
    <t>Collisions</t>
  </si>
  <si>
    <t>Injuries</t>
  </si>
  <si>
    <t>Fatalities</t>
  </si>
  <si>
    <t>Period</t>
  </si>
  <si>
    <t>Number of Accidents</t>
  </si>
  <si>
    <t>Actual Accident Rate</t>
  </si>
  <si>
    <t>Statewide Average Rate*</t>
  </si>
  <si>
    <t>ADT</t>
  </si>
  <si>
    <t> </t>
  </si>
  <si>
    <t>Fatal (F)</t>
  </si>
  <si>
    <t>Injury (I)</t>
  </si>
  <si>
    <t>F + I</t>
  </si>
  <si>
    <t>All</t>
  </si>
  <si>
    <t>1996</t>
  </si>
  <si>
    <t>1997</t>
  </si>
  <si>
    <t>1998</t>
  </si>
  <si>
    <t>2006</t>
  </si>
  <si>
    <t>2007</t>
  </si>
  <si>
    <t>2008</t>
  </si>
  <si>
    <t>Fatals</t>
  </si>
  <si>
    <t>Property Damage Only</t>
  </si>
  <si>
    <t>1996-2008</t>
  </si>
  <si>
    <t>Vasco Road Safety Improvements - Phase 2</t>
  </si>
  <si>
    <t>Source: Statewide Integrated Traffic Records System (SWITRS), California Highway Patrol (CHP)</t>
  </si>
  <si>
    <t>Total           1996-2008</t>
  </si>
  <si>
    <t>Source: Collision Reports, California Highway Patrol (CHP)</t>
  </si>
  <si>
    <t>Collisions that could have been prevented by median barrier:</t>
  </si>
  <si>
    <t>Fatal Accidents</t>
  </si>
  <si>
    <t># Non-fatal Accidents</t>
  </si>
  <si>
    <t>Unknown if injured</t>
  </si>
  <si>
    <t>Source: Abbreviated Injury Scale (AIS) Calculation for Monetizing Accident Reduction, TIGER BCA Resource Guide</t>
  </si>
  <si>
    <r>
      <t>Pr(AIS</t>
    </r>
    <r>
      <rPr>
        <b/>
        <vertAlign val="subscript"/>
        <sz val="11"/>
        <color theme="1"/>
        <rFont val="Calibri"/>
        <family val="2"/>
        <scheme val="minor"/>
      </rPr>
      <t>x</t>
    </r>
    <r>
      <rPr>
        <b/>
        <sz val="11"/>
        <color theme="1"/>
        <rFont val="Calibri"/>
        <family val="2"/>
        <scheme val="minor"/>
      </rPr>
      <t>)</t>
    </r>
  </si>
  <si>
    <t>Source: Contra Costa County Public Works Department</t>
  </si>
  <si>
    <t>Estimated unit cost to overlay the roadway</t>
  </si>
  <si>
    <t>Additional cost to provide pavement maintenance on project widening:</t>
  </si>
  <si>
    <t>Annual operations and maintenance costs incurred along Vasco Road by construction of the project:</t>
  </si>
  <si>
    <t>years</t>
  </si>
  <si>
    <t>Useful life of pavement maintenance</t>
  </si>
  <si>
    <t>Project length</t>
  </si>
  <si>
    <t>Approximate project pavement widening</t>
  </si>
  <si>
    <t>feet</t>
  </si>
  <si>
    <t>Additional pavement area added by project</t>
  </si>
  <si>
    <t>Marginal pavement maintenance cost</t>
  </si>
  <si>
    <t xml:space="preserve">Assuming a base free flow speed of 65 miles per hour and using vehicular traffic counts taken by the Contra Costa County Public Works Department on Vasco </t>
  </si>
  <si>
    <t>See Appendix F: Collisions Benefits. Collisions Benefits calculated using AIS calculation.</t>
  </si>
  <si>
    <t>See Appendix G: Operations &amp; Maintenance Costs for calculations of marginal costs.</t>
  </si>
  <si>
    <t>Unit</t>
  </si>
  <si>
    <t>Value</t>
  </si>
  <si>
    <t>Vasco Road Safety Improvements Project - Phase 2</t>
  </si>
  <si>
    <t>See Appendix B: Truck Traffic. Percent truck traffic includes buses and is based on Truck Traffic Turning Movement Counts taken by the Contra Costa County</t>
  </si>
  <si>
    <t xml:space="preserve"> Public Works Department from May 12-15, 2008.</t>
  </si>
  <si>
    <t>See Appendix A: Traffic Volumes. Affected drivers assuming straight-line approximation (1.5% annual increase) of future traffic volumes from the Contra Costa</t>
  </si>
  <si>
    <t xml:space="preserve"> Transportation Authority Travel Demand Model, 2012.</t>
  </si>
  <si>
    <t>See Appendix C: Travel Time Savings. Average travel time saved calculated for peak 15-minute period per Chapter 20 - Two lane Highways, HCM 2000.</t>
  </si>
  <si>
    <r>
      <t>Affected drivers</t>
    </r>
    <r>
      <rPr>
        <vertAlign val="superscript"/>
        <sz val="11"/>
        <color theme="1"/>
        <rFont val="Tahoma"/>
        <family val="2"/>
      </rPr>
      <t>4</t>
    </r>
  </si>
  <si>
    <r>
      <t>Average Travel Time saved (veh-hrs)</t>
    </r>
    <r>
      <rPr>
        <vertAlign val="superscript"/>
        <sz val="11"/>
        <color theme="1"/>
        <rFont val="Tahoma"/>
        <family val="2"/>
      </rPr>
      <t>5</t>
    </r>
  </si>
  <si>
    <r>
      <t>Value of Travel Time Benefits (Surface modes)</t>
    </r>
    <r>
      <rPr>
        <vertAlign val="superscript"/>
        <sz val="11"/>
        <color theme="1"/>
        <rFont val="Tahoma"/>
        <family val="2"/>
      </rPr>
      <t>2,3</t>
    </r>
  </si>
  <si>
    <r>
      <t>Value of Travel Time Benefits (Truck Drivers)</t>
    </r>
    <r>
      <rPr>
        <vertAlign val="superscript"/>
        <sz val="11"/>
        <color theme="1"/>
        <rFont val="Tahoma"/>
        <family val="2"/>
      </rPr>
      <t>2,3</t>
    </r>
  </si>
  <si>
    <r>
      <t>Total Present Value of Travel Time Benefits - 3% Discount             (2013 dollars)</t>
    </r>
    <r>
      <rPr>
        <vertAlign val="superscript"/>
        <sz val="11"/>
        <color theme="1"/>
        <rFont val="Tahoma"/>
        <family val="2"/>
      </rPr>
      <t>1</t>
    </r>
  </si>
  <si>
    <r>
      <t>Total Present Value of Travel Time Benefits - 7% Discount             (2013 dollars)</t>
    </r>
    <r>
      <rPr>
        <vertAlign val="superscript"/>
        <sz val="11"/>
        <color theme="1"/>
        <rFont val="Tahoma"/>
        <family val="2"/>
      </rPr>
      <t>1</t>
    </r>
  </si>
  <si>
    <r>
      <t>Average Annual Injuries Prevented</t>
    </r>
    <r>
      <rPr>
        <vertAlign val="superscript"/>
        <sz val="11"/>
        <color theme="1"/>
        <rFont val="Tahoma"/>
        <family val="2"/>
      </rPr>
      <t>6</t>
    </r>
  </si>
  <si>
    <r>
      <t>Average Annual Fatalities Prevented</t>
    </r>
    <r>
      <rPr>
        <vertAlign val="superscript"/>
        <sz val="11"/>
        <color theme="1"/>
        <rFont val="Tahoma"/>
        <family val="2"/>
      </rPr>
      <t>6</t>
    </r>
  </si>
  <si>
    <r>
      <t>Value of Injury Benefits</t>
    </r>
    <r>
      <rPr>
        <vertAlign val="superscript"/>
        <sz val="11"/>
        <color theme="1"/>
        <rFont val="Tahoma"/>
        <family val="2"/>
      </rPr>
      <t>7</t>
    </r>
  </si>
  <si>
    <r>
      <t>Value of Fatality Benefits</t>
    </r>
    <r>
      <rPr>
        <vertAlign val="superscript"/>
        <sz val="11"/>
        <color theme="1"/>
        <rFont val="Tahoma"/>
        <family val="2"/>
      </rPr>
      <t>7</t>
    </r>
  </si>
  <si>
    <r>
      <t>Total Present Value of Collision Benefits - 3% Discount    (2013 dollars)</t>
    </r>
    <r>
      <rPr>
        <vertAlign val="superscript"/>
        <sz val="11"/>
        <color theme="1"/>
        <rFont val="Tahoma"/>
        <family val="2"/>
      </rPr>
      <t>1</t>
    </r>
  </si>
  <si>
    <r>
      <t>Total Present Value of Collision Benefits - 7% Discount    (2013 dollars)</t>
    </r>
    <r>
      <rPr>
        <vertAlign val="superscript"/>
        <sz val="11"/>
        <color theme="1"/>
        <rFont val="Tahoma"/>
        <family val="2"/>
      </rPr>
      <t>1</t>
    </r>
  </si>
  <si>
    <r>
      <t>Operations and Maintenance Costs</t>
    </r>
    <r>
      <rPr>
        <vertAlign val="superscript"/>
        <sz val="11"/>
        <color theme="1"/>
        <rFont val="Tahoma"/>
        <family val="2"/>
      </rPr>
      <t>8</t>
    </r>
  </si>
  <si>
    <r>
      <t>Total Present Value of Collision Costs - 3% Discount    (2013 dollars)</t>
    </r>
    <r>
      <rPr>
        <vertAlign val="superscript"/>
        <sz val="11"/>
        <color theme="1"/>
        <rFont val="Tahoma"/>
        <family val="2"/>
      </rPr>
      <t>1</t>
    </r>
  </si>
  <si>
    <r>
      <t>Total Present Value of Collision Costs - 7% Discount    (2013 dollars)</t>
    </r>
    <r>
      <rPr>
        <vertAlign val="superscript"/>
        <sz val="11"/>
        <color theme="1"/>
        <rFont val="Tahoma"/>
        <family val="2"/>
      </rPr>
      <t>1</t>
    </r>
  </si>
  <si>
    <t>Unsafe Turning Movement</t>
  </si>
  <si>
    <t>Collision Reports 2008-2012</t>
  </si>
  <si>
    <t>Other Equipment</t>
  </si>
  <si>
    <t>Auto R/W Violation</t>
  </si>
  <si>
    <t>Following Too Closely</t>
  </si>
  <si>
    <t>Other Than Driver or Ped</t>
  </si>
  <si>
    <t>Other Hazardous Movement</t>
  </si>
  <si>
    <t>Collision Reports 2004-2008</t>
  </si>
  <si>
    <t>2008-2012</t>
  </si>
  <si>
    <t>2004-2008</t>
  </si>
  <si>
    <t>See Appendix D: Collision History and Appendix E: 5-year Collision Data. Average annual collisions prevented based on analysis of 2004-2008 collisions data.</t>
  </si>
  <si>
    <t>(3% Discount)</t>
  </si>
  <si>
    <t>(7% Discount)</t>
  </si>
  <si>
    <t>ATTACHMENT 1: BENEFIT-COST ANALYSIS</t>
  </si>
  <si>
    <t>ATTACHMENT 2:  Average Daily Traffic (ADT)</t>
  </si>
  <si>
    <t>ATTACHMENT 3:  Truck Traffic</t>
  </si>
  <si>
    <t>ATTACHMENT 4:  Travel Time Savings</t>
  </si>
  <si>
    <t>ATTACHMENT 5:  Collision History</t>
  </si>
  <si>
    <t>ATTACHMENT 6:  5-Year Collision Data (2008-2012)</t>
  </si>
  <si>
    <t>ATTACHMENT 7:  Collision Benefits</t>
  </si>
  <si>
    <t>ATTACHMENT 8:  Operations and Maintenance Costs</t>
  </si>
  <si>
    <t>ATTACHMENT 9: BENEFIT-COST ANALYSIS (Prior 5-year safety benefits)</t>
  </si>
  <si>
    <t>ATTACHMENT 9:  Prior 5-Year Collision Data (2004-2008)</t>
  </si>
  <si>
    <t>ATTACHMENT 9:  Collision Benefits</t>
  </si>
  <si>
    <t>See Attachment 5: Collision History and Attachment 6: 5-year Collision Data. Average annual collisions prevented based on analysis of 2008-2012 collisions data.</t>
  </si>
  <si>
    <t>See Attachment 3: Truck Traffic. Percent truck traffic includes buses and is based on Truck Traffic Turning Movement Counts taken by the Contra Costa County</t>
  </si>
  <si>
    <t>See Attachment 2: Traffic Volumes. Affected drivers assuming straight-line approximation (1.5% annual increase) of future traffic volumes from the Contra Costa</t>
  </si>
  <si>
    <t>See Attachment 4: Travel Time Savings. Average travel time saved calculated for peak 15-minute period per Chapter 20 - Two lane Highways, HCM 2000.</t>
  </si>
  <si>
    <t>See Attachment 7: Collisions Benefits. Collisions Benefits calculated using AIS calculation.</t>
  </si>
  <si>
    <t>See Attachment 8: Operations &amp; Maintenance Costs for calculations of marginal costs.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</si>
</sst>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#,##0_)"/>
    <numFmt numFmtId="167" formatCode="m/d/yy;@"/>
    <numFmt numFmtId="168" formatCode="m\-yy_)"/>
    <numFmt numFmtId="169" formatCode="#,##0&quot;*&quot;"/>
    <numFmt numFmtId="170" formatCode="0&quot;:&quot;00_)"/>
    <numFmt numFmtId="171" formatCode="0.0"/>
    <numFmt numFmtId="172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indexed="32"/>
      <name val="Arial"/>
      <family val="2"/>
    </font>
    <font>
      <sz val="8"/>
      <color indexed="18"/>
      <name val="Arial"/>
      <family val="2"/>
    </font>
    <font>
      <sz val="8"/>
      <color indexed="16"/>
      <name val="Arial"/>
      <family val="2"/>
    </font>
    <font>
      <sz val="7"/>
      <color indexed="8"/>
      <name val="Arial"/>
      <family val="2"/>
    </font>
    <font>
      <b/>
      <sz val="7"/>
      <color indexed="8"/>
      <name val="Arial"/>
      <family val="2"/>
    </font>
    <font>
      <b/>
      <sz val="7"/>
      <color indexed="32"/>
      <name val="Arial"/>
      <family val="2"/>
    </font>
    <font>
      <b/>
      <sz val="7"/>
      <color indexed="18"/>
      <name val="Arial"/>
      <family val="2"/>
    </font>
    <font>
      <b/>
      <sz val="7"/>
      <color indexed="16"/>
      <name val="Arial"/>
      <family val="2"/>
    </font>
    <font>
      <sz val="10"/>
      <color indexed="8"/>
      <name val="MS Sans Serif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18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vertAlign val="superscript"/>
      <sz val="11"/>
      <color theme="1"/>
      <name val="Tahoma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3" fillId="0" borderId="0">
      <alignment vertical="center"/>
    </xf>
    <xf numFmtId="0" fontId="1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7" fillId="0" borderId="0"/>
  </cellStyleXfs>
  <cellXfs count="248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167" fontId="3" fillId="0" borderId="0" xfId="3" applyNumberFormat="1" applyFont="1" applyAlignment="1">
      <alignment horizontal="center" vertical="center"/>
    </xf>
    <xf numFmtId="168" fontId="3" fillId="0" borderId="0" xfId="3" applyNumberFormat="1" applyFont="1" applyAlignment="1">
      <alignment vertical="center"/>
    </xf>
    <xf numFmtId="166" fontId="3" fillId="0" borderId="0" xfId="3" applyNumberFormat="1" applyFont="1" applyAlignment="1">
      <alignment vertical="center"/>
    </xf>
    <xf numFmtId="169" fontId="4" fillId="0" borderId="0" xfId="3" applyNumberFormat="1" applyFont="1" applyAlignment="1">
      <alignment vertical="center"/>
    </xf>
    <xf numFmtId="166" fontId="5" fillId="0" borderId="0" xfId="3" applyNumberFormat="1" applyFont="1" applyAlignment="1">
      <alignment vertical="center"/>
    </xf>
    <xf numFmtId="170" fontId="6" fillId="0" borderId="0" xfId="3" applyNumberFormat="1" applyFont="1" applyAlignment="1">
      <alignment horizontal="right" vertical="center"/>
    </xf>
    <xf numFmtId="170" fontId="7" fillId="0" borderId="0" xfId="3" applyNumberFormat="1" applyFont="1" applyAlignment="1">
      <alignment horizontal="right" vertical="center"/>
    </xf>
    <xf numFmtId="166" fontId="3" fillId="0" borderId="0" xfId="3" applyNumberFormat="1" applyFont="1" applyAlignment="1">
      <alignment horizontal="right" vertical="center"/>
    </xf>
    <xf numFmtId="166" fontId="4" fillId="0" borderId="0" xfId="3" applyNumberFormat="1" applyFont="1" applyAlignment="1">
      <alignment vertical="center"/>
    </xf>
    <xf numFmtId="166" fontId="3" fillId="0" borderId="0" xfId="3" quotePrefix="1" applyNumberFormat="1" applyFont="1" applyAlignment="1">
      <alignment vertical="center"/>
    </xf>
    <xf numFmtId="167" fontId="8" fillId="0" borderId="0" xfId="3" applyNumberFormat="1" applyFont="1" applyAlignment="1">
      <alignment horizontal="center" vertical="center"/>
    </xf>
    <xf numFmtId="168" fontId="8" fillId="0" borderId="0" xfId="3" applyNumberFormat="1" applyFont="1" applyAlignment="1">
      <alignment vertical="center"/>
    </xf>
    <xf numFmtId="166" fontId="9" fillId="0" borderId="0" xfId="3" applyNumberFormat="1" applyFont="1" applyAlignment="1">
      <alignment horizontal="center" vertical="center"/>
    </xf>
    <xf numFmtId="166" fontId="9" fillId="0" borderId="0" xfId="3" applyFont="1" applyAlignment="1">
      <alignment vertical="center"/>
    </xf>
    <xf numFmtId="166" fontId="10" fillId="0" borderId="0" xfId="3" applyFont="1" applyAlignment="1">
      <alignment vertical="center"/>
    </xf>
    <xf numFmtId="166" fontId="9" fillId="0" borderId="0" xfId="3" applyFont="1" applyAlignment="1">
      <alignment horizontal="centerContinuous" vertical="center"/>
    </xf>
    <xf numFmtId="170" fontId="11" fillId="0" borderId="0" xfId="3" applyNumberFormat="1" applyFont="1" applyAlignment="1">
      <alignment horizontal="centerContinuous" vertical="center"/>
    </xf>
    <xf numFmtId="170" fontId="9" fillId="0" borderId="0" xfId="3" applyNumberFormat="1" applyFont="1" applyAlignment="1">
      <alignment vertical="center"/>
    </xf>
    <xf numFmtId="170" fontId="9" fillId="0" borderId="0" xfId="3" applyNumberFormat="1" applyFont="1" applyAlignment="1">
      <alignment horizontal="centerContinuous" vertical="center"/>
    </xf>
    <xf numFmtId="166" fontId="9" fillId="0" borderId="0" xfId="3" applyFont="1" applyAlignment="1">
      <alignment horizontal="center" vertical="center"/>
    </xf>
    <xf numFmtId="166" fontId="10" fillId="0" borderId="0" xfId="3" applyFont="1" applyAlignment="1">
      <alignment horizontal="center" vertical="center"/>
    </xf>
    <xf numFmtId="167" fontId="4" fillId="0" borderId="1" xfId="3" applyNumberFormat="1" applyFont="1" applyBorder="1" applyAlignment="1">
      <alignment horizontal="center" vertical="center"/>
    </xf>
    <xf numFmtId="168" fontId="9" fillId="0" borderId="1" xfId="3" applyNumberFormat="1" applyFont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66" fontId="9" fillId="0" borderId="1" xfId="3" applyFont="1" applyBorder="1" applyAlignment="1">
      <alignment horizontal="center" vertical="center"/>
    </xf>
    <xf numFmtId="166" fontId="10" fillId="0" borderId="1" xfId="3" applyFont="1" applyBorder="1" applyAlignment="1">
      <alignment horizontal="center" vertical="center"/>
    </xf>
    <xf numFmtId="170" fontId="11" fillId="0" borderId="1" xfId="3" applyNumberFormat="1" applyFont="1" applyBorder="1" applyAlignment="1">
      <alignment horizontal="center" vertical="center"/>
    </xf>
    <xf numFmtId="170" fontId="12" fillId="0" borderId="1" xfId="3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14" fillId="0" borderId="0" xfId="4" applyNumberFormat="1" applyFont="1" applyFill="1" applyBorder="1" applyAlignment="1" applyProtection="1">
      <alignment horizontal="left"/>
      <protection locked="0"/>
    </xf>
    <xf numFmtId="0" fontId="0" fillId="0" borderId="0" xfId="0" applyBorder="1"/>
    <xf numFmtId="0" fontId="15" fillId="0" borderId="0" xfId="4" applyNumberFormat="1" applyFont="1" applyFill="1" applyBorder="1" applyAlignment="1" applyProtection="1">
      <alignment horizontal="left"/>
      <protection locked="0"/>
    </xf>
    <xf numFmtId="0" fontId="0" fillId="0" borderId="10" xfId="0" applyBorder="1"/>
    <xf numFmtId="0" fontId="0" fillId="0" borderId="10" xfId="0" applyBorder="1" applyAlignment="1">
      <alignment horizontal="center"/>
    </xf>
    <xf numFmtId="9" fontId="0" fillId="0" borderId="10" xfId="2" applyFont="1" applyBorder="1"/>
    <xf numFmtId="0" fontId="0" fillId="0" borderId="0" xfId="0" applyAlignment="1">
      <alignment wrapText="1"/>
    </xf>
    <xf numFmtId="0" fontId="0" fillId="0" borderId="10" xfId="0" applyBorder="1" applyAlignment="1">
      <alignment horizontal="center" wrapText="1"/>
    </xf>
    <xf numFmtId="171" fontId="0" fillId="0" borderId="10" xfId="0" applyNumberFormat="1" applyBorder="1" applyAlignment="1">
      <alignment horizontal="center"/>
    </xf>
    <xf numFmtId="0" fontId="2" fillId="0" borderId="0" xfId="0" applyFont="1" applyAlignment="1"/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right"/>
    </xf>
    <xf numFmtId="2" fontId="0" fillId="0" borderId="10" xfId="0" applyNumberFormat="1" applyBorder="1"/>
    <xf numFmtId="44" fontId="0" fillId="0" borderId="10" xfId="1" applyFont="1" applyBorder="1" applyAlignment="1">
      <alignment horizontal="center"/>
    </xf>
    <xf numFmtId="2" fontId="2" fillId="0" borderId="10" xfId="0" applyNumberFormat="1" applyFont="1" applyBorder="1"/>
    <xf numFmtId="44" fontId="2" fillId="0" borderId="10" xfId="0" applyNumberFormat="1" applyFont="1" applyBorder="1"/>
    <xf numFmtId="2" fontId="0" fillId="0" borderId="10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6" fillId="0" borderId="0" xfId="0" applyFont="1"/>
    <xf numFmtId="167" fontId="0" fillId="0" borderId="0" xfId="3" applyNumberFormat="1" applyFont="1" applyAlignment="1">
      <alignment horizontal="center" vertical="center"/>
    </xf>
    <xf numFmtId="166" fontId="0" fillId="0" borderId="0" xfId="3" applyNumberFormat="1" applyFont="1" applyAlignment="1">
      <alignment horizontal="center" vertical="center"/>
    </xf>
    <xf numFmtId="170" fontId="0" fillId="0" borderId="0" xfId="3" applyNumberFormat="1" applyFont="1" applyAlignment="1">
      <alignment horizontal="center" vertical="center"/>
    </xf>
    <xf numFmtId="167" fontId="0" fillId="0" borderId="10" xfId="3" applyNumberFormat="1" applyFont="1" applyBorder="1" applyAlignment="1">
      <alignment horizontal="center" vertical="center"/>
    </xf>
    <xf numFmtId="166" fontId="0" fillId="0" borderId="10" xfId="3" applyNumberFormat="1" applyFont="1" applyBorder="1" applyAlignment="1">
      <alignment horizontal="center" vertical="center"/>
    </xf>
    <xf numFmtId="170" fontId="0" fillId="0" borderId="10" xfId="3" applyNumberFormat="1" applyFont="1" applyBorder="1" applyAlignment="1">
      <alignment horizontal="center" vertical="center"/>
    </xf>
    <xf numFmtId="3" fontId="0" fillId="0" borderId="10" xfId="3" applyNumberFormat="1" applyFont="1" applyBorder="1" applyAlignment="1">
      <alignment horizontal="center" vertical="center"/>
    </xf>
    <xf numFmtId="166" fontId="0" fillId="0" borderId="10" xfId="3" quotePrefix="1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167" fontId="0" fillId="3" borderId="10" xfId="3" applyNumberFormat="1" applyFont="1" applyFill="1" applyBorder="1" applyAlignment="1">
      <alignment horizontal="center" vertical="center"/>
    </xf>
    <xf numFmtId="166" fontId="0" fillId="3" borderId="10" xfId="3" applyNumberFormat="1" applyFont="1" applyFill="1" applyBorder="1" applyAlignment="1">
      <alignment horizontal="center" vertical="center" wrapText="1"/>
    </xf>
    <xf numFmtId="166" fontId="0" fillId="3" borderId="10" xfId="3" applyNumberFormat="1" applyFont="1" applyFill="1" applyBorder="1" applyAlignment="1">
      <alignment horizontal="center" vertical="center"/>
    </xf>
    <xf numFmtId="170" fontId="0" fillId="3" borderId="10" xfId="3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68" fontId="0" fillId="0" borderId="0" xfId="3" applyNumberFormat="1" applyFont="1" applyAlignment="1">
      <alignment horizontal="center" vertical="center"/>
    </xf>
    <xf numFmtId="168" fontId="0" fillId="0" borderId="10" xfId="3" applyNumberFormat="1" applyFont="1" applyBorder="1" applyAlignment="1">
      <alignment horizontal="center" vertical="center"/>
    </xf>
    <xf numFmtId="168" fontId="0" fillId="3" borderId="10" xfId="3" applyNumberFormat="1" applyFont="1" applyFill="1" applyBorder="1" applyAlignment="1">
      <alignment horizontal="center" vertical="center"/>
    </xf>
    <xf numFmtId="9" fontId="0" fillId="0" borderId="10" xfId="2" applyFont="1" applyBorder="1" applyAlignment="1">
      <alignment horizontal="center"/>
    </xf>
    <xf numFmtId="164" fontId="0" fillId="0" borderId="10" xfId="2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left"/>
    </xf>
    <xf numFmtId="0" fontId="2" fillId="0" borderId="1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10" xfId="0" applyNumberFormat="1" applyFill="1" applyBorder="1" applyAlignment="1">
      <alignment horizontal="center"/>
    </xf>
    <xf numFmtId="0" fontId="19" fillId="0" borderId="0" xfId="6" applyFont="1"/>
    <xf numFmtId="0" fontId="18" fillId="0" borderId="0" xfId="6"/>
    <xf numFmtId="17" fontId="18" fillId="0" borderId="0" xfId="6" applyNumberFormat="1"/>
    <xf numFmtId="1" fontId="18" fillId="0" borderId="0" xfId="6" applyNumberFormat="1"/>
    <xf numFmtId="0" fontId="19" fillId="0" borderId="0" xfId="6" applyFont="1" applyAlignment="1">
      <alignment horizontal="right"/>
    </xf>
    <xf numFmtId="1" fontId="19" fillId="0" borderId="0" xfId="6" applyNumberFormat="1" applyFont="1"/>
    <xf numFmtId="0" fontId="20" fillId="0" borderId="0" xfId="6" applyFont="1" applyBorder="1" applyAlignment="1">
      <alignment horizontal="center" wrapText="1"/>
    </xf>
    <xf numFmtId="0" fontId="19" fillId="0" borderId="0" xfId="6" applyFont="1" applyAlignment="1">
      <alignment horizontal="center"/>
    </xf>
    <xf numFmtId="17" fontId="21" fillId="0" borderId="0" xfId="6" applyNumberFormat="1" applyFont="1" applyAlignment="1">
      <alignment horizontal="center"/>
    </xf>
    <xf numFmtId="49" fontId="21" fillId="0" borderId="0" xfId="6" applyNumberFormat="1" applyFont="1" applyAlignment="1">
      <alignment horizontal="center"/>
    </xf>
    <xf numFmtId="1" fontId="21" fillId="0" borderId="0" xfId="6" applyNumberFormat="1" applyFont="1" applyAlignment="1">
      <alignment horizontal="center"/>
    </xf>
    <xf numFmtId="1" fontId="18" fillId="0" borderId="0" xfId="6" applyNumberFormat="1" applyAlignment="1">
      <alignment horizontal="center"/>
    </xf>
    <xf numFmtId="172" fontId="18" fillId="0" borderId="0" xfId="6" applyNumberFormat="1" applyAlignment="1">
      <alignment horizontal="center"/>
    </xf>
    <xf numFmtId="17" fontId="21" fillId="0" borderId="0" xfId="6" applyNumberFormat="1" applyFont="1"/>
    <xf numFmtId="0" fontId="19" fillId="0" borderId="0" xfId="6" applyFont="1" applyAlignment="1">
      <alignment horizontal="center" vertical="top" wrapText="1"/>
    </xf>
    <xf numFmtId="17" fontId="19" fillId="0" borderId="0" xfId="6" applyNumberFormat="1" applyFont="1" applyAlignment="1">
      <alignment vertical="top" wrapText="1"/>
    </xf>
    <xf numFmtId="0" fontId="18" fillId="0" borderId="0" xfId="6" applyAlignment="1">
      <alignment vertical="top" wrapText="1"/>
    </xf>
    <xf numFmtId="9" fontId="0" fillId="0" borderId="0" xfId="8" applyFont="1"/>
    <xf numFmtId="2" fontId="18" fillId="0" borderId="0" xfId="6" applyNumberFormat="1"/>
    <xf numFmtId="49" fontId="21" fillId="0" borderId="0" xfId="6" applyNumberFormat="1" applyFont="1" applyAlignment="1">
      <alignment horizontal="center" vertical="top" wrapText="1"/>
    </xf>
    <xf numFmtId="1" fontId="21" fillId="0" borderId="0" xfId="6" applyNumberFormat="1" applyFont="1" applyAlignment="1">
      <alignment horizontal="center" vertical="top" wrapText="1"/>
    </xf>
    <xf numFmtId="49" fontId="18" fillId="0" borderId="0" xfId="6" applyNumberFormat="1" applyAlignment="1">
      <alignment vertical="top" wrapText="1"/>
    </xf>
    <xf numFmtId="0" fontId="21" fillId="0" borderId="0" xfId="6" applyFont="1" applyAlignment="1">
      <alignment wrapText="1"/>
    </xf>
    <xf numFmtId="1" fontId="18" fillId="0" borderId="10" xfId="6" applyNumberFormat="1" applyBorder="1"/>
    <xf numFmtId="0" fontId="19" fillId="0" borderId="10" xfId="6" applyFont="1" applyBorder="1" applyAlignment="1">
      <alignment horizontal="center" vertical="center" wrapText="1"/>
    </xf>
    <xf numFmtId="17" fontId="21" fillId="0" borderId="10" xfId="6" applyNumberFormat="1" applyFont="1" applyBorder="1" applyAlignment="1">
      <alignment horizontal="center" vertical="center"/>
    </xf>
    <xf numFmtId="49" fontId="21" fillId="0" borderId="10" xfId="6" applyNumberFormat="1" applyFont="1" applyBorder="1" applyAlignment="1">
      <alignment horizontal="center" vertical="center"/>
    </xf>
    <xf numFmtId="1" fontId="21" fillId="0" borderId="10" xfId="6" applyNumberFormat="1" applyFont="1" applyBorder="1" applyAlignment="1">
      <alignment horizontal="center" vertical="center"/>
    </xf>
    <xf numFmtId="1" fontId="18" fillId="0" borderId="10" xfId="6" applyNumberFormat="1" applyBorder="1" applyAlignment="1">
      <alignment horizontal="center" vertical="center"/>
    </xf>
    <xf numFmtId="17" fontId="21" fillId="0" borderId="10" xfId="6" applyNumberFormat="1" applyFont="1" applyBorder="1" applyAlignment="1">
      <alignment vertical="center"/>
    </xf>
    <xf numFmtId="17" fontId="19" fillId="0" borderId="10" xfId="6" applyNumberFormat="1" applyFont="1" applyBorder="1" applyAlignment="1">
      <alignment horizontal="center" vertical="center" wrapText="1"/>
    </xf>
    <xf numFmtId="17" fontId="18" fillId="0" borderId="10" xfId="6" applyNumberForma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20" fillId="0" borderId="10" xfId="6" applyFont="1" applyBorder="1" applyAlignment="1">
      <alignment horizontal="center" vertical="center" wrapText="1"/>
    </xf>
    <xf numFmtId="17" fontId="19" fillId="0" borderId="10" xfId="6" applyNumberFormat="1" applyFont="1" applyBorder="1" applyAlignment="1">
      <alignment horizontal="center" vertical="center"/>
    </xf>
    <xf numFmtId="2" fontId="18" fillId="0" borderId="10" xfId="6" applyNumberFormat="1" applyBorder="1" applyAlignment="1">
      <alignment horizontal="center" vertical="center"/>
    </xf>
    <xf numFmtId="2" fontId="21" fillId="0" borderId="10" xfId="6" applyNumberFormat="1" applyFont="1" applyBorder="1" applyAlignment="1">
      <alignment horizontal="center" vertical="center"/>
    </xf>
    <xf numFmtId="2" fontId="21" fillId="0" borderId="10" xfId="6" applyNumberFormat="1" applyFont="1" applyBorder="1" applyAlignment="1">
      <alignment horizontal="center" vertical="center" wrapText="1"/>
    </xf>
    <xf numFmtId="172" fontId="21" fillId="0" borderId="10" xfId="7" applyNumberFormat="1" applyFont="1" applyBorder="1" applyAlignment="1">
      <alignment horizontal="center" vertical="center" wrapText="1"/>
    </xf>
    <xf numFmtId="172" fontId="0" fillId="0" borderId="10" xfId="7" applyNumberFormat="1" applyFont="1" applyBorder="1" applyAlignment="1">
      <alignment vertical="center"/>
    </xf>
    <xf numFmtId="172" fontId="18" fillId="0" borderId="10" xfId="6" applyNumberFormat="1" applyBorder="1" applyAlignment="1">
      <alignment horizontal="center" vertical="center"/>
    </xf>
    <xf numFmtId="172" fontId="0" fillId="0" borderId="10" xfId="7" applyNumberFormat="1" applyFont="1" applyBorder="1" applyAlignment="1">
      <alignment horizontal="center" vertical="center"/>
    </xf>
    <xf numFmtId="0" fontId="19" fillId="0" borderId="0" xfId="6" applyFont="1" applyBorder="1" applyAlignment="1">
      <alignment horizontal="center" vertical="center"/>
    </xf>
    <xf numFmtId="0" fontId="19" fillId="0" borderId="0" xfId="6" applyFont="1" applyBorder="1" applyAlignment="1">
      <alignment horizontal="center" vertical="center" wrapText="1"/>
    </xf>
    <xf numFmtId="0" fontId="20" fillId="0" borderId="0" xfId="6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4" fillId="0" borderId="10" xfId="4" applyNumberFormat="1" applyFont="1" applyFill="1" applyBorder="1" applyAlignment="1" applyProtection="1">
      <alignment horizontal="left"/>
      <protection locked="0"/>
    </xf>
    <xf numFmtId="0" fontId="0" fillId="0" borderId="10" xfId="0" applyFont="1" applyBorder="1"/>
    <xf numFmtId="0" fontId="15" fillId="0" borderId="10" xfId="4" applyNumberFormat="1" applyFont="1" applyFill="1" applyBorder="1" applyAlignment="1" applyProtection="1">
      <alignment horizontal="left"/>
      <protection locked="0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 vertical="center" wrapText="1"/>
    </xf>
    <xf numFmtId="0" fontId="2" fillId="0" borderId="16" xfId="0" applyFont="1" applyBorder="1" applyAlignment="1"/>
    <xf numFmtId="0" fontId="2" fillId="0" borderId="17" xfId="0" applyFont="1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0" xfId="0" applyFont="1"/>
    <xf numFmtId="0" fontId="0" fillId="0" borderId="0" xfId="0" applyFont="1" applyFill="1"/>
    <xf numFmtId="165" fontId="0" fillId="0" borderId="0" xfId="1" applyNumberFormat="1" applyFont="1" applyFill="1"/>
    <xf numFmtId="44" fontId="0" fillId="0" borderId="0" xfId="1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172" fontId="0" fillId="0" borderId="0" xfId="0" applyNumberFormat="1" applyFont="1"/>
    <xf numFmtId="164" fontId="0" fillId="3" borderId="10" xfId="2" applyNumberFormat="1" applyFont="1" applyFill="1" applyBorder="1" applyAlignment="1">
      <alignment horizontal="center"/>
    </xf>
    <xf numFmtId="0" fontId="0" fillId="3" borderId="10" xfId="0" applyFill="1" applyBorder="1" applyAlignment="1">
      <alignment horizontal="left"/>
    </xf>
    <xf numFmtId="10" fontId="0" fillId="3" borderId="10" xfId="2" applyNumberFormat="1" applyFont="1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0" fontId="19" fillId="3" borderId="10" xfId="6" applyFont="1" applyFill="1" applyBorder="1" applyAlignment="1">
      <alignment wrapText="1"/>
    </xf>
    <xf numFmtId="1" fontId="19" fillId="3" borderId="10" xfId="6" applyNumberFormat="1" applyFont="1" applyFill="1" applyBorder="1"/>
    <xf numFmtId="44" fontId="2" fillId="3" borderId="17" xfId="0" applyNumberFormat="1" applyFont="1" applyFill="1" applyBorder="1"/>
    <xf numFmtId="0" fontId="0" fillId="3" borderId="0" xfId="0" applyFont="1" applyFill="1"/>
    <xf numFmtId="0" fontId="0" fillId="3" borderId="0" xfId="0" applyFont="1" applyFill="1" applyAlignment="1">
      <alignment horizontal="right"/>
    </xf>
    <xf numFmtId="44" fontId="0" fillId="3" borderId="0" xfId="1" applyNumberFormat="1" applyFont="1" applyFill="1"/>
    <xf numFmtId="44" fontId="0" fillId="0" borderId="10" xfId="1" applyNumberFormat="1" applyFont="1" applyBorder="1"/>
    <xf numFmtId="1" fontId="0" fillId="0" borderId="10" xfId="1" applyNumberFormat="1" applyFont="1" applyBorder="1"/>
    <xf numFmtId="172" fontId="0" fillId="0" borderId="10" xfId="5" applyNumberFormat="1" applyFont="1" applyBorder="1" applyAlignment="1">
      <alignment horizontal="right"/>
    </xf>
    <xf numFmtId="44" fontId="0" fillId="3" borderId="10" xfId="1" applyFont="1" applyFill="1" applyBorder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10" xfId="0" applyFont="1" applyFill="1" applyBorder="1"/>
    <xf numFmtId="0" fontId="0" fillId="0" borderId="10" xfId="0" applyFont="1" applyBorder="1" applyAlignment="1">
      <alignment horizontal="left"/>
    </xf>
    <xf numFmtId="0" fontId="0" fillId="3" borderId="10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4" fillId="0" borderId="0" xfId="0" applyFont="1"/>
    <xf numFmtId="0" fontId="25" fillId="0" borderId="0" xfId="0" applyFont="1"/>
    <xf numFmtId="0" fontId="24" fillId="0" borderId="10" xfId="0" applyFont="1" applyBorder="1" applyAlignment="1">
      <alignment horizontal="center" wrapText="1"/>
    </xf>
    <xf numFmtId="0" fontId="0" fillId="0" borderId="0" xfId="0" applyFont="1" applyAlignment="1">
      <alignment horizontal="center" wrapText="1"/>
    </xf>
    <xf numFmtId="0" fontId="24" fillId="0" borderId="10" xfId="0" applyFont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44" fontId="24" fillId="0" borderId="10" xfId="1" applyNumberFormat="1" applyFont="1" applyBorder="1"/>
    <xf numFmtId="1" fontId="24" fillId="0" borderId="0" xfId="0" applyNumberFormat="1" applyFont="1"/>
    <xf numFmtId="0" fontId="24" fillId="0" borderId="0" xfId="0" applyFont="1" applyAlignment="1">
      <alignment horizontal="right"/>
    </xf>
    <xf numFmtId="44" fontId="24" fillId="0" borderId="0" xfId="0" applyNumberFormat="1" applyFont="1"/>
    <xf numFmtId="0" fontId="24" fillId="0" borderId="10" xfId="1" applyNumberFormat="1" applyFont="1" applyBorder="1" applyAlignment="1">
      <alignment horizontal="center"/>
    </xf>
    <xf numFmtId="165" fontId="24" fillId="0" borderId="10" xfId="0" applyNumberFormat="1" applyFont="1" applyBorder="1"/>
    <xf numFmtId="44" fontId="24" fillId="0" borderId="10" xfId="1" applyFont="1" applyBorder="1"/>
    <xf numFmtId="0" fontId="24" fillId="0" borderId="0" xfId="1" applyNumberFormat="1" applyFont="1"/>
    <xf numFmtId="0" fontId="24" fillId="0" borderId="0" xfId="0" applyFont="1" applyAlignment="1">
      <alignment horizontal="left"/>
    </xf>
    <xf numFmtId="44" fontId="24" fillId="2" borderId="11" xfId="0" applyNumberFormat="1" applyFont="1" applyFill="1" applyBorder="1"/>
    <xf numFmtId="1" fontId="24" fillId="0" borderId="10" xfId="0" applyNumberFormat="1" applyFont="1" applyBorder="1" applyAlignment="1">
      <alignment horizontal="center" wrapText="1"/>
    </xf>
    <xf numFmtId="44" fontId="24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44" fontId="24" fillId="0" borderId="10" xfId="1" applyFont="1" applyFill="1" applyBorder="1"/>
    <xf numFmtId="44" fontId="24" fillId="0" borderId="10" xfId="0" applyNumberFormat="1" applyFont="1" applyBorder="1"/>
    <xf numFmtId="165" fontId="24" fillId="0" borderId="0" xfId="1" applyNumberFormat="1" applyFont="1"/>
    <xf numFmtId="44" fontId="24" fillId="0" borderId="0" xfId="1" applyFont="1"/>
    <xf numFmtId="44" fontId="24" fillId="2" borderId="11" xfId="1" applyFont="1" applyFill="1" applyBorder="1"/>
    <xf numFmtId="44" fontId="24" fillId="0" borderId="0" xfId="0" applyNumberFormat="1" applyFont="1" applyFill="1" applyBorder="1"/>
    <xf numFmtId="0" fontId="25" fillId="0" borderId="0" xfId="0" applyFont="1" applyAlignment="1">
      <alignment horizontal="right" vertical="center"/>
    </xf>
    <xf numFmtId="0" fontId="24" fillId="0" borderId="3" xfId="0" applyFont="1" applyBorder="1" applyAlignment="1">
      <alignment horizontal="center"/>
    </xf>
    <xf numFmtId="0" fontId="24" fillId="0" borderId="0" xfId="0" applyFont="1" applyAlignment="1">
      <alignment horizontal="center" vertical="center"/>
    </xf>
    <xf numFmtId="44" fontId="24" fillId="0" borderId="3" xfId="0" applyNumberFormat="1" applyFont="1" applyBorder="1"/>
    <xf numFmtId="44" fontId="24" fillId="0" borderId="0" xfId="0" applyNumberFormat="1" applyFont="1" applyAlignment="1">
      <alignment horizontal="center" vertical="center"/>
    </xf>
    <xf numFmtId="0" fontId="24" fillId="0" borderId="2" xfId="0" applyFont="1" applyBorder="1" applyAlignment="1">
      <alignment horizontal="center"/>
    </xf>
    <xf numFmtId="44" fontId="24" fillId="0" borderId="2" xfId="0" applyNumberFormat="1" applyFont="1" applyBorder="1"/>
    <xf numFmtId="9" fontId="24" fillId="0" borderId="0" xfId="2" applyFont="1"/>
    <xf numFmtId="10" fontId="24" fillId="0" borderId="0" xfId="2" applyNumberFormat="1" applyFont="1"/>
    <xf numFmtId="0" fontId="24" fillId="0" borderId="0" xfId="0" applyFont="1" applyFill="1"/>
    <xf numFmtId="0" fontId="25" fillId="0" borderId="0" xfId="0" applyFont="1" applyFill="1"/>
    <xf numFmtId="0" fontId="25" fillId="0" borderId="0" xfId="0" applyFont="1" applyAlignment="1">
      <alignment horizontal="left"/>
    </xf>
    <xf numFmtId="44" fontId="24" fillId="0" borderId="0" xfId="1" applyNumberFormat="1" applyFont="1"/>
    <xf numFmtId="172" fontId="24" fillId="0" borderId="0" xfId="5" applyNumberFormat="1" applyFont="1" applyAlignment="1">
      <alignment horizontal="right"/>
    </xf>
    <xf numFmtId="44" fontId="24" fillId="0" borderId="0" xfId="1" applyFont="1" applyAlignment="1">
      <alignment horizontal="right"/>
    </xf>
    <xf numFmtId="0" fontId="19" fillId="0" borderId="0" xfId="9" applyFont="1"/>
    <xf numFmtId="0" fontId="27" fillId="0" borderId="0" xfId="9"/>
    <xf numFmtId="0" fontId="2" fillId="0" borderId="10" xfId="0" applyFont="1" applyFill="1" applyBorder="1" applyAlignment="1">
      <alignment horizontal="center"/>
    </xf>
    <xf numFmtId="9" fontId="2" fillId="0" borderId="10" xfId="0" applyNumberFormat="1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 vertical="center" wrapText="1"/>
    </xf>
    <xf numFmtId="0" fontId="0" fillId="4" borderId="10" xfId="0" applyFill="1" applyBorder="1"/>
    <xf numFmtId="165" fontId="24" fillId="0" borderId="10" xfId="0" applyNumberFormat="1" applyFont="1" applyFill="1" applyBorder="1"/>
    <xf numFmtId="2" fontId="0" fillId="0" borderId="0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2" fontId="24" fillId="2" borderId="13" xfId="1" applyNumberFormat="1" applyFont="1" applyFill="1" applyBorder="1" applyAlignment="1">
      <alignment horizontal="center" vertical="center"/>
    </xf>
    <xf numFmtId="2" fontId="0" fillId="2" borderId="14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3" borderId="15" xfId="0" applyFill="1" applyBorder="1" applyAlignment="1">
      <alignment horizontal="right"/>
    </xf>
    <xf numFmtId="0" fontId="0" fillId="3" borderId="16" xfId="0" applyFill="1" applyBorder="1" applyAlignment="1">
      <alignment horizontal="right"/>
    </xf>
    <xf numFmtId="0" fontId="0" fillId="3" borderId="17" xfId="0" applyFill="1" applyBorder="1" applyAlignment="1">
      <alignment horizontal="right"/>
    </xf>
    <xf numFmtId="0" fontId="0" fillId="3" borderId="10" xfId="0" applyFill="1" applyBorder="1" applyAlignment="1">
      <alignment horizontal="right"/>
    </xf>
    <xf numFmtId="166" fontId="0" fillId="3" borderId="15" xfId="3" applyFont="1" applyFill="1" applyBorder="1" applyAlignment="1">
      <alignment horizontal="center" vertical="center"/>
    </xf>
    <xf numFmtId="166" fontId="0" fillId="3" borderId="16" xfId="3" applyFont="1" applyFill="1" applyBorder="1" applyAlignment="1">
      <alignment horizontal="center" vertical="center"/>
    </xf>
    <xf numFmtId="166" fontId="0" fillId="3" borderId="17" xfId="3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9" fillId="0" borderId="15" xfId="6" applyFont="1" applyBorder="1" applyAlignment="1">
      <alignment horizontal="center" vertical="center" wrapText="1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8" fillId="0" borderId="16" xfId="6" applyBorder="1" applyAlignment="1">
      <alignment horizontal="center" vertical="center"/>
    </xf>
    <xf numFmtId="0" fontId="18" fillId="0" borderId="17" xfId="6" applyBorder="1" applyAlignment="1">
      <alignment horizontal="center" vertical="center"/>
    </xf>
    <xf numFmtId="0" fontId="2" fillId="0" borderId="12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18" xfId="0" applyFont="1" applyBorder="1" applyAlignment="1">
      <alignment horizontal="center" vertical="center" textRotation="90"/>
    </xf>
    <xf numFmtId="0" fontId="2" fillId="0" borderId="15" xfId="0" applyFont="1" applyBorder="1" applyAlignment="1">
      <alignment horizontal="right"/>
    </xf>
    <xf numFmtId="0" fontId="2" fillId="0" borderId="17" xfId="0" applyFont="1" applyBorder="1" applyAlignment="1">
      <alignment horizontal="right"/>
    </xf>
    <xf numFmtId="0" fontId="2" fillId="3" borderId="15" xfId="0" applyFont="1" applyFill="1" applyBorder="1" applyAlignment="1">
      <alignment horizontal="left"/>
    </xf>
    <xf numFmtId="0" fontId="2" fillId="3" borderId="16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left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</cellXfs>
  <cellStyles count="10">
    <cellStyle name="Comma" xfId="5" builtinId="3"/>
    <cellStyle name="Comma 2" xfId="7"/>
    <cellStyle name="Currency" xfId="1" builtinId="4"/>
    <cellStyle name="Normal" xfId="0" builtinId="0"/>
    <cellStyle name="Normal 2" xfId="4"/>
    <cellStyle name="Normal 3" xfId="6"/>
    <cellStyle name="Normal 3 2" xfId="9"/>
    <cellStyle name="Normal_Copy of ADT" xfId="3"/>
    <cellStyle name="Percent" xfId="2" builtinId="5"/>
    <cellStyle name="Percent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Daily Traffic (ADT)</a:t>
            </a:r>
          </a:p>
          <a:p>
            <a:pPr>
              <a:defRPr/>
            </a:pPr>
            <a:r>
              <a:rPr lang="en-US"/>
              <a:t>Vasco</a:t>
            </a:r>
            <a:r>
              <a:rPr lang="en-US" baseline="0"/>
              <a:t> Road south of Camino Diablo</a:t>
            </a:r>
            <a:endParaRPr lang="en-US"/>
          </a:p>
          <a:p>
            <a:pPr>
              <a:defRPr/>
            </a:pPr>
            <a:r>
              <a:rPr lang="en-US" sz="1200"/>
              <a:t>Source: Vehicular Traffic</a:t>
            </a:r>
            <a:r>
              <a:rPr lang="en-US" sz="1200" baseline="0"/>
              <a:t> Counts, Contra Costa County Public Works Department</a:t>
            </a:r>
            <a:endParaRPr lang="en-US" sz="120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'2 - Traffic Volumes'!$A$47:$A$64</c:f>
              <c:numCache>
                <c:formatCode>General</c:formatCode>
                <c:ptCount val="9"/>
                <c:pt idx="0">
                  <c:v>1996</c:v>
                </c:pt>
                <c:pt idx="1">
                  <c:v>1997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</c:numCache>
            </c:numRef>
          </c:xVal>
          <c:yVal>
            <c:numRef>
              <c:f>'2 - Traffic Volumes'!$F$47:$F$64</c:f>
              <c:numCache>
                <c:formatCode>#,##0"*"</c:formatCode>
                <c:ptCount val="9"/>
                <c:pt idx="0" formatCode="#,##0_)">
                  <c:v>16322</c:v>
                </c:pt>
                <c:pt idx="1">
                  <c:v>18083</c:v>
                </c:pt>
                <c:pt idx="2">
                  <c:v>21744</c:v>
                </c:pt>
                <c:pt idx="3" formatCode="#,##0_)">
                  <c:v>22118</c:v>
                </c:pt>
                <c:pt idx="4" formatCode="#,##0_)">
                  <c:v>22439</c:v>
                </c:pt>
                <c:pt idx="5">
                  <c:v>22435</c:v>
                </c:pt>
                <c:pt idx="6">
                  <c:v>21728</c:v>
                </c:pt>
                <c:pt idx="7">
                  <c:v>19888</c:v>
                </c:pt>
                <c:pt idx="8">
                  <c:v>19806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60544"/>
        <c:axId val="79461120"/>
      </c:scatterChart>
      <c:valAx>
        <c:axId val="7946054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9461120"/>
        <c:crosses val="autoZero"/>
        <c:crossBetween val="midCat"/>
      </c:valAx>
      <c:valAx>
        <c:axId val="7946112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Daily</a:t>
                </a:r>
                <a:r>
                  <a:rPr lang="en-US" baseline="0"/>
                  <a:t> Traffic</a:t>
                </a:r>
                <a:endParaRPr lang="en-US"/>
              </a:p>
            </c:rich>
          </c:tx>
          <c:overlay val="0"/>
        </c:title>
        <c:numFmt formatCode="#,##0_);\(#,##0\)" sourceLinked="0"/>
        <c:majorTickMark val="none"/>
        <c:minorTickMark val="none"/>
        <c:tickLblPos val="nextTo"/>
        <c:crossAx val="79460544"/>
        <c:crossesAt val="0"/>
        <c:crossBetween val="midCat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Traffic Volumes</a:t>
            </a:r>
          </a:p>
          <a:p>
            <a:pPr>
              <a:defRPr/>
            </a:pPr>
            <a:r>
              <a:rPr lang="en-US"/>
              <a:t>Vasco</a:t>
            </a:r>
            <a:r>
              <a:rPr lang="en-US" baseline="0"/>
              <a:t> Road south of Camino Diablo</a:t>
            </a:r>
            <a:endParaRPr lang="en-US"/>
          </a:p>
          <a:p>
            <a:pPr>
              <a:defRPr/>
            </a:pPr>
            <a:r>
              <a:rPr lang="en-US" sz="1200"/>
              <a:t>Source: Vehicular Traffic</a:t>
            </a:r>
            <a:r>
              <a:rPr lang="en-US" sz="1200" baseline="0"/>
              <a:t> Counts, Contra Costa County Public Works Department</a:t>
            </a:r>
            <a:endParaRPr lang="en-US" sz="12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28575">
              <a:noFill/>
            </a:ln>
          </c:spPr>
          <c:invertIfNegative val="0"/>
          <c:cat>
            <c:numRef>
              <c:f>'2 - Traffic Volumes'!$A$47:$A$64</c:f>
              <c:numCache>
                <c:formatCode>General</c:formatCode>
                <c:ptCount val="9"/>
                <c:pt idx="0">
                  <c:v>1996</c:v>
                </c:pt>
                <c:pt idx="1">
                  <c:v>1997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</c:numCache>
            </c:numRef>
          </c:cat>
          <c:val>
            <c:numRef>
              <c:f>'2 - Traffic Volumes'!$F$47:$F$64</c:f>
              <c:numCache>
                <c:formatCode>#,##0"*"</c:formatCode>
                <c:ptCount val="9"/>
                <c:pt idx="0" formatCode="#,##0_)">
                  <c:v>16322</c:v>
                </c:pt>
                <c:pt idx="1">
                  <c:v>18083</c:v>
                </c:pt>
                <c:pt idx="2">
                  <c:v>21744</c:v>
                </c:pt>
                <c:pt idx="3" formatCode="#,##0_)">
                  <c:v>22118</c:v>
                </c:pt>
                <c:pt idx="4" formatCode="#,##0_)">
                  <c:v>22439</c:v>
                </c:pt>
                <c:pt idx="5">
                  <c:v>22435</c:v>
                </c:pt>
                <c:pt idx="6">
                  <c:v>21728</c:v>
                </c:pt>
                <c:pt idx="7">
                  <c:v>19888</c:v>
                </c:pt>
                <c:pt idx="8">
                  <c:v>19806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06048"/>
        <c:axId val="40649280"/>
      </c:barChart>
      <c:catAx>
        <c:axId val="40706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0649280"/>
        <c:crosses val="autoZero"/>
        <c:auto val="1"/>
        <c:lblAlgn val="ctr"/>
        <c:lblOffset val="100"/>
        <c:noMultiLvlLbl val="0"/>
      </c:catAx>
      <c:valAx>
        <c:axId val="4064928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Daily</a:t>
                </a:r>
                <a:r>
                  <a:rPr lang="en-US" baseline="0"/>
                  <a:t> Traffic</a:t>
                </a:r>
                <a:endParaRPr lang="en-US"/>
              </a:p>
            </c:rich>
          </c:tx>
          <c:overlay val="0"/>
        </c:title>
        <c:numFmt formatCode="#,##0_);\(#,##0\)" sourceLinked="0"/>
        <c:majorTickMark val="none"/>
        <c:minorTickMark val="none"/>
        <c:tickLblPos val="nextTo"/>
        <c:crossAx val="40706048"/>
        <c:crossesAt val="0"/>
        <c:crossBetween val="between"/>
      </c:valAx>
    </c:plotArea>
    <c:plotVisOnly val="1"/>
    <c:dispBlanksAs val="gap"/>
    <c:showDLblsOverMax val="0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Vasco Road Collisions Breakdown 1996 to 2008</a:t>
            </a:r>
          </a:p>
        </c:rich>
      </c:tx>
      <c:layout>
        <c:manualLayout>
          <c:xMode val="edge"/>
          <c:yMode val="edge"/>
          <c:x val="0.20064757392051658"/>
          <c:y val="3.31632653061224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83386581469649"/>
          <c:y val="0.18112244897959184"/>
          <c:w val="0.59424920127795522"/>
          <c:h val="0.6428571428571429"/>
        </c:manualLayout>
      </c:layout>
      <c:lineChart>
        <c:grouping val="standard"/>
        <c:varyColors val="0"/>
        <c:ser>
          <c:idx val="0"/>
          <c:order val="0"/>
          <c:tx>
            <c:v>All Collision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'5 - Collision History'!$A$111:$A$123</c:f>
              <c:strCache>
                <c:ptCount val="1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</c:strCache>
            </c:strRef>
          </c:cat>
          <c:val>
            <c:numRef>
              <c:f>'5 - Collision History'!$B$111:$B$123</c:f>
              <c:numCache>
                <c:formatCode>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27</c:v>
                </c:pt>
                <c:pt idx="3">
                  <c:v>29</c:v>
                </c:pt>
                <c:pt idx="4">
                  <c:v>35</c:v>
                </c:pt>
                <c:pt idx="5">
                  <c:v>23</c:v>
                </c:pt>
                <c:pt idx="6">
                  <c:v>35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31</c:v>
                </c:pt>
                <c:pt idx="11">
                  <c:v>20</c:v>
                </c:pt>
                <c:pt idx="12">
                  <c:v>28</c:v>
                </c:pt>
              </c:numCache>
            </c:numRef>
          </c:val>
          <c:smooth val="0"/>
        </c:ser>
        <c:ser>
          <c:idx val="3"/>
          <c:order val="1"/>
          <c:tx>
            <c:v>Property Damage Only</c:v>
          </c:tx>
          <c:spPr>
            <a:ln w="12700">
              <a:solidFill>
                <a:srgbClr val="FFFFCC"/>
              </a:solidFill>
              <a:prstDash val="solid"/>
            </a:ln>
          </c:spPr>
          <c:marker>
            <c:symbol val="none"/>
          </c:marker>
          <c:cat>
            <c:strRef>
              <c:f>'5 - Collision History'!$A$111:$A$123</c:f>
              <c:strCache>
                <c:ptCount val="1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</c:strCache>
            </c:strRef>
          </c:cat>
          <c:val>
            <c:numRef>
              <c:f>'5 - Collision History'!$E$111:$E$123</c:f>
              <c:numCache>
                <c:formatCode>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16</c:v>
                </c:pt>
                <c:pt idx="3">
                  <c:v>20</c:v>
                </c:pt>
                <c:pt idx="4">
                  <c:v>25</c:v>
                </c:pt>
                <c:pt idx="5">
                  <c:v>11</c:v>
                </c:pt>
                <c:pt idx="6">
                  <c:v>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17</c:v>
                </c:pt>
                <c:pt idx="11">
                  <c:v>12</c:v>
                </c:pt>
                <c:pt idx="12">
                  <c:v>16</c:v>
                </c:pt>
              </c:numCache>
            </c:numRef>
          </c:val>
          <c:smooth val="0"/>
        </c:ser>
        <c:ser>
          <c:idx val="2"/>
          <c:order val="2"/>
          <c:tx>
            <c:v>Injuries</c:v>
          </c:tx>
          <c:spPr>
            <a:ln w="12700">
              <a:solidFill>
                <a:srgbClr val="9999FF"/>
              </a:solidFill>
              <a:prstDash val="solid"/>
            </a:ln>
          </c:spPr>
          <c:marker>
            <c:symbol val="none"/>
          </c:marker>
          <c:cat>
            <c:strRef>
              <c:f>'5 - Collision History'!$A$111:$A$123</c:f>
              <c:strCache>
                <c:ptCount val="1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</c:strCache>
            </c:strRef>
          </c:cat>
          <c:val>
            <c:numRef>
              <c:f>'5 - Collision History'!$D$111:$D$123</c:f>
              <c:numCache>
                <c:formatCode>0</c:formatCode>
                <c:ptCount val="13"/>
                <c:pt idx="0">
                  <c:v>14</c:v>
                </c:pt>
                <c:pt idx="1">
                  <c:v>12</c:v>
                </c:pt>
                <c:pt idx="2">
                  <c:v>11</c:v>
                </c:pt>
                <c:pt idx="3">
                  <c:v>9</c:v>
                </c:pt>
                <c:pt idx="4">
                  <c:v>10</c:v>
                </c:pt>
                <c:pt idx="5">
                  <c:v>12</c:v>
                </c:pt>
                <c:pt idx="6">
                  <c:v>11</c:v>
                </c:pt>
                <c:pt idx="7">
                  <c:v>13</c:v>
                </c:pt>
                <c:pt idx="8">
                  <c:v>13</c:v>
                </c:pt>
                <c:pt idx="9">
                  <c:v>12</c:v>
                </c:pt>
                <c:pt idx="10">
                  <c:v>11</c:v>
                </c:pt>
                <c:pt idx="11">
                  <c:v>8</c:v>
                </c:pt>
                <c:pt idx="12">
                  <c:v>12</c:v>
                </c:pt>
              </c:numCache>
            </c:numRef>
          </c:val>
          <c:smooth val="0"/>
        </c:ser>
        <c:ser>
          <c:idx val="1"/>
          <c:order val="3"/>
          <c:tx>
            <c:v>Fatal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'5 - Collision History'!$A$111:$A$123</c:f>
              <c:strCache>
                <c:ptCount val="1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</c:strCache>
            </c:strRef>
          </c:cat>
          <c:val>
            <c:numRef>
              <c:f>'5 - Collision History'!$C$111:$C$123</c:f>
              <c:numCache>
                <c:formatCode>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07072"/>
        <c:axId val="40651008"/>
      </c:lineChart>
      <c:catAx>
        <c:axId val="4070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3754051982440248"/>
              <c:y val="0.93367346938775508"/>
            </c:manualLayout>
          </c:layout>
          <c:overlay val="0"/>
          <c:spPr>
            <a:noFill/>
            <a:ln w="25400">
              <a:noFill/>
            </a:ln>
          </c:spPr>
        </c:title>
        <c:numFmt formatCode="@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6510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6510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Collisions</a:t>
                </a:r>
              </a:p>
            </c:rich>
          </c:tx>
          <c:layout>
            <c:manualLayout>
              <c:xMode val="edge"/>
              <c:yMode val="edge"/>
              <c:x val="2.5890104444908985E-2"/>
              <c:y val="0.3290816326530612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7070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884978979397485"/>
          <c:y val="0.39540816326530615"/>
          <c:w val="0.26837061296541476"/>
          <c:h val="0.21683673469387754"/>
        </c:manualLayout>
      </c:layout>
      <c:overlay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Vasco Road Collision Breakdown 1996 to 2008</a:t>
            </a:r>
          </a:p>
        </c:rich>
      </c:tx>
      <c:layout>
        <c:manualLayout>
          <c:xMode val="edge"/>
          <c:yMode val="edge"/>
          <c:x val="0.20873827973411113"/>
          <c:y val="3.31632653061224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17815972984888"/>
          <c:y val="0.17857142857142858"/>
          <c:w val="0.61812395410465037"/>
          <c:h val="0.64540816326530615"/>
        </c:manualLayout>
      </c:layout>
      <c:barChart>
        <c:barDir val="col"/>
        <c:grouping val="stacked"/>
        <c:varyColors val="0"/>
        <c:ser>
          <c:idx val="0"/>
          <c:order val="0"/>
          <c:tx>
            <c:v>Property Damage Only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'5 - Collision History'!$A$111:$A$123</c:f>
              <c:strCache>
                <c:ptCount val="1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</c:strCache>
            </c:strRef>
          </c:cat>
          <c:val>
            <c:numRef>
              <c:f>'5 - Collision History'!$E$111:$E$123</c:f>
              <c:numCache>
                <c:formatCode>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16</c:v>
                </c:pt>
                <c:pt idx="3">
                  <c:v>20</c:v>
                </c:pt>
                <c:pt idx="4">
                  <c:v>25</c:v>
                </c:pt>
                <c:pt idx="5">
                  <c:v>11</c:v>
                </c:pt>
                <c:pt idx="6">
                  <c:v>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17</c:v>
                </c:pt>
                <c:pt idx="11">
                  <c:v>12</c:v>
                </c:pt>
                <c:pt idx="12">
                  <c:v>16</c:v>
                </c:pt>
              </c:numCache>
            </c:numRef>
          </c:val>
        </c:ser>
        <c:ser>
          <c:idx val="1"/>
          <c:order val="1"/>
          <c:tx>
            <c:v>Injuries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'5 - Collision History'!$A$111:$A$123</c:f>
              <c:strCache>
                <c:ptCount val="1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</c:strCache>
            </c:strRef>
          </c:cat>
          <c:val>
            <c:numRef>
              <c:f>'5 - Collision History'!$D$111:$D$123</c:f>
              <c:numCache>
                <c:formatCode>0</c:formatCode>
                <c:ptCount val="13"/>
                <c:pt idx="0">
                  <c:v>14</c:v>
                </c:pt>
                <c:pt idx="1">
                  <c:v>12</c:v>
                </c:pt>
                <c:pt idx="2">
                  <c:v>11</c:v>
                </c:pt>
                <c:pt idx="3">
                  <c:v>9</c:v>
                </c:pt>
                <c:pt idx="4">
                  <c:v>10</c:v>
                </c:pt>
                <c:pt idx="5">
                  <c:v>12</c:v>
                </c:pt>
                <c:pt idx="6">
                  <c:v>11</c:v>
                </c:pt>
                <c:pt idx="7">
                  <c:v>13</c:v>
                </c:pt>
                <c:pt idx="8">
                  <c:v>13</c:v>
                </c:pt>
                <c:pt idx="9">
                  <c:v>12</c:v>
                </c:pt>
                <c:pt idx="10">
                  <c:v>11</c:v>
                </c:pt>
                <c:pt idx="11">
                  <c:v>8</c:v>
                </c:pt>
                <c:pt idx="12">
                  <c:v>12</c:v>
                </c:pt>
              </c:numCache>
            </c:numRef>
          </c:val>
        </c:ser>
        <c:ser>
          <c:idx val="2"/>
          <c:order val="2"/>
          <c:tx>
            <c:v>Fatals</c:v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'5 - Collision History'!$A$111:$A$123</c:f>
              <c:strCache>
                <c:ptCount val="1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</c:strCache>
            </c:strRef>
          </c:cat>
          <c:val>
            <c:numRef>
              <c:f>'5 - Collision History'!$C$111:$C$123</c:f>
              <c:numCache>
                <c:formatCode>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709632"/>
        <c:axId val="40652736"/>
      </c:barChart>
      <c:catAx>
        <c:axId val="40709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38835012872993419"/>
              <c:y val="0.93027210884353739"/>
            </c:manualLayout>
          </c:layout>
          <c:overlay val="0"/>
          <c:spPr>
            <a:noFill/>
            <a:ln w="25400">
              <a:noFill/>
            </a:ln>
          </c:spPr>
        </c:title>
        <c:numFmt formatCode="@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6527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6527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Collisions</a:t>
                </a:r>
              </a:p>
            </c:rich>
          </c:tx>
          <c:layout>
            <c:manualLayout>
              <c:xMode val="edge"/>
              <c:yMode val="edge"/>
              <c:x val="2.5890030836765436E-2"/>
              <c:y val="0.3290816326530612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7096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244833068362481"/>
          <c:y val="0.42091836734693877"/>
          <c:w val="0.24165341812400631"/>
          <c:h val="0.1632653061224489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Collision History</a:t>
            </a:r>
          </a:p>
          <a:p>
            <a:pPr>
              <a:defRPr/>
            </a:pPr>
            <a:r>
              <a:rPr lang="en-US" sz="1200"/>
              <a:t>Source:</a:t>
            </a:r>
            <a:r>
              <a:rPr lang="en-US" sz="1200" baseline="0"/>
              <a:t> Statewide Integrated Traffic Records System, California Highway Patrol</a:t>
            </a:r>
            <a:endParaRPr lang="en-US" sz="1200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'6 - 5yr Collision (Recent)'!$A$26</c:f>
              <c:strCache>
                <c:ptCount val="1"/>
                <c:pt idx="0">
                  <c:v>Injuries</c:v>
                </c:pt>
              </c:strCache>
            </c:strRef>
          </c:tx>
          <c:invertIfNegative val="0"/>
          <c:cat>
            <c:numRef>
              <c:f>'6 - 5yr Collision (Recent)'!$B$25:$F$25</c:f>
              <c:numCache>
                <c:formatCode>General</c:formatCod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numCache>
            </c:numRef>
          </c:cat>
          <c:val>
            <c:numRef>
              <c:f>'6 - 5yr Collision (Recent)'!$B$26:$F$26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18</c:v>
                </c:pt>
                <c:pt idx="3">
                  <c:v>9</c:v>
                </c:pt>
                <c:pt idx="4">
                  <c:v>4</c:v>
                </c:pt>
              </c:numCache>
            </c:numRef>
          </c:val>
        </c:ser>
        <c:ser>
          <c:idx val="1"/>
          <c:order val="1"/>
          <c:tx>
            <c:strRef>
              <c:f>'6 - 5yr Collision (Recent)'!$A$27</c:f>
              <c:strCache>
                <c:ptCount val="1"/>
                <c:pt idx="0">
                  <c:v>Fatalities</c:v>
                </c:pt>
              </c:strCache>
            </c:strRef>
          </c:tx>
          <c:invertIfNegative val="0"/>
          <c:cat>
            <c:numRef>
              <c:f>'6 - 5yr Collision (Recent)'!$B$25:$F$25</c:f>
              <c:numCache>
                <c:formatCode>General</c:formatCod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numCache>
            </c:numRef>
          </c:cat>
          <c:val>
            <c:numRef>
              <c:f>'6 - 5yr Collision (Recent)'!$B$27:$F$27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231872"/>
        <c:axId val="40655616"/>
      </c:barChart>
      <c:catAx>
        <c:axId val="41231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655616"/>
        <c:crosses val="autoZero"/>
        <c:auto val="1"/>
        <c:lblAlgn val="ctr"/>
        <c:lblOffset val="100"/>
        <c:noMultiLvlLbl val="0"/>
      </c:catAx>
      <c:valAx>
        <c:axId val="406556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Collisions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231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Primary Collision Factors</a:t>
            </a:r>
          </a:p>
          <a:p>
            <a:pPr>
              <a:defRPr/>
            </a:pPr>
            <a:r>
              <a:rPr lang="en-US" sz="1200"/>
              <a:t>2008-2012</a:t>
            </a:r>
          </a:p>
          <a:p>
            <a:pPr>
              <a:defRPr/>
            </a:pPr>
            <a:r>
              <a:rPr lang="en-US" sz="1200"/>
              <a:t>86 </a:t>
            </a:r>
            <a:r>
              <a:rPr lang="en-US" sz="1200" baseline="0"/>
              <a:t>Total Collisions</a:t>
            </a:r>
            <a:endParaRPr lang="en-US" sz="12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('6 - 5yr Collision (Recent)'!$A$8:$A$11,'6 - 5yr Collision (Recent)'!$A$13:$A$17)</c:f>
              <c:strCache>
                <c:ptCount val="9"/>
                <c:pt idx="0">
                  <c:v>Improper Turning</c:v>
                </c:pt>
                <c:pt idx="1">
                  <c:v>Wrong Side of Road</c:v>
                </c:pt>
                <c:pt idx="2">
                  <c:v>Unsafe Lane Change</c:v>
                </c:pt>
                <c:pt idx="3">
                  <c:v>Unsafe Turning Movement</c:v>
                </c:pt>
                <c:pt idx="4">
                  <c:v>Improper Passing</c:v>
                </c:pt>
                <c:pt idx="5">
                  <c:v>Driving Under Influence</c:v>
                </c:pt>
                <c:pt idx="6">
                  <c:v>Traffic Signals and Signs</c:v>
                </c:pt>
                <c:pt idx="7">
                  <c:v>Unknown</c:v>
                </c:pt>
                <c:pt idx="8">
                  <c:v>Other</c:v>
                </c:pt>
              </c:strCache>
            </c:strRef>
          </c:cat>
          <c:val>
            <c:numRef>
              <c:f>('6 - 5yr Collision (Recent)'!$H$8:$H$11,'6 - 5yr Collision (Recent)'!$H$13:$H$17)</c:f>
              <c:numCache>
                <c:formatCode>0%</c:formatCode>
                <c:ptCount val="9"/>
                <c:pt idx="0">
                  <c:v>2.3255813953488372E-2</c:v>
                </c:pt>
                <c:pt idx="1">
                  <c:v>4.6511627906976744E-2</c:v>
                </c:pt>
                <c:pt idx="2">
                  <c:v>1.1627906976744186E-2</c:v>
                </c:pt>
                <c:pt idx="3">
                  <c:v>0.19767441860465115</c:v>
                </c:pt>
                <c:pt idx="4">
                  <c:v>2.3255813953488372E-2</c:v>
                </c:pt>
                <c:pt idx="5">
                  <c:v>8.1395348837209308E-2</c:v>
                </c:pt>
                <c:pt idx="6">
                  <c:v>3.4883720930232558E-2</c:v>
                </c:pt>
                <c:pt idx="7">
                  <c:v>1.1627906976744186E-2</c:v>
                </c:pt>
                <c:pt idx="8">
                  <c:v>0.15116279069767441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1232896"/>
        <c:axId val="106112128"/>
      </c:barChart>
      <c:catAx>
        <c:axId val="41232896"/>
        <c:scaling>
          <c:orientation val="minMax"/>
        </c:scaling>
        <c:delete val="0"/>
        <c:axPos val="b"/>
        <c:majorTickMark val="out"/>
        <c:minorTickMark val="none"/>
        <c:tickLblPos val="nextTo"/>
        <c:crossAx val="106112128"/>
        <c:crosses val="autoZero"/>
        <c:auto val="1"/>
        <c:lblAlgn val="ctr"/>
        <c:lblOffset val="100"/>
        <c:noMultiLvlLbl val="0"/>
      </c:catAx>
      <c:valAx>
        <c:axId val="10611212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1232896"/>
        <c:crosses val="autoZero"/>
        <c:crossBetween val="between"/>
        <c:majorUnit val="5.000000000000001E-2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Primary Collision Factors</a:t>
            </a:r>
          </a:p>
          <a:p>
            <a:pPr>
              <a:defRPr/>
            </a:pPr>
            <a:r>
              <a:rPr lang="en-US" sz="1200"/>
              <a:t>2004-2008</a:t>
            </a:r>
          </a:p>
          <a:p>
            <a:pPr>
              <a:defRPr/>
            </a:pPr>
            <a:r>
              <a:rPr lang="en-US" sz="1200"/>
              <a:t>100 </a:t>
            </a:r>
            <a:r>
              <a:rPr lang="en-US" sz="1200" baseline="0"/>
              <a:t>Total Collisions</a:t>
            </a:r>
            <a:endParaRPr lang="en-US" sz="12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'9 - 5yr Collision (Previous)'!$A$8:$A$20</c:f>
              <c:strCache>
                <c:ptCount val="12"/>
                <c:pt idx="0">
                  <c:v>Improper Turning</c:v>
                </c:pt>
                <c:pt idx="1">
                  <c:v>Wrong Side of Road</c:v>
                </c:pt>
                <c:pt idx="2">
                  <c:v>Unsafe Lane Change</c:v>
                </c:pt>
                <c:pt idx="3">
                  <c:v>Other Equipment</c:v>
                </c:pt>
                <c:pt idx="4">
                  <c:v>Improper Passing</c:v>
                </c:pt>
                <c:pt idx="5">
                  <c:v>Auto R/W Violation</c:v>
                </c:pt>
                <c:pt idx="6">
                  <c:v>Following Too Closely</c:v>
                </c:pt>
                <c:pt idx="7">
                  <c:v>Driving Under Influence</c:v>
                </c:pt>
                <c:pt idx="8">
                  <c:v>Other Than Driver or Ped</c:v>
                </c:pt>
                <c:pt idx="9">
                  <c:v>Unknown</c:v>
                </c:pt>
                <c:pt idx="10">
                  <c:v>Traffic Signals and Signs</c:v>
                </c:pt>
                <c:pt idx="11">
                  <c:v>Other Hazardous Movement</c:v>
                </c:pt>
              </c:strCache>
            </c:strRef>
          </c:cat>
          <c:val>
            <c:numRef>
              <c:f>'9 - 5yr Collision (Previous)'!$H$8:$H$20</c:f>
              <c:numCache>
                <c:formatCode>0%</c:formatCode>
                <c:ptCount val="12"/>
                <c:pt idx="0">
                  <c:v>0.17</c:v>
                </c:pt>
                <c:pt idx="1">
                  <c:v>0.04</c:v>
                </c:pt>
                <c:pt idx="2">
                  <c:v>0.03</c:v>
                </c:pt>
                <c:pt idx="3">
                  <c:v>0.01</c:v>
                </c:pt>
                <c:pt idx="4">
                  <c:v>0.05</c:v>
                </c:pt>
                <c:pt idx="5">
                  <c:v>0.05</c:v>
                </c:pt>
                <c:pt idx="6">
                  <c:v>0.03</c:v>
                </c:pt>
                <c:pt idx="7">
                  <c:v>0.04</c:v>
                </c:pt>
                <c:pt idx="8">
                  <c:v>0.06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4060160"/>
        <c:axId val="106113856"/>
      </c:barChart>
      <c:catAx>
        <c:axId val="44060160"/>
        <c:scaling>
          <c:orientation val="minMax"/>
        </c:scaling>
        <c:delete val="0"/>
        <c:axPos val="b"/>
        <c:majorTickMark val="out"/>
        <c:minorTickMark val="none"/>
        <c:tickLblPos val="nextTo"/>
        <c:crossAx val="106113856"/>
        <c:crosses val="autoZero"/>
        <c:auto val="1"/>
        <c:lblAlgn val="ctr"/>
        <c:lblOffset val="100"/>
        <c:noMultiLvlLbl val="0"/>
      </c:catAx>
      <c:valAx>
        <c:axId val="10611385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4060160"/>
        <c:crosses val="autoZero"/>
        <c:crossBetween val="between"/>
        <c:majorUnit val="5.000000000000001E-2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Collision History</a:t>
            </a:r>
          </a:p>
          <a:p>
            <a:pPr>
              <a:defRPr/>
            </a:pPr>
            <a:r>
              <a:rPr lang="en-US" sz="1200"/>
              <a:t>Source:</a:t>
            </a:r>
            <a:r>
              <a:rPr lang="en-US" sz="1200" baseline="0"/>
              <a:t> Statewide Integrated Traffic Records System, California Highway Patrol</a:t>
            </a:r>
            <a:endParaRPr lang="en-US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'[1]Accident Summary'!$A$20</c:f>
              <c:strCache>
                <c:ptCount val="1"/>
                <c:pt idx="0">
                  <c:v>Total</c:v>
                </c:pt>
              </c:strCache>
            </c:strRef>
          </c:tx>
          <c:cat>
            <c:numRef>
              <c:f>'[1]Accident Summary'!$D$27:$H$27</c:f>
              <c:numCache>
                <c:formatCode>General</c:formatCode>
                <c:ptCount val="5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</c:numCache>
            </c:numRef>
          </c:cat>
          <c:val>
            <c:numRef>
              <c:f>'[1]Accident Summary'!$D$20:$H$20</c:f>
              <c:numCache>
                <c:formatCode>General</c:formatCode>
                <c:ptCount val="5"/>
                <c:pt idx="0">
                  <c:v>30</c:v>
                </c:pt>
                <c:pt idx="1">
                  <c:v>21</c:v>
                </c:pt>
                <c:pt idx="2">
                  <c:v>26</c:v>
                </c:pt>
                <c:pt idx="3">
                  <c:v>13</c:v>
                </c:pt>
                <c:pt idx="4">
                  <c:v>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'[1]Accident Summary'!$A$28</c:f>
              <c:strCache>
                <c:ptCount val="1"/>
                <c:pt idx="0">
                  <c:v>Injury</c:v>
                </c:pt>
              </c:strCache>
            </c:strRef>
          </c:tx>
          <c:cat>
            <c:numRef>
              <c:f>'[1]Accident Summary'!$D$27:$H$27</c:f>
              <c:numCache>
                <c:formatCode>General</c:formatCode>
                <c:ptCount val="5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</c:numCache>
            </c:numRef>
          </c:cat>
          <c:val>
            <c:numRef>
              <c:f>'[1]Accident Summary'!$D$28:$H$28</c:f>
              <c:numCache>
                <c:formatCode>General</c:formatCode>
                <c:ptCount val="5"/>
                <c:pt idx="0">
                  <c:v>20</c:v>
                </c:pt>
                <c:pt idx="1">
                  <c:v>13</c:v>
                </c:pt>
                <c:pt idx="2">
                  <c:v>17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'[1]Accident Summary'!$A$29</c:f>
              <c:strCache>
                <c:ptCount val="1"/>
                <c:pt idx="0">
                  <c:v>Fatal</c:v>
                </c:pt>
              </c:strCache>
            </c:strRef>
          </c:tx>
          <c:cat>
            <c:numRef>
              <c:f>'[1]Accident Summary'!$D$27:$H$27</c:f>
              <c:numCache>
                <c:formatCode>General</c:formatCode>
                <c:ptCount val="5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</c:numCache>
            </c:numRef>
          </c:cat>
          <c:val>
            <c:numRef>
              <c:f>'[1]Accident Summary'!$D$29:$H$29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885760"/>
        <c:axId val="106115584"/>
      </c:lineChart>
      <c:catAx>
        <c:axId val="5688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6115584"/>
        <c:crosses val="autoZero"/>
        <c:auto val="1"/>
        <c:lblAlgn val="ctr"/>
        <c:lblOffset val="100"/>
        <c:noMultiLvlLbl val="0"/>
      </c:catAx>
      <c:valAx>
        <c:axId val="1061155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Collisions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68857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63499</xdr:colOff>
      <xdr:row>20</xdr:row>
      <xdr:rowOff>95251</xdr:rowOff>
    </xdr:from>
    <xdr:to>
      <xdr:col>15</xdr:col>
      <xdr:colOff>120649</xdr:colOff>
      <xdr:row>38</xdr:row>
      <xdr:rowOff>95251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561975</xdr:colOff>
      <xdr:row>66</xdr:row>
      <xdr:rowOff>66675</xdr:rowOff>
    </xdr:from>
    <xdr:to>
      <xdr:col>21</xdr:col>
      <xdr:colOff>152401</xdr:colOff>
      <xdr:row>84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53975</xdr:colOff>
      <xdr:row>108</xdr:row>
      <xdr:rowOff>73024</xdr:rowOff>
    </xdr:from>
    <xdr:to>
      <xdr:col>17</xdr:col>
      <xdr:colOff>596900</xdr:colOff>
      <xdr:row>129</xdr:row>
      <xdr:rowOff>155574</xdr:rowOff>
    </xdr:to>
    <xdr:graphicFrame macro="">
      <xdr:nvGraphicFramePr>
        <xdr:cNvPr id="3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63500</xdr:colOff>
      <xdr:row>131</xdr:row>
      <xdr:rowOff>139698</xdr:rowOff>
    </xdr:from>
    <xdr:to>
      <xdr:col>17</xdr:col>
      <xdr:colOff>606425</xdr:colOff>
      <xdr:row>156</xdr:row>
      <xdr:rowOff>126998</xdr:rowOff>
    </xdr:to>
    <xdr:graphicFrame macro="">
      <xdr:nvGraphicFramePr>
        <xdr:cNvPr id="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23</xdr:row>
      <xdr:rowOff>95249</xdr:rowOff>
    </xdr:from>
    <xdr:to>
      <xdr:col>16</xdr:col>
      <xdr:colOff>485775</xdr:colOff>
      <xdr:row>38</xdr:row>
      <xdr:rowOff>133349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400050</xdr:colOff>
      <xdr:row>2</xdr:row>
      <xdr:rowOff>123824</xdr:rowOff>
    </xdr:from>
    <xdr:to>
      <xdr:col>16</xdr:col>
      <xdr:colOff>504825</xdr:colOff>
      <xdr:row>19</xdr:row>
      <xdr:rowOff>161924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13</xdr:col>
      <xdr:colOff>409575</xdr:colOff>
      <xdr:row>18</xdr:row>
      <xdr:rowOff>114300</xdr:rowOff>
    </xdr:from>
    <xdr:ext cx="1917384" cy="217560"/>
    <xdr:sp macro="" textlink="">
      <xdr:nvSpPr>
        <xdr:cNvPr id="4" name="TextBox 3"/>
        <xdr:cNvSpPr txBox="1"/>
      </xdr:nvSpPr>
      <xdr:spPr>
        <a:xfrm>
          <a:off x="9629775" y="3648075"/>
          <a:ext cx="1917384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Note: Unsafe Speed</a:t>
          </a:r>
          <a:r>
            <a:rPr lang="en-US" sz="800" baseline="0"/>
            <a:t> collisions not shown.</a:t>
          </a:r>
          <a:endParaRPr lang="en-US" sz="8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466725</xdr:colOff>
      <xdr:row>1</xdr:row>
      <xdr:rowOff>57150</xdr:rowOff>
    </xdr:from>
    <xdr:to>
      <xdr:col>17</xdr:col>
      <xdr:colOff>276225</xdr:colOff>
      <xdr:row>20</xdr:row>
      <xdr:rowOff>142875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336550</xdr:colOff>
      <xdr:row>24</xdr:row>
      <xdr:rowOff>25400</xdr:rowOff>
    </xdr:from>
    <xdr:to>
      <xdr:col>17</xdr:col>
      <xdr:colOff>374650</xdr:colOff>
      <xdr:row>38</xdr:row>
      <xdr:rowOff>377825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-DATA\grpdata\transeng\GRANTS\TIGER\TIGER%20IV\Data\TIGER%20IV%20Stats%20-%20Vasco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her Economic Data"/>
      <sheetName val="Ecnomic Data"/>
      <sheetName val="Traffic Data"/>
      <sheetName val="Accident Summary"/>
      <sheetName val="Accident Data"/>
      <sheetName val="HCM"/>
      <sheetName val="B-C Analysis 5-year"/>
      <sheetName val="B-C Analysis 20-year"/>
    </sheetNames>
    <sheetDataSet>
      <sheetData sheetId="0"/>
      <sheetData sheetId="1"/>
      <sheetData sheetId="2"/>
      <sheetData sheetId="3">
        <row r="20">
          <cell r="A20" t="str">
            <v>Total</v>
          </cell>
          <cell r="D20">
            <v>30</v>
          </cell>
          <cell r="E20">
            <v>21</v>
          </cell>
          <cell r="F20">
            <v>26</v>
          </cell>
          <cell r="G20">
            <v>13</v>
          </cell>
          <cell r="H20">
            <v>10</v>
          </cell>
        </row>
        <row r="27">
          <cell r="D27">
            <v>2004</v>
          </cell>
          <cell r="E27">
            <v>2005</v>
          </cell>
          <cell r="F27">
            <v>2006</v>
          </cell>
          <cell r="G27">
            <v>2007</v>
          </cell>
          <cell r="H27">
            <v>2008</v>
          </cell>
        </row>
        <row r="28">
          <cell r="A28" t="str">
            <v>Injury</v>
          </cell>
          <cell r="D28">
            <v>20</v>
          </cell>
          <cell r="E28">
            <v>13</v>
          </cell>
          <cell r="F28">
            <v>17</v>
          </cell>
          <cell r="G28">
            <v>5</v>
          </cell>
          <cell r="H28">
            <v>4</v>
          </cell>
        </row>
        <row r="29">
          <cell r="A29" t="str">
            <v>Fatal</v>
          </cell>
          <cell r="D29">
            <v>4</v>
          </cell>
          <cell r="E29">
            <v>1</v>
          </cell>
          <cell r="F29">
            <v>5</v>
          </cell>
          <cell r="G29">
            <v>0</v>
          </cell>
          <cell r="H29">
            <v>0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113"/>
  <sheetViews>
    <sheetView tabSelected="1" zoomScale="85" zoomScaleNormal="85" workbookViewId="0">
      <selection activeCell="E22" sqref="E22"/>
    </sheetView>
  </sheetViews>
  <sheetFormatPr defaultRowHeight="15" x14ac:dyDescent="0.25"/>
  <cols>
    <col min="1" max="1" width="3.140625" style="134" customWidth="1"/>
    <col min="2" max="2" width="13.28515625" style="134" bestFit="1" customWidth="1"/>
    <col min="3" max="3" width="11.5703125" style="134" bestFit="1" customWidth="1"/>
    <col min="4" max="4" width="23.5703125" style="134" bestFit="1" customWidth="1"/>
    <col min="5" max="5" width="20.140625" style="134" customWidth="1"/>
    <col min="6" max="6" width="20.7109375" style="134" customWidth="1"/>
    <col min="7" max="8" width="20" style="134" bestFit="1" customWidth="1"/>
    <col min="9" max="9" width="22.140625" style="134" bestFit="1" customWidth="1"/>
    <col min="10" max="10" width="22.28515625" style="134" customWidth="1"/>
    <col min="11" max="16384" width="9.140625" style="134"/>
  </cols>
  <sheetData>
    <row r="1" spans="2:10" ht="23.25" x14ac:dyDescent="0.35">
      <c r="B1" s="52" t="s">
        <v>197</v>
      </c>
      <c r="C1" s="160"/>
      <c r="D1" s="160"/>
      <c r="E1" s="160"/>
      <c r="F1" s="160"/>
      <c r="G1" s="160"/>
      <c r="H1" s="160"/>
      <c r="I1" s="160"/>
    </row>
    <row r="2" spans="2:10" x14ac:dyDescent="0.25">
      <c r="B2" s="32"/>
      <c r="C2" s="160"/>
      <c r="D2" s="160"/>
      <c r="E2" s="160"/>
      <c r="F2" s="160"/>
      <c r="G2" s="160"/>
      <c r="H2" s="160"/>
      <c r="I2" s="160"/>
    </row>
    <row r="3" spans="2:10" x14ac:dyDescent="0.25">
      <c r="B3" s="161" t="s">
        <v>163</v>
      </c>
      <c r="C3" s="160"/>
      <c r="D3" s="160"/>
      <c r="E3" s="160"/>
      <c r="F3" s="160"/>
      <c r="G3" s="160"/>
      <c r="H3" s="160"/>
      <c r="I3" s="160"/>
    </row>
    <row r="4" spans="2:10" x14ac:dyDescent="0.25">
      <c r="B4" s="161" t="s">
        <v>85</v>
      </c>
      <c r="C4" s="160"/>
      <c r="D4" s="160"/>
      <c r="E4" s="160"/>
      <c r="F4" s="160"/>
      <c r="G4" s="160"/>
      <c r="H4" s="160"/>
      <c r="I4" s="160"/>
    </row>
    <row r="5" spans="2:10" x14ac:dyDescent="0.25">
      <c r="B5" s="160"/>
      <c r="C5" s="160"/>
      <c r="D5" s="160"/>
      <c r="E5" s="160"/>
      <c r="F5" s="160"/>
      <c r="G5" s="160"/>
      <c r="H5" s="160"/>
      <c r="I5" s="160"/>
    </row>
    <row r="6" spans="2:10" ht="15.75" thickBot="1" x14ac:dyDescent="0.3">
      <c r="B6" s="181"/>
      <c r="C6" s="160"/>
      <c r="D6" s="167"/>
      <c r="E6" s="160"/>
      <c r="F6" s="160"/>
      <c r="G6" s="160"/>
      <c r="H6" s="160"/>
      <c r="I6" s="169"/>
    </row>
    <row r="7" spans="2:10" x14ac:dyDescent="0.25">
      <c r="C7" s="185" t="s">
        <v>77</v>
      </c>
      <c r="D7" s="186" t="s">
        <v>79</v>
      </c>
      <c r="E7" s="187" t="s">
        <v>78</v>
      </c>
      <c r="F7" s="188">
        <f>I62</f>
        <v>62225734.907904677</v>
      </c>
      <c r="G7" s="189" t="s">
        <v>78</v>
      </c>
      <c r="H7" s="209">
        <f>F7/F8</f>
        <v>3.9699183254317725</v>
      </c>
      <c r="I7" s="208" t="s">
        <v>195</v>
      </c>
    </row>
    <row r="8" spans="2:10" ht="15.75" thickBot="1" x14ac:dyDescent="0.3">
      <c r="B8" s="42"/>
      <c r="C8" s="42"/>
      <c r="D8" s="190" t="s">
        <v>80</v>
      </c>
      <c r="E8" s="187"/>
      <c r="F8" s="191">
        <f>G89</f>
        <v>15674311.108437462</v>
      </c>
      <c r="G8" s="67"/>
      <c r="H8" s="210"/>
    </row>
    <row r="9" spans="2:10" ht="15.75" thickBot="1" x14ac:dyDescent="0.3">
      <c r="B9" s="160"/>
      <c r="C9" s="160"/>
      <c r="D9" s="160"/>
      <c r="E9" s="160"/>
      <c r="F9" s="160"/>
      <c r="G9" s="160"/>
      <c r="H9" s="160"/>
      <c r="I9" s="160"/>
    </row>
    <row r="10" spans="2:10" x14ac:dyDescent="0.25">
      <c r="B10" s="160"/>
      <c r="C10" s="160"/>
      <c r="D10" s="160"/>
      <c r="E10" s="160"/>
      <c r="F10" s="188">
        <f>+J62</f>
        <v>44283283.462452233</v>
      </c>
      <c r="G10" s="189" t="s">
        <v>78</v>
      </c>
      <c r="H10" s="209">
        <f>F10/F11</f>
        <v>3.0530390117818778</v>
      </c>
      <c r="I10" s="208" t="s">
        <v>196</v>
      </c>
    </row>
    <row r="11" spans="2:10" ht="15.75" thickBot="1" x14ac:dyDescent="0.3">
      <c r="F11" s="169">
        <f>H89</f>
        <v>14504656.930867944</v>
      </c>
      <c r="H11" s="210"/>
    </row>
    <row r="12" spans="2:10" x14ac:dyDescent="0.25">
      <c r="F12" s="169"/>
      <c r="H12" s="207"/>
    </row>
    <row r="13" spans="2:10" x14ac:dyDescent="0.25">
      <c r="B13" s="161" t="s">
        <v>75</v>
      </c>
      <c r="C13" s="160"/>
      <c r="D13" s="160"/>
      <c r="E13" s="160"/>
      <c r="F13" s="160"/>
      <c r="G13" s="160"/>
      <c r="H13" s="160"/>
      <c r="I13" s="160"/>
    </row>
    <row r="14" spans="2:10" s="163" customFormat="1" ht="59.25" x14ac:dyDescent="0.25">
      <c r="B14" s="162" t="s">
        <v>41</v>
      </c>
      <c r="C14" s="162" t="s">
        <v>42</v>
      </c>
      <c r="D14" s="162" t="s">
        <v>169</v>
      </c>
      <c r="E14" s="162" t="s">
        <v>170</v>
      </c>
      <c r="F14" s="162" t="s">
        <v>171</v>
      </c>
      <c r="G14" s="162" t="s">
        <v>172</v>
      </c>
      <c r="H14" s="162" t="s">
        <v>45</v>
      </c>
      <c r="I14" s="162" t="s">
        <v>173</v>
      </c>
      <c r="J14" s="162" t="s">
        <v>174</v>
      </c>
    </row>
    <row r="15" spans="2:10" x14ac:dyDescent="0.25">
      <c r="B15" s="164">
        <v>2014</v>
      </c>
      <c r="C15" s="164">
        <v>0</v>
      </c>
      <c r="D15" s="165">
        <v>23740</v>
      </c>
      <c r="E15" s="164" t="s">
        <v>68</v>
      </c>
      <c r="F15" s="166">
        <v>0</v>
      </c>
      <c r="G15" s="166">
        <v>0</v>
      </c>
      <c r="H15" s="166">
        <v>0</v>
      </c>
      <c r="I15" s="166">
        <v>0</v>
      </c>
      <c r="J15" s="166">
        <v>0</v>
      </c>
    </row>
    <row r="16" spans="2:10" x14ac:dyDescent="0.25">
      <c r="B16" s="164">
        <v>2015</v>
      </c>
      <c r="C16" s="164">
        <v>1</v>
      </c>
      <c r="D16" s="165">
        <f>+D15*1.015</f>
        <v>24096.1</v>
      </c>
      <c r="E16" s="164">
        <v>0.3</v>
      </c>
      <c r="F16" s="166">
        <f t="shared" ref="F16:F35" si="0">D16*E16*$H$99*(1-$E$96)</f>
        <v>115704.92698866691</v>
      </c>
      <c r="G16" s="166">
        <f t="shared" ref="G16:G35" si="1">D16*E16*$H$100*$E$96</f>
        <v>6878.9598119477505</v>
      </c>
      <c r="H16" s="166">
        <f t="shared" ref="H16:H20" si="2">SUM(F16:G16)</f>
        <v>122583.88680061465</v>
      </c>
      <c r="I16" s="166">
        <f t="shared" ref="I16:I35" si="3">H16/((1+$E$92)^C16)</f>
        <v>119013.48233069383</v>
      </c>
      <c r="J16" s="166">
        <f t="shared" ref="J16:J35" si="4">H16/((1+$E$93)^C16)</f>
        <v>114564.38018749031</v>
      </c>
    </row>
    <row r="17" spans="2:10" x14ac:dyDescent="0.25">
      <c r="B17" s="164">
        <v>2016</v>
      </c>
      <c r="C17" s="164">
        <v>2</v>
      </c>
      <c r="D17" s="165">
        <f>+D16*1.015</f>
        <v>24457.541499999996</v>
      </c>
      <c r="E17" s="164">
        <v>0.3</v>
      </c>
      <c r="F17" s="166">
        <f t="shared" si="0"/>
        <v>117440.50089349691</v>
      </c>
      <c r="G17" s="166">
        <f t="shared" si="1"/>
        <v>6982.1442091269664</v>
      </c>
      <c r="H17" s="166">
        <f t="shared" si="2"/>
        <v>124422.64510262388</v>
      </c>
      <c r="I17" s="166">
        <f t="shared" si="3"/>
        <v>117280.27627733423</v>
      </c>
      <c r="J17" s="166">
        <f t="shared" si="4"/>
        <v>108675.55690682495</v>
      </c>
    </row>
    <row r="18" spans="2:10" x14ac:dyDescent="0.25">
      <c r="B18" s="164">
        <v>2017</v>
      </c>
      <c r="C18" s="164">
        <v>3</v>
      </c>
      <c r="D18" s="165">
        <f>+D17*1.015</f>
        <v>24824.404622499995</v>
      </c>
      <c r="E18" s="164">
        <v>0.3</v>
      </c>
      <c r="F18" s="166">
        <f t="shared" si="0"/>
        <v>119202.10840689935</v>
      </c>
      <c r="G18" s="166">
        <f t="shared" si="1"/>
        <v>7086.8763722638714</v>
      </c>
      <c r="H18" s="166">
        <f t="shared" si="2"/>
        <v>126288.98477916322</v>
      </c>
      <c r="I18" s="166">
        <f t="shared" si="3"/>
        <v>115572.31108882934</v>
      </c>
      <c r="J18" s="166">
        <f t="shared" si="4"/>
        <v>103089.43014993206</v>
      </c>
    </row>
    <row r="19" spans="2:10" x14ac:dyDescent="0.25">
      <c r="B19" s="164">
        <v>2018</v>
      </c>
      <c r="C19" s="164">
        <v>4</v>
      </c>
      <c r="D19" s="165">
        <f>+D18*1.015</f>
        <v>25196.770691837493</v>
      </c>
      <c r="E19" s="164">
        <v>0.3</v>
      </c>
      <c r="F19" s="166">
        <f t="shared" si="0"/>
        <v>120990.14003300283</v>
      </c>
      <c r="G19" s="166">
        <f t="shared" si="1"/>
        <v>7193.1795178478287</v>
      </c>
      <c r="H19" s="166">
        <f t="shared" si="2"/>
        <v>128183.31955085066</v>
      </c>
      <c r="I19" s="166">
        <f t="shared" si="3"/>
        <v>113889.21917976873</v>
      </c>
      <c r="J19" s="166">
        <f t="shared" si="4"/>
        <v>97790.440749701898</v>
      </c>
    </row>
    <row r="20" spans="2:10" x14ac:dyDescent="0.25">
      <c r="B20" s="164">
        <v>2019</v>
      </c>
      <c r="C20" s="164">
        <v>5</v>
      </c>
      <c r="D20" s="165">
        <f>+D19*1.015</f>
        <v>25574.722252215055</v>
      </c>
      <c r="E20" s="164">
        <v>0.3</v>
      </c>
      <c r="F20" s="166">
        <f t="shared" si="0"/>
        <v>122804.99213349787</v>
      </c>
      <c r="G20" s="166">
        <f t="shared" si="1"/>
        <v>7301.0772106155455</v>
      </c>
      <c r="H20" s="166">
        <f t="shared" si="2"/>
        <v>130106.06934411342</v>
      </c>
      <c r="I20" s="166">
        <f t="shared" si="3"/>
        <v>112230.63831792744</v>
      </c>
      <c r="J20" s="166">
        <f t="shared" si="4"/>
        <v>92763.829309296649</v>
      </c>
    </row>
    <row r="21" spans="2:10" x14ac:dyDescent="0.25">
      <c r="B21" s="164">
        <v>2020</v>
      </c>
      <c r="C21" s="164">
        <v>6</v>
      </c>
      <c r="D21" s="165">
        <f t="shared" ref="D21:D35" si="5">+D20*1.015</f>
        <v>25958.34308599828</v>
      </c>
      <c r="E21" s="164">
        <v>0.3</v>
      </c>
      <c r="F21" s="166">
        <f t="shared" si="0"/>
        <v>124647.06701550033</v>
      </c>
      <c r="G21" s="166">
        <f t="shared" si="1"/>
        <v>7410.5933687747784</v>
      </c>
      <c r="H21" s="166">
        <f t="shared" ref="H21:H23" si="6">SUM(F21:G21)</f>
        <v>132057.66038427511</v>
      </c>
      <c r="I21" s="166">
        <f t="shared" si="3"/>
        <v>110596.21154630711</v>
      </c>
      <c r="J21" s="166">
        <f t="shared" si="4"/>
        <v>87995.595092463642</v>
      </c>
    </row>
    <row r="22" spans="2:10" x14ac:dyDescent="0.25">
      <c r="B22" s="164">
        <v>2021</v>
      </c>
      <c r="C22" s="164">
        <v>7</v>
      </c>
      <c r="D22" s="165">
        <f t="shared" si="5"/>
        <v>26347.718232288251</v>
      </c>
      <c r="E22" s="164">
        <v>0.3</v>
      </c>
      <c r="F22" s="166">
        <f t="shared" si="0"/>
        <v>126516.77302073281</v>
      </c>
      <c r="G22" s="166">
        <f t="shared" si="1"/>
        <v>7521.7522693064002</v>
      </c>
      <c r="H22" s="166">
        <f t="shared" si="6"/>
        <v>134038.52529003922</v>
      </c>
      <c r="I22" s="166">
        <f t="shared" si="3"/>
        <v>108985.58710631233</v>
      </c>
      <c r="J22" s="166">
        <f t="shared" si="4"/>
        <v>83472.457026963166</v>
      </c>
    </row>
    <row r="23" spans="2:10" x14ac:dyDescent="0.25">
      <c r="B23" s="164">
        <v>2022</v>
      </c>
      <c r="C23" s="164">
        <v>8</v>
      </c>
      <c r="D23" s="165">
        <f t="shared" si="5"/>
        <v>26742.934005772571</v>
      </c>
      <c r="E23" s="164">
        <v>0.3</v>
      </c>
      <c r="F23" s="166">
        <f t="shared" si="0"/>
        <v>128414.52461604381</v>
      </c>
      <c r="G23" s="166">
        <f t="shared" si="1"/>
        <v>7634.5785533459948</v>
      </c>
      <c r="H23" s="166">
        <f t="shared" si="6"/>
        <v>136049.1031693898</v>
      </c>
      <c r="I23" s="166">
        <f t="shared" si="3"/>
        <v>107398.41836204565</v>
      </c>
      <c r="J23" s="166">
        <f t="shared" si="4"/>
        <v>79181.816712493091</v>
      </c>
    </row>
    <row r="24" spans="2:10" x14ac:dyDescent="0.25">
      <c r="B24" s="164">
        <v>2023</v>
      </c>
      <c r="C24" s="164">
        <v>9</v>
      </c>
      <c r="D24" s="165">
        <f t="shared" si="5"/>
        <v>27144.078015859159</v>
      </c>
      <c r="E24" s="164">
        <v>0.3</v>
      </c>
      <c r="F24" s="166">
        <f t="shared" si="0"/>
        <v>130340.74248528446</v>
      </c>
      <c r="G24" s="166">
        <f t="shared" si="1"/>
        <v>7749.0972316461839</v>
      </c>
      <c r="H24" s="166">
        <f t="shared" ref="H24:H35" si="7">SUM(F24:G24)</f>
        <v>138089.83971693064</v>
      </c>
      <c r="I24" s="166">
        <f t="shared" si="3"/>
        <v>105834.36372570517</v>
      </c>
      <c r="J24" s="166">
        <f t="shared" si="4"/>
        <v>75111.723330075212</v>
      </c>
    </row>
    <row r="25" spans="2:10" x14ac:dyDescent="0.25">
      <c r="B25" s="164">
        <v>2024</v>
      </c>
      <c r="C25" s="164">
        <v>10</v>
      </c>
      <c r="D25" s="165">
        <f t="shared" si="5"/>
        <v>27551.239186097042</v>
      </c>
      <c r="E25" s="164">
        <v>0.3</v>
      </c>
      <c r="F25" s="166">
        <f t="shared" si="0"/>
        <v>132295.85362256368</v>
      </c>
      <c r="G25" s="166">
        <f t="shared" si="1"/>
        <v>7865.3336901208759</v>
      </c>
      <c r="H25" s="166">
        <f t="shared" si="7"/>
        <v>140161.18731268455</v>
      </c>
      <c r="I25" s="166">
        <f t="shared" si="3"/>
        <v>104293.08658406866</v>
      </c>
      <c r="J25" s="166">
        <f t="shared" si="4"/>
        <v>71250.840355164779</v>
      </c>
    </row>
    <row r="26" spans="2:10" x14ac:dyDescent="0.25">
      <c r="B26" s="164">
        <v>2025</v>
      </c>
      <c r="C26" s="164">
        <v>11</v>
      </c>
      <c r="D26" s="165">
        <f t="shared" si="5"/>
        <v>27964.507773888494</v>
      </c>
      <c r="E26" s="164">
        <v>0.3</v>
      </c>
      <c r="F26" s="166">
        <f t="shared" si="0"/>
        <v>134280.29142690211</v>
      </c>
      <c r="G26" s="166">
        <f t="shared" si="1"/>
        <v>7983.3136954726879</v>
      </c>
      <c r="H26" s="166">
        <f t="shared" si="7"/>
        <v>142263.60512237481</v>
      </c>
      <c r="I26" s="166">
        <f t="shared" si="3"/>
        <v>102774.25522604823</v>
      </c>
      <c r="J26" s="166">
        <f t="shared" si="4"/>
        <v>67588.413981768448</v>
      </c>
    </row>
    <row r="27" spans="2:10" x14ac:dyDescent="0.25">
      <c r="B27" s="164">
        <v>2026</v>
      </c>
      <c r="C27" s="164">
        <v>12</v>
      </c>
      <c r="D27" s="165">
        <f t="shared" si="5"/>
        <v>28383.97539049682</v>
      </c>
      <c r="E27" s="164">
        <v>0.3</v>
      </c>
      <c r="F27" s="166">
        <f t="shared" si="0"/>
        <v>136294.49579830564</v>
      </c>
      <c r="G27" s="166">
        <f t="shared" si="1"/>
        <v>8103.0634009047781</v>
      </c>
      <c r="H27" s="166">
        <f t="shared" si="7"/>
        <v>144397.5591992104</v>
      </c>
      <c r="I27" s="166">
        <f t="shared" si="3"/>
        <v>101277.54277129995</v>
      </c>
      <c r="J27" s="166">
        <f t="shared" si="4"/>
        <v>64114.24316962147</v>
      </c>
    </row>
    <row r="28" spans="2:10" x14ac:dyDescent="0.25">
      <c r="B28" s="164">
        <v>2027</v>
      </c>
      <c r="C28" s="164">
        <v>13</v>
      </c>
      <c r="D28" s="165">
        <f t="shared" si="5"/>
        <v>28809.73502135427</v>
      </c>
      <c r="E28" s="164">
        <v>0.3</v>
      </c>
      <c r="F28" s="166">
        <f t="shared" si="0"/>
        <v>138338.91323528023</v>
      </c>
      <c r="G28" s="166">
        <f t="shared" si="1"/>
        <v>8224.6093519183487</v>
      </c>
      <c r="H28" s="166">
        <f t="shared" si="7"/>
        <v>146563.52258719859</v>
      </c>
      <c r="I28" s="166">
        <f t="shared" si="3"/>
        <v>99802.62709987328</v>
      </c>
      <c r="J28" s="166">
        <f t="shared" si="4"/>
        <v>60818.651230996074</v>
      </c>
    </row>
    <row r="29" spans="2:10" x14ac:dyDescent="0.25">
      <c r="B29" s="164">
        <v>2028</v>
      </c>
      <c r="C29" s="164">
        <v>14</v>
      </c>
      <c r="D29" s="165">
        <f t="shared" si="5"/>
        <v>29241.881046674582</v>
      </c>
      <c r="E29" s="164">
        <v>0.3</v>
      </c>
      <c r="F29" s="166">
        <f t="shared" si="0"/>
        <v>140413.99693380942</v>
      </c>
      <c r="G29" s="166">
        <f t="shared" si="1"/>
        <v>8347.9784921971241</v>
      </c>
      <c r="H29" s="166">
        <f t="shared" si="7"/>
        <v>148761.97542600654</v>
      </c>
      <c r="I29" s="166">
        <f t="shared" si="3"/>
        <v>98349.190782884805</v>
      </c>
      <c r="J29" s="166">
        <f t="shared" si="4"/>
        <v>57692.458878000944</v>
      </c>
    </row>
    <row r="30" spans="2:10" x14ac:dyDescent="0.25">
      <c r="B30" s="164">
        <v>2029</v>
      </c>
      <c r="C30" s="164">
        <v>15</v>
      </c>
      <c r="D30" s="165">
        <f t="shared" si="5"/>
        <v>29680.509262374697</v>
      </c>
      <c r="E30" s="164">
        <v>0.3</v>
      </c>
      <c r="F30" s="166">
        <f t="shared" si="0"/>
        <v>142520.20688781657</v>
      </c>
      <c r="G30" s="166">
        <f t="shared" si="1"/>
        <v>8473.1981695800787</v>
      </c>
      <c r="H30" s="166">
        <f t="shared" si="7"/>
        <v>150993.40505739665</v>
      </c>
      <c r="I30" s="166">
        <f t="shared" si="3"/>
        <v>96916.921014202017</v>
      </c>
      <c r="J30" s="166">
        <f t="shared" si="4"/>
        <v>54726.958655299954</v>
      </c>
    </row>
    <row r="31" spans="2:10" x14ac:dyDescent="0.25">
      <c r="B31" s="164">
        <v>2030</v>
      </c>
      <c r="C31" s="164">
        <v>16</v>
      </c>
      <c r="D31" s="165">
        <f t="shared" si="5"/>
        <v>30125.716901310316</v>
      </c>
      <c r="E31" s="164">
        <v>0.3</v>
      </c>
      <c r="F31" s="166">
        <f t="shared" si="0"/>
        <v>144658.00999113379</v>
      </c>
      <c r="G31" s="166">
        <f t="shared" si="1"/>
        <v>8600.2961421237796</v>
      </c>
      <c r="H31" s="166">
        <f t="shared" si="7"/>
        <v>153258.30613325757</v>
      </c>
      <c r="I31" s="166">
        <f t="shared" si="3"/>
        <v>95505.509543121399</v>
      </c>
      <c r="J31" s="166">
        <f t="shared" si="4"/>
        <v>51913.890687036874</v>
      </c>
    </row>
    <row r="32" spans="2:10" x14ac:dyDescent="0.25">
      <c r="B32" s="164">
        <v>2031</v>
      </c>
      <c r="C32" s="164">
        <v>17</v>
      </c>
      <c r="D32" s="165">
        <f t="shared" si="5"/>
        <v>30577.602654829967</v>
      </c>
      <c r="E32" s="164">
        <v>0.3</v>
      </c>
      <c r="F32" s="166">
        <f t="shared" si="0"/>
        <v>146827.88014100079</v>
      </c>
      <c r="G32" s="166">
        <f t="shared" si="1"/>
        <v>8729.3005842556358</v>
      </c>
      <c r="H32" s="166">
        <f t="shared" si="7"/>
        <v>155557.18072525642</v>
      </c>
      <c r="I32" s="166">
        <f t="shared" si="3"/>
        <v>94114.652608027391</v>
      </c>
      <c r="J32" s="166">
        <f t="shared" si="4"/>
        <v>49245.419670413474</v>
      </c>
    </row>
    <row r="33" spans="2:10" x14ac:dyDescent="0.25">
      <c r="B33" s="164">
        <v>2032</v>
      </c>
      <c r="C33" s="164">
        <v>18</v>
      </c>
      <c r="D33" s="165">
        <f t="shared" si="5"/>
        <v>31036.266694652415</v>
      </c>
      <c r="E33" s="164">
        <v>0.3</v>
      </c>
      <c r="F33" s="166">
        <f t="shared" si="0"/>
        <v>149030.29834311581</v>
      </c>
      <c r="G33" s="166">
        <f t="shared" si="1"/>
        <v>8860.2400930194708</v>
      </c>
      <c r="H33" s="166">
        <f t="shared" si="7"/>
        <v>157890.53843613528</v>
      </c>
      <c r="I33" s="166">
        <f t="shared" si="3"/>
        <v>92744.050871017287</v>
      </c>
      <c r="J33" s="166">
        <f t="shared" si="4"/>
        <v>46714.113051840824</v>
      </c>
    </row>
    <row r="34" spans="2:10" x14ac:dyDescent="0.25">
      <c r="B34" s="164">
        <v>2033</v>
      </c>
      <c r="C34" s="164">
        <v>19</v>
      </c>
      <c r="D34" s="165">
        <f t="shared" si="5"/>
        <v>31501.810695072199</v>
      </c>
      <c r="E34" s="164">
        <v>0.3</v>
      </c>
      <c r="F34" s="166">
        <f t="shared" si="0"/>
        <v>151265.75281826252</v>
      </c>
      <c r="G34" s="166">
        <f t="shared" si="1"/>
        <v>8993.1436944147626</v>
      </c>
      <c r="H34" s="166">
        <f t="shared" si="7"/>
        <v>160258.89651267728</v>
      </c>
      <c r="I34" s="166">
        <f t="shared" si="3"/>
        <v>91393.409353478186</v>
      </c>
      <c r="J34" s="166">
        <f t="shared" si="4"/>
        <v>44312.920324877035</v>
      </c>
    </row>
    <row r="35" spans="2:10" x14ac:dyDescent="0.25">
      <c r="B35" s="164">
        <v>2034</v>
      </c>
      <c r="C35" s="164">
        <v>20</v>
      </c>
      <c r="D35" s="165">
        <f t="shared" si="5"/>
        <v>31974.337855498281</v>
      </c>
      <c r="E35" s="164">
        <v>0.3</v>
      </c>
      <c r="F35" s="166">
        <f t="shared" si="0"/>
        <v>153534.73911053647</v>
      </c>
      <c r="G35" s="166">
        <f t="shared" si="1"/>
        <v>9128.0408498309826</v>
      </c>
      <c r="H35" s="166">
        <f t="shared" si="7"/>
        <v>162662.77996036745</v>
      </c>
      <c r="I35" s="166">
        <f t="shared" si="3"/>
        <v>90062.437372602304</v>
      </c>
      <c r="J35" s="166">
        <f t="shared" si="4"/>
        <v>42035.153392289903</v>
      </c>
    </row>
    <row r="36" spans="2:10" x14ac:dyDescent="0.25">
      <c r="B36" s="160"/>
      <c r="C36" s="160"/>
      <c r="D36" s="167"/>
      <c r="E36" s="160"/>
      <c r="F36" s="160"/>
      <c r="G36" s="160"/>
      <c r="H36" s="168"/>
      <c r="I36" s="169">
        <f>SUM(I15:I35)</f>
        <v>2078034.1911615473</v>
      </c>
      <c r="J36" s="169">
        <f>SUM(J15:J35)</f>
        <v>1453058.2928625506</v>
      </c>
    </row>
    <row r="37" spans="2:10" x14ac:dyDescent="0.25">
      <c r="B37" s="160"/>
      <c r="C37" s="160"/>
      <c r="D37" s="167"/>
      <c r="E37" s="160"/>
      <c r="F37" s="160"/>
      <c r="G37" s="160"/>
      <c r="H37" s="168"/>
      <c r="I37" s="169"/>
    </row>
    <row r="38" spans="2:10" ht="69.75" customHeight="1" x14ac:dyDescent="0.25">
      <c r="B38" s="162" t="s">
        <v>41</v>
      </c>
      <c r="C38" s="162" t="s">
        <v>42</v>
      </c>
      <c r="D38" s="162" t="s">
        <v>175</v>
      </c>
      <c r="E38" s="162" t="s">
        <v>176</v>
      </c>
      <c r="F38" s="162" t="s">
        <v>177</v>
      </c>
      <c r="G38" s="162" t="s">
        <v>178</v>
      </c>
      <c r="H38" s="162" t="s">
        <v>46</v>
      </c>
      <c r="I38" s="162" t="s">
        <v>179</v>
      </c>
      <c r="J38" s="162" t="s">
        <v>180</v>
      </c>
    </row>
    <row r="39" spans="2:10" x14ac:dyDescent="0.25">
      <c r="B39" s="164">
        <v>2014</v>
      </c>
      <c r="C39" s="164">
        <v>0</v>
      </c>
      <c r="D39" s="170" t="s">
        <v>68</v>
      </c>
      <c r="E39" s="170" t="s">
        <v>68</v>
      </c>
      <c r="F39" s="171">
        <v>0</v>
      </c>
      <c r="G39" s="171">
        <v>0</v>
      </c>
      <c r="H39" s="171">
        <v>0</v>
      </c>
      <c r="I39" s="172">
        <v>0</v>
      </c>
      <c r="J39" s="172">
        <v>0</v>
      </c>
    </row>
    <row r="40" spans="2:10" x14ac:dyDescent="0.25">
      <c r="B40" s="164">
        <v>2015</v>
      </c>
      <c r="C40" s="164">
        <v>1</v>
      </c>
      <c r="D40" s="170">
        <f>'6 - 5yr Collision (Recent)'!$E$37</f>
        <v>4.8</v>
      </c>
      <c r="E40" s="170">
        <f>'6 - 5yr Collision (Recent)'!$E$38</f>
        <v>0.4</v>
      </c>
      <c r="F40" s="206">
        <f>'7 - Collision Benefits'!$H$17</f>
        <v>402870.26399999997</v>
      </c>
      <c r="G40" s="206">
        <f>'7 - Collision Benefits'!$E$17</f>
        <v>3640000</v>
      </c>
      <c r="H40" s="171">
        <f t="shared" ref="H40:H59" si="8">F40+G40</f>
        <v>4042870.264</v>
      </c>
      <c r="I40" s="172">
        <f t="shared" ref="I40:I59" si="9">H40/((1+$E$92)^C40)</f>
        <v>3925116.7611650485</v>
      </c>
      <c r="J40" s="172">
        <f t="shared" ref="J40:J59" si="10">H40/((1+$E$93)^C40)</f>
        <v>3778383.424299065</v>
      </c>
    </row>
    <row r="41" spans="2:10" x14ac:dyDescent="0.25">
      <c r="B41" s="164">
        <v>2016</v>
      </c>
      <c r="C41" s="164">
        <v>2</v>
      </c>
      <c r="D41" s="170">
        <f>'6 - 5yr Collision (Recent)'!$E$37</f>
        <v>4.8</v>
      </c>
      <c r="E41" s="170">
        <f>'6 - 5yr Collision (Recent)'!$E$38</f>
        <v>0.4</v>
      </c>
      <c r="F41" s="206">
        <f>'7 - Collision Benefits'!$H$17</f>
        <v>402870.26399999997</v>
      </c>
      <c r="G41" s="206">
        <f>'7 - Collision Benefits'!$E$17</f>
        <v>3640000</v>
      </c>
      <c r="H41" s="171">
        <f t="shared" si="8"/>
        <v>4042870.264</v>
      </c>
      <c r="I41" s="172">
        <f t="shared" si="9"/>
        <v>3810792.9720049016</v>
      </c>
      <c r="J41" s="172">
        <f t="shared" si="10"/>
        <v>3531199.4619617434</v>
      </c>
    </row>
    <row r="42" spans="2:10" x14ac:dyDescent="0.25">
      <c r="B42" s="164">
        <v>2017</v>
      </c>
      <c r="C42" s="164">
        <v>3</v>
      </c>
      <c r="D42" s="170">
        <f>'6 - 5yr Collision (Recent)'!$E$37</f>
        <v>4.8</v>
      </c>
      <c r="E42" s="170">
        <f>'6 - 5yr Collision (Recent)'!$E$38</f>
        <v>0.4</v>
      </c>
      <c r="F42" s="206">
        <f>'7 - Collision Benefits'!$H$17</f>
        <v>402870.26399999997</v>
      </c>
      <c r="G42" s="206">
        <f>'7 - Collision Benefits'!$E$17</f>
        <v>3640000</v>
      </c>
      <c r="H42" s="171">
        <f t="shared" si="8"/>
        <v>4042870.264</v>
      </c>
      <c r="I42" s="172">
        <f t="shared" si="9"/>
        <v>3699799.0019465061</v>
      </c>
      <c r="J42" s="172">
        <f t="shared" si="10"/>
        <v>3300186.4130483582</v>
      </c>
    </row>
    <row r="43" spans="2:10" x14ac:dyDescent="0.25">
      <c r="B43" s="164">
        <v>2018</v>
      </c>
      <c r="C43" s="164">
        <v>4</v>
      </c>
      <c r="D43" s="170">
        <f>'6 - 5yr Collision (Recent)'!$E$37</f>
        <v>4.8</v>
      </c>
      <c r="E43" s="170">
        <f>'6 - 5yr Collision (Recent)'!$E$38</f>
        <v>0.4</v>
      </c>
      <c r="F43" s="206">
        <f>'7 - Collision Benefits'!$H$17</f>
        <v>402870.26399999997</v>
      </c>
      <c r="G43" s="206">
        <f>'7 - Collision Benefits'!$E$17</f>
        <v>3640000</v>
      </c>
      <c r="H43" s="171">
        <f t="shared" si="8"/>
        <v>4042870.264</v>
      </c>
      <c r="I43" s="172">
        <f t="shared" si="9"/>
        <v>3592037.8659674819</v>
      </c>
      <c r="J43" s="172">
        <f t="shared" si="10"/>
        <v>3084286.3673349144</v>
      </c>
    </row>
    <row r="44" spans="2:10" x14ac:dyDescent="0.25">
      <c r="B44" s="164">
        <v>2019</v>
      </c>
      <c r="C44" s="164">
        <v>5</v>
      </c>
      <c r="D44" s="170">
        <f>'6 - 5yr Collision (Recent)'!$E$37</f>
        <v>4.8</v>
      </c>
      <c r="E44" s="170">
        <f>'6 - 5yr Collision (Recent)'!$E$38</f>
        <v>0.4</v>
      </c>
      <c r="F44" s="206">
        <f>'7 - Collision Benefits'!$H$17</f>
        <v>402870.26399999997</v>
      </c>
      <c r="G44" s="206">
        <f>'7 - Collision Benefits'!$E$17</f>
        <v>3640000</v>
      </c>
      <c r="H44" s="171">
        <f t="shared" si="8"/>
        <v>4042870.264</v>
      </c>
      <c r="I44" s="172">
        <f t="shared" si="9"/>
        <v>3487415.4038519245</v>
      </c>
      <c r="J44" s="172">
        <f t="shared" si="10"/>
        <v>2882510.6236774898</v>
      </c>
    </row>
    <row r="45" spans="2:10" x14ac:dyDescent="0.25">
      <c r="B45" s="164">
        <v>2020</v>
      </c>
      <c r="C45" s="164">
        <v>6</v>
      </c>
      <c r="D45" s="170">
        <f>'6 - 5yr Collision (Recent)'!$E$37</f>
        <v>4.8</v>
      </c>
      <c r="E45" s="170">
        <f>'6 - 5yr Collision (Recent)'!$E$38</f>
        <v>0.4</v>
      </c>
      <c r="F45" s="206">
        <f>'7 - Collision Benefits'!$H$17</f>
        <v>402870.26399999997</v>
      </c>
      <c r="G45" s="206">
        <f>'7 - Collision Benefits'!$E$17</f>
        <v>3640000</v>
      </c>
      <c r="H45" s="171">
        <f t="shared" si="8"/>
        <v>4042870.264</v>
      </c>
      <c r="I45" s="172">
        <f t="shared" si="9"/>
        <v>3385840.1979144895</v>
      </c>
      <c r="J45" s="172">
        <f t="shared" si="10"/>
        <v>2693935.162315411</v>
      </c>
    </row>
    <row r="46" spans="2:10" x14ac:dyDescent="0.25">
      <c r="B46" s="164">
        <v>2021</v>
      </c>
      <c r="C46" s="164">
        <v>7</v>
      </c>
      <c r="D46" s="170">
        <f>'6 - 5yr Collision (Recent)'!$E$37</f>
        <v>4.8</v>
      </c>
      <c r="E46" s="170">
        <f>'6 - 5yr Collision (Recent)'!$E$38</f>
        <v>0.4</v>
      </c>
      <c r="F46" s="206">
        <f>'7 - Collision Benefits'!$H$17</f>
        <v>402870.26399999997</v>
      </c>
      <c r="G46" s="206">
        <f>'7 - Collision Benefits'!$E$17</f>
        <v>3640000</v>
      </c>
      <c r="H46" s="171">
        <f t="shared" si="8"/>
        <v>4042870.264</v>
      </c>
      <c r="I46" s="172">
        <f t="shared" si="9"/>
        <v>3287223.4931208636</v>
      </c>
      <c r="J46" s="172">
        <f t="shared" si="10"/>
        <v>2517696.4133788887</v>
      </c>
    </row>
    <row r="47" spans="2:10" x14ac:dyDescent="0.25">
      <c r="B47" s="164">
        <v>2022</v>
      </c>
      <c r="C47" s="164">
        <v>8</v>
      </c>
      <c r="D47" s="170">
        <f>'6 - 5yr Collision (Recent)'!$E$37</f>
        <v>4.8</v>
      </c>
      <c r="E47" s="170">
        <f>'6 - 5yr Collision (Recent)'!$E$38</f>
        <v>0.4</v>
      </c>
      <c r="F47" s="206">
        <f>'7 - Collision Benefits'!$H$17</f>
        <v>402870.26399999997</v>
      </c>
      <c r="G47" s="206">
        <f>'7 - Collision Benefits'!$E$17</f>
        <v>3640000</v>
      </c>
      <c r="H47" s="171">
        <f t="shared" si="8"/>
        <v>4042870.264</v>
      </c>
      <c r="I47" s="172">
        <f t="shared" si="9"/>
        <v>3191479.1195348194</v>
      </c>
      <c r="J47" s="172">
        <f t="shared" si="10"/>
        <v>2352987.3022232605</v>
      </c>
    </row>
    <row r="48" spans="2:10" x14ac:dyDescent="0.25">
      <c r="B48" s="164">
        <v>2023</v>
      </c>
      <c r="C48" s="164">
        <v>9</v>
      </c>
      <c r="D48" s="170">
        <f>'6 - 5yr Collision (Recent)'!$E$37</f>
        <v>4.8</v>
      </c>
      <c r="E48" s="170">
        <f>'6 - 5yr Collision (Recent)'!$E$38</f>
        <v>0.4</v>
      </c>
      <c r="F48" s="206">
        <f>'7 - Collision Benefits'!$H$17</f>
        <v>402870.26399999997</v>
      </c>
      <c r="G48" s="206">
        <f>'7 - Collision Benefits'!$E$17</f>
        <v>3640000</v>
      </c>
      <c r="H48" s="171">
        <f t="shared" si="8"/>
        <v>4042870.264</v>
      </c>
      <c r="I48" s="172">
        <f t="shared" si="9"/>
        <v>3098523.4170240965</v>
      </c>
      <c r="J48" s="172">
        <f t="shared" si="10"/>
        <v>2199053.5534796827</v>
      </c>
    </row>
    <row r="49" spans="2:10" x14ac:dyDescent="0.25">
      <c r="B49" s="164">
        <v>2024</v>
      </c>
      <c r="C49" s="164">
        <v>10</v>
      </c>
      <c r="D49" s="170">
        <f>'6 - 5yr Collision (Recent)'!$E$37</f>
        <v>4.8</v>
      </c>
      <c r="E49" s="170">
        <f>'6 - 5yr Collision (Recent)'!$E$38</f>
        <v>0.4</v>
      </c>
      <c r="F49" s="206">
        <f>'7 - Collision Benefits'!$H$17</f>
        <v>402870.26399999997</v>
      </c>
      <c r="G49" s="206">
        <f>'7 - Collision Benefits'!$E$17</f>
        <v>3640000</v>
      </c>
      <c r="H49" s="171">
        <f t="shared" si="8"/>
        <v>4042870.264</v>
      </c>
      <c r="I49" s="172">
        <f t="shared" si="9"/>
        <v>3008275.1621593167</v>
      </c>
      <c r="J49" s="172">
        <f t="shared" si="10"/>
        <v>2055190.2368968998</v>
      </c>
    </row>
    <row r="50" spans="2:10" x14ac:dyDescent="0.25">
      <c r="B50" s="164">
        <v>2025</v>
      </c>
      <c r="C50" s="164">
        <v>11</v>
      </c>
      <c r="D50" s="170">
        <f>'6 - 5yr Collision (Recent)'!$E$37</f>
        <v>4.8</v>
      </c>
      <c r="E50" s="170">
        <f>'6 - 5yr Collision (Recent)'!$E$38</f>
        <v>0.4</v>
      </c>
      <c r="F50" s="206">
        <f>'7 - Collision Benefits'!$H$17</f>
        <v>402870.26399999997</v>
      </c>
      <c r="G50" s="206">
        <f>'7 - Collision Benefits'!$E$17</f>
        <v>3640000</v>
      </c>
      <c r="H50" s="171">
        <f t="shared" si="8"/>
        <v>4042870.264</v>
      </c>
      <c r="I50" s="172">
        <f t="shared" si="9"/>
        <v>2920655.4972420549</v>
      </c>
      <c r="J50" s="172">
        <f t="shared" si="10"/>
        <v>1920738.5391559808</v>
      </c>
    </row>
    <row r="51" spans="2:10" x14ac:dyDescent="0.25">
      <c r="B51" s="164">
        <v>2026</v>
      </c>
      <c r="C51" s="164">
        <v>12</v>
      </c>
      <c r="D51" s="170">
        <f>'6 - 5yr Collision (Recent)'!$E$37</f>
        <v>4.8</v>
      </c>
      <c r="E51" s="170">
        <f>'6 - 5yr Collision (Recent)'!$E$38</f>
        <v>0.4</v>
      </c>
      <c r="F51" s="206">
        <f>'7 - Collision Benefits'!$H$17</f>
        <v>402870.26399999997</v>
      </c>
      <c r="G51" s="206">
        <f>'7 - Collision Benefits'!$E$17</f>
        <v>3640000</v>
      </c>
      <c r="H51" s="171">
        <f t="shared" si="8"/>
        <v>4042870.264</v>
      </c>
      <c r="I51" s="172">
        <f t="shared" si="9"/>
        <v>2835587.8614000538</v>
      </c>
      <c r="J51" s="172">
        <f t="shared" si="10"/>
        <v>1795082.7468747487</v>
      </c>
    </row>
    <row r="52" spans="2:10" x14ac:dyDescent="0.25">
      <c r="B52" s="164">
        <v>2027</v>
      </c>
      <c r="C52" s="164">
        <v>13</v>
      </c>
      <c r="D52" s="170">
        <f>'6 - 5yr Collision (Recent)'!$E$37</f>
        <v>4.8</v>
      </c>
      <c r="E52" s="170">
        <f>'6 - 5yr Collision (Recent)'!$E$38</f>
        <v>0.4</v>
      </c>
      <c r="F52" s="206">
        <f>'7 - Collision Benefits'!$H$17</f>
        <v>402870.26399999997</v>
      </c>
      <c r="G52" s="206">
        <f>'7 - Collision Benefits'!$E$17</f>
        <v>3640000</v>
      </c>
      <c r="H52" s="171">
        <f t="shared" si="8"/>
        <v>4042870.264</v>
      </c>
      <c r="I52" s="172">
        <f t="shared" si="9"/>
        <v>2752997.9236893728</v>
      </c>
      <c r="J52" s="172">
        <f t="shared" si="10"/>
        <v>1677647.4269857462</v>
      </c>
    </row>
    <row r="53" spans="2:10" x14ac:dyDescent="0.25">
      <c r="B53" s="164">
        <v>2028</v>
      </c>
      <c r="C53" s="164">
        <v>14</v>
      </c>
      <c r="D53" s="170">
        <f>'6 - 5yr Collision (Recent)'!$E$37</f>
        <v>4.8</v>
      </c>
      <c r="E53" s="170">
        <f>'6 - 5yr Collision (Recent)'!$E$38</f>
        <v>0.4</v>
      </c>
      <c r="F53" s="206">
        <f>'7 - Collision Benefits'!$H$17</f>
        <v>402870.26399999997</v>
      </c>
      <c r="G53" s="206">
        <f>'7 - Collision Benefits'!$E$17</f>
        <v>3640000</v>
      </c>
      <c r="H53" s="171">
        <f t="shared" si="8"/>
        <v>4042870.264</v>
      </c>
      <c r="I53" s="172">
        <f t="shared" si="9"/>
        <v>2672813.518145022</v>
      </c>
      <c r="J53" s="172">
        <f t="shared" si="10"/>
        <v>1567894.791575464</v>
      </c>
    </row>
    <row r="54" spans="2:10" x14ac:dyDescent="0.25">
      <c r="B54" s="164">
        <v>2029</v>
      </c>
      <c r="C54" s="164">
        <v>15</v>
      </c>
      <c r="D54" s="170">
        <f>'6 - 5yr Collision (Recent)'!$E$37</f>
        <v>4.8</v>
      </c>
      <c r="E54" s="170">
        <f>'6 - 5yr Collision (Recent)'!$E$38</f>
        <v>0.4</v>
      </c>
      <c r="F54" s="206">
        <f>'7 - Collision Benefits'!$H$17</f>
        <v>402870.26399999997</v>
      </c>
      <c r="G54" s="206">
        <f>'7 - Collision Benefits'!$E$17</f>
        <v>3640000</v>
      </c>
      <c r="H54" s="171">
        <f t="shared" si="8"/>
        <v>4042870.264</v>
      </c>
      <c r="I54" s="172">
        <f t="shared" si="9"/>
        <v>2594964.580723322</v>
      </c>
      <c r="J54" s="172">
        <f t="shared" si="10"/>
        <v>1465322.2351172557</v>
      </c>
    </row>
    <row r="55" spans="2:10" x14ac:dyDescent="0.25">
      <c r="B55" s="164">
        <v>2030</v>
      </c>
      <c r="C55" s="164">
        <v>16</v>
      </c>
      <c r="D55" s="170">
        <f>'6 - 5yr Collision (Recent)'!$E$37</f>
        <v>4.8</v>
      </c>
      <c r="E55" s="170">
        <f>'6 - 5yr Collision (Recent)'!$E$38</f>
        <v>0.4</v>
      </c>
      <c r="F55" s="206">
        <f>'7 - Collision Benefits'!$H$17</f>
        <v>402870.26399999997</v>
      </c>
      <c r="G55" s="206">
        <f>'7 - Collision Benefits'!$E$17</f>
        <v>3640000</v>
      </c>
      <c r="H55" s="171">
        <f t="shared" si="8"/>
        <v>4042870.264</v>
      </c>
      <c r="I55" s="172">
        <f t="shared" si="9"/>
        <v>2519383.0880808956</v>
      </c>
      <c r="J55" s="172">
        <f t="shared" si="10"/>
        <v>1369460.0328198655</v>
      </c>
    </row>
    <row r="56" spans="2:10" x14ac:dyDescent="0.25">
      <c r="B56" s="164">
        <v>2031</v>
      </c>
      <c r="C56" s="164">
        <v>17</v>
      </c>
      <c r="D56" s="170">
        <f>'6 - 5yr Collision (Recent)'!$E$37</f>
        <v>4.8</v>
      </c>
      <c r="E56" s="170">
        <f>'6 - 5yr Collision (Recent)'!$E$38</f>
        <v>0.4</v>
      </c>
      <c r="F56" s="206">
        <f>'7 - Collision Benefits'!$H$17</f>
        <v>402870.26399999997</v>
      </c>
      <c r="G56" s="206">
        <f>'7 - Collision Benefits'!$E$17</f>
        <v>3640000</v>
      </c>
      <c r="H56" s="171">
        <f t="shared" si="8"/>
        <v>4042870.264</v>
      </c>
      <c r="I56" s="172">
        <f t="shared" si="9"/>
        <v>2446002.9981367919</v>
      </c>
      <c r="J56" s="172">
        <f t="shared" si="10"/>
        <v>1279869.1895512762</v>
      </c>
    </row>
    <row r="57" spans="2:10" x14ac:dyDescent="0.25">
      <c r="B57" s="164">
        <v>2032</v>
      </c>
      <c r="C57" s="164">
        <v>18</v>
      </c>
      <c r="D57" s="170">
        <f>'6 - 5yr Collision (Recent)'!$E$37</f>
        <v>4.8</v>
      </c>
      <c r="E57" s="170">
        <f>'6 - 5yr Collision (Recent)'!$E$38</f>
        <v>0.4</v>
      </c>
      <c r="F57" s="206">
        <f>'7 - Collision Benefits'!$H$17</f>
        <v>402870.26399999997</v>
      </c>
      <c r="G57" s="206">
        <f>'7 - Collision Benefits'!$E$17</f>
        <v>3640000</v>
      </c>
      <c r="H57" s="171">
        <f t="shared" si="8"/>
        <v>4042870.264</v>
      </c>
      <c r="I57" s="172">
        <f t="shared" si="9"/>
        <v>2374760.1923658173</v>
      </c>
      <c r="J57" s="172">
        <f t="shared" si="10"/>
        <v>1196139.4294871739</v>
      </c>
    </row>
    <row r="58" spans="2:10" x14ac:dyDescent="0.25">
      <c r="B58" s="164">
        <v>2033</v>
      </c>
      <c r="C58" s="164">
        <v>19</v>
      </c>
      <c r="D58" s="170">
        <f>'6 - 5yr Collision (Recent)'!$E$37</f>
        <v>4.8</v>
      </c>
      <c r="E58" s="170">
        <f>'6 - 5yr Collision (Recent)'!$E$38</f>
        <v>0.4</v>
      </c>
      <c r="F58" s="206">
        <f>'7 - Collision Benefits'!$H$17</f>
        <v>402870.26399999997</v>
      </c>
      <c r="G58" s="206">
        <f>'7 - Collision Benefits'!$E$17</f>
        <v>3640000</v>
      </c>
      <c r="H58" s="171">
        <f t="shared" si="8"/>
        <v>4042870.264</v>
      </c>
      <c r="I58" s="172">
        <f t="shared" si="9"/>
        <v>2305592.4197726385</v>
      </c>
      <c r="J58" s="172">
        <f t="shared" si="10"/>
        <v>1117887.3172777325</v>
      </c>
    </row>
    <row r="59" spans="2:10" x14ac:dyDescent="0.25">
      <c r="B59" s="164">
        <v>2034</v>
      </c>
      <c r="C59" s="164">
        <v>20</v>
      </c>
      <c r="D59" s="170">
        <f>'6 - 5yr Collision (Recent)'!$E$37</f>
        <v>4.8</v>
      </c>
      <c r="E59" s="170">
        <f>'6 - 5yr Collision (Recent)'!$E$38</f>
        <v>0.4</v>
      </c>
      <c r="F59" s="206">
        <f>'7 - Collision Benefits'!$H$17</f>
        <v>402870.26399999997</v>
      </c>
      <c r="G59" s="206">
        <f>'7 - Collision Benefits'!$E$17</f>
        <v>3640000</v>
      </c>
      <c r="H59" s="171">
        <f t="shared" si="8"/>
        <v>4042870.264</v>
      </c>
      <c r="I59" s="172">
        <f t="shared" si="9"/>
        <v>2238439.2424977073</v>
      </c>
      <c r="J59" s="172">
        <f t="shared" si="10"/>
        <v>1044754.502128722</v>
      </c>
    </row>
    <row r="60" spans="2:10" x14ac:dyDescent="0.25">
      <c r="B60" s="160"/>
      <c r="C60" s="160"/>
      <c r="D60" s="173"/>
      <c r="E60" s="173"/>
      <c r="F60" s="160"/>
      <c r="G60" s="160"/>
      <c r="H60" s="168"/>
      <c r="I60" s="169">
        <f>SUM(I39:I59)</f>
        <v>60147700.716743127</v>
      </c>
      <c r="J60" s="169">
        <f>SUM(J39:J59)</f>
        <v>42830225.169589683</v>
      </c>
    </row>
    <row r="61" spans="2:10" ht="15.75" thickBot="1" x14ac:dyDescent="0.3">
      <c r="B61" s="160"/>
      <c r="C61" s="160"/>
      <c r="D61" s="167"/>
      <c r="E61" s="160"/>
      <c r="F61" s="160"/>
      <c r="G61" s="160"/>
      <c r="H61" s="168"/>
      <c r="I61" s="169"/>
    </row>
    <row r="62" spans="2:10" ht="15.75" thickBot="1" x14ac:dyDescent="0.3">
      <c r="B62" s="160"/>
      <c r="C62" s="160"/>
      <c r="D62" s="167"/>
      <c r="E62" s="160"/>
      <c r="F62" s="160"/>
      <c r="G62" s="160"/>
      <c r="H62" s="174" t="s">
        <v>79</v>
      </c>
      <c r="I62" s="175">
        <f>I36+I60</f>
        <v>62225734.907904677</v>
      </c>
      <c r="J62" s="175">
        <f>J36+J60</f>
        <v>44283283.462452233</v>
      </c>
    </row>
    <row r="63" spans="2:10" x14ac:dyDescent="0.25">
      <c r="B63" s="160"/>
      <c r="C63" s="160"/>
      <c r="D63" s="167"/>
      <c r="E63" s="160"/>
      <c r="F63" s="160"/>
      <c r="G63" s="160"/>
      <c r="H63" s="160"/>
      <c r="I63" s="169"/>
    </row>
    <row r="64" spans="2:10" x14ac:dyDescent="0.25">
      <c r="B64" s="161" t="s">
        <v>76</v>
      </c>
      <c r="C64" s="160"/>
      <c r="D64" s="167"/>
      <c r="E64" s="160"/>
      <c r="F64" s="160"/>
      <c r="G64" s="160"/>
      <c r="H64" s="160"/>
      <c r="I64" s="169"/>
    </row>
    <row r="65" spans="2:9" s="178" customFormat="1" ht="59.25" x14ac:dyDescent="0.25">
      <c r="B65" s="162" t="s">
        <v>41</v>
      </c>
      <c r="C65" s="162" t="s">
        <v>42</v>
      </c>
      <c r="D65" s="165" t="s">
        <v>89</v>
      </c>
      <c r="E65" s="176" t="s">
        <v>181</v>
      </c>
      <c r="F65" s="164" t="s">
        <v>93</v>
      </c>
      <c r="G65" s="162" t="s">
        <v>182</v>
      </c>
      <c r="H65" s="162" t="s">
        <v>183</v>
      </c>
      <c r="I65" s="177"/>
    </row>
    <row r="66" spans="2:9" x14ac:dyDescent="0.25">
      <c r="B66" s="164">
        <v>2014</v>
      </c>
      <c r="C66" s="164">
        <v>0</v>
      </c>
      <c r="D66" s="179">
        <v>2711750</v>
      </c>
      <c r="E66" s="172">
        <v>0</v>
      </c>
      <c r="F66" s="180">
        <f>D66+E66</f>
        <v>2711750</v>
      </c>
      <c r="G66" s="172">
        <f>F66/((1+$E$92)^C66)</f>
        <v>2711750</v>
      </c>
      <c r="H66" s="172">
        <f>F66/((1+$E$93)^C66)</f>
        <v>2711750</v>
      </c>
      <c r="I66" s="169"/>
    </row>
    <row r="67" spans="2:9" x14ac:dyDescent="0.25">
      <c r="B67" s="164">
        <v>2015</v>
      </c>
      <c r="C67" s="164">
        <v>1</v>
      </c>
      <c r="D67" s="179">
        <v>5000000</v>
      </c>
      <c r="E67" s="172">
        <v>0</v>
      </c>
      <c r="F67" s="180">
        <f t="shared" ref="F67:F86" si="11">D67+E67</f>
        <v>5000000</v>
      </c>
      <c r="G67" s="172">
        <f t="shared" ref="G67:G86" si="12">F67/((1+$E$92)^C67)</f>
        <v>4854368.9320388352</v>
      </c>
      <c r="H67" s="172">
        <f t="shared" ref="H67:H86" si="13">F67/((1+$E$93)^C67)</f>
        <v>4672897.1962616816</v>
      </c>
      <c r="I67" s="169"/>
    </row>
    <row r="68" spans="2:9" x14ac:dyDescent="0.25">
      <c r="B68" s="164">
        <v>2016</v>
      </c>
      <c r="C68" s="164">
        <v>2</v>
      </c>
      <c r="D68" s="179">
        <v>7288250</v>
      </c>
      <c r="E68" s="172">
        <v>0</v>
      </c>
      <c r="F68" s="180">
        <f t="shared" si="11"/>
        <v>7288250</v>
      </c>
      <c r="G68" s="172">
        <f t="shared" si="12"/>
        <v>6869874.6347440854</v>
      </c>
      <c r="H68" s="172">
        <f t="shared" si="13"/>
        <v>6365839.8113372345</v>
      </c>
      <c r="I68" s="169"/>
    </row>
    <row r="69" spans="2:9" x14ac:dyDescent="0.25">
      <c r="B69" s="164">
        <v>2017</v>
      </c>
      <c r="C69" s="164">
        <v>3</v>
      </c>
      <c r="D69" s="179">
        <v>0</v>
      </c>
      <c r="E69" s="172">
        <f>'8 - O&amp;M Costs'!$B$6</f>
        <v>20000</v>
      </c>
      <c r="F69" s="180">
        <f t="shared" si="11"/>
        <v>20000</v>
      </c>
      <c r="G69" s="172">
        <f t="shared" si="12"/>
        <v>18302.833187063192</v>
      </c>
      <c r="H69" s="172">
        <f t="shared" si="13"/>
        <v>16325.957537817039</v>
      </c>
      <c r="I69" s="169"/>
    </row>
    <row r="70" spans="2:9" x14ac:dyDescent="0.25">
      <c r="B70" s="164">
        <v>2018</v>
      </c>
      <c r="C70" s="164">
        <v>4</v>
      </c>
      <c r="D70" s="179">
        <v>0</v>
      </c>
      <c r="E70" s="172">
        <f>'8 - O&amp;M Costs'!$B$6</f>
        <v>20000</v>
      </c>
      <c r="F70" s="180">
        <f t="shared" si="11"/>
        <v>20000</v>
      </c>
      <c r="G70" s="172">
        <f t="shared" si="12"/>
        <v>17769.740958313778</v>
      </c>
      <c r="H70" s="172">
        <f t="shared" si="13"/>
        <v>15257.904240950504</v>
      </c>
      <c r="I70" s="169"/>
    </row>
    <row r="71" spans="2:9" x14ac:dyDescent="0.25">
      <c r="B71" s="164">
        <v>2019</v>
      </c>
      <c r="C71" s="164">
        <v>5</v>
      </c>
      <c r="D71" s="179">
        <v>0</v>
      </c>
      <c r="E71" s="172">
        <f>'8 - O&amp;M Costs'!$B$6</f>
        <v>20000</v>
      </c>
      <c r="F71" s="180">
        <f t="shared" si="11"/>
        <v>20000</v>
      </c>
      <c r="G71" s="172">
        <f t="shared" si="12"/>
        <v>17252.175687683281</v>
      </c>
      <c r="H71" s="172">
        <f t="shared" si="13"/>
        <v>14259.723589673367</v>
      </c>
      <c r="I71" s="169"/>
    </row>
    <row r="72" spans="2:9" x14ac:dyDescent="0.25">
      <c r="B72" s="164">
        <v>2020</v>
      </c>
      <c r="C72" s="164">
        <v>6</v>
      </c>
      <c r="D72" s="179">
        <v>0</v>
      </c>
      <c r="E72" s="172">
        <f>'8 - O&amp;M Costs'!$B$6</f>
        <v>20000</v>
      </c>
      <c r="F72" s="180">
        <f t="shared" si="11"/>
        <v>20000</v>
      </c>
      <c r="G72" s="172">
        <f t="shared" si="12"/>
        <v>16749.685133673087</v>
      </c>
      <c r="H72" s="172">
        <f t="shared" si="13"/>
        <v>13326.84447633025</v>
      </c>
      <c r="I72" s="169"/>
    </row>
    <row r="73" spans="2:9" x14ac:dyDescent="0.25">
      <c r="B73" s="164">
        <v>2021</v>
      </c>
      <c r="C73" s="164">
        <v>7</v>
      </c>
      <c r="D73" s="179">
        <v>0</v>
      </c>
      <c r="E73" s="172">
        <f>'8 - O&amp;M Costs'!$B$6</f>
        <v>20000</v>
      </c>
      <c r="F73" s="180">
        <f t="shared" si="11"/>
        <v>20000</v>
      </c>
      <c r="G73" s="172">
        <f t="shared" si="12"/>
        <v>16261.830226867076</v>
      </c>
      <c r="H73" s="172">
        <f t="shared" si="13"/>
        <v>12454.994837691822</v>
      </c>
      <c r="I73" s="169"/>
    </row>
    <row r="74" spans="2:9" x14ac:dyDescent="0.25">
      <c r="B74" s="164">
        <v>2022</v>
      </c>
      <c r="C74" s="164">
        <v>8</v>
      </c>
      <c r="D74" s="179">
        <v>0</v>
      </c>
      <c r="E74" s="172">
        <f>'8 - O&amp;M Costs'!$B$6</f>
        <v>20000</v>
      </c>
      <c r="F74" s="180">
        <f t="shared" si="11"/>
        <v>20000</v>
      </c>
      <c r="G74" s="172">
        <f t="shared" si="12"/>
        <v>15788.184686278715</v>
      </c>
      <c r="H74" s="172">
        <f t="shared" si="13"/>
        <v>11640.182091300769</v>
      </c>
      <c r="I74" s="169"/>
    </row>
    <row r="75" spans="2:9" x14ac:dyDescent="0.25">
      <c r="B75" s="164">
        <v>2023</v>
      </c>
      <c r="C75" s="164">
        <v>9</v>
      </c>
      <c r="D75" s="179">
        <v>0</v>
      </c>
      <c r="E75" s="172">
        <f>'8 - O&amp;M Costs'!$B$6</f>
        <v>20000</v>
      </c>
      <c r="F75" s="180">
        <f t="shared" si="11"/>
        <v>20000</v>
      </c>
      <c r="G75" s="172">
        <f t="shared" si="12"/>
        <v>15328.334646872539</v>
      </c>
      <c r="H75" s="172">
        <f t="shared" si="13"/>
        <v>10878.674851682959</v>
      </c>
      <c r="I75" s="169"/>
    </row>
    <row r="76" spans="2:9" x14ac:dyDescent="0.25">
      <c r="B76" s="164">
        <v>2024</v>
      </c>
      <c r="C76" s="164">
        <v>10</v>
      </c>
      <c r="D76" s="179">
        <v>0</v>
      </c>
      <c r="E76" s="172">
        <f>'8 - O&amp;M Costs'!E15</f>
        <v>774400</v>
      </c>
      <c r="F76" s="180">
        <f t="shared" si="11"/>
        <v>774400</v>
      </c>
      <c r="G76" s="172">
        <f t="shared" si="12"/>
        <v>576226.32769602397</v>
      </c>
      <c r="H76" s="172">
        <f t="shared" si="13"/>
        <v>393665.69182912546</v>
      </c>
      <c r="I76" s="169"/>
    </row>
    <row r="77" spans="2:9" x14ac:dyDescent="0.25">
      <c r="B77" s="164">
        <v>2025</v>
      </c>
      <c r="C77" s="164">
        <v>11</v>
      </c>
      <c r="D77" s="179">
        <v>0</v>
      </c>
      <c r="E77" s="172">
        <f>'8 - O&amp;M Costs'!$B$6</f>
        <v>20000</v>
      </c>
      <c r="F77" s="180">
        <f t="shared" si="11"/>
        <v>20000</v>
      </c>
      <c r="G77" s="172">
        <f t="shared" si="12"/>
        <v>14448.425531975246</v>
      </c>
      <c r="H77" s="172">
        <f t="shared" si="13"/>
        <v>9501.8559277517325</v>
      </c>
      <c r="I77" s="169"/>
    </row>
    <row r="78" spans="2:9" x14ac:dyDescent="0.25">
      <c r="B78" s="164">
        <v>2026</v>
      </c>
      <c r="C78" s="164">
        <v>12</v>
      </c>
      <c r="D78" s="179">
        <v>0</v>
      </c>
      <c r="E78" s="172">
        <f>'8 - O&amp;M Costs'!$B$6</f>
        <v>20000</v>
      </c>
      <c r="F78" s="180">
        <f t="shared" si="11"/>
        <v>20000</v>
      </c>
      <c r="G78" s="172">
        <f t="shared" si="12"/>
        <v>14027.597603859464</v>
      </c>
      <c r="H78" s="172">
        <f t="shared" si="13"/>
        <v>8880.2391848147054</v>
      </c>
      <c r="I78" s="169"/>
    </row>
    <row r="79" spans="2:9" x14ac:dyDescent="0.25">
      <c r="B79" s="164">
        <v>2027</v>
      </c>
      <c r="C79" s="164">
        <v>13</v>
      </c>
      <c r="D79" s="179">
        <v>0</v>
      </c>
      <c r="E79" s="172">
        <f>'8 - O&amp;M Costs'!$B$6</f>
        <v>20000</v>
      </c>
      <c r="F79" s="180">
        <f t="shared" si="11"/>
        <v>20000</v>
      </c>
      <c r="G79" s="172">
        <f t="shared" si="12"/>
        <v>13619.026799863557</v>
      </c>
      <c r="H79" s="172">
        <f t="shared" si="13"/>
        <v>8299.2889577707519</v>
      </c>
      <c r="I79" s="169"/>
    </row>
    <row r="80" spans="2:9" x14ac:dyDescent="0.25">
      <c r="B80" s="164">
        <v>2028</v>
      </c>
      <c r="C80" s="164">
        <v>14</v>
      </c>
      <c r="D80" s="179">
        <v>0</v>
      </c>
      <c r="E80" s="172">
        <f>'8 - O&amp;M Costs'!$B$6</f>
        <v>20000</v>
      </c>
      <c r="F80" s="180">
        <f t="shared" si="11"/>
        <v>20000</v>
      </c>
      <c r="G80" s="172">
        <f t="shared" si="12"/>
        <v>13222.356116372384</v>
      </c>
      <c r="H80" s="172">
        <f t="shared" si="13"/>
        <v>7756.3448203464977</v>
      </c>
      <c r="I80" s="169"/>
    </row>
    <row r="81" spans="1:9" x14ac:dyDescent="0.25">
      <c r="B81" s="164">
        <v>2029</v>
      </c>
      <c r="C81" s="164">
        <v>15</v>
      </c>
      <c r="D81" s="179">
        <v>0</v>
      </c>
      <c r="E81" s="172">
        <f>'8 - O&amp;M Costs'!$B$6</f>
        <v>20000</v>
      </c>
      <c r="F81" s="180">
        <f t="shared" si="11"/>
        <v>20000</v>
      </c>
      <c r="G81" s="172">
        <f t="shared" si="12"/>
        <v>12837.238947934353</v>
      </c>
      <c r="H81" s="172">
        <f t="shared" si="13"/>
        <v>7248.9203928471934</v>
      </c>
      <c r="I81" s="169"/>
    </row>
    <row r="82" spans="1:9" x14ac:dyDescent="0.25">
      <c r="B82" s="164">
        <v>2030</v>
      </c>
      <c r="C82" s="164">
        <v>16</v>
      </c>
      <c r="D82" s="179">
        <v>0</v>
      </c>
      <c r="E82" s="172">
        <f>'8 - O&amp;M Costs'!$B$6</f>
        <v>20000</v>
      </c>
      <c r="F82" s="180">
        <f t="shared" si="11"/>
        <v>20000</v>
      </c>
      <c r="G82" s="172">
        <f t="shared" si="12"/>
        <v>12463.338784402287</v>
      </c>
      <c r="H82" s="172">
        <f t="shared" si="13"/>
        <v>6774.6919559319576</v>
      </c>
      <c r="I82" s="169"/>
    </row>
    <row r="83" spans="1:9" x14ac:dyDescent="0.25">
      <c r="B83" s="164">
        <v>2031</v>
      </c>
      <c r="C83" s="164">
        <v>17</v>
      </c>
      <c r="D83" s="179">
        <v>0</v>
      </c>
      <c r="E83" s="172">
        <f>'8 - O&amp;M Costs'!$B$6</f>
        <v>20000</v>
      </c>
      <c r="F83" s="180">
        <f t="shared" si="11"/>
        <v>20000</v>
      </c>
      <c r="G83" s="172">
        <f t="shared" si="12"/>
        <v>12100.328916895425</v>
      </c>
      <c r="H83" s="172">
        <f t="shared" si="13"/>
        <v>6331.4878092822028</v>
      </c>
      <c r="I83" s="169"/>
    </row>
    <row r="84" spans="1:9" x14ac:dyDescent="0.25">
      <c r="B84" s="164">
        <v>2032</v>
      </c>
      <c r="C84" s="164">
        <v>18</v>
      </c>
      <c r="D84" s="179">
        <v>0</v>
      </c>
      <c r="E84" s="172">
        <f>'8 - O&amp;M Costs'!$B$6</f>
        <v>20000</v>
      </c>
      <c r="F84" s="180">
        <f t="shared" si="11"/>
        <v>20000</v>
      </c>
      <c r="G84" s="172">
        <f t="shared" si="12"/>
        <v>11747.892152325654</v>
      </c>
      <c r="H84" s="172">
        <f t="shared" si="13"/>
        <v>5917.2783264319651</v>
      </c>
      <c r="I84" s="169"/>
    </row>
    <row r="85" spans="1:9" x14ac:dyDescent="0.25">
      <c r="B85" s="164">
        <v>2033</v>
      </c>
      <c r="C85" s="164">
        <v>19</v>
      </c>
      <c r="D85" s="179">
        <v>0</v>
      </c>
      <c r="E85" s="172">
        <f>'8 - O&amp;M Costs'!$B$6</f>
        <v>20000</v>
      </c>
      <c r="F85" s="180">
        <f t="shared" si="11"/>
        <v>20000</v>
      </c>
      <c r="G85" s="172">
        <f t="shared" si="12"/>
        <v>11405.720536238499</v>
      </c>
      <c r="H85" s="172">
        <f t="shared" si="13"/>
        <v>5530.1666602167898</v>
      </c>
      <c r="I85" s="169"/>
    </row>
    <row r="86" spans="1:9" ht="15.75" thickBot="1" x14ac:dyDescent="0.3">
      <c r="B86" s="164">
        <v>2034</v>
      </c>
      <c r="C86" s="164">
        <v>20</v>
      </c>
      <c r="D86" s="179">
        <v>0</v>
      </c>
      <c r="E86" s="172">
        <f>'8 - O&amp;M Costs'!E15</f>
        <v>774400</v>
      </c>
      <c r="F86" s="180">
        <f t="shared" si="11"/>
        <v>774400</v>
      </c>
      <c r="G86" s="172">
        <f t="shared" si="12"/>
        <v>428766.50404189777</v>
      </c>
      <c r="H86" s="172">
        <f t="shared" si="13"/>
        <v>200119.67577905991</v>
      </c>
      <c r="I86" s="169"/>
    </row>
    <row r="87" spans="1:9" ht="15.75" thickBot="1" x14ac:dyDescent="0.3">
      <c r="B87" s="181"/>
      <c r="C87" s="160"/>
      <c r="D87" s="182">
        <f>SUM(D66:D73)</f>
        <v>15000000</v>
      </c>
      <c r="E87" s="183">
        <f>SUM(E66:E86)</f>
        <v>1868800</v>
      </c>
      <c r="F87" s="169">
        <f>SUM(F66:F86)</f>
        <v>16868800</v>
      </c>
      <c r="G87" s="169">
        <f>SUM(G66:G86)</f>
        <v>15674311.108437462</v>
      </c>
      <c r="H87" s="169">
        <f>SUM(H66:H86)</f>
        <v>14504656.930867944</v>
      </c>
      <c r="I87" s="169"/>
    </row>
    <row r="88" spans="1:9" ht="15.75" thickBot="1" x14ac:dyDescent="0.3">
      <c r="B88" s="181"/>
      <c r="C88" s="160"/>
      <c r="D88" s="167"/>
      <c r="E88" s="160"/>
      <c r="F88" s="160"/>
      <c r="G88" s="160"/>
      <c r="H88" s="160"/>
      <c r="I88" s="169"/>
    </row>
    <row r="89" spans="1:9" ht="15.75" thickBot="1" x14ac:dyDescent="0.3">
      <c r="B89" s="181"/>
      <c r="C89" s="160"/>
      <c r="D89" s="167"/>
      <c r="E89" s="160"/>
      <c r="F89" s="174" t="s">
        <v>80</v>
      </c>
      <c r="G89" s="175">
        <f>G63+G87</f>
        <v>15674311.108437462</v>
      </c>
      <c r="H89" s="175">
        <f>H63+H87</f>
        <v>14504656.930867944</v>
      </c>
      <c r="I89" s="169"/>
    </row>
    <row r="90" spans="1:9" x14ac:dyDescent="0.25">
      <c r="A90" s="160"/>
      <c r="B90" s="161" t="s">
        <v>74</v>
      </c>
      <c r="C90" s="160"/>
      <c r="D90" s="160"/>
      <c r="E90" s="160"/>
      <c r="F90" s="160"/>
      <c r="G90" s="160"/>
      <c r="H90" s="160"/>
      <c r="I90" s="160"/>
    </row>
    <row r="91" spans="1:9" x14ac:dyDescent="0.25">
      <c r="A91" s="160">
        <v>1</v>
      </c>
      <c r="B91" s="160" t="s">
        <v>86</v>
      </c>
      <c r="C91" s="160"/>
      <c r="D91" s="160"/>
      <c r="E91" s="160"/>
      <c r="F91" s="160"/>
      <c r="G91" s="160"/>
      <c r="H91" s="160"/>
      <c r="I91" s="160"/>
    </row>
    <row r="92" spans="1:9" x14ac:dyDescent="0.25">
      <c r="A92" s="160"/>
      <c r="B92" s="160"/>
      <c r="C92" s="160" t="s">
        <v>44</v>
      </c>
      <c r="D92" s="160"/>
      <c r="E92" s="192">
        <v>0.03</v>
      </c>
      <c r="F92" s="160"/>
      <c r="G92" s="160"/>
      <c r="H92" s="160"/>
      <c r="I92" s="160"/>
    </row>
    <row r="93" spans="1:9" x14ac:dyDescent="0.25">
      <c r="A93" s="160"/>
      <c r="B93" s="160"/>
      <c r="C93" s="160" t="s">
        <v>44</v>
      </c>
      <c r="D93" s="160"/>
      <c r="E93" s="192">
        <v>7.0000000000000007E-2</v>
      </c>
      <c r="F93" s="160"/>
      <c r="G93" s="160"/>
      <c r="H93" s="160"/>
      <c r="I93" s="160"/>
    </row>
    <row r="94" spans="1:9" x14ac:dyDescent="0.25">
      <c r="A94" s="160">
        <v>2</v>
      </c>
      <c r="B94" s="160" t="s">
        <v>209</v>
      </c>
      <c r="C94" s="160"/>
      <c r="D94" s="160"/>
      <c r="E94" s="160"/>
      <c r="F94" s="160"/>
      <c r="G94" s="160"/>
      <c r="H94" s="160"/>
      <c r="I94" s="160"/>
    </row>
    <row r="95" spans="1:9" x14ac:dyDescent="0.25">
      <c r="A95" s="160"/>
      <c r="B95" s="160" t="s">
        <v>165</v>
      </c>
      <c r="C95" s="160"/>
      <c r="D95" s="160"/>
      <c r="E95" s="160"/>
      <c r="F95" s="160"/>
      <c r="G95" s="160"/>
      <c r="H95" s="160"/>
      <c r="I95" s="160"/>
    </row>
    <row r="96" spans="1:9" x14ac:dyDescent="0.25">
      <c r="A96" s="160"/>
      <c r="B96" s="160"/>
      <c r="C96" s="160" t="s">
        <v>43</v>
      </c>
      <c r="D96" s="160"/>
      <c r="E96" s="193">
        <f>649/15618</f>
        <v>4.1554616468177742E-2</v>
      </c>
      <c r="F96" s="160"/>
      <c r="G96" s="160"/>
      <c r="H96" s="160"/>
      <c r="I96" s="160"/>
    </row>
    <row r="97" spans="1:9" x14ac:dyDescent="0.25">
      <c r="A97" s="160">
        <v>3</v>
      </c>
      <c r="B97" s="160" t="s">
        <v>82</v>
      </c>
      <c r="C97" s="160"/>
      <c r="D97" s="160"/>
      <c r="E97" s="160"/>
      <c r="F97" s="160"/>
      <c r="G97" s="160"/>
      <c r="H97" s="160"/>
      <c r="I97" s="160"/>
    </row>
    <row r="98" spans="1:9" x14ac:dyDescent="0.25">
      <c r="A98" s="160"/>
      <c r="B98" s="160" t="s">
        <v>83</v>
      </c>
      <c r="C98" s="160"/>
      <c r="D98" s="160"/>
      <c r="E98" s="160"/>
      <c r="F98" s="160"/>
      <c r="G98" s="160"/>
      <c r="H98" s="160"/>
      <c r="I98" s="160"/>
    </row>
    <row r="99" spans="1:9" x14ac:dyDescent="0.25">
      <c r="A99" s="160"/>
      <c r="B99" s="160"/>
      <c r="C99" s="160" t="s">
        <v>87</v>
      </c>
      <c r="D99" s="160"/>
      <c r="E99" s="160"/>
      <c r="F99" s="160"/>
      <c r="G99" s="160"/>
      <c r="H99" s="182">
        <v>16.7</v>
      </c>
      <c r="I99" s="160" t="s">
        <v>73</v>
      </c>
    </row>
    <row r="100" spans="1:9" x14ac:dyDescent="0.25">
      <c r="A100" s="160"/>
      <c r="B100" s="160"/>
      <c r="C100" s="160" t="s">
        <v>88</v>
      </c>
      <c r="D100" s="160"/>
      <c r="E100" s="160"/>
      <c r="F100" s="160"/>
      <c r="G100" s="160"/>
      <c r="H100" s="182">
        <v>22.9</v>
      </c>
      <c r="I100" s="160" t="s">
        <v>73</v>
      </c>
    </row>
    <row r="101" spans="1:9" x14ac:dyDescent="0.25">
      <c r="A101" s="160">
        <v>4</v>
      </c>
      <c r="B101" s="160" t="s">
        <v>210</v>
      </c>
      <c r="C101" s="160"/>
      <c r="D101" s="160"/>
      <c r="E101" s="160"/>
      <c r="F101" s="160"/>
      <c r="G101" s="160"/>
      <c r="H101" s="160"/>
      <c r="I101" s="160"/>
    </row>
    <row r="102" spans="1:9" x14ac:dyDescent="0.25">
      <c r="A102" s="160"/>
      <c r="B102" s="160" t="s">
        <v>167</v>
      </c>
      <c r="C102" s="160"/>
      <c r="D102" s="160"/>
      <c r="E102" s="160"/>
      <c r="F102" s="160"/>
      <c r="G102" s="160"/>
      <c r="H102" s="160"/>
      <c r="I102" s="160"/>
    </row>
    <row r="103" spans="1:9" x14ac:dyDescent="0.25">
      <c r="A103" s="160">
        <v>5</v>
      </c>
      <c r="B103" s="160" t="s">
        <v>211</v>
      </c>
      <c r="C103" s="160"/>
      <c r="D103" s="160"/>
      <c r="E103" s="160"/>
      <c r="F103" s="160"/>
      <c r="G103" s="160"/>
      <c r="H103" s="160"/>
      <c r="I103" s="160"/>
    </row>
    <row r="104" spans="1:9" x14ac:dyDescent="0.25">
      <c r="A104" s="160"/>
      <c r="B104" s="160" t="s">
        <v>158</v>
      </c>
      <c r="C104" s="160"/>
      <c r="D104" s="160"/>
      <c r="E104" s="160"/>
      <c r="F104" s="160"/>
      <c r="G104" s="160"/>
      <c r="H104" s="160"/>
      <c r="I104" s="160"/>
    </row>
    <row r="105" spans="1:9" x14ac:dyDescent="0.25">
      <c r="A105" s="160"/>
      <c r="B105" s="160" t="s">
        <v>81</v>
      </c>
      <c r="C105" s="160"/>
      <c r="D105" s="160"/>
      <c r="E105" s="160"/>
      <c r="F105" s="160"/>
      <c r="G105" s="160"/>
      <c r="H105" s="160"/>
      <c r="I105" s="160"/>
    </row>
    <row r="106" spans="1:9" s="135" customFormat="1" x14ac:dyDescent="0.25">
      <c r="A106" s="194">
        <v>6</v>
      </c>
      <c r="B106" s="194" t="s">
        <v>208</v>
      </c>
      <c r="C106" s="194"/>
      <c r="D106" s="194"/>
      <c r="E106" s="194"/>
      <c r="F106" s="194"/>
      <c r="G106" s="194"/>
      <c r="H106" s="194"/>
      <c r="I106" s="194"/>
    </row>
    <row r="107" spans="1:9" x14ac:dyDescent="0.25">
      <c r="A107" s="160">
        <v>7</v>
      </c>
      <c r="B107" s="160" t="s">
        <v>212</v>
      </c>
      <c r="C107" s="160"/>
      <c r="D107" s="160"/>
      <c r="E107" s="160"/>
      <c r="F107" s="160"/>
      <c r="G107" s="160"/>
      <c r="H107" s="160"/>
      <c r="I107" s="160"/>
    </row>
    <row r="108" spans="1:9" s="135" customFormat="1" x14ac:dyDescent="0.25">
      <c r="A108" s="194">
        <v>8</v>
      </c>
      <c r="B108" s="194" t="s">
        <v>213</v>
      </c>
      <c r="C108" s="195"/>
      <c r="D108" s="194"/>
      <c r="E108" s="194"/>
      <c r="F108" s="194"/>
      <c r="G108" s="194"/>
      <c r="H108" s="194"/>
      <c r="I108" s="194"/>
    </row>
    <row r="109" spans="1:9" x14ac:dyDescent="0.25">
      <c r="A109" s="160"/>
      <c r="B109" s="160"/>
      <c r="C109" s="196"/>
      <c r="D109" s="160"/>
      <c r="E109" s="160"/>
      <c r="F109" s="160"/>
      <c r="G109" s="160"/>
      <c r="H109" s="160"/>
      <c r="I109" s="160"/>
    </row>
    <row r="110" spans="1:9" x14ac:dyDescent="0.25">
      <c r="A110" s="160"/>
      <c r="B110" s="160"/>
      <c r="C110" s="196"/>
      <c r="D110" s="160"/>
      <c r="E110" s="160"/>
      <c r="F110" s="160"/>
      <c r="G110" s="160"/>
      <c r="H110" s="160"/>
      <c r="I110" s="160"/>
    </row>
    <row r="111" spans="1:9" x14ac:dyDescent="0.25">
      <c r="A111" s="160"/>
      <c r="B111" s="160"/>
      <c r="C111" s="160"/>
      <c r="E111" s="168"/>
      <c r="F111" s="197"/>
      <c r="G111" s="160"/>
      <c r="H111" s="160"/>
      <c r="I111" s="160"/>
    </row>
    <row r="112" spans="1:9" x14ac:dyDescent="0.25">
      <c r="A112" s="160"/>
      <c r="B112" s="160"/>
      <c r="C112" s="160"/>
      <c r="D112" s="160"/>
      <c r="E112" s="168"/>
      <c r="F112" s="198"/>
      <c r="G112" s="174"/>
      <c r="H112" s="168"/>
      <c r="I112" s="160"/>
    </row>
    <row r="113" spans="1:9" x14ac:dyDescent="0.25">
      <c r="A113" s="160"/>
      <c r="B113" s="160"/>
      <c r="C113" s="160"/>
      <c r="D113" s="160"/>
      <c r="E113" s="168"/>
      <c r="F113" s="199"/>
      <c r="G113" s="174"/>
      <c r="H113" s="168"/>
      <c r="I113" s="160"/>
    </row>
  </sheetData>
  <mergeCells count="2">
    <mergeCell ref="H7:H8"/>
    <mergeCell ref="H10:H11"/>
  </mergeCells>
  <pageMargins left="0.5" right="0.5" top="0.5" bottom="0.5" header="0.3" footer="0.3"/>
  <pageSetup scale="54" fitToHeight="2" orientation="portrait" r:id="rId1"/>
  <headerFooter>
    <oddFooter>Page &amp;P of &amp;N</oddFooter>
  </headerFooter>
  <rowBreaks count="1" manualBreakCount="1">
    <brk id="6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3"/>
  <sheetViews>
    <sheetView view="pageBreakPreview" zoomScale="60" zoomScaleNormal="100" workbookViewId="0">
      <selection activeCell="I9" sqref="I9"/>
    </sheetView>
  </sheetViews>
  <sheetFormatPr defaultRowHeight="15" x14ac:dyDescent="0.25"/>
  <cols>
    <col min="3" max="3" width="12.7109375" customWidth="1"/>
    <col min="4" max="4" width="12.28515625" customWidth="1"/>
    <col min="5" max="5" width="12" customWidth="1"/>
  </cols>
  <sheetData>
    <row r="1" spans="1:16" ht="23.25" x14ac:dyDescent="0.35">
      <c r="A1" s="52" t="s">
        <v>198</v>
      </c>
    </row>
    <row r="3" spans="1:16" x14ac:dyDescent="0.25">
      <c r="A3" s="32" t="s">
        <v>104</v>
      </c>
    </row>
    <row r="4" spans="1:16" x14ac:dyDescent="0.25">
      <c r="A4" s="32" t="s">
        <v>52</v>
      </c>
    </row>
    <row r="5" spans="1:16" x14ac:dyDescent="0.25">
      <c r="A5" s="67"/>
      <c r="B5" s="53"/>
      <c r="C5" s="68"/>
      <c r="D5" s="54"/>
      <c r="E5" s="54"/>
      <c r="F5" s="54"/>
      <c r="G5" s="54"/>
      <c r="H5" s="218" t="s">
        <v>54</v>
      </c>
      <c r="I5" s="219"/>
      <c r="J5" s="219"/>
      <c r="K5" s="220"/>
      <c r="L5" s="55"/>
      <c r="M5" s="218" t="s">
        <v>53</v>
      </c>
      <c r="N5" s="219"/>
      <c r="O5" s="219"/>
      <c r="P5" s="220"/>
    </row>
    <row r="6" spans="1:16" x14ac:dyDescent="0.25">
      <c r="A6" s="67"/>
      <c r="B6" s="53"/>
      <c r="C6" s="68"/>
      <c r="D6" s="54"/>
      <c r="E6" s="54"/>
      <c r="F6" s="54"/>
      <c r="G6" s="54"/>
      <c r="H6" s="218" t="s">
        <v>7</v>
      </c>
      <c r="I6" s="220"/>
      <c r="J6" s="218" t="s">
        <v>8</v>
      </c>
      <c r="K6" s="220"/>
      <c r="L6" s="55"/>
      <c r="M6" s="218" t="s">
        <v>7</v>
      </c>
      <c r="N6" s="220"/>
      <c r="O6" s="218" t="s">
        <v>8</v>
      </c>
      <c r="P6" s="220"/>
    </row>
    <row r="7" spans="1:16" ht="45" x14ac:dyDescent="0.25">
      <c r="A7" s="62" t="s">
        <v>103</v>
      </c>
      <c r="B7" s="63" t="s">
        <v>24</v>
      </c>
      <c r="C7" s="70"/>
      <c r="D7" s="64" t="s">
        <v>55</v>
      </c>
      <c r="E7" s="64" t="s">
        <v>56</v>
      </c>
      <c r="F7" s="64" t="s">
        <v>57</v>
      </c>
      <c r="G7" s="65"/>
      <c r="H7" s="65" t="s">
        <v>58</v>
      </c>
      <c r="I7" s="66" t="s">
        <v>35</v>
      </c>
      <c r="J7" s="65" t="s">
        <v>58</v>
      </c>
      <c r="K7" s="66" t="s">
        <v>35</v>
      </c>
      <c r="L7" s="66"/>
      <c r="M7" s="65" t="s">
        <v>58</v>
      </c>
      <c r="N7" s="66" t="s">
        <v>35</v>
      </c>
      <c r="O7" s="65" t="s">
        <v>58</v>
      </c>
      <c r="P7" s="66" t="s">
        <v>35</v>
      </c>
    </row>
    <row r="8" spans="1:16" x14ac:dyDescent="0.25">
      <c r="A8" s="61">
        <v>2009</v>
      </c>
      <c r="B8" s="56">
        <v>40030</v>
      </c>
      <c r="C8" s="69"/>
      <c r="D8" s="57">
        <v>9889</v>
      </c>
      <c r="E8" s="57">
        <v>9917</v>
      </c>
      <c r="F8" s="59">
        <f>SUM(D8:E8)</f>
        <v>19806</v>
      </c>
      <c r="G8" s="57"/>
      <c r="H8" s="57">
        <v>283</v>
      </c>
      <c r="I8" s="58">
        <v>1200</v>
      </c>
      <c r="J8" s="57">
        <v>1517</v>
      </c>
      <c r="K8" s="58">
        <v>1800</v>
      </c>
      <c r="L8" s="58"/>
      <c r="M8" s="57">
        <v>1483</v>
      </c>
      <c r="N8" s="58">
        <v>645</v>
      </c>
      <c r="O8" s="57">
        <v>373</v>
      </c>
      <c r="P8" s="58">
        <v>1430</v>
      </c>
    </row>
    <row r="9" spans="1:16" x14ac:dyDescent="0.25">
      <c r="A9" s="61">
        <v>2008</v>
      </c>
      <c r="B9" s="56">
        <v>39666</v>
      </c>
      <c r="C9" s="69"/>
      <c r="D9" s="57">
        <v>9887</v>
      </c>
      <c r="E9" s="57">
        <v>10001</v>
      </c>
      <c r="F9" s="59">
        <f t="shared" ref="F9:F16" si="0">SUM(D9:E9)</f>
        <v>19888</v>
      </c>
      <c r="G9" s="57"/>
      <c r="H9" s="57">
        <v>296</v>
      </c>
      <c r="I9" s="58">
        <v>1200</v>
      </c>
      <c r="J9" s="57">
        <v>1575</v>
      </c>
      <c r="K9" s="58">
        <v>1800</v>
      </c>
      <c r="L9" s="58"/>
      <c r="M9" s="57">
        <v>1539</v>
      </c>
      <c r="N9" s="58">
        <v>700</v>
      </c>
      <c r="O9" s="57">
        <v>361</v>
      </c>
      <c r="P9" s="58">
        <v>1630</v>
      </c>
    </row>
    <row r="10" spans="1:16" x14ac:dyDescent="0.25">
      <c r="A10" s="61">
        <v>2007</v>
      </c>
      <c r="B10" s="56">
        <v>39323</v>
      </c>
      <c r="C10" s="69"/>
      <c r="D10" s="57">
        <v>10826</v>
      </c>
      <c r="E10" s="57">
        <v>10902</v>
      </c>
      <c r="F10" s="59">
        <f t="shared" si="0"/>
        <v>21728</v>
      </c>
      <c r="G10" s="57"/>
      <c r="H10" s="57">
        <v>339</v>
      </c>
      <c r="I10" s="58">
        <v>1145</v>
      </c>
      <c r="J10" s="57">
        <v>1474</v>
      </c>
      <c r="K10" s="58">
        <v>1715</v>
      </c>
      <c r="L10" s="58"/>
      <c r="M10" s="57">
        <v>1629</v>
      </c>
      <c r="N10" s="58">
        <v>645</v>
      </c>
      <c r="O10" s="57">
        <v>417</v>
      </c>
      <c r="P10" s="58">
        <v>1615</v>
      </c>
    </row>
    <row r="11" spans="1:16" x14ac:dyDescent="0.25">
      <c r="A11" s="61">
        <v>2006</v>
      </c>
      <c r="B11" s="56">
        <v>38931</v>
      </c>
      <c r="C11" s="69"/>
      <c r="D11" s="57">
        <v>11122</v>
      </c>
      <c r="E11" s="57">
        <v>11313</v>
      </c>
      <c r="F11" s="59">
        <f t="shared" si="0"/>
        <v>22435</v>
      </c>
      <c r="G11" s="57"/>
      <c r="H11" s="57">
        <v>379</v>
      </c>
      <c r="I11" s="58">
        <v>730</v>
      </c>
      <c r="J11" s="57">
        <v>1432</v>
      </c>
      <c r="K11" s="58">
        <v>1745</v>
      </c>
      <c r="L11" s="58"/>
      <c r="M11" s="57">
        <v>1674</v>
      </c>
      <c r="N11" s="58">
        <v>630</v>
      </c>
      <c r="O11" s="57">
        <v>517</v>
      </c>
      <c r="P11" s="58">
        <v>1615</v>
      </c>
    </row>
    <row r="12" spans="1:16" x14ac:dyDescent="0.25">
      <c r="A12" s="61">
        <v>2005</v>
      </c>
      <c r="B12" s="56">
        <v>38548</v>
      </c>
      <c r="C12" s="69"/>
      <c r="D12" s="57">
        <v>11375</v>
      </c>
      <c r="E12" s="57">
        <v>11064</v>
      </c>
      <c r="F12" s="59">
        <f t="shared" si="0"/>
        <v>22439</v>
      </c>
      <c r="G12" s="57"/>
      <c r="H12" s="57">
        <v>390</v>
      </c>
      <c r="I12" s="58">
        <v>730</v>
      </c>
      <c r="J12" s="57">
        <v>1318</v>
      </c>
      <c r="K12" s="58">
        <v>1800</v>
      </c>
      <c r="L12" s="58"/>
      <c r="M12" s="57">
        <v>1471</v>
      </c>
      <c r="N12" s="58">
        <v>945</v>
      </c>
      <c r="O12" s="57">
        <v>546</v>
      </c>
      <c r="P12" s="58">
        <v>1630</v>
      </c>
    </row>
    <row r="13" spans="1:16" x14ac:dyDescent="0.25">
      <c r="A13" s="61">
        <v>2004</v>
      </c>
      <c r="B13" s="56">
        <v>38077</v>
      </c>
      <c r="C13" s="69"/>
      <c r="D13" s="57">
        <v>10864</v>
      </c>
      <c r="E13" s="57">
        <v>11254</v>
      </c>
      <c r="F13" s="59">
        <f t="shared" si="0"/>
        <v>22118</v>
      </c>
      <c r="G13" s="57"/>
      <c r="H13" s="57">
        <v>391</v>
      </c>
      <c r="I13" s="58">
        <v>730</v>
      </c>
      <c r="J13" s="57">
        <v>1378</v>
      </c>
      <c r="K13" s="58">
        <v>1645</v>
      </c>
      <c r="L13" s="58"/>
      <c r="M13" s="60">
        <v>1635</v>
      </c>
      <c r="N13" s="58">
        <v>630</v>
      </c>
      <c r="O13" s="60">
        <v>451</v>
      </c>
      <c r="P13" s="58">
        <v>1630</v>
      </c>
    </row>
    <row r="14" spans="1:16" x14ac:dyDescent="0.25">
      <c r="A14" s="61">
        <v>2003</v>
      </c>
      <c r="B14" s="56">
        <v>37817</v>
      </c>
      <c r="C14" s="69"/>
      <c r="D14" s="57">
        <v>10911</v>
      </c>
      <c r="E14" s="57">
        <v>10833</v>
      </c>
      <c r="F14" s="59">
        <f t="shared" si="0"/>
        <v>21744</v>
      </c>
      <c r="G14" s="57"/>
      <c r="H14" s="57">
        <v>378</v>
      </c>
      <c r="I14" s="58">
        <v>700</v>
      </c>
      <c r="J14" s="57">
        <v>1252</v>
      </c>
      <c r="K14" s="58">
        <v>1815</v>
      </c>
      <c r="L14" s="58"/>
      <c r="M14" s="57">
        <v>1491</v>
      </c>
      <c r="N14" s="58">
        <v>730</v>
      </c>
      <c r="O14" s="57">
        <v>479</v>
      </c>
      <c r="P14" s="58">
        <v>1630</v>
      </c>
    </row>
    <row r="15" spans="1:16" x14ac:dyDescent="0.25">
      <c r="A15" s="61">
        <v>1997</v>
      </c>
      <c r="B15" s="56">
        <v>35537</v>
      </c>
      <c r="C15" s="69"/>
      <c r="D15" s="57">
        <v>10326</v>
      </c>
      <c r="E15" s="57">
        <v>7757</v>
      </c>
      <c r="F15" s="59">
        <f t="shared" si="0"/>
        <v>18083</v>
      </c>
      <c r="G15" s="57"/>
      <c r="H15" s="57">
        <v>424</v>
      </c>
      <c r="I15" s="58">
        <v>830</v>
      </c>
      <c r="J15" s="57">
        <v>1593</v>
      </c>
      <c r="K15" s="58">
        <v>1730</v>
      </c>
      <c r="L15" s="58"/>
      <c r="M15" s="57">
        <v>1515</v>
      </c>
      <c r="N15" s="58">
        <v>700</v>
      </c>
      <c r="O15" s="57">
        <v>235</v>
      </c>
      <c r="P15" s="58">
        <v>1415</v>
      </c>
    </row>
    <row r="16" spans="1:16" x14ac:dyDescent="0.25">
      <c r="A16" s="61">
        <v>1996</v>
      </c>
      <c r="B16" s="56">
        <v>35193</v>
      </c>
      <c r="C16" s="69"/>
      <c r="D16" s="57">
        <v>8152</v>
      </c>
      <c r="E16" s="57">
        <v>8170</v>
      </c>
      <c r="F16" s="59">
        <f t="shared" si="0"/>
        <v>16322</v>
      </c>
      <c r="G16" s="57"/>
      <c r="H16" s="57">
        <v>224</v>
      </c>
      <c r="I16" s="58">
        <v>800</v>
      </c>
      <c r="J16" s="57">
        <v>1450</v>
      </c>
      <c r="K16" s="58">
        <v>1815</v>
      </c>
      <c r="L16" s="58"/>
      <c r="M16" s="57">
        <v>1497</v>
      </c>
      <c r="N16" s="58">
        <v>715</v>
      </c>
      <c r="O16" s="57">
        <v>307</v>
      </c>
      <c r="P16" s="58">
        <v>1430</v>
      </c>
    </row>
    <row r="19" spans="1:5" x14ac:dyDescent="0.25">
      <c r="A19" s="32" t="s">
        <v>13</v>
      </c>
    </row>
    <row r="20" spans="1:5" x14ac:dyDescent="0.25">
      <c r="A20" s="32" t="s">
        <v>14</v>
      </c>
    </row>
    <row r="21" spans="1:5" x14ac:dyDescent="0.25">
      <c r="A21" s="32"/>
    </row>
    <row r="22" spans="1:5" x14ac:dyDescent="0.25">
      <c r="A22" t="s">
        <v>18</v>
      </c>
    </row>
    <row r="23" spans="1:5" x14ac:dyDescent="0.25">
      <c r="A23" s="37"/>
      <c r="B23" s="37" t="s">
        <v>16</v>
      </c>
      <c r="C23" s="37" t="s">
        <v>15</v>
      </c>
      <c r="D23" s="37" t="s">
        <v>17</v>
      </c>
      <c r="E23" s="37" t="s">
        <v>105</v>
      </c>
    </row>
    <row r="24" spans="1:5" x14ac:dyDescent="0.25">
      <c r="A24" s="37">
        <v>2000</v>
      </c>
      <c r="B24" s="37">
        <v>9577</v>
      </c>
      <c r="C24" s="37">
        <v>8819</v>
      </c>
      <c r="D24" s="37">
        <f>SUM(B24:C24)</f>
        <v>18396</v>
      </c>
      <c r="E24" s="37" t="s">
        <v>68</v>
      </c>
    </row>
    <row r="25" spans="1:5" x14ac:dyDescent="0.25">
      <c r="A25" s="37">
        <v>2030</v>
      </c>
      <c r="B25" s="37">
        <v>19215</v>
      </c>
      <c r="C25" s="37">
        <v>14003</v>
      </c>
      <c r="D25" s="37">
        <f>SUM(B25:C25)</f>
        <v>33218</v>
      </c>
      <c r="E25" s="71">
        <f>(D25-D24)/D24</f>
        <v>0.80571863448575776</v>
      </c>
    </row>
    <row r="26" spans="1:5" x14ac:dyDescent="0.25">
      <c r="A26" s="211" t="s">
        <v>106</v>
      </c>
      <c r="B26" s="212"/>
      <c r="C26" s="212"/>
      <c r="D26" s="213"/>
      <c r="E26" s="72">
        <f>E25/30</f>
        <v>2.6857287816191924E-2</v>
      </c>
    </row>
    <row r="28" spans="1:5" x14ac:dyDescent="0.25">
      <c r="A28" t="s">
        <v>0</v>
      </c>
      <c r="D28" s="31"/>
    </row>
    <row r="29" spans="1:5" x14ac:dyDescent="0.25">
      <c r="A29" s="37"/>
      <c r="B29" s="37" t="s">
        <v>16</v>
      </c>
      <c r="C29" s="37" t="s">
        <v>15</v>
      </c>
      <c r="D29" s="37" t="s">
        <v>17</v>
      </c>
      <c r="E29" s="37"/>
    </row>
    <row r="30" spans="1:5" x14ac:dyDescent="0.25">
      <c r="A30" s="37">
        <v>2000</v>
      </c>
      <c r="B30" s="37">
        <v>10783</v>
      </c>
      <c r="C30" s="37">
        <v>8814</v>
      </c>
      <c r="D30" s="37">
        <f>SUM(B30:C30)</f>
        <v>19597</v>
      </c>
      <c r="E30" s="37"/>
    </row>
    <row r="31" spans="1:5" x14ac:dyDescent="0.25">
      <c r="A31" s="37">
        <v>2030</v>
      </c>
      <c r="B31" s="37">
        <v>14556</v>
      </c>
      <c r="C31" s="37">
        <v>13982</v>
      </c>
      <c r="D31" s="37">
        <f>SUM(B31:C31)</f>
        <v>28538</v>
      </c>
      <c r="E31" s="71">
        <f>(D31-D30)/D30</f>
        <v>0.45624330254630813</v>
      </c>
    </row>
    <row r="32" spans="1:5" x14ac:dyDescent="0.25">
      <c r="A32" s="214" t="s">
        <v>106</v>
      </c>
      <c r="B32" s="215"/>
      <c r="C32" s="215"/>
      <c r="D32" s="216"/>
      <c r="E32" s="141">
        <f>E31/30</f>
        <v>1.5208110084876937E-2</v>
      </c>
    </row>
    <row r="33" spans="1:16" x14ac:dyDescent="0.25">
      <c r="E33" s="31"/>
    </row>
    <row r="34" spans="1:16" x14ac:dyDescent="0.25">
      <c r="A34" t="s">
        <v>19</v>
      </c>
      <c r="D34" s="31"/>
      <c r="E34" s="31"/>
    </row>
    <row r="35" spans="1:16" x14ac:dyDescent="0.25">
      <c r="A35" s="37"/>
      <c r="B35" s="37" t="s">
        <v>15</v>
      </c>
      <c r="C35" s="37" t="s">
        <v>16</v>
      </c>
      <c r="D35" s="37" t="s">
        <v>17</v>
      </c>
      <c r="E35" s="37"/>
    </row>
    <row r="36" spans="1:16" x14ac:dyDescent="0.25">
      <c r="A36" s="37">
        <v>2000</v>
      </c>
      <c r="B36" s="37">
        <v>8798</v>
      </c>
      <c r="C36" s="37">
        <v>10764</v>
      </c>
      <c r="D36" s="37">
        <f>SUM(B36:C36)</f>
        <v>19562</v>
      </c>
      <c r="E36" s="37"/>
    </row>
    <row r="37" spans="1:16" x14ac:dyDescent="0.25">
      <c r="A37" s="37">
        <v>2030</v>
      </c>
      <c r="B37" s="37">
        <v>13964</v>
      </c>
      <c r="C37" s="37">
        <v>14521</v>
      </c>
      <c r="D37" s="37">
        <f>SUM(B37:C37)</f>
        <v>28485</v>
      </c>
      <c r="E37" s="72">
        <f>(D37-D36)/D36</f>
        <v>0.45613945404355383</v>
      </c>
    </row>
    <row r="38" spans="1:16" x14ac:dyDescent="0.25">
      <c r="A38" s="217" t="s">
        <v>106</v>
      </c>
      <c r="B38" s="217"/>
      <c r="C38" s="217"/>
      <c r="D38" s="217"/>
      <c r="E38" s="141">
        <f>E37/30</f>
        <v>1.520464846811846E-2</v>
      </c>
    </row>
    <row r="39" spans="1:16" x14ac:dyDescent="0.25">
      <c r="B39" s="32"/>
      <c r="C39" s="31"/>
      <c r="D39" s="31"/>
      <c r="E39" s="31"/>
    </row>
    <row r="40" spans="1:16" x14ac:dyDescent="0.25">
      <c r="B40" s="32"/>
      <c r="C40" s="31"/>
      <c r="D40" s="31"/>
      <c r="E40" s="31"/>
    </row>
    <row r="41" spans="1:16" x14ac:dyDescent="0.25">
      <c r="B41" s="32"/>
      <c r="C41" s="31"/>
      <c r="D41" s="31"/>
      <c r="E41" s="31"/>
    </row>
    <row r="42" spans="1:16" x14ac:dyDescent="0.25">
      <c r="B42" s="32"/>
      <c r="C42" s="31"/>
      <c r="D42" s="31"/>
      <c r="E42" s="31"/>
    </row>
    <row r="44" spans="1:16" x14ac:dyDescent="0.25">
      <c r="B44" s="13"/>
      <c r="C44" s="14"/>
      <c r="F44" s="16"/>
      <c r="G44" s="17"/>
      <c r="H44" s="18" t="s">
        <v>4</v>
      </c>
      <c r="I44" s="19"/>
      <c r="J44" s="18"/>
      <c r="K44" s="19"/>
      <c r="L44" s="20"/>
      <c r="M44" s="18" t="s">
        <v>5</v>
      </c>
      <c r="N44" s="21"/>
      <c r="O44" s="18"/>
      <c r="P44" s="21"/>
    </row>
    <row r="45" spans="1:16" x14ac:dyDescent="0.25">
      <c r="B45" s="13"/>
      <c r="C45" s="14"/>
      <c r="D45" s="15" t="s">
        <v>2</v>
      </c>
      <c r="E45" s="15" t="s">
        <v>3</v>
      </c>
      <c r="F45" s="22" t="s">
        <v>6</v>
      </c>
      <c r="G45" s="23"/>
      <c r="H45" s="18" t="s">
        <v>7</v>
      </c>
      <c r="I45" s="19"/>
      <c r="J45" s="18" t="s">
        <v>8</v>
      </c>
      <c r="K45" s="19"/>
      <c r="L45" s="20"/>
      <c r="M45" s="18" t="s">
        <v>7</v>
      </c>
      <c r="N45" s="21"/>
      <c r="O45" s="18" t="s">
        <v>8</v>
      </c>
      <c r="P45" s="21"/>
    </row>
    <row r="46" spans="1:16" x14ac:dyDescent="0.25">
      <c r="A46" t="s">
        <v>103</v>
      </c>
      <c r="B46" s="24" t="s">
        <v>9</v>
      </c>
      <c r="C46" s="25"/>
      <c r="D46" s="26" t="s">
        <v>10</v>
      </c>
      <c r="E46" s="26" t="s">
        <v>10</v>
      </c>
      <c r="F46" s="27" t="s">
        <v>11</v>
      </c>
      <c r="G46" s="28"/>
      <c r="H46" s="26" t="s">
        <v>10</v>
      </c>
      <c r="I46" s="29" t="s">
        <v>12</v>
      </c>
      <c r="J46" s="26" t="s">
        <v>10</v>
      </c>
      <c r="K46" s="29" t="s">
        <v>12</v>
      </c>
      <c r="L46" s="30"/>
      <c r="M46" s="26" t="s">
        <v>10</v>
      </c>
      <c r="N46" s="30" t="s">
        <v>12</v>
      </c>
      <c r="O46" s="26" t="s">
        <v>10</v>
      </c>
      <c r="P46" s="30" t="s">
        <v>12</v>
      </c>
    </row>
    <row r="47" spans="1:16" x14ac:dyDescent="0.25">
      <c r="A47">
        <v>1996</v>
      </c>
      <c r="B47" s="3">
        <v>35193</v>
      </c>
      <c r="C47" s="4"/>
      <c r="D47" s="5">
        <v>8152</v>
      </c>
      <c r="E47" s="5">
        <v>8170</v>
      </c>
      <c r="F47" s="11">
        <f>D47+E47</f>
        <v>16322</v>
      </c>
      <c r="G47" s="7"/>
      <c r="H47" s="5">
        <v>224</v>
      </c>
      <c r="I47" s="8">
        <v>800</v>
      </c>
      <c r="J47" s="5">
        <v>1450</v>
      </c>
      <c r="K47" s="8">
        <v>1815</v>
      </c>
      <c r="L47" s="9"/>
      <c r="M47" s="5">
        <v>1497</v>
      </c>
      <c r="N47" s="9">
        <v>715</v>
      </c>
      <c r="O47" s="5">
        <v>307</v>
      </c>
      <c r="P47" s="9">
        <v>1430</v>
      </c>
    </row>
    <row r="48" spans="1:16" hidden="1" x14ac:dyDescent="0.25">
      <c r="B48" s="3">
        <v>40030</v>
      </c>
      <c r="C48" s="4"/>
      <c r="D48" s="5">
        <v>9936</v>
      </c>
      <c r="E48" s="5">
        <v>9756</v>
      </c>
      <c r="F48" s="6">
        <f>(D48+E48)</f>
        <v>19692</v>
      </c>
      <c r="G48" s="7"/>
      <c r="H48" s="5">
        <v>277</v>
      </c>
      <c r="I48" s="8">
        <v>1200</v>
      </c>
      <c r="J48" s="5">
        <v>1554</v>
      </c>
      <c r="K48" s="8">
        <v>1800</v>
      </c>
      <c r="L48" s="9"/>
      <c r="M48" s="5">
        <v>1437</v>
      </c>
      <c r="N48" s="9">
        <v>645</v>
      </c>
      <c r="O48" s="5">
        <v>372</v>
      </c>
      <c r="P48" s="9">
        <v>1630</v>
      </c>
    </row>
    <row r="49" spans="1:16" x14ac:dyDescent="0.25">
      <c r="A49">
        <v>1997</v>
      </c>
      <c r="B49" s="3">
        <v>35537</v>
      </c>
      <c r="C49" s="4"/>
      <c r="D49" s="5">
        <v>10326</v>
      </c>
      <c r="E49" s="5">
        <v>7757</v>
      </c>
      <c r="F49" s="6">
        <f>D49+E49</f>
        <v>18083</v>
      </c>
      <c r="G49" s="7"/>
      <c r="H49" s="5">
        <v>424</v>
      </c>
      <c r="I49" s="8">
        <v>830</v>
      </c>
      <c r="J49" s="5">
        <v>1593</v>
      </c>
      <c r="K49" s="8">
        <v>1730</v>
      </c>
      <c r="L49" s="9"/>
      <c r="M49" s="5">
        <v>1515</v>
      </c>
      <c r="N49" s="9">
        <v>700</v>
      </c>
      <c r="O49" s="5">
        <v>235</v>
      </c>
      <c r="P49" s="9">
        <v>1415</v>
      </c>
    </row>
    <row r="50" spans="1:16" hidden="1" x14ac:dyDescent="0.25">
      <c r="B50" s="3">
        <v>39666</v>
      </c>
      <c r="C50" s="4"/>
      <c r="D50" s="5">
        <v>9886</v>
      </c>
      <c r="E50" s="5">
        <v>9844</v>
      </c>
      <c r="F50" s="6">
        <f>(D50+E50)</f>
        <v>19730</v>
      </c>
      <c r="G50" s="7"/>
      <c r="H50" s="5">
        <v>296</v>
      </c>
      <c r="I50" s="8">
        <v>1200</v>
      </c>
      <c r="J50" s="5">
        <v>1571</v>
      </c>
      <c r="K50" s="8">
        <v>1800</v>
      </c>
      <c r="L50" s="9"/>
      <c r="M50" s="5">
        <v>1484</v>
      </c>
      <c r="N50" s="9">
        <v>700</v>
      </c>
      <c r="O50" s="5">
        <v>365</v>
      </c>
      <c r="P50" s="9">
        <v>1630</v>
      </c>
    </row>
    <row r="51" spans="1:16" x14ac:dyDescent="0.25">
      <c r="A51">
        <v>2003</v>
      </c>
      <c r="B51" s="3">
        <v>37817</v>
      </c>
      <c r="C51" s="4"/>
      <c r="D51" s="5">
        <v>10911</v>
      </c>
      <c r="E51" s="5">
        <v>10833</v>
      </c>
      <c r="F51" s="6">
        <f>D51+E51</f>
        <v>21744</v>
      </c>
      <c r="G51" s="7"/>
      <c r="H51" s="5">
        <v>378</v>
      </c>
      <c r="I51" s="8">
        <v>700</v>
      </c>
      <c r="J51" s="5">
        <v>1252</v>
      </c>
      <c r="K51" s="8">
        <v>1815</v>
      </c>
      <c r="L51" s="9"/>
      <c r="M51" s="5">
        <v>1491</v>
      </c>
      <c r="N51" s="9">
        <v>730</v>
      </c>
      <c r="O51" s="5">
        <v>479</v>
      </c>
      <c r="P51" s="9">
        <v>1630</v>
      </c>
    </row>
    <row r="52" spans="1:16" hidden="1" x14ac:dyDescent="0.25">
      <c r="B52" s="3">
        <v>39323</v>
      </c>
      <c r="C52" s="4"/>
      <c r="D52" s="5">
        <v>10784</v>
      </c>
      <c r="E52" s="5">
        <v>10909</v>
      </c>
      <c r="F52" s="6">
        <f>(D52+E52)</f>
        <v>21693</v>
      </c>
      <c r="G52" s="7"/>
      <c r="H52" s="5">
        <v>318</v>
      </c>
      <c r="I52" s="8">
        <v>1145</v>
      </c>
      <c r="J52" s="5">
        <v>1468</v>
      </c>
      <c r="K52" s="8">
        <v>1815</v>
      </c>
      <c r="L52" s="9"/>
      <c r="M52" s="5">
        <v>1616</v>
      </c>
      <c r="N52" s="9">
        <v>645</v>
      </c>
      <c r="O52" s="5">
        <v>418</v>
      </c>
      <c r="P52" s="9">
        <v>1615</v>
      </c>
    </row>
    <row r="53" spans="1:16" ht="14.25" customHeight="1" x14ac:dyDescent="0.25">
      <c r="A53">
        <v>2004</v>
      </c>
      <c r="B53" s="3">
        <v>38077</v>
      </c>
      <c r="C53" s="4"/>
      <c r="D53" s="5">
        <v>10864</v>
      </c>
      <c r="E53" s="5">
        <v>11254</v>
      </c>
      <c r="F53" s="11">
        <f>D53+E53</f>
        <v>22118</v>
      </c>
      <c r="G53" s="7"/>
      <c r="H53" s="5">
        <v>391</v>
      </c>
      <c r="I53" s="8">
        <v>730</v>
      </c>
      <c r="J53" s="5">
        <v>1378</v>
      </c>
      <c r="K53" s="8">
        <v>1645</v>
      </c>
      <c r="L53" s="9"/>
      <c r="M53" s="12">
        <v>1635</v>
      </c>
      <c r="N53" s="9">
        <v>630</v>
      </c>
      <c r="O53" s="12">
        <v>451</v>
      </c>
      <c r="P53" s="9">
        <v>1630</v>
      </c>
    </row>
    <row r="54" spans="1:16" hidden="1" x14ac:dyDescent="0.25">
      <c r="B54" s="3">
        <v>38931</v>
      </c>
      <c r="C54" s="4"/>
      <c r="D54" s="5">
        <v>11116</v>
      </c>
      <c r="E54" s="5">
        <v>11278</v>
      </c>
      <c r="F54" s="6">
        <f>(D54+E54)</f>
        <v>22394</v>
      </c>
      <c r="G54" s="7"/>
      <c r="H54" s="5">
        <v>384</v>
      </c>
      <c r="I54" s="8">
        <v>730</v>
      </c>
      <c r="J54" s="5">
        <v>1489</v>
      </c>
      <c r="K54" s="8">
        <v>1730</v>
      </c>
      <c r="L54" s="9"/>
      <c r="M54" s="5">
        <v>1672</v>
      </c>
      <c r="N54" s="9">
        <v>645</v>
      </c>
      <c r="O54" s="5">
        <v>509</v>
      </c>
      <c r="P54" s="9">
        <v>1615</v>
      </c>
    </row>
    <row r="55" spans="1:16" hidden="1" x14ac:dyDescent="0.25">
      <c r="B55" s="3">
        <v>38650</v>
      </c>
      <c r="C55" s="4"/>
      <c r="D55" s="5">
        <v>10795</v>
      </c>
      <c r="E55" s="5">
        <v>11117</v>
      </c>
      <c r="F55" s="6">
        <f>(D55+E55)</f>
        <v>21912</v>
      </c>
      <c r="G55" s="7"/>
      <c r="H55" s="5">
        <v>396</v>
      </c>
      <c r="I55" s="8">
        <v>730</v>
      </c>
      <c r="J55" s="5">
        <v>1506</v>
      </c>
      <c r="K55" s="8">
        <v>1745</v>
      </c>
      <c r="L55" s="9"/>
      <c r="M55" s="5">
        <v>1698</v>
      </c>
      <c r="N55" s="9">
        <v>630</v>
      </c>
      <c r="O55" s="5">
        <v>490</v>
      </c>
      <c r="P55" s="9">
        <v>1645</v>
      </c>
    </row>
    <row r="56" spans="1:16" x14ac:dyDescent="0.25">
      <c r="A56">
        <v>2005</v>
      </c>
      <c r="B56" s="3">
        <v>38548</v>
      </c>
      <c r="C56" s="4"/>
      <c r="D56" s="5">
        <v>11375</v>
      </c>
      <c r="E56" s="5">
        <v>11064</v>
      </c>
      <c r="F56" s="11">
        <f>D56+E56</f>
        <v>22439</v>
      </c>
      <c r="G56" s="7"/>
      <c r="H56" s="5">
        <v>390</v>
      </c>
      <c r="I56" s="8">
        <v>730</v>
      </c>
      <c r="J56" s="5">
        <v>1318</v>
      </c>
      <c r="K56" s="8">
        <v>1800</v>
      </c>
      <c r="L56" s="9"/>
      <c r="M56" s="5">
        <v>1471</v>
      </c>
      <c r="N56" s="9">
        <v>945</v>
      </c>
      <c r="O56" s="5">
        <v>546</v>
      </c>
      <c r="P56" s="9">
        <v>1630</v>
      </c>
    </row>
    <row r="57" spans="1:16" hidden="1" x14ac:dyDescent="0.25">
      <c r="B57" s="3">
        <v>38329</v>
      </c>
      <c r="C57" s="4"/>
      <c r="D57" s="5">
        <v>9519</v>
      </c>
      <c r="E57" s="5">
        <v>9562</v>
      </c>
      <c r="F57" s="11">
        <f>D57+E57</f>
        <v>19081</v>
      </c>
      <c r="G57" s="7"/>
      <c r="H57" s="5">
        <v>280</v>
      </c>
      <c r="I57" s="8">
        <v>645</v>
      </c>
      <c r="J57" s="5">
        <v>1320</v>
      </c>
      <c r="K57" s="8">
        <v>1545</v>
      </c>
      <c r="L57" s="9"/>
      <c r="M57" s="5">
        <v>1367</v>
      </c>
      <c r="N57" s="9">
        <v>530</v>
      </c>
      <c r="O57" s="5">
        <v>304</v>
      </c>
      <c r="P57" s="9">
        <v>1200</v>
      </c>
    </row>
    <row r="58" spans="1:16" hidden="1" x14ac:dyDescent="0.25">
      <c r="B58" s="3">
        <v>38076</v>
      </c>
      <c r="C58" s="4"/>
      <c r="D58" s="5">
        <v>10689</v>
      </c>
      <c r="E58" s="5">
        <v>16696</v>
      </c>
      <c r="F58" s="11">
        <f>D58+E58</f>
        <v>27385</v>
      </c>
      <c r="G58" s="7"/>
      <c r="H58" s="5">
        <v>373</v>
      </c>
      <c r="I58" s="8">
        <v>800</v>
      </c>
      <c r="J58" s="5">
        <v>1433</v>
      </c>
      <c r="K58" s="8">
        <v>1715</v>
      </c>
      <c r="L58" s="9"/>
      <c r="M58" s="12">
        <v>1597</v>
      </c>
      <c r="N58" s="9">
        <v>630</v>
      </c>
      <c r="O58" s="10" t="s">
        <v>1</v>
      </c>
      <c r="P58" s="10" t="s">
        <v>1</v>
      </c>
    </row>
    <row r="59" spans="1:16" hidden="1" x14ac:dyDescent="0.25">
      <c r="B59" s="3">
        <v>38077</v>
      </c>
      <c r="C59" s="4"/>
      <c r="D59" s="5">
        <v>10632</v>
      </c>
      <c r="E59" s="5">
        <v>11309</v>
      </c>
      <c r="F59" s="11">
        <f>D59+E59</f>
        <v>21941</v>
      </c>
      <c r="G59" s="7"/>
      <c r="H59" s="5">
        <v>372</v>
      </c>
      <c r="I59" s="8">
        <v>730</v>
      </c>
      <c r="J59" s="5">
        <v>1340</v>
      </c>
      <c r="K59" s="8">
        <v>1630</v>
      </c>
      <c r="L59" s="9"/>
      <c r="M59" s="12">
        <v>1590</v>
      </c>
      <c r="N59" s="9">
        <v>645</v>
      </c>
      <c r="O59" s="12">
        <v>490</v>
      </c>
      <c r="P59" s="9">
        <v>1630</v>
      </c>
    </row>
    <row r="60" spans="1:16" x14ac:dyDescent="0.25">
      <c r="A60">
        <v>2006</v>
      </c>
      <c r="B60" s="3">
        <v>38931</v>
      </c>
      <c r="C60" s="4"/>
      <c r="D60" s="5">
        <v>11122</v>
      </c>
      <c r="E60" s="5">
        <v>11313</v>
      </c>
      <c r="F60" s="6">
        <f>(D60+E60)</f>
        <v>22435</v>
      </c>
      <c r="G60" s="7"/>
      <c r="H60" s="5">
        <v>379</v>
      </c>
      <c r="I60" s="8">
        <v>730</v>
      </c>
      <c r="J60" s="5">
        <v>1432</v>
      </c>
      <c r="K60" s="8">
        <v>1745</v>
      </c>
      <c r="L60" s="9"/>
      <c r="M60" s="5">
        <v>1674</v>
      </c>
      <c r="N60" s="9">
        <v>630</v>
      </c>
      <c r="O60" s="5">
        <v>517</v>
      </c>
      <c r="P60" s="9">
        <v>1615</v>
      </c>
    </row>
    <row r="61" spans="1:16" hidden="1" x14ac:dyDescent="0.25">
      <c r="B61" s="3">
        <v>37944</v>
      </c>
      <c r="C61" s="4"/>
      <c r="D61" s="5">
        <v>9762</v>
      </c>
      <c r="E61" s="5">
        <v>10825</v>
      </c>
      <c r="F61" s="6">
        <f>D61+E61</f>
        <v>20587</v>
      </c>
      <c r="G61" s="7"/>
      <c r="H61" s="5">
        <v>412</v>
      </c>
      <c r="I61" s="8">
        <v>730</v>
      </c>
      <c r="J61" s="5">
        <v>1170</v>
      </c>
      <c r="K61" s="8">
        <v>1945</v>
      </c>
      <c r="L61" s="9"/>
      <c r="M61" s="5">
        <v>1495</v>
      </c>
      <c r="N61" s="9">
        <v>645</v>
      </c>
      <c r="O61" s="5">
        <v>504</v>
      </c>
      <c r="P61" s="9">
        <v>1615</v>
      </c>
    </row>
    <row r="62" spans="1:16" x14ac:dyDescent="0.25">
      <c r="A62">
        <v>2007</v>
      </c>
      <c r="B62" s="3">
        <v>39323</v>
      </c>
      <c r="C62" s="4"/>
      <c r="D62" s="5">
        <v>10826</v>
      </c>
      <c r="E62" s="5">
        <v>10902</v>
      </c>
      <c r="F62" s="6">
        <f>(D62+E62)</f>
        <v>21728</v>
      </c>
      <c r="G62" s="7"/>
      <c r="H62" s="5">
        <v>339</v>
      </c>
      <c r="I62" s="8">
        <v>1145</v>
      </c>
      <c r="J62" s="5">
        <v>1474</v>
      </c>
      <c r="K62" s="8">
        <v>1715</v>
      </c>
      <c r="L62" s="9"/>
      <c r="M62" s="5">
        <v>1629</v>
      </c>
      <c r="N62" s="9">
        <v>645</v>
      </c>
      <c r="O62" s="5">
        <v>417</v>
      </c>
      <c r="P62" s="9">
        <v>1615</v>
      </c>
    </row>
    <row r="63" spans="1:16" x14ac:dyDescent="0.25">
      <c r="A63">
        <v>2008</v>
      </c>
      <c r="B63" s="3">
        <v>39666</v>
      </c>
      <c r="C63" s="4"/>
      <c r="D63" s="5">
        <v>9887</v>
      </c>
      <c r="E63" s="5">
        <v>10001</v>
      </c>
      <c r="F63" s="6">
        <f>(D63+E63)</f>
        <v>19888</v>
      </c>
      <c r="G63" s="7"/>
      <c r="H63" s="5">
        <v>296</v>
      </c>
      <c r="I63" s="8">
        <v>1200</v>
      </c>
      <c r="J63" s="5">
        <v>1575</v>
      </c>
      <c r="K63" s="8">
        <v>1800</v>
      </c>
      <c r="L63" s="9"/>
      <c r="M63" s="5">
        <v>1539</v>
      </c>
      <c r="N63" s="9">
        <v>700</v>
      </c>
      <c r="O63" s="5">
        <v>361</v>
      </c>
      <c r="P63" s="9">
        <v>1630</v>
      </c>
    </row>
    <row r="64" spans="1:16" x14ac:dyDescent="0.25">
      <c r="A64">
        <v>2009</v>
      </c>
      <c r="B64" s="3">
        <v>40030</v>
      </c>
      <c r="C64" s="4"/>
      <c r="D64" s="5">
        <v>9889</v>
      </c>
      <c r="E64" s="5">
        <v>9917</v>
      </c>
      <c r="F64" s="6">
        <f>(D64+E64)</f>
        <v>19806</v>
      </c>
      <c r="G64" s="7"/>
      <c r="H64" s="5">
        <v>283</v>
      </c>
      <c r="I64" s="8">
        <v>1200</v>
      </c>
      <c r="J64" s="5">
        <v>1517</v>
      </c>
      <c r="K64" s="8">
        <v>1800</v>
      </c>
      <c r="L64" s="9"/>
      <c r="M64" s="5">
        <v>1483</v>
      </c>
      <c r="N64" s="9">
        <v>645</v>
      </c>
      <c r="O64" s="5">
        <v>373</v>
      </c>
      <c r="P64" s="9">
        <v>1430</v>
      </c>
    </row>
    <row r="65" spans="2:5" x14ac:dyDescent="0.25">
      <c r="B65" s="32"/>
      <c r="C65" s="31"/>
      <c r="D65" s="31"/>
      <c r="E65" s="31"/>
    </row>
    <row r="94" spans="2:2" x14ac:dyDescent="0.25">
      <c r="B94" t="s">
        <v>164</v>
      </c>
    </row>
    <row r="95" spans="2:2" x14ac:dyDescent="0.25">
      <c r="B95" t="s">
        <v>165</v>
      </c>
    </row>
    <row r="101" spans="2:2" x14ac:dyDescent="0.25">
      <c r="B101" t="s">
        <v>166</v>
      </c>
    </row>
    <row r="102" spans="2:2" x14ac:dyDescent="0.25">
      <c r="B102" t="s">
        <v>167</v>
      </c>
    </row>
    <row r="103" spans="2:2" x14ac:dyDescent="0.25">
      <c r="B103" t="s">
        <v>168</v>
      </c>
    </row>
  </sheetData>
  <sortState ref="A11:P28">
    <sortCondition ref="A11:A28"/>
  </sortState>
  <mergeCells count="9">
    <mergeCell ref="A26:D26"/>
    <mergeCell ref="A32:D32"/>
    <mergeCell ref="A38:D38"/>
    <mergeCell ref="H5:K5"/>
    <mergeCell ref="M5:P5"/>
    <mergeCell ref="H6:I6"/>
    <mergeCell ref="J6:K6"/>
    <mergeCell ref="M6:N6"/>
    <mergeCell ref="O6:P6"/>
  </mergeCells>
  <pageMargins left="0.5" right="0.5" top="0.5" bottom="0.5" header="0.3" footer="0.3"/>
  <pageSetup scale="81" fitToHeight="2" orientation="landscape" r:id="rId1"/>
  <headerFooter>
    <oddFooter>Page &amp;P of &amp;N</oddFooter>
  </headerFooter>
  <ignoredErrors>
    <ignoredError sqref="D24:D25 D36:D37 D30:D31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view="pageBreakPreview" zoomScale="60" zoomScaleNormal="100" workbookViewId="0">
      <selection activeCell="Q27" sqref="Q27"/>
    </sheetView>
  </sheetViews>
  <sheetFormatPr defaultRowHeight="15" x14ac:dyDescent="0.25"/>
  <cols>
    <col min="1" max="1" width="26.5703125" customWidth="1"/>
  </cols>
  <sheetData>
    <row r="1" spans="1:4" ht="23.25" x14ac:dyDescent="0.35">
      <c r="A1" s="52" t="s">
        <v>199</v>
      </c>
    </row>
    <row r="3" spans="1:4" x14ac:dyDescent="0.25">
      <c r="A3" s="32" t="s">
        <v>107</v>
      </c>
    </row>
    <row r="4" spans="1:4" x14ac:dyDescent="0.25">
      <c r="A4" s="32" t="s">
        <v>111</v>
      </c>
    </row>
    <row r="5" spans="1:4" x14ac:dyDescent="0.25">
      <c r="A5" s="32" t="s">
        <v>112</v>
      </c>
    </row>
    <row r="7" spans="1:4" x14ac:dyDescent="0.25">
      <c r="A7" s="32" t="s">
        <v>22</v>
      </c>
    </row>
    <row r="8" spans="1:4" ht="45" x14ac:dyDescent="0.25">
      <c r="A8" s="75"/>
      <c r="B8" s="40" t="s">
        <v>109</v>
      </c>
    </row>
    <row r="9" spans="1:4" x14ac:dyDescent="0.25">
      <c r="A9" s="74" t="s">
        <v>20</v>
      </c>
      <c r="B9" s="37">
        <v>467</v>
      </c>
      <c r="D9" s="31"/>
    </row>
    <row r="10" spans="1:4" x14ac:dyDescent="0.25">
      <c r="A10" s="74" t="s">
        <v>51</v>
      </c>
      <c r="B10" s="37">
        <v>10</v>
      </c>
      <c r="D10" s="31"/>
    </row>
    <row r="11" spans="1:4" x14ac:dyDescent="0.25">
      <c r="A11" s="74" t="s">
        <v>21</v>
      </c>
      <c r="B11" s="37">
        <v>13291</v>
      </c>
      <c r="D11" s="31"/>
    </row>
    <row r="12" spans="1:4" x14ac:dyDescent="0.25">
      <c r="A12" s="142" t="s">
        <v>108</v>
      </c>
      <c r="B12" s="143">
        <f>(B9+B10)/B11</f>
        <v>3.5888947408020462E-2</v>
      </c>
      <c r="D12" s="31"/>
    </row>
    <row r="13" spans="1:4" x14ac:dyDescent="0.25">
      <c r="A13" s="31"/>
      <c r="B13" s="31"/>
      <c r="C13" s="31"/>
      <c r="D13" s="31"/>
    </row>
    <row r="14" spans="1:4" x14ac:dyDescent="0.25">
      <c r="A14" s="32" t="s">
        <v>23</v>
      </c>
      <c r="D14" s="31"/>
    </row>
    <row r="15" spans="1:4" ht="45" x14ac:dyDescent="0.25">
      <c r="A15" s="75"/>
      <c r="B15" s="40" t="s">
        <v>109</v>
      </c>
    </row>
    <row r="16" spans="1:4" x14ac:dyDescent="0.25">
      <c r="A16" s="74" t="s">
        <v>20</v>
      </c>
      <c r="B16" s="37">
        <v>642</v>
      </c>
      <c r="D16" s="31"/>
    </row>
    <row r="17" spans="1:8" x14ac:dyDescent="0.25">
      <c r="A17" s="74" t="s">
        <v>51</v>
      </c>
      <c r="B17" s="37">
        <v>7</v>
      </c>
      <c r="D17" s="31"/>
    </row>
    <row r="18" spans="1:8" x14ac:dyDescent="0.25">
      <c r="A18" s="74" t="s">
        <v>21</v>
      </c>
      <c r="B18" s="37">
        <v>15618</v>
      </c>
      <c r="D18" s="31"/>
    </row>
    <row r="19" spans="1:8" x14ac:dyDescent="0.25">
      <c r="A19" s="142" t="s">
        <v>108</v>
      </c>
      <c r="B19" s="143">
        <f>(B16+B17)/B18</f>
        <v>4.1554616468177742E-2</v>
      </c>
      <c r="D19" s="31"/>
    </row>
    <row r="21" spans="1:8" x14ac:dyDescent="0.25">
      <c r="A21" s="34"/>
      <c r="B21" s="34"/>
      <c r="C21" s="34"/>
      <c r="D21" s="34"/>
      <c r="E21" s="34"/>
      <c r="F21" s="34"/>
      <c r="G21" s="34"/>
      <c r="H21" s="34"/>
    </row>
    <row r="22" spans="1:8" x14ac:dyDescent="0.25">
      <c r="A22" s="34"/>
      <c r="B22" s="34"/>
      <c r="C22" s="34"/>
      <c r="D22" s="34"/>
      <c r="E22" s="34"/>
      <c r="F22" s="34"/>
      <c r="G22" s="34"/>
      <c r="H22" s="34"/>
    </row>
  </sheetData>
  <pageMargins left="0.5" right="0.5" top="0.5" bottom="0.5" header="0.3" footer="0.3"/>
  <pageSetup fitToHeight="2" orientation="portrait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"/>
  <sheetViews>
    <sheetView view="pageBreakPreview" zoomScale="60" zoomScaleNormal="100" workbookViewId="0">
      <selection activeCell="D12" sqref="D12"/>
    </sheetView>
  </sheetViews>
  <sheetFormatPr defaultRowHeight="15" x14ac:dyDescent="0.25"/>
  <cols>
    <col min="1" max="1" width="17" customWidth="1"/>
    <col min="2" max="2" width="13.7109375" customWidth="1"/>
    <col min="3" max="3" width="15" bestFit="1" customWidth="1"/>
    <col min="4" max="4" width="14" customWidth="1"/>
    <col min="5" max="5" width="15" bestFit="1" customWidth="1"/>
    <col min="6" max="6" width="13.42578125" customWidth="1"/>
    <col min="7" max="7" width="10.85546875" customWidth="1"/>
  </cols>
  <sheetData>
    <row r="1" spans="1:6" ht="23.25" x14ac:dyDescent="0.35">
      <c r="A1" s="52" t="s">
        <v>200</v>
      </c>
    </row>
    <row r="3" spans="1:6" x14ac:dyDescent="0.25">
      <c r="A3" s="32" t="s">
        <v>59</v>
      </c>
    </row>
    <row r="4" spans="1:6" x14ac:dyDescent="0.25">
      <c r="A4" s="32" t="s">
        <v>110</v>
      </c>
    </row>
    <row r="6" spans="1:6" s="39" customFormat="1" ht="78" customHeight="1" x14ac:dyDescent="0.25">
      <c r="A6" s="40"/>
      <c r="B6" s="40" t="s">
        <v>65</v>
      </c>
      <c r="C6" s="40" t="s">
        <v>62</v>
      </c>
      <c r="D6" s="40" t="s">
        <v>66</v>
      </c>
      <c r="E6" s="40" t="s">
        <v>62</v>
      </c>
      <c r="F6" s="40" t="s">
        <v>67</v>
      </c>
    </row>
    <row r="7" spans="1:6" x14ac:dyDescent="0.25">
      <c r="A7" s="37" t="s">
        <v>61</v>
      </c>
      <c r="B7" s="41">
        <v>84.18</v>
      </c>
      <c r="C7" s="37" t="s">
        <v>64</v>
      </c>
      <c r="D7" s="37">
        <v>49.1</v>
      </c>
      <c r="E7" s="37" t="s">
        <v>63</v>
      </c>
      <c r="F7" s="37">
        <v>24.2</v>
      </c>
    </row>
    <row r="8" spans="1:6" x14ac:dyDescent="0.25">
      <c r="A8" s="37" t="s">
        <v>60</v>
      </c>
      <c r="B8" s="41">
        <v>81.28</v>
      </c>
      <c r="C8" s="37" t="s">
        <v>64</v>
      </c>
      <c r="D8" s="37">
        <v>49.8</v>
      </c>
      <c r="E8" s="37" t="s">
        <v>63</v>
      </c>
      <c r="F8" s="37">
        <v>23.9</v>
      </c>
    </row>
    <row r="9" spans="1:6" x14ac:dyDescent="0.25">
      <c r="A9" s="37" t="s">
        <v>84</v>
      </c>
      <c r="B9" s="49">
        <f>B7-B8</f>
        <v>2.9000000000000057</v>
      </c>
      <c r="C9" s="37" t="s">
        <v>68</v>
      </c>
      <c r="D9" s="49">
        <f t="shared" ref="D9:F9" si="0">D7-D8</f>
        <v>-0.69999999999999574</v>
      </c>
      <c r="E9" s="37" t="s">
        <v>68</v>
      </c>
      <c r="F9" s="78">
        <f t="shared" si="0"/>
        <v>0.30000000000000071</v>
      </c>
    </row>
    <row r="10" spans="1:6" x14ac:dyDescent="0.25">
      <c r="A10" s="73"/>
      <c r="B10" s="76"/>
      <c r="C10" s="73"/>
      <c r="D10" s="76"/>
      <c r="E10" s="73"/>
      <c r="F10" s="77"/>
    </row>
    <row r="11" spans="1:6" x14ac:dyDescent="0.25">
      <c r="A11" s="73"/>
      <c r="B11" s="76"/>
      <c r="C11" s="73"/>
      <c r="D11" s="217" t="s">
        <v>113</v>
      </c>
      <c r="E11" s="217"/>
      <c r="F11" s="144">
        <f>F9</f>
        <v>0.30000000000000071</v>
      </c>
    </row>
    <row r="12" spans="1:6" x14ac:dyDescent="0.25">
      <c r="A12" s="73"/>
      <c r="B12" s="76"/>
      <c r="C12" s="73"/>
      <c r="D12" s="76"/>
      <c r="E12" s="73"/>
      <c r="F12" s="76"/>
    </row>
    <row r="13" spans="1:6" x14ac:dyDescent="0.25">
      <c r="A13" t="s">
        <v>69</v>
      </c>
    </row>
    <row r="14" spans="1:6" ht="15.75" customHeight="1" x14ac:dyDescent="0.25">
      <c r="A14" s="221" t="s">
        <v>114</v>
      </c>
      <c r="B14" s="221"/>
      <c r="C14" s="221"/>
      <c r="D14" s="221"/>
      <c r="E14" s="221"/>
      <c r="F14" s="221"/>
    </row>
    <row r="15" spans="1:6" ht="15.75" customHeight="1" x14ac:dyDescent="0.25">
      <c r="A15" s="221"/>
      <c r="B15" s="221"/>
      <c r="C15" s="221"/>
      <c r="D15" s="221"/>
      <c r="E15" s="221"/>
      <c r="F15" s="221"/>
    </row>
    <row r="16" spans="1:6" ht="30" customHeight="1" x14ac:dyDescent="0.25">
      <c r="A16" s="221"/>
      <c r="B16" s="221"/>
      <c r="C16" s="221"/>
      <c r="D16" s="221"/>
      <c r="E16" s="221"/>
      <c r="F16" s="221"/>
    </row>
  </sheetData>
  <mergeCells count="2">
    <mergeCell ref="D11:E11"/>
    <mergeCell ref="A14:F16"/>
  </mergeCells>
  <pageMargins left="0.5" right="0.5" top="0.5" bottom="0.5" header="0.3" footer="0.3"/>
  <pageSetup scale="96" fitToHeight="2" orientation="portrait" r:id="rId1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205"/>
  <sheetViews>
    <sheetView view="pageBreakPreview" topLeftCell="A52" zoomScale="60" zoomScaleNormal="75" workbookViewId="0">
      <selection activeCell="M49" sqref="M49"/>
    </sheetView>
  </sheetViews>
  <sheetFormatPr defaultRowHeight="12.75" x14ac:dyDescent="0.2"/>
  <cols>
    <col min="1" max="1" width="12.7109375" style="80" customWidth="1"/>
    <col min="2" max="2" width="12.28515625" style="80" bestFit="1" customWidth="1"/>
    <col min="3" max="4" width="11.7109375" style="80" bestFit="1" customWidth="1"/>
    <col min="5" max="5" width="15.7109375" style="80" bestFit="1" customWidth="1"/>
    <col min="6" max="6" width="11.42578125" style="80" bestFit="1" customWidth="1"/>
    <col min="7" max="7" width="5.7109375" style="80" customWidth="1"/>
    <col min="8" max="8" width="10.42578125" style="80" bestFit="1" customWidth="1"/>
    <col min="9" max="11" width="11.7109375" style="80" bestFit="1" customWidth="1"/>
    <col min="12" max="12" width="9.28515625" style="80" bestFit="1" customWidth="1"/>
    <col min="13" max="13" width="11.42578125" style="80" bestFit="1" customWidth="1"/>
    <col min="14" max="14" width="5.28515625" style="80" customWidth="1"/>
    <col min="15" max="15" width="8.140625" style="80" bestFit="1" customWidth="1"/>
    <col min="16" max="18" width="11.7109375" style="80" bestFit="1" customWidth="1"/>
    <col min="19" max="19" width="9.28515625" style="80" bestFit="1" customWidth="1"/>
    <col min="20" max="20" width="11.42578125" style="80" bestFit="1" customWidth="1"/>
    <col min="21" max="26" width="9.28515625" style="80" bestFit="1" customWidth="1"/>
    <col min="27" max="258" width="9.140625" style="80"/>
    <col min="259" max="259" width="10.85546875" style="80" customWidth="1"/>
    <col min="260" max="260" width="11" style="80" customWidth="1"/>
    <col min="261" max="270" width="9.28515625" style="80" bestFit="1" customWidth="1"/>
    <col min="271" max="271" width="10.85546875" style="80" customWidth="1"/>
    <col min="272" max="273" width="9.28515625" style="80" bestFit="1" customWidth="1"/>
    <col min="274" max="274" width="15.42578125" style="80" bestFit="1" customWidth="1"/>
    <col min="275" max="282" width="9.28515625" style="80" bestFit="1" customWidth="1"/>
    <col min="283" max="514" width="9.140625" style="80"/>
    <col min="515" max="515" width="10.85546875" style="80" customWidth="1"/>
    <col min="516" max="516" width="11" style="80" customWidth="1"/>
    <col min="517" max="526" width="9.28515625" style="80" bestFit="1" customWidth="1"/>
    <col min="527" max="527" width="10.85546875" style="80" customWidth="1"/>
    <col min="528" max="529" width="9.28515625" style="80" bestFit="1" customWidth="1"/>
    <col min="530" max="530" width="15.42578125" style="80" bestFit="1" customWidth="1"/>
    <col min="531" max="538" width="9.28515625" style="80" bestFit="1" customWidth="1"/>
    <col min="539" max="770" width="9.140625" style="80"/>
    <col min="771" max="771" width="10.85546875" style="80" customWidth="1"/>
    <col min="772" max="772" width="11" style="80" customWidth="1"/>
    <col min="773" max="782" width="9.28515625" style="80" bestFit="1" customWidth="1"/>
    <col min="783" max="783" width="10.85546875" style="80" customWidth="1"/>
    <col min="784" max="785" width="9.28515625" style="80" bestFit="1" customWidth="1"/>
    <col min="786" max="786" width="15.42578125" style="80" bestFit="1" customWidth="1"/>
    <col min="787" max="794" width="9.28515625" style="80" bestFit="1" customWidth="1"/>
    <col min="795" max="1026" width="9.140625" style="80"/>
    <col min="1027" max="1027" width="10.85546875" style="80" customWidth="1"/>
    <col min="1028" max="1028" width="11" style="80" customWidth="1"/>
    <col min="1029" max="1038" width="9.28515625" style="80" bestFit="1" customWidth="1"/>
    <col min="1039" max="1039" width="10.85546875" style="80" customWidth="1"/>
    <col min="1040" max="1041" width="9.28515625" style="80" bestFit="1" customWidth="1"/>
    <col min="1042" max="1042" width="15.42578125" style="80" bestFit="1" customWidth="1"/>
    <col min="1043" max="1050" width="9.28515625" style="80" bestFit="1" customWidth="1"/>
    <col min="1051" max="1282" width="9.140625" style="80"/>
    <col min="1283" max="1283" width="10.85546875" style="80" customWidth="1"/>
    <col min="1284" max="1284" width="11" style="80" customWidth="1"/>
    <col min="1285" max="1294" width="9.28515625" style="80" bestFit="1" customWidth="1"/>
    <col min="1295" max="1295" width="10.85546875" style="80" customWidth="1"/>
    <col min="1296" max="1297" width="9.28515625" style="80" bestFit="1" customWidth="1"/>
    <col min="1298" max="1298" width="15.42578125" style="80" bestFit="1" customWidth="1"/>
    <col min="1299" max="1306" width="9.28515625" style="80" bestFit="1" customWidth="1"/>
    <col min="1307" max="1538" width="9.140625" style="80"/>
    <col min="1539" max="1539" width="10.85546875" style="80" customWidth="1"/>
    <col min="1540" max="1540" width="11" style="80" customWidth="1"/>
    <col min="1541" max="1550" width="9.28515625" style="80" bestFit="1" customWidth="1"/>
    <col min="1551" max="1551" width="10.85546875" style="80" customWidth="1"/>
    <col min="1552" max="1553" width="9.28515625" style="80" bestFit="1" customWidth="1"/>
    <col min="1554" max="1554" width="15.42578125" style="80" bestFit="1" customWidth="1"/>
    <col min="1555" max="1562" width="9.28515625" style="80" bestFit="1" customWidth="1"/>
    <col min="1563" max="1794" width="9.140625" style="80"/>
    <col min="1795" max="1795" width="10.85546875" style="80" customWidth="1"/>
    <col min="1796" max="1796" width="11" style="80" customWidth="1"/>
    <col min="1797" max="1806" width="9.28515625" style="80" bestFit="1" customWidth="1"/>
    <col min="1807" max="1807" width="10.85546875" style="80" customWidth="1"/>
    <col min="1808" max="1809" width="9.28515625" style="80" bestFit="1" customWidth="1"/>
    <col min="1810" max="1810" width="15.42578125" style="80" bestFit="1" customWidth="1"/>
    <col min="1811" max="1818" width="9.28515625" style="80" bestFit="1" customWidth="1"/>
    <col min="1819" max="2050" width="9.140625" style="80"/>
    <col min="2051" max="2051" width="10.85546875" style="80" customWidth="1"/>
    <col min="2052" max="2052" width="11" style="80" customWidth="1"/>
    <col min="2053" max="2062" width="9.28515625" style="80" bestFit="1" customWidth="1"/>
    <col min="2063" max="2063" width="10.85546875" style="80" customWidth="1"/>
    <col min="2064" max="2065" width="9.28515625" style="80" bestFit="1" customWidth="1"/>
    <col min="2066" max="2066" width="15.42578125" style="80" bestFit="1" customWidth="1"/>
    <col min="2067" max="2074" width="9.28515625" style="80" bestFit="1" customWidth="1"/>
    <col min="2075" max="2306" width="9.140625" style="80"/>
    <col min="2307" max="2307" width="10.85546875" style="80" customWidth="1"/>
    <col min="2308" max="2308" width="11" style="80" customWidth="1"/>
    <col min="2309" max="2318" width="9.28515625" style="80" bestFit="1" customWidth="1"/>
    <col min="2319" max="2319" width="10.85546875" style="80" customWidth="1"/>
    <col min="2320" max="2321" width="9.28515625" style="80" bestFit="1" customWidth="1"/>
    <col min="2322" max="2322" width="15.42578125" style="80" bestFit="1" customWidth="1"/>
    <col min="2323" max="2330" width="9.28515625" style="80" bestFit="1" customWidth="1"/>
    <col min="2331" max="2562" width="9.140625" style="80"/>
    <col min="2563" max="2563" width="10.85546875" style="80" customWidth="1"/>
    <col min="2564" max="2564" width="11" style="80" customWidth="1"/>
    <col min="2565" max="2574" width="9.28515625" style="80" bestFit="1" customWidth="1"/>
    <col min="2575" max="2575" width="10.85546875" style="80" customWidth="1"/>
    <col min="2576" max="2577" width="9.28515625" style="80" bestFit="1" customWidth="1"/>
    <col min="2578" max="2578" width="15.42578125" style="80" bestFit="1" customWidth="1"/>
    <col min="2579" max="2586" width="9.28515625" style="80" bestFit="1" customWidth="1"/>
    <col min="2587" max="2818" width="9.140625" style="80"/>
    <col min="2819" max="2819" width="10.85546875" style="80" customWidth="1"/>
    <col min="2820" max="2820" width="11" style="80" customWidth="1"/>
    <col min="2821" max="2830" width="9.28515625" style="80" bestFit="1" customWidth="1"/>
    <col min="2831" max="2831" width="10.85546875" style="80" customWidth="1"/>
    <col min="2832" max="2833" width="9.28515625" style="80" bestFit="1" customWidth="1"/>
    <col min="2834" max="2834" width="15.42578125" style="80" bestFit="1" customWidth="1"/>
    <col min="2835" max="2842" width="9.28515625" style="80" bestFit="1" customWidth="1"/>
    <col min="2843" max="3074" width="9.140625" style="80"/>
    <col min="3075" max="3075" width="10.85546875" style="80" customWidth="1"/>
    <col min="3076" max="3076" width="11" style="80" customWidth="1"/>
    <col min="3077" max="3086" width="9.28515625" style="80" bestFit="1" customWidth="1"/>
    <col min="3087" max="3087" width="10.85546875" style="80" customWidth="1"/>
    <col min="3088" max="3089" width="9.28515625" style="80" bestFit="1" customWidth="1"/>
    <col min="3090" max="3090" width="15.42578125" style="80" bestFit="1" customWidth="1"/>
    <col min="3091" max="3098" width="9.28515625" style="80" bestFit="1" customWidth="1"/>
    <col min="3099" max="3330" width="9.140625" style="80"/>
    <col min="3331" max="3331" width="10.85546875" style="80" customWidth="1"/>
    <col min="3332" max="3332" width="11" style="80" customWidth="1"/>
    <col min="3333" max="3342" width="9.28515625" style="80" bestFit="1" customWidth="1"/>
    <col min="3343" max="3343" width="10.85546875" style="80" customWidth="1"/>
    <col min="3344" max="3345" width="9.28515625" style="80" bestFit="1" customWidth="1"/>
    <col min="3346" max="3346" width="15.42578125" style="80" bestFit="1" customWidth="1"/>
    <col min="3347" max="3354" width="9.28515625" style="80" bestFit="1" customWidth="1"/>
    <col min="3355" max="3586" width="9.140625" style="80"/>
    <col min="3587" max="3587" width="10.85546875" style="80" customWidth="1"/>
    <col min="3588" max="3588" width="11" style="80" customWidth="1"/>
    <col min="3589" max="3598" width="9.28515625" style="80" bestFit="1" customWidth="1"/>
    <col min="3599" max="3599" width="10.85546875" style="80" customWidth="1"/>
    <col min="3600" max="3601" width="9.28515625" style="80" bestFit="1" customWidth="1"/>
    <col min="3602" max="3602" width="15.42578125" style="80" bestFit="1" customWidth="1"/>
    <col min="3603" max="3610" width="9.28515625" style="80" bestFit="1" customWidth="1"/>
    <col min="3611" max="3842" width="9.140625" style="80"/>
    <col min="3843" max="3843" width="10.85546875" style="80" customWidth="1"/>
    <col min="3844" max="3844" width="11" style="80" customWidth="1"/>
    <col min="3845" max="3854" width="9.28515625" style="80" bestFit="1" customWidth="1"/>
    <col min="3855" max="3855" width="10.85546875" style="80" customWidth="1"/>
    <col min="3856" max="3857" width="9.28515625" style="80" bestFit="1" customWidth="1"/>
    <col min="3858" max="3858" width="15.42578125" style="80" bestFit="1" customWidth="1"/>
    <col min="3859" max="3866" width="9.28515625" style="80" bestFit="1" customWidth="1"/>
    <col min="3867" max="4098" width="9.140625" style="80"/>
    <col min="4099" max="4099" width="10.85546875" style="80" customWidth="1"/>
    <col min="4100" max="4100" width="11" style="80" customWidth="1"/>
    <col min="4101" max="4110" width="9.28515625" style="80" bestFit="1" customWidth="1"/>
    <col min="4111" max="4111" width="10.85546875" style="80" customWidth="1"/>
    <col min="4112" max="4113" width="9.28515625" style="80" bestFit="1" customWidth="1"/>
    <col min="4114" max="4114" width="15.42578125" style="80" bestFit="1" customWidth="1"/>
    <col min="4115" max="4122" width="9.28515625" style="80" bestFit="1" customWidth="1"/>
    <col min="4123" max="4354" width="9.140625" style="80"/>
    <col min="4355" max="4355" width="10.85546875" style="80" customWidth="1"/>
    <col min="4356" max="4356" width="11" style="80" customWidth="1"/>
    <col min="4357" max="4366" width="9.28515625" style="80" bestFit="1" customWidth="1"/>
    <col min="4367" max="4367" width="10.85546875" style="80" customWidth="1"/>
    <col min="4368" max="4369" width="9.28515625" style="80" bestFit="1" customWidth="1"/>
    <col min="4370" max="4370" width="15.42578125" style="80" bestFit="1" customWidth="1"/>
    <col min="4371" max="4378" width="9.28515625" style="80" bestFit="1" customWidth="1"/>
    <col min="4379" max="4610" width="9.140625" style="80"/>
    <col min="4611" max="4611" width="10.85546875" style="80" customWidth="1"/>
    <col min="4612" max="4612" width="11" style="80" customWidth="1"/>
    <col min="4613" max="4622" width="9.28515625" style="80" bestFit="1" customWidth="1"/>
    <col min="4623" max="4623" width="10.85546875" style="80" customWidth="1"/>
    <col min="4624" max="4625" width="9.28515625" style="80" bestFit="1" customWidth="1"/>
    <col min="4626" max="4626" width="15.42578125" style="80" bestFit="1" customWidth="1"/>
    <col min="4627" max="4634" width="9.28515625" style="80" bestFit="1" customWidth="1"/>
    <col min="4635" max="4866" width="9.140625" style="80"/>
    <col min="4867" max="4867" width="10.85546875" style="80" customWidth="1"/>
    <col min="4868" max="4868" width="11" style="80" customWidth="1"/>
    <col min="4869" max="4878" width="9.28515625" style="80" bestFit="1" customWidth="1"/>
    <col min="4879" max="4879" width="10.85546875" style="80" customWidth="1"/>
    <col min="4880" max="4881" width="9.28515625" style="80" bestFit="1" customWidth="1"/>
    <col min="4882" max="4882" width="15.42578125" style="80" bestFit="1" customWidth="1"/>
    <col min="4883" max="4890" width="9.28515625" style="80" bestFit="1" customWidth="1"/>
    <col min="4891" max="5122" width="9.140625" style="80"/>
    <col min="5123" max="5123" width="10.85546875" style="80" customWidth="1"/>
    <col min="5124" max="5124" width="11" style="80" customWidth="1"/>
    <col min="5125" max="5134" width="9.28515625" style="80" bestFit="1" customWidth="1"/>
    <col min="5135" max="5135" width="10.85546875" style="80" customWidth="1"/>
    <col min="5136" max="5137" width="9.28515625" style="80" bestFit="1" customWidth="1"/>
    <col min="5138" max="5138" width="15.42578125" style="80" bestFit="1" customWidth="1"/>
    <col min="5139" max="5146" width="9.28515625" style="80" bestFit="1" customWidth="1"/>
    <col min="5147" max="5378" width="9.140625" style="80"/>
    <col min="5379" max="5379" width="10.85546875" style="80" customWidth="1"/>
    <col min="5380" max="5380" width="11" style="80" customWidth="1"/>
    <col min="5381" max="5390" width="9.28515625" style="80" bestFit="1" customWidth="1"/>
    <col min="5391" max="5391" width="10.85546875" style="80" customWidth="1"/>
    <col min="5392" max="5393" width="9.28515625" style="80" bestFit="1" customWidth="1"/>
    <col min="5394" max="5394" width="15.42578125" style="80" bestFit="1" customWidth="1"/>
    <col min="5395" max="5402" width="9.28515625" style="80" bestFit="1" customWidth="1"/>
    <col min="5403" max="5634" width="9.140625" style="80"/>
    <col min="5635" max="5635" width="10.85546875" style="80" customWidth="1"/>
    <col min="5636" max="5636" width="11" style="80" customWidth="1"/>
    <col min="5637" max="5646" width="9.28515625" style="80" bestFit="1" customWidth="1"/>
    <col min="5647" max="5647" width="10.85546875" style="80" customWidth="1"/>
    <col min="5648" max="5649" width="9.28515625" style="80" bestFit="1" customWidth="1"/>
    <col min="5650" max="5650" width="15.42578125" style="80" bestFit="1" customWidth="1"/>
    <col min="5651" max="5658" width="9.28515625" style="80" bestFit="1" customWidth="1"/>
    <col min="5659" max="5890" width="9.140625" style="80"/>
    <col min="5891" max="5891" width="10.85546875" style="80" customWidth="1"/>
    <col min="5892" max="5892" width="11" style="80" customWidth="1"/>
    <col min="5893" max="5902" width="9.28515625" style="80" bestFit="1" customWidth="1"/>
    <col min="5903" max="5903" width="10.85546875" style="80" customWidth="1"/>
    <col min="5904" max="5905" width="9.28515625" style="80" bestFit="1" customWidth="1"/>
    <col min="5906" max="5906" width="15.42578125" style="80" bestFit="1" customWidth="1"/>
    <col min="5907" max="5914" width="9.28515625" style="80" bestFit="1" customWidth="1"/>
    <col min="5915" max="6146" width="9.140625" style="80"/>
    <col min="6147" max="6147" width="10.85546875" style="80" customWidth="1"/>
    <col min="6148" max="6148" width="11" style="80" customWidth="1"/>
    <col min="6149" max="6158" width="9.28515625" style="80" bestFit="1" customWidth="1"/>
    <col min="6159" max="6159" width="10.85546875" style="80" customWidth="1"/>
    <col min="6160" max="6161" width="9.28515625" style="80" bestFit="1" customWidth="1"/>
    <col min="6162" max="6162" width="15.42578125" style="80" bestFit="1" customWidth="1"/>
    <col min="6163" max="6170" width="9.28515625" style="80" bestFit="1" customWidth="1"/>
    <col min="6171" max="6402" width="9.140625" style="80"/>
    <col min="6403" max="6403" width="10.85546875" style="80" customWidth="1"/>
    <col min="6404" max="6404" width="11" style="80" customWidth="1"/>
    <col min="6405" max="6414" width="9.28515625" style="80" bestFit="1" customWidth="1"/>
    <col min="6415" max="6415" width="10.85546875" style="80" customWidth="1"/>
    <col min="6416" max="6417" width="9.28515625" style="80" bestFit="1" customWidth="1"/>
    <col min="6418" max="6418" width="15.42578125" style="80" bestFit="1" customWidth="1"/>
    <col min="6419" max="6426" width="9.28515625" style="80" bestFit="1" customWidth="1"/>
    <col min="6427" max="6658" width="9.140625" style="80"/>
    <col min="6659" max="6659" width="10.85546875" style="80" customWidth="1"/>
    <col min="6660" max="6660" width="11" style="80" customWidth="1"/>
    <col min="6661" max="6670" width="9.28515625" style="80" bestFit="1" customWidth="1"/>
    <col min="6671" max="6671" width="10.85546875" style="80" customWidth="1"/>
    <col min="6672" max="6673" width="9.28515625" style="80" bestFit="1" customWidth="1"/>
    <col min="6674" max="6674" width="15.42578125" style="80" bestFit="1" customWidth="1"/>
    <col min="6675" max="6682" width="9.28515625" style="80" bestFit="1" customWidth="1"/>
    <col min="6683" max="6914" width="9.140625" style="80"/>
    <col min="6915" max="6915" width="10.85546875" style="80" customWidth="1"/>
    <col min="6916" max="6916" width="11" style="80" customWidth="1"/>
    <col min="6917" max="6926" width="9.28515625" style="80" bestFit="1" customWidth="1"/>
    <col min="6927" max="6927" width="10.85546875" style="80" customWidth="1"/>
    <col min="6928" max="6929" width="9.28515625" style="80" bestFit="1" customWidth="1"/>
    <col min="6930" max="6930" width="15.42578125" style="80" bestFit="1" customWidth="1"/>
    <col min="6931" max="6938" width="9.28515625" style="80" bestFit="1" customWidth="1"/>
    <col min="6939" max="7170" width="9.140625" style="80"/>
    <col min="7171" max="7171" width="10.85546875" style="80" customWidth="1"/>
    <col min="7172" max="7172" width="11" style="80" customWidth="1"/>
    <col min="7173" max="7182" width="9.28515625" style="80" bestFit="1" customWidth="1"/>
    <col min="7183" max="7183" width="10.85546875" style="80" customWidth="1"/>
    <col min="7184" max="7185" width="9.28515625" style="80" bestFit="1" customWidth="1"/>
    <col min="7186" max="7186" width="15.42578125" style="80" bestFit="1" customWidth="1"/>
    <col min="7187" max="7194" width="9.28515625" style="80" bestFit="1" customWidth="1"/>
    <col min="7195" max="7426" width="9.140625" style="80"/>
    <col min="7427" max="7427" width="10.85546875" style="80" customWidth="1"/>
    <col min="7428" max="7428" width="11" style="80" customWidth="1"/>
    <col min="7429" max="7438" width="9.28515625" style="80" bestFit="1" customWidth="1"/>
    <col min="7439" max="7439" width="10.85546875" style="80" customWidth="1"/>
    <col min="7440" max="7441" width="9.28515625" style="80" bestFit="1" customWidth="1"/>
    <col min="7442" max="7442" width="15.42578125" style="80" bestFit="1" customWidth="1"/>
    <col min="7443" max="7450" width="9.28515625" style="80" bestFit="1" customWidth="1"/>
    <col min="7451" max="7682" width="9.140625" style="80"/>
    <col min="7683" max="7683" width="10.85546875" style="80" customWidth="1"/>
    <col min="7684" max="7684" width="11" style="80" customWidth="1"/>
    <col min="7685" max="7694" width="9.28515625" style="80" bestFit="1" customWidth="1"/>
    <col min="7695" max="7695" width="10.85546875" style="80" customWidth="1"/>
    <col min="7696" max="7697" width="9.28515625" style="80" bestFit="1" customWidth="1"/>
    <col min="7698" max="7698" width="15.42578125" style="80" bestFit="1" customWidth="1"/>
    <col min="7699" max="7706" width="9.28515625" style="80" bestFit="1" customWidth="1"/>
    <col min="7707" max="7938" width="9.140625" style="80"/>
    <col min="7939" max="7939" width="10.85546875" style="80" customWidth="1"/>
    <col min="7940" max="7940" width="11" style="80" customWidth="1"/>
    <col min="7941" max="7950" width="9.28515625" style="80" bestFit="1" customWidth="1"/>
    <col min="7951" max="7951" width="10.85546875" style="80" customWidth="1"/>
    <col min="7952" max="7953" width="9.28515625" style="80" bestFit="1" customWidth="1"/>
    <col min="7954" max="7954" width="15.42578125" style="80" bestFit="1" customWidth="1"/>
    <col min="7955" max="7962" width="9.28515625" style="80" bestFit="1" customWidth="1"/>
    <col min="7963" max="8194" width="9.140625" style="80"/>
    <col min="8195" max="8195" width="10.85546875" style="80" customWidth="1"/>
    <col min="8196" max="8196" width="11" style="80" customWidth="1"/>
    <col min="8197" max="8206" width="9.28515625" style="80" bestFit="1" customWidth="1"/>
    <col min="8207" max="8207" width="10.85546875" style="80" customWidth="1"/>
    <col min="8208" max="8209" width="9.28515625" style="80" bestFit="1" customWidth="1"/>
    <col min="8210" max="8210" width="15.42578125" style="80" bestFit="1" customWidth="1"/>
    <col min="8211" max="8218" width="9.28515625" style="80" bestFit="1" customWidth="1"/>
    <col min="8219" max="8450" width="9.140625" style="80"/>
    <col min="8451" max="8451" width="10.85546875" style="80" customWidth="1"/>
    <col min="8452" max="8452" width="11" style="80" customWidth="1"/>
    <col min="8453" max="8462" width="9.28515625" style="80" bestFit="1" customWidth="1"/>
    <col min="8463" max="8463" width="10.85546875" style="80" customWidth="1"/>
    <col min="8464" max="8465" width="9.28515625" style="80" bestFit="1" customWidth="1"/>
    <col min="8466" max="8466" width="15.42578125" style="80" bestFit="1" customWidth="1"/>
    <col min="8467" max="8474" width="9.28515625" style="80" bestFit="1" customWidth="1"/>
    <col min="8475" max="8706" width="9.140625" style="80"/>
    <col min="8707" max="8707" width="10.85546875" style="80" customWidth="1"/>
    <col min="8708" max="8708" width="11" style="80" customWidth="1"/>
    <col min="8709" max="8718" width="9.28515625" style="80" bestFit="1" customWidth="1"/>
    <col min="8719" max="8719" width="10.85546875" style="80" customWidth="1"/>
    <col min="8720" max="8721" width="9.28515625" style="80" bestFit="1" customWidth="1"/>
    <col min="8722" max="8722" width="15.42578125" style="80" bestFit="1" customWidth="1"/>
    <col min="8723" max="8730" width="9.28515625" style="80" bestFit="1" customWidth="1"/>
    <col min="8731" max="8962" width="9.140625" style="80"/>
    <col min="8963" max="8963" width="10.85546875" style="80" customWidth="1"/>
    <col min="8964" max="8964" width="11" style="80" customWidth="1"/>
    <col min="8965" max="8974" width="9.28515625" style="80" bestFit="1" customWidth="1"/>
    <col min="8975" max="8975" width="10.85546875" style="80" customWidth="1"/>
    <col min="8976" max="8977" width="9.28515625" style="80" bestFit="1" customWidth="1"/>
    <col min="8978" max="8978" width="15.42578125" style="80" bestFit="1" customWidth="1"/>
    <col min="8979" max="8986" width="9.28515625" style="80" bestFit="1" customWidth="1"/>
    <col min="8987" max="9218" width="9.140625" style="80"/>
    <col min="9219" max="9219" width="10.85546875" style="80" customWidth="1"/>
    <col min="9220" max="9220" width="11" style="80" customWidth="1"/>
    <col min="9221" max="9230" width="9.28515625" style="80" bestFit="1" customWidth="1"/>
    <col min="9231" max="9231" width="10.85546875" style="80" customWidth="1"/>
    <col min="9232" max="9233" width="9.28515625" style="80" bestFit="1" customWidth="1"/>
    <col min="9234" max="9234" width="15.42578125" style="80" bestFit="1" customWidth="1"/>
    <col min="9235" max="9242" width="9.28515625" style="80" bestFit="1" customWidth="1"/>
    <col min="9243" max="9474" width="9.140625" style="80"/>
    <col min="9475" max="9475" width="10.85546875" style="80" customWidth="1"/>
    <col min="9476" max="9476" width="11" style="80" customWidth="1"/>
    <col min="9477" max="9486" width="9.28515625" style="80" bestFit="1" customWidth="1"/>
    <col min="9487" max="9487" width="10.85546875" style="80" customWidth="1"/>
    <col min="9488" max="9489" width="9.28515625" style="80" bestFit="1" customWidth="1"/>
    <col min="9490" max="9490" width="15.42578125" style="80" bestFit="1" customWidth="1"/>
    <col min="9491" max="9498" width="9.28515625" style="80" bestFit="1" customWidth="1"/>
    <col min="9499" max="9730" width="9.140625" style="80"/>
    <col min="9731" max="9731" width="10.85546875" style="80" customWidth="1"/>
    <col min="9732" max="9732" width="11" style="80" customWidth="1"/>
    <col min="9733" max="9742" width="9.28515625" style="80" bestFit="1" customWidth="1"/>
    <col min="9743" max="9743" width="10.85546875" style="80" customWidth="1"/>
    <col min="9744" max="9745" width="9.28515625" style="80" bestFit="1" customWidth="1"/>
    <col min="9746" max="9746" width="15.42578125" style="80" bestFit="1" customWidth="1"/>
    <col min="9747" max="9754" width="9.28515625" style="80" bestFit="1" customWidth="1"/>
    <col min="9755" max="9986" width="9.140625" style="80"/>
    <col min="9987" max="9987" width="10.85546875" style="80" customWidth="1"/>
    <col min="9988" max="9988" width="11" style="80" customWidth="1"/>
    <col min="9989" max="9998" width="9.28515625" style="80" bestFit="1" customWidth="1"/>
    <col min="9999" max="9999" width="10.85546875" style="80" customWidth="1"/>
    <col min="10000" max="10001" width="9.28515625" style="80" bestFit="1" customWidth="1"/>
    <col min="10002" max="10002" width="15.42578125" style="80" bestFit="1" customWidth="1"/>
    <col min="10003" max="10010" width="9.28515625" style="80" bestFit="1" customWidth="1"/>
    <col min="10011" max="10242" width="9.140625" style="80"/>
    <col min="10243" max="10243" width="10.85546875" style="80" customWidth="1"/>
    <col min="10244" max="10244" width="11" style="80" customWidth="1"/>
    <col min="10245" max="10254" width="9.28515625" style="80" bestFit="1" customWidth="1"/>
    <col min="10255" max="10255" width="10.85546875" style="80" customWidth="1"/>
    <col min="10256" max="10257" width="9.28515625" style="80" bestFit="1" customWidth="1"/>
    <col min="10258" max="10258" width="15.42578125" style="80" bestFit="1" customWidth="1"/>
    <col min="10259" max="10266" width="9.28515625" style="80" bestFit="1" customWidth="1"/>
    <col min="10267" max="10498" width="9.140625" style="80"/>
    <col min="10499" max="10499" width="10.85546875" style="80" customWidth="1"/>
    <col min="10500" max="10500" width="11" style="80" customWidth="1"/>
    <col min="10501" max="10510" width="9.28515625" style="80" bestFit="1" customWidth="1"/>
    <col min="10511" max="10511" width="10.85546875" style="80" customWidth="1"/>
    <col min="10512" max="10513" width="9.28515625" style="80" bestFit="1" customWidth="1"/>
    <col min="10514" max="10514" width="15.42578125" style="80" bestFit="1" customWidth="1"/>
    <col min="10515" max="10522" width="9.28515625" style="80" bestFit="1" customWidth="1"/>
    <col min="10523" max="10754" width="9.140625" style="80"/>
    <col min="10755" max="10755" width="10.85546875" style="80" customWidth="1"/>
    <col min="10756" max="10756" width="11" style="80" customWidth="1"/>
    <col min="10757" max="10766" width="9.28515625" style="80" bestFit="1" customWidth="1"/>
    <col min="10767" max="10767" width="10.85546875" style="80" customWidth="1"/>
    <col min="10768" max="10769" width="9.28515625" style="80" bestFit="1" customWidth="1"/>
    <col min="10770" max="10770" width="15.42578125" style="80" bestFit="1" customWidth="1"/>
    <col min="10771" max="10778" width="9.28515625" style="80" bestFit="1" customWidth="1"/>
    <col min="10779" max="11010" width="9.140625" style="80"/>
    <col min="11011" max="11011" width="10.85546875" style="80" customWidth="1"/>
    <col min="11012" max="11012" width="11" style="80" customWidth="1"/>
    <col min="11013" max="11022" width="9.28515625" style="80" bestFit="1" customWidth="1"/>
    <col min="11023" max="11023" width="10.85546875" style="80" customWidth="1"/>
    <col min="11024" max="11025" width="9.28515625" style="80" bestFit="1" customWidth="1"/>
    <col min="11026" max="11026" width="15.42578125" style="80" bestFit="1" customWidth="1"/>
    <col min="11027" max="11034" width="9.28515625" style="80" bestFit="1" customWidth="1"/>
    <col min="11035" max="11266" width="9.140625" style="80"/>
    <col min="11267" max="11267" width="10.85546875" style="80" customWidth="1"/>
    <col min="11268" max="11268" width="11" style="80" customWidth="1"/>
    <col min="11269" max="11278" width="9.28515625" style="80" bestFit="1" customWidth="1"/>
    <col min="11279" max="11279" width="10.85546875" style="80" customWidth="1"/>
    <col min="11280" max="11281" width="9.28515625" style="80" bestFit="1" customWidth="1"/>
    <col min="11282" max="11282" width="15.42578125" style="80" bestFit="1" customWidth="1"/>
    <col min="11283" max="11290" width="9.28515625" style="80" bestFit="1" customWidth="1"/>
    <col min="11291" max="11522" width="9.140625" style="80"/>
    <col min="11523" max="11523" width="10.85546875" style="80" customWidth="1"/>
    <col min="11524" max="11524" width="11" style="80" customWidth="1"/>
    <col min="11525" max="11534" width="9.28515625" style="80" bestFit="1" customWidth="1"/>
    <col min="11535" max="11535" width="10.85546875" style="80" customWidth="1"/>
    <col min="11536" max="11537" width="9.28515625" style="80" bestFit="1" customWidth="1"/>
    <col min="11538" max="11538" width="15.42578125" style="80" bestFit="1" customWidth="1"/>
    <col min="11539" max="11546" width="9.28515625" style="80" bestFit="1" customWidth="1"/>
    <col min="11547" max="11778" width="9.140625" style="80"/>
    <col min="11779" max="11779" width="10.85546875" style="80" customWidth="1"/>
    <col min="11780" max="11780" width="11" style="80" customWidth="1"/>
    <col min="11781" max="11790" width="9.28515625" style="80" bestFit="1" customWidth="1"/>
    <col min="11791" max="11791" width="10.85546875" style="80" customWidth="1"/>
    <col min="11792" max="11793" width="9.28515625" style="80" bestFit="1" customWidth="1"/>
    <col min="11794" max="11794" width="15.42578125" style="80" bestFit="1" customWidth="1"/>
    <col min="11795" max="11802" width="9.28515625" style="80" bestFit="1" customWidth="1"/>
    <col min="11803" max="12034" width="9.140625" style="80"/>
    <col min="12035" max="12035" width="10.85546875" style="80" customWidth="1"/>
    <col min="12036" max="12036" width="11" style="80" customWidth="1"/>
    <col min="12037" max="12046" width="9.28515625" style="80" bestFit="1" customWidth="1"/>
    <col min="12047" max="12047" width="10.85546875" style="80" customWidth="1"/>
    <col min="12048" max="12049" width="9.28515625" style="80" bestFit="1" customWidth="1"/>
    <col min="12050" max="12050" width="15.42578125" style="80" bestFit="1" customWidth="1"/>
    <col min="12051" max="12058" width="9.28515625" style="80" bestFit="1" customWidth="1"/>
    <col min="12059" max="12290" width="9.140625" style="80"/>
    <col min="12291" max="12291" width="10.85546875" style="80" customWidth="1"/>
    <col min="12292" max="12292" width="11" style="80" customWidth="1"/>
    <col min="12293" max="12302" width="9.28515625" style="80" bestFit="1" customWidth="1"/>
    <col min="12303" max="12303" width="10.85546875" style="80" customWidth="1"/>
    <col min="12304" max="12305" width="9.28515625" style="80" bestFit="1" customWidth="1"/>
    <col min="12306" max="12306" width="15.42578125" style="80" bestFit="1" customWidth="1"/>
    <col min="12307" max="12314" width="9.28515625" style="80" bestFit="1" customWidth="1"/>
    <col min="12315" max="12546" width="9.140625" style="80"/>
    <col min="12547" max="12547" width="10.85546875" style="80" customWidth="1"/>
    <col min="12548" max="12548" width="11" style="80" customWidth="1"/>
    <col min="12549" max="12558" width="9.28515625" style="80" bestFit="1" customWidth="1"/>
    <col min="12559" max="12559" width="10.85546875" style="80" customWidth="1"/>
    <col min="12560" max="12561" width="9.28515625" style="80" bestFit="1" customWidth="1"/>
    <col min="12562" max="12562" width="15.42578125" style="80" bestFit="1" customWidth="1"/>
    <col min="12563" max="12570" width="9.28515625" style="80" bestFit="1" customWidth="1"/>
    <col min="12571" max="12802" width="9.140625" style="80"/>
    <col min="12803" max="12803" width="10.85546875" style="80" customWidth="1"/>
    <col min="12804" max="12804" width="11" style="80" customWidth="1"/>
    <col min="12805" max="12814" width="9.28515625" style="80" bestFit="1" customWidth="1"/>
    <col min="12815" max="12815" width="10.85546875" style="80" customWidth="1"/>
    <col min="12816" max="12817" width="9.28515625" style="80" bestFit="1" customWidth="1"/>
    <col min="12818" max="12818" width="15.42578125" style="80" bestFit="1" customWidth="1"/>
    <col min="12819" max="12826" width="9.28515625" style="80" bestFit="1" customWidth="1"/>
    <col min="12827" max="13058" width="9.140625" style="80"/>
    <col min="13059" max="13059" width="10.85546875" style="80" customWidth="1"/>
    <col min="13060" max="13060" width="11" style="80" customWidth="1"/>
    <col min="13061" max="13070" width="9.28515625" style="80" bestFit="1" customWidth="1"/>
    <col min="13071" max="13071" width="10.85546875" style="80" customWidth="1"/>
    <col min="13072" max="13073" width="9.28515625" style="80" bestFit="1" customWidth="1"/>
    <col min="13074" max="13074" width="15.42578125" style="80" bestFit="1" customWidth="1"/>
    <col min="13075" max="13082" width="9.28515625" style="80" bestFit="1" customWidth="1"/>
    <col min="13083" max="13314" width="9.140625" style="80"/>
    <col min="13315" max="13315" width="10.85546875" style="80" customWidth="1"/>
    <col min="13316" max="13316" width="11" style="80" customWidth="1"/>
    <col min="13317" max="13326" width="9.28515625" style="80" bestFit="1" customWidth="1"/>
    <col min="13327" max="13327" width="10.85546875" style="80" customWidth="1"/>
    <col min="13328" max="13329" width="9.28515625" style="80" bestFit="1" customWidth="1"/>
    <col min="13330" max="13330" width="15.42578125" style="80" bestFit="1" customWidth="1"/>
    <col min="13331" max="13338" width="9.28515625" style="80" bestFit="1" customWidth="1"/>
    <col min="13339" max="13570" width="9.140625" style="80"/>
    <col min="13571" max="13571" width="10.85546875" style="80" customWidth="1"/>
    <col min="13572" max="13572" width="11" style="80" customWidth="1"/>
    <col min="13573" max="13582" width="9.28515625" style="80" bestFit="1" customWidth="1"/>
    <col min="13583" max="13583" width="10.85546875" style="80" customWidth="1"/>
    <col min="13584" max="13585" width="9.28515625" style="80" bestFit="1" customWidth="1"/>
    <col min="13586" max="13586" width="15.42578125" style="80" bestFit="1" customWidth="1"/>
    <col min="13587" max="13594" width="9.28515625" style="80" bestFit="1" customWidth="1"/>
    <col min="13595" max="13826" width="9.140625" style="80"/>
    <col min="13827" max="13827" width="10.85546875" style="80" customWidth="1"/>
    <col min="13828" max="13828" width="11" style="80" customWidth="1"/>
    <col min="13829" max="13838" width="9.28515625" style="80" bestFit="1" customWidth="1"/>
    <col min="13839" max="13839" width="10.85546875" style="80" customWidth="1"/>
    <col min="13840" max="13841" width="9.28515625" style="80" bestFit="1" customWidth="1"/>
    <col min="13842" max="13842" width="15.42578125" style="80" bestFit="1" customWidth="1"/>
    <col min="13843" max="13850" width="9.28515625" style="80" bestFit="1" customWidth="1"/>
    <col min="13851" max="14082" width="9.140625" style="80"/>
    <col min="14083" max="14083" width="10.85546875" style="80" customWidth="1"/>
    <col min="14084" max="14084" width="11" style="80" customWidth="1"/>
    <col min="14085" max="14094" width="9.28515625" style="80" bestFit="1" customWidth="1"/>
    <col min="14095" max="14095" width="10.85546875" style="80" customWidth="1"/>
    <col min="14096" max="14097" width="9.28515625" style="80" bestFit="1" customWidth="1"/>
    <col min="14098" max="14098" width="15.42578125" style="80" bestFit="1" customWidth="1"/>
    <col min="14099" max="14106" width="9.28515625" style="80" bestFit="1" customWidth="1"/>
    <col min="14107" max="14338" width="9.140625" style="80"/>
    <col min="14339" max="14339" width="10.85546875" style="80" customWidth="1"/>
    <col min="14340" max="14340" width="11" style="80" customWidth="1"/>
    <col min="14341" max="14350" width="9.28515625" style="80" bestFit="1" customWidth="1"/>
    <col min="14351" max="14351" width="10.85546875" style="80" customWidth="1"/>
    <col min="14352" max="14353" width="9.28515625" style="80" bestFit="1" customWidth="1"/>
    <col min="14354" max="14354" width="15.42578125" style="80" bestFit="1" customWidth="1"/>
    <col min="14355" max="14362" width="9.28515625" style="80" bestFit="1" customWidth="1"/>
    <col min="14363" max="14594" width="9.140625" style="80"/>
    <col min="14595" max="14595" width="10.85546875" style="80" customWidth="1"/>
    <col min="14596" max="14596" width="11" style="80" customWidth="1"/>
    <col min="14597" max="14606" width="9.28515625" style="80" bestFit="1" customWidth="1"/>
    <col min="14607" max="14607" width="10.85546875" style="80" customWidth="1"/>
    <col min="14608" max="14609" width="9.28515625" style="80" bestFit="1" customWidth="1"/>
    <col min="14610" max="14610" width="15.42578125" style="80" bestFit="1" customWidth="1"/>
    <col min="14611" max="14618" width="9.28515625" style="80" bestFit="1" customWidth="1"/>
    <col min="14619" max="14850" width="9.140625" style="80"/>
    <col min="14851" max="14851" width="10.85546875" style="80" customWidth="1"/>
    <col min="14852" max="14852" width="11" style="80" customWidth="1"/>
    <col min="14853" max="14862" width="9.28515625" style="80" bestFit="1" customWidth="1"/>
    <col min="14863" max="14863" width="10.85546875" style="80" customWidth="1"/>
    <col min="14864" max="14865" width="9.28515625" style="80" bestFit="1" customWidth="1"/>
    <col min="14866" max="14866" width="15.42578125" style="80" bestFit="1" customWidth="1"/>
    <col min="14867" max="14874" width="9.28515625" style="80" bestFit="1" customWidth="1"/>
    <col min="14875" max="15106" width="9.140625" style="80"/>
    <col min="15107" max="15107" width="10.85546875" style="80" customWidth="1"/>
    <col min="15108" max="15108" width="11" style="80" customWidth="1"/>
    <col min="15109" max="15118" width="9.28515625" style="80" bestFit="1" customWidth="1"/>
    <col min="15119" max="15119" width="10.85546875" style="80" customWidth="1"/>
    <col min="15120" max="15121" width="9.28515625" style="80" bestFit="1" customWidth="1"/>
    <col min="15122" max="15122" width="15.42578125" style="80" bestFit="1" customWidth="1"/>
    <col min="15123" max="15130" width="9.28515625" style="80" bestFit="1" customWidth="1"/>
    <col min="15131" max="15362" width="9.140625" style="80"/>
    <col min="15363" max="15363" width="10.85546875" style="80" customWidth="1"/>
    <col min="15364" max="15364" width="11" style="80" customWidth="1"/>
    <col min="15365" max="15374" width="9.28515625" style="80" bestFit="1" customWidth="1"/>
    <col min="15375" max="15375" width="10.85546875" style="80" customWidth="1"/>
    <col min="15376" max="15377" width="9.28515625" style="80" bestFit="1" customWidth="1"/>
    <col min="15378" max="15378" width="15.42578125" style="80" bestFit="1" customWidth="1"/>
    <col min="15379" max="15386" width="9.28515625" style="80" bestFit="1" customWidth="1"/>
    <col min="15387" max="15618" width="9.140625" style="80"/>
    <col min="15619" max="15619" width="10.85546875" style="80" customWidth="1"/>
    <col min="15620" max="15620" width="11" style="80" customWidth="1"/>
    <col min="15621" max="15630" width="9.28515625" style="80" bestFit="1" customWidth="1"/>
    <col min="15631" max="15631" width="10.85546875" style="80" customWidth="1"/>
    <col min="15632" max="15633" width="9.28515625" style="80" bestFit="1" customWidth="1"/>
    <col min="15634" max="15634" width="15.42578125" style="80" bestFit="1" customWidth="1"/>
    <col min="15635" max="15642" width="9.28515625" style="80" bestFit="1" customWidth="1"/>
    <col min="15643" max="15874" width="9.140625" style="80"/>
    <col min="15875" max="15875" width="10.85546875" style="80" customWidth="1"/>
    <col min="15876" max="15876" width="11" style="80" customWidth="1"/>
    <col min="15877" max="15886" width="9.28515625" style="80" bestFit="1" customWidth="1"/>
    <col min="15887" max="15887" width="10.85546875" style="80" customWidth="1"/>
    <col min="15888" max="15889" width="9.28515625" style="80" bestFit="1" customWidth="1"/>
    <col min="15890" max="15890" width="15.42578125" style="80" bestFit="1" customWidth="1"/>
    <col min="15891" max="15898" width="9.28515625" style="80" bestFit="1" customWidth="1"/>
    <col min="15899" max="16130" width="9.140625" style="80"/>
    <col min="16131" max="16131" width="10.85546875" style="80" customWidth="1"/>
    <col min="16132" max="16132" width="11" style="80" customWidth="1"/>
    <col min="16133" max="16142" width="9.28515625" style="80" bestFit="1" customWidth="1"/>
    <col min="16143" max="16143" width="10.85546875" style="80" customWidth="1"/>
    <col min="16144" max="16145" width="9.28515625" style="80" bestFit="1" customWidth="1"/>
    <col min="16146" max="16146" width="15.42578125" style="80" bestFit="1" customWidth="1"/>
    <col min="16147" max="16154" width="9.28515625" style="80" bestFit="1" customWidth="1"/>
    <col min="16155" max="16384" width="9.140625" style="80"/>
  </cols>
  <sheetData>
    <row r="1" spans="1:20" customFormat="1" ht="23.25" x14ac:dyDescent="0.35">
      <c r="A1" s="52" t="s">
        <v>201</v>
      </c>
    </row>
    <row r="2" spans="1:20" customFormat="1" ht="15" x14ac:dyDescent="0.25"/>
    <row r="3" spans="1:20" customFormat="1" ht="15" x14ac:dyDescent="0.25">
      <c r="A3" t="s">
        <v>38</v>
      </c>
    </row>
    <row r="4" spans="1:20" x14ac:dyDescent="0.2">
      <c r="A4" s="79" t="s">
        <v>137</v>
      </c>
    </row>
    <row r="5" spans="1:20" x14ac:dyDescent="0.2">
      <c r="A5" s="79" t="s">
        <v>138</v>
      </c>
    </row>
    <row r="7" spans="1:20" s="79" customFormat="1" x14ac:dyDescent="0.2">
      <c r="C7" s="79" t="s">
        <v>36</v>
      </c>
      <c r="D7" s="79" t="s">
        <v>39</v>
      </c>
      <c r="J7" s="79" t="s">
        <v>36</v>
      </c>
      <c r="K7" s="79" t="s">
        <v>39</v>
      </c>
      <c r="Q7" s="79" t="s">
        <v>36</v>
      </c>
      <c r="R7" s="79" t="s">
        <v>39</v>
      </c>
    </row>
    <row r="8" spans="1:20" s="79" customFormat="1" x14ac:dyDescent="0.2">
      <c r="A8" s="79">
        <v>1996</v>
      </c>
      <c r="B8" s="79" t="s">
        <v>115</v>
      </c>
      <c r="C8" s="79" t="s">
        <v>115</v>
      </c>
      <c r="D8" s="79" t="s">
        <v>115</v>
      </c>
      <c r="E8" s="79" t="s">
        <v>116</v>
      </c>
      <c r="F8" s="79" t="s">
        <v>117</v>
      </c>
      <c r="H8" s="79">
        <v>1997</v>
      </c>
      <c r="I8" s="79" t="s">
        <v>115</v>
      </c>
      <c r="J8" s="79" t="s">
        <v>115</v>
      </c>
      <c r="K8" s="79" t="s">
        <v>115</v>
      </c>
      <c r="L8" s="79" t="s">
        <v>116</v>
      </c>
      <c r="M8" s="79" t="s">
        <v>117</v>
      </c>
      <c r="O8" s="79">
        <v>1998</v>
      </c>
      <c r="P8" s="79" t="s">
        <v>115</v>
      </c>
      <c r="Q8" s="79" t="s">
        <v>115</v>
      </c>
      <c r="R8" s="79" t="s">
        <v>115</v>
      </c>
      <c r="S8" s="79" t="s">
        <v>116</v>
      </c>
      <c r="T8" s="79" t="s">
        <v>117</v>
      </c>
    </row>
    <row r="9" spans="1:20" x14ac:dyDescent="0.2">
      <c r="A9" s="81">
        <v>35065</v>
      </c>
      <c r="B9" s="102">
        <v>2</v>
      </c>
      <c r="C9" s="102">
        <v>0</v>
      </c>
      <c r="D9" s="102">
        <v>0</v>
      </c>
      <c r="E9" s="102">
        <v>0</v>
      </c>
      <c r="F9" s="102">
        <v>0</v>
      </c>
      <c r="G9" s="82"/>
      <c r="H9" s="81">
        <v>35431</v>
      </c>
      <c r="I9" s="102">
        <v>1</v>
      </c>
      <c r="J9" s="102">
        <v>1</v>
      </c>
      <c r="K9" s="102">
        <v>0</v>
      </c>
      <c r="L9" s="102">
        <v>2</v>
      </c>
      <c r="M9" s="102">
        <v>0</v>
      </c>
      <c r="N9" s="82"/>
      <c r="O9" s="81">
        <v>35796</v>
      </c>
      <c r="P9" s="102">
        <v>2</v>
      </c>
      <c r="Q9" s="102">
        <v>0</v>
      </c>
      <c r="R9" s="102">
        <v>0</v>
      </c>
      <c r="S9" s="102">
        <v>0</v>
      </c>
      <c r="T9" s="102">
        <v>0</v>
      </c>
    </row>
    <row r="10" spans="1:20" x14ac:dyDescent="0.2">
      <c r="A10" s="81">
        <v>35096</v>
      </c>
      <c r="B10" s="102">
        <v>7</v>
      </c>
      <c r="C10" s="102">
        <v>4</v>
      </c>
      <c r="D10" s="102">
        <v>0</v>
      </c>
      <c r="E10" s="102">
        <v>4</v>
      </c>
      <c r="F10" s="102">
        <v>0</v>
      </c>
      <c r="G10" s="82"/>
      <c r="H10" s="81">
        <v>35462</v>
      </c>
      <c r="I10" s="102">
        <v>1</v>
      </c>
      <c r="J10" s="102">
        <v>0</v>
      </c>
      <c r="K10" s="102">
        <v>0</v>
      </c>
      <c r="L10" s="102">
        <v>0</v>
      </c>
      <c r="M10" s="102">
        <v>0</v>
      </c>
      <c r="N10" s="82"/>
      <c r="O10" s="81">
        <v>35827</v>
      </c>
      <c r="P10" s="102">
        <v>4</v>
      </c>
      <c r="Q10" s="102">
        <v>0</v>
      </c>
      <c r="R10" s="102">
        <v>0</v>
      </c>
      <c r="S10" s="102">
        <v>1</v>
      </c>
      <c r="T10" s="102">
        <v>0</v>
      </c>
    </row>
    <row r="11" spans="1:20" x14ac:dyDescent="0.2">
      <c r="A11" s="81">
        <v>35125</v>
      </c>
      <c r="B11" s="102">
        <v>1</v>
      </c>
      <c r="C11" s="102">
        <v>1</v>
      </c>
      <c r="D11" s="102">
        <v>0</v>
      </c>
      <c r="E11" s="102">
        <v>1</v>
      </c>
      <c r="F11" s="102">
        <v>0</v>
      </c>
      <c r="G11" s="82"/>
      <c r="H11" s="81">
        <v>35490</v>
      </c>
      <c r="I11" s="102">
        <v>0</v>
      </c>
      <c r="J11" s="102">
        <v>0</v>
      </c>
      <c r="K11" s="102">
        <v>0</v>
      </c>
      <c r="L11" s="102">
        <v>0</v>
      </c>
      <c r="M11" s="102">
        <v>0</v>
      </c>
      <c r="N11" s="82"/>
      <c r="O11" s="81">
        <v>35855</v>
      </c>
      <c r="P11" s="102">
        <v>1</v>
      </c>
      <c r="Q11" s="102">
        <v>1</v>
      </c>
      <c r="R11" s="102">
        <v>0</v>
      </c>
      <c r="S11" s="102">
        <v>1</v>
      </c>
      <c r="T11" s="102">
        <v>0</v>
      </c>
    </row>
    <row r="12" spans="1:20" x14ac:dyDescent="0.2">
      <c r="A12" s="81">
        <v>35156</v>
      </c>
      <c r="B12" s="102">
        <v>1</v>
      </c>
      <c r="C12" s="102">
        <v>1</v>
      </c>
      <c r="D12" s="102">
        <v>0</v>
      </c>
      <c r="E12" s="102">
        <v>3</v>
      </c>
      <c r="F12" s="102">
        <v>0</v>
      </c>
      <c r="G12" s="82"/>
      <c r="H12" s="81">
        <v>35521</v>
      </c>
      <c r="I12" s="102">
        <v>1</v>
      </c>
      <c r="J12" s="102">
        <v>1</v>
      </c>
      <c r="K12" s="102">
        <v>0</v>
      </c>
      <c r="L12" s="102">
        <v>2</v>
      </c>
      <c r="M12" s="102">
        <v>0</v>
      </c>
      <c r="N12" s="82"/>
      <c r="O12" s="81">
        <v>35886</v>
      </c>
      <c r="P12" s="102">
        <v>0</v>
      </c>
      <c r="Q12" s="102">
        <v>0</v>
      </c>
      <c r="R12" s="102">
        <v>0</v>
      </c>
      <c r="S12" s="102">
        <v>0</v>
      </c>
      <c r="T12" s="102">
        <v>0</v>
      </c>
    </row>
    <row r="13" spans="1:20" x14ac:dyDescent="0.2">
      <c r="A13" s="81">
        <v>35186</v>
      </c>
      <c r="B13" s="102">
        <v>1</v>
      </c>
      <c r="C13" s="102">
        <v>1</v>
      </c>
      <c r="D13" s="102">
        <v>0</v>
      </c>
      <c r="E13" s="102">
        <v>2</v>
      </c>
      <c r="F13" s="102">
        <v>0</v>
      </c>
      <c r="G13" s="82"/>
      <c r="H13" s="81">
        <v>35551</v>
      </c>
      <c r="I13" s="102">
        <v>3</v>
      </c>
      <c r="J13" s="102">
        <v>1</v>
      </c>
      <c r="K13" s="102">
        <v>0</v>
      </c>
      <c r="L13" s="102">
        <v>2</v>
      </c>
      <c r="M13" s="102">
        <v>0</v>
      </c>
      <c r="N13" s="82"/>
      <c r="O13" s="81">
        <v>35916</v>
      </c>
      <c r="P13" s="102">
        <v>2</v>
      </c>
      <c r="Q13" s="102">
        <v>1</v>
      </c>
      <c r="R13" s="102">
        <v>0</v>
      </c>
      <c r="S13" s="102">
        <v>1</v>
      </c>
      <c r="T13" s="102">
        <v>0</v>
      </c>
    </row>
    <row r="14" spans="1:20" x14ac:dyDescent="0.2">
      <c r="A14" s="81">
        <v>35217</v>
      </c>
      <c r="B14" s="102">
        <v>2</v>
      </c>
      <c r="C14" s="102">
        <v>0</v>
      </c>
      <c r="D14" s="102">
        <v>0</v>
      </c>
      <c r="E14" s="102">
        <v>0</v>
      </c>
      <c r="F14" s="102">
        <v>0</v>
      </c>
      <c r="G14" s="82"/>
      <c r="H14" s="81">
        <v>35582</v>
      </c>
      <c r="I14" s="102">
        <v>5</v>
      </c>
      <c r="J14" s="102">
        <v>3</v>
      </c>
      <c r="K14" s="102">
        <v>0</v>
      </c>
      <c r="L14" s="102">
        <v>3</v>
      </c>
      <c r="M14" s="102">
        <v>0</v>
      </c>
      <c r="N14" s="82"/>
      <c r="O14" s="81">
        <v>35947</v>
      </c>
      <c r="P14" s="102">
        <v>1</v>
      </c>
      <c r="Q14" s="102">
        <v>1</v>
      </c>
      <c r="R14" s="102">
        <v>0</v>
      </c>
      <c r="S14" s="102">
        <v>3</v>
      </c>
      <c r="T14" s="102">
        <v>0</v>
      </c>
    </row>
    <row r="15" spans="1:20" x14ac:dyDescent="0.2">
      <c r="A15" s="81">
        <v>35247</v>
      </c>
      <c r="B15" s="102">
        <v>5</v>
      </c>
      <c r="C15" s="102">
        <v>3</v>
      </c>
      <c r="D15" s="102">
        <v>0</v>
      </c>
      <c r="E15" s="102">
        <v>5</v>
      </c>
      <c r="F15" s="102">
        <v>0</v>
      </c>
      <c r="G15" s="82"/>
      <c r="H15" s="81">
        <v>35612</v>
      </c>
      <c r="I15" s="102">
        <v>1</v>
      </c>
      <c r="J15" s="102">
        <v>1</v>
      </c>
      <c r="K15" s="102">
        <v>0</v>
      </c>
      <c r="L15" s="102">
        <v>5</v>
      </c>
      <c r="M15" s="102">
        <v>0</v>
      </c>
      <c r="N15" s="82"/>
      <c r="O15" s="81">
        <v>35977</v>
      </c>
      <c r="P15" s="102">
        <v>3</v>
      </c>
      <c r="Q15" s="102">
        <v>0</v>
      </c>
      <c r="R15" s="102">
        <v>0</v>
      </c>
      <c r="S15" s="102">
        <v>0</v>
      </c>
      <c r="T15" s="102">
        <v>0</v>
      </c>
    </row>
    <row r="16" spans="1:20" x14ac:dyDescent="0.2">
      <c r="A16" s="81">
        <v>35278</v>
      </c>
      <c r="B16" s="102">
        <v>1</v>
      </c>
      <c r="C16" s="102">
        <v>1</v>
      </c>
      <c r="D16" s="102">
        <v>0</v>
      </c>
      <c r="E16" s="102">
        <v>2</v>
      </c>
      <c r="F16" s="102">
        <v>0</v>
      </c>
      <c r="G16" s="82"/>
      <c r="H16" s="81">
        <v>35643</v>
      </c>
      <c r="I16" s="102">
        <v>0</v>
      </c>
      <c r="J16" s="102">
        <v>0</v>
      </c>
      <c r="K16" s="102">
        <v>0</v>
      </c>
      <c r="L16" s="102">
        <v>0</v>
      </c>
      <c r="M16" s="102">
        <v>0</v>
      </c>
      <c r="N16" s="82"/>
      <c r="O16" s="81">
        <v>36008</v>
      </c>
      <c r="P16" s="102">
        <v>2</v>
      </c>
      <c r="Q16" s="102">
        <v>1</v>
      </c>
      <c r="R16" s="102">
        <v>0</v>
      </c>
      <c r="S16" s="102">
        <v>2</v>
      </c>
      <c r="T16" s="102">
        <v>0</v>
      </c>
    </row>
    <row r="17" spans="1:20" x14ac:dyDescent="0.2">
      <c r="A17" s="81">
        <v>35309</v>
      </c>
      <c r="B17" s="102">
        <v>1</v>
      </c>
      <c r="C17" s="102">
        <v>0</v>
      </c>
      <c r="D17" s="102">
        <v>0</v>
      </c>
      <c r="E17" s="102">
        <v>0</v>
      </c>
      <c r="F17" s="102">
        <v>0</v>
      </c>
      <c r="G17" s="82"/>
      <c r="H17" s="81">
        <v>35674</v>
      </c>
      <c r="I17" s="102">
        <v>2</v>
      </c>
      <c r="J17" s="102">
        <v>2</v>
      </c>
      <c r="K17" s="102">
        <v>0</v>
      </c>
      <c r="L17" s="102">
        <v>5</v>
      </c>
      <c r="M17" s="102">
        <v>0</v>
      </c>
      <c r="N17" s="82"/>
      <c r="O17" s="81">
        <v>36039</v>
      </c>
      <c r="P17" s="102">
        <v>7</v>
      </c>
      <c r="Q17" s="102">
        <v>3</v>
      </c>
      <c r="R17" s="102">
        <v>0</v>
      </c>
      <c r="S17" s="102">
        <v>3</v>
      </c>
      <c r="T17" s="102">
        <v>0</v>
      </c>
    </row>
    <row r="18" spans="1:20" x14ac:dyDescent="0.2">
      <c r="A18" s="81">
        <v>35339</v>
      </c>
      <c r="B18" s="102">
        <v>1</v>
      </c>
      <c r="C18" s="102">
        <v>0</v>
      </c>
      <c r="D18" s="102">
        <v>0</v>
      </c>
      <c r="E18" s="102">
        <v>0</v>
      </c>
      <c r="F18" s="102">
        <v>0</v>
      </c>
      <c r="G18" s="82"/>
      <c r="H18" s="81">
        <v>35704</v>
      </c>
      <c r="I18" s="102">
        <v>0</v>
      </c>
      <c r="J18" s="102">
        <v>0</v>
      </c>
      <c r="K18" s="102">
        <v>0</v>
      </c>
      <c r="L18" s="102">
        <v>0</v>
      </c>
      <c r="M18" s="102">
        <v>0</v>
      </c>
      <c r="N18" s="82"/>
      <c r="O18" s="81">
        <v>36069</v>
      </c>
      <c r="P18" s="102">
        <v>1</v>
      </c>
      <c r="Q18" s="102">
        <v>0</v>
      </c>
      <c r="R18" s="102">
        <v>0</v>
      </c>
      <c r="S18" s="102">
        <v>0</v>
      </c>
      <c r="T18" s="102">
        <v>0</v>
      </c>
    </row>
    <row r="19" spans="1:20" x14ac:dyDescent="0.2">
      <c r="A19" s="81">
        <v>35370</v>
      </c>
      <c r="B19" s="102">
        <v>4</v>
      </c>
      <c r="C19" s="102">
        <v>3</v>
      </c>
      <c r="D19" s="102">
        <v>0</v>
      </c>
      <c r="E19" s="102">
        <v>6</v>
      </c>
      <c r="F19" s="102">
        <v>0</v>
      </c>
      <c r="G19" s="82"/>
      <c r="H19" s="81">
        <v>35735</v>
      </c>
      <c r="I19" s="102">
        <v>2</v>
      </c>
      <c r="J19" s="102">
        <v>2</v>
      </c>
      <c r="K19" s="102">
        <v>0</v>
      </c>
      <c r="L19" s="102">
        <v>3</v>
      </c>
      <c r="M19" s="102">
        <v>0</v>
      </c>
      <c r="N19" s="82"/>
      <c r="O19" s="81">
        <v>36100</v>
      </c>
      <c r="P19" s="102">
        <v>2</v>
      </c>
      <c r="Q19" s="102">
        <v>2</v>
      </c>
      <c r="R19" s="102">
        <v>0</v>
      </c>
      <c r="S19" s="102">
        <v>4</v>
      </c>
      <c r="T19" s="102">
        <v>0</v>
      </c>
    </row>
    <row r="20" spans="1:20" x14ac:dyDescent="0.2">
      <c r="A20" s="81">
        <v>35400</v>
      </c>
      <c r="B20" s="102">
        <v>0</v>
      </c>
      <c r="C20" s="102">
        <v>0</v>
      </c>
      <c r="D20" s="102">
        <v>0</v>
      </c>
      <c r="E20" s="102">
        <v>0</v>
      </c>
      <c r="F20" s="102">
        <v>0</v>
      </c>
      <c r="G20" s="82"/>
      <c r="H20" s="81">
        <v>35765</v>
      </c>
      <c r="I20" s="102">
        <v>2</v>
      </c>
      <c r="J20" s="102">
        <v>1</v>
      </c>
      <c r="K20" s="102">
        <v>0</v>
      </c>
      <c r="L20" s="102">
        <v>4</v>
      </c>
      <c r="M20" s="102">
        <v>0</v>
      </c>
      <c r="N20" s="82"/>
      <c r="O20" s="81">
        <v>36130</v>
      </c>
      <c r="P20" s="102">
        <v>2</v>
      </c>
      <c r="Q20" s="102">
        <v>2</v>
      </c>
      <c r="R20" s="102">
        <v>0</v>
      </c>
      <c r="S20" s="102">
        <v>2</v>
      </c>
      <c r="T20" s="102">
        <v>0</v>
      </c>
    </row>
    <row r="21" spans="1:20" s="79" customFormat="1" x14ac:dyDescent="0.2">
      <c r="A21" s="83" t="s">
        <v>17</v>
      </c>
      <c r="B21" s="84">
        <f>SUM(B9:B20)</f>
        <v>26</v>
      </c>
      <c r="C21" s="84">
        <f>SUM(C9:C20)</f>
        <v>14</v>
      </c>
      <c r="D21" s="84">
        <f>SUM(D9:D20)</f>
        <v>0</v>
      </c>
      <c r="E21" s="84">
        <f>SUM(E9:E20)</f>
        <v>23</v>
      </c>
      <c r="F21" s="84">
        <f>SUM(F9:F20)</f>
        <v>0</v>
      </c>
      <c r="G21" s="84"/>
      <c r="H21" s="83" t="s">
        <v>17</v>
      </c>
      <c r="I21" s="84">
        <f>SUM(I9:I20)</f>
        <v>18</v>
      </c>
      <c r="J21" s="84">
        <f>SUM(J9:J20)</f>
        <v>12</v>
      </c>
      <c r="K21" s="84">
        <f>SUM(K9:K20)</f>
        <v>0</v>
      </c>
      <c r="L21" s="84">
        <f>SUM(L9:L20)</f>
        <v>26</v>
      </c>
      <c r="M21" s="84">
        <f>SUM(M9:M20)</f>
        <v>0</v>
      </c>
      <c r="N21" s="84"/>
      <c r="O21" s="83" t="s">
        <v>17</v>
      </c>
      <c r="P21" s="84">
        <f>SUM(P9:P20)</f>
        <v>27</v>
      </c>
      <c r="Q21" s="84">
        <f>SUM(Q9:Q20)</f>
        <v>11</v>
      </c>
      <c r="R21" s="84">
        <f>SUM(R9:R20)</f>
        <v>0</v>
      </c>
      <c r="S21" s="84">
        <f>SUM(S9:S20)</f>
        <v>17</v>
      </c>
      <c r="T21" s="84">
        <f>SUM(T9:T20)</f>
        <v>0</v>
      </c>
    </row>
    <row r="23" spans="1:20" x14ac:dyDescent="0.2">
      <c r="A23" s="79"/>
      <c r="B23" s="79"/>
      <c r="C23" s="79" t="s">
        <v>36</v>
      </c>
      <c r="D23" s="79" t="s">
        <v>39</v>
      </c>
      <c r="E23" s="79"/>
      <c r="F23" s="79"/>
      <c r="G23" s="79"/>
      <c r="H23" s="79"/>
      <c r="I23" s="79"/>
      <c r="J23" s="79" t="s">
        <v>36</v>
      </c>
      <c r="K23" s="79" t="s">
        <v>39</v>
      </c>
      <c r="L23" s="79"/>
      <c r="M23" s="79"/>
      <c r="N23" s="79"/>
      <c r="O23" s="79"/>
      <c r="P23" s="79"/>
      <c r="Q23" s="79" t="s">
        <v>36</v>
      </c>
      <c r="R23" s="79" t="s">
        <v>39</v>
      </c>
      <c r="S23" s="79"/>
      <c r="T23" s="79"/>
    </row>
    <row r="24" spans="1:20" x14ac:dyDescent="0.2">
      <c r="A24" s="79">
        <v>1999</v>
      </c>
      <c r="B24" s="79" t="s">
        <v>115</v>
      </c>
      <c r="C24" s="79" t="s">
        <v>115</v>
      </c>
      <c r="D24" s="79" t="s">
        <v>115</v>
      </c>
      <c r="E24" s="79" t="s">
        <v>116</v>
      </c>
      <c r="F24" s="79" t="s">
        <v>117</v>
      </c>
      <c r="G24" s="79"/>
      <c r="H24" s="79">
        <v>2000</v>
      </c>
      <c r="I24" s="79" t="s">
        <v>115</v>
      </c>
      <c r="J24" s="79" t="s">
        <v>115</v>
      </c>
      <c r="K24" s="79" t="s">
        <v>115</v>
      </c>
      <c r="L24" s="79" t="s">
        <v>116</v>
      </c>
      <c r="M24" s="79" t="s">
        <v>117</v>
      </c>
      <c r="N24" s="79"/>
      <c r="O24" s="79">
        <v>2001</v>
      </c>
      <c r="P24" s="79" t="s">
        <v>115</v>
      </c>
      <c r="Q24" s="79" t="s">
        <v>115</v>
      </c>
      <c r="R24" s="79" t="s">
        <v>115</v>
      </c>
      <c r="S24" s="79" t="s">
        <v>116</v>
      </c>
      <c r="T24" s="79" t="s">
        <v>117</v>
      </c>
    </row>
    <row r="25" spans="1:20" x14ac:dyDescent="0.2">
      <c r="A25" s="81">
        <v>36161</v>
      </c>
      <c r="B25" s="102">
        <v>4</v>
      </c>
      <c r="C25" s="102">
        <v>2</v>
      </c>
      <c r="D25" s="102">
        <v>0</v>
      </c>
      <c r="E25" s="102">
        <v>5</v>
      </c>
      <c r="F25" s="102">
        <v>0</v>
      </c>
      <c r="G25" s="82"/>
      <c r="H25" s="81">
        <v>36526</v>
      </c>
      <c r="I25" s="102">
        <v>3</v>
      </c>
      <c r="J25" s="102">
        <v>1</v>
      </c>
      <c r="K25" s="102">
        <v>0</v>
      </c>
      <c r="L25" s="102">
        <v>1</v>
      </c>
      <c r="M25" s="102">
        <v>0</v>
      </c>
      <c r="N25" s="82"/>
      <c r="O25" s="81">
        <v>36892</v>
      </c>
      <c r="P25" s="102">
        <v>2</v>
      </c>
      <c r="Q25" s="102">
        <v>1</v>
      </c>
      <c r="R25" s="102">
        <v>0</v>
      </c>
      <c r="S25" s="102">
        <v>3</v>
      </c>
      <c r="T25" s="102">
        <v>0</v>
      </c>
    </row>
    <row r="26" spans="1:20" x14ac:dyDescent="0.2">
      <c r="A26" s="81">
        <v>36192</v>
      </c>
      <c r="B26" s="102">
        <v>4</v>
      </c>
      <c r="C26" s="102">
        <v>1</v>
      </c>
      <c r="D26" s="102">
        <v>0</v>
      </c>
      <c r="E26" s="102">
        <v>2</v>
      </c>
      <c r="F26" s="102">
        <v>0</v>
      </c>
      <c r="G26" s="82"/>
      <c r="H26" s="81">
        <v>36557</v>
      </c>
      <c r="I26" s="102">
        <v>9</v>
      </c>
      <c r="J26" s="102">
        <v>1</v>
      </c>
      <c r="K26" s="102">
        <v>0</v>
      </c>
      <c r="L26" s="102">
        <v>3</v>
      </c>
      <c r="M26" s="102">
        <v>0</v>
      </c>
      <c r="N26" s="82"/>
      <c r="O26" s="81">
        <v>36923</v>
      </c>
      <c r="P26" s="102">
        <v>0</v>
      </c>
      <c r="Q26" s="102">
        <v>0</v>
      </c>
      <c r="R26" s="102">
        <v>0</v>
      </c>
      <c r="S26" s="102">
        <v>0</v>
      </c>
      <c r="T26" s="102">
        <v>0</v>
      </c>
    </row>
    <row r="27" spans="1:20" x14ac:dyDescent="0.2">
      <c r="A27" s="81">
        <v>36220</v>
      </c>
      <c r="B27" s="102">
        <v>2</v>
      </c>
      <c r="C27" s="102">
        <v>0</v>
      </c>
      <c r="D27" s="102">
        <v>0</v>
      </c>
      <c r="E27" s="102">
        <v>0</v>
      </c>
      <c r="F27" s="102">
        <v>0</v>
      </c>
      <c r="G27" s="82"/>
      <c r="H27" s="81">
        <v>36586</v>
      </c>
      <c r="I27" s="102">
        <v>2</v>
      </c>
      <c r="J27" s="102">
        <v>1</v>
      </c>
      <c r="K27" s="102">
        <v>0</v>
      </c>
      <c r="L27" s="102">
        <v>1</v>
      </c>
      <c r="M27" s="102">
        <v>0</v>
      </c>
      <c r="N27" s="82"/>
      <c r="O27" s="81">
        <v>36951</v>
      </c>
      <c r="P27" s="102">
        <v>3</v>
      </c>
      <c r="Q27" s="102">
        <v>3</v>
      </c>
      <c r="R27" s="102">
        <v>0</v>
      </c>
      <c r="S27" s="102">
        <v>3</v>
      </c>
      <c r="T27" s="102">
        <v>0</v>
      </c>
    </row>
    <row r="28" spans="1:20" x14ac:dyDescent="0.2">
      <c r="A28" s="81">
        <v>36251</v>
      </c>
      <c r="B28" s="102">
        <v>3</v>
      </c>
      <c r="C28" s="102">
        <v>1</v>
      </c>
      <c r="D28" s="102">
        <v>0</v>
      </c>
      <c r="E28" s="102">
        <v>1</v>
      </c>
      <c r="F28" s="102">
        <v>0</v>
      </c>
      <c r="G28" s="82"/>
      <c r="H28" s="81">
        <v>36617</v>
      </c>
      <c r="I28" s="102">
        <v>3</v>
      </c>
      <c r="J28" s="102">
        <v>0</v>
      </c>
      <c r="K28" s="102">
        <v>0</v>
      </c>
      <c r="L28" s="102">
        <v>0</v>
      </c>
      <c r="M28" s="102">
        <v>0</v>
      </c>
      <c r="N28" s="82"/>
      <c r="O28" s="81">
        <v>36982</v>
      </c>
      <c r="P28" s="102">
        <v>2</v>
      </c>
      <c r="Q28" s="102">
        <v>1</v>
      </c>
      <c r="R28" s="102">
        <v>0</v>
      </c>
      <c r="S28" s="102">
        <v>1</v>
      </c>
      <c r="T28" s="102">
        <v>0</v>
      </c>
    </row>
    <row r="29" spans="1:20" x14ac:dyDescent="0.2">
      <c r="A29" s="81">
        <v>36281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82"/>
      <c r="H29" s="81">
        <v>36647</v>
      </c>
      <c r="I29" s="102">
        <v>1</v>
      </c>
      <c r="J29" s="102">
        <v>1</v>
      </c>
      <c r="K29" s="102">
        <v>0</v>
      </c>
      <c r="L29" s="102">
        <v>2</v>
      </c>
      <c r="M29" s="102">
        <v>0</v>
      </c>
      <c r="N29" s="82"/>
      <c r="O29" s="81">
        <v>37012</v>
      </c>
      <c r="P29" s="102">
        <v>3</v>
      </c>
      <c r="Q29" s="102">
        <v>2</v>
      </c>
      <c r="R29" s="102">
        <v>0</v>
      </c>
      <c r="S29" s="102">
        <v>10</v>
      </c>
      <c r="T29" s="102">
        <v>0</v>
      </c>
    </row>
    <row r="30" spans="1:20" x14ac:dyDescent="0.2">
      <c r="A30" s="81">
        <v>36312</v>
      </c>
      <c r="B30" s="102">
        <v>2</v>
      </c>
      <c r="C30" s="102">
        <v>1</v>
      </c>
      <c r="D30" s="102">
        <v>0</v>
      </c>
      <c r="E30" s="102">
        <v>1</v>
      </c>
      <c r="F30" s="102">
        <v>0</v>
      </c>
      <c r="G30" s="82"/>
      <c r="H30" s="81">
        <v>36678</v>
      </c>
      <c r="I30" s="102">
        <v>2</v>
      </c>
      <c r="J30" s="102">
        <v>1</v>
      </c>
      <c r="K30" s="102">
        <v>0</v>
      </c>
      <c r="L30" s="102">
        <v>1</v>
      </c>
      <c r="M30" s="102">
        <v>0</v>
      </c>
      <c r="N30" s="82"/>
      <c r="O30" s="81">
        <v>37043</v>
      </c>
      <c r="P30" s="102">
        <v>1</v>
      </c>
      <c r="Q30" s="102">
        <v>0</v>
      </c>
      <c r="R30" s="102">
        <v>0</v>
      </c>
      <c r="S30" s="102">
        <v>0</v>
      </c>
      <c r="T30" s="102">
        <v>0</v>
      </c>
    </row>
    <row r="31" spans="1:20" x14ac:dyDescent="0.2">
      <c r="A31" s="81">
        <v>36342</v>
      </c>
      <c r="B31" s="102">
        <v>3</v>
      </c>
      <c r="C31" s="102">
        <v>0</v>
      </c>
      <c r="D31" s="102">
        <v>0</v>
      </c>
      <c r="E31" s="102">
        <v>0</v>
      </c>
      <c r="F31" s="102">
        <v>0</v>
      </c>
      <c r="G31" s="82"/>
      <c r="H31" s="81">
        <v>36708</v>
      </c>
      <c r="I31" s="102">
        <v>1</v>
      </c>
      <c r="J31" s="102">
        <v>0</v>
      </c>
      <c r="K31" s="102">
        <v>0</v>
      </c>
      <c r="L31" s="102">
        <v>0</v>
      </c>
      <c r="M31" s="102">
        <v>0</v>
      </c>
      <c r="N31" s="82"/>
      <c r="O31" s="81">
        <v>37073</v>
      </c>
      <c r="P31" s="102">
        <v>2</v>
      </c>
      <c r="Q31" s="102">
        <v>0</v>
      </c>
      <c r="R31" s="102">
        <v>0</v>
      </c>
      <c r="S31" s="102">
        <v>0</v>
      </c>
      <c r="T31" s="102">
        <v>0</v>
      </c>
    </row>
    <row r="32" spans="1:20" x14ac:dyDescent="0.2">
      <c r="A32" s="81">
        <v>36373</v>
      </c>
      <c r="B32" s="102">
        <v>3</v>
      </c>
      <c r="C32" s="102">
        <v>2</v>
      </c>
      <c r="D32" s="102">
        <v>0</v>
      </c>
      <c r="E32" s="102">
        <v>2</v>
      </c>
      <c r="F32" s="102">
        <v>0</v>
      </c>
      <c r="G32" s="82"/>
      <c r="H32" s="81">
        <v>36739</v>
      </c>
      <c r="I32" s="102">
        <v>0</v>
      </c>
      <c r="J32" s="102">
        <v>0</v>
      </c>
      <c r="K32" s="102">
        <v>0</v>
      </c>
      <c r="L32" s="102">
        <v>0</v>
      </c>
      <c r="M32" s="102">
        <v>0</v>
      </c>
      <c r="N32" s="82"/>
      <c r="O32" s="81">
        <v>37104</v>
      </c>
      <c r="P32" s="102">
        <v>1</v>
      </c>
      <c r="Q32" s="102">
        <v>1</v>
      </c>
      <c r="R32" s="102">
        <v>0</v>
      </c>
      <c r="S32" s="102">
        <v>1</v>
      </c>
      <c r="T32" s="102">
        <v>0</v>
      </c>
    </row>
    <row r="33" spans="1:20" x14ac:dyDescent="0.2">
      <c r="A33" s="81">
        <v>36404</v>
      </c>
      <c r="B33" s="102">
        <v>1</v>
      </c>
      <c r="C33" s="102">
        <v>0</v>
      </c>
      <c r="D33" s="102">
        <v>0</v>
      </c>
      <c r="E33" s="102">
        <v>0</v>
      </c>
      <c r="F33" s="102">
        <v>0</v>
      </c>
      <c r="G33" s="82"/>
      <c r="H33" s="81">
        <v>36770</v>
      </c>
      <c r="I33" s="102">
        <v>5</v>
      </c>
      <c r="J33" s="102">
        <v>3</v>
      </c>
      <c r="K33" s="102">
        <v>0</v>
      </c>
      <c r="L33" s="102">
        <v>8</v>
      </c>
      <c r="M33" s="102">
        <v>0</v>
      </c>
      <c r="N33" s="82"/>
      <c r="O33" s="81">
        <v>37135</v>
      </c>
      <c r="P33" s="102">
        <v>2</v>
      </c>
      <c r="Q33" s="102">
        <v>0</v>
      </c>
      <c r="R33" s="102">
        <v>0</v>
      </c>
      <c r="S33" s="102">
        <v>0</v>
      </c>
      <c r="T33" s="102">
        <v>0</v>
      </c>
    </row>
    <row r="34" spans="1:20" x14ac:dyDescent="0.2">
      <c r="A34" s="81">
        <v>36434</v>
      </c>
      <c r="B34" s="102">
        <v>3</v>
      </c>
      <c r="C34" s="102">
        <v>2</v>
      </c>
      <c r="D34" s="102">
        <v>0</v>
      </c>
      <c r="E34" s="102">
        <v>2</v>
      </c>
      <c r="F34" s="102">
        <v>0</v>
      </c>
      <c r="G34" s="82"/>
      <c r="H34" s="81">
        <v>36800</v>
      </c>
      <c r="I34" s="102">
        <v>3</v>
      </c>
      <c r="J34" s="102">
        <v>1</v>
      </c>
      <c r="K34" s="102">
        <v>0</v>
      </c>
      <c r="L34" s="102">
        <v>2</v>
      </c>
      <c r="M34" s="102">
        <v>0</v>
      </c>
      <c r="N34" s="82"/>
      <c r="O34" s="81">
        <v>37165</v>
      </c>
      <c r="P34" s="102">
        <v>1</v>
      </c>
      <c r="Q34" s="102">
        <v>1</v>
      </c>
      <c r="R34" s="102">
        <v>0</v>
      </c>
      <c r="S34" s="102">
        <v>2</v>
      </c>
      <c r="T34" s="102">
        <v>0</v>
      </c>
    </row>
    <row r="35" spans="1:20" x14ac:dyDescent="0.2">
      <c r="A35" s="81">
        <v>36465</v>
      </c>
      <c r="B35" s="102">
        <v>3</v>
      </c>
      <c r="C35" s="102">
        <v>0</v>
      </c>
      <c r="D35" s="102">
        <v>0</v>
      </c>
      <c r="E35" s="102">
        <v>0</v>
      </c>
      <c r="F35" s="102">
        <v>0</v>
      </c>
      <c r="G35" s="82"/>
      <c r="H35" s="81">
        <v>36831</v>
      </c>
      <c r="I35" s="102">
        <v>5</v>
      </c>
      <c r="J35" s="102">
        <v>1</v>
      </c>
      <c r="K35" s="102">
        <v>0</v>
      </c>
      <c r="L35" s="102">
        <v>3</v>
      </c>
      <c r="M35" s="102">
        <v>0</v>
      </c>
      <c r="N35" s="82"/>
      <c r="O35" s="81">
        <v>37196</v>
      </c>
      <c r="P35" s="102">
        <v>2</v>
      </c>
      <c r="Q35" s="102">
        <v>1</v>
      </c>
      <c r="R35" s="102">
        <v>0</v>
      </c>
      <c r="S35" s="102">
        <v>1</v>
      </c>
      <c r="T35" s="102">
        <v>0</v>
      </c>
    </row>
    <row r="36" spans="1:20" x14ac:dyDescent="0.2">
      <c r="A36" s="81">
        <v>36495</v>
      </c>
      <c r="B36" s="102">
        <v>1</v>
      </c>
      <c r="C36" s="102">
        <v>0</v>
      </c>
      <c r="D36" s="102">
        <v>0</v>
      </c>
      <c r="E36" s="102">
        <v>0</v>
      </c>
      <c r="F36" s="102">
        <v>0</v>
      </c>
      <c r="G36" s="82"/>
      <c r="H36" s="81">
        <v>36861</v>
      </c>
      <c r="I36" s="102">
        <v>1</v>
      </c>
      <c r="J36" s="102">
        <v>0</v>
      </c>
      <c r="K36" s="102">
        <v>0</v>
      </c>
      <c r="L36" s="102">
        <v>0</v>
      </c>
      <c r="M36" s="102">
        <v>0</v>
      </c>
      <c r="N36" s="82"/>
      <c r="O36" s="81">
        <v>37226</v>
      </c>
      <c r="P36" s="102">
        <v>4</v>
      </c>
      <c r="Q36" s="102">
        <v>2</v>
      </c>
      <c r="R36" s="102">
        <v>0</v>
      </c>
      <c r="S36" s="102">
        <v>3</v>
      </c>
      <c r="T36" s="102">
        <v>0</v>
      </c>
    </row>
    <row r="37" spans="1:20" x14ac:dyDescent="0.2">
      <c r="A37" s="83" t="s">
        <v>17</v>
      </c>
      <c r="B37" s="84">
        <f>SUM(B25:B36)</f>
        <v>29</v>
      </c>
      <c r="C37" s="84">
        <f>SUM(C25:C36)</f>
        <v>9</v>
      </c>
      <c r="D37" s="84">
        <f>SUM(D25:D36)</f>
        <v>0</v>
      </c>
      <c r="E37" s="84">
        <f>SUM(E25:E36)</f>
        <v>13</v>
      </c>
      <c r="F37" s="84">
        <f>SUM(F25:F36)</f>
        <v>0</v>
      </c>
      <c r="G37" s="84"/>
      <c r="H37" s="83" t="s">
        <v>17</v>
      </c>
      <c r="I37" s="84">
        <f>SUM(I25:I36)</f>
        <v>35</v>
      </c>
      <c r="J37" s="84">
        <f>SUM(J25:J36)</f>
        <v>10</v>
      </c>
      <c r="K37" s="84">
        <f>SUM(K25:K36)</f>
        <v>0</v>
      </c>
      <c r="L37" s="84">
        <f>SUM(L25:L36)</f>
        <v>21</v>
      </c>
      <c r="M37" s="84">
        <f>SUM(M25:M36)</f>
        <v>0</v>
      </c>
      <c r="N37" s="84"/>
      <c r="O37" s="83" t="s">
        <v>17</v>
      </c>
      <c r="P37" s="84">
        <f>SUM(P25:P36)</f>
        <v>23</v>
      </c>
      <c r="Q37" s="84">
        <f>SUM(Q25:Q36)</f>
        <v>12</v>
      </c>
      <c r="R37" s="84">
        <f>SUM(R25:R36)</f>
        <v>0</v>
      </c>
      <c r="S37" s="84">
        <f>SUM(S25:S36)</f>
        <v>24</v>
      </c>
      <c r="T37" s="84">
        <f>SUM(T25:T36)</f>
        <v>0</v>
      </c>
    </row>
    <row r="39" spans="1:20" s="79" customFormat="1" x14ac:dyDescent="0.2">
      <c r="C39" s="79" t="s">
        <v>36</v>
      </c>
      <c r="D39" s="79" t="s">
        <v>39</v>
      </c>
      <c r="J39" s="79" t="s">
        <v>36</v>
      </c>
      <c r="K39" s="79" t="s">
        <v>39</v>
      </c>
      <c r="Q39" s="79" t="s">
        <v>36</v>
      </c>
      <c r="R39" s="79" t="s">
        <v>39</v>
      </c>
    </row>
    <row r="40" spans="1:20" s="79" customFormat="1" x14ac:dyDescent="0.2">
      <c r="A40" s="79">
        <v>2002</v>
      </c>
      <c r="B40" s="79" t="s">
        <v>115</v>
      </c>
      <c r="C40" s="79" t="s">
        <v>115</v>
      </c>
      <c r="D40" s="79" t="s">
        <v>115</v>
      </c>
      <c r="E40" s="79" t="s">
        <v>116</v>
      </c>
      <c r="F40" s="79" t="s">
        <v>117</v>
      </c>
      <c r="H40" s="79">
        <v>2003</v>
      </c>
      <c r="I40" s="79" t="s">
        <v>115</v>
      </c>
      <c r="J40" s="79" t="s">
        <v>115</v>
      </c>
      <c r="K40" s="79" t="s">
        <v>115</v>
      </c>
      <c r="L40" s="79" t="s">
        <v>116</v>
      </c>
      <c r="M40" s="79" t="s">
        <v>117</v>
      </c>
      <c r="O40" s="79">
        <v>2004</v>
      </c>
      <c r="P40" s="79" t="s">
        <v>115</v>
      </c>
      <c r="Q40" s="79" t="s">
        <v>115</v>
      </c>
      <c r="R40" s="79" t="s">
        <v>115</v>
      </c>
      <c r="S40" s="79" t="s">
        <v>116</v>
      </c>
      <c r="T40" s="79" t="s">
        <v>117</v>
      </c>
    </row>
    <row r="41" spans="1:20" x14ac:dyDescent="0.2">
      <c r="A41" s="81">
        <v>37257</v>
      </c>
      <c r="B41" s="102">
        <v>3</v>
      </c>
      <c r="C41" s="102">
        <v>0</v>
      </c>
      <c r="D41" s="102">
        <v>0</v>
      </c>
      <c r="E41" s="102">
        <v>0</v>
      </c>
      <c r="F41" s="102">
        <v>0</v>
      </c>
      <c r="G41" s="82"/>
      <c r="H41" s="81">
        <v>37622</v>
      </c>
      <c r="I41" s="102">
        <v>2</v>
      </c>
      <c r="J41" s="102">
        <v>0</v>
      </c>
      <c r="K41" s="102">
        <v>0</v>
      </c>
      <c r="L41" s="102">
        <v>0</v>
      </c>
      <c r="M41" s="102">
        <v>0</v>
      </c>
      <c r="N41" s="82"/>
      <c r="O41" s="81">
        <v>37987</v>
      </c>
      <c r="P41" s="102">
        <v>1</v>
      </c>
      <c r="Q41" s="102">
        <v>1</v>
      </c>
      <c r="R41" s="102">
        <v>0</v>
      </c>
      <c r="S41" s="102">
        <v>1</v>
      </c>
      <c r="T41" s="102">
        <v>0</v>
      </c>
    </row>
    <row r="42" spans="1:20" x14ac:dyDescent="0.2">
      <c r="A42" s="81">
        <v>37288</v>
      </c>
      <c r="B42" s="102">
        <v>4</v>
      </c>
      <c r="C42" s="102">
        <v>2</v>
      </c>
      <c r="D42" s="102">
        <v>0</v>
      </c>
      <c r="E42" s="102">
        <v>2</v>
      </c>
      <c r="F42" s="102">
        <v>0</v>
      </c>
      <c r="G42" s="82"/>
      <c r="H42" s="81">
        <v>37653</v>
      </c>
      <c r="I42" s="102">
        <v>1</v>
      </c>
      <c r="J42" s="102">
        <v>0</v>
      </c>
      <c r="K42" s="102">
        <v>0</v>
      </c>
      <c r="L42" s="102">
        <v>0</v>
      </c>
      <c r="M42" s="102">
        <v>0</v>
      </c>
      <c r="N42" s="82"/>
      <c r="O42" s="81">
        <v>38018</v>
      </c>
      <c r="P42" s="102">
        <v>2</v>
      </c>
      <c r="Q42" s="102">
        <v>1</v>
      </c>
      <c r="R42" s="102">
        <v>0</v>
      </c>
      <c r="S42" s="102">
        <v>2</v>
      </c>
      <c r="T42" s="102">
        <v>0</v>
      </c>
    </row>
    <row r="43" spans="1:20" x14ac:dyDescent="0.2">
      <c r="A43" s="81">
        <v>37316</v>
      </c>
      <c r="B43" s="102">
        <v>1</v>
      </c>
      <c r="C43" s="102">
        <v>0</v>
      </c>
      <c r="D43" s="102">
        <v>0</v>
      </c>
      <c r="E43" s="102">
        <v>0</v>
      </c>
      <c r="F43" s="102">
        <v>0</v>
      </c>
      <c r="G43" s="82"/>
      <c r="H43" s="81">
        <v>37681</v>
      </c>
      <c r="I43" s="102">
        <v>2</v>
      </c>
      <c r="J43" s="102">
        <v>1</v>
      </c>
      <c r="K43" s="102">
        <v>0</v>
      </c>
      <c r="L43" s="102">
        <v>2</v>
      </c>
      <c r="M43" s="102">
        <v>0</v>
      </c>
      <c r="N43" s="82"/>
      <c r="O43" s="81">
        <v>38047</v>
      </c>
      <c r="P43" s="102">
        <v>5</v>
      </c>
      <c r="Q43" s="102">
        <v>2</v>
      </c>
      <c r="R43" s="102">
        <v>0</v>
      </c>
      <c r="S43" s="102">
        <v>3</v>
      </c>
      <c r="T43" s="102">
        <v>0</v>
      </c>
    </row>
    <row r="44" spans="1:20" x14ac:dyDescent="0.2">
      <c r="A44" s="81">
        <v>37347</v>
      </c>
      <c r="B44" s="102">
        <v>4</v>
      </c>
      <c r="C44" s="102">
        <v>0</v>
      </c>
      <c r="D44" s="102">
        <v>0</v>
      </c>
      <c r="E44" s="102">
        <v>0</v>
      </c>
      <c r="F44" s="102">
        <v>0</v>
      </c>
      <c r="G44" s="82"/>
      <c r="H44" s="81">
        <v>37712</v>
      </c>
      <c r="I44" s="102">
        <v>3</v>
      </c>
      <c r="J44" s="102">
        <v>1</v>
      </c>
      <c r="K44" s="102">
        <v>0</v>
      </c>
      <c r="L44" s="102">
        <v>1</v>
      </c>
      <c r="M44" s="102">
        <v>0</v>
      </c>
      <c r="N44" s="82"/>
      <c r="O44" s="81">
        <v>38078</v>
      </c>
      <c r="P44" s="102">
        <v>4</v>
      </c>
      <c r="Q44" s="102">
        <v>1</v>
      </c>
      <c r="R44" s="102">
        <v>0</v>
      </c>
      <c r="S44" s="102">
        <v>1</v>
      </c>
      <c r="T44" s="102">
        <v>0</v>
      </c>
    </row>
    <row r="45" spans="1:20" x14ac:dyDescent="0.2">
      <c r="A45" s="81">
        <v>37377</v>
      </c>
      <c r="B45" s="102">
        <v>3</v>
      </c>
      <c r="C45" s="102">
        <v>1</v>
      </c>
      <c r="D45" s="102">
        <v>0</v>
      </c>
      <c r="E45" s="102">
        <v>1</v>
      </c>
      <c r="F45" s="102">
        <v>0</v>
      </c>
      <c r="G45" s="82"/>
      <c r="H45" s="81">
        <v>37742</v>
      </c>
      <c r="I45" s="102">
        <v>1</v>
      </c>
      <c r="J45" s="102">
        <v>1</v>
      </c>
      <c r="K45" s="102">
        <v>0</v>
      </c>
      <c r="L45" s="102">
        <v>1</v>
      </c>
      <c r="M45" s="102">
        <v>0</v>
      </c>
      <c r="N45" s="82"/>
      <c r="O45" s="81">
        <v>38108</v>
      </c>
      <c r="P45" s="102">
        <v>2</v>
      </c>
      <c r="Q45" s="102">
        <v>1</v>
      </c>
      <c r="R45" s="102">
        <v>0</v>
      </c>
      <c r="S45" s="102">
        <v>1</v>
      </c>
      <c r="T45" s="102">
        <v>0</v>
      </c>
    </row>
    <row r="46" spans="1:20" x14ac:dyDescent="0.2">
      <c r="A46" s="81">
        <v>37408</v>
      </c>
      <c r="B46" s="102">
        <v>3</v>
      </c>
      <c r="C46" s="102">
        <v>1</v>
      </c>
      <c r="D46" s="102">
        <v>0</v>
      </c>
      <c r="E46" s="102">
        <v>1</v>
      </c>
      <c r="F46" s="102">
        <v>0</v>
      </c>
      <c r="G46" s="82"/>
      <c r="H46" s="81">
        <v>37773</v>
      </c>
      <c r="I46" s="102">
        <v>7</v>
      </c>
      <c r="J46" s="102">
        <v>4</v>
      </c>
      <c r="K46" s="102">
        <v>1</v>
      </c>
      <c r="L46" s="102">
        <v>9</v>
      </c>
      <c r="M46" s="102">
        <v>3</v>
      </c>
      <c r="N46" s="82"/>
      <c r="O46" s="81">
        <v>38139</v>
      </c>
      <c r="P46" s="102">
        <v>2</v>
      </c>
      <c r="Q46" s="102">
        <v>0</v>
      </c>
      <c r="R46" s="102">
        <v>0</v>
      </c>
      <c r="S46" s="102">
        <v>0</v>
      </c>
      <c r="T46" s="102">
        <v>0</v>
      </c>
    </row>
    <row r="47" spans="1:20" x14ac:dyDescent="0.2">
      <c r="A47" s="81">
        <v>37438</v>
      </c>
      <c r="B47" s="102">
        <v>5</v>
      </c>
      <c r="C47" s="102">
        <v>3</v>
      </c>
      <c r="D47" s="102">
        <v>0</v>
      </c>
      <c r="E47" s="102">
        <v>6</v>
      </c>
      <c r="F47" s="102">
        <v>0</v>
      </c>
      <c r="G47" s="82"/>
      <c r="H47" s="81">
        <v>37803</v>
      </c>
      <c r="I47" s="102">
        <v>5</v>
      </c>
      <c r="J47" s="102">
        <v>0</v>
      </c>
      <c r="K47" s="102">
        <v>0</v>
      </c>
      <c r="L47" s="102">
        <v>0</v>
      </c>
      <c r="M47" s="102">
        <v>0</v>
      </c>
      <c r="N47" s="82"/>
      <c r="O47" s="81">
        <v>38169</v>
      </c>
      <c r="P47" s="102">
        <v>3</v>
      </c>
      <c r="Q47" s="102">
        <v>1</v>
      </c>
      <c r="R47" s="102">
        <v>0</v>
      </c>
      <c r="S47" s="102">
        <v>1</v>
      </c>
      <c r="T47" s="102">
        <v>0</v>
      </c>
    </row>
    <row r="48" spans="1:20" x14ac:dyDescent="0.2">
      <c r="A48" s="81">
        <v>37469</v>
      </c>
      <c r="B48" s="102">
        <v>4</v>
      </c>
      <c r="C48" s="102">
        <v>1</v>
      </c>
      <c r="D48" s="102">
        <v>0</v>
      </c>
      <c r="E48" s="102">
        <v>2</v>
      </c>
      <c r="F48" s="102">
        <v>0</v>
      </c>
      <c r="G48" s="82"/>
      <c r="H48" s="81">
        <v>37834</v>
      </c>
      <c r="I48" s="102">
        <v>7</v>
      </c>
      <c r="J48" s="102">
        <v>3</v>
      </c>
      <c r="K48" s="102">
        <v>1</v>
      </c>
      <c r="L48" s="102">
        <v>6</v>
      </c>
      <c r="M48" s="102">
        <v>1</v>
      </c>
      <c r="N48" s="82"/>
      <c r="O48" s="81">
        <v>38200</v>
      </c>
      <c r="P48" s="102">
        <v>4</v>
      </c>
      <c r="Q48" s="102">
        <v>3</v>
      </c>
      <c r="R48" s="102">
        <v>0</v>
      </c>
      <c r="S48" s="102">
        <v>9</v>
      </c>
      <c r="T48" s="102">
        <v>0</v>
      </c>
    </row>
    <row r="49" spans="1:20" x14ac:dyDescent="0.2">
      <c r="A49" s="81">
        <v>37500</v>
      </c>
      <c r="B49" s="102">
        <v>1</v>
      </c>
      <c r="C49" s="102">
        <v>1</v>
      </c>
      <c r="D49" s="102">
        <v>0</v>
      </c>
      <c r="E49" s="102">
        <v>1</v>
      </c>
      <c r="F49" s="102">
        <v>0</v>
      </c>
      <c r="G49" s="82"/>
      <c r="H49" s="81">
        <v>37865</v>
      </c>
      <c r="I49" s="102">
        <v>4</v>
      </c>
      <c r="J49" s="102">
        <v>1</v>
      </c>
      <c r="K49" s="102">
        <v>0</v>
      </c>
      <c r="L49" s="102">
        <v>1</v>
      </c>
      <c r="M49" s="102">
        <v>0</v>
      </c>
      <c r="N49" s="82"/>
      <c r="O49" s="81">
        <v>38231</v>
      </c>
      <c r="P49" s="102">
        <v>3</v>
      </c>
      <c r="Q49" s="102">
        <v>2</v>
      </c>
      <c r="R49" s="102">
        <v>1</v>
      </c>
      <c r="S49" s="102">
        <v>3</v>
      </c>
      <c r="T49" s="102">
        <v>4</v>
      </c>
    </row>
    <row r="50" spans="1:20" x14ac:dyDescent="0.2">
      <c r="A50" s="81">
        <v>37530</v>
      </c>
      <c r="B50" s="102">
        <v>3</v>
      </c>
      <c r="C50" s="102">
        <v>1</v>
      </c>
      <c r="D50" s="102">
        <v>1</v>
      </c>
      <c r="E50" s="102">
        <v>1</v>
      </c>
      <c r="F50" s="102">
        <v>1</v>
      </c>
      <c r="G50" s="82"/>
      <c r="H50" s="81">
        <v>37895</v>
      </c>
      <c r="I50" s="102">
        <v>2</v>
      </c>
      <c r="J50" s="102">
        <v>0</v>
      </c>
      <c r="K50" s="102">
        <v>0</v>
      </c>
      <c r="L50" s="102">
        <v>0</v>
      </c>
      <c r="M50" s="102">
        <v>0</v>
      </c>
      <c r="N50" s="82"/>
      <c r="O50" s="81">
        <v>38261</v>
      </c>
      <c r="P50" s="102">
        <v>2</v>
      </c>
      <c r="Q50" s="102">
        <v>0</v>
      </c>
      <c r="R50" s="102">
        <v>0</v>
      </c>
      <c r="S50" s="102">
        <v>0</v>
      </c>
      <c r="T50" s="102">
        <v>0</v>
      </c>
    </row>
    <row r="51" spans="1:20" x14ac:dyDescent="0.2">
      <c r="A51" s="81">
        <v>37561</v>
      </c>
      <c r="B51" s="102">
        <v>4</v>
      </c>
      <c r="C51" s="102">
        <v>1</v>
      </c>
      <c r="D51" s="102">
        <v>0</v>
      </c>
      <c r="E51" s="102">
        <v>1</v>
      </c>
      <c r="F51" s="102">
        <v>0</v>
      </c>
      <c r="G51" s="82"/>
      <c r="H51" s="81">
        <v>37926</v>
      </c>
      <c r="I51" s="102">
        <v>3</v>
      </c>
      <c r="J51" s="102">
        <v>0</v>
      </c>
      <c r="K51" s="102">
        <v>0</v>
      </c>
      <c r="L51" s="102">
        <v>0</v>
      </c>
      <c r="M51" s="102">
        <v>0</v>
      </c>
      <c r="N51" s="82"/>
      <c r="O51" s="81">
        <v>38292</v>
      </c>
      <c r="P51" s="102">
        <v>1</v>
      </c>
      <c r="Q51" s="102">
        <v>0</v>
      </c>
      <c r="R51" s="102">
        <v>0</v>
      </c>
      <c r="S51" s="102">
        <v>0</v>
      </c>
      <c r="T51" s="102">
        <v>0</v>
      </c>
    </row>
    <row r="52" spans="1:20" x14ac:dyDescent="0.2">
      <c r="A52" s="81">
        <v>37591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82"/>
      <c r="H52" s="81">
        <v>37956</v>
      </c>
      <c r="I52" s="102">
        <v>4</v>
      </c>
      <c r="J52" s="102">
        <v>2</v>
      </c>
      <c r="K52" s="102">
        <v>0</v>
      </c>
      <c r="L52" s="102">
        <v>3</v>
      </c>
      <c r="M52" s="102">
        <v>0</v>
      </c>
      <c r="N52" s="82"/>
      <c r="O52" s="81">
        <v>38322</v>
      </c>
      <c r="P52" s="102">
        <v>5</v>
      </c>
      <c r="Q52" s="102">
        <v>1</v>
      </c>
      <c r="R52" s="102">
        <v>0</v>
      </c>
      <c r="S52" s="102">
        <v>1</v>
      </c>
      <c r="T52" s="102">
        <v>0</v>
      </c>
    </row>
    <row r="53" spans="1:20" s="79" customFormat="1" x14ac:dyDescent="0.2">
      <c r="A53" s="83" t="s">
        <v>17</v>
      </c>
      <c r="B53" s="84">
        <f>SUM(B41:B52)</f>
        <v>35</v>
      </c>
      <c r="C53" s="84">
        <f>SUM(C41:C52)</f>
        <v>11</v>
      </c>
      <c r="D53" s="84">
        <f>SUM(D41:D52)</f>
        <v>1</v>
      </c>
      <c r="E53" s="84">
        <f>SUM(E41:E52)</f>
        <v>15</v>
      </c>
      <c r="F53" s="84">
        <f>SUM(F41:F52)</f>
        <v>1</v>
      </c>
      <c r="G53" s="84"/>
      <c r="H53" s="83" t="s">
        <v>17</v>
      </c>
      <c r="I53" s="84">
        <f>SUM(I41:I52)</f>
        <v>41</v>
      </c>
      <c r="J53" s="84">
        <f>SUM(J41:J52)</f>
        <v>13</v>
      </c>
      <c r="K53" s="84">
        <f>SUM(K41:K52)</f>
        <v>2</v>
      </c>
      <c r="L53" s="84">
        <f>SUM(L41:L52)</f>
        <v>23</v>
      </c>
      <c r="M53" s="84">
        <f>SUM(M41:M52)</f>
        <v>4</v>
      </c>
      <c r="N53" s="84"/>
      <c r="O53" s="83" t="s">
        <v>17</v>
      </c>
      <c r="P53" s="84">
        <f>SUM(P41:P52)</f>
        <v>34</v>
      </c>
      <c r="Q53" s="84">
        <f>SUM(Q41:Q52)</f>
        <v>13</v>
      </c>
      <c r="R53" s="84">
        <f>SUM(R41:R52)</f>
        <v>1</v>
      </c>
      <c r="S53" s="84">
        <f>SUM(S41:S52)</f>
        <v>22</v>
      </c>
      <c r="T53" s="84">
        <f>SUM(T41:T52)</f>
        <v>4</v>
      </c>
    </row>
    <row r="55" spans="1:20" x14ac:dyDescent="0.2">
      <c r="A55" s="79"/>
      <c r="B55" s="79"/>
      <c r="C55" s="79" t="s">
        <v>36</v>
      </c>
      <c r="D55" s="79" t="s">
        <v>39</v>
      </c>
      <c r="E55" s="79"/>
      <c r="F55" s="79"/>
      <c r="G55" s="79"/>
      <c r="H55" s="79"/>
      <c r="I55" s="79"/>
      <c r="J55" s="79" t="s">
        <v>36</v>
      </c>
      <c r="K55" s="79" t="s">
        <v>39</v>
      </c>
      <c r="L55" s="79"/>
      <c r="M55" s="79"/>
      <c r="N55" s="79"/>
      <c r="O55" s="79"/>
      <c r="P55" s="79"/>
      <c r="Q55" s="79" t="s">
        <v>36</v>
      </c>
      <c r="R55" s="79" t="s">
        <v>39</v>
      </c>
      <c r="S55" s="79"/>
      <c r="T55" s="79"/>
    </row>
    <row r="56" spans="1:20" x14ac:dyDescent="0.2">
      <c r="A56" s="79">
        <v>2005</v>
      </c>
      <c r="B56" s="79" t="s">
        <v>115</v>
      </c>
      <c r="C56" s="79" t="s">
        <v>115</v>
      </c>
      <c r="D56" s="79" t="s">
        <v>115</v>
      </c>
      <c r="E56" s="79" t="s">
        <v>116</v>
      </c>
      <c r="F56" s="79" t="s">
        <v>117</v>
      </c>
      <c r="G56" s="79"/>
      <c r="H56" s="79">
        <v>2006</v>
      </c>
      <c r="I56" s="79" t="s">
        <v>115</v>
      </c>
      <c r="J56" s="79" t="s">
        <v>115</v>
      </c>
      <c r="K56" s="79" t="s">
        <v>115</v>
      </c>
      <c r="L56" s="79" t="s">
        <v>116</v>
      </c>
      <c r="M56" s="79" t="s">
        <v>117</v>
      </c>
      <c r="N56" s="79"/>
      <c r="O56" s="79">
        <v>2007</v>
      </c>
      <c r="P56" s="79" t="s">
        <v>115</v>
      </c>
      <c r="Q56" s="79" t="s">
        <v>115</v>
      </c>
      <c r="R56" s="79" t="s">
        <v>115</v>
      </c>
      <c r="S56" s="79" t="s">
        <v>116</v>
      </c>
      <c r="T56" s="79" t="s">
        <v>117</v>
      </c>
    </row>
    <row r="57" spans="1:20" x14ac:dyDescent="0.2">
      <c r="A57" s="81">
        <v>38353</v>
      </c>
      <c r="B57" s="102">
        <v>7</v>
      </c>
      <c r="C57" s="102">
        <v>3</v>
      </c>
      <c r="D57" s="102">
        <v>0</v>
      </c>
      <c r="E57" s="102">
        <v>4</v>
      </c>
      <c r="F57" s="102">
        <v>0</v>
      </c>
      <c r="G57" s="82"/>
      <c r="H57" s="81">
        <v>38718</v>
      </c>
      <c r="I57" s="102">
        <v>3</v>
      </c>
      <c r="J57" s="102">
        <v>1</v>
      </c>
      <c r="K57" s="102">
        <v>0</v>
      </c>
      <c r="L57" s="102">
        <v>1</v>
      </c>
      <c r="M57" s="102">
        <v>0</v>
      </c>
      <c r="N57" s="82"/>
      <c r="O57" s="81">
        <v>39083</v>
      </c>
      <c r="P57" s="102">
        <v>1</v>
      </c>
      <c r="Q57" s="102">
        <v>0</v>
      </c>
      <c r="R57" s="102">
        <v>0</v>
      </c>
      <c r="S57" s="102">
        <v>0</v>
      </c>
      <c r="T57" s="102">
        <v>0</v>
      </c>
    </row>
    <row r="58" spans="1:20" x14ac:dyDescent="0.2">
      <c r="A58" s="81">
        <v>38384</v>
      </c>
      <c r="B58" s="102">
        <v>1</v>
      </c>
      <c r="C58" s="102">
        <v>1</v>
      </c>
      <c r="D58" s="102">
        <v>0</v>
      </c>
      <c r="E58" s="102">
        <v>1</v>
      </c>
      <c r="F58" s="102">
        <v>0</v>
      </c>
      <c r="G58" s="82"/>
      <c r="H58" s="81">
        <v>38749</v>
      </c>
      <c r="I58" s="102">
        <v>0</v>
      </c>
      <c r="J58" s="102">
        <v>0</v>
      </c>
      <c r="K58" s="102">
        <v>0</v>
      </c>
      <c r="L58" s="102">
        <v>0</v>
      </c>
      <c r="M58" s="102">
        <v>0</v>
      </c>
      <c r="N58" s="82"/>
      <c r="O58" s="81">
        <v>39114</v>
      </c>
      <c r="P58" s="102">
        <v>0</v>
      </c>
      <c r="Q58" s="102">
        <v>0</v>
      </c>
      <c r="R58" s="102">
        <v>0</v>
      </c>
      <c r="S58" s="102">
        <v>0</v>
      </c>
      <c r="T58" s="102">
        <v>0</v>
      </c>
    </row>
    <row r="59" spans="1:20" x14ac:dyDescent="0.2">
      <c r="A59" s="81">
        <v>38412</v>
      </c>
      <c r="B59" s="102">
        <v>4</v>
      </c>
      <c r="C59" s="102">
        <v>2</v>
      </c>
      <c r="D59" s="102">
        <v>0</v>
      </c>
      <c r="E59" s="102">
        <v>2</v>
      </c>
      <c r="F59" s="102">
        <v>0</v>
      </c>
      <c r="G59" s="82"/>
      <c r="H59" s="81">
        <v>38777</v>
      </c>
      <c r="I59" s="102">
        <v>1</v>
      </c>
      <c r="J59" s="102">
        <v>1</v>
      </c>
      <c r="K59" s="102">
        <v>0</v>
      </c>
      <c r="L59" s="102">
        <v>1</v>
      </c>
      <c r="M59" s="102">
        <v>0</v>
      </c>
      <c r="N59" s="82"/>
      <c r="O59" s="81">
        <v>39142</v>
      </c>
      <c r="P59" s="102">
        <v>1</v>
      </c>
      <c r="Q59" s="102">
        <v>0</v>
      </c>
      <c r="R59" s="102">
        <v>0</v>
      </c>
      <c r="S59" s="102">
        <v>0</v>
      </c>
      <c r="T59" s="102">
        <v>0</v>
      </c>
    </row>
    <row r="60" spans="1:20" x14ac:dyDescent="0.2">
      <c r="A60" s="81">
        <v>38443</v>
      </c>
      <c r="B60" s="102">
        <v>3</v>
      </c>
      <c r="C60" s="102">
        <v>0</v>
      </c>
      <c r="D60" s="102">
        <v>0</v>
      </c>
      <c r="E60" s="102">
        <v>0</v>
      </c>
      <c r="F60" s="102">
        <v>0</v>
      </c>
      <c r="G60" s="82"/>
      <c r="H60" s="81">
        <v>38808</v>
      </c>
      <c r="I60" s="102">
        <v>3</v>
      </c>
      <c r="J60" s="102">
        <v>0</v>
      </c>
      <c r="K60" s="102">
        <v>0</v>
      </c>
      <c r="L60" s="102">
        <v>0</v>
      </c>
      <c r="M60" s="102">
        <v>0</v>
      </c>
      <c r="N60" s="82"/>
      <c r="O60" s="81">
        <v>39173</v>
      </c>
      <c r="P60" s="102">
        <v>1</v>
      </c>
      <c r="Q60" s="102">
        <v>0</v>
      </c>
      <c r="R60" s="102">
        <v>0</v>
      </c>
      <c r="S60" s="102">
        <v>0</v>
      </c>
      <c r="T60" s="102">
        <v>0</v>
      </c>
    </row>
    <row r="61" spans="1:20" x14ac:dyDescent="0.2">
      <c r="A61" s="81">
        <v>38473</v>
      </c>
      <c r="B61" s="102">
        <v>2</v>
      </c>
      <c r="C61" s="102">
        <v>1</v>
      </c>
      <c r="D61" s="102">
        <v>0</v>
      </c>
      <c r="E61" s="102">
        <v>2</v>
      </c>
      <c r="F61" s="102">
        <v>0</v>
      </c>
      <c r="G61" s="82"/>
      <c r="H61" s="81">
        <v>38838</v>
      </c>
      <c r="I61" s="102">
        <v>2</v>
      </c>
      <c r="J61" s="102">
        <v>1</v>
      </c>
      <c r="K61" s="102">
        <v>0</v>
      </c>
      <c r="L61" s="102">
        <v>1</v>
      </c>
      <c r="M61" s="102">
        <v>0</v>
      </c>
      <c r="N61" s="82"/>
      <c r="O61" s="81">
        <v>39203</v>
      </c>
      <c r="P61" s="102">
        <v>2</v>
      </c>
      <c r="Q61" s="102">
        <v>0</v>
      </c>
      <c r="R61" s="102">
        <v>0</v>
      </c>
      <c r="S61" s="102">
        <v>0</v>
      </c>
      <c r="T61" s="102">
        <v>0</v>
      </c>
    </row>
    <row r="62" spans="1:20" x14ac:dyDescent="0.2">
      <c r="A62" s="81">
        <v>38504</v>
      </c>
      <c r="B62" s="102">
        <v>4</v>
      </c>
      <c r="C62" s="102">
        <v>2</v>
      </c>
      <c r="D62" s="102">
        <v>1</v>
      </c>
      <c r="E62" s="102">
        <v>6</v>
      </c>
      <c r="F62" s="102">
        <v>1</v>
      </c>
      <c r="G62" s="82"/>
      <c r="H62" s="81">
        <v>38869</v>
      </c>
      <c r="I62" s="102">
        <v>4</v>
      </c>
      <c r="J62" s="102">
        <v>2</v>
      </c>
      <c r="K62" s="102">
        <v>0</v>
      </c>
      <c r="L62" s="102">
        <v>3</v>
      </c>
      <c r="M62" s="102">
        <v>0</v>
      </c>
      <c r="N62" s="82"/>
      <c r="O62" s="81">
        <v>39234</v>
      </c>
      <c r="P62" s="102">
        <v>3</v>
      </c>
      <c r="Q62" s="102">
        <v>1</v>
      </c>
      <c r="R62" s="102">
        <v>0</v>
      </c>
      <c r="S62" s="102">
        <v>1</v>
      </c>
      <c r="T62" s="102">
        <v>0</v>
      </c>
    </row>
    <row r="63" spans="1:20" x14ac:dyDescent="0.2">
      <c r="A63" s="81">
        <v>38534</v>
      </c>
      <c r="B63" s="102">
        <v>1</v>
      </c>
      <c r="C63" s="102">
        <v>1</v>
      </c>
      <c r="D63" s="102">
        <v>0</v>
      </c>
      <c r="E63" s="102">
        <v>1</v>
      </c>
      <c r="F63" s="102">
        <v>0</v>
      </c>
      <c r="G63" s="82"/>
      <c r="H63" s="81">
        <v>38899</v>
      </c>
      <c r="I63" s="102">
        <v>2</v>
      </c>
      <c r="J63" s="102">
        <v>2</v>
      </c>
      <c r="K63" s="102">
        <v>0</v>
      </c>
      <c r="L63" s="102">
        <v>4</v>
      </c>
      <c r="M63" s="102">
        <v>0</v>
      </c>
      <c r="N63" s="82"/>
      <c r="O63" s="81">
        <v>39264</v>
      </c>
      <c r="P63" s="102">
        <v>0</v>
      </c>
      <c r="Q63" s="102">
        <v>0</v>
      </c>
      <c r="R63" s="102">
        <v>0</v>
      </c>
      <c r="S63" s="102">
        <v>0</v>
      </c>
      <c r="T63" s="102">
        <v>0</v>
      </c>
    </row>
    <row r="64" spans="1:20" x14ac:dyDescent="0.2">
      <c r="A64" s="81">
        <v>38565</v>
      </c>
      <c r="B64" s="102">
        <v>3</v>
      </c>
      <c r="C64" s="102">
        <v>1</v>
      </c>
      <c r="D64" s="102">
        <v>0</v>
      </c>
      <c r="E64" s="102">
        <v>1</v>
      </c>
      <c r="F64" s="102">
        <v>0</v>
      </c>
      <c r="G64" s="82"/>
      <c r="H64" s="81">
        <v>38930</v>
      </c>
      <c r="I64" s="102">
        <v>6</v>
      </c>
      <c r="J64" s="102">
        <v>2</v>
      </c>
      <c r="K64" s="102">
        <v>2</v>
      </c>
      <c r="L64" s="102">
        <v>2</v>
      </c>
      <c r="M64" s="102">
        <v>5</v>
      </c>
      <c r="N64" s="82"/>
      <c r="O64" s="81">
        <v>39295</v>
      </c>
      <c r="P64" s="102">
        <v>3</v>
      </c>
      <c r="Q64" s="102">
        <v>2</v>
      </c>
      <c r="R64" s="102">
        <v>0</v>
      </c>
      <c r="S64" s="102">
        <v>2</v>
      </c>
      <c r="T64" s="102">
        <v>0</v>
      </c>
    </row>
    <row r="65" spans="1:45" x14ac:dyDescent="0.2">
      <c r="A65" s="81">
        <v>38596</v>
      </c>
      <c r="B65" s="102">
        <v>0</v>
      </c>
      <c r="C65" s="102">
        <v>0</v>
      </c>
      <c r="D65" s="102">
        <v>0</v>
      </c>
      <c r="E65" s="102">
        <v>0</v>
      </c>
      <c r="F65" s="102">
        <v>0</v>
      </c>
      <c r="G65" s="82"/>
      <c r="H65" s="81">
        <v>38961</v>
      </c>
      <c r="I65" s="102">
        <v>3</v>
      </c>
      <c r="J65" s="102">
        <v>1</v>
      </c>
      <c r="K65" s="102">
        <v>0</v>
      </c>
      <c r="L65" s="102">
        <v>1</v>
      </c>
      <c r="M65" s="102">
        <v>0</v>
      </c>
      <c r="N65" s="82"/>
      <c r="O65" s="81">
        <v>39326</v>
      </c>
      <c r="P65" s="102">
        <v>0</v>
      </c>
      <c r="Q65" s="102">
        <v>0</v>
      </c>
      <c r="R65" s="102">
        <v>0</v>
      </c>
      <c r="S65" s="102">
        <v>0</v>
      </c>
      <c r="T65" s="102">
        <v>0</v>
      </c>
    </row>
    <row r="66" spans="1:45" x14ac:dyDescent="0.2">
      <c r="A66" s="81">
        <v>38626</v>
      </c>
      <c r="B66" s="102">
        <v>6</v>
      </c>
      <c r="C66" s="102">
        <v>1</v>
      </c>
      <c r="D66" s="102">
        <v>0</v>
      </c>
      <c r="E66" s="102">
        <v>1</v>
      </c>
      <c r="F66" s="102">
        <v>0</v>
      </c>
      <c r="G66" s="82"/>
      <c r="H66" s="81">
        <v>38991</v>
      </c>
      <c r="I66" s="102">
        <v>3</v>
      </c>
      <c r="J66" s="102">
        <v>0</v>
      </c>
      <c r="K66" s="102">
        <v>0</v>
      </c>
      <c r="L66" s="102">
        <v>0</v>
      </c>
      <c r="M66" s="102">
        <v>0</v>
      </c>
      <c r="N66" s="82"/>
      <c r="O66" s="81">
        <v>39356</v>
      </c>
      <c r="P66" s="102">
        <v>6</v>
      </c>
      <c r="Q66" s="102">
        <v>3</v>
      </c>
      <c r="R66" s="102">
        <v>0</v>
      </c>
      <c r="S66" s="102">
        <v>3</v>
      </c>
      <c r="T66" s="102">
        <v>0</v>
      </c>
    </row>
    <row r="67" spans="1:45" x14ac:dyDescent="0.2">
      <c r="A67" s="81">
        <v>38657</v>
      </c>
      <c r="B67" s="102">
        <v>0</v>
      </c>
      <c r="C67" s="102">
        <v>0</v>
      </c>
      <c r="D67" s="102">
        <v>0</v>
      </c>
      <c r="E67" s="102">
        <v>0</v>
      </c>
      <c r="F67" s="102">
        <v>0</v>
      </c>
      <c r="G67" s="82"/>
      <c r="H67" s="81">
        <v>39022</v>
      </c>
      <c r="I67" s="102">
        <v>1</v>
      </c>
      <c r="J67" s="102">
        <v>0</v>
      </c>
      <c r="K67" s="102">
        <v>1</v>
      </c>
      <c r="L67" s="102">
        <v>0</v>
      </c>
      <c r="M67" s="102">
        <v>1</v>
      </c>
      <c r="N67" s="82"/>
      <c r="O67" s="81">
        <v>39387</v>
      </c>
      <c r="P67" s="102">
        <v>1</v>
      </c>
      <c r="Q67" s="102">
        <v>0</v>
      </c>
      <c r="R67" s="102">
        <v>0</v>
      </c>
      <c r="S67" s="102">
        <v>0</v>
      </c>
      <c r="T67" s="102">
        <v>0</v>
      </c>
    </row>
    <row r="68" spans="1:45" x14ac:dyDescent="0.2">
      <c r="A68" s="81">
        <v>38687</v>
      </c>
      <c r="B68" s="102">
        <v>2</v>
      </c>
      <c r="C68" s="102">
        <v>0</v>
      </c>
      <c r="D68" s="102">
        <v>0</v>
      </c>
      <c r="E68" s="102">
        <v>0</v>
      </c>
      <c r="F68" s="102">
        <v>0</v>
      </c>
      <c r="G68" s="82"/>
      <c r="H68" s="81">
        <v>39052</v>
      </c>
      <c r="I68" s="102">
        <v>3</v>
      </c>
      <c r="J68" s="102">
        <v>1</v>
      </c>
      <c r="K68" s="102">
        <v>0</v>
      </c>
      <c r="L68" s="102">
        <v>2</v>
      </c>
      <c r="M68" s="102">
        <v>0</v>
      </c>
      <c r="N68" s="82"/>
      <c r="O68" s="81">
        <v>39417</v>
      </c>
      <c r="P68" s="102">
        <v>2</v>
      </c>
      <c r="Q68" s="102">
        <v>2</v>
      </c>
      <c r="R68" s="102">
        <v>0</v>
      </c>
      <c r="S68" s="102">
        <v>2</v>
      </c>
      <c r="T68" s="102">
        <v>0</v>
      </c>
    </row>
    <row r="69" spans="1:45" x14ac:dyDescent="0.2">
      <c r="A69" s="83" t="s">
        <v>17</v>
      </c>
      <c r="B69" s="84">
        <f>SUM(B57:B68)</f>
        <v>33</v>
      </c>
      <c r="C69" s="84">
        <f>SUM(C57:C68)</f>
        <v>12</v>
      </c>
      <c r="D69" s="84">
        <f>SUM(D57:D68)</f>
        <v>1</v>
      </c>
      <c r="E69" s="84">
        <f>SUM(E57:E68)</f>
        <v>18</v>
      </c>
      <c r="F69" s="84">
        <f>SUM(F57:F68)</f>
        <v>1</v>
      </c>
      <c r="G69" s="84"/>
      <c r="H69" s="83" t="s">
        <v>17</v>
      </c>
      <c r="I69" s="84">
        <f>SUM(I57:I68)</f>
        <v>31</v>
      </c>
      <c r="J69" s="84">
        <f>SUM(J57:J68)</f>
        <v>11</v>
      </c>
      <c r="K69" s="84">
        <f>SUM(K57:K68)</f>
        <v>3</v>
      </c>
      <c r="L69" s="84">
        <f>SUM(L57:L68)</f>
        <v>15</v>
      </c>
      <c r="M69" s="84">
        <f>SUM(M57:M68)</f>
        <v>6</v>
      </c>
      <c r="N69" s="84"/>
      <c r="O69" s="83" t="s">
        <v>17</v>
      </c>
      <c r="P69" s="84">
        <f>SUM(P57:P68)</f>
        <v>20</v>
      </c>
      <c r="Q69" s="84">
        <f>SUM(Q57:Q68)</f>
        <v>8</v>
      </c>
      <c r="R69" s="84">
        <f>SUM(R57:R68)</f>
        <v>0</v>
      </c>
      <c r="S69" s="84">
        <f>SUM(S57:S68)</f>
        <v>8</v>
      </c>
      <c r="T69" s="84">
        <f>SUM(T57:T68)</f>
        <v>0</v>
      </c>
    </row>
    <row r="72" spans="1:45" s="79" customFormat="1" x14ac:dyDescent="0.2">
      <c r="C72" s="79" t="s">
        <v>36</v>
      </c>
      <c r="D72" s="79" t="s">
        <v>39</v>
      </c>
    </row>
    <row r="73" spans="1:45" s="79" customFormat="1" x14ac:dyDescent="0.2">
      <c r="A73" s="79">
        <v>2008</v>
      </c>
      <c r="B73" s="79" t="s">
        <v>115</v>
      </c>
      <c r="C73" s="79" t="s">
        <v>115</v>
      </c>
      <c r="D73" s="79" t="s">
        <v>115</v>
      </c>
      <c r="E73" s="79" t="s">
        <v>116</v>
      </c>
      <c r="F73" s="79" t="s">
        <v>117</v>
      </c>
    </row>
    <row r="74" spans="1:45" x14ac:dyDescent="0.2">
      <c r="A74" s="81">
        <v>39448</v>
      </c>
      <c r="B74" s="102">
        <v>1</v>
      </c>
      <c r="C74" s="102">
        <v>1</v>
      </c>
      <c r="D74" s="102">
        <v>0</v>
      </c>
      <c r="E74" s="102">
        <v>1</v>
      </c>
      <c r="F74" s="102">
        <v>0</v>
      </c>
      <c r="G74" s="82"/>
      <c r="H74" s="81"/>
      <c r="I74" s="82"/>
      <c r="J74" s="82"/>
      <c r="K74" s="82"/>
      <c r="L74" s="82"/>
      <c r="M74" s="82"/>
      <c r="N74" s="82"/>
      <c r="O74" s="81"/>
      <c r="P74" s="82"/>
      <c r="Q74" s="82"/>
      <c r="R74" s="82"/>
      <c r="S74" s="82"/>
      <c r="T74" s="82"/>
      <c r="U74" s="81"/>
      <c r="V74" s="82"/>
      <c r="W74" s="82"/>
      <c r="X74" s="82"/>
      <c r="Y74" s="82"/>
      <c r="Z74" s="82"/>
      <c r="AA74" s="81"/>
      <c r="AB74" s="82"/>
      <c r="AC74" s="82"/>
      <c r="AD74" s="82"/>
      <c r="AE74" s="82"/>
      <c r="AF74" s="82"/>
      <c r="AN74" s="81"/>
      <c r="AO74" s="82"/>
      <c r="AP74" s="82"/>
      <c r="AQ74" s="82"/>
      <c r="AR74" s="82"/>
      <c r="AS74" s="82"/>
    </row>
    <row r="75" spans="1:45" x14ac:dyDescent="0.2">
      <c r="A75" s="81">
        <v>39479</v>
      </c>
      <c r="B75" s="102">
        <v>2</v>
      </c>
      <c r="C75" s="102">
        <v>0</v>
      </c>
      <c r="D75" s="102">
        <v>0</v>
      </c>
      <c r="E75" s="102">
        <v>0</v>
      </c>
      <c r="F75" s="102">
        <v>0</v>
      </c>
      <c r="G75" s="82"/>
      <c r="H75" s="81"/>
      <c r="I75" s="82"/>
      <c r="J75" s="82"/>
      <c r="K75" s="82"/>
      <c r="L75" s="82"/>
      <c r="M75" s="82"/>
      <c r="N75" s="82"/>
      <c r="O75" s="81"/>
      <c r="P75" s="82"/>
      <c r="Q75" s="82"/>
      <c r="R75" s="82"/>
      <c r="S75" s="82"/>
      <c r="T75" s="82"/>
      <c r="U75" s="81"/>
      <c r="V75" s="82"/>
      <c r="W75" s="82"/>
      <c r="X75" s="82"/>
      <c r="Y75" s="82"/>
      <c r="Z75" s="82"/>
      <c r="AA75" s="81"/>
      <c r="AB75" s="82"/>
      <c r="AC75" s="82"/>
      <c r="AD75" s="82"/>
      <c r="AE75" s="82"/>
      <c r="AF75" s="82"/>
      <c r="AN75" s="81"/>
      <c r="AO75" s="82"/>
      <c r="AP75" s="82"/>
      <c r="AQ75" s="82"/>
      <c r="AR75" s="82"/>
      <c r="AS75" s="82"/>
    </row>
    <row r="76" spans="1:45" x14ac:dyDescent="0.2">
      <c r="A76" s="81">
        <v>39508</v>
      </c>
      <c r="B76" s="102">
        <v>1</v>
      </c>
      <c r="C76" s="102">
        <v>1</v>
      </c>
      <c r="D76" s="102">
        <v>0</v>
      </c>
      <c r="E76" s="102">
        <v>1</v>
      </c>
      <c r="F76" s="102">
        <v>0</v>
      </c>
      <c r="G76" s="82"/>
      <c r="H76" s="81"/>
      <c r="I76" s="82"/>
      <c r="J76" s="82"/>
      <c r="K76" s="82"/>
      <c r="L76" s="82"/>
      <c r="M76" s="82"/>
      <c r="N76" s="82"/>
      <c r="O76" s="81"/>
      <c r="P76" s="82"/>
      <c r="Q76" s="82"/>
      <c r="R76" s="82"/>
      <c r="S76" s="82"/>
      <c r="T76" s="82"/>
      <c r="U76" s="81"/>
      <c r="V76" s="82"/>
      <c r="W76" s="82"/>
      <c r="X76" s="82"/>
      <c r="Y76" s="82"/>
      <c r="Z76" s="82"/>
      <c r="AA76" s="81"/>
      <c r="AB76" s="82"/>
      <c r="AC76" s="82"/>
      <c r="AD76" s="82"/>
      <c r="AE76" s="82"/>
      <c r="AF76" s="82"/>
      <c r="AN76" s="81"/>
      <c r="AO76" s="82"/>
      <c r="AP76" s="82"/>
      <c r="AQ76" s="82"/>
      <c r="AR76" s="82"/>
      <c r="AS76" s="82"/>
    </row>
    <row r="77" spans="1:45" x14ac:dyDescent="0.2">
      <c r="A77" s="81">
        <v>39539</v>
      </c>
      <c r="B77" s="102">
        <v>2</v>
      </c>
      <c r="C77" s="102">
        <v>0</v>
      </c>
      <c r="D77" s="102">
        <v>0</v>
      </c>
      <c r="E77" s="102">
        <v>0</v>
      </c>
      <c r="F77" s="102">
        <v>0</v>
      </c>
      <c r="G77" s="82"/>
      <c r="H77" s="81"/>
      <c r="I77" s="82"/>
      <c r="J77" s="82"/>
      <c r="K77" s="82"/>
      <c r="L77" s="82"/>
      <c r="M77" s="82"/>
      <c r="N77" s="82"/>
      <c r="O77" s="81"/>
      <c r="P77" s="82"/>
      <c r="Q77" s="82"/>
      <c r="R77" s="82"/>
      <c r="S77" s="82"/>
      <c r="T77" s="82"/>
      <c r="U77" s="81"/>
      <c r="V77" s="82"/>
      <c r="W77" s="82"/>
      <c r="X77" s="82"/>
      <c r="Y77" s="82"/>
      <c r="Z77" s="82"/>
      <c r="AA77" s="81"/>
      <c r="AB77" s="82"/>
      <c r="AC77" s="82"/>
      <c r="AD77" s="82"/>
      <c r="AE77" s="82"/>
      <c r="AF77" s="82"/>
      <c r="AN77" s="81"/>
      <c r="AO77" s="82"/>
      <c r="AP77" s="82"/>
      <c r="AQ77" s="82"/>
      <c r="AR77" s="82"/>
      <c r="AS77" s="82"/>
    </row>
    <row r="78" spans="1:45" x14ac:dyDescent="0.2">
      <c r="A78" s="81">
        <v>39569</v>
      </c>
      <c r="B78" s="102">
        <v>4</v>
      </c>
      <c r="C78" s="102">
        <v>0</v>
      </c>
      <c r="D78" s="102">
        <v>0</v>
      </c>
      <c r="E78" s="102">
        <v>0</v>
      </c>
      <c r="F78" s="102">
        <v>0</v>
      </c>
      <c r="G78" s="82"/>
      <c r="H78" s="81"/>
      <c r="I78" s="82"/>
      <c r="J78" s="82"/>
      <c r="K78" s="82"/>
      <c r="L78" s="82"/>
      <c r="M78" s="82"/>
      <c r="N78" s="82"/>
      <c r="O78" s="81"/>
      <c r="P78" s="82"/>
      <c r="Q78" s="82"/>
      <c r="R78" s="82"/>
      <c r="S78" s="82"/>
      <c r="T78" s="82"/>
      <c r="U78" s="81"/>
      <c r="V78" s="82"/>
      <c r="W78" s="82"/>
      <c r="X78" s="82"/>
      <c r="Y78" s="82"/>
      <c r="Z78" s="82"/>
      <c r="AA78" s="81"/>
      <c r="AB78" s="82"/>
      <c r="AC78" s="82"/>
      <c r="AD78" s="82"/>
      <c r="AE78" s="82"/>
      <c r="AF78" s="82"/>
      <c r="AN78" s="81"/>
      <c r="AO78" s="82"/>
      <c r="AP78" s="82"/>
      <c r="AQ78" s="82"/>
      <c r="AR78" s="82"/>
      <c r="AS78" s="82"/>
    </row>
    <row r="79" spans="1:45" x14ac:dyDescent="0.2">
      <c r="A79" s="81">
        <v>39600</v>
      </c>
      <c r="B79" s="102">
        <v>2</v>
      </c>
      <c r="C79" s="102">
        <v>2</v>
      </c>
      <c r="D79" s="102">
        <v>0</v>
      </c>
      <c r="E79" s="102">
        <v>3</v>
      </c>
      <c r="F79" s="102">
        <v>0</v>
      </c>
      <c r="G79" s="82"/>
      <c r="H79" s="81"/>
      <c r="I79" s="82"/>
      <c r="J79" s="82"/>
      <c r="K79" s="82"/>
      <c r="L79" s="82"/>
      <c r="M79" s="82"/>
      <c r="N79" s="82"/>
      <c r="O79" s="81"/>
      <c r="P79" s="82"/>
      <c r="Q79" s="82"/>
      <c r="R79" s="82"/>
      <c r="S79" s="82"/>
      <c r="T79" s="82"/>
      <c r="U79" s="81"/>
      <c r="V79" s="82"/>
      <c r="W79" s="82"/>
      <c r="X79" s="82"/>
      <c r="Y79" s="82"/>
      <c r="Z79" s="82"/>
      <c r="AA79" s="81"/>
      <c r="AB79" s="82"/>
      <c r="AC79" s="82"/>
      <c r="AD79" s="82"/>
      <c r="AE79" s="82"/>
      <c r="AF79" s="82"/>
      <c r="AN79" s="81"/>
      <c r="AO79" s="82"/>
      <c r="AP79" s="82"/>
      <c r="AQ79" s="82"/>
      <c r="AR79" s="82"/>
      <c r="AS79" s="82"/>
    </row>
    <row r="80" spans="1:45" x14ac:dyDescent="0.2">
      <c r="A80" s="81">
        <v>39630</v>
      </c>
      <c r="B80" s="102">
        <v>3</v>
      </c>
      <c r="C80" s="102">
        <v>1</v>
      </c>
      <c r="D80" s="102">
        <v>0</v>
      </c>
      <c r="E80" s="102">
        <v>1</v>
      </c>
      <c r="F80" s="102">
        <v>0</v>
      </c>
      <c r="G80" s="82"/>
      <c r="H80" s="81"/>
      <c r="I80" s="82"/>
      <c r="J80" s="82"/>
      <c r="K80" s="82"/>
      <c r="L80" s="82"/>
      <c r="M80" s="82"/>
      <c r="N80" s="82"/>
      <c r="O80" s="81"/>
      <c r="P80" s="82"/>
      <c r="Q80" s="82"/>
      <c r="R80" s="82"/>
      <c r="S80" s="82"/>
      <c r="T80" s="82"/>
      <c r="U80" s="81"/>
      <c r="V80" s="82"/>
      <c r="W80" s="82"/>
      <c r="X80" s="82"/>
      <c r="Y80" s="82"/>
      <c r="Z80" s="82"/>
      <c r="AA80" s="81"/>
      <c r="AB80" s="82"/>
      <c r="AC80" s="82"/>
      <c r="AD80" s="82"/>
      <c r="AE80" s="82"/>
      <c r="AF80" s="82"/>
      <c r="AN80" s="81"/>
      <c r="AO80" s="82"/>
      <c r="AP80" s="82"/>
      <c r="AQ80" s="82"/>
      <c r="AR80" s="82"/>
      <c r="AS80" s="82"/>
    </row>
    <row r="81" spans="1:45" x14ac:dyDescent="0.2">
      <c r="A81" s="81">
        <v>39661</v>
      </c>
      <c r="B81" s="102">
        <v>2</v>
      </c>
      <c r="C81" s="102">
        <v>1</v>
      </c>
      <c r="D81" s="102">
        <v>0</v>
      </c>
      <c r="E81" s="102">
        <v>2</v>
      </c>
      <c r="F81" s="102">
        <v>0</v>
      </c>
      <c r="G81" s="82"/>
      <c r="H81" s="81"/>
      <c r="I81" s="82"/>
      <c r="J81" s="82"/>
      <c r="K81" s="82"/>
      <c r="L81" s="82"/>
      <c r="M81" s="82"/>
      <c r="N81" s="82"/>
      <c r="O81" s="81"/>
      <c r="P81" s="82"/>
      <c r="Q81" s="82"/>
      <c r="R81" s="82"/>
      <c r="S81" s="82"/>
      <c r="T81" s="82"/>
      <c r="U81" s="81"/>
      <c r="V81" s="82"/>
      <c r="W81" s="82"/>
      <c r="X81" s="82"/>
      <c r="Y81" s="82"/>
      <c r="Z81" s="82"/>
      <c r="AA81" s="81"/>
      <c r="AB81" s="82"/>
      <c r="AC81" s="82"/>
      <c r="AD81" s="82"/>
      <c r="AE81" s="82"/>
      <c r="AF81" s="82"/>
      <c r="AN81" s="81"/>
      <c r="AO81" s="82"/>
      <c r="AP81" s="82"/>
      <c r="AQ81" s="82"/>
      <c r="AR81" s="82"/>
      <c r="AS81" s="82"/>
    </row>
    <row r="82" spans="1:45" x14ac:dyDescent="0.2">
      <c r="A82" s="81">
        <v>39692</v>
      </c>
      <c r="B82" s="102">
        <v>0</v>
      </c>
      <c r="C82" s="102">
        <v>0</v>
      </c>
      <c r="D82" s="102">
        <v>0</v>
      </c>
      <c r="E82" s="102">
        <v>0</v>
      </c>
      <c r="F82" s="102">
        <v>0</v>
      </c>
      <c r="G82" s="82"/>
      <c r="H82" s="81"/>
      <c r="I82" s="82"/>
      <c r="J82" s="82"/>
      <c r="K82" s="82"/>
      <c r="L82" s="82"/>
      <c r="M82" s="82"/>
      <c r="N82" s="82"/>
      <c r="O82" s="81"/>
      <c r="P82" s="82"/>
      <c r="Q82" s="82"/>
      <c r="R82" s="82"/>
      <c r="S82" s="82"/>
      <c r="T82" s="82"/>
      <c r="U82" s="81"/>
      <c r="V82" s="82"/>
      <c r="W82" s="82"/>
      <c r="X82" s="82"/>
      <c r="Y82" s="82"/>
      <c r="Z82" s="82"/>
      <c r="AA82" s="81"/>
      <c r="AB82" s="82"/>
      <c r="AC82" s="82"/>
      <c r="AD82" s="82"/>
      <c r="AE82" s="82"/>
      <c r="AF82" s="82"/>
      <c r="AN82" s="81"/>
      <c r="AO82" s="82"/>
      <c r="AP82" s="82"/>
      <c r="AQ82" s="82"/>
      <c r="AR82" s="82"/>
      <c r="AS82" s="82"/>
    </row>
    <row r="83" spans="1:45" x14ac:dyDescent="0.2">
      <c r="A83" s="81">
        <v>39722</v>
      </c>
      <c r="B83" s="102">
        <v>7</v>
      </c>
      <c r="C83" s="102">
        <v>6</v>
      </c>
      <c r="D83" s="102">
        <v>0</v>
      </c>
      <c r="E83" s="102">
        <v>8</v>
      </c>
      <c r="F83" s="102">
        <v>0</v>
      </c>
      <c r="G83" s="82"/>
      <c r="H83" s="81"/>
      <c r="I83" s="82"/>
      <c r="J83" s="82"/>
      <c r="K83" s="82"/>
      <c r="L83" s="82"/>
      <c r="M83" s="82"/>
      <c r="N83" s="82"/>
      <c r="O83" s="81"/>
      <c r="P83" s="82"/>
      <c r="Q83" s="82"/>
      <c r="R83" s="82"/>
      <c r="S83" s="82"/>
      <c r="T83" s="82"/>
      <c r="U83" s="81"/>
      <c r="V83" s="82"/>
      <c r="W83" s="82"/>
      <c r="X83" s="82"/>
      <c r="Y83" s="82"/>
      <c r="Z83" s="82"/>
      <c r="AA83" s="81"/>
      <c r="AB83" s="82"/>
      <c r="AC83" s="82"/>
      <c r="AD83" s="82"/>
      <c r="AE83" s="82"/>
      <c r="AF83" s="82"/>
      <c r="AN83" s="81"/>
      <c r="AO83" s="82"/>
      <c r="AP83" s="82"/>
      <c r="AQ83" s="82"/>
      <c r="AR83" s="82"/>
      <c r="AS83" s="82"/>
    </row>
    <row r="84" spans="1:45" x14ac:dyDescent="0.2">
      <c r="A84" s="81">
        <v>39753</v>
      </c>
      <c r="B84" s="102">
        <v>2</v>
      </c>
      <c r="C84" s="102">
        <v>0</v>
      </c>
      <c r="D84" s="102">
        <v>0</v>
      </c>
      <c r="E84" s="102">
        <v>0</v>
      </c>
      <c r="F84" s="102">
        <v>0</v>
      </c>
      <c r="G84" s="82"/>
      <c r="H84" s="81"/>
      <c r="I84" s="82"/>
      <c r="J84" s="82"/>
      <c r="K84" s="82"/>
      <c r="L84" s="82"/>
      <c r="M84" s="82"/>
      <c r="N84" s="82"/>
      <c r="O84" s="81"/>
      <c r="P84" s="82"/>
      <c r="Q84" s="82"/>
      <c r="R84" s="82"/>
      <c r="S84" s="82"/>
      <c r="T84" s="82"/>
      <c r="U84" s="81"/>
      <c r="V84" s="82"/>
      <c r="W84" s="82"/>
      <c r="X84" s="82"/>
      <c r="Y84" s="82"/>
      <c r="Z84" s="82"/>
      <c r="AA84" s="81"/>
      <c r="AB84" s="82"/>
      <c r="AC84" s="82"/>
      <c r="AD84" s="82"/>
      <c r="AE84" s="82"/>
      <c r="AF84" s="82"/>
      <c r="AN84" s="81"/>
      <c r="AO84" s="82"/>
      <c r="AP84" s="82"/>
      <c r="AQ84" s="82"/>
      <c r="AR84" s="82"/>
      <c r="AS84" s="82"/>
    </row>
    <row r="85" spans="1:45" x14ac:dyDescent="0.2">
      <c r="A85" s="81">
        <v>39783</v>
      </c>
      <c r="B85" s="102">
        <v>2</v>
      </c>
      <c r="C85" s="102">
        <v>0</v>
      </c>
      <c r="D85" s="102">
        <v>0</v>
      </c>
      <c r="E85" s="102">
        <v>0</v>
      </c>
      <c r="F85" s="102">
        <v>0</v>
      </c>
      <c r="G85" s="82"/>
      <c r="H85" s="81"/>
      <c r="I85" s="82"/>
      <c r="J85" s="82"/>
      <c r="K85" s="82"/>
      <c r="L85" s="82"/>
      <c r="M85" s="82"/>
      <c r="N85" s="82"/>
      <c r="O85" s="81"/>
      <c r="P85" s="82"/>
      <c r="Q85" s="82"/>
      <c r="R85" s="82"/>
      <c r="S85" s="82"/>
      <c r="T85" s="82"/>
      <c r="U85" s="81"/>
      <c r="V85" s="82"/>
      <c r="W85" s="82"/>
      <c r="X85" s="82"/>
      <c r="Y85" s="82"/>
      <c r="Z85" s="82"/>
      <c r="AA85" s="81"/>
      <c r="AB85" s="82"/>
      <c r="AC85" s="82"/>
      <c r="AD85" s="82"/>
      <c r="AE85" s="82"/>
      <c r="AF85" s="82"/>
      <c r="AN85" s="81"/>
      <c r="AO85" s="82"/>
      <c r="AP85" s="82"/>
      <c r="AQ85" s="82"/>
      <c r="AR85" s="82"/>
      <c r="AS85" s="82"/>
    </row>
    <row r="86" spans="1:45" s="79" customFormat="1" x14ac:dyDescent="0.2">
      <c r="A86" s="83" t="s">
        <v>17</v>
      </c>
      <c r="B86" s="84">
        <f>SUM(B74:B85)</f>
        <v>28</v>
      </c>
      <c r="C86" s="84">
        <f>SUM(C74:C85)</f>
        <v>12</v>
      </c>
      <c r="D86" s="84">
        <f>SUM(D74:D85)</f>
        <v>0</v>
      </c>
      <c r="E86" s="84">
        <f>SUM(E74:E85)</f>
        <v>16</v>
      </c>
      <c r="F86" s="84">
        <f>SUM(F74:F85)</f>
        <v>0</v>
      </c>
      <c r="G86" s="84"/>
      <c r="H86" s="83"/>
      <c r="I86" s="84"/>
      <c r="J86" s="84"/>
      <c r="K86" s="84"/>
      <c r="L86" s="84"/>
      <c r="M86" s="84"/>
      <c r="N86" s="84"/>
      <c r="O86" s="83"/>
      <c r="P86" s="84"/>
      <c r="Q86" s="84"/>
      <c r="R86" s="84"/>
      <c r="S86" s="84"/>
      <c r="T86" s="84"/>
      <c r="U86" s="83"/>
      <c r="V86" s="84"/>
      <c r="W86" s="84"/>
      <c r="X86" s="84"/>
      <c r="Y86" s="84"/>
      <c r="Z86" s="84"/>
      <c r="AA86" s="83"/>
      <c r="AB86" s="84"/>
      <c r="AC86" s="84"/>
      <c r="AD86" s="84"/>
      <c r="AE86" s="84"/>
      <c r="AF86" s="84"/>
      <c r="AN86" s="83"/>
      <c r="AO86" s="84"/>
      <c r="AP86" s="84"/>
      <c r="AQ86" s="84"/>
      <c r="AR86" s="84"/>
      <c r="AS86" s="84"/>
    </row>
    <row r="87" spans="1:45" s="79" customFormat="1" x14ac:dyDescent="0.2">
      <c r="A87" s="83"/>
      <c r="B87" s="84"/>
      <c r="C87" s="84"/>
      <c r="D87" s="84"/>
      <c r="E87" s="84"/>
      <c r="F87" s="84"/>
      <c r="G87" s="84"/>
      <c r="H87" s="83"/>
      <c r="I87" s="84"/>
      <c r="J87" s="84"/>
      <c r="K87" s="84"/>
      <c r="L87" s="84"/>
      <c r="M87" s="84"/>
      <c r="N87" s="84"/>
      <c r="O87" s="83"/>
      <c r="P87" s="84"/>
      <c r="Q87" s="84"/>
      <c r="R87" s="84"/>
      <c r="S87" s="84"/>
      <c r="T87" s="84"/>
      <c r="U87" s="83"/>
      <c r="V87" s="84"/>
      <c r="W87" s="84"/>
      <c r="X87" s="84"/>
      <c r="Y87" s="84"/>
      <c r="Z87" s="84"/>
      <c r="AA87" s="83"/>
      <c r="AB87" s="84"/>
      <c r="AC87" s="84"/>
      <c r="AD87" s="84"/>
      <c r="AE87" s="84"/>
      <c r="AF87" s="84"/>
      <c r="AN87" s="83"/>
      <c r="AO87" s="84"/>
      <c r="AP87" s="84"/>
      <c r="AQ87" s="84"/>
      <c r="AR87" s="84"/>
      <c r="AS87" s="84"/>
    </row>
    <row r="88" spans="1:45" s="79" customFormat="1" x14ac:dyDescent="0.2">
      <c r="A88" s="83"/>
      <c r="B88" s="86"/>
      <c r="C88" s="86" t="s">
        <v>36</v>
      </c>
      <c r="D88" s="86" t="s">
        <v>39</v>
      </c>
      <c r="E88" s="86"/>
      <c r="F88" s="86"/>
      <c r="G88" s="84"/>
      <c r="H88" s="83"/>
      <c r="I88" s="84"/>
      <c r="J88" s="84"/>
      <c r="K88" s="84"/>
      <c r="L88" s="84"/>
      <c r="M88" s="84"/>
      <c r="N88" s="84"/>
      <c r="O88" s="83"/>
      <c r="P88" s="84"/>
      <c r="Q88" s="84"/>
      <c r="R88" s="84"/>
      <c r="S88" s="84"/>
      <c r="T88" s="84"/>
      <c r="U88" s="83"/>
      <c r="V88" s="84"/>
      <c r="W88" s="84"/>
      <c r="X88" s="84"/>
      <c r="Y88" s="84"/>
      <c r="Z88" s="84"/>
      <c r="AA88" s="83"/>
      <c r="AB88" s="84"/>
      <c r="AC88" s="84"/>
      <c r="AD88" s="84"/>
      <c r="AE88" s="84"/>
      <c r="AF88" s="84"/>
      <c r="AN88" s="83"/>
      <c r="AO88" s="84"/>
      <c r="AP88" s="84"/>
      <c r="AQ88" s="84"/>
      <c r="AR88" s="84"/>
      <c r="AS88" s="84"/>
    </row>
    <row r="89" spans="1:45" s="79" customFormat="1" x14ac:dyDescent="0.2">
      <c r="A89" s="83"/>
      <c r="B89" s="86" t="s">
        <v>115</v>
      </c>
      <c r="C89" s="86" t="s">
        <v>115</v>
      </c>
      <c r="D89" s="86" t="s">
        <v>115</v>
      </c>
      <c r="E89" s="86" t="s">
        <v>116</v>
      </c>
      <c r="F89" s="86" t="s">
        <v>117</v>
      </c>
      <c r="G89" s="84"/>
      <c r="H89" s="83"/>
      <c r="I89" s="84"/>
      <c r="J89" s="84"/>
      <c r="K89" s="84"/>
      <c r="L89" s="84"/>
      <c r="M89" s="84"/>
      <c r="N89" s="84"/>
      <c r="O89" s="83"/>
      <c r="P89" s="84"/>
      <c r="Q89" s="84"/>
      <c r="R89" s="84"/>
      <c r="S89" s="84"/>
      <c r="T89" s="84"/>
      <c r="U89" s="83"/>
      <c r="V89" s="84"/>
      <c r="W89" s="84"/>
      <c r="X89" s="84"/>
      <c r="Y89" s="84"/>
      <c r="Z89" s="84"/>
      <c r="AA89" s="83"/>
      <c r="AB89" s="84"/>
      <c r="AC89" s="84"/>
      <c r="AD89" s="84"/>
      <c r="AE89" s="84"/>
      <c r="AF89" s="84"/>
      <c r="AN89" s="83"/>
      <c r="AO89" s="84"/>
      <c r="AP89" s="84"/>
      <c r="AQ89" s="84"/>
      <c r="AR89" s="84"/>
      <c r="AS89" s="84"/>
    </row>
    <row r="90" spans="1:45" ht="25.5" x14ac:dyDescent="0.2">
      <c r="A90" s="145" t="s">
        <v>139</v>
      </c>
      <c r="B90" s="146">
        <f>SUM(B21,I21,P21,B37,I37,P37,B53,I53,P53,B69,I69,P69,B86,I86,P86,V86)</f>
        <v>380</v>
      </c>
      <c r="C90" s="146">
        <f>SUM(C21,J21,Q21,C37,J37,Q37,C53,J53,Q53,C69,J69,Q69,C86,J86,Q86,W86)</f>
        <v>148</v>
      </c>
      <c r="D90" s="146">
        <f>SUM(D21,K21,R21,D37,K37,R37,D53,K53,R53,D69,K69,R69,D86,K86,R86,X86)</f>
        <v>8</v>
      </c>
      <c r="E90" s="146">
        <f>SUM(E21,L21,S21,E37,L37,S37,E53,L53,S53,E69,L69,S69,E86,L86,S86,Y86)</f>
        <v>241</v>
      </c>
      <c r="F90" s="146">
        <f>SUM(F21,M21,T21,F37,M37,T37,F53,M53,T53,F69,M69,T69,F86,M86,T86,Z86)</f>
        <v>16</v>
      </c>
      <c r="G90" s="84"/>
    </row>
    <row r="91" spans="1:45" ht="16.5" customHeight="1" x14ac:dyDescent="0.25"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</row>
    <row r="92" spans="1:45" ht="15.75" x14ac:dyDescent="0.25">
      <c r="A92" s="121"/>
      <c r="B92" s="122"/>
      <c r="C92" s="222" t="s">
        <v>120</v>
      </c>
      <c r="D92" s="223"/>
      <c r="E92" s="223"/>
      <c r="F92" s="224"/>
      <c r="G92" s="121"/>
      <c r="H92" s="225" t="s">
        <v>121</v>
      </c>
      <c r="I92" s="226"/>
      <c r="J92" s="226"/>
      <c r="K92" s="227"/>
      <c r="L92" s="123"/>
      <c r="M92" s="85"/>
      <c r="N92" s="85"/>
      <c r="O92" s="85"/>
      <c r="P92" s="85"/>
      <c r="Q92" s="85"/>
      <c r="R92" s="85"/>
      <c r="S92" s="85"/>
      <c r="T92" s="85"/>
    </row>
    <row r="93" spans="1:45" ht="25.5" x14ac:dyDescent="0.25">
      <c r="A93" s="111" t="s">
        <v>118</v>
      </c>
      <c r="B93" s="103" t="s">
        <v>119</v>
      </c>
      <c r="C93" s="113" t="s">
        <v>124</v>
      </c>
      <c r="D93" s="113" t="s">
        <v>125</v>
      </c>
      <c r="E93" s="113" t="s">
        <v>126</v>
      </c>
      <c r="F93" s="113" t="s">
        <v>127</v>
      </c>
      <c r="G93" s="113"/>
      <c r="H93" s="111" t="s">
        <v>124</v>
      </c>
      <c r="I93" s="111" t="s">
        <v>125</v>
      </c>
      <c r="J93" s="113" t="s">
        <v>126</v>
      </c>
      <c r="K93" s="113" t="s">
        <v>127</v>
      </c>
      <c r="L93" s="112" t="s">
        <v>122</v>
      </c>
      <c r="M93" s="85"/>
      <c r="N93" s="85"/>
      <c r="O93" s="85"/>
      <c r="P93" s="85"/>
      <c r="Q93" s="85"/>
      <c r="R93" s="85"/>
      <c r="S93" s="85"/>
      <c r="T93" s="85"/>
    </row>
    <row r="94" spans="1:45" ht="15.75" x14ac:dyDescent="0.25">
      <c r="A94" s="105" t="s">
        <v>128</v>
      </c>
      <c r="B94" s="106" t="s">
        <v>164</v>
      </c>
      <c r="C94" s="114">
        <f>(D21*1000000)/(365*1*L94*9.8)</f>
        <v>0</v>
      </c>
      <c r="D94" s="114">
        <f>(C21*1000000)/(365*1*L94*9.8)</f>
        <v>0.23979256983538957</v>
      </c>
      <c r="E94" s="115">
        <v>0.12</v>
      </c>
      <c r="F94" s="114" t="e">
        <f t="shared" ref="F94:F104" si="0">(B94*1000000)/(365*1*L94*9.8)</f>
        <v>#VALUE!</v>
      </c>
      <c r="G94" s="114"/>
      <c r="H94" s="115">
        <v>0.04</v>
      </c>
      <c r="I94" s="115">
        <v>0.41</v>
      </c>
      <c r="J94" s="116">
        <v>0.45</v>
      </c>
      <c r="K94" s="116">
        <v>0.92</v>
      </c>
      <c r="L94" s="117">
        <v>16322</v>
      </c>
      <c r="M94" s="85"/>
      <c r="N94" s="85"/>
      <c r="O94" s="85"/>
      <c r="P94" s="85"/>
      <c r="Q94" s="85"/>
      <c r="R94" s="85"/>
      <c r="S94" s="85"/>
      <c r="T94" s="85"/>
    </row>
    <row r="95" spans="1:45" ht="15.75" x14ac:dyDescent="0.25">
      <c r="A95" s="105" t="s">
        <v>129</v>
      </c>
      <c r="B95" s="106" t="s">
        <v>165</v>
      </c>
      <c r="C95" s="114">
        <f>(K21*1000000)/(365*1*L95*9.8)</f>
        <v>0</v>
      </c>
      <c r="D95" s="114">
        <f>(J21*1000000)/(365*1*L95*9.8)</f>
        <v>0.19684131691368364</v>
      </c>
      <c r="E95" s="115">
        <v>0.12</v>
      </c>
      <c r="F95" s="114" t="e">
        <f t="shared" si="0"/>
        <v>#VALUE!</v>
      </c>
      <c r="G95" s="114"/>
      <c r="H95" s="115">
        <v>0.04</v>
      </c>
      <c r="I95" s="115">
        <v>0.41</v>
      </c>
      <c r="J95" s="116">
        <v>0.45</v>
      </c>
      <c r="K95" s="116">
        <v>0.92</v>
      </c>
      <c r="L95" s="117">
        <f t="shared" ref="L95:L101" si="1">L96-725</f>
        <v>17043</v>
      </c>
      <c r="M95" s="85"/>
      <c r="N95" s="85"/>
      <c r="O95" s="85"/>
      <c r="P95" s="85"/>
      <c r="Q95" s="85"/>
      <c r="R95" s="85"/>
      <c r="S95" s="85"/>
      <c r="T95" s="85"/>
    </row>
    <row r="96" spans="1:45" ht="15.75" x14ac:dyDescent="0.25">
      <c r="A96" s="105" t="s">
        <v>130</v>
      </c>
      <c r="B96" s="106">
        <f>P21</f>
        <v>27</v>
      </c>
      <c r="C96" s="114">
        <f>(R21*1000000)/(365*1*L96*9.8)</f>
        <v>0</v>
      </c>
      <c r="D96" s="114">
        <f>(Q21*1000000)/(365*1*L96*9.8)</f>
        <v>0.17307534240281691</v>
      </c>
      <c r="E96" s="115">
        <v>0.12</v>
      </c>
      <c r="F96" s="114">
        <f t="shared" si="0"/>
        <v>0.42482129498873245</v>
      </c>
      <c r="G96" s="114"/>
      <c r="H96" s="115">
        <v>0.04</v>
      </c>
      <c r="I96" s="115">
        <v>0.41</v>
      </c>
      <c r="J96" s="116">
        <v>0.45</v>
      </c>
      <c r="K96" s="116">
        <v>0.92</v>
      </c>
      <c r="L96" s="117">
        <f t="shared" si="1"/>
        <v>17768</v>
      </c>
      <c r="M96" s="85"/>
      <c r="N96" s="85"/>
      <c r="O96" s="85"/>
      <c r="P96" s="85"/>
      <c r="Q96" s="85"/>
      <c r="R96" s="85"/>
      <c r="S96" s="85"/>
      <c r="T96" s="85"/>
    </row>
    <row r="97" spans="1:20" ht="15.75" x14ac:dyDescent="0.25">
      <c r="A97" s="105">
        <v>1999</v>
      </c>
      <c r="B97" s="106">
        <f>B37</f>
        <v>29</v>
      </c>
      <c r="C97" s="114">
        <f>(D37*1000000)/(365*1*L97*9.8)</f>
        <v>0</v>
      </c>
      <c r="D97" s="114">
        <f>(C37*1000000)/(365*1*L97*9.8)</f>
        <v>0.1360555303693253</v>
      </c>
      <c r="E97" s="115">
        <v>0.12</v>
      </c>
      <c r="F97" s="114">
        <f t="shared" si="0"/>
        <v>0.43840115341227037</v>
      </c>
      <c r="G97" s="114"/>
      <c r="H97" s="115">
        <v>0.04</v>
      </c>
      <c r="I97" s="115">
        <v>0.41</v>
      </c>
      <c r="J97" s="116">
        <v>0.45</v>
      </c>
      <c r="K97" s="116">
        <v>0.92</v>
      </c>
      <c r="L97" s="117">
        <f t="shared" si="1"/>
        <v>18493</v>
      </c>
      <c r="M97" s="85"/>
      <c r="N97" s="85"/>
      <c r="O97" s="85"/>
      <c r="P97" s="85"/>
      <c r="Q97" s="85"/>
      <c r="R97" s="85"/>
      <c r="S97" s="85"/>
      <c r="T97" s="85"/>
    </row>
    <row r="98" spans="1:20" x14ac:dyDescent="0.2">
      <c r="A98" s="105">
        <v>2000</v>
      </c>
      <c r="B98" s="106">
        <f>I37</f>
        <v>35</v>
      </c>
      <c r="C98" s="114">
        <f>(K37*1000000)/(365*1*L98*9.8)</f>
        <v>0</v>
      </c>
      <c r="D98" s="114">
        <f>(J37*1000000)/(365*1*L98*9.8)</f>
        <v>0.14546980973392612</v>
      </c>
      <c r="E98" s="115">
        <v>0.25</v>
      </c>
      <c r="F98" s="114">
        <f t="shared" si="0"/>
        <v>0.50914433406874138</v>
      </c>
      <c r="G98" s="114"/>
      <c r="H98" s="115">
        <v>0.04</v>
      </c>
      <c r="I98" s="115">
        <v>0.41</v>
      </c>
      <c r="J98" s="115">
        <v>0.45</v>
      </c>
      <c r="K98" s="115">
        <v>0.92</v>
      </c>
      <c r="L98" s="117">
        <f t="shared" si="1"/>
        <v>19218</v>
      </c>
    </row>
    <row r="99" spans="1:20" x14ac:dyDescent="0.2">
      <c r="A99" s="105">
        <v>2001</v>
      </c>
      <c r="B99" s="106">
        <f>P37</f>
        <v>23</v>
      </c>
      <c r="C99" s="114">
        <f>(R37*1000000)/(365*1*L99*9.8)</f>
        <v>0</v>
      </c>
      <c r="D99" s="114">
        <f>(Q37*1000000)/(365*1*L99*9.8)</f>
        <v>0.16821774879205287</v>
      </c>
      <c r="E99" s="115">
        <v>0.25</v>
      </c>
      <c r="F99" s="114">
        <f t="shared" si="0"/>
        <v>0.32241735185143466</v>
      </c>
      <c r="G99" s="114"/>
      <c r="H99" s="115">
        <v>0.04</v>
      </c>
      <c r="I99" s="115">
        <v>0.41</v>
      </c>
      <c r="J99" s="115">
        <v>0.45</v>
      </c>
      <c r="K99" s="115">
        <v>0.92</v>
      </c>
      <c r="L99" s="117">
        <f t="shared" si="1"/>
        <v>19943</v>
      </c>
    </row>
    <row r="100" spans="1:20" x14ac:dyDescent="0.2">
      <c r="A100" s="105">
        <v>2002</v>
      </c>
      <c r="B100" s="106">
        <f>B53</f>
        <v>35</v>
      </c>
      <c r="C100" s="114">
        <f>(D53*1000000)/(365*1*L100*9.8)</f>
        <v>1.3526411861169886E-2</v>
      </c>
      <c r="D100" s="114">
        <f>(C53*1000000)/(365*1*L100*9.8)</f>
        <v>0.14879053047286875</v>
      </c>
      <c r="E100" s="115">
        <v>0.15</v>
      </c>
      <c r="F100" s="114">
        <f t="shared" si="0"/>
        <v>0.47342441514094602</v>
      </c>
      <c r="G100" s="114"/>
      <c r="H100" s="115">
        <v>0.04</v>
      </c>
      <c r="I100" s="115">
        <v>0.41</v>
      </c>
      <c r="J100" s="115">
        <v>0.45</v>
      </c>
      <c r="K100" s="115">
        <v>0.92</v>
      </c>
      <c r="L100" s="117">
        <f t="shared" si="1"/>
        <v>20668</v>
      </c>
    </row>
    <row r="101" spans="1:20" x14ac:dyDescent="0.2">
      <c r="A101" s="105">
        <v>2003</v>
      </c>
      <c r="B101" s="106" t="s">
        <v>166</v>
      </c>
      <c r="C101" s="114">
        <f>(K53*1000000)/(365*1*L101*9.8)</f>
        <v>2.6136014616618446E-2</v>
      </c>
      <c r="D101" s="114">
        <f>(J53*1000000)/(365*1*L101*9.8)</f>
        <v>0.1698840950080199</v>
      </c>
      <c r="E101" s="115">
        <v>0.16</v>
      </c>
      <c r="F101" s="114" t="e">
        <f t="shared" si="0"/>
        <v>#VALUE!</v>
      </c>
      <c r="G101" s="114"/>
      <c r="H101" s="115">
        <v>0.04</v>
      </c>
      <c r="I101" s="115">
        <v>0.41</v>
      </c>
      <c r="J101" s="115">
        <v>0.45</v>
      </c>
      <c r="K101" s="115">
        <v>0.92</v>
      </c>
      <c r="L101" s="117">
        <f t="shared" si="1"/>
        <v>21393</v>
      </c>
      <c r="O101" s="82"/>
    </row>
    <row r="102" spans="1:20" ht="15" x14ac:dyDescent="0.2">
      <c r="A102" s="105">
        <v>2004</v>
      </c>
      <c r="B102" s="107" t="s">
        <v>167</v>
      </c>
      <c r="C102" s="114">
        <f>(R53*1000000)/(365*1*L102*9.8)</f>
        <v>1.2639654595653279E-2</v>
      </c>
      <c r="D102" s="114">
        <f>(Q53*1000000)/(365*1*L102*9.8)</f>
        <v>0.16431550974349263</v>
      </c>
      <c r="E102" s="114">
        <f t="shared" ref="E102:E107" si="2">SUM(C102:D102)</f>
        <v>0.1769551643391459</v>
      </c>
      <c r="F102" s="114" t="e">
        <f t="shared" si="0"/>
        <v>#VALUE!</v>
      </c>
      <c r="G102" s="114"/>
      <c r="H102" s="115">
        <v>0.04</v>
      </c>
      <c r="I102" s="115">
        <v>0.41</v>
      </c>
      <c r="J102" s="115">
        <v>0.45</v>
      </c>
      <c r="K102" s="115">
        <v>0.92</v>
      </c>
      <c r="L102" s="118">
        <v>22118</v>
      </c>
      <c r="P102" s="82"/>
    </row>
    <row r="103" spans="1:20" ht="15" x14ac:dyDescent="0.2">
      <c r="A103" s="105">
        <v>2005</v>
      </c>
      <c r="B103" s="107" t="s">
        <v>168</v>
      </c>
      <c r="C103" s="114">
        <f>(D69*1000000)/(365*1*L103*9.8)</f>
        <v>1.2639654595653279E-2</v>
      </c>
      <c r="D103" s="114">
        <f>(C69*1000000)/(365*1*L103*9.8)</f>
        <v>0.15167585514783935</v>
      </c>
      <c r="E103" s="114">
        <f t="shared" si="2"/>
        <v>0.16431550974349263</v>
      </c>
      <c r="F103" s="114" t="e">
        <f t="shared" si="0"/>
        <v>#VALUE!</v>
      </c>
      <c r="G103" s="114"/>
      <c r="H103" s="115">
        <v>0.04</v>
      </c>
      <c r="I103" s="115">
        <v>0.41</v>
      </c>
      <c r="J103" s="115">
        <v>0.45</v>
      </c>
      <c r="K103" s="115">
        <v>0.92</v>
      </c>
      <c r="L103" s="118">
        <v>22118</v>
      </c>
    </row>
    <row r="104" spans="1:20" ht="15" x14ac:dyDescent="0.2">
      <c r="A104" s="105" t="s">
        <v>131</v>
      </c>
      <c r="B104" s="107">
        <f>I69</f>
        <v>31</v>
      </c>
      <c r="C104" s="114">
        <f>(K69*1000000)/(365*1*L104*9.8)</f>
        <v>3.7383179899263548E-2</v>
      </c>
      <c r="D104" s="114">
        <f>(J69*1000000)/(365*1*L104*9.8)</f>
        <v>0.137071659630633</v>
      </c>
      <c r="E104" s="114">
        <f t="shared" si="2"/>
        <v>0.17445483952989654</v>
      </c>
      <c r="F104" s="114">
        <f t="shared" si="0"/>
        <v>0.38629285895905663</v>
      </c>
      <c r="G104" s="114"/>
      <c r="H104" s="115">
        <v>0.04</v>
      </c>
      <c r="I104" s="115">
        <v>0.41</v>
      </c>
      <c r="J104" s="115">
        <v>0.45</v>
      </c>
      <c r="K104" s="115">
        <v>0.92</v>
      </c>
      <c r="L104" s="118">
        <v>22435</v>
      </c>
    </row>
    <row r="105" spans="1:20" ht="15" x14ac:dyDescent="0.2">
      <c r="A105" s="105" t="s">
        <v>132</v>
      </c>
      <c r="B105" s="107">
        <f>P69</f>
        <v>20</v>
      </c>
      <c r="C105" s="114">
        <f>(R69*1000000)/(365*1*L105*9.8)</f>
        <v>0</v>
      </c>
      <c r="D105" s="114">
        <f>(Q69*1000000)/(365*1*L105*9.8)</f>
        <v>0.10293220925871105</v>
      </c>
      <c r="E105" s="114">
        <f t="shared" si="2"/>
        <v>0.10293220925871105</v>
      </c>
      <c r="F105" s="114">
        <f>(B105*1000000)/(365*1*L105*9.8)</f>
        <v>0.25733052314677762</v>
      </c>
      <c r="G105" s="114"/>
      <c r="H105" s="115">
        <v>0.04</v>
      </c>
      <c r="I105" s="115">
        <v>0.41</v>
      </c>
      <c r="J105" s="115">
        <v>0.45</v>
      </c>
      <c r="K105" s="115">
        <v>0.92</v>
      </c>
      <c r="L105" s="118">
        <v>21728</v>
      </c>
    </row>
    <row r="106" spans="1:20" x14ac:dyDescent="0.2">
      <c r="A106" s="105" t="s">
        <v>133</v>
      </c>
      <c r="B106" s="107">
        <f>+B86</f>
        <v>28</v>
      </c>
      <c r="C106" s="114">
        <f>(D86*1000000)/(365*1*L106*9.8)</f>
        <v>0</v>
      </c>
      <c r="D106" s="114">
        <f>(C86*1000000)/(365*1*L106*9.8)</f>
        <v>0.16868295274335834</v>
      </c>
      <c r="E106" s="114">
        <f t="shared" si="2"/>
        <v>0.16868295274335834</v>
      </c>
      <c r="F106" s="114">
        <f>(B106*1000000)/(365*1*L106*9.8)</f>
        <v>0.39359355640116944</v>
      </c>
      <c r="G106" s="114"/>
      <c r="H106" s="115">
        <v>0.04</v>
      </c>
      <c r="I106" s="115">
        <v>0.41</v>
      </c>
      <c r="J106" s="115">
        <v>0.45</v>
      </c>
      <c r="K106" s="115">
        <v>0.92</v>
      </c>
      <c r="L106" s="119">
        <v>19888</v>
      </c>
    </row>
    <row r="107" spans="1:20" ht="15" x14ac:dyDescent="0.2">
      <c r="A107" s="108" t="s">
        <v>136</v>
      </c>
      <c r="B107" s="107">
        <f>B90</f>
        <v>380</v>
      </c>
      <c r="C107" s="114">
        <f>(D90*1000000)/(365*8*L107*9.8)</f>
        <v>1.4024853626513475E-2</v>
      </c>
      <c r="D107" s="114">
        <f>(C90*1000000)/(365*8*L107*9.8)</f>
        <v>0.2594597920904993</v>
      </c>
      <c r="E107" s="114">
        <f t="shared" si="2"/>
        <v>0.27348464571701275</v>
      </c>
      <c r="F107" s="114">
        <f>(B107*1000000)/(365*8*L107*9.8)</f>
        <v>0.66618054725939013</v>
      </c>
      <c r="G107" s="114"/>
      <c r="H107" s="115">
        <v>0.04</v>
      </c>
      <c r="I107" s="115">
        <v>0.41</v>
      </c>
      <c r="J107" s="115">
        <v>0.45</v>
      </c>
      <c r="K107" s="115">
        <v>0.92</v>
      </c>
      <c r="L107" s="120">
        <f>AVERAGE(L94:L106)</f>
        <v>19933.461538461539</v>
      </c>
    </row>
    <row r="108" spans="1:20" x14ac:dyDescent="0.2">
      <c r="A108" s="81"/>
      <c r="B108" s="97"/>
      <c r="C108" s="81"/>
      <c r="D108" s="81"/>
      <c r="E108" s="81"/>
      <c r="F108" s="81"/>
      <c r="G108" s="81"/>
    </row>
    <row r="109" spans="1:20" s="95" customFormat="1" ht="25.5" x14ac:dyDescent="0.25">
      <c r="A109" s="103" t="s">
        <v>118</v>
      </c>
      <c r="B109" s="103" t="s">
        <v>119</v>
      </c>
      <c r="C109" s="109" t="s">
        <v>134</v>
      </c>
      <c r="D109" s="109" t="s">
        <v>116</v>
      </c>
      <c r="E109" s="109" t="s">
        <v>135</v>
      </c>
      <c r="F109" s="94"/>
      <c r="G109" s="94"/>
      <c r="H109" s="94"/>
    </row>
    <row r="110" spans="1:20" x14ac:dyDescent="0.2">
      <c r="A110" s="104" t="s">
        <v>123</v>
      </c>
      <c r="B110" s="104"/>
      <c r="C110" s="110"/>
      <c r="D110" s="110"/>
      <c r="E110" s="110"/>
      <c r="F110" s="81"/>
      <c r="G110" s="81"/>
    </row>
    <row r="111" spans="1:20" x14ac:dyDescent="0.2">
      <c r="A111" s="105" t="s">
        <v>128</v>
      </c>
      <c r="B111" s="106" t="str">
        <f t="shared" ref="B111:B122" si="3">B94</f>
        <v>See Appendix B: Truck Traffic. Percent truck traffic includes buses and is based on Truck Traffic Turning Movement Counts taken by the Contra Costa County</v>
      </c>
      <c r="C111" s="107">
        <f>D21</f>
        <v>0</v>
      </c>
      <c r="D111" s="107">
        <f>C21</f>
        <v>14</v>
      </c>
      <c r="E111" s="107" t="e">
        <f t="shared" ref="E111:E124" si="4">B111-C111-D111</f>
        <v>#VALUE!</v>
      </c>
      <c r="F111" s="91"/>
      <c r="G111" s="91"/>
    </row>
    <row r="112" spans="1:20" ht="15" x14ac:dyDescent="0.25">
      <c r="A112" s="105" t="s">
        <v>129</v>
      </c>
      <c r="B112" s="106" t="str">
        <f t="shared" si="3"/>
        <v xml:space="preserve"> Public Works Department from May 12-15, 2008.</v>
      </c>
      <c r="C112" s="107">
        <f>K21</f>
        <v>0</v>
      </c>
      <c r="D112" s="107">
        <f>J21</f>
        <v>12</v>
      </c>
      <c r="E112" s="107" t="e">
        <f t="shared" si="4"/>
        <v>#VALUE!</v>
      </c>
      <c r="F112" s="91"/>
      <c r="G112" s="91"/>
      <c r="H112" s="96"/>
    </row>
    <row r="113" spans="1:11" ht="15" x14ac:dyDescent="0.25">
      <c r="A113" s="105" t="s">
        <v>130</v>
      </c>
      <c r="B113" s="106">
        <f t="shared" si="3"/>
        <v>27</v>
      </c>
      <c r="C113" s="107">
        <f>R21</f>
        <v>0</v>
      </c>
      <c r="D113" s="107">
        <f>Q21</f>
        <v>11</v>
      </c>
      <c r="E113" s="107">
        <f t="shared" si="4"/>
        <v>16</v>
      </c>
      <c r="F113" s="91"/>
      <c r="G113" s="91"/>
      <c r="H113" s="96"/>
    </row>
    <row r="114" spans="1:11" ht="15" x14ac:dyDescent="0.25">
      <c r="A114" s="105">
        <v>1999</v>
      </c>
      <c r="B114" s="106">
        <f t="shared" si="3"/>
        <v>29</v>
      </c>
      <c r="C114" s="107">
        <f>D37</f>
        <v>0</v>
      </c>
      <c r="D114" s="107">
        <f>C37</f>
        <v>9</v>
      </c>
      <c r="E114" s="107">
        <f t="shared" si="4"/>
        <v>20</v>
      </c>
      <c r="F114" s="91"/>
      <c r="G114" s="91"/>
      <c r="H114" s="96"/>
    </row>
    <row r="115" spans="1:11" ht="15" x14ac:dyDescent="0.25">
      <c r="A115" s="105">
        <v>2000</v>
      </c>
      <c r="B115" s="106">
        <f t="shared" si="3"/>
        <v>35</v>
      </c>
      <c r="C115" s="107">
        <f>K37</f>
        <v>0</v>
      </c>
      <c r="D115" s="107">
        <f>J37</f>
        <v>10</v>
      </c>
      <c r="E115" s="107">
        <f t="shared" si="4"/>
        <v>25</v>
      </c>
      <c r="F115" s="91"/>
      <c r="G115" s="91"/>
      <c r="H115" s="96"/>
    </row>
    <row r="116" spans="1:11" ht="15" x14ac:dyDescent="0.25">
      <c r="A116" s="105">
        <v>2001</v>
      </c>
      <c r="B116" s="106">
        <f t="shared" si="3"/>
        <v>23</v>
      </c>
      <c r="C116" s="107">
        <f>R37</f>
        <v>0</v>
      </c>
      <c r="D116" s="107">
        <f>Q37</f>
        <v>12</v>
      </c>
      <c r="E116" s="107">
        <f t="shared" si="4"/>
        <v>11</v>
      </c>
      <c r="F116" s="91"/>
      <c r="G116" s="91"/>
      <c r="H116" s="96"/>
    </row>
    <row r="117" spans="1:11" ht="15" x14ac:dyDescent="0.25">
      <c r="A117" s="105">
        <v>2002</v>
      </c>
      <c r="B117" s="106">
        <f t="shared" si="3"/>
        <v>35</v>
      </c>
      <c r="C117" s="107">
        <f>D53</f>
        <v>1</v>
      </c>
      <c r="D117" s="107">
        <f>C53</f>
        <v>11</v>
      </c>
      <c r="E117" s="107">
        <f t="shared" si="4"/>
        <v>23</v>
      </c>
      <c r="F117" s="91"/>
      <c r="G117" s="91"/>
      <c r="H117" s="96"/>
    </row>
    <row r="118" spans="1:11" ht="15" x14ac:dyDescent="0.25">
      <c r="A118" s="105">
        <v>2003</v>
      </c>
      <c r="B118" s="106" t="str">
        <f t="shared" si="3"/>
        <v>See Appendix A: Traffic Volumes. Affected drivers assuming straight-line approximation (1.5% annual increase) of future traffic volumes from the Contra Costa</v>
      </c>
      <c r="C118" s="107">
        <f>K53</f>
        <v>2</v>
      </c>
      <c r="D118" s="107">
        <f>J53</f>
        <v>13</v>
      </c>
      <c r="E118" s="107" t="e">
        <f t="shared" si="4"/>
        <v>#VALUE!</v>
      </c>
      <c r="F118" s="91"/>
      <c r="G118" s="91"/>
      <c r="H118" s="96"/>
    </row>
    <row r="119" spans="1:11" ht="15" x14ac:dyDescent="0.25">
      <c r="A119" s="105">
        <v>2004</v>
      </c>
      <c r="B119" s="106" t="str">
        <f t="shared" si="3"/>
        <v xml:space="preserve"> Transportation Authority Travel Demand Model, 2012.</v>
      </c>
      <c r="C119" s="107">
        <f>R53</f>
        <v>1</v>
      </c>
      <c r="D119" s="107">
        <f>Q53</f>
        <v>13</v>
      </c>
      <c r="E119" s="107" t="e">
        <f t="shared" si="4"/>
        <v>#VALUE!</v>
      </c>
      <c r="F119" s="91"/>
      <c r="G119" s="91"/>
      <c r="H119" s="96"/>
    </row>
    <row r="120" spans="1:11" ht="15" x14ac:dyDescent="0.25">
      <c r="A120" s="105">
        <v>2005</v>
      </c>
      <c r="B120" s="106" t="str">
        <f t="shared" si="3"/>
        <v>See Appendix C: Travel Time Savings. Average travel time saved calculated for peak 15-minute period per Chapter 20 - Two lane Highways, HCM 2000.</v>
      </c>
      <c r="C120" s="107">
        <f>D69</f>
        <v>1</v>
      </c>
      <c r="D120" s="107">
        <f>C69</f>
        <v>12</v>
      </c>
      <c r="E120" s="107" t="e">
        <f t="shared" si="4"/>
        <v>#VALUE!</v>
      </c>
      <c r="F120" s="91"/>
      <c r="G120" s="91"/>
      <c r="H120" s="96"/>
      <c r="K120" s="82"/>
    </row>
    <row r="121" spans="1:11" ht="15" x14ac:dyDescent="0.25">
      <c r="A121" s="105" t="s">
        <v>131</v>
      </c>
      <c r="B121" s="106">
        <f t="shared" si="3"/>
        <v>31</v>
      </c>
      <c r="C121" s="107">
        <f>K69</f>
        <v>3</v>
      </c>
      <c r="D121" s="107">
        <f>J69</f>
        <v>11</v>
      </c>
      <c r="E121" s="107">
        <f t="shared" si="4"/>
        <v>17</v>
      </c>
      <c r="F121" s="91"/>
      <c r="G121" s="91"/>
      <c r="H121" s="96"/>
    </row>
    <row r="122" spans="1:11" ht="15" x14ac:dyDescent="0.25">
      <c r="A122" s="105" t="s">
        <v>132</v>
      </c>
      <c r="B122" s="106">
        <f t="shared" si="3"/>
        <v>20</v>
      </c>
      <c r="C122" s="107">
        <f>R69</f>
        <v>0</v>
      </c>
      <c r="D122" s="107">
        <f>Q69</f>
        <v>8</v>
      </c>
      <c r="E122" s="107">
        <f t="shared" si="4"/>
        <v>12</v>
      </c>
      <c r="F122" s="91"/>
      <c r="G122" s="91"/>
      <c r="H122" s="96"/>
    </row>
    <row r="123" spans="1:11" ht="15" x14ac:dyDescent="0.25">
      <c r="A123" s="105" t="s">
        <v>133</v>
      </c>
      <c r="B123" s="106">
        <f>B86</f>
        <v>28</v>
      </c>
      <c r="C123" s="107">
        <f>D86</f>
        <v>0</v>
      </c>
      <c r="D123" s="107">
        <f>C86</f>
        <v>12</v>
      </c>
      <c r="E123" s="107">
        <f>B123-C123-D123</f>
        <v>16</v>
      </c>
      <c r="F123" s="91"/>
      <c r="G123" s="91"/>
      <c r="H123" s="96"/>
    </row>
    <row r="124" spans="1:11" x14ac:dyDescent="0.2">
      <c r="A124" s="104" t="s">
        <v>136</v>
      </c>
      <c r="B124" s="106">
        <f>B90</f>
        <v>380</v>
      </c>
      <c r="C124" s="107">
        <f>D90</f>
        <v>8</v>
      </c>
      <c r="D124" s="107">
        <f>C90</f>
        <v>148</v>
      </c>
      <c r="E124" s="107">
        <f t="shared" si="4"/>
        <v>224</v>
      </c>
      <c r="F124" s="91"/>
      <c r="G124" s="91"/>
    </row>
    <row r="125" spans="1:11" x14ac:dyDescent="0.2">
      <c r="A125" s="81"/>
      <c r="B125" s="89"/>
      <c r="C125" s="90"/>
      <c r="D125" s="90"/>
      <c r="E125" s="90"/>
      <c r="F125" s="91"/>
      <c r="G125" s="91"/>
    </row>
    <row r="126" spans="1:11" x14ac:dyDescent="0.2">
      <c r="A126" s="81"/>
      <c r="B126" s="81"/>
      <c r="C126" s="81"/>
      <c r="D126" s="81"/>
      <c r="E126" s="81"/>
      <c r="F126" s="81"/>
      <c r="G126" s="81"/>
    </row>
    <row r="127" spans="1:11" x14ac:dyDescent="0.2">
      <c r="A127" s="81"/>
      <c r="B127" s="81"/>
      <c r="C127" s="81"/>
      <c r="D127" s="81"/>
      <c r="E127" s="81"/>
      <c r="F127" s="81"/>
      <c r="G127" s="81"/>
    </row>
    <row r="128" spans="1:11" x14ac:dyDescent="0.2">
      <c r="A128" s="81"/>
      <c r="B128" s="81"/>
      <c r="C128" s="81"/>
      <c r="D128" s="81"/>
      <c r="E128" s="81"/>
      <c r="F128" s="81"/>
      <c r="G128" s="81"/>
    </row>
    <row r="129" spans="1:7" x14ac:dyDescent="0.2">
      <c r="A129" s="81"/>
      <c r="B129" s="81"/>
      <c r="C129" s="81"/>
      <c r="D129" s="81"/>
      <c r="E129" s="81"/>
      <c r="F129" s="81"/>
      <c r="G129" s="81"/>
    </row>
    <row r="130" spans="1:7" x14ac:dyDescent="0.2">
      <c r="A130" s="81"/>
      <c r="B130" s="81"/>
      <c r="C130" s="81"/>
      <c r="D130" s="81"/>
      <c r="E130" s="81"/>
      <c r="F130" s="81"/>
      <c r="G130" s="81"/>
    </row>
    <row r="131" spans="1:7" x14ac:dyDescent="0.2">
      <c r="A131" s="81"/>
      <c r="B131" s="81"/>
      <c r="C131" s="81"/>
      <c r="D131" s="81"/>
      <c r="E131" s="81"/>
      <c r="F131" s="81"/>
      <c r="G131" s="81"/>
    </row>
    <row r="132" spans="1:7" x14ac:dyDescent="0.2">
      <c r="A132" s="81"/>
      <c r="B132" s="81"/>
      <c r="C132" s="81"/>
      <c r="D132" s="81"/>
      <c r="E132" s="81"/>
      <c r="F132" s="81"/>
      <c r="G132" s="81"/>
    </row>
    <row r="133" spans="1:7" x14ac:dyDescent="0.2">
      <c r="A133" s="81"/>
      <c r="B133" s="81"/>
      <c r="C133" s="81"/>
      <c r="D133" s="81"/>
      <c r="E133" s="81"/>
      <c r="F133" s="81"/>
      <c r="G133" s="81"/>
    </row>
    <row r="134" spans="1:7" x14ac:dyDescent="0.2">
      <c r="A134" s="81"/>
      <c r="B134" s="81"/>
      <c r="C134" s="81"/>
      <c r="D134" s="81"/>
      <c r="E134" s="81"/>
      <c r="F134" s="81"/>
      <c r="G134" s="81"/>
    </row>
    <row r="135" spans="1:7" x14ac:dyDescent="0.2">
      <c r="A135" s="81"/>
      <c r="B135" s="81"/>
      <c r="C135" s="81"/>
      <c r="D135" s="81"/>
      <c r="E135" s="81"/>
      <c r="F135" s="81"/>
      <c r="G135" s="81"/>
    </row>
    <row r="136" spans="1:7" x14ac:dyDescent="0.2">
      <c r="A136" s="81"/>
      <c r="B136" s="81"/>
      <c r="C136" s="81"/>
      <c r="D136" s="81"/>
      <c r="E136" s="81"/>
      <c r="F136" s="81"/>
      <c r="G136" s="81"/>
    </row>
    <row r="137" spans="1:7" x14ac:dyDescent="0.2">
      <c r="A137" s="81"/>
      <c r="B137" s="81"/>
      <c r="C137" s="81"/>
      <c r="D137" s="81"/>
      <c r="E137" s="81"/>
      <c r="F137" s="81"/>
      <c r="G137" s="81"/>
    </row>
    <row r="138" spans="1:7" x14ac:dyDescent="0.2">
      <c r="A138" s="81"/>
      <c r="B138" s="81"/>
      <c r="C138" s="81"/>
      <c r="D138" s="81"/>
      <c r="E138" s="81"/>
      <c r="F138" s="81"/>
      <c r="G138" s="81"/>
    </row>
    <row r="139" spans="1:7" x14ac:dyDescent="0.2">
      <c r="A139" s="81"/>
      <c r="B139" s="81"/>
      <c r="C139" s="81"/>
      <c r="D139" s="81"/>
      <c r="E139" s="81"/>
      <c r="F139" s="81"/>
      <c r="G139" s="81"/>
    </row>
    <row r="140" spans="1:7" x14ac:dyDescent="0.2">
      <c r="A140" s="81"/>
      <c r="B140" s="81"/>
      <c r="C140" s="81"/>
      <c r="D140" s="81"/>
      <c r="E140" s="81"/>
      <c r="F140" s="81"/>
      <c r="G140" s="81"/>
    </row>
    <row r="141" spans="1:7" x14ac:dyDescent="0.2">
      <c r="A141" s="81"/>
      <c r="B141" s="81"/>
      <c r="C141" s="81"/>
      <c r="D141" s="81"/>
      <c r="E141" s="81"/>
      <c r="F141" s="81"/>
      <c r="G141" s="81"/>
    </row>
    <row r="142" spans="1:7" x14ac:dyDescent="0.2">
      <c r="A142" s="81"/>
      <c r="B142" s="81"/>
      <c r="C142" s="81"/>
      <c r="D142" s="81"/>
      <c r="E142" s="81"/>
      <c r="F142" s="81"/>
      <c r="G142" s="81"/>
    </row>
    <row r="143" spans="1:7" x14ac:dyDescent="0.2">
      <c r="A143" s="81"/>
      <c r="B143" s="81"/>
      <c r="C143" s="81"/>
      <c r="D143" s="81"/>
      <c r="E143" s="81"/>
      <c r="F143" s="81"/>
      <c r="G143" s="81"/>
    </row>
    <row r="144" spans="1:7" x14ac:dyDescent="0.2">
      <c r="A144" s="81"/>
      <c r="B144" s="81"/>
      <c r="C144" s="81"/>
      <c r="D144" s="81"/>
      <c r="E144" s="81"/>
      <c r="F144" s="81"/>
      <c r="G144" s="81"/>
    </row>
    <row r="145" spans="1:7" x14ac:dyDescent="0.2">
      <c r="A145" s="81"/>
      <c r="B145" s="81"/>
      <c r="C145" s="81"/>
      <c r="D145" s="81"/>
      <c r="E145" s="81"/>
      <c r="F145" s="81"/>
      <c r="G145" s="81"/>
    </row>
    <row r="146" spans="1:7" x14ac:dyDescent="0.2">
      <c r="A146" s="81"/>
      <c r="B146" s="81"/>
      <c r="C146" s="81"/>
      <c r="D146" s="81"/>
      <c r="E146" s="81"/>
      <c r="F146" s="81"/>
      <c r="G146" s="81"/>
    </row>
    <row r="147" spans="1:7" x14ac:dyDescent="0.2">
      <c r="A147" s="81"/>
      <c r="B147" s="81"/>
      <c r="C147" s="81"/>
      <c r="D147" s="81"/>
      <c r="E147" s="81"/>
      <c r="F147" s="81"/>
      <c r="G147" s="81"/>
    </row>
    <row r="148" spans="1:7" x14ac:dyDescent="0.2">
      <c r="A148" s="81"/>
      <c r="B148" s="81"/>
      <c r="C148" s="81"/>
      <c r="D148" s="81"/>
      <c r="E148" s="81"/>
      <c r="F148" s="81"/>
      <c r="G148" s="81"/>
    </row>
    <row r="149" spans="1:7" x14ac:dyDescent="0.2">
      <c r="A149" s="81"/>
      <c r="B149" s="81"/>
      <c r="C149" s="81"/>
      <c r="D149" s="81"/>
      <c r="E149" s="81"/>
      <c r="F149" s="81"/>
      <c r="G149" s="81"/>
    </row>
    <row r="150" spans="1:7" x14ac:dyDescent="0.2">
      <c r="A150" s="81"/>
      <c r="B150" s="81"/>
      <c r="C150" s="81"/>
      <c r="D150" s="81"/>
      <c r="E150" s="81"/>
      <c r="F150" s="81"/>
      <c r="G150" s="81"/>
    </row>
    <row r="151" spans="1:7" x14ac:dyDescent="0.2">
      <c r="A151" s="81"/>
      <c r="B151" s="81"/>
      <c r="C151" s="81"/>
      <c r="D151" s="81"/>
      <c r="E151" s="81"/>
      <c r="F151" s="81"/>
      <c r="G151" s="81"/>
    </row>
    <row r="152" spans="1:7" x14ac:dyDescent="0.2">
      <c r="A152" s="81"/>
      <c r="B152" s="81"/>
      <c r="C152" s="81"/>
      <c r="D152" s="81"/>
      <c r="E152" s="81"/>
      <c r="F152" s="81"/>
      <c r="G152" s="81"/>
    </row>
    <row r="153" spans="1:7" x14ac:dyDescent="0.2">
      <c r="A153" s="81"/>
      <c r="B153" s="81"/>
      <c r="C153" s="81"/>
      <c r="D153" s="81"/>
      <c r="E153" s="81"/>
      <c r="F153" s="81"/>
      <c r="G153" s="81"/>
    </row>
    <row r="154" spans="1:7" x14ac:dyDescent="0.2">
      <c r="A154" s="81"/>
      <c r="B154" s="81"/>
      <c r="C154" s="81"/>
      <c r="D154" s="81"/>
      <c r="E154" s="81"/>
      <c r="F154" s="81"/>
      <c r="G154" s="81"/>
    </row>
    <row r="155" spans="1:7" x14ac:dyDescent="0.2">
      <c r="A155" s="81"/>
      <c r="B155" s="81"/>
      <c r="C155" s="81"/>
      <c r="D155" s="81"/>
      <c r="E155" s="81"/>
      <c r="F155" s="81"/>
      <c r="G155" s="81"/>
    </row>
    <row r="156" spans="1:7" x14ac:dyDescent="0.2">
      <c r="A156" s="81"/>
      <c r="B156" s="81"/>
      <c r="C156" s="81"/>
      <c r="D156" s="81"/>
      <c r="E156" s="81"/>
      <c r="F156" s="81"/>
      <c r="G156" s="81"/>
    </row>
    <row r="157" spans="1:7" x14ac:dyDescent="0.2">
      <c r="A157" s="81"/>
      <c r="B157" s="81"/>
      <c r="C157" s="81"/>
      <c r="D157" s="81"/>
      <c r="E157" s="81"/>
      <c r="F157" s="81"/>
      <c r="G157" s="81"/>
    </row>
    <row r="158" spans="1:7" x14ac:dyDescent="0.2">
      <c r="A158" s="81"/>
      <c r="B158" s="81"/>
      <c r="C158" s="81"/>
      <c r="D158" s="81"/>
      <c r="E158" s="81"/>
      <c r="F158" s="81"/>
      <c r="G158" s="81"/>
    </row>
    <row r="159" spans="1:7" x14ac:dyDescent="0.2">
      <c r="A159" s="81"/>
      <c r="B159" s="81"/>
      <c r="C159" s="81"/>
      <c r="D159" s="81"/>
      <c r="E159" s="81"/>
      <c r="F159" s="81"/>
      <c r="G159" s="81"/>
    </row>
    <row r="160" spans="1:7" x14ac:dyDescent="0.2">
      <c r="A160" s="81"/>
      <c r="B160" s="81"/>
      <c r="C160" s="81"/>
      <c r="D160" s="81"/>
      <c r="E160" s="81"/>
      <c r="F160" s="81"/>
      <c r="G160" s="81"/>
    </row>
    <row r="161" spans="1:7" x14ac:dyDescent="0.2">
      <c r="A161" s="81"/>
      <c r="B161" s="81"/>
      <c r="C161" s="81"/>
      <c r="D161" s="81"/>
      <c r="E161" s="81"/>
      <c r="F161" s="81"/>
      <c r="G161" s="81"/>
    </row>
    <row r="162" spans="1:7" x14ac:dyDescent="0.2">
      <c r="A162" s="81"/>
      <c r="B162" s="81"/>
      <c r="C162" s="81"/>
      <c r="D162" s="81"/>
      <c r="E162" s="81"/>
      <c r="F162" s="81"/>
      <c r="G162" s="81"/>
    </row>
    <row r="163" spans="1:7" x14ac:dyDescent="0.2">
      <c r="A163" s="81"/>
      <c r="B163" s="81"/>
      <c r="C163" s="81"/>
      <c r="D163" s="81"/>
      <c r="E163" s="81"/>
      <c r="F163" s="81"/>
      <c r="G163" s="81"/>
    </row>
    <row r="164" spans="1:7" x14ac:dyDescent="0.2">
      <c r="A164" s="81"/>
      <c r="B164" s="81"/>
      <c r="C164" s="81"/>
      <c r="D164" s="81"/>
      <c r="E164" s="81"/>
      <c r="F164" s="81"/>
      <c r="G164" s="81"/>
    </row>
    <row r="165" spans="1:7" x14ac:dyDescent="0.2">
      <c r="A165" s="81"/>
      <c r="B165" s="81"/>
      <c r="C165" s="81"/>
      <c r="D165" s="81"/>
      <c r="E165" s="81"/>
      <c r="F165" s="81"/>
      <c r="G165" s="81"/>
    </row>
    <row r="166" spans="1:7" x14ac:dyDescent="0.2">
      <c r="A166" s="81"/>
      <c r="B166" s="81"/>
      <c r="C166" s="81"/>
      <c r="D166" s="81"/>
      <c r="E166" s="81"/>
      <c r="F166" s="81"/>
      <c r="G166" s="81"/>
    </row>
    <row r="167" spans="1:7" x14ac:dyDescent="0.2">
      <c r="A167" s="81"/>
      <c r="B167" s="81"/>
      <c r="C167" s="81"/>
      <c r="D167" s="81"/>
      <c r="E167" s="81"/>
      <c r="F167" s="81"/>
      <c r="G167" s="81"/>
    </row>
    <row r="168" spans="1:7" x14ac:dyDescent="0.2">
      <c r="A168" s="81"/>
      <c r="B168" s="81"/>
      <c r="C168" s="81"/>
      <c r="D168" s="81"/>
      <c r="E168" s="81"/>
      <c r="F168" s="81"/>
      <c r="G168" s="81"/>
    </row>
    <row r="169" spans="1:7" x14ac:dyDescent="0.2">
      <c r="A169" s="81"/>
      <c r="B169" s="81"/>
      <c r="C169" s="81"/>
      <c r="D169" s="81"/>
      <c r="E169" s="81"/>
      <c r="F169" s="81"/>
      <c r="G169" s="81"/>
    </row>
    <row r="170" spans="1:7" x14ac:dyDescent="0.2">
      <c r="A170" s="81"/>
      <c r="B170" s="81"/>
      <c r="C170" s="81"/>
      <c r="D170" s="81"/>
      <c r="E170" s="81"/>
      <c r="F170" s="81"/>
      <c r="G170" s="81"/>
    </row>
    <row r="171" spans="1:7" x14ac:dyDescent="0.2">
      <c r="A171" s="81"/>
      <c r="B171" s="81"/>
      <c r="C171" s="81"/>
      <c r="D171" s="81"/>
      <c r="E171" s="81"/>
      <c r="F171" s="81"/>
      <c r="G171" s="81"/>
    </row>
    <row r="172" spans="1:7" x14ac:dyDescent="0.2">
      <c r="A172" s="81"/>
      <c r="B172" s="81"/>
      <c r="C172" s="81"/>
      <c r="D172" s="81"/>
      <c r="E172" s="81"/>
      <c r="F172" s="81"/>
      <c r="G172" s="81"/>
    </row>
    <row r="173" spans="1:7" x14ac:dyDescent="0.2">
      <c r="A173" s="81"/>
      <c r="B173" s="81"/>
      <c r="C173" s="81"/>
      <c r="D173" s="81"/>
      <c r="E173" s="81"/>
      <c r="F173" s="81"/>
      <c r="G173" s="81"/>
    </row>
    <row r="174" spans="1:7" x14ac:dyDescent="0.2">
      <c r="A174" s="81"/>
      <c r="B174" s="81"/>
      <c r="C174" s="81"/>
      <c r="D174" s="81"/>
      <c r="E174" s="81"/>
      <c r="F174" s="81"/>
      <c r="G174" s="81"/>
    </row>
    <row r="175" spans="1:7" x14ac:dyDescent="0.2">
      <c r="A175" s="81"/>
      <c r="B175" s="81"/>
      <c r="C175" s="81"/>
      <c r="D175" s="81"/>
      <c r="E175" s="81"/>
      <c r="F175" s="81"/>
      <c r="G175" s="81"/>
    </row>
    <row r="176" spans="1:7" x14ac:dyDescent="0.2">
      <c r="A176" s="81"/>
      <c r="B176" s="81"/>
      <c r="C176" s="81"/>
      <c r="D176" s="81"/>
      <c r="E176" s="81"/>
      <c r="F176" s="81"/>
      <c r="G176" s="81"/>
    </row>
    <row r="177" spans="1:7" x14ac:dyDescent="0.2">
      <c r="A177" s="81"/>
      <c r="B177" s="81"/>
      <c r="C177" s="81"/>
      <c r="D177" s="81"/>
      <c r="E177" s="81"/>
      <c r="F177" s="81"/>
      <c r="G177" s="81"/>
    </row>
    <row r="178" spans="1:7" x14ac:dyDescent="0.2">
      <c r="A178" s="81"/>
      <c r="B178" s="81"/>
      <c r="C178" s="81"/>
      <c r="D178" s="81"/>
      <c r="E178" s="81"/>
      <c r="F178" s="81"/>
      <c r="G178" s="81"/>
    </row>
    <row r="179" spans="1:7" x14ac:dyDescent="0.2">
      <c r="A179" s="81"/>
      <c r="B179" s="81"/>
      <c r="C179" s="81"/>
      <c r="D179" s="81"/>
      <c r="E179" s="81"/>
      <c r="F179" s="81"/>
      <c r="G179" s="81"/>
    </row>
    <row r="180" spans="1:7" x14ac:dyDescent="0.2">
      <c r="A180" s="81"/>
      <c r="B180" s="81"/>
      <c r="C180" s="81"/>
      <c r="D180" s="81"/>
      <c r="E180" s="81"/>
      <c r="F180" s="81"/>
      <c r="G180" s="81"/>
    </row>
    <row r="181" spans="1:7" x14ac:dyDescent="0.2">
      <c r="A181" s="93"/>
      <c r="B181" s="93"/>
      <c r="C181" s="94"/>
      <c r="D181" s="94"/>
      <c r="E181" s="94"/>
      <c r="F181" s="94"/>
      <c r="G181" s="94"/>
    </row>
    <row r="182" spans="1:7" x14ac:dyDescent="0.2">
      <c r="A182" s="87"/>
      <c r="B182" s="87"/>
      <c r="C182" s="81"/>
      <c r="D182" s="81"/>
      <c r="E182" s="81"/>
      <c r="F182" s="81"/>
      <c r="G182" s="81"/>
    </row>
    <row r="183" spans="1:7" x14ac:dyDescent="0.2">
      <c r="A183" s="88"/>
      <c r="B183" s="89"/>
      <c r="C183" s="89"/>
      <c r="D183" s="89"/>
      <c r="E183" s="90"/>
      <c r="F183" s="89"/>
      <c r="G183" s="89"/>
    </row>
    <row r="184" spans="1:7" x14ac:dyDescent="0.2">
      <c r="A184" s="88"/>
      <c r="B184" s="89"/>
      <c r="C184" s="89"/>
      <c r="D184" s="89"/>
      <c r="E184" s="90"/>
      <c r="F184" s="89"/>
      <c r="G184" s="89"/>
    </row>
    <row r="185" spans="1:7" x14ac:dyDescent="0.2">
      <c r="A185" s="88"/>
      <c r="B185" s="89"/>
      <c r="C185" s="89"/>
      <c r="D185" s="89"/>
      <c r="E185" s="90"/>
      <c r="F185" s="89"/>
      <c r="G185" s="89"/>
    </row>
    <row r="186" spans="1:7" x14ac:dyDescent="0.2">
      <c r="A186" s="88"/>
      <c r="B186" s="89"/>
      <c r="C186" s="89"/>
      <c r="D186" s="89"/>
      <c r="E186" s="90"/>
      <c r="F186" s="89"/>
      <c r="G186" s="89"/>
    </row>
    <row r="187" spans="1:7" x14ac:dyDescent="0.2">
      <c r="A187" s="88"/>
      <c r="B187" s="89"/>
      <c r="C187" s="89"/>
      <c r="D187" s="89"/>
      <c r="E187" s="90"/>
      <c r="F187" s="89"/>
      <c r="G187" s="89"/>
    </row>
    <row r="188" spans="1:7" x14ac:dyDescent="0.2">
      <c r="A188" s="88"/>
      <c r="B188" s="89"/>
      <c r="C188" s="89"/>
      <c r="D188" s="89"/>
      <c r="E188" s="90"/>
      <c r="F188" s="89"/>
      <c r="G188" s="89"/>
    </row>
    <row r="189" spans="1:7" x14ac:dyDescent="0.2">
      <c r="A189" s="88"/>
      <c r="B189" s="89"/>
      <c r="C189" s="89"/>
      <c r="D189" s="89"/>
      <c r="E189" s="90"/>
      <c r="F189" s="89"/>
      <c r="G189" s="89"/>
    </row>
    <row r="190" spans="1:7" x14ac:dyDescent="0.2">
      <c r="A190" s="88"/>
      <c r="B190" s="89"/>
      <c r="C190" s="89"/>
      <c r="D190" s="89"/>
      <c r="E190" s="90"/>
      <c r="F190" s="89"/>
      <c r="G190" s="89"/>
    </row>
    <row r="191" spans="1:7" x14ac:dyDescent="0.2">
      <c r="A191" s="88"/>
      <c r="B191" s="89"/>
      <c r="C191" s="89"/>
      <c r="D191" s="89"/>
      <c r="E191" s="90"/>
      <c r="F191" s="89"/>
      <c r="G191" s="89"/>
    </row>
    <row r="192" spans="1:7" x14ac:dyDescent="0.2">
      <c r="A192" s="88"/>
      <c r="B192" s="89"/>
      <c r="C192" s="89"/>
      <c r="D192" s="89"/>
      <c r="E192" s="90"/>
      <c r="F192" s="89"/>
      <c r="G192" s="89"/>
    </row>
    <row r="193" spans="1:18" s="95" customFormat="1" x14ac:dyDescent="0.25">
      <c r="A193" s="98"/>
      <c r="B193" s="99"/>
      <c r="C193" s="99"/>
      <c r="D193" s="99"/>
      <c r="E193" s="99"/>
      <c r="F193" s="99"/>
      <c r="G193" s="99"/>
      <c r="L193" s="100"/>
      <c r="M193" s="100"/>
      <c r="N193" s="100"/>
      <c r="Q193" s="100"/>
      <c r="R193" s="100"/>
    </row>
    <row r="194" spans="1:18" ht="13.5" customHeight="1" x14ac:dyDescent="0.2">
      <c r="A194" s="88"/>
      <c r="B194" s="89"/>
      <c r="C194" s="89"/>
      <c r="D194" s="89"/>
      <c r="E194" s="90"/>
      <c r="F194" s="89"/>
      <c r="G194" s="89"/>
      <c r="K194" s="81"/>
      <c r="L194" s="82"/>
      <c r="M194" s="82"/>
      <c r="N194" s="82"/>
      <c r="P194" s="101"/>
      <c r="Q194" s="82"/>
      <c r="R194" s="82"/>
    </row>
    <row r="195" spans="1:18" x14ac:dyDescent="0.2">
      <c r="A195" s="88"/>
      <c r="B195" s="89"/>
      <c r="C195" s="89"/>
      <c r="D195" s="89"/>
      <c r="E195" s="90"/>
      <c r="F195" s="89"/>
      <c r="G195" s="89"/>
      <c r="K195" s="81"/>
      <c r="L195" s="82"/>
      <c r="M195" s="82"/>
      <c r="N195" s="82"/>
      <c r="P195" s="92"/>
      <c r="Q195" s="82"/>
      <c r="R195" s="82"/>
    </row>
    <row r="196" spans="1:18" x14ac:dyDescent="0.2">
      <c r="A196" s="88"/>
      <c r="B196" s="89"/>
      <c r="C196" s="89"/>
      <c r="D196" s="89"/>
      <c r="E196" s="90"/>
      <c r="F196" s="89"/>
      <c r="G196" s="89"/>
      <c r="K196" s="81"/>
      <c r="L196" s="82"/>
      <c r="M196" s="82"/>
      <c r="N196" s="82"/>
      <c r="P196" s="92"/>
      <c r="Q196" s="82"/>
      <c r="R196" s="82"/>
    </row>
    <row r="197" spans="1:18" x14ac:dyDescent="0.2">
      <c r="A197" s="88"/>
      <c r="B197" s="89"/>
      <c r="C197" s="89"/>
      <c r="D197" s="89"/>
      <c r="E197" s="90"/>
      <c r="F197" s="89"/>
      <c r="G197" s="89"/>
      <c r="P197" s="92"/>
      <c r="Q197" s="82"/>
      <c r="R197" s="82"/>
    </row>
    <row r="198" spans="1:18" x14ac:dyDescent="0.2">
      <c r="A198" s="88"/>
      <c r="B198" s="89"/>
      <c r="C198" s="89"/>
      <c r="D198" s="89"/>
      <c r="E198" s="89"/>
      <c r="F198" s="91"/>
      <c r="G198" s="91"/>
    </row>
    <row r="199" spans="1:18" x14ac:dyDescent="0.2">
      <c r="A199" s="88"/>
      <c r="B199" s="89"/>
      <c r="C199" s="89"/>
      <c r="D199" s="89"/>
      <c r="E199" s="89"/>
      <c r="F199" s="91"/>
      <c r="G199" s="91"/>
    </row>
    <row r="200" spans="1:18" x14ac:dyDescent="0.2">
      <c r="A200" s="88"/>
      <c r="B200" s="89"/>
      <c r="C200" s="89"/>
      <c r="D200" s="89"/>
      <c r="E200" s="89"/>
      <c r="F200" s="91"/>
      <c r="G200" s="91"/>
    </row>
    <row r="201" spans="1:18" x14ac:dyDescent="0.2">
      <c r="A201" s="88"/>
      <c r="B201" s="89"/>
      <c r="C201" s="89"/>
      <c r="D201" s="89"/>
      <c r="E201" s="89"/>
      <c r="F201" s="89"/>
      <c r="G201" s="89"/>
    </row>
    <row r="202" spans="1:18" s="95" customFormat="1" x14ac:dyDescent="0.25">
      <c r="A202" s="98"/>
      <c r="B202" s="99"/>
      <c r="C202" s="99"/>
      <c r="D202" s="99"/>
      <c r="E202" s="99"/>
      <c r="F202" s="99"/>
      <c r="G202" s="99"/>
    </row>
    <row r="203" spans="1:18" x14ac:dyDescent="0.2">
      <c r="A203" s="88"/>
      <c r="B203" s="89"/>
      <c r="C203" s="89"/>
      <c r="D203" s="89"/>
      <c r="E203" s="90"/>
      <c r="F203" s="89"/>
      <c r="G203" s="89"/>
    </row>
    <row r="204" spans="1:18" x14ac:dyDescent="0.2">
      <c r="A204" s="81"/>
      <c r="B204" s="89"/>
      <c r="C204" s="89"/>
      <c r="D204" s="89"/>
      <c r="E204" s="90"/>
      <c r="F204" s="89"/>
      <c r="G204" s="89"/>
    </row>
    <row r="205" spans="1:18" x14ac:dyDescent="0.2">
      <c r="A205" s="88"/>
    </row>
  </sheetData>
  <mergeCells count="2">
    <mergeCell ref="C92:F92"/>
    <mergeCell ref="H92:K92"/>
  </mergeCells>
  <pageMargins left="0.5" right="0.5" top="0.5" bottom="0.5" header="0.3" footer="0.3"/>
  <pageSetup scale="58" fitToHeight="3" orientation="landscape" r:id="rId1"/>
  <headerFooter>
    <oddFooter>Page &amp;P of &amp;N</oddFooter>
  </headerFooter>
  <rowBreaks count="2" manualBreakCount="2">
    <brk id="54" max="19" man="1"/>
    <brk id="108" max="19" man="1"/>
  </rowBreaks>
  <ignoredErrors>
    <ignoredError sqref="A94:A107 A111:A123" numberStoredAsText="1"/>
  </ignoredError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8"/>
  <sheetViews>
    <sheetView view="pageBreakPreview" zoomScale="60" zoomScaleNormal="100" workbookViewId="0">
      <selection activeCell="G36" sqref="G36"/>
    </sheetView>
  </sheetViews>
  <sheetFormatPr defaultRowHeight="15" x14ac:dyDescent="0.25"/>
  <cols>
    <col min="1" max="1" width="24.42578125" customWidth="1"/>
    <col min="3" max="3" width="10.42578125" customWidth="1"/>
    <col min="4" max="4" width="10.28515625" customWidth="1"/>
    <col min="7" max="7" width="10.85546875" customWidth="1"/>
  </cols>
  <sheetData>
    <row r="1" spans="1:17" ht="23.25" x14ac:dyDescent="0.35">
      <c r="A1" s="52" t="s">
        <v>202</v>
      </c>
    </row>
    <row r="3" spans="1:17" x14ac:dyDescent="0.25">
      <c r="A3" s="32" t="s">
        <v>185</v>
      </c>
    </row>
    <row r="4" spans="1:17" x14ac:dyDescent="0.25">
      <c r="A4" s="200" t="s">
        <v>137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</row>
    <row r="5" spans="1:17" x14ac:dyDescent="0.25">
      <c r="A5" s="200" t="s">
        <v>140</v>
      </c>
    </row>
    <row r="7" spans="1:17" x14ac:dyDescent="0.25">
      <c r="A7" s="128" t="s">
        <v>25</v>
      </c>
      <c r="B7" s="43">
        <v>2008</v>
      </c>
      <c r="C7" s="43">
        <v>2009</v>
      </c>
      <c r="D7" s="43">
        <v>2010</v>
      </c>
      <c r="E7" s="43">
        <v>2011</v>
      </c>
      <c r="F7" s="43">
        <v>2012</v>
      </c>
      <c r="G7" s="43" t="s">
        <v>17</v>
      </c>
      <c r="H7" s="43" t="s">
        <v>48</v>
      </c>
    </row>
    <row r="8" spans="1:17" x14ac:dyDescent="0.25">
      <c r="A8" s="125" t="s">
        <v>26</v>
      </c>
      <c r="B8" s="36">
        <v>2</v>
      </c>
      <c r="C8" s="36">
        <v>0</v>
      </c>
      <c r="D8" s="36">
        <v>0</v>
      </c>
      <c r="E8" s="36">
        <v>0</v>
      </c>
      <c r="F8" s="36">
        <v>0</v>
      </c>
      <c r="G8" s="36">
        <f>SUM(B8:F8)</f>
        <v>2</v>
      </c>
      <c r="H8" s="38">
        <f t="shared" ref="H8:H17" si="0">G8/$G$18</f>
        <v>2.3255813953488372E-2</v>
      </c>
    </row>
    <row r="9" spans="1:17" x14ac:dyDescent="0.25">
      <c r="A9" s="125" t="s">
        <v>30</v>
      </c>
      <c r="B9" s="36">
        <v>3</v>
      </c>
      <c r="C9" s="36">
        <v>1</v>
      </c>
      <c r="D9" s="36">
        <v>0</v>
      </c>
      <c r="E9" s="36">
        <v>0</v>
      </c>
      <c r="F9" s="36">
        <v>0</v>
      </c>
      <c r="G9" s="36">
        <f t="shared" ref="G9:G18" si="1">SUM(B9:F9)</f>
        <v>4</v>
      </c>
      <c r="H9" s="38">
        <f t="shared" si="0"/>
        <v>4.6511627906976744E-2</v>
      </c>
    </row>
    <row r="10" spans="1:17" x14ac:dyDescent="0.25">
      <c r="A10" s="125" t="s">
        <v>32</v>
      </c>
      <c r="B10" s="36">
        <v>1</v>
      </c>
      <c r="C10" s="36">
        <v>0</v>
      </c>
      <c r="D10" s="36">
        <v>0</v>
      </c>
      <c r="E10" s="36">
        <v>0</v>
      </c>
      <c r="F10" s="36">
        <v>0</v>
      </c>
      <c r="G10" s="36">
        <f t="shared" si="1"/>
        <v>1</v>
      </c>
      <c r="H10" s="38">
        <f t="shared" si="0"/>
        <v>1.1627906976744186E-2</v>
      </c>
    </row>
    <row r="11" spans="1:17" x14ac:dyDescent="0.25">
      <c r="A11" s="125" t="s">
        <v>184</v>
      </c>
      <c r="B11" s="36">
        <v>0</v>
      </c>
      <c r="C11" s="36">
        <v>6</v>
      </c>
      <c r="D11" s="36">
        <v>2</v>
      </c>
      <c r="E11" s="36">
        <v>6</v>
      </c>
      <c r="F11" s="36">
        <v>3</v>
      </c>
      <c r="G11" s="36">
        <f t="shared" ref="G11" si="2">SUM(B11:F11)</f>
        <v>17</v>
      </c>
      <c r="H11" s="38">
        <f t="shared" si="0"/>
        <v>0.19767441860465115</v>
      </c>
    </row>
    <row r="12" spans="1:17" x14ac:dyDescent="0.25">
      <c r="A12" s="125" t="s">
        <v>27</v>
      </c>
      <c r="B12" s="36">
        <v>2</v>
      </c>
      <c r="C12" s="36">
        <v>12</v>
      </c>
      <c r="D12" s="36">
        <v>4</v>
      </c>
      <c r="E12" s="36">
        <v>12</v>
      </c>
      <c r="F12" s="36">
        <v>6</v>
      </c>
      <c r="G12" s="36">
        <f t="shared" si="1"/>
        <v>36</v>
      </c>
      <c r="H12" s="38">
        <f t="shared" si="0"/>
        <v>0.41860465116279072</v>
      </c>
    </row>
    <row r="13" spans="1:17" x14ac:dyDescent="0.25">
      <c r="A13" s="125" t="s">
        <v>28</v>
      </c>
      <c r="B13" s="36">
        <v>1</v>
      </c>
      <c r="C13" s="36">
        <v>0</v>
      </c>
      <c r="D13" s="36">
        <v>1</v>
      </c>
      <c r="E13" s="36">
        <v>0</v>
      </c>
      <c r="F13" s="36">
        <v>0</v>
      </c>
      <c r="G13" s="36">
        <f t="shared" si="1"/>
        <v>2</v>
      </c>
      <c r="H13" s="38">
        <f t="shared" si="0"/>
        <v>2.3255813953488372E-2</v>
      </c>
    </row>
    <row r="14" spans="1:17" x14ac:dyDescent="0.25">
      <c r="A14" s="125" t="s">
        <v>31</v>
      </c>
      <c r="B14" s="36">
        <v>0</v>
      </c>
      <c r="C14" s="36">
        <v>1</v>
      </c>
      <c r="D14" s="36">
        <v>3</v>
      </c>
      <c r="E14" s="36">
        <v>1</v>
      </c>
      <c r="F14" s="36">
        <v>2</v>
      </c>
      <c r="G14" s="36">
        <f t="shared" si="1"/>
        <v>7</v>
      </c>
      <c r="H14" s="38">
        <f t="shared" si="0"/>
        <v>8.1395348837209308E-2</v>
      </c>
    </row>
    <row r="15" spans="1:17" x14ac:dyDescent="0.25">
      <c r="A15" s="125" t="s">
        <v>33</v>
      </c>
      <c r="B15" s="36">
        <v>0</v>
      </c>
      <c r="C15" s="36">
        <v>0</v>
      </c>
      <c r="D15" s="36">
        <v>3</v>
      </c>
      <c r="E15" s="36">
        <v>0</v>
      </c>
      <c r="F15" s="36">
        <v>0</v>
      </c>
      <c r="G15" s="36">
        <f>SUM(B15:F15)</f>
        <v>3</v>
      </c>
      <c r="H15" s="38">
        <f t="shared" si="0"/>
        <v>3.4883720930232558E-2</v>
      </c>
    </row>
    <row r="16" spans="1:17" x14ac:dyDescent="0.25">
      <c r="A16" s="125" t="s">
        <v>34</v>
      </c>
      <c r="B16" s="36">
        <v>0</v>
      </c>
      <c r="C16" s="36">
        <v>1</v>
      </c>
      <c r="D16" s="36">
        <v>0</v>
      </c>
      <c r="E16" s="36">
        <v>0</v>
      </c>
      <c r="F16" s="36">
        <v>0</v>
      </c>
      <c r="G16" s="36">
        <f t="shared" si="1"/>
        <v>1</v>
      </c>
      <c r="H16" s="38">
        <f t="shared" si="0"/>
        <v>1.1627906976744186E-2</v>
      </c>
    </row>
    <row r="17" spans="1:11" x14ac:dyDescent="0.25">
      <c r="A17" s="125" t="s">
        <v>29</v>
      </c>
      <c r="B17" s="36">
        <v>1</v>
      </c>
      <c r="C17" s="36">
        <v>3</v>
      </c>
      <c r="D17" s="36">
        <v>1</v>
      </c>
      <c r="E17" s="36">
        <v>5</v>
      </c>
      <c r="F17" s="36">
        <v>3</v>
      </c>
      <c r="G17" s="36">
        <f t="shared" si="1"/>
        <v>13</v>
      </c>
      <c r="H17" s="38">
        <f t="shared" si="0"/>
        <v>0.15116279069767441</v>
      </c>
    </row>
    <row r="18" spans="1:11" x14ac:dyDescent="0.25">
      <c r="A18" s="127" t="s">
        <v>17</v>
      </c>
      <c r="B18" s="202">
        <f>SUM(B8:B17)</f>
        <v>10</v>
      </c>
      <c r="C18" s="202">
        <f>SUM(C8:C17)</f>
        <v>24</v>
      </c>
      <c r="D18" s="202">
        <f>SUM(D8:D17)</f>
        <v>14</v>
      </c>
      <c r="E18" s="202">
        <f>SUM(E8:E17)</f>
        <v>24</v>
      </c>
      <c r="F18" s="202">
        <f>SUM(F8:F17)</f>
        <v>14</v>
      </c>
      <c r="G18" s="202">
        <f t="shared" si="1"/>
        <v>86</v>
      </c>
      <c r="H18" s="203">
        <f>SUM(H8:H17)</f>
        <v>1</v>
      </c>
    </row>
    <row r="19" spans="1:11" x14ac:dyDescent="0.25">
      <c r="A19" s="33"/>
    </row>
    <row r="20" spans="1:11" x14ac:dyDescent="0.25">
      <c r="A20" s="125"/>
      <c r="B20" s="43">
        <v>2008</v>
      </c>
      <c r="C20" s="43">
        <v>2009</v>
      </c>
      <c r="D20" s="43">
        <v>2010</v>
      </c>
      <c r="E20" s="43">
        <v>2011</v>
      </c>
      <c r="F20" s="43">
        <v>2012</v>
      </c>
      <c r="G20" s="44" t="s">
        <v>17</v>
      </c>
    </row>
    <row r="21" spans="1:11" x14ac:dyDescent="0.25">
      <c r="A21" s="125" t="s">
        <v>70</v>
      </c>
      <c r="B21" s="36">
        <v>10</v>
      </c>
      <c r="C21" s="36">
        <v>24</v>
      </c>
      <c r="D21" s="36">
        <v>14</v>
      </c>
      <c r="E21" s="36">
        <v>24</v>
      </c>
      <c r="F21" s="36">
        <v>14</v>
      </c>
      <c r="G21" s="36">
        <f>SUM(B21:F21)</f>
        <v>86</v>
      </c>
    </row>
    <row r="22" spans="1:11" x14ac:dyDescent="0.25">
      <c r="A22" s="125" t="s">
        <v>71</v>
      </c>
      <c r="B22" s="36">
        <v>4</v>
      </c>
      <c r="C22" s="36">
        <v>6</v>
      </c>
      <c r="D22" s="36">
        <v>8</v>
      </c>
      <c r="E22" s="36">
        <v>5</v>
      </c>
      <c r="F22" s="36">
        <v>3</v>
      </c>
      <c r="G22" s="36">
        <f t="shared" ref="G22:G23" si="3">SUM(B22:F22)</f>
        <v>26</v>
      </c>
    </row>
    <row r="23" spans="1:11" x14ac:dyDescent="0.25">
      <c r="A23" s="125" t="s">
        <v>72</v>
      </c>
      <c r="B23" s="36">
        <v>0</v>
      </c>
      <c r="C23" s="36">
        <v>1</v>
      </c>
      <c r="D23" s="36">
        <v>0</v>
      </c>
      <c r="E23" s="36">
        <v>1</v>
      </c>
      <c r="F23" s="36">
        <v>0</v>
      </c>
      <c r="G23" s="36">
        <f t="shared" si="3"/>
        <v>2</v>
      </c>
    </row>
    <row r="24" spans="1:11" x14ac:dyDescent="0.25">
      <c r="A24" s="33"/>
    </row>
    <row r="25" spans="1:11" x14ac:dyDescent="0.25">
      <c r="A25" s="75" t="s">
        <v>40</v>
      </c>
      <c r="B25" s="43">
        <v>2008</v>
      </c>
      <c r="C25" s="43">
        <v>2009</v>
      </c>
      <c r="D25" s="43">
        <v>2010</v>
      </c>
      <c r="E25" s="43">
        <v>2011</v>
      </c>
      <c r="F25" s="43">
        <v>2012</v>
      </c>
      <c r="G25" s="43" t="s">
        <v>17</v>
      </c>
    </row>
    <row r="26" spans="1:11" x14ac:dyDescent="0.25">
      <c r="A26" s="125" t="s">
        <v>116</v>
      </c>
      <c r="B26" s="36">
        <v>4</v>
      </c>
      <c r="C26" s="36">
        <v>6</v>
      </c>
      <c r="D26" s="36">
        <v>18</v>
      </c>
      <c r="E26" s="36">
        <v>9</v>
      </c>
      <c r="F26" s="36">
        <v>4</v>
      </c>
      <c r="G26" s="36">
        <f>SUM(B26:F26)</f>
        <v>41</v>
      </c>
    </row>
    <row r="27" spans="1:11" x14ac:dyDescent="0.25">
      <c r="A27" s="125" t="s">
        <v>117</v>
      </c>
      <c r="B27" s="36">
        <v>0</v>
      </c>
      <c r="C27" s="36">
        <v>1</v>
      </c>
      <c r="D27" s="36">
        <v>0</v>
      </c>
      <c r="E27" s="36">
        <v>1</v>
      </c>
      <c r="F27" s="36">
        <v>0</v>
      </c>
      <c r="G27" s="36">
        <f>SUM(B27:F27)</f>
        <v>2</v>
      </c>
    </row>
    <row r="28" spans="1:11" x14ac:dyDescent="0.25">
      <c r="A28" s="125" t="s">
        <v>17</v>
      </c>
      <c r="B28" s="36">
        <f>SUM(B26:B27)</f>
        <v>4</v>
      </c>
      <c r="C28" s="36">
        <f t="shared" ref="C28:F28" si="4">SUM(C26:C27)</f>
        <v>7</v>
      </c>
      <c r="D28" s="36">
        <f t="shared" si="4"/>
        <v>18</v>
      </c>
      <c r="E28" s="36">
        <f t="shared" si="4"/>
        <v>10</v>
      </c>
      <c r="F28" s="36">
        <f t="shared" si="4"/>
        <v>4</v>
      </c>
      <c r="G28" s="36">
        <f>SUM(B28:F28)</f>
        <v>43</v>
      </c>
    </row>
    <row r="29" spans="1:11" x14ac:dyDescent="0.25">
      <c r="A29" s="33"/>
    </row>
    <row r="30" spans="1:11" x14ac:dyDescent="0.25">
      <c r="A30" s="35" t="s">
        <v>141</v>
      </c>
    </row>
    <row r="31" spans="1:11" x14ac:dyDescent="0.25">
      <c r="A31" s="75" t="s">
        <v>40</v>
      </c>
      <c r="B31" s="43">
        <v>2008</v>
      </c>
      <c r="C31" s="43">
        <v>2009</v>
      </c>
      <c r="D31" s="43">
        <v>2010</v>
      </c>
      <c r="E31" s="43">
        <v>2011</v>
      </c>
      <c r="F31" s="43">
        <v>2012</v>
      </c>
      <c r="G31" s="43" t="s">
        <v>17</v>
      </c>
    </row>
    <row r="32" spans="1:11" x14ac:dyDescent="0.25">
      <c r="A32" s="125" t="s">
        <v>116</v>
      </c>
      <c r="B32" s="36">
        <v>2</v>
      </c>
      <c r="C32" s="36">
        <v>2</v>
      </c>
      <c r="D32" s="36">
        <v>12</v>
      </c>
      <c r="E32" s="36">
        <v>7</v>
      </c>
      <c r="F32" s="36">
        <v>1</v>
      </c>
      <c r="G32" s="36">
        <f>SUM(B32:F32)</f>
        <v>24</v>
      </c>
      <c r="J32" s="1"/>
      <c r="K32" s="2"/>
    </row>
    <row r="33" spans="1:11" x14ac:dyDescent="0.25">
      <c r="A33" s="125" t="s">
        <v>117</v>
      </c>
      <c r="B33" s="36">
        <v>0</v>
      </c>
      <c r="C33" s="36">
        <v>1</v>
      </c>
      <c r="D33" s="36">
        <v>0</v>
      </c>
      <c r="E33" s="36">
        <v>1</v>
      </c>
      <c r="F33" s="36">
        <v>0</v>
      </c>
      <c r="G33" s="36">
        <f>SUM(B33:F33)</f>
        <v>2</v>
      </c>
      <c r="J33" s="1"/>
      <c r="K33" s="2"/>
    </row>
    <row r="34" spans="1:11" x14ac:dyDescent="0.25">
      <c r="A34" s="125" t="s">
        <v>17</v>
      </c>
      <c r="B34" s="36">
        <f>SUM(B32:B33)</f>
        <v>2</v>
      </c>
      <c r="C34" s="36">
        <f t="shared" ref="C34:G34" si="5">SUM(C32:C33)</f>
        <v>3</v>
      </c>
      <c r="D34" s="36">
        <f t="shared" si="5"/>
        <v>12</v>
      </c>
      <c r="E34" s="36">
        <f t="shared" si="5"/>
        <v>8</v>
      </c>
      <c r="F34" s="36">
        <f t="shared" si="5"/>
        <v>1</v>
      </c>
      <c r="G34" s="36">
        <f t="shared" si="5"/>
        <v>26</v>
      </c>
      <c r="K34" s="2"/>
    </row>
    <row r="35" spans="1:11" x14ac:dyDescent="0.25">
      <c r="A35" s="33"/>
    </row>
    <row r="36" spans="1:11" ht="30" x14ac:dyDescent="0.25">
      <c r="A36" s="124"/>
      <c r="B36" s="129" t="s">
        <v>47</v>
      </c>
      <c r="C36" s="129" t="s">
        <v>50</v>
      </c>
      <c r="D36" s="129" t="s">
        <v>48</v>
      </c>
      <c r="E36" s="204" t="s">
        <v>49</v>
      </c>
    </row>
    <row r="37" spans="1:11" x14ac:dyDescent="0.25">
      <c r="A37" s="75" t="s">
        <v>116</v>
      </c>
      <c r="B37" s="36">
        <f>G26</f>
        <v>41</v>
      </c>
      <c r="C37" s="36">
        <f>G32</f>
        <v>24</v>
      </c>
      <c r="D37" s="38">
        <f>C37/B37</f>
        <v>0.58536585365853655</v>
      </c>
      <c r="E37" s="205">
        <f>C37/5</f>
        <v>4.8</v>
      </c>
    </row>
    <row r="38" spans="1:11" x14ac:dyDescent="0.25">
      <c r="A38" s="75" t="s">
        <v>117</v>
      </c>
      <c r="B38" s="36">
        <f>G27</f>
        <v>2</v>
      </c>
      <c r="C38" s="36">
        <f>G33</f>
        <v>2</v>
      </c>
      <c r="D38" s="38">
        <f>C38/B38</f>
        <v>1</v>
      </c>
      <c r="E38" s="205">
        <f>C38/5</f>
        <v>0.4</v>
      </c>
    </row>
  </sheetData>
  <pageMargins left="0.7" right="0.7" top="0.75" bottom="0.75" header="0.3" footer="0.3"/>
  <pageSetup scale="69" orientation="landscape" r:id="rId1"/>
  <ignoredErrors>
    <ignoredError sqref="G11:G19" formula="1"/>
    <ignoredError sqref="B24:I25 G21:I23 B28:I31 G26:I27 B34:F34 B18:F19" formulaRange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zoomScaleNormal="100" workbookViewId="0">
      <selection activeCell="A2" sqref="A2"/>
    </sheetView>
  </sheetViews>
  <sheetFormatPr defaultRowHeight="15" x14ac:dyDescent="0.25"/>
  <cols>
    <col min="5" max="5" width="15.28515625" bestFit="1" customWidth="1"/>
    <col min="8" max="8" width="20.42578125" bestFit="1" customWidth="1"/>
    <col min="13" max="13" width="14.5703125" customWidth="1"/>
  </cols>
  <sheetData>
    <row r="1" spans="1:8" ht="23.25" x14ac:dyDescent="0.35">
      <c r="A1" s="52" t="s">
        <v>203</v>
      </c>
    </row>
    <row r="3" spans="1:8" x14ac:dyDescent="0.25">
      <c r="A3" s="32" t="s">
        <v>101</v>
      </c>
    </row>
    <row r="4" spans="1:8" x14ac:dyDescent="0.25">
      <c r="A4" s="32" t="s">
        <v>145</v>
      </c>
    </row>
    <row r="6" spans="1:8" x14ac:dyDescent="0.25">
      <c r="B6" s="236" t="s">
        <v>192</v>
      </c>
      <c r="C6" s="237"/>
      <c r="D6" s="242" t="s">
        <v>142</v>
      </c>
      <c r="E6" s="243"/>
      <c r="F6" s="50"/>
      <c r="G6" s="130" t="s">
        <v>143</v>
      </c>
      <c r="H6" s="131"/>
    </row>
    <row r="7" spans="1:8" x14ac:dyDescent="0.25">
      <c r="B7" s="238"/>
      <c r="C7" s="239"/>
      <c r="D7" s="244" t="s">
        <v>94</v>
      </c>
      <c r="E7" s="245"/>
      <c r="F7" s="51"/>
      <c r="G7" s="132" t="s">
        <v>144</v>
      </c>
      <c r="H7" s="133"/>
    </row>
    <row r="8" spans="1:8" x14ac:dyDescent="0.25">
      <c r="B8" s="240"/>
      <c r="C8" s="241"/>
      <c r="D8" s="246">
        <v>0.4</v>
      </c>
      <c r="E8" s="43" t="s">
        <v>95</v>
      </c>
      <c r="F8" s="246" t="s">
        <v>146</v>
      </c>
      <c r="G8" s="246">
        <v>4.8</v>
      </c>
      <c r="H8" s="43" t="s">
        <v>95</v>
      </c>
    </row>
    <row r="9" spans="1:8" ht="18" x14ac:dyDescent="0.35">
      <c r="B9" s="242" t="s">
        <v>96</v>
      </c>
      <c r="C9" s="243"/>
      <c r="D9" s="247"/>
      <c r="E9" s="43" t="s">
        <v>97</v>
      </c>
      <c r="F9" s="247"/>
      <c r="G9" s="247"/>
      <c r="H9" s="43" t="s">
        <v>98</v>
      </c>
    </row>
    <row r="10" spans="1:8" x14ac:dyDescent="0.25">
      <c r="B10" s="228" t="s">
        <v>99</v>
      </c>
      <c r="C10" s="44">
        <v>0</v>
      </c>
      <c r="D10" s="45">
        <v>0</v>
      </c>
      <c r="E10" s="37">
        <v>0</v>
      </c>
      <c r="F10" s="36">
        <v>0.43675999999999998</v>
      </c>
      <c r="G10" s="36">
        <f>F10*$G$8</f>
        <v>2.0964479999999996</v>
      </c>
      <c r="H10" s="46">
        <v>0</v>
      </c>
    </row>
    <row r="11" spans="1:8" x14ac:dyDescent="0.25">
      <c r="B11" s="229"/>
      <c r="C11" s="44">
        <v>1</v>
      </c>
      <c r="D11" s="45">
        <v>0</v>
      </c>
      <c r="E11" s="37">
        <v>0</v>
      </c>
      <c r="F11" s="36">
        <v>0.41738999999999998</v>
      </c>
      <c r="G11" s="36">
        <f t="shared" ref="G11:G16" si="0">F11*$G$8</f>
        <v>2.0034719999999999</v>
      </c>
      <c r="H11" s="46">
        <f>27300*G11</f>
        <v>54694.785599999996</v>
      </c>
    </row>
    <row r="12" spans="1:8" x14ac:dyDescent="0.25">
      <c r="B12" s="229"/>
      <c r="C12" s="44">
        <v>2</v>
      </c>
      <c r="D12" s="45">
        <v>0</v>
      </c>
      <c r="E12" s="37">
        <v>0</v>
      </c>
      <c r="F12" s="36">
        <v>8.8719999999999993E-2</v>
      </c>
      <c r="G12" s="36">
        <f t="shared" si="0"/>
        <v>0.42585599999999996</v>
      </c>
      <c r="H12" s="46">
        <f>427700*G12</f>
        <v>182138.61119999998</v>
      </c>
    </row>
    <row r="13" spans="1:8" x14ac:dyDescent="0.25">
      <c r="B13" s="229"/>
      <c r="C13" s="44">
        <v>3</v>
      </c>
      <c r="D13" s="45">
        <v>0</v>
      </c>
      <c r="E13" s="37">
        <v>0</v>
      </c>
      <c r="F13" s="36">
        <v>4.8169999999999998E-2</v>
      </c>
      <c r="G13" s="36">
        <f t="shared" si="0"/>
        <v>0.23121599999999998</v>
      </c>
      <c r="H13" s="46">
        <f>95500*G13</f>
        <v>22081.127999999997</v>
      </c>
    </row>
    <row r="14" spans="1:8" x14ac:dyDescent="0.25">
      <c r="B14" s="229"/>
      <c r="C14" s="44">
        <v>4</v>
      </c>
      <c r="D14" s="45">
        <v>0</v>
      </c>
      <c r="E14" s="37">
        <v>0</v>
      </c>
      <c r="F14" s="36">
        <v>6.1700000000000001E-3</v>
      </c>
      <c r="G14" s="36">
        <f t="shared" si="0"/>
        <v>2.9616E-2</v>
      </c>
      <c r="H14" s="46">
        <f>2420600*G14</f>
        <v>71688.489600000001</v>
      </c>
    </row>
    <row r="15" spans="1:8" x14ac:dyDescent="0.25">
      <c r="B15" s="229"/>
      <c r="C15" s="44">
        <v>5</v>
      </c>
      <c r="D15" s="45">
        <v>0</v>
      </c>
      <c r="E15" s="37">
        <v>0</v>
      </c>
      <c r="F15" s="36">
        <v>2.7899999999999999E-3</v>
      </c>
      <c r="G15" s="36">
        <f t="shared" si="0"/>
        <v>1.3391999999999999E-2</v>
      </c>
      <c r="H15" s="46">
        <f>5396300*G15</f>
        <v>72267.249599999996</v>
      </c>
    </row>
    <row r="16" spans="1:8" x14ac:dyDescent="0.25">
      <c r="B16" s="230"/>
      <c r="C16" s="44" t="s">
        <v>37</v>
      </c>
      <c r="D16" s="45">
        <f>D8</f>
        <v>0.4</v>
      </c>
      <c r="E16" s="46">
        <v>9100000</v>
      </c>
      <c r="F16" s="36">
        <v>0</v>
      </c>
      <c r="G16" s="36">
        <f t="shared" si="0"/>
        <v>0</v>
      </c>
      <c r="H16" s="46">
        <v>0</v>
      </c>
    </row>
    <row r="17" spans="2:8" x14ac:dyDescent="0.25">
      <c r="B17" s="231" t="s">
        <v>100</v>
      </c>
      <c r="C17" s="232"/>
      <c r="D17" s="47">
        <f>SUM(D10:D16)</f>
        <v>0.4</v>
      </c>
      <c r="E17" s="48">
        <f>D16*E16</f>
        <v>3640000</v>
      </c>
      <c r="F17" s="47">
        <f t="shared" ref="F17" si="1">SUM(F10:F16)</f>
        <v>1</v>
      </c>
      <c r="G17" s="75">
        <f>SUM(G10:G16)</f>
        <v>4.799999999999998</v>
      </c>
      <c r="H17" s="48">
        <f t="shared" ref="H17" si="2">SUM(H10:H16)</f>
        <v>402870.26399999997</v>
      </c>
    </row>
    <row r="18" spans="2:8" x14ac:dyDescent="0.25">
      <c r="E18" s="31"/>
    </row>
    <row r="19" spans="2:8" x14ac:dyDescent="0.25">
      <c r="B19" s="233" t="s">
        <v>102</v>
      </c>
      <c r="C19" s="234"/>
      <c r="D19" s="234"/>
      <c r="E19" s="234"/>
      <c r="F19" s="234"/>
      <c r="G19" s="235"/>
      <c r="H19" s="147">
        <f>SUM(E17,H17)</f>
        <v>4042870.264</v>
      </c>
    </row>
  </sheetData>
  <mergeCells count="10">
    <mergeCell ref="B10:B16"/>
    <mergeCell ref="B17:C17"/>
    <mergeCell ref="B19:G19"/>
    <mergeCell ref="B6:C8"/>
    <mergeCell ref="D6:E6"/>
    <mergeCell ref="D7:E7"/>
    <mergeCell ref="D8:D9"/>
    <mergeCell ref="G8:G9"/>
    <mergeCell ref="B9:C9"/>
    <mergeCell ref="F8:F9"/>
  </mergeCells>
  <pageMargins left="0.5" right="0.5" top="0.5" bottom="0.5" header="0.3" footer="0.3"/>
  <pageSetup scale="87" fitToHeight="2" orientation="portrait" r:id="rId1"/>
  <headerFooter>
    <oddFooter>Page &amp;P of &amp;N</oddFooter>
  </headerFooter>
  <ignoredErrors>
    <ignoredError sqref="E1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9"/>
  <sheetViews>
    <sheetView zoomScaleNormal="100" workbookViewId="0">
      <selection activeCell="A2" sqref="A2"/>
    </sheetView>
  </sheetViews>
  <sheetFormatPr defaultRowHeight="15" x14ac:dyDescent="0.25"/>
  <cols>
    <col min="1" max="1" width="13.7109375" bestFit="1" customWidth="1"/>
    <col min="2" max="2" width="19.28515625" bestFit="1" customWidth="1"/>
    <col min="5" max="5" width="16.140625" bestFit="1" customWidth="1"/>
    <col min="6" max="6" width="14" bestFit="1" customWidth="1"/>
  </cols>
  <sheetData>
    <row r="1" spans="1:14" ht="23.25" x14ac:dyDescent="0.35">
      <c r="A1" s="52" t="s">
        <v>204</v>
      </c>
    </row>
    <row r="3" spans="1:14" x14ac:dyDescent="0.25">
      <c r="A3" s="32" t="s">
        <v>147</v>
      </c>
    </row>
    <row r="4" spans="1:14" x14ac:dyDescent="0.25">
      <c r="A4" s="134"/>
      <c r="B4" s="134"/>
      <c r="C4" s="134"/>
      <c r="D4" s="134"/>
      <c r="E4" s="134"/>
      <c r="F4" s="134"/>
      <c r="G4" s="134"/>
      <c r="H4" s="134"/>
      <c r="I4" s="134"/>
      <c r="J4" s="134"/>
    </row>
    <row r="5" spans="1:14" x14ac:dyDescent="0.25">
      <c r="A5" s="135" t="s">
        <v>150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</row>
    <row r="6" spans="1:14" x14ac:dyDescent="0.25">
      <c r="A6" s="134"/>
      <c r="B6" s="150">
        <v>20000</v>
      </c>
      <c r="C6" s="135"/>
      <c r="D6" s="135"/>
      <c r="E6" s="135"/>
      <c r="F6" s="135"/>
      <c r="G6" s="135"/>
      <c r="H6" s="135"/>
      <c r="I6" s="135"/>
      <c r="J6" s="134"/>
      <c r="K6" s="134"/>
      <c r="L6" s="134"/>
      <c r="M6" s="134"/>
      <c r="N6" s="134"/>
    </row>
    <row r="7" spans="1:14" x14ac:dyDescent="0.25">
      <c r="A7" s="134"/>
      <c r="B7" s="136"/>
      <c r="C7" s="135"/>
      <c r="D7" s="135"/>
      <c r="E7" s="135"/>
      <c r="F7" s="135"/>
      <c r="G7" s="135"/>
      <c r="H7" s="135"/>
      <c r="I7" s="135"/>
      <c r="J7" s="134"/>
      <c r="K7" s="134"/>
      <c r="L7" s="134"/>
      <c r="M7" s="134"/>
      <c r="N7" s="134"/>
    </row>
    <row r="8" spans="1:14" x14ac:dyDescent="0.25">
      <c r="A8" s="134" t="s">
        <v>149</v>
      </c>
      <c r="B8" s="137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</row>
    <row r="9" spans="1:14" x14ac:dyDescent="0.25">
      <c r="A9" s="134"/>
      <c r="B9" s="137"/>
      <c r="C9" s="134"/>
      <c r="D9" s="134"/>
      <c r="E9" s="159" t="s">
        <v>162</v>
      </c>
      <c r="F9" s="159" t="s">
        <v>161</v>
      </c>
      <c r="G9" s="134"/>
      <c r="H9" s="134"/>
      <c r="I9" s="134"/>
      <c r="J9" s="134"/>
      <c r="K9" s="134"/>
      <c r="L9" s="134"/>
      <c r="M9" s="134"/>
      <c r="N9" s="134"/>
    </row>
    <row r="10" spans="1:14" x14ac:dyDescent="0.25">
      <c r="A10" s="134"/>
      <c r="B10" s="138"/>
      <c r="C10" s="134"/>
      <c r="D10" s="139" t="s">
        <v>152</v>
      </c>
      <c r="E10" s="126">
        <v>10</v>
      </c>
      <c r="F10" s="126" t="s">
        <v>151</v>
      </c>
      <c r="G10" s="134"/>
      <c r="H10" s="134"/>
      <c r="I10" s="134"/>
      <c r="J10" s="134"/>
      <c r="K10" s="134"/>
      <c r="L10" s="134"/>
      <c r="M10" s="134"/>
      <c r="N10" s="134"/>
    </row>
    <row r="11" spans="1:14" x14ac:dyDescent="0.25">
      <c r="A11" s="134"/>
      <c r="B11" s="134"/>
      <c r="C11" s="134"/>
      <c r="D11" s="139" t="s">
        <v>148</v>
      </c>
      <c r="E11" s="151">
        <v>40</v>
      </c>
      <c r="F11" s="126" t="s">
        <v>90</v>
      </c>
      <c r="G11" s="134"/>
      <c r="H11" s="134"/>
      <c r="I11" s="134"/>
      <c r="J11" s="134"/>
      <c r="K11" s="134"/>
      <c r="L11" s="134"/>
      <c r="M11" s="134"/>
      <c r="N11" s="134"/>
    </row>
    <row r="12" spans="1:14" x14ac:dyDescent="0.25">
      <c r="A12" s="134"/>
      <c r="B12" s="134"/>
      <c r="C12" s="134"/>
      <c r="D12" s="139" t="s">
        <v>153</v>
      </c>
      <c r="E12" s="152">
        <f>1.5*5280</f>
        <v>7920</v>
      </c>
      <c r="F12" s="126" t="s">
        <v>155</v>
      </c>
      <c r="G12" s="134"/>
      <c r="H12" s="134"/>
      <c r="I12" s="134"/>
      <c r="J12" s="134"/>
      <c r="K12" s="134"/>
      <c r="L12" s="134"/>
      <c r="M12" s="134"/>
      <c r="N12" s="134"/>
    </row>
    <row r="13" spans="1:14" x14ac:dyDescent="0.25">
      <c r="A13" s="134"/>
      <c r="B13" s="134"/>
      <c r="C13" s="134"/>
      <c r="D13" s="139" t="s">
        <v>154</v>
      </c>
      <c r="E13" s="152">
        <v>22</v>
      </c>
      <c r="F13" s="156" t="s">
        <v>155</v>
      </c>
      <c r="G13" s="134"/>
      <c r="H13" s="140"/>
      <c r="I13" s="134"/>
      <c r="J13" s="134"/>
      <c r="K13" s="134"/>
      <c r="L13" s="134"/>
      <c r="M13" s="134"/>
      <c r="N13" s="134"/>
    </row>
    <row r="14" spans="1:14" x14ac:dyDescent="0.25">
      <c r="A14" s="134"/>
      <c r="B14" s="134"/>
      <c r="C14" s="134"/>
      <c r="D14" s="139" t="s">
        <v>156</v>
      </c>
      <c r="E14" s="153">
        <f>E13*E12/9</f>
        <v>19360</v>
      </c>
      <c r="F14" s="157" t="s">
        <v>91</v>
      </c>
      <c r="G14" s="134"/>
      <c r="H14" s="140"/>
      <c r="I14" s="134"/>
      <c r="J14" s="134"/>
      <c r="K14" s="134"/>
      <c r="L14" s="134"/>
      <c r="M14" s="134"/>
      <c r="N14" s="134"/>
    </row>
    <row r="15" spans="1:14" x14ac:dyDescent="0.25">
      <c r="A15" s="134"/>
      <c r="B15" s="148"/>
      <c r="C15" s="148"/>
      <c r="D15" s="149" t="s">
        <v>157</v>
      </c>
      <c r="E15" s="154">
        <f>E14*E11</f>
        <v>774400</v>
      </c>
      <c r="F15" s="158" t="s">
        <v>92</v>
      </c>
      <c r="G15" s="155"/>
      <c r="H15" s="134"/>
      <c r="I15" s="134"/>
      <c r="J15" s="134"/>
      <c r="K15" s="134"/>
      <c r="L15" s="134"/>
      <c r="M15" s="134"/>
      <c r="N15" s="134"/>
    </row>
    <row r="16" spans="1:14" x14ac:dyDescent="0.25">
      <c r="A16" s="134"/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</row>
    <row r="17" spans="1:14" x14ac:dyDescent="0.25">
      <c r="A17" s="134"/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</row>
    <row r="18" spans="1:14" x14ac:dyDescent="0.25">
      <c r="A18" s="134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</row>
    <row r="19" spans="1:14" x14ac:dyDescent="0.25">
      <c r="A19" s="134"/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</row>
  </sheetData>
  <pageMargins left="0.5" right="0.5" top="0.5" bottom="0.5" header="0.3" footer="0.3"/>
  <pageSetup scale="95" fitToHeight="2" orientation="portrait" r:id="rId1"/>
  <headerFooter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112"/>
  <sheetViews>
    <sheetView zoomScale="85" zoomScaleNormal="85" workbookViewId="0">
      <selection activeCell="D14" sqref="D14"/>
    </sheetView>
  </sheetViews>
  <sheetFormatPr defaultRowHeight="15" x14ac:dyDescent="0.25"/>
  <cols>
    <col min="1" max="1" width="3.140625" style="134" customWidth="1"/>
    <col min="2" max="2" width="13.28515625" style="134" bestFit="1" customWidth="1"/>
    <col min="3" max="3" width="11.5703125" style="134" bestFit="1" customWidth="1"/>
    <col min="4" max="4" width="23.5703125" style="134" bestFit="1" customWidth="1"/>
    <col min="5" max="5" width="20.140625" style="134" customWidth="1"/>
    <col min="6" max="6" width="20.7109375" style="134" customWidth="1"/>
    <col min="7" max="8" width="20" style="134" bestFit="1" customWidth="1"/>
    <col min="9" max="9" width="22.140625" style="134" bestFit="1" customWidth="1"/>
    <col min="10" max="10" width="22.28515625" style="134" customWidth="1"/>
    <col min="11" max="16384" width="9.140625" style="134"/>
  </cols>
  <sheetData>
    <row r="1" spans="2:10" ht="23.25" x14ac:dyDescent="0.35">
      <c r="B1" s="52" t="s">
        <v>205</v>
      </c>
      <c r="C1" s="160"/>
      <c r="D1" s="160"/>
      <c r="E1" s="160"/>
      <c r="F1" s="160"/>
      <c r="G1" s="160"/>
      <c r="H1" s="160"/>
      <c r="I1" s="160"/>
    </row>
    <row r="2" spans="2:10" x14ac:dyDescent="0.25">
      <c r="B2" s="32"/>
      <c r="C2" s="160"/>
      <c r="D2" s="160"/>
      <c r="E2" s="160"/>
      <c r="F2" s="160"/>
      <c r="G2" s="160"/>
      <c r="H2" s="160"/>
      <c r="I2" s="160"/>
    </row>
    <row r="3" spans="2:10" x14ac:dyDescent="0.25">
      <c r="B3" s="161" t="s">
        <v>163</v>
      </c>
      <c r="C3" s="160"/>
      <c r="D3" s="160"/>
      <c r="E3" s="160"/>
      <c r="F3" s="160"/>
      <c r="G3" s="160"/>
      <c r="H3" s="160"/>
      <c r="I3" s="160"/>
    </row>
    <row r="4" spans="2:10" x14ac:dyDescent="0.25">
      <c r="B4" s="161" t="s">
        <v>85</v>
      </c>
      <c r="C4" s="160"/>
      <c r="D4" s="160"/>
      <c r="E4" s="160"/>
      <c r="F4" s="160"/>
      <c r="G4" s="160"/>
      <c r="H4" s="160"/>
      <c r="I4" s="160"/>
    </row>
    <row r="5" spans="2:10" ht="15.75" thickBot="1" x14ac:dyDescent="0.3">
      <c r="B5" s="160"/>
      <c r="C5" s="160"/>
      <c r="D5" s="160"/>
      <c r="E5" s="160"/>
      <c r="F5" s="160"/>
      <c r="G5" s="160"/>
      <c r="H5" s="160"/>
      <c r="I5" s="160"/>
    </row>
    <row r="6" spans="2:10" x14ac:dyDescent="0.25">
      <c r="C6" s="185" t="s">
        <v>77</v>
      </c>
      <c r="D6" s="186" t="s">
        <v>79</v>
      </c>
      <c r="E6" s="187" t="s">
        <v>78</v>
      </c>
      <c r="F6" s="188">
        <f>I60</f>
        <v>251015553.1020222</v>
      </c>
      <c r="G6" s="189" t="s">
        <v>78</v>
      </c>
      <c r="H6" s="209">
        <f>F6/F7</f>
        <v>16.014455204152537</v>
      </c>
      <c r="I6" s="208" t="s">
        <v>195</v>
      </c>
    </row>
    <row r="7" spans="2:10" ht="15.75" thickBot="1" x14ac:dyDescent="0.3">
      <c r="B7" s="42"/>
      <c r="C7" s="42"/>
      <c r="D7" s="190" t="s">
        <v>80</v>
      </c>
      <c r="E7" s="187"/>
      <c r="F7" s="191">
        <f>G87</f>
        <v>15674311.108437462</v>
      </c>
      <c r="G7" s="67"/>
      <c r="H7" s="210"/>
      <c r="I7" s="178"/>
    </row>
    <row r="8" spans="2:10" ht="15.75" thickBot="1" x14ac:dyDescent="0.3">
      <c r="B8" s="160"/>
      <c r="C8" s="160"/>
      <c r="D8" s="160"/>
      <c r="E8" s="160"/>
      <c r="F8" s="160"/>
      <c r="G8" s="160"/>
      <c r="H8" s="160"/>
      <c r="I8" s="208"/>
    </row>
    <row r="9" spans="2:10" x14ac:dyDescent="0.25">
      <c r="B9" s="160"/>
      <c r="C9" s="160"/>
      <c r="D9" s="160"/>
      <c r="E9" s="160"/>
      <c r="F9" s="188">
        <f>+J60</f>
        <v>178717523.28583929</v>
      </c>
      <c r="G9" s="189" t="s">
        <v>78</v>
      </c>
      <c r="H9" s="209">
        <f>F9/F10</f>
        <v>12.321389201939919</v>
      </c>
      <c r="I9" s="208" t="s">
        <v>196</v>
      </c>
    </row>
    <row r="10" spans="2:10" ht="15.75" thickBot="1" x14ac:dyDescent="0.3">
      <c r="F10" s="169">
        <f>H87</f>
        <v>14504656.930867944</v>
      </c>
      <c r="H10" s="210"/>
      <c r="I10" s="178"/>
    </row>
    <row r="11" spans="2:10" x14ac:dyDescent="0.25">
      <c r="B11" s="161" t="s">
        <v>75</v>
      </c>
      <c r="C11" s="160"/>
      <c r="D11" s="160"/>
      <c r="E11" s="160"/>
      <c r="F11" s="160"/>
      <c r="G11" s="160"/>
      <c r="H11" s="160"/>
      <c r="I11" s="160"/>
    </row>
    <row r="12" spans="2:10" s="163" customFormat="1" ht="73.5" x14ac:dyDescent="0.25">
      <c r="B12" s="162" t="s">
        <v>41</v>
      </c>
      <c r="C12" s="162" t="s">
        <v>42</v>
      </c>
      <c r="D12" s="162" t="s">
        <v>169</v>
      </c>
      <c r="E12" s="162" t="s">
        <v>170</v>
      </c>
      <c r="F12" s="162" t="s">
        <v>171</v>
      </c>
      <c r="G12" s="162" t="s">
        <v>172</v>
      </c>
      <c r="H12" s="162" t="s">
        <v>45</v>
      </c>
      <c r="I12" s="162" t="s">
        <v>173</v>
      </c>
      <c r="J12" s="162" t="s">
        <v>174</v>
      </c>
    </row>
    <row r="13" spans="2:10" x14ac:dyDescent="0.25">
      <c r="B13" s="164">
        <v>2014</v>
      </c>
      <c r="C13" s="164">
        <v>0</v>
      </c>
      <c r="D13" s="165">
        <v>23740</v>
      </c>
      <c r="E13" s="164" t="s">
        <v>68</v>
      </c>
      <c r="F13" s="166">
        <v>0</v>
      </c>
      <c r="G13" s="166">
        <v>0</v>
      </c>
      <c r="H13" s="166">
        <v>0</v>
      </c>
      <c r="I13" s="166">
        <v>0</v>
      </c>
      <c r="J13" s="166">
        <v>0</v>
      </c>
    </row>
    <row r="14" spans="2:10" x14ac:dyDescent="0.25">
      <c r="B14" s="164">
        <v>2015</v>
      </c>
      <c r="C14" s="164">
        <v>1</v>
      </c>
      <c r="D14" s="165">
        <f>+D13*1.015</f>
        <v>24096.1</v>
      </c>
      <c r="E14" s="164">
        <v>0.3</v>
      </c>
      <c r="F14" s="166">
        <f t="shared" ref="F14:F33" si="0">D14*E14*$H$98*(1-$E$95)</f>
        <v>115704.92698866691</v>
      </c>
      <c r="G14" s="166">
        <f t="shared" ref="G14:G33" si="1">D14*E14*$H$99*$E$95</f>
        <v>6878.9598119477505</v>
      </c>
      <c r="H14" s="166">
        <f t="shared" ref="H14:H18" si="2">SUM(F14:G14)</f>
        <v>122583.88680061465</v>
      </c>
      <c r="I14" s="166">
        <f t="shared" ref="I14:I33" si="3">H14/((1+$E$91)^C14)</f>
        <v>119013.48233069383</v>
      </c>
      <c r="J14" s="166">
        <f t="shared" ref="J14:J33" si="4">H14/((1+$E$92)^C14)</f>
        <v>114564.38018749031</v>
      </c>
    </row>
    <row r="15" spans="2:10" x14ac:dyDescent="0.25">
      <c r="B15" s="164">
        <v>2016</v>
      </c>
      <c r="C15" s="164">
        <v>2</v>
      </c>
      <c r="D15" s="165">
        <f>+D14*1.015</f>
        <v>24457.541499999996</v>
      </c>
      <c r="E15" s="164">
        <v>0.3</v>
      </c>
      <c r="F15" s="166">
        <f t="shared" si="0"/>
        <v>117440.50089349691</v>
      </c>
      <c r="G15" s="166">
        <f t="shared" si="1"/>
        <v>6982.1442091269664</v>
      </c>
      <c r="H15" s="166">
        <f t="shared" si="2"/>
        <v>124422.64510262388</v>
      </c>
      <c r="I15" s="166">
        <f t="shared" si="3"/>
        <v>117280.27627733423</v>
      </c>
      <c r="J15" s="166">
        <f t="shared" si="4"/>
        <v>108675.55690682495</v>
      </c>
    </row>
    <row r="16" spans="2:10" x14ac:dyDescent="0.25">
      <c r="B16" s="164">
        <v>2017</v>
      </c>
      <c r="C16" s="164">
        <v>3</v>
      </c>
      <c r="D16" s="165">
        <f>+D15*1.015</f>
        <v>24824.404622499995</v>
      </c>
      <c r="E16" s="164">
        <v>0.3</v>
      </c>
      <c r="F16" s="166">
        <f t="shared" si="0"/>
        <v>119202.10840689935</v>
      </c>
      <c r="G16" s="166">
        <f t="shared" si="1"/>
        <v>7086.8763722638714</v>
      </c>
      <c r="H16" s="166">
        <f t="shared" si="2"/>
        <v>126288.98477916322</v>
      </c>
      <c r="I16" s="166">
        <f t="shared" si="3"/>
        <v>115572.31108882934</v>
      </c>
      <c r="J16" s="166">
        <f t="shared" si="4"/>
        <v>103089.43014993206</v>
      </c>
    </row>
    <row r="17" spans="2:10" x14ac:dyDescent="0.25">
      <c r="B17" s="164">
        <v>2018</v>
      </c>
      <c r="C17" s="164">
        <v>4</v>
      </c>
      <c r="D17" s="165">
        <f>+D16*1.015</f>
        <v>25196.770691837493</v>
      </c>
      <c r="E17" s="164">
        <v>0.3</v>
      </c>
      <c r="F17" s="166">
        <f t="shared" si="0"/>
        <v>120990.14003300283</v>
      </c>
      <c r="G17" s="166">
        <f t="shared" si="1"/>
        <v>7193.1795178478287</v>
      </c>
      <c r="H17" s="166">
        <f t="shared" si="2"/>
        <v>128183.31955085066</v>
      </c>
      <c r="I17" s="166">
        <f t="shared" si="3"/>
        <v>113889.21917976873</v>
      </c>
      <c r="J17" s="166">
        <f t="shared" si="4"/>
        <v>97790.440749701898</v>
      </c>
    </row>
    <row r="18" spans="2:10" x14ac:dyDescent="0.25">
      <c r="B18" s="164">
        <v>2019</v>
      </c>
      <c r="C18" s="164">
        <v>5</v>
      </c>
      <c r="D18" s="165">
        <f>+D17*1.015</f>
        <v>25574.722252215055</v>
      </c>
      <c r="E18" s="164">
        <v>0.3</v>
      </c>
      <c r="F18" s="166">
        <f t="shared" si="0"/>
        <v>122804.99213349787</v>
      </c>
      <c r="G18" s="166">
        <f t="shared" si="1"/>
        <v>7301.0772106155455</v>
      </c>
      <c r="H18" s="166">
        <f t="shared" si="2"/>
        <v>130106.06934411342</v>
      </c>
      <c r="I18" s="166">
        <f t="shared" si="3"/>
        <v>112230.63831792744</v>
      </c>
      <c r="J18" s="166">
        <f t="shared" si="4"/>
        <v>92763.829309296649</v>
      </c>
    </row>
    <row r="19" spans="2:10" x14ac:dyDescent="0.25">
      <c r="B19" s="164">
        <v>2020</v>
      </c>
      <c r="C19" s="164">
        <v>6</v>
      </c>
      <c r="D19" s="165">
        <f t="shared" ref="D19:D33" si="5">+D18*1.015</f>
        <v>25958.34308599828</v>
      </c>
      <c r="E19" s="164">
        <v>0.3</v>
      </c>
      <c r="F19" s="166">
        <f t="shared" si="0"/>
        <v>124647.06701550033</v>
      </c>
      <c r="G19" s="166">
        <f t="shared" si="1"/>
        <v>7410.5933687747784</v>
      </c>
      <c r="H19" s="166">
        <f t="shared" ref="H19:H21" si="6">SUM(F19:G19)</f>
        <v>132057.66038427511</v>
      </c>
      <c r="I19" s="166">
        <f t="shared" si="3"/>
        <v>110596.21154630711</v>
      </c>
      <c r="J19" s="166">
        <f t="shared" si="4"/>
        <v>87995.595092463642</v>
      </c>
    </row>
    <row r="20" spans="2:10" x14ac:dyDescent="0.25">
      <c r="B20" s="164">
        <v>2021</v>
      </c>
      <c r="C20" s="164">
        <v>7</v>
      </c>
      <c r="D20" s="165">
        <f t="shared" si="5"/>
        <v>26347.718232288251</v>
      </c>
      <c r="E20" s="164">
        <v>0.3</v>
      </c>
      <c r="F20" s="166">
        <f t="shared" si="0"/>
        <v>126516.77302073281</v>
      </c>
      <c r="G20" s="166">
        <f t="shared" si="1"/>
        <v>7521.7522693064002</v>
      </c>
      <c r="H20" s="166">
        <f t="shared" si="6"/>
        <v>134038.52529003922</v>
      </c>
      <c r="I20" s="166">
        <f t="shared" si="3"/>
        <v>108985.58710631233</v>
      </c>
      <c r="J20" s="166">
        <f t="shared" si="4"/>
        <v>83472.457026963166</v>
      </c>
    </row>
    <row r="21" spans="2:10" x14ac:dyDescent="0.25">
      <c r="B21" s="164">
        <v>2022</v>
      </c>
      <c r="C21" s="164">
        <v>8</v>
      </c>
      <c r="D21" s="165">
        <f t="shared" si="5"/>
        <v>26742.934005772571</v>
      </c>
      <c r="E21" s="164">
        <v>0.3</v>
      </c>
      <c r="F21" s="166">
        <f t="shared" si="0"/>
        <v>128414.52461604381</v>
      </c>
      <c r="G21" s="166">
        <f t="shared" si="1"/>
        <v>7634.5785533459948</v>
      </c>
      <c r="H21" s="166">
        <f t="shared" si="6"/>
        <v>136049.1031693898</v>
      </c>
      <c r="I21" s="166">
        <f t="shared" si="3"/>
        <v>107398.41836204565</v>
      </c>
      <c r="J21" s="166">
        <f t="shared" si="4"/>
        <v>79181.816712493091</v>
      </c>
    </row>
    <row r="22" spans="2:10" x14ac:dyDescent="0.25">
      <c r="B22" s="164">
        <v>2023</v>
      </c>
      <c r="C22" s="164">
        <v>9</v>
      </c>
      <c r="D22" s="165">
        <f t="shared" si="5"/>
        <v>27144.078015859159</v>
      </c>
      <c r="E22" s="164">
        <v>0.3</v>
      </c>
      <c r="F22" s="166">
        <f t="shared" si="0"/>
        <v>130340.74248528446</v>
      </c>
      <c r="G22" s="166">
        <f t="shared" si="1"/>
        <v>7749.0972316461839</v>
      </c>
      <c r="H22" s="166">
        <f t="shared" ref="H22:H33" si="7">SUM(F22:G22)</f>
        <v>138089.83971693064</v>
      </c>
      <c r="I22" s="166">
        <f t="shared" si="3"/>
        <v>105834.36372570517</v>
      </c>
      <c r="J22" s="166">
        <f t="shared" si="4"/>
        <v>75111.723330075212</v>
      </c>
    </row>
    <row r="23" spans="2:10" x14ac:dyDescent="0.25">
      <c r="B23" s="164">
        <v>2024</v>
      </c>
      <c r="C23" s="164">
        <v>10</v>
      </c>
      <c r="D23" s="165">
        <f t="shared" si="5"/>
        <v>27551.239186097042</v>
      </c>
      <c r="E23" s="164">
        <v>0.3</v>
      </c>
      <c r="F23" s="166">
        <f t="shared" si="0"/>
        <v>132295.85362256368</v>
      </c>
      <c r="G23" s="166">
        <f t="shared" si="1"/>
        <v>7865.3336901208759</v>
      </c>
      <c r="H23" s="166">
        <f t="shared" si="7"/>
        <v>140161.18731268455</v>
      </c>
      <c r="I23" s="166">
        <f t="shared" si="3"/>
        <v>104293.08658406866</v>
      </c>
      <c r="J23" s="166">
        <f t="shared" si="4"/>
        <v>71250.840355164779</v>
      </c>
    </row>
    <row r="24" spans="2:10" x14ac:dyDescent="0.25">
      <c r="B24" s="164">
        <v>2025</v>
      </c>
      <c r="C24" s="164">
        <v>11</v>
      </c>
      <c r="D24" s="165">
        <f t="shared" si="5"/>
        <v>27964.507773888494</v>
      </c>
      <c r="E24" s="164">
        <v>0.3</v>
      </c>
      <c r="F24" s="166">
        <f t="shared" si="0"/>
        <v>134280.29142690211</v>
      </c>
      <c r="G24" s="166">
        <f t="shared" si="1"/>
        <v>7983.3136954726879</v>
      </c>
      <c r="H24" s="166">
        <f t="shared" si="7"/>
        <v>142263.60512237481</v>
      </c>
      <c r="I24" s="166">
        <f t="shared" si="3"/>
        <v>102774.25522604823</v>
      </c>
      <c r="J24" s="166">
        <f t="shared" si="4"/>
        <v>67588.413981768448</v>
      </c>
    </row>
    <row r="25" spans="2:10" x14ac:dyDescent="0.25">
      <c r="B25" s="164">
        <v>2026</v>
      </c>
      <c r="C25" s="164">
        <v>12</v>
      </c>
      <c r="D25" s="165">
        <f t="shared" si="5"/>
        <v>28383.97539049682</v>
      </c>
      <c r="E25" s="164">
        <v>0.3</v>
      </c>
      <c r="F25" s="166">
        <f t="shared" si="0"/>
        <v>136294.49579830564</v>
      </c>
      <c r="G25" s="166">
        <f t="shared" si="1"/>
        <v>8103.0634009047781</v>
      </c>
      <c r="H25" s="166">
        <f t="shared" si="7"/>
        <v>144397.5591992104</v>
      </c>
      <c r="I25" s="166">
        <f t="shared" si="3"/>
        <v>101277.54277129995</v>
      </c>
      <c r="J25" s="166">
        <f t="shared" si="4"/>
        <v>64114.24316962147</v>
      </c>
    </row>
    <row r="26" spans="2:10" x14ac:dyDescent="0.25">
      <c r="B26" s="164">
        <v>2027</v>
      </c>
      <c r="C26" s="164">
        <v>13</v>
      </c>
      <c r="D26" s="165">
        <f t="shared" si="5"/>
        <v>28809.73502135427</v>
      </c>
      <c r="E26" s="164">
        <v>0.3</v>
      </c>
      <c r="F26" s="166">
        <f t="shared" si="0"/>
        <v>138338.91323528023</v>
      </c>
      <c r="G26" s="166">
        <f t="shared" si="1"/>
        <v>8224.6093519183487</v>
      </c>
      <c r="H26" s="166">
        <f t="shared" si="7"/>
        <v>146563.52258719859</v>
      </c>
      <c r="I26" s="166">
        <f t="shared" si="3"/>
        <v>99802.62709987328</v>
      </c>
      <c r="J26" s="166">
        <f t="shared" si="4"/>
        <v>60818.651230996074</v>
      </c>
    </row>
    <row r="27" spans="2:10" x14ac:dyDescent="0.25">
      <c r="B27" s="164">
        <v>2028</v>
      </c>
      <c r="C27" s="164">
        <v>14</v>
      </c>
      <c r="D27" s="165">
        <f t="shared" si="5"/>
        <v>29241.881046674582</v>
      </c>
      <c r="E27" s="164">
        <v>0.3</v>
      </c>
      <c r="F27" s="166">
        <f t="shared" si="0"/>
        <v>140413.99693380942</v>
      </c>
      <c r="G27" s="166">
        <f t="shared" si="1"/>
        <v>8347.9784921971241</v>
      </c>
      <c r="H27" s="166">
        <f t="shared" si="7"/>
        <v>148761.97542600654</v>
      </c>
      <c r="I27" s="166">
        <f t="shared" si="3"/>
        <v>98349.190782884805</v>
      </c>
      <c r="J27" s="166">
        <f t="shared" si="4"/>
        <v>57692.458878000944</v>
      </c>
    </row>
    <row r="28" spans="2:10" x14ac:dyDescent="0.25">
      <c r="B28" s="164">
        <v>2029</v>
      </c>
      <c r="C28" s="164">
        <v>15</v>
      </c>
      <c r="D28" s="165">
        <f t="shared" si="5"/>
        <v>29680.509262374697</v>
      </c>
      <c r="E28" s="164">
        <v>0.3</v>
      </c>
      <c r="F28" s="166">
        <f t="shared" si="0"/>
        <v>142520.20688781657</v>
      </c>
      <c r="G28" s="166">
        <f t="shared" si="1"/>
        <v>8473.1981695800787</v>
      </c>
      <c r="H28" s="166">
        <f t="shared" si="7"/>
        <v>150993.40505739665</v>
      </c>
      <c r="I28" s="166">
        <f t="shared" si="3"/>
        <v>96916.921014202017</v>
      </c>
      <c r="J28" s="166">
        <f t="shared" si="4"/>
        <v>54726.958655299954</v>
      </c>
    </row>
    <row r="29" spans="2:10" x14ac:dyDescent="0.25">
      <c r="B29" s="164">
        <v>2030</v>
      </c>
      <c r="C29" s="164">
        <v>16</v>
      </c>
      <c r="D29" s="165">
        <f t="shared" si="5"/>
        <v>30125.716901310316</v>
      </c>
      <c r="E29" s="164">
        <v>0.3</v>
      </c>
      <c r="F29" s="166">
        <f t="shared" si="0"/>
        <v>144658.00999113379</v>
      </c>
      <c r="G29" s="166">
        <f t="shared" si="1"/>
        <v>8600.2961421237796</v>
      </c>
      <c r="H29" s="166">
        <f t="shared" si="7"/>
        <v>153258.30613325757</v>
      </c>
      <c r="I29" s="166">
        <f t="shared" si="3"/>
        <v>95505.509543121399</v>
      </c>
      <c r="J29" s="166">
        <f t="shared" si="4"/>
        <v>51913.890687036874</v>
      </c>
    </row>
    <row r="30" spans="2:10" x14ac:dyDescent="0.25">
      <c r="B30" s="164">
        <v>2031</v>
      </c>
      <c r="C30" s="164">
        <v>17</v>
      </c>
      <c r="D30" s="165">
        <f t="shared" si="5"/>
        <v>30577.602654829967</v>
      </c>
      <c r="E30" s="164">
        <v>0.3</v>
      </c>
      <c r="F30" s="166">
        <f t="shared" si="0"/>
        <v>146827.88014100079</v>
      </c>
      <c r="G30" s="166">
        <f t="shared" si="1"/>
        <v>8729.3005842556358</v>
      </c>
      <c r="H30" s="166">
        <f t="shared" si="7"/>
        <v>155557.18072525642</v>
      </c>
      <c r="I30" s="166">
        <f t="shared" si="3"/>
        <v>94114.652608027391</v>
      </c>
      <c r="J30" s="166">
        <f t="shared" si="4"/>
        <v>49245.419670413474</v>
      </c>
    </row>
    <row r="31" spans="2:10" x14ac:dyDescent="0.25">
      <c r="B31" s="164">
        <v>2032</v>
      </c>
      <c r="C31" s="164">
        <v>18</v>
      </c>
      <c r="D31" s="165">
        <f t="shared" si="5"/>
        <v>31036.266694652415</v>
      </c>
      <c r="E31" s="164">
        <v>0.3</v>
      </c>
      <c r="F31" s="166">
        <f t="shared" si="0"/>
        <v>149030.29834311581</v>
      </c>
      <c r="G31" s="166">
        <f t="shared" si="1"/>
        <v>8860.2400930194708</v>
      </c>
      <c r="H31" s="166">
        <f t="shared" si="7"/>
        <v>157890.53843613528</v>
      </c>
      <c r="I31" s="166">
        <f t="shared" si="3"/>
        <v>92744.050871017287</v>
      </c>
      <c r="J31" s="166">
        <f t="shared" si="4"/>
        <v>46714.113051840824</v>
      </c>
    </row>
    <row r="32" spans="2:10" x14ac:dyDescent="0.25">
      <c r="B32" s="164">
        <v>2033</v>
      </c>
      <c r="C32" s="164">
        <v>19</v>
      </c>
      <c r="D32" s="165">
        <f t="shared" si="5"/>
        <v>31501.810695072199</v>
      </c>
      <c r="E32" s="164">
        <v>0.3</v>
      </c>
      <c r="F32" s="166">
        <f t="shared" si="0"/>
        <v>151265.75281826252</v>
      </c>
      <c r="G32" s="166">
        <f t="shared" si="1"/>
        <v>8993.1436944147626</v>
      </c>
      <c r="H32" s="166">
        <f t="shared" si="7"/>
        <v>160258.89651267728</v>
      </c>
      <c r="I32" s="166">
        <f t="shared" si="3"/>
        <v>91393.409353478186</v>
      </c>
      <c r="J32" s="166">
        <f t="shared" si="4"/>
        <v>44312.920324877035</v>
      </c>
    </row>
    <row r="33" spans="2:10" x14ac:dyDescent="0.25">
      <c r="B33" s="164">
        <v>2034</v>
      </c>
      <c r="C33" s="164">
        <v>20</v>
      </c>
      <c r="D33" s="165">
        <f t="shared" si="5"/>
        <v>31974.337855498281</v>
      </c>
      <c r="E33" s="164">
        <v>0.3</v>
      </c>
      <c r="F33" s="166">
        <f t="shared" si="0"/>
        <v>153534.73911053647</v>
      </c>
      <c r="G33" s="166">
        <f t="shared" si="1"/>
        <v>9128.0408498309826</v>
      </c>
      <c r="H33" s="166">
        <f t="shared" si="7"/>
        <v>162662.77996036745</v>
      </c>
      <c r="I33" s="166">
        <f t="shared" si="3"/>
        <v>90062.437372602304</v>
      </c>
      <c r="J33" s="166">
        <f t="shared" si="4"/>
        <v>42035.153392289903</v>
      </c>
    </row>
    <row r="34" spans="2:10" x14ac:dyDescent="0.25">
      <c r="B34" s="160"/>
      <c r="C34" s="160"/>
      <c r="D34" s="167"/>
      <c r="E34" s="160"/>
      <c r="F34" s="160"/>
      <c r="G34" s="160"/>
      <c r="H34" s="168"/>
      <c r="I34" s="169">
        <f>SUM(I13:I33)</f>
        <v>2078034.1911615473</v>
      </c>
      <c r="J34" s="169">
        <f>SUM(J13:J33)</f>
        <v>1453058.2928625506</v>
      </c>
    </row>
    <row r="35" spans="2:10" x14ac:dyDescent="0.25">
      <c r="B35" s="160"/>
      <c r="C35" s="160"/>
      <c r="D35" s="167"/>
      <c r="E35" s="160"/>
      <c r="F35" s="160"/>
      <c r="G35" s="160"/>
      <c r="H35" s="168"/>
      <c r="I35" s="169"/>
    </row>
    <row r="36" spans="2:10" ht="69.75" customHeight="1" x14ac:dyDescent="0.25">
      <c r="B36" s="162" t="s">
        <v>41</v>
      </c>
      <c r="C36" s="162" t="s">
        <v>42</v>
      </c>
      <c r="D36" s="162" t="s">
        <v>175</v>
      </c>
      <c r="E36" s="162" t="s">
        <v>176</v>
      </c>
      <c r="F36" s="162" t="s">
        <v>177</v>
      </c>
      <c r="G36" s="162" t="s">
        <v>178</v>
      </c>
      <c r="H36" s="162" t="s">
        <v>46</v>
      </c>
      <c r="I36" s="162" t="s">
        <v>179</v>
      </c>
      <c r="J36" s="162" t="s">
        <v>180</v>
      </c>
    </row>
    <row r="37" spans="2:10" x14ac:dyDescent="0.25">
      <c r="B37" s="164">
        <v>2014</v>
      </c>
      <c r="C37" s="164">
        <v>0</v>
      </c>
      <c r="D37" s="170" t="s">
        <v>68</v>
      </c>
      <c r="E37" s="170" t="s">
        <v>68</v>
      </c>
      <c r="F37" s="171">
        <v>0</v>
      </c>
      <c r="G37" s="171">
        <v>0</v>
      </c>
      <c r="H37" s="171">
        <v>0</v>
      </c>
      <c r="I37" s="172">
        <v>0</v>
      </c>
      <c r="J37" s="172">
        <v>0</v>
      </c>
    </row>
    <row r="38" spans="2:10" x14ac:dyDescent="0.25">
      <c r="B38" s="164">
        <v>2015</v>
      </c>
      <c r="C38" s="164">
        <v>1</v>
      </c>
      <c r="D38" s="170">
        <f>'9 - 5yr Collision (Previous)'!$E$40</f>
        <v>4.2</v>
      </c>
      <c r="E38" s="170">
        <f>'9 - 5yr Collision (Previous)'!$E$41</f>
        <v>1.8</v>
      </c>
      <c r="F38" s="206">
        <f>'9 - Collision Benefits'!$H$17</f>
        <v>352511.48100000003</v>
      </c>
      <c r="G38" s="206">
        <f>'9 - Collision Benefits'!$E$17</f>
        <v>16380000</v>
      </c>
      <c r="H38" s="171">
        <f t="shared" ref="H38:H42" si="8">F38+G38</f>
        <v>16732511.481000001</v>
      </c>
      <c r="I38" s="172">
        <f t="shared" ref="I38:I57" si="9">H38/((1+$E$91)^C38)</f>
        <v>16245156.777669903</v>
      </c>
      <c r="J38" s="172">
        <f t="shared" ref="J38:J57" si="10">H38/((1+$E$92)^C38)</f>
        <v>15637861.197196262</v>
      </c>
    </row>
    <row r="39" spans="2:10" x14ac:dyDescent="0.25">
      <c r="B39" s="164">
        <v>2016</v>
      </c>
      <c r="C39" s="164">
        <v>2</v>
      </c>
      <c r="D39" s="170">
        <f>'9 - 5yr Collision (Previous)'!$E$40</f>
        <v>4.2</v>
      </c>
      <c r="E39" s="170">
        <f>'9 - 5yr Collision (Previous)'!$E$41</f>
        <v>1.8</v>
      </c>
      <c r="F39" s="206">
        <f>'9 - Collision Benefits'!$H$17</f>
        <v>352511.48100000003</v>
      </c>
      <c r="G39" s="206">
        <f>'9 - Collision Benefits'!$E$17</f>
        <v>16380000</v>
      </c>
      <c r="H39" s="171">
        <f t="shared" si="8"/>
        <v>16732511.481000001</v>
      </c>
      <c r="I39" s="172">
        <f t="shared" si="9"/>
        <v>15771996.871524179</v>
      </c>
      <c r="J39" s="172">
        <f t="shared" si="10"/>
        <v>14614823.548781553</v>
      </c>
    </row>
    <row r="40" spans="2:10" x14ac:dyDescent="0.25">
      <c r="B40" s="164">
        <v>2017</v>
      </c>
      <c r="C40" s="164">
        <v>3</v>
      </c>
      <c r="D40" s="170">
        <f>'9 - 5yr Collision (Previous)'!$E$40</f>
        <v>4.2</v>
      </c>
      <c r="E40" s="170">
        <f>'9 - 5yr Collision (Previous)'!$E$41</f>
        <v>1.8</v>
      </c>
      <c r="F40" s="206">
        <f>'9 - Collision Benefits'!$H$17</f>
        <v>352511.48100000003</v>
      </c>
      <c r="G40" s="206">
        <f>'9 - Collision Benefits'!$E$17</f>
        <v>16380000</v>
      </c>
      <c r="H40" s="171">
        <f t="shared" si="8"/>
        <v>16732511.481000001</v>
      </c>
      <c r="I40" s="172">
        <f t="shared" si="9"/>
        <v>15312618.321868135</v>
      </c>
      <c r="J40" s="172">
        <f t="shared" si="10"/>
        <v>13658713.596992105</v>
      </c>
    </row>
    <row r="41" spans="2:10" x14ac:dyDescent="0.25">
      <c r="B41" s="164">
        <v>2018</v>
      </c>
      <c r="C41" s="164">
        <v>4</v>
      </c>
      <c r="D41" s="170">
        <f>'9 - 5yr Collision (Previous)'!$E$40</f>
        <v>4.2</v>
      </c>
      <c r="E41" s="170">
        <f>'9 - 5yr Collision (Previous)'!$E$41</f>
        <v>1.8</v>
      </c>
      <c r="F41" s="206">
        <f>'9 - Collision Benefits'!$H$17</f>
        <v>352511.48100000003</v>
      </c>
      <c r="G41" s="206">
        <f>'9 - Collision Benefits'!$E$17</f>
        <v>16380000</v>
      </c>
      <c r="H41" s="171">
        <f t="shared" si="8"/>
        <v>16732511.481000001</v>
      </c>
      <c r="I41" s="172">
        <f t="shared" si="9"/>
        <v>14866619.729969064</v>
      </c>
      <c r="J41" s="172">
        <f t="shared" si="10"/>
        <v>12765152.894385146</v>
      </c>
    </row>
    <row r="42" spans="2:10" x14ac:dyDescent="0.25">
      <c r="B42" s="164">
        <v>2019</v>
      </c>
      <c r="C42" s="164">
        <v>5</v>
      </c>
      <c r="D42" s="170">
        <f>'9 - 5yr Collision (Previous)'!$E$40</f>
        <v>4.2</v>
      </c>
      <c r="E42" s="170">
        <f>'9 - 5yr Collision (Previous)'!$E$41</f>
        <v>1.8</v>
      </c>
      <c r="F42" s="206">
        <f>'9 - Collision Benefits'!$H$17</f>
        <v>352511.48100000003</v>
      </c>
      <c r="G42" s="206">
        <f>'9 - Collision Benefits'!$E$17</f>
        <v>16380000</v>
      </c>
      <c r="H42" s="171">
        <f t="shared" si="8"/>
        <v>16732511.481000001</v>
      </c>
      <c r="I42" s="172">
        <f t="shared" si="9"/>
        <v>14433611.388319479</v>
      </c>
      <c r="J42" s="172">
        <f t="shared" si="10"/>
        <v>11930049.434004808</v>
      </c>
    </row>
    <row r="43" spans="2:10" x14ac:dyDescent="0.25">
      <c r="B43" s="164">
        <v>2020</v>
      </c>
      <c r="C43" s="164">
        <v>6</v>
      </c>
      <c r="D43" s="170">
        <f>'9 - 5yr Collision (Previous)'!$E$40</f>
        <v>4.2</v>
      </c>
      <c r="E43" s="170">
        <f>'9 - 5yr Collision (Previous)'!$E$41</f>
        <v>1.8</v>
      </c>
      <c r="F43" s="206">
        <f>'9 - Collision Benefits'!$H$17</f>
        <v>352511.48100000003</v>
      </c>
      <c r="G43" s="206">
        <f>'9 - Collision Benefits'!$E$17</f>
        <v>16380000</v>
      </c>
      <c r="H43" s="171">
        <f t="shared" ref="H43:H57" si="11">F43+G43</f>
        <v>16732511.481000001</v>
      </c>
      <c r="I43" s="172">
        <f t="shared" si="9"/>
        <v>14013214.940115999</v>
      </c>
      <c r="J43" s="172">
        <f t="shared" si="10"/>
        <v>11149578.910284868</v>
      </c>
    </row>
    <row r="44" spans="2:10" x14ac:dyDescent="0.25">
      <c r="B44" s="164">
        <v>2021</v>
      </c>
      <c r="C44" s="164">
        <v>7</v>
      </c>
      <c r="D44" s="170">
        <f>'9 - 5yr Collision (Previous)'!$E$40</f>
        <v>4.2</v>
      </c>
      <c r="E44" s="170">
        <f>'9 - 5yr Collision (Previous)'!$E$41</f>
        <v>1.8</v>
      </c>
      <c r="F44" s="206">
        <f>'9 - Collision Benefits'!$H$17</f>
        <v>352511.48100000003</v>
      </c>
      <c r="G44" s="206">
        <f>'9 - Collision Benefits'!$E$17</f>
        <v>16380000</v>
      </c>
      <c r="H44" s="171">
        <f t="shared" si="11"/>
        <v>16732511.481000001</v>
      </c>
      <c r="I44" s="172">
        <f t="shared" si="9"/>
        <v>13605063.048656309</v>
      </c>
      <c r="J44" s="172">
        <f t="shared" si="10"/>
        <v>10420167.205873707</v>
      </c>
    </row>
    <row r="45" spans="2:10" x14ac:dyDescent="0.25">
      <c r="B45" s="164">
        <v>2022</v>
      </c>
      <c r="C45" s="164">
        <v>8</v>
      </c>
      <c r="D45" s="170">
        <f>'9 - 5yr Collision (Previous)'!$E$40</f>
        <v>4.2</v>
      </c>
      <c r="E45" s="170">
        <f>'9 - 5yr Collision (Previous)'!$E$41</f>
        <v>1.8</v>
      </c>
      <c r="F45" s="206">
        <f>'9 - Collision Benefits'!$H$17</f>
        <v>352511.48100000003</v>
      </c>
      <c r="G45" s="206">
        <f>'9 - Collision Benefits'!$E$17</f>
        <v>16380000</v>
      </c>
      <c r="H45" s="171">
        <f t="shared" si="11"/>
        <v>16732511.481000001</v>
      </c>
      <c r="I45" s="172">
        <f t="shared" si="9"/>
        <v>13208799.07636535</v>
      </c>
      <c r="J45" s="172">
        <f t="shared" si="10"/>
        <v>9738474.0241810363</v>
      </c>
    </row>
    <row r="46" spans="2:10" x14ac:dyDescent="0.25">
      <c r="B46" s="164">
        <v>2023</v>
      </c>
      <c r="C46" s="164">
        <v>9</v>
      </c>
      <c r="D46" s="170">
        <f>'9 - 5yr Collision (Previous)'!$E$40</f>
        <v>4.2</v>
      </c>
      <c r="E46" s="170">
        <f>'9 - 5yr Collision (Previous)'!$E$41</f>
        <v>1.8</v>
      </c>
      <c r="F46" s="206">
        <f>'9 - Collision Benefits'!$H$17</f>
        <v>352511.48100000003</v>
      </c>
      <c r="G46" s="206">
        <f>'9 - Collision Benefits'!$E$17</f>
        <v>16380000</v>
      </c>
      <c r="H46" s="171">
        <f t="shared" si="11"/>
        <v>16732511.481000001</v>
      </c>
      <c r="I46" s="172">
        <f t="shared" si="9"/>
        <v>12824076.773170242</v>
      </c>
      <c r="J46" s="172">
        <f t="shared" si="10"/>
        <v>9101377.5926925559</v>
      </c>
    </row>
    <row r="47" spans="2:10" x14ac:dyDescent="0.25">
      <c r="B47" s="164">
        <v>2024</v>
      </c>
      <c r="C47" s="164">
        <v>10</v>
      </c>
      <c r="D47" s="170">
        <f>'9 - 5yr Collision (Previous)'!$E$40</f>
        <v>4.2</v>
      </c>
      <c r="E47" s="170">
        <f>'9 - 5yr Collision (Previous)'!$E$41</f>
        <v>1.8</v>
      </c>
      <c r="F47" s="206">
        <f>'9 - Collision Benefits'!$H$17</f>
        <v>352511.48100000003</v>
      </c>
      <c r="G47" s="206">
        <f>'9 - Collision Benefits'!$E$17</f>
        <v>16380000</v>
      </c>
      <c r="H47" s="171">
        <f t="shared" si="11"/>
        <v>16732511.481000001</v>
      </c>
      <c r="I47" s="172">
        <f t="shared" si="9"/>
        <v>12450559.973951692</v>
      </c>
      <c r="J47" s="172">
        <f t="shared" si="10"/>
        <v>8505960.3670023885</v>
      </c>
    </row>
    <row r="48" spans="2:10" x14ac:dyDescent="0.25">
      <c r="B48" s="164">
        <v>2025</v>
      </c>
      <c r="C48" s="164">
        <v>11</v>
      </c>
      <c r="D48" s="170">
        <f>'9 - 5yr Collision (Previous)'!$E$40</f>
        <v>4.2</v>
      </c>
      <c r="E48" s="170">
        <f>'9 - 5yr Collision (Previous)'!$E$41</f>
        <v>1.8</v>
      </c>
      <c r="F48" s="206">
        <f>'9 - Collision Benefits'!$H$17</f>
        <v>352511.48100000003</v>
      </c>
      <c r="G48" s="206">
        <f>'9 - Collision Benefits'!$E$17</f>
        <v>16380000</v>
      </c>
      <c r="H48" s="171">
        <f t="shared" si="11"/>
        <v>16732511.481000001</v>
      </c>
      <c r="I48" s="172">
        <f t="shared" si="9"/>
        <v>12087922.304807467</v>
      </c>
      <c r="J48" s="172">
        <f t="shared" si="10"/>
        <v>7949495.6700956896</v>
      </c>
    </row>
    <row r="49" spans="2:10" x14ac:dyDescent="0.25">
      <c r="B49" s="164">
        <v>2026</v>
      </c>
      <c r="C49" s="164">
        <v>12</v>
      </c>
      <c r="D49" s="170">
        <f>'9 - 5yr Collision (Previous)'!$E$40</f>
        <v>4.2</v>
      </c>
      <c r="E49" s="170">
        <f>'9 - 5yr Collision (Previous)'!$E$41</f>
        <v>1.8</v>
      </c>
      <c r="F49" s="206">
        <f>'9 - Collision Benefits'!$H$17</f>
        <v>352511.48100000003</v>
      </c>
      <c r="G49" s="206">
        <f>'9 - Collision Benefits'!$E$17</f>
        <v>16380000</v>
      </c>
      <c r="H49" s="171">
        <f t="shared" si="11"/>
        <v>16732511.481000001</v>
      </c>
      <c r="I49" s="172">
        <f t="shared" si="9"/>
        <v>11735846.897871329</v>
      </c>
      <c r="J49" s="172">
        <f t="shared" si="10"/>
        <v>7429435.2056969078</v>
      </c>
    </row>
    <row r="50" spans="2:10" x14ac:dyDescent="0.25">
      <c r="B50" s="164">
        <v>2027</v>
      </c>
      <c r="C50" s="164">
        <v>13</v>
      </c>
      <c r="D50" s="170">
        <f>'9 - 5yr Collision (Previous)'!$E$40</f>
        <v>4.2</v>
      </c>
      <c r="E50" s="170">
        <f>'9 - 5yr Collision (Previous)'!$E$41</f>
        <v>1.8</v>
      </c>
      <c r="F50" s="206">
        <f>'9 - Collision Benefits'!$H$17</f>
        <v>352511.48100000003</v>
      </c>
      <c r="G50" s="206">
        <f>'9 - Collision Benefits'!$E$17</f>
        <v>16380000</v>
      </c>
      <c r="H50" s="171">
        <f t="shared" si="11"/>
        <v>16732511.481000001</v>
      </c>
      <c r="I50" s="172">
        <f t="shared" si="9"/>
        <v>11394026.114438184</v>
      </c>
      <c r="J50" s="172">
        <f t="shared" si="10"/>
        <v>6943397.388501782</v>
      </c>
    </row>
    <row r="51" spans="2:10" x14ac:dyDescent="0.25">
      <c r="B51" s="164">
        <v>2028</v>
      </c>
      <c r="C51" s="164">
        <v>14</v>
      </c>
      <c r="D51" s="170">
        <f>'9 - 5yr Collision (Previous)'!$E$40</f>
        <v>4.2</v>
      </c>
      <c r="E51" s="170">
        <f>'9 - 5yr Collision (Previous)'!$E$41</f>
        <v>1.8</v>
      </c>
      <c r="F51" s="206">
        <f>'9 - Collision Benefits'!$H$17</f>
        <v>352511.48100000003</v>
      </c>
      <c r="G51" s="206">
        <f>'9 - Collision Benefits'!$E$17</f>
        <v>16380000</v>
      </c>
      <c r="H51" s="171">
        <f t="shared" si="11"/>
        <v>16732511.481000001</v>
      </c>
      <c r="I51" s="172">
        <f t="shared" si="9"/>
        <v>11062161.276153576</v>
      </c>
      <c r="J51" s="172">
        <f t="shared" si="10"/>
        <v>6489156.4378521331</v>
      </c>
    </row>
    <row r="52" spans="2:10" x14ac:dyDescent="0.25">
      <c r="B52" s="164">
        <v>2029</v>
      </c>
      <c r="C52" s="164">
        <v>15</v>
      </c>
      <c r="D52" s="170">
        <f>'9 - 5yr Collision (Previous)'!$E$40</f>
        <v>4.2</v>
      </c>
      <c r="E52" s="170">
        <f>'9 - 5yr Collision (Previous)'!$E$41</f>
        <v>1.8</v>
      </c>
      <c r="F52" s="206">
        <f>'9 - Collision Benefits'!$H$17</f>
        <v>352511.48100000003</v>
      </c>
      <c r="G52" s="206">
        <f>'9 - Collision Benefits'!$E$17</f>
        <v>16380000</v>
      </c>
      <c r="H52" s="171">
        <f t="shared" si="11"/>
        <v>16732511.481000001</v>
      </c>
      <c r="I52" s="172">
        <f t="shared" si="9"/>
        <v>10739962.404032597</v>
      </c>
      <c r="J52" s="172">
        <f t="shared" si="10"/>
        <v>6064632.1849085353</v>
      </c>
    </row>
    <row r="53" spans="2:10" x14ac:dyDescent="0.25">
      <c r="B53" s="164">
        <v>2030</v>
      </c>
      <c r="C53" s="164">
        <v>16</v>
      </c>
      <c r="D53" s="170">
        <f>'9 - 5yr Collision (Previous)'!$E$40</f>
        <v>4.2</v>
      </c>
      <c r="E53" s="170">
        <f>'9 - 5yr Collision (Previous)'!$E$41</f>
        <v>1.8</v>
      </c>
      <c r="F53" s="206">
        <f>'9 - Collision Benefits'!$H$17</f>
        <v>352511.48100000003</v>
      </c>
      <c r="G53" s="206">
        <f>'9 - Collision Benefits'!$E$17</f>
        <v>16380000</v>
      </c>
      <c r="H53" s="171">
        <f t="shared" si="11"/>
        <v>16732511.481000001</v>
      </c>
      <c r="I53" s="172">
        <f t="shared" si="9"/>
        <v>10427147.965080192</v>
      </c>
      <c r="J53" s="172">
        <f t="shared" si="10"/>
        <v>5667880.5466434909</v>
      </c>
    </row>
    <row r="54" spans="2:10" x14ac:dyDescent="0.25">
      <c r="B54" s="164">
        <v>2031</v>
      </c>
      <c r="C54" s="164">
        <v>17</v>
      </c>
      <c r="D54" s="170">
        <f>'9 - 5yr Collision (Previous)'!$E$40</f>
        <v>4.2</v>
      </c>
      <c r="E54" s="170">
        <f>'9 - 5yr Collision (Previous)'!$E$41</f>
        <v>1.8</v>
      </c>
      <c r="F54" s="206">
        <f>'9 - Collision Benefits'!$H$17</f>
        <v>352511.48100000003</v>
      </c>
      <c r="G54" s="206">
        <f>'9 - Collision Benefits'!$E$17</f>
        <v>16380000</v>
      </c>
      <c r="H54" s="171">
        <f t="shared" si="11"/>
        <v>16732511.481000001</v>
      </c>
      <c r="I54" s="172">
        <f t="shared" si="9"/>
        <v>10123444.62629145</v>
      </c>
      <c r="J54" s="172">
        <f t="shared" si="10"/>
        <v>5297084.6230313005</v>
      </c>
    </row>
    <row r="55" spans="2:10" x14ac:dyDescent="0.25">
      <c r="B55" s="164">
        <v>2032</v>
      </c>
      <c r="C55" s="164">
        <v>18</v>
      </c>
      <c r="D55" s="170">
        <f>'9 - 5yr Collision (Previous)'!$E$40</f>
        <v>4.2</v>
      </c>
      <c r="E55" s="170">
        <f>'9 - 5yr Collision (Previous)'!$E$41</f>
        <v>1.8</v>
      </c>
      <c r="F55" s="206">
        <f>'9 - Collision Benefits'!$H$17</f>
        <v>352511.48100000003</v>
      </c>
      <c r="G55" s="206">
        <f>'9 - Collision Benefits'!$E$17</f>
        <v>16380000</v>
      </c>
      <c r="H55" s="171">
        <f t="shared" si="11"/>
        <v>16732511.481000001</v>
      </c>
      <c r="I55" s="172">
        <f t="shared" si="9"/>
        <v>9828587.0158169419</v>
      </c>
      <c r="J55" s="172">
        <f t="shared" si="10"/>
        <v>4950546.3766647661</v>
      </c>
    </row>
    <row r="56" spans="2:10" x14ac:dyDescent="0.25">
      <c r="B56" s="164">
        <v>2033</v>
      </c>
      <c r="C56" s="164">
        <v>19</v>
      </c>
      <c r="D56" s="170">
        <f>'9 - 5yr Collision (Previous)'!$E$40</f>
        <v>4.2</v>
      </c>
      <c r="E56" s="170">
        <f>'9 - 5yr Collision (Previous)'!$E$41</f>
        <v>1.8</v>
      </c>
      <c r="F56" s="206">
        <f>'9 - Collision Benefits'!$H$17</f>
        <v>352511.48100000003</v>
      </c>
      <c r="G56" s="206">
        <f>'9 - Collision Benefits'!$E$17</f>
        <v>16380000</v>
      </c>
      <c r="H56" s="171">
        <f t="shared" si="11"/>
        <v>16732511.481000001</v>
      </c>
      <c r="I56" s="172">
        <f t="shared" si="9"/>
        <v>9542317.4910844099</v>
      </c>
      <c r="J56" s="172">
        <f t="shared" si="10"/>
        <v>4626678.8566960432</v>
      </c>
    </row>
    <row r="57" spans="2:10" x14ac:dyDescent="0.25">
      <c r="B57" s="164">
        <v>2034</v>
      </c>
      <c r="C57" s="164">
        <v>20</v>
      </c>
      <c r="D57" s="170">
        <f>'9 - 5yr Collision (Previous)'!$E$40</f>
        <v>4.2</v>
      </c>
      <c r="E57" s="170">
        <f>'9 - 5yr Collision (Previous)'!$E$41</f>
        <v>1.8</v>
      </c>
      <c r="F57" s="206">
        <f>'9 - Collision Benefits'!$H$17</f>
        <v>352511.48100000003</v>
      </c>
      <c r="G57" s="206">
        <f>'9 - Collision Benefits'!$E$17</f>
        <v>16380000</v>
      </c>
      <c r="H57" s="171">
        <f t="shared" si="11"/>
        <v>16732511.481000001</v>
      </c>
      <c r="I57" s="172">
        <f t="shared" si="9"/>
        <v>9264385.9136741832</v>
      </c>
      <c r="J57" s="172">
        <f t="shared" si="10"/>
        <v>4323998.9314916292</v>
      </c>
    </row>
    <row r="58" spans="2:10" x14ac:dyDescent="0.25">
      <c r="B58" s="160"/>
      <c r="C58" s="160"/>
      <c r="D58" s="173"/>
      <c r="E58" s="173"/>
      <c r="F58" s="160"/>
      <c r="G58" s="160"/>
      <c r="H58" s="168"/>
      <c r="I58" s="169">
        <f>SUM(I37:I57)</f>
        <v>248937518.91086066</v>
      </c>
      <c r="J58" s="169">
        <f>SUM(J37:J57)</f>
        <v>177264464.99297673</v>
      </c>
    </row>
    <row r="59" spans="2:10" ht="15.75" thickBot="1" x14ac:dyDescent="0.3">
      <c r="B59" s="160"/>
      <c r="C59" s="160"/>
      <c r="D59" s="167"/>
      <c r="E59" s="160"/>
      <c r="F59" s="160"/>
      <c r="G59" s="160"/>
      <c r="H59" s="168"/>
      <c r="I59" s="169"/>
    </row>
    <row r="60" spans="2:10" ht="15.75" thickBot="1" x14ac:dyDescent="0.3">
      <c r="B60" s="160"/>
      <c r="C60" s="160"/>
      <c r="D60" s="167"/>
      <c r="E60" s="160"/>
      <c r="F60" s="160"/>
      <c r="G60" s="160"/>
      <c r="H60" s="174" t="s">
        <v>79</v>
      </c>
      <c r="I60" s="175">
        <f>I34+I58</f>
        <v>251015553.1020222</v>
      </c>
      <c r="J60" s="175">
        <f>J34+J58</f>
        <v>178717523.28583929</v>
      </c>
    </row>
    <row r="61" spans="2:10" x14ac:dyDescent="0.25">
      <c r="B61" s="160"/>
      <c r="C61" s="160"/>
      <c r="D61" s="167"/>
      <c r="E61" s="160"/>
      <c r="F61" s="160"/>
      <c r="G61" s="160"/>
      <c r="H61" s="160"/>
      <c r="I61" s="169"/>
    </row>
    <row r="62" spans="2:10" x14ac:dyDescent="0.25">
      <c r="B62" s="161" t="s">
        <v>76</v>
      </c>
      <c r="C62" s="160"/>
      <c r="D62" s="167"/>
      <c r="E62" s="160"/>
      <c r="F62" s="160"/>
      <c r="G62" s="160"/>
      <c r="H62" s="160"/>
      <c r="I62" s="169"/>
    </row>
    <row r="63" spans="2:10" s="178" customFormat="1" ht="59.25" x14ac:dyDescent="0.25">
      <c r="B63" s="162" t="s">
        <v>41</v>
      </c>
      <c r="C63" s="162" t="s">
        <v>42</v>
      </c>
      <c r="D63" s="165" t="s">
        <v>89</v>
      </c>
      <c r="E63" s="176" t="s">
        <v>181</v>
      </c>
      <c r="F63" s="164" t="s">
        <v>93</v>
      </c>
      <c r="G63" s="162" t="s">
        <v>182</v>
      </c>
      <c r="H63" s="162" t="s">
        <v>183</v>
      </c>
      <c r="I63" s="177"/>
    </row>
    <row r="64" spans="2:10" x14ac:dyDescent="0.25">
      <c r="B64" s="164">
        <v>2014</v>
      </c>
      <c r="C64" s="164">
        <v>0</v>
      </c>
      <c r="D64" s="179">
        <v>2711750</v>
      </c>
      <c r="E64" s="172">
        <v>0</v>
      </c>
      <c r="F64" s="180">
        <f>D64+E64</f>
        <v>2711750</v>
      </c>
      <c r="G64" s="172">
        <f>F64/((1+$E$91)^C64)</f>
        <v>2711750</v>
      </c>
      <c r="H64" s="172">
        <f>F64/((1+$E$92)^C64)</f>
        <v>2711750</v>
      </c>
      <c r="I64" s="169"/>
    </row>
    <row r="65" spans="2:9" x14ac:dyDescent="0.25">
      <c r="B65" s="164">
        <v>2015</v>
      </c>
      <c r="C65" s="164">
        <v>1</v>
      </c>
      <c r="D65" s="179">
        <v>5000000</v>
      </c>
      <c r="E65" s="172">
        <v>0</v>
      </c>
      <c r="F65" s="180">
        <f t="shared" ref="F65:F84" si="12">D65+E65</f>
        <v>5000000</v>
      </c>
      <c r="G65" s="172">
        <f t="shared" ref="G65:G84" si="13">F65/((1+$E$91)^C65)</f>
        <v>4854368.9320388352</v>
      </c>
      <c r="H65" s="172">
        <f t="shared" ref="H65:H84" si="14">F65/((1+$E$92)^C65)</f>
        <v>4672897.1962616816</v>
      </c>
      <c r="I65" s="169"/>
    </row>
    <row r="66" spans="2:9" x14ac:dyDescent="0.25">
      <c r="B66" s="164">
        <v>2016</v>
      </c>
      <c r="C66" s="164">
        <v>2</v>
      </c>
      <c r="D66" s="179">
        <v>7288250</v>
      </c>
      <c r="E66" s="172">
        <v>0</v>
      </c>
      <c r="F66" s="180">
        <f t="shared" si="12"/>
        <v>7288250</v>
      </c>
      <c r="G66" s="172">
        <f t="shared" si="13"/>
        <v>6869874.6347440854</v>
      </c>
      <c r="H66" s="172">
        <f t="shared" si="14"/>
        <v>6365839.8113372345</v>
      </c>
      <c r="I66" s="169"/>
    </row>
    <row r="67" spans="2:9" x14ac:dyDescent="0.25">
      <c r="B67" s="164">
        <v>2017</v>
      </c>
      <c r="C67" s="164">
        <v>3</v>
      </c>
      <c r="D67" s="179">
        <v>0</v>
      </c>
      <c r="E67" s="172">
        <f>'8 - O&amp;M Costs'!$B$6</f>
        <v>20000</v>
      </c>
      <c r="F67" s="180">
        <f t="shared" si="12"/>
        <v>20000</v>
      </c>
      <c r="G67" s="172">
        <f t="shared" si="13"/>
        <v>18302.833187063192</v>
      </c>
      <c r="H67" s="172">
        <f t="shared" si="14"/>
        <v>16325.957537817039</v>
      </c>
      <c r="I67" s="169"/>
    </row>
    <row r="68" spans="2:9" x14ac:dyDescent="0.25">
      <c r="B68" s="164">
        <v>2018</v>
      </c>
      <c r="C68" s="164">
        <v>4</v>
      </c>
      <c r="D68" s="179">
        <v>0</v>
      </c>
      <c r="E68" s="172">
        <f>'8 - O&amp;M Costs'!$B$6</f>
        <v>20000</v>
      </c>
      <c r="F68" s="180">
        <f t="shared" si="12"/>
        <v>20000</v>
      </c>
      <c r="G68" s="172">
        <f t="shared" si="13"/>
        <v>17769.740958313778</v>
      </c>
      <c r="H68" s="172">
        <f t="shared" si="14"/>
        <v>15257.904240950504</v>
      </c>
      <c r="I68" s="169"/>
    </row>
    <row r="69" spans="2:9" x14ac:dyDescent="0.25">
      <c r="B69" s="164">
        <v>2019</v>
      </c>
      <c r="C69" s="164">
        <v>5</v>
      </c>
      <c r="D69" s="179">
        <v>0</v>
      </c>
      <c r="E69" s="172">
        <f>'8 - O&amp;M Costs'!$B$6</f>
        <v>20000</v>
      </c>
      <c r="F69" s="180">
        <f t="shared" si="12"/>
        <v>20000</v>
      </c>
      <c r="G69" s="172">
        <f t="shared" si="13"/>
        <v>17252.175687683281</v>
      </c>
      <c r="H69" s="172">
        <f t="shared" si="14"/>
        <v>14259.723589673367</v>
      </c>
      <c r="I69" s="169"/>
    </row>
    <row r="70" spans="2:9" x14ac:dyDescent="0.25">
      <c r="B70" s="164">
        <v>2020</v>
      </c>
      <c r="C70" s="164">
        <v>6</v>
      </c>
      <c r="D70" s="179">
        <v>0</v>
      </c>
      <c r="E70" s="172">
        <f>'8 - O&amp;M Costs'!$B$6</f>
        <v>20000</v>
      </c>
      <c r="F70" s="180">
        <f t="shared" si="12"/>
        <v>20000</v>
      </c>
      <c r="G70" s="172">
        <f t="shared" si="13"/>
        <v>16749.685133673087</v>
      </c>
      <c r="H70" s="172">
        <f t="shared" si="14"/>
        <v>13326.84447633025</v>
      </c>
      <c r="I70" s="169"/>
    </row>
    <row r="71" spans="2:9" x14ac:dyDescent="0.25">
      <c r="B71" s="164">
        <v>2021</v>
      </c>
      <c r="C71" s="164">
        <v>7</v>
      </c>
      <c r="D71" s="179">
        <v>0</v>
      </c>
      <c r="E71" s="172">
        <f>'8 - O&amp;M Costs'!$B$6</f>
        <v>20000</v>
      </c>
      <c r="F71" s="180">
        <f t="shared" si="12"/>
        <v>20000</v>
      </c>
      <c r="G71" s="172">
        <f t="shared" si="13"/>
        <v>16261.830226867076</v>
      </c>
      <c r="H71" s="172">
        <f t="shared" si="14"/>
        <v>12454.994837691822</v>
      </c>
      <c r="I71" s="169"/>
    </row>
    <row r="72" spans="2:9" x14ac:dyDescent="0.25">
      <c r="B72" s="164">
        <v>2022</v>
      </c>
      <c r="C72" s="164">
        <v>8</v>
      </c>
      <c r="D72" s="179">
        <v>0</v>
      </c>
      <c r="E72" s="172">
        <f>'8 - O&amp;M Costs'!$B$6</f>
        <v>20000</v>
      </c>
      <c r="F72" s="180">
        <f t="shared" si="12"/>
        <v>20000</v>
      </c>
      <c r="G72" s="172">
        <f t="shared" si="13"/>
        <v>15788.184686278715</v>
      </c>
      <c r="H72" s="172">
        <f t="shared" si="14"/>
        <v>11640.182091300769</v>
      </c>
      <c r="I72" s="169"/>
    </row>
    <row r="73" spans="2:9" x14ac:dyDescent="0.25">
      <c r="B73" s="164">
        <v>2023</v>
      </c>
      <c r="C73" s="164">
        <v>9</v>
      </c>
      <c r="D73" s="179">
        <v>0</v>
      </c>
      <c r="E73" s="172">
        <f>'8 - O&amp;M Costs'!$B$6</f>
        <v>20000</v>
      </c>
      <c r="F73" s="180">
        <f t="shared" si="12"/>
        <v>20000</v>
      </c>
      <c r="G73" s="172">
        <f t="shared" si="13"/>
        <v>15328.334646872539</v>
      </c>
      <c r="H73" s="172">
        <f t="shared" si="14"/>
        <v>10878.674851682959</v>
      </c>
      <c r="I73" s="169"/>
    </row>
    <row r="74" spans="2:9" x14ac:dyDescent="0.25">
      <c r="B74" s="164">
        <v>2024</v>
      </c>
      <c r="C74" s="164">
        <v>10</v>
      </c>
      <c r="D74" s="179">
        <v>0</v>
      </c>
      <c r="E74" s="172">
        <f>'8 - O&amp;M Costs'!E15</f>
        <v>774400</v>
      </c>
      <c r="F74" s="180">
        <f t="shared" si="12"/>
        <v>774400</v>
      </c>
      <c r="G74" s="172">
        <f t="shared" si="13"/>
        <v>576226.32769602397</v>
      </c>
      <c r="H74" s="172">
        <f t="shared" si="14"/>
        <v>393665.69182912546</v>
      </c>
      <c r="I74" s="169"/>
    </row>
    <row r="75" spans="2:9" x14ac:dyDescent="0.25">
      <c r="B75" s="164">
        <v>2025</v>
      </c>
      <c r="C75" s="164">
        <v>11</v>
      </c>
      <c r="D75" s="179">
        <v>0</v>
      </c>
      <c r="E75" s="172">
        <f>'8 - O&amp;M Costs'!$B$6</f>
        <v>20000</v>
      </c>
      <c r="F75" s="180">
        <f t="shared" si="12"/>
        <v>20000</v>
      </c>
      <c r="G75" s="172">
        <f t="shared" si="13"/>
        <v>14448.425531975246</v>
      </c>
      <c r="H75" s="172">
        <f t="shared" si="14"/>
        <v>9501.8559277517325</v>
      </c>
      <c r="I75" s="169"/>
    </row>
    <row r="76" spans="2:9" x14ac:dyDescent="0.25">
      <c r="B76" s="164">
        <v>2026</v>
      </c>
      <c r="C76" s="164">
        <v>12</v>
      </c>
      <c r="D76" s="179">
        <v>0</v>
      </c>
      <c r="E76" s="172">
        <f>'8 - O&amp;M Costs'!$B$6</f>
        <v>20000</v>
      </c>
      <c r="F76" s="180">
        <f t="shared" si="12"/>
        <v>20000</v>
      </c>
      <c r="G76" s="172">
        <f t="shared" si="13"/>
        <v>14027.597603859464</v>
      </c>
      <c r="H76" s="172">
        <f t="shared" si="14"/>
        <v>8880.2391848147054</v>
      </c>
      <c r="I76" s="169"/>
    </row>
    <row r="77" spans="2:9" x14ac:dyDescent="0.25">
      <c r="B77" s="164">
        <v>2027</v>
      </c>
      <c r="C77" s="164">
        <v>13</v>
      </c>
      <c r="D77" s="179">
        <v>0</v>
      </c>
      <c r="E77" s="172">
        <f>'8 - O&amp;M Costs'!$B$6</f>
        <v>20000</v>
      </c>
      <c r="F77" s="180">
        <f t="shared" si="12"/>
        <v>20000</v>
      </c>
      <c r="G77" s="172">
        <f t="shared" si="13"/>
        <v>13619.026799863557</v>
      </c>
      <c r="H77" s="172">
        <f t="shared" si="14"/>
        <v>8299.2889577707519</v>
      </c>
      <c r="I77" s="169"/>
    </row>
    <row r="78" spans="2:9" x14ac:dyDescent="0.25">
      <c r="B78" s="164">
        <v>2028</v>
      </c>
      <c r="C78" s="164">
        <v>14</v>
      </c>
      <c r="D78" s="179">
        <v>0</v>
      </c>
      <c r="E78" s="172">
        <f>'8 - O&amp;M Costs'!$B$6</f>
        <v>20000</v>
      </c>
      <c r="F78" s="180">
        <f t="shared" si="12"/>
        <v>20000</v>
      </c>
      <c r="G78" s="172">
        <f t="shared" si="13"/>
        <v>13222.356116372384</v>
      </c>
      <c r="H78" s="172">
        <f t="shared" si="14"/>
        <v>7756.3448203464977</v>
      </c>
      <c r="I78" s="169"/>
    </row>
    <row r="79" spans="2:9" x14ac:dyDescent="0.25">
      <c r="B79" s="164">
        <v>2029</v>
      </c>
      <c r="C79" s="164">
        <v>15</v>
      </c>
      <c r="D79" s="179">
        <v>0</v>
      </c>
      <c r="E79" s="172">
        <f>'8 - O&amp;M Costs'!$B$6</f>
        <v>20000</v>
      </c>
      <c r="F79" s="180">
        <f t="shared" si="12"/>
        <v>20000</v>
      </c>
      <c r="G79" s="172">
        <f t="shared" si="13"/>
        <v>12837.238947934353</v>
      </c>
      <c r="H79" s="172">
        <f t="shared" si="14"/>
        <v>7248.9203928471934</v>
      </c>
      <c r="I79" s="169"/>
    </row>
    <row r="80" spans="2:9" x14ac:dyDescent="0.25">
      <c r="B80" s="164">
        <v>2030</v>
      </c>
      <c r="C80" s="164">
        <v>16</v>
      </c>
      <c r="D80" s="179">
        <v>0</v>
      </c>
      <c r="E80" s="172">
        <f>'8 - O&amp;M Costs'!$B$6</f>
        <v>20000</v>
      </c>
      <c r="F80" s="180">
        <f t="shared" si="12"/>
        <v>20000</v>
      </c>
      <c r="G80" s="172">
        <f t="shared" si="13"/>
        <v>12463.338784402287</v>
      </c>
      <c r="H80" s="172">
        <f t="shared" si="14"/>
        <v>6774.6919559319576</v>
      </c>
      <c r="I80" s="169"/>
    </row>
    <row r="81" spans="1:9" x14ac:dyDescent="0.25">
      <c r="B81" s="164">
        <v>2031</v>
      </c>
      <c r="C81" s="164">
        <v>17</v>
      </c>
      <c r="D81" s="179">
        <v>0</v>
      </c>
      <c r="E81" s="172">
        <f>'8 - O&amp;M Costs'!$B$6</f>
        <v>20000</v>
      </c>
      <c r="F81" s="180">
        <f t="shared" si="12"/>
        <v>20000</v>
      </c>
      <c r="G81" s="172">
        <f t="shared" si="13"/>
        <v>12100.328916895425</v>
      </c>
      <c r="H81" s="172">
        <f t="shared" si="14"/>
        <v>6331.4878092822028</v>
      </c>
      <c r="I81" s="169"/>
    </row>
    <row r="82" spans="1:9" x14ac:dyDescent="0.25">
      <c r="B82" s="164">
        <v>2032</v>
      </c>
      <c r="C82" s="164">
        <v>18</v>
      </c>
      <c r="D82" s="179">
        <v>0</v>
      </c>
      <c r="E82" s="172">
        <f>'8 - O&amp;M Costs'!$B$6</f>
        <v>20000</v>
      </c>
      <c r="F82" s="180">
        <f t="shared" si="12"/>
        <v>20000</v>
      </c>
      <c r="G82" s="172">
        <f t="shared" si="13"/>
        <v>11747.892152325654</v>
      </c>
      <c r="H82" s="172">
        <f t="shared" si="14"/>
        <v>5917.2783264319651</v>
      </c>
      <c r="I82" s="169"/>
    </row>
    <row r="83" spans="1:9" x14ac:dyDescent="0.25">
      <c r="B83" s="164">
        <v>2033</v>
      </c>
      <c r="C83" s="164">
        <v>19</v>
      </c>
      <c r="D83" s="179">
        <v>0</v>
      </c>
      <c r="E83" s="172">
        <f>'8 - O&amp;M Costs'!$B$6</f>
        <v>20000</v>
      </c>
      <c r="F83" s="180">
        <f t="shared" si="12"/>
        <v>20000</v>
      </c>
      <c r="G83" s="172">
        <f t="shared" si="13"/>
        <v>11405.720536238499</v>
      </c>
      <c r="H83" s="172">
        <f t="shared" si="14"/>
        <v>5530.1666602167898</v>
      </c>
      <c r="I83" s="169"/>
    </row>
    <row r="84" spans="1:9" ht="15.75" thickBot="1" x14ac:dyDescent="0.3">
      <c r="B84" s="164">
        <v>2034</v>
      </c>
      <c r="C84" s="164">
        <v>20</v>
      </c>
      <c r="D84" s="179">
        <v>0</v>
      </c>
      <c r="E84" s="172">
        <f>'8 - O&amp;M Costs'!E15</f>
        <v>774400</v>
      </c>
      <c r="F84" s="180">
        <f t="shared" si="12"/>
        <v>774400</v>
      </c>
      <c r="G84" s="172">
        <f t="shared" si="13"/>
        <v>428766.50404189777</v>
      </c>
      <c r="H84" s="172">
        <f t="shared" si="14"/>
        <v>200119.67577905991</v>
      </c>
      <c r="I84" s="169"/>
    </row>
    <row r="85" spans="1:9" ht="15.75" thickBot="1" x14ac:dyDescent="0.3">
      <c r="B85" s="181"/>
      <c r="C85" s="160"/>
      <c r="D85" s="182">
        <f>SUM(D64:D71)</f>
        <v>15000000</v>
      </c>
      <c r="E85" s="183">
        <f>SUM(E64:E84)</f>
        <v>1868800</v>
      </c>
      <c r="F85" s="169">
        <f>SUM(F64:F84)</f>
        <v>16868800</v>
      </c>
      <c r="G85" s="169">
        <f>SUM(G64:G84)</f>
        <v>15674311.108437462</v>
      </c>
      <c r="H85" s="169">
        <f>SUM(H64:H84)</f>
        <v>14504656.930867944</v>
      </c>
      <c r="I85" s="169"/>
    </row>
    <row r="86" spans="1:9" ht="15.75" thickBot="1" x14ac:dyDescent="0.3">
      <c r="B86" s="181"/>
      <c r="C86" s="160"/>
      <c r="D86" s="167"/>
      <c r="E86" s="160"/>
      <c r="F86" s="160"/>
      <c r="G86" s="160"/>
      <c r="H86" s="160"/>
      <c r="I86" s="169"/>
    </row>
    <row r="87" spans="1:9" ht="15.75" thickBot="1" x14ac:dyDescent="0.3">
      <c r="B87" s="181"/>
      <c r="C87" s="160"/>
      <c r="D87" s="167"/>
      <c r="E87" s="160"/>
      <c r="F87" s="174" t="s">
        <v>80</v>
      </c>
      <c r="G87" s="175">
        <f>G61+G85</f>
        <v>15674311.108437462</v>
      </c>
      <c r="H87" s="175">
        <f>H61+H85</f>
        <v>14504656.930867944</v>
      </c>
      <c r="I87" s="169"/>
    </row>
    <row r="88" spans="1:9" x14ac:dyDescent="0.25">
      <c r="B88" s="181"/>
      <c r="C88" s="160"/>
      <c r="D88" s="167"/>
      <c r="E88" s="160"/>
      <c r="F88" s="174"/>
      <c r="G88" s="184"/>
      <c r="H88" s="184"/>
      <c r="I88" s="169"/>
    </row>
    <row r="89" spans="1:9" x14ac:dyDescent="0.25">
      <c r="A89" s="160"/>
      <c r="B89" s="161" t="s">
        <v>74</v>
      </c>
      <c r="C89" s="160"/>
      <c r="D89" s="160"/>
      <c r="E89" s="160"/>
      <c r="F89" s="160"/>
      <c r="G89" s="160"/>
      <c r="H89" s="160"/>
      <c r="I89" s="160"/>
    </row>
    <row r="90" spans="1:9" x14ac:dyDescent="0.25">
      <c r="A90" s="160">
        <v>1</v>
      </c>
      <c r="B90" s="160" t="s">
        <v>86</v>
      </c>
      <c r="C90" s="160"/>
      <c r="D90" s="160"/>
      <c r="E90" s="160"/>
      <c r="F90" s="160"/>
      <c r="G90" s="160"/>
      <c r="H90" s="160"/>
      <c r="I90" s="160"/>
    </row>
    <row r="91" spans="1:9" x14ac:dyDescent="0.25">
      <c r="A91" s="160"/>
      <c r="B91" s="160"/>
      <c r="C91" s="160" t="s">
        <v>44</v>
      </c>
      <c r="D91" s="160"/>
      <c r="E91" s="192">
        <v>0.03</v>
      </c>
      <c r="F91" s="160"/>
      <c r="G91" s="160"/>
      <c r="H91" s="160"/>
      <c r="I91" s="160"/>
    </row>
    <row r="92" spans="1:9" x14ac:dyDescent="0.25">
      <c r="A92" s="160"/>
      <c r="B92" s="160"/>
      <c r="C92" s="160" t="s">
        <v>44</v>
      </c>
      <c r="D92" s="160"/>
      <c r="E92" s="192">
        <v>7.0000000000000007E-2</v>
      </c>
      <c r="F92" s="160"/>
      <c r="G92" s="160"/>
      <c r="H92" s="160"/>
      <c r="I92" s="160"/>
    </row>
    <row r="93" spans="1:9" x14ac:dyDescent="0.25">
      <c r="A93" s="160">
        <v>2</v>
      </c>
      <c r="B93" s="160" t="s">
        <v>164</v>
      </c>
      <c r="C93" s="160"/>
      <c r="D93" s="160"/>
      <c r="E93" s="160"/>
      <c r="F93" s="160"/>
      <c r="G93" s="160"/>
      <c r="H93" s="160"/>
      <c r="I93" s="160"/>
    </row>
    <row r="94" spans="1:9" x14ac:dyDescent="0.25">
      <c r="A94" s="160"/>
      <c r="B94" s="160" t="s">
        <v>165</v>
      </c>
      <c r="C94" s="160"/>
      <c r="D94" s="160"/>
      <c r="E94" s="160"/>
      <c r="F94" s="160"/>
      <c r="G94" s="160"/>
      <c r="H94" s="160"/>
      <c r="I94" s="160"/>
    </row>
    <row r="95" spans="1:9" x14ac:dyDescent="0.25">
      <c r="A95" s="160"/>
      <c r="B95" s="160"/>
      <c r="C95" s="160" t="s">
        <v>43</v>
      </c>
      <c r="D95" s="160"/>
      <c r="E95" s="193">
        <f>649/15618</f>
        <v>4.1554616468177742E-2</v>
      </c>
      <c r="F95" s="160"/>
      <c r="G95" s="160"/>
      <c r="H95" s="160"/>
      <c r="I95" s="160"/>
    </row>
    <row r="96" spans="1:9" x14ac:dyDescent="0.25">
      <c r="A96" s="160">
        <v>3</v>
      </c>
      <c r="B96" s="160" t="s">
        <v>82</v>
      </c>
      <c r="C96" s="160"/>
      <c r="D96" s="160"/>
      <c r="E96" s="160"/>
      <c r="F96" s="160"/>
      <c r="G96" s="160"/>
      <c r="H96" s="160"/>
      <c r="I96" s="160"/>
    </row>
    <row r="97" spans="1:9" x14ac:dyDescent="0.25">
      <c r="A97" s="160"/>
      <c r="B97" s="160" t="s">
        <v>83</v>
      </c>
      <c r="C97" s="160"/>
      <c r="D97" s="160"/>
      <c r="E97" s="160"/>
      <c r="F97" s="160"/>
      <c r="G97" s="160"/>
      <c r="H97" s="160"/>
      <c r="I97" s="160"/>
    </row>
    <row r="98" spans="1:9" x14ac:dyDescent="0.25">
      <c r="A98" s="160"/>
      <c r="B98" s="160"/>
      <c r="C98" s="160" t="s">
        <v>87</v>
      </c>
      <c r="D98" s="160"/>
      <c r="E98" s="160"/>
      <c r="F98" s="160"/>
      <c r="G98" s="160"/>
      <c r="H98" s="182">
        <v>16.7</v>
      </c>
      <c r="I98" s="160" t="s">
        <v>73</v>
      </c>
    </row>
    <row r="99" spans="1:9" x14ac:dyDescent="0.25">
      <c r="A99" s="160"/>
      <c r="B99" s="160"/>
      <c r="C99" s="160" t="s">
        <v>88</v>
      </c>
      <c r="D99" s="160"/>
      <c r="E99" s="160"/>
      <c r="F99" s="160"/>
      <c r="G99" s="160"/>
      <c r="H99" s="182">
        <v>22.9</v>
      </c>
      <c r="I99" s="160" t="s">
        <v>73</v>
      </c>
    </row>
    <row r="100" spans="1:9" x14ac:dyDescent="0.25">
      <c r="A100" s="160">
        <v>4</v>
      </c>
      <c r="B100" s="160" t="s">
        <v>166</v>
      </c>
      <c r="C100" s="160"/>
      <c r="D100" s="160"/>
      <c r="E100" s="160"/>
      <c r="F100" s="160"/>
      <c r="G100" s="160"/>
      <c r="H100" s="160"/>
      <c r="I100" s="160"/>
    </row>
    <row r="101" spans="1:9" x14ac:dyDescent="0.25">
      <c r="A101" s="160"/>
      <c r="B101" s="160" t="s">
        <v>167</v>
      </c>
      <c r="C101" s="160"/>
      <c r="D101" s="160"/>
      <c r="E101" s="160"/>
      <c r="F101" s="160"/>
      <c r="G101" s="160"/>
      <c r="H101" s="160"/>
      <c r="I101" s="160"/>
    </row>
    <row r="102" spans="1:9" x14ac:dyDescent="0.25">
      <c r="A102" s="160">
        <v>5</v>
      </c>
      <c r="B102" s="160" t="s">
        <v>168</v>
      </c>
      <c r="C102" s="160"/>
      <c r="D102" s="160"/>
      <c r="E102" s="160"/>
      <c r="F102" s="160"/>
      <c r="G102" s="160"/>
      <c r="H102" s="160"/>
      <c r="I102" s="160"/>
    </row>
    <row r="103" spans="1:9" x14ac:dyDescent="0.25">
      <c r="A103" s="160"/>
      <c r="B103" s="160" t="s">
        <v>158</v>
      </c>
      <c r="C103" s="160"/>
      <c r="D103" s="160"/>
      <c r="E103" s="160"/>
      <c r="F103" s="160"/>
      <c r="G103" s="160"/>
      <c r="H103" s="160"/>
      <c r="I103" s="160"/>
    </row>
    <row r="104" spans="1:9" x14ac:dyDescent="0.25">
      <c r="A104" s="160"/>
      <c r="B104" s="160" t="s">
        <v>81</v>
      </c>
      <c r="C104" s="160"/>
      <c r="D104" s="160"/>
      <c r="E104" s="160"/>
      <c r="F104" s="160"/>
      <c r="G104" s="160"/>
      <c r="H104" s="160"/>
      <c r="I104" s="160"/>
    </row>
    <row r="105" spans="1:9" s="135" customFormat="1" x14ac:dyDescent="0.25">
      <c r="A105" s="194">
        <v>6</v>
      </c>
      <c r="B105" s="194" t="s">
        <v>194</v>
      </c>
      <c r="C105" s="194"/>
      <c r="D105" s="194"/>
      <c r="E105" s="194"/>
      <c r="F105" s="194"/>
      <c r="G105" s="194"/>
      <c r="H105" s="194"/>
      <c r="I105" s="194"/>
    </row>
    <row r="106" spans="1:9" x14ac:dyDescent="0.25">
      <c r="A106" s="160">
        <v>7</v>
      </c>
      <c r="B106" s="160" t="s">
        <v>159</v>
      </c>
      <c r="C106" s="160"/>
      <c r="D106" s="160"/>
      <c r="E106" s="160"/>
      <c r="F106" s="160"/>
      <c r="G106" s="160"/>
      <c r="H106" s="160"/>
      <c r="I106" s="160"/>
    </row>
    <row r="107" spans="1:9" s="135" customFormat="1" x14ac:dyDescent="0.25">
      <c r="A107" s="194">
        <v>8</v>
      </c>
      <c r="B107" s="194" t="s">
        <v>160</v>
      </c>
      <c r="C107" s="195"/>
      <c r="D107" s="194"/>
      <c r="E107" s="194"/>
      <c r="F107" s="194"/>
      <c r="G107" s="194"/>
      <c r="H107" s="194"/>
      <c r="I107" s="194"/>
    </row>
    <row r="108" spans="1:9" x14ac:dyDescent="0.25">
      <c r="A108" s="160"/>
      <c r="B108" s="160"/>
      <c r="C108" s="196"/>
      <c r="D108" s="160"/>
      <c r="E108" s="160"/>
      <c r="F108" s="160"/>
      <c r="G108" s="160"/>
      <c r="H108" s="160"/>
      <c r="I108" s="160"/>
    </row>
    <row r="109" spans="1:9" x14ac:dyDescent="0.25">
      <c r="A109" s="160"/>
      <c r="B109" s="160"/>
      <c r="C109" s="196"/>
      <c r="D109" s="160"/>
      <c r="E109" s="160"/>
      <c r="F109" s="160"/>
      <c r="G109" s="160"/>
      <c r="H109" s="160"/>
      <c r="I109" s="160"/>
    </row>
    <row r="110" spans="1:9" x14ac:dyDescent="0.25">
      <c r="A110" s="160"/>
      <c r="B110" s="160"/>
      <c r="C110" s="160"/>
      <c r="E110" s="168"/>
      <c r="F110" s="197"/>
      <c r="G110" s="160"/>
      <c r="H110" s="160"/>
      <c r="I110" s="160"/>
    </row>
    <row r="111" spans="1:9" x14ac:dyDescent="0.25">
      <c r="A111" s="160"/>
      <c r="B111" s="160"/>
      <c r="C111" s="160"/>
      <c r="D111" s="160"/>
      <c r="E111" s="168"/>
      <c r="F111" s="198"/>
      <c r="G111" s="174"/>
      <c r="H111" s="168"/>
      <c r="I111" s="160"/>
    </row>
    <row r="112" spans="1:9" x14ac:dyDescent="0.25">
      <c r="A112" s="160"/>
      <c r="B112" s="160"/>
      <c r="C112" s="160"/>
      <c r="D112" s="160"/>
      <c r="E112" s="168"/>
      <c r="F112" s="199"/>
      <c r="G112" s="174"/>
      <c r="H112" s="168"/>
      <c r="I112" s="160"/>
    </row>
  </sheetData>
  <mergeCells count="2">
    <mergeCell ref="H6:H7"/>
    <mergeCell ref="H9:H10"/>
  </mergeCells>
  <pageMargins left="0.5" right="0.5" top="0.5" bottom="0.5" header="0.3" footer="0.3"/>
  <pageSetup scale="54" fitToHeight="2" orientation="portrait" r:id="rId1"/>
  <headerFooter>
    <oddFooter>Page &amp;P of &amp;N</oddFooter>
  </headerFooter>
  <rowBreaks count="1" manualBreakCount="1">
    <brk id="61" max="16383" man="1"/>
  </rowBreaks>
  <ignoredErrors>
    <ignoredError sqref="D85" formulaRange="1"/>
    <ignoredError sqref="E74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topLeftCell="A7" zoomScaleNormal="100" workbookViewId="0">
      <selection activeCell="B12" sqref="B12"/>
    </sheetView>
  </sheetViews>
  <sheetFormatPr defaultRowHeight="15" x14ac:dyDescent="0.25"/>
  <cols>
    <col min="1" max="1" width="24.42578125" customWidth="1"/>
    <col min="3" max="3" width="10.42578125" customWidth="1"/>
    <col min="4" max="4" width="10.28515625" customWidth="1"/>
    <col min="7" max="7" width="10.85546875" customWidth="1"/>
  </cols>
  <sheetData>
    <row r="1" spans="1:17" ht="23.25" x14ac:dyDescent="0.35">
      <c r="A1" s="52" t="s">
        <v>206</v>
      </c>
    </row>
    <row r="3" spans="1:17" x14ac:dyDescent="0.25">
      <c r="A3" s="32" t="s">
        <v>191</v>
      </c>
    </row>
    <row r="4" spans="1:17" x14ac:dyDescent="0.25">
      <c r="A4" s="200" t="s">
        <v>137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</row>
    <row r="5" spans="1:17" x14ac:dyDescent="0.25">
      <c r="A5" s="200" t="s">
        <v>140</v>
      </c>
    </row>
    <row r="7" spans="1:17" x14ac:dyDescent="0.25">
      <c r="A7" s="128" t="s">
        <v>25</v>
      </c>
      <c r="B7" s="43">
        <v>2004</v>
      </c>
      <c r="C7" s="43">
        <v>2005</v>
      </c>
      <c r="D7" s="43">
        <v>2006</v>
      </c>
      <c r="E7" s="43">
        <v>2007</v>
      </c>
      <c r="F7" s="43">
        <v>2008</v>
      </c>
      <c r="G7" s="43" t="s">
        <v>17</v>
      </c>
      <c r="H7" s="43" t="s">
        <v>48</v>
      </c>
    </row>
    <row r="8" spans="1:17" x14ac:dyDescent="0.25">
      <c r="A8" s="125" t="s">
        <v>26</v>
      </c>
      <c r="B8" s="36">
        <v>7</v>
      </c>
      <c r="C8" s="36">
        <v>3</v>
      </c>
      <c r="D8" s="36">
        <v>3</v>
      </c>
      <c r="E8" s="36">
        <v>2</v>
      </c>
      <c r="F8" s="36">
        <v>2</v>
      </c>
      <c r="G8" s="36">
        <f>SUM(B8:F8)</f>
        <v>17</v>
      </c>
      <c r="H8" s="38">
        <f>G8/$G$21</f>
        <v>0.17</v>
      </c>
    </row>
    <row r="9" spans="1:17" x14ac:dyDescent="0.25">
      <c r="A9" s="125" t="s">
        <v>30</v>
      </c>
      <c r="B9" s="36">
        <v>1</v>
      </c>
      <c r="C9" s="36">
        <v>0</v>
      </c>
      <c r="D9" s="36">
        <v>0</v>
      </c>
      <c r="E9" s="36">
        <v>0</v>
      </c>
      <c r="F9" s="36">
        <v>3</v>
      </c>
      <c r="G9" s="36">
        <f t="shared" ref="G9:G20" si="0">SUM(B9:F9)</f>
        <v>4</v>
      </c>
      <c r="H9" s="38">
        <f t="shared" ref="H9:H20" si="1">G9/$G$21</f>
        <v>0.04</v>
      </c>
    </row>
    <row r="10" spans="1:17" x14ac:dyDescent="0.25">
      <c r="A10" s="125" t="s">
        <v>32</v>
      </c>
      <c r="B10" s="36">
        <v>1</v>
      </c>
      <c r="C10" s="36">
        <v>0</v>
      </c>
      <c r="D10" s="36">
        <v>0</v>
      </c>
      <c r="E10" s="36">
        <v>1</v>
      </c>
      <c r="F10" s="36">
        <v>1</v>
      </c>
      <c r="G10" s="36">
        <f t="shared" si="0"/>
        <v>3</v>
      </c>
      <c r="H10" s="38">
        <f t="shared" si="1"/>
        <v>0.03</v>
      </c>
    </row>
    <row r="11" spans="1:17" hidden="1" x14ac:dyDescent="0.25">
      <c r="A11" s="125" t="s">
        <v>27</v>
      </c>
      <c r="B11" s="36">
        <v>12</v>
      </c>
      <c r="C11" s="36">
        <v>13</v>
      </c>
      <c r="D11" s="36">
        <v>16</v>
      </c>
      <c r="E11" s="36">
        <v>6</v>
      </c>
      <c r="F11" s="36">
        <v>2</v>
      </c>
      <c r="G11" s="36">
        <f t="shared" si="0"/>
        <v>49</v>
      </c>
      <c r="H11" s="38">
        <f t="shared" si="1"/>
        <v>0.49</v>
      </c>
    </row>
    <row r="12" spans="1:17" x14ac:dyDescent="0.25">
      <c r="A12" s="125" t="s">
        <v>186</v>
      </c>
      <c r="B12" s="36">
        <v>0</v>
      </c>
      <c r="C12" s="36">
        <v>0</v>
      </c>
      <c r="D12" s="36">
        <v>0</v>
      </c>
      <c r="E12" s="36">
        <v>0</v>
      </c>
      <c r="F12" s="36">
        <v>1</v>
      </c>
      <c r="G12" s="36">
        <f t="shared" si="0"/>
        <v>1</v>
      </c>
      <c r="H12" s="38">
        <f t="shared" si="1"/>
        <v>0.01</v>
      </c>
    </row>
    <row r="13" spans="1:17" x14ac:dyDescent="0.25">
      <c r="A13" s="125" t="s">
        <v>28</v>
      </c>
      <c r="B13" s="36">
        <v>1</v>
      </c>
      <c r="C13" s="36">
        <v>2</v>
      </c>
      <c r="D13" s="36">
        <v>0</v>
      </c>
      <c r="E13" s="36">
        <v>1</v>
      </c>
      <c r="F13" s="36">
        <v>1</v>
      </c>
      <c r="G13" s="36">
        <f t="shared" si="0"/>
        <v>5</v>
      </c>
      <c r="H13" s="38">
        <f t="shared" si="1"/>
        <v>0.05</v>
      </c>
    </row>
    <row r="14" spans="1:17" x14ac:dyDescent="0.25">
      <c r="A14" s="125" t="s">
        <v>187</v>
      </c>
      <c r="B14" s="36">
        <v>0</v>
      </c>
      <c r="C14" s="36">
        <v>1</v>
      </c>
      <c r="D14" s="36">
        <v>2</v>
      </c>
      <c r="E14" s="36">
        <v>2</v>
      </c>
      <c r="F14" s="36">
        <v>0</v>
      </c>
      <c r="G14" s="36">
        <f t="shared" si="0"/>
        <v>5</v>
      </c>
      <c r="H14" s="38">
        <f t="shared" si="1"/>
        <v>0.05</v>
      </c>
    </row>
    <row r="15" spans="1:17" x14ac:dyDescent="0.25">
      <c r="A15" s="125" t="s">
        <v>188</v>
      </c>
      <c r="B15" s="36">
        <v>0</v>
      </c>
      <c r="C15" s="36">
        <v>0</v>
      </c>
      <c r="D15" s="36">
        <v>2</v>
      </c>
      <c r="E15" s="36">
        <v>1</v>
      </c>
      <c r="F15" s="36">
        <v>0</v>
      </c>
      <c r="G15" s="36">
        <f t="shared" si="0"/>
        <v>3</v>
      </c>
      <c r="H15" s="38">
        <f t="shared" si="1"/>
        <v>0.03</v>
      </c>
    </row>
    <row r="16" spans="1:17" x14ac:dyDescent="0.25">
      <c r="A16" s="125" t="s">
        <v>31</v>
      </c>
      <c r="B16" s="36">
        <v>2</v>
      </c>
      <c r="C16" s="36">
        <v>0</v>
      </c>
      <c r="D16" s="36">
        <v>2</v>
      </c>
      <c r="E16" s="36">
        <v>0</v>
      </c>
      <c r="F16" s="36">
        <v>0</v>
      </c>
      <c r="G16" s="36">
        <f t="shared" si="0"/>
        <v>4</v>
      </c>
      <c r="H16" s="38">
        <f t="shared" si="1"/>
        <v>0.04</v>
      </c>
    </row>
    <row r="17" spans="1:8" x14ac:dyDescent="0.25">
      <c r="A17" s="125" t="s">
        <v>189</v>
      </c>
      <c r="B17" s="36">
        <v>3</v>
      </c>
      <c r="C17" s="36">
        <v>2</v>
      </c>
      <c r="D17" s="36">
        <v>1</v>
      </c>
      <c r="E17" s="36">
        <v>0</v>
      </c>
      <c r="F17" s="36">
        <v>0</v>
      </c>
      <c r="G17" s="36">
        <f t="shared" si="0"/>
        <v>6</v>
      </c>
      <c r="H17" s="38">
        <f t="shared" si="1"/>
        <v>0.06</v>
      </c>
    </row>
    <row r="18" spans="1:8" x14ac:dyDescent="0.25">
      <c r="A18" s="125" t="s">
        <v>34</v>
      </c>
      <c r="B18" s="36">
        <v>1</v>
      </c>
      <c r="C18" s="36">
        <v>0</v>
      </c>
      <c r="D18" s="36">
        <v>0</v>
      </c>
      <c r="E18" s="36">
        <v>0</v>
      </c>
      <c r="F18" s="36">
        <v>0</v>
      </c>
      <c r="G18" s="36">
        <f t="shared" si="0"/>
        <v>1</v>
      </c>
      <c r="H18" s="38">
        <f t="shared" si="1"/>
        <v>0.01</v>
      </c>
    </row>
    <row r="19" spans="1:8" x14ac:dyDescent="0.25">
      <c r="A19" s="125" t="s">
        <v>33</v>
      </c>
      <c r="B19" s="36">
        <v>1</v>
      </c>
      <c r="C19" s="36">
        <v>0</v>
      </c>
      <c r="D19" s="36">
        <v>0</v>
      </c>
      <c r="E19" s="36">
        <v>0</v>
      </c>
      <c r="F19" s="36">
        <v>0</v>
      </c>
      <c r="G19" s="36">
        <f t="shared" si="0"/>
        <v>1</v>
      </c>
      <c r="H19" s="38">
        <f t="shared" si="1"/>
        <v>0.01</v>
      </c>
    </row>
    <row r="20" spans="1:8" x14ac:dyDescent="0.25">
      <c r="A20" s="125" t="s">
        <v>190</v>
      </c>
      <c r="B20" s="36">
        <v>1</v>
      </c>
      <c r="C20" s="36">
        <v>0</v>
      </c>
      <c r="D20" s="36">
        <v>0</v>
      </c>
      <c r="E20" s="36">
        <v>0</v>
      </c>
      <c r="F20" s="36">
        <v>0</v>
      </c>
      <c r="G20" s="36">
        <f t="shared" si="0"/>
        <v>1</v>
      </c>
      <c r="H20" s="38">
        <f t="shared" si="1"/>
        <v>0.01</v>
      </c>
    </row>
    <row r="21" spans="1:8" x14ac:dyDescent="0.25">
      <c r="A21" s="127" t="s">
        <v>17</v>
      </c>
      <c r="B21" s="202">
        <f>SUM(B8:B20)</f>
        <v>30</v>
      </c>
      <c r="C21" s="202">
        <f t="shared" ref="C21:F21" si="2">SUM(C8:C20)</f>
        <v>21</v>
      </c>
      <c r="D21" s="202">
        <f t="shared" si="2"/>
        <v>26</v>
      </c>
      <c r="E21" s="202">
        <f t="shared" si="2"/>
        <v>13</v>
      </c>
      <c r="F21" s="202">
        <f t="shared" si="2"/>
        <v>10</v>
      </c>
      <c r="G21" s="202">
        <f t="shared" ref="G21" si="3">SUM(B21:F21)</f>
        <v>100</v>
      </c>
      <c r="H21" s="203">
        <f>SUM(H8:H20)</f>
        <v>1.0000000000000002</v>
      </c>
    </row>
    <row r="22" spans="1:8" x14ac:dyDescent="0.25">
      <c r="A22" s="33"/>
    </row>
    <row r="23" spans="1:8" x14ac:dyDescent="0.25">
      <c r="A23" s="125"/>
      <c r="B23" s="43">
        <v>2004</v>
      </c>
      <c r="C23" s="43">
        <v>2005</v>
      </c>
      <c r="D23" s="43">
        <v>2006</v>
      </c>
      <c r="E23" s="43">
        <v>2007</v>
      </c>
      <c r="F23" s="43">
        <v>2008</v>
      </c>
      <c r="G23" s="44" t="s">
        <v>17</v>
      </c>
    </row>
    <row r="24" spans="1:8" x14ac:dyDescent="0.25">
      <c r="A24" s="125" t="s">
        <v>70</v>
      </c>
      <c r="B24" s="36">
        <v>30</v>
      </c>
      <c r="C24" s="36">
        <v>21</v>
      </c>
      <c r="D24" s="36">
        <v>26</v>
      </c>
      <c r="E24" s="36">
        <v>13</v>
      </c>
      <c r="F24" s="36">
        <v>10</v>
      </c>
      <c r="G24" s="36">
        <f>SUM(B24:F24)</f>
        <v>100</v>
      </c>
    </row>
    <row r="25" spans="1:8" x14ac:dyDescent="0.25">
      <c r="A25" s="125" t="s">
        <v>71</v>
      </c>
      <c r="B25" s="36">
        <v>11</v>
      </c>
      <c r="C25" s="36">
        <v>8</v>
      </c>
      <c r="D25" s="36">
        <v>12</v>
      </c>
      <c r="E25" s="36">
        <v>5</v>
      </c>
      <c r="F25" s="36">
        <v>4</v>
      </c>
      <c r="G25" s="36">
        <f t="shared" ref="G25:G26" si="4">SUM(B25:F25)</f>
        <v>40</v>
      </c>
    </row>
    <row r="26" spans="1:8" x14ac:dyDescent="0.25">
      <c r="A26" s="125" t="s">
        <v>72</v>
      </c>
      <c r="B26" s="36">
        <v>1</v>
      </c>
      <c r="C26" s="36">
        <v>1</v>
      </c>
      <c r="D26" s="36">
        <v>2</v>
      </c>
      <c r="E26" s="36">
        <v>0</v>
      </c>
      <c r="F26" s="36">
        <v>0</v>
      </c>
      <c r="G26" s="36">
        <f t="shared" si="4"/>
        <v>4</v>
      </c>
    </row>
    <row r="27" spans="1:8" x14ac:dyDescent="0.25">
      <c r="A27" s="33"/>
    </row>
    <row r="28" spans="1:8" x14ac:dyDescent="0.25">
      <c r="A28" s="75" t="s">
        <v>40</v>
      </c>
      <c r="B28" s="43">
        <v>2004</v>
      </c>
      <c r="C28" s="43">
        <v>2005</v>
      </c>
      <c r="D28" s="43">
        <v>2006</v>
      </c>
      <c r="E28" s="43">
        <v>2007</v>
      </c>
      <c r="F28" s="43">
        <v>2008</v>
      </c>
      <c r="G28" s="43" t="s">
        <v>17</v>
      </c>
    </row>
    <row r="29" spans="1:8" x14ac:dyDescent="0.25">
      <c r="A29" s="125" t="s">
        <v>116</v>
      </c>
      <c r="B29" s="36">
        <v>20</v>
      </c>
      <c r="C29" s="36">
        <v>13</v>
      </c>
      <c r="D29" s="36">
        <v>17</v>
      </c>
      <c r="E29" s="36">
        <v>5</v>
      </c>
      <c r="F29" s="36">
        <v>4</v>
      </c>
      <c r="G29" s="36">
        <f>SUM(B29:F29)</f>
        <v>59</v>
      </c>
    </row>
    <row r="30" spans="1:8" x14ac:dyDescent="0.25">
      <c r="A30" s="125" t="s">
        <v>117</v>
      </c>
      <c r="B30" s="36">
        <v>4</v>
      </c>
      <c r="C30" s="36">
        <v>1</v>
      </c>
      <c r="D30" s="36">
        <v>5</v>
      </c>
      <c r="E30" s="36">
        <v>0</v>
      </c>
      <c r="F30" s="36">
        <v>0</v>
      </c>
      <c r="G30" s="36">
        <f>SUM(B30:F30)</f>
        <v>10</v>
      </c>
    </row>
    <row r="31" spans="1:8" x14ac:dyDescent="0.25">
      <c r="A31" s="125" t="s">
        <v>17</v>
      </c>
      <c r="B31" s="36">
        <f>SUM(B29:B30)</f>
        <v>24</v>
      </c>
      <c r="C31" s="36">
        <f t="shared" ref="C31:F31" si="5">SUM(C29:C30)</f>
        <v>14</v>
      </c>
      <c r="D31" s="36">
        <f t="shared" si="5"/>
        <v>22</v>
      </c>
      <c r="E31" s="36">
        <f t="shared" si="5"/>
        <v>5</v>
      </c>
      <c r="F31" s="36">
        <f t="shared" si="5"/>
        <v>4</v>
      </c>
      <c r="G31" s="36">
        <f>SUM(B31:F31)</f>
        <v>69</v>
      </c>
    </row>
    <row r="32" spans="1:8" x14ac:dyDescent="0.25">
      <c r="A32" s="33"/>
    </row>
    <row r="33" spans="1:11" x14ac:dyDescent="0.25">
      <c r="A33" s="35" t="s">
        <v>141</v>
      </c>
    </row>
    <row r="34" spans="1:11" x14ac:dyDescent="0.25">
      <c r="A34" s="75" t="s">
        <v>40</v>
      </c>
      <c r="B34" s="43">
        <v>2004</v>
      </c>
      <c r="C34" s="43">
        <v>2005</v>
      </c>
      <c r="D34" s="43">
        <v>2006</v>
      </c>
      <c r="E34" s="43">
        <v>2007</v>
      </c>
      <c r="F34" s="43">
        <v>2008</v>
      </c>
      <c r="G34" s="43" t="s">
        <v>17</v>
      </c>
    </row>
    <row r="35" spans="1:11" x14ac:dyDescent="0.25">
      <c r="A35" s="125" t="s">
        <v>116</v>
      </c>
      <c r="B35" s="36">
        <v>6</v>
      </c>
      <c r="C35" s="36">
        <v>4</v>
      </c>
      <c r="D35" s="36">
        <v>7</v>
      </c>
      <c r="E35" s="36">
        <v>2</v>
      </c>
      <c r="F35" s="36">
        <v>2</v>
      </c>
      <c r="G35" s="36">
        <f>SUM(B35:F35)</f>
        <v>21</v>
      </c>
      <c r="J35" s="1"/>
      <c r="K35" s="2"/>
    </row>
    <row r="36" spans="1:11" x14ac:dyDescent="0.25">
      <c r="A36" s="125" t="s">
        <v>117</v>
      </c>
      <c r="B36" s="36">
        <v>4</v>
      </c>
      <c r="C36" s="36">
        <v>1</v>
      </c>
      <c r="D36" s="36">
        <v>4</v>
      </c>
      <c r="E36" s="36">
        <v>0</v>
      </c>
      <c r="F36" s="36">
        <v>0</v>
      </c>
      <c r="G36" s="36">
        <f>SUM(B36:F36)</f>
        <v>9</v>
      </c>
      <c r="J36" s="1"/>
      <c r="K36" s="2"/>
    </row>
    <row r="37" spans="1:11" x14ac:dyDescent="0.25">
      <c r="A37" s="125" t="s">
        <v>17</v>
      </c>
      <c r="B37" s="36">
        <f>SUM(B35:B36)</f>
        <v>10</v>
      </c>
      <c r="C37" s="36">
        <f t="shared" ref="C37:G37" si="6">SUM(C35:C36)</f>
        <v>5</v>
      </c>
      <c r="D37" s="36">
        <f t="shared" si="6"/>
        <v>11</v>
      </c>
      <c r="E37" s="36">
        <f t="shared" si="6"/>
        <v>2</v>
      </c>
      <c r="F37" s="36">
        <f t="shared" si="6"/>
        <v>2</v>
      </c>
      <c r="G37" s="36">
        <f t="shared" si="6"/>
        <v>30</v>
      </c>
      <c r="K37" s="2"/>
    </row>
    <row r="38" spans="1:11" x14ac:dyDescent="0.25">
      <c r="A38" s="33"/>
    </row>
    <row r="39" spans="1:11" ht="30" x14ac:dyDescent="0.25">
      <c r="A39" s="124"/>
      <c r="B39" s="129" t="s">
        <v>47</v>
      </c>
      <c r="C39" s="129" t="s">
        <v>50</v>
      </c>
      <c r="D39" s="129" t="s">
        <v>48</v>
      </c>
      <c r="E39" s="204" t="s">
        <v>49</v>
      </c>
    </row>
    <row r="40" spans="1:11" x14ac:dyDescent="0.25">
      <c r="A40" s="75" t="s">
        <v>116</v>
      </c>
      <c r="B40" s="36">
        <f>G29</f>
        <v>59</v>
      </c>
      <c r="C40" s="36">
        <f>G35</f>
        <v>21</v>
      </c>
      <c r="D40" s="38">
        <f>C40/B40</f>
        <v>0.3559322033898305</v>
      </c>
      <c r="E40" s="205">
        <f>C40/5</f>
        <v>4.2</v>
      </c>
    </row>
    <row r="41" spans="1:11" x14ac:dyDescent="0.25">
      <c r="A41" s="75" t="s">
        <v>117</v>
      </c>
      <c r="B41" s="36">
        <f>G30</f>
        <v>10</v>
      </c>
      <c r="C41" s="36">
        <f>G36</f>
        <v>9</v>
      </c>
      <c r="D41" s="38">
        <f>C41/B41</f>
        <v>0.9</v>
      </c>
      <c r="E41" s="205">
        <f>C41/5</f>
        <v>1.8</v>
      </c>
    </row>
  </sheetData>
  <pageMargins left="0.7" right="0.7" top="0.75" bottom="0.75" header="0.3" footer="0.3"/>
  <pageSetup scale="66" orientation="landscape" r:id="rId1"/>
  <ignoredErrors>
    <ignoredError sqref="B21:F21 H21 B37:F38 B31:G31" formulaRange="1"/>
    <ignoredError sqref="G21" formula="1" formulaRange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zoomScaleNormal="100" workbookViewId="0">
      <selection activeCell="L16" sqref="L16"/>
    </sheetView>
  </sheetViews>
  <sheetFormatPr defaultRowHeight="15" x14ac:dyDescent="0.25"/>
  <cols>
    <col min="5" max="5" width="15.28515625" bestFit="1" customWidth="1"/>
    <col min="8" max="8" width="20.42578125" bestFit="1" customWidth="1"/>
    <col min="13" max="13" width="14.5703125" customWidth="1"/>
  </cols>
  <sheetData>
    <row r="1" spans="1:8" ht="23.25" x14ac:dyDescent="0.35">
      <c r="A1" s="52" t="s">
        <v>207</v>
      </c>
    </row>
    <row r="3" spans="1:8" x14ac:dyDescent="0.25">
      <c r="A3" s="32" t="s">
        <v>101</v>
      </c>
    </row>
    <row r="4" spans="1:8" x14ac:dyDescent="0.25">
      <c r="A4" s="32" t="s">
        <v>145</v>
      </c>
    </row>
    <row r="6" spans="1:8" x14ac:dyDescent="0.25">
      <c r="B6" s="236" t="s">
        <v>193</v>
      </c>
      <c r="C6" s="237"/>
      <c r="D6" s="242" t="s">
        <v>142</v>
      </c>
      <c r="E6" s="243"/>
      <c r="F6" s="50"/>
      <c r="G6" s="130" t="s">
        <v>143</v>
      </c>
      <c r="H6" s="131"/>
    </row>
    <row r="7" spans="1:8" x14ac:dyDescent="0.25">
      <c r="B7" s="238"/>
      <c r="C7" s="239"/>
      <c r="D7" s="244" t="s">
        <v>94</v>
      </c>
      <c r="E7" s="245"/>
      <c r="F7" s="51"/>
      <c r="G7" s="132" t="s">
        <v>144</v>
      </c>
      <c r="H7" s="133"/>
    </row>
    <row r="8" spans="1:8" x14ac:dyDescent="0.25">
      <c r="B8" s="240"/>
      <c r="C8" s="241"/>
      <c r="D8" s="246">
        <v>1.8</v>
      </c>
      <c r="E8" s="43" t="s">
        <v>95</v>
      </c>
      <c r="F8" s="246" t="s">
        <v>146</v>
      </c>
      <c r="G8" s="246">
        <v>4.2</v>
      </c>
      <c r="H8" s="43" t="s">
        <v>95</v>
      </c>
    </row>
    <row r="9" spans="1:8" ht="18" x14ac:dyDescent="0.35">
      <c r="B9" s="242" t="s">
        <v>96</v>
      </c>
      <c r="C9" s="243"/>
      <c r="D9" s="247"/>
      <c r="E9" s="43" t="s">
        <v>97</v>
      </c>
      <c r="F9" s="247"/>
      <c r="G9" s="247"/>
      <c r="H9" s="43" t="s">
        <v>98</v>
      </c>
    </row>
    <row r="10" spans="1:8" x14ac:dyDescent="0.25">
      <c r="B10" s="228" t="s">
        <v>99</v>
      </c>
      <c r="C10" s="44">
        <v>0</v>
      </c>
      <c r="D10" s="45">
        <v>0</v>
      </c>
      <c r="E10" s="37">
        <v>0</v>
      </c>
      <c r="F10" s="36">
        <v>0.43675999999999998</v>
      </c>
      <c r="G10" s="36">
        <f t="shared" ref="G10:G16" si="0">F10*$G$8</f>
        <v>1.834392</v>
      </c>
      <c r="H10" s="46">
        <v>0</v>
      </c>
    </row>
    <row r="11" spans="1:8" x14ac:dyDescent="0.25">
      <c r="B11" s="229"/>
      <c r="C11" s="44">
        <v>1</v>
      </c>
      <c r="D11" s="45">
        <v>0</v>
      </c>
      <c r="E11" s="37">
        <v>0</v>
      </c>
      <c r="F11" s="36">
        <v>0.41738999999999998</v>
      </c>
      <c r="G11" s="36">
        <f t="shared" si="0"/>
        <v>1.7530380000000001</v>
      </c>
      <c r="H11" s="46">
        <f>27300*G11</f>
        <v>47857.937400000003</v>
      </c>
    </row>
    <row r="12" spans="1:8" x14ac:dyDescent="0.25">
      <c r="B12" s="229"/>
      <c r="C12" s="44">
        <v>2</v>
      </c>
      <c r="D12" s="45">
        <v>0</v>
      </c>
      <c r="E12" s="37">
        <v>0</v>
      </c>
      <c r="F12" s="36">
        <v>8.8719999999999993E-2</v>
      </c>
      <c r="G12" s="36">
        <f t="shared" si="0"/>
        <v>0.37262400000000001</v>
      </c>
      <c r="H12" s="46">
        <f>427700*G12</f>
        <v>159371.28479999999</v>
      </c>
    </row>
    <row r="13" spans="1:8" x14ac:dyDescent="0.25">
      <c r="B13" s="229"/>
      <c r="C13" s="44">
        <v>3</v>
      </c>
      <c r="D13" s="45">
        <v>0</v>
      </c>
      <c r="E13" s="37">
        <v>0</v>
      </c>
      <c r="F13" s="36">
        <v>4.8169999999999998E-2</v>
      </c>
      <c r="G13" s="36">
        <f t="shared" si="0"/>
        <v>0.20231399999999999</v>
      </c>
      <c r="H13" s="46">
        <f>95500*G13</f>
        <v>19320.987000000001</v>
      </c>
    </row>
    <row r="14" spans="1:8" x14ac:dyDescent="0.25">
      <c r="B14" s="229"/>
      <c r="C14" s="44">
        <v>4</v>
      </c>
      <c r="D14" s="45">
        <v>0</v>
      </c>
      <c r="E14" s="37">
        <v>0</v>
      </c>
      <c r="F14" s="36">
        <v>6.1700000000000001E-3</v>
      </c>
      <c r="G14" s="36">
        <f t="shared" si="0"/>
        <v>2.5914000000000003E-2</v>
      </c>
      <c r="H14" s="46">
        <f>2420600*G14</f>
        <v>62727.428400000004</v>
      </c>
    </row>
    <row r="15" spans="1:8" x14ac:dyDescent="0.25">
      <c r="B15" s="229"/>
      <c r="C15" s="44">
        <v>5</v>
      </c>
      <c r="D15" s="45">
        <v>0</v>
      </c>
      <c r="E15" s="37">
        <v>0</v>
      </c>
      <c r="F15" s="36">
        <v>2.7899999999999999E-3</v>
      </c>
      <c r="G15" s="36">
        <f t="shared" si="0"/>
        <v>1.1718000000000001E-2</v>
      </c>
      <c r="H15" s="46">
        <f>5396300*G15</f>
        <v>63233.843400000005</v>
      </c>
    </row>
    <row r="16" spans="1:8" x14ac:dyDescent="0.25">
      <c r="B16" s="230"/>
      <c r="C16" s="44" t="s">
        <v>37</v>
      </c>
      <c r="D16" s="45">
        <f>D8</f>
        <v>1.8</v>
      </c>
      <c r="E16" s="46">
        <v>9100000</v>
      </c>
      <c r="F16" s="36">
        <v>0</v>
      </c>
      <c r="G16" s="36">
        <f t="shared" si="0"/>
        <v>0</v>
      </c>
      <c r="H16" s="46">
        <v>0</v>
      </c>
    </row>
    <row r="17" spans="2:8" x14ac:dyDescent="0.25">
      <c r="B17" s="231" t="s">
        <v>100</v>
      </c>
      <c r="C17" s="232"/>
      <c r="D17" s="47">
        <f>SUM(D10:D16)</f>
        <v>1.8</v>
      </c>
      <c r="E17" s="48">
        <f>D16*E16</f>
        <v>16380000</v>
      </c>
      <c r="F17" s="47">
        <f t="shared" ref="F17" si="1">SUM(F10:F16)</f>
        <v>1</v>
      </c>
      <c r="G17" s="75">
        <f>SUM(G10:G16)</f>
        <v>4.2000000000000011</v>
      </c>
      <c r="H17" s="48">
        <f t="shared" ref="H17" si="2">SUM(H10:H16)</f>
        <v>352511.48100000003</v>
      </c>
    </row>
    <row r="18" spans="2:8" x14ac:dyDescent="0.25">
      <c r="E18" s="31"/>
    </row>
    <row r="19" spans="2:8" x14ac:dyDescent="0.25">
      <c r="B19" s="233" t="s">
        <v>102</v>
      </c>
      <c r="C19" s="234"/>
      <c r="D19" s="234"/>
      <c r="E19" s="234"/>
      <c r="F19" s="234"/>
      <c r="G19" s="235"/>
      <c r="H19" s="147">
        <f>SUM(E17,H17)</f>
        <v>16732511.481000001</v>
      </c>
    </row>
    <row r="21" spans="2:8" x14ac:dyDescent="0.25">
      <c r="B21" s="236" t="s">
        <v>192</v>
      </c>
      <c r="C21" s="237"/>
      <c r="D21" s="242" t="s">
        <v>142</v>
      </c>
      <c r="E21" s="243"/>
      <c r="F21" s="50"/>
      <c r="G21" s="130" t="s">
        <v>143</v>
      </c>
      <c r="H21" s="131"/>
    </row>
    <row r="22" spans="2:8" x14ac:dyDescent="0.25">
      <c r="B22" s="238"/>
      <c r="C22" s="239"/>
      <c r="D22" s="244" t="s">
        <v>94</v>
      </c>
      <c r="E22" s="245"/>
      <c r="F22" s="51"/>
      <c r="G22" s="132" t="s">
        <v>144</v>
      </c>
      <c r="H22" s="133"/>
    </row>
    <row r="23" spans="2:8" x14ac:dyDescent="0.25">
      <c r="B23" s="240"/>
      <c r="C23" s="241"/>
      <c r="D23" s="246">
        <v>0.4</v>
      </c>
      <c r="E23" s="43" t="s">
        <v>95</v>
      </c>
      <c r="F23" s="246" t="s">
        <v>146</v>
      </c>
      <c r="G23" s="246">
        <v>4.8</v>
      </c>
      <c r="H23" s="43" t="s">
        <v>95</v>
      </c>
    </row>
    <row r="24" spans="2:8" ht="18" x14ac:dyDescent="0.35">
      <c r="B24" s="242" t="s">
        <v>96</v>
      </c>
      <c r="C24" s="243"/>
      <c r="D24" s="247"/>
      <c r="E24" s="43" t="s">
        <v>97</v>
      </c>
      <c r="F24" s="247"/>
      <c r="G24" s="247"/>
      <c r="H24" s="43" t="s">
        <v>98</v>
      </c>
    </row>
    <row r="25" spans="2:8" x14ac:dyDescent="0.25">
      <c r="B25" s="228" t="s">
        <v>99</v>
      </c>
      <c r="C25" s="44">
        <v>0</v>
      </c>
      <c r="D25" s="45">
        <v>0</v>
      </c>
      <c r="E25" s="37">
        <v>0</v>
      </c>
      <c r="F25" s="36">
        <v>0.43675999999999998</v>
      </c>
      <c r="G25" s="36">
        <f>F25*$G$23</f>
        <v>2.0964479999999996</v>
      </c>
      <c r="H25" s="46">
        <v>0</v>
      </c>
    </row>
    <row r="26" spans="2:8" x14ac:dyDescent="0.25">
      <c r="B26" s="229"/>
      <c r="C26" s="44">
        <v>1</v>
      </c>
      <c r="D26" s="45">
        <v>0</v>
      </c>
      <c r="E26" s="37">
        <v>0</v>
      </c>
      <c r="F26" s="36">
        <v>0.41738999999999998</v>
      </c>
      <c r="G26" s="36">
        <f t="shared" ref="G26:G31" si="3">F26*$G$23</f>
        <v>2.0034719999999999</v>
      </c>
      <c r="H26" s="46">
        <f>27300*G26</f>
        <v>54694.785599999996</v>
      </c>
    </row>
    <row r="27" spans="2:8" x14ac:dyDescent="0.25">
      <c r="B27" s="229"/>
      <c r="C27" s="44">
        <v>2</v>
      </c>
      <c r="D27" s="45">
        <v>0</v>
      </c>
      <c r="E27" s="37">
        <v>0</v>
      </c>
      <c r="F27" s="36">
        <v>8.8719999999999993E-2</v>
      </c>
      <c r="G27" s="36">
        <f t="shared" si="3"/>
        <v>0.42585599999999996</v>
      </c>
      <c r="H27" s="46">
        <f>427700*G27</f>
        <v>182138.61119999998</v>
      </c>
    </row>
    <row r="28" spans="2:8" x14ac:dyDescent="0.25">
      <c r="B28" s="229"/>
      <c r="C28" s="44">
        <v>3</v>
      </c>
      <c r="D28" s="45">
        <v>0</v>
      </c>
      <c r="E28" s="37">
        <v>0</v>
      </c>
      <c r="F28" s="36">
        <v>4.8169999999999998E-2</v>
      </c>
      <c r="G28" s="36">
        <f t="shared" si="3"/>
        <v>0.23121599999999998</v>
      </c>
      <c r="H28" s="46">
        <f>95500*G28</f>
        <v>22081.127999999997</v>
      </c>
    </row>
    <row r="29" spans="2:8" x14ac:dyDescent="0.25">
      <c r="B29" s="229"/>
      <c r="C29" s="44">
        <v>4</v>
      </c>
      <c r="D29" s="45">
        <v>0</v>
      </c>
      <c r="E29" s="37">
        <v>0</v>
      </c>
      <c r="F29" s="36">
        <v>6.1700000000000001E-3</v>
      </c>
      <c r="G29" s="36">
        <f t="shared" si="3"/>
        <v>2.9616E-2</v>
      </c>
      <c r="H29" s="46">
        <f>2420600*G29</f>
        <v>71688.489600000001</v>
      </c>
    </row>
    <row r="30" spans="2:8" x14ac:dyDescent="0.25">
      <c r="B30" s="229"/>
      <c r="C30" s="44">
        <v>5</v>
      </c>
      <c r="D30" s="45">
        <v>0</v>
      </c>
      <c r="E30" s="37">
        <v>0</v>
      </c>
      <c r="F30" s="36">
        <v>2.7899999999999999E-3</v>
      </c>
      <c r="G30" s="36">
        <f t="shared" si="3"/>
        <v>1.3391999999999999E-2</v>
      </c>
      <c r="H30" s="46">
        <f>5396300*G30</f>
        <v>72267.249599999996</v>
      </c>
    </row>
    <row r="31" spans="2:8" x14ac:dyDescent="0.25">
      <c r="B31" s="230"/>
      <c r="C31" s="44" t="s">
        <v>37</v>
      </c>
      <c r="D31" s="45">
        <f>D23</f>
        <v>0.4</v>
      </c>
      <c r="E31" s="46">
        <v>9100000</v>
      </c>
      <c r="F31" s="36">
        <v>0</v>
      </c>
      <c r="G31" s="36">
        <f t="shared" si="3"/>
        <v>0</v>
      </c>
      <c r="H31" s="46">
        <v>0</v>
      </c>
    </row>
    <row r="32" spans="2:8" x14ac:dyDescent="0.25">
      <c r="B32" s="231" t="s">
        <v>100</v>
      </c>
      <c r="C32" s="232"/>
      <c r="D32" s="47">
        <f>SUM(D25:D31)</f>
        <v>0.4</v>
      </c>
      <c r="E32" s="48">
        <f>D31*E31</f>
        <v>3640000</v>
      </c>
      <c r="F32" s="47">
        <f t="shared" ref="F32" si="4">SUM(F25:F31)</f>
        <v>1</v>
      </c>
      <c r="G32" s="75">
        <f>SUM(G25:G31)</f>
        <v>4.799999999999998</v>
      </c>
      <c r="H32" s="48">
        <f t="shared" ref="H32" si="5">SUM(H25:H31)</f>
        <v>402870.26399999997</v>
      </c>
    </row>
    <row r="33" spans="2:8" x14ac:dyDescent="0.25">
      <c r="E33" s="31"/>
    </row>
    <row r="34" spans="2:8" x14ac:dyDescent="0.25">
      <c r="B34" s="233" t="s">
        <v>102</v>
      </c>
      <c r="C34" s="234"/>
      <c r="D34" s="234"/>
      <c r="E34" s="234"/>
      <c r="F34" s="234"/>
      <c r="G34" s="235"/>
      <c r="H34" s="147">
        <f>SUM(E32,H32)</f>
        <v>4042870.264</v>
      </c>
    </row>
  </sheetData>
  <mergeCells count="20">
    <mergeCell ref="G8:G9"/>
    <mergeCell ref="B9:C9"/>
    <mergeCell ref="B21:C23"/>
    <mergeCell ref="D21:E21"/>
    <mergeCell ref="D22:E22"/>
    <mergeCell ref="D23:D24"/>
    <mergeCell ref="F23:F24"/>
    <mergeCell ref="G23:G24"/>
    <mergeCell ref="B24:C24"/>
    <mergeCell ref="B10:B16"/>
    <mergeCell ref="B6:C8"/>
    <mergeCell ref="D6:E6"/>
    <mergeCell ref="D7:E7"/>
    <mergeCell ref="D8:D9"/>
    <mergeCell ref="F8:F9"/>
    <mergeCell ref="B17:C17"/>
    <mergeCell ref="B19:G19"/>
    <mergeCell ref="B25:B31"/>
    <mergeCell ref="B32:C32"/>
    <mergeCell ref="B34:G34"/>
  </mergeCells>
  <pageMargins left="0.5" right="0.5" top="0.5" bottom="0.5" header="0.3" footer="0.3"/>
  <pageSetup scale="87" fitToHeight="2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1 - BCA 20-year (Recent)</vt:lpstr>
      <vt:lpstr>2 - Traffic Volumes</vt:lpstr>
      <vt:lpstr>3 - Truck Traffic</vt:lpstr>
      <vt:lpstr>4 - Travel Time Savings</vt:lpstr>
      <vt:lpstr>5 - Collision History</vt:lpstr>
      <vt:lpstr>6 - 5yr Collision (Recent)</vt:lpstr>
      <vt:lpstr>7 - Collision Benefits</vt:lpstr>
      <vt:lpstr>8 - O&amp;M Costs</vt:lpstr>
      <vt:lpstr>9 - BCA 20-year (Previous)</vt:lpstr>
      <vt:lpstr>9 - 5yr Collision (Previous)</vt:lpstr>
      <vt:lpstr>9 - Collision Benefits</vt:lpstr>
      <vt:lpstr>'2 - Traffic Volumes'!Print_Area</vt:lpstr>
      <vt:lpstr>'3 - Truck Traffic'!Print_Area</vt:lpstr>
      <vt:lpstr>'4 - Travel Time Savings'!Print_Area</vt:lpstr>
      <vt:lpstr>'5 - Collision History'!Print_Area</vt:lpstr>
      <vt:lpstr>'7 - Collision Benefits'!Print_Area</vt:lpstr>
      <vt:lpstr>'8 - O&amp;M Costs'!Print_Area</vt:lpstr>
      <vt:lpstr>'9 - Collision Benefits'!Print_Area</vt:lpstr>
    </vt:vector>
  </TitlesOfParts>
  <Company>cccpw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avillar</dc:creator>
  <cp:lastModifiedBy>Kristen Hardeman</cp:lastModifiedBy>
  <cp:lastPrinted>2013-05-29T22:25:17Z</cp:lastPrinted>
  <dcterms:created xsi:type="dcterms:W3CDTF">2010-06-30T23:34:45Z</dcterms:created>
  <dcterms:modified xsi:type="dcterms:W3CDTF">2013-05-29T23:41:22Z</dcterms:modified>
</cp:coreProperties>
</file>