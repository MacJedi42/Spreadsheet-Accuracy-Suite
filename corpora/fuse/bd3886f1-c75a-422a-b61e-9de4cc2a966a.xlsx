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1"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<sst xmlns="http://schemas.openxmlformats.org/spreadsheetml/2006/main" count="606" uniqueCount="403">
  <si>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</si>
  <si>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</si>
  <si>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</si>
  <si>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</si>
  <si>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</si>
  <si>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</si>
  <si>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</si>
  <si>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</si>
  <si>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</si>
  <si>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</si>
  <si>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</si>
  <si>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</si>
  <si>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</si>
  <si>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</si>
  <si>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</si>
  <si>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</si>
  <si>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</si>
  <si>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</si>
  <si>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</si>
  <si>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</si>
  <si>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</si>
  <si>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</si>
  <si>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</si>
  <si>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</si>
  <si>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</si>
  <si>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</si>
  <si>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</si>
  <si>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</si>
  <si>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</si>
  <si>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</si>
  <si>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</si>
  <si>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</si>
  <si>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</si>
  <si>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</si>
  <si>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</si>
  <si>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</si>
  <si>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</si>
  <si>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</si>
  <si>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</si>
  <si>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</si>
  <si>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</si>
  <si>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</si>
  <si>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</si>
  <si>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</si>
  <si>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</si>
  <si>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</si>
  <si>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</si>
  <si>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</si>
  <si>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</si>
  <si>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</si>
  <si>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</si>
  <si>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</si>
  <si>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</si>
  <si>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</si>
  <si>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</si>
  <si>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</si>
  <si>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</si>
  <si>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</si>
  <si>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</si>
  <si>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</si>
  <si>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</si>
  <si>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</si>
  <si>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</si>
  <si>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</si>
  <si>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</si>
  <si>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</si>
  <si>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</si>
  <si>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</si>
  <si>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</si>
  <si>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</si>
  <si>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</si>
  <si>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</si>
  <si>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</si>
  <si>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</si>
  <si>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</si>
  <si>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</si>
  <si>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</si>
  <si>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</si>
  <si>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</si>
  <si>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</si>
  <si>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</si>
  <si>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</si>
  <si>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</si>
  <si>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</si>
  <si>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</si>
  <si>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</si>
  <si>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</si>
  <si>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</si>
  <si>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</si>
  <si>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</si>
  <si>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</si>
  <si>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</si>
  <si>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</si>
  <si>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</si>
  <si>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</si>
  <si>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</si>
  <si>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</si>
  <si>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</si>
  <si>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</si>
  <si>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</si>
  <si>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</si>
  <si>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</si>
  <si>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</si>
  <si>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</si>
  <si>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</si>
  <si>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</si>
  <si>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</si>
  <si>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</si>
  <si>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</si>
  <si>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</si>
  <si>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</si>
  <si>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</si>
  <si>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</si>
  <si>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</si>
  <si>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</si>
  <si>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</si>
  <si>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</si>
  <si>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</si>
  <si>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</si>
  <si>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</si>
  <si>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</si>
  <si>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</si>
  <si>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</si>
  <si>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</si>
  <si>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</si>
  <si>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</si>
  <si>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</si>
  <si>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</si>
  <si>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</si>
  <si>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</si>
  <si>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</si>
  <si>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</si>
  <si>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</si>
  <si>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</si>
  <si>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</si>
  <si>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</si>
  <si>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</si>
  <si>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</si>
  <si>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</si>
  <si>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</si>
  <si>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</si>
  <si>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</si>
  <si>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</si>
  <si>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</si>
  <si>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</si>
  <si>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</si>
  <si>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</si>
  <si>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</si>
  <si>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</si>
  <si>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</si>
  <si>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</si>
  <si>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</si>
  <si>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</si>
  <si>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</si>
  <si>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</si>
  <si>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</si>
  <si>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</si>
  <si>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</si>
  <si>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</si>
  <si>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</si>
  <si>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</si>
  <si>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</si>
  <si>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</si>
  <si>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</si>
  <si>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</si>
  <si>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</si>
  <si>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</si>
  <si>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</si>
  <si>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</si>
  <si>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</si>
  <si>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</si>
  <si>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</si>
  <si>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</si>
  <si>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</si>
  <si>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</si>
  <si>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</si>
  <si>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</si>
  <si>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</si>
  <si>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</si>
  <si>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</si>
  <si>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</si>
  <si>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</si>
  <si>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</si>
  <si>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</si>
  <si>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</si>
  <si>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</si>
  <si>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</si>
  <si>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</si>
  <si>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</si>
  <si>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</si>
  <si>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</si>
  <si>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</si>
  <si>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</si>
  <si>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</si>
  <si>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</si>
  <si>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</si>
  <si>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</si>
  <si>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</si>
  <si>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</si>
  <si>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</si>
  <si>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</si>
  <si>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</si>
  <si>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</si>
  <si>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</si>
  <si>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</si>
  <si>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</si>
  <si>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</si>
  <si>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</si>
  <si>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</si>
  <si>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</si>
  <si>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</si>
  <si>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</si>
  <si>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</si>
  <si>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</si>
  <si>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</si>
  <si>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</si>
  <si>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</si>
  <si>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</si>
  <si>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</si>
  <si>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</si>
  <si>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</si>
  <si>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</si>
  <si>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</si>
  <si>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</si>
  <si>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</si>
  <si>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</si>
  <si>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</si>
  <si>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</si>
  <si>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</si>
  <si>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</si>
  <si>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</si>
  <si>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</si>
  <si>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</si>
  <si>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</si>
  <si>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</si>
  <si>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</si>
  <si>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</si>
  <si>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</si>
  <si>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</si>
  <si>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</si>
  <si>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</si>
  <si>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</si>
  <si>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</si>
  <si>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</si>
  <si>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</si>
  <si>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</si>
  <si>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</si>
  <si>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</si>
  <si>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</si>
  <si>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</si>
  <si>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</si>
  <si>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</si>
  <si>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</si>
  <si>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</si>
  <si>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</si>
  <si>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</si>
  <si>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</si>
  <si>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</si>
  <si>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</si>
  <si>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</si>
  <si>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</si>
  <si>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</si>
  <si>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</si>
  <si>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</si>
  <si>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</si>
  <si>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</si>
  <si>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</si>
  <si>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</si>
  <si>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</si>
  <si>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</si>
  <si>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</si>
  <si>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</si>
  <si>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</si>
  <si>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</si>
  <si>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</si>
  <si>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</si>
  <si>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</si>
  <si>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</si>
  <si>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</si>
  <si>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</si>
  <si>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</si>
  <si>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</si>
  <si>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</si>
  <si>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</si>
  <si>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</si>
  <si>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</si>
  <si>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</si>
  <si>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</si>
  <si>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</si>
  <si>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</si>
  <si>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</si>
  <si>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</si>
  <si>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</si>
  <si>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</si>
  <si>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</si>
  <si>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</si>
  <si>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</si>
  <si>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</si>
  <si>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</si>
  <si>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</si>
  <si>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</si>
  <si>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</si>
  <si>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</si>
  <si>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</si>
  <si>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</si>
  <si>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</si>
  <si>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</si>
  <si>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</si>
  <si>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</si>
  <si>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</si>
  <si>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</si>
  <si>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</si>
  <si>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</si>
  <si>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</si>
  <si>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</si>
  <si>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</si>
  <si>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</si>
  <si>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</si>
  <si>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</si>
  <si>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</si>
  <si>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</si>
  <si>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</si>
  <si>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</si>
  <si>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</si>
  <si>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</si>
  <si>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</si>
  <si>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</si>
  <si>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</si>
  <si>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</si>
  <si>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</si>
  <si>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</si>
  <si>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</si>
  <si>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</si>
  <si>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</si>
  <si>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</si>
  <si>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</si>
  <si>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</si>
  <si>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</si>
  <si>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</si>
  <si>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</si>
  <si>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</si>
  <si>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</si>
  <si>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</si>
  <si>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</si>
  <si>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</si>
  <si>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</si>
  <si>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</si>
  <si>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</si>
  <si>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</si>
  <si>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</si>
  <si>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</si>
  <si>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</si>
  <si>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</si>
  <si>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</si>
  <si>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</si>
  <si>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</si>
  <si>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</si>
  <si>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</si>
  <si>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</si>
  <si>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</si>
  <si>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</si>
  <si>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</si>
  <si>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</si>
  <si>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</si>
  <si>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</si>
  <si>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</si>
  <si>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</si>
  <si>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</si>
  <si>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</si>
  <si>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</si>
  <si>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</si>
  <si>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</si>
  <si>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</si>
  <si>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</si>
  <si>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</si>
  <si>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</si>
  <si>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</si>
  <si>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</si>
  <si>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</si>
  <si>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</si>
  <si>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</si>
  <si>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</si>
  <si>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</si>
  <si>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</si>
  <si>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</si>
  <si>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</si>
  <si>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</si>
  <si>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</si>
  <si>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</si>
  <si>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</si>
  <si>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</si>
  <si>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</si>
  <si>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</si>
  <si>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</si>
  <si>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</si>
  <si>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WQ0013200</t>
  </si>
  <si>
    <t>SE Brunswick Sanitary District WWTF</t>
  </si>
  <si>
    <t>Continuous</t>
  </si>
  <si>
    <t>2 x Month</t>
  </si>
  <si>
    <t>3 x Year</t>
  </si>
  <si>
    <t>5 x Week</t>
  </si>
  <si>
    <t>6-9</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</si>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</sst>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96</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41</v>
      </c>
      <c r="G3" s="18" t="s">
        <v>30</v>
      </c>
      <c r="H3" s="46" t="s">
        <v>27</v>
      </c>
      <c r="I3" s="18" t="s">
        <v>48</v>
      </c>
      <c r="J3" s="46" t="s">
        <v>24</v>
      </c>
      <c r="K3" s="18" t="s">
        <v>14</v>
      </c>
      <c r="L3" s="46" t="s">
        <v>33</v>
      </c>
      <c r="M3" s="18" t="s">
        <v>44</v>
      </c>
      <c r="N3" s="46">
        <v>70295</v>
      </c>
      <c r="O3" s="18" t="s">
        <v>45</v>
      </c>
      <c r="P3" s="46" t="s">
        <v>57</v>
      </c>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Turbidity</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NTU</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364</v>
      </c>
      <c r="G40" s="61" t="s">
        <v>364</v>
      </c>
      <c r="H40" s="60" t="s">
        <v>364</v>
      </c>
      <c r="I40" s="61" t="s">
        <v>363</v>
      </c>
      <c r="J40" s="60" t="s">
        <v>363</v>
      </c>
      <c r="K40" s="61" t="s">
        <v>363</v>
      </c>
      <c r="L40" s="60" t="s">
        <v>364</v>
      </c>
      <c r="M40" s="61" t="s">
        <v>363</v>
      </c>
      <c r="N40" s="60" t="s">
        <v>363</v>
      </c>
      <c r="O40" s="61" t="s">
        <v>363</v>
      </c>
      <c r="P40" s="60" t="s">
        <v>365</v>
      </c>
      <c r="Q40" s="61"/>
      <c r="R40" s="60"/>
      <c r="S40" s="62"/>
    </row>
    <row r="41" spans="1:19" ht="15" customHeight="1">
      <c r="A41" s="89" t="s">
        <v>394</v>
      </c>
      <c r="B41" s="90"/>
      <c r="C41" s="91"/>
      <c r="D41" s="65">
        <v>500000</v>
      </c>
      <c r="E41" s="6">
        <v>10</v>
      </c>
      <c r="F41" s="63"/>
      <c r="G41" s="6"/>
      <c r="H41" s="63">
        <v>14</v>
      </c>
      <c r="I41" s="6">
        <v>4</v>
      </c>
      <c r="J41" s="63">
        <v>10</v>
      </c>
      <c r="K41" s="6">
        <v>4</v>
      </c>
      <c r="L41" s="63"/>
      <c r="M41" s="6">
        <v>2</v>
      </c>
      <c r="N41" s="63"/>
      <c r="O41" s="6">
        <v>5</v>
      </c>
      <c r="P41" s="63"/>
      <c r="Q41" s="6"/>
      <c r="R41" s="63"/>
      <c r="S41" s="54"/>
    </row>
    <row r="42" spans="1:19" ht="15" customHeight="1">
      <c r="A42" s="95" t="s">
        <v>373</v>
      </c>
      <c r="B42" s="112"/>
      <c r="C42" s="113"/>
      <c r="D42" s="65"/>
      <c r="E42" s="6">
        <v>15</v>
      </c>
      <c r="F42" s="63"/>
      <c r="G42" s="6"/>
      <c r="H42" s="63">
        <v>25</v>
      </c>
      <c r="I42" s="6">
        <v>6</v>
      </c>
      <c r="J42" s="63"/>
      <c r="K42" s="6"/>
      <c r="L42" s="195" t="s">
        <v>401</v>
      </c>
      <c r="M42" s="6"/>
      <c r="N42" s="63"/>
      <c r="O42" s="6">
        <v>10</v>
      </c>
      <c r="P42" s="63">
        <v>10</v>
      </c>
      <c r="Q42" s="6"/>
      <c r="R42" s="63"/>
      <c r="S42" s="54"/>
    </row>
    <row r="43" spans="1:19" ht="15" customHeight="1">
      <c r="A43" s="95" t="s">
        <v>374</v>
      </c>
      <c r="B43" s="110"/>
      <c r="C43" s="111"/>
      <c r="D43" s="66" t="s">
        <v>397</v>
      </c>
      <c r="E43" s="67" t="s">
        <v>398</v>
      </c>
      <c r="F43" s="68" t="s">
        <v>399</v>
      </c>
      <c r="G43" s="67" t="s">
        <v>399</v>
      </c>
      <c r="H43" s="68" t="s">
        <v>398</v>
      </c>
      <c r="I43" s="67" t="s">
        <v>398</v>
      </c>
      <c r="J43" s="68" t="s">
        <v>398</v>
      </c>
      <c r="K43" s="67" t="s">
        <v>398</v>
      </c>
      <c r="L43" s="68" t="s">
        <v>400</v>
      </c>
      <c r="M43" s="67" t="s">
        <v>398</v>
      </c>
      <c r="N43" s="68" t="s">
        <v>399</v>
      </c>
      <c r="O43" s="67" t="s">
        <v>398</v>
      </c>
      <c r="P43" s="68" t="s">
        <v>397</v>
      </c>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41</v>
      </c>
      <c r="F3" s="46" t="s">
        <v>30</v>
      </c>
      <c r="G3" s="18" t="s">
        <v>27</v>
      </c>
      <c r="H3" s="46" t="s">
        <v>24</v>
      </c>
      <c r="I3" s="18" t="s">
        <v>14</v>
      </c>
      <c r="J3" s="46" t="s">
        <v>33</v>
      </c>
      <c r="K3" s="18" t="s">
        <v>44</v>
      </c>
      <c r="L3" s="46">
        <v>70295</v>
      </c>
      <c r="M3" s="18" t="s">
        <v>45</v>
      </c>
      <c r="N3" s="46"/>
      <c r="O3" s="18"/>
      <c r="P3" s="46"/>
      <c r="Q3" s="18"/>
      <c r="R3" s="46"/>
      <c r="S3" s="28"/>
    </row>
    <row r="4" spans="1:20" ht="71.25" customHeight="1">
      <c r="A4" s="87" t="s">
        <v>69</v>
      </c>
      <c r="B4" s="15" t="s">
        <v>378</v>
      </c>
      <c r="C4" s="16" t="s">
        <v>379</v>
      </c>
      <c r="D4" s="36" t="s">
        <v>230</v>
      </c>
      <c r="E4" s="47" t="str">
        <f>IF(ISBLANK(E$3), " ", VLOOKUP(E$3,'PCS Parameter Codes'!$A$1:$D$76,2,FALSE))</f>
        <v>Total Organic Carbon</v>
      </c>
      <c r="F4" s="48" t="str">
        <f>IF(ISBLANK(F$3), " ", VLOOKUP(F$3,'PCS Parameter Codes'!$A$1:$D$76,2,FALSE))</f>
        <v>Chloride</v>
      </c>
      <c r="G4" s="47" t="str">
        <f>IF(ISBLANK(G$3), " ", VLOOKUP(G$3,'PCS Parameter Codes'!$A$1:$D$76,2,FALSE))</f>
        <v>Fecal Coliform</v>
      </c>
      <c r="H4" s="48" t="str">
        <f>IF(ISBLANK(H$3), " ", VLOOKUP(H$3,'PCS Parameter Codes'!$A$1:$D$76,2,FALSE))</f>
        <v>Nitrate</v>
      </c>
      <c r="I4" s="47" t="str">
        <f>IF(ISBLANK(I$3), " ", VLOOKUP(I$3,'PCS Parameter Codes'!$A$1:$D$76,2,FALSE))</f>
        <v>Total Nitrogen</v>
      </c>
      <c r="J4" s="48" t="str">
        <f>IF(ISBLANK(J$3), " ", VLOOKUP(J$3,'PCS Parameter Codes'!$A$1:$D$76,2,FALSE))</f>
        <v>pH</v>
      </c>
      <c r="K4" s="47" t="str">
        <f>IF(ISBLANK(K$3), " ", VLOOKUP(K$3,'PCS Parameter Codes'!$A$1:$D$76,2,FALSE))</f>
        <v>Total Phosphorus</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195"/>
      <c r="M42" s="6"/>
      <c r="N42" s="63"/>
      <c r="O42" s="6"/>
      <c r="P42" s="63"/>
      <c r="Q42" s="6"/>
      <c r="R42" s="63"/>
      <c r="S42" s="54"/>
    </row>
    <row r="43" spans="1:19" ht="15" customHeight="1">
      <c r="A43" s="95" t="s">
        <v>374</v>
      </c>
      <c r="B43" s="110"/>
      <c r="C43" s="111"/>
      <c r="D43" s="66" t="s">
        <v>397</v>
      </c>
      <c r="E43" s="67" t="s">
        <v>399</v>
      </c>
      <c r="F43" s="68" t="s">
        <v>399</v>
      </c>
      <c r="G43" s="67" t="s">
        <v>402</v>
      </c>
      <c r="H43" s="68" t="s">
        <v>402</v>
      </c>
      <c r="I43" s="67" t="s">
        <v>402</v>
      </c>
      <c r="J43" s="68" t="s">
        <v>402</v>
      </c>
      <c r="K43" s="67" t="s">
        <v>402</v>
      </c>
      <c r="L43" s="68" t="s">
        <v>399</v>
      </c>
      <c r="M43" s="67" t="s">
        <v>402</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96</v>
      </c>
      <c r="N1" s="81"/>
      <c r="O1" s="78" t="s">
        <v>63</v>
      </c>
      <c r="P1" s="80"/>
      <c r="Q1" s="81"/>
      <c r="R1" s="79" t="s">
        <v>64</v>
      </c>
      <c r="S1" s="25"/>
      <c r="T1" s="3"/>
    </row>
    <row r="2" spans="1:20" ht="22.5" customHeight="1" thickBot="1">
      <c r="A2" s="82" t="s">
        <v>67</v>
      </c>
      <c r="B2" s="83"/>
      <c r="C2" s="14" t="s">
        <v>201</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c r="F40" s="60"/>
      <c r="G40" s="61"/>
      <c r="H40" s="60"/>
      <c r="I40" s="61"/>
      <c r="J40" s="60"/>
      <c r="K40" s="61"/>
      <c r="L40" s="60"/>
      <c r="M40" s="61"/>
      <c r="N40" s="60"/>
      <c r="O40" s="61"/>
      <c r="P40" s="60"/>
      <c r="Q40" s="61"/>
      <c r="R40" s="60"/>
      <c r="S40" s="62"/>
    </row>
    <row r="41" spans="1:19" ht="15" customHeight="1">
      <c r="A41" s="89" t="s">
        <v>394</v>
      </c>
      <c r="B41" s="90"/>
      <c r="C41" s="91"/>
      <c r="D41" s="65"/>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195"/>
      <c r="M42" s="6"/>
      <c r="N42" s="63"/>
      <c r="O42" s="6"/>
      <c r="P42" s="63"/>
      <c r="Q42" s="6"/>
      <c r="R42" s="63"/>
      <c r="S42" s="54"/>
    </row>
    <row r="43" spans="1:19" ht="15" customHeight="1">
      <c r="A43" s="95" t="s">
        <v>374</v>
      </c>
      <c r="B43" s="110"/>
      <c r="C43" s="111"/>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2013-04-25T19:32:50Z</dcterms:modified>
</cp:coreProperties>
</file>