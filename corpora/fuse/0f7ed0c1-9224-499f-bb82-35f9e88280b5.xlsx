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10" yWindow="210" windowWidth="7500" windowHeight="8310" tabRatio="868" firstSheet="7" activeTab="9"/>
  </bookViews>
  <sheets>
    <sheet name="2011-12" sheetId="10" r:id="rId1"/>
    <sheet name="2010-11" sheetId="11" r:id="rId2"/>
    <sheet name="2009-10" sheetId="12" r:id="rId3"/>
    <sheet name="2008-09" sheetId="13" r:id="rId4"/>
    <sheet name="2007-08" sheetId="14" r:id="rId5"/>
    <sheet name="2006-07" sheetId="15" r:id="rId6"/>
    <sheet name="2005-06" sheetId="16" r:id="rId7"/>
    <sheet name="2004-05" sheetId="17" r:id="rId8"/>
    <sheet name="2003-04" sheetId="6" r:id="rId9"/>
    <sheet name="2002-03" sheetId="7" r:id="rId10"/>
    <sheet name="2001-02" sheetId="8" r:id="rId11"/>
    <sheet name="2000-01" sheetId="9" r:id="rId12"/>
    <sheet name="1999-00" sheetId="4" r:id="rId13"/>
    <sheet name="1998-99" sheetId="5" r:id="rId14"/>
    <sheet name="1997-98" sheetId="3" r:id="rId15"/>
    <sheet name="1996-97" sheetId="2" r:id="rId16"/>
    <sheet name="1995-96" sheetId="1" r:id="rId17"/>
  </sheets>
  <calcPr calcId="145621"/>
</workbook>
</file>

<file path=xl/calcChain.xml><?xml version="1.0" encoding="utf-8"?>
<calcChain xmlns="http://schemas.openxmlformats.org/spreadsheetml/2006/main">
  <c r="I94" i="5" l="1"/>
  <c r="H94" i="5"/>
  <c r="G94" i="5"/>
  <c r="D94" i="5"/>
  <c r="I109" i="4"/>
  <c r="H109" i="4"/>
  <c r="F109" i="4"/>
  <c r="E109" i="4"/>
  <c r="C109" i="4"/>
  <c r="B109" i="4"/>
  <c r="I98" i="4"/>
  <c r="H98" i="4"/>
  <c r="G98" i="4"/>
  <c r="F111" i="4" s="1"/>
  <c r="D98" i="4"/>
  <c r="B111" i="4" s="1"/>
  <c r="I97" i="4"/>
  <c r="H97" i="4"/>
  <c r="G97" i="4"/>
  <c r="F110" i="4" s="1"/>
  <c r="D97" i="4"/>
  <c r="C110" i="4" s="1"/>
  <c r="I96" i="4"/>
  <c r="H96" i="4"/>
  <c r="G96" i="4"/>
  <c r="D96" i="4"/>
  <c r="G90" i="4"/>
  <c r="I96" i="9"/>
  <c r="H96" i="9"/>
  <c r="J96" i="9" s="1"/>
  <c r="I107" i="9" s="1"/>
  <c r="G96" i="9"/>
  <c r="F107" i="9" s="1"/>
  <c r="D96" i="9"/>
  <c r="I95" i="9"/>
  <c r="H95" i="9"/>
  <c r="G95" i="9"/>
  <c r="F106" i="9" s="1"/>
  <c r="D95" i="9"/>
  <c r="C106" i="9" s="1"/>
  <c r="F111" i="8"/>
  <c r="I111" i="8"/>
  <c r="H111" i="8"/>
  <c r="E111" i="8"/>
  <c r="C111" i="8"/>
  <c r="B111" i="8"/>
  <c r="G99" i="8"/>
  <c r="E110" i="8" s="1"/>
  <c r="H99" i="8"/>
  <c r="I99" i="8"/>
  <c r="J99" i="8"/>
  <c r="G100" i="8"/>
  <c r="H100" i="8"/>
  <c r="I100" i="8"/>
  <c r="G101" i="8"/>
  <c r="H101" i="8"/>
  <c r="I101" i="8"/>
  <c r="J101" i="8" s="1"/>
  <c r="G102" i="8"/>
  <c r="H102" i="8"/>
  <c r="J102" i="8" s="1"/>
  <c r="I102" i="8"/>
  <c r="D99" i="8"/>
  <c r="B110" i="8" s="1"/>
  <c r="D100" i="8"/>
  <c r="D101" i="8"/>
  <c r="B104" i="8"/>
  <c r="C104" i="8"/>
  <c r="B111" i="7"/>
  <c r="C111" i="7"/>
  <c r="G99" i="7"/>
  <c r="E110" i="7" s="1"/>
  <c r="H99" i="7"/>
  <c r="H110" i="7" s="1"/>
  <c r="I99" i="7"/>
  <c r="J99" i="7" s="1"/>
  <c r="G100" i="7"/>
  <c r="E111" i="7" s="1"/>
  <c r="H100" i="7"/>
  <c r="I100" i="7"/>
  <c r="D99" i="7"/>
  <c r="B110" i="7" s="1"/>
  <c r="D100" i="7"/>
  <c r="H97" i="6"/>
  <c r="J97" i="6" s="1"/>
  <c r="I97" i="6"/>
  <c r="H98" i="6"/>
  <c r="I98" i="6"/>
  <c r="J98" i="6" s="1"/>
  <c r="H99" i="6"/>
  <c r="I99" i="6"/>
  <c r="G97" i="6"/>
  <c r="F108" i="6" s="1"/>
  <c r="G98" i="6"/>
  <c r="E109" i="6" s="1"/>
  <c r="G99" i="6"/>
  <c r="F110" i="6" s="1"/>
  <c r="D97" i="6"/>
  <c r="D98" i="6"/>
  <c r="B109" i="6" s="1"/>
  <c r="B111" i="17"/>
  <c r="C107" i="17"/>
  <c r="C109" i="17"/>
  <c r="C110" i="17"/>
  <c r="C111" i="17"/>
  <c r="B109" i="17"/>
  <c r="B110" i="17"/>
  <c r="D99" i="17"/>
  <c r="G99" i="17"/>
  <c r="H99" i="17"/>
  <c r="I99" i="17"/>
  <c r="D100" i="17"/>
  <c r="G100" i="17"/>
  <c r="H100" i="17"/>
  <c r="I100" i="17"/>
  <c r="J100" i="17"/>
  <c r="D101" i="17"/>
  <c r="C112" i="17" s="1"/>
  <c r="G101" i="17"/>
  <c r="F112" i="17" s="1"/>
  <c r="H101" i="17"/>
  <c r="I101" i="17"/>
  <c r="B103" i="17"/>
  <c r="C103" i="17"/>
  <c r="I113" i="16"/>
  <c r="E113" i="16"/>
  <c r="F113" i="16"/>
  <c r="C112" i="16"/>
  <c r="C113" i="16"/>
  <c r="B108" i="16"/>
  <c r="B110" i="16"/>
  <c r="B111" i="16"/>
  <c r="B112" i="16"/>
  <c r="B113" i="16"/>
  <c r="H102" i="16"/>
  <c r="I102" i="16"/>
  <c r="J102" i="16"/>
  <c r="H113" i="16" s="1"/>
  <c r="G102" i="16"/>
  <c r="D102" i="16"/>
  <c r="B104" i="16"/>
  <c r="C104" i="16"/>
  <c r="E104" i="16"/>
  <c r="F104" i="16"/>
  <c r="D39" i="15"/>
  <c r="G39" i="15"/>
  <c r="H39" i="15"/>
  <c r="I39" i="15"/>
  <c r="D40" i="15"/>
  <c r="G40" i="15"/>
  <c r="H40" i="15"/>
  <c r="I40" i="15"/>
  <c r="J40" i="15"/>
  <c r="D41" i="15"/>
  <c r="G41" i="15"/>
  <c r="H41" i="15"/>
  <c r="J41" i="15" s="1"/>
  <c r="I41" i="15"/>
  <c r="D42" i="15"/>
  <c r="G42" i="15"/>
  <c r="H42" i="15"/>
  <c r="I42" i="15"/>
  <c r="J42" i="15" s="1"/>
  <c r="D43" i="15"/>
  <c r="G43" i="15"/>
  <c r="H43" i="15"/>
  <c r="I43" i="15"/>
  <c r="J43" i="15"/>
  <c r="B93" i="15"/>
  <c r="C93" i="15"/>
  <c r="E93" i="15"/>
  <c r="F93" i="15"/>
  <c r="I93" i="15" s="1"/>
  <c r="F89" i="1"/>
  <c r="E89" i="1"/>
  <c r="C89" i="1"/>
  <c r="B89" i="1"/>
  <c r="I88" i="1"/>
  <c r="H88" i="1"/>
  <c r="J88" i="1" s="1"/>
  <c r="I98" i="1" s="1"/>
  <c r="G88" i="1"/>
  <c r="E98" i="1" s="1"/>
  <c r="D88" i="1"/>
  <c r="C98" i="1" s="1"/>
  <c r="I87" i="1"/>
  <c r="H87" i="1"/>
  <c r="G87" i="1"/>
  <c r="F97" i="1" s="1"/>
  <c r="D87" i="1"/>
  <c r="C97" i="1" s="1"/>
  <c r="I86" i="1"/>
  <c r="H86" i="1"/>
  <c r="G86" i="1"/>
  <c r="F96" i="1" s="1"/>
  <c r="D86" i="1"/>
  <c r="C96" i="1" s="1"/>
  <c r="I85" i="1"/>
  <c r="H85" i="1"/>
  <c r="G85" i="1"/>
  <c r="F95" i="1" s="1"/>
  <c r="D85" i="1"/>
  <c r="C95" i="1" s="1"/>
  <c r="I84" i="1"/>
  <c r="H84" i="1"/>
  <c r="G84" i="1"/>
  <c r="F94" i="1" s="1"/>
  <c r="D84" i="1"/>
  <c r="C94" i="1" s="1"/>
  <c r="I83" i="1"/>
  <c r="H83" i="1"/>
  <c r="G83" i="1"/>
  <c r="F93" i="1" s="1"/>
  <c r="D83" i="1"/>
  <c r="C93" i="1" s="1"/>
  <c r="I82" i="1"/>
  <c r="H82" i="1"/>
  <c r="G82" i="1"/>
  <c r="F92" i="1" s="1"/>
  <c r="D82" i="1"/>
  <c r="C92" i="1" s="1"/>
  <c r="I81" i="1"/>
  <c r="H81" i="1"/>
  <c r="G81" i="1"/>
  <c r="F91" i="1" s="1"/>
  <c r="D81" i="1"/>
  <c r="C91" i="1" s="1"/>
  <c r="F77" i="1"/>
  <c r="E77" i="1"/>
  <c r="G77" i="1" s="1"/>
  <c r="C77" i="1"/>
  <c r="B77" i="1"/>
  <c r="I76" i="1"/>
  <c r="H76" i="1"/>
  <c r="G76" i="1"/>
  <c r="D76" i="1"/>
  <c r="I75" i="1"/>
  <c r="H75" i="1"/>
  <c r="J75" i="1" s="1"/>
  <c r="G75" i="1"/>
  <c r="D75" i="1"/>
  <c r="I74" i="1"/>
  <c r="H74" i="1"/>
  <c r="G74" i="1"/>
  <c r="D74" i="1"/>
  <c r="I73" i="1"/>
  <c r="H73" i="1"/>
  <c r="G73" i="1"/>
  <c r="D73" i="1"/>
  <c r="I72" i="1"/>
  <c r="H72" i="1"/>
  <c r="J72" i="1" s="1"/>
  <c r="G72" i="1"/>
  <c r="D72" i="1"/>
  <c r="I71" i="1"/>
  <c r="H71" i="1"/>
  <c r="G71" i="1"/>
  <c r="D71" i="1"/>
  <c r="I70" i="1"/>
  <c r="H70" i="1"/>
  <c r="J70" i="1" s="1"/>
  <c r="G70" i="1"/>
  <c r="D70" i="1"/>
  <c r="I69" i="1"/>
  <c r="H69" i="1"/>
  <c r="G69" i="1"/>
  <c r="D69" i="1"/>
  <c r="I68" i="1"/>
  <c r="H68" i="1"/>
  <c r="G68" i="1"/>
  <c r="D68" i="1"/>
  <c r="I67" i="1"/>
  <c r="H67" i="1"/>
  <c r="J67" i="1" s="1"/>
  <c r="G67" i="1"/>
  <c r="D67" i="1"/>
  <c r="I66" i="1"/>
  <c r="H66" i="1"/>
  <c r="J66" i="1" s="1"/>
  <c r="G66" i="1"/>
  <c r="D66" i="1"/>
  <c r="I65" i="1"/>
  <c r="H65" i="1"/>
  <c r="J65" i="1" s="1"/>
  <c r="G65" i="1"/>
  <c r="D65" i="1"/>
  <c r="I64" i="1"/>
  <c r="H64" i="1"/>
  <c r="G64" i="1"/>
  <c r="D64" i="1"/>
  <c r="I63" i="1"/>
  <c r="H63" i="1"/>
  <c r="J63" i="1" s="1"/>
  <c r="G63" i="1"/>
  <c r="D63" i="1"/>
  <c r="I62" i="1"/>
  <c r="H62" i="1"/>
  <c r="J62" i="1" s="1"/>
  <c r="G62" i="1"/>
  <c r="D62" i="1"/>
  <c r="I61" i="1"/>
  <c r="H61" i="1"/>
  <c r="J61" i="1" s="1"/>
  <c r="G61" i="1"/>
  <c r="D61" i="1"/>
  <c r="I60" i="1"/>
  <c r="H60" i="1"/>
  <c r="G60" i="1"/>
  <c r="D60" i="1"/>
  <c r="I59" i="1"/>
  <c r="H59" i="1"/>
  <c r="J59" i="1" s="1"/>
  <c r="G59" i="1"/>
  <c r="D59" i="1"/>
  <c r="I58" i="1"/>
  <c r="H58" i="1"/>
  <c r="J58" i="1" s="1"/>
  <c r="G58" i="1"/>
  <c r="D58" i="1"/>
  <c r="I57" i="1"/>
  <c r="H57" i="1"/>
  <c r="J57" i="1" s="1"/>
  <c r="G57" i="1"/>
  <c r="D57" i="1"/>
  <c r="I56" i="1"/>
  <c r="H56" i="1"/>
  <c r="G56" i="1"/>
  <c r="D56" i="1"/>
  <c r="I55" i="1"/>
  <c r="H55" i="1"/>
  <c r="G55" i="1"/>
  <c r="D55" i="1"/>
  <c r="I54" i="1"/>
  <c r="H54" i="1"/>
  <c r="G54" i="1"/>
  <c r="D54" i="1"/>
  <c r="I53" i="1"/>
  <c r="H53" i="1"/>
  <c r="G53" i="1"/>
  <c r="D53" i="1"/>
  <c r="I52" i="1"/>
  <c r="H52" i="1"/>
  <c r="G52" i="1"/>
  <c r="D52" i="1"/>
  <c r="I51" i="1"/>
  <c r="H51" i="1"/>
  <c r="G51" i="1"/>
  <c r="D51" i="1"/>
  <c r="I50" i="1"/>
  <c r="H50" i="1"/>
  <c r="J50" i="1" s="1"/>
  <c r="G50" i="1"/>
  <c r="D50" i="1"/>
  <c r="I49" i="1"/>
  <c r="H49" i="1"/>
  <c r="G49" i="1"/>
  <c r="D49" i="1"/>
  <c r="I48" i="1"/>
  <c r="H48" i="1"/>
  <c r="G48" i="1"/>
  <c r="D48" i="1"/>
  <c r="I47" i="1"/>
  <c r="H47" i="1"/>
  <c r="G47" i="1"/>
  <c r="D47" i="1"/>
  <c r="I46" i="1"/>
  <c r="H46" i="1"/>
  <c r="J46" i="1" s="1"/>
  <c r="G46" i="1"/>
  <c r="D46" i="1"/>
  <c r="I45" i="1"/>
  <c r="H45" i="1"/>
  <c r="G45" i="1"/>
  <c r="D45" i="1"/>
  <c r="I44" i="1"/>
  <c r="H44" i="1"/>
  <c r="G44" i="1"/>
  <c r="D44" i="1"/>
  <c r="I43" i="1"/>
  <c r="H43" i="1"/>
  <c r="G43" i="1"/>
  <c r="D43" i="1"/>
  <c r="I42" i="1"/>
  <c r="H42" i="1"/>
  <c r="J42" i="1" s="1"/>
  <c r="G42" i="1"/>
  <c r="D42" i="1"/>
  <c r="I41" i="1"/>
  <c r="H41" i="1"/>
  <c r="G41" i="1"/>
  <c r="D41" i="1"/>
  <c r="I40" i="1"/>
  <c r="H40" i="1"/>
  <c r="G40" i="1"/>
  <c r="D40" i="1"/>
  <c r="I39" i="1"/>
  <c r="H39" i="1"/>
  <c r="G39" i="1"/>
  <c r="D39" i="1"/>
  <c r="I38" i="1"/>
  <c r="H38" i="1"/>
  <c r="J38" i="1" s="1"/>
  <c r="G38" i="1"/>
  <c r="D38" i="1"/>
  <c r="I37" i="1"/>
  <c r="H37" i="1"/>
  <c r="G37" i="1"/>
  <c r="D37" i="1"/>
  <c r="I36" i="1"/>
  <c r="H36" i="1"/>
  <c r="G36" i="1"/>
  <c r="D36" i="1"/>
  <c r="I35" i="1"/>
  <c r="H35" i="1"/>
  <c r="G35" i="1"/>
  <c r="D35" i="1"/>
  <c r="I34" i="1"/>
  <c r="H34" i="1"/>
  <c r="J34" i="1" s="1"/>
  <c r="G34" i="1"/>
  <c r="D34" i="1"/>
  <c r="I33" i="1"/>
  <c r="H33" i="1"/>
  <c r="G33" i="1"/>
  <c r="D33" i="1"/>
  <c r="I32" i="1"/>
  <c r="H32" i="1"/>
  <c r="G32" i="1"/>
  <c r="D32" i="1"/>
  <c r="I31" i="1"/>
  <c r="H31" i="1"/>
  <c r="G31" i="1"/>
  <c r="D31" i="1"/>
  <c r="I30" i="1"/>
  <c r="H30" i="1"/>
  <c r="J30" i="1" s="1"/>
  <c r="G30" i="1"/>
  <c r="D30" i="1"/>
  <c r="I29" i="1"/>
  <c r="H29" i="1"/>
  <c r="G29" i="1"/>
  <c r="D29" i="1"/>
  <c r="I28" i="1"/>
  <c r="H28" i="1"/>
  <c r="G28" i="1"/>
  <c r="D28" i="1"/>
  <c r="I27" i="1"/>
  <c r="H27" i="1"/>
  <c r="G27" i="1"/>
  <c r="D27" i="1"/>
  <c r="I26" i="1"/>
  <c r="H26" i="1"/>
  <c r="J26" i="1" s="1"/>
  <c r="G26" i="1"/>
  <c r="D26" i="1"/>
  <c r="I25" i="1"/>
  <c r="H25" i="1"/>
  <c r="G25" i="1"/>
  <c r="D25" i="1"/>
  <c r="I24" i="1"/>
  <c r="H24" i="1"/>
  <c r="G24" i="1"/>
  <c r="D24" i="1"/>
  <c r="I23" i="1"/>
  <c r="H23" i="1"/>
  <c r="G23" i="1"/>
  <c r="D23" i="1"/>
  <c r="I22" i="1"/>
  <c r="H22" i="1"/>
  <c r="J22" i="1" s="1"/>
  <c r="G22" i="1"/>
  <c r="D22" i="1"/>
  <c r="I21" i="1"/>
  <c r="H21" i="1"/>
  <c r="G21" i="1"/>
  <c r="D21" i="1"/>
  <c r="I20" i="1"/>
  <c r="H20" i="1"/>
  <c r="G20" i="1"/>
  <c r="D20" i="1"/>
  <c r="I19" i="1"/>
  <c r="H19" i="1"/>
  <c r="G19" i="1"/>
  <c r="D19" i="1"/>
  <c r="I18" i="1"/>
  <c r="H18" i="1"/>
  <c r="J18" i="1" s="1"/>
  <c r="G18" i="1"/>
  <c r="D18" i="1"/>
  <c r="I17" i="1"/>
  <c r="H17" i="1"/>
  <c r="G17" i="1"/>
  <c r="D17" i="1"/>
  <c r="I16" i="1"/>
  <c r="H16" i="1"/>
  <c r="G16" i="1"/>
  <c r="D16" i="1"/>
  <c r="I15" i="1"/>
  <c r="H15" i="1"/>
  <c r="G15" i="1"/>
  <c r="D15" i="1"/>
  <c r="I14" i="1"/>
  <c r="H14" i="1"/>
  <c r="J14" i="1" s="1"/>
  <c r="G14" i="1"/>
  <c r="D14" i="1"/>
  <c r="I13" i="1"/>
  <c r="H13" i="1"/>
  <c r="G13" i="1"/>
  <c r="D13" i="1"/>
  <c r="I12" i="1"/>
  <c r="H12" i="1"/>
  <c r="G12" i="1"/>
  <c r="D12" i="1"/>
  <c r="I11" i="1"/>
  <c r="H11" i="1"/>
  <c r="G11" i="1"/>
  <c r="D11" i="1"/>
  <c r="I10" i="1"/>
  <c r="H10" i="1"/>
  <c r="J10" i="1" s="1"/>
  <c r="G10" i="1"/>
  <c r="D10" i="1"/>
  <c r="I9" i="1"/>
  <c r="H9" i="1"/>
  <c r="J9" i="1" s="1"/>
  <c r="G9" i="1"/>
  <c r="D9" i="1"/>
  <c r="I8" i="1"/>
  <c r="H8" i="1"/>
  <c r="G8" i="1"/>
  <c r="D8" i="1"/>
  <c r="I7" i="1"/>
  <c r="H7" i="1"/>
  <c r="G7" i="1"/>
  <c r="D7" i="1"/>
  <c r="A3" i="1"/>
  <c r="F102" i="2"/>
  <c r="E102" i="2"/>
  <c r="F93" i="2"/>
  <c r="E93" i="2"/>
  <c r="C93" i="2"/>
  <c r="B93" i="2"/>
  <c r="I92" i="2"/>
  <c r="H92" i="2"/>
  <c r="G92" i="2"/>
  <c r="D92" i="2"/>
  <c r="C102" i="2" s="1"/>
  <c r="I91" i="2"/>
  <c r="H91" i="2"/>
  <c r="G91" i="2"/>
  <c r="F101" i="2" s="1"/>
  <c r="D91" i="2"/>
  <c r="C101" i="2" s="1"/>
  <c r="I90" i="2"/>
  <c r="H90" i="2"/>
  <c r="G90" i="2"/>
  <c r="F100" i="2" s="1"/>
  <c r="D90" i="2"/>
  <c r="B100" i="2" s="1"/>
  <c r="I89" i="2"/>
  <c r="H89" i="2"/>
  <c r="G89" i="2"/>
  <c r="F99" i="2" s="1"/>
  <c r="D89" i="2"/>
  <c r="C99" i="2" s="1"/>
  <c r="I88" i="2"/>
  <c r="H88" i="2"/>
  <c r="G88" i="2"/>
  <c r="F98" i="2" s="1"/>
  <c r="D88" i="2"/>
  <c r="C98" i="2" s="1"/>
  <c r="I87" i="2"/>
  <c r="H87" i="2"/>
  <c r="G87" i="2"/>
  <c r="E97" i="2" s="1"/>
  <c r="D87" i="2"/>
  <c r="C97" i="2" s="1"/>
  <c r="I86" i="2"/>
  <c r="H86" i="2"/>
  <c r="G86" i="2"/>
  <c r="F96" i="2" s="1"/>
  <c r="D86" i="2"/>
  <c r="C96" i="2" s="1"/>
  <c r="I85" i="2"/>
  <c r="H85" i="2"/>
  <c r="J85" i="2" s="1"/>
  <c r="G85" i="2"/>
  <c r="F95" i="2" s="1"/>
  <c r="D85" i="2"/>
  <c r="C95" i="2" s="1"/>
  <c r="F81" i="2"/>
  <c r="E81" i="2"/>
  <c r="G81" i="2" s="1"/>
  <c r="C81" i="2"/>
  <c r="I81" i="2" s="1"/>
  <c r="B81" i="2"/>
  <c r="H81" i="2" s="1"/>
  <c r="I80" i="2"/>
  <c r="H80" i="2"/>
  <c r="J80" i="2" s="1"/>
  <c r="G80" i="2"/>
  <c r="D80" i="2"/>
  <c r="I79" i="2"/>
  <c r="H79" i="2"/>
  <c r="G79" i="2"/>
  <c r="D79" i="2"/>
  <c r="I78" i="2"/>
  <c r="H78" i="2"/>
  <c r="J78" i="2" s="1"/>
  <c r="G78" i="2"/>
  <c r="D78" i="2"/>
  <c r="I77" i="2"/>
  <c r="H77" i="2"/>
  <c r="J77" i="2" s="1"/>
  <c r="G77" i="2"/>
  <c r="D77" i="2"/>
  <c r="I76" i="2"/>
  <c r="H76" i="2"/>
  <c r="J76" i="2" s="1"/>
  <c r="G76" i="2"/>
  <c r="D76" i="2"/>
  <c r="I75" i="2"/>
  <c r="H75" i="2"/>
  <c r="G75" i="2"/>
  <c r="D75" i="2"/>
  <c r="I74" i="2"/>
  <c r="H74" i="2"/>
  <c r="J74" i="2" s="1"/>
  <c r="G74" i="2"/>
  <c r="D74" i="2"/>
  <c r="I73" i="2"/>
  <c r="H73" i="2"/>
  <c r="G73" i="2"/>
  <c r="D73" i="2"/>
  <c r="I72" i="2"/>
  <c r="H72" i="2"/>
  <c r="J72" i="2" s="1"/>
  <c r="G72" i="2"/>
  <c r="D72" i="2"/>
  <c r="I71" i="2"/>
  <c r="H71" i="2"/>
  <c r="G71" i="2"/>
  <c r="D71" i="2"/>
  <c r="I70" i="2"/>
  <c r="H70" i="2"/>
  <c r="G70" i="2"/>
  <c r="D70" i="2"/>
  <c r="I69" i="2"/>
  <c r="H69" i="2"/>
  <c r="J69" i="2" s="1"/>
  <c r="G69" i="2"/>
  <c r="D69" i="2"/>
  <c r="I68" i="2"/>
  <c r="H68" i="2"/>
  <c r="J68" i="2" s="1"/>
  <c r="G68" i="2"/>
  <c r="D68" i="2"/>
  <c r="I67" i="2"/>
  <c r="H67" i="2"/>
  <c r="G67" i="2"/>
  <c r="D67" i="2"/>
  <c r="I66" i="2"/>
  <c r="H66" i="2"/>
  <c r="G66" i="2"/>
  <c r="D66" i="2"/>
  <c r="I65" i="2"/>
  <c r="H65" i="2"/>
  <c r="J65" i="2" s="1"/>
  <c r="G65" i="2"/>
  <c r="D65" i="2"/>
  <c r="I64" i="2"/>
  <c r="H64" i="2"/>
  <c r="J64" i="2" s="1"/>
  <c r="G64" i="2"/>
  <c r="D64" i="2"/>
  <c r="I63" i="2"/>
  <c r="H63" i="2"/>
  <c r="G63" i="2"/>
  <c r="D63" i="2"/>
  <c r="I62" i="2"/>
  <c r="H62" i="2"/>
  <c r="J62" i="2" s="1"/>
  <c r="G62" i="2"/>
  <c r="D62" i="2"/>
  <c r="I61" i="2"/>
  <c r="H61" i="2"/>
  <c r="G61" i="2"/>
  <c r="D61" i="2"/>
  <c r="I60" i="2"/>
  <c r="H60" i="2"/>
  <c r="J60" i="2" s="1"/>
  <c r="G60" i="2"/>
  <c r="D60" i="2"/>
  <c r="I59" i="2"/>
  <c r="H59" i="2"/>
  <c r="G59" i="2"/>
  <c r="D59" i="2"/>
  <c r="I58" i="2"/>
  <c r="H58" i="2"/>
  <c r="G58" i="2"/>
  <c r="D58" i="2"/>
  <c r="I57" i="2"/>
  <c r="H57" i="2"/>
  <c r="G57" i="2"/>
  <c r="D57" i="2"/>
  <c r="I56" i="2"/>
  <c r="H56" i="2"/>
  <c r="J56" i="2" s="1"/>
  <c r="G56" i="2"/>
  <c r="D56" i="2"/>
  <c r="I55" i="2"/>
  <c r="H55" i="2"/>
  <c r="G55" i="2"/>
  <c r="D55" i="2"/>
  <c r="I54" i="2"/>
  <c r="H54" i="2"/>
  <c r="J54" i="2" s="1"/>
  <c r="G54" i="2"/>
  <c r="D54" i="2"/>
  <c r="I53" i="2"/>
  <c r="H53" i="2"/>
  <c r="G53" i="2"/>
  <c r="D53" i="2"/>
  <c r="I52" i="2"/>
  <c r="H52" i="2"/>
  <c r="J52" i="2" s="1"/>
  <c r="G52" i="2"/>
  <c r="D52" i="2"/>
  <c r="I51" i="2"/>
  <c r="H51" i="2"/>
  <c r="G51" i="2"/>
  <c r="D51" i="2"/>
  <c r="I50" i="2"/>
  <c r="H50" i="2"/>
  <c r="G50" i="2"/>
  <c r="D50" i="2"/>
  <c r="I49" i="2"/>
  <c r="H49" i="2"/>
  <c r="G49" i="2"/>
  <c r="D49" i="2"/>
  <c r="I48" i="2"/>
  <c r="H48" i="2"/>
  <c r="J48" i="2" s="1"/>
  <c r="G48" i="2"/>
  <c r="D48" i="2"/>
  <c r="I47" i="2"/>
  <c r="H47" i="2"/>
  <c r="G47" i="2"/>
  <c r="D47" i="2"/>
  <c r="I46" i="2"/>
  <c r="H46" i="2"/>
  <c r="J46" i="2" s="1"/>
  <c r="G46" i="2"/>
  <c r="D46" i="2"/>
  <c r="I45" i="2"/>
  <c r="H45" i="2"/>
  <c r="G45" i="2"/>
  <c r="D45" i="2"/>
  <c r="I44" i="2"/>
  <c r="H44" i="2"/>
  <c r="J44" i="2" s="1"/>
  <c r="G44" i="2"/>
  <c r="D44" i="2"/>
  <c r="I43" i="2"/>
  <c r="H43" i="2"/>
  <c r="G43" i="2"/>
  <c r="D43" i="2"/>
  <c r="I42" i="2"/>
  <c r="H42" i="2"/>
  <c r="J42" i="2" s="1"/>
  <c r="G42" i="2"/>
  <c r="D42" i="2"/>
  <c r="I41" i="2"/>
  <c r="H41" i="2"/>
  <c r="G41" i="2"/>
  <c r="D41" i="2"/>
  <c r="I40" i="2"/>
  <c r="H40" i="2"/>
  <c r="J40" i="2" s="1"/>
  <c r="G40" i="2"/>
  <c r="D40" i="2"/>
  <c r="I39" i="2"/>
  <c r="H39" i="2"/>
  <c r="G39" i="2"/>
  <c r="D39" i="2"/>
  <c r="I38" i="2"/>
  <c r="H38" i="2"/>
  <c r="G38" i="2"/>
  <c r="D38" i="2"/>
  <c r="I37" i="2"/>
  <c r="H37" i="2"/>
  <c r="G37" i="2"/>
  <c r="D37" i="2"/>
  <c r="I36" i="2"/>
  <c r="H36" i="2"/>
  <c r="G36" i="2"/>
  <c r="D36" i="2"/>
  <c r="I35" i="2"/>
  <c r="J35" i="2" s="1"/>
  <c r="H35" i="2"/>
  <c r="G35" i="2"/>
  <c r="D35" i="2"/>
  <c r="I34" i="2"/>
  <c r="H34" i="2"/>
  <c r="G34" i="2"/>
  <c r="D34" i="2"/>
  <c r="I33" i="2"/>
  <c r="H33" i="2"/>
  <c r="G33" i="2"/>
  <c r="D33" i="2"/>
  <c r="I32" i="2"/>
  <c r="H32" i="2"/>
  <c r="G32" i="2"/>
  <c r="D32" i="2"/>
  <c r="I31" i="2"/>
  <c r="H31" i="2"/>
  <c r="G31" i="2"/>
  <c r="D31" i="2"/>
  <c r="I30" i="2"/>
  <c r="H30" i="2"/>
  <c r="J30" i="2" s="1"/>
  <c r="G30" i="2"/>
  <c r="D30" i="2"/>
  <c r="I29" i="2"/>
  <c r="H29" i="2"/>
  <c r="G29" i="2"/>
  <c r="D29" i="2"/>
  <c r="I28" i="2"/>
  <c r="H28" i="2"/>
  <c r="G28" i="2"/>
  <c r="D28" i="2"/>
  <c r="I27" i="2"/>
  <c r="H27" i="2"/>
  <c r="G27" i="2"/>
  <c r="D27" i="2"/>
  <c r="I26" i="2"/>
  <c r="H26" i="2"/>
  <c r="J26" i="2" s="1"/>
  <c r="G26" i="2"/>
  <c r="D26" i="2"/>
  <c r="I25" i="2"/>
  <c r="H25" i="2"/>
  <c r="G25" i="2"/>
  <c r="D25" i="2"/>
  <c r="I24" i="2"/>
  <c r="H24" i="2"/>
  <c r="J24" i="2" s="1"/>
  <c r="G24" i="2"/>
  <c r="D24" i="2"/>
  <c r="I23" i="2"/>
  <c r="H23" i="2"/>
  <c r="G23" i="2"/>
  <c r="D23" i="2"/>
  <c r="I22" i="2"/>
  <c r="H22" i="2"/>
  <c r="G22" i="2"/>
  <c r="D22" i="2"/>
  <c r="I21" i="2"/>
  <c r="H21" i="2"/>
  <c r="G21" i="2"/>
  <c r="D21" i="2"/>
  <c r="I20" i="2"/>
  <c r="H20" i="2"/>
  <c r="J20" i="2" s="1"/>
  <c r="G20" i="2"/>
  <c r="D20" i="2"/>
  <c r="I19" i="2"/>
  <c r="J19" i="2" s="1"/>
  <c r="H19" i="2"/>
  <c r="G19" i="2"/>
  <c r="D19" i="2"/>
  <c r="I18" i="2"/>
  <c r="H18" i="2"/>
  <c r="G18" i="2"/>
  <c r="D18" i="2"/>
  <c r="I17" i="2"/>
  <c r="H17" i="2"/>
  <c r="G17" i="2"/>
  <c r="D17" i="2"/>
  <c r="I16" i="2"/>
  <c r="H16" i="2"/>
  <c r="G16" i="2"/>
  <c r="D16" i="2"/>
  <c r="I15" i="2"/>
  <c r="H15" i="2"/>
  <c r="G15" i="2"/>
  <c r="D15" i="2"/>
  <c r="I14" i="2"/>
  <c r="H14" i="2"/>
  <c r="G14" i="2"/>
  <c r="D14" i="2"/>
  <c r="I13" i="2"/>
  <c r="H13" i="2"/>
  <c r="J13" i="2" s="1"/>
  <c r="G13" i="2"/>
  <c r="D13" i="2"/>
  <c r="I12" i="2"/>
  <c r="H12" i="2"/>
  <c r="G12" i="2"/>
  <c r="D12" i="2"/>
  <c r="I11" i="2"/>
  <c r="H11" i="2"/>
  <c r="G11" i="2"/>
  <c r="D11" i="2"/>
  <c r="I10" i="2"/>
  <c r="H10" i="2"/>
  <c r="J10" i="2" s="1"/>
  <c r="G10" i="2"/>
  <c r="D10" i="2"/>
  <c r="I9" i="2"/>
  <c r="H9" i="2"/>
  <c r="J9" i="2" s="1"/>
  <c r="G9" i="2"/>
  <c r="D9" i="2"/>
  <c r="I8" i="2"/>
  <c r="H8" i="2"/>
  <c r="J8" i="2" s="1"/>
  <c r="G8" i="2"/>
  <c r="D8" i="2"/>
  <c r="I7" i="2"/>
  <c r="H7" i="2"/>
  <c r="G7" i="2"/>
  <c r="D7" i="2"/>
  <c r="A3" i="2"/>
  <c r="C106" i="3"/>
  <c r="B106" i="3"/>
  <c r="E105" i="3"/>
  <c r="F97" i="3"/>
  <c r="E97" i="3"/>
  <c r="C97" i="3"/>
  <c r="B97" i="3"/>
  <c r="I96" i="3"/>
  <c r="H96" i="3"/>
  <c r="G96" i="3"/>
  <c r="F106" i="3" s="1"/>
  <c r="D96" i="3"/>
  <c r="I95" i="3"/>
  <c r="H95" i="3"/>
  <c r="G95" i="3"/>
  <c r="F105" i="3" s="1"/>
  <c r="D95" i="3"/>
  <c r="C105" i="3" s="1"/>
  <c r="I94" i="3"/>
  <c r="H94" i="3"/>
  <c r="G94" i="3"/>
  <c r="F104" i="3" s="1"/>
  <c r="D94" i="3"/>
  <c r="C104" i="3" s="1"/>
  <c r="I93" i="3"/>
  <c r="H93" i="3"/>
  <c r="G93" i="3"/>
  <c r="F103" i="3" s="1"/>
  <c r="D93" i="3"/>
  <c r="C103" i="3" s="1"/>
  <c r="I92" i="3"/>
  <c r="H92" i="3"/>
  <c r="J92" i="3" s="1"/>
  <c r="G92" i="3"/>
  <c r="F102" i="3" s="1"/>
  <c r="D92" i="3"/>
  <c r="C102" i="3" s="1"/>
  <c r="I91" i="3"/>
  <c r="H91" i="3"/>
  <c r="G91" i="3"/>
  <c r="F101" i="3" s="1"/>
  <c r="D91" i="3"/>
  <c r="C101" i="3" s="1"/>
  <c r="I90" i="3"/>
  <c r="H90" i="3"/>
  <c r="G90" i="3"/>
  <c r="F100" i="3" s="1"/>
  <c r="D90" i="3"/>
  <c r="C100" i="3" s="1"/>
  <c r="I89" i="3"/>
  <c r="H89" i="3"/>
  <c r="G89" i="3"/>
  <c r="F99" i="3" s="1"/>
  <c r="D89" i="3"/>
  <c r="C99" i="3" s="1"/>
  <c r="F85" i="3"/>
  <c r="E85" i="3"/>
  <c r="G85" i="3" s="1"/>
  <c r="C85" i="3"/>
  <c r="I85" i="3" s="1"/>
  <c r="B85" i="3"/>
  <c r="H85" i="3" s="1"/>
  <c r="I84" i="3"/>
  <c r="H84" i="3"/>
  <c r="G84" i="3"/>
  <c r="D84" i="3"/>
  <c r="I83" i="3"/>
  <c r="H83" i="3"/>
  <c r="G83" i="3"/>
  <c r="D83" i="3"/>
  <c r="I82" i="3"/>
  <c r="H82" i="3"/>
  <c r="J82" i="3" s="1"/>
  <c r="G82" i="3"/>
  <c r="D82" i="3"/>
  <c r="I81" i="3"/>
  <c r="H81" i="3"/>
  <c r="G81" i="3"/>
  <c r="D81" i="3"/>
  <c r="I80" i="3"/>
  <c r="H80" i="3"/>
  <c r="G80" i="3"/>
  <c r="D80" i="3"/>
  <c r="I79" i="3"/>
  <c r="H79" i="3"/>
  <c r="G79" i="3"/>
  <c r="D79" i="3"/>
  <c r="I78" i="3"/>
  <c r="H78" i="3"/>
  <c r="J78" i="3" s="1"/>
  <c r="G78" i="3"/>
  <c r="D78" i="3"/>
  <c r="I77" i="3"/>
  <c r="H77" i="3"/>
  <c r="G77" i="3"/>
  <c r="D77" i="3"/>
  <c r="I76" i="3"/>
  <c r="H76" i="3"/>
  <c r="G76" i="3"/>
  <c r="D76" i="3"/>
  <c r="I75" i="3"/>
  <c r="H75" i="3"/>
  <c r="G75" i="3"/>
  <c r="D75" i="3"/>
  <c r="I74" i="3"/>
  <c r="H74" i="3"/>
  <c r="J74" i="3" s="1"/>
  <c r="G74" i="3"/>
  <c r="D74" i="3"/>
  <c r="I73" i="3"/>
  <c r="H73" i="3"/>
  <c r="J73" i="3" s="1"/>
  <c r="G73" i="3"/>
  <c r="D73" i="3"/>
  <c r="I72" i="3"/>
  <c r="H72" i="3"/>
  <c r="G72" i="3"/>
  <c r="D72" i="3"/>
  <c r="I71" i="3"/>
  <c r="H71" i="3"/>
  <c r="G71" i="3"/>
  <c r="D71" i="3"/>
  <c r="I70" i="3"/>
  <c r="H70" i="3"/>
  <c r="J70" i="3" s="1"/>
  <c r="G70" i="3"/>
  <c r="D70" i="3"/>
  <c r="I69" i="3"/>
  <c r="H69" i="3"/>
  <c r="G69" i="3"/>
  <c r="D69" i="3"/>
  <c r="I68" i="3"/>
  <c r="H68" i="3"/>
  <c r="G68" i="3"/>
  <c r="D68" i="3"/>
  <c r="I67" i="3"/>
  <c r="H67" i="3"/>
  <c r="G67" i="3"/>
  <c r="D67" i="3"/>
  <c r="I66" i="3"/>
  <c r="H66" i="3"/>
  <c r="J66" i="3" s="1"/>
  <c r="G66" i="3"/>
  <c r="D66" i="3"/>
  <c r="I65" i="3"/>
  <c r="H65" i="3"/>
  <c r="G65" i="3"/>
  <c r="D65" i="3"/>
  <c r="I64" i="3"/>
  <c r="H64" i="3"/>
  <c r="G64" i="3"/>
  <c r="D64" i="3"/>
  <c r="I63" i="3"/>
  <c r="H63" i="3"/>
  <c r="G63" i="3"/>
  <c r="D63" i="3"/>
  <c r="I62" i="3"/>
  <c r="H62" i="3"/>
  <c r="J62" i="3" s="1"/>
  <c r="G62" i="3"/>
  <c r="D62" i="3"/>
  <c r="I61" i="3"/>
  <c r="H61" i="3"/>
  <c r="G61" i="3"/>
  <c r="D61" i="3"/>
  <c r="I60" i="3"/>
  <c r="H60" i="3"/>
  <c r="G60" i="3"/>
  <c r="D60" i="3"/>
  <c r="I59" i="3"/>
  <c r="H59" i="3"/>
  <c r="G59" i="3"/>
  <c r="D59" i="3"/>
  <c r="I58" i="3"/>
  <c r="H58" i="3"/>
  <c r="G58" i="3"/>
  <c r="D58" i="3"/>
  <c r="I57" i="3"/>
  <c r="H57" i="3"/>
  <c r="G57" i="3"/>
  <c r="D57" i="3"/>
  <c r="I56" i="3"/>
  <c r="H56" i="3"/>
  <c r="G56" i="3"/>
  <c r="D56" i="3"/>
  <c r="I55" i="3"/>
  <c r="H55" i="3"/>
  <c r="G55" i="3"/>
  <c r="D55" i="3"/>
  <c r="I54" i="3"/>
  <c r="H54" i="3"/>
  <c r="G54" i="3"/>
  <c r="D54" i="3"/>
  <c r="I53" i="3"/>
  <c r="H53" i="3"/>
  <c r="G53" i="3"/>
  <c r="D53" i="3"/>
  <c r="I52" i="3"/>
  <c r="H52" i="3"/>
  <c r="G52" i="3"/>
  <c r="D52" i="3"/>
  <c r="I51" i="3"/>
  <c r="H51" i="3"/>
  <c r="G51" i="3"/>
  <c r="D51" i="3"/>
  <c r="I50" i="3"/>
  <c r="H50" i="3"/>
  <c r="G50" i="3"/>
  <c r="D50" i="3"/>
  <c r="I49" i="3"/>
  <c r="H49" i="3"/>
  <c r="G49" i="3"/>
  <c r="D49" i="3"/>
  <c r="I48" i="3"/>
  <c r="H48" i="3"/>
  <c r="G48" i="3"/>
  <c r="D48" i="3"/>
  <c r="I47" i="3"/>
  <c r="H47" i="3"/>
  <c r="G47" i="3"/>
  <c r="D47" i="3"/>
  <c r="I46" i="3"/>
  <c r="H46" i="3"/>
  <c r="G46" i="3"/>
  <c r="D46" i="3"/>
  <c r="I45" i="3"/>
  <c r="H45" i="3"/>
  <c r="G45" i="3"/>
  <c r="D45" i="3"/>
  <c r="I44" i="3"/>
  <c r="H44" i="3"/>
  <c r="G44" i="3"/>
  <c r="D44" i="3"/>
  <c r="I43" i="3"/>
  <c r="H43" i="3"/>
  <c r="G43" i="3"/>
  <c r="D43" i="3"/>
  <c r="I42" i="3"/>
  <c r="H42" i="3"/>
  <c r="G42" i="3"/>
  <c r="D42" i="3"/>
  <c r="I41" i="3"/>
  <c r="H41" i="3"/>
  <c r="G41" i="3"/>
  <c r="D41" i="3"/>
  <c r="I40" i="3"/>
  <c r="H40" i="3"/>
  <c r="G40" i="3"/>
  <c r="D40" i="3"/>
  <c r="I39" i="3"/>
  <c r="H39" i="3"/>
  <c r="G39" i="3"/>
  <c r="D39" i="3"/>
  <c r="I38" i="3"/>
  <c r="H38" i="3"/>
  <c r="G38" i="3"/>
  <c r="D38" i="3"/>
  <c r="I37" i="3"/>
  <c r="H37" i="3"/>
  <c r="G37" i="3"/>
  <c r="D37" i="3"/>
  <c r="I36" i="3"/>
  <c r="H36" i="3"/>
  <c r="G36" i="3"/>
  <c r="D36" i="3"/>
  <c r="I35" i="3"/>
  <c r="H35" i="3"/>
  <c r="G35" i="3"/>
  <c r="D35" i="3"/>
  <c r="I34" i="3"/>
  <c r="H34" i="3"/>
  <c r="G34" i="3"/>
  <c r="D34" i="3"/>
  <c r="I33" i="3"/>
  <c r="H33" i="3"/>
  <c r="G33" i="3"/>
  <c r="D33" i="3"/>
  <c r="I32" i="3"/>
  <c r="H32" i="3"/>
  <c r="G32" i="3"/>
  <c r="D32" i="3"/>
  <c r="I31" i="3"/>
  <c r="H31" i="3"/>
  <c r="G31" i="3"/>
  <c r="D31" i="3"/>
  <c r="I30" i="3"/>
  <c r="H30" i="3"/>
  <c r="G30" i="3"/>
  <c r="D30" i="3"/>
  <c r="I29" i="3"/>
  <c r="H29" i="3"/>
  <c r="G29" i="3"/>
  <c r="D29" i="3"/>
  <c r="I28" i="3"/>
  <c r="H28" i="3"/>
  <c r="G28" i="3"/>
  <c r="D28" i="3"/>
  <c r="I27" i="3"/>
  <c r="H27" i="3"/>
  <c r="G27" i="3"/>
  <c r="D27" i="3"/>
  <c r="I26" i="3"/>
  <c r="H26" i="3"/>
  <c r="G26" i="3"/>
  <c r="D26" i="3"/>
  <c r="I25" i="3"/>
  <c r="H25" i="3"/>
  <c r="G25" i="3"/>
  <c r="D25" i="3"/>
  <c r="I24" i="3"/>
  <c r="H24" i="3"/>
  <c r="G24" i="3"/>
  <c r="D24" i="3"/>
  <c r="I23" i="3"/>
  <c r="H23" i="3"/>
  <c r="G23" i="3"/>
  <c r="D23" i="3"/>
  <c r="I22" i="3"/>
  <c r="H22" i="3"/>
  <c r="G22" i="3"/>
  <c r="D22" i="3"/>
  <c r="I21" i="3"/>
  <c r="H21" i="3"/>
  <c r="G21" i="3"/>
  <c r="D21" i="3"/>
  <c r="I20" i="3"/>
  <c r="H20" i="3"/>
  <c r="G20" i="3"/>
  <c r="D20" i="3"/>
  <c r="I19" i="3"/>
  <c r="H19" i="3"/>
  <c r="G19" i="3"/>
  <c r="D19" i="3"/>
  <c r="I18" i="3"/>
  <c r="H18" i="3"/>
  <c r="G18" i="3"/>
  <c r="D18" i="3"/>
  <c r="I17" i="3"/>
  <c r="H17" i="3"/>
  <c r="G17" i="3"/>
  <c r="D17" i="3"/>
  <c r="I16" i="3"/>
  <c r="H16" i="3"/>
  <c r="G16" i="3"/>
  <c r="D16" i="3"/>
  <c r="I15" i="3"/>
  <c r="H15" i="3"/>
  <c r="G15" i="3"/>
  <c r="D15" i="3"/>
  <c r="I14" i="3"/>
  <c r="H14" i="3"/>
  <c r="G14" i="3"/>
  <c r="D14" i="3"/>
  <c r="I13" i="3"/>
  <c r="H13" i="3"/>
  <c r="G13" i="3"/>
  <c r="D13" i="3"/>
  <c r="I12" i="3"/>
  <c r="H12" i="3"/>
  <c r="G12" i="3"/>
  <c r="D12" i="3"/>
  <c r="I11" i="3"/>
  <c r="H11" i="3"/>
  <c r="G11" i="3"/>
  <c r="D11" i="3"/>
  <c r="I10" i="3"/>
  <c r="H10" i="3"/>
  <c r="G10" i="3"/>
  <c r="D10" i="3"/>
  <c r="I9" i="3"/>
  <c r="H9" i="3"/>
  <c r="G9" i="3"/>
  <c r="D9" i="3"/>
  <c r="I8" i="3"/>
  <c r="H8" i="3"/>
  <c r="G8" i="3"/>
  <c r="D8" i="3"/>
  <c r="I7" i="3"/>
  <c r="H7" i="3"/>
  <c r="G7" i="3"/>
  <c r="D7" i="3"/>
  <c r="A3" i="3"/>
  <c r="F100" i="5"/>
  <c r="E100" i="5"/>
  <c r="C100" i="5"/>
  <c r="B100" i="5"/>
  <c r="I99" i="5"/>
  <c r="H99" i="5"/>
  <c r="G99" i="5"/>
  <c r="F110" i="5" s="1"/>
  <c r="D99" i="5"/>
  <c r="C110" i="5" s="1"/>
  <c r="I98" i="5"/>
  <c r="H98" i="5"/>
  <c r="G98" i="5"/>
  <c r="F109" i="5" s="1"/>
  <c r="D98" i="5"/>
  <c r="C109" i="5" s="1"/>
  <c r="I97" i="5"/>
  <c r="H97" i="5"/>
  <c r="G97" i="5"/>
  <c r="F108" i="5" s="1"/>
  <c r="D97" i="5"/>
  <c r="C108" i="5" s="1"/>
  <c r="I96" i="5"/>
  <c r="H96" i="5"/>
  <c r="G96" i="5"/>
  <c r="F107" i="5" s="1"/>
  <c r="D96" i="5"/>
  <c r="C107" i="5" s="1"/>
  <c r="I95" i="5"/>
  <c r="H95" i="5"/>
  <c r="G95" i="5"/>
  <c r="E105" i="5" s="1"/>
  <c r="D95" i="5"/>
  <c r="B105" i="5" s="1"/>
  <c r="I93" i="5"/>
  <c r="H93" i="5"/>
  <c r="G93" i="5"/>
  <c r="F104" i="5" s="1"/>
  <c r="D93" i="5"/>
  <c r="C104" i="5" s="1"/>
  <c r="I92" i="5"/>
  <c r="H92" i="5"/>
  <c r="G92" i="5"/>
  <c r="F103" i="5" s="1"/>
  <c r="D92" i="5"/>
  <c r="C103" i="5" s="1"/>
  <c r="I91" i="5"/>
  <c r="H91" i="5"/>
  <c r="G91" i="5"/>
  <c r="F102" i="5" s="1"/>
  <c r="D91" i="5"/>
  <c r="C102" i="5" s="1"/>
  <c r="F87" i="5"/>
  <c r="E87" i="5"/>
  <c r="C87" i="5"/>
  <c r="B87" i="5"/>
  <c r="I86" i="5"/>
  <c r="H86" i="5"/>
  <c r="G86" i="5"/>
  <c r="D86" i="5"/>
  <c r="I85" i="5"/>
  <c r="H85" i="5"/>
  <c r="G85" i="5"/>
  <c r="D85" i="5"/>
  <c r="I84" i="5"/>
  <c r="H84" i="5"/>
  <c r="G84" i="5"/>
  <c r="D84" i="5"/>
  <c r="I83" i="5"/>
  <c r="H83" i="5"/>
  <c r="G83" i="5"/>
  <c r="D83" i="5"/>
  <c r="I82" i="5"/>
  <c r="H82" i="5"/>
  <c r="G82" i="5"/>
  <c r="D82" i="5"/>
  <c r="I81" i="5"/>
  <c r="H81" i="5"/>
  <c r="G81" i="5"/>
  <c r="D81" i="5"/>
  <c r="I80" i="5"/>
  <c r="H80" i="5"/>
  <c r="G80" i="5"/>
  <c r="D80" i="5"/>
  <c r="I79" i="5"/>
  <c r="H79" i="5"/>
  <c r="G79" i="5"/>
  <c r="D79" i="5"/>
  <c r="I78" i="5"/>
  <c r="H78" i="5"/>
  <c r="G78" i="5"/>
  <c r="D78" i="5"/>
  <c r="I77" i="5"/>
  <c r="H77" i="5"/>
  <c r="G77" i="5"/>
  <c r="D77" i="5"/>
  <c r="I76" i="5"/>
  <c r="H76" i="5"/>
  <c r="G76" i="5"/>
  <c r="D76" i="5"/>
  <c r="I75" i="5"/>
  <c r="H75" i="5"/>
  <c r="G75" i="5"/>
  <c r="D75" i="5"/>
  <c r="I74" i="5"/>
  <c r="H74" i="5"/>
  <c r="G74" i="5"/>
  <c r="D74" i="5"/>
  <c r="I73" i="5"/>
  <c r="H73" i="5"/>
  <c r="G73" i="5"/>
  <c r="D73" i="5"/>
  <c r="I72" i="5"/>
  <c r="H72" i="5"/>
  <c r="G72" i="5"/>
  <c r="D72" i="5"/>
  <c r="I71" i="5"/>
  <c r="H71" i="5"/>
  <c r="G71" i="5"/>
  <c r="D71" i="5"/>
  <c r="I70" i="5"/>
  <c r="H70" i="5"/>
  <c r="G70" i="5"/>
  <c r="D70" i="5"/>
  <c r="I69" i="5"/>
  <c r="H69" i="5"/>
  <c r="G69" i="5"/>
  <c r="D69" i="5"/>
  <c r="I68" i="5"/>
  <c r="H68" i="5"/>
  <c r="G68" i="5"/>
  <c r="D68" i="5"/>
  <c r="I67" i="5"/>
  <c r="H67" i="5"/>
  <c r="G67" i="5"/>
  <c r="D67" i="5"/>
  <c r="I66" i="5"/>
  <c r="H66" i="5"/>
  <c r="G66" i="5"/>
  <c r="D66" i="5"/>
  <c r="I65" i="5"/>
  <c r="H65" i="5"/>
  <c r="G65" i="5"/>
  <c r="D65" i="5"/>
  <c r="I64" i="5"/>
  <c r="H64" i="5"/>
  <c r="G64" i="5"/>
  <c r="D64" i="5"/>
  <c r="I63" i="5"/>
  <c r="H63" i="5"/>
  <c r="G63" i="5"/>
  <c r="D63" i="5"/>
  <c r="I62" i="5"/>
  <c r="H62" i="5"/>
  <c r="G62" i="5"/>
  <c r="D62" i="5"/>
  <c r="I61" i="5"/>
  <c r="H61" i="5"/>
  <c r="G61" i="5"/>
  <c r="D61" i="5"/>
  <c r="I60" i="5"/>
  <c r="H60" i="5"/>
  <c r="G60" i="5"/>
  <c r="D60" i="5"/>
  <c r="I59" i="5"/>
  <c r="H59" i="5"/>
  <c r="G59" i="5"/>
  <c r="D59" i="5"/>
  <c r="I58" i="5"/>
  <c r="H58" i="5"/>
  <c r="G58" i="5"/>
  <c r="D58" i="5"/>
  <c r="I57" i="5"/>
  <c r="H57" i="5"/>
  <c r="G57" i="5"/>
  <c r="D57" i="5"/>
  <c r="I56" i="5"/>
  <c r="H56" i="5"/>
  <c r="G56" i="5"/>
  <c r="D56" i="5"/>
  <c r="I55" i="5"/>
  <c r="H55" i="5"/>
  <c r="G55" i="5"/>
  <c r="D55" i="5"/>
  <c r="I54" i="5"/>
  <c r="H54" i="5"/>
  <c r="G54" i="5"/>
  <c r="D54" i="5"/>
  <c r="I53" i="5"/>
  <c r="H53" i="5"/>
  <c r="G53" i="5"/>
  <c r="D53" i="5"/>
  <c r="I52" i="5"/>
  <c r="H52" i="5"/>
  <c r="G52" i="5"/>
  <c r="D52" i="5"/>
  <c r="I51" i="5"/>
  <c r="H51" i="5"/>
  <c r="G51" i="5"/>
  <c r="D51" i="5"/>
  <c r="I50" i="5"/>
  <c r="H50" i="5"/>
  <c r="G50" i="5"/>
  <c r="D50" i="5"/>
  <c r="I49" i="5"/>
  <c r="H49" i="5"/>
  <c r="G49" i="5"/>
  <c r="D49" i="5"/>
  <c r="I48" i="5"/>
  <c r="H48" i="5"/>
  <c r="G48" i="5"/>
  <c r="D48" i="5"/>
  <c r="I47" i="5"/>
  <c r="H47" i="5"/>
  <c r="G47" i="5"/>
  <c r="D47" i="5"/>
  <c r="I46" i="5"/>
  <c r="H46" i="5"/>
  <c r="G46" i="5"/>
  <c r="D46" i="5"/>
  <c r="I45" i="5"/>
  <c r="H45" i="5"/>
  <c r="G45" i="5"/>
  <c r="D45" i="5"/>
  <c r="I44" i="5"/>
  <c r="H44" i="5"/>
  <c r="G44" i="5"/>
  <c r="D44" i="5"/>
  <c r="I43" i="5"/>
  <c r="H43" i="5"/>
  <c r="G43" i="5"/>
  <c r="D43" i="5"/>
  <c r="I42" i="5"/>
  <c r="H42" i="5"/>
  <c r="G42" i="5"/>
  <c r="D42" i="5"/>
  <c r="I41" i="5"/>
  <c r="H41" i="5"/>
  <c r="G41" i="5"/>
  <c r="D41" i="5"/>
  <c r="I40" i="5"/>
  <c r="H40" i="5"/>
  <c r="G40" i="5"/>
  <c r="D40" i="5"/>
  <c r="I39" i="5"/>
  <c r="H39" i="5"/>
  <c r="G39" i="5"/>
  <c r="D39" i="5"/>
  <c r="I38" i="5"/>
  <c r="H38" i="5"/>
  <c r="G38" i="5"/>
  <c r="D38" i="5"/>
  <c r="I37" i="5"/>
  <c r="H37" i="5"/>
  <c r="G37" i="5"/>
  <c r="D37" i="5"/>
  <c r="I36" i="5"/>
  <c r="H36" i="5"/>
  <c r="G36" i="5"/>
  <c r="D36" i="5"/>
  <c r="I35" i="5"/>
  <c r="H35" i="5"/>
  <c r="G35" i="5"/>
  <c r="D35" i="5"/>
  <c r="I34" i="5"/>
  <c r="H34" i="5"/>
  <c r="G34" i="5"/>
  <c r="D34" i="5"/>
  <c r="I33" i="5"/>
  <c r="H33" i="5"/>
  <c r="G33" i="5"/>
  <c r="D33" i="5"/>
  <c r="I32" i="5"/>
  <c r="H32" i="5"/>
  <c r="G32" i="5"/>
  <c r="D32" i="5"/>
  <c r="I31" i="5"/>
  <c r="H31" i="5"/>
  <c r="G31" i="5"/>
  <c r="D31" i="5"/>
  <c r="I30" i="5"/>
  <c r="H30" i="5"/>
  <c r="G30" i="5"/>
  <c r="D30" i="5"/>
  <c r="I29" i="5"/>
  <c r="H29" i="5"/>
  <c r="G29" i="5"/>
  <c r="D29" i="5"/>
  <c r="I28" i="5"/>
  <c r="H28" i="5"/>
  <c r="G28" i="5"/>
  <c r="D28" i="5"/>
  <c r="I27" i="5"/>
  <c r="H27" i="5"/>
  <c r="G27" i="5"/>
  <c r="D27" i="5"/>
  <c r="I26" i="5"/>
  <c r="H26" i="5"/>
  <c r="G26" i="5"/>
  <c r="D26" i="5"/>
  <c r="I25" i="5"/>
  <c r="H25" i="5"/>
  <c r="G25" i="5"/>
  <c r="D25" i="5"/>
  <c r="I24" i="5"/>
  <c r="H24" i="5"/>
  <c r="G24" i="5"/>
  <c r="D24" i="5"/>
  <c r="I23" i="5"/>
  <c r="H23" i="5"/>
  <c r="G23" i="5"/>
  <c r="D23" i="5"/>
  <c r="I22" i="5"/>
  <c r="H22" i="5"/>
  <c r="G22" i="5"/>
  <c r="D22" i="5"/>
  <c r="I21" i="5"/>
  <c r="H21" i="5"/>
  <c r="G21" i="5"/>
  <c r="D21" i="5"/>
  <c r="I20" i="5"/>
  <c r="H20" i="5"/>
  <c r="G20" i="5"/>
  <c r="D20" i="5"/>
  <c r="I19" i="5"/>
  <c r="H19" i="5"/>
  <c r="G19" i="5"/>
  <c r="D19" i="5"/>
  <c r="I18" i="5"/>
  <c r="H18" i="5"/>
  <c r="G18" i="5"/>
  <c r="D18" i="5"/>
  <c r="I17" i="5"/>
  <c r="H17" i="5"/>
  <c r="G17" i="5"/>
  <c r="D17" i="5"/>
  <c r="I16" i="5"/>
  <c r="H16" i="5"/>
  <c r="G16" i="5"/>
  <c r="D16" i="5"/>
  <c r="I15" i="5"/>
  <c r="H15" i="5"/>
  <c r="G15" i="5"/>
  <c r="D15" i="5"/>
  <c r="I14" i="5"/>
  <c r="H14" i="5"/>
  <c r="G14" i="5"/>
  <c r="D14" i="5"/>
  <c r="I13" i="5"/>
  <c r="H13" i="5"/>
  <c r="G13" i="5"/>
  <c r="D13" i="5"/>
  <c r="I12" i="5"/>
  <c r="H12" i="5"/>
  <c r="G12" i="5"/>
  <c r="D12" i="5"/>
  <c r="I11" i="5"/>
  <c r="H11" i="5"/>
  <c r="G11" i="5"/>
  <c r="D11" i="5"/>
  <c r="I10" i="5"/>
  <c r="H10" i="5"/>
  <c r="G10" i="5"/>
  <c r="D10" i="5"/>
  <c r="I9" i="5"/>
  <c r="H9" i="5"/>
  <c r="G9" i="5"/>
  <c r="D9" i="5"/>
  <c r="I8" i="5"/>
  <c r="H8" i="5"/>
  <c r="G8" i="5"/>
  <c r="D8" i="5"/>
  <c r="I7" i="5"/>
  <c r="H7" i="5"/>
  <c r="G7" i="5"/>
  <c r="D7" i="5"/>
  <c r="A3" i="5"/>
  <c r="C118" i="4"/>
  <c r="B118" i="4"/>
  <c r="F106" i="4"/>
  <c r="E106" i="4"/>
  <c r="C106" i="4"/>
  <c r="B106" i="4"/>
  <c r="I105" i="4"/>
  <c r="H105" i="4"/>
  <c r="G105" i="4"/>
  <c r="F118" i="4" s="1"/>
  <c r="D105" i="4"/>
  <c r="I104" i="4"/>
  <c r="H104" i="4"/>
  <c r="G104" i="4"/>
  <c r="F117" i="4" s="1"/>
  <c r="D104" i="4"/>
  <c r="C117" i="4" s="1"/>
  <c r="I103" i="4"/>
  <c r="H103" i="4"/>
  <c r="G103" i="4"/>
  <c r="F116" i="4" s="1"/>
  <c r="D103" i="4"/>
  <c r="I102" i="4"/>
  <c r="H102" i="4"/>
  <c r="G102" i="4"/>
  <c r="F115" i="4" s="1"/>
  <c r="D102" i="4"/>
  <c r="C115" i="4" s="1"/>
  <c r="I101" i="4"/>
  <c r="H101" i="4"/>
  <c r="G101" i="4"/>
  <c r="F114" i="4" s="1"/>
  <c r="D101" i="4"/>
  <c r="C114" i="4" s="1"/>
  <c r="I100" i="4"/>
  <c r="H100" i="4"/>
  <c r="G100" i="4"/>
  <c r="F113" i="4" s="1"/>
  <c r="D100" i="4"/>
  <c r="C113" i="4" s="1"/>
  <c r="I99" i="4"/>
  <c r="H99" i="4"/>
  <c r="G99" i="4"/>
  <c r="D99" i="4"/>
  <c r="I95" i="4"/>
  <c r="H95" i="4"/>
  <c r="G95" i="4"/>
  <c r="F108" i="4" s="1"/>
  <c r="D95" i="4"/>
  <c r="C108" i="4" s="1"/>
  <c r="F91" i="4"/>
  <c r="E91" i="4"/>
  <c r="C91" i="4"/>
  <c r="I91" i="4" s="1"/>
  <c r="B91" i="4"/>
  <c r="H91" i="4" s="1"/>
  <c r="I90" i="4"/>
  <c r="H90" i="4"/>
  <c r="I89" i="4"/>
  <c r="H89" i="4"/>
  <c r="G89" i="4"/>
  <c r="D89" i="4"/>
  <c r="I88" i="4"/>
  <c r="H88" i="4"/>
  <c r="G88" i="4"/>
  <c r="D88" i="4"/>
  <c r="I87" i="4"/>
  <c r="H87" i="4"/>
  <c r="G87" i="4"/>
  <c r="D87" i="4"/>
  <c r="I86" i="4"/>
  <c r="H86" i="4"/>
  <c r="G86" i="4"/>
  <c r="D86" i="4"/>
  <c r="I85" i="4"/>
  <c r="H85" i="4"/>
  <c r="G85" i="4"/>
  <c r="D85" i="4"/>
  <c r="I84" i="4"/>
  <c r="H84" i="4"/>
  <c r="G84" i="4"/>
  <c r="D84" i="4"/>
  <c r="I83" i="4"/>
  <c r="H83" i="4"/>
  <c r="G83" i="4"/>
  <c r="D83" i="4"/>
  <c r="I82" i="4"/>
  <c r="H82" i="4"/>
  <c r="G82" i="4"/>
  <c r="D82" i="4"/>
  <c r="I81" i="4"/>
  <c r="H81" i="4"/>
  <c r="G81" i="4"/>
  <c r="D81" i="4"/>
  <c r="I80" i="4"/>
  <c r="H80" i="4"/>
  <c r="G80" i="4"/>
  <c r="D80" i="4"/>
  <c r="I79" i="4"/>
  <c r="H79" i="4"/>
  <c r="G79" i="4"/>
  <c r="D79" i="4"/>
  <c r="I78" i="4"/>
  <c r="H78" i="4"/>
  <c r="G78" i="4"/>
  <c r="D78" i="4"/>
  <c r="I77" i="4"/>
  <c r="H77" i="4"/>
  <c r="G77" i="4"/>
  <c r="D77" i="4"/>
  <c r="I76" i="4"/>
  <c r="H76" i="4"/>
  <c r="G76" i="4"/>
  <c r="D76" i="4"/>
  <c r="I75" i="4"/>
  <c r="H75" i="4"/>
  <c r="G75" i="4"/>
  <c r="D75" i="4"/>
  <c r="I74" i="4"/>
  <c r="H74" i="4"/>
  <c r="G74" i="4"/>
  <c r="D74" i="4"/>
  <c r="I73" i="4"/>
  <c r="H73" i="4"/>
  <c r="G73" i="4"/>
  <c r="D73" i="4"/>
  <c r="I72" i="4"/>
  <c r="H72" i="4"/>
  <c r="G72" i="4"/>
  <c r="D72" i="4"/>
  <c r="I71" i="4"/>
  <c r="H71" i="4"/>
  <c r="G71" i="4"/>
  <c r="D71" i="4"/>
  <c r="I70" i="4"/>
  <c r="H70" i="4"/>
  <c r="G70" i="4"/>
  <c r="D70" i="4"/>
  <c r="I69" i="4"/>
  <c r="H69" i="4"/>
  <c r="G69" i="4"/>
  <c r="D69" i="4"/>
  <c r="I68" i="4"/>
  <c r="H68" i="4"/>
  <c r="G68" i="4"/>
  <c r="D68" i="4"/>
  <c r="I67" i="4"/>
  <c r="H67" i="4"/>
  <c r="G67" i="4"/>
  <c r="D67" i="4"/>
  <c r="I66" i="4"/>
  <c r="H66" i="4"/>
  <c r="G66" i="4"/>
  <c r="D66" i="4"/>
  <c r="I65" i="4"/>
  <c r="H65" i="4"/>
  <c r="G65" i="4"/>
  <c r="D65" i="4"/>
  <c r="I64" i="4"/>
  <c r="H64" i="4"/>
  <c r="G64" i="4"/>
  <c r="D64" i="4"/>
  <c r="I63" i="4"/>
  <c r="H63" i="4"/>
  <c r="G63" i="4"/>
  <c r="D63" i="4"/>
  <c r="I62" i="4"/>
  <c r="H62" i="4"/>
  <c r="G62" i="4"/>
  <c r="D62" i="4"/>
  <c r="I61" i="4"/>
  <c r="H61" i="4"/>
  <c r="G61" i="4"/>
  <c r="D61" i="4"/>
  <c r="I60" i="4"/>
  <c r="H60" i="4"/>
  <c r="G60" i="4"/>
  <c r="D60" i="4"/>
  <c r="I59" i="4"/>
  <c r="H59" i="4"/>
  <c r="G59" i="4"/>
  <c r="D59" i="4"/>
  <c r="I58" i="4"/>
  <c r="H58" i="4"/>
  <c r="G58" i="4"/>
  <c r="D58" i="4"/>
  <c r="I57" i="4"/>
  <c r="H57" i="4"/>
  <c r="G57" i="4"/>
  <c r="D57" i="4"/>
  <c r="I56" i="4"/>
  <c r="H56" i="4"/>
  <c r="G56" i="4"/>
  <c r="D56" i="4"/>
  <c r="I55" i="4"/>
  <c r="H55" i="4"/>
  <c r="G55" i="4"/>
  <c r="D55" i="4"/>
  <c r="I54" i="4"/>
  <c r="H54" i="4"/>
  <c r="G54" i="4"/>
  <c r="D54" i="4"/>
  <c r="I53" i="4"/>
  <c r="H53" i="4"/>
  <c r="G53" i="4"/>
  <c r="D53" i="4"/>
  <c r="I52" i="4"/>
  <c r="H52" i="4"/>
  <c r="G52" i="4"/>
  <c r="D52" i="4"/>
  <c r="I51" i="4"/>
  <c r="H51" i="4"/>
  <c r="G51" i="4"/>
  <c r="D51" i="4"/>
  <c r="I50" i="4"/>
  <c r="H50" i="4"/>
  <c r="G50" i="4"/>
  <c r="D50" i="4"/>
  <c r="I49" i="4"/>
  <c r="H49" i="4"/>
  <c r="G49" i="4"/>
  <c r="D49" i="4"/>
  <c r="I48" i="4"/>
  <c r="H48" i="4"/>
  <c r="G48" i="4"/>
  <c r="D48" i="4"/>
  <c r="I47" i="4"/>
  <c r="H47" i="4"/>
  <c r="G47" i="4"/>
  <c r="D47" i="4"/>
  <c r="I46" i="4"/>
  <c r="H46" i="4"/>
  <c r="G46" i="4"/>
  <c r="D46" i="4"/>
  <c r="I45" i="4"/>
  <c r="H45" i="4"/>
  <c r="G45" i="4"/>
  <c r="D45" i="4"/>
  <c r="I44" i="4"/>
  <c r="H44" i="4"/>
  <c r="G44" i="4"/>
  <c r="D44" i="4"/>
  <c r="I43" i="4"/>
  <c r="H43" i="4"/>
  <c r="G43" i="4"/>
  <c r="D43" i="4"/>
  <c r="I42" i="4"/>
  <c r="H42" i="4"/>
  <c r="G42" i="4"/>
  <c r="D42" i="4"/>
  <c r="I41" i="4"/>
  <c r="H41" i="4"/>
  <c r="G41" i="4"/>
  <c r="D41" i="4"/>
  <c r="I40" i="4"/>
  <c r="H40" i="4"/>
  <c r="G40" i="4"/>
  <c r="D40" i="4"/>
  <c r="I39" i="4"/>
  <c r="H39" i="4"/>
  <c r="G39" i="4"/>
  <c r="D39" i="4"/>
  <c r="I38" i="4"/>
  <c r="H38" i="4"/>
  <c r="G38" i="4"/>
  <c r="D38" i="4"/>
  <c r="I37" i="4"/>
  <c r="H37" i="4"/>
  <c r="G37" i="4"/>
  <c r="D37" i="4"/>
  <c r="I36" i="4"/>
  <c r="H36" i="4"/>
  <c r="G36" i="4"/>
  <c r="D36" i="4"/>
  <c r="I35" i="4"/>
  <c r="H35" i="4"/>
  <c r="G35" i="4"/>
  <c r="D35" i="4"/>
  <c r="I34" i="4"/>
  <c r="H34" i="4"/>
  <c r="G34" i="4"/>
  <c r="D34" i="4"/>
  <c r="I33" i="4"/>
  <c r="H33" i="4"/>
  <c r="G33" i="4"/>
  <c r="D33" i="4"/>
  <c r="I32" i="4"/>
  <c r="H32" i="4"/>
  <c r="G32" i="4"/>
  <c r="D32" i="4"/>
  <c r="I31" i="4"/>
  <c r="H31" i="4"/>
  <c r="G31" i="4"/>
  <c r="D31" i="4"/>
  <c r="I30" i="4"/>
  <c r="H30" i="4"/>
  <c r="G30" i="4"/>
  <c r="D30" i="4"/>
  <c r="I29" i="4"/>
  <c r="H29" i="4"/>
  <c r="G29" i="4"/>
  <c r="D29" i="4"/>
  <c r="I28" i="4"/>
  <c r="H28" i="4"/>
  <c r="G28" i="4"/>
  <c r="D28" i="4"/>
  <c r="I27" i="4"/>
  <c r="H27" i="4"/>
  <c r="G27" i="4"/>
  <c r="D27" i="4"/>
  <c r="I26" i="4"/>
  <c r="H26" i="4"/>
  <c r="G26" i="4"/>
  <c r="D26" i="4"/>
  <c r="I25" i="4"/>
  <c r="H25" i="4"/>
  <c r="G25" i="4"/>
  <c r="D25" i="4"/>
  <c r="I24" i="4"/>
  <c r="H24" i="4"/>
  <c r="G24" i="4"/>
  <c r="D24" i="4"/>
  <c r="I23" i="4"/>
  <c r="H23" i="4"/>
  <c r="G23" i="4"/>
  <c r="D23" i="4"/>
  <c r="I22" i="4"/>
  <c r="H22" i="4"/>
  <c r="G22" i="4"/>
  <c r="D22" i="4"/>
  <c r="I21" i="4"/>
  <c r="H21" i="4"/>
  <c r="G21" i="4"/>
  <c r="D21" i="4"/>
  <c r="I20" i="4"/>
  <c r="H20" i="4"/>
  <c r="G20" i="4"/>
  <c r="D20" i="4"/>
  <c r="I19" i="4"/>
  <c r="H19" i="4"/>
  <c r="G19" i="4"/>
  <c r="D19" i="4"/>
  <c r="I18" i="4"/>
  <c r="H18" i="4"/>
  <c r="G18" i="4"/>
  <c r="D18" i="4"/>
  <c r="I17" i="4"/>
  <c r="H17" i="4"/>
  <c r="G17" i="4"/>
  <c r="D17" i="4"/>
  <c r="I16" i="4"/>
  <c r="H16" i="4"/>
  <c r="G16" i="4"/>
  <c r="D16" i="4"/>
  <c r="I15" i="4"/>
  <c r="H15" i="4"/>
  <c r="G15" i="4"/>
  <c r="D15" i="4"/>
  <c r="I14" i="4"/>
  <c r="H14" i="4"/>
  <c r="G14" i="4"/>
  <c r="D14" i="4"/>
  <c r="I13" i="4"/>
  <c r="H13" i="4"/>
  <c r="G13" i="4"/>
  <c r="D13" i="4"/>
  <c r="I12" i="4"/>
  <c r="H12" i="4"/>
  <c r="G12" i="4"/>
  <c r="D12" i="4"/>
  <c r="I11" i="4"/>
  <c r="H11" i="4"/>
  <c r="G11" i="4"/>
  <c r="D11" i="4"/>
  <c r="I10" i="4"/>
  <c r="H10" i="4"/>
  <c r="G10" i="4"/>
  <c r="D10" i="4"/>
  <c r="I9" i="4"/>
  <c r="H9" i="4"/>
  <c r="G9" i="4"/>
  <c r="D9" i="4"/>
  <c r="I8" i="4"/>
  <c r="H8" i="4"/>
  <c r="G8" i="4"/>
  <c r="D8" i="4"/>
  <c r="I7" i="4"/>
  <c r="H7" i="4"/>
  <c r="G7" i="4"/>
  <c r="D7" i="4"/>
  <c r="A3" i="4"/>
  <c r="F102" i="9"/>
  <c r="E102" i="9"/>
  <c r="C102" i="9"/>
  <c r="B102" i="9"/>
  <c r="I101" i="9"/>
  <c r="H101" i="9"/>
  <c r="G101" i="9"/>
  <c r="D101" i="9"/>
  <c r="I100" i="9"/>
  <c r="H100" i="9"/>
  <c r="G100" i="9"/>
  <c r="F112" i="9" s="1"/>
  <c r="D100" i="9"/>
  <c r="C112" i="9" s="1"/>
  <c r="I99" i="9"/>
  <c r="H99" i="9"/>
  <c r="G99" i="9"/>
  <c r="F111" i="9" s="1"/>
  <c r="D99" i="9"/>
  <c r="C111" i="9" s="1"/>
  <c r="I98" i="9"/>
  <c r="H98" i="9"/>
  <c r="G98" i="9"/>
  <c r="F109" i="9" s="1"/>
  <c r="D98" i="9"/>
  <c r="C110" i="9" s="1"/>
  <c r="I97" i="9"/>
  <c r="H97" i="9"/>
  <c r="G97" i="9"/>
  <c r="F108" i="9" s="1"/>
  <c r="D97" i="9"/>
  <c r="C108" i="9" s="1"/>
  <c r="I94" i="9"/>
  <c r="H94" i="9"/>
  <c r="G94" i="9"/>
  <c r="F105" i="9" s="1"/>
  <c r="D94" i="9"/>
  <c r="C105" i="9" s="1"/>
  <c r="I93" i="9"/>
  <c r="H93" i="9"/>
  <c r="G93" i="9"/>
  <c r="F104" i="9" s="1"/>
  <c r="D93" i="9"/>
  <c r="C104" i="9" s="1"/>
  <c r="F89" i="9"/>
  <c r="E89" i="9"/>
  <c r="C89" i="9"/>
  <c r="B89" i="9"/>
  <c r="I88" i="9"/>
  <c r="H88" i="9"/>
  <c r="G88" i="9"/>
  <c r="D88" i="9"/>
  <c r="I87" i="9"/>
  <c r="H87" i="9"/>
  <c r="G87" i="9"/>
  <c r="D87" i="9"/>
  <c r="I86" i="9"/>
  <c r="H86" i="9"/>
  <c r="G86" i="9"/>
  <c r="D86" i="9"/>
  <c r="I85" i="9"/>
  <c r="H85" i="9"/>
  <c r="G85" i="9"/>
  <c r="D85" i="9"/>
  <c r="I84" i="9"/>
  <c r="H84" i="9"/>
  <c r="G84" i="9"/>
  <c r="D84" i="9"/>
  <c r="I83" i="9"/>
  <c r="H83" i="9"/>
  <c r="G83" i="9"/>
  <c r="D83" i="9"/>
  <c r="I82" i="9"/>
  <c r="H82" i="9"/>
  <c r="G82" i="9"/>
  <c r="D82" i="9"/>
  <c r="I81" i="9"/>
  <c r="H81" i="9"/>
  <c r="G81" i="9"/>
  <c r="D81" i="9"/>
  <c r="I80" i="9"/>
  <c r="H80" i="9"/>
  <c r="G80" i="9"/>
  <c r="D80" i="9"/>
  <c r="I79" i="9"/>
  <c r="H79" i="9"/>
  <c r="G79" i="9"/>
  <c r="D79" i="9"/>
  <c r="I78" i="9"/>
  <c r="H78" i="9"/>
  <c r="G78" i="9"/>
  <c r="D78" i="9"/>
  <c r="I77" i="9"/>
  <c r="H77" i="9"/>
  <c r="G77" i="9"/>
  <c r="D77" i="9"/>
  <c r="I76" i="9"/>
  <c r="H76" i="9"/>
  <c r="G76" i="9"/>
  <c r="D76" i="9"/>
  <c r="I75" i="9"/>
  <c r="H75" i="9"/>
  <c r="G75" i="9"/>
  <c r="D75" i="9"/>
  <c r="I74" i="9"/>
  <c r="H74" i="9"/>
  <c r="G74" i="9"/>
  <c r="D74" i="9"/>
  <c r="I73" i="9"/>
  <c r="H73" i="9"/>
  <c r="G73" i="9"/>
  <c r="D73" i="9"/>
  <c r="I72" i="9"/>
  <c r="H72" i="9"/>
  <c r="G72" i="9"/>
  <c r="D72" i="9"/>
  <c r="I71" i="9"/>
  <c r="H71" i="9"/>
  <c r="G71" i="9"/>
  <c r="D71" i="9"/>
  <c r="I70" i="9"/>
  <c r="H70" i="9"/>
  <c r="G70" i="9"/>
  <c r="D70" i="9"/>
  <c r="I69" i="9"/>
  <c r="H69" i="9"/>
  <c r="G69" i="9"/>
  <c r="D69" i="9"/>
  <c r="I68" i="9"/>
  <c r="H68" i="9"/>
  <c r="G68" i="9"/>
  <c r="D68" i="9"/>
  <c r="I67" i="9"/>
  <c r="H67" i="9"/>
  <c r="G67" i="9"/>
  <c r="D67" i="9"/>
  <c r="I66" i="9"/>
  <c r="H66" i="9"/>
  <c r="G66" i="9"/>
  <c r="D66" i="9"/>
  <c r="I65" i="9"/>
  <c r="H65" i="9"/>
  <c r="G65" i="9"/>
  <c r="D65" i="9"/>
  <c r="I64" i="9"/>
  <c r="H64" i="9"/>
  <c r="G64" i="9"/>
  <c r="D64" i="9"/>
  <c r="I63" i="9"/>
  <c r="H63" i="9"/>
  <c r="G63" i="9"/>
  <c r="D63" i="9"/>
  <c r="I62" i="9"/>
  <c r="H62" i="9"/>
  <c r="G62" i="9"/>
  <c r="D62" i="9"/>
  <c r="I61" i="9"/>
  <c r="H61" i="9"/>
  <c r="G61" i="9"/>
  <c r="D61" i="9"/>
  <c r="I60" i="9"/>
  <c r="H60" i="9"/>
  <c r="G60" i="9"/>
  <c r="D60" i="9"/>
  <c r="I59" i="9"/>
  <c r="H59" i="9"/>
  <c r="G59" i="9"/>
  <c r="D59" i="9"/>
  <c r="I58" i="9"/>
  <c r="H58" i="9"/>
  <c r="G58" i="9"/>
  <c r="D58" i="9"/>
  <c r="I57" i="9"/>
  <c r="H57" i="9"/>
  <c r="G57" i="9"/>
  <c r="D57" i="9"/>
  <c r="I56" i="9"/>
  <c r="H56" i="9"/>
  <c r="G56" i="9"/>
  <c r="D56" i="9"/>
  <c r="I55" i="9"/>
  <c r="H55" i="9"/>
  <c r="G55" i="9"/>
  <c r="D55" i="9"/>
  <c r="I54" i="9"/>
  <c r="H54" i="9"/>
  <c r="G54" i="9"/>
  <c r="D54" i="9"/>
  <c r="I53" i="9"/>
  <c r="H53" i="9"/>
  <c r="G53" i="9"/>
  <c r="D53" i="9"/>
  <c r="I52" i="9"/>
  <c r="H52" i="9"/>
  <c r="G52" i="9"/>
  <c r="D52" i="9"/>
  <c r="I51" i="9"/>
  <c r="H51" i="9"/>
  <c r="G51" i="9"/>
  <c r="D51" i="9"/>
  <c r="I50" i="9"/>
  <c r="H50" i="9"/>
  <c r="G50" i="9"/>
  <c r="D50" i="9"/>
  <c r="I49" i="9"/>
  <c r="H49" i="9"/>
  <c r="G49" i="9"/>
  <c r="D49" i="9"/>
  <c r="I48" i="9"/>
  <c r="H48" i="9"/>
  <c r="G48" i="9"/>
  <c r="D48" i="9"/>
  <c r="I47" i="9"/>
  <c r="H47" i="9"/>
  <c r="G47" i="9"/>
  <c r="D47" i="9"/>
  <c r="I46" i="9"/>
  <c r="H46" i="9"/>
  <c r="G46" i="9"/>
  <c r="D46" i="9"/>
  <c r="I45" i="9"/>
  <c r="H45" i="9"/>
  <c r="G45" i="9"/>
  <c r="D45" i="9"/>
  <c r="I44" i="9"/>
  <c r="H44" i="9"/>
  <c r="G44" i="9"/>
  <c r="D44" i="9"/>
  <c r="I43" i="9"/>
  <c r="H43" i="9"/>
  <c r="G43" i="9"/>
  <c r="D43" i="9"/>
  <c r="I42" i="9"/>
  <c r="H42" i="9"/>
  <c r="G42" i="9"/>
  <c r="D42" i="9"/>
  <c r="I41" i="9"/>
  <c r="H41" i="9"/>
  <c r="G41" i="9"/>
  <c r="D41" i="9"/>
  <c r="I40" i="9"/>
  <c r="H40" i="9"/>
  <c r="G40" i="9"/>
  <c r="D40" i="9"/>
  <c r="I39" i="9"/>
  <c r="H39" i="9"/>
  <c r="G39" i="9"/>
  <c r="D39" i="9"/>
  <c r="I38" i="9"/>
  <c r="H38" i="9"/>
  <c r="G38" i="9"/>
  <c r="D38" i="9"/>
  <c r="I37" i="9"/>
  <c r="H37" i="9"/>
  <c r="G37" i="9"/>
  <c r="D37" i="9"/>
  <c r="I36" i="9"/>
  <c r="H36" i="9"/>
  <c r="G36" i="9"/>
  <c r="D36" i="9"/>
  <c r="I35" i="9"/>
  <c r="H35" i="9"/>
  <c r="G35" i="9"/>
  <c r="D35" i="9"/>
  <c r="I34" i="9"/>
  <c r="H34" i="9"/>
  <c r="G34" i="9"/>
  <c r="D34" i="9"/>
  <c r="I33" i="9"/>
  <c r="H33" i="9"/>
  <c r="G33" i="9"/>
  <c r="D33" i="9"/>
  <c r="I32" i="9"/>
  <c r="H32" i="9"/>
  <c r="G32" i="9"/>
  <c r="D32" i="9"/>
  <c r="I31" i="9"/>
  <c r="H31" i="9"/>
  <c r="G31" i="9"/>
  <c r="D31" i="9"/>
  <c r="I30" i="9"/>
  <c r="H30" i="9"/>
  <c r="G30" i="9"/>
  <c r="D30" i="9"/>
  <c r="I29" i="9"/>
  <c r="H29" i="9"/>
  <c r="G29" i="9"/>
  <c r="D29" i="9"/>
  <c r="I28" i="9"/>
  <c r="H28" i="9"/>
  <c r="G28" i="9"/>
  <c r="D28" i="9"/>
  <c r="I27" i="9"/>
  <c r="H27" i="9"/>
  <c r="G27" i="9"/>
  <c r="D27" i="9"/>
  <c r="I26" i="9"/>
  <c r="H26" i="9"/>
  <c r="G26" i="9"/>
  <c r="D26" i="9"/>
  <c r="I25" i="9"/>
  <c r="H25" i="9"/>
  <c r="G25" i="9"/>
  <c r="D25" i="9"/>
  <c r="I24" i="9"/>
  <c r="H24" i="9"/>
  <c r="G24" i="9"/>
  <c r="D24" i="9"/>
  <c r="I23" i="9"/>
  <c r="H23" i="9"/>
  <c r="G23" i="9"/>
  <c r="D23" i="9"/>
  <c r="I22" i="9"/>
  <c r="H22" i="9"/>
  <c r="G22" i="9"/>
  <c r="D22" i="9"/>
  <c r="I21" i="9"/>
  <c r="H21" i="9"/>
  <c r="G21" i="9"/>
  <c r="D21" i="9"/>
  <c r="I20" i="9"/>
  <c r="H20" i="9"/>
  <c r="G20" i="9"/>
  <c r="D20" i="9"/>
  <c r="I19" i="9"/>
  <c r="H19" i="9"/>
  <c r="G19" i="9"/>
  <c r="D19" i="9"/>
  <c r="I18" i="9"/>
  <c r="H18" i="9"/>
  <c r="G18" i="9"/>
  <c r="D18" i="9"/>
  <c r="I17" i="9"/>
  <c r="H17" i="9"/>
  <c r="G17" i="9"/>
  <c r="D17" i="9"/>
  <c r="I16" i="9"/>
  <c r="H16" i="9"/>
  <c r="G16" i="9"/>
  <c r="D16" i="9"/>
  <c r="I15" i="9"/>
  <c r="H15" i="9"/>
  <c r="G15" i="9"/>
  <c r="D15" i="9"/>
  <c r="I14" i="9"/>
  <c r="H14" i="9"/>
  <c r="G14" i="9"/>
  <c r="D14" i="9"/>
  <c r="I13" i="9"/>
  <c r="H13" i="9"/>
  <c r="G13" i="9"/>
  <c r="D13" i="9"/>
  <c r="I12" i="9"/>
  <c r="H12" i="9"/>
  <c r="G12" i="9"/>
  <c r="D12" i="9"/>
  <c r="I11" i="9"/>
  <c r="H11" i="9"/>
  <c r="G11" i="9"/>
  <c r="D11" i="9"/>
  <c r="I10" i="9"/>
  <c r="H10" i="9"/>
  <c r="G10" i="9"/>
  <c r="D10" i="9"/>
  <c r="I9" i="9"/>
  <c r="H9" i="9"/>
  <c r="G9" i="9"/>
  <c r="D9" i="9"/>
  <c r="I8" i="9"/>
  <c r="H8" i="9"/>
  <c r="G8" i="9"/>
  <c r="D8" i="9"/>
  <c r="I7" i="9"/>
  <c r="H7" i="9"/>
  <c r="G7" i="9"/>
  <c r="D7" i="9"/>
  <c r="A3" i="9"/>
  <c r="F104" i="8"/>
  <c r="E104" i="8"/>
  <c r="I103" i="8"/>
  <c r="H103" i="8"/>
  <c r="G103" i="8"/>
  <c r="F114" i="8" s="1"/>
  <c r="D103" i="8"/>
  <c r="B114" i="8" s="1"/>
  <c r="F113" i="8"/>
  <c r="D102" i="8"/>
  <c r="C113" i="8" s="1"/>
  <c r="F112" i="8"/>
  <c r="B112" i="8"/>
  <c r="I98" i="8"/>
  <c r="H98" i="8"/>
  <c r="G98" i="8"/>
  <c r="F109" i="8" s="1"/>
  <c r="D98" i="8"/>
  <c r="I97" i="8"/>
  <c r="H97" i="8"/>
  <c r="G97" i="8"/>
  <c r="E108" i="8" s="1"/>
  <c r="D97" i="8"/>
  <c r="B108" i="8" s="1"/>
  <c r="I96" i="8"/>
  <c r="H96" i="8"/>
  <c r="G96" i="8"/>
  <c r="F107" i="8" s="1"/>
  <c r="D96" i="8"/>
  <c r="C107" i="8" s="1"/>
  <c r="I95" i="8"/>
  <c r="H95" i="8"/>
  <c r="G95" i="8"/>
  <c r="F106" i="8" s="1"/>
  <c r="D95" i="8"/>
  <c r="C106" i="8" s="1"/>
  <c r="F91" i="8"/>
  <c r="E91" i="8"/>
  <c r="G91" i="8" s="1"/>
  <c r="C91" i="8"/>
  <c r="I91" i="8" s="1"/>
  <c r="B91" i="8"/>
  <c r="H91" i="8" s="1"/>
  <c r="I90" i="8"/>
  <c r="H90" i="8"/>
  <c r="J90" i="8" s="1"/>
  <c r="G90" i="8"/>
  <c r="I89" i="8"/>
  <c r="H89" i="8"/>
  <c r="G89" i="8"/>
  <c r="D89" i="8"/>
  <c r="I88" i="8"/>
  <c r="H88" i="8"/>
  <c r="J88" i="8" s="1"/>
  <c r="G88" i="8"/>
  <c r="D88" i="8"/>
  <c r="I87" i="8"/>
  <c r="H87" i="8"/>
  <c r="J87" i="8" s="1"/>
  <c r="G87" i="8"/>
  <c r="D87" i="8"/>
  <c r="I86" i="8"/>
  <c r="H86" i="8"/>
  <c r="G86" i="8"/>
  <c r="D86" i="8"/>
  <c r="I85" i="8"/>
  <c r="H85" i="8"/>
  <c r="G85" i="8"/>
  <c r="D85" i="8"/>
  <c r="I84" i="8"/>
  <c r="H84" i="8"/>
  <c r="G84" i="8"/>
  <c r="D84" i="8"/>
  <c r="I83" i="8"/>
  <c r="H83" i="8"/>
  <c r="J83" i="8" s="1"/>
  <c r="G83" i="8"/>
  <c r="D83" i="8"/>
  <c r="I82" i="8"/>
  <c r="H82" i="8"/>
  <c r="G82" i="8"/>
  <c r="D82" i="8"/>
  <c r="I81" i="8"/>
  <c r="H81" i="8"/>
  <c r="G81" i="8"/>
  <c r="D81" i="8"/>
  <c r="I80" i="8"/>
  <c r="H80" i="8"/>
  <c r="G80" i="8"/>
  <c r="D80" i="8"/>
  <c r="I79" i="8"/>
  <c r="H79" i="8"/>
  <c r="J79" i="8" s="1"/>
  <c r="G79" i="8"/>
  <c r="D79" i="8"/>
  <c r="I78" i="8"/>
  <c r="H78" i="8"/>
  <c r="J78" i="8" s="1"/>
  <c r="G78" i="8"/>
  <c r="D78" i="8"/>
  <c r="I77" i="8"/>
  <c r="H77" i="8"/>
  <c r="G77" i="8"/>
  <c r="D77" i="8"/>
  <c r="I76" i="8"/>
  <c r="H76" i="8"/>
  <c r="G76" i="8"/>
  <c r="D76" i="8"/>
  <c r="I75" i="8"/>
  <c r="H75" i="8"/>
  <c r="J75" i="8" s="1"/>
  <c r="G75" i="8"/>
  <c r="D75" i="8"/>
  <c r="I74" i="8"/>
  <c r="H74" i="8"/>
  <c r="G74" i="8"/>
  <c r="D74" i="8"/>
  <c r="I73" i="8"/>
  <c r="H73" i="8"/>
  <c r="G73" i="8"/>
  <c r="D73" i="8"/>
  <c r="I72" i="8"/>
  <c r="H72" i="8"/>
  <c r="G72" i="8"/>
  <c r="D72" i="8"/>
  <c r="I71" i="8"/>
  <c r="H71" i="8"/>
  <c r="J71" i="8" s="1"/>
  <c r="G71" i="8"/>
  <c r="D71" i="8"/>
  <c r="I70" i="8"/>
  <c r="H70" i="8"/>
  <c r="J70" i="8" s="1"/>
  <c r="G70" i="8"/>
  <c r="D70" i="8"/>
  <c r="I69" i="8"/>
  <c r="H69" i="8"/>
  <c r="G69" i="8"/>
  <c r="D69" i="8"/>
  <c r="I68" i="8"/>
  <c r="H68" i="8"/>
  <c r="G68" i="8"/>
  <c r="D68" i="8"/>
  <c r="I67" i="8"/>
  <c r="H67" i="8"/>
  <c r="J67" i="8" s="1"/>
  <c r="G67" i="8"/>
  <c r="D67" i="8"/>
  <c r="I66" i="8"/>
  <c r="H66" i="8"/>
  <c r="J66" i="8" s="1"/>
  <c r="G66" i="8"/>
  <c r="D66" i="8"/>
  <c r="I65" i="8"/>
  <c r="H65" i="8"/>
  <c r="G65" i="8"/>
  <c r="D65" i="8"/>
  <c r="I64" i="8"/>
  <c r="H64" i="8"/>
  <c r="G64" i="8"/>
  <c r="D64" i="8"/>
  <c r="I63" i="8"/>
  <c r="H63" i="8"/>
  <c r="J63" i="8" s="1"/>
  <c r="G63" i="8"/>
  <c r="D63" i="8"/>
  <c r="I62" i="8"/>
  <c r="H62" i="8"/>
  <c r="G62" i="8"/>
  <c r="D62" i="8"/>
  <c r="I61" i="8"/>
  <c r="H61" i="8"/>
  <c r="G61" i="8"/>
  <c r="D61" i="8"/>
  <c r="I60" i="8"/>
  <c r="H60" i="8"/>
  <c r="G60" i="8"/>
  <c r="D60" i="8"/>
  <c r="I59" i="8"/>
  <c r="H59" i="8"/>
  <c r="G59" i="8"/>
  <c r="D59" i="8"/>
  <c r="I58" i="8"/>
  <c r="H58" i="8"/>
  <c r="G58" i="8"/>
  <c r="D58" i="8"/>
  <c r="I57" i="8"/>
  <c r="H57" i="8"/>
  <c r="G57" i="8"/>
  <c r="D57" i="8"/>
  <c r="I56" i="8"/>
  <c r="H56" i="8"/>
  <c r="G56" i="8"/>
  <c r="D56" i="8"/>
  <c r="I55" i="8"/>
  <c r="H55" i="8"/>
  <c r="G55" i="8"/>
  <c r="D55" i="8"/>
  <c r="I54" i="8"/>
  <c r="H54" i="8"/>
  <c r="G54" i="8"/>
  <c r="D54" i="8"/>
  <c r="I53" i="8"/>
  <c r="H53" i="8"/>
  <c r="G53" i="8"/>
  <c r="D53" i="8"/>
  <c r="I52" i="8"/>
  <c r="H52" i="8"/>
  <c r="G52" i="8"/>
  <c r="D52" i="8"/>
  <c r="I51" i="8"/>
  <c r="H51" i="8"/>
  <c r="G51" i="8"/>
  <c r="D51" i="8"/>
  <c r="I50" i="8"/>
  <c r="H50" i="8"/>
  <c r="G50" i="8"/>
  <c r="D50" i="8"/>
  <c r="I49" i="8"/>
  <c r="H49" i="8"/>
  <c r="G49" i="8"/>
  <c r="D49" i="8"/>
  <c r="I48" i="8"/>
  <c r="H48" i="8"/>
  <c r="G48" i="8"/>
  <c r="D48" i="8"/>
  <c r="I47" i="8"/>
  <c r="H47" i="8"/>
  <c r="G47" i="8"/>
  <c r="D47" i="8"/>
  <c r="I46" i="8"/>
  <c r="H46" i="8"/>
  <c r="G46" i="8"/>
  <c r="D46" i="8"/>
  <c r="I45" i="8"/>
  <c r="H45" i="8"/>
  <c r="G45" i="8"/>
  <c r="D45" i="8"/>
  <c r="I44" i="8"/>
  <c r="H44" i="8"/>
  <c r="G44" i="8"/>
  <c r="D44" i="8"/>
  <c r="I43" i="8"/>
  <c r="H43" i="8"/>
  <c r="G43" i="8"/>
  <c r="D43" i="8"/>
  <c r="I42" i="8"/>
  <c r="H42" i="8"/>
  <c r="G42" i="8"/>
  <c r="D42" i="8"/>
  <c r="I41" i="8"/>
  <c r="H41" i="8"/>
  <c r="G41" i="8"/>
  <c r="D41" i="8"/>
  <c r="I40" i="8"/>
  <c r="H40" i="8"/>
  <c r="G40" i="8"/>
  <c r="D40" i="8"/>
  <c r="I39" i="8"/>
  <c r="H39" i="8"/>
  <c r="G39" i="8"/>
  <c r="D39" i="8"/>
  <c r="I38" i="8"/>
  <c r="H38" i="8"/>
  <c r="G38" i="8"/>
  <c r="D38" i="8"/>
  <c r="I37" i="8"/>
  <c r="H37" i="8"/>
  <c r="G37" i="8"/>
  <c r="D37" i="8"/>
  <c r="I36" i="8"/>
  <c r="H36" i="8"/>
  <c r="G36" i="8"/>
  <c r="D36" i="8"/>
  <c r="I35" i="8"/>
  <c r="H35" i="8"/>
  <c r="G35" i="8"/>
  <c r="D35" i="8"/>
  <c r="I34" i="8"/>
  <c r="H34" i="8"/>
  <c r="G34" i="8"/>
  <c r="D34" i="8"/>
  <c r="I33" i="8"/>
  <c r="H33" i="8"/>
  <c r="G33" i="8"/>
  <c r="D33" i="8"/>
  <c r="I32" i="8"/>
  <c r="H32" i="8"/>
  <c r="G32" i="8"/>
  <c r="D32" i="8"/>
  <c r="I31" i="8"/>
  <c r="H31" i="8"/>
  <c r="G31" i="8"/>
  <c r="D31" i="8"/>
  <c r="I30" i="8"/>
  <c r="H30" i="8"/>
  <c r="G30" i="8"/>
  <c r="D30" i="8"/>
  <c r="I29" i="8"/>
  <c r="H29" i="8"/>
  <c r="G29" i="8"/>
  <c r="D29" i="8"/>
  <c r="I28" i="8"/>
  <c r="H28" i="8"/>
  <c r="G28" i="8"/>
  <c r="D28" i="8"/>
  <c r="I27" i="8"/>
  <c r="H27" i="8"/>
  <c r="G27" i="8"/>
  <c r="D27" i="8"/>
  <c r="I26" i="8"/>
  <c r="H26" i="8"/>
  <c r="J26" i="8" s="1"/>
  <c r="G26" i="8"/>
  <c r="D26" i="8"/>
  <c r="I25" i="8"/>
  <c r="H25" i="8"/>
  <c r="G25" i="8"/>
  <c r="D25" i="8"/>
  <c r="I24" i="8"/>
  <c r="H24" i="8"/>
  <c r="G24" i="8"/>
  <c r="D24" i="8"/>
  <c r="I23" i="8"/>
  <c r="H23" i="8"/>
  <c r="J23" i="8" s="1"/>
  <c r="G23" i="8"/>
  <c r="D23" i="8"/>
  <c r="I22" i="8"/>
  <c r="H22" i="8"/>
  <c r="J22" i="8" s="1"/>
  <c r="G22" i="8"/>
  <c r="D22" i="8"/>
  <c r="I21" i="8"/>
  <c r="H21" i="8"/>
  <c r="G21" i="8"/>
  <c r="D21" i="8"/>
  <c r="I20" i="8"/>
  <c r="H20" i="8"/>
  <c r="G20" i="8"/>
  <c r="D20" i="8"/>
  <c r="I19" i="8"/>
  <c r="H19" i="8"/>
  <c r="G19" i="8"/>
  <c r="D19" i="8"/>
  <c r="I18" i="8"/>
  <c r="H18" i="8"/>
  <c r="J18" i="8" s="1"/>
  <c r="G18" i="8"/>
  <c r="D18" i="8"/>
  <c r="I17" i="8"/>
  <c r="H17" i="8"/>
  <c r="G17" i="8"/>
  <c r="D17" i="8"/>
  <c r="I16" i="8"/>
  <c r="H16" i="8"/>
  <c r="G16" i="8"/>
  <c r="D16" i="8"/>
  <c r="I15" i="8"/>
  <c r="H15" i="8"/>
  <c r="J15" i="8" s="1"/>
  <c r="G15" i="8"/>
  <c r="D15" i="8"/>
  <c r="I14" i="8"/>
  <c r="H14" i="8"/>
  <c r="G14" i="8"/>
  <c r="D14" i="8"/>
  <c r="I13" i="8"/>
  <c r="H13" i="8"/>
  <c r="G13" i="8"/>
  <c r="D13" i="8"/>
  <c r="I12" i="8"/>
  <c r="H12" i="8"/>
  <c r="G12" i="8"/>
  <c r="D12" i="8"/>
  <c r="I11" i="8"/>
  <c r="H11" i="8"/>
  <c r="J11" i="8" s="1"/>
  <c r="G11" i="8"/>
  <c r="D11" i="8"/>
  <c r="I10" i="8"/>
  <c r="H10" i="8"/>
  <c r="J10" i="8" s="1"/>
  <c r="G10" i="8"/>
  <c r="D10" i="8"/>
  <c r="I9" i="8"/>
  <c r="H9" i="8"/>
  <c r="G9" i="8"/>
  <c r="D9" i="8"/>
  <c r="I8" i="8"/>
  <c r="H8" i="8"/>
  <c r="J8" i="8" s="1"/>
  <c r="G8" i="8"/>
  <c r="D8" i="8"/>
  <c r="I7" i="8"/>
  <c r="H7" i="8"/>
  <c r="J7" i="8" s="1"/>
  <c r="G7" i="8"/>
  <c r="D7" i="8"/>
  <c r="A3" i="8"/>
  <c r="F104" i="7"/>
  <c r="E104" i="7"/>
  <c r="C104" i="7"/>
  <c r="B104" i="7"/>
  <c r="I103" i="7"/>
  <c r="H103" i="7"/>
  <c r="G103" i="7"/>
  <c r="F114" i="7" s="1"/>
  <c r="D103" i="7"/>
  <c r="C114" i="7" s="1"/>
  <c r="I102" i="7"/>
  <c r="H102" i="7"/>
  <c r="G102" i="7"/>
  <c r="F113" i="7" s="1"/>
  <c r="D102" i="7"/>
  <c r="C113" i="7" s="1"/>
  <c r="I101" i="7"/>
  <c r="H101" i="7"/>
  <c r="G101" i="7"/>
  <c r="F112" i="7" s="1"/>
  <c r="D101" i="7"/>
  <c r="C112" i="7" s="1"/>
  <c r="I98" i="7"/>
  <c r="H98" i="7"/>
  <c r="G98" i="7"/>
  <c r="E109" i="7" s="1"/>
  <c r="D98" i="7"/>
  <c r="I97" i="7"/>
  <c r="H97" i="7"/>
  <c r="G97" i="7"/>
  <c r="F108" i="7" s="1"/>
  <c r="D97" i="7"/>
  <c r="C108" i="7" s="1"/>
  <c r="I96" i="7"/>
  <c r="H96" i="7"/>
  <c r="G96" i="7"/>
  <c r="F107" i="7" s="1"/>
  <c r="D96" i="7"/>
  <c r="C107" i="7" s="1"/>
  <c r="I95" i="7"/>
  <c r="H95" i="7"/>
  <c r="G95" i="7"/>
  <c r="F106" i="7" s="1"/>
  <c r="D95" i="7"/>
  <c r="C106" i="7" s="1"/>
  <c r="F91" i="7"/>
  <c r="E91" i="7"/>
  <c r="G91" i="7" s="1"/>
  <c r="C91" i="7"/>
  <c r="B91" i="7"/>
  <c r="H91" i="7" s="1"/>
  <c r="I90" i="7"/>
  <c r="H90" i="7"/>
  <c r="J90" i="7" s="1"/>
  <c r="G90" i="7"/>
  <c r="I89" i="7"/>
  <c r="H89" i="7"/>
  <c r="J89" i="7" s="1"/>
  <c r="G89" i="7"/>
  <c r="D89" i="7"/>
  <c r="I88" i="7"/>
  <c r="H88" i="7"/>
  <c r="G88" i="7"/>
  <c r="D88" i="7"/>
  <c r="I87" i="7"/>
  <c r="H87" i="7"/>
  <c r="J87" i="7" s="1"/>
  <c r="G87" i="7"/>
  <c r="D87" i="7"/>
  <c r="I86" i="7"/>
  <c r="H86" i="7"/>
  <c r="G86" i="7"/>
  <c r="D86" i="7"/>
  <c r="I85" i="7"/>
  <c r="H85" i="7"/>
  <c r="G85" i="7"/>
  <c r="D85" i="7"/>
  <c r="I84" i="7"/>
  <c r="H84" i="7"/>
  <c r="G84" i="7"/>
  <c r="D84" i="7"/>
  <c r="I83" i="7"/>
  <c r="H83" i="7"/>
  <c r="J83" i="7" s="1"/>
  <c r="G83" i="7"/>
  <c r="D83" i="7"/>
  <c r="I82" i="7"/>
  <c r="H82" i="7"/>
  <c r="J82" i="7" s="1"/>
  <c r="G82" i="7"/>
  <c r="D82" i="7"/>
  <c r="I81" i="7"/>
  <c r="H81" i="7"/>
  <c r="G81" i="7"/>
  <c r="D81" i="7"/>
  <c r="I80" i="7"/>
  <c r="H80" i="7"/>
  <c r="G80" i="7"/>
  <c r="D80" i="7"/>
  <c r="I79" i="7"/>
  <c r="H79" i="7"/>
  <c r="J79" i="7" s="1"/>
  <c r="G79" i="7"/>
  <c r="D79" i="7"/>
  <c r="I78" i="7"/>
  <c r="H78" i="7"/>
  <c r="J78" i="7" s="1"/>
  <c r="G78" i="7"/>
  <c r="D78" i="7"/>
  <c r="I77" i="7"/>
  <c r="H77" i="7"/>
  <c r="G77" i="7"/>
  <c r="D77" i="7"/>
  <c r="I76" i="7"/>
  <c r="H76" i="7"/>
  <c r="G76" i="7"/>
  <c r="D76" i="7"/>
  <c r="I75" i="7"/>
  <c r="H75" i="7"/>
  <c r="J75" i="7" s="1"/>
  <c r="G75" i="7"/>
  <c r="D75" i="7"/>
  <c r="I74" i="7"/>
  <c r="H74" i="7"/>
  <c r="J74" i="7" s="1"/>
  <c r="G74" i="7"/>
  <c r="D74" i="7"/>
  <c r="I73" i="7"/>
  <c r="H73" i="7"/>
  <c r="G73" i="7"/>
  <c r="D73" i="7"/>
  <c r="I72" i="7"/>
  <c r="H72" i="7"/>
  <c r="G72" i="7"/>
  <c r="D72" i="7"/>
  <c r="I71" i="7"/>
  <c r="H71" i="7"/>
  <c r="G71" i="7"/>
  <c r="D71" i="7"/>
  <c r="I70" i="7"/>
  <c r="H70" i="7"/>
  <c r="J70" i="7" s="1"/>
  <c r="G70" i="7"/>
  <c r="D70" i="7"/>
  <c r="I69" i="7"/>
  <c r="H69" i="7"/>
  <c r="G69" i="7"/>
  <c r="D69" i="7"/>
  <c r="I68" i="7"/>
  <c r="H68" i="7"/>
  <c r="G68" i="7"/>
  <c r="D68" i="7"/>
  <c r="I67" i="7"/>
  <c r="H67" i="7"/>
  <c r="G67" i="7"/>
  <c r="D67" i="7"/>
  <c r="I66" i="7"/>
  <c r="H66" i="7"/>
  <c r="G66" i="7"/>
  <c r="D66" i="7"/>
  <c r="I65" i="7"/>
  <c r="H65" i="7"/>
  <c r="G65" i="7"/>
  <c r="D65" i="7"/>
  <c r="I64" i="7"/>
  <c r="H64" i="7"/>
  <c r="G64" i="7"/>
  <c r="D64" i="7"/>
  <c r="I63" i="7"/>
  <c r="H63" i="7"/>
  <c r="G63" i="7"/>
  <c r="D63" i="7"/>
  <c r="I62" i="7"/>
  <c r="H62" i="7"/>
  <c r="G62" i="7"/>
  <c r="D62" i="7"/>
  <c r="I61" i="7"/>
  <c r="H61" i="7"/>
  <c r="G61" i="7"/>
  <c r="D61" i="7"/>
  <c r="I60" i="7"/>
  <c r="H60" i="7"/>
  <c r="G60" i="7"/>
  <c r="D60" i="7"/>
  <c r="I59" i="7"/>
  <c r="H59" i="7"/>
  <c r="G59" i="7"/>
  <c r="D59" i="7"/>
  <c r="I58" i="7"/>
  <c r="H58" i="7"/>
  <c r="J58" i="7" s="1"/>
  <c r="G58" i="7"/>
  <c r="D58" i="7"/>
  <c r="I57" i="7"/>
  <c r="H57" i="7"/>
  <c r="G57" i="7"/>
  <c r="D57" i="7"/>
  <c r="I56" i="7"/>
  <c r="H56" i="7"/>
  <c r="G56" i="7"/>
  <c r="D56" i="7"/>
  <c r="I55" i="7"/>
  <c r="H55" i="7"/>
  <c r="G55" i="7"/>
  <c r="D55" i="7"/>
  <c r="I54" i="7"/>
  <c r="H54" i="7"/>
  <c r="J54" i="7" s="1"/>
  <c r="G54" i="7"/>
  <c r="D54" i="7"/>
  <c r="I53" i="7"/>
  <c r="H53" i="7"/>
  <c r="G53" i="7"/>
  <c r="D53" i="7"/>
  <c r="I52" i="7"/>
  <c r="H52" i="7"/>
  <c r="G52" i="7"/>
  <c r="D52" i="7"/>
  <c r="I51" i="7"/>
  <c r="H51" i="7"/>
  <c r="G51" i="7"/>
  <c r="D51" i="7"/>
  <c r="I50" i="7"/>
  <c r="H50" i="7"/>
  <c r="G50" i="7"/>
  <c r="D50" i="7"/>
  <c r="I49" i="7"/>
  <c r="H49" i="7"/>
  <c r="G49" i="7"/>
  <c r="D49" i="7"/>
  <c r="I48" i="7"/>
  <c r="H48" i="7"/>
  <c r="G48" i="7"/>
  <c r="D48" i="7"/>
  <c r="I47" i="7"/>
  <c r="H47" i="7"/>
  <c r="G47" i="7"/>
  <c r="D47" i="7"/>
  <c r="I46" i="7"/>
  <c r="H46" i="7"/>
  <c r="G46" i="7"/>
  <c r="D46" i="7"/>
  <c r="I45" i="7"/>
  <c r="H45" i="7"/>
  <c r="G45" i="7"/>
  <c r="D45" i="7"/>
  <c r="I44" i="7"/>
  <c r="H44" i="7"/>
  <c r="G44" i="7"/>
  <c r="D44" i="7"/>
  <c r="I43" i="7"/>
  <c r="H43" i="7"/>
  <c r="G43" i="7"/>
  <c r="D43" i="7"/>
  <c r="I42" i="7"/>
  <c r="H42" i="7"/>
  <c r="J42" i="7" s="1"/>
  <c r="G42" i="7"/>
  <c r="D42" i="7"/>
  <c r="I41" i="7"/>
  <c r="H41" i="7"/>
  <c r="G41" i="7"/>
  <c r="D41" i="7"/>
  <c r="I40" i="7"/>
  <c r="H40" i="7"/>
  <c r="G40" i="7"/>
  <c r="D40" i="7"/>
  <c r="I39" i="7"/>
  <c r="H39" i="7"/>
  <c r="G39" i="7"/>
  <c r="D39" i="7"/>
  <c r="I38" i="7"/>
  <c r="H38" i="7"/>
  <c r="G38" i="7"/>
  <c r="D38" i="7"/>
  <c r="I37" i="7"/>
  <c r="H37" i="7"/>
  <c r="G37" i="7"/>
  <c r="D37" i="7"/>
  <c r="I36" i="7"/>
  <c r="H36" i="7"/>
  <c r="G36" i="7"/>
  <c r="D36" i="7"/>
  <c r="I35" i="7"/>
  <c r="H35" i="7"/>
  <c r="J35" i="7" s="1"/>
  <c r="G35" i="7"/>
  <c r="D35" i="7"/>
  <c r="I34" i="7"/>
  <c r="H34" i="7"/>
  <c r="J34" i="7" s="1"/>
  <c r="G34" i="7"/>
  <c r="D34" i="7"/>
  <c r="I33" i="7"/>
  <c r="H33" i="7"/>
  <c r="G33" i="7"/>
  <c r="D33" i="7"/>
  <c r="I32" i="7"/>
  <c r="H32" i="7"/>
  <c r="G32" i="7"/>
  <c r="D32" i="7"/>
  <c r="I31" i="7"/>
  <c r="H31" i="7"/>
  <c r="J31" i="7" s="1"/>
  <c r="G31" i="7"/>
  <c r="D31" i="7"/>
  <c r="I30" i="7"/>
  <c r="H30" i="7"/>
  <c r="J30" i="7" s="1"/>
  <c r="G30" i="7"/>
  <c r="D30" i="7"/>
  <c r="I29" i="7"/>
  <c r="H29" i="7"/>
  <c r="G29" i="7"/>
  <c r="D29" i="7"/>
  <c r="I28" i="7"/>
  <c r="H28" i="7"/>
  <c r="G28" i="7"/>
  <c r="D28" i="7"/>
  <c r="I27" i="7"/>
  <c r="H27" i="7"/>
  <c r="J27" i="7" s="1"/>
  <c r="G27" i="7"/>
  <c r="D27" i="7"/>
  <c r="I26" i="7"/>
  <c r="H26" i="7"/>
  <c r="G26" i="7"/>
  <c r="D26" i="7"/>
  <c r="I25" i="7"/>
  <c r="H25" i="7"/>
  <c r="G25" i="7"/>
  <c r="D25" i="7"/>
  <c r="I24" i="7"/>
  <c r="H24" i="7"/>
  <c r="G24" i="7"/>
  <c r="D24" i="7"/>
  <c r="I23" i="7"/>
  <c r="H23" i="7"/>
  <c r="G23" i="7"/>
  <c r="D23" i="7"/>
  <c r="I22" i="7"/>
  <c r="H22" i="7"/>
  <c r="G22" i="7"/>
  <c r="D22" i="7"/>
  <c r="I21" i="7"/>
  <c r="H21" i="7"/>
  <c r="G21" i="7"/>
  <c r="D21" i="7"/>
  <c r="I20" i="7"/>
  <c r="H20" i="7"/>
  <c r="G20" i="7"/>
  <c r="D20" i="7"/>
  <c r="I19" i="7"/>
  <c r="H19" i="7"/>
  <c r="G19" i="7"/>
  <c r="D19" i="7"/>
  <c r="I18" i="7"/>
  <c r="H18" i="7"/>
  <c r="J18" i="7" s="1"/>
  <c r="G18" i="7"/>
  <c r="D18" i="7"/>
  <c r="I17" i="7"/>
  <c r="H17" i="7"/>
  <c r="G17" i="7"/>
  <c r="D17" i="7"/>
  <c r="I16" i="7"/>
  <c r="H16" i="7"/>
  <c r="G16" i="7"/>
  <c r="D16" i="7"/>
  <c r="I15" i="7"/>
  <c r="H15" i="7"/>
  <c r="G15" i="7"/>
  <c r="D15" i="7"/>
  <c r="I14" i="7"/>
  <c r="H14" i="7"/>
  <c r="J14" i="7" s="1"/>
  <c r="G14" i="7"/>
  <c r="D14" i="7"/>
  <c r="I13" i="7"/>
  <c r="H13" i="7"/>
  <c r="G13" i="7"/>
  <c r="D13" i="7"/>
  <c r="I12" i="7"/>
  <c r="H12" i="7"/>
  <c r="G12" i="7"/>
  <c r="D12" i="7"/>
  <c r="I11" i="7"/>
  <c r="H11" i="7"/>
  <c r="G11" i="7"/>
  <c r="D11" i="7"/>
  <c r="I10" i="7"/>
  <c r="H10" i="7"/>
  <c r="J10" i="7" s="1"/>
  <c r="G10" i="7"/>
  <c r="D10" i="7"/>
  <c r="I9" i="7"/>
  <c r="H9" i="7"/>
  <c r="G9" i="7"/>
  <c r="D9" i="7"/>
  <c r="I8" i="7"/>
  <c r="H8" i="7"/>
  <c r="G8" i="7"/>
  <c r="D8" i="7"/>
  <c r="I7" i="7"/>
  <c r="H7" i="7"/>
  <c r="J7" i="7" s="1"/>
  <c r="G7" i="7"/>
  <c r="D7" i="7"/>
  <c r="A3" i="7"/>
  <c r="F103" i="6"/>
  <c r="E103" i="6"/>
  <c r="C103" i="6"/>
  <c r="B103" i="6"/>
  <c r="I102" i="6"/>
  <c r="H102" i="6"/>
  <c r="G102" i="6"/>
  <c r="F113" i="6" s="1"/>
  <c r="D102" i="6"/>
  <c r="C113" i="6" s="1"/>
  <c r="I101" i="6"/>
  <c r="H101" i="6"/>
  <c r="G101" i="6"/>
  <c r="F112" i="6" s="1"/>
  <c r="D101" i="6"/>
  <c r="C112" i="6" s="1"/>
  <c r="I100" i="6"/>
  <c r="H100" i="6"/>
  <c r="G100" i="6"/>
  <c r="F111" i="6" s="1"/>
  <c r="D100" i="6"/>
  <c r="B111" i="6" s="1"/>
  <c r="D99" i="6"/>
  <c r="C110" i="6" s="1"/>
  <c r="I96" i="6"/>
  <c r="H96" i="6"/>
  <c r="G96" i="6"/>
  <c r="E107" i="6" s="1"/>
  <c r="D96" i="6"/>
  <c r="C107" i="6" s="1"/>
  <c r="I95" i="6"/>
  <c r="H95" i="6"/>
  <c r="G95" i="6"/>
  <c r="F106" i="6" s="1"/>
  <c r="D95" i="6"/>
  <c r="C106" i="6" s="1"/>
  <c r="I94" i="6"/>
  <c r="H94" i="6"/>
  <c r="G94" i="6"/>
  <c r="F105" i="6" s="1"/>
  <c r="D94" i="6"/>
  <c r="C105" i="6" s="1"/>
  <c r="F90" i="6"/>
  <c r="E90" i="6"/>
  <c r="C90" i="6"/>
  <c r="B90" i="6"/>
  <c r="H90" i="6" s="1"/>
  <c r="I89" i="6"/>
  <c r="H89" i="6"/>
  <c r="G89" i="6"/>
  <c r="D89" i="6"/>
  <c r="I88" i="6"/>
  <c r="H88" i="6"/>
  <c r="G88" i="6"/>
  <c r="D88" i="6"/>
  <c r="I87" i="6"/>
  <c r="H87" i="6"/>
  <c r="J87" i="6" s="1"/>
  <c r="G87" i="6"/>
  <c r="D87" i="6"/>
  <c r="I86" i="6"/>
  <c r="H86" i="6"/>
  <c r="G86" i="6"/>
  <c r="D86" i="6"/>
  <c r="I85" i="6"/>
  <c r="H85" i="6"/>
  <c r="G85" i="6"/>
  <c r="D85" i="6"/>
  <c r="I84" i="6"/>
  <c r="H84" i="6"/>
  <c r="G84" i="6"/>
  <c r="D84" i="6"/>
  <c r="I83" i="6"/>
  <c r="H83" i="6"/>
  <c r="J83" i="6" s="1"/>
  <c r="G83" i="6"/>
  <c r="D83" i="6"/>
  <c r="I82" i="6"/>
  <c r="H82" i="6"/>
  <c r="G82" i="6"/>
  <c r="D82" i="6"/>
  <c r="I81" i="6"/>
  <c r="J81" i="6" s="1"/>
  <c r="H81" i="6"/>
  <c r="G81" i="6"/>
  <c r="D81" i="6"/>
  <c r="I80" i="6"/>
  <c r="H80" i="6"/>
  <c r="G80" i="6"/>
  <c r="D80" i="6"/>
  <c r="I79" i="6"/>
  <c r="H79" i="6"/>
  <c r="G79" i="6"/>
  <c r="D79" i="6"/>
  <c r="I78" i="6"/>
  <c r="H78" i="6"/>
  <c r="G78" i="6"/>
  <c r="D78" i="6"/>
  <c r="I77" i="6"/>
  <c r="H77" i="6"/>
  <c r="G77" i="6"/>
  <c r="D77" i="6"/>
  <c r="I76" i="6"/>
  <c r="H76" i="6"/>
  <c r="G76" i="6"/>
  <c r="D76" i="6"/>
  <c r="I75" i="6"/>
  <c r="H75" i="6"/>
  <c r="J75" i="6" s="1"/>
  <c r="G75" i="6"/>
  <c r="D75" i="6"/>
  <c r="I74" i="6"/>
  <c r="H74" i="6"/>
  <c r="G74" i="6"/>
  <c r="D74" i="6"/>
  <c r="I73" i="6"/>
  <c r="H73" i="6"/>
  <c r="G73" i="6"/>
  <c r="D73" i="6"/>
  <c r="I72" i="6"/>
  <c r="H72" i="6"/>
  <c r="G72" i="6"/>
  <c r="D72" i="6"/>
  <c r="I71" i="6"/>
  <c r="H71" i="6"/>
  <c r="J71" i="6" s="1"/>
  <c r="G71" i="6"/>
  <c r="D71" i="6"/>
  <c r="I70" i="6"/>
  <c r="H70" i="6"/>
  <c r="J70" i="6" s="1"/>
  <c r="G70" i="6"/>
  <c r="D70" i="6"/>
  <c r="I69" i="6"/>
  <c r="H69" i="6"/>
  <c r="G69" i="6"/>
  <c r="D69" i="6"/>
  <c r="I68" i="6"/>
  <c r="H68" i="6"/>
  <c r="G68" i="6"/>
  <c r="D68" i="6"/>
  <c r="I67" i="6"/>
  <c r="H67" i="6"/>
  <c r="G67" i="6"/>
  <c r="D67" i="6"/>
  <c r="I66" i="6"/>
  <c r="H66" i="6"/>
  <c r="J66" i="6" s="1"/>
  <c r="G66" i="6"/>
  <c r="D66" i="6"/>
  <c r="I65" i="6"/>
  <c r="H65" i="6"/>
  <c r="G65" i="6"/>
  <c r="D65" i="6"/>
  <c r="I64" i="6"/>
  <c r="H64" i="6"/>
  <c r="G64" i="6"/>
  <c r="D64" i="6"/>
  <c r="I63" i="6"/>
  <c r="H63" i="6"/>
  <c r="G63" i="6"/>
  <c r="D63" i="6"/>
  <c r="I62" i="6"/>
  <c r="H62" i="6"/>
  <c r="G62" i="6"/>
  <c r="D62" i="6"/>
  <c r="I61" i="6"/>
  <c r="H61" i="6"/>
  <c r="G61" i="6"/>
  <c r="D61" i="6"/>
  <c r="I60" i="6"/>
  <c r="H60" i="6"/>
  <c r="G60" i="6"/>
  <c r="D60" i="6"/>
  <c r="I59" i="6"/>
  <c r="H59" i="6"/>
  <c r="G59" i="6"/>
  <c r="D59" i="6"/>
  <c r="I58" i="6"/>
  <c r="H58" i="6"/>
  <c r="J58" i="6" s="1"/>
  <c r="G58" i="6"/>
  <c r="D58" i="6"/>
  <c r="I57" i="6"/>
  <c r="H57" i="6"/>
  <c r="G57" i="6"/>
  <c r="D57" i="6"/>
  <c r="I56" i="6"/>
  <c r="H56" i="6"/>
  <c r="G56" i="6"/>
  <c r="D56" i="6"/>
  <c r="I55" i="6"/>
  <c r="H55" i="6"/>
  <c r="G55" i="6"/>
  <c r="D55" i="6"/>
  <c r="I54" i="6"/>
  <c r="H54" i="6"/>
  <c r="G54" i="6"/>
  <c r="D54" i="6"/>
  <c r="I53" i="6"/>
  <c r="H53" i="6"/>
  <c r="G53" i="6"/>
  <c r="D53" i="6"/>
  <c r="I52" i="6"/>
  <c r="H52" i="6"/>
  <c r="J52" i="6" s="1"/>
  <c r="G52" i="6"/>
  <c r="D52" i="6"/>
  <c r="I51" i="6"/>
  <c r="H51" i="6"/>
  <c r="G51" i="6"/>
  <c r="D51" i="6"/>
  <c r="I50" i="6"/>
  <c r="H50" i="6"/>
  <c r="G50" i="6"/>
  <c r="D50" i="6"/>
  <c r="I49" i="6"/>
  <c r="J49" i="6" s="1"/>
  <c r="H49" i="6"/>
  <c r="G49" i="6"/>
  <c r="D49" i="6"/>
  <c r="I48" i="6"/>
  <c r="H48" i="6"/>
  <c r="J48" i="6" s="1"/>
  <c r="G48" i="6"/>
  <c r="D48" i="6"/>
  <c r="I47" i="6"/>
  <c r="H47" i="6"/>
  <c r="G47" i="6"/>
  <c r="D47" i="6"/>
  <c r="I46" i="6"/>
  <c r="H46" i="6"/>
  <c r="G46" i="6"/>
  <c r="D46" i="6"/>
  <c r="I45" i="6"/>
  <c r="H45" i="6"/>
  <c r="G45" i="6"/>
  <c r="D45" i="6"/>
  <c r="I44" i="6"/>
  <c r="H44" i="6"/>
  <c r="J44" i="6" s="1"/>
  <c r="G44" i="6"/>
  <c r="D44" i="6"/>
  <c r="I43" i="6"/>
  <c r="H43" i="6"/>
  <c r="G43" i="6"/>
  <c r="D43" i="6"/>
  <c r="I42" i="6"/>
  <c r="H42" i="6"/>
  <c r="J42" i="6" s="1"/>
  <c r="G42" i="6"/>
  <c r="D42" i="6"/>
  <c r="I41" i="6"/>
  <c r="H41" i="6"/>
  <c r="G41" i="6"/>
  <c r="D41" i="6"/>
  <c r="I40" i="6"/>
  <c r="H40" i="6"/>
  <c r="G40" i="6"/>
  <c r="D40" i="6"/>
  <c r="I39" i="6"/>
  <c r="H39" i="6"/>
  <c r="G39" i="6"/>
  <c r="D39" i="6"/>
  <c r="I38" i="6"/>
  <c r="H38" i="6"/>
  <c r="G38" i="6"/>
  <c r="D38" i="6"/>
  <c r="I37" i="6"/>
  <c r="H37" i="6"/>
  <c r="J37" i="6" s="1"/>
  <c r="G37" i="6"/>
  <c r="D37" i="6"/>
  <c r="I36" i="6"/>
  <c r="H36" i="6"/>
  <c r="J36" i="6" s="1"/>
  <c r="G36" i="6"/>
  <c r="D36" i="6"/>
  <c r="I35" i="6"/>
  <c r="H35" i="6"/>
  <c r="G35" i="6"/>
  <c r="D35" i="6"/>
  <c r="I34" i="6"/>
  <c r="H34" i="6"/>
  <c r="G34" i="6"/>
  <c r="D34" i="6"/>
  <c r="I33" i="6"/>
  <c r="H33" i="6"/>
  <c r="G33" i="6"/>
  <c r="D33" i="6"/>
  <c r="I32" i="6"/>
  <c r="H32" i="6"/>
  <c r="G32" i="6"/>
  <c r="D32" i="6"/>
  <c r="I31" i="6"/>
  <c r="H31" i="6"/>
  <c r="G31" i="6"/>
  <c r="D31" i="6"/>
  <c r="I30" i="6"/>
  <c r="H30" i="6"/>
  <c r="G30" i="6"/>
  <c r="D30" i="6"/>
  <c r="I29" i="6"/>
  <c r="H29" i="6"/>
  <c r="G29" i="6"/>
  <c r="D29" i="6"/>
  <c r="I28" i="6"/>
  <c r="H28" i="6"/>
  <c r="G28" i="6"/>
  <c r="D28" i="6"/>
  <c r="I27" i="6"/>
  <c r="H27" i="6"/>
  <c r="G27" i="6"/>
  <c r="D27" i="6"/>
  <c r="I26" i="6"/>
  <c r="H26" i="6"/>
  <c r="G26" i="6"/>
  <c r="D26" i="6"/>
  <c r="I25" i="6"/>
  <c r="H25" i="6"/>
  <c r="G25" i="6"/>
  <c r="D25" i="6"/>
  <c r="I24" i="6"/>
  <c r="H24" i="6"/>
  <c r="G24" i="6"/>
  <c r="D24" i="6"/>
  <c r="I23" i="6"/>
  <c r="H23" i="6"/>
  <c r="G23" i="6"/>
  <c r="D23" i="6"/>
  <c r="I22" i="6"/>
  <c r="H22" i="6"/>
  <c r="G22" i="6"/>
  <c r="D22" i="6"/>
  <c r="I21" i="6"/>
  <c r="H21" i="6"/>
  <c r="G21" i="6"/>
  <c r="D21" i="6"/>
  <c r="I20" i="6"/>
  <c r="H20" i="6"/>
  <c r="G20" i="6"/>
  <c r="D20" i="6"/>
  <c r="I19" i="6"/>
  <c r="H19" i="6"/>
  <c r="G19" i="6"/>
  <c r="D19" i="6"/>
  <c r="I18" i="6"/>
  <c r="H18" i="6"/>
  <c r="G18" i="6"/>
  <c r="D18" i="6"/>
  <c r="I17" i="6"/>
  <c r="H17" i="6"/>
  <c r="G17" i="6"/>
  <c r="D17" i="6"/>
  <c r="I16" i="6"/>
  <c r="H16" i="6"/>
  <c r="G16" i="6"/>
  <c r="D16" i="6"/>
  <c r="I15" i="6"/>
  <c r="H15" i="6"/>
  <c r="G15" i="6"/>
  <c r="D15" i="6"/>
  <c r="I14" i="6"/>
  <c r="H14" i="6"/>
  <c r="G14" i="6"/>
  <c r="D14" i="6"/>
  <c r="I13" i="6"/>
  <c r="H13" i="6"/>
  <c r="G13" i="6"/>
  <c r="D13" i="6"/>
  <c r="I12" i="6"/>
  <c r="H12" i="6"/>
  <c r="G12" i="6"/>
  <c r="D12" i="6"/>
  <c r="I11" i="6"/>
  <c r="H11" i="6"/>
  <c r="G11" i="6"/>
  <c r="D11" i="6"/>
  <c r="I10" i="6"/>
  <c r="H10" i="6"/>
  <c r="G10" i="6"/>
  <c r="D10" i="6"/>
  <c r="I9" i="6"/>
  <c r="H9" i="6"/>
  <c r="G9" i="6"/>
  <c r="D9" i="6"/>
  <c r="I8" i="6"/>
  <c r="H8" i="6"/>
  <c r="G8" i="6"/>
  <c r="D8" i="6"/>
  <c r="I7" i="6"/>
  <c r="H7" i="6"/>
  <c r="J7" i="6" s="1"/>
  <c r="G7" i="6"/>
  <c r="D7" i="6"/>
  <c r="A3" i="6"/>
  <c r="F103" i="17"/>
  <c r="E103" i="17"/>
  <c r="I102" i="17"/>
  <c r="H102" i="17"/>
  <c r="G102" i="17"/>
  <c r="F113" i="17" s="1"/>
  <c r="D102" i="17"/>
  <c r="C113" i="17" s="1"/>
  <c r="I98" i="17"/>
  <c r="H98" i="17"/>
  <c r="G98" i="17"/>
  <c r="F111" i="17" s="1"/>
  <c r="D98" i="17"/>
  <c r="I97" i="17"/>
  <c r="H97" i="17"/>
  <c r="G97" i="17"/>
  <c r="F110" i="17" s="1"/>
  <c r="D97" i="17"/>
  <c r="I96" i="17"/>
  <c r="H96" i="17"/>
  <c r="G96" i="17"/>
  <c r="F107" i="17" s="1"/>
  <c r="D96" i="17"/>
  <c r="I95" i="17"/>
  <c r="H95" i="17"/>
  <c r="G95" i="17"/>
  <c r="F106" i="17" s="1"/>
  <c r="D95" i="17"/>
  <c r="C106" i="17" s="1"/>
  <c r="I94" i="17"/>
  <c r="H94" i="17"/>
  <c r="G94" i="17"/>
  <c r="F105" i="17" s="1"/>
  <c r="D94" i="17"/>
  <c r="C105" i="17" s="1"/>
  <c r="F90" i="17"/>
  <c r="E90" i="17"/>
  <c r="C90" i="17"/>
  <c r="B90" i="17"/>
  <c r="I88" i="17"/>
  <c r="H88" i="17"/>
  <c r="G88" i="17"/>
  <c r="D88" i="17"/>
  <c r="I87" i="17"/>
  <c r="H87" i="17"/>
  <c r="G87" i="17"/>
  <c r="D87" i="17"/>
  <c r="I86" i="17"/>
  <c r="H86" i="17"/>
  <c r="G86" i="17"/>
  <c r="D86" i="17"/>
  <c r="I85" i="17"/>
  <c r="H85" i="17"/>
  <c r="G85" i="17"/>
  <c r="D85" i="17"/>
  <c r="I84" i="17"/>
  <c r="H84" i="17"/>
  <c r="G84" i="17"/>
  <c r="D84" i="17"/>
  <c r="I83" i="17"/>
  <c r="H83" i="17"/>
  <c r="G83" i="17"/>
  <c r="D83" i="17"/>
  <c r="I82" i="17"/>
  <c r="H82" i="17"/>
  <c r="G82" i="17"/>
  <c r="D82" i="17"/>
  <c r="I81" i="17"/>
  <c r="H81" i="17"/>
  <c r="G81" i="17"/>
  <c r="D81" i="17"/>
  <c r="I80" i="17"/>
  <c r="H80" i="17"/>
  <c r="G80" i="17"/>
  <c r="D80" i="17"/>
  <c r="I79" i="17"/>
  <c r="H79" i="17"/>
  <c r="G79" i="17"/>
  <c r="D79" i="17"/>
  <c r="I78" i="17"/>
  <c r="H78" i="17"/>
  <c r="G78" i="17"/>
  <c r="D78" i="17"/>
  <c r="I77" i="17"/>
  <c r="H77" i="17"/>
  <c r="G77" i="17"/>
  <c r="D77" i="17"/>
  <c r="I76" i="17"/>
  <c r="H76" i="17"/>
  <c r="G76" i="17"/>
  <c r="D76" i="17"/>
  <c r="I75" i="17"/>
  <c r="H75" i="17"/>
  <c r="G75" i="17"/>
  <c r="D75" i="17"/>
  <c r="I74" i="17"/>
  <c r="H74" i="17"/>
  <c r="G74" i="17"/>
  <c r="D74" i="17"/>
  <c r="I73" i="17"/>
  <c r="H73" i="17"/>
  <c r="G73" i="17"/>
  <c r="D73" i="17"/>
  <c r="I72" i="17"/>
  <c r="H72" i="17"/>
  <c r="G72" i="17"/>
  <c r="D72" i="17"/>
  <c r="I71" i="17"/>
  <c r="H71" i="17"/>
  <c r="G71" i="17"/>
  <c r="D71" i="17"/>
  <c r="I70" i="17"/>
  <c r="H70" i="17"/>
  <c r="G70" i="17"/>
  <c r="D70" i="17"/>
  <c r="I69" i="17"/>
  <c r="H69" i="17"/>
  <c r="G69" i="17"/>
  <c r="D69" i="17"/>
  <c r="I68" i="17"/>
  <c r="H68" i="17"/>
  <c r="G68" i="17"/>
  <c r="D68" i="17"/>
  <c r="I67" i="17"/>
  <c r="H67" i="17"/>
  <c r="G67" i="17"/>
  <c r="D67" i="17"/>
  <c r="I66" i="17"/>
  <c r="H66" i="17"/>
  <c r="G66" i="17"/>
  <c r="D66" i="17"/>
  <c r="I65" i="17"/>
  <c r="H65" i="17"/>
  <c r="G65" i="17"/>
  <c r="D65" i="17"/>
  <c r="I64" i="17"/>
  <c r="H64" i="17"/>
  <c r="G64" i="17"/>
  <c r="D64" i="17"/>
  <c r="I63" i="17"/>
  <c r="H63" i="17"/>
  <c r="G63" i="17"/>
  <c r="D63" i="17"/>
  <c r="I62" i="17"/>
  <c r="H62" i="17"/>
  <c r="G62" i="17"/>
  <c r="D62" i="17"/>
  <c r="I61" i="17"/>
  <c r="H61" i="17"/>
  <c r="G61" i="17"/>
  <c r="D61" i="17"/>
  <c r="I60" i="17"/>
  <c r="H60" i="17"/>
  <c r="G60" i="17"/>
  <c r="D60" i="17"/>
  <c r="I59" i="17"/>
  <c r="H59" i="17"/>
  <c r="G59" i="17"/>
  <c r="D59" i="17"/>
  <c r="I58" i="17"/>
  <c r="H58" i="17"/>
  <c r="G58" i="17"/>
  <c r="D58" i="17"/>
  <c r="I57" i="17"/>
  <c r="H57" i="17"/>
  <c r="G57" i="17"/>
  <c r="D57" i="17"/>
  <c r="I56" i="17"/>
  <c r="H56" i="17"/>
  <c r="G56" i="17"/>
  <c r="D56" i="17"/>
  <c r="I55" i="17"/>
  <c r="H55" i="17"/>
  <c r="G55" i="17"/>
  <c r="D55" i="17"/>
  <c r="I54" i="17"/>
  <c r="H54" i="17"/>
  <c r="G54" i="17"/>
  <c r="D54" i="17"/>
  <c r="I53" i="17"/>
  <c r="H53" i="17"/>
  <c r="G53" i="17"/>
  <c r="D53" i="17"/>
  <c r="I52" i="17"/>
  <c r="H52" i="17"/>
  <c r="G52" i="17"/>
  <c r="D52" i="17"/>
  <c r="I51" i="17"/>
  <c r="H51" i="17"/>
  <c r="G51" i="17"/>
  <c r="D51" i="17"/>
  <c r="I50" i="17"/>
  <c r="H50" i="17"/>
  <c r="G50" i="17"/>
  <c r="D50" i="17"/>
  <c r="I49" i="17"/>
  <c r="H49" i="17"/>
  <c r="G49" i="17"/>
  <c r="D49" i="17"/>
  <c r="I48" i="17"/>
  <c r="H48" i="17"/>
  <c r="G48" i="17"/>
  <c r="D48" i="17"/>
  <c r="I47" i="17"/>
  <c r="H47" i="17"/>
  <c r="G47" i="17"/>
  <c r="D47" i="17"/>
  <c r="I46" i="17"/>
  <c r="H46" i="17"/>
  <c r="G46" i="17"/>
  <c r="D46" i="17"/>
  <c r="I45" i="17"/>
  <c r="H45" i="17"/>
  <c r="G45" i="17"/>
  <c r="D45" i="17"/>
  <c r="I44" i="17"/>
  <c r="H44" i="17"/>
  <c r="G44" i="17"/>
  <c r="D44" i="17"/>
  <c r="I43" i="17"/>
  <c r="H43" i="17"/>
  <c r="G43" i="17"/>
  <c r="D43" i="17"/>
  <c r="I42" i="17"/>
  <c r="H42" i="17"/>
  <c r="G42" i="17"/>
  <c r="D42" i="17"/>
  <c r="I41" i="17"/>
  <c r="H41" i="17"/>
  <c r="G41" i="17"/>
  <c r="D41" i="17"/>
  <c r="I40" i="17"/>
  <c r="H40" i="17"/>
  <c r="G40" i="17"/>
  <c r="D40" i="17"/>
  <c r="I39" i="17"/>
  <c r="H39" i="17"/>
  <c r="G39" i="17"/>
  <c r="D39" i="17"/>
  <c r="I38" i="17"/>
  <c r="H38" i="17"/>
  <c r="G38" i="17"/>
  <c r="D38" i="17"/>
  <c r="I37" i="17"/>
  <c r="H37" i="17"/>
  <c r="G37" i="17"/>
  <c r="D37" i="17"/>
  <c r="I36" i="17"/>
  <c r="H36" i="17"/>
  <c r="G36" i="17"/>
  <c r="D36" i="17"/>
  <c r="I35" i="17"/>
  <c r="H35" i="17"/>
  <c r="G35" i="17"/>
  <c r="D35" i="17"/>
  <c r="I34" i="17"/>
  <c r="H34" i="17"/>
  <c r="G34" i="17"/>
  <c r="D34" i="17"/>
  <c r="I33" i="17"/>
  <c r="H33" i="17"/>
  <c r="G33" i="17"/>
  <c r="D33" i="17"/>
  <c r="I32" i="17"/>
  <c r="H32" i="17"/>
  <c r="G32" i="17"/>
  <c r="D32" i="17"/>
  <c r="I31" i="17"/>
  <c r="H31" i="17"/>
  <c r="G31" i="17"/>
  <c r="D31" i="17"/>
  <c r="I30" i="17"/>
  <c r="H30" i="17"/>
  <c r="G30" i="17"/>
  <c r="D30" i="17"/>
  <c r="I29" i="17"/>
  <c r="H29" i="17"/>
  <c r="G29" i="17"/>
  <c r="D29" i="17"/>
  <c r="I28" i="17"/>
  <c r="H28" i="17"/>
  <c r="G28" i="17"/>
  <c r="D28" i="17"/>
  <c r="I27" i="17"/>
  <c r="H27" i="17"/>
  <c r="G27" i="17"/>
  <c r="D27" i="17"/>
  <c r="I26" i="17"/>
  <c r="H26" i="17"/>
  <c r="G26" i="17"/>
  <c r="D26" i="17"/>
  <c r="I25" i="17"/>
  <c r="H25" i="17"/>
  <c r="G25" i="17"/>
  <c r="D25" i="17"/>
  <c r="I24" i="17"/>
  <c r="H24" i="17"/>
  <c r="G24" i="17"/>
  <c r="D24" i="17"/>
  <c r="I23" i="17"/>
  <c r="H23" i="17"/>
  <c r="G23" i="17"/>
  <c r="D23" i="17"/>
  <c r="I22" i="17"/>
  <c r="H22" i="17"/>
  <c r="G22" i="17"/>
  <c r="D22" i="17"/>
  <c r="I21" i="17"/>
  <c r="H21" i="17"/>
  <c r="G21" i="17"/>
  <c r="D21" i="17"/>
  <c r="I20" i="17"/>
  <c r="H20" i="17"/>
  <c r="G20" i="17"/>
  <c r="D20" i="17"/>
  <c r="I19" i="17"/>
  <c r="H19" i="17"/>
  <c r="G19" i="17"/>
  <c r="D19" i="17"/>
  <c r="I18" i="17"/>
  <c r="H18" i="17"/>
  <c r="G18" i="17"/>
  <c r="D18" i="17"/>
  <c r="I17" i="17"/>
  <c r="H17" i="17"/>
  <c r="G17" i="17"/>
  <c r="D17" i="17"/>
  <c r="I16" i="17"/>
  <c r="H16" i="17"/>
  <c r="G16" i="17"/>
  <c r="D16" i="17"/>
  <c r="I15" i="17"/>
  <c r="H15" i="17"/>
  <c r="G15" i="17"/>
  <c r="D15" i="17"/>
  <c r="I14" i="17"/>
  <c r="H14" i="17"/>
  <c r="G14" i="17"/>
  <c r="D14" i="17"/>
  <c r="I13" i="17"/>
  <c r="H13" i="17"/>
  <c r="G13" i="17"/>
  <c r="D13" i="17"/>
  <c r="I12" i="17"/>
  <c r="H12" i="17"/>
  <c r="G12" i="17"/>
  <c r="D12" i="17"/>
  <c r="I11" i="17"/>
  <c r="H11" i="17"/>
  <c r="G11" i="17"/>
  <c r="D11" i="17"/>
  <c r="I10" i="17"/>
  <c r="H10" i="17"/>
  <c r="G10" i="17"/>
  <c r="D10" i="17"/>
  <c r="I9" i="17"/>
  <c r="H9" i="17"/>
  <c r="G9" i="17"/>
  <c r="D9" i="17"/>
  <c r="I8" i="17"/>
  <c r="H8" i="17"/>
  <c r="G8" i="17"/>
  <c r="D8" i="17"/>
  <c r="I7" i="17"/>
  <c r="H7" i="17"/>
  <c r="G7" i="17"/>
  <c r="D7" i="17"/>
  <c r="A3" i="17"/>
  <c r="I103" i="16"/>
  <c r="H103" i="16"/>
  <c r="G103" i="16"/>
  <c r="F114" i="16" s="1"/>
  <c r="D103" i="16"/>
  <c r="C114" i="16" s="1"/>
  <c r="I101" i="16"/>
  <c r="H101" i="16"/>
  <c r="G101" i="16"/>
  <c r="E112" i="16" s="1"/>
  <c r="D101" i="16"/>
  <c r="I100" i="16"/>
  <c r="H100" i="16"/>
  <c r="G100" i="16"/>
  <c r="F111" i="16" s="1"/>
  <c r="D100" i="16"/>
  <c r="I99" i="16"/>
  <c r="H99" i="16"/>
  <c r="G99" i="16"/>
  <c r="F110" i="16" s="1"/>
  <c r="D99" i="16"/>
  <c r="I98" i="16"/>
  <c r="H98" i="16"/>
  <c r="G98" i="16"/>
  <c r="F109" i="16" s="1"/>
  <c r="D98" i="16"/>
  <c r="I97" i="16"/>
  <c r="H97" i="16"/>
  <c r="G97" i="16"/>
  <c r="D97" i="16"/>
  <c r="I96" i="16"/>
  <c r="H96" i="16"/>
  <c r="G96" i="16"/>
  <c r="F107" i="16" s="1"/>
  <c r="D96" i="16"/>
  <c r="C107" i="16" s="1"/>
  <c r="I95" i="16"/>
  <c r="H95" i="16"/>
  <c r="G95" i="16"/>
  <c r="F106" i="16" s="1"/>
  <c r="D95" i="16"/>
  <c r="C106" i="16" s="1"/>
  <c r="F91" i="16"/>
  <c r="E91" i="16"/>
  <c r="C91" i="16"/>
  <c r="B91" i="16"/>
  <c r="H91" i="16" s="1"/>
  <c r="I90" i="16"/>
  <c r="H90" i="16"/>
  <c r="G90" i="16"/>
  <c r="I89" i="16"/>
  <c r="H89" i="16"/>
  <c r="J89" i="16" s="1"/>
  <c r="G89" i="16"/>
  <c r="D89" i="16"/>
  <c r="I88" i="16"/>
  <c r="H88" i="16"/>
  <c r="G88" i="16"/>
  <c r="D88" i="16"/>
  <c r="I87" i="16"/>
  <c r="H87" i="16"/>
  <c r="G87" i="16"/>
  <c r="D87" i="16"/>
  <c r="I86" i="16"/>
  <c r="J86" i="16" s="1"/>
  <c r="H86" i="16"/>
  <c r="G86" i="16"/>
  <c r="D86" i="16"/>
  <c r="I85" i="16"/>
  <c r="H85" i="16"/>
  <c r="G85" i="16"/>
  <c r="D85" i="16"/>
  <c r="I84" i="16"/>
  <c r="H84" i="16"/>
  <c r="G84" i="16"/>
  <c r="D84" i="16"/>
  <c r="I83" i="16"/>
  <c r="H83" i="16"/>
  <c r="G83" i="16"/>
  <c r="D83" i="16"/>
  <c r="I82" i="16"/>
  <c r="H82" i="16"/>
  <c r="G82" i="16"/>
  <c r="D82" i="16"/>
  <c r="I81" i="16"/>
  <c r="H81" i="16"/>
  <c r="J81" i="16" s="1"/>
  <c r="G81" i="16"/>
  <c r="D81" i="16"/>
  <c r="I80" i="16"/>
  <c r="H80" i="16"/>
  <c r="G80" i="16"/>
  <c r="D80" i="16"/>
  <c r="I79" i="16"/>
  <c r="H79" i="16"/>
  <c r="J79" i="16" s="1"/>
  <c r="G79" i="16"/>
  <c r="D79" i="16"/>
  <c r="I78" i="16"/>
  <c r="J78" i="16" s="1"/>
  <c r="H78" i="16"/>
  <c r="G78" i="16"/>
  <c r="D78" i="16"/>
  <c r="I77" i="16"/>
  <c r="H77" i="16"/>
  <c r="J77" i="16" s="1"/>
  <c r="G77" i="16"/>
  <c r="D77" i="16"/>
  <c r="I76" i="16"/>
  <c r="H76" i="16"/>
  <c r="G76" i="16"/>
  <c r="D76" i="16"/>
  <c r="I75" i="16"/>
  <c r="H75" i="16"/>
  <c r="J75" i="16" s="1"/>
  <c r="G75" i="16"/>
  <c r="D75" i="16"/>
  <c r="J74" i="16"/>
  <c r="I74" i="16"/>
  <c r="H74" i="16"/>
  <c r="G74" i="16"/>
  <c r="D74" i="16"/>
  <c r="I73" i="16"/>
  <c r="H73" i="16"/>
  <c r="G73" i="16"/>
  <c r="D73" i="16"/>
  <c r="I72" i="16"/>
  <c r="H72" i="16"/>
  <c r="G72" i="16"/>
  <c r="D72" i="16"/>
  <c r="I71" i="16"/>
  <c r="H71" i="16"/>
  <c r="G71" i="16"/>
  <c r="D71" i="16"/>
  <c r="I70" i="16"/>
  <c r="H70" i="16"/>
  <c r="J70" i="16" s="1"/>
  <c r="G70" i="16"/>
  <c r="D70" i="16"/>
  <c r="I69" i="16"/>
  <c r="H69" i="16"/>
  <c r="G69" i="16"/>
  <c r="D69" i="16"/>
  <c r="I68" i="16"/>
  <c r="H68" i="16"/>
  <c r="G68" i="16"/>
  <c r="D68" i="16"/>
  <c r="I67" i="16"/>
  <c r="H67" i="16"/>
  <c r="G67" i="16"/>
  <c r="D67" i="16"/>
  <c r="I66" i="16"/>
  <c r="H66" i="16"/>
  <c r="J66" i="16" s="1"/>
  <c r="G66" i="16"/>
  <c r="D66" i="16"/>
  <c r="I65" i="16"/>
  <c r="H65" i="16"/>
  <c r="G65" i="16"/>
  <c r="D65" i="16"/>
  <c r="I64" i="16"/>
  <c r="H64" i="16"/>
  <c r="G64" i="16"/>
  <c r="D64" i="16"/>
  <c r="I63" i="16"/>
  <c r="H63" i="16"/>
  <c r="G63" i="16"/>
  <c r="D63" i="16"/>
  <c r="I62" i="16"/>
  <c r="H62" i="16"/>
  <c r="G62" i="16"/>
  <c r="D62" i="16"/>
  <c r="I61" i="16"/>
  <c r="H61" i="16"/>
  <c r="G61" i="16"/>
  <c r="D61" i="16"/>
  <c r="I60" i="16"/>
  <c r="H60" i="16"/>
  <c r="G60" i="16"/>
  <c r="D60" i="16"/>
  <c r="I59" i="16"/>
  <c r="J59" i="16" s="1"/>
  <c r="H59" i="16"/>
  <c r="G59" i="16"/>
  <c r="D59" i="16"/>
  <c r="I58" i="16"/>
  <c r="H58" i="16"/>
  <c r="J58" i="16" s="1"/>
  <c r="G58" i="16"/>
  <c r="D58" i="16"/>
  <c r="I57" i="16"/>
  <c r="H57" i="16"/>
  <c r="G57" i="16"/>
  <c r="D57" i="16"/>
  <c r="I56" i="16"/>
  <c r="H56" i="16"/>
  <c r="G56" i="16"/>
  <c r="D56" i="16"/>
  <c r="I55" i="16"/>
  <c r="J55" i="16" s="1"/>
  <c r="H55" i="16"/>
  <c r="G55" i="16"/>
  <c r="D55" i="16"/>
  <c r="I54" i="16"/>
  <c r="H54" i="16"/>
  <c r="J54" i="16" s="1"/>
  <c r="G54" i="16"/>
  <c r="D54" i="16"/>
  <c r="I53" i="16"/>
  <c r="H53" i="16"/>
  <c r="G53" i="16"/>
  <c r="D53" i="16"/>
  <c r="I52" i="16"/>
  <c r="H52" i="16"/>
  <c r="G52" i="16"/>
  <c r="D52" i="16"/>
  <c r="I51" i="16"/>
  <c r="H51" i="16"/>
  <c r="G51" i="16"/>
  <c r="D51" i="16"/>
  <c r="I50" i="16"/>
  <c r="H50" i="16"/>
  <c r="J50" i="16" s="1"/>
  <c r="G50" i="16"/>
  <c r="D50" i="16"/>
  <c r="I49" i="16"/>
  <c r="H49" i="16"/>
  <c r="G49" i="16"/>
  <c r="D49" i="16"/>
  <c r="I48" i="16"/>
  <c r="H48" i="16"/>
  <c r="J48" i="16" s="1"/>
  <c r="G48" i="16"/>
  <c r="D48" i="16"/>
  <c r="I47" i="16"/>
  <c r="H47" i="16"/>
  <c r="G47" i="16"/>
  <c r="D47" i="16"/>
  <c r="I46" i="16"/>
  <c r="H46" i="16"/>
  <c r="G46" i="16"/>
  <c r="D46" i="16"/>
  <c r="I45" i="16"/>
  <c r="H45" i="16"/>
  <c r="G45" i="16"/>
  <c r="D45" i="16"/>
  <c r="I44" i="16"/>
  <c r="H44" i="16"/>
  <c r="J44" i="16" s="1"/>
  <c r="G44" i="16"/>
  <c r="D44" i="16"/>
  <c r="I43" i="16"/>
  <c r="H43" i="16"/>
  <c r="G43" i="16"/>
  <c r="D43" i="16"/>
  <c r="I42" i="16"/>
  <c r="H42" i="16"/>
  <c r="G42" i="16"/>
  <c r="D42" i="16"/>
  <c r="I41" i="16"/>
  <c r="H41" i="16"/>
  <c r="G41" i="16"/>
  <c r="D41" i="16"/>
  <c r="I40" i="16"/>
  <c r="H40" i="16"/>
  <c r="J40" i="16" s="1"/>
  <c r="G40" i="16"/>
  <c r="D40" i="16"/>
  <c r="I39" i="16"/>
  <c r="J39" i="16" s="1"/>
  <c r="H39" i="16"/>
  <c r="G39" i="16"/>
  <c r="D39" i="16"/>
  <c r="I38" i="16"/>
  <c r="H38" i="16"/>
  <c r="G38" i="16"/>
  <c r="D38" i="16"/>
  <c r="I37" i="16"/>
  <c r="H37" i="16"/>
  <c r="G37" i="16"/>
  <c r="D37" i="16"/>
  <c r="I36" i="16"/>
  <c r="H36" i="16"/>
  <c r="J36" i="16" s="1"/>
  <c r="G36" i="16"/>
  <c r="D36" i="16"/>
  <c r="I35" i="16"/>
  <c r="H35" i="16"/>
  <c r="G35" i="16"/>
  <c r="D35" i="16"/>
  <c r="I34" i="16"/>
  <c r="H34" i="16"/>
  <c r="G34" i="16"/>
  <c r="D34" i="16"/>
  <c r="I33" i="16"/>
  <c r="H33" i="16"/>
  <c r="G33" i="16"/>
  <c r="D33" i="16"/>
  <c r="I32" i="16"/>
  <c r="H32" i="16"/>
  <c r="G32" i="16"/>
  <c r="D32" i="16"/>
  <c r="I31" i="16"/>
  <c r="H31" i="16"/>
  <c r="G31" i="16"/>
  <c r="D31" i="16"/>
  <c r="I30" i="16"/>
  <c r="H30" i="16"/>
  <c r="G30" i="16"/>
  <c r="D30" i="16"/>
  <c r="I29" i="16"/>
  <c r="H29" i="16"/>
  <c r="G29" i="16"/>
  <c r="D29" i="16"/>
  <c r="I28" i="16"/>
  <c r="H28" i="16"/>
  <c r="G28" i="16"/>
  <c r="D28" i="16"/>
  <c r="I27" i="16"/>
  <c r="H27" i="16"/>
  <c r="G27" i="16"/>
  <c r="D27" i="16"/>
  <c r="I26" i="16"/>
  <c r="H26" i="16"/>
  <c r="J26" i="16" s="1"/>
  <c r="G26" i="16"/>
  <c r="D26" i="16"/>
  <c r="I25" i="16"/>
  <c r="H25" i="16"/>
  <c r="G25" i="16"/>
  <c r="D25" i="16"/>
  <c r="I24" i="16"/>
  <c r="H24" i="16"/>
  <c r="G24" i="16"/>
  <c r="D24" i="16"/>
  <c r="I23" i="16"/>
  <c r="H23" i="16"/>
  <c r="G23" i="16"/>
  <c r="D23" i="16"/>
  <c r="I22" i="16"/>
  <c r="H22" i="16"/>
  <c r="J22" i="16" s="1"/>
  <c r="G22" i="16"/>
  <c r="D22" i="16"/>
  <c r="I21" i="16"/>
  <c r="H21" i="16"/>
  <c r="G21" i="16"/>
  <c r="D21" i="16"/>
  <c r="I20" i="16"/>
  <c r="H20" i="16"/>
  <c r="G20" i="16"/>
  <c r="D20" i="16"/>
  <c r="I19" i="16"/>
  <c r="H19" i="16"/>
  <c r="G19" i="16"/>
  <c r="D19" i="16"/>
  <c r="I18" i="16"/>
  <c r="H18" i="16"/>
  <c r="J18" i="16" s="1"/>
  <c r="G18" i="16"/>
  <c r="D18" i="16"/>
  <c r="I17" i="16"/>
  <c r="H17" i="16"/>
  <c r="G17" i="16"/>
  <c r="D17" i="16"/>
  <c r="I16" i="16"/>
  <c r="H16" i="16"/>
  <c r="J16" i="16" s="1"/>
  <c r="G16" i="16"/>
  <c r="D16" i="16"/>
  <c r="I15" i="16"/>
  <c r="H15" i="16"/>
  <c r="G15" i="16"/>
  <c r="D15" i="16"/>
  <c r="I14" i="16"/>
  <c r="H14" i="16"/>
  <c r="G14" i="16"/>
  <c r="D14" i="16"/>
  <c r="I13" i="16"/>
  <c r="H13" i="16"/>
  <c r="G13" i="16"/>
  <c r="D13" i="16"/>
  <c r="I12" i="16"/>
  <c r="H12" i="16"/>
  <c r="J12" i="16" s="1"/>
  <c r="G12" i="16"/>
  <c r="D12" i="16"/>
  <c r="I11" i="16"/>
  <c r="H11" i="16"/>
  <c r="G11" i="16"/>
  <c r="D11" i="16"/>
  <c r="I10" i="16"/>
  <c r="H10" i="16"/>
  <c r="J10" i="16" s="1"/>
  <c r="G10" i="16"/>
  <c r="D10" i="16"/>
  <c r="I9" i="16"/>
  <c r="H9" i="16"/>
  <c r="G9" i="16"/>
  <c r="D9" i="16"/>
  <c r="I8" i="16"/>
  <c r="H8" i="16"/>
  <c r="G8" i="16"/>
  <c r="D8" i="16"/>
  <c r="I7" i="16"/>
  <c r="J7" i="16" s="1"/>
  <c r="H7" i="16"/>
  <c r="G7" i="16"/>
  <c r="D7" i="16"/>
  <c r="A3" i="16"/>
  <c r="F114" i="15"/>
  <c r="E114" i="15"/>
  <c r="F113" i="15"/>
  <c r="F105" i="15"/>
  <c r="E105" i="15"/>
  <c r="C105" i="15"/>
  <c r="B105" i="15"/>
  <c r="I104" i="15"/>
  <c r="H104" i="15"/>
  <c r="J104" i="15" s="1"/>
  <c r="H114" i="15" s="1"/>
  <c r="G104" i="15"/>
  <c r="D104" i="15"/>
  <c r="C114" i="15" s="1"/>
  <c r="I103" i="15"/>
  <c r="H103" i="15"/>
  <c r="G103" i="15"/>
  <c r="E113" i="15" s="1"/>
  <c r="D103" i="15"/>
  <c r="C113" i="15" s="1"/>
  <c r="I102" i="15"/>
  <c r="H102" i="15"/>
  <c r="G102" i="15"/>
  <c r="F112" i="15" s="1"/>
  <c r="D102" i="15"/>
  <c r="B112" i="15" s="1"/>
  <c r="I101" i="15"/>
  <c r="H101" i="15"/>
  <c r="G101" i="15"/>
  <c r="F111" i="15" s="1"/>
  <c r="D101" i="15"/>
  <c r="C111" i="15" s="1"/>
  <c r="I100" i="15"/>
  <c r="H100" i="15"/>
  <c r="J100" i="15" s="1"/>
  <c r="G100" i="15"/>
  <c r="F110" i="15" s="1"/>
  <c r="D100" i="15"/>
  <c r="C110" i="15" s="1"/>
  <c r="I99" i="15"/>
  <c r="H99" i="15"/>
  <c r="G99" i="15"/>
  <c r="E109" i="15" s="1"/>
  <c r="D99" i="15"/>
  <c r="C109" i="15" s="1"/>
  <c r="I98" i="15"/>
  <c r="H98" i="15"/>
  <c r="G98" i="15"/>
  <c r="F108" i="15" s="1"/>
  <c r="D98" i="15"/>
  <c r="C108" i="15" s="1"/>
  <c r="I97" i="15"/>
  <c r="H97" i="15"/>
  <c r="G97" i="15"/>
  <c r="F107" i="15" s="1"/>
  <c r="D97" i="15"/>
  <c r="C107" i="15" s="1"/>
  <c r="I91" i="15"/>
  <c r="H91" i="15"/>
  <c r="G91" i="15"/>
  <c r="D91" i="15"/>
  <c r="I90" i="15"/>
  <c r="H90" i="15"/>
  <c r="G90" i="15"/>
  <c r="D90" i="15"/>
  <c r="I89" i="15"/>
  <c r="H89" i="15"/>
  <c r="G89" i="15"/>
  <c r="D89" i="15"/>
  <c r="I88" i="15"/>
  <c r="H88" i="15"/>
  <c r="G88" i="15"/>
  <c r="D88" i="15"/>
  <c r="I87" i="15"/>
  <c r="H87" i="15"/>
  <c r="G87" i="15"/>
  <c r="D87" i="15"/>
  <c r="I86" i="15"/>
  <c r="H86" i="15"/>
  <c r="G86" i="15"/>
  <c r="D86" i="15"/>
  <c r="I85" i="15"/>
  <c r="H85" i="15"/>
  <c r="G85" i="15"/>
  <c r="D85" i="15"/>
  <c r="I84" i="15"/>
  <c r="H84" i="15"/>
  <c r="G84" i="15"/>
  <c r="D84" i="15"/>
  <c r="I83" i="15"/>
  <c r="H83" i="15"/>
  <c r="G83" i="15"/>
  <c r="D83" i="15"/>
  <c r="I82" i="15"/>
  <c r="H82" i="15"/>
  <c r="G82" i="15"/>
  <c r="D82" i="15"/>
  <c r="I81" i="15"/>
  <c r="H81" i="15"/>
  <c r="G81" i="15"/>
  <c r="D81" i="15"/>
  <c r="I80" i="15"/>
  <c r="H80" i="15"/>
  <c r="G80" i="15"/>
  <c r="D80" i="15"/>
  <c r="I79" i="15"/>
  <c r="H79" i="15"/>
  <c r="G79" i="15"/>
  <c r="D79" i="15"/>
  <c r="I78" i="15"/>
  <c r="H78" i="15"/>
  <c r="G78" i="15"/>
  <c r="D78" i="15"/>
  <c r="I77" i="15"/>
  <c r="H77" i="15"/>
  <c r="G77" i="15"/>
  <c r="D77" i="15"/>
  <c r="I76" i="15"/>
  <c r="H76" i="15"/>
  <c r="G76" i="15"/>
  <c r="D76" i="15"/>
  <c r="I75" i="15"/>
  <c r="H75" i="15"/>
  <c r="G75" i="15"/>
  <c r="D75" i="15"/>
  <c r="I74" i="15"/>
  <c r="H74" i="15"/>
  <c r="G74" i="15"/>
  <c r="D74" i="15"/>
  <c r="I73" i="15"/>
  <c r="H73" i="15"/>
  <c r="G73" i="15"/>
  <c r="D73" i="15"/>
  <c r="I72" i="15"/>
  <c r="H72" i="15"/>
  <c r="G72" i="15"/>
  <c r="D72" i="15"/>
  <c r="I71" i="15"/>
  <c r="H71" i="15"/>
  <c r="G71" i="15"/>
  <c r="D71" i="15"/>
  <c r="I70" i="15"/>
  <c r="H70" i="15"/>
  <c r="G70" i="15"/>
  <c r="D70" i="15"/>
  <c r="I69" i="15"/>
  <c r="H69" i="15"/>
  <c r="G69" i="15"/>
  <c r="D69" i="15"/>
  <c r="I68" i="15"/>
  <c r="H68" i="15"/>
  <c r="G68" i="15"/>
  <c r="D68" i="15"/>
  <c r="I67" i="15"/>
  <c r="H67" i="15"/>
  <c r="G67" i="15"/>
  <c r="D67" i="15"/>
  <c r="I66" i="15"/>
  <c r="H66" i="15"/>
  <c r="G66" i="15"/>
  <c r="D66" i="15"/>
  <c r="I65" i="15"/>
  <c r="H65" i="15"/>
  <c r="G65" i="15"/>
  <c r="D65" i="15"/>
  <c r="I64" i="15"/>
  <c r="H64" i="15"/>
  <c r="G64" i="15"/>
  <c r="D64" i="15"/>
  <c r="I63" i="15"/>
  <c r="H63" i="15"/>
  <c r="G63" i="15"/>
  <c r="D63" i="15"/>
  <c r="I62" i="15"/>
  <c r="H62" i="15"/>
  <c r="G62" i="15"/>
  <c r="D62" i="15"/>
  <c r="I61" i="15"/>
  <c r="H61" i="15"/>
  <c r="G61" i="15"/>
  <c r="D61" i="15"/>
  <c r="I60" i="15"/>
  <c r="H60" i="15"/>
  <c r="G60" i="15"/>
  <c r="D60" i="15"/>
  <c r="I59" i="15"/>
  <c r="H59" i="15"/>
  <c r="G59" i="15"/>
  <c r="D59" i="15"/>
  <c r="I58" i="15"/>
  <c r="H58" i="15"/>
  <c r="G58" i="15"/>
  <c r="D58" i="15"/>
  <c r="I57" i="15"/>
  <c r="H57" i="15"/>
  <c r="G57" i="15"/>
  <c r="D57" i="15"/>
  <c r="I56" i="15"/>
  <c r="H56" i="15"/>
  <c r="G56" i="15"/>
  <c r="D56" i="15"/>
  <c r="I55" i="15"/>
  <c r="H55" i="15"/>
  <c r="G55" i="15"/>
  <c r="D55" i="15"/>
  <c r="I54" i="15"/>
  <c r="H54" i="15"/>
  <c r="G54" i="15"/>
  <c r="D54" i="15"/>
  <c r="I53" i="15"/>
  <c r="H53" i="15"/>
  <c r="G53" i="15"/>
  <c r="D53" i="15"/>
  <c r="I52" i="15"/>
  <c r="H52" i="15"/>
  <c r="G52" i="15"/>
  <c r="D52" i="15"/>
  <c r="I51" i="15"/>
  <c r="H51" i="15"/>
  <c r="G51" i="15"/>
  <c r="D51" i="15"/>
  <c r="I50" i="15"/>
  <c r="H50" i="15"/>
  <c r="G50" i="15"/>
  <c r="D50" i="15"/>
  <c r="I49" i="15"/>
  <c r="H49" i="15"/>
  <c r="G49" i="15"/>
  <c r="D49" i="15"/>
  <c r="I48" i="15"/>
  <c r="H48" i="15"/>
  <c r="G48" i="15"/>
  <c r="D48" i="15"/>
  <c r="I47" i="15"/>
  <c r="H47" i="15"/>
  <c r="G47" i="15"/>
  <c r="D47" i="15"/>
  <c r="I46" i="15"/>
  <c r="H46" i="15"/>
  <c r="G46" i="15"/>
  <c r="D46" i="15"/>
  <c r="I45" i="15"/>
  <c r="H45" i="15"/>
  <c r="G45" i="15"/>
  <c r="D45" i="15"/>
  <c r="I44" i="15"/>
  <c r="H44" i="15"/>
  <c r="G44" i="15"/>
  <c r="D44" i="15"/>
  <c r="I38" i="15"/>
  <c r="H38" i="15"/>
  <c r="G38" i="15"/>
  <c r="D38" i="15"/>
  <c r="I37" i="15"/>
  <c r="H37" i="15"/>
  <c r="G37" i="15"/>
  <c r="D37" i="15"/>
  <c r="I36" i="15"/>
  <c r="H36" i="15"/>
  <c r="G36" i="15"/>
  <c r="D36" i="15"/>
  <c r="I35" i="15"/>
  <c r="H35" i="15"/>
  <c r="G35" i="15"/>
  <c r="D35" i="15"/>
  <c r="I34" i="15"/>
  <c r="H34" i="15"/>
  <c r="G34" i="15"/>
  <c r="D34" i="15"/>
  <c r="I33" i="15"/>
  <c r="H33" i="15"/>
  <c r="G33" i="15"/>
  <c r="D33" i="15"/>
  <c r="I32" i="15"/>
  <c r="H32" i="15"/>
  <c r="G32" i="15"/>
  <c r="D32" i="15"/>
  <c r="I31" i="15"/>
  <c r="H31" i="15"/>
  <c r="G31" i="15"/>
  <c r="D31" i="15"/>
  <c r="I30" i="15"/>
  <c r="H30" i="15"/>
  <c r="G30" i="15"/>
  <c r="D30" i="15"/>
  <c r="I29" i="15"/>
  <c r="H29" i="15"/>
  <c r="G29" i="15"/>
  <c r="D29" i="15"/>
  <c r="I28" i="15"/>
  <c r="H28" i="15"/>
  <c r="G28" i="15"/>
  <c r="D28" i="15"/>
  <c r="I27" i="15"/>
  <c r="H27" i="15"/>
  <c r="G27" i="15"/>
  <c r="D27" i="15"/>
  <c r="I26" i="15"/>
  <c r="H26" i="15"/>
  <c r="G26" i="15"/>
  <c r="D26" i="15"/>
  <c r="I25" i="15"/>
  <c r="H25" i="15"/>
  <c r="G25" i="15"/>
  <c r="D25" i="15"/>
  <c r="I24" i="15"/>
  <c r="H24" i="15"/>
  <c r="G24" i="15"/>
  <c r="D24" i="15"/>
  <c r="I23" i="15"/>
  <c r="H23" i="15"/>
  <c r="G23" i="15"/>
  <c r="D23" i="15"/>
  <c r="I22" i="15"/>
  <c r="H22" i="15"/>
  <c r="G22" i="15"/>
  <c r="D22" i="15"/>
  <c r="I21" i="15"/>
  <c r="H21" i="15"/>
  <c r="G21" i="15"/>
  <c r="D21" i="15"/>
  <c r="I20" i="15"/>
  <c r="H20" i="15"/>
  <c r="G20" i="15"/>
  <c r="D20" i="15"/>
  <c r="I19" i="15"/>
  <c r="H19" i="15"/>
  <c r="G19" i="15"/>
  <c r="D19" i="15"/>
  <c r="I18" i="15"/>
  <c r="H18" i="15"/>
  <c r="G18" i="15"/>
  <c r="D18" i="15"/>
  <c r="I17" i="15"/>
  <c r="H17" i="15"/>
  <c r="G17" i="15"/>
  <c r="D17" i="15"/>
  <c r="I16" i="15"/>
  <c r="H16" i="15"/>
  <c r="G16" i="15"/>
  <c r="D16" i="15"/>
  <c r="I15" i="15"/>
  <c r="H15" i="15"/>
  <c r="G15" i="15"/>
  <c r="D15" i="15"/>
  <c r="I14" i="15"/>
  <c r="H14" i="15"/>
  <c r="G14" i="15"/>
  <c r="D14" i="15"/>
  <c r="I13" i="15"/>
  <c r="H13" i="15"/>
  <c r="G13" i="15"/>
  <c r="D13" i="15"/>
  <c r="I12" i="15"/>
  <c r="H12" i="15"/>
  <c r="G12" i="15"/>
  <c r="D12" i="15"/>
  <c r="I11" i="15"/>
  <c r="H11" i="15"/>
  <c r="G11" i="15"/>
  <c r="D11" i="15"/>
  <c r="I10" i="15"/>
  <c r="H10" i="15"/>
  <c r="G10" i="15"/>
  <c r="D10" i="15"/>
  <c r="I9" i="15"/>
  <c r="H9" i="15"/>
  <c r="G9" i="15"/>
  <c r="D9" i="15"/>
  <c r="I8" i="15"/>
  <c r="H8" i="15"/>
  <c r="G8" i="15"/>
  <c r="D8" i="15"/>
  <c r="I7" i="15"/>
  <c r="H7" i="15"/>
  <c r="G7" i="15"/>
  <c r="D7" i="15"/>
  <c r="A3" i="15"/>
  <c r="F112" i="14"/>
  <c r="F109" i="14"/>
  <c r="E109" i="14"/>
  <c r="C109" i="14"/>
  <c r="B109" i="14"/>
  <c r="C106" i="14"/>
  <c r="F103" i="14"/>
  <c r="E103" i="14"/>
  <c r="C103" i="14"/>
  <c r="B103" i="14"/>
  <c r="I102" i="14"/>
  <c r="H102" i="14"/>
  <c r="J102" i="14" s="1"/>
  <c r="H112" i="14" s="1"/>
  <c r="G102" i="14"/>
  <c r="E112" i="14" s="1"/>
  <c r="D102" i="14"/>
  <c r="C112" i="14" s="1"/>
  <c r="I101" i="14"/>
  <c r="H101" i="14"/>
  <c r="G101" i="14"/>
  <c r="F111" i="14" s="1"/>
  <c r="D101" i="14"/>
  <c r="C111" i="14" s="1"/>
  <c r="I100" i="14"/>
  <c r="H100" i="14"/>
  <c r="J100" i="14" s="1"/>
  <c r="G100" i="14"/>
  <c r="F110" i="14" s="1"/>
  <c r="D100" i="14"/>
  <c r="B110" i="14" s="1"/>
  <c r="I99" i="14"/>
  <c r="H99" i="14"/>
  <c r="G99" i="14"/>
  <c r="D99" i="14"/>
  <c r="I98" i="14"/>
  <c r="H98" i="14"/>
  <c r="G98" i="14"/>
  <c r="F108" i="14" s="1"/>
  <c r="D98" i="14"/>
  <c r="C108" i="14" s="1"/>
  <c r="I97" i="14"/>
  <c r="H97" i="14"/>
  <c r="G97" i="14"/>
  <c r="E107" i="14" s="1"/>
  <c r="D97" i="14"/>
  <c r="C107" i="14" s="1"/>
  <c r="I96" i="14"/>
  <c r="H96" i="14"/>
  <c r="G96" i="14"/>
  <c r="F106" i="14" s="1"/>
  <c r="D96" i="14"/>
  <c r="B106" i="14" s="1"/>
  <c r="I95" i="14"/>
  <c r="H95" i="14"/>
  <c r="G95" i="14"/>
  <c r="F105" i="14" s="1"/>
  <c r="D95" i="14"/>
  <c r="C105" i="14" s="1"/>
  <c r="F91" i="14"/>
  <c r="E91" i="14"/>
  <c r="G91" i="14" s="1"/>
  <c r="C91" i="14"/>
  <c r="I91" i="14" s="1"/>
  <c r="B91" i="14"/>
  <c r="H91" i="14" s="1"/>
  <c r="I90" i="14"/>
  <c r="H90" i="14"/>
  <c r="J90" i="14" s="1"/>
  <c r="G90" i="14"/>
  <c r="I89" i="14"/>
  <c r="H89" i="14"/>
  <c r="J89" i="14" s="1"/>
  <c r="G89" i="14"/>
  <c r="D89" i="14"/>
  <c r="I88" i="14"/>
  <c r="H88" i="14"/>
  <c r="G88" i="14"/>
  <c r="D88" i="14"/>
  <c r="I87" i="14"/>
  <c r="H87" i="14"/>
  <c r="G87" i="14"/>
  <c r="D87" i="14"/>
  <c r="I86" i="14"/>
  <c r="H86" i="14"/>
  <c r="G86" i="14"/>
  <c r="D86" i="14"/>
  <c r="I85" i="14"/>
  <c r="H85" i="14"/>
  <c r="J85" i="14" s="1"/>
  <c r="G85" i="14"/>
  <c r="D85" i="14"/>
  <c r="I84" i="14"/>
  <c r="H84" i="14"/>
  <c r="G84" i="14"/>
  <c r="D84" i="14"/>
  <c r="I83" i="14"/>
  <c r="H83" i="14"/>
  <c r="J83" i="14" s="1"/>
  <c r="G83" i="14"/>
  <c r="D83" i="14"/>
  <c r="I82" i="14"/>
  <c r="H82" i="14"/>
  <c r="G82" i="14"/>
  <c r="D82" i="14"/>
  <c r="I81" i="14"/>
  <c r="H81" i="14"/>
  <c r="J81" i="14" s="1"/>
  <c r="G81" i="14"/>
  <c r="D81" i="14"/>
  <c r="I80" i="14"/>
  <c r="H80" i="14"/>
  <c r="G80" i="14"/>
  <c r="D80" i="14"/>
  <c r="I79" i="14"/>
  <c r="H79" i="14"/>
  <c r="J79" i="14" s="1"/>
  <c r="G79" i="14"/>
  <c r="D79" i="14"/>
  <c r="I78" i="14"/>
  <c r="H78" i="14"/>
  <c r="G78" i="14"/>
  <c r="D78" i="14"/>
  <c r="I77" i="14"/>
  <c r="H77" i="14"/>
  <c r="J77" i="14" s="1"/>
  <c r="G77" i="14"/>
  <c r="D77" i="14"/>
  <c r="I76" i="14"/>
  <c r="H76" i="14"/>
  <c r="G76" i="14"/>
  <c r="D76" i="14"/>
  <c r="I75" i="14"/>
  <c r="H75" i="14"/>
  <c r="J75" i="14" s="1"/>
  <c r="G75" i="14"/>
  <c r="D75" i="14"/>
  <c r="I74" i="14"/>
  <c r="H74" i="14"/>
  <c r="G74" i="14"/>
  <c r="D74" i="14"/>
  <c r="I73" i="14"/>
  <c r="H73" i="14"/>
  <c r="G73" i="14"/>
  <c r="D73" i="14"/>
  <c r="I72" i="14"/>
  <c r="H72" i="14"/>
  <c r="G72" i="14"/>
  <c r="D72" i="14"/>
  <c r="I71" i="14"/>
  <c r="H71" i="14"/>
  <c r="G71" i="14"/>
  <c r="D71" i="14"/>
  <c r="I70" i="14"/>
  <c r="H70" i="14"/>
  <c r="G70" i="14"/>
  <c r="D70" i="14"/>
  <c r="I69" i="14"/>
  <c r="H69" i="14"/>
  <c r="G69" i="14"/>
  <c r="D69" i="14"/>
  <c r="I68" i="14"/>
  <c r="H68" i="14"/>
  <c r="G68" i="14"/>
  <c r="D68" i="14"/>
  <c r="I67" i="14"/>
  <c r="H67" i="14"/>
  <c r="J67" i="14" s="1"/>
  <c r="G67" i="14"/>
  <c r="D67" i="14"/>
  <c r="I66" i="14"/>
  <c r="H66" i="14"/>
  <c r="G66" i="14"/>
  <c r="D66" i="14"/>
  <c r="I65" i="14"/>
  <c r="H65" i="14"/>
  <c r="G65" i="14"/>
  <c r="D65" i="14"/>
  <c r="I64" i="14"/>
  <c r="H64" i="14"/>
  <c r="G64" i="14"/>
  <c r="D64" i="14"/>
  <c r="I63" i="14"/>
  <c r="H63" i="14"/>
  <c r="J63" i="14" s="1"/>
  <c r="G63" i="14"/>
  <c r="D63" i="14"/>
  <c r="I62" i="14"/>
  <c r="H62" i="14"/>
  <c r="G62" i="14"/>
  <c r="D62" i="14"/>
  <c r="I61" i="14"/>
  <c r="H61" i="14"/>
  <c r="G61" i="14"/>
  <c r="D61" i="14"/>
  <c r="I60" i="14"/>
  <c r="H60" i="14"/>
  <c r="G60" i="14"/>
  <c r="D60" i="14"/>
  <c r="I59" i="14"/>
  <c r="H59" i="14"/>
  <c r="J59" i="14" s="1"/>
  <c r="G59" i="14"/>
  <c r="D59" i="14"/>
  <c r="I58" i="14"/>
  <c r="H58" i="14"/>
  <c r="G58" i="14"/>
  <c r="D58" i="14"/>
  <c r="I57" i="14"/>
  <c r="H57" i="14"/>
  <c r="G57" i="14"/>
  <c r="D57" i="14"/>
  <c r="I56" i="14"/>
  <c r="H56" i="14"/>
  <c r="G56" i="14"/>
  <c r="D56" i="14"/>
  <c r="I55" i="14"/>
  <c r="H55" i="14"/>
  <c r="G55" i="14"/>
  <c r="D55" i="14"/>
  <c r="I54" i="14"/>
  <c r="H54" i="14"/>
  <c r="G54" i="14"/>
  <c r="D54" i="14"/>
  <c r="I53" i="14"/>
  <c r="H53" i="14"/>
  <c r="G53" i="14"/>
  <c r="D53" i="14"/>
  <c r="I52" i="14"/>
  <c r="H52" i="14"/>
  <c r="G52" i="14"/>
  <c r="D52" i="14"/>
  <c r="I51" i="14"/>
  <c r="H51" i="14"/>
  <c r="J51" i="14" s="1"/>
  <c r="G51" i="14"/>
  <c r="D51" i="14"/>
  <c r="I50" i="14"/>
  <c r="H50" i="14"/>
  <c r="G50" i="14"/>
  <c r="D50" i="14"/>
  <c r="I49" i="14"/>
  <c r="H49" i="14"/>
  <c r="G49" i="14"/>
  <c r="D49" i="14"/>
  <c r="I48" i="14"/>
  <c r="H48" i="14"/>
  <c r="G48" i="14"/>
  <c r="D48" i="14"/>
  <c r="I47" i="14"/>
  <c r="H47" i="14"/>
  <c r="J47" i="14" s="1"/>
  <c r="G47" i="14"/>
  <c r="D47" i="14"/>
  <c r="I46" i="14"/>
  <c r="H46" i="14"/>
  <c r="G46" i="14"/>
  <c r="D46" i="14"/>
  <c r="I45" i="14"/>
  <c r="H45" i="14"/>
  <c r="G45" i="14"/>
  <c r="D45" i="14"/>
  <c r="I44" i="14"/>
  <c r="H44" i="14"/>
  <c r="G44" i="14"/>
  <c r="D44" i="14"/>
  <c r="I43" i="14"/>
  <c r="H43" i="14"/>
  <c r="J43" i="14" s="1"/>
  <c r="G43" i="14"/>
  <c r="D43" i="14"/>
  <c r="I42" i="14"/>
  <c r="J42" i="14" s="1"/>
  <c r="H42" i="14"/>
  <c r="G42" i="14"/>
  <c r="D42" i="14"/>
  <c r="I41" i="14"/>
  <c r="H41" i="14"/>
  <c r="J41" i="14" s="1"/>
  <c r="G41" i="14"/>
  <c r="D41" i="14"/>
  <c r="I40" i="14"/>
  <c r="H40" i="14"/>
  <c r="G40" i="14"/>
  <c r="D40" i="14"/>
  <c r="I39" i="14"/>
  <c r="H39" i="14"/>
  <c r="G39" i="14"/>
  <c r="D39" i="14"/>
  <c r="I38" i="14"/>
  <c r="H38" i="14"/>
  <c r="G38" i="14"/>
  <c r="D38" i="14"/>
  <c r="I37" i="14"/>
  <c r="H37" i="14"/>
  <c r="J37" i="14" s="1"/>
  <c r="G37" i="14"/>
  <c r="D37" i="14"/>
  <c r="I36" i="14"/>
  <c r="H36" i="14"/>
  <c r="G36" i="14"/>
  <c r="D36" i="14"/>
  <c r="I35" i="14"/>
  <c r="H35" i="14"/>
  <c r="J35" i="14" s="1"/>
  <c r="G35" i="14"/>
  <c r="D35" i="14"/>
  <c r="I34" i="14"/>
  <c r="H34" i="14"/>
  <c r="G34" i="14"/>
  <c r="D34" i="14"/>
  <c r="I33" i="14"/>
  <c r="H33" i="14"/>
  <c r="J33" i="14" s="1"/>
  <c r="G33" i="14"/>
  <c r="D33" i="14"/>
  <c r="I32" i="14"/>
  <c r="H32" i="14"/>
  <c r="G32" i="14"/>
  <c r="D32" i="14"/>
  <c r="I31" i="14"/>
  <c r="H31" i="14"/>
  <c r="J31" i="14" s="1"/>
  <c r="G31" i="14"/>
  <c r="D31" i="14"/>
  <c r="I30" i="14"/>
  <c r="H30" i="14"/>
  <c r="G30" i="14"/>
  <c r="D30" i="14"/>
  <c r="I29" i="14"/>
  <c r="H29" i="14"/>
  <c r="J29" i="14" s="1"/>
  <c r="G29" i="14"/>
  <c r="D29" i="14"/>
  <c r="I28" i="14"/>
  <c r="H28" i="14"/>
  <c r="G28" i="14"/>
  <c r="D28" i="14"/>
  <c r="I27" i="14"/>
  <c r="H27" i="14"/>
  <c r="J27" i="14" s="1"/>
  <c r="G27" i="14"/>
  <c r="D27" i="14"/>
  <c r="I26" i="14"/>
  <c r="H26" i="14"/>
  <c r="G26" i="14"/>
  <c r="D26" i="14"/>
  <c r="I25" i="14"/>
  <c r="H25" i="14"/>
  <c r="J25" i="14" s="1"/>
  <c r="G25" i="14"/>
  <c r="D25" i="14"/>
  <c r="I24" i="14"/>
  <c r="H24" i="14"/>
  <c r="G24" i="14"/>
  <c r="D24" i="14"/>
  <c r="I23" i="14"/>
  <c r="H23" i="14"/>
  <c r="G23" i="14"/>
  <c r="D23" i="14"/>
  <c r="I22" i="14"/>
  <c r="H22" i="14"/>
  <c r="G22" i="14"/>
  <c r="D22" i="14"/>
  <c r="I21" i="14"/>
  <c r="H21" i="14"/>
  <c r="J21" i="14" s="1"/>
  <c r="G21" i="14"/>
  <c r="D21" i="14"/>
  <c r="I20" i="14"/>
  <c r="H20" i="14"/>
  <c r="G20" i="14"/>
  <c r="D20" i="14"/>
  <c r="I19" i="14"/>
  <c r="H19" i="14"/>
  <c r="G19" i="14"/>
  <c r="D19" i="14"/>
  <c r="I18" i="14"/>
  <c r="H18" i="14"/>
  <c r="G18" i="14"/>
  <c r="D18" i="14"/>
  <c r="I17" i="14"/>
  <c r="H17" i="14"/>
  <c r="J17" i="14" s="1"/>
  <c r="G17" i="14"/>
  <c r="D17" i="14"/>
  <c r="I16" i="14"/>
  <c r="H16" i="14"/>
  <c r="G16" i="14"/>
  <c r="D16" i="14"/>
  <c r="I15" i="14"/>
  <c r="H15" i="14"/>
  <c r="G15" i="14"/>
  <c r="D15" i="14"/>
  <c r="I14" i="14"/>
  <c r="H14" i="14"/>
  <c r="G14" i="14"/>
  <c r="D14" i="14"/>
  <c r="I13" i="14"/>
  <c r="H13" i="14"/>
  <c r="J13" i="14" s="1"/>
  <c r="G13" i="14"/>
  <c r="D13" i="14"/>
  <c r="I12" i="14"/>
  <c r="H12" i="14"/>
  <c r="J12" i="14" s="1"/>
  <c r="G12" i="14"/>
  <c r="D12" i="14"/>
  <c r="I11" i="14"/>
  <c r="H11" i="14"/>
  <c r="G11" i="14"/>
  <c r="D11" i="14"/>
  <c r="I10" i="14"/>
  <c r="J10" i="14" s="1"/>
  <c r="H10" i="14"/>
  <c r="G10" i="14"/>
  <c r="D10" i="14"/>
  <c r="I9" i="14"/>
  <c r="H9" i="14"/>
  <c r="G9" i="14"/>
  <c r="D9" i="14"/>
  <c r="I8" i="14"/>
  <c r="H8" i="14"/>
  <c r="J8" i="14" s="1"/>
  <c r="G8" i="14"/>
  <c r="D8" i="14"/>
  <c r="I7" i="14"/>
  <c r="H7" i="14"/>
  <c r="G7" i="14"/>
  <c r="D7" i="14"/>
  <c r="A3" i="14"/>
  <c r="I90" i="13"/>
  <c r="H90" i="13"/>
  <c r="J90" i="13" s="1"/>
  <c r="I100" i="13" s="1"/>
  <c r="I89" i="13"/>
  <c r="H89" i="13"/>
  <c r="I88" i="13"/>
  <c r="H88" i="13"/>
  <c r="I87" i="13"/>
  <c r="H87" i="13"/>
  <c r="I86" i="13"/>
  <c r="H86" i="13"/>
  <c r="I85" i="13"/>
  <c r="H85" i="13"/>
  <c r="I84" i="13"/>
  <c r="H84" i="13"/>
  <c r="I83" i="13"/>
  <c r="H83" i="13"/>
  <c r="I14" i="13"/>
  <c r="H14" i="13"/>
  <c r="G14" i="13"/>
  <c r="D14" i="13"/>
  <c r="I13" i="13"/>
  <c r="H13" i="13"/>
  <c r="G13" i="13"/>
  <c r="D13" i="13"/>
  <c r="I12" i="13"/>
  <c r="H12" i="13"/>
  <c r="G12" i="13"/>
  <c r="D12" i="13"/>
  <c r="I11" i="13"/>
  <c r="H11" i="13"/>
  <c r="G11" i="13"/>
  <c r="D11" i="13"/>
  <c r="I10" i="13"/>
  <c r="H10" i="13"/>
  <c r="G10" i="13"/>
  <c r="D10" i="13"/>
  <c r="I9" i="13"/>
  <c r="H9" i="13"/>
  <c r="G9" i="13"/>
  <c r="D9" i="13"/>
  <c r="I74" i="13"/>
  <c r="H74" i="13"/>
  <c r="G74" i="13"/>
  <c r="D74" i="13"/>
  <c r="I73" i="13"/>
  <c r="H73" i="13"/>
  <c r="J73" i="13" s="1"/>
  <c r="G73" i="13"/>
  <c r="D73" i="13"/>
  <c r="I72" i="13"/>
  <c r="H72" i="13"/>
  <c r="J72" i="13" s="1"/>
  <c r="G72" i="13"/>
  <c r="D72" i="13"/>
  <c r="I71" i="13"/>
  <c r="H71" i="13"/>
  <c r="G71" i="13"/>
  <c r="D71" i="13"/>
  <c r="I70" i="13"/>
  <c r="H70" i="13"/>
  <c r="G70" i="13"/>
  <c r="D70" i="13"/>
  <c r="I69" i="13"/>
  <c r="H69" i="13"/>
  <c r="J69" i="13" s="1"/>
  <c r="G69" i="13"/>
  <c r="D69" i="13"/>
  <c r="I68" i="13"/>
  <c r="H68" i="13"/>
  <c r="J68" i="13" s="1"/>
  <c r="G68" i="13"/>
  <c r="D68" i="13"/>
  <c r="I67" i="13"/>
  <c r="H67" i="13"/>
  <c r="G67" i="13"/>
  <c r="D67" i="13"/>
  <c r="H92" i="12"/>
  <c r="I92" i="12"/>
  <c r="H86" i="12"/>
  <c r="I86" i="12"/>
  <c r="J86" i="12"/>
  <c r="H87" i="12"/>
  <c r="I87" i="12"/>
  <c r="J87" i="12" s="1"/>
  <c r="I97" i="12" s="1"/>
  <c r="H88" i="12"/>
  <c r="J88" i="12" s="1"/>
  <c r="I88" i="12"/>
  <c r="H89" i="12"/>
  <c r="I89" i="12"/>
  <c r="H90" i="12"/>
  <c r="I90" i="12"/>
  <c r="H91" i="12"/>
  <c r="I91" i="12"/>
  <c r="I85" i="12"/>
  <c r="H85" i="12"/>
  <c r="D17" i="12"/>
  <c r="G17" i="12"/>
  <c r="H17" i="12"/>
  <c r="I17" i="12"/>
  <c r="J17" i="12" s="1"/>
  <c r="D18" i="12"/>
  <c r="G18" i="12"/>
  <c r="H18" i="12"/>
  <c r="I18" i="12"/>
  <c r="J18" i="12" s="1"/>
  <c r="D19" i="12"/>
  <c r="G19" i="12"/>
  <c r="H19" i="12"/>
  <c r="I19" i="12"/>
  <c r="D20" i="12"/>
  <c r="G20" i="12"/>
  <c r="H20" i="12"/>
  <c r="I20" i="12"/>
  <c r="D21" i="12"/>
  <c r="G21" i="12"/>
  <c r="H21" i="12"/>
  <c r="I21" i="12"/>
  <c r="J21" i="12" s="1"/>
  <c r="D22" i="12"/>
  <c r="G22" i="12"/>
  <c r="H22" i="12"/>
  <c r="I22" i="12"/>
  <c r="D23" i="12"/>
  <c r="G23" i="12"/>
  <c r="H23" i="12"/>
  <c r="I23" i="12"/>
  <c r="D24" i="12"/>
  <c r="G24" i="12"/>
  <c r="H24" i="12"/>
  <c r="I24" i="12"/>
  <c r="D25" i="12"/>
  <c r="G25" i="12"/>
  <c r="H25" i="12"/>
  <c r="I25" i="12"/>
  <c r="J25" i="12"/>
  <c r="D26" i="12"/>
  <c r="G26" i="12"/>
  <c r="H26" i="12"/>
  <c r="I26" i="12"/>
  <c r="D27" i="12"/>
  <c r="G27" i="12"/>
  <c r="H27" i="12"/>
  <c r="I27" i="12"/>
  <c r="H86" i="11"/>
  <c r="I86" i="11"/>
  <c r="H87" i="11"/>
  <c r="I87" i="11"/>
  <c r="H88" i="11"/>
  <c r="I88" i="11"/>
  <c r="H89" i="11"/>
  <c r="I89" i="11"/>
  <c r="J89" i="11" s="1"/>
  <c r="I99" i="11" s="1"/>
  <c r="H90" i="11"/>
  <c r="I90" i="11"/>
  <c r="H91" i="11"/>
  <c r="I91" i="11"/>
  <c r="H92" i="11"/>
  <c r="I92" i="11"/>
  <c r="I85" i="11"/>
  <c r="J85" i="11" s="1"/>
  <c r="H85" i="11"/>
  <c r="D50" i="11"/>
  <c r="G50" i="11"/>
  <c r="H50" i="11"/>
  <c r="I50" i="11"/>
  <c r="J50" i="11"/>
  <c r="D51" i="11"/>
  <c r="G51" i="11"/>
  <c r="H51" i="11"/>
  <c r="I51" i="11"/>
  <c r="J51" i="11"/>
  <c r="D52" i="11"/>
  <c r="G52" i="11"/>
  <c r="H52" i="11"/>
  <c r="I52" i="11"/>
  <c r="D53" i="11"/>
  <c r="G53" i="11"/>
  <c r="H53" i="11"/>
  <c r="I53" i="11"/>
  <c r="D54" i="11"/>
  <c r="G54" i="11"/>
  <c r="H54" i="11"/>
  <c r="I54" i="11"/>
  <c r="J54" i="11" s="1"/>
  <c r="D55" i="11"/>
  <c r="G55" i="11"/>
  <c r="H55" i="11"/>
  <c r="I55" i="11"/>
  <c r="D56" i="11"/>
  <c r="G56" i="11"/>
  <c r="H56" i="11"/>
  <c r="J56" i="11" s="1"/>
  <c r="I56" i="11"/>
  <c r="D57" i="11"/>
  <c r="G57" i="11"/>
  <c r="H57" i="11"/>
  <c r="I57" i="11"/>
  <c r="D58" i="11"/>
  <c r="G58" i="11"/>
  <c r="H58" i="11"/>
  <c r="I58" i="11"/>
  <c r="D59" i="11"/>
  <c r="G59" i="11"/>
  <c r="H59" i="11"/>
  <c r="I59" i="11"/>
  <c r="D60" i="11"/>
  <c r="G60" i="11"/>
  <c r="H60" i="11"/>
  <c r="J60" i="11" s="1"/>
  <c r="I60" i="11"/>
  <c r="D61" i="11"/>
  <c r="G61" i="11"/>
  <c r="H61" i="11"/>
  <c r="I61" i="11"/>
  <c r="J61" i="11" s="1"/>
  <c r="D62" i="11"/>
  <c r="G62" i="11"/>
  <c r="H62" i="11"/>
  <c r="I62" i="11"/>
  <c r="D63" i="11"/>
  <c r="D64" i="11"/>
  <c r="I86" i="10"/>
  <c r="I87" i="10"/>
  <c r="I88" i="10"/>
  <c r="I89" i="10"/>
  <c r="I90" i="10"/>
  <c r="I91" i="10"/>
  <c r="I92" i="10"/>
  <c r="I93" i="10"/>
  <c r="I94" i="10"/>
  <c r="H86" i="10"/>
  <c r="H87" i="10"/>
  <c r="H88" i="10"/>
  <c r="H89" i="10"/>
  <c r="H90" i="10"/>
  <c r="H91" i="10"/>
  <c r="H92" i="10"/>
  <c r="H93" i="10"/>
  <c r="H94" i="10"/>
  <c r="H95" i="10" s="1"/>
  <c r="I85" i="10"/>
  <c r="H85" i="10"/>
  <c r="D7" i="10"/>
  <c r="G7" i="10"/>
  <c r="H7" i="10"/>
  <c r="I7" i="10"/>
  <c r="J7" i="10" s="1"/>
  <c r="D8" i="10"/>
  <c r="G8" i="10"/>
  <c r="H8" i="10"/>
  <c r="J8" i="10" s="1"/>
  <c r="I8" i="10"/>
  <c r="D9" i="10"/>
  <c r="G9" i="10"/>
  <c r="H9" i="10"/>
  <c r="J9" i="10" s="1"/>
  <c r="I9" i="10"/>
  <c r="D10" i="10"/>
  <c r="G10" i="10"/>
  <c r="H10" i="10"/>
  <c r="J10" i="10" s="1"/>
  <c r="I10" i="10"/>
  <c r="D11" i="10"/>
  <c r="G11" i="10"/>
  <c r="H11" i="10"/>
  <c r="J11" i="10" s="1"/>
  <c r="I11" i="10"/>
  <c r="D12" i="10"/>
  <c r="G12" i="10"/>
  <c r="H12" i="10"/>
  <c r="I12" i="10"/>
  <c r="J12" i="10"/>
  <c r="D13" i="10"/>
  <c r="G13" i="10"/>
  <c r="H13" i="10"/>
  <c r="J13" i="10" s="1"/>
  <c r="I13" i="10"/>
  <c r="D14" i="10"/>
  <c r="G14" i="10"/>
  <c r="H14" i="10"/>
  <c r="I14" i="10"/>
  <c r="J14" i="10"/>
  <c r="D15" i="10"/>
  <c r="G15" i="10"/>
  <c r="H15" i="10"/>
  <c r="J15" i="10" s="1"/>
  <c r="I15" i="10"/>
  <c r="D16" i="10"/>
  <c r="G16" i="10"/>
  <c r="H16" i="10"/>
  <c r="I16" i="10"/>
  <c r="J16" i="10"/>
  <c r="D17" i="10"/>
  <c r="G17" i="10"/>
  <c r="H17" i="10"/>
  <c r="I17" i="10"/>
  <c r="J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H18" i="10"/>
  <c r="H19" i="10"/>
  <c r="H20" i="10"/>
  <c r="H21" i="10"/>
  <c r="H22" i="10"/>
  <c r="H23" i="10"/>
  <c r="H24" i="10"/>
  <c r="J24" i="10" s="1"/>
  <c r="H25" i="10"/>
  <c r="J25" i="10" s="1"/>
  <c r="H26" i="10"/>
  <c r="J26" i="10" s="1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J41" i="10" s="1"/>
  <c r="H42" i="10"/>
  <c r="J42" i="10" s="1"/>
  <c r="H43" i="10"/>
  <c r="J43" i="10" s="1"/>
  <c r="H44" i="10"/>
  <c r="J44" i="10" s="1"/>
  <c r="H45" i="10"/>
  <c r="J45" i="10" s="1"/>
  <c r="H46" i="10"/>
  <c r="H47" i="10"/>
  <c r="H48" i="10"/>
  <c r="H49" i="10"/>
  <c r="H50" i="10"/>
  <c r="H51" i="10"/>
  <c r="H52" i="10"/>
  <c r="H53" i="10"/>
  <c r="H54" i="10"/>
  <c r="H55" i="10"/>
  <c r="H56" i="10"/>
  <c r="J56" i="10" s="1"/>
  <c r="H57" i="10"/>
  <c r="J57" i="10" s="1"/>
  <c r="H58" i="10"/>
  <c r="J58" i="10" s="1"/>
  <c r="H59" i="10"/>
  <c r="J59" i="10" s="1"/>
  <c r="H60" i="10"/>
  <c r="J60" i="10" s="1"/>
  <c r="H61" i="10"/>
  <c r="J61" i="10" s="1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J27" i="10"/>
  <c r="J28" i="10"/>
  <c r="J29" i="10"/>
  <c r="J40" i="10"/>
  <c r="J72" i="10"/>
  <c r="J73" i="10"/>
  <c r="J74" i="10"/>
  <c r="J75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E95" i="13"/>
  <c r="F91" i="13"/>
  <c r="E91" i="13"/>
  <c r="C91" i="13"/>
  <c r="B91" i="13"/>
  <c r="G90" i="13"/>
  <c r="F100" i="13" s="1"/>
  <c r="D90" i="13"/>
  <c r="C100" i="13" s="1"/>
  <c r="G89" i="13"/>
  <c r="E99" i="13" s="1"/>
  <c r="D89" i="13"/>
  <c r="C99" i="13" s="1"/>
  <c r="G88" i="13"/>
  <c r="F98" i="13" s="1"/>
  <c r="D88" i="13"/>
  <c r="C98" i="13" s="1"/>
  <c r="G87" i="13"/>
  <c r="E97" i="13" s="1"/>
  <c r="D87" i="13"/>
  <c r="B97" i="13" s="1"/>
  <c r="G86" i="13"/>
  <c r="E96" i="13" s="1"/>
  <c r="D86" i="13"/>
  <c r="B96" i="13" s="1"/>
  <c r="G85" i="13"/>
  <c r="F95" i="13" s="1"/>
  <c r="D85" i="13"/>
  <c r="C95" i="13" s="1"/>
  <c r="G84" i="13"/>
  <c r="F94" i="13" s="1"/>
  <c r="D84" i="13"/>
  <c r="B94" i="13" s="1"/>
  <c r="G83" i="13"/>
  <c r="D83" i="13"/>
  <c r="C93" i="13" s="1"/>
  <c r="F79" i="13"/>
  <c r="E79" i="13"/>
  <c r="C79" i="13"/>
  <c r="B79" i="13"/>
  <c r="I78" i="13"/>
  <c r="H78" i="13"/>
  <c r="G78" i="13"/>
  <c r="D78" i="13"/>
  <c r="I77" i="13"/>
  <c r="H77" i="13"/>
  <c r="G77" i="13"/>
  <c r="D77" i="13"/>
  <c r="I76" i="13"/>
  <c r="H76" i="13"/>
  <c r="G76" i="13"/>
  <c r="D76" i="13"/>
  <c r="I75" i="13"/>
  <c r="H75" i="13"/>
  <c r="G75" i="13"/>
  <c r="D75" i="13"/>
  <c r="I66" i="13"/>
  <c r="H66" i="13"/>
  <c r="G66" i="13"/>
  <c r="D66" i="13"/>
  <c r="I65" i="13"/>
  <c r="H65" i="13"/>
  <c r="G65" i="13"/>
  <c r="D65" i="13"/>
  <c r="I64" i="13"/>
  <c r="H64" i="13"/>
  <c r="G64" i="13"/>
  <c r="D64" i="13"/>
  <c r="I63" i="13"/>
  <c r="H63" i="13"/>
  <c r="G63" i="13"/>
  <c r="D63" i="13"/>
  <c r="I62" i="13"/>
  <c r="H62" i="13"/>
  <c r="G62" i="13"/>
  <c r="D62" i="13"/>
  <c r="I61" i="13"/>
  <c r="H61" i="13"/>
  <c r="G61" i="13"/>
  <c r="D61" i="13"/>
  <c r="I60" i="13"/>
  <c r="H60" i="13"/>
  <c r="G60" i="13"/>
  <c r="D60" i="13"/>
  <c r="I59" i="13"/>
  <c r="H59" i="13"/>
  <c r="G59" i="13"/>
  <c r="D59" i="13"/>
  <c r="I58" i="13"/>
  <c r="H58" i="13"/>
  <c r="G58" i="13"/>
  <c r="D58" i="13"/>
  <c r="I57" i="13"/>
  <c r="H57" i="13"/>
  <c r="G57" i="13"/>
  <c r="D57" i="13"/>
  <c r="I56" i="13"/>
  <c r="H56" i="13"/>
  <c r="G56" i="13"/>
  <c r="D56" i="13"/>
  <c r="I55" i="13"/>
  <c r="H55" i="13"/>
  <c r="G55" i="13"/>
  <c r="D55" i="13"/>
  <c r="I54" i="13"/>
  <c r="H54" i="13"/>
  <c r="G54" i="13"/>
  <c r="D54" i="13"/>
  <c r="I53" i="13"/>
  <c r="H53" i="13"/>
  <c r="G53" i="13"/>
  <c r="D53" i="13"/>
  <c r="I52" i="13"/>
  <c r="H52" i="13"/>
  <c r="G52" i="13"/>
  <c r="D52" i="13"/>
  <c r="I51" i="13"/>
  <c r="H51" i="13"/>
  <c r="G51" i="13"/>
  <c r="D51" i="13"/>
  <c r="I50" i="13"/>
  <c r="H50" i="13"/>
  <c r="G50" i="13"/>
  <c r="D50" i="13"/>
  <c r="I49" i="13"/>
  <c r="H49" i="13"/>
  <c r="G49" i="13"/>
  <c r="D49" i="13"/>
  <c r="I48" i="13"/>
  <c r="H48" i="13"/>
  <c r="G48" i="13"/>
  <c r="D48" i="13"/>
  <c r="I47" i="13"/>
  <c r="H47" i="13"/>
  <c r="G47" i="13"/>
  <c r="D47" i="13"/>
  <c r="I46" i="13"/>
  <c r="H46" i="13"/>
  <c r="G46" i="13"/>
  <c r="D46" i="13"/>
  <c r="I45" i="13"/>
  <c r="H45" i="13"/>
  <c r="G45" i="13"/>
  <c r="D45" i="13"/>
  <c r="I44" i="13"/>
  <c r="H44" i="13"/>
  <c r="G44" i="13"/>
  <c r="D44" i="13"/>
  <c r="I43" i="13"/>
  <c r="H43" i="13"/>
  <c r="G43" i="13"/>
  <c r="D43" i="13"/>
  <c r="I42" i="13"/>
  <c r="H42" i="13"/>
  <c r="G42" i="13"/>
  <c r="D42" i="13"/>
  <c r="I41" i="13"/>
  <c r="H41" i="13"/>
  <c r="G41" i="13"/>
  <c r="D41" i="13"/>
  <c r="I40" i="13"/>
  <c r="H40" i="13"/>
  <c r="G40" i="13"/>
  <c r="D40" i="13"/>
  <c r="I39" i="13"/>
  <c r="H39" i="13"/>
  <c r="G39" i="13"/>
  <c r="D39" i="13"/>
  <c r="I38" i="13"/>
  <c r="H38" i="13"/>
  <c r="G38" i="13"/>
  <c r="D38" i="13"/>
  <c r="I37" i="13"/>
  <c r="H37" i="13"/>
  <c r="G37" i="13"/>
  <c r="D37" i="13"/>
  <c r="I36" i="13"/>
  <c r="H36" i="13"/>
  <c r="G36" i="13"/>
  <c r="D36" i="13"/>
  <c r="I35" i="13"/>
  <c r="H35" i="13"/>
  <c r="G35" i="13"/>
  <c r="D35" i="13"/>
  <c r="I34" i="13"/>
  <c r="H34" i="13"/>
  <c r="G34" i="13"/>
  <c r="D34" i="13"/>
  <c r="I33" i="13"/>
  <c r="H33" i="13"/>
  <c r="G33" i="13"/>
  <c r="D33" i="13"/>
  <c r="I32" i="13"/>
  <c r="H32" i="13"/>
  <c r="G32" i="13"/>
  <c r="D32" i="13"/>
  <c r="I31" i="13"/>
  <c r="H31" i="13"/>
  <c r="G31" i="13"/>
  <c r="D31" i="13"/>
  <c r="I30" i="13"/>
  <c r="H30" i="13"/>
  <c r="G30" i="13"/>
  <c r="D30" i="13"/>
  <c r="I29" i="13"/>
  <c r="H29" i="13"/>
  <c r="G29" i="13"/>
  <c r="D29" i="13"/>
  <c r="I28" i="13"/>
  <c r="H28" i="13"/>
  <c r="G28" i="13"/>
  <c r="D28" i="13"/>
  <c r="I27" i="13"/>
  <c r="H27" i="13"/>
  <c r="G27" i="13"/>
  <c r="D27" i="13"/>
  <c r="I26" i="13"/>
  <c r="H26" i="13"/>
  <c r="G26" i="13"/>
  <c r="D26" i="13"/>
  <c r="I25" i="13"/>
  <c r="H25" i="13"/>
  <c r="G25" i="13"/>
  <c r="D25" i="13"/>
  <c r="I24" i="13"/>
  <c r="H24" i="13"/>
  <c r="G24" i="13"/>
  <c r="D24" i="13"/>
  <c r="I23" i="13"/>
  <c r="H23" i="13"/>
  <c r="G23" i="13"/>
  <c r="D23" i="13"/>
  <c r="I22" i="13"/>
  <c r="H22" i="13"/>
  <c r="G22" i="13"/>
  <c r="D22" i="13"/>
  <c r="I21" i="13"/>
  <c r="H21" i="13"/>
  <c r="G21" i="13"/>
  <c r="D21" i="13"/>
  <c r="I20" i="13"/>
  <c r="H20" i="13"/>
  <c r="G20" i="13"/>
  <c r="D20" i="13"/>
  <c r="I19" i="13"/>
  <c r="H19" i="13"/>
  <c r="G19" i="13"/>
  <c r="D19" i="13"/>
  <c r="I18" i="13"/>
  <c r="H18" i="13"/>
  <c r="G18" i="13"/>
  <c r="D18" i="13"/>
  <c r="I17" i="13"/>
  <c r="H17" i="13"/>
  <c r="G17" i="13"/>
  <c r="D17" i="13"/>
  <c r="I16" i="13"/>
  <c r="H16" i="13"/>
  <c r="G16" i="13"/>
  <c r="D16" i="13"/>
  <c r="I15" i="13"/>
  <c r="H15" i="13"/>
  <c r="G15" i="13"/>
  <c r="D15" i="13"/>
  <c r="I8" i="13"/>
  <c r="H8" i="13"/>
  <c r="G8" i="13"/>
  <c r="D8" i="13"/>
  <c r="I7" i="13"/>
  <c r="H7" i="13"/>
  <c r="G7" i="13"/>
  <c r="D7" i="13"/>
  <c r="A3" i="13"/>
  <c r="E99" i="12"/>
  <c r="F93" i="12"/>
  <c r="E93" i="12"/>
  <c r="C93" i="12"/>
  <c r="B93" i="12"/>
  <c r="G92" i="12"/>
  <c r="E102" i="12" s="1"/>
  <c r="D92" i="12"/>
  <c r="C102" i="12" s="1"/>
  <c r="G91" i="12"/>
  <c r="F101" i="12" s="1"/>
  <c r="D91" i="12"/>
  <c r="C101" i="12" s="1"/>
  <c r="G90" i="12"/>
  <c r="F100" i="12" s="1"/>
  <c r="D90" i="12"/>
  <c r="C100" i="12" s="1"/>
  <c r="G89" i="12"/>
  <c r="F99" i="12" s="1"/>
  <c r="D89" i="12"/>
  <c r="C99" i="12" s="1"/>
  <c r="G88" i="12"/>
  <c r="F98" i="12" s="1"/>
  <c r="D88" i="12"/>
  <c r="C98" i="12" s="1"/>
  <c r="G87" i="12"/>
  <c r="F97" i="12" s="1"/>
  <c r="D87" i="12"/>
  <c r="B97" i="12" s="1"/>
  <c r="I96" i="12"/>
  <c r="G86" i="12"/>
  <c r="E96" i="12" s="1"/>
  <c r="D86" i="12"/>
  <c r="C96" i="12" s="1"/>
  <c r="J85" i="12"/>
  <c r="I95" i="12" s="1"/>
  <c r="G85" i="12"/>
  <c r="E95" i="12" s="1"/>
  <c r="D85" i="12"/>
  <c r="C95" i="12" s="1"/>
  <c r="F80" i="12"/>
  <c r="E80" i="12"/>
  <c r="C80" i="12"/>
  <c r="B80" i="12"/>
  <c r="I79" i="12"/>
  <c r="H79" i="12"/>
  <c r="G79" i="12"/>
  <c r="D79" i="12"/>
  <c r="I78" i="12"/>
  <c r="H78" i="12"/>
  <c r="G78" i="12"/>
  <c r="D78" i="12"/>
  <c r="I77" i="12"/>
  <c r="H77" i="12"/>
  <c r="G77" i="12"/>
  <c r="D77" i="12"/>
  <c r="I76" i="12"/>
  <c r="H76" i="12"/>
  <c r="G76" i="12"/>
  <c r="D76" i="12"/>
  <c r="I75" i="12"/>
  <c r="H75" i="12"/>
  <c r="G75" i="12"/>
  <c r="D75" i="12"/>
  <c r="I74" i="12"/>
  <c r="H74" i="12"/>
  <c r="G74" i="12"/>
  <c r="D74" i="12"/>
  <c r="I73" i="12"/>
  <c r="H73" i="12"/>
  <c r="G73" i="12"/>
  <c r="D73" i="12"/>
  <c r="I72" i="12"/>
  <c r="H72" i="12"/>
  <c r="G72" i="12"/>
  <c r="D72" i="12"/>
  <c r="I71" i="12"/>
  <c r="H71" i="12"/>
  <c r="G71" i="12"/>
  <c r="D71" i="12"/>
  <c r="I70" i="12"/>
  <c r="H70" i="12"/>
  <c r="G70" i="12"/>
  <c r="D70" i="12"/>
  <c r="I69" i="12"/>
  <c r="H69" i="12"/>
  <c r="G69" i="12"/>
  <c r="D69" i="12"/>
  <c r="I68" i="12"/>
  <c r="H68" i="12"/>
  <c r="G68" i="12"/>
  <c r="D68" i="12"/>
  <c r="I67" i="12"/>
  <c r="H67" i="12"/>
  <c r="G67" i="12"/>
  <c r="D67" i="12"/>
  <c r="I66" i="12"/>
  <c r="H66" i="12"/>
  <c r="G66" i="12"/>
  <c r="D66" i="12"/>
  <c r="I65" i="12"/>
  <c r="H65" i="12"/>
  <c r="G65" i="12"/>
  <c r="D65" i="12"/>
  <c r="I64" i="12"/>
  <c r="H64" i="12"/>
  <c r="G64" i="12"/>
  <c r="D64" i="12"/>
  <c r="I63" i="12"/>
  <c r="H63" i="12"/>
  <c r="G63" i="12"/>
  <c r="D63" i="12"/>
  <c r="I62" i="12"/>
  <c r="H62" i="12"/>
  <c r="G62" i="12"/>
  <c r="D62" i="12"/>
  <c r="I61" i="12"/>
  <c r="H61" i="12"/>
  <c r="G61" i="12"/>
  <c r="D61" i="12"/>
  <c r="I60" i="12"/>
  <c r="H60" i="12"/>
  <c r="G60" i="12"/>
  <c r="D60" i="12"/>
  <c r="I59" i="12"/>
  <c r="H59" i="12"/>
  <c r="G59" i="12"/>
  <c r="D59" i="12"/>
  <c r="I58" i="12"/>
  <c r="H58" i="12"/>
  <c r="G58" i="12"/>
  <c r="D58" i="12"/>
  <c r="I57" i="12"/>
  <c r="H57" i="12"/>
  <c r="G57" i="12"/>
  <c r="D57" i="12"/>
  <c r="I56" i="12"/>
  <c r="H56" i="12"/>
  <c r="G56" i="12"/>
  <c r="D56" i="12"/>
  <c r="I55" i="12"/>
  <c r="H55" i="12"/>
  <c r="G55" i="12"/>
  <c r="D55" i="12"/>
  <c r="I54" i="12"/>
  <c r="H54" i="12"/>
  <c r="G54" i="12"/>
  <c r="D54" i="12"/>
  <c r="I53" i="12"/>
  <c r="H53" i="12"/>
  <c r="G53" i="12"/>
  <c r="D53" i="12"/>
  <c r="I52" i="12"/>
  <c r="H52" i="12"/>
  <c r="G52" i="12"/>
  <c r="D52" i="12"/>
  <c r="I51" i="12"/>
  <c r="H51" i="12"/>
  <c r="G51" i="12"/>
  <c r="D51" i="12"/>
  <c r="I50" i="12"/>
  <c r="H50" i="12"/>
  <c r="G50" i="12"/>
  <c r="D50" i="12"/>
  <c r="I49" i="12"/>
  <c r="H49" i="12"/>
  <c r="G49" i="12"/>
  <c r="D49" i="12"/>
  <c r="I48" i="12"/>
  <c r="H48" i="12"/>
  <c r="G48" i="12"/>
  <c r="D48" i="12"/>
  <c r="I47" i="12"/>
  <c r="H47" i="12"/>
  <c r="G47" i="12"/>
  <c r="D47" i="12"/>
  <c r="I46" i="12"/>
  <c r="H46" i="12"/>
  <c r="G46" i="12"/>
  <c r="D46" i="12"/>
  <c r="I45" i="12"/>
  <c r="H45" i="12"/>
  <c r="G45" i="12"/>
  <c r="D45" i="12"/>
  <c r="I44" i="12"/>
  <c r="H44" i="12"/>
  <c r="G44" i="12"/>
  <c r="D44" i="12"/>
  <c r="I43" i="12"/>
  <c r="H43" i="12"/>
  <c r="G43" i="12"/>
  <c r="D43" i="12"/>
  <c r="I42" i="12"/>
  <c r="H42" i="12"/>
  <c r="G42" i="12"/>
  <c r="D42" i="12"/>
  <c r="I41" i="12"/>
  <c r="H41" i="12"/>
  <c r="G41" i="12"/>
  <c r="D41" i="12"/>
  <c r="I40" i="12"/>
  <c r="H40" i="12"/>
  <c r="G40" i="12"/>
  <c r="D40" i="12"/>
  <c r="I39" i="12"/>
  <c r="H39" i="12"/>
  <c r="G39" i="12"/>
  <c r="D39" i="12"/>
  <c r="I38" i="12"/>
  <c r="H38" i="12"/>
  <c r="G38" i="12"/>
  <c r="D38" i="12"/>
  <c r="I37" i="12"/>
  <c r="H37" i="12"/>
  <c r="G37" i="12"/>
  <c r="D37" i="12"/>
  <c r="I36" i="12"/>
  <c r="H36" i="12"/>
  <c r="G36" i="12"/>
  <c r="D36" i="12"/>
  <c r="I35" i="12"/>
  <c r="H35" i="12"/>
  <c r="G35" i="12"/>
  <c r="D35" i="12"/>
  <c r="I34" i="12"/>
  <c r="H34" i="12"/>
  <c r="G34" i="12"/>
  <c r="D34" i="12"/>
  <c r="I33" i="12"/>
  <c r="H33" i="12"/>
  <c r="G33" i="12"/>
  <c r="D33" i="12"/>
  <c r="I32" i="12"/>
  <c r="H32" i="12"/>
  <c r="G32" i="12"/>
  <c r="D32" i="12"/>
  <c r="I31" i="12"/>
  <c r="H31" i="12"/>
  <c r="G31" i="12"/>
  <c r="D31" i="12"/>
  <c r="I30" i="12"/>
  <c r="H30" i="12"/>
  <c r="G30" i="12"/>
  <c r="D30" i="12"/>
  <c r="I29" i="12"/>
  <c r="H29" i="12"/>
  <c r="G29" i="12"/>
  <c r="D29" i="12"/>
  <c r="I28" i="12"/>
  <c r="H28" i="12"/>
  <c r="G28" i="12"/>
  <c r="D28" i="12"/>
  <c r="I16" i="12"/>
  <c r="H16" i="12"/>
  <c r="G16" i="12"/>
  <c r="D16" i="12"/>
  <c r="I15" i="12"/>
  <c r="H15" i="12"/>
  <c r="G15" i="12"/>
  <c r="D15" i="12"/>
  <c r="I14" i="12"/>
  <c r="H14" i="12"/>
  <c r="G14" i="12"/>
  <c r="D14" i="12"/>
  <c r="I13" i="12"/>
  <c r="H13" i="12"/>
  <c r="G13" i="12"/>
  <c r="D13" i="12"/>
  <c r="I12" i="12"/>
  <c r="H12" i="12"/>
  <c r="G12" i="12"/>
  <c r="D12" i="12"/>
  <c r="I11" i="12"/>
  <c r="H11" i="12"/>
  <c r="G11" i="12"/>
  <c r="D11" i="12"/>
  <c r="I10" i="12"/>
  <c r="H10" i="12"/>
  <c r="G10" i="12"/>
  <c r="D10" i="12"/>
  <c r="I9" i="12"/>
  <c r="H9" i="12"/>
  <c r="G9" i="12"/>
  <c r="D9" i="12"/>
  <c r="I8" i="12"/>
  <c r="H8" i="12"/>
  <c r="G8" i="12"/>
  <c r="D8" i="12"/>
  <c r="I7" i="12"/>
  <c r="H7" i="12"/>
  <c r="G7" i="12"/>
  <c r="D7" i="12"/>
  <c r="A3" i="12"/>
  <c r="F93" i="11"/>
  <c r="E93" i="11"/>
  <c r="C93" i="11"/>
  <c r="B93" i="11"/>
  <c r="G92" i="11"/>
  <c r="F102" i="11" s="1"/>
  <c r="D92" i="11"/>
  <c r="C102" i="11" s="1"/>
  <c r="G91" i="11"/>
  <c r="F101" i="11" s="1"/>
  <c r="D91" i="11"/>
  <c r="B101" i="11" s="1"/>
  <c r="G90" i="11"/>
  <c r="F100" i="11" s="1"/>
  <c r="D90" i="11"/>
  <c r="C100" i="11" s="1"/>
  <c r="G89" i="11"/>
  <c r="F99" i="11" s="1"/>
  <c r="D89" i="11"/>
  <c r="B99" i="11" s="1"/>
  <c r="J88" i="11"/>
  <c r="I98" i="11" s="1"/>
  <c r="G88" i="11"/>
  <c r="E98" i="11" s="1"/>
  <c r="D88" i="11"/>
  <c r="C98" i="11" s="1"/>
  <c r="J87" i="11"/>
  <c r="I97" i="11" s="1"/>
  <c r="G87" i="11"/>
  <c r="F97" i="11" s="1"/>
  <c r="D87" i="11"/>
  <c r="C97" i="11" s="1"/>
  <c r="J86" i="11"/>
  <c r="I96" i="11" s="1"/>
  <c r="G86" i="11"/>
  <c r="F96" i="11" s="1"/>
  <c r="D86" i="11"/>
  <c r="C96" i="11" s="1"/>
  <c r="G85" i="11"/>
  <c r="F95" i="11" s="1"/>
  <c r="D85" i="11"/>
  <c r="F81" i="11"/>
  <c r="E81" i="11"/>
  <c r="C81" i="11"/>
  <c r="B81" i="11"/>
  <c r="I80" i="11"/>
  <c r="H80" i="11"/>
  <c r="G80" i="11"/>
  <c r="D80" i="11"/>
  <c r="I79" i="11"/>
  <c r="H79" i="11"/>
  <c r="G79" i="11"/>
  <c r="D79" i="11"/>
  <c r="I78" i="11"/>
  <c r="H78" i="11"/>
  <c r="G78" i="11"/>
  <c r="D78" i="11"/>
  <c r="I77" i="11"/>
  <c r="H77" i="11"/>
  <c r="J77" i="11" s="1"/>
  <c r="G77" i="11"/>
  <c r="D77" i="11"/>
  <c r="I76" i="11"/>
  <c r="H76" i="11"/>
  <c r="G76" i="11"/>
  <c r="D76" i="11"/>
  <c r="I75" i="11"/>
  <c r="H75" i="11"/>
  <c r="G75" i="11"/>
  <c r="D75" i="11"/>
  <c r="I74" i="11"/>
  <c r="H74" i="11"/>
  <c r="G74" i="11"/>
  <c r="D74" i="11"/>
  <c r="I73" i="11"/>
  <c r="H73" i="11"/>
  <c r="G73" i="11"/>
  <c r="D73" i="11"/>
  <c r="I72" i="11"/>
  <c r="H72" i="11"/>
  <c r="G72" i="11"/>
  <c r="D72" i="11"/>
  <c r="I71" i="11"/>
  <c r="H71" i="11"/>
  <c r="G71" i="11"/>
  <c r="D71" i="11"/>
  <c r="I70" i="11"/>
  <c r="H70" i="11"/>
  <c r="G70" i="11"/>
  <c r="D70" i="11"/>
  <c r="I69" i="11"/>
  <c r="H69" i="11"/>
  <c r="G69" i="11"/>
  <c r="D69" i="11"/>
  <c r="I68" i="11"/>
  <c r="H68" i="11"/>
  <c r="G68" i="11"/>
  <c r="D68" i="11"/>
  <c r="I67" i="11"/>
  <c r="H67" i="11"/>
  <c r="G67" i="11"/>
  <c r="D67" i="11"/>
  <c r="I66" i="11"/>
  <c r="H66" i="11"/>
  <c r="G66" i="11"/>
  <c r="D66" i="11"/>
  <c r="I65" i="11"/>
  <c r="H65" i="11"/>
  <c r="G65" i="11"/>
  <c r="D65" i="11"/>
  <c r="I64" i="11"/>
  <c r="H64" i="11"/>
  <c r="G64" i="11"/>
  <c r="I63" i="11"/>
  <c r="H63" i="11"/>
  <c r="G63" i="11"/>
  <c r="I49" i="11"/>
  <c r="H49" i="11"/>
  <c r="G49" i="11"/>
  <c r="D49" i="11"/>
  <c r="I48" i="11"/>
  <c r="H48" i="11"/>
  <c r="G48" i="11"/>
  <c r="D48" i="11"/>
  <c r="I47" i="11"/>
  <c r="H47" i="11"/>
  <c r="G47" i="11"/>
  <c r="D47" i="11"/>
  <c r="I46" i="11"/>
  <c r="H46" i="11"/>
  <c r="G46" i="11"/>
  <c r="D46" i="11"/>
  <c r="I45" i="11"/>
  <c r="H45" i="11"/>
  <c r="G45" i="11"/>
  <c r="D45" i="11"/>
  <c r="I44" i="11"/>
  <c r="H44" i="11"/>
  <c r="G44" i="11"/>
  <c r="D44" i="11"/>
  <c r="I43" i="11"/>
  <c r="H43" i="11"/>
  <c r="G43" i="11"/>
  <c r="D43" i="11"/>
  <c r="I42" i="11"/>
  <c r="H42" i="11"/>
  <c r="G42" i="11"/>
  <c r="D42" i="11"/>
  <c r="I41" i="11"/>
  <c r="H41" i="11"/>
  <c r="G41" i="11"/>
  <c r="D41" i="11"/>
  <c r="I40" i="11"/>
  <c r="H40" i="11"/>
  <c r="G40" i="11"/>
  <c r="D40" i="11"/>
  <c r="I39" i="11"/>
  <c r="H39" i="11"/>
  <c r="G39" i="11"/>
  <c r="D39" i="11"/>
  <c r="I38" i="11"/>
  <c r="H38" i="11"/>
  <c r="G38" i="11"/>
  <c r="D38" i="11"/>
  <c r="I37" i="11"/>
  <c r="H37" i="11"/>
  <c r="G37" i="11"/>
  <c r="D37" i="11"/>
  <c r="I36" i="11"/>
  <c r="H36" i="11"/>
  <c r="G36" i="11"/>
  <c r="D36" i="11"/>
  <c r="I35" i="11"/>
  <c r="H35" i="11"/>
  <c r="G35" i="11"/>
  <c r="D35" i="11"/>
  <c r="I34" i="11"/>
  <c r="H34" i="11"/>
  <c r="G34" i="11"/>
  <c r="D34" i="11"/>
  <c r="I33" i="11"/>
  <c r="H33" i="11"/>
  <c r="G33" i="11"/>
  <c r="D33" i="11"/>
  <c r="I32" i="11"/>
  <c r="H32" i="11"/>
  <c r="G32" i="11"/>
  <c r="D32" i="11"/>
  <c r="I31" i="11"/>
  <c r="H31" i="11"/>
  <c r="G31" i="11"/>
  <c r="D31" i="11"/>
  <c r="I30" i="11"/>
  <c r="H30" i="11"/>
  <c r="G30" i="11"/>
  <c r="D30" i="11"/>
  <c r="I29" i="11"/>
  <c r="H29" i="11"/>
  <c r="G29" i="11"/>
  <c r="D29" i="11"/>
  <c r="I28" i="11"/>
  <c r="H28" i="11"/>
  <c r="G28" i="11"/>
  <c r="D28" i="11"/>
  <c r="I27" i="11"/>
  <c r="H27" i="11"/>
  <c r="G27" i="11"/>
  <c r="D27" i="11"/>
  <c r="I26" i="11"/>
  <c r="H26" i="11"/>
  <c r="G26" i="11"/>
  <c r="D26" i="11"/>
  <c r="I25" i="11"/>
  <c r="H25" i="11"/>
  <c r="G25" i="11"/>
  <c r="D25" i="11"/>
  <c r="I24" i="11"/>
  <c r="H24" i="11"/>
  <c r="G24" i="11"/>
  <c r="D24" i="11"/>
  <c r="I23" i="11"/>
  <c r="H23" i="11"/>
  <c r="G23" i="11"/>
  <c r="D23" i="11"/>
  <c r="I22" i="11"/>
  <c r="H22" i="11"/>
  <c r="G22" i="11"/>
  <c r="D22" i="11"/>
  <c r="I21" i="11"/>
  <c r="H21" i="11"/>
  <c r="G21" i="11"/>
  <c r="D21" i="11"/>
  <c r="I20" i="11"/>
  <c r="H20" i="11"/>
  <c r="G20" i="11"/>
  <c r="D20" i="11"/>
  <c r="I19" i="11"/>
  <c r="H19" i="11"/>
  <c r="G19" i="11"/>
  <c r="D19" i="11"/>
  <c r="I18" i="11"/>
  <c r="H18" i="11"/>
  <c r="G18" i="11"/>
  <c r="D18" i="11"/>
  <c r="I17" i="11"/>
  <c r="H17" i="11"/>
  <c r="G17" i="11"/>
  <c r="D17" i="11"/>
  <c r="I16" i="11"/>
  <c r="H16" i="11"/>
  <c r="G16" i="11"/>
  <c r="D16" i="11"/>
  <c r="I15" i="11"/>
  <c r="H15" i="11"/>
  <c r="G15" i="11"/>
  <c r="D15" i="11"/>
  <c r="I14" i="11"/>
  <c r="H14" i="11"/>
  <c r="G14" i="11"/>
  <c r="D14" i="11"/>
  <c r="I13" i="11"/>
  <c r="H13" i="11"/>
  <c r="G13" i="11"/>
  <c r="D13" i="11"/>
  <c r="I12" i="11"/>
  <c r="H12" i="11"/>
  <c r="G12" i="11"/>
  <c r="D12" i="11"/>
  <c r="I11" i="11"/>
  <c r="H11" i="11"/>
  <c r="G11" i="11"/>
  <c r="D11" i="11"/>
  <c r="I10" i="11"/>
  <c r="H10" i="11"/>
  <c r="G10" i="11"/>
  <c r="D10" i="11"/>
  <c r="I9" i="11"/>
  <c r="H9" i="11"/>
  <c r="G9" i="11"/>
  <c r="D9" i="11"/>
  <c r="I8" i="11"/>
  <c r="H8" i="11"/>
  <c r="G8" i="11"/>
  <c r="D8" i="11"/>
  <c r="I7" i="11"/>
  <c r="H7" i="11"/>
  <c r="G7" i="11"/>
  <c r="D7" i="11"/>
  <c r="A3" i="11"/>
  <c r="I103" i="10"/>
  <c r="H103" i="10"/>
  <c r="F103" i="10"/>
  <c r="E103" i="10"/>
  <c r="B103" i="10"/>
  <c r="C102" i="10"/>
  <c r="C100" i="10"/>
  <c r="C98" i="10"/>
  <c r="B98" i="10"/>
  <c r="F97" i="10"/>
  <c r="E97" i="10"/>
  <c r="C97" i="10"/>
  <c r="B97" i="10"/>
  <c r="I95" i="10"/>
  <c r="F95" i="10"/>
  <c r="E95" i="10"/>
  <c r="C95" i="10"/>
  <c r="B95" i="10"/>
  <c r="J94" i="10"/>
  <c r="I106" i="10" s="1"/>
  <c r="G94" i="10"/>
  <c r="E106" i="10" s="1"/>
  <c r="D94" i="10"/>
  <c r="C106" i="10" s="1"/>
  <c r="J93" i="10"/>
  <c r="I105" i="10" s="1"/>
  <c r="G93" i="10"/>
  <c r="E105" i="10" s="1"/>
  <c r="D93" i="10"/>
  <c r="C105" i="10" s="1"/>
  <c r="J92" i="10"/>
  <c r="H104" i="10" s="1"/>
  <c r="G92" i="10"/>
  <c r="F104" i="10" s="1"/>
  <c r="D92" i="10"/>
  <c r="C104" i="10" s="1"/>
  <c r="J91" i="10"/>
  <c r="G91" i="10"/>
  <c r="D91" i="10"/>
  <c r="C103" i="10" s="1"/>
  <c r="J90" i="10"/>
  <c r="H102" i="10" s="1"/>
  <c r="G90" i="10"/>
  <c r="F102" i="10" s="1"/>
  <c r="D90" i="10"/>
  <c r="B102" i="10" s="1"/>
  <c r="J89" i="10"/>
  <c r="I101" i="10" s="1"/>
  <c r="G89" i="10"/>
  <c r="F101" i="10" s="1"/>
  <c r="D89" i="10"/>
  <c r="B101" i="10" s="1"/>
  <c r="J88" i="10"/>
  <c r="I100" i="10" s="1"/>
  <c r="G88" i="10"/>
  <c r="F100" i="10" s="1"/>
  <c r="D88" i="10"/>
  <c r="B100" i="10" s="1"/>
  <c r="J87" i="10"/>
  <c r="I99" i="10" s="1"/>
  <c r="G87" i="10"/>
  <c r="E99" i="10" s="1"/>
  <c r="D87" i="10"/>
  <c r="C99" i="10" s="1"/>
  <c r="J86" i="10"/>
  <c r="I98" i="10" s="1"/>
  <c r="G86" i="10"/>
  <c r="G95" i="10" s="1"/>
  <c r="D86" i="10"/>
  <c r="J85" i="10"/>
  <c r="I97" i="10" s="1"/>
  <c r="G85" i="10"/>
  <c r="D85" i="10"/>
  <c r="F81" i="10"/>
  <c r="E81" i="10"/>
  <c r="C81" i="10"/>
  <c r="B81" i="10"/>
  <c r="H81" i="10" s="1"/>
  <c r="A3" i="10"/>
  <c r="J84" i="1" l="1"/>
  <c r="J87" i="1"/>
  <c r="E95" i="1"/>
  <c r="F98" i="1"/>
  <c r="B95" i="1"/>
  <c r="B92" i="1"/>
  <c r="H89" i="1"/>
  <c r="J7" i="1"/>
  <c r="J23" i="1"/>
  <c r="I89" i="1"/>
  <c r="E92" i="1"/>
  <c r="J56" i="1"/>
  <c r="H77" i="1"/>
  <c r="E97" i="1"/>
  <c r="B98" i="1"/>
  <c r="J73" i="1"/>
  <c r="J54" i="1"/>
  <c r="J74" i="1"/>
  <c r="J27" i="1"/>
  <c r="J31" i="1"/>
  <c r="J35" i="1"/>
  <c r="J43" i="1"/>
  <c r="J47" i="1"/>
  <c r="J51" i="1"/>
  <c r="I77" i="1"/>
  <c r="J8" i="1"/>
  <c r="J28" i="1"/>
  <c r="J32" i="1"/>
  <c r="J36" i="1"/>
  <c r="J40" i="1"/>
  <c r="J44" i="1"/>
  <c r="J48" i="1"/>
  <c r="J52" i="1"/>
  <c r="J41" i="1"/>
  <c r="J45" i="1"/>
  <c r="J49" i="1"/>
  <c r="J53" i="1"/>
  <c r="J76" i="1"/>
  <c r="J69" i="1"/>
  <c r="J11" i="1"/>
  <c r="J15" i="1"/>
  <c r="J19" i="1"/>
  <c r="D77" i="1"/>
  <c r="J39" i="1"/>
  <c r="J12" i="1"/>
  <c r="J16" i="1"/>
  <c r="J20" i="1"/>
  <c r="J24" i="1"/>
  <c r="J55" i="1"/>
  <c r="J71" i="1"/>
  <c r="J13" i="1"/>
  <c r="J17" i="1"/>
  <c r="J21" i="1"/>
  <c r="J25" i="1"/>
  <c r="J29" i="1"/>
  <c r="J33" i="1"/>
  <c r="J37" i="1"/>
  <c r="J60" i="1"/>
  <c r="J64" i="1"/>
  <c r="J68" i="1"/>
  <c r="J88" i="2"/>
  <c r="J92" i="2"/>
  <c r="H102" i="2" s="1"/>
  <c r="B99" i="2"/>
  <c r="J43" i="2"/>
  <c r="J47" i="2"/>
  <c r="J51" i="2"/>
  <c r="J59" i="2"/>
  <c r="J63" i="2"/>
  <c r="J67" i="2"/>
  <c r="J75" i="2"/>
  <c r="J79" i="2"/>
  <c r="H95" i="2"/>
  <c r="J23" i="2"/>
  <c r="J27" i="2"/>
  <c r="J31" i="2"/>
  <c r="I95" i="2"/>
  <c r="B96" i="2"/>
  <c r="J28" i="2"/>
  <c r="J32" i="2"/>
  <c r="J36" i="2"/>
  <c r="H93" i="2"/>
  <c r="I93" i="2"/>
  <c r="E96" i="2"/>
  <c r="J29" i="2"/>
  <c r="J33" i="2"/>
  <c r="J37" i="2"/>
  <c r="J91" i="2"/>
  <c r="I101" i="2" s="1"/>
  <c r="J41" i="2"/>
  <c r="J45" i="2"/>
  <c r="J49" i="2"/>
  <c r="J61" i="2"/>
  <c r="J81" i="2"/>
  <c r="E99" i="2"/>
  <c r="J22" i="2"/>
  <c r="E101" i="2"/>
  <c r="B102" i="2"/>
  <c r="J58" i="2"/>
  <c r="J66" i="2"/>
  <c r="J39" i="2"/>
  <c r="J73" i="2"/>
  <c r="J17" i="2"/>
  <c r="J21" i="2"/>
  <c r="J70" i="2"/>
  <c r="J25" i="2"/>
  <c r="J55" i="2"/>
  <c r="J14" i="2"/>
  <c r="J18" i="2"/>
  <c r="J71" i="2"/>
  <c r="J7" i="2"/>
  <c r="D81" i="2"/>
  <c r="J11" i="2"/>
  <c r="J15" i="2"/>
  <c r="J34" i="2"/>
  <c r="J38" i="2"/>
  <c r="J53" i="2"/>
  <c r="J57" i="2"/>
  <c r="J12" i="2"/>
  <c r="J16" i="2"/>
  <c r="J50" i="2"/>
  <c r="E106" i="3"/>
  <c r="G97" i="3"/>
  <c r="J95" i="3"/>
  <c r="J96" i="3"/>
  <c r="I106" i="3" s="1"/>
  <c r="J59" i="3"/>
  <c r="J63" i="3"/>
  <c r="J67" i="3"/>
  <c r="J75" i="3"/>
  <c r="J79" i="3"/>
  <c r="J83" i="3"/>
  <c r="J16" i="3"/>
  <c r="J32" i="3"/>
  <c r="J36" i="3"/>
  <c r="J40" i="3"/>
  <c r="J44" i="3"/>
  <c r="J48" i="3"/>
  <c r="J52" i="3"/>
  <c r="J56" i="3"/>
  <c r="J60" i="3"/>
  <c r="J64" i="3"/>
  <c r="J68" i="3"/>
  <c r="J72" i="3"/>
  <c r="J76" i="3"/>
  <c r="J10" i="3"/>
  <c r="J58" i="3"/>
  <c r="J23" i="3"/>
  <c r="J39" i="3"/>
  <c r="J55" i="3"/>
  <c r="E107" i="3"/>
  <c r="F107" i="3"/>
  <c r="H97" i="3"/>
  <c r="I97" i="3"/>
  <c r="B100" i="3"/>
  <c r="J12" i="3"/>
  <c r="J94" i="3"/>
  <c r="H104" i="3" s="1"/>
  <c r="E100" i="3"/>
  <c r="J13" i="3"/>
  <c r="J21" i="3"/>
  <c r="J25" i="3"/>
  <c r="J29" i="3"/>
  <c r="J37" i="3"/>
  <c r="J41" i="3"/>
  <c r="J45" i="3"/>
  <c r="J53" i="3"/>
  <c r="J57" i="3"/>
  <c r="B101" i="3"/>
  <c r="J61" i="3"/>
  <c r="J69" i="3"/>
  <c r="J85" i="3"/>
  <c r="B103" i="3"/>
  <c r="E103" i="3"/>
  <c r="J14" i="3"/>
  <c r="J18" i="3"/>
  <c r="J22" i="3"/>
  <c r="J26" i="3"/>
  <c r="J42" i="3"/>
  <c r="J81" i="3"/>
  <c r="J30" i="3"/>
  <c r="J34" i="3"/>
  <c r="J38" i="3"/>
  <c r="J49" i="3"/>
  <c r="J80" i="3"/>
  <c r="J84" i="3"/>
  <c r="J65" i="3"/>
  <c r="J7" i="3"/>
  <c r="J11" i="3"/>
  <c r="J15" i="3"/>
  <c r="J19" i="3"/>
  <c r="J46" i="3"/>
  <c r="J50" i="3"/>
  <c r="J54" i="3"/>
  <c r="D85" i="3"/>
  <c r="J27" i="3"/>
  <c r="J31" i="3"/>
  <c r="J35" i="3"/>
  <c r="J77" i="3"/>
  <c r="J8" i="3"/>
  <c r="J43" i="3"/>
  <c r="J20" i="3"/>
  <c r="J24" i="3"/>
  <c r="J47" i="3"/>
  <c r="J51" i="3"/>
  <c r="J28" i="3"/>
  <c r="J9" i="3"/>
  <c r="J71" i="3"/>
  <c r="J17" i="3"/>
  <c r="J33" i="3"/>
  <c r="J99" i="5"/>
  <c r="I110" i="5" s="1"/>
  <c r="F105" i="5"/>
  <c r="B110" i="5"/>
  <c r="C105" i="5"/>
  <c r="J8" i="5"/>
  <c r="J12" i="5"/>
  <c r="J16" i="5"/>
  <c r="J20" i="5"/>
  <c r="J24" i="5"/>
  <c r="J28" i="5"/>
  <c r="J32" i="5"/>
  <c r="J44" i="5"/>
  <c r="J48" i="5"/>
  <c r="J52" i="5"/>
  <c r="J56" i="5"/>
  <c r="J60" i="5"/>
  <c r="J64" i="5"/>
  <c r="J68" i="5"/>
  <c r="J72" i="5"/>
  <c r="J94" i="5"/>
  <c r="B106" i="5"/>
  <c r="C106" i="5"/>
  <c r="E106" i="5"/>
  <c r="F106" i="5"/>
  <c r="J10" i="5"/>
  <c r="J14" i="5"/>
  <c r="J18" i="5"/>
  <c r="J22" i="5"/>
  <c r="J26" i="5"/>
  <c r="J30" i="5"/>
  <c r="J34" i="5"/>
  <c r="J42" i="5"/>
  <c r="J46" i="5"/>
  <c r="J50" i="5"/>
  <c r="J54" i="5"/>
  <c r="J58" i="5"/>
  <c r="J62" i="5"/>
  <c r="J66" i="5"/>
  <c r="J70" i="5"/>
  <c r="J74" i="5"/>
  <c r="J78" i="5"/>
  <c r="J82" i="5"/>
  <c r="J86" i="5"/>
  <c r="I87" i="5"/>
  <c r="J43" i="5"/>
  <c r="J47" i="5"/>
  <c r="J51" i="5"/>
  <c r="J59" i="5"/>
  <c r="J63" i="5"/>
  <c r="J67" i="5"/>
  <c r="J76" i="5"/>
  <c r="J80" i="5"/>
  <c r="J13" i="5"/>
  <c r="J21" i="5"/>
  <c r="J25" i="5"/>
  <c r="J29" i="5"/>
  <c r="J41" i="5"/>
  <c r="J45" i="5"/>
  <c r="J53" i="5"/>
  <c r="J57" i="5"/>
  <c r="J61" i="5"/>
  <c r="J69" i="5"/>
  <c r="J73" i="5"/>
  <c r="J77" i="5"/>
  <c r="J85" i="5"/>
  <c r="H100" i="5"/>
  <c r="E110" i="5"/>
  <c r="J40" i="5"/>
  <c r="G100" i="5"/>
  <c r="E111" i="5" s="1"/>
  <c r="B103" i="5"/>
  <c r="J97" i="5"/>
  <c r="H108" i="5" s="1"/>
  <c r="E103" i="5"/>
  <c r="J98" i="5"/>
  <c r="I109" i="5" s="1"/>
  <c r="B107" i="5"/>
  <c r="E107" i="5"/>
  <c r="J75" i="5"/>
  <c r="J79" i="5"/>
  <c r="G87" i="5"/>
  <c r="J95" i="5"/>
  <c r="E109" i="5"/>
  <c r="J36" i="5"/>
  <c r="J84" i="5"/>
  <c r="J37" i="5"/>
  <c r="J38" i="5"/>
  <c r="H87" i="5"/>
  <c r="J11" i="5"/>
  <c r="J15" i="5"/>
  <c r="J19" i="5"/>
  <c r="J27" i="5"/>
  <c r="J31" i="5"/>
  <c r="J35" i="5"/>
  <c r="J83" i="5"/>
  <c r="J17" i="5"/>
  <c r="J33" i="5"/>
  <c r="J49" i="5"/>
  <c r="J7" i="5"/>
  <c r="J65" i="5"/>
  <c r="D87" i="5"/>
  <c r="J23" i="5"/>
  <c r="J81" i="5"/>
  <c r="J39" i="5"/>
  <c r="J55" i="5"/>
  <c r="J9" i="5"/>
  <c r="J71" i="5"/>
  <c r="E111" i="4"/>
  <c r="C111" i="4"/>
  <c r="E110" i="4"/>
  <c r="E118" i="4"/>
  <c r="J96" i="4"/>
  <c r="B112" i="4"/>
  <c r="G91" i="4"/>
  <c r="C112" i="4"/>
  <c r="J98" i="4"/>
  <c r="H111" i="4" s="1"/>
  <c r="E112" i="4"/>
  <c r="F112" i="4"/>
  <c r="B110" i="4"/>
  <c r="J10" i="4"/>
  <c r="J22" i="4"/>
  <c r="J26" i="4"/>
  <c r="J30" i="4"/>
  <c r="J34" i="4"/>
  <c r="J50" i="4"/>
  <c r="J58" i="4"/>
  <c r="J62" i="4"/>
  <c r="J66" i="4"/>
  <c r="J74" i="4"/>
  <c r="J91" i="4"/>
  <c r="J11" i="4"/>
  <c r="J15" i="4"/>
  <c r="J19" i="4"/>
  <c r="J27" i="4"/>
  <c r="J31" i="4"/>
  <c r="J35" i="4"/>
  <c r="J43" i="4"/>
  <c r="J47" i="4"/>
  <c r="J63" i="4"/>
  <c r="J67" i="4"/>
  <c r="J75" i="4"/>
  <c r="J76" i="4"/>
  <c r="J80" i="4"/>
  <c r="J84" i="4"/>
  <c r="J97" i="4"/>
  <c r="J105" i="4"/>
  <c r="I118" i="4" s="1"/>
  <c r="J32" i="4"/>
  <c r="H106" i="4"/>
  <c r="I106" i="4"/>
  <c r="J9" i="4"/>
  <c r="J21" i="4"/>
  <c r="J25" i="4"/>
  <c r="J29" i="4"/>
  <c r="J37" i="4"/>
  <c r="J41" i="4"/>
  <c r="J45" i="4"/>
  <c r="J49" i="4"/>
  <c r="J99" i="4"/>
  <c r="B115" i="4"/>
  <c r="J104" i="4"/>
  <c r="I117" i="4" s="1"/>
  <c r="E115" i="4"/>
  <c r="E117" i="4"/>
  <c r="J101" i="4"/>
  <c r="I114" i="4" s="1"/>
  <c r="J12" i="4"/>
  <c r="J20" i="4"/>
  <c r="J24" i="4"/>
  <c r="J36" i="4"/>
  <c r="J40" i="4"/>
  <c r="J44" i="4"/>
  <c r="J48" i="4"/>
  <c r="J52" i="4"/>
  <c r="J56" i="4"/>
  <c r="J60" i="4"/>
  <c r="J64" i="4"/>
  <c r="J68" i="4"/>
  <c r="J72" i="4"/>
  <c r="J69" i="4"/>
  <c r="J73" i="4"/>
  <c r="J17" i="4"/>
  <c r="J77" i="4"/>
  <c r="J81" i="4"/>
  <c r="J85" i="4"/>
  <c r="J89" i="4"/>
  <c r="J42" i="4"/>
  <c r="J86" i="4"/>
  <c r="J90" i="4"/>
  <c r="J7" i="4"/>
  <c r="J23" i="4"/>
  <c r="J39" i="4"/>
  <c r="J59" i="4"/>
  <c r="D91" i="4"/>
  <c r="J46" i="4"/>
  <c r="J61" i="4"/>
  <c r="J65" i="4"/>
  <c r="J88" i="4"/>
  <c r="J8" i="4"/>
  <c r="J54" i="4"/>
  <c r="J16" i="4"/>
  <c r="J28" i="4"/>
  <c r="J51" i="4"/>
  <c r="J70" i="4"/>
  <c r="J13" i="4"/>
  <c r="J55" i="4"/>
  <c r="J78" i="4"/>
  <c r="J82" i="4"/>
  <c r="J33" i="4"/>
  <c r="J71" i="4"/>
  <c r="J14" i="4"/>
  <c r="J18" i="4"/>
  <c r="J79" i="4"/>
  <c r="J83" i="4"/>
  <c r="J87" i="4"/>
  <c r="J38" i="4"/>
  <c r="J53" i="4"/>
  <c r="J57" i="4"/>
  <c r="B106" i="9"/>
  <c r="B105" i="9"/>
  <c r="C109" i="9"/>
  <c r="E107" i="9"/>
  <c r="E111" i="9"/>
  <c r="E110" i="9"/>
  <c r="E109" i="9"/>
  <c r="E108" i="9"/>
  <c r="J95" i="9"/>
  <c r="H106" i="9" s="1"/>
  <c r="E106" i="9"/>
  <c r="I106" i="9"/>
  <c r="E105" i="9"/>
  <c r="F110" i="9"/>
  <c r="B109" i="9"/>
  <c r="B108" i="9"/>
  <c r="H107" i="9"/>
  <c r="J75" i="9"/>
  <c r="J79" i="9"/>
  <c r="J83" i="9"/>
  <c r="H102" i="9"/>
  <c r="J101" i="9"/>
  <c r="J17" i="9"/>
  <c r="J49" i="9"/>
  <c r="J10" i="9"/>
  <c r="J14" i="9"/>
  <c r="J18" i="9"/>
  <c r="J22" i="9"/>
  <c r="J26" i="9"/>
  <c r="J30" i="9"/>
  <c r="J34" i="9"/>
  <c r="J38" i="9"/>
  <c r="J42" i="9"/>
  <c r="J58" i="9"/>
  <c r="J74" i="9"/>
  <c r="J78" i="9"/>
  <c r="J82" i="9"/>
  <c r="J7" i="9"/>
  <c r="J39" i="9"/>
  <c r="J55" i="9"/>
  <c r="I102" i="9"/>
  <c r="B110" i="9"/>
  <c r="J12" i="9"/>
  <c r="J16" i="9"/>
  <c r="J20" i="9"/>
  <c r="J24" i="9"/>
  <c r="J44" i="9"/>
  <c r="J48" i="9"/>
  <c r="J52" i="9"/>
  <c r="J56" i="9"/>
  <c r="J100" i="9"/>
  <c r="E112" i="9"/>
  <c r="J61" i="9"/>
  <c r="J69" i="9"/>
  <c r="J73" i="9"/>
  <c r="J77" i="9"/>
  <c r="J85" i="9"/>
  <c r="J71" i="9"/>
  <c r="J29" i="9"/>
  <c r="J37" i="9"/>
  <c r="J41" i="9"/>
  <c r="H89" i="9"/>
  <c r="I89" i="9"/>
  <c r="J11" i="9"/>
  <c r="J15" i="9"/>
  <c r="J19" i="9"/>
  <c r="J27" i="9"/>
  <c r="J31" i="9"/>
  <c r="G89" i="9"/>
  <c r="J28" i="9"/>
  <c r="J32" i="9"/>
  <c r="J36" i="9"/>
  <c r="J40" i="9"/>
  <c r="J87" i="9"/>
  <c r="J9" i="9"/>
  <c r="J60" i="9"/>
  <c r="J64" i="9"/>
  <c r="J68" i="9"/>
  <c r="J72" i="9"/>
  <c r="J13" i="9"/>
  <c r="J21" i="9"/>
  <c r="J25" i="9"/>
  <c r="J76" i="9"/>
  <c r="J80" i="9"/>
  <c r="J84" i="9"/>
  <c r="J88" i="9"/>
  <c r="J33" i="9"/>
  <c r="J45" i="9"/>
  <c r="J53" i="9"/>
  <c r="J57" i="9"/>
  <c r="J65" i="9"/>
  <c r="J81" i="9"/>
  <c r="J46" i="9"/>
  <c r="J50" i="9"/>
  <c r="J54" i="9"/>
  <c r="J62" i="9"/>
  <c r="J66" i="9"/>
  <c r="J70" i="9"/>
  <c r="D89" i="9"/>
  <c r="J23" i="9"/>
  <c r="J35" i="9"/>
  <c r="J86" i="9"/>
  <c r="J43" i="9"/>
  <c r="J47" i="9"/>
  <c r="J51" i="9"/>
  <c r="J8" i="9"/>
  <c r="J59" i="9"/>
  <c r="J63" i="9"/>
  <c r="J67" i="9"/>
  <c r="H104" i="8"/>
  <c r="I110" i="8"/>
  <c r="H110" i="8"/>
  <c r="F110" i="8"/>
  <c r="J100" i="8"/>
  <c r="C110" i="8"/>
  <c r="E107" i="8"/>
  <c r="J9" i="8"/>
  <c r="J25" i="8"/>
  <c r="J29" i="8"/>
  <c r="J33" i="8"/>
  <c r="J37" i="8"/>
  <c r="J41" i="8"/>
  <c r="J45" i="8"/>
  <c r="J49" i="8"/>
  <c r="J53" i="8"/>
  <c r="J89" i="8"/>
  <c r="J52" i="8"/>
  <c r="E113" i="8"/>
  <c r="J30" i="8"/>
  <c r="J58" i="8"/>
  <c r="E114" i="8"/>
  <c r="J36" i="8"/>
  <c r="J35" i="8"/>
  <c r="J39" i="8"/>
  <c r="J51" i="8"/>
  <c r="J55" i="8"/>
  <c r="J103" i="8"/>
  <c r="H114" i="8" s="1"/>
  <c r="C114" i="8"/>
  <c r="B107" i="8"/>
  <c r="I104" i="8"/>
  <c r="C108" i="8"/>
  <c r="J98" i="8"/>
  <c r="H109" i="8" s="1"/>
  <c r="J42" i="8"/>
  <c r="J50" i="8"/>
  <c r="J54" i="8"/>
  <c r="J62" i="8"/>
  <c r="J74" i="8"/>
  <c r="J91" i="8"/>
  <c r="J20" i="8"/>
  <c r="J40" i="8"/>
  <c r="J56" i="8"/>
  <c r="J60" i="8"/>
  <c r="J64" i="8"/>
  <c r="J68" i="8"/>
  <c r="J72" i="8"/>
  <c r="J73" i="8"/>
  <c r="J12" i="8"/>
  <c r="J16" i="8"/>
  <c r="J43" i="8"/>
  <c r="J47" i="8"/>
  <c r="J24" i="8"/>
  <c r="J28" i="8"/>
  <c r="J32" i="8"/>
  <c r="J59" i="8"/>
  <c r="J82" i="8"/>
  <c r="J86" i="8"/>
  <c r="J13" i="8"/>
  <c r="J17" i="8"/>
  <c r="J21" i="8"/>
  <c r="J44" i="8"/>
  <c r="J48" i="8"/>
  <c r="J14" i="8"/>
  <c r="J57" i="8"/>
  <c r="J76" i="8"/>
  <c r="J34" i="8"/>
  <c r="J38" i="8"/>
  <c r="J61" i="8"/>
  <c r="J80" i="8"/>
  <c r="J84" i="8"/>
  <c r="J65" i="8"/>
  <c r="J69" i="8"/>
  <c r="D91" i="8"/>
  <c r="J19" i="8"/>
  <c r="J46" i="8"/>
  <c r="J77" i="8"/>
  <c r="J27" i="8"/>
  <c r="J31" i="8"/>
  <c r="J81" i="8"/>
  <c r="J85" i="8"/>
  <c r="F111" i="7"/>
  <c r="I110" i="7"/>
  <c r="F110" i="7"/>
  <c r="E114" i="7"/>
  <c r="F109" i="7"/>
  <c r="J100" i="7"/>
  <c r="I111" i="7" s="1"/>
  <c r="C110" i="7"/>
  <c r="J103" i="7"/>
  <c r="H114" i="7" s="1"/>
  <c r="J12" i="7"/>
  <c r="J16" i="7"/>
  <c r="J20" i="7"/>
  <c r="J24" i="7"/>
  <c r="J28" i="7"/>
  <c r="J32" i="7"/>
  <c r="J36" i="7"/>
  <c r="J72" i="7"/>
  <c r="J13" i="7"/>
  <c r="J21" i="7"/>
  <c r="J25" i="7"/>
  <c r="J45" i="7"/>
  <c r="J57" i="7"/>
  <c r="J77" i="7"/>
  <c r="J85" i="7"/>
  <c r="H104" i="7"/>
  <c r="B107" i="7"/>
  <c r="I104" i="7"/>
  <c r="J96" i="7"/>
  <c r="I107" i="7" s="1"/>
  <c r="E107" i="7"/>
  <c r="J102" i="7"/>
  <c r="I113" i="7" s="1"/>
  <c r="E113" i="7"/>
  <c r="J98" i="7"/>
  <c r="H109" i="7" s="1"/>
  <c r="B114" i="7"/>
  <c r="J68" i="7"/>
  <c r="J84" i="7"/>
  <c r="J33" i="7"/>
  <c r="J65" i="7"/>
  <c r="J26" i="7"/>
  <c r="J86" i="7"/>
  <c r="J39" i="7"/>
  <c r="J43" i="7"/>
  <c r="J47" i="7"/>
  <c r="J51" i="7"/>
  <c r="J55" i="7"/>
  <c r="I91" i="7"/>
  <c r="J44" i="7"/>
  <c r="J48" i="7"/>
  <c r="J52" i="7"/>
  <c r="J38" i="7"/>
  <c r="J61" i="7"/>
  <c r="J88" i="7"/>
  <c r="J11" i="7"/>
  <c r="J15" i="7"/>
  <c r="J19" i="7"/>
  <c r="J46" i="7"/>
  <c r="J50" i="7"/>
  <c r="J69" i="7"/>
  <c r="J73" i="7"/>
  <c r="D91" i="7"/>
  <c r="J23" i="7"/>
  <c r="J81" i="7"/>
  <c r="J8" i="7"/>
  <c r="J62" i="7"/>
  <c r="J66" i="7"/>
  <c r="J9" i="7"/>
  <c r="J40" i="7"/>
  <c r="J59" i="7"/>
  <c r="J63" i="7"/>
  <c r="J67" i="7"/>
  <c r="J17" i="7"/>
  <c r="J71" i="7"/>
  <c r="J29" i="7"/>
  <c r="J56" i="7"/>
  <c r="J37" i="7"/>
  <c r="J41" i="7"/>
  <c r="J60" i="7"/>
  <c r="J64" i="7"/>
  <c r="J22" i="7"/>
  <c r="J49" i="7"/>
  <c r="J53" i="7"/>
  <c r="J76" i="7"/>
  <c r="J80" i="7"/>
  <c r="J99" i="6"/>
  <c r="H109" i="6"/>
  <c r="J94" i="6"/>
  <c r="F109" i="6"/>
  <c r="I109" i="6"/>
  <c r="C109" i="6"/>
  <c r="E112" i="6"/>
  <c r="J11" i="6"/>
  <c r="J15" i="6"/>
  <c r="J19" i="6"/>
  <c r="H110" i="6"/>
  <c r="B106" i="6"/>
  <c r="E110" i="6"/>
  <c r="J41" i="6"/>
  <c r="J96" i="6"/>
  <c r="I107" i="6" s="1"/>
  <c r="J101" i="6"/>
  <c r="H112" i="6" s="1"/>
  <c r="J102" i="6"/>
  <c r="H113" i="6" s="1"/>
  <c r="J39" i="6"/>
  <c r="H108" i="6"/>
  <c r="H105" i="6"/>
  <c r="J12" i="6"/>
  <c r="J16" i="6"/>
  <c r="J20" i="6"/>
  <c r="J28" i="6"/>
  <c r="J32" i="6"/>
  <c r="I105" i="6"/>
  <c r="B113" i="6"/>
  <c r="I110" i="6"/>
  <c r="E113" i="6"/>
  <c r="J88" i="6"/>
  <c r="H103" i="6"/>
  <c r="I103" i="6"/>
  <c r="J61" i="6"/>
  <c r="J65" i="6"/>
  <c r="J69" i="6"/>
  <c r="J73" i="6"/>
  <c r="J95" i="6"/>
  <c r="H106" i="6" s="1"/>
  <c r="J100" i="6"/>
  <c r="I111" i="6" s="1"/>
  <c r="E106" i="6"/>
  <c r="J14" i="6"/>
  <c r="J18" i="6"/>
  <c r="J22" i="6"/>
  <c r="J26" i="6"/>
  <c r="J30" i="6"/>
  <c r="B110" i="6"/>
  <c r="J9" i="6"/>
  <c r="J17" i="6"/>
  <c r="J60" i="6"/>
  <c r="J64" i="6"/>
  <c r="J68" i="6"/>
  <c r="J21" i="6"/>
  <c r="J25" i="6"/>
  <c r="J29" i="6"/>
  <c r="J33" i="6"/>
  <c r="J76" i="6"/>
  <c r="J80" i="6"/>
  <c r="J84" i="6"/>
  <c r="J53" i="6"/>
  <c r="J10" i="6"/>
  <c r="J85" i="6"/>
  <c r="J38" i="6"/>
  <c r="J89" i="6"/>
  <c r="J50" i="6"/>
  <c r="J54" i="6"/>
  <c r="J23" i="6"/>
  <c r="J27" i="6"/>
  <c r="J31" i="6"/>
  <c r="J74" i="6"/>
  <c r="J78" i="6"/>
  <c r="J82" i="6"/>
  <c r="J43" i="6"/>
  <c r="J47" i="6"/>
  <c r="J55" i="6"/>
  <c r="J59" i="6"/>
  <c r="J63" i="6"/>
  <c r="I90" i="6"/>
  <c r="J90" i="6" s="1"/>
  <c r="J40" i="6"/>
  <c r="G90" i="6"/>
  <c r="J13" i="6"/>
  <c r="J24" i="6"/>
  <c r="J51" i="6"/>
  <c r="J62" i="6"/>
  <c r="J77" i="6"/>
  <c r="D90" i="6"/>
  <c r="J67" i="6"/>
  <c r="J34" i="6"/>
  <c r="J45" i="6"/>
  <c r="J56" i="6"/>
  <c r="J86" i="6"/>
  <c r="J8" i="6"/>
  <c r="J79" i="6"/>
  <c r="J35" i="6"/>
  <c r="J46" i="6"/>
  <c r="J57" i="6"/>
  <c r="J72" i="6"/>
  <c r="I90" i="17"/>
  <c r="J21" i="17"/>
  <c r="J25" i="17"/>
  <c r="J37" i="17"/>
  <c r="J41" i="17"/>
  <c r="J53" i="17"/>
  <c r="J57" i="17"/>
  <c r="J61" i="17"/>
  <c r="G90" i="17"/>
  <c r="J99" i="17"/>
  <c r="F109" i="17"/>
  <c r="E109" i="17"/>
  <c r="F108" i="17"/>
  <c r="E108" i="17"/>
  <c r="J101" i="17"/>
  <c r="J69" i="17"/>
  <c r="J73" i="17"/>
  <c r="J97" i="17"/>
  <c r="H110" i="17" s="1"/>
  <c r="J74" i="17"/>
  <c r="E111" i="17"/>
  <c r="J27" i="17"/>
  <c r="J31" i="17"/>
  <c r="J35" i="17"/>
  <c r="J43" i="17"/>
  <c r="J75" i="17"/>
  <c r="J79" i="17"/>
  <c r="J83" i="17"/>
  <c r="J102" i="17"/>
  <c r="H113" i="17" s="1"/>
  <c r="E113" i="17"/>
  <c r="H103" i="17"/>
  <c r="B106" i="17"/>
  <c r="I103" i="17"/>
  <c r="E106" i="17"/>
  <c r="J95" i="17"/>
  <c r="H106" i="17" s="1"/>
  <c r="J8" i="17"/>
  <c r="J20" i="17"/>
  <c r="J28" i="17"/>
  <c r="J32" i="17"/>
  <c r="J36" i="17"/>
  <c r="J52" i="17"/>
  <c r="J56" i="17"/>
  <c r="J60" i="17"/>
  <c r="J64" i="17"/>
  <c r="J68" i="17"/>
  <c r="J22" i="17"/>
  <c r="J26" i="17"/>
  <c r="J30" i="17"/>
  <c r="J34" i="17"/>
  <c r="J38" i="17"/>
  <c r="J42" i="17"/>
  <c r="J46" i="17"/>
  <c r="J50" i="17"/>
  <c r="J54" i="17"/>
  <c r="J58" i="17"/>
  <c r="J62" i="17"/>
  <c r="J66" i="17"/>
  <c r="H90" i="17"/>
  <c r="J90" i="17" s="1"/>
  <c r="J11" i="17"/>
  <c r="J15" i="17"/>
  <c r="J19" i="17"/>
  <c r="J71" i="17"/>
  <c r="J76" i="17"/>
  <c r="J80" i="17"/>
  <c r="J84" i="17"/>
  <c r="J88" i="17"/>
  <c r="J17" i="17"/>
  <c r="J49" i="17"/>
  <c r="J77" i="17"/>
  <c r="J85" i="17"/>
  <c r="J10" i="17"/>
  <c r="J14" i="17"/>
  <c r="J18" i="17"/>
  <c r="J9" i="17"/>
  <c r="J40" i="17"/>
  <c r="J55" i="17"/>
  <c r="J59" i="17"/>
  <c r="J63" i="17"/>
  <c r="J67" i="17"/>
  <c r="J86" i="17"/>
  <c r="J13" i="17"/>
  <c r="J44" i="17"/>
  <c r="J48" i="17"/>
  <c r="J29" i="17"/>
  <c r="J33" i="17"/>
  <c r="J45" i="17"/>
  <c r="J72" i="17"/>
  <c r="J87" i="17"/>
  <c r="J65" i="17"/>
  <c r="J7" i="17"/>
  <c r="D90" i="17"/>
  <c r="J23" i="17"/>
  <c r="J81" i="17"/>
  <c r="J12" i="17"/>
  <c r="J16" i="17"/>
  <c r="J39" i="17"/>
  <c r="J47" i="17"/>
  <c r="J51" i="17"/>
  <c r="J70" i="17"/>
  <c r="J24" i="17"/>
  <c r="J78" i="17"/>
  <c r="J82" i="17"/>
  <c r="F112" i="16"/>
  <c r="B114" i="16"/>
  <c r="J76" i="16"/>
  <c r="J80" i="16"/>
  <c r="J84" i="16"/>
  <c r="C111" i="16"/>
  <c r="B107" i="16"/>
  <c r="J98" i="16"/>
  <c r="H109" i="16" s="1"/>
  <c r="J103" i="16"/>
  <c r="I114" i="16" s="1"/>
  <c r="C110" i="16"/>
  <c r="C108" i="16"/>
  <c r="J100" i="16"/>
  <c r="H111" i="16" s="1"/>
  <c r="E107" i="16"/>
  <c r="E114" i="16"/>
  <c r="G104" i="16"/>
  <c r="F115" i="16" s="1"/>
  <c r="J101" i="16"/>
  <c r="I112" i="16" s="1"/>
  <c r="E110" i="16"/>
  <c r="H104" i="16"/>
  <c r="I104" i="16"/>
  <c r="J42" i="16"/>
  <c r="I91" i="16"/>
  <c r="J91" i="16" s="1"/>
  <c r="J11" i="16"/>
  <c r="J15" i="16"/>
  <c r="J19" i="16"/>
  <c r="J43" i="16"/>
  <c r="J47" i="16"/>
  <c r="J63" i="16"/>
  <c r="J67" i="16"/>
  <c r="G91" i="16"/>
  <c r="J52" i="16"/>
  <c r="J56" i="16"/>
  <c r="J60" i="16"/>
  <c r="J64" i="16"/>
  <c r="J68" i="16"/>
  <c r="J72" i="16"/>
  <c r="J9" i="16"/>
  <c r="J13" i="16"/>
  <c r="J17" i="16"/>
  <c r="J21" i="16"/>
  <c r="J25" i="16"/>
  <c r="J33" i="16"/>
  <c r="J37" i="16"/>
  <c r="J41" i="16"/>
  <c r="J45" i="16"/>
  <c r="J49" i="16"/>
  <c r="J53" i="16"/>
  <c r="J57" i="16"/>
  <c r="J65" i="16"/>
  <c r="J69" i="16"/>
  <c r="J73" i="16"/>
  <c r="J28" i="16"/>
  <c r="J32" i="16"/>
  <c r="J82" i="16"/>
  <c r="J90" i="16"/>
  <c r="J71" i="16"/>
  <c r="J29" i="16"/>
  <c r="J83" i="16"/>
  <c r="J87" i="16"/>
  <c r="J30" i="16"/>
  <c r="J34" i="16"/>
  <c r="J38" i="16"/>
  <c r="J61" i="16"/>
  <c r="J88" i="16"/>
  <c r="D91" i="16"/>
  <c r="J46" i="16"/>
  <c r="J23" i="16"/>
  <c r="J27" i="16"/>
  <c r="J31" i="16"/>
  <c r="J85" i="16"/>
  <c r="J14" i="16"/>
  <c r="J8" i="16"/>
  <c r="J35" i="16"/>
  <c r="J62" i="16"/>
  <c r="J20" i="16"/>
  <c r="J24" i="16"/>
  <c r="J51" i="16"/>
  <c r="B114" i="15"/>
  <c r="G93" i="15"/>
  <c r="H105" i="15"/>
  <c r="B108" i="15"/>
  <c r="I105" i="15"/>
  <c r="J98" i="15"/>
  <c r="H108" i="15" s="1"/>
  <c r="E108" i="15"/>
  <c r="B111" i="15"/>
  <c r="J103" i="15"/>
  <c r="H113" i="15" s="1"/>
  <c r="E111" i="15"/>
  <c r="J10" i="15"/>
  <c r="J14" i="15"/>
  <c r="J18" i="15"/>
  <c r="J26" i="15"/>
  <c r="J38" i="15"/>
  <c r="J55" i="15"/>
  <c r="J27" i="15"/>
  <c r="J31" i="15"/>
  <c r="J35" i="15"/>
  <c r="J8" i="15"/>
  <c r="J12" i="15"/>
  <c r="J16" i="15"/>
  <c r="J20" i="15"/>
  <c r="J24" i="15"/>
  <c r="J45" i="15"/>
  <c r="J57" i="15"/>
  <c r="J61" i="15"/>
  <c r="J73" i="15"/>
  <c r="J77" i="15"/>
  <c r="J81" i="15"/>
  <c r="J85" i="15"/>
  <c r="J89" i="15"/>
  <c r="J62" i="15"/>
  <c r="J66" i="15"/>
  <c r="J70" i="15"/>
  <c r="J39" i="15"/>
  <c r="H93" i="15"/>
  <c r="J88" i="15"/>
  <c r="J33" i="15"/>
  <c r="J52" i="15"/>
  <c r="J13" i="15"/>
  <c r="J84" i="15"/>
  <c r="J93" i="15"/>
  <c r="J87" i="15"/>
  <c r="J37" i="15"/>
  <c r="J44" i="15"/>
  <c r="J64" i="15"/>
  <c r="J46" i="15"/>
  <c r="J50" i="15"/>
  <c r="J54" i="15"/>
  <c r="J28" i="15"/>
  <c r="J32" i="15"/>
  <c r="J36" i="15"/>
  <c r="J90" i="15"/>
  <c r="J23" i="15"/>
  <c r="J63" i="15"/>
  <c r="J67" i="15"/>
  <c r="J71" i="15"/>
  <c r="J75" i="15"/>
  <c r="J7" i="15"/>
  <c r="J11" i="15"/>
  <c r="J15" i="15"/>
  <c r="J19" i="15"/>
  <c r="J68" i="15"/>
  <c r="J72" i="15"/>
  <c r="J76" i="15"/>
  <c r="D93" i="15"/>
  <c r="J49" i="15"/>
  <c r="J53" i="15"/>
  <c r="J80" i="15"/>
  <c r="J65" i="15"/>
  <c r="J69" i="15"/>
  <c r="J17" i="15"/>
  <c r="J21" i="15"/>
  <c r="J25" i="15"/>
  <c r="J47" i="15"/>
  <c r="J51" i="15"/>
  <c r="J74" i="15"/>
  <c r="J78" i="15"/>
  <c r="J82" i="15"/>
  <c r="J86" i="15"/>
  <c r="J58" i="15"/>
  <c r="J29" i="15"/>
  <c r="J59" i="15"/>
  <c r="J9" i="15"/>
  <c r="J22" i="15"/>
  <c r="J48" i="15"/>
  <c r="J79" i="15"/>
  <c r="J83" i="15"/>
  <c r="J30" i="15"/>
  <c r="J34" i="15"/>
  <c r="J56" i="15"/>
  <c r="J60" i="15"/>
  <c r="J91" i="15"/>
  <c r="E106" i="14"/>
  <c r="E111" i="14"/>
  <c r="J98" i="14"/>
  <c r="J96" i="14"/>
  <c r="I106" i="14" s="1"/>
  <c r="I110" i="14"/>
  <c r="J97" i="14"/>
  <c r="J101" i="14"/>
  <c r="B112" i="14"/>
  <c r="H106" i="14"/>
  <c r="J14" i="14"/>
  <c r="J18" i="14"/>
  <c r="J22" i="14"/>
  <c r="J26" i="14"/>
  <c r="J46" i="14"/>
  <c r="J50" i="14"/>
  <c r="J54" i="14"/>
  <c r="J58" i="14"/>
  <c r="J62" i="14"/>
  <c r="J66" i="14"/>
  <c r="J70" i="14"/>
  <c r="J74" i="14"/>
  <c r="J23" i="14"/>
  <c r="J16" i="14"/>
  <c r="J20" i="14"/>
  <c r="J24" i="14"/>
  <c r="J28" i="14"/>
  <c r="J32" i="14"/>
  <c r="J36" i="14"/>
  <c r="J40" i="14"/>
  <c r="J44" i="14"/>
  <c r="J48" i="14"/>
  <c r="J52" i="14"/>
  <c r="J56" i="14"/>
  <c r="J76" i="14"/>
  <c r="J80" i="14"/>
  <c r="J84" i="14"/>
  <c r="J88" i="14"/>
  <c r="J30" i="14"/>
  <c r="J34" i="14"/>
  <c r="J38" i="14"/>
  <c r="J7" i="14"/>
  <c r="J11" i="14"/>
  <c r="J15" i="14"/>
  <c r="J19" i="14"/>
  <c r="J78" i="14"/>
  <c r="J82" i="14"/>
  <c r="J86" i="14"/>
  <c r="J87" i="14"/>
  <c r="J39" i="14"/>
  <c r="J71" i="14"/>
  <c r="J9" i="14"/>
  <c r="J60" i="14"/>
  <c r="J64" i="14"/>
  <c r="J68" i="14"/>
  <c r="J72" i="14"/>
  <c r="J55" i="14"/>
  <c r="D91" i="14"/>
  <c r="J45" i="14"/>
  <c r="J49" i="14"/>
  <c r="J53" i="14"/>
  <c r="J57" i="14"/>
  <c r="J61" i="14"/>
  <c r="J65" i="14"/>
  <c r="J69" i="14"/>
  <c r="J73" i="14"/>
  <c r="J83" i="13"/>
  <c r="I93" i="13" s="1"/>
  <c r="J84" i="13"/>
  <c r="I94" i="13" s="1"/>
  <c r="J85" i="13"/>
  <c r="I95" i="13" s="1"/>
  <c r="J46" i="13"/>
  <c r="J50" i="13"/>
  <c r="J54" i="13"/>
  <c r="J62" i="13"/>
  <c r="J66" i="13"/>
  <c r="J78" i="13"/>
  <c r="H91" i="13"/>
  <c r="F97" i="13"/>
  <c r="I91" i="13"/>
  <c r="C97" i="13"/>
  <c r="J88" i="13"/>
  <c r="I98" i="13" s="1"/>
  <c r="F96" i="13"/>
  <c r="J89" i="13"/>
  <c r="I99" i="13" s="1"/>
  <c r="J40" i="13"/>
  <c r="J44" i="13"/>
  <c r="J48" i="13"/>
  <c r="J56" i="13"/>
  <c r="C96" i="13"/>
  <c r="J14" i="13"/>
  <c r="J74" i="13"/>
  <c r="J12" i="13"/>
  <c r="J15" i="13"/>
  <c r="J19" i="13"/>
  <c r="J23" i="13"/>
  <c r="J39" i="13"/>
  <c r="I97" i="1"/>
  <c r="H97" i="1"/>
  <c r="H94" i="1"/>
  <c r="I94" i="1"/>
  <c r="I95" i="1"/>
  <c r="J85" i="1"/>
  <c r="H95" i="1" s="1"/>
  <c r="J82" i="1"/>
  <c r="H92" i="1" s="1"/>
  <c r="D89" i="1"/>
  <c r="C99" i="1" s="1"/>
  <c r="J86" i="1"/>
  <c r="H96" i="1" s="1"/>
  <c r="G89" i="1"/>
  <c r="F99" i="1" s="1"/>
  <c r="B93" i="1"/>
  <c r="J83" i="1"/>
  <c r="H93" i="1" s="1"/>
  <c r="E93" i="1"/>
  <c r="B96" i="1"/>
  <c r="H98" i="1"/>
  <c r="B91" i="1"/>
  <c r="E96" i="1"/>
  <c r="E91" i="1"/>
  <c r="B94" i="1"/>
  <c r="J81" i="1"/>
  <c r="I91" i="1" s="1"/>
  <c r="E94" i="1"/>
  <c r="B97" i="1"/>
  <c r="I98" i="2"/>
  <c r="H98" i="2"/>
  <c r="J89" i="2"/>
  <c r="H99" i="2" s="1"/>
  <c r="J86" i="2"/>
  <c r="I96" i="2" s="1"/>
  <c r="D93" i="2"/>
  <c r="B103" i="2" s="1"/>
  <c r="H96" i="2"/>
  <c r="J90" i="2"/>
  <c r="H100" i="2" s="1"/>
  <c r="G93" i="2"/>
  <c r="E103" i="2" s="1"/>
  <c r="B97" i="2"/>
  <c r="J87" i="2"/>
  <c r="H97" i="2" s="1"/>
  <c r="F97" i="2"/>
  <c r="C100" i="2"/>
  <c r="I102" i="2"/>
  <c r="B95" i="2"/>
  <c r="E100" i="2"/>
  <c r="E95" i="2"/>
  <c r="B98" i="2"/>
  <c r="E98" i="2"/>
  <c r="B101" i="2"/>
  <c r="I105" i="3"/>
  <c r="H105" i="3"/>
  <c r="H102" i="3"/>
  <c r="I102" i="3"/>
  <c r="J93" i="3"/>
  <c r="H103" i="3" s="1"/>
  <c r="J90" i="3"/>
  <c r="H100" i="3" s="1"/>
  <c r="D97" i="3"/>
  <c r="B107" i="3" s="1"/>
  <c r="J91" i="3"/>
  <c r="H101" i="3" s="1"/>
  <c r="E101" i="3"/>
  <c r="B104" i="3"/>
  <c r="H106" i="3"/>
  <c r="B99" i="3"/>
  <c r="E104" i="3"/>
  <c r="E99" i="3"/>
  <c r="B102" i="3"/>
  <c r="J89" i="3"/>
  <c r="E102" i="3"/>
  <c r="B105" i="3"/>
  <c r="J96" i="5"/>
  <c r="H107" i="5" s="1"/>
  <c r="J92" i="5"/>
  <c r="H103" i="5" s="1"/>
  <c r="D100" i="5"/>
  <c r="B111" i="5" s="1"/>
  <c r="B104" i="5"/>
  <c r="J93" i="5"/>
  <c r="H104" i="5" s="1"/>
  <c r="I100" i="5"/>
  <c r="E104" i="5"/>
  <c r="B108" i="5"/>
  <c r="H110" i="5"/>
  <c r="B102" i="5"/>
  <c r="E108" i="5"/>
  <c r="E102" i="5"/>
  <c r="J91" i="5"/>
  <c r="H102" i="5" s="1"/>
  <c r="B109" i="5"/>
  <c r="J102" i="4"/>
  <c r="H115" i="4" s="1"/>
  <c r="D106" i="4"/>
  <c r="C119" i="4" s="1"/>
  <c r="J103" i="4"/>
  <c r="H116" i="4" s="1"/>
  <c r="G106" i="4"/>
  <c r="E119" i="4" s="1"/>
  <c r="B113" i="4"/>
  <c r="J100" i="4"/>
  <c r="H113" i="4" s="1"/>
  <c r="E113" i="4"/>
  <c r="B108" i="4"/>
  <c r="E116" i="4"/>
  <c r="E108" i="4"/>
  <c r="B114" i="4"/>
  <c r="J95" i="4"/>
  <c r="H108" i="4" s="1"/>
  <c r="E114" i="4"/>
  <c r="B117" i="4"/>
  <c r="I112" i="9"/>
  <c r="H112" i="9"/>
  <c r="J98" i="9"/>
  <c r="J94" i="9"/>
  <c r="H105" i="9" s="1"/>
  <c r="D102" i="9"/>
  <c r="C113" i="9" s="1"/>
  <c r="J99" i="9"/>
  <c r="G102" i="9"/>
  <c r="E113" i="9" s="1"/>
  <c r="J97" i="9"/>
  <c r="H108" i="9" s="1"/>
  <c r="B111" i="9"/>
  <c r="B104" i="9"/>
  <c r="E104" i="9"/>
  <c r="J93" i="9"/>
  <c r="H104" i="9" s="1"/>
  <c r="B112" i="9"/>
  <c r="I109" i="8"/>
  <c r="I113" i="8"/>
  <c r="H113" i="8"/>
  <c r="J96" i="8"/>
  <c r="H107" i="8" s="1"/>
  <c r="D104" i="8"/>
  <c r="B115" i="8" s="1"/>
  <c r="H112" i="8"/>
  <c r="G104" i="8"/>
  <c r="F115" i="8" s="1"/>
  <c r="J97" i="8"/>
  <c r="I108" i="8" s="1"/>
  <c r="F108" i="8"/>
  <c r="C112" i="8"/>
  <c r="I114" i="8"/>
  <c r="B106" i="8"/>
  <c r="E112" i="8"/>
  <c r="E106" i="8"/>
  <c r="J95" i="8"/>
  <c r="E109" i="8"/>
  <c r="B113" i="8"/>
  <c r="J91" i="7"/>
  <c r="I108" i="7"/>
  <c r="D104" i="7"/>
  <c r="C115" i="7" s="1"/>
  <c r="H107" i="7"/>
  <c r="J101" i="7"/>
  <c r="H112" i="7" s="1"/>
  <c r="G104" i="7"/>
  <c r="E115" i="7" s="1"/>
  <c r="B108" i="7"/>
  <c r="J97" i="7"/>
  <c r="H108" i="7" s="1"/>
  <c r="E108" i="7"/>
  <c r="B112" i="7"/>
  <c r="B106" i="7"/>
  <c r="E112" i="7"/>
  <c r="E106" i="7"/>
  <c r="J95" i="7"/>
  <c r="H106" i="7" s="1"/>
  <c r="B113" i="7"/>
  <c r="I108" i="6"/>
  <c r="D103" i="6"/>
  <c r="C114" i="6" s="1"/>
  <c r="G103" i="6"/>
  <c r="F114" i="6" s="1"/>
  <c r="F107" i="6"/>
  <c r="C111" i="6"/>
  <c r="B105" i="6"/>
  <c r="E111" i="6"/>
  <c r="B107" i="6"/>
  <c r="E105" i="6"/>
  <c r="E108" i="6"/>
  <c r="B112" i="6"/>
  <c r="J98" i="17"/>
  <c r="H111" i="17" s="1"/>
  <c r="D103" i="17"/>
  <c r="C114" i="17" s="1"/>
  <c r="H112" i="17"/>
  <c r="G103" i="17"/>
  <c r="E114" i="17" s="1"/>
  <c r="B107" i="17"/>
  <c r="J96" i="17"/>
  <c r="H107" i="17" s="1"/>
  <c r="E107" i="17"/>
  <c r="B112" i="17"/>
  <c r="B105" i="17"/>
  <c r="E112" i="17"/>
  <c r="E105" i="17"/>
  <c r="J94" i="17"/>
  <c r="H105" i="17" s="1"/>
  <c r="E110" i="17"/>
  <c r="B113" i="17"/>
  <c r="E115" i="16"/>
  <c r="J99" i="16"/>
  <c r="H110" i="16" s="1"/>
  <c r="J96" i="16"/>
  <c r="I107" i="16" s="1"/>
  <c r="D104" i="16"/>
  <c r="C115" i="16" s="1"/>
  <c r="H107" i="16"/>
  <c r="J97" i="16"/>
  <c r="H108" i="16" s="1"/>
  <c r="E108" i="16"/>
  <c r="F108" i="16"/>
  <c r="B106" i="16"/>
  <c r="E111" i="16"/>
  <c r="E106" i="16"/>
  <c r="J95" i="16"/>
  <c r="H106" i="16" s="1"/>
  <c r="E109" i="16"/>
  <c r="I110" i="15"/>
  <c r="H110" i="15"/>
  <c r="J101" i="15"/>
  <c r="H111" i="15" s="1"/>
  <c r="I108" i="15"/>
  <c r="J102" i="15"/>
  <c r="I112" i="15" s="1"/>
  <c r="G105" i="15"/>
  <c r="E115" i="15" s="1"/>
  <c r="B109" i="15"/>
  <c r="J99" i="15"/>
  <c r="H109" i="15" s="1"/>
  <c r="D105" i="15"/>
  <c r="C115" i="15" s="1"/>
  <c r="F109" i="15"/>
  <c r="C112" i="15"/>
  <c r="I114" i="15"/>
  <c r="B107" i="15"/>
  <c r="E112" i="15"/>
  <c r="E107" i="15"/>
  <c r="B110" i="15"/>
  <c r="J97" i="15"/>
  <c r="I107" i="15" s="1"/>
  <c r="E110" i="15"/>
  <c r="B113" i="15"/>
  <c r="H111" i="14"/>
  <c r="I111" i="14"/>
  <c r="J91" i="14"/>
  <c r="I107" i="14"/>
  <c r="I108" i="14"/>
  <c r="H108" i="14"/>
  <c r="J99" i="14"/>
  <c r="H109" i="14" s="1"/>
  <c r="F107" i="14"/>
  <c r="I112" i="14"/>
  <c r="B105" i="14"/>
  <c r="H107" i="14"/>
  <c r="E110" i="14"/>
  <c r="I103" i="14"/>
  <c r="C110" i="14"/>
  <c r="B107" i="14"/>
  <c r="E105" i="14"/>
  <c r="B108" i="14"/>
  <c r="H110" i="14"/>
  <c r="G103" i="14"/>
  <c r="F113" i="14" s="1"/>
  <c r="H103" i="14"/>
  <c r="J95" i="14"/>
  <c r="H105" i="14" s="1"/>
  <c r="E108" i="14"/>
  <c r="B111" i="14"/>
  <c r="D103" i="14"/>
  <c r="B113" i="14" s="1"/>
  <c r="J86" i="13"/>
  <c r="I96" i="13" s="1"/>
  <c r="H96" i="13"/>
  <c r="J87" i="13"/>
  <c r="I97" i="13" s="1"/>
  <c r="J9" i="13"/>
  <c r="J13" i="13"/>
  <c r="I79" i="13"/>
  <c r="J11" i="13"/>
  <c r="G79" i="13"/>
  <c r="J7" i="13"/>
  <c r="J17" i="13"/>
  <c r="J21" i="13"/>
  <c r="J29" i="13"/>
  <c r="J33" i="13"/>
  <c r="J37" i="13"/>
  <c r="J45" i="13"/>
  <c r="J49" i="13"/>
  <c r="J53" i="13"/>
  <c r="J57" i="13"/>
  <c r="C94" i="13"/>
  <c r="J20" i="13"/>
  <c r="J24" i="13"/>
  <c r="J8" i="13"/>
  <c r="J18" i="13"/>
  <c r="J22" i="13"/>
  <c r="J26" i="13"/>
  <c r="J67" i="13"/>
  <c r="J71" i="13"/>
  <c r="J10" i="13"/>
  <c r="J28" i="13"/>
  <c r="E94" i="13"/>
  <c r="J76" i="13"/>
  <c r="H95" i="13"/>
  <c r="J25" i="13"/>
  <c r="F99" i="13"/>
  <c r="J42" i="13"/>
  <c r="J58" i="13"/>
  <c r="B99" i="13"/>
  <c r="J70" i="13"/>
  <c r="J55" i="13"/>
  <c r="J59" i="13"/>
  <c r="J63" i="13"/>
  <c r="J75" i="13"/>
  <c r="J16" i="13"/>
  <c r="H79" i="13"/>
  <c r="J43" i="13"/>
  <c r="J47" i="13"/>
  <c r="J51" i="13"/>
  <c r="J32" i="13"/>
  <c r="J36" i="13"/>
  <c r="G91" i="13"/>
  <c r="F101" i="13" s="1"/>
  <c r="J52" i="13"/>
  <c r="J41" i="13"/>
  <c r="J60" i="13"/>
  <c r="J64" i="13"/>
  <c r="B93" i="13"/>
  <c r="D79" i="13"/>
  <c r="D91" i="13"/>
  <c r="B101" i="13" s="1"/>
  <c r="J30" i="13"/>
  <c r="J34" i="13"/>
  <c r="J38" i="13"/>
  <c r="E93" i="13"/>
  <c r="F93" i="13"/>
  <c r="J61" i="13"/>
  <c r="J65" i="13"/>
  <c r="J77" i="13"/>
  <c r="H93" i="13"/>
  <c r="J27" i="13"/>
  <c r="J31" i="13"/>
  <c r="J35" i="13"/>
  <c r="J19" i="12"/>
  <c r="H93" i="12"/>
  <c r="J79" i="12"/>
  <c r="J92" i="12"/>
  <c r="I102" i="12" s="1"/>
  <c r="J10" i="12"/>
  <c r="J14" i="12"/>
  <c r="J41" i="12"/>
  <c r="J49" i="12"/>
  <c r="J53" i="12"/>
  <c r="J57" i="12"/>
  <c r="J61" i="12"/>
  <c r="J65" i="12"/>
  <c r="J69" i="12"/>
  <c r="J22" i="12"/>
  <c r="I93" i="12"/>
  <c r="J74" i="12"/>
  <c r="I98" i="12"/>
  <c r="J24" i="12"/>
  <c r="I80" i="12"/>
  <c r="C97" i="12"/>
  <c r="J60" i="12"/>
  <c r="G80" i="12"/>
  <c r="B99" i="12"/>
  <c r="J23" i="12"/>
  <c r="J91" i="12"/>
  <c r="I101" i="12" s="1"/>
  <c r="J90" i="12"/>
  <c r="H100" i="12" s="1"/>
  <c r="J89" i="12"/>
  <c r="I99" i="12" s="1"/>
  <c r="H101" i="12"/>
  <c r="F102" i="12"/>
  <c r="J20" i="12"/>
  <c r="F96" i="12"/>
  <c r="H102" i="12"/>
  <c r="J27" i="12"/>
  <c r="J7" i="12"/>
  <c r="J11" i="12"/>
  <c r="J15" i="12"/>
  <c r="J78" i="12"/>
  <c r="E97" i="12"/>
  <c r="H97" i="12"/>
  <c r="B98" i="12"/>
  <c r="H80" i="12"/>
  <c r="B100" i="12"/>
  <c r="J47" i="12"/>
  <c r="J51" i="12"/>
  <c r="J55" i="12"/>
  <c r="J59" i="12"/>
  <c r="J9" i="12"/>
  <c r="J13" i="12"/>
  <c r="J28" i="12"/>
  <c r="J44" i="12"/>
  <c r="J76" i="12"/>
  <c r="J77" i="12"/>
  <c r="J42" i="12"/>
  <c r="J46" i="12"/>
  <c r="J50" i="12"/>
  <c r="J58" i="12"/>
  <c r="J32" i="12"/>
  <c r="J36" i="12"/>
  <c r="J40" i="12"/>
  <c r="J64" i="12"/>
  <c r="J68" i="12"/>
  <c r="J72" i="12"/>
  <c r="J26" i="12"/>
  <c r="J73" i="12"/>
  <c r="J30" i="12"/>
  <c r="J62" i="12"/>
  <c r="J8" i="12"/>
  <c r="J12" i="12"/>
  <c r="J16" i="12"/>
  <c r="J31" i="12"/>
  <c r="J35" i="12"/>
  <c r="J39" i="12"/>
  <c r="J33" i="12"/>
  <c r="J37" i="12"/>
  <c r="J48" i="12"/>
  <c r="J52" i="12"/>
  <c r="J56" i="12"/>
  <c r="J63" i="12"/>
  <c r="J67" i="12"/>
  <c r="J71" i="12"/>
  <c r="J75" i="12"/>
  <c r="J45" i="12"/>
  <c r="J34" i="12"/>
  <c r="J38" i="12"/>
  <c r="J54" i="12"/>
  <c r="D80" i="12"/>
  <c r="J43" i="12"/>
  <c r="J66" i="12"/>
  <c r="J70" i="12"/>
  <c r="J29" i="12"/>
  <c r="H81" i="11"/>
  <c r="J57" i="11"/>
  <c r="J53" i="11"/>
  <c r="J17" i="11"/>
  <c r="J21" i="11"/>
  <c r="J25" i="11"/>
  <c r="J29" i="11"/>
  <c r="J37" i="11"/>
  <c r="J41" i="11"/>
  <c r="J45" i="11"/>
  <c r="J49" i="11"/>
  <c r="E96" i="11"/>
  <c r="D93" i="11"/>
  <c r="C103" i="11" s="1"/>
  <c r="H96" i="11"/>
  <c r="J66" i="11"/>
  <c r="J70" i="11"/>
  <c r="J90" i="11"/>
  <c r="I100" i="11" s="1"/>
  <c r="F98" i="11"/>
  <c r="E102" i="11"/>
  <c r="J92" i="11"/>
  <c r="C99" i="11"/>
  <c r="C101" i="11"/>
  <c r="J7" i="11"/>
  <c r="J11" i="11"/>
  <c r="J15" i="11"/>
  <c r="J31" i="11"/>
  <c r="J35" i="11"/>
  <c r="J62" i="11"/>
  <c r="E101" i="11"/>
  <c r="B96" i="11"/>
  <c r="B102" i="11"/>
  <c r="J16" i="11"/>
  <c r="I93" i="11"/>
  <c r="H93" i="11"/>
  <c r="B97" i="11"/>
  <c r="J67" i="11"/>
  <c r="J71" i="11"/>
  <c r="J75" i="11"/>
  <c r="J79" i="11"/>
  <c r="J10" i="11"/>
  <c r="J14" i="11"/>
  <c r="J22" i="11"/>
  <c r="J26" i="11"/>
  <c r="J30" i="11"/>
  <c r="E97" i="11"/>
  <c r="J72" i="11"/>
  <c r="J55" i="11"/>
  <c r="J58" i="11"/>
  <c r="J76" i="11"/>
  <c r="J36" i="11"/>
  <c r="J48" i="11"/>
  <c r="J52" i="11"/>
  <c r="J34" i="11"/>
  <c r="J68" i="11"/>
  <c r="J80" i="11"/>
  <c r="J47" i="11"/>
  <c r="J64" i="11"/>
  <c r="J32" i="11"/>
  <c r="J59" i="11"/>
  <c r="J63" i="11"/>
  <c r="I102" i="11"/>
  <c r="H102" i="11"/>
  <c r="J91" i="11"/>
  <c r="I101" i="11" s="1"/>
  <c r="I95" i="11"/>
  <c r="H95" i="11"/>
  <c r="I81" i="11"/>
  <c r="J81" i="11" s="1"/>
  <c r="J9" i="11"/>
  <c r="J13" i="11"/>
  <c r="J24" i="11"/>
  <c r="J28" i="11"/>
  <c r="J74" i="11"/>
  <c r="J78" i="11"/>
  <c r="J40" i="11"/>
  <c r="J44" i="11"/>
  <c r="J33" i="11"/>
  <c r="D81" i="11"/>
  <c r="J18" i="11"/>
  <c r="J65" i="11"/>
  <c r="J69" i="11"/>
  <c r="J19" i="11"/>
  <c r="J38" i="11"/>
  <c r="J42" i="11"/>
  <c r="J46" i="11"/>
  <c r="J23" i="11"/>
  <c r="J27" i="11"/>
  <c r="J73" i="11"/>
  <c r="J8" i="11"/>
  <c r="J12" i="11"/>
  <c r="J20" i="11"/>
  <c r="J39" i="11"/>
  <c r="J43" i="11"/>
  <c r="I102" i="10"/>
  <c r="H105" i="10"/>
  <c r="I104" i="10"/>
  <c r="H97" i="10"/>
  <c r="F105" i="10"/>
  <c r="F98" i="10"/>
  <c r="F99" i="10"/>
  <c r="E100" i="10"/>
  <c r="E102" i="10"/>
  <c r="E98" i="10"/>
  <c r="D95" i="10"/>
  <c r="C107" i="10" s="1"/>
  <c r="B107" i="10"/>
  <c r="J77" i="10"/>
  <c r="J76" i="10"/>
  <c r="I81" i="10"/>
  <c r="G81" i="10"/>
  <c r="D81" i="10"/>
  <c r="J71" i="10"/>
  <c r="J55" i="10"/>
  <c r="J39" i="10"/>
  <c r="J23" i="10"/>
  <c r="J70" i="10"/>
  <c r="J54" i="10"/>
  <c r="J38" i="10"/>
  <c r="J22" i="10"/>
  <c r="J69" i="10"/>
  <c r="J53" i="10"/>
  <c r="J37" i="10"/>
  <c r="J21" i="10"/>
  <c r="J68" i="10"/>
  <c r="J52" i="10"/>
  <c r="J36" i="10"/>
  <c r="J20" i="10"/>
  <c r="J67" i="10"/>
  <c r="J51" i="10"/>
  <c r="J35" i="10"/>
  <c r="J19" i="10"/>
  <c r="J66" i="10"/>
  <c r="J50" i="10"/>
  <c r="J34" i="10"/>
  <c r="J18" i="10"/>
  <c r="J81" i="10"/>
  <c r="J65" i="10"/>
  <c r="J49" i="10"/>
  <c r="J33" i="10"/>
  <c r="J80" i="10"/>
  <c r="J64" i="10"/>
  <c r="J48" i="10"/>
  <c r="J32" i="10"/>
  <c r="J79" i="10"/>
  <c r="J63" i="10"/>
  <c r="J47" i="10"/>
  <c r="J31" i="10"/>
  <c r="J78" i="10"/>
  <c r="J62" i="10"/>
  <c r="J46" i="10"/>
  <c r="J30" i="10"/>
  <c r="E107" i="10"/>
  <c r="F107" i="10"/>
  <c r="J95" i="10"/>
  <c r="D93" i="12"/>
  <c r="H99" i="10"/>
  <c r="B105" i="10"/>
  <c r="G81" i="11"/>
  <c r="H96" i="12"/>
  <c r="B102" i="12"/>
  <c r="H98" i="11"/>
  <c r="G93" i="12"/>
  <c r="E103" i="12" s="1"/>
  <c r="E99" i="11"/>
  <c r="J93" i="12"/>
  <c r="H100" i="10"/>
  <c r="B106" i="10"/>
  <c r="B95" i="12"/>
  <c r="E100" i="12"/>
  <c r="G93" i="11"/>
  <c r="E103" i="11" s="1"/>
  <c r="H99" i="11"/>
  <c r="B100" i="13"/>
  <c r="C101" i="10"/>
  <c r="F106" i="10"/>
  <c r="B100" i="11"/>
  <c r="F95" i="12"/>
  <c r="I100" i="12"/>
  <c r="E100" i="13"/>
  <c r="H98" i="10"/>
  <c r="E101" i="10"/>
  <c r="B104" i="10"/>
  <c r="H106" i="10"/>
  <c r="H95" i="12"/>
  <c r="E98" i="12"/>
  <c r="B101" i="12"/>
  <c r="B95" i="11"/>
  <c r="H97" i="11"/>
  <c r="E100" i="11"/>
  <c r="H94" i="13"/>
  <c r="B98" i="13"/>
  <c r="H100" i="13"/>
  <c r="B99" i="10"/>
  <c r="H101" i="10"/>
  <c r="E104" i="10"/>
  <c r="C95" i="11"/>
  <c r="B96" i="12"/>
  <c r="H98" i="12"/>
  <c r="E101" i="12"/>
  <c r="E95" i="11"/>
  <c r="B98" i="11"/>
  <c r="B95" i="13"/>
  <c r="E98" i="13"/>
  <c r="E99" i="1" l="1"/>
  <c r="B99" i="1"/>
  <c r="H91" i="1"/>
  <c r="J77" i="1"/>
  <c r="I92" i="1"/>
  <c r="I100" i="2"/>
  <c r="F103" i="2"/>
  <c r="C103" i="2"/>
  <c r="I97" i="2"/>
  <c r="H101" i="2"/>
  <c r="I104" i="3"/>
  <c r="I101" i="3"/>
  <c r="H105" i="5"/>
  <c r="I105" i="5"/>
  <c r="J87" i="5"/>
  <c r="I106" i="5"/>
  <c r="H106" i="5"/>
  <c r="I108" i="5"/>
  <c r="I104" i="5"/>
  <c r="F111" i="5"/>
  <c r="H109" i="5"/>
  <c r="H117" i="4"/>
  <c r="I110" i="4"/>
  <c r="H110" i="4"/>
  <c r="I111" i="4"/>
  <c r="I112" i="4"/>
  <c r="H112" i="4"/>
  <c r="I113" i="4"/>
  <c r="I116" i="4"/>
  <c r="H114" i="4"/>
  <c r="H118" i="4"/>
  <c r="I108" i="4"/>
  <c r="B119" i="4"/>
  <c r="I108" i="9"/>
  <c r="H111" i="9"/>
  <c r="H110" i="9"/>
  <c r="I110" i="9"/>
  <c r="H109" i="9"/>
  <c r="I109" i="9"/>
  <c r="I105" i="9"/>
  <c r="I111" i="9"/>
  <c r="B113" i="9"/>
  <c r="J89" i="9"/>
  <c r="E115" i="8"/>
  <c r="I107" i="8"/>
  <c r="C115" i="8"/>
  <c r="I112" i="8"/>
  <c r="J104" i="8"/>
  <c r="I115" i="8" s="1"/>
  <c r="I114" i="7"/>
  <c r="H111" i="7"/>
  <c r="H113" i="7"/>
  <c r="I109" i="7"/>
  <c r="B115" i="7"/>
  <c r="I112" i="6"/>
  <c r="H107" i="6"/>
  <c r="H111" i="6"/>
  <c r="I113" i="6"/>
  <c r="J103" i="6"/>
  <c r="I114" i="6" s="1"/>
  <c r="I106" i="6"/>
  <c r="I110" i="17"/>
  <c r="I113" i="17"/>
  <c r="I109" i="17"/>
  <c r="I108" i="17"/>
  <c r="H109" i="17"/>
  <c r="H108" i="17"/>
  <c r="I106" i="17"/>
  <c r="I112" i="17"/>
  <c r="I105" i="17"/>
  <c r="B114" i="17"/>
  <c r="I107" i="17"/>
  <c r="H112" i="16"/>
  <c r="I110" i="16"/>
  <c r="I111" i="16"/>
  <c r="I109" i="16"/>
  <c r="H114" i="16"/>
  <c r="B115" i="16"/>
  <c r="I108" i="16"/>
  <c r="B115" i="15"/>
  <c r="H107" i="15"/>
  <c r="I109" i="15"/>
  <c r="H112" i="15"/>
  <c r="I113" i="15"/>
  <c r="H99" i="13"/>
  <c r="H98" i="13"/>
  <c r="J91" i="13"/>
  <c r="H101" i="13" s="1"/>
  <c r="I93" i="1"/>
  <c r="I96" i="1"/>
  <c r="J89" i="1"/>
  <c r="J93" i="2"/>
  <c r="I99" i="2"/>
  <c r="J97" i="3"/>
  <c r="H99" i="3"/>
  <c r="C107" i="3"/>
  <c r="I103" i="3"/>
  <c r="I99" i="3"/>
  <c r="I100" i="3"/>
  <c r="C111" i="5"/>
  <c r="I107" i="5"/>
  <c r="I102" i="5"/>
  <c r="J100" i="5"/>
  <c r="H111" i="5" s="1"/>
  <c r="I103" i="5"/>
  <c r="I115" i="4"/>
  <c r="F119" i="4"/>
  <c r="J106" i="4"/>
  <c r="F113" i="9"/>
  <c r="J102" i="9"/>
  <c r="I104" i="9"/>
  <c r="I106" i="8"/>
  <c r="H106" i="8"/>
  <c r="H108" i="8"/>
  <c r="I112" i="7"/>
  <c r="F115" i="7"/>
  <c r="J104" i="7"/>
  <c r="I106" i="7"/>
  <c r="E114" i="6"/>
  <c r="B114" i="6"/>
  <c r="F114" i="17"/>
  <c r="J103" i="17"/>
  <c r="I111" i="17"/>
  <c r="J104" i="16"/>
  <c r="I106" i="16"/>
  <c r="F115" i="15"/>
  <c r="J105" i="15"/>
  <c r="I111" i="15"/>
  <c r="I105" i="14"/>
  <c r="C113" i="14"/>
  <c r="E113" i="14"/>
  <c r="I109" i="14"/>
  <c r="J103" i="14"/>
  <c r="I113" i="14" s="1"/>
  <c r="H97" i="13"/>
  <c r="J79" i="13"/>
  <c r="C101" i="13"/>
  <c r="I101" i="13"/>
  <c r="E101" i="13"/>
  <c r="I103" i="12"/>
  <c r="J80" i="12"/>
  <c r="H99" i="12"/>
  <c r="F103" i="12"/>
  <c r="B103" i="11"/>
  <c r="H100" i="11"/>
  <c r="F103" i="11"/>
  <c r="J93" i="11"/>
  <c r="H101" i="11"/>
  <c r="C103" i="12"/>
  <c r="B103" i="12"/>
  <c r="I107" i="10"/>
  <c r="H107" i="10"/>
  <c r="H103" i="12"/>
  <c r="H115" i="8" l="1"/>
  <c r="H114" i="6"/>
  <c r="H99" i="1"/>
  <c r="I99" i="1"/>
  <c r="H103" i="2"/>
  <c r="I103" i="2"/>
  <c r="H107" i="3"/>
  <c r="I107" i="3"/>
  <c r="I111" i="5"/>
  <c r="H119" i="4"/>
  <c r="I119" i="4"/>
  <c r="H113" i="9"/>
  <c r="I113" i="9"/>
  <c r="I115" i="7"/>
  <c r="H115" i="7"/>
  <c r="H114" i="17"/>
  <c r="I114" i="17"/>
  <c r="H115" i="16"/>
  <c r="I115" i="16"/>
  <c r="I115" i="15"/>
  <c r="H115" i="15"/>
  <c r="H113" i="14"/>
  <c r="H103" i="11"/>
  <c r="I103" i="11"/>
</calcChain>
</file>

<file path=xl/sharedStrings.xml><?xml version="1.0" encoding="utf-8"?>
<sst xmlns="http://schemas.openxmlformats.org/spreadsheetml/2006/main" count="2168" uniqueCount="187">
  <si>
    <t>Total</t>
  </si>
  <si>
    <t>Laws</t>
  </si>
  <si>
    <t>Department</t>
  </si>
  <si>
    <t>Undergraduate</t>
  </si>
  <si>
    <t>Graduate</t>
  </si>
  <si>
    <t>Male</t>
  </si>
  <si>
    <t>Female</t>
  </si>
  <si>
    <t>Table G</t>
  </si>
  <si>
    <t>Departmental Student Numbers by Gender</t>
  </si>
  <si>
    <t>Social and Historical Sciences</t>
  </si>
  <si>
    <t>Mathematical and Physical Sciences</t>
  </si>
  <si>
    <t>Life Sciences</t>
  </si>
  <si>
    <t>Engineering</t>
  </si>
  <si>
    <t>Clinical Sciences</t>
  </si>
  <si>
    <t>Built Environment</t>
  </si>
  <si>
    <t>Arts and Humanities</t>
  </si>
  <si>
    <t>Faculty</t>
  </si>
  <si>
    <t>Anthropology</t>
  </si>
  <si>
    <t>Institute of Archaeology</t>
  </si>
  <si>
    <t>Bartlett School of Architecture</t>
  </si>
  <si>
    <t>Bartlett School of Constrctn. &amp; Prj. Mgmt.</t>
  </si>
  <si>
    <t>Bartlett School of Graduate Studies</t>
  </si>
  <si>
    <t>Bartlett School of Planning</t>
  </si>
  <si>
    <t>Biochemical Engineering</t>
  </si>
  <si>
    <t>Division of Biosciences</t>
  </si>
  <si>
    <t>Centre for Advanced Spatial Analysis</t>
  </si>
  <si>
    <t>Centre for European Studies</t>
  </si>
  <si>
    <t>Centre for Intercultural Studies</t>
  </si>
  <si>
    <t>CoMPLEX</t>
  </si>
  <si>
    <t>CALT</t>
  </si>
  <si>
    <t>Chemical Engineering</t>
  </si>
  <si>
    <t>Chemistry</t>
  </si>
  <si>
    <t>Civil, Environmental and Geomatic Eng.</t>
  </si>
  <si>
    <t>Computer Science</t>
  </si>
  <si>
    <t>Development Planning Unit</t>
  </si>
  <si>
    <t>Dutch Language and Literature</t>
  </si>
  <si>
    <t>Earth Sciences</t>
  </si>
  <si>
    <t>Economics</t>
  </si>
  <si>
    <t>Electronic and Electrical Engineering</t>
  </si>
  <si>
    <t>School of Energy and Resources (Australia)</t>
  </si>
  <si>
    <t>UCL Energy Institute</t>
  </si>
  <si>
    <t>English Language and Literature</t>
  </si>
  <si>
    <t>Faculty of Engineering Sciences</t>
  </si>
  <si>
    <t>European Social and Political Studies and Political Studies</t>
  </si>
  <si>
    <t>Slade School of Fine Art</t>
  </si>
  <si>
    <t>French</t>
  </si>
  <si>
    <t>Gatsby Computational Neuroscienc</t>
  </si>
  <si>
    <t>Geography</t>
  </si>
  <si>
    <t>German</t>
  </si>
  <si>
    <t>Greek and Latin</t>
  </si>
  <si>
    <t>Hebrew and Jewish Studies</t>
  </si>
  <si>
    <t>History</t>
  </si>
  <si>
    <t>History of Art</t>
  </si>
  <si>
    <t>Wellcome Trust Centre History of Medicine</t>
  </si>
  <si>
    <t>Information Studies</t>
  </si>
  <si>
    <t>Italian</t>
  </si>
  <si>
    <t>Language Centre (Affiliates)</t>
  </si>
  <si>
    <t>Faculty of Life Sciences</t>
  </si>
  <si>
    <t>Management Science and Innovation</t>
  </si>
  <si>
    <t>Mathematics</t>
  </si>
  <si>
    <t>Mechanical Engineering</t>
  </si>
  <si>
    <t>Medical Physics</t>
  </si>
  <si>
    <t>Laboratory for Molecular Cell Biology</t>
  </si>
  <si>
    <t>Natural Sciences Office</t>
  </si>
  <si>
    <t>Philosophy</t>
  </si>
  <si>
    <t>Physics and Astronomy</t>
  </si>
  <si>
    <t>Political Science</t>
  </si>
  <si>
    <t>Division of Psychology and Language Sci.</t>
  </si>
  <si>
    <t>Scandinavian Studies</t>
  </si>
  <si>
    <t>Security and Crime Science</t>
  </si>
  <si>
    <t>School of Slavonic and E. European Stds</t>
  </si>
  <si>
    <t>Science and Technology Studies</t>
  </si>
  <si>
    <t>Space and Climate Physics</t>
  </si>
  <si>
    <t>Spanish and Latin American Studies</t>
  </si>
  <si>
    <t>Statistical Science</t>
  </si>
  <si>
    <t>Wolfson Institute for Biomedical Research</t>
  </si>
  <si>
    <t>Faculty of Brain Sciences</t>
  </si>
  <si>
    <t>Cancer Institute</t>
  </si>
  <si>
    <t>Institute of Cardiovascular Science</t>
  </si>
  <si>
    <t>Institute of Child Health</t>
  </si>
  <si>
    <t>Ear Institute</t>
  </si>
  <si>
    <t>Eastman Dental Institute</t>
  </si>
  <si>
    <t>Division of Infection and Immunity</t>
  </si>
  <si>
    <t>Faculty of Medical Sciences</t>
  </si>
  <si>
    <t>UCL Medical School</t>
  </si>
  <si>
    <t>Division of Medicine</t>
  </si>
  <si>
    <t>Institute of Neurology</t>
  </si>
  <si>
    <t>Institute of Ophthalmology</t>
  </si>
  <si>
    <t>Division of Population Health</t>
  </si>
  <si>
    <t>Division of Surgery and Interventional Sci</t>
  </si>
  <si>
    <t>Brain Sciences</t>
  </si>
  <si>
    <t>Engineering Sciences</t>
  </si>
  <si>
    <t>Medical Sciences</t>
  </si>
  <si>
    <t>Population Health Sciences</t>
  </si>
  <si>
    <t>European Social and Political Studies</t>
  </si>
  <si>
    <t>Gatsby Computational Neuroscience Unit</t>
  </si>
  <si>
    <t>Faculty of Biomedical Sciences</t>
  </si>
  <si>
    <t>Division of Medical Education</t>
  </si>
  <si>
    <t>Division of Research Strategy</t>
  </si>
  <si>
    <t>Institute for Women's Health</t>
  </si>
  <si>
    <t>Biomedical Sciences</t>
  </si>
  <si>
    <t>Jill Dando Institute of Crime Science</t>
  </si>
  <si>
    <t>Library, Archive and Information Studies</t>
  </si>
  <si>
    <t>Pre-Clinical Studies</t>
  </si>
  <si>
    <t>Clinical Studies</t>
  </si>
  <si>
    <t>Wolfson Inst. for Biomedical Research</t>
  </si>
  <si>
    <t>1. The Biomedical Sciences total includes the Graduate Institutes of Child Health, Neurology and Ophthalmology and the Eastman Dental Institute.</t>
  </si>
  <si>
    <t>Anatomy and Developmental Biology</t>
  </si>
  <si>
    <t>Biochemistry and Molecular Biology</t>
  </si>
  <si>
    <t>Biology</t>
  </si>
  <si>
    <t>Human Communication Science</t>
  </si>
  <si>
    <t>Human Sciences</t>
  </si>
  <si>
    <t>Pharmacology</t>
  </si>
  <si>
    <t>Phonetics and Linguistics</t>
  </si>
  <si>
    <t>Physiology</t>
  </si>
  <si>
    <t>Psychology</t>
  </si>
  <si>
    <t>Interdepartmental Programmes</t>
  </si>
  <si>
    <t>CHIME</t>
  </si>
  <si>
    <t>Epidemiology and Public Health</t>
  </si>
  <si>
    <t>Gynaecological Oncology</t>
  </si>
  <si>
    <t>Haematology</t>
  </si>
  <si>
    <t>Immunology and Molecular Pathology</t>
  </si>
  <si>
    <t>Infection</t>
  </si>
  <si>
    <t>Medicine</t>
  </si>
  <si>
    <t>Mental Health Sciences</t>
  </si>
  <si>
    <t>Nuclear Medicine</t>
  </si>
  <si>
    <t>Obstetrics and Gynaecology</t>
  </si>
  <si>
    <t>Oncology</t>
  </si>
  <si>
    <t>Orthopaedics and Musculoskeletal Sci.</t>
  </si>
  <si>
    <t>Pathology</t>
  </si>
  <si>
    <t>Primary Care and Population Sciences</t>
  </si>
  <si>
    <t>Surgery</t>
  </si>
  <si>
    <t>Civil and Environmental Engineering</t>
  </si>
  <si>
    <t>Geomatic Engineering</t>
  </si>
  <si>
    <t>Management Studies Centre</t>
  </si>
  <si>
    <t>Natural/Physical Sciences</t>
  </si>
  <si>
    <t>RLW Institute of Neurological Studies</t>
  </si>
  <si>
    <t>Institute of Urology</t>
  </si>
  <si>
    <t>Biomedical Sciences1</t>
  </si>
  <si>
    <t>Centre for Advanced Instrumentation Sys.</t>
  </si>
  <si>
    <t>COMPLEX</t>
  </si>
  <si>
    <t>Clinical Neurosciences</t>
  </si>
  <si>
    <t>Institute of Orthopaedics and Musculoskeletal Science</t>
  </si>
  <si>
    <t>Paediatrics and Child Health</t>
  </si>
  <si>
    <t>School of Podiatry</t>
  </si>
  <si>
    <t>Physical Sciences</t>
  </si>
  <si>
    <t>School of Public Policy</t>
  </si>
  <si>
    <t>Institute of Laryngology and Otology</t>
  </si>
  <si>
    <t>Orthopaedics</t>
  </si>
  <si>
    <t>Institute of Urology and Nephrology</t>
  </si>
  <si>
    <t>Education and Professional Development</t>
  </si>
  <si>
    <t>Interdepartmental Course</t>
  </si>
  <si>
    <t>Histopathology</t>
  </si>
  <si>
    <t>Psychiatry and Behavioural Sciences</t>
  </si>
  <si>
    <t>Sexually Transmitted Diseases</t>
  </si>
  <si>
    <t>Clinical Sciences1</t>
  </si>
  <si>
    <t>Modern European Studies</t>
  </si>
  <si>
    <t>Medical Microbiology</t>
  </si>
  <si>
    <t>Virology</t>
  </si>
  <si>
    <t>Geological Sciences</t>
  </si>
  <si>
    <t>HERDU</t>
  </si>
  <si>
    <t>Bartlett School</t>
  </si>
  <si>
    <t>Centre for Advanced Instrumentation Systems</t>
  </si>
  <si>
    <t>Epidemiology and Public Health Medicine</t>
  </si>
  <si>
    <t>Laryngology and Otology</t>
  </si>
  <si>
    <t>Molecular Endocrinology</t>
  </si>
  <si>
    <t>Podiatry</t>
  </si>
  <si>
    <t>Urology and Nephrology</t>
  </si>
  <si>
    <t>School of East European and Slavonic Stds</t>
  </si>
  <si>
    <t>Bacteriology</t>
  </si>
  <si>
    <t>Centre for Professional Development</t>
  </si>
  <si>
    <t>Immunology</t>
  </si>
  <si>
    <t>Molecular Pathology and Clinical Biochemistry</t>
  </si>
  <si>
    <t>RLW Inst of Neurological Studies</t>
  </si>
  <si>
    <t>Paediatrics</t>
  </si>
  <si>
    <t>Primary Care and Population studies</t>
  </si>
  <si>
    <t>Psychiatry</t>
  </si>
  <si>
    <t>Royal Free Hospital School of Medicine</t>
  </si>
  <si>
    <t>School of Slavonic and East European Studies</t>
  </si>
  <si>
    <t>Intercollegiate Course</t>
  </si>
  <si>
    <t>Molecular Pathology</t>
  </si>
  <si>
    <t>Chemical and Biochemical Engineering</t>
  </si>
  <si>
    <t>Medicine (Cruciform Project)</t>
  </si>
  <si>
    <t>Neurological Studies</t>
  </si>
  <si>
    <t>Primary Health Care</t>
  </si>
  <si>
    <t>Photogrammetry and Surveying</t>
  </si>
  <si>
    <t>Primary Health Care (CHIME)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</si>
</sst>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8"/>
      <color theme="0"/>
      <name val="Arial"/>
      <family val="2"/>
    </font>
    <font>
      <sz val="8.5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2" xfId="0" applyFont="1" applyBorder="1"/>
    <xf numFmtId="0" fontId="5" fillId="0" borderId="1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13" xfId="0" applyFont="1" applyBorder="1"/>
    <xf numFmtId="0" fontId="3" fillId="0" borderId="14" xfId="0" applyFont="1" applyBorder="1"/>
    <xf numFmtId="0" fontId="5" fillId="0" borderId="9" xfId="0" applyFont="1" applyBorder="1"/>
    <xf numFmtId="0" fontId="5" fillId="0" borderId="3" xfId="0" applyFont="1" applyBorder="1"/>
    <xf numFmtId="0" fontId="8" fillId="0" borderId="11" xfId="0" applyFont="1" applyBorder="1"/>
    <xf numFmtId="0" fontId="8" fillId="0" borderId="12" xfId="0" applyFont="1" applyBorder="1"/>
    <xf numFmtId="0" fontId="5" fillId="0" borderId="10" xfId="0" applyFont="1" applyBorder="1"/>
    <xf numFmtId="0" fontId="3" fillId="0" borderId="0" xfId="0" applyFont="1" applyBorder="1"/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9" fontId="3" fillId="0" borderId="13" xfId="0" applyNumberFormat="1" applyFont="1" applyBorder="1"/>
    <xf numFmtId="0" fontId="8" fillId="0" borderId="17" xfId="0" applyFont="1" applyBorder="1"/>
    <xf numFmtId="9" fontId="5" fillId="0" borderId="3" xfId="0" applyNumberFormat="1" applyFont="1" applyBorder="1"/>
    <xf numFmtId="9" fontId="5" fillId="0" borderId="9" xfId="0" applyNumberFormat="1" applyFont="1" applyBorder="1"/>
    <xf numFmtId="9" fontId="5" fillId="0" borderId="2" xfId="0" applyNumberFormat="1" applyFont="1" applyBorder="1"/>
    <xf numFmtId="9" fontId="5" fillId="0" borderId="7" xfId="0" applyNumberFormat="1" applyFont="1" applyBorder="1"/>
    <xf numFmtId="0" fontId="3" fillId="3" borderId="18" xfId="0" applyFont="1" applyFill="1" applyBorder="1"/>
    <xf numFmtId="0" fontId="5" fillId="0" borderId="19" xfId="0" applyFont="1" applyBorder="1"/>
    <xf numFmtId="0" fontId="5" fillId="0" borderId="20" xfId="0" applyFont="1" applyBorder="1"/>
    <xf numFmtId="0" fontId="8" fillId="0" borderId="21" xfId="0" applyFont="1" applyBorder="1"/>
    <xf numFmtId="0" fontId="8" fillId="0" borderId="22" xfId="0" applyFont="1" applyBorder="1"/>
    <xf numFmtId="0" fontId="7" fillId="2" borderId="23" xfId="0" applyFont="1" applyFill="1" applyBorder="1" applyAlignment="1">
      <alignment horizontal="center" wrapText="1"/>
    </xf>
    <xf numFmtId="0" fontId="7" fillId="2" borderId="24" xfId="0" applyFont="1" applyFill="1" applyBorder="1" applyAlignment="1">
      <alignment horizontal="center" wrapText="1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5" fillId="0" borderId="0" xfId="0" applyFont="1" applyBorder="1"/>
    <xf numFmtId="0" fontId="5" fillId="0" borderId="27" xfId="0" applyFont="1" applyBorder="1"/>
    <xf numFmtId="0" fontId="3" fillId="0" borderId="18" xfId="0" applyFont="1" applyBorder="1"/>
    <xf numFmtId="0" fontId="5" fillId="0" borderId="18" xfId="0" applyFont="1" applyBorder="1"/>
    <xf numFmtId="0" fontId="5" fillId="0" borderId="28" xfId="0" applyFont="1" applyBorder="1"/>
    <xf numFmtId="0" fontId="5" fillId="0" borderId="11" xfId="0" applyFont="1" applyBorder="1"/>
    <xf numFmtId="0" fontId="3" fillId="0" borderId="28" xfId="0" applyFont="1" applyBorder="1"/>
    <xf numFmtId="0" fontId="5" fillId="0" borderId="13" xfId="0" applyFont="1" applyBorder="1"/>
    <xf numFmtId="0" fontId="7" fillId="2" borderId="29" xfId="0" applyFont="1" applyFill="1" applyBorder="1" applyAlignment="1">
      <alignment horizontal="center" wrapText="1"/>
    </xf>
    <xf numFmtId="0" fontId="5" fillId="0" borderId="12" xfId="0" applyFont="1" applyBorder="1"/>
    <xf numFmtId="0" fontId="5" fillId="0" borderId="30" xfId="0" applyFont="1" applyBorder="1"/>
    <xf numFmtId="0" fontId="5" fillId="0" borderId="17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33" xfId="0" applyFont="1" applyBorder="1"/>
    <xf numFmtId="0" fontId="7" fillId="2" borderId="34" xfId="0" applyFont="1" applyFill="1" applyBorder="1" applyAlignment="1">
      <alignment horizontal="center" wrapText="1"/>
    </xf>
    <xf numFmtId="0" fontId="7" fillId="2" borderId="38" xfId="0" applyFont="1" applyFill="1" applyBorder="1" applyAlignment="1">
      <alignment horizontal="center" wrapText="1"/>
    </xf>
    <xf numFmtId="0" fontId="7" fillId="2" borderId="39" xfId="0" applyFont="1" applyFill="1" applyBorder="1" applyAlignment="1">
      <alignment horizontal="center" wrapText="1"/>
    </xf>
    <xf numFmtId="0" fontId="7" fillId="2" borderId="40" xfId="0" applyFont="1" applyFill="1" applyBorder="1" applyAlignment="1">
      <alignment horizontal="center" wrapText="1"/>
    </xf>
    <xf numFmtId="0" fontId="5" fillId="0" borderId="21" xfId="0" applyFont="1" applyBorder="1"/>
    <xf numFmtId="0" fontId="5" fillId="0" borderId="45" xfId="0" applyFont="1" applyBorder="1"/>
    <xf numFmtId="0" fontId="9" fillId="0" borderId="18" xfId="0" applyFont="1" applyBorder="1"/>
    <xf numFmtId="0" fontId="9" fillId="0" borderId="13" xfId="0" applyFont="1" applyBorder="1"/>
    <xf numFmtId="0" fontId="9" fillId="0" borderId="28" xfId="0" applyFont="1" applyBorder="1"/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6" fillId="2" borderId="41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0" fontId="6" fillId="2" borderId="42" xfId="0" applyFont="1" applyFill="1" applyBorder="1" applyAlignment="1">
      <alignment horizontal="center"/>
    </xf>
    <xf numFmtId="0" fontId="6" fillId="2" borderId="43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opLeftCell="A81" zoomScale="85" zoomScaleNormal="85" zoomScalePageLayoutView="70" workbookViewId="0">
      <selection activeCell="A82" sqref="A82"/>
    </sheetView>
  </sheetViews>
  <sheetFormatPr defaultColWidth="9.140625" defaultRowHeight="15" x14ac:dyDescent="0.25"/>
  <cols>
    <col min="1" max="1" width="29.140625" customWidth="1"/>
    <col min="2" max="10" width="6.85546875" customWidth="1"/>
  </cols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2011-12</v>
      </c>
      <c r="B3" s="18"/>
      <c r="C3" s="18"/>
      <c r="D3" s="18"/>
      <c r="E3" s="18"/>
      <c r="F3" s="18"/>
      <c r="G3" s="18"/>
      <c r="H3" s="18"/>
    </row>
    <row r="4" spans="1:10" ht="15.75" thickBot="1" x14ac:dyDescent="0.3">
      <c r="A4" s="2"/>
      <c r="B4" s="3"/>
    </row>
    <row r="5" spans="1:10" ht="15" customHeight="1" x14ac:dyDescent="0.25">
      <c r="A5" s="62" t="s">
        <v>2</v>
      </c>
      <c r="B5" s="64" t="s">
        <v>3</v>
      </c>
      <c r="C5" s="65"/>
      <c r="D5" s="66"/>
      <c r="E5" s="67" t="s">
        <v>4</v>
      </c>
      <c r="F5" s="65"/>
      <c r="G5" s="68"/>
      <c r="H5" s="64" t="s">
        <v>0</v>
      </c>
      <c r="I5" s="65"/>
      <c r="J5" s="66"/>
    </row>
    <row r="6" spans="1:10" x14ac:dyDescent="0.25">
      <c r="A6" s="63"/>
      <c r="B6" s="50" t="s">
        <v>5</v>
      </c>
      <c r="C6" s="42" t="s">
        <v>6</v>
      </c>
      <c r="D6" s="51" t="s">
        <v>0</v>
      </c>
      <c r="E6" s="52" t="s">
        <v>5</v>
      </c>
      <c r="F6" s="42" t="s">
        <v>6</v>
      </c>
      <c r="G6" s="49" t="s">
        <v>0</v>
      </c>
      <c r="H6" s="50" t="s">
        <v>5</v>
      </c>
      <c r="I6" s="42" t="s">
        <v>6</v>
      </c>
      <c r="J6" s="51" t="s">
        <v>0</v>
      </c>
    </row>
    <row r="7" spans="1:10" x14ac:dyDescent="0.25">
      <c r="A7" s="12" t="s">
        <v>17</v>
      </c>
      <c r="B7" s="39">
        <v>48</v>
      </c>
      <c r="C7" s="47">
        <v>145</v>
      </c>
      <c r="D7" s="35">
        <f>SUM(B7:C7)</f>
        <v>193</v>
      </c>
      <c r="E7" s="34">
        <v>67</v>
      </c>
      <c r="F7" s="47">
        <v>184</v>
      </c>
      <c r="G7" s="34">
        <f>SUM(E7:F7)</f>
        <v>251</v>
      </c>
      <c r="H7" s="39">
        <f>B7+E7</f>
        <v>115</v>
      </c>
      <c r="I7" s="47">
        <f>C7+F7</f>
        <v>329</v>
      </c>
      <c r="J7" s="35">
        <f>SUM(H7:I7)</f>
        <v>444</v>
      </c>
    </row>
    <row r="8" spans="1:10" x14ac:dyDescent="0.25">
      <c r="A8" s="12" t="s">
        <v>18</v>
      </c>
      <c r="B8" s="39">
        <v>83</v>
      </c>
      <c r="C8" s="48">
        <v>141</v>
      </c>
      <c r="D8" s="35">
        <f t="shared" ref="D8:D71" si="0">SUM(B8:C8)</f>
        <v>224</v>
      </c>
      <c r="E8" s="34">
        <v>102</v>
      </c>
      <c r="F8" s="48">
        <v>263</v>
      </c>
      <c r="G8" s="34">
        <f t="shared" ref="G8:G71" si="1">SUM(E8:F8)</f>
        <v>365</v>
      </c>
      <c r="H8" s="39">
        <f t="shared" ref="H8:H71" si="2">B8+E8</f>
        <v>185</v>
      </c>
      <c r="I8" s="48">
        <f t="shared" ref="I8:I71" si="3">C8+F8</f>
        <v>404</v>
      </c>
      <c r="J8" s="35">
        <f t="shared" ref="J8:J71" si="4">SUM(H8:I8)</f>
        <v>589</v>
      </c>
    </row>
    <row r="9" spans="1:10" x14ac:dyDescent="0.25">
      <c r="A9" s="12" t="s">
        <v>19</v>
      </c>
      <c r="B9" s="39">
        <v>156</v>
      </c>
      <c r="C9" s="48">
        <v>183</v>
      </c>
      <c r="D9" s="35">
        <f t="shared" si="0"/>
        <v>339</v>
      </c>
      <c r="E9" s="34">
        <v>143</v>
      </c>
      <c r="F9" s="48">
        <v>153</v>
      </c>
      <c r="G9" s="34">
        <f t="shared" si="1"/>
        <v>296</v>
      </c>
      <c r="H9" s="39">
        <f t="shared" si="2"/>
        <v>299</v>
      </c>
      <c r="I9" s="48">
        <f t="shared" si="3"/>
        <v>336</v>
      </c>
      <c r="J9" s="35">
        <f t="shared" si="4"/>
        <v>635</v>
      </c>
    </row>
    <row r="10" spans="1:10" x14ac:dyDescent="0.25">
      <c r="A10" s="12" t="s">
        <v>20</v>
      </c>
      <c r="B10" s="39">
        <v>76</v>
      </c>
      <c r="C10" s="48">
        <v>26</v>
      </c>
      <c r="D10" s="35">
        <f t="shared" si="0"/>
        <v>102</v>
      </c>
      <c r="E10" s="34">
        <v>80</v>
      </c>
      <c r="F10" s="48">
        <v>72</v>
      </c>
      <c r="G10" s="34">
        <f t="shared" si="1"/>
        <v>152</v>
      </c>
      <c r="H10" s="39">
        <f t="shared" si="2"/>
        <v>156</v>
      </c>
      <c r="I10" s="48">
        <f t="shared" si="3"/>
        <v>98</v>
      </c>
      <c r="J10" s="35">
        <f t="shared" si="4"/>
        <v>254</v>
      </c>
    </row>
    <row r="11" spans="1:10" x14ac:dyDescent="0.25">
      <c r="A11" s="12" t="s">
        <v>21</v>
      </c>
      <c r="B11" s="39">
        <v>0</v>
      </c>
      <c r="C11" s="48">
        <v>0</v>
      </c>
      <c r="D11" s="35">
        <f t="shared" si="0"/>
        <v>0</v>
      </c>
      <c r="E11" s="34">
        <v>132</v>
      </c>
      <c r="F11" s="48">
        <v>118</v>
      </c>
      <c r="G11" s="34">
        <f t="shared" si="1"/>
        <v>250</v>
      </c>
      <c r="H11" s="39">
        <f t="shared" si="2"/>
        <v>132</v>
      </c>
      <c r="I11" s="48">
        <f t="shared" si="3"/>
        <v>118</v>
      </c>
      <c r="J11" s="35">
        <f t="shared" si="4"/>
        <v>250</v>
      </c>
    </row>
    <row r="12" spans="1:10" x14ac:dyDescent="0.25">
      <c r="A12" s="12" t="s">
        <v>22</v>
      </c>
      <c r="B12" s="39">
        <v>54</v>
      </c>
      <c r="C12" s="48">
        <v>75</v>
      </c>
      <c r="D12" s="35">
        <f t="shared" si="0"/>
        <v>129</v>
      </c>
      <c r="E12" s="34">
        <v>119</v>
      </c>
      <c r="F12" s="48">
        <v>151</v>
      </c>
      <c r="G12" s="34">
        <f t="shared" si="1"/>
        <v>270</v>
      </c>
      <c r="H12" s="39">
        <f t="shared" si="2"/>
        <v>173</v>
      </c>
      <c r="I12" s="48">
        <f t="shared" si="3"/>
        <v>226</v>
      </c>
      <c r="J12" s="35">
        <f t="shared" si="4"/>
        <v>399</v>
      </c>
    </row>
    <row r="13" spans="1:10" x14ac:dyDescent="0.25">
      <c r="A13" s="12" t="s">
        <v>23</v>
      </c>
      <c r="B13" s="39">
        <v>81</v>
      </c>
      <c r="C13" s="48">
        <v>74</v>
      </c>
      <c r="D13" s="35">
        <f t="shared" si="0"/>
        <v>155</v>
      </c>
      <c r="E13" s="34">
        <v>80</v>
      </c>
      <c r="F13" s="48">
        <v>49</v>
      </c>
      <c r="G13" s="34">
        <f t="shared" si="1"/>
        <v>129</v>
      </c>
      <c r="H13" s="39">
        <f t="shared" si="2"/>
        <v>161</v>
      </c>
      <c r="I13" s="48">
        <f t="shared" si="3"/>
        <v>123</v>
      </c>
      <c r="J13" s="35">
        <f t="shared" si="4"/>
        <v>284</v>
      </c>
    </row>
    <row r="14" spans="1:10" x14ac:dyDescent="0.25">
      <c r="A14" s="12" t="s">
        <v>24</v>
      </c>
      <c r="B14" s="39">
        <v>460</v>
      </c>
      <c r="C14" s="48">
        <v>723</v>
      </c>
      <c r="D14" s="35">
        <f t="shared" si="0"/>
        <v>1183</v>
      </c>
      <c r="E14" s="34">
        <v>142</v>
      </c>
      <c r="F14" s="48">
        <v>221</v>
      </c>
      <c r="G14" s="34">
        <f t="shared" si="1"/>
        <v>363</v>
      </c>
      <c r="H14" s="39">
        <f t="shared" si="2"/>
        <v>602</v>
      </c>
      <c r="I14" s="48">
        <f t="shared" si="3"/>
        <v>944</v>
      </c>
      <c r="J14" s="35">
        <f t="shared" si="4"/>
        <v>1546</v>
      </c>
    </row>
    <row r="15" spans="1:10" x14ac:dyDescent="0.25">
      <c r="A15" s="12" t="s">
        <v>25</v>
      </c>
      <c r="B15" s="39">
        <v>0</v>
      </c>
      <c r="C15" s="48">
        <v>0</v>
      </c>
      <c r="D15" s="35">
        <f t="shared" si="0"/>
        <v>0</v>
      </c>
      <c r="E15" s="34">
        <v>12</v>
      </c>
      <c r="F15" s="48">
        <v>5</v>
      </c>
      <c r="G15" s="34">
        <f t="shared" si="1"/>
        <v>17</v>
      </c>
      <c r="H15" s="39">
        <f t="shared" si="2"/>
        <v>12</v>
      </c>
      <c r="I15" s="48">
        <f t="shared" si="3"/>
        <v>5</v>
      </c>
      <c r="J15" s="35">
        <f t="shared" si="4"/>
        <v>17</v>
      </c>
    </row>
    <row r="16" spans="1:10" x14ac:dyDescent="0.25">
      <c r="A16" s="12" t="s">
        <v>26</v>
      </c>
      <c r="B16" s="39">
        <v>0</v>
      </c>
      <c r="C16" s="48">
        <v>0</v>
      </c>
      <c r="D16" s="35">
        <f t="shared" si="0"/>
        <v>0</v>
      </c>
      <c r="E16" s="34">
        <v>18</v>
      </c>
      <c r="F16" s="48">
        <v>34</v>
      </c>
      <c r="G16" s="34">
        <f t="shared" si="1"/>
        <v>52</v>
      </c>
      <c r="H16" s="39">
        <f t="shared" si="2"/>
        <v>18</v>
      </c>
      <c r="I16" s="48">
        <f t="shared" si="3"/>
        <v>34</v>
      </c>
      <c r="J16" s="35">
        <f t="shared" si="4"/>
        <v>52</v>
      </c>
    </row>
    <row r="17" spans="1:10" x14ac:dyDescent="0.25">
      <c r="A17" s="12" t="s">
        <v>27</v>
      </c>
      <c r="B17" s="39">
        <v>0</v>
      </c>
      <c r="C17" s="48">
        <v>0</v>
      </c>
      <c r="D17" s="35">
        <f t="shared" si="0"/>
        <v>0</v>
      </c>
      <c r="E17" s="34">
        <v>38</v>
      </c>
      <c r="F17" s="48">
        <v>95</v>
      </c>
      <c r="G17" s="34">
        <f t="shared" si="1"/>
        <v>133</v>
      </c>
      <c r="H17" s="39">
        <f t="shared" si="2"/>
        <v>38</v>
      </c>
      <c r="I17" s="48">
        <f t="shared" si="3"/>
        <v>95</v>
      </c>
      <c r="J17" s="35">
        <f t="shared" si="4"/>
        <v>133</v>
      </c>
    </row>
    <row r="18" spans="1:10" x14ac:dyDescent="0.25">
      <c r="A18" s="12" t="s">
        <v>28</v>
      </c>
      <c r="B18" s="39">
        <v>0</v>
      </c>
      <c r="C18" s="48">
        <v>0</v>
      </c>
      <c r="D18" s="35">
        <f t="shared" si="0"/>
        <v>0</v>
      </c>
      <c r="E18" s="34">
        <v>38</v>
      </c>
      <c r="F18" s="48">
        <v>29</v>
      </c>
      <c r="G18" s="34">
        <f t="shared" si="1"/>
        <v>67</v>
      </c>
      <c r="H18" s="39">
        <f t="shared" si="2"/>
        <v>38</v>
      </c>
      <c r="I18" s="48">
        <f t="shared" si="3"/>
        <v>29</v>
      </c>
      <c r="J18" s="35">
        <f t="shared" si="4"/>
        <v>67</v>
      </c>
    </row>
    <row r="19" spans="1:10" x14ac:dyDescent="0.25">
      <c r="A19" s="12" t="s">
        <v>29</v>
      </c>
      <c r="B19" s="39">
        <v>0</v>
      </c>
      <c r="C19" s="48">
        <v>0</v>
      </c>
      <c r="D19" s="35">
        <f t="shared" si="0"/>
        <v>0</v>
      </c>
      <c r="E19" s="34">
        <v>11</v>
      </c>
      <c r="F19" s="48">
        <v>12</v>
      </c>
      <c r="G19" s="34">
        <f t="shared" si="1"/>
        <v>23</v>
      </c>
      <c r="H19" s="39">
        <f t="shared" si="2"/>
        <v>11</v>
      </c>
      <c r="I19" s="48">
        <f t="shared" si="3"/>
        <v>12</v>
      </c>
      <c r="J19" s="35">
        <f t="shared" si="4"/>
        <v>23</v>
      </c>
    </row>
    <row r="20" spans="1:10" x14ac:dyDescent="0.25">
      <c r="A20" s="12" t="s">
        <v>30</v>
      </c>
      <c r="B20" s="39">
        <v>257</v>
      </c>
      <c r="C20" s="48">
        <v>110</v>
      </c>
      <c r="D20" s="35">
        <f t="shared" si="0"/>
        <v>367</v>
      </c>
      <c r="E20" s="34">
        <v>50</v>
      </c>
      <c r="F20" s="48">
        <v>18</v>
      </c>
      <c r="G20" s="34">
        <f t="shared" si="1"/>
        <v>68</v>
      </c>
      <c r="H20" s="39">
        <f t="shared" si="2"/>
        <v>307</v>
      </c>
      <c r="I20" s="48">
        <f t="shared" si="3"/>
        <v>128</v>
      </c>
      <c r="J20" s="35">
        <f t="shared" si="4"/>
        <v>435</v>
      </c>
    </row>
    <row r="21" spans="1:10" x14ac:dyDescent="0.25">
      <c r="A21" s="12" t="s">
        <v>31</v>
      </c>
      <c r="B21" s="39">
        <v>175</v>
      </c>
      <c r="C21" s="48">
        <v>179</v>
      </c>
      <c r="D21" s="35">
        <f t="shared" si="0"/>
        <v>354</v>
      </c>
      <c r="E21" s="34">
        <v>110</v>
      </c>
      <c r="F21" s="48">
        <v>71</v>
      </c>
      <c r="G21" s="34">
        <f t="shared" si="1"/>
        <v>181</v>
      </c>
      <c r="H21" s="39">
        <f t="shared" si="2"/>
        <v>285</v>
      </c>
      <c r="I21" s="48">
        <f t="shared" si="3"/>
        <v>250</v>
      </c>
      <c r="J21" s="35">
        <f t="shared" si="4"/>
        <v>535</v>
      </c>
    </row>
    <row r="22" spans="1:10" x14ac:dyDescent="0.25">
      <c r="A22" s="12" t="s">
        <v>32</v>
      </c>
      <c r="B22" s="39">
        <v>215</v>
      </c>
      <c r="C22" s="48">
        <v>91</v>
      </c>
      <c r="D22" s="35">
        <f t="shared" si="0"/>
        <v>306</v>
      </c>
      <c r="E22" s="34">
        <v>123</v>
      </c>
      <c r="F22" s="48">
        <v>78</v>
      </c>
      <c r="G22" s="34">
        <f t="shared" si="1"/>
        <v>201</v>
      </c>
      <c r="H22" s="39">
        <f t="shared" si="2"/>
        <v>338</v>
      </c>
      <c r="I22" s="48">
        <f t="shared" si="3"/>
        <v>169</v>
      </c>
      <c r="J22" s="35">
        <f t="shared" si="4"/>
        <v>507</v>
      </c>
    </row>
    <row r="23" spans="1:10" x14ac:dyDescent="0.25">
      <c r="A23" s="12" t="s">
        <v>33</v>
      </c>
      <c r="B23" s="39">
        <v>141</v>
      </c>
      <c r="C23" s="48">
        <v>53</v>
      </c>
      <c r="D23" s="35">
        <f t="shared" si="0"/>
        <v>194</v>
      </c>
      <c r="E23" s="34">
        <v>256</v>
      </c>
      <c r="F23" s="48">
        <v>74</v>
      </c>
      <c r="G23" s="34">
        <f t="shared" si="1"/>
        <v>330</v>
      </c>
      <c r="H23" s="39">
        <f t="shared" si="2"/>
        <v>397</v>
      </c>
      <c r="I23" s="48">
        <f t="shared" si="3"/>
        <v>127</v>
      </c>
      <c r="J23" s="35">
        <f t="shared" si="4"/>
        <v>524</v>
      </c>
    </row>
    <row r="24" spans="1:10" x14ac:dyDescent="0.25">
      <c r="A24" s="12" t="s">
        <v>34</v>
      </c>
      <c r="B24" s="39">
        <v>0</v>
      </c>
      <c r="C24" s="48">
        <v>0</v>
      </c>
      <c r="D24" s="35">
        <f t="shared" si="0"/>
        <v>0</v>
      </c>
      <c r="E24" s="34">
        <v>77</v>
      </c>
      <c r="F24" s="48">
        <v>150</v>
      </c>
      <c r="G24" s="34">
        <f t="shared" si="1"/>
        <v>227</v>
      </c>
      <c r="H24" s="39">
        <f t="shared" si="2"/>
        <v>77</v>
      </c>
      <c r="I24" s="48">
        <f t="shared" si="3"/>
        <v>150</v>
      </c>
      <c r="J24" s="35">
        <f t="shared" si="4"/>
        <v>227</v>
      </c>
    </row>
    <row r="25" spans="1:10" x14ac:dyDescent="0.25">
      <c r="A25" s="12" t="s">
        <v>35</v>
      </c>
      <c r="B25" s="39">
        <v>6</v>
      </c>
      <c r="C25" s="48">
        <v>14</v>
      </c>
      <c r="D25" s="35">
        <f t="shared" si="0"/>
        <v>20</v>
      </c>
      <c r="E25" s="34">
        <v>1</v>
      </c>
      <c r="F25" s="48">
        <v>7</v>
      </c>
      <c r="G25" s="34">
        <f t="shared" si="1"/>
        <v>8</v>
      </c>
      <c r="H25" s="39">
        <f t="shared" si="2"/>
        <v>7</v>
      </c>
      <c r="I25" s="48">
        <f t="shared" si="3"/>
        <v>21</v>
      </c>
      <c r="J25" s="35">
        <f t="shared" si="4"/>
        <v>28</v>
      </c>
    </row>
    <row r="26" spans="1:10" x14ac:dyDescent="0.25">
      <c r="A26" s="12" t="s">
        <v>36</v>
      </c>
      <c r="B26" s="39">
        <v>67</v>
      </c>
      <c r="C26" s="48">
        <v>47</v>
      </c>
      <c r="D26" s="35">
        <f t="shared" si="0"/>
        <v>114</v>
      </c>
      <c r="E26" s="34">
        <v>32</v>
      </c>
      <c r="F26" s="48">
        <v>37</v>
      </c>
      <c r="G26" s="34">
        <f t="shared" si="1"/>
        <v>69</v>
      </c>
      <c r="H26" s="39">
        <f t="shared" si="2"/>
        <v>99</v>
      </c>
      <c r="I26" s="48">
        <f t="shared" si="3"/>
        <v>84</v>
      </c>
      <c r="J26" s="35">
        <f t="shared" si="4"/>
        <v>183</v>
      </c>
    </row>
    <row r="27" spans="1:10" x14ac:dyDescent="0.25">
      <c r="A27" s="12" t="s">
        <v>37</v>
      </c>
      <c r="B27" s="39">
        <v>382</v>
      </c>
      <c r="C27" s="48">
        <v>296</v>
      </c>
      <c r="D27" s="35">
        <f t="shared" si="0"/>
        <v>678</v>
      </c>
      <c r="E27" s="34">
        <v>111</v>
      </c>
      <c r="F27" s="48">
        <v>81</v>
      </c>
      <c r="G27" s="34">
        <f t="shared" si="1"/>
        <v>192</v>
      </c>
      <c r="H27" s="39">
        <f t="shared" si="2"/>
        <v>493</v>
      </c>
      <c r="I27" s="48">
        <f t="shared" si="3"/>
        <v>377</v>
      </c>
      <c r="J27" s="35">
        <f t="shared" si="4"/>
        <v>870</v>
      </c>
    </row>
    <row r="28" spans="1:10" x14ac:dyDescent="0.25">
      <c r="A28" s="12" t="s">
        <v>38</v>
      </c>
      <c r="B28" s="39">
        <v>243</v>
      </c>
      <c r="C28" s="48">
        <v>43</v>
      </c>
      <c r="D28" s="35">
        <f t="shared" si="0"/>
        <v>286</v>
      </c>
      <c r="E28" s="34">
        <v>186</v>
      </c>
      <c r="F28" s="48">
        <v>59</v>
      </c>
      <c r="G28" s="34">
        <f t="shared" si="1"/>
        <v>245</v>
      </c>
      <c r="H28" s="39">
        <f t="shared" si="2"/>
        <v>429</v>
      </c>
      <c r="I28" s="48">
        <f t="shared" si="3"/>
        <v>102</v>
      </c>
      <c r="J28" s="35">
        <f t="shared" si="4"/>
        <v>531</v>
      </c>
    </row>
    <row r="29" spans="1:10" x14ac:dyDescent="0.25">
      <c r="A29" s="12" t="s">
        <v>39</v>
      </c>
      <c r="B29" s="39">
        <v>0</v>
      </c>
      <c r="C29" s="48">
        <v>0</v>
      </c>
      <c r="D29" s="35">
        <f t="shared" si="0"/>
        <v>0</v>
      </c>
      <c r="E29" s="34">
        <v>24</v>
      </c>
      <c r="F29" s="48">
        <v>14</v>
      </c>
      <c r="G29" s="34">
        <f t="shared" si="1"/>
        <v>38</v>
      </c>
      <c r="H29" s="39">
        <f t="shared" si="2"/>
        <v>24</v>
      </c>
      <c r="I29" s="48">
        <f t="shared" si="3"/>
        <v>14</v>
      </c>
      <c r="J29" s="35">
        <f t="shared" si="4"/>
        <v>38</v>
      </c>
    </row>
    <row r="30" spans="1:10" x14ac:dyDescent="0.25">
      <c r="A30" s="12" t="s">
        <v>40</v>
      </c>
      <c r="B30" s="39">
        <v>0</v>
      </c>
      <c r="C30" s="48">
        <v>0</v>
      </c>
      <c r="D30" s="35">
        <f t="shared" si="0"/>
        <v>0</v>
      </c>
      <c r="E30" s="34">
        <v>15</v>
      </c>
      <c r="F30" s="48">
        <v>12</v>
      </c>
      <c r="G30" s="34">
        <f t="shared" si="1"/>
        <v>27</v>
      </c>
      <c r="H30" s="39">
        <f t="shared" si="2"/>
        <v>15</v>
      </c>
      <c r="I30" s="48">
        <f t="shared" si="3"/>
        <v>12</v>
      </c>
      <c r="J30" s="35">
        <f t="shared" si="4"/>
        <v>27</v>
      </c>
    </row>
    <row r="31" spans="1:10" x14ac:dyDescent="0.25">
      <c r="A31" s="12" t="s">
        <v>41</v>
      </c>
      <c r="B31" s="39">
        <v>89</v>
      </c>
      <c r="C31" s="48">
        <v>159</v>
      </c>
      <c r="D31" s="35">
        <f t="shared" si="0"/>
        <v>248</v>
      </c>
      <c r="E31" s="34">
        <v>59</v>
      </c>
      <c r="F31" s="48">
        <v>96</v>
      </c>
      <c r="G31" s="34">
        <f t="shared" si="1"/>
        <v>155</v>
      </c>
      <c r="H31" s="39">
        <f t="shared" si="2"/>
        <v>148</v>
      </c>
      <c r="I31" s="48">
        <f t="shared" si="3"/>
        <v>255</v>
      </c>
      <c r="J31" s="35">
        <f t="shared" si="4"/>
        <v>403</v>
      </c>
    </row>
    <row r="32" spans="1:10" x14ac:dyDescent="0.25">
      <c r="A32" s="12" t="s">
        <v>42</v>
      </c>
      <c r="B32" s="39">
        <v>0</v>
      </c>
      <c r="C32" s="48">
        <v>0</v>
      </c>
      <c r="D32" s="35">
        <f t="shared" si="0"/>
        <v>0</v>
      </c>
      <c r="E32" s="34">
        <v>4</v>
      </c>
      <c r="F32" s="48">
        <v>2</v>
      </c>
      <c r="G32" s="34">
        <f t="shared" si="1"/>
        <v>6</v>
      </c>
      <c r="H32" s="39">
        <f t="shared" si="2"/>
        <v>4</v>
      </c>
      <c r="I32" s="48">
        <f t="shared" si="3"/>
        <v>2</v>
      </c>
      <c r="J32" s="35">
        <f t="shared" si="4"/>
        <v>6</v>
      </c>
    </row>
    <row r="33" spans="1:10" x14ac:dyDescent="0.25">
      <c r="A33" s="12" t="s">
        <v>43</v>
      </c>
      <c r="B33" s="39">
        <v>86</v>
      </c>
      <c r="C33" s="48">
        <v>119</v>
      </c>
      <c r="D33" s="35">
        <f t="shared" si="0"/>
        <v>205</v>
      </c>
      <c r="E33" s="34">
        <v>0</v>
      </c>
      <c r="F33" s="48">
        <v>0</v>
      </c>
      <c r="G33" s="34">
        <f t="shared" si="1"/>
        <v>0</v>
      </c>
      <c r="H33" s="39">
        <f t="shared" si="2"/>
        <v>86</v>
      </c>
      <c r="I33" s="48">
        <f t="shared" si="3"/>
        <v>119</v>
      </c>
      <c r="J33" s="35">
        <f t="shared" si="4"/>
        <v>205</v>
      </c>
    </row>
    <row r="34" spans="1:10" x14ac:dyDescent="0.25">
      <c r="A34" s="12" t="s">
        <v>44</v>
      </c>
      <c r="B34" s="39">
        <v>45</v>
      </c>
      <c r="C34" s="48">
        <v>116</v>
      </c>
      <c r="D34" s="35">
        <f t="shared" si="0"/>
        <v>161</v>
      </c>
      <c r="E34" s="34">
        <v>41</v>
      </c>
      <c r="F34" s="48">
        <v>91</v>
      </c>
      <c r="G34" s="34">
        <f t="shared" si="1"/>
        <v>132</v>
      </c>
      <c r="H34" s="39">
        <f t="shared" si="2"/>
        <v>86</v>
      </c>
      <c r="I34" s="48">
        <f t="shared" si="3"/>
        <v>207</v>
      </c>
      <c r="J34" s="35">
        <f t="shared" si="4"/>
        <v>293</v>
      </c>
    </row>
    <row r="35" spans="1:10" x14ac:dyDescent="0.25">
      <c r="A35" s="12" t="s">
        <v>45</v>
      </c>
      <c r="B35" s="39">
        <v>73</v>
      </c>
      <c r="C35" s="48">
        <v>162</v>
      </c>
      <c r="D35" s="35">
        <f t="shared" si="0"/>
        <v>235</v>
      </c>
      <c r="E35" s="34">
        <v>3</v>
      </c>
      <c r="F35" s="48">
        <v>12</v>
      </c>
      <c r="G35" s="34">
        <f t="shared" si="1"/>
        <v>15</v>
      </c>
      <c r="H35" s="39">
        <f t="shared" si="2"/>
        <v>76</v>
      </c>
      <c r="I35" s="48">
        <f t="shared" si="3"/>
        <v>174</v>
      </c>
      <c r="J35" s="35">
        <f t="shared" si="4"/>
        <v>250</v>
      </c>
    </row>
    <row r="36" spans="1:10" x14ac:dyDescent="0.25">
      <c r="A36" s="12" t="s">
        <v>46</v>
      </c>
      <c r="B36" s="39">
        <v>0</v>
      </c>
      <c r="C36" s="48">
        <v>0</v>
      </c>
      <c r="D36" s="35">
        <f t="shared" si="0"/>
        <v>0</v>
      </c>
      <c r="E36" s="34">
        <v>11</v>
      </c>
      <c r="F36" s="48">
        <v>1</v>
      </c>
      <c r="G36" s="34">
        <f t="shared" si="1"/>
        <v>12</v>
      </c>
      <c r="H36" s="39">
        <f t="shared" si="2"/>
        <v>11</v>
      </c>
      <c r="I36" s="48">
        <f t="shared" si="3"/>
        <v>1</v>
      </c>
      <c r="J36" s="35">
        <f t="shared" si="4"/>
        <v>12</v>
      </c>
    </row>
    <row r="37" spans="1:10" x14ac:dyDescent="0.25">
      <c r="A37" s="12" t="s">
        <v>47</v>
      </c>
      <c r="B37" s="39">
        <v>146</v>
      </c>
      <c r="C37" s="48">
        <v>207</v>
      </c>
      <c r="D37" s="35">
        <f t="shared" si="0"/>
        <v>353</v>
      </c>
      <c r="E37" s="34">
        <v>91</v>
      </c>
      <c r="F37" s="48">
        <v>142</v>
      </c>
      <c r="G37" s="34">
        <f t="shared" si="1"/>
        <v>233</v>
      </c>
      <c r="H37" s="39">
        <f t="shared" si="2"/>
        <v>237</v>
      </c>
      <c r="I37" s="48">
        <f t="shared" si="3"/>
        <v>349</v>
      </c>
      <c r="J37" s="35">
        <f t="shared" si="4"/>
        <v>586</v>
      </c>
    </row>
    <row r="38" spans="1:10" x14ac:dyDescent="0.25">
      <c r="A38" s="12" t="s">
        <v>48</v>
      </c>
      <c r="B38" s="39">
        <v>51</v>
      </c>
      <c r="C38" s="48">
        <v>90</v>
      </c>
      <c r="D38" s="35">
        <f t="shared" si="0"/>
        <v>141</v>
      </c>
      <c r="E38" s="34">
        <v>8</v>
      </c>
      <c r="F38" s="48">
        <v>10</v>
      </c>
      <c r="G38" s="34">
        <f t="shared" si="1"/>
        <v>18</v>
      </c>
      <c r="H38" s="39">
        <f t="shared" si="2"/>
        <v>59</v>
      </c>
      <c r="I38" s="48">
        <f t="shared" si="3"/>
        <v>100</v>
      </c>
      <c r="J38" s="35">
        <f t="shared" si="4"/>
        <v>159</v>
      </c>
    </row>
    <row r="39" spans="1:10" x14ac:dyDescent="0.25">
      <c r="A39" s="12" t="s">
        <v>49</v>
      </c>
      <c r="B39" s="39">
        <v>56</v>
      </c>
      <c r="C39" s="48">
        <v>80</v>
      </c>
      <c r="D39" s="35">
        <f t="shared" si="0"/>
        <v>136</v>
      </c>
      <c r="E39" s="34">
        <v>20</v>
      </c>
      <c r="F39" s="48">
        <v>44</v>
      </c>
      <c r="G39" s="34">
        <f t="shared" si="1"/>
        <v>64</v>
      </c>
      <c r="H39" s="39">
        <f t="shared" si="2"/>
        <v>76</v>
      </c>
      <c r="I39" s="48">
        <f t="shared" si="3"/>
        <v>124</v>
      </c>
      <c r="J39" s="35">
        <f t="shared" si="4"/>
        <v>200</v>
      </c>
    </row>
    <row r="40" spans="1:10" x14ac:dyDescent="0.25">
      <c r="A40" s="12" t="s">
        <v>50</v>
      </c>
      <c r="B40" s="39">
        <v>10</v>
      </c>
      <c r="C40" s="48">
        <v>21</v>
      </c>
      <c r="D40" s="35">
        <f t="shared" si="0"/>
        <v>31</v>
      </c>
      <c r="E40" s="34">
        <v>8</v>
      </c>
      <c r="F40" s="48">
        <v>9</v>
      </c>
      <c r="G40" s="34">
        <f t="shared" si="1"/>
        <v>17</v>
      </c>
      <c r="H40" s="39">
        <f t="shared" si="2"/>
        <v>18</v>
      </c>
      <c r="I40" s="48">
        <f t="shared" si="3"/>
        <v>30</v>
      </c>
      <c r="J40" s="35">
        <f t="shared" si="4"/>
        <v>48</v>
      </c>
    </row>
    <row r="41" spans="1:10" x14ac:dyDescent="0.25">
      <c r="A41" s="12" t="s">
        <v>51</v>
      </c>
      <c r="B41" s="39">
        <v>185</v>
      </c>
      <c r="C41" s="48">
        <v>190</v>
      </c>
      <c r="D41" s="35">
        <f t="shared" si="0"/>
        <v>375</v>
      </c>
      <c r="E41" s="34">
        <v>68</v>
      </c>
      <c r="F41" s="48">
        <v>79</v>
      </c>
      <c r="G41" s="34">
        <f t="shared" si="1"/>
        <v>147</v>
      </c>
      <c r="H41" s="39">
        <f t="shared" si="2"/>
        <v>253</v>
      </c>
      <c r="I41" s="48">
        <f t="shared" si="3"/>
        <v>269</v>
      </c>
      <c r="J41" s="35">
        <f t="shared" si="4"/>
        <v>522</v>
      </c>
    </row>
    <row r="42" spans="1:10" x14ac:dyDescent="0.25">
      <c r="A42" s="12" t="s">
        <v>52</v>
      </c>
      <c r="B42" s="39">
        <v>27</v>
      </c>
      <c r="C42" s="48">
        <v>153</v>
      </c>
      <c r="D42" s="35">
        <f t="shared" si="0"/>
        <v>180</v>
      </c>
      <c r="E42" s="34">
        <v>11</v>
      </c>
      <c r="F42" s="48">
        <v>75</v>
      </c>
      <c r="G42" s="34">
        <f t="shared" si="1"/>
        <v>86</v>
      </c>
      <c r="H42" s="39">
        <f t="shared" si="2"/>
        <v>38</v>
      </c>
      <c r="I42" s="48">
        <f t="shared" si="3"/>
        <v>228</v>
      </c>
      <c r="J42" s="35">
        <f t="shared" si="4"/>
        <v>266</v>
      </c>
    </row>
    <row r="43" spans="1:10" x14ac:dyDescent="0.25">
      <c r="A43" s="12" t="s">
        <v>53</v>
      </c>
      <c r="B43" s="39">
        <v>0</v>
      </c>
      <c r="C43" s="48">
        <v>0</v>
      </c>
      <c r="D43" s="35">
        <f t="shared" si="0"/>
        <v>0</v>
      </c>
      <c r="E43" s="34">
        <v>0</v>
      </c>
      <c r="F43" s="48">
        <v>1</v>
      </c>
      <c r="G43" s="34">
        <f t="shared" si="1"/>
        <v>1</v>
      </c>
      <c r="H43" s="39">
        <f t="shared" si="2"/>
        <v>0</v>
      </c>
      <c r="I43" s="48">
        <f t="shared" si="3"/>
        <v>1</v>
      </c>
      <c r="J43" s="35">
        <f t="shared" si="4"/>
        <v>1</v>
      </c>
    </row>
    <row r="44" spans="1:10" x14ac:dyDescent="0.25">
      <c r="A44" s="12" t="s">
        <v>54</v>
      </c>
      <c r="B44" s="39">
        <v>0</v>
      </c>
      <c r="C44" s="48">
        <v>0</v>
      </c>
      <c r="D44" s="35">
        <f t="shared" si="0"/>
        <v>0</v>
      </c>
      <c r="E44" s="34">
        <v>71</v>
      </c>
      <c r="F44" s="48">
        <v>201</v>
      </c>
      <c r="G44" s="34">
        <f t="shared" si="1"/>
        <v>272</v>
      </c>
      <c r="H44" s="39">
        <f t="shared" si="2"/>
        <v>71</v>
      </c>
      <c r="I44" s="48">
        <f t="shared" si="3"/>
        <v>201</v>
      </c>
      <c r="J44" s="35">
        <f t="shared" si="4"/>
        <v>272</v>
      </c>
    </row>
    <row r="45" spans="1:10" x14ac:dyDescent="0.25">
      <c r="A45" s="12" t="s">
        <v>55</v>
      </c>
      <c r="B45" s="39">
        <v>43</v>
      </c>
      <c r="C45" s="48">
        <v>153</v>
      </c>
      <c r="D45" s="35">
        <f t="shared" si="0"/>
        <v>196</v>
      </c>
      <c r="E45" s="34">
        <v>10</v>
      </c>
      <c r="F45" s="48">
        <v>8</v>
      </c>
      <c r="G45" s="34">
        <f t="shared" si="1"/>
        <v>18</v>
      </c>
      <c r="H45" s="39">
        <f t="shared" si="2"/>
        <v>53</v>
      </c>
      <c r="I45" s="48">
        <f t="shared" si="3"/>
        <v>161</v>
      </c>
      <c r="J45" s="35">
        <f t="shared" si="4"/>
        <v>214</v>
      </c>
    </row>
    <row r="46" spans="1:10" x14ac:dyDescent="0.25">
      <c r="A46" s="12" t="s">
        <v>56</v>
      </c>
      <c r="B46" s="39">
        <v>86</v>
      </c>
      <c r="C46" s="48">
        <v>127</v>
      </c>
      <c r="D46" s="35">
        <f t="shared" si="0"/>
        <v>213</v>
      </c>
      <c r="E46" s="34">
        <v>0</v>
      </c>
      <c r="F46" s="48">
        <v>0</v>
      </c>
      <c r="G46" s="34">
        <f t="shared" si="1"/>
        <v>0</v>
      </c>
      <c r="H46" s="39">
        <f t="shared" si="2"/>
        <v>86</v>
      </c>
      <c r="I46" s="48">
        <f t="shared" si="3"/>
        <v>127</v>
      </c>
      <c r="J46" s="35">
        <f t="shared" si="4"/>
        <v>213</v>
      </c>
    </row>
    <row r="47" spans="1:10" x14ac:dyDescent="0.25">
      <c r="A47" s="12" t="s">
        <v>1</v>
      </c>
      <c r="B47" s="39">
        <v>216</v>
      </c>
      <c r="C47" s="48">
        <v>312</v>
      </c>
      <c r="D47" s="35">
        <f t="shared" si="0"/>
        <v>528</v>
      </c>
      <c r="E47" s="34">
        <v>193</v>
      </c>
      <c r="F47" s="48">
        <v>265</v>
      </c>
      <c r="G47" s="34">
        <f t="shared" si="1"/>
        <v>458</v>
      </c>
      <c r="H47" s="39">
        <f t="shared" si="2"/>
        <v>409</v>
      </c>
      <c r="I47" s="48">
        <f t="shared" si="3"/>
        <v>577</v>
      </c>
      <c r="J47" s="35">
        <f t="shared" si="4"/>
        <v>986</v>
      </c>
    </row>
    <row r="48" spans="1:10" x14ac:dyDescent="0.25">
      <c r="A48" s="12" t="s">
        <v>57</v>
      </c>
      <c r="B48" s="39">
        <v>0</v>
      </c>
      <c r="C48" s="48">
        <v>0</v>
      </c>
      <c r="D48" s="35">
        <f t="shared" si="0"/>
        <v>0</v>
      </c>
      <c r="E48" s="34">
        <v>34</v>
      </c>
      <c r="F48" s="48">
        <v>41</v>
      </c>
      <c r="G48" s="34">
        <f t="shared" si="1"/>
        <v>75</v>
      </c>
      <c r="H48" s="39">
        <f t="shared" si="2"/>
        <v>34</v>
      </c>
      <c r="I48" s="48">
        <f t="shared" si="3"/>
        <v>41</v>
      </c>
      <c r="J48" s="35">
        <f t="shared" si="4"/>
        <v>75</v>
      </c>
    </row>
    <row r="49" spans="1:10" x14ac:dyDescent="0.25">
      <c r="A49" s="12" t="s">
        <v>58</v>
      </c>
      <c r="B49" s="39">
        <v>148</v>
      </c>
      <c r="C49" s="48">
        <v>146</v>
      </c>
      <c r="D49" s="35">
        <f t="shared" si="0"/>
        <v>294</v>
      </c>
      <c r="E49" s="34">
        <v>84</v>
      </c>
      <c r="F49" s="48">
        <v>57</v>
      </c>
      <c r="G49" s="34">
        <f t="shared" si="1"/>
        <v>141</v>
      </c>
      <c r="H49" s="39">
        <f t="shared" si="2"/>
        <v>232</v>
      </c>
      <c r="I49" s="48">
        <f t="shared" si="3"/>
        <v>203</v>
      </c>
      <c r="J49" s="35">
        <f t="shared" si="4"/>
        <v>435</v>
      </c>
    </row>
    <row r="50" spans="1:10" x14ac:dyDescent="0.25">
      <c r="A50" s="12" t="s">
        <v>59</v>
      </c>
      <c r="B50" s="39">
        <v>333</v>
      </c>
      <c r="C50" s="48">
        <v>291</v>
      </c>
      <c r="D50" s="35">
        <f t="shared" si="0"/>
        <v>624</v>
      </c>
      <c r="E50" s="34">
        <v>34</v>
      </c>
      <c r="F50" s="48">
        <v>11</v>
      </c>
      <c r="G50" s="34">
        <f t="shared" si="1"/>
        <v>45</v>
      </c>
      <c r="H50" s="39">
        <f t="shared" si="2"/>
        <v>367</v>
      </c>
      <c r="I50" s="48">
        <f t="shared" si="3"/>
        <v>302</v>
      </c>
      <c r="J50" s="35">
        <f t="shared" si="4"/>
        <v>669</v>
      </c>
    </row>
    <row r="51" spans="1:10" x14ac:dyDescent="0.25">
      <c r="A51" s="12" t="s">
        <v>60</v>
      </c>
      <c r="B51" s="39">
        <v>328</v>
      </c>
      <c r="C51" s="48">
        <v>52</v>
      </c>
      <c r="D51" s="35">
        <f t="shared" si="0"/>
        <v>380</v>
      </c>
      <c r="E51" s="34">
        <v>155</v>
      </c>
      <c r="F51" s="48">
        <v>34</v>
      </c>
      <c r="G51" s="34">
        <f t="shared" si="1"/>
        <v>189</v>
      </c>
      <c r="H51" s="39">
        <f t="shared" si="2"/>
        <v>483</v>
      </c>
      <c r="I51" s="48">
        <f t="shared" si="3"/>
        <v>86</v>
      </c>
      <c r="J51" s="35">
        <f t="shared" si="4"/>
        <v>569</v>
      </c>
    </row>
    <row r="52" spans="1:10" x14ac:dyDescent="0.25">
      <c r="A52" s="12" t="s">
        <v>61</v>
      </c>
      <c r="B52" s="39">
        <v>41</v>
      </c>
      <c r="C52" s="48">
        <v>26</v>
      </c>
      <c r="D52" s="35">
        <f t="shared" si="0"/>
        <v>67</v>
      </c>
      <c r="E52" s="34">
        <v>85</v>
      </c>
      <c r="F52" s="48">
        <v>59</v>
      </c>
      <c r="G52" s="34">
        <f t="shared" si="1"/>
        <v>144</v>
      </c>
      <c r="H52" s="39">
        <f t="shared" si="2"/>
        <v>126</v>
      </c>
      <c r="I52" s="48">
        <f t="shared" si="3"/>
        <v>85</v>
      </c>
      <c r="J52" s="35">
        <f t="shared" si="4"/>
        <v>211</v>
      </c>
    </row>
    <row r="53" spans="1:10" x14ac:dyDescent="0.25">
      <c r="A53" s="12" t="s">
        <v>62</v>
      </c>
      <c r="B53" s="39">
        <v>0</v>
      </c>
      <c r="C53" s="48">
        <v>0</v>
      </c>
      <c r="D53" s="35">
        <f t="shared" si="0"/>
        <v>0</v>
      </c>
      <c r="E53" s="34">
        <v>14</v>
      </c>
      <c r="F53" s="48">
        <v>16</v>
      </c>
      <c r="G53" s="34">
        <f t="shared" si="1"/>
        <v>30</v>
      </c>
      <c r="H53" s="39">
        <f t="shared" si="2"/>
        <v>14</v>
      </c>
      <c r="I53" s="48">
        <f t="shared" si="3"/>
        <v>16</v>
      </c>
      <c r="J53" s="35">
        <f t="shared" si="4"/>
        <v>30</v>
      </c>
    </row>
    <row r="54" spans="1:10" x14ac:dyDescent="0.25">
      <c r="A54" s="12" t="s">
        <v>63</v>
      </c>
      <c r="B54" s="39">
        <v>153</v>
      </c>
      <c r="C54" s="48">
        <v>119</v>
      </c>
      <c r="D54" s="35">
        <f t="shared" si="0"/>
        <v>272</v>
      </c>
      <c r="E54" s="34">
        <v>0</v>
      </c>
      <c r="F54" s="48">
        <v>0</v>
      </c>
      <c r="G54" s="34">
        <f t="shared" si="1"/>
        <v>0</v>
      </c>
      <c r="H54" s="39">
        <f t="shared" si="2"/>
        <v>153</v>
      </c>
      <c r="I54" s="48">
        <f t="shared" si="3"/>
        <v>119</v>
      </c>
      <c r="J54" s="35">
        <f t="shared" si="4"/>
        <v>272</v>
      </c>
    </row>
    <row r="55" spans="1:10" x14ac:dyDescent="0.25">
      <c r="A55" s="12" t="s">
        <v>64</v>
      </c>
      <c r="B55" s="39">
        <v>90</v>
      </c>
      <c r="C55" s="48">
        <v>71</v>
      </c>
      <c r="D55" s="35">
        <f t="shared" si="0"/>
        <v>161</v>
      </c>
      <c r="E55" s="34">
        <v>54</v>
      </c>
      <c r="F55" s="48">
        <v>35</v>
      </c>
      <c r="G55" s="34">
        <f t="shared" si="1"/>
        <v>89</v>
      </c>
      <c r="H55" s="39">
        <f t="shared" si="2"/>
        <v>144</v>
      </c>
      <c r="I55" s="48">
        <f t="shared" si="3"/>
        <v>106</v>
      </c>
      <c r="J55" s="35">
        <f t="shared" si="4"/>
        <v>250</v>
      </c>
    </row>
    <row r="56" spans="1:10" x14ac:dyDescent="0.25">
      <c r="A56" s="12" t="s">
        <v>65</v>
      </c>
      <c r="B56" s="39">
        <v>320</v>
      </c>
      <c r="C56" s="48">
        <v>96</v>
      </c>
      <c r="D56" s="35">
        <f t="shared" si="0"/>
        <v>416</v>
      </c>
      <c r="E56" s="34">
        <v>114</v>
      </c>
      <c r="F56" s="48">
        <v>39</v>
      </c>
      <c r="G56" s="34">
        <f t="shared" si="1"/>
        <v>153</v>
      </c>
      <c r="H56" s="39">
        <f t="shared" si="2"/>
        <v>434</v>
      </c>
      <c r="I56" s="48">
        <f t="shared" si="3"/>
        <v>135</v>
      </c>
      <c r="J56" s="35">
        <f t="shared" si="4"/>
        <v>569</v>
      </c>
    </row>
    <row r="57" spans="1:10" x14ac:dyDescent="0.25">
      <c r="A57" s="12" t="s">
        <v>66</v>
      </c>
      <c r="B57" s="39">
        <v>16</v>
      </c>
      <c r="C57" s="48">
        <v>35</v>
      </c>
      <c r="D57" s="35">
        <f t="shared" si="0"/>
        <v>51</v>
      </c>
      <c r="E57" s="34">
        <v>184</v>
      </c>
      <c r="F57" s="48">
        <v>224</v>
      </c>
      <c r="G57" s="34">
        <f t="shared" si="1"/>
        <v>408</v>
      </c>
      <c r="H57" s="39">
        <f t="shared" si="2"/>
        <v>200</v>
      </c>
      <c r="I57" s="48">
        <f t="shared" si="3"/>
        <v>259</v>
      </c>
      <c r="J57" s="35">
        <f t="shared" si="4"/>
        <v>459</v>
      </c>
    </row>
    <row r="58" spans="1:10" x14ac:dyDescent="0.25">
      <c r="A58" s="12" t="s">
        <v>67</v>
      </c>
      <c r="B58" s="39">
        <v>130</v>
      </c>
      <c r="C58" s="48">
        <v>533</v>
      </c>
      <c r="D58" s="35">
        <f t="shared" si="0"/>
        <v>663</v>
      </c>
      <c r="E58" s="34">
        <v>236</v>
      </c>
      <c r="F58" s="48">
        <v>685</v>
      </c>
      <c r="G58" s="34">
        <f t="shared" si="1"/>
        <v>921</v>
      </c>
      <c r="H58" s="39">
        <f t="shared" si="2"/>
        <v>366</v>
      </c>
      <c r="I58" s="48">
        <f t="shared" si="3"/>
        <v>1218</v>
      </c>
      <c r="J58" s="35">
        <f t="shared" si="4"/>
        <v>1584</v>
      </c>
    </row>
    <row r="59" spans="1:10" x14ac:dyDescent="0.25">
      <c r="A59" s="12" t="s">
        <v>68</v>
      </c>
      <c r="B59" s="39">
        <v>31</v>
      </c>
      <c r="C59" s="48">
        <v>72</v>
      </c>
      <c r="D59" s="35">
        <f t="shared" si="0"/>
        <v>103</v>
      </c>
      <c r="E59" s="34">
        <v>4</v>
      </c>
      <c r="F59" s="48">
        <v>7</v>
      </c>
      <c r="G59" s="34">
        <f t="shared" si="1"/>
        <v>11</v>
      </c>
      <c r="H59" s="39">
        <f t="shared" si="2"/>
        <v>35</v>
      </c>
      <c r="I59" s="48">
        <f t="shared" si="3"/>
        <v>79</v>
      </c>
      <c r="J59" s="35">
        <f t="shared" si="4"/>
        <v>114</v>
      </c>
    </row>
    <row r="60" spans="1:10" x14ac:dyDescent="0.25">
      <c r="A60" s="12" t="s">
        <v>69</v>
      </c>
      <c r="B60" s="39">
        <v>0</v>
      </c>
      <c r="C60" s="48">
        <v>0</v>
      </c>
      <c r="D60" s="35">
        <f t="shared" si="0"/>
        <v>0</v>
      </c>
      <c r="E60" s="34">
        <v>76</v>
      </c>
      <c r="F60" s="48">
        <v>67</v>
      </c>
      <c r="G60" s="34">
        <f t="shared" si="1"/>
        <v>143</v>
      </c>
      <c r="H60" s="39">
        <f t="shared" si="2"/>
        <v>76</v>
      </c>
      <c r="I60" s="48">
        <f t="shared" si="3"/>
        <v>67</v>
      </c>
      <c r="J60" s="35">
        <f t="shared" si="4"/>
        <v>143</v>
      </c>
    </row>
    <row r="61" spans="1:10" x14ac:dyDescent="0.25">
      <c r="A61" s="12" t="s">
        <v>70</v>
      </c>
      <c r="B61" s="39">
        <v>342</v>
      </c>
      <c r="C61" s="48">
        <v>343</v>
      </c>
      <c r="D61" s="35">
        <f t="shared" si="0"/>
        <v>685</v>
      </c>
      <c r="E61" s="34">
        <v>123</v>
      </c>
      <c r="F61" s="48">
        <v>156</v>
      </c>
      <c r="G61" s="34">
        <f t="shared" si="1"/>
        <v>279</v>
      </c>
      <c r="H61" s="39">
        <f t="shared" si="2"/>
        <v>465</v>
      </c>
      <c r="I61" s="48">
        <f t="shared" si="3"/>
        <v>499</v>
      </c>
      <c r="J61" s="35">
        <f t="shared" si="4"/>
        <v>964</v>
      </c>
    </row>
    <row r="62" spans="1:10" x14ac:dyDescent="0.25">
      <c r="A62" s="12" t="s">
        <v>71</v>
      </c>
      <c r="B62" s="39">
        <v>33</v>
      </c>
      <c r="C62" s="48">
        <v>26</v>
      </c>
      <c r="D62" s="35">
        <f t="shared" si="0"/>
        <v>59</v>
      </c>
      <c r="E62" s="34">
        <v>4</v>
      </c>
      <c r="F62" s="48">
        <v>8</v>
      </c>
      <c r="G62" s="34">
        <f t="shared" si="1"/>
        <v>12</v>
      </c>
      <c r="H62" s="39">
        <f t="shared" si="2"/>
        <v>37</v>
      </c>
      <c r="I62" s="48">
        <f t="shared" si="3"/>
        <v>34</v>
      </c>
      <c r="J62" s="35">
        <f t="shared" si="4"/>
        <v>71</v>
      </c>
    </row>
    <row r="63" spans="1:10" x14ac:dyDescent="0.25">
      <c r="A63" s="12" t="s">
        <v>72</v>
      </c>
      <c r="B63" s="39">
        <v>0</v>
      </c>
      <c r="C63" s="48">
        <v>0</v>
      </c>
      <c r="D63" s="35">
        <f t="shared" si="0"/>
        <v>0</v>
      </c>
      <c r="E63" s="34">
        <v>73</v>
      </c>
      <c r="F63" s="48">
        <v>28</v>
      </c>
      <c r="G63" s="34">
        <f t="shared" si="1"/>
        <v>101</v>
      </c>
      <c r="H63" s="39">
        <f t="shared" si="2"/>
        <v>73</v>
      </c>
      <c r="I63" s="48">
        <f t="shared" si="3"/>
        <v>28</v>
      </c>
      <c r="J63" s="35">
        <f t="shared" si="4"/>
        <v>101</v>
      </c>
    </row>
    <row r="64" spans="1:10" x14ac:dyDescent="0.25">
      <c r="A64" s="12" t="s">
        <v>73</v>
      </c>
      <c r="B64" s="39">
        <v>25</v>
      </c>
      <c r="C64" s="48">
        <v>82</v>
      </c>
      <c r="D64" s="35">
        <f t="shared" si="0"/>
        <v>107</v>
      </c>
      <c r="E64" s="34">
        <v>2</v>
      </c>
      <c r="F64" s="48">
        <v>9</v>
      </c>
      <c r="G64" s="34">
        <f t="shared" si="1"/>
        <v>11</v>
      </c>
      <c r="H64" s="39">
        <f t="shared" si="2"/>
        <v>27</v>
      </c>
      <c r="I64" s="48">
        <f t="shared" si="3"/>
        <v>91</v>
      </c>
      <c r="J64" s="35">
        <f t="shared" si="4"/>
        <v>118</v>
      </c>
    </row>
    <row r="65" spans="1:10" x14ac:dyDescent="0.25">
      <c r="A65" s="12" t="s">
        <v>74</v>
      </c>
      <c r="B65" s="39">
        <v>170</v>
      </c>
      <c r="C65" s="48">
        <v>178</v>
      </c>
      <c r="D65" s="35">
        <f t="shared" si="0"/>
        <v>348</v>
      </c>
      <c r="E65" s="34">
        <v>28</v>
      </c>
      <c r="F65" s="48">
        <v>23</v>
      </c>
      <c r="G65" s="34">
        <f t="shared" si="1"/>
        <v>51</v>
      </c>
      <c r="H65" s="39">
        <f t="shared" si="2"/>
        <v>198</v>
      </c>
      <c r="I65" s="48">
        <f t="shared" si="3"/>
        <v>201</v>
      </c>
      <c r="J65" s="35">
        <f t="shared" si="4"/>
        <v>399</v>
      </c>
    </row>
    <row r="66" spans="1:10" x14ac:dyDescent="0.25">
      <c r="A66" s="12" t="s">
        <v>75</v>
      </c>
      <c r="B66" s="39">
        <v>0</v>
      </c>
      <c r="C66" s="48">
        <v>0</v>
      </c>
      <c r="D66" s="35">
        <f t="shared" si="0"/>
        <v>0</v>
      </c>
      <c r="E66" s="34">
        <v>14</v>
      </c>
      <c r="F66" s="48">
        <v>13</v>
      </c>
      <c r="G66" s="34">
        <f t="shared" si="1"/>
        <v>27</v>
      </c>
      <c r="H66" s="39">
        <f t="shared" si="2"/>
        <v>14</v>
      </c>
      <c r="I66" s="48">
        <f t="shared" si="3"/>
        <v>13</v>
      </c>
      <c r="J66" s="35">
        <f t="shared" si="4"/>
        <v>27</v>
      </c>
    </row>
    <row r="67" spans="1:10" x14ac:dyDescent="0.25">
      <c r="A67" s="12" t="s">
        <v>76</v>
      </c>
      <c r="B67" s="39">
        <v>0</v>
      </c>
      <c r="C67" s="48">
        <v>0</v>
      </c>
      <c r="D67" s="35">
        <f t="shared" si="0"/>
        <v>0</v>
      </c>
      <c r="E67" s="34">
        <v>14</v>
      </c>
      <c r="F67" s="48">
        <v>29</v>
      </c>
      <c r="G67" s="34">
        <f t="shared" si="1"/>
        <v>43</v>
      </c>
      <c r="H67" s="39">
        <f t="shared" si="2"/>
        <v>14</v>
      </c>
      <c r="I67" s="48">
        <f t="shared" si="3"/>
        <v>29</v>
      </c>
      <c r="J67" s="35">
        <f t="shared" si="4"/>
        <v>43</v>
      </c>
    </row>
    <row r="68" spans="1:10" x14ac:dyDescent="0.25">
      <c r="A68" s="12" t="s">
        <v>77</v>
      </c>
      <c r="B68" s="39">
        <v>0</v>
      </c>
      <c r="C68" s="48">
        <v>0</v>
      </c>
      <c r="D68" s="35">
        <f t="shared" si="0"/>
        <v>0</v>
      </c>
      <c r="E68" s="34">
        <v>43</v>
      </c>
      <c r="F68" s="48">
        <v>64</v>
      </c>
      <c r="G68" s="34">
        <f t="shared" si="1"/>
        <v>107</v>
      </c>
      <c r="H68" s="39">
        <f t="shared" si="2"/>
        <v>43</v>
      </c>
      <c r="I68" s="48">
        <f t="shared" si="3"/>
        <v>64</v>
      </c>
      <c r="J68" s="35">
        <f t="shared" si="4"/>
        <v>107</v>
      </c>
    </row>
    <row r="69" spans="1:10" x14ac:dyDescent="0.25">
      <c r="A69" s="12" t="s">
        <v>78</v>
      </c>
      <c r="B69" s="39">
        <v>0</v>
      </c>
      <c r="C69" s="48">
        <v>0</v>
      </c>
      <c r="D69" s="35">
        <f t="shared" si="0"/>
        <v>0</v>
      </c>
      <c r="E69" s="34">
        <v>20</v>
      </c>
      <c r="F69" s="48">
        <v>11</v>
      </c>
      <c r="G69" s="34">
        <f t="shared" si="1"/>
        <v>31</v>
      </c>
      <c r="H69" s="39">
        <f t="shared" si="2"/>
        <v>20</v>
      </c>
      <c r="I69" s="48">
        <f t="shared" si="3"/>
        <v>11</v>
      </c>
      <c r="J69" s="35">
        <f t="shared" si="4"/>
        <v>31</v>
      </c>
    </row>
    <row r="70" spans="1:10" x14ac:dyDescent="0.25">
      <c r="A70" s="12" t="s">
        <v>79</v>
      </c>
      <c r="B70" s="39">
        <v>11</v>
      </c>
      <c r="C70" s="48">
        <v>43</v>
      </c>
      <c r="D70" s="35">
        <f t="shared" si="0"/>
        <v>54</v>
      </c>
      <c r="E70" s="34">
        <v>90</v>
      </c>
      <c r="F70" s="48">
        <v>317</v>
      </c>
      <c r="G70" s="34">
        <f t="shared" si="1"/>
        <v>407</v>
      </c>
      <c r="H70" s="39">
        <f t="shared" si="2"/>
        <v>101</v>
      </c>
      <c r="I70" s="48">
        <f t="shared" si="3"/>
        <v>360</v>
      </c>
      <c r="J70" s="35">
        <f t="shared" si="4"/>
        <v>461</v>
      </c>
    </row>
    <row r="71" spans="1:10" x14ac:dyDescent="0.25">
      <c r="A71" s="12" t="s">
        <v>80</v>
      </c>
      <c r="B71" s="39">
        <v>11</v>
      </c>
      <c r="C71" s="48">
        <v>48</v>
      </c>
      <c r="D71" s="35">
        <f t="shared" si="0"/>
        <v>59</v>
      </c>
      <c r="E71" s="34">
        <v>23</v>
      </c>
      <c r="F71" s="48">
        <v>64</v>
      </c>
      <c r="G71" s="34">
        <f t="shared" si="1"/>
        <v>87</v>
      </c>
      <c r="H71" s="39">
        <f t="shared" si="2"/>
        <v>34</v>
      </c>
      <c r="I71" s="48">
        <f t="shared" si="3"/>
        <v>112</v>
      </c>
      <c r="J71" s="35">
        <f t="shared" si="4"/>
        <v>146</v>
      </c>
    </row>
    <row r="72" spans="1:10" x14ac:dyDescent="0.25">
      <c r="A72" s="12" t="s">
        <v>81</v>
      </c>
      <c r="B72" s="39">
        <v>0</v>
      </c>
      <c r="C72" s="48">
        <v>0</v>
      </c>
      <c r="D72" s="35">
        <f t="shared" ref="D72:D81" si="5">SUM(B72:C72)</f>
        <v>0</v>
      </c>
      <c r="E72" s="34">
        <v>243</v>
      </c>
      <c r="F72" s="48">
        <v>244</v>
      </c>
      <c r="G72" s="34">
        <f t="shared" ref="G72:G81" si="6">SUM(E72:F72)</f>
        <v>487</v>
      </c>
      <c r="H72" s="39">
        <f t="shared" ref="H72:H81" si="7">B72+E72</f>
        <v>243</v>
      </c>
      <c r="I72" s="48">
        <f t="shared" ref="I72:I81" si="8">C72+F72</f>
        <v>244</v>
      </c>
      <c r="J72" s="35">
        <f t="shared" ref="J72:J81" si="9">SUM(H72:I72)</f>
        <v>487</v>
      </c>
    </row>
    <row r="73" spans="1:10" x14ac:dyDescent="0.25">
      <c r="A73" s="12" t="s">
        <v>82</v>
      </c>
      <c r="B73" s="39">
        <v>8</v>
      </c>
      <c r="C73" s="48">
        <v>8</v>
      </c>
      <c r="D73" s="35">
        <f t="shared" si="5"/>
        <v>16</v>
      </c>
      <c r="E73" s="34">
        <v>57</v>
      </c>
      <c r="F73" s="48">
        <v>121</v>
      </c>
      <c r="G73" s="34">
        <f t="shared" si="6"/>
        <v>178</v>
      </c>
      <c r="H73" s="39">
        <f t="shared" si="7"/>
        <v>65</v>
      </c>
      <c r="I73" s="48">
        <f t="shared" si="8"/>
        <v>129</v>
      </c>
      <c r="J73" s="35">
        <f t="shared" si="9"/>
        <v>194</v>
      </c>
    </row>
    <row r="74" spans="1:10" x14ac:dyDescent="0.25">
      <c r="A74" s="12" t="s">
        <v>83</v>
      </c>
      <c r="B74" s="39">
        <v>0</v>
      </c>
      <c r="C74" s="48">
        <v>1</v>
      </c>
      <c r="D74" s="35">
        <f t="shared" si="5"/>
        <v>1</v>
      </c>
      <c r="E74" s="34">
        <v>3</v>
      </c>
      <c r="F74" s="48">
        <v>3</v>
      </c>
      <c r="G74" s="34">
        <f t="shared" si="6"/>
        <v>6</v>
      </c>
      <c r="H74" s="39">
        <f t="shared" si="7"/>
        <v>3</v>
      </c>
      <c r="I74" s="48">
        <f t="shared" si="8"/>
        <v>4</v>
      </c>
      <c r="J74" s="35">
        <f t="shared" si="9"/>
        <v>7</v>
      </c>
    </row>
    <row r="75" spans="1:10" x14ac:dyDescent="0.25">
      <c r="A75" s="12" t="s">
        <v>84</v>
      </c>
      <c r="B75" s="39">
        <v>865</v>
      </c>
      <c r="C75" s="48">
        <v>853</v>
      </c>
      <c r="D75" s="35">
        <f t="shared" si="5"/>
        <v>1718</v>
      </c>
      <c r="E75" s="34">
        <v>36</v>
      </c>
      <c r="F75" s="48">
        <v>35</v>
      </c>
      <c r="G75" s="34">
        <f t="shared" si="6"/>
        <v>71</v>
      </c>
      <c r="H75" s="39">
        <f t="shared" si="7"/>
        <v>901</v>
      </c>
      <c r="I75" s="48">
        <f t="shared" si="8"/>
        <v>888</v>
      </c>
      <c r="J75" s="35">
        <f t="shared" si="9"/>
        <v>1789</v>
      </c>
    </row>
    <row r="76" spans="1:10" x14ac:dyDescent="0.25">
      <c r="A76" s="12" t="s">
        <v>85</v>
      </c>
      <c r="B76" s="39">
        <v>5</v>
      </c>
      <c r="C76" s="48">
        <v>5</v>
      </c>
      <c r="D76" s="35">
        <f t="shared" si="5"/>
        <v>10</v>
      </c>
      <c r="E76" s="34">
        <v>91</v>
      </c>
      <c r="F76" s="48">
        <v>127</v>
      </c>
      <c r="G76" s="34">
        <f t="shared" si="6"/>
        <v>218</v>
      </c>
      <c r="H76" s="39">
        <f t="shared" si="7"/>
        <v>96</v>
      </c>
      <c r="I76" s="48">
        <f t="shared" si="8"/>
        <v>132</v>
      </c>
      <c r="J76" s="35">
        <f t="shared" si="9"/>
        <v>228</v>
      </c>
    </row>
    <row r="77" spans="1:10" x14ac:dyDescent="0.25">
      <c r="A77" s="12" t="s">
        <v>86</v>
      </c>
      <c r="B77" s="39">
        <v>0</v>
      </c>
      <c r="C77" s="48">
        <v>0</v>
      </c>
      <c r="D77" s="35">
        <f t="shared" si="5"/>
        <v>0</v>
      </c>
      <c r="E77" s="34">
        <v>129</v>
      </c>
      <c r="F77" s="48">
        <v>155</v>
      </c>
      <c r="G77" s="34">
        <f t="shared" si="6"/>
        <v>284</v>
      </c>
      <c r="H77" s="39">
        <f t="shared" si="7"/>
        <v>129</v>
      </c>
      <c r="I77" s="48">
        <f t="shared" si="8"/>
        <v>155</v>
      </c>
      <c r="J77" s="35">
        <f t="shared" si="9"/>
        <v>284</v>
      </c>
    </row>
    <row r="78" spans="1:10" x14ac:dyDescent="0.25">
      <c r="A78" s="12" t="s">
        <v>87</v>
      </c>
      <c r="B78" s="39">
        <v>0</v>
      </c>
      <c r="C78" s="48">
        <v>0</v>
      </c>
      <c r="D78" s="35">
        <f t="shared" si="5"/>
        <v>0</v>
      </c>
      <c r="E78" s="34">
        <v>51</v>
      </c>
      <c r="F78" s="48">
        <v>74</v>
      </c>
      <c r="G78" s="34">
        <f t="shared" si="6"/>
        <v>125</v>
      </c>
      <c r="H78" s="39">
        <f t="shared" si="7"/>
        <v>51</v>
      </c>
      <c r="I78" s="48">
        <f t="shared" si="8"/>
        <v>74</v>
      </c>
      <c r="J78" s="35">
        <f t="shared" si="9"/>
        <v>125</v>
      </c>
    </row>
    <row r="79" spans="1:10" x14ac:dyDescent="0.25">
      <c r="A79" s="12" t="s">
        <v>88</v>
      </c>
      <c r="B79" s="39">
        <v>6</v>
      </c>
      <c r="C79" s="48">
        <v>4</v>
      </c>
      <c r="D79" s="35">
        <f t="shared" si="5"/>
        <v>10</v>
      </c>
      <c r="E79" s="34">
        <v>107</v>
      </c>
      <c r="F79" s="48">
        <v>191</v>
      </c>
      <c r="G79" s="34">
        <f t="shared" si="6"/>
        <v>298</v>
      </c>
      <c r="H79" s="39">
        <f t="shared" si="7"/>
        <v>113</v>
      </c>
      <c r="I79" s="48">
        <f t="shared" si="8"/>
        <v>195</v>
      </c>
      <c r="J79" s="35">
        <f t="shared" si="9"/>
        <v>308</v>
      </c>
    </row>
    <row r="80" spans="1:10" ht="15.75" thickBot="1" x14ac:dyDescent="0.3">
      <c r="A80" s="13" t="s">
        <v>89</v>
      </c>
      <c r="B80" s="43">
        <v>19</v>
      </c>
      <c r="C80" s="46">
        <v>9</v>
      </c>
      <c r="D80" s="45">
        <f t="shared" si="5"/>
        <v>28</v>
      </c>
      <c r="E80" s="44">
        <v>175</v>
      </c>
      <c r="F80" s="46">
        <v>73</v>
      </c>
      <c r="G80" s="44">
        <f t="shared" si="6"/>
        <v>248</v>
      </c>
      <c r="H80" s="43">
        <f t="shared" si="7"/>
        <v>194</v>
      </c>
      <c r="I80" s="46">
        <f t="shared" si="8"/>
        <v>82</v>
      </c>
      <c r="J80" s="45">
        <f t="shared" si="9"/>
        <v>276</v>
      </c>
    </row>
    <row r="81" spans="1:10" ht="16.5" thickTop="1" thickBot="1" x14ac:dyDescent="0.3">
      <c r="A81" s="8" t="s">
        <v>0</v>
      </c>
      <c r="B81" s="8">
        <f>SUM(B7:B80)</f>
        <v>6642</v>
      </c>
      <c r="C81" s="8">
        <f>SUM(C7:C80)</f>
        <v>7130</v>
      </c>
      <c r="D81" s="9">
        <f t="shared" si="5"/>
        <v>13772</v>
      </c>
      <c r="E81" s="36">
        <f>SUM(E7:E80)</f>
        <v>4965</v>
      </c>
      <c r="F81" s="8">
        <f>SUM(F7:F80)</f>
        <v>6043</v>
      </c>
      <c r="G81" s="8">
        <f t="shared" si="6"/>
        <v>11008</v>
      </c>
      <c r="H81" s="8">
        <f t="shared" si="7"/>
        <v>11607</v>
      </c>
      <c r="I81" s="8">
        <f t="shared" si="8"/>
        <v>13173</v>
      </c>
      <c r="J81" s="9">
        <f t="shared" si="9"/>
        <v>24780</v>
      </c>
    </row>
    <row r="82" spans="1:10" ht="15.75" thickBo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x14ac:dyDescent="0.25">
      <c r="A83" s="16" t="s">
        <v>16</v>
      </c>
      <c r="B83" s="58" t="s">
        <v>3</v>
      </c>
      <c r="C83" s="59"/>
      <c r="D83" s="60"/>
      <c r="E83" s="58" t="s">
        <v>4</v>
      </c>
      <c r="F83" s="59"/>
      <c r="G83" s="60"/>
      <c r="H83" s="58" t="s">
        <v>0</v>
      </c>
      <c r="I83" s="59"/>
      <c r="J83" s="60"/>
    </row>
    <row r="84" spans="1:10" x14ac:dyDescent="0.25">
      <c r="A84" s="17"/>
      <c r="B84" s="32" t="s">
        <v>5</v>
      </c>
      <c r="C84" s="31" t="s">
        <v>6</v>
      </c>
      <c r="D84" s="33" t="s">
        <v>0</v>
      </c>
      <c r="E84" s="32" t="s">
        <v>5</v>
      </c>
      <c r="F84" s="31" t="s">
        <v>6</v>
      </c>
      <c r="G84" s="30" t="s">
        <v>0</v>
      </c>
      <c r="H84" s="32" t="s">
        <v>5</v>
      </c>
      <c r="I84" s="31" t="s">
        <v>6</v>
      </c>
      <c r="J84" s="30" t="s">
        <v>0</v>
      </c>
    </row>
    <row r="85" spans="1:10" x14ac:dyDescent="0.25">
      <c r="A85" s="29" t="s">
        <v>15</v>
      </c>
      <c r="B85" s="6">
        <v>781</v>
      </c>
      <c r="C85" s="4">
        <v>1376</v>
      </c>
      <c r="D85" s="5">
        <f t="shared" ref="D85:D94" si="10">B85+C85</f>
        <v>2157</v>
      </c>
      <c r="E85" s="6">
        <v>366</v>
      </c>
      <c r="F85" s="4">
        <v>709</v>
      </c>
      <c r="G85" s="7">
        <f t="shared" ref="G85:G94" si="11">E85+F85</f>
        <v>1075</v>
      </c>
      <c r="H85" s="6">
        <f>B85+E85</f>
        <v>1147</v>
      </c>
      <c r="I85" s="4">
        <f>C85+F85</f>
        <v>2085</v>
      </c>
      <c r="J85" s="7">
        <f t="shared" ref="J85:J94" si="12">H85+I85</f>
        <v>3232</v>
      </c>
    </row>
    <row r="86" spans="1:10" x14ac:dyDescent="0.25">
      <c r="A86" s="29" t="s">
        <v>90</v>
      </c>
      <c r="B86" s="6">
        <v>141</v>
      </c>
      <c r="C86" s="4">
        <v>581</v>
      </c>
      <c r="D86" s="5">
        <f t="shared" si="10"/>
        <v>722</v>
      </c>
      <c r="E86" s="6">
        <v>452</v>
      </c>
      <c r="F86" s="4">
        <v>1005</v>
      </c>
      <c r="G86" s="7">
        <f t="shared" si="11"/>
        <v>1457</v>
      </c>
      <c r="H86" s="6">
        <f t="shared" ref="H86:H94" si="13">B86+E86</f>
        <v>593</v>
      </c>
      <c r="I86" s="4">
        <f t="shared" ref="I86:I94" si="14">C86+F86</f>
        <v>1586</v>
      </c>
      <c r="J86" s="7">
        <f t="shared" si="12"/>
        <v>2179</v>
      </c>
    </row>
    <row r="87" spans="1:10" x14ac:dyDescent="0.25">
      <c r="A87" s="29" t="s">
        <v>14</v>
      </c>
      <c r="B87" s="6">
        <v>286</v>
      </c>
      <c r="C87" s="4">
        <v>284</v>
      </c>
      <c r="D87" s="5">
        <f t="shared" si="10"/>
        <v>570</v>
      </c>
      <c r="E87" s="6">
        <v>580</v>
      </c>
      <c r="F87" s="4">
        <v>661</v>
      </c>
      <c r="G87" s="7">
        <f t="shared" si="11"/>
        <v>1241</v>
      </c>
      <c r="H87" s="6">
        <f t="shared" si="13"/>
        <v>866</v>
      </c>
      <c r="I87" s="4">
        <f t="shared" si="14"/>
        <v>945</v>
      </c>
      <c r="J87" s="7">
        <f t="shared" si="12"/>
        <v>1811</v>
      </c>
    </row>
    <row r="88" spans="1:10" x14ac:dyDescent="0.25">
      <c r="A88" s="29" t="s">
        <v>91</v>
      </c>
      <c r="B88" s="6">
        <v>1454</v>
      </c>
      <c r="C88" s="4">
        <v>595</v>
      </c>
      <c r="D88" s="5">
        <f t="shared" si="10"/>
        <v>2049</v>
      </c>
      <c r="E88" s="6">
        <v>1130</v>
      </c>
      <c r="F88" s="4">
        <v>512</v>
      </c>
      <c r="G88" s="7">
        <f t="shared" si="11"/>
        <v>1642</v>
      </c>
      <c r="H88" s="6">
        <f t="shared" si="13"/>
        <v>2584</v>
      </c>
      <c r="I88" s="4">
        <f t="shared" si="14"/>
        <v>1107</v>
      </c>
      <c r="J88" s="7">
        <f t="shared" si="12"/>
        <v>3691</v>
      </c>
    </row>
    <row r="89" spans="1:10" x14ac:dyDescent="0.25">
      <c r="A89" s="29" t="s">
        <v>1</v>
      </c>
      <c r="B89" s="6">
        <v>216</v>
      </c>
      <c r="C89" s="4">
        <v>312</v>
      </c>
      <c r="D89" s="5">
        <f t="shared" si="10"/>
        <v>528</v>
      </c>
      <c r="E89" s="6">
        <v>193</v>
      </c>
      <c r="F89" s="4">
        <v>265</v>
      </c>
      <c r="G89" s="7">
        <f t="shared" si="11"/>
        <v>458</v>
      </c>
      <c r="H89" s="6">
        <f t="shared" si="13"/>
        <v>409</v>
      </c>
      <c r="I89" s="4">
        <f t="shared" si="14"/>
        <v>577</v>
      </c>
      <c r="J89" s="7">
        <f t="shared" si="12"/>
        <v>986</v>
      </c>
    </row>
    <row r="90" spans="1:10" ht="30" customHeight="1" x14ac:dyDescent="0.25">
      <c r="A90" s="29" t="s">
        <v>11</v>
      </c>
      <c r="B90" s="6">
        <v>460</v>
      </c>
      <c r="C90" s="4">
        <v>723</v>
      </c>
      <c r="D90" s="5">
        <f t="shared" si="10"/>
        <v>1183</v>
      </c>
      <c r="E90" s="6">
        <v>203</v>
      </c>
      <c r="F90" s="4">
        <v>283</v>
      </c>
      <c r="G90" s="7">
        <f t="shared" si="11"/>
        <v>486</v>
      </c>
      <c r="H90" s="6">
        <f t="shared" si="13"/>
        <v>663</v>
      </c>
      <c r="I90" s="4">
        <f t="shared" si="14"/>
        <v>1006</v>
      </c>
      <c r="J90" s="7">
        <f t="shared" si="12"/>
        <v>1669</v>
      </c>
    </row>
    <row r="91" spans="1:10" x14ac:dyDescent="0.25">
      <c r="A91" s="29" t="s">
        <v>10</v>
      </c>
      <c r="B91" s="6">
        <v>1251</v>
      </c>
      <c r="C91" s="4">
        <v>936</v>
      </c>
      <c r="D91" s="5">
        <f t="shared" si="10"/>
        <v>2187</v>
      </c>
      <c r="E91" s="6">
        <v>432</v>
      </c>
      <c r="F91" s="4">
        <v>245</v>
      </c>
      <c r="G91" s="7">
        <f t="shared" si="11"/>
        <v>677</v>
      </c>
      <c r="H91" s="6">
        <f t="shared" si="13"/>
        <v>1683</v>
      </c>
      <c r="I91" s="4">
        <f t="shared" si="14"/>
        <v>1181</v>
      </c>
      <c r="J91" s="7">
        <f t="shared" si="12"/>
        <v>2864</v>
      </c>
    </row>
    <row r="92" spans="1:10" x14ac:dyDescent="0.25">
      <c r="A92" s="29" t="s">
        <v>92</v>
      </c>
      <c r="B92" s="6">
        <v>897</v>
      </c>
      <c r="C92" s="4">
        <v>876</v>
      </c>
      <c r="D92" s="5">
        <f t="shared" si="10"/>
        <v>1773</v>
      </c>
      <c r="E92" s="6">
        <v>662</v>
      </c>
      <c r="F92" s="4">
        <v>680</v>
      </c>
      <c r="G92" s="7">
        <f t="shared" si="11"/>
        <v>1342</v>
      </c>
      <c r="H92" s="6">
        <f t="shared" si="13"/>
        <v>1559</v>
      </c>
      <c r="I92" s="4">
        <f t="shared" si="14"/>
        <v>1556</v>
      </c>
      <c r="J92" s="7">
        <f t="shared" si="12"/>
        <v>3115</v>
      </c>
    </row>
    <row r="93" spans="1:10" x14ac:dyDescent="0.25">
      <c r="A93" s="29" t="s">
        <v>93</v>
      </c>
      <c r="B93" s="6">
        <v>17</v>
      </c>
      <c r="C93" s="4">
        <v>47</v>
      </c>
      <c r="D93" s="5">
        <f t="shared" si="10"/>
        <v>64</v>
      </c>
      <c r="E93" s="6">
        <v>239</v>
      </c>
      <c r="F93" s="4">
        <v>576</v>
      </c>
      <c r="G93" s="7">
        <f t="shared" si="11"/>
        <v>815</v>
      </c>
      <c r="H93" s="6">
        <f t="shared" si="13"/>
        <v>256</v>
      </c>
      <c r="I93" s="4">
        <f t="shared" si="14"/>
        <v>623</v>
      </c>
      <c r="J93" s="7">
        <f t="shared" si="12"/>
        <v>879</v>
      </c>
    </row>
    <row r="94" spans="1:10" ht="15.75" thickBot="1" x14ac:dyDescent="0.3">
      <c r="A94" s="28" t="s">
        <v>9</v>
      </c>
      <c r="B94" s="10">
        <v>1139</v>
      </c>
      <c r="C94" s="27">
        <v>1400</v>
      </c>
      <c r="D94" s="14">
        <f t="shared" si="10"/>
        <v>2539</v>
      </c>
      <c r="E94" s="10">
        <v>730</v>
      </c>
      <c r="F94" s="11">
        <v>1164</v>
      </c>
      <c r="G94" s="14">
        <f t="shared" si="11"/>
        <v>1894</v>
      </c>
      <c r="H94" s="53">
        <f t="shared" si="13"/>
        <v>1869</v>
      </c>
      <c r="I94" s="26">
        <f t="shared" si="14"/>
        <v>2564</v>
      </c>
      <c r="J94" s="26">
        <f t="shared" si="12"/>
        <v>4433</v>
      </c>
    </row>
    <row r="95" spans="1:10" ht="16.5" thickTop="1" thickBot="1" x14ac:dyDescent="0.3">
      <c r="A95" s="9" t="s">
        <v>0</v>
      </c>
      <c r="B95" s="8">
        <f t="shared" ref="B95:J95" si="15">SUM(B85:B94)</f>
        <v>6642</v>
      </c>
      <c r="C95" s="8">
        <f t="shared" si="15"/>
        <v>7130</v>
      </c>
      <c r="D95" s="8">
        <f t="shared" si="15"/>
        <v>13772</v>
      </c>
      <c r="E95" s="8">
        <f t="shared" si="15"/>
        <v>4987</v>
      </c>
      <c r="F95" s="8">
        <f t="shared" si="15"/>
        <v>6100</v>
      </c>
      <c r="G95" s="9">
        <f t="shared" si="15"/>
        <v>11087</v>
      </c>
      <c r="H95" s="9">
        <f t="shared" si="15"/>
        <v>11629</v>
      </c>
      <c r="I95" s="9">
        <f t="shared" si="15"/>
        <v>13230</v>
      </c>
      <c r="J95" s="9">
        <f t="shared" si="15"/>
        <v>24859</v>
      </c>
    </row>
    <row r="96" spans="1:10" ht="15.75" thickBot="1" x14ac:dyDescent="0.3">
      <c r="A96" s="25"/>
      <c r="B96" s="25"/>
      <c r="C96" s="25"/>
      <c r="D96" s="25"/>
      <c r="E96" s="25"/>
      <c r="F96" s="25"/>
      <c r="G96" s="25"/>
      <c r="H96" s="25"/>
      <c r="I96" s="25"/>
      <c r="J96" s="25"/>
    </row>
    <row r="97" spans="1:10" x14ac:dyDescent="0.25">
      <c r="A97" s="29" t="s">
        <v>15</v>
      </c>
      <c r="B97" s="24">
        <f>B85/D85</f>
        <v>0.36207695873898932</v>
      </c>
      <c r="C97" s="23">
        <f>C85/D85</f>
        <v>0.63792304126101063</v>
      </c>
      <c r="D97" s="5"/>
      <c r="E97" s="24">
        <f>E85/G85</f>
        <v>0.34046511627906978</v>
      </c>
      <c r="F97" s="23">
        <f>F85/G85</f>
        <v>0.65953488372093028</v>
      </c>
      <c r="G97" s="4"/>
      <c r="H97" s="24">
        <f>H85/J85</f>
        <v>0.35488861386138615</v>
      </c>
      <c r="I97" s="23">
        <f>I85/J85</f>
        <v>0.64511138613861385</v>
      </c>
      <c r="J97" s="7"/>
    </row>
    <row r="98" spans="1:10" x14ac:dyDescent="0.25">
      <c r="A98" s="29" t="s">
        <v>90</v>
      </c>
      <c r="B98" s="24">
        <f>B86/D86</f>
        <v>0.19529085872576177</v>
      </c>
      <c r="C98" s="23">
        <f>C86/D86</f>
        <v>0.8047091412742382</v>
      </c>
      <c r="D98" s="5"/>
      <c r="E98" s="24">
        <f>E86/G86</f>
        <v>0.31022649279341113</v>
      </c>
      <c r="F98" s="23">
        <f>F86/G86</f>
        <v>0.68977350720658892</v>
      </c>
      <c r="G98" s="4"/>
      <c r="H98" s="24">
        <f>H86/J86</f>
        <v>0.2721431849472235</v>
      </c>
      <c r="I98" s="23">
        <f>I86/J86</f>
        <v>0.72785681505277655</v>
      </c>
      <c r="J98" s="7"/>
    </row>
    <row r="99" spans="1:10" x14ac:dyDescent="0.25">
      <c r="A99" s="29" t="s">
        <v>14</v>
      </c>
      <c r="B99" s="24">
        <f>B87/D87</f>
        <v>0.50175438596491229</v>
      </c>
      <c r="C99" s="23">
        <f>C87/D87</f>
        <v>0.49824561403508771</v>
      </c>
      <c r="D99" s="5"/>
      <c r="E99" s="24">
        <f>E87/G87</f>
        <v>0.46736502820306203</v>
      </c>
      <c r="F99" s="23">
        <f>F87/G87</f>
        <v>0.53263497179693797</v>
      </c>
      <c r="G99" s="4"/>
      <c r="H99" s="24">
        <f>H87/J87</f>
        <v>0.47818884594146882</v>
      </c>
      <c r="I99" s="23">
        <f>I87/J87</f>
        <v>0.52181115405853118</v>
      </c>
      <c r="J99" s="7"/>
    </row>
    <row r="100" spans="1:10" x14ac:dyDescent="0.25">
      <c r="A100" s="29" t="s">
        <v>91</v>
      </c>
      <c r="B100" s="24">
        <f t="shared" ref="B100:B107" si="16">B88/D88</f>
        <v>0.70961444607125423</v>
      </c>
      <c r="C100" s="23">
        <f t="shared" ref="C100:C107" si="17">C88/D88</f>
        <v>0.29038555392874571</v>
      </c>
      <c r="D100" s="5"/>
      <c r="E100" s="24">
        <f t="shared" ref="E100:E107" si="18">E88/G88</f>
        <v>0.68818514007308162</v>
      </c>
      <c r="F100" s="23">
        <f t="shared" ref="F100:F107" si="19">F88/G88</f>
        <v>0.31181485992691838</v>
      </c>
      <c r="G100" s="4"/>
      <c r="H100" s="24">
        <f t="shared" ref="H100:H107" si="20">H88/J88</f>
        <v>0.70008127878623683</v>
      </c>
      <c r="I100" s="23">
        <f t="shared" ref="I100:I107" si="21">I88/J88</f>
        <v>0.29991872121376323</v>
      </c>
      <c r="J100" s="7"/>
    </row>
    <row r="101" spans="1:10" x14ac:dyDescent="0.25">
      <c r="A101" s="29" t="s">
        <v>1</v>
      </c>
      <c r="B101" s="24">
        <f t="shared" si="16"/>
        <v>0.40909090909090912</v>
      </c>
      <c r="C101" s="23">
        <f t="shared" si="17"/>
        <v>0.59090909090909094</v>
      </c>
      <c r="D101" s="5"/>
      <c r="E101" s="24">
        <f t="shared" si="18"/>
        <v>0.42139737991266374</v>
      </c>
      <c r="F101" s="23">
        <f t="shared" si="19"/>
        <v>0.57860262008733621</v>
      </c>
      <c r="G101" s="4"/>
      <c r="H101" s="24">
        <f t="shared" si="20"/>
        <v>0.4148073022312373</v>
      </c>
      <c r="I101" s="23">
        <f t="shared" si="21"/>
        <v>0.5851926977687627</v>
      </c>
      <c r="J101" s="7"/>
    </row>
    <row r="102" spans="1:10" x14ac:dyDescent="0.25">
      <c r="A102" s="29" t="s">
        <v>11</v>
      </c>
      <c r="B102" s="24">
        <f t="shared" si="16"/>
        <v>0.38884192730346578</v>
      </c>
      <c r="C102" s="23">
        <f t="shared" si="17"/>
        <v>0.61115807269653422</v>
      </c>
      <c r="D102" s="5"/>
      <c r="E102" s="24">
        <f t="shared" si="18"/>
        <v>0.41769547325102879</v>
      </c>
      <c r="F102" s="23">
        <f t="shared" si="19"/>
        <v>0.58230452674897115</v>
      </c>
      <c r="G102" s="4"/>
      <c r="H102" s="24">
        <f t="shared" si="20"/>
        <v>0.39724385859796285</v>
      </c>
      <c r="I102" s="23">
        <f t="shared" si="21"/>
        <v>0.60275614140203715</v>
      </c>
      <c r="J102" s="7"/>
    </row>
    <row r="103" spans="1:10" x14ac:dyDescent="0.25">
      <c r="A103" s="29" t="s">
        <v>10</v>
      </c>
      <c r="B103" s="24">
        <f t="shared" si="16"/>
        <v>0.57201646090534974</v>
      </c>
      <c r="C103" s="23">
        <f t="shared" si="17"/>
        <v>0.4279835390946502</v>
      </c>
      <c r="D103" s="5"/>
      <c r="E103" s="24">
        <f t="shared" si="18"/>
        <v>0.63810930576070901</v>
      </c>
      <c r="F103" s="23">
        <f t="shared" si="19"/>
        <v>0.36189069423929099</v>
      </c>
      <c r="G103" s="4"/>
      <c r="H103" s="24">
        <f t="shared" si="20"/>
        <v>0.58763966480446927</v>
      </c>
      <c r="I103" s="23">
        <f t="shared" si="21"/>
        <v>0.41236033519553073</v>
      </c>
      <c r="J103" s="7"/>
    </row>
    <row r="104" spans="1:10" x14ac:dyDescent="0.25">
      <c r="A104" s="29" t="s">
        <v>92</v>
      </c>
      <c r="B104" s="24">
        <f t="shared" si="16"/>
        <v>0.50592216582064298</v>
      </c>
      <c r="C104" s="23">
        <f t="shared" si="17"/>
        <v>0.49407783417935702</v>
      </c>
      <c r="D104" s="5"/>
      <c r="E104" s="24">
        <f t="shared" si="18"/>
        <v>0.49329359165424741</v>
      </c>
      <c r="F104" s="23">
        <f t="shared" si="19"/>
        <v>0.50670640834575265</v>
      </c>
      <c r="G104" s="4"/>
      <c r="H104" s="24">
        <f t="shared" si="20"/>
        <v>0.50048154093097919</v>
      </c>
      <c r="I104" s="23">
        <f t="shared" si="21"/>
        <v>0.49951845906902087</v>
      </c>
      <c r="J104" s="7"/>
    </row>
    <row r="105" spans="1:10" x14ac:dyDescent="0.25">
      <c r="A105" s="29" t="s">
        <v>93</v>
      </c>
      <c r="B105" s="24">
        <f t="shared" si="16"/>
        <v>0.265625</v>
      </c>
      <c r="C105" s="23">
        <f t="shared" si="17"/>
        <v>0.734375</v>
      </c>
      <c r="D105" s="5"/>
      <c r="E105" s="24">
        <f t="shared" si="18"/>
        <v>0.29325153374233126</v>
      </c>
      <c r="F105" s="23">
        <f t="shared" si="19"/>
        <v>0.70674846625766874</v>
      </c>
      <c r="G105" s="4"/>
      <c r="H105" s="24">
        <f t="shared" si="20"/>
        <v>0.29124004550625709</v>
      </c>
      <c r="I105" s="23">
        <f t="shared" si="21"/>
        <v>0.70875995449374285</v>
      </c>
      <c r="J105" s="7"/>
    </row>
    <row r="106" spans="1:10" ht="15.75" thickBot="1" x14ac:dyDescent="0.3">
      <c r="A106" s="28" t="s">
        <v>9</v>
      </c>
      <c r="B106" s="22">
        <f t="shared" si="16"/>
        <v>0.44860181173690428</v>
      </c>
      <c r="C106" s="21">
        <f t="shared" si="17"/>
        <v>0.55139818826309572</v>
      </c>
      <c r="D106" s="14"/>
      <c r="E106" s="22">
        <f t="shared" si="18"/>
        <v>0.38542766631467795</v>
      </c>
      <c r="F106" s="21">
        <f t="shared" si="19"/>
        <v>0.61457233368532205</v>
      </c>
      <c r="G106" s="11"/>
      <c r="H106" s="22">
        <f t="shared" si="20"/>
        <v>0.42161064741709903</v>
      </c>
      <c r="I106" s="21">
        <f t="shared" si="21"/>
        <v>0.57838935258290092</v>
      </c>
      <c r="J106" s="20"/>
    </row>
    <row r="107" spans="1:10" ht="16.5" thickTop="1" thickBot="1" x14ac:dyDescent="0.3">
      <c r="A107" s="8" t="s">
        <v>0</v>
      </c>
      <c r="B107" s="19">
        <f t="shared" si="16"/>
        <v>0.48228289282602382</v>
      </c>
      <c r="C107" s="19">
        <f t="shared" si="17"/>
        <v>0.51771710717397623</v>
      </c>
      <c r="D107" s="8"/>
      <c r="E107" s="19">
        <f t="shared" si="18"/>
        <v>0.44980607919184629</v>
      </c>
      <c r="F107" s="19">
        <f t="shared" si="19"/>
        <v>0.55019392080815366</v>
      </c>
      <c r="G107" s="8"/>
      <c r="H107" s="19">
        <f t="shared" si="20"/>
        <v>0.46779838287944003</v>
      </c>
      <c r="I107" s="19">
        <f t="shared" si="21"/>
        <v>0.53220161712055991</v>
      </c>
      <c r="J107" s="9"/>
    </row>
  </sheetData>
  <mergeCells count="8">
    <mergeCell ref="B83:D83"/>
    <mergeCell ref="E83:G83"/>
    <mergeCell ref="H83:J8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opLeftCell="A77" zoomScaleNormal="100" zoomScalePageLayoutView="70" workbookViewId="0">
      <selection activeCell="A82" sqref="A82"/>
    </sheetView>
  </sheetViews>
  <sheetFormatPr defaultColWidth="9.140625" defaultRowHeight="15" x14ac:dyDescent="0.25"/>
  <cols>
    <col min="1" max="1" width="29.140625" customWidth="1"/>
    <col min="2" max="10" width="6.85546875" customWidth="1"/>
  </cols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2010-11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ht="15" customHeight="1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17</v>
      </c>
      <c r="B7" s="39">
        <v>52</v>
      </c>
      <c r="C7" s="34">
        <v>130</v>
      </c>
      <c r="D7" s="35">
        <f>SUM(B7:C7)</f>
        <v>182</v>
      </c>
      <c r="E7" s="34">
        <v>67</v>
      </c>
      <c r="F7" s="34">
        <v>153</v>
      </c>
      <c r="G7" s="34">
        <f>SUM(E7:F7)</f>
        <v>220</v>
      </c>
      <c r="H7" s="39">
        <f>B7+E7</f>
        <v>119</v>
      </c>
      <c r="I7" s="34">
        <f>C7+F7</f>
        <v>283</v>
      </c>
      <c r="J7" s="35">
        <f>SUM(H7:I7)</f>
        <v>402</v>
      </c>
    </row>
    <row r="8" spans="1:10" x14ac:dyDescent="0.25">
      <c r="A8" s="12" t="s">
        <v>18</v>
      </c>
      <c r="B8" s="39">
        <v>75</v>
      </c>
      <c r="C8" s="34">
        <v>123</v>
      </c>
      <c r="D8" s="35">
        <f t="shared" ref="D8:D80" si="0">SUM(B8:C8)</f>
        <v>198</v>
      </c>
      <c r="E8" s="34">
        <v>116</v>
      </c>
      <c r="F8" s="34">
        <v>283</v>
      </c>
      <c r="G8" s="34">
        <f t="shared" ref="G8:G80" si="1">SUM(E8:F8)</f>
        <v>399</v>
      </c>
      <c r="H8" s="39">
        <f t="shared" ref="H8:I80" si="2">B8+E8</f>
        <v>191</v>
      </c>
      <c r="I8" s="34">
        <f t="shared" si="2"/>
        <v>406</v>
      </c>
      <c r="J8" s="35">
        <f t="shared" ref="J8:J80" si="3">SUM(H8:I8)</f>
        <v>597</v>
      </c>
    </row>
    <row r="9" spans="1:10" x14ac:dyDescent="0.25">
      <c r="A9" s="12" t="s">
        <v>19</v>
      </c>
      <c r="B9" s="39">
        <v>227</v>
      </c>
      <c r="C9" s="34">
        <v>224</v>
      </c>
      <c r="D9" s="35">
        <f t="shared" si="0"/>
        <v>451</v>
      </c>
      <c r="E9" s="34">
        <v>76</v>
      </c>
      <c r="F9" s="34">
        <v>82</v>
      </c>
      <c r="G9" s="34">
        <f t="shared" si="1"/>
        <v>158</v>
      </c>
      <c r="H9" s="39">
        <f t="shared" si="2"/>
        <v>303</v>
      </c>
      <c r="I9" s="34">
        <f t="shared" si="2"/>
        <v>306</v>
      </c>
      <c r="J9" s="35">
        <f t="shared" si="3"/>
        <v>609</v>
      </c>
    </row>
    <row r="10" spans="1:10" x14ac:dyDescent="0.25">
      <c r="A10" s="12" t="s">
        <v>20</v>
      </c>
      <c r="B10" s="39">
        <v>78</v>
      </c>
      <c r="C10" s="34">
        <v>24</v>
      </c>
      <c r="D10" s="35">
        <f t="shared" si="0"/>
        <v>102</v>
      </c>
      <c r="E10" s="34">
        <v>123</v>
      </c>
      <c r="F10" s="34">
        <v>58</v>
      </c>
      <c r="G10" s="34">
        <f t="shared" si="1"/>
        <v>181</v>
      </c>
      <c r="H10" s="39">
        <f t="shared" si="2"/>
        <v>201</v>
      </c>
      <c r="I10" s="34">
        <f t="shared" si="2"/>
        <v>82</v>
      </c>
      <c r="J10" s="35">
        <f t="shared" si="3"/>
        <v>283</v>
      </c>
    </row>
    <row r="11" spans="1:10" x14ac:dyDescent="0.25">
      <c r="A11" s="12" t="s">
        <v>21</v>
      </c>
      <c r="B11" s="39">
        <v>0</v>
      </c>
      <c r="C11" s="34">
        <v>0</v>
      </c>
      <c r="D11" s="35">
        <f t="shared" si="0"/>
        <v>0</v>
      </c>
      <c r="E11" s="34">
        <v>137</v>
      </c>
      <c r="F11" s="34">
        <v>125</v>
      </c>
      <c r="G11" s="34">
        <f t="shared" si="1"/>
        <v>262</v>
      </c>
      <c r="H11" s="39">
        <f t="shared" si="2"/>
        <v>137</v>
      </c>
      <c r="I11" s="34">
        <f t="shared" si="2"/>
        <v>125</v>
      </c>
      <c r="J11" s="35">
        <f t="shared" si="3"/>
        <v>262</v>
      </c>
    </row>
    <row r="12" spans="1:10" x14ac:dyDescent="0.25">
      <c r="A12" s="12" t="s">
        <v>22</v>
      </c>
      <c r="B12" s="39">
        <v>46</v>
      </c>
      <c r="C12" s="34">
        <v>59</v>
      </c>
      <c r="D12" s="35">
        <f t="shared" si="0"/>
        <v>105</v>
      </c>
      <c r="E12" s="34">
        <v>107</v>
      </c>
      <c r="F12" s="34">
        <v>133</v>
      </c>
      <c r="G12" s="34">
        <f t="shared" si="1"/>
        <v>240</v>
      </c>
      <c r="H12" s="39">
        <f t="shared" si="2"/>
        <v>153</v>
      </c>
      <c r="I12" s="34">
        <f t="shared" si="2"/>
        <v>192</v>
      </c>
      <c r="J12" s="35">
        <f t="shared" si="3"/>
        <v>345</v>
      </c>
    </row>
    <row r="13" spans="1:10" x14ac:dyDescent="0.25">
      <c r="A13" s="12" t="s">
        <v>23</v>
      </c>
      <c r="B13" s="39">
        <v>77</v>
      </c>
      <c r="C13" s="34">
        <v>71</v>
      </c>
      <c r="D13" s="35">
        <f t="shared" si="0"/>
        <v>148</v>
      </c>
      <c r="E13" s="34">
        <v>75</v>
      </c>
      <c r="F13" s="34">
        <v>48</v>
      </c>
      <c r="G13" s="34">
        <f t="shared" si="1"/>
        <v>123</v>
      </c>
      <c r="H13" s="39">
        <f t="shared" si="2"/>
        <v>152</v>
      </c>
      <c r="I13" s="34">
        <f t="shared" si="2"/>
        <v>119</v>
      </c>
      <c r="J13" s="35">
        <f t="shared" si="3"/>
        <v>271</v>
      </c>
    </row>
    <row r="14" spans="1:10" x14ac:dyDescent="0.25">
      <c r="A14" s="12" t="s">
        <v>24</v>
      </c>
      <c r="B14" s="39">
        <v>429</v>
      </c>
      <c r="C14" s="34">
        <v>588</v>
      </c>
      <c r="D14" s="35">
        <f t="shared" si="0"/>
        <v>1017</v>
      </c>
      <c r="E14" s="34">
        <v>124</v>
      </c>
      <c r="F14" s="34">
        <v>197</v>
      </c>
      <c r="G14" s="34">
        <f t="shared" si="1"/>
        <v>321</v>
      </c>
      <c r="H14" s="39">
        <f t="shared" si="2"/>
        <v>553</v>
      </c>
      <c r="I14" s="34">
        <f t="shared" si="2"/>
        <v>785</v>
      </c>
      <c r="J14" s="35">
        <f t="shared" si="3"/>
        <v>1338</v>
      </c>
    </row>
    <row r="15" spans="1:10" x14ac:dyDescent="0.25">
      <c r="A15" s="12" t="s">
        <v>25</v>
      </c>
      <c r="B15" s="39">
        <v>0</v>
      </c>
      <c r="C15" s="34">
        <v>0</v>
      </c>
      <c r="D15" s="35">
        <f t="shared" si="0"/>
        <v>0</v>
      </c>
      <c r="E15" s="34">
        <v>9</v>
      </c>
      <c r="F15" s="34">
        <v>1</v>
      </c>
      <c r="G15" s="34">
        <f t="shared" si="1"/>
        <v>10</v>
      </c>
      <c r="H15" s="39">
        <f t="shared" si="2"/>
        <v>9</v>
      </c>
      <c r="I15" s="34">
        <f t="shared" si="2"/>
        <v>1</v>
      </c>
      <c r="J15" s="35">
        <f t="shared" si="3"/>
        <v>10</v>
      </c>
    </row>
    <row r="16" spans="1:10" x14ac:dyDescent="0.25">
      <c r="A16" s="12" t="s">
        <v>26</v>
      </c>
      <c r="B16" s="39">
        <v>0</v>
      </c>
      <c r="C16" s="34">
        <v>0</v>
      </c>
      <c r="D16" s="35">
        <f t="shared" si="0"/>
        <v>0</v>
      </c>
      <c r="E16" s="34">
        <v>31</v>
      </c>
      <c r="F16" s="34">
        <v>33</v>
      </c>
      <c r="G16" s="34">
        <f t="shared" si="1"/>
        <v>64</v>
      </c>
      <c r="H16" s="39">
        <f t="shared" si="2"/>
        <v>31</v>
      </c>
      <c r="I16" s="34">
        <f t="shared" si="2"/>
        <v>33</v>
      </c>
      <c r="J16" s="35">
        <f t="shared" si="3"/>
        <v>64</v>
      </c>
    </row>
    <row r="17" spans="1:10" x14ac:dyDescent="0.25">
      <c r="A17" s="12" t="s">
        <v>27</v>
      </c>
      <c r="B17" s="39">
        <v>0</v>
      </c>
      <c r="C17" s="34">
        <v>0</v>
      </c>
      <c r="D17" s="35">
        <f t="shared" si="0"/>
        <v>0</v>
      </c>
      <c r="E17" s="34">
        <v>30</v>
      </c>
      <c r="F17" s="34">
        <v>95</v>
      </c>
      <c r="G17" s="34">
        <f t="shared" si="1"/>
        <v>125</v>
      </c>
      <c r="H17" s="39">
        <f t="shared" si="2"/>
        <v>30</v>
      </c>
      <c r="I17" s="34">
        <f t="shared" si="2"/>
        <v>95</v>
      </c>
      <c r="J17" s="35">
        <f t="shared" si="3"/>
        <v>125</v>
      </c>
    </row>
    <row r="18" spans="1:10" x14ac:dyDescent="0.25">
      <c r="A18" s="12" t="s">
        <v>28</v>
      </c>
      <c r="B18" s="39">
        <v>0</v>
      </c>
      <c r="C18" s="34">
        <v>0</v>
      </c>
      <c r="D18" s="35">
        <f t="shared" si="0"/>
        <v>0</v>
      </c>
      <c r="E18" s="34">
        <v>32</v>
      </c>
      <c r="F18" s="34">
        <v>24</v>
      </c>
      <c r="G18" s="34">
        <f t="shared" si="1"/>
        <v>56</v>
      </c>
      <c r="H18" s="39">
        <f t="shared" si="2"/>
        <v>32</v>
      </c>
      <c r="I18" s="34">
        <f t="shared" si="2"/>
        <v>24</v>
      </c>
      <c r="J18" s="35">
        <f t="shared" si="3"/>
        <v>56</v>
      </c>
    </row>
    <row r="19" spans="1:10" x14ac:dyDescent="0.25">
      <c r="A19" s="12" t="s">
        <v>29</v>
      </c>
      <c r="B19" s="39">
        <v>0</v>
      </c>
      <c r="C19" s="34">
        <v>0</v>
      </c>
      <c r="D19" s="35">
        <f t="shared" si="0"/>
        <v>0</v>
      </c>
      <c r="E19" s="34">
        <v>46</v>
      </c>
      <c r="F19" s="34">
        <v>43</v>
      </c>
      <c r="G19" s="34">
        <f t="shared" si="1"/>
        <v>89</v>
      </c>
      <c r="H19" s="39">
        <f t="shared" si="2"/>
        <v>46</v>
      </c>
      <c r="I19" s="34">
        <f t="shared" si="2"/>
        <v>43</v>
      </c>
      <c r="J19" s="35">
        <f t="shared" si="3"/>
        <v>89</v>
      </c>
    </row>
    <row r="20" spans="1:10" x14ac:dyDescent="0.25">
      <c r="A20" s="12" t="s">
        <v>30</v>
      </c>
      <c r="B20" s="39">
        <v>219</v>
      </c>
      <c r="C20" s="34">
        <v>95</v>
      </c>
      <c r="D20" s="35">
        <f t="shared" si="0"/>
        <v>314</v>
      </c>
      <c r="E20" s="34">
        <v>41</v>
      </c>
      <c r="F20" s="34">
        <v>24</v>
      </c>
      <c r="G20" s="34">
        <f t="shared" si="1"/>
        <v>65</v>
      </c>
      <c r="H20" s="39">
        <f t="shared" si="2"/>
        <v>260</v>
      </c>
      <c r="I20" s="34">
        <f t="shared" si="2"/>
        <v>119</v>
      </c>
      <c r="J20" s="35">
        <f t="shared" si="3"/>
        <v>379</v>
      </c>
    </row>
    <row r="21" spans="1:10" x14ac:dyDescent="0.25">
      <c r="A21" s="12" t="s">
        <v>31</v>
      </c>
      <c r="B21" s="39">
        <v>156</v>
      </c>
      <c r="C21" s="34">
        <v>163</v>
      </c>
      <c r="D21" s="35">
        <f t="shared" si="0"/>
        <v>319</v>
      </c>
      <c r="E21" s="34">
        <v>107</v>
      </c>
      <c r="F21" s="34">
        <v>54</v>
      </c>
      <c r="G21" s="34">
        <f t="shared" si="1"/>
        <v>161</v>
      </c>
      <c r="H21" s="39">
        <f t="shared" si="2"/>
        <v>263</v>
      </c>
      <c r="I21" s="34">
        <f t="shared" si="2"/>
        <v>217</v>
      </c>
      <c r="J21" s="35">
        <f t="shared" si="3"/>
        <v>480</v>
      </c>
    </row>
    <row r="22" spans="1:10" x14ac:dyDescent="0.25">
      <c r="A22" s="12" t="s">
        <v>32</v>
      </c>
      <c r="B22" s="39">
        <v>218</v>
      </c>
      <c r="C22" s="34">
        <v>85</v>
      </c>
      <c r="D22" s="35">
        <f t="shared" si="0"/>
        <v>303</v>
      </c>
      <c r="E22" s="34">
        <v>137</v>
      </c>
      <c r="F22" s="34">
        <v>53</v>
      </c>
      <c r="G22" s="34">
        <f t="shared" si="1"/>
        <v>190</v>
      </c>
      <c r="H22" s="39">
        <f t="shared" si="2"/>
        <v>355</v>
      </c>
      <c r="I22" s="34">
        <f t="shared" si="2"/>
        <v>138</v>
      </c>
      <c r="J22" s="35">
        <f t="shared" si="3"/>
        <v>493</v>
      </c>
    </row>
    <row r="23" spans="1:10" x14ac:dyDescent="0.25">
      <c r="A23" s="12" t="s">
        <v>33</v>
      </c>
      <c r="B23" s="39">
        <v>168</v>
      </c>
      <c r="C23" s="34">
        <v>44</v>
      </c>
      <c r="D23" s="35">
        <f t="shared" si="0"/>
        <v>212</v>
      </c>
      <c r="E23" s="34">
        <v>243</v>
      </c>
      <c r="F23" s="34">
        <v>85</v>
      </c>
      <c r="G23" s="34">
        <f t="shared" si="1"/>
        <v>328</v>
      </c>
      <c r="H23" s="39">
        <f t="shared" si="2"/>
        <v>411</v>
      </c>
      <c r="I23" s="34">
        <f t="shared" si="2"/>
        <v>129</v>
      </c>
      <c r="J23" s="35">
        <f t="shared" si="3"/>
        <v>540</v>
      </c>
    </row>
    <row r="24" spans="1:10" x14ac:dyDescent="0.25">
      <c r="A24" s="12" t="s">
        <v>34</v>
      </c>
      <c r="B24" s="39">
        <v>0</v>
      </c>
      <c r="C24" s="34">
        <v>0</v>
      </c>
      <c r="D24" s="35">
        <f t="shared" si="0"/>
        <v>0</v>
      </c>
      <c r="E24" s="34">
        <v>65</v>
      </c>
      <c r="F24" s="34">
        <v>139</v>
      </c>
      <c r="G24" s="34">
        <f t="shared" si="1"/>
        <v>204</v>
      </c>
      <c r="H24" s="39">
        <f t="shared" si="2"/>
        <v>65</v>
      </c>
      <c r="I24" s="34">
        <f t="shared" si="2"/>
        <v>139</v>
      </c>
      <c r="J24" s="35">
        <f t="shared" si="3"/>
        <v>204</v>
      </c>
    </row>
    <row r="25" spans="1:10" x14ac:dyDescent="0.25">
      <c r="A25" s="12" t="s">
        <v>35</v>
      </c>
      <c r="B25" s="39">
        <v>7</v>
      </c>
      <c r="C25" s="34">
        <v>17</v>
      </c>
      <c r="D25" s="35">
        <f t="shared" si="0"/>
        <v>24</v>
      </c>
      <c r="E25" s="34">
        <v>1</v>
      </c>
      <c r="F25" s="34">
        <v>3</v>
      </c>
      <c r="G25" s="34">
        <f t="shared" si="1"/>
        <v>4</v>
      </c>
      <c r="H25" s="39">
        <f t="shared" si="2"/>
        <v>8</v>
      </c>
      <c r="I25" s="34">
        <f t="shared" si="2"/>
        <v>20</v>
      </c>
      <c r="J25" s="35">
        <f t="shared" si="3"/>
        <v>28</v>
      </c>
    </row>
    <row r="26" spans="1:10" x14ac:dyDescent="0.25">
      <c r="A26" s="12" t="s">
        <v>36</v>
      </c>
      <c r="B26" s="39">
        <v>59</v>
      </c>
      <c r="C26" s="34">
        <v>36</v>
      </c>
      <c r="D26" s="35">
        <f t="shared" si="0"/>
        <v>95</v>
      </c>
      <c r="E26" s="34">
        <v>34</v>
      </c>
      <c r="F26" s="34">
        <v>35</v>
      </c>
      <c r="G26" s="34">
        <f t="shared" si="1"/>
        <v>69</v>
      </c>
      <c r="H26" s="39">
        <f t="shared" si="2"/>
        <v>93</v>
      </c>
      <c r="I26" s="34">
        <f t="shared" si="2"/>
        <v>71</v>
      </c>
      <c r="J26" s="35">
        <f t="shared" si="3"/>
        <v>164</v>
      </c>
    </row>
    <row r="27" spans="1:10" x14ac:dyDescent="0.25">
      <c r="A27" s="12" t="s">
        <v>37</v>
      </c>
      <c r="B27" s="39">
        <v>405</v>
      </c>
      <c r="C27" s="34">
        <v>311</v>
      </c>
      <c r="D27" s="35">
        <f t="shared" si="0"/>
        <v>716</v>
      </c>
      <c r="E27" s="34">
        <v>108</v>
      </c>
      <c r="F27" s="34">
        <v>79</v>
      </c>
      <c r="G27" s="34">
        <f t="shared" si="1"/>
        <v>187</v>
      </c>
      <c r="H27" s="39">
        <f t="shared" si="2"/>
        <v>513</v>
      </c>
      <c r="I27" s="34">
        <f t="shared" si="2"/>
        <v>390</v>
      </c>
      <c r="J27" s="35">
        <f t="shared" si="3"/>
        <v>903</v>
      </c>
    </row>
    <row r="28" spans="1:10" x14ac:dyDescent="0.25">
      <c r="A28" s="12" t="s">
        <v>38</v>
      </c>
      <c r="B28" s="39">
        <v>212</v>
      </c>
      <c r="C28" s="34">
        <v>34</v>
      </c>
      <c r="D28" s="35">
        <f t="shared" si="0"/>
        <v>246</v>
      </c>
      <c r="E28" s="34">
        <v>194</v>
      </c>
      <c r="F28" s="34">
        <v>45</v>
      </c>
      <c r="G28" s="34">
        <f t="shared" si="1"/>
        <v>239</v>
      </c>
      <c r="H28" s="39">
        <f t="shared" si="2"/>
        <v>406</v>
      </c>
      <c r="I28" s="34">
        <f t="shared" si="2"/>
        <v>79</v>
      </c>
      <c r="J28" s="35">
        <f t="shared" si="3"/>
        <v>485</v>
      </c>
    </row>
    <row r="29" spans="1:10" x14ac:dyDescent="0.25">
      <c r="A29" s="12" t="s">
        <v>40</v>
      </c>
      <c r="B29" s="39">
        <v>0</v>
      </c>
      <c r="C29" s="34">
        <v>0</v>
      </c>
      <c r="D29" s="35">
        <f t="shared" si="0"/>
        <v>0</v>
      </c>
      <c r="E29" s="34">
        <v>13</v>
      </c>
      <c r="F29" s="34">
        <v>7</v>
      </c>
      <c r="G29" s="34">
        <f t="shared" si="1"/>
        <v>20</v>
      </c>
      <c r="H29" s="39">
        <f t="shared" si="2"/>
        <v>13</v>
      </c>
      <c r="I29" s="34">
        <f t="shared" si="2"/>
        <v>7</v>
      </c>
      <c r="J29" s="35">
        <f t="shared" si="3"/>
        <v>20</v>
      </c>
    </row>
    <row r="30" spans="1:10" x14ac:dyDescent="0.25">
      <c r="A30" s="12" t="s">
        <v>41</v>
      </c>
      <c r="B30" s="39">
        <v>90</v>
      </c>
      <c r="C30" s="34">
        <v>167</v>
      </c>
      <c r="D30" s="35">
        <f t="shared" si="0"/>
        <v>257</v>
      </c>
      <c r="E30" s="34">
        <v>33</v>
      </c>
      <c r="F30" s="34">
        <v>72</v>
      </c>
      <c r="G30" s="34">
        <f t="shared" si="1"/>
        <v>105</v>
      </c>
      <c r="H30" s="39">
        <f t="shared" si="2"/>
        <v>123</v>
      </c>
      <c r="I30" s="34">
        <f t="shared" si="2"/>
        <v>239</v>
      </c>
      <c r="J30" s="35">
        <f t="shared" si="3"/>
        <v>362</v>
      </c>
    </row>
    <row r="31" spans="1:10" x14ac:dyDescent="0.25">
      <c r="A31" s="12" t="s">
        <v>42</v>
      </c>
      <c r="B31" s="39">
        <v>0</v>
      </c>
      <c r="C31" s="34">
        <v>0</v>
      </c>
      <c r="D31" s="35">
        <f t="shared" si="0"/>
        <v>0</v>
      </c>
      <c r="E31" s="34">
        <v>3</v>
      </c>
      <c r="F31" s="34">
        <v>2</v>
      </c>
      <c r="G31" s="34">
        <f t="shared" si="1"/>
        <v>5</v>
      </c>
      <c r="H31" s="39">
        <f t="shared" si="2"/>
        <v>3</v>
      </c>
      <c r="I31" s="34">
        <f t="shared" si="2"/>
        <v>2</v>
      </c>
      <c r="J31" s="35">
        <f t="shared" si="3"/>
        <v>5</v>
      </c>
    </row>
    <row r="32" spans="1:10" x14ac:dyDescent="0.25">
      <c r="A32" s="12" t="s">
        <v>94</v>
      </c>
      <c r="B32" s="39">
        <v>81</v>
      </c>
      <c r="C32" s="34">
        <v>123</v>
      </c>
      <c r="D32" s="35">
        <f t="shared" si="0"/>
        <v>204</v>
      </c>
      <c r="E32" s="34">
        <v>0</v>
      </c>
      <c r="F32" s="34">
        <v>0</v>
      </c>
      <c r="G32" s="34">
        <f t="shared" si="1"/>
        <v>0</v>
      </c>
      <c r="H32" s="39">
        <f t="shared" si="2"/>
        <v>81</v>
      </c>
      <c r="I32" s="34">
        <f t="shared" si="2"/>
        <v>123</v>
      </c>
      <c r="J32" s="35">
        <f t="shared" si="3"/>
        <v>204</v>
      </c>
    </row>
    <row r="33" spans="1:10" x14ac:dyDescent="0.25">
      <c r="A33" s="12" t="s">
        <v>44</v>
      </c>
      <c r="B33" s="39">
        <v>39</v>
      </c>
      <c r="C33" s="34">
        <v>111</v>
      </c>
      <c r="D33" s="35">
        <f t="shared" si="0"/>
        <v>150</v>
      </c>
      <c r="E33" s="34">
        <v>44</v>
      </c>
      <c r="F33" s="34">
        <v>99</v>
      </c>
      <c r="G33" s="34">
        <f t="shared" si="1"/>
        <v>143</v>
      </c>
      <c r="H33" s="39">
        <f t="shared" si="2"/>
        <v>83</v>
      </c>
      <c r="I33" s="34">
        <f t="shared" si="2"/>
        <v>210</v>
      </c>
      <c r="J33" s="35">
        <f t="shared" si="3"/>
        <v>293</v>
      </c>
    </row>
    <row r="34" spans="1:10" x14ac:dyDescent="0.25">
      <c r="A34" s="12" t="s">
        <v>45</v>
      </c>
      <c r="B34" s="39">
        <v>82</v>
      </c>
      <c r="C34" s="34">
        <v>180</v>
      </c>
      <c r="D34" s="35">
        <f t="shared" si="0"/>
        <v>262</v>
      </c>
      <c r="E34" s="34">
        <v>4</v>
      </c>
      <c r="F34" s="34">
        <v>14</v>
      </c>
      <c r="G34" s="34">
        <f t="shared" si="1"/>
        <v>18</v>
      </c>
      <c r="H34" s="39">
        <f t="shared" si="2"/>
        <v>86</v>
      </c>
      <c r="I34" s="34">
        <f t="shared" si="2"/>
        <v>194</v>
      </c>
      <c r="J34" s="35">
        <f t="shared" si="3"/>
        <v>280</v>
      </c>
    </row>
    <row r="35" spans="1:10" x14ac:dyDescent="0.25">
      <c r="A35" s="12" t="s">
        <v>95</v>
      </c>
      <c r="B35" s="39">
        <v>0</v>
      </c>
      <c r="C35" s="34">
        <v>0</v>
      </c>
      <c r="D35" s="35">
        <f t="shared" si="0"/>
        <v>0</v>
      </c>
      <c r="E35" s="34">
        <v>11</v>
      </c>
      <c r="F35" s="34">
        <v>1</v>
      </c>
      <c r="G35" s="34">
        <f t="shared" si="1"/>
        <v>12</v>
      </c>
      <c r="H35" s="39">
        <f t="shared" si="2"/>
        <v>11</v>
      </c>
      <c r="I35" s="34">
        <f t="shared" si="2"/>
        <v>1</v>
      </c>
      <c r="J35" s="35">
        <f t="shared" si="3"/>
        <v>12</v>
      </c>
    </row>
    <row r="36" spans="1:10" x14ac:dyDescent="0.25">
      <c r="A36" s="12" t="s">
        <v>47</v>
      </c>
      <c r="B36" s="39">
        <v>177</v>
      </c>
      <c r="C36" s="34">
        <v>192</v>
      </c>
      <c r="D36" s="35">
        <f t="shared" si="0"/>
        <v>369</v>
      </c>
      <c r="E36" s="34">
        <v>86</v>
      </c>
      <c r="F36" s="34">
        <v>111</v>
      </c>
      <c r="G36" s="34">
        <f t="shared" si="1"/>
        <v>197</v>
      </c>
      <c r="H36" s="39">
        <f t="shared" si="2"/>
        <v>263</v>
      </c>
      <c r="I36" s="34">
        <f t="shared" si="2"/>
        <v>303</v>
      </c>
      <c r="J36" s="35">
        <f t="shared" si="3"/>
        <v>566</v>
      </c>
    </row>
    <row r="37" spans="1:10" x14ac:dyDescent="0.25">
      <c r="A37" s="12" t="s">
        <v>48</v>
      </c>
      <c r="B37" s="39">
        <v>57</v>
      </c>
      <c r="C37" s="34">
        <v>98</v>
      </c>
      <c r="D37" s="35">
        <f t="shared" si="0"/>
        <v>155</v>
      </c>
      <c r="E37" s="34">
        <v>4</v>
      </c>
      <c r="F37" s="34">
        <v>12</v>
      </c>
      <c r="G37" s="34">
        <f t="shared" si="1"/>
        <v>16</v>
      </c>
      <c r="H37" s="39">
        <f t="shared" si="2"/>
        <v>61</v>
      </c>
      <c r="I37" s="34">
        <f t="shared" si="2"/>
        <v>110</v>
      </c>
      <c r="J37" s="35">
        <f t="shared" si="3"/>
        <v>171</v>
      </c>
    </row>
    <row r="38" spans="1:10" x14ac:dyDescent="0.25">
      <c r="A38" s="12" t="s">
        <v>49</v>
      </c>
      <c r="B38" s="39">
        <v>57</v>
      </c>
      <c r="C38" s="34">
        <v>94</v>
      </c>
      <c r="D38" s="35">
        <f t="shared" si="0"/>
        <v>151</v>
      </c>
      <c r="E38" s="34">
        <v>21</v>
      </c>
      <c r="F38" s="34">
        <v>34</v>
      </c>
      <c r="G38" s="34">
        <f t="shared" si="1"/>
        <v>55</v>
      </c>
      <c r="H38" s="39">
        <f t="shared" si="2"/>
        <v>78</v>
      </c>
      <c r="I38" s="34">
        <f t="shared" si="2"/>
        <v>128</v>
      </c>
      <c r="J38" s="35">
        <f t="shared" si="3"/>
        <v>206</v>
      </c>
    </row>
    <row r="39" spans="1:10" x14ac:dyDescent="0.25">
      <c r="A39" s="12" t="s">
        <v>50</v>
      </c>
      <c r="B39" s="39">
        <v>12</v>
      </c>
      <c r="C39" s="34">
        <v>22</v>
      </c>
      <c r="D39" s="35">
        <f t="shared" si="0"/>
        <v>34</v>
      </c>
      <c r="E39" s="34">
        <v>9</v>
      </c>
      <c r="F39" s="34">
        <v>9</v>
      </c>
      <c r="G39" s="34">
        <f t="shared" si="1"/>
        <v>18</v>
      </c>
      <c r="H39" s="39">
        <f t="shared" si="2"/>
        <v>21</v>
      </c>
      <c r="I39" s="34">
        <f t="shared" si="2"/>
        <v>31</v>
      </c>
      <c r="J39" s="35">
        <f t="shared" si="3"/>
        <v>52</v>
      </c>
    </row>
    <row r="40" spans="1:10" x14ac:dyDescent="0.25">
      <c r="A40" s="12" t="s">
        <v>51</v>
      </c>
      <c r="B40" s="39">
        <v>177</v>
      </c>
      <c r="C40" s="34">
        <v>170</v>
      </c>
      <c r="D40" s="35">
        <f t="shared" si="0"/>
        <v>347</v>
      </c>
      <c r="E40" s="34">
        <v>55</v>
      </c>
      <c r="F40" s="34">
        <v>61</v>
      </c>
      <c r="G40" s="34">
        <f t="shared" si="1"/>
        <v>116</v>
      </c>
      <c r="H40" s="39">
        <f t="shared" si="2"/>
        <v>232</v>
      </c>
      <c r="I40" s="34">
        <f t="shared" si="2"/>
        <v>231</v>
      </c>
      <c r="J40" s="35">
        <f t="shared" si="3"/>
        <v>463</v>
      </c>
    </row>
    <row r="41" spans="1:10" x14ac:dyDescent="0.25">
      <c r="A41" s="12" t="s">
        <v>52</v>
      </c>
      <c r="B41" s="39">
        <v>24</v>
      </c>
      <c r="C41" s="34">
        <v>148</v>
      </c>
      <c r="D41" s="35">
        <f t="shared" si="0"/>
        <v>172</v>
      </c>
      <c r="E41" s="34">
        <v>12</v>
      </c>
      <c r="F41" s="34">
        <v>57</v>
      </c>
      <c r="G41" s="34">
        <f t="shared" si="1"/>
        <v>69</v>
      </c>
      <c r="H41" s="39">
        <f t="shared" si="2"/>
        <v>36</v>
      </c>
      <c r="I41" s="34">
        <f t="shared" si="2"/>
        <v>205</v>
      </c>
      <c r="J41" s="35">
        <f t="shared" si="3"/>
        <v>241</v>
      </c>
    </row>
    <row r="42" spans="1:10" x14ac:dyDescent="0.25">
      <c r="A42" s="12" t="s">
        <v>53</v>
      </c>
      <c r="B42" s="39">
        <v>10</v>
      </c>
      <c r="C42" s="34">
        <v>8</v>
      </c>
      <c r="D42" s="35">
        <f t="shared" si="0"/>
        <v>18</v>
      </c>
      <c r="E42" s="34">
        <v>4</v>
      </c>
      <c r="F42" s="34">
        <v>13</v>
      </c>
      <c r="G42" s="34">
        <f t="shared" si="1"/>
        <v>17</v>
      </c>
      <c r="H42" s="39">
        <f t="shared" si="2"/>
        <v>14</v>
      </c>
      <c r="I42" s="34">
        <f t="shared" si="2"/>
        <v>21</v>
      </c>
      <c r="J42" s="35">
        <f t="shared" si="3"/>
        <v>35</v>
      </c>
    </row>
    <row r="43" spans="1:10" x14ac:dyDescent="0.25">
      <c r="A43" s="12" t="s">
        <v>54</v>
      </c>
      <c r="B43" s="39">
        <v>0</v>
      </c>
      <c r="C43" s="34">
        <v>0</v>
      </c>
      <c r="D43" s="35">
        <f t="shared" si="0"/>
        <v>0</v>
      </c>
      <c r="E43" s="34">
        <v>63</v>
      </c>
      <c r="F43" s="34">
        <v>200</v>
      </c>
      <c r="G43" s="34">
        <f t="shared" si="1"/>
        <v>263</v>
      </c>
      <c r="H43" s="39">
        <f t="shared" si="2"/>
        <v>63</v>
      </c>
      <c r="I43" s="34">
        <f t="shared" si="2"/>
        <v>200</v>
      </c>
      <c r="J43" s="35">
        <f t="shared" si="3"/>
        <v>263</v>
      </c>
    </row>
    <row r="44" spans="1:10" x14ac:dyDescent="0.25">
      <c r="A44" s="12" t="s">
        <v>55</v>
      </c>
      <c r="B44" s="39">
        <v>48</v>
      </c>
      <c r="C44" s="34">
        <v>154</v>
      </c>
      <c r="D44" s="35">
        <f t="shared" si="0"/>
        <v>202</v>
      </c>
      <c r="E44" s="34">
        <v>7</v>
      </c>
      <c r="F44" s="34">
        <v>5</v>
      </c>
      <c r="G44" s="34">
        <f t="shared" si="1"/>
        <v>12</v>
      </c>
      <c r="H44" s="39">
        <f t="shared" si="2"/>
        <v>55</v>
      </c>
      <c r="I44" s="34">
        <f t="shared" si="2"/>
        <v>159</v>
      </c>
      <c r="J44" s="35">
        <f t="shared" si="3"/>
        <v>214</v>
      </c>
    </row>
    <row r="45" spans="1:10" x14ac:dyDescent="0.25">
      <c r="A45" s="12" t="s">
        <v>56</v>
      </c>
      <c r="B45" s="39">
        <v>77</v>
      </c>
      <c r="C45" s="34">
        <v>126</v>
      </c>
      <c r="D45" s="35">
        <f t="shared" si="0"/>
        <v>203</v>
      </c>
      <c r="E45" s="34">
        <v>0</v>
      </c>
      <c r="F45" s="34">
        <v>0</v>
      </c>
      <c r="G45" s="34">
        <f t="shared" si="1"/>
        <v>0</v>
      </c>
      <c r="H45" s="39">
        <f t="shared" si="2"/>
        <v>77</v>
      </c>
      <c r="I45" s="34">
        <f t="shared" si="2"/>
        <v>126</v>
      </c>
      <c r="J45" s="35">
        <f t="shared" si="3"/>
        <v>203</v>
      </c>
    </row>
    <row r="46" spans="1:10" x14ac:dyDescent="0.25">
      <c r="A46" s="12" t="s">
        <v>1</v>
      </c>
      <c r="B46" s="39">
        <v>220</v>
      </c>
      <c r="C46" s="34">
        <v>326</v>
      </c>
      <c r="D46" s="35">
        <f t="shared" si="0"/>
        <v>546</v>
      </c>
      <c r="E46" s="34">
        <v>242</v>
      </c>
      <c r="F46" s="34">
        <v>311</v>
      </c>
      <c r="G46" s="34">
        <f t="shared" si="1"/>
        <v>553</v>
      </c>
      <c r="H46" s="39">
        <f t="shared" si="2"/>
        <v>462</v>
      </c>
      <c r="I46" s="34">
        <f t="shared" si="2"/>
        <v>637</v>
      </c>
      <c r="J46" s="35">
        <f t="shared" si="3"/>
        <v>1099</v>
      </c>
    </row>
    <row r="47" spans="1:10" x14ac:dyDescent="0.25">
      <c r="A47" s="12" t="s">
        <v>57</v>
      </c>
      <c r="B47" s="39">
        <v>15</v>
      </c>
      <c r="C47" s="34">
        <v>98</v>
      </c>
      <c r="D47" s="35">
        <f t="shared" si="0"/>
        <v>113</v>
      </c>
      <c r="E47" s="34">
        <v>34</v>
      </c>
      <c r="F47" s="34">
        <v>37</v>
      </c>
      <c r="G47" s="34">
        <f t="shared" si="1"/>
        <v>71</v>
      </c>
      <c r="H47" s="39">
        <f t="shared" si="2"/>
        <v>49</v>
      </c>
      <c r="I47" s="34">
        <f t="shared" si="2"/>
        <v>135</v>
      </c>
      <c r="J47" s="35">
        <f t="shared" si="3"/>
        <v>184</v>
      </c>
    </row>
    <row r="48" spans="1:10" x14ac:dyDescent="0.25">
      <c r="A48" s="12" t="s">
        <v>58</v>
      </c>
      <c r="B48" s="39">
        <v>130</v>
      </c>
      <c r="C48" s="34">
        <v>121</v>
      </c>
      <c r="D48" s="35">
        <f t="shared" si="0"/>
        <v>251</v>
      </c>
      <c r="E48" s="34">
        <v>79</v>
      </c>
      <c r="F48" s="34">
        <v>46</v>
      </c>
      <c r="G48" s="34">
        <f t="shared" si="1"/>
        <v>125</v>
      </c>
      <c r="H48" s="39">
        <f t="shared" si="2"/>
        <v>209</v>
      </c>
      <c r="I48" s="34">
        <f t="shared" si="2"/>
        <v>167</v>
      </c>
      <c r="J48" s="35">
        <f t="shared" si="3"/>
        <v>376</v>
      </c>
    </row>
    <row r="49" spans="1:10" x14ac:dyDescent="0.25">
      <c r="A49" s="12" t="s">
        <v>59</v>
      </c>
      <c r="B49" s="39">
        <v>340</v>
      </c>
      <c r="C49" s="34">
        <v>278</v>
      </c>
      <c r="D49" s="35">
        <f t="shared" si="0"/>
        <v>618</v>
      </c>
      <c r="E49" s="34">
        <v>27</v>
      </c>
      <c r="F49" s="34">
        <v>10</v>
      </c>
      <c r="G49" s="34">
        <f t="shared" si="1"/>
        <v>37</v>
      </c>
      <c r="H49" s="39">
        <f t="shared" si="2"/>
        <v>367</v>
      </c>
      <c r="I49" s="34">
        <f t="shared" si="2"/>
        <v>288</v>
      </c>
      <c r="J49" s="35">
        <f t="shared" si="3"/>
        <v>655</v>
      </c>
    </row>
    <row r="50" spans="1:10" x14ac:dyDescent="0.25">
      <c r="A50" s="12" t="s">
        <v>60</v>
      </c>
      <c r="B50" s="39">
        <v>298</v>
      </c>
      <c r="C50" s="34">
        <v>51</v>
      </c>
      <c r="D50" s="35">
        <f t="shared" ref="D50:D62" si="4">SUM(B50:C50)</f>
        <v>349</v>
      </c>
      <c r="E50" s="34">
        <v>162</v>
      </c>
      <c r="F50" s="34">
        <v>26</v>
      </c>
      <c r="G50" s="34">
        <f t="shared" ref="G50:G62" si="5">SUM(E50:F50)</f>
        <v>188</v>
      </c>
      <c r="H50" s="39">
        <f t="shared" ref="H50:H62" si="6">B50+E50</f>
        <v>460</v>
      </c>
      <c r="I50" s="34">
        <f t="shared" ref="I50:I62" si="7">C50+F50</f>
        <v>77</v>
      </c>
      <c r="J50" s="35">
        <f t="shared" ref="J50:J62" si="8">SUM(H50:I50)</f>
        <v>537</v>
      </c>
    </row>
    <row r="51" spans="1:10" x14ac:dyDescent="0.25">
      <c r="A51" s="12" t="s">
        <v>61</v>
      </c>
      <c r="B51" s="39">
        <v>41</v>
      </c>
      <c r="C51" s="34">
        <v>26</v>
      </c>
      <c r="D51" s="35">
        <f t="shared" si="4"/>
        <v>67</v>
      </c>
      <c r="E51" s="34">
        <v>92</v>
      </c>
      <c r="F51" s="34">
        <v>50</v>
      </c>
      <c r="G51" s="34">
        <f t="shared" si="5"/>
        <v>142</v>
      </c>
      <c r="H51" s="39">
        <f t="shared" si="6"/>
        <v>133</v>
      </c>
      <c r="I51" s="34">
        <f t="shared" si="7"/>
        <v>76</v>
      </c>
      <c r="J51" s="35">
        <f t="shared" si="8"/>
        <v>209</v>
      </c>
    </row>
    <row r="52" spans="1:10" x14ac:dyDescent="0.25">
      <c r="A52" s="12" t="s">
        <v>62</v>
      </c>
      <c r="B52" s="39">
        <v>0</v>
      </c>
      <c r="C52" s="34">
        <v>0</v>
      </c>
      <c r="D52" s="35">
        <f t="shared" si="4"/>
        <v>0</v>
      </c>
      <c r="E52" s="34">
        <v>7</v>
      </c>
      <c r="F52" s="34">
        <v>18</v>
      </c>
      <c r="G52" s="34">
        <f t="shared" si="5"/>
        <v>25</v>
      </c>
      <c r="H52" s="39">
        <f t="shared" si="6"/>
        <v>7</v>
      </c>
      <c r="I52" s="34">
        <f t="shared" si="7"/>
        <v>18</v>
      </c>
      <c r="J52" s="35">
        <f t="shared" si="8"/>
        <v>25</v>
      </c>
    </row>
    <row r="53" spans="1:10" x14ac:dyDescent="0.25">
      <c r="A53" s="12" t="s">
        <v>63</v>
      </c>
      <c r="B53" s="39">
        <v>126</v>
      </c>
      <c r="C53" s="34">
        <v>112</v>
      </c>
      <c r="D53" s="35">
        <f t="shared" si="4"/>
        <v>238</v>
      </c>
      <c r="E53" s="34">
        <v>0</v>
      </c>
      <c r="F53" s="34">
        <v>0</v>
      </c>
      <c r="G53" s="34">
        <f t="shared" si="5"/>
        <v>0</v>
      </c>
      <c r="H53" s="39">
        <f t="shared" si="6"/>
        <v>126</v>
      </c>
      <c r="I53" s="34">
        <f t="shared" si="7"/>
        <v>112</v>
      </c>
      <c r="J53" s="35">
        <f t="shared" si="8"/>
        <v>238</v>
      </c>
    </row>
    <row r="54" spans="1:10" x14ac:dyDescent="0.25">
      <c r="A54" s="12" t="s">
        <v>64</v>
      </c>
      <c r="B54" s="39">
        <v>92</v>
      </c>
      <c r="C54" s="34">
        <v>72</v>
      </c>
      <c r="D54" s="35">
        <f t="shared" si="4"/>
        <v>164</v>
      </c>
      <c r="E54" s="34">
        <v>51</v>
      </c>
      <c r="F54" s="34">
        <v>32</v>
      </c>
      <c r="G54" s="34">
        <f t="shared" si="5"/>
        <v>83</v>
      </c>
      <c r="H54" s="39">
        <f t="shared" si="6"/>
        <v>143</v>
      </c>
      <c r="I54" s="34">
        <f t="shared" si="7"/>
        <v>104</v>
      </c>
      <c r="J54" s="35">
        <f t="shared" si="8"/>
        <v>247</v>
      </c>
    </row>
    <row r="55" spans="1:10" x14ac:dyDescent="0.25">
      <c r="A55" s="12" t="s">
        <v>65</v>
      </c>
      <c r="B55" s="39">
        <v>324</v>
      </c>
      <c r="C55" s="34">
        <v>108</v>
      </c>
      <c r="D55" s="35">
        <f t="shared" si="4"/>
        <v>432</v>
      </c>
      <c r="E55" s="34">
        <v>106</v>
      </c>
      <c r="F55" s="34">
        <v>41</v>
      </c>
      <c r="G55" s="34">
        <f t="shared" si="5"/>
        <v>147</v>
      </c>
      <c r="H55" s="39">
        <f t="shared" si="6"/>
        <v>430</v>
      </c>
      <c r="I55" s="34">
        <f t="shared" si="7"/>
        <v>149</v>
      </c>
      <c r="J55" s="35">
        <f t="shared" si="8"/>
        <v>579</v>
      </c>
    </row>
    <row r="56" spans="1:10" x14ac:dyDescent="0.25">
      <c r="A56" s="12" t="s">
        <v>66</v>
      </c>
      <c r="B56" s="39">
        <v>29</v>
      </c>
      <c r="C56" s="34">
        <v>28</v>
      </c>
      <c r="D56" s="35">
        <f t="shared" si="4"/>
        <v>57</v>
      </c>
      <c r="E56" s="34">
        <v>191</v>
      </c>
      <c r="F56" s="34">
        <v>240</v>
      </c>
      <c r="G56" s="34">
        <f t="shared" si="5"/>
        <v>431</v>
      </c>
      <c r="H56" s="39">
        <f t="shared" si="6"/>
        <v>220</v>
      </c>
      <c r="I56" s="34">
        <f t="shared" si="7"/>
        <v>268</v>
      </c>
      <c r="J56" s="35">
        <f t="shared" si="8"/>
        <v>488</v>
      </c>
    </row>
    <row r="57" spans="1:10" x14ac:dyDescent="0.25">
      <c r="A57" s="12" t="s">
        <v>67</v>
      </c>
      <c r="B57" s="39">
        <v>127</v>
      </c>
      <c r="C57" s="34">
        <v>512</v>
      </c>
      <c r="D57" s="35">
        <f t="shared" si="4"/>
        <v>639</v>
      </c>
      <c r="E57" s="34">
        <v>198</v>
      </c>
      <c r="F57" s="34">
        <v>650</v>
      </c>
      <c r="G57" s="34">
        <f t="shared" si="5"/>
        <v>848</v>
      </c>
      <c r="H57" s="39">
        <f t="shared" si="6"/>
        <v>325</v>
      </c>
      <c r="I57" s="34">
        <f t="shared" si="7"/>
        <v>1162</v>
      </c>
      <c r="J57" s="35">
        <f t="shared" si="8"/>
        <v>1487</v>
      </c>
    </row>
    <row r="58" spans="1:10" x14ac:dyDescent="0.25">
      <c r="A58" s="12" t="s">
        <v>68</v>
      </c>
      <c r="B58" s="39">
        <v>35</v>
      </c>
      <c r="C58" s="34">
        <v>71</v>
      </c>
      <c r="D58" s="35">
        <f t="shared" si="4"/>
        <v>106</v>
      </c>
      <c r="E58" s="34">
        <v>4</v>
      </c>
      <c r="F58" s="34">
        <v>8</v>
      </c>
      <c r="G58" s="34">
        <f t="shared" si="5"/>
        <v>12</v>
      </c>
      <c r="H58" s="39">
        <f t="shared" si="6"/>
        <v>39</v>
      </c>
      <c r="I58" s="34">
        <f t="shared" si="7"/>
        <v>79</v>
      </c>
      <c r="J58" s="35">
        <f t="shared" si="8"/>
        <v>118</v>
      </c>
    </row>
    <row r="59" spans="1:10" x14ac:dyDescent="0.25">
      <c r="A59" s="12" t="s">
        <v>69</v>
      </c>
      <c r="B59" s="39">
        <v>0</v>
      </c>
      <c r="C59" s="34">
        <v>0</v>
      </c>
      <c r="D59" s="35">
        <f t="shared" si="4"/>
        <v>0</v>
      </c>
      <c r="E59" s="34">
        <v>79</v>
      </c>
      <c r="F59" s="34">
        <v>61</v>
      </c>
      <c r="G59" s="34">
        <f t="shared" si="5"/>
        <v>140</v>
      </c>
      <c r="H59" s="39">
        <f t="shared" si="6"/>
        <v>79</v>
      </c>
      <c r="I59" s="34">
        <f t="shared" si="7"/>
        <v>61</v>
      </c>
      <c r="J59" s="35">
        <f t="shared" si="8"/>
        <v>140</v>
      </c>
    </row>
    <row r="60" spans="1:10" x14ac:dyDescent="0.25">
      <c r="A60" s="12" t="s">
        <v>70</v>
      </c>
      <c r="B60" s="39">
        <v>339</v>
      </c>
      <c r="C60" s="34">
        <v>338</v>
      </c>
      <c r="D60" s="35">
        <f t="shared" si="4"/>
        <v>677</v>
      </c>
      <c r="E60" s="34">
        <v>135</v>
      </c>
      <c r="F60" s="34">
        <v>153</v>
      </c>
      <c r="G60" s="34">
        <f t="shared" si="5"/>
        <v>288</v>
      </c>
      <c r="H60" s="39">
        <f t="shared" si="6"/>
        <v>474</v>
      </c>
      <c r="I60" s="34">
        <f t="shared" si="7"/>
        <v>491</v>
      </c>
      <c r="J60" s="35">
        <f t="shared" si="8"/>
        <v>965</v>
      </c>
    </row>
    <row r="61" spans="1:10" x14ac:dyDescent="0.25">
      <c r="A61" s="12" t="s">
        <v>71</v>
      </c>
      <c r="B61" s="39">
        <v>34</v>
      </c>
      <c r="C61" s="34">
        <v>33</v>
      </c>
      <c r="D61" s="35">
        <f t="shared" si="4"/>
        <v>67</v>
      </c>
      <c r="E61" s="34">
        <v>5</v>
      </c>
      <c r="F61" s="34">
        <v>8</v>
      </c>
      <c r="G61" s="34">
        <f t="shared" si="5"/>
        <v>13</v>
      </c>
      <c r="H61" s="39">
        <f t="shared" si="6"/>
        <v>39</v>
      </c>
      <c r="I61" s="34">
        <f t="shared" si="7"/>
        <v>41</v>
      </c>
      <c r="J61" s="35">
        <f t="shared" si="8"/>
        <v>80</v>
      </c>
    </row>
    <row r="62" spans="1:10" x14ac:dyDescent="0.25">
      <c r="A62" s="12" t="s">
        <v>72</v>
      </c>
      <c r="B62" s="39">
        <v>0</v>
      </c>
      <c r="C62" s="34">
        <v>0</v>
      </c>
      <c r="D62" s="35">
        <f t="shared" si="4"/>
        <v>0</v>
      </c>
      <c r="E62" s="34">
        <v>74</v>
      </c>
      <c r="F62" s="34">
        <v>20</v>
      </c>
      <c r="G62" s="34">
        <f t="shared" si="5"/>
        <v>94</v>
      </c>
      <c r="H62" s="39">
        <f t="shared" si="6"/>
        <v>74</v>
      </c>
      <c r="I62" s="34">
        <f t="shared" si="7"/>
        <v>20</v>
      </c>
      <c r="J62" s="35">
        <f t="shared" si="8"/>
        <v>94</v>
      </c>
    </row>
    <row r="63" spans="1:10" x14ac:dyDescent="0.25">
      <c r="A63" s="12" t="s">
        <v>73</v>
      </c>
      <c r="B63" s="39">
        <v>29</v>
      </c>
      <c r="C63" s="34">
        <v>65</v>
      </c>
      <c r="D63" s="35">
        <f t="shared" si="0"/>
        <v>94</v>
      </c>
      <c r="E63" s="34">
        <v>5</v>
      </c>
      <c r="F63" s="34">
        <v>11</v>
      </c>
      <c r="G63" s="34">
        <f t="shared" si="1"/>
        <v>16</v>
      </c>
      <c r="H63" s="39">
        <f t="shared" si="2"/>
        <v>34</v>
      </c>
      <c r="I63" s="34">
        <f t="shared" si="2"/>
        <v>76</v>
      </c>
      <c r="J63" s="35">
        <f t="shared" si="3"/>
        <v>110</v>
      </c>
    </row>
    <row r="64" spans="1:10" x14ac:dyDescent="0.25">
      <c r="A64" s="12" t="s">
        <v>74</v>
      </c>
      <c r="B64" s="39">
        <v>165</v>
      </c>
      <c r="C64" s="34">
        <v>162</v>
      </c>
      <c r="D64" s="35">
        <f t="shared" si="0"/>
        <v>327</v>
      </c>
      <c r="E64" s="34">
        <v>22</v>
      </c>
      <c r="F64" s="34">
        <v>17</v>
      </c>
      <c r="G64" s="34">
        <f t="shared" si="1"/>
        <v>39</v>
      </c>
      <c r="H64" s="39">
        <f t="shared" si="2"/>
        <v>187</v>
      </c>
      <c r="I64" s="34">
        <f t="shared" si="2"/>
        <v>179</v>
      </c>
      <c r="J64" s="35">
        <f t="shared" si="3"/>
        <v>366</v>
      </c>
    </row>
    <row r="65" spans="1:10" x14ac:dyDescent="0.25">
      <c r="A65" s="12" t="s">
        <v>96</v>
      </c>
      <c r="B65" s="39">
        <v>0</v>
      </c>
      <c r="C65" s="34">
        <v>0</v>
      </c>
      <c r="D65" s="35">
        <f t="shared" si="0"/>
        <v>0</v>
      </c>
      <c r="E65" s="34">
        <v>16</v>
      </c>
      <c r="F65" s="34">
        <v>9</v>
      </c>
      <c r="G65" s="34">
        <f t="shared" si="1"/>
        <v>25</v>
      </c>
      <c r="H65" s="39">
        <f t="shared" si="2"/>
        <v>16</v>
      </c>
      <c r="I65" s="34">
        <f t="shared" si="2"/>
        <v>9</v>
      </c>
      <c r="J65" s="35">
        <f t="shared" si="3"/>
        <v>25</v>
      </c>
    </row>
    <row r="66" spans="1:10" x14ac:dyDescent="0.25">
      <c r="A66" s="12" t="s">
        <v>75</v>
      </c>
      <c r="B66" s="39">
        <v>0</v>
      </c>
      <c r="C66" s="34">
        <v>0</v>
      </c>
      <c r="D66" s="35">
        <f t="shared" si="0"/>
        <v>0</v>
      </c>
      <c r="E66" s="34">
        <v>14</v>
      </c>
      <c r="F66" s="34">
        <v>13</v>
      </c>
      <c r="G66" s="34">
        <f t="shared" si="1"/>
        <v>27</v>
      </c>
      <c r="H66" s="39">
        <f t="shared" si="2"/>
        <v>14</v>
      </c>
      <c r="I66" s="34">
        <f t="shared" si="2"/>
        <v>13</v>
      </c>
      <c r="J66" s="35">
        <f t="shared" si="3"/>
        <v>27</v>
      </c>
    </row>
    <row r="67" spans="1:10" x14ac:dyDescent="0.25">
      <c r="A67" s="12" t="s">
        <v>77</v>
      </c>
      <c r="B67" s="39">
        <v>0</v>
      </c>
      <c r="C67" s="34">
        <v>0</v>
      </c>
      <c r="D67" s="35">
        <f t="shared" si="0"/>
        <v>0</v>
      </c>
      <c r="E67" s="34">
        <v>33</v>
      </c>
      <c r="F67" s="34">
        <v>61</v>
      </c>
      <c r="G67" s="34">
        <f t="shared" si="1"/>
        <v>94</v>
      </c>
      <c r="H67" s="39">
        <f t="shared" si="2"/>
        <v>33</v>
      </c>
      <c r="I67" s="34">
        <f t="shared" si="2"/>
        <v>61</v>
      </c>
      <c r="J67" s="35">
        <f t="shared" si="3"/>
        <v>94</v>
      </c>
    </row>
    <row r="68" spans="1:10" x14ac:dyDescent="0.25">
      <c r="A68" s="12" t="s">
        <v>79</v>
      </c>
      <c r="B68" s="39">
        <v>27</v>
      </c>
      <c r="C68" s="34">
        <v>29</v>
      </c>
      <c r="D68" s="35">
        <f t="shared" si="0"/>
        <v>56</v>
      </c>
      <c r="E68" s="34">
        <v>101</v>
      </c>
      <c r="F68" s="34">
        <v>291</v>
      </c>
      <c r="G68" s="34">
        <f t="shared" si="1"/>
        <v>392</v>
      </c>
      <c r="H68" s="39">
        <f t="shared" si="2"/>
        <v>128</v>
      </c>
      <c r="I68" s="34">
        <f t="shared" si="2"/>
        <v>320</v>
      </c>
      <c r="J68" s="35">
        <f t="shared" si="3"/>
        <v>448</v>
      </c>
    </row>
    <row r="69" spans="1:10" x14ac:dyDescent="0.25">
      <c r="A69" s="12" t="s">
        <v>80</v>
      </c>
      <c r="B69" s="39">
        <v>13</v>
      </c>
      <c r="C69" s="34">
        <v>54</v>
      </c>
      <c r="D69" s="35">
        <f t="shared" si="0"/>
        <v>67</v>
      </c>
      <c r="E69" s="34">
        <v>29</v>
      </c>
      <c r="F69" s="34">
        <v>39</v>
      </c>
      <c r="G69" s="34">
        <f t="shared" si="1"/>
        <v>68</v>
      </c>
      <c r="H69" s="39">
        <f t="shared" si="2"/>
        <v>42</v>
      </c>
      <c r="I69" s="34">
        <f t="shared" si="2"/>
        <v>93</v>
      </c>
      <c r="J69" s="35">
        <f t="shared" si="3"/>
        <v>135</v>
      </c>
    </row>
    <row r="70" spans="1:10" x14ac:dyDescent="0.25">
      <c r="A70" s="12" t="s">
        <v>81</v>
      </c>
      <c r="B70" s="39">
        <v>0</v>
      </c>
      <c r="C70" s="34">
        <v>0</v>
      </c>
      <c r="D70" s="35">
        <f t="shared" si="0"/>
        <v>0</v>
      </c>
      <c r="E70" s="34">
        <v>245</v>
      </c>
      <c r="F70" s="34">
        <v>250</v>
      </c>
      <c r="G70" s="34">
        <f t="shared" si="1"/>
        <v>495</v>
      </c>
      <c r="H70" s="39">
        <f t="shared" si="2"/>
        <v>245</v>
      </c>
      <c r="I70" s="34">
        <f t="shared" si="2"/>
        <v>250</v>
      </c>
      <c r="J70" s="35">
        <f t="shared" si="3"/>
        <v>495</v>
      </c>
    </row>
    <row r="71" spans="1:10" x14ac:dyDescent="0.25">
      <c r="A71" s="12" t="s">
        <v>82</v>
      </c>
      <c r="B71" s="39">
        <v>10</v>
      </c>
      <c r="C71" s="34">
        <v>7</v>
      </c>
      <c r="D71" s="35">
        <f t="shared" si="0"/>
        <v>17</v>
      </c>
      <c r="E71" s="34">
        <v>65</v>
      </c>
      <c r="F71" s="34">
        <v>111</v>
      </c>
      <c r="G71" s="34">
        <f t="shared" si="1"/>
        <v>176</v>
      </c>
      <c r="H71" s="39">
        <f t="shared" si="2"/>
        <v>75</v>
      </c>
      <c r="I71" s="34">
        <f t="shared" si="2"/>
        <v>118</v>
      </c>
      <c r="J71" s="35">
        <f t="shared" si="3"/>
        <v>193</v>
      </c>
    </row>
    <row r="72" spans="1:10" x14ac:dyDescent="0.25">
      <c r="A72" s="12" t="s">
        <v>97</v>
      </c>
      <c r="B72" s="39">
        <v>0</v>
      </c>
      <c r="C72" s="34">
        <v>0</v>
      </c>
      <c r="D72" s="35">
        <f t="shared" si="0"/>
        <v>0</v>
      </c>
      <c r="E72" s="34">
        <v>29</v>
      </c>
      <c r="F72" s="34">
        <v>31</v>
      </c>
      <c r="G72" s="34">
        <f t="shared" si="1"/>
        <v>60</v>
      </c>
      <c r="H72" s="39">
        <f t="shared" si="2"/>
        <v>29</v>
      </c>
      <c r="I72" s="34">
        <f t="shared" si="2"/>
        <v>31</v>
      </c>
      <c r="J72" s="35">
        <f t="shared" si="3"/>
        <v>60</v>
      </c>
    </row>
    <row r="73" spans="1:10" x14ac:dyDescent="0.25">
      <c r="A73" s="12" t="s">
        <v>84</v>
      </c>
      <c r="B73" s="39">
        <v>855</v>
      </c>
      <c r="C73" s="34">
        <v>866</v>
      </c>
      <c r="D73" s="35">
        <f t="shared" si="0"/>
        <v>1721</v>
      </c>
      <c r="E73" s="34">
        <v>0</v>
      </c>
      <c r="F73" s="34">
        <v>0</v>
      </c>
      <c r="G73" s="34">
        <f t="shared" si="1"/>
        <v>0</v>
      </c>
      <c r="H73" s="39">
        <f t="shared" si="2"/>
        <v>855</v>
      </c>
      <c r="I73" s="34">
        <f t="shared" si="2"/>
        <v>866</v>
      </c>
      <c r="J73" s="35">
        <f t="shared" si="3"/>
        <v>1721</v>
      </c>
    </row>
    <row r="74" spans="1:10" x14ac:dyDescent="0.25">
      <c r="A74" s="12" t="s">
        <v>85</v>
      </c>
      <c r="B74" s="39">
        <v>5</v>
      </c>
      <c r="C74" s="34">
        <v>5</v>
      </c>
      <c r="D74" s="35">
        <f t="shared" si="0"/>
        <v>10</v>
      </c>
      <c r="E74" s="34">
        <v>88</v>
      </c>
      <c r="F74" s="34">
        <v>100</v>
      </c>
      <c r="G74" s="34">
        <f t="shared" si="1"/>
        <v>188</v>
      </c>
      <c r="H74" s="39">
        <f t="shared" si="2"/>
        <v>93</v>
      </c>
      <c r="I74" s="34">
        <f t="shared" si="2"/>
        <v>105</v>
      </c>
      <c r="J74" s="35">
        <f t="shared" si="3"/>
        <v>198</v>
      </c>
    </row>
    <row r="75" spans="1:10" x14ac:dyDescent="0.25">
      <c r="A75" s="12" t="s">
        <v>86</v>
      </c>
      <c r="B75" s="39">
        <v>0</v>
      </c>
      <c r="C75" s="34">
        <v>0</v>
      </c>
      <c r="D75" s="35">
        <f t="shared" si="0"/>
        <v>0</v>
      </c>
      <c r="E75" s="34">
        <v>104</v>
      </c>
      <c r="F75" s="34">
        <v>129</v>
      </c>
      <c r="G75" s="34">
        <f t="shared" si="1"/>
        <v>233</v>
      </c>
      <c r="H75" s="39">
        <f t="shared" si="2"/>
        <v>104</v>
      </c>
      <c r="I75" s="34">
        <f t="shared" si="2"/>
        <v>129</v>
      </c>
      <c r="J75" s="35">
        <f t="shared" si="3"/>
        <v>233</v>
      </c>
    </row>
    <row r="76" spans="1:10" x14ac:dyDescent="0.25">
      <c r="A76" s="12" t="s">
        <v>87</v>
      </c>
      <c r="B76" s="39">
        <v>0</v>
      </c>
      <c r="C76" s="34">
        <v>0</v>
      </c>
      <c r="D76" s="35">
        <f t="shared" si="0"/>
        <v>0</v>
      </c>
      <c r="E76" s="34">
        <v>47</v>
      </c>
      <c r="F76" s="34">
        <v>59</v>
      </c>
      <c r="G76" s="34">
        <f t="shared" si="1"/>
        <v>106</v>
      </c>
      <c r="H76" s="39">
        <f t="shared" si="2"/>
        <v>47</v>
      </c>
      <c r="I76" s="34">
        <f t="shared" si="2"/>
        <v>59</v>
      </c>
      <c r="J76" s="35">
        <f t="shared" si="3"/>
        <v>106</v>
      </c>
    </row>
    <row r="77" spans="1:10" x14ac:dyDescent="0.25">
      <c r="A77" s="12" t="s">
        <v>88</v>
      </c>
      <c r="B77" s="39">
        <v>3</v>
      </c>
      <c r="C77" s="34">
        <v>6</v>
      </c>
      <c r="D77" s="35">
        <f t="shared" si="0"/>
        <v>9</v>
      </c>
      <c r="E77" s="34">
        <v>108</v>
      </c>
      <c r="F77" s="34">
        <v>185</v>
      </c>
      <c r="G77" s="34">
        <f t="shared" si="1"/>
        <v>293</v>
      </c>
      <c r="H77" s="39">
        <f t="shared" si="2"/>
        <v>111</v>
      </c>
      <c r="I77" s="34">
        <f t="shared" si="2"/>
        <v>191</v>
      </c>
      <c r="J77" s="35">
        <f t="shared" si="3"/>
        <v>302</v>
      </c>
    </row>
    <row r="78" spans="1:10" x14ac:dyDescent="0.25">
      <c r="A78" s="12" t="s">
        <v>98</v>
      </c>
      <c r="B78" s="39">
        <v>0</v>
      </c>
      <c r="C78" s="34">
        <v>0</v>
      </c>
      <c r="D78" s="35">
        <f t="shared" si="0"/>
        <v>0</v>
      </c>
      <c r="E78" s="34">
        <v>3</v>
      </c>
      <c r="F78" s="34">
        <v>1</v>
      </c>
      <c r="G78" s="34">
        <f t="shared" si="1"/>
        <v>4</v>
      </c>
      <c r="H78" s="39">
        <f t="shared" si="2"/>
        <v>3</v>
      </c>
      <c r="I78" s="34">
        <f t="shared" si="2"/>
        <v>1</v>
      </c>
      <c r="J78" s="35">
        <f t="shared" si="3"/>
        <v>4</v>
      </c>
    </row>
    <row r="79" spans="1:10" x14ac:dyDescent="0.25">
      <c r="A79" s="12" t="s">
        <v>89</v>
      </c>
      <c r="B79" s="39">
        <v>18</v>
      </c>
      <c r="C79" s="34">
        <v>13</v>
      </c>
      <c r="D79" s="35">
        <f t="shared" si="0"/>
        <v>31</v>
      </c>
      <c r="E79" s="34">
        <v>116</v>
      </c>
      <c r="F79" s="34">
        <v>70</v>
      </c>
      <c r="G79" s="34">
        <f t="shared" si="1"/>
        <v>186</v>
      </c>
      <c r="H79" s="39">
        <f t="shared" si="2"/>
        <v>134</v>
      </c>
      <c r="I79" s="34">
        <f t="shared" si="2"/>
        <v>83</v>
      </c>
      <c r="J79" s="35">
        <f t="shared" si="3"/>
        <v>217</v>
      </c>
    </row>
    <row r="80" spans="1:10" ht="15.75" thickBot="1" x14ac:dyDescent="0.3">
      <c r="A80" s="13" t="s">
        <v>99</v>
      </c>
      <c r="B80" s="43">
        <v>0</v>
      </c>
      <c r="C80" s="44">
        <v>0</v>
      </c>
      <c r="D80" s="45">
        <f t="shared" si="0"/>
        <v>0</v>
      </c>
      <c r="E80" s="44">
        <v>33</v>
      </c>
      <c r="F80" s="44">
        <v>53</v>
      </c>
      <c r="G80" s="44">
        <f t="shared" si="1"/>
        <v>86</v>
      </c>
      <c r="H80" s="43">
        <f t="shared" si="2"/>
        <v>33</v>
      </c>
      <c r="I80" s="44">
        <f t="shared" si="2"/>
        <v>53</v>
      </c>
      <c r="J80" s="45">
        <f t="shared" si="3"/>
        <v>86</v>
      </c>
    </row>
    <row r="81" spans="1:10" ht="16.5" thickTop="1" thickBot="1" x14ac:dyDescent="0.3">
      <c r="A81" s="8" t="s">
        <v>0</v>
      </c>
      <c r="B81" s="8">
        <f>SUM(B7:B80)</f>
        <v>6634</v>
      </c>
      <c r="C81" s="36">
        <f>SUM(C7:C80)</f>
        <v>6978</v>
      </c>
      <c r="D81" s="40">
        <f>SUM(D7:D80)</f>
        <v>13612</v>
      </c>
      <c r="E81" s="36">
        <f>SUM(E7:E80)</f>
        <v>4816</v>
      </c>
      <c r="F81" s="36">
        <f>SUM(F7:F80)</f>
        <v>5630</v>
      </c>
      <c r="G81" s="55">
        <f t="shared" ref="G81" si="9">SUM(E81:F81)</f>
        <v>10446</v>
      </c>
      <c r="H81" s="56">
        <f t="shared" ref="H81:I81" si="10">B81+E81</f>
        <v>11450</v>
      </c>
      <c r="I81" s="55">
        <f t="shared" si="10"/>
        <v>12608</v>
      </c>
      <c r="J81" s="57">
        <f t="shared" ref="J81" si="11">SUM(H81:I81)</f>
        <v>24058</v>
      </c>
    </row>
    <row r="82" spans="1:10" ht="15.75" thickBo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x14ac:dyDescent="0.25">
      <c r="A83" s="16" t="s">
        <v>16</v>
      </c>
      <c r="B83" s="58" t="s">
        <v>3</v>
      </c>
      <c r="C83" s="59"/>
      <c r="D83" s="60"/>
      <c r="E83" s="58" t="s">
        <v>4</v>
      </c>
      <c r="F83" s="59"/>
      <c r="G83" s="59"/>
      <c r="H83" s="58" t="s">
        <v>0</v>
      </c>
      <c r="I83" s="59"/>
      <c r="J83" s="60"/>
    </row>
    <row r="84" spans="1:10" x14ac:dyDescent="0.25">
      <c r="A84" s="17"/>
      <c r="B84" s="32" t="s">
        <v>5</v>
      </c>
      <c r="C84" s="31" t="s">
        <v>6</v>
      </c>
      <c r="D84" s="33" t="s">
        <v>0</v>
      </c>
      <c r="E84" s="32" t="s">
        <v>5</v>
      </c>
      <c r="F84" s="31" t="s">
        <v>6</v>
      </c>
      <c r="G84" s="33" t="s">
        <v>0</v>
      </c>
      <c r="H84" s="32" t="s">
        <v>5</v>
      </c>
      <c r="I84" s="31" t="s">
        <v>6</v>
      </c>
      <c r="J84" s="30" t="s">
        <v>0</v>
      </c>
    </row>
    <row r="85" spans="1:10" x14ac:dyDescent="0.25">
      <c r="A85" s="29" t="s">
        <v>15</v>
      </c>
      <c r="B85" s="6">
        <v>784</v>
      </c>
      <c r="C85" s="4">
        <v>1402</v>
      </c>
      <c r="D85" s="5">
        <f t="shared" ref="D85:D92" si="12">B85+C85</f>
        <v>2186</v>
      </c>
      <c r="E85" s="6">
        <v>340</v>
      </c>
      <c r="F85" s="4">
        <v>676</v>
      </c>
      <c r="G85" s="5">
        <f t="shared" ref="G85:G92" si="13">E85+F85</f>
        <v>1016</v>
      </c>
      <c r="H85" s="6">
        <f>B85+E85</f>
        <v>1124</v>
      </c>
      <c r="I85" s="4">
        <f>C85+F85</f>
        <v>2078</v>
      </c>
      <c r="J85" s="7">
        <f t="shared" ref="J85:J92" si="14">H85+I85</f>
        <v>3202</v>
      </c>
    </row>
    <row r="86" spans="1:10" x14ac:dyDescent="0.25">
      <c r="A86" s="29" t="s">
        <v>100</v>
      </c>
      <c r="B86" s="6">
        <v>931</v>
      </c>
      <c r="C86" s="4">
        <v>980</v>
      </c>
      <c r="D86" s="5">
        <f t="shared" si="12"/>
        <v>1911</v>
      </c>
      <c r="E86" s="6">
        <v>1032</v>
      </c>
      <c r="F86" s="4">
        <v>1404</v>
      </c>
      <c r="G86" s="5">
        <f t="shared" si="13"/>
        <v>2436</v>
      </c>
      <c r="H86" s="6">
        <f t="shared" ref="H86:H92" si="15">B86+E86</f>
        <v>1963</v>
      </c>
      <c r="I86" s="4">
        <f t="shared" ref="I86:I92" si="16">C86+F86</f>
        <v>2384</v>
      </c>
      <c r="J86" s="7">
        <f t="shared" si="14"/>
        <v>4347</v>
      </c>
    </row>
    <row r="87" spans="1:10" x14ac:dyDescent="0.25">
      <c r="A87" s="29" t="s">
        <v>14</v>
      </c>
      <c r="B87" s="6">
        <v>351</v>
      </c>
      <c r="C87" s="4">
        <v>307</v>
      </c>
      <c r="D87" s="5">
        <f t="shared" si="12"/>
        <v>658</v>
      </c>
      <c r="E87" s="6">
        <v>530</v>
      </c>
      <c r="F87" s="4">
        <v>545</v>
      </c>
      <c r="G87" s="5">
        <f t="shared" si="13"/>
        <v>1075</v>
      </c>
      <c r="H87" s="6">
        <f t="shared" si="15"/>
        <v>881</v>
      </c>
      <c r="I87" s="4">
        <f t="shared" si="16"/>
        <v>852</v>
      </c>
      <c r="J87" s="7">
        <f t="shared" si="14"/>
        <v>1733</v>
      </c>
    </row>
    <row r="88" spans="1:10" x14ac:dyDescent="0.25">
      <c r="A88" s="29" t="s">
        <v>91</v>
      </c>
      <c r="B88" s="6">
        <v>1363</v>
      </c>
      <c r="C88" s="4">
        <v>527</v>
      </c>
      <c r="D88" s="5">
        <f t="shared" si="12"/>
        <v>1890</v>
      </c>
      <c r="E88" s="6">
        <v>1105</v>
      </c>
      <c r="F88" s="4">
        <v>441</v>
      </c>
      <c r="G88" s="5">
        <f t="shared" si="13"/>
        <v>1546</v>
      </c>
      <c r="H88" s="6">
        <f t="shared" si="15"/>
        <v>2468</v>
      </c>
      <c r="I88" s="4">
        <f t="shared" si="16"/>
        <v>968</v>
      </c>
      <c r="J88" s="7">
        <f t="shared" si="14"/>
        <v>3436</v>
      </c>
    </row>
    <row r="89" spans="1:10" x14ac:dyDescent="0.25">
      <c r="A89" s="29" t="s">
        <v>1</v>
      </c>
      <c r="B89" s="6">
        <v>220</v>
      </c>
      <c r="C89" s="4">
        <v>326</v>
      </c>
      <c r="D89" s="5">
        <f t="shared" si="12"/>
        <v>546</v>
      </c>
      <c r="E89" s="6">
        <v>242</v>
      </c>
      <c r="F89" s="4">
        <v>311</v>
      </c>
      <c r="G89" s="5">
        <f t="shared" si="13"/>
        <v>553</v>
      </c>
      <c r="H89" s="6">
        <f t="shared" si="15"/>
        <v>462</v>
      </c>
      <c r="I89" s="4">
        <f t="shared" si="16"/>
        <v>637</v>
      </c>
      <c r="J89" s="7">
        <f t="shared" si="14"/>
        <v>1099</v>
      </c>
    </row>
    <row r="90" spans="1:10" ht="30" customHeight="1" x14ac:dyDescent="0.25">
      <c r="A90" s="29" t="s">
        <v>11</v>
      </c>
      <c r="B90" s="6">
        <v>581</v>
      </c>
      <c r="C90" s="4">
        <v>1206</v>
      </c>
      <c r="D90" s="5">
        <f t="shared" si="12"/>
        <v>1787</v>
      </c>
      <c r="E90" s="6">
        <v>380</v>
      </c>
      <c r="F90" s="4">
        <v>914</v>
      </c>
      <c r="G90" s="5">
        <f t="shared" si="13"/>
        <v>1294</v>
      </c>
      <c r="H90" s="6">
        <f t="shared" si="15"/>
        <v>961</v>
      </c>
      <c r="I90" s="4">
        <f t="shared" si="16"/>
        <v>2120</v>
      </c>
      <c r="J90" s="7">
        <f t="shared" si="14"/>
        <v>3081</v>
      </c>
    </row>
    <row r="91" spans="1:10" x14ac:dyDescent="0.25">
      <c r="A91" s="29" t="s">
        <v>10</v>
      </c>
      <c r="B91" s="6">
        <v>1204</v>
      </c>
      <c r="C91" s="4">
        <v>892</v>
      </c>
      <c r="D91" s="5">
        <f t="shared" si="12"/>
        <v>2096</v>
      </c>
      <c r="E91" s="6">
        <v>404</v>
      </c>
      <c r="F91" s="4">
        <v>208</v>
      </c>
      <c r="G91" s="5">
        <f t="shared" si="13"/>
        <v>612</v>
      </c>
      <c r="H91" s="6">
        <f t="shared" si="15"/>
        <v>1608</v>
      </c>
      <c r="I91" s="4">
        <f t="shared" si="16"/>
        <v>1100</v>
      </c>
      <c r="J91" s="7">
        <f t="shared" si="14"/>
        <v>2708</v>
      </c>
    </row>
    <row r="92" spans="1:10" ht="15.75" thickBot="1" x14ac:dyDescent="0.3">
      <c r="A92" s="28" t="s">
        <v>9</v>
      </c>
      <c r="B92" s="10">
        <v>1200</v>
      </c>
      <c r="C92" s="11">
        <v>1338</v>
      </c>
      <c r="D92" s="54">
        <f t="shared" si="12"/>
        <v>2538</v>
      </c>
      <c r="E92" s="10">
        <v>783</v>
      </c>
      <c r="F92" s="11">
        <v>1131</v>
      </c>
      <c r="G92" s="54">
        <f t="shared" si="13"/>
        <v>1914</v>
      </c>
      <c r="H92" s="10">
        <f t="shared" si="15"/>
        <v>1983</v>
      </c>
      <c r="I92" s="11">
        <f t="shared" si="16"/>
        <v>2469</v>
      </c>
      <c r="J92" s="14">
        <f t="shared" si="14"/>
        <v>4452</v>
      </c>
    </row>
    <row r="93" spans="1:10" ht="16.5" thickTop="1" thickBot="1" x14ac:dyDescent="0.3">
      <c r="A93" s="9" t="s">
        <v>0</v>
      </c>
      <c r="B93" s="8">
        <f t="shared" ref="B93:J93" si="17">SUM(B85:B92)</f>
        <v>6634</v>
      </c>
      <c r="C93" s="8">
        <f t="shared" si="17"/>
        <v>6978</v>
      </c>
      <c r="D93" s="8">
        <f t="shared" si="17"/>
        <v>13612</v>
      </c>
      <c r="E93" s="8">
        <f t="shared" si="17"/>
        <v>4816</v>
      </c>
      <c r="F93" s="8">
        <f t="shared" si="17"/>
        <v>5630</v>
      </c>
      <c r="G93" s="8">
        <f t="shared" si="17"/>
        <v>10446</v>
      </c>
      <c r="H93" s="8">
        <f t="shared" si="17"/>
        <v>11450</v>
      </c>
      <c r="I93" s="8">
        <f t="shared" si="17"/>
        <v>12608</v>
      </c>
      <c r="J93" s="9">
        <f t="shared" si="17"/>
        <v>24058</v>
      </c>
    </row>
    <row r="94" spans="1:10" ht="15.75" thickBo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 x14ac:dyDescent="0.25">
      <c r="A95" s="29" t="s">
        <v>15</v>
      </c>
      <c r="B95" s="24">
        <f t="shared" ref="B95:B102" si="18">B85/D85</f>
        <v>0.35864592863677952</v>
      </c>
      <c r="C95" s="23">
        <f t="shared" ref="C95:C102" si="19">C85/D85</f>
        <v>0.64135407136322053</v>
      </c>
      <c r="D95" s="5"/>
      <c r="E95" s="24">
        <f t="shared" ref="E95:E102" si="20">E85/G85</f>
        <v>0.3346456692913386</v>
      </c>
      <c r="F95" s="23">
        <f t="shared" ref="F95:F102" si="21">F85/G85</f>
        <v>0.66535433070866146</v>
      </c>
      <c r="G95" s="4"/>
      <c r="H95" s="24">
        <f t="shared" ref="H95:H102" si="22">H85/J85</f>
        <v>0.35103060587133039</v>
      </c>
      <c r="I95" s="23">
        <f t="shared" ref="I95:I102" si="23">I85/J85</f>
        <v>0.64896939412866961</v>
      </c>
      <c r="J95" s="7"/>
    </row>
    <row r="96" spans="1:10" x14ac:dyDescent="0.25">
      <c r="A96" s="29" t="s">
        <v>100</v>
      </c>
      <c r="B96" s="24">
        <f t="shared" si="18"/>
        <v>0.48717948717948717</v>
      </c>
      <c r="C96" s="23">
        <f t="shared" si="19"/>
        <v>0.51282051282051277</v>
      </c>
      <c r="D96" s="5"/>
      <c r="E96" s="24">
        <f t="shared" si="20"/>
        <v>0.42364532019704432</v>
      </c>
      <c r="F96" s="23">
        <f t="shared" si="21"/>
        <v>0.57635467980295563</v>
      </c>
      <c r="G96" s="4"/>
      <c r="H96" s="24">
        <f t="shared" si="22"/>
        <v>0.45157579940188636</v>
      </c>
      <c r="I96" s="23">
        <f t="shared" si="23"/>
        <v>0.54842420059811359</v>
      </c>
      <c r="J96" s="7"/>
    </row>
    <row r="97" spans="1:10" x14ac:dyDescent="0.25">
      <c r="A97" s="29" t="s">
        <v>14</v>
      </c>
      <c r="B97" s="24">
        <f t="shared" si="18"/>
        <v>0.53343465045592708</v>
      </c>
      <c r="C97" s="23">
        <f t="shared" si="19"/>
        <v>0.46656534954407297</v>
      </c>
      <c r="D97" s="5"/>
      <c r="E97" s="24">
        <f t="shared" si="20"/>
        <v>0.49302325581395351</v>
      </c>
      <c r="F97" s="23">
        <f t="shared" si="21"/>
        <v>0.50697674418604655</v>
      </c>
      <c r="G97" s="4"/>
      <c r="H97" s="24">
        <f t="shared" si="22"/>
        <v>0.5083669936526255</v>
      </c>
      <c r="I97" s="23">
        <f t="shared" si="23"/>
        <v>0.4916330063473745</v>
      </c>
      <c r="J97" s="7"/>
    </row>
    <row r="98" spans="1:10" x14ac:dyDescent="0.25">
      <c r="A98" s="29" t="s">
        <v>91</v>
      </c>
      <c r="B98" s="24">
        <f t="shared" si="18"/>
        <v>0.72116402116402112</v>
      </c>
      <c r="C98" s="23">
        <f t="shared" si="19"/>
        <v>0.27883597883597883</v>
      </c>
      <c r="D98" s="5"/>
      <c r="E98" s="24">
        <f t="shared" si="20"/>
        <v>0.71474773609314357</v>
      </c>
      <c r="F98" s="23">
        <f t="shared" si="21"/>
        <v>0.28525226390685643</v>
      </c>
      <c r="G98" s="4"/>
      <c r="H98" s="24">
        <f t="shared" si="22"/>
        <v>0.71827706635622812</v>
      </c>
      <c r="I98" s="23">
        <f t="shared" si="23"/>
        <v>0.28172293364377182</v>
      </c>
      <c r="J98" s="7"/>
    </row>
    <row r="99" spans="1:10" x14ac:dyDescent="0.25">
      <c r="A99" s="29" t="s">
        <v>1</v>
      </c>
      <c r="B99" s="24">
        <f t="shared" si="18"/>
        <v>0.40293040293040294</v>
      </c>
      <c r="C99" s="23">
        <f t="shared" si="19"/>
        <v>0.59706959706959706</v>
      </c>
      <c r="D99" s="5"/>
      <c r="E99" s="24">
        <f t="shared" si="20"/>
        <v>0.43761301989150092</v>
      </c>
      <c r="F99" s="23">
        <f t="shared" si="21"/>
        <v>0.56238698010849908</v>
      </c>
      <c r="G99" s="4"/>
      <c r="H99" s="24">
        <f t="shared" si="22"/>
        <v>0.42038216560509556</v>
      </c>
      <c r="I99" s="23">
        <f t="shared" si="23"/>
        <v>0.57961783439490444</v>
      </c>
      <c r="J99" s="7"/>
    </row>
    <row r="100" spans="1:10" x14ac:dyDescent="0.25">
      <c r="A100" s="29" t="s">
        <v>11</v>
      </c>
      <c r="B100" s="24">
        <f t="shared" si="18"/>
        <v>0.32512590934527141</v>
      </c>
      <c r="C100" s="23">
        <f t="shared" si="19"/>
        <v>0.67487409065472859</v>
      </c>
      <c r="D100" s="5"/>
      <c r="E100" s="24">
        <f t="shared" si="20"/>
        <v>0.2936630602782071</v>
      </c>
      <c r="F100" s="23">
        <f t="shared" si="21"/>
        <v>0.7063369397217929</v>
      </c>
      <c r="G100" s="4"/>
      <c r="H100" s="24">
        <f t="shared" si="22"/>
        <v>0.31191171697500814</v>
      </c>
      <c r="I100" s="23">
        <f t="shared" si="23"/>
        <v>0.68808828302499192</v>
      </c>
      <c r="J100" s="7"/>
    </row>
    <row r="101" spans="1:10" x14ac:dyDescent="0.25">
      <c r="A101" s="29" t="s">
        <v>10</v>
      </c>
      <c r="B101" s="24">
        <f t="shared" si="18"/>
        <v>0.57442748091603058</v>
      </c>
      <c r="C101" s="23">
        <f t="shared" si="19"/>
        <v>0.42557251908396948</v>
      </c>
      <c r="D101" s="5"/>
      <c r="E101" s="24">
        <f t="shared" si="20"/>
        <v>0.66013071895424835</v>
      </c>
      <c r="F101" s="23">
        <f t="shared" si="21"/>
        <v>0.33986928104575165</v>
      </c>
      <c r="G101" s="4"/>
      <c r="H101" s="24">
        <f t="shared" si="22"/>
        <v>0.59379615952732645</v>
      </c>
      <c r="I101" s="23">
        <f t="shared" si="23"/>
        <v>0.40620384047267355</v>
      </c>
      <c r="J101" s="7"/>
    </row>
    <row r="102" spans="1:10" ht="15.75" thickBot="1" x14ac:dyDescent="0.3">
      <c r="A102" s="28" t="s">
        <v>9</v>
      </c>
      <c r="B102" s="22">
        <f t="shared" si="18"/>
        <v>0.4728132387706856</v>
      </c>
      <c r="C102" s="21">
        <f t="shared" si="19"/>
        <v>0.5271867612293144</v>
      </c>
      <c r="D102" s="54"/>
      <c r="E102" s="22">
        <f t="shared" si="20"/>
        <v>0.40909090909090912</v>
      </c>
      <c r="F102" s="22">
        <f t="shared" si="21"/>
        <v>0.59090909090909094</v>
      </c>
      <c r="G102" s="54"/>
      <c r="H102" s="22">
        <f t="shared" si="22"/>
        <v>0.44541778975741242</v>
      </c>
      <c r="I102" s="22">
        <f t="shared" si="23"/>
        <v>0.55458221024258758</v>
      </c>
      <c r="J102" s="14"/>
    </row>
    <row r="103" spans="1:10" ht="16.5" thickTop="1" thickBot="1" x14ac:dyDescent="0.3">
      <c r="A103" s="9" t="s">
        <v>0</v>
      </c>
      <c r="B103" s="19">
        <f t="shared" ref="B103" si="24">B93/D93</f>
        <v>0.48736409050837498</v>
      </c>
      <c r="C103" s="19">
        <f t="shared" ref="C103" si="25">C93/D93</f>
        <v>0.51263590949162507</v>
      </c>
      <c r="D103" s="8"/>
      <c r="E103" s="19">
        <f t="shared" ref="E103" si="26">E93/G93</f>
        <v>0.4610377177867126</v>
      </c>
      <c r="F103" s="19">
        <f t="shared" ref="F103" si="27">F93/G93</f>
        <v>0.53896228221328735</v>
      </c>
      <c r="G103" s="8"/>
      <c r="H103" s="19">
        <f t="shared" ref="H103" si="28">H93/J93</f>
        <v>0.47593316152631143</v>
      </c>
      <c r="I103" s="19">
        <f t="shared" ref="I103" si="29">I93/J93</f>
        <v>0.52406683847368862</v>
      </c>
      <c r="J103" s="9"/>
    </row>
  </sheetData>
  <mergeCells count="8">
    <mergeCell ref="B83:D83"/>
    <mergeCell ref="E83:G83"/>
    <mergeCell ref="H83:J8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1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opLeftCell="B78" zoomScale="85" zoomScaleNormal="85" zoomScalePageLayoutView="70" workbookViewId="0">
      <selection activeCell="B82" sqref="B82"/>
    </sheetView>
  </sheetViews>
  <sheetFormatPr defaultColWidth="9.140625" defaultRowHeight="15" x14ac:dyDescent="0.25"/>
  <cols>
    <col min="1" max="1" width="29.140625" customWidth="1"/>
    <col min="2" max="10" width="6.85546875" customWidth="1"/>
  </cols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2009-10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ht="15" customHeight="1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17</v>
      </c>
      <c r="B7" s="39">
        <v>56</v>
      </c>
      <c r="C7" s="34">
        <v>137</v>
      </c>
      <c r="D7" s="35">
        <f>SUM(B7:C7)</f>
        <v>193</v>
      </c>
      <c r="E7" s="34">
        <v>63</v>
      </c>
      <c r="F7" s="34">
        <v>144</v>
      </c>
      <c r="G7" s="34">
        <f>SUM(E7:F7)</f>
        <v>207</v>
      </c>
      <c r="H7" s="39">
        <f>B7+E7</f>
        <v>119</v>
      </c>
      <c r="I7" s="34">
        <f>C7+F7</f>
        <v>281</v>
      </c>
      <c r="J7" s="35">
        <f>SUM(H7:I7)</f>
        <v>400</v>
      </c>
    </row>
    <row r="8" spans="1:10" x14ac:dyDescent="0.25">
      <c r="A8" s="12" t="s">
        <v>18</v>
      </c>
      <c r="B8" s="39">
        <v>59</v>
      </c>
      <c r="C8" s="34">
        <v>114</v>
      </c>
      <c r="D8" s="35">
        <f t="shared" ref="D8:D79" si="0">SUM(B8:C8)</f>
        <v>173</v>
      </c>
      <c r="E8" s="34">
        <v>104</v>
      </c>
      <c r="F8" s="34">
        <v>277</v>
      </c>
      <c r="G8" s="34">
        <f t="shared" ref="G8:G79" si="1">SUM(E8:F8)</f>
        <v>381</v>
      </c>
      <c r="H8" s="39">
        <f t="shared" ref="H8:I79" si="2">B8+E8</f>
        <v>163</v>
      </c>
      <c r="I8" s="34">
        <f t="shared" si="2"/>
        <v>391</v>
      </c>
      <c r="J8" s="35">
        <f t="shared" ref="J8:J79" si="3">SUM(H8:I8)</f>
        <v>554</v>
      </c>
    </row>
    <row r="9" spans="1:10" x14ac:dyDescent="0.25">
      <c r="A9" s="12" t="s">
        <v>19</v>
      </c>
      <c r="B9" s="39">
        <v>220</v>
      </c>
      <c r="C9" s="34">
        <v>224</v>
      </c>
      <c r="D9" s="35">
        <f t="shared" si="0"/>
        <v>444</v>
      </c>
      <c r="E9" s="34">
        <v>100</v>
      </c>
      <c r="F9" s="34">
        <v>103</v>
      </c>
      <c r="G9" s="34">
        <f t="shared" si="1"/>
        <v>203</v>
      </c>
      <c r="H9" s="39">
        <f t="shared" si="2"/>
        <v>320</v>
      </c>
      <c r="I9" s="34">
        <f t="shared" si="2"/>
        <v>327</v>
      </c>
      <c r="J9" s="35">
        <f t="shared" si="3"/>
        <v>647</v>
      </c>
    </row>
    <row r="10" spans="1:10" x14ac:dyDescent="0.25">
      <c r="A10" s="12" t="s">
        <v>20</v>
      </c>
      <c r="B10" s="39">
        <v>88</v>
      </c>
      <c r="C10" s="34">
        <v>25</v>
      </c>
      <c r="D10" s="35">
        <f t="shared" si="0"/>
        <v>113</v>
      </c>
      <c r="E10" s="34">
        <v>122</v>
      </c>
      <c r="F10" s="34">
        <v>49</v>
      </c>
      <c r="G10" s="34">
        <f t="shared" si="1"/>
        <v>171</v>
      </c>
      <c r="H10" s="39">
        <f t="shared" si="2"/>
        <v>210</v>
      </c>
      <c r="I10" s="34">
        <f t="shared" si="2"/>
        <v>74</v>
      </c>
      <c r="J10" s="35">
        <f t="shared" si="3"/>
        <v>284</v>
      </c>
    </row>
    <row r="11" spans="1:10" x14ac:dyDescent="0.25">
      <c r="A11" s="12" t="s">
        <v>21</v>
      </c>
      <c r="B11" s="39">
        <v>0</v>
      </c>
      <c r="C11" s="34">
        <v>0</v>
      </c>
      <c r="D11" s="35">
        <f t="shared" si="0"/>
        <v>0</v>
      </c>
      <c r="E11" s="34">
        <v>103</v>
      </c>
      <c r="F11" s="34">
        <v>117</v>
      </c>
      <c r="G11" s="34">
        <f t="shared" si="1"/>
        <v>220</v>
      </c>
      <c r="H11" s="39">
        <f t="shared" si="2"/>
        <v>103</v>
      </c>
      <c r="I11" s="34">
        <f t="shared" si="2"/>
        <v>117</v>
      </c>
      <c r="J11" s="35">
        <f t="shared" si="3"/>
        <v>220</v>
      </c>
    </row>
    <row r="12" spans="1:10" x14ac:dyDescent="0.25">
      <c r="A12" s="12" t="s">
        <v>22</v>
      </c>
      <c r="B12" s="39">
        <v>55</v>
      </c>
      <c r="C12" s="34">
        <v>62</v>
      </c>
      <c r="D12" s="35">
        <f t="shared" si="0"/>
        <v>117</v>
      </c>
      <c r="E12" s="34">
        <v>90</v>
      </c>
      <c r="F12" s="34">
        <v>117</v>
      </c>
      <c r="G12" s="34">
        <f t="shared" si="1"/>
        <v>207</v>
      </c>
      <c r="H12" s="39">
        <f t="shared" si="2"/>
        <v>145</v>
      </c>
      <c r="I12" s="34">
        <f t="shared" si="2"/>
        <v>179</v>
      </c>
      <c r="J12" s="35">
        <f t="shared" si="3"/>
        <v>324</v>
      </c>
    </row>
    <row r="13" spans="1:10" x14ac:dyDescent="0.25">
      <c r="A13" s="12" t="s">
        <v>23</v>
      </c>
      <c r="B13" s="39">
        <v>74</v>
      </c>
      <c r="C13" s="34">
        <v>69</v>
      </c>
      <c r="D13" s="35">
        <f t="shared" si="0"/>
        <v>143</v>
      </c>
      <c r="E13" s="34">
        <v>70</v>
      </c>
      <c r="F13" s="34">
        <v>49</v>
      </c>
      <c r="G13" s="34">
        <f t="shared" si="1"/>
        <v>119</v>
      </c>
      <c r="H13" s="39">
        <f t="shared" si="2"/>
        <v>144</v>
      </c>
      <c r="I13" s="34">
        <f t="shared" si="2"/>
        <v>118</v>
      </c>
      <c r="J13" s="35">
        <f t="shared" si="3"/>
        <v>262</v>
      </c>
    </row>
    <row r="14" spans="1:10" x14ac:dyDescent="0.25">
      <c r="A14" s="12" t="s">
        <v>24</v>
      </c>
      <c r="B14" s="39">
        <v>408</v>
      </c>
      <c r="C14" s="34">
        <v>549</v>
      </c>
      <c r="D14" s="35">
        <f t="shared" si="0"/>
        <v>957</v>
      </c>
      <c r="E14" s="34">
        <v>126</v>
      </c>
      <c r="F14" s="34">
        <v>215</v>
      </c>
      <c r="G14" s="34">
        <f t="shared" si="1"/>
        <v>341</v>
      </c>
      <c r="H14" s="39">
        <f t="shared" si="2"/>
        <v>534</v>
      </c>
      <c r="I14" s="34">
        <f t="shared" si="2"/>
        <v>764</v>
      </c>
      <c r="J14" s="35">
        <f t="shared" si="3"/>
        <v>1298</v>
      </c>
    </row>
    <row r="15" spans="1:10" x14ac:dyDescent="0.25">
      <c r="A15" s="12" t="s">
        <v>25</v>
      </c>
      <c r="B15" s="39">
        <v>0</v>
      </c>
      <c r="C15" s="34">
        <v>0</v>
      </c>
      <c r="D15" s="35">
        <f t="shared" si="0"/>
        <v>0</v>
      </c>
      <c r="E15" s="34">
        <v>7</v>
      </c>
      <c r="F15" s="34">
        <v>2</v>
      </c>
      <c r="G15" s="34">
        <f t="shared" si="1"/>
        <v>9</v>
      </c>
      <c r="H15" s="39">
        <f t="shared" si="2"/>
        <v>7</v>
      </c>
      <c r="I15" s="34">
        <f t="shared" si="2"/>
        <v>2</v>
      </c>
      <c r="J15" s="35">
        <f t="shared" si="3"/>
        <v>9</v>
      </c>
    </row>
    <row r="16" spans="1:10" x14ac:dyDescent="0.25">
      <c r="A16" s="12" t="s">
        <v>26</v>
      </c>
      <c r="B16" s="39">
        <v>0</v>
      </c>
      <c r="C16" s="34">
        <v>0</v>
      </c>
      <c r="D16" s="35">
        <f t="shared" si="0"/>
        <v>0</v>
      </c>
      <c r="E16" s="34">
        <v>24</v>
      </c>
      <c r="F16" s="34">
        <v>24</v>
      </c>
      <c r="G16" s="34">
        <f t="shared" si="1"/>
        <v>48</v>
      </c>
      <c r="H16" s="39">
        <f t="shared" si="2"/>
        <v>24</v>
      </c>
      <c r="I16" s="34">
        <f t="shared" si="2"/>
        <v>24</v>
      </c>
      <c r="J16" s="35">
        <f t="shared" si="3"/>
        <v>48</v>
      </c>
    </row>
    <row r="17" spans="1:10" x14ac:dyDescent="0.25">
      <c r="A17" s="12" t="s">
        <v>27</v>
      </c>
      <c r="B17" s="39">
        <v>0</v>
      </c>
      <c r="C17" s="34">
        <v>0</v>
      </c>
      <c r="D17" s="35">
        <f t="shared" ref="D17:D27" si="4">SUM(B17:C17)</f>
        <v>0</v>
      </c>
      <c r="E17" s="34">
        <v>33</v>
      </c>
      <c r="F17" s="34">
        <v>76</v>
      </c>
      <c r="G17" s="34">
        <f t="shared" ref="G17:G27" si="5">SUM(E17:F17)</f>
        <v>109</v>
      </c>
      <c r="H17" s="39">
        <f t="shared" ref="H17:H27" si="6">B17+E17</f>
        <v>33</v>
      </c>
      <c r="I17" s="34">
        <f t="shared" ref="I17:I27" si="7">C17+F17</f>
        <v>76</v>
      </c>
      <c r="J17" s="35">
        <f t="shared" ref="J17:J27" si="8">SUM(H17:I17)</f>
        <v>109</v>
      </c>
    </row>
    <row r="18" spans="1:10" x14ac:dyDescent="0.25">
      <c r="A18" s="12" t="s">
        <v>28</v>
      </c>
      <c r="B18" s="39">
        <v>0</v>
      </c>
      <c r="C18" s="34">
        <v>0</v>
      </c>
      <c r="D18" s="35">
        <f t="shared" si="4"/>
        <v>0</v>
      </c>
      <c r="E18" s="34">
        <v>28</v>
      </c>
      <c r="F18" s="34">
        <v>19</v>
      </c>
      <c r="G18" s="34">
        <f t="shared" si="5"/>
        <v>47</v>
      </c>
      <c r="H18" s="39">
        <f t="shared" si="6"/>
        <v>28</v>
      </c>
      <c r="I18" s="34">
        <f t="shared" si="7"/>
        <v>19</v>
      </c>
      <c r="J18" s="35">
        <f t="shared" si="8"/>
        <v>47</v>
      </c>
    </row>
    <row r="19" spans="1:10" x14ac:dyDescent="0.25">
      <c r="A19" s="12" t="s">
        <v>29</v>
      </c>
      <c r="B19" s="39">
        <v>0</v>
      </c>
      <c r="C19" s="34">
        <v>0</v>
      </c>
      <c r="D19" s="35">
        <f t="shared" si="4"/>
        <v>0</v>
      </c>
      <c r="E19" s="34">
        <v>65</v>
      </c>
      <c r="F19" s="34">
        <v>61</v>
      </c>
      <c r="G19" s="34">
        <f t="shared" si="5"/>
        <v>126</v>
      </c>
      <c r="H19" s="39">
        <f t="shared" si="6"/>
        <v>65</v>
      </c>
      <c r="I19" s="34">
        <f t="shared" si="7"/>
        <v>61</v>
      </c>
      <c r="J19" s="35">
        <f t="shared" si="8"/>
        <v>126</v>
      </c>
    </row>
    <row r="20" spans="1:10" x14ac:dyDescent="0.25">
      <c r="A20" s="12" t="s">
        <v>30</v>
      </c>
      <c r="B20" s="39">
        <v>213</v>
      </c>
      <c r="C20" s="34">
        <v>97</v>
      </c>
      <c r="D20" s="35">
        <f t="shared" si="4"/>
        <v>310</v>
      </c>
      <c r="E20" s="34">
        <v>47</v>
      </c>
      <c r="F20" s="34">
        <v>26</v>
      </c>
      <c r="G20" s="34">
        <f t="shared" si="5"/>
        <v>73</v>
      </c>
      <c r="H20" s="39">
        <f t="shared" si="6"/>
        <v>260</v>
      </c>
      <c r="I20" s="34">
        <f t="shared" si="7"/>
        <v>123</v>
      </c>
      <c r="J20" s="35">
        <f t="shared" si="8"/>
        <v>383</v>
      </c>
    </row>
    <row r="21" spans="1:10" x14ac:dyDescent="0.25">
      <c r="A21" s="12" t="s">
        <v>31</v>
      </c>
      <c r="B21" s="39">
        <v>157</v>
      </c>
      <c r="C21" s="34">
        <v>146</v>
      </c>
      <c r="D21" s="35">
        <f t="shared" si="4"/>
        <v>303</v>
      </c>
      <c r="E21" s="34">
        <v>90</v>
      </c>
      <c r="F21" s="34">
        <v>48</v>
      </c>
      <c r="G21" s="34">
        <f t="shared" si="5"/>
        <v>138</v>
      </c>
      <c r="H21" s="39">
        <f t="shared" si="6"/>
        <v>247</v>
      </c>
      <c r="I21" s="34">
        <f t="shared" si="7"/>
        <v>194</v>
      </c>
      <c r="J21" s="35">
        <f t="shared" si="8"/>
        <v>441</v>
      </c>
    </row>
    <row r="22" spans="1:10" x14ac:dyDescent="0.25">
      <c r="A22" s="12" t="s">
        <v>32</v>
      </c>
      <c r="B22" s="39">
        <v>164</v>
      </c>
      <c r="C22" s="34">
        <v>72</v>
      </c>
      <c r="D22" s="35">
        <f t="shared" si="4"/>
        <v>236</v>
      </c>
      <c r="E22" s="34">
        <v>122</v>
      </c>
      <c r="F22" s="34">
        <v>54</v>
      </c>
      <c r="G22" s="34">
        <f t="shared" si="5"/>
        <v>176</v>
      </c>
      <c r="H22" s="39">
        <f t="shared" si="6"/>
        <v>286</v>
      </c>
      <c r="I22" s="34">
        <f t="shared" si="7"/>
        <v>126</v>
      </c>
      <c r="J22" s="35">
        <f t="shared" si="8"/>
        <v>412</v>
      </c>
    </row>
    <row r="23" spans="1:10" x14ac:dyDescent="0.25">
      <c r="A23" s="12" t="s">
        <v>33</v>
      </c>
      <c r="B23" s="39">
        <v>159</v>
      </c>
      <c r="C23" s="34">
        <v>36</v>
      </c>
      <c r="D23" s="35">
        <f t="shared" si="4"/>
        <v>195</v>
      </c>
      <c r="E23" s="34">
        <v>259</v>
      </c>
      <c r="F23" s="34">
        <v>80</v>
      </c>
      <c r="G23" s="34">
        <f t="shared" si="5"/>
        <v>339</v>
      </c>
      <c r="H23" s="39">
        <f t="shared" si="6"/>
        <v>418</v>
      </c>
      <c r="I23" s="34">
        <f t="shared" si="7"/>
        <v>116</v>
      </c>
      <c r="J23" s="35">
        <f t="shared" si="8"/>
        <v>534</v>
      </c>
    </row>
    <row r="24" spans="1:10" x14ac:dyDescent="0.25">
      <c r="A24" s="12" t="s">
        <v>34</v>
      </c>
      <c r="B24" s="39">
        <v>0</v>
      </c>
      <c r="C24" s="34">
        <v>0</v>
      </c>
      <c r="D24" s="35">
        <f t="shared" si="4"/>
        <v>0</v>
      </c>
      <c r="E24" s="34">
        <v>72</v>
      </c>
      <c r="F24" s="34">
        <v>117</v>
      </c>
      <c r="G24" s="34">
        <f t="shared" si="5"/>
        <v>189</v>
      </c>
      <c r="H24" s="39">
        <f t="shared" si="6"/>
        <v>72</v>
      </c>
      <c r="I24" s="34">
        <f t="shared" si="7"/>
        <v>117</v>
      </c>
      <c r="J24" s="35">
        <f t="shared" si="8"/>
        <v>189</v>
      </c>
    </row>
    <row r="25" spans="1:10" x14ac:dyDescent="0.25">
      <c r="A25" s="12" t="s">
        <v>35</v>
      </c>
      <c r="B25" s="39">
        <v>3</v>
      </c>
      <c r="C25" s="34">
        <v>16</v>
      </c>
      <c r="D25" s="35">
        <f t="shared" si="4"/>
        <v>19</v>
      </c>
      <c r="E25" s="34">
        <v>7</v>
      </c>
      <c r="F25" s="34">
        <v>6</v>
      </c>
      <c r="G25" s="34">
        <f t="shared" si="5"/>
        <v>13</v>
      </c>
      <c r="H25" s="39">
        <f t="shared" si="6"/>
        <v>10</v>
      </c>
      <c r="I25" s="34">
        <f t="shared" si="7"/>
        <v>22</v>
      </c>
      <c r="J25" s="35">
        <f t="shared" si="8"/>
        <v>32</v>
      </c>
    </row>
    <row r="26" spans="1:10" x14ac:dyDescent="0.25">
      <c r="A26" s="12" t="s">
        <v>36</v>
      </c>
      <c r="B26" s="39">
        <v>50</v>
      </c>
      <c r="C26" s="34">
        <v>39</v>
      </c>
      <c r="D26" s="35">
        <f t="shared" si="4"/>
        <v>89</v>
      </c>
      <c r="E26" s="34">
        <v>37</v>
      </c>
      <c r="F26" s="34">
        <v>38</v>
      </c>
      <c r="G26" s="34">
        <f t="shared" si="5"/>
        <v>75</v>
      </c>
      <c r="H26" s="39">
        <f t="shared" si="6"/>
        <v>87</v>
      </c>
      <c r="I26" s="34">
        <f t="shared" si="7"/>
        <v>77</v>
      </c>
      <c r="J26" s="35">
        <f t="shared" si="8"/>
        <v>164</v>
      </c>
    </row>
    <row r="27" spans="1:10" x14ac:dyDescent="0.25">
      <c r="A27" s="12" t="s">
        <v>37</v>
      </c>
      <c r="B27" s="39">
        <v>394</v>
      </c>
      <c r="C27" s="34">
        <v>317</v>
      </c>
      <c r="D27" s="35">
        <f t="shared" si="4"/>
        <v>711</v>
      </c>
      <c r="E27" s="34">
        <v>111</v>
      </c>
      <c r="F27" s="34">
        <v>77</v>
      </c>
      <c r="G27" s="34">
        <f t="shared" si="5"/>
        <v>188</v>
      </c>
      <c r="H27" s="39">
        <f t="shared" si="6"/>
        <v>505</v>
      </c>
      <c r="I27" s="34">
        <f t="shared" si="7"/>
        <v>394</v>
      </c>
      <c r="J27" s="35">
        <f t="shared" si="8"/>
        <v>899</v>
      </c>
    </row>
    <row r="28" spans="1:10" x14ac:dyDescent="0.25">
      <c r="A28" s="12" t="s">
        <v>38</v>
      </c>
      <c r="B28" s="39">
        <v>165</v>
      </c>
      <c r="C28" s="34">
        <v>20</v>
      </c>
      <c r="D28" s="35">
        <f t="shared" si="0"/>
        <v>185</v>
      </c>
      <c r="E28" s="34">
        <v>216</v>
      </c>
      <c r="F28" s="34">
        <v>43</v>
      </c>
      <c r="G28" s="34">
        <f t="shared" si="1"/>
        <v>259</v>
      </c>
      <c r="H28" s="39">
        <f t="shared" si="2"/>
        <v>381</v>
      </c>
      <c r="I28" s="34">
        <f t="shared" si="2"/>
        <v>63</v>
      </c>
      <c r="J28" s="35">
        <f t="shared" si="3"/>
        <v>444</v>
      </c>
    </row>
    <row r="29" spans="1:10" x14ac:dyDescent="0.25">
      <c r="A29" s="12" t="s">
        <v>41</v>
      </c>
      <c r="B29" s="39">
        <v>94</v>
      </c>
      <c r="C29" s="34">
        <v>162</v>
      </c>
      <c r="D29" s="35">
        <f t="shared" si="0"/>
        <v>256</v>
      </c>
      <c r="E29" s="34">
        <v>38</v>
      </c>
      <c r="F29" s="34">
        <v>54</v>
      </c>
      <c r="G29" s="34">
        <f t="shared" si="1"/>
        <v>92</v>
      </c>
      <c r="H29" s="39">
        <f t="shared" si="2"/>
        <v>132</v>
      </c>
      <c r="I29" s="34">
        <f t="shared" si="2"/>
        <v>216</v>
      </c>
      <c r="J29" s="35">
        <f t="shared" si="3"/>
        <v>348</v>
      </c>
    </row>
    <row r="30" spans="1:10" x14ac:dyDescent="0.25">
      <c r="A30" s="12" t="s">
        <v>42</v>
      </c>
      <c r="B30" s="39">
        <v>0</v>
      </c>
      <c r="C30" s="34">
        <v>0</v>
      </c>
      <c r="D30" s="35">
        <f t="shared" si="0"/>
        <v>0</v>
      </c>
      <c r="E30" s="34">
        <v>0</v>
      </c>
      <c r="F30" s="34">
        <v>2</v>
      </c>
      <c r="G30" s="34">
        <f t="shared" si="1"/>
        <v>2</v>
      </c>
      <c r="H30" s="39">
        <f t="shared" si="2"/>
        <v>0</v>
      </c>
      <c r="I30" s="34">
        <f t="shared" si="2"/>
        <v>2</v>
      </c>
      <c r="J30" s="35">
        <f t="shared" si="3"/>
        <v>2</v>
      </c>
    </row>
    <row r="31" spans="1:10" x14ac:dyDescent="0.25">
      <c r="A31" s="12" t="s">
        <v>94</v>
      </c>
      <c r="B31" s="39">
        <v>76</v>
      </c>
      <c r="C31" s="34">
        <v>122</v>
      </c>
      <c r="D31" s="35">
        <f t="shared" si="0"/>
        <v>198</v>
      </c>
      <c r="E31" s="34">
        <v>0</v>
      </c>
      <c r="F31" s="34">
        <v>0</v>
      </c>
      <c r="G31" s="34">
        <f t="shared" si="1"/>
        <v>0</v>
      </c>
      <c r="H31" s="39">
        <f t="shared" si="2"/>
        <v>76</v>
      </c>
      <c r="I31" s="34">
        <f t="shared" si="2"/>
        <v>122</v>
      </c>
      <c r="J31" s="35">
        <f t="shared" si="3"/>
        <v>198</v>
      </c>
    </row>
    <row r="32" spans="1:10" x14ac:dyDescent="0.25">
      <c r="A32" s="12" t="s">
        <v>44</v>
      </c>
      <c r="B32" s="39">
        <v>47</v>
      </c>
      <c r="C32" s="34">
        <v>103</v>
      </c>
      <c r="D32" s="35">
        <f t="shared" si="0"/>
        <v>150</v>
      </c>
      <c r="E32" s="34">
        <v>54</v>
      </c>
      <c r="F32" s="34">
        <v>90</v>
      </c>
      <c r="G32" s="34">
        <f t="shared" si="1"/>
        <v>144</v>
      </c>
      <c r="H32" s="39">
        <f t="shared" si="2"/>
        <v>101</v>
      </c>
      <c r="I32" s="34">
        <f t="shared" si="2"/>
        <v>193</v>
      </c>
      <c r="J32" s="35">
        <f t="shared" si="3"/>
        <v>294</v>
      </c>
    </row>
    <row r="33" spans="1:10" x14ac:dyDescent="0.25">
      <c r="A33" s="12" t="s">
        <v>45</v>
      </c>
      <c r="B33" s="39">
        <v>82</v>
      </c>
      <c r="C33" s="34">
        <v>162</v>
      </c>
      <c r="D33" s="35">
        <f t="shared" si="0"/>
        <v>244</v>
      </c>
      <c r="E33" s="34">
        <v>4</v>
      </c>
      <c r="F33" s="34">
        <v>11</v>
      </c>
      <c r="G33" s="34">
        <f t="shared" si="1"/>
        <v>15</v>
      </c>
      <c r="H33" s="39">
        <f t="shared" si="2"/>
        <v>86</v>
      </c>
      <c r="I33" s="34">
        <f t="shared" si="2"/>
        <v>173</v>
      </c>
      <c r="J33" s="35">
        <f t="shared" si="3"/>
        <v>259</v>
      </c>
    </row>
    <row r="34" spans="1:10" x14ac:dyDescent="0.25">
      <c r="A34" s="12" t="s">
        <v>95</v>
      </c>
      <c r="B34" s="39">
        <v>0</v>
      </c>
      <c r="C34" s="34">
        <v>0</v>
      </c>
      <c r="D34" s="35">
        <f t="shared" si="0"/>
        <v>0</v>
      </c>
      <c r="E34" s="34">
        <v>9</v>
      </c>
      <c r="F34" s="34">
        <v>1</v>
      </c>
      <c r="G34" s="34">
        <f t="shared" si="1"/>
        <v>10</v>
      </c>
      <c r="H34" s="39">
        <f t="shared" si="2"/>
        <v>9</v>
      </c>
      <c r="I34" s="34">
        <f t="shared" si="2"/>
        <v>1</v>
      </c>
      <c r="J34" s="35">
        <f t="shared" si="3"/>
        <v>10</v>
      </c>
    </row>
    <row r="35" spans="1:10" x14ac:dyDescent="0.25">
      <c r="A35" s="12" t="s">
        <v>47</v>
      </c>
      <c r="B35" s="39">
        <v>186</v>
      </c>
      <c r="C35" s="34">
        <v>208</v>
      </c>
      <c r="D35" s="35">
        <f t="shared" si="0"/>
        <v>394</v>
      </c>
      <c r="E35" s="34">
        <v>67</v>
      </c>
      <c r="F35" s="34">
        <v>86</v>
      </c>
      <c r="G35" s="34">
        <f t="shared" si="1"/>
        <v>153</v>
      </c>
      <c r="H35" s="39">
        <f t="shared" si="2"/>
        <v>253</v>
      </c>
      <c r="I35" s="34">
        <f t="shared" si="2"/>
        <v>294</v>
      </c>
      <c r="J35" s="35">
        <f t="shared" si="3"/>
        <v>547</v>
      </c>
    </row>
    <row r="36" spans="1:10" x14ac:dyDescent="0.25">
      <c r="A36" s="12" t="s">
        <v>48</v>
      </c>
      <c r="B36" s="39">
        <v>48</v>
      </c>
      <c r="C36" s="34">
        <v>90</v>
      </c>
      <c r="D36" s="35">
        <f t="shared" si="0"/>
        <v>138</v>
      </c>
      <c r="E36" s="34">
        <v>4</v>
      </c>
      <c r="F36" s="34">
        <v>8</v>
      </c>
      <c r="G36" s="34">
        <f t="shared" si="1"/>
        <v>12</v>
      </c>
      <c r="H36" s="39">
        <f t="shared" si="2"/>
        <v>52</v>
      </c>
      <c r="I36" s="34">
        <f t="shared" si="2"/>
        <v>98</v>
      </c>
      <c r="J36" s="35">
        <f t="shared" si="3"/>
        <v>150</v>
      </c>
    </row>
    <row r="37" spans="1:10" x14ac:dyDescent="0.25">
      <c r="A37" s="12" t="s">
        <v>49</v>
      </c>
      <c r="B37" s="39">
        <v>58</v>
      </c>
      <c r="C37" s="34">
        <v>97</v>
      </c>
      <c r="D37" s="35">
        <f t="shared" si="0"/>
        <v>155</v>
      </c>
      <c r="E37" s="34">
        <v>15</v>
      </c>
      <c r="F37" s="34">
        <v>38</v>
      </c>
      <c r="G37" s="34">
        <f t="shared" si="1"/>
        <v>53</v>
      </c>
      <c r="H37" s="39">
        <f t="shared" si="2"/>
        <v>73</v>
      </c>
      <c r="I37" s="34">
        <f t="shared" si="2"/>
        <v>135</v>
      </c>
      <c r="J37" s="35">
        <f t="shared" si="3"/>
        <v>208</v>
      </c>
    </row>
    <row r="38" spans="1:10" x14ac:dyDescent="0.25">
      <c r="A38" s="12" t="s">
        <v>50</v>
      </c>
      <c r="B38" s="39">
        <v>12</v>
      </c>
      <c r="C38" s="34">
        <v>22</v>
      </c>
      <c r="D38" s="35">
        <f t="shared" si="0"/>
        <v>34</v>
      </c>
      <c r="E38" s="34">
        <v>9</v>
      </c>
      <c r="F38" s="34">
        <v>12</v>
      </c>
      <c r="G38" s="34">
        <f t="shared" si="1"/>
        <v>21</v>
      </c>
      <c r="H38" s="39">
        <f t="shared" si="2"/>
        <v>21</v>
      </c>
      <c r="I38" s="34">
        <f t="shared" si="2"/>
        <v>34</v>
      </c>
      <c r="J38" s="35">
        <f t="shared" si="3"/>
        <v>55</v>
      </c>
    </row>
    <row r="39" spans="1:10" x14ac:dyDescent="0.25">
      <c r="A39" s="12" t="s">
        <v>51</v>
      </c>
      <c r="B39" s="39">
        <v>162</v>
      </c>
      <c r="C39" s="34">
        <v>188</v>
      </c>
      <c r="D39" s="35">
        <f t="shared" si="0"/>
        <v>350</v>
      </c>
      <c r="E39" s="34">
        <v>50</v>
      </c>
      <c r="F39" s="34">
        <v>56</v>
      </c>
      <c r="G39" s="34">
        <f t="shared" si="1"/>
        <v>106</v>
      </c>
      <c r="H39" s="39">
        <f t="shared" si="2"/>
        <v>212</v>
      </c>
      <c r="I39" s="34">
        <f t="shared" si="2"/>
        <v>244</v>
      </c>
      <c r="J39" s="35">
        <f t="shared" si="3"/>
        <v>456</v>
      </c>
    </row>
    <row r="40" spans="1:10" x14ac:dyDescent="0.25">
      <c r="A40" s="12" t="s">
        <v>52</v>
      </c>
      <c r="B40" s="39">
        <v>26</v>
      </c>
      <c r="C40" s="34">
        <v>150</v>
      </c>
      <c r="D40" s="35">
        <f t="shared" si="0"/>
        <v>176</v>
      </c>
      <c r="E40" s="34">
        <v>8</v>
      </c>
      <c r="F40" s="34">
        <v>67</v>
      </c>
      <c r="G40" s="34">
        <f t="shared" si="1"/>
        <v>75</v>
      </c>
      <c r="H40" s="39">
        <f t="shared" si="2"/>
        <v>34</v>
      </c>
      <c r="I40" s="34">
        <f t="shared" si="2"/>
        <v>217</v>
      </c>
      <c r="J40" s="35">
        <f t="shared" si="3"/>
        <v>251</v>
      </c>
    </row>
    <row r="41" spans="1:10" x14ac:dyDescent="0.25">
      <c r="A41" s="12" t="s">
        <v>53</v>
      </c>
      <c r="B41" s="39">
        <v>5</v>
      </c>
      <c r="C41" s="34">
        <v>14</v>
      </c>
      <c r="D41" s="35">
        <f t="shared" si="0"/>
        <v>19</v>
      </c>
      <c r="E41" s="34">
        <v>10</v>
      </c>
      <c r="F41" s="34">
        <v>20</v>
      </c>
      <c r="G41" s="34">
        <f t="shared" si="1"/>
        <v>30</v>
      </c>
      <c r="H41" s="39">
        <f t="shared" si="2"/>
        <v>15</v>
      </c>
      <c r="I41" s="34">
        <f t="shared" si="2"/>
        <v>34</v>
      </c>
      <c r="J41" s="35">
        <f t="shared" si="3"/>
        <v>49</v>
      </c>
    </row>
    <row r="42" spans="1:10" x14ac:dyDescent="0.25">
      <c r="A42" s="12" t="s">
        <v>54</v>
      </c>
      <c r="B42" s="39">
        <v>0</v>
      </c>
      <c r="C42" s="34">
        <v>0</v>
      </c>
      <c r="D42" s="35">
        <f t="shared" si="0"/>
        <v>0</v>
      </c>
      <c r="E42" s="34">
        <v>74</v>
      </c>
      <c r="F42" s="34">
        <v>156</v>
      </c>
      <c r="G42" s="34">
        <f t="shared" si="1"/>
        <v>230</v>
      </c>
      <c r="H42" s="39">
        <f t="shared" si="2"/>
        <v>74</v>
      </c>
      <c r="I42" s="34">
        <f t="shared" si="2"/>
        <v>156</v>
      </c>
      <c r="J42" s="35">
        <f t="shared" si="3"/>
        <v>230</v>
      </c>
    </row>
    <row r="43" spans="1:10" x14ac:dyDescent="0.25">
      <c r="A43" s="12" t="s">
        <v>55</v>
      </c>
      <c r="B43" s="39">
        <v>49</v>
      </c>
      <c r="C43" s="34">
        <v>137</v>
      </c>
      <c r="D43" s="35">
        <f t="shared" si="0"/>
        <v>186</v>
      </c>
      <c r="E43" s="34">
        <v>6</v>
      </c>
      <c r="F43" s="34">
        <v>9</v>
      </c>
      <c r="G43" s="34">
        <f t="shared" si="1"/>
        <v>15</v>
      </c>
      <c r="H43" s="39">
        <f t="shared" si="2"/>
        <v>55</v>
      </c>
      <c r="I43" s="34">
        <f t="shared" si="2"/>
        <v>146</v>
      </c>
      <c r="J43" s="35">
        <f t="shared" si="3"/>
        <v>201</v>
      </c>
    </row>
    <row r="44" spans="1:10" x14ac:dyDescent="0.25">
      <c r="A44" s="12" t="s">
        <v>56</v>
      </c>
      <c r="B44" s="39">
        <v>94</v>
      </c>
      <c r="C44" s="34">
        <v>119</v>
      </c>
      <c r="D44" s="35">
        <f t="shared" si="0"/>
        <v>213</v>
      </c>
      <c r="E44" s="34">
        <v>0</v>
      </c>
      <c r="F44" s="34">
        <v>0</v>
      </c>
      <c r="G44" s="34">
        <f t="shared" si="1"/>
        <v>0</v>
      </c>
      <c r="H44" s="39">
        <f t="shared" si="2"/>
        <v>94</v>
      </c>
      <c r="I44" s="34">
        <f t="shared" si="2"/>
        <v>119</v>
      </c>
      <c r="J44" s="35">
        <f t="shared" si="3"/>
        <v>213</v>
      </c>
    </row>
    <row r="45" spans="1:10" x14ac:dyDescent="0.25">
      <c r="A45" s="12" t="s">
        <v>1</v>
      </c>
      <c r="B45" s="39">
        <v>216</v>
      </c>
      <c r="C45" s="34">
        <v>349</v>
      </c>
      <c r="D45" s="35">
        <f t="shared" si="0"/>
        <v>565</v>
      </c>
      <c r="E45" s="34">
        <v>204</v>
      </c>
      <c r="F45" s="34">
        <v>296</v>
      </c>
      <c r="G45" s="34">
        <f t="shared" si="1"/>
        <v>500</v>
      </c>
      <c r="H45" s="39">
        <f t="shared" si="2"/>
        <v>420</v>
      </c>
      <c r="I45" s="34">
        <f t="shared" si="2"/>
        <v>645</v>
      </c>
      <c r="J45" s="35">
        <f t="shared" si="3"/>
        <v>1065</v>
      </c>
    </row>
    <row r="46" spans="1:10" x14ac:dyDescent="0.25">
      <c r="A46" s="12" t="s">
        <v>57</v>
      </c>
      <c r="B46" s="39">
        <v>19</v>
      </c>
      <c r="C46" s="34">
        <v>97</v>
      </c>
      <c r="D46" s="35">
        <f t="shared" si="0"/>
        <v>116</v>
      </c>
      <c r="E46" s="34">
        <v>0</v>
      </c>
      <c r="F46" s="34">
        <v>0</v>
      </c>
      <c r="G46" s="34">
        <f t="shared" si="1"/>
        <v>0</v>
      </c>
      <c r="H46" s="39">
        <f t="shared" si="2"/>
        <v>19</v>
      </c>
      <c r="I46" s="34">
        <f t="shared" si="2"/>
        <v>97</v>
      </c>
      <c r="J46" s="35">
        <f t="shared" si="3"/>
        <v>116</v>
      </c>
    </row>
    <row r="47" spans="1:10" x14ac:dyDescent="0.25">
      <c r="A47" s="12" t="s">
        <v>58</v>
      </c>
      <c r="B47" s="39">
        <v>91</v>
      </c>
      <c r="C47" s="34">
        <v>88</v>
      </c>
      <c r="D47" s="35">
        <f t="shared" si="0"/>
        <v>179</v>
      </c>
      <c r="E47" s="34">
        <v>39</v>
      </c>
      <c r="F47" s="34">
        <v>16</v>
      </c>
      <c r="G47" s="34">
        <f t="shared" si="1"/>
        <v>55</v>
      </c>
      <c r="H47" s="39">
        <f t="shared" si="2"/>
        <v>130</v>
      </c>
      <c r="I47" s="34">
        <f t="shared" si="2"/>
        <v>104</v>
      </c>
      <c r="J47" s="35">
        <f t="shared" si="3"/>
        <v>234</v>
      </c>
    </row>
    <row r="48" spans="1:10" x14ac:dyDescent="0.25">
      <c r="A48" s="12" t="s">
        <v>59</v>
      </c>
      <c r="B48" s="39">
        <v>354</v>
      </c>
      <c r="C48" s="34">
        <v>259</v>
      </c>
      <c r="D48" s="35">
        <f t="shared" si="0"/>
        <v>613</v>
      </c>
      <c r="E48" s="34">
        <v>36</v>
      </c>
      <c r="F48" s="34">
        <v>17</v>
      </c>
      <c r="G48" s="34">
        <f t="shared" si="1"/>
        <v>53</v>
      </c>
      <c r="H48" s="39">
        <f t="shared" si="2"/>
        <v>390</v>
      </c>
      <c r="I48" s="34">
        <f t="shared" si="2"/>
        <v>276</v>
      </c>
      <c r="J48" s="35">
        <f t="shared" si="3"/>
        <v>666</v>
      </c>
    </row>
    <row r="49" spans="1:10" x14ac:dyDescent="0.25">
      <c r="A49" s="12" t="s">
        <v>60</v>
      </c>
      <c r="B49" s="39">
        <v>281</v>
      </c>
      <c r="C49" s="34">
        <v>42</v>
      </c>
      <c r="D49" s="35">
        <f t="shared" si="0"/>
        <v>323</v>
      </c>
      <c r="E49" s="34">
        <v>108</v>
      </c>
      <c r="F49" s="34">
        <v>25</v>
      </c>
      <c r="G49" s="34">
        <f t="shared" si="1"/>
        <v>133</v>
      </c>
      <c r="H49" s="39">
        <f t="shared" si="2"/>
        <v>389</v>
      </c>
      <c r="I49" s="34">
        <f t="shared" si="2"/>
        <v>67</v>
      </c>
      <c r="J49" s="35">
        <f t="shared" si="3"/>
        <v>456</v>
      </c>
    </row>
    <row r="50" spans="1:10" x14ac:dyDescent="0.25">
      <c r="A50" s="12" t="s">
        <v>61</v>
      </c>
      <c r="B50" s="39">
        <v>24</v>
      </c>
      <c r="C50" s="34">
        <v>18</v>
      </c>
      <c r="D50" s="35">
        <f t="shared" si="0"/>
        <v>42</v>
      </c>
      <c r="E50" s="34">
        <v>78</v>
      </c>
      <c r="F50" s="34">
        <v>55</v>
      </c>
      <c r="G50" s="34">
        <f t="shared" si="1"/>
        <v>133</v>
      </c>
      <c r="H50" s="39">
        <f t="shared" si="2"/>
        <v>102</v>
      </c>
      <c r="I50" s="34">
        <f t="shared" si="2"/>
        <v>73</v>
      </c>
      <c r="J50" s="35">
        <f t="shared" si="3"/>
        <v>175</v>
      </c>
    </row>
    <row r="51" spans="1:10" x14ac:dyDescent="0.25">
      <c r="A51" s="12" t="s">
        <v>62</v>
      </c>
      <c r="B51" s="39">
        <v>0</v>
      </c>
      <c r="C51" s="34">
        <v>0</v>
      </c>
      <c r="D51" s="35">
        <f t="shared" si="0"/>
        <v>0</v>
      </c>
      <c r="E51" s="34">
        <v>7</v>
      </c>
      <c r="F51" s="34">
        <v>12</v>
      </c>
      <c r="G51" s="34">
        <f t="shared" si="1"/>
        <v>19</v>
      </c>
      <c r="H51" s="39">
        <f t="shared" si="2"/>
        <v>7</v>
      </c>
      <c r="I51" s="34">
        <f t="shared" si="2"/>
        <v>12</v>
      </c>
      <c r="J51" s="35">
        <f t="shared" si="3"/>
        <v>19</v>
      </c>
    </row>
    <row r="52" spans="1:10" x14ac:dyDescent="0.25">
      <c r="A52" s="12" t="s">
        <v>63</v>
      </c>
      <c r="B52" s="39">
        <v>89</v>
      </c>
      <c r="C52" s="34">
        <v>96</v>
      </c>
      <c r="D52" s="35">
        <f t="shared" si="0"/>
        <v>185</v>
      </c>
      <c r="E52" s="34">
        <v>0</v>
      </c>
      <c r="F52" s="34">
        <v>0</v>
      </c>
      <c r="G52" s="34">
        <f t="shared" si="1"/>
        <v>0</v>
      </c>
      <c r="H52" s="39">
        <f t="shared" si="2"/>
        <v>89</v>
      </c>
      <c r="I52" s="34">
        <f t="shared" si="2"/>
        <v>96</v>
      </c>
      <c r="J52" s="35">
        <f t="shared" si="3"/>
        <v>185</v>
      </c>
    </row>
    <row r="53" spans="1:10" x14ac:dyDescent="0.25">
      <c r="A53" s="12" t="s">
        <v>64</v>
      </c>
      <c r="B53" s="39">
        <v>84</v>
      </c>
      <c r="C53" s="34">
        <v>67</v>
      </c>
      <c r="D53" s="35">
        <f t="shared" si="0"/>
        <v>151</v>
      </c>
      <c r="E53" s="34">
        <v>40</v>
      </c>
      <c r="F53" s="34">
        <v>26</v>
      </c>
      <c r="G53" s="34">
        <f t="shared" si="1"/>
        <v>66</v>
      </c>
      <c r="H53" s="39">
        <f t="shared" si="2"/>
        <v>124</v>
      </c>
      <c r="I53" s="34">
        <f t="shared" si="2"/>
        <v>93</v>
      </c>
      <c r="J53" s="35">
        <f t="shared" si="3"/>
        <v>217</v>
      </c>
    </row>
    <row r="54" spans="1:10" x14ac:dyDescent="0.25">
      <c r="A54" s="12" t="s">
        <v>65</v>
      </c>
      <c r="B54" s="39">
        <v>309</v>
      </c>
      <c r="C54" s="34">
        <v>83</v>
      </c>
      <c r="D54" s="35">
        <f t="shared" si="0"/>
        <v>392</v>
      </c>
      <c r="E54" s="34">
        <v>98</v>
      </c>
      <c r="F54" s="34">
        <v>29</v>
      </c>
      <c r="G54" s="34">
        <f t="shared" si="1"/>
        <v>127</v>
      </c>
      <c r="H54" s="39">
        <f t="shared" si="2"/>
        <v>407</v>
      </c>
      <c r="I54" s="34">
        <f t="shared" si="2"/>
        <v>112</v>
      </c>
      <c r="J54" s="35">
        <f t="shared" si="3"/>
        <v>519</v>
      </c>
    </row>
    <row r="55" spans="1:10" x14ac:dyDescent="0.25">
      <c r="A55" s="12" t="s">
        <v>66</v>
      </c>
      <c r="B55" s="39">
        <v>15</v>
      </c>
      <c r="C55" s="34">
        <v>22</v>
      </c>
      <c r="D55" s="35">
        <f t="shared" si="0"/>
        <v>37</v>
      </c>
      <c r="E55" s="34">
        <v>171</v>
      </c>
      <c r="F55" s="34">
        <v>229</v>
      </c>
      <c r="G55" s="34">
        <f t="shared" si="1"/>
        <v>400</v>
      </c>
      <c r="H55" s="39">
        <f t="shared" si="2"/>
        <v>186</v>
      </c>
      <c r="I55" s="34">
        <f t="shared" si="2"/>
        <v>251</v>
      </c>
      <c r="J55" s="35">
        <f t="shared" si="3"/>
        <v>437</v>
      </c>
    </row>
    <row r="56" spans="1:10" x14ac:dyDescent="0.25">
      <c r="A56" s="12" t="s">
        <v>67</v>
      </c>
      <c r="B56" s="39">
        <v>99</v>
      </c>
      <c r="C56" s="34">
        <v>537</v>
      </c>
      <c r="D56" s="35">
        <f t="shared" si="0"/>
        <v>636</v>
      </c>
      <c r="E56" s="34">
        <v>183</v>
      </c>
      <c r="F56" s="34">
        <v>579</v>
      </c>
      <c r="G56" s="34">
        <f t="shared" si="1"/>
        <v>762</v>
      </c>
      <c r="H56" s="39">
        <f t="shared" si="2"/>
        <v>282</v>
      </c>
      <c r="I56" s="34">
        <f t="shared" si="2"/>
        <v>1116</v>
      </c>
      <c r="J56" s="35">
        <f t="shared" si="3"/>
        <v>1398</v>
      </c>
    </row>
    <row r="57" spans="1:10" x14ac:dyDescent="0.25">
      <c r="A57" s="12" t="s">
        <v>68</v>
      </c>
      <c r="B57" s="39">
        <v>33</v>
      </c>
      <c r="C57" s="34">
        <v>73</v>
      </c>
      <c r="D57" s="35">
        <f t="shared" si="0"/>
        <v>106</v>
      </c>
      <c r="E57" s="34">
        <v>5</v>
      </c>
      <c r="F57" s="34">
        <v>7</v>
      </c>
      <c r="G57" s="34">
        <f t="shared" si="1"/>
        <v>12</v>
      </c>
      <c r="H57" s="39">
        <f t="shared" si="2"/>
        <v>38</v>
      </c>
      <c r="I57" s="34">
        <f t="shared" si="2"/>
        <v>80</v>
      </c>
      <c r="J57" s="35">
        <f t="shared" si="3"/>
        <v>118</v>
      </c>
    </row>
    <row r="58" spans="1:10" x14ac:dyDescent="0.25">
      <c r="A58" s="12" t="s">
        <v>69</v>
      </c>
      <c r="B58" s="39">
        <v>0</v>
      </c>
      <c r="C58" s="34">
        <v>0</v>
      </c>
      <c r="D58" s="35">
        <f t="shared" si="0"/>
        <v>0</v>
      </c>
      <c r="E58" s="34">
        <v>56</v>
      </c>
      <c r="F58" s="34">
        <v>47</v>
      </c>
      <c r="G58" s="34">
        <f t="shared" si="1"/>
        <v>103</v>
      </c>
      <c r="H58" s="39">
        <f t="shared" si="2"/>
        <v>56</v>
      </c>
      <c r="I58" s="34">
        <f t="shared" si="2"/>
        <v>47</v>
      </c>
      <c r="J58" s="35">
        <f t="shared" si="3"/>
        <v>103</v>
      </c>
    </row>
    <row r="59" spans="1:10" x14ac:dyDescent="0.25">
      <c r="A59" s="12" t="s">
        <v>70</v>
      </c>
      <c r="B59" s="39">
        <v>291</v>
      </c>
      <c r="C59" s="34">
        <v>309</v>
      </c>
      <c r="D59" s="35">
        <f t="shared" si="0"/>
        <v>600</v>
      </c>
      <c r="E59" s="34">
        <v>95</v>
      </c>
      <c r="F59" s="34">
        <v>136</v>
      </c>
      <c r="G59" s="34">
        <f t="shared" si="1"/>
        <v>231</v>
      </c>
      <c r="H59" s="39">
        <f t="shared" si="2"/>
        <v>386</v>
      </c>
      <c r="I59" s="34">
        <f t="shared" si="2"/>
        <v>445</v>
      </c>
      <c r="J59" s="35">
        <f t="shared" si="3"/>
        <v>831</v>
      </c>
    </row>
    <row r="60" spans="1:10" x14ac:dyDescent="0.25">
      <c r="A60" s="12" t="s">
        <v>71</v>
      </c>
      <c r="B60" s="39">
        <v>22</v>
      </c>
      <c r="C60" s="34">
        <v>34</v>
      </c>
      <c r="D60" s="35">
        <f t="shared" si="0"/>
        <v>56</v>
      </c>
      <c r="E60" s="34">
        <v>6</v>
      </c>
      <c r="F60" s="34">
        <v>9</v>
      </c>
      <c r="G60" s="34">
        <f t="shared" si="1"/>
        <v>15</v>
      </c>
      <c r="H60" s="39">
        <f t="shared" si="2"/>
        <v>28</v>
      </c>
      <c r="I60" s="34">
        <f t="shared" si="2"/>
        <v>43</v>
      </c>
      <c r="J60" s="35">
        <f t="shared" si="3"/>
        <v>71</v>
      </c>
    </row>
    <row r="61" spans="1:10" x14ac:dyDescent="0.25">
      <c r="A61" s="12" t="s">
        <v>72</v>
      </c>
      <c r="B61" s="39">
        <v>0</v>
      </c>
      <c r="C61" s="34">
        <v>0</v>
      </c>
      <c r="D61" s="35">
        <f t="shared" si="0"/>
        <v>0</v>
      </c>
      <c r="E61" s="34">
        <v>67</v>
      </c>
      <c r="F61" s="34">
        <v>22</v>
      </c>
      <c r="G61" s="34">
        <f t="shared" si="1"/>
        <v>89</v>
      </c>
      <c r="H61" s="39">
        <f t="shared" si="2"/>
        <v>67</v>
      </c>
      <c r="I61" s="34">
        <f t="shared" si="2"/>
        <v>22</v>
      </c>
      <c r="J61" s="35">
        <f t="shared" si="3"/>
        <v>89</v>
      </c>
    </row>
    <row r="62" spans="1:10" x14ac:dyDescent="0.25">
      <c r="A62" s="12" t="s">
        <v>73</v>
      </c>
      <c r="B62" s="39">
        <v>25</v>
      </c>
      <c r="C62" s="34">
        <v>67</v>
      </c>
      <c r="D62" s="35">
        <f t="shared" si="0"/>
        <v>92</v>
      </c>
      <c r="E62" s="34">
        <v>3</v>
      </c>
      <c r="F62" s="34">
        <v>10</v>
      </c>
      <c r="G62" s="34">
        <f t="shared" si="1"/>
        <v>13</v>
      </c>
      <c r="H62" s="39">
        <f t="shared" si="2"/>
        <v>28</v>
      </c>
      <c r="I62" s="34">
        <f t="shared" si="2"/>
        <v>77</v>
      </c>
      <c r="J62" s="35">
        <f t="shared" si="3"/>
        <v>105</v>
      </c>
    </row>
    <row r="63" spans="1:10" x14ac:dyDescent="0.25">
      <c r="A63" s="12" t="s">
        <v>74</v>
      </c>
      <c r="B63" s="39">
        <v>164</v>
      </c>
      <c r="C63" s="34">
        <v>158</v>
      </c>
      <c r="D63" s="35">
        <f t="shared" si="0"/>
        <v>322</v>
      </c>
      <c r="E63" s="34">
        <v>26</v>
      </c>
      <c r="F63" s="34">
        <v>24</v>
      </c>
      <c r="G63" s="34">
        <f t="shared" si="1"/>
        <v>50</v>
      </c>
      <c r="H63" s="39">
        <f t="shared" si="2"/>
        <v>190</v>
      </c>
      <c r="I63" s="34">
        <f t="shared" si="2"/>
        <v>182</v>
      </c>
      <c r="J63" s="35">
        <f t="shared" si="3"/>
        <v>372</v>
      </c>
    </row>
    <row r="64" spans="1:10" x14ac:dyDescent="0.25">
      <c r="A64" s="12" t="s">
        <v>96</v>
      </c>
      <c r="B64" s="39">
        <v>0</v>
      </c>
      <c r="C64" s="34">
        <v>0</v>
      </c>
      <c r="D64" s="35">
        <f t="shared" si="0"/>
        <v>0</v>
      </c>
      <c r="E64" s="34">
        <v>7</v>
      </c>
      <c r="F64" s="34">
        <v>6</v>
      </c>
      <c r="G64" s="34">
        <f t="shared" si="1"/>
        <v>13</v>
      </c>
      <c r="H64" s="39">
        <f t="shared" si="2"/>
        <v>7</v>
      </c>
      <c r="I64" s="34">
        <f t="shared" si="2"/>
        <v>6</v>
      </c>
      <c r="J64" s="35">
        <f t="shared" si="3"/>
        <v>13</v>
      </c>
    </row>
    <row r="65" spans="1:10" x14ac:dyDescent="0.25">
      <c r="A65" s="12" t="s">
        <v>75</v>
      </c>
      <c r="B65" s="39">
        <v>0</v>
      </c>
      <c r="C65" s="34">
        <v>0</v>
      </c>
      <c r="D65" s="35">
        <f t="shared" si="0"/>
        <v>0</v>
      </c>
      <c r="E65" s="34">
        <v>11</v>
      </c>
      <c r="F65" s="34">
        <v>13</v>
      </c>
      <c r="G65" s="34">
        <f t="shared" si="1"/>
        <v>24</v>
      </c>
      <c r="H65" s="39">
        <f t="shared" si="2"/>
        <v>11</v>
      </c>
      <c r="I65" s="34">
        <f t="shared" si="2"/>
        <v>13</v>
      </c>
      <c r="J65" s="35">
        <f t="shared" si="3"/>
        <v>24</v>
      </c>
    </row>
    <row r="66" spans="1:10" x14ac:dyDescent="0.25">
      <c r="A66" s="12" t="s">
        <v>77</v>
      </c>
      <c r="B66" s="39">
        <v>0</v>
      </c>
      <c r="C66" s="34">
        <v>0</v>
      </c>
      <c r="D66" s="35">
        <f t="shared" si="0"/>
        <v>0</v>
      </c>
      <c r="E66" s="34">
        <v>23</v>
      </c>
      <c r="F66" s="34">
        <v>41</v>
      </c>
      <c r="G66" s="34">
        <f t="shared" si="1"/>
        <v>64</v>
      </c>
      <c r="H66" s="39">
        <f t="shared" si="2"/>
        <v>23</v>
      </c>
      <c r="I66" s="34">
        <f t="shared" si="2"/>
        <v>41</v>
      </c>
      <c r="J66" s="35">
        <f t="shared" si="3"/>
        <v>64</v>
      </c>
    </row>
    <row r="67" spans="1:10" x14ac:dyDescent="0.25">
      <c r="A67" s="12" t="s">
        <v>79</v>
      </c>
      <c r="B67" s="39">
        <v>15</v>
      </c>
      <c r="C67" s="34">
        <v>36</v>
      </c>
      <c r="D67" s="35">
        <f t="shared" si="0"/>
        <v>51</v>
      </c>
      <c r="E67" s="34">
        <v>74</v>
      </c>
      <c r="F67" s="34">
        <v>230</v>
      </c>
      <c r="G67" s="34">
        <f t="shared" si="1"/>
        <v>304</v>
      </c>
      <c r="H67" s="39">
        <f t="shared" si="2"/>
        <v>89</v>
      </c>
      <c r="I67" s="34">
        <f t="shared" si="2"/>
        <v>266</v>
      </c>
      <c r="J67" s="35">
        <f t="shared" si="3"/>
        <v>355</v>
      </c>
    </row>
    <row r="68" spans="1:10" x14ac:dyDescent="0.25">
      <c r="A68" s="12" t="s">
        <v>80</v>
      </c>
      <c r="B68" s="39">
        <v>14</v>
      </c>
      <c r="C68" s="34">
        <v>58</v>
      </c>
      <c r="D68" s="35">
        <f t="shared" si="0"/>
        <v>72</v>
      </c>
      <c r="E68" s="34">
        <v>32</v>
      </c>
      <c r="F68" s="34">
        <v>40</v>
      </c>
      <c r="G68" s="34">
        <f t="shared" si="1"/>
        <v>72</v>
      </c>
      <c r="H68" s="39">
        <f t="shared" si="2"/>
        <v>46</v>
      </c>
      <c r="I68" s="34">
        <f t="shared" si="2"/>
        <v>98</v>
      </c>
      <c r="J68" s="35">
        <f t="shared" si="3"/>
        <v>144</v>
      </c>
    </row>
    <row r="69" spans="1:10" x14ac:dyDescent="0.25">
      <c r="A69" s="12" t="s">
        <v>81</v>
      </c>
      <c r="B69" s="39">
        <v>0</v>
      </c>
      <c r="C69" s="34">
        <v>0</v>
      </c>
      <c r="D69" s="35">
        <f t="shared" si="0"/>
        <v>0</v>
      </c>
      <c r="E69" s="34">
        <v>334</v>
      </c>
      <c r="F69" s="34">
        <v>284</v>
      </c>
      <c r="G69" s="34">
        <f t="shared" si="1"/>
        <v>618</v>
      </c>
      <c r="H69" s="39">
        <f t="shared" si="2"/>
        <v>334</v>
      </c>
      <c r="I69" s="34">
        <f t="shared" si="2"/>
        <v>284</v>
      </c>
      <c r="J69" s="35">
        <f t="shared" si="3"/>
        <v>618</v>
      </c>
    </row>
    <row r="70" spans="1:10" x14ac:dyDescent="0.25">
      <c r="A70" s="12" t="s">
        <v>82</v>
      </c>
      <c r="B70" s="39">
        <v>14</v>
      </c>
      <c r="C70" s="34">
        <v>9</v>
      </c>
      <c r="D70" s="35">
        <f t="shared" si="0"/>
        <v>23</v>
      </c>
      <c r="E70" s="34">
        <v>66</v>
      </c>
      <c r="F70" s="34">
        <v>110</v>
      </c>
      <c r="G70" s="34">
        <f t="shared" si="1"/>
        <v>176</v>
      </c>
      <c r="H70" s="39">
        <f t="shared" si="2"/>
        <v>80</v>
      </c>
      <c r="I70" s="34">
        <f t="shared" si="2"/>
        <v>119</v>
      </c>
      <c r="J70" s="35">
        <f t="shared" si="3"/>
        <v>199</v>
      </c>
    </row>
    <row r="71" spans="1:10" x14ac:dyDescent="0.25">
      <c r="A71" s="12" t="s">
        <v>97</v>
      </c>
      <c r="B71" s="39">
        <v>0</v>
      </c>
      <c r="C71" s="34">
        <v>0</v>
      </c>
      <c r="D71" s="35">
        <f t="shared" si="0"/>
        <v>0</v>
      </c>
      <c r="E71" s="34">
        <v>16</v>
      </c>
      <c r="F71" s="34">
        <v>23</v>
      </c>
      <c r="G71" s="34">
        <f t="shared" si="1"/>
        <v>39</v>
      </c>
      <c r="H71" s="39">
        <f t="shared" si="2"/>
        <v>16</v>
      </c>
      <c r="I71" s="34">
        <f t="shared" si="2"/>
        <v>23</v>
      </c>
      <c r="J71" s="35">
        <f t="shared" si="3"/>
        <v>39</v>
      </c>
    </row>
    <row r="72" spans="1:10" x14ac:dyDescent="0.25">
      <c r="A72" s="12" t="s">
        <v>84</v>
      </c>
      <c r="B72" s="39">
        <v>852</v>
      </c>
      <c r="C72" s="34">
        <v>869</v>
      </c>
      <c r="D72" s="35">
        <f t="shared" si="0"/>
        <v>1721</v>
      </c>
      <c r="E72" s="34">
        <v>0</v>
      </c>
      <c r="F72" s="34">
        <v>0</v>
      </c>
      <c r="G72" s="34">
        <f t="shared" si="1"/>
        <v>0</v>
      </c>
      <c r="H72" s="39">
        <f t="shared" si="2"/>
        <v>852</v>
      </c>
      <c r="I72" s="34">
        <f t="shared" si="2"/>
        <v>869</v>
      </c>
      <c r="J72" s="35">
        <f t="shared" si="3"/>
        <v>1721</v>
      </c>
    </row>
    <row r="73" spans="1:10" x14ac:dyDescent="0.25">
      <c r="A73" s="12" t="s">
        <v>85</v>
      </c>
      <c r="B73" s="39">
        <v>4</v>
      </c>
      <c r="C73" s="34">
        <v>4</v>
      </c>
      <c r="D73" s="35">
        <f t="shared" si="0"/>
        <v>8</v>
      </c>
      <c r="E73" s="34">
        <v>70</v>
      </c>
      <c r="F73" s="34">
        <v>95</v>
      </c>
      <c r="G73" s="34">
        <f t="shared" si="1"/>
        <v>165</v>
      </c>
      <c r="H73" s="39">
        <f t="shared" si="2"/>
        <v>74</v>
      </c>
      <c r="I73" s="34">
        <f t="shared" si="2"/>
        <v>99</v>
      </c>
      <c r="J73" s="35">
        <f t="shared" si="3"/>
        <v>173</v>
      </c>
    </row>
    <row r="74" spans="1:10" x14ac:dyDescent="0.25">
      <c r="A74" s="12" t="s">
        <v>86</v>
      </c>
      <c r="B74" s="39">
        <v>0</v>
      </c>
      <c r="C74" s="34">
        <v>0</v>
      </c>
      <c r="D74" s="35">
        <f t="shared" si="0"/>
        <v>0</v>
      </c>
      <c r="E74" s="34">
        <v>98</v>
      </c>
      <c r="F74" s="34">
        <v>121</v>
      </c>
      <c r="G74" s="34">
        <f t="shared" si="1"/>
        <v>219</v>
      </c>
      <c r="H74" s="39">
        <f t="shared" si="2"/>
        <v>98</v>
      </c>
      <c r="I74" s="34">
        <f t="shared" si="2"/>
        <v>121</v>
      </c>
      <c r="J74" s="35">
        <f t="shared" si="3"/>
        <v>219</v>
      </c>
    </row>
    <row r="75" spans="1:10" x14ac:dyDescent="0.25">
      <c r="A75" s="12" t="s">
        <v>87</v>
      </c>
      <c r="B75" s="39">
        <v>0</v>
      </c>
      <c r="C75" s="34">
        <v>0</v>
      </c>
      <c r="D75" s="35">
        <f t="shared" si="0"/>
        <v>0</v>
      </c>
      <c r="E75" s="34">
        <v>44</v>
      </c>
      <c r="F75" s="34">
        <v>49</v>
      </c>
      <c r="G75" s="34">
        <f t="shared" si="1"/>
        <v>93</v>
      </c>
      <c r="H75" s="39">
        <f t="shared" si="2"/>
        <v>44</v>
      </c>
      <c r="I75" s="34">
        <f t="shared" si="2"/>
        <v>49</v>
      </c>
      <c r="J75" s="35">
        <f t="shared" si="3"/>
        <v>93</v>
      </c>
    </row>
    <row r="76" spans="1:10" x14ac:dyDescent="0.25">
      <c r="A76" s="12" t="s">
        <v>88</v>
      </c>
      <c r="B76" s="39">
        <v>2</v>
      </c>
      <c r="C76" s="34">
        <v>6</v>
      </c>
      <c r="D76" s="35">
        <f t="shared" si="0"/>
        <v>8</v>
      </c>
      <c r="E76" s="34">
        <v>91</v>
      </c>
      <c r="F76" s="34">
        <v>160</v>
      </c>
      <c r="G76" s="34">
        <f t="shared" si="1"/>
        <v>251</v>
      </c>
      <c r="H76" s="39">
        <f t="shared" si="2"/>
        <v>93</v>
      </c>
      <c r="I76" s="34">
        <f t="shared" si="2"/>
        <v>166</v>
      </c>
      <c r="J76" s="35">
        <f t="shared" si="3"/>
        <v>259</v>
      </c>
    </row>
    <row r="77" spans="1:10" x14ac:dyDescent="0.25">
      <c r="A77" s="12" t="s">
        <v>98</v>
      </c>
      <c r="B77" s="39">
        <v>0</v>
      </c>
      <c r="C77" s="34">
        <v>0</v>
      </c>
      <c r="D77" s="35">
        <f t="shared" si="0"/>
        <v>0</v>
      </c>
      <c r="E77" s="34">
        <v>2</v>
      </c>
      <c r="F77" s="34">
        <v>2</v>
      </c>
      <c r="G77" s="34">
        <f t="shared" si="1"/>
        <v>4</v>
      </c>
      <c r="H77" s="39">
        <f t="shared" si="2"/>
        <v>2</v>
      </c>
      <c r="I77" s="34">
        <f t="shared" si="2"/>
        <v>2</v>
      </c>
      <c r="J77" s="35">
        <f t="shared" si="3"/>
        <v>4</v>
      </c>
    </row>
    <row r="78" spans="1:10" x14ac:dyDescent="0.25">
      <c r="A78" s="12" t="s">
        <v>89</v>
      </c>
      <c r="B78" s="39">
        <v>20</v>
      </c>
      <c r="C78" s="34">
        <v>13</v>
      </c>
      <c r="D78" s="35">
        <f t="shared" si="0"/>
        <v>33</v>
      </c>
      <c r="E78" s="34">
        <v>84</v>
      </c>
      <c r="F78" s="34">
        <v>40</v>
      </c>
      <c r="G78" s="34">
        <f t="shared" si="1"/>
        <v>124</v>
      </c>
      <c r="H78" s="39">
        <f t="shared" si="2"/>
        <v>104</v>
      </c>
      <c r="I78" s="34">
        <f t="shared" si="2"/>
        <v>53</v>
      </c>
      <c r="J78" s="35">
        <f t="shared" si="3"/>
        <v>157</v>
      </c>
    </row>
    <row r="79" spans="1:10" ht="15.75" thickBot="1" x14ac:dyDescent="0.3">
      <c r="A79" s="13" t="s">
        <v>99</v>
      </c>
      <c r="B79" s="43">
        <v>0</v>
      </c>
      <c r="C79" s="44">
        <v>0</v>
      </c>
      <c r="D79" s="45">
        <f t="shared" si="0"/>
        <v>0</v>
      </c>
      <c r="E79" s="44">
        <v>23</v>
      </c>
      <c r="F79" s="44">
        <v>50</v>
      </c>
      <c r="G79" s="44">
        <f t="shared" si="1"/>
        <v>73</v>
      </c>
      <c r="H79" s="43">
        <f t="shared" si="2"/>
        <v>23</v>
      </c>
      <c r="I79" s="44">
        <f t="shared" si="2"/>
        <v>50</v>
      </c>
      <c r="J79" s="45">
        <f t="shared" si="3"/>
        <v>73</v>
      </c>
    </row>
    <row r="80" spans="1:10" ht="16.5" thickTop="1" thickBot="1" x14ac:dyDescent="0.3">
      <c r="A80" s="8" t="s">
        <v>0</v>
      </c>
      <c r="B80" s="8">
        <f>SUM(B7:B79)</f>
        <v>6241</v>
      </c>
      <c r="C80" s="36">
        <f>SUM(C7:C79)</f>
        <v>6791</v>
      </c>
      <c r="D80" s="40">
        <f>SUM(D7:D79)</f>
        <v>13032</v>
      </c>
      <c r="E80" s="36">
        <f>SUM(E7:E79)</f>
        <v>4441</v>
      </c>
      <c r="F80" s="36">
        <f>SUM(F7:F79)</f>
        <v>5155</v>
      </c>
      <c r="G80" s="37">
        <f t="shared" ref="G80" si="9">SUM(E80:F80)</f>
        <v>9596</v>
      </c>
      <c r="H80" s="41">
        <f t="shared" ref="H80:I80" si="10">B80+E80</f>
        <v>10682</v>
      </c>
      <c r="I80" s="37">
        <f t="shared" si="10"/>
        <v>11946</v>
      </c>
      <c r="J80" s="38">
        <f t="shared" ref="J80" si="11">SUM(H80:I80)</f>
        <v>22628</v>
      </c>
    </row>
    <row r="81" spans="1:10" x14ac:dyDescent="0.25">
      <c r="A81" s="15"/>
      <c r="B81" s="15"/>
      <c r="C81" s="15"/>
      <c r="D81" s="15"/>
      <c r="E81" s="15"/>
      <c r="F81" s="15"/>
      <c r="G81" s="34"/>
      <c r="H81" s="34"/>
      <c r="I81" s="34"/>
      <c r="J81" s="34"/>
    </row>
    <row r="82" spans="1:10" ht="15.75" thickBo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x14ac:dyDescent="0.25">
      <c r="A83" s="16" t="s">
        <v>16</v>
      </c>
      <c r="B83" s="58" t="s">
        <v>3</v>
      </c>
      <c r="C83" s="59"/>
      <c r="D83" s="60"/>
      <c r="E83" s="58" t="s">
        <v>4</v>
      </c>
      <c r="F83" s="59"/>
      <c r="G83" s="60"/>
      <c r="H83" s="58" t="s">
        <v>0</v>
      </c>
      <c r="I83" s="59"/>
      <c r="J83" s="60"/>
    </row>
    <row r="84" spans="1:10" x14ac:dyDescent="0.25">
      <c r="A84" s="17"/>
      <c r="B84" s="32" t="s">
        <v>5</v>
      </c>
      <c r="C84" s="31" t="s">
        <v>6</v>
      </c>
      <c r="D84" s="33" t="s">
        <v>0</v>
      </c>
      <c r="E84" s="32" t="s">
        <v>5</v>
      </c>
      <c r="F84" s="31" t="s">
        <v>6</v>
      </c>
      <c r="G84" s="33" t="s">
        <v>0</v>
      </c>
      <c r="H84" s="32" t="s">
        <v>5</v>
      </c>
      <c r="I84" s="31" t="s">
        <v>6</v>
      </c>
      <c r="J84" s="30" t="s">
        <v>0</v>
      </c>
    </row>
    <row r="85" spans="1:10" x14ac:dyDescent="0.25">
      <c r="A85" s="29" t="s">
        <v>15</v>
      </c>
      <c r="B85" s="6">
        <v>763</v>
      </c>
      <c r="C85" s="4">
        <v>1341</v>
      </c>
      <c r="D85" s="5">
        <f t="shared" ref="D85:D92" si="12">B85+C85</f>
        <v>2104</v>
      </c>
      <c r="E85" s="6">
        <v>348</v>
      </c>
      <c r="F85" s="4">
        <v>573</v>
      </c>
      <c r="G85" s="4">
        <f t="shared" ref="G85:G92" si="13">E85+F85</f>
        <v>921</v>
      </c>
      <c r="H85" s="6">
        <f>B85+E85</f>
        <v>1111</v>
      </c>
      <c r="I85" s="4">
        <f>C85+F85</f>
        <v>1914</v>
      </c>
      <c r="J85" s="7">
        <f t="shared" ref="J85" si="14">H85+I85</f>
        <v>3025</v>
      </c>
    </row>
    <row r="86" spans="1:10" x14ac:dyDescent="0.25">
      <c r="A86" s="29" t="s">
        <v>100</v>
      </c>
      <c r="B86" s="6">
        <v>921</v>
      </c>
      <c r="C86" s="4">
        <v>995</v>
      </c>
      <c r="D86" s="5">
        <f t="shared" si="12"/>
        <v>1916</v>
      </c>
      <c r="E86" s="6">
        <v>975</v>
      </c>
      <c r="F86" s="4">
        <v>1264</v>
      </c>
      <c r="G86" s="4">
        <f t="shared" si="13"/>
        <v>2239</v>
      </c>
      <c r="H86" s="6">
        <f t="shared" ref="H86:H91" si="15">B86+E86</f>
        <v>1896</v>
      </c>
      <c r="I86" s="4">
        <f t="shared" ref="I86:I91" si="16">C86+F86</f>
        <v>2259</v>
      </c>
      <c r="J86" s="7">
        <f t="shared" ref="J86:J91" si="17">H86+I86</f>
        <v>4155</v>
      </c>
    </row>
    <row r="87" spans="1:10" x14ac:dyDescent="0.25">
      <c r="A87" s="29" t="s">
        <v>14</v>
      </c>
      <c r="B87" s="6">
        <v>363</v>
      </c>
      <c r="C87" s="4">
        <v>311</v>
      </c>
      <c r="D87" s="5">
        <f t="shared" si="12"/>
        <v>674</v>
      </c>
      <c r="E87" s="6">
        <v>494</v>
      </c>
      <c r="F87" s="4">
        <v>504</v>
      </c>
      <c r="G87" s="4">
        <f t="shared" si="13"/>
        <v>998</v>
      </c>
      <c r="H87" s="6">
        <f t="shared" si="15"/>
        <v>857</v>
      </c>
      <c r="I87" s="4">
        <f t="shared" si="16"/>
        <v>815</v>
      </c>
      <c r="J87" s="7">
        <f t="shared" si="17"/>
        <v>1672</v>
      </c>
    </row>
    <row r="88" spans="1:10" x14ac:dyDescent="0.25">
      <c r="A88" s="29" t="s">
        <v>91</v>
      </c>
      <c r="B88" s="6">
        <v>1171</v>
      </c>
      <c r="C88" s="4">
        <v>442</v>
      </c>
      <c r="D88" s="5">
        <f t="shared" si="12"/>
        <v>1613</v>
      </c>
      <c r="E88" s="6">
        <v>996</v>
      </c>
      <c r="F88" s="4">
        <v>399</v>
      </c>
      <c r="G88" s="4">
        <f t="shared" si="13"/>
        <v>1395</v>
      </c>
      <c r="H88" s="6">
        <f t="shared" si="15"/>
        <v>2167</v>
      </c>
      <c r="I88" s="4">
        <f t="shared" si="16"/>
        <v>841</v>
      </c>
      <c r="J88" s="7">
        <f t="shared" si="17"/>
        <v>3008</v>
      </c>
    </row>
    <row r="89" spans="1:10" x14ac:dyDescent="0.25">
      <c r="A89" s="29" t="s">
        <v>1</v>
      </c>
      <c r="B89" s="6">
        <v>216</v>
      </c>
      <c r="C89" s="4">
        <v>349</v>
      </c>
      <c r="D89" s="5">
        <f t="shared" si="12"/>
        <v>565</v>
      </c>
      <c r="E89" s="6">
        <v>204</v>
      </c>
      <c r="F89" s="4">
        <v>296</v>
      </c>
      <c r="G89" s="4">
        <f t="shared" si="13"/>
        <v>500</v>
      </c>
      <c r="H89" s="6">
        <f t="shared" si="15"/>
        <v>420</v>
      </c>
      <c r="I89" s="4">
        <f t="shared" si="16"/>
        <v>645</v>
      </c>
      <c r="J89" s="7">
        <f t="shared" si="17"/>
        <v>1065</v>
      </c>
    </row>
    <row r="90" spans="1:10" x14ac:dyDescent="0.25">
      <c r="A90" s="29" t="s">
        <v>11</v>
      </c>
      <c r="B90" s="6">
        <v>531</v>
      </c>
      <c r="C90" s="4">
        <v>1197</v>
      </c>
      <c r="D90" s="5">
        <f t="shared" si="12"/>
        <v>1728</v>
      </c>
      <c r="E90" s="6">
        <v>335</v>
      </c>
      <c r="F90" s="4">
        <v>827</v>
      </c>
      <c r="G90" s="4">
        <f t="shared" si="13"/>
        <v>1162</v>
      </c>
      <c r="H90" s="6">
        <f t="shared" si="15"/>
        <v>866</v>
      </c>
      <c r="I90" s="4">
        <f t="shared" si="16"/>
        <v>2024</v>
      </c>
      <c r="J90" s="7">
        <f t="shared" si="17"/>
        <v>2890</v>
      </c>
    </row>
    <row r="91" spans="1:10" x14ac:dyDescent="0.25">
      <c r="A91" s="29" t="s">
        <v>10</v>
      </c>
      <c r="B91" s="6">
        <v>1145</v>
      </c>
      <c r="C91" s="4">
        <v>815</v>
      </c>
      <c r="D91" s="5">
        <f t="shared" si="12"/>
        <v>1960</v>
      </c>
      <c r="E91" s="6">
        <v>387</v>
      </c>
      <c r="F91" s="4">
        <v>205</v>
      </c>
      <c r="G91" s="4">
        <f t="shared" si="13"/>
        <v>592</v>
      </c>
      <c r="H91" s="6">
        <f t="shared" si="15"/>
        <v>1532</v>
      </c>
      <c r="I91" s="4">
        <f t="shared" si="16"/>
        <v>1020</v>
      </c>
      <c r="J91" s="7">
        <f t="shared" si="17"/>
        <v>2552</v>
      </c>
    </row>
    <row r="92" spans="1:10" ht="15.75" thickBot="1" x14ac:dyDescent="0.3">
      <c r="A92" s="28" t="s">
        <v>9</v>
      </c>
      <c r="B92" s="10">
        <v>1131</v>
      </c>
      <c r="C92" s="11">
        <v>1341</v>
      </c>
      <c r="D92" s="54">
        <f t="shared" si="12"/>
        <v>2472</v>
      </c>
      <c r="E92" s="10">
        <v>702</v>
      </c>
      <c r="F92" s="11">
        <v>1087</v>
      </c>
      <c r="G92" s="11">
        <f t="shared" si="13"/>
        <v>1789</v>
      </c>
      <c r="H92" s="10">
        <f t="shared" ref="H92" si="18">B92+E92</f>
        <v>1833</v>
      </c>
      <c r="I92" s="11">
        <f t="shared" ref="I92" si="19">C92+F92</f>
        <v>2428</v>
      </c>
      <c r="J92" s="14">
        <f t="shared" ref="J92" si="20">H92+I92</f>
        <v>4261</v>
      </c>
    </row>
    <row r="93" spans="1:10" ht="16.5" thickTop="1" thickBot="1" x14ac:dyDescent="0.3">
      <c r="A93" s="9" t="s">
        <v>0</v>
      </c>
      <c r="B93" s="8">
        <f t="shared" ref="B93:J93" si="21">SUM(B85:B92)</f>
        <v>6241</v>
      </c>
      <c r="C93" s="8">
        <f t="shared" si="21"/>
        <v>6791</v>
      </c>
      <c r="D93" s="8">
        <f t="shared" si="21"/>
        <v>13032</v>
      </c>
      <c r="E93" s="8">
        <f t="shared" si="21"/>
        <v>4441</v>
      </c>
      <c r="F93" s="8">
        <f t="shared" si="21"/>
        <v>5155</v>
      </c>
      <c r="G93" s="8">
        <f t="shared" si="21"/>
        <v>9596</v>
      </c>
      <c r="H93" s="8">
        <f t="shared" si="21"/>
        <v>10682</v>
      </c>
      <c r="I93" s="8">
        <f t="shared" si="21"/>
        <v>11946</v>
      </c>
      <c r="J93" s="9">
        <f t="shared" si="21"/>
        <v>22628</v>
      </c>
    </row>
    <row r="94" spans="1:10" ht="15.75" thickBo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 x14ac:dyDescent="0.25">
      <c r="A95" s="29" t="s">
        <v>15</v>
      </c>
      <c r="B95" s="24">
        <f t="shared" ref="B95:B102" si="22">B85/D85</f>
        <v>0.36264258555133078</v>
      </c>
      <c r="C95" s="23">
        <f t="shared" ref="C95:C102" si="23">C85/D85</f>
        <v>0.63735741444866922</v>
      </c>
      <c r="D95" s="5"/>
      <c r="E95" s="24">
        <f t="shared" ref="E95:E102" si="24">E85/G85</f>
        <v>0.37785016286644951</v>
      </c>
      <c r="F95" s="23">
        <f t="shared" ref="F95:F102" si="25">F85/G85</f>
        <v>0.62214983713355054</v>
      </c>
      <c r="G95" s="4"/>
      <c r="H95" s="24">
        <f t="shared" ref="H95:H102" si="26">H85/J85</f>
        <v>0.36727272727272725</v>
      </c>
      <c r="I95" s="23">
        <f t="shared" ref="I95:I102" si="27">I85/J85</f>
        <v>0.63272727272727269</v>
      </c>
      <c r="J95" s="7"/>
    </row>
    <row r="96" spans="1:10" x14ac:dyDescent="0.25">
      <c r="A96" s="29" t="s">
        <v>100</v>
      </c>
      <c r="B96" s="24">
        <f t="shared" si="22"/>
        <v>0.48068893528183715</v>
      </c>
      <c r="C96" s="23">
        <f t="shared" si="23"/>
        <v>0.5193110647181628</v>
      </c>
      <c r="D96" s="5"/>
      <c r="E96" s="24">
        <f t="shared" si="24"/>
        <v>0.43546225993747206</v>
      </c>
      <c r="F96" s="23">
        <f t="shared" si="25"/>
        <v>0.56453774006252788</v>
      </c>
      <c r="G96" s="4"/>
      <c r="H96" s="24">
        <f t="shared" si="26"/>
        <v>0.45631768953068591</v>
      </c>
      <c r="I96" s="23">
        <f t="shared" si="27"/>
        <v>0.54368231046931403</v>
      </c>
      <c r="J96" s="7"/>
    </row>
    <row r="97" spans="1:10" x14ac:dyDescent="0.25">
      <c r="A97" s="29" t="s">
        <v>14</v>
      </c>
      <c r="B97" s="24">
        <f t="shared" si="22"/>
        <v>0.53857566765578635</v>
      </c>
      <c r="C97" s="23">
        <f t="shared" si="23"/>
        <v>0.46142433234421365</v>
      </c>
      <c r="D97" s="5"/>
      <c r="E97" s="24">
        <f t="shared" si="24"/>
        <v>0.49498997995991983</v>
      </c>
      <c r="F97" s="23">
        <f t="shared" si="25"/>
        <v>0.50501002004008011</v>
      </c>
      <c r="G97" s="4"/>
      <c r="H97" s="24">
        <f t="shared" si="26"/>
        <v>0.51255980861244022</v>
      </c>
      <c r="I97" s="23">
        <f t="shared" si="27"/>
        <v>0.48744019138755978</v>
      </c>
      <c r="J97" s="7"/>
    </row>
    <row r="98" spans="1:10" x14ac:dyDescent="0.25">
      <c r="A98" s="29" t="s">
        <v>91</v>
      </c>
      <c r="B98" s="24">
        <f t="shared" si="22"/>
        <v>0.72597644141351514</v>
      </c>
      <c r="C98" s="23">
        <f t="shared" si="23"/>
        <v>0.27402355858648481</v>
      </c>
      <c r="D98" s="5"/>
      <c r="E98" s="24">
        <f t="shared" si="24"/>
        <v>0.71397849462365592</v>
      </c>
      <c r="F98" s="23">
        <f t="shared" si="25"/>
        <v>0.28602150537634408</v>
      </c>
      <c r="G98" s="4"/>
      <c r="H98" s="24">
        <f t="shared" si="26"/>
        <v>0.72041223404255317</v>
      </c>
      <c r="I98" s="23">
        <f t="shared" si="27"/>
        <v>0.27958776595744683</v>
      </c>
      <c r="J98" s="7"/>
    </row>
    <row r="99" spans="1:10" x14ac:dyDescent="0.25">
      <c r="A99" s="29" t="s">
        <v>1</v>
      </c>
      <c r="B99" s="24">
        <f t="shared" si="22"/>
        <v>0.38230088495575221</v>
      </c>
      <c r="C99" s="23">
        <f t="shared" si="23"/>
        <v>0.61769911504424779</v>
      </c>
      <c r="D99" s="5"/>
      <c r="E99" s="24">
        <f t="shared" si="24"/>
        <v>0.40799999999999997</v>
      </c>
      <c r="F99" s="23">
        <f t="shared" si="25"/>
        <v>0.59199999999999997</v>
      </c>
      <c r="G99" s="4"/>
      <c r="H99" s="24">
        <f t="shared" si="26"/>
        <v>0.39436619718309857</v>
      </c>
      <c r="I99" s="23">
        <f t="shared" si="27"/>
        <v>0.60563380281690138</v>
      </c>
      <c r="J99" s="7"/>
    </row>
    <row r="100" spans="1:10" x14ac:dyDescent="0.25">
      <c r="A100" s="29" t="s">
        <v>11</v>
      </c>
      <c r="B100" s="24">
        <f t="shared" si="22"/>
        <v>0.30729166666666669</v>
      </c>
      <c r="C100" s="23">
        <f t="shared" si="23"/>
        <v>0.69270833333333337</v>
      </c>
      <c r="D100" s="5"/>
      <c r="E100" s="24">
        <f t="shared" si="24"/>
        <v>0.2882960413080895</v>
      </c>
      <c r="F100" s="23">
        <f t="shared" si="25"/>
        <v>0.7117039586919105</v>
      </c>
      <c r="G100" s="4"/>
      <c r="H100" s="24">
        <f t="shared" si="26"/>
        <v>0.29965397923875431</v>
      </c>
      <c r="I100" s="23">
        <f t="shared" si="27"/>
        <v>0.70034602076124564</v>
      </c>
      <c r="J100" s="7"/>
    </row>
    <row r="101" spans="1:10" x14ac:dyDescent="0.25">
      <c r="A101" s="29" t="s">
        <v>10</v>
      </c>
      <c r="B101" s="24">
        <f t="shared" si="22"/>
        <v>0.58418367346938771</v>
      </c>
      <c r="C101" s="23">
        <f t="shared" si="23"/>
        <v>0.41581632653061223</v>
      </c>
      <c r="D101" s="5"/>
      <c r="E101" s="24">
        <f t="shared" si="24"/>
        <v>0.65371621621621623</v>
      </c>
      <c r="F101" s="23">
        <f t="shared" si="25"/>
        <v>0.34628378378378377</v>
      </c>
      <c r="G101" s="4"/>
      <c r="H101" s="24">
        <f t="shared" si="26"/>
        <v>0.60031347962382442</v>
      </c>
      <c r="I101" s="23">
        <f t="shared" si="27"/>
        <v>0.39968652037617552</v>
      </c>
      <c r="J101" s="7"/>
    </row>
    <row r="102" spans="1:10" ht="15.75" thickBot="1" x14ac:dyDescent="0.3">
      <c r="A102" s="28" t="s">
        <v>9</v>
      </c>
      <c r="B102" s="22">
        <f t="shared" si="22"/>
        <v>0.45752427184466021</v>
      </c>
      <c r="C102" s="21">
        <f t="shared" si="23"/>
        <v>0.54247572815533984</v>
      </c>
      <c r="D102" s="54"/>
      <c r="E102" s="22">
        <f t="shared" si="24"/>
        <v>0.39239798770262718</v>
      </c>
      <c r="F102" s="21">
        <f t="shared" si="25"/>
        <v>0.60760201229737287</v>
      </c>
      <c r="G102" s="11"/>
      <c r="H102" s="22">
        <f t="shared" si="26"/>
        <v>0.43018070875381365</v>
      </c>
      <c r="I102" s="21">
        <f t="shared" si="27"/>
        <v>0.56981929124618635</v>
      </c>
      <c r="J102" s="14"/>
    </row>
    <row r="103" spans="1:10" ht="16.5" thickTop="1" thickBot="1" x14ac:dyDescent="0.3">
      <c r="A103" s="8" t="s">
        <v>0</v>
      </c>
      <c r="B103" s="19">
        <f t="shared" ref="B103" si="28">B93/D93</f>
        <v>0.47889809699201963</v>
      </c>
      <c r="C103" s="19">
        <f t="shared" ref="C103" si="29">C93/D93</f>
        <v>0.52110190300798032</v>
      </c>
      <c r="D103" s="8"/>
      <c r="E103" s="19">
        <f t="shared" ref="E103" si="30">E93/G93</f>
        <v>0.46279699874947894</v>
      </c>
      <c r="F103" s="19">
        <f t="shared" ref="F103" si="31">F93/G93</f>
        <v>0.53720300125052101</v>
      </c>
      <c r="G103" s="8"/>
      <c r="H103" s="19">
        <f t="shared" ref="H103" si="32">H93/J93</f>
        <v>0.4720700017677214</v>
      </c>
      <c r="I103" s="19">
        <f t="shared" ref="I103" si="33">I93/J93</f>
        <v>0.5279299982322786</v>
      </c>
      <c r="J103" s="9"/>
    </row>
  </sheetData>
  <mergeCells count="8">
    <mergeCell ref="B83:D83"/>
    <mergeCell ref="E83:G83"/>
    <mergeCell ref="H83:J8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opLeftCell="A53" zoomScale="40" zoomScaleNormal="40" zoomScalePageLayoutView="70" workbookViewId="0">
      <selection activeCell="A80" sqref="A80"/>
    </sheetView>
  </sheetViews>
  <sheetFormatPr defaultColWidth="9.140625" defaultRowHeight="15" x14ac:dyDescent="0.25"/>
  <cols>
    <col min="1" max="1" width="29.140625" customWidth="1"/>
    <col min="2" max="10" width="6.85546875" customWidth="1"/>
  </cols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2008-09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ht="15" customHeight="1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17</v>
      </c>
      <c r="B7" s="39">
        <v>47</v>
      </c>
      <c r="C7" s="34">
        <v>137</v>
      </c>
      <c r="D7" s="35">
        <f>SUM(B7:C7)</f>
        <v>184</v>
      </c>
      <c r="E7" s="34">
        <v>41</v>
      </c>
      <c r="F7" s="34">
        <v>113</v>
      </c>
      <c r="G7" s="34">
        <f>SUM(E7:F7)</f>
        <v>154</v>
      </c>
      <c r="H7" s="39">
        <f>B7+E7</f>
        <v>88</v>
      </c>
      <c r="I7" s="34">
        <f>C7+F7</f>
        <v>250</v>
      </c>
      <c r="J7" s="35">
        <f>SUM(H7:I7)</f>
        <v>338</v>
      </c>
    </row>
    <row r="8" spans="1:10" x14ac:dyDescent="0.25">
      <c r="A8" s="12" t="s">
        <v>18</v>
      </c>
      <c r="B8" s="39">
        <v>51</v>
      </c>
      <c r="C8" s="34">
        <v>99</v>
      </c>
      <c r="D8" s="35">
        <f t="shared" ref="D8:D78" si="0">SUM(B8:C8)</f>
        <v>150</v>
      </c>
      <c r="E8" s="34">
        <v>97</v>
      </c>
      <c r="F8" s="34">
        <v>261</v>
      </c>
      <c r="G8" s="34">
        <f t="shared" ref="G8:G78" si="1">SUM(E8:F8)</f>
        <v>358</v>
      </c>
      <c r="H8" s="39">
        <f t="shared" ref="H8:I78" si="2">B8+E8</f>
        <v>148</v>
      </c>
      <c r="I8" s="34">
        <f t="shared" si="2"/>
        <v>360</v>
      </c>
      <c r="J8" s="35">
        <f t="shared" ref="J8:J78" si="3">SUM(H8:I8)</f>
        <v>508</v>
      </c>
    </row>
    <row r="9" spans="1:10" x14ac:dyDescent="0.25">
      <c r="A9" s="12" t="s">
        <v>19</v>
      </c>
      <c r="B9" s="39">
        <v>252</v>
      </c>
      <c r="C9" s="34">
        <v>207</v>
      </c>
      <c r="D9" s="35">
        <f t="shared" ref="D9:D14" si="4">SUM(B9:C9)</f>
        <v>459</v>
      </c>
      <c r="E9" s="34">
        <v>78</v>
      </c>
      <c r="F9" s="34">
        <v>88</v>
      </c>
      <c r="G9" s="34">
        <f t="shared" ref="G9:G14" si="5">SUM(E9:F9)</f>
        <v>166</v>
      </c>
      <c r="H9" s="39">
        <f t="shared" ref="H9:H14" si="6">B9+E9</f>
        <v>330</v>
      </c>
      <c r="I9" s="34">
        <f t="shared" ref="I9:I14" si="7">C9+F9</f>
        <v>295</v>
      </c>
      <c r="J9" s="35">
        <f t="shared" ref="J9:J14" si="8">SUM(H9:I9)</f>
        <v>625</v>
      </c>
    </row>
    <row r="10" spans="1:10" x14ac:dyDescent="0.25">
      <c r="A10" s="12" t="s">
        <v>20</v>
      </c>
      <c r="B10" s="39">
        <v>94</v>
      </c>
      <c r="C10" s="34">
        <v>26</v>
      </c>
      <c r="D10" s="35">
        <f t="shared" si="4"/>
        <v>120</v>
      </c>
      <c r="E10" s="34">
        <v>2</v>
      </c>
      <c r="F10" s="34">
        <v>0</v>
      </c>
      <c r="G10" s="34">
        <f t="shared" si="5"/>
        <v>2</v>
      </c>
      <c r="H10" s="39">
        <f t="shared" si="6"/>
        <v>96</v>
      </c>
      <c r="I10" s="34">
        <f t="shared" si="7"/>
        <v>26</v>
      </c>
      <c r="J10" s="35">
        <f t="shared" si="8"/>
        <v>122</v>
      </c>
    </row>
    <row r="11" spans="1:10" x14ac:dyDescent="0.25">
      <c r="A11" s="12" t="s">
        <v>21</v>
      </c>
      <c r="B11" s="39">
        <v>0</v>
      </c>
      <c r="C11" s="34">
        <v>0</v>
      </c>
      <c r="D11" s="35">
        <f t="shared" si="4"/>
        <v>0</v>
      </c>
      <c r="E11" s="34">
        <v>232</v>
      </c>
      <c r="F11" s="34">
        <v>187</v>
      </c>
      <c r="G11" s="34">
        <f t="shared" si="5"/>
        <v>419</v>
      </c>
      <c r="H11" s="39">
        <f t="shared" si="6"/>
        <v>232</v>
      </c>
      <c r="I11" s="34">
        <f t="shared" si="7"/>
        <v>187</v>
      </c>
      <c r="J11" s="35">
        <f t="shared" si="8"/>
        <v>419</v>
      </c>
    </row>
    <row r="12" spans="1:10" x14ac:dyDescent="0.25">
      <c r="A12" s="12" t="s">
        <v>22</v>
      </c>
      <c r="B12" s="39">
        <v>47</v>
      </c>
      <c r="C12" s="34">
        <v>52</v>
      </c>
      <c r="D12" s="35">
        <f t="shared" si="4"/>
        <v>99</v>
      </c>
      <c r="E12" s="34">
        <v>89</v>
      </c>
      <c r="F12" s="34">
        <v>107</v>
      </c>
      <c r="G12" s="34">
        <f t="shared" si="5"/>
        <v>196</v>
      </c>
      <c r="H12" s="39">
        <f t="shared" si="6"/>
        <v>136</v>
      </c>
      <c r="I12" s="34">
        <f t="shared" si="7"/>
        <v>159</v>
      </c>
      <c r="J12" s="35">
        <f t="shared" si="8"/>
        <v>295</v>
      </c>
    </row>
    <row r="13" spans="1:10" x14ac:dyDescent="0.25">
      <c r="A13" s="12" t="s">
        <v>23</v>
      </c>
      <c r="B13" s="39">
        <v>81</v>
      </c>
      <c r="C13" s="34">
        <v>68</v>
      </c>
      <c r="D13" s="35">
        <f t="shared" si="4"/>
        <v>149</v>
      </c>
      <c r="E13" s="34">
        <v>76</v>
      </c>
      <c r="F13" s="34">
        <v>34</v>
      </c>
      <c r="G13" s="34">
        <f t="shared" si="5"/>
        <v>110</v>
      </c>
      <c r="H13" s="39">
        <f t="shared" si="6"/>
        <v>157</v>
      </c>
      <c r="I13" s="34">
        <f t="shared" si="7"/>
        <v>102</v>
      </c>
      <c r="J13" s="35">
        <f t="shared" si="8"/>
        <v>259</v>
      </c>
    </row>
    <row r="14" spans="1:10" x14ac:dyDescent="0.25">
      <c r="A14" s="12" t="s">
        <v>24</v>
      </c>
      <c r="B14" s="39">
        <v>408</v>
      </c>
      <c r="C14" s="34">
        <v>535</v>
      </c>
      <c r="D14" s="35">
        <f t="shared" si="4"/>
        <v>943</v>
      </c>
      <c r="E14" s="34">
        <v>105</v>
      </c>
      <c r="F14" s="34">
        <v>154</v>
      </c>
      <c r="G14" s="34">
        <f t="shared" si="5"/>
        <v>259</v>
      </c>
      <c r="H14" s="39">
        <f t="shared" si="6"/>
        <v>513</v>
      </c>
      <c r="I14" s="34">
        <f t="shared" si="7"/>
        <v>689</v>
      </c>
      <c r="J14" s="35">
        <f t="shared" si="8"/>
        <v>1202</v>
      </c>
    </row>
    <row r="15" spans="1:10" x14ac:dyDescent="0.25">
      <c r="A15" s="12" t="s">
        <v>25</v>
      </c>
      <c r="B15" s="39">
        <v>0</v>
      </c>
      <c r="C15" s="34">
        <v>0</v>
      </c>
      <c r="D15" s="35">
        <f t="shared" si="0"/>
        <v>0</v>
      </c>
      <c r="E15" s="34">
        <v>5</v>
      </c>
      <c r="F15" s="34">
        <v>1</v>
      </c>
      <c r="G15" s="34">
        <f t="shared" si="1"/>
        <v>6</v>
      </c>
      <c r="H15" s="39">
        <f t="shared" si="2"/>
        <v>5</v>
      </c>
      <c r="I15" s="34">
        <f t="shared" si="2"/>
        <v>1</v>
      </c>
      <c r="J15" s="35">
        <f t="shared" si="3"/>
        <v>6</v>
      </c>
    </row>
    <row r="16" spans="1:10" x14ac:dyDescent="0.25">
      <c r="A16" s="12" t="s">
        <v>26</v>
      </c>
      <c r="B16" s="39">
        <v>0</v>
      </c>
      <c r="C16" s="34">
        <v>0</v>
      </c>
      <c r="D16" s="35">
        <f t="shared" si="0"/>
        <v>0</v>
      </c>
      <c r="E16" s="34">
        <v>15</v>
      </c>
      <c r="F16" s="34">
        <v>24</v>
      </c>
      <c r="G16" s="34">
        <f t="shared" si="1"/>
        <v>39</v>
      </c>
      <c r="H16" s="39">
        <f t="shared" si="2"/>
        <v>15</v>
      </c>
      <c r="I16" s="34">
        <f t="shared" si="2"/>
        <v>24</v>
      </c>
      <c r="J16" s="35">
        <f t="shared" si="3"/>
        <v>39</v>
      </c>
    </row>
    <row r="17" spans="1:10" x14ac:dyDescent="0.25">
      <c r="A17" s="12" t="s">
        <v>27</v>
      </c>
      <c r="B17" s="39">
        <v>0</v>
      </c>
      <c r="C17" s="34">
        <v>0</v>
      </c>
      <c r="D17" s="35">
        <f t="shared" si="0"/>
        <v>0</v>
      </c>
      <c r="E17" s="34">
        <v>22</v>
      </c>
      <c r="F17" s="34">
        <v>82</v>
      </c>
      <c r="G17" s="34">
        <f t="shared" si="1"/>
        <v>104</v>
      </c>
      <c r="H17" s="39">
        <f t="shared" si="2"/>
        <v>22</v>
      </c>
      <c r="I17" s="34">
        <f t="shared" si="2"/>
        <v>82</v>
      </c>
      <c r="J17" s="35">
        <f t="shared" si="3"/>
        <v>104</v>
      </c>
    </row>
    <row r="18" spans="1:10" x14ac:dyDescent="0.25">
      <c r="A18" s="12" t="s">
        <v>28</v>
      </c>
      <c r="B18" s="39">
        <v>0</v>
      </c>
      <c r="C18" s="34">
        <v>0</v>
      </c>
      <c r="D18" s="35">
        <f t="shared" si="0"/>
        <v>0</v>
      </c>
      <c r="E18" s="34">
        <v>30</v>
      </c>
      <c r="F18" s="34">
        <v>17</v>
      </c>
      <c r="G18" s="34">
        <f t="shared" si="1"/>
        <v>47</v>
      </c>
      <c r="H18" s="39">
        <f t="shared" si="2"/>
        <v>30</v>
      </c>
      <c r="I18" s="34">
        <f t="shared" si="2"/>
        <v>17</v>
      </c>
      <c r="J18" s="35">
        <f t="shared" si="3"/>
        <v>47</v>
      </c>
    </row>
    <row r="19" spans="1:10" x14ac:dyDescent="0.25">
      <c r="A19" s="12" t="s">
        <v>29</v>
      </c>
      <c r="B19" s="39">
        <v>0</v>
      </c>
      <c r="C19" s="34">
        <v>0</v>
      </c>
      <c r="D19" s="35">
        <f t="shared" si="0"/>
        <v>0</v>
      </c>
      <c r="E19" s="34">
        <v>69</v>
      </c>
      <c r="F19" s="34">
        <v>48</v>
      </c>
      <c r="G19" s="34">
        <f t="shared" si="1"/>
        <v>117</v>
      </c>
      <c r="H19" s="39">
        <f t="shared" si="2"/>
        <v>69</v>
      </c>
      <c r="I19" s="34">
        <f t="shared" si="2"/>
        <v>48</v>
      </c>
      <c r="J19" s="35">
        <f t="shared" si="3"/>
        <v>117</v>
      </c>
    </row>
    <row r="20" spans="1:10" x14ac:dyDescent="0.25">
      <c r="A20" s="12" t="s">
        <v>30</v>
      </c>
      <c r="B20" s="39">
        <v>200</v>
      </c>
      <c r="C20" s="34">
        <v>88</v>
      </c>
      <c r="D20" s="35">
        <f t="shared" si="0"/>
        <v>288</v>
      </c>
      <c r="E20" s="34">
        <v>26</v>
      </c>
      <c r="F20" s="34">
        <v>23</v>
      </c>
      <c r="G20" s="34">
        <f t="shared" si="1"/>
        <v>49</v>
      </c>
      <c r="H20" s="39">
        <f t="shared" si="2"/>
        <v>226</v>
      </c>
      <c r="I20" s="34">
        <f t="shared" si="2"/>
        <v>111</v>
      </c>
      <c r="J20" s="35">
        <f t="shared" si="3"/>
        <v>337</v>
      </c>
    </row>
    <row r="21" spans="1:10" x14ac:dyDescent="0.25">
      <c r="A21" s="12" t="s">
        <v>31</v>
      </c>
      <c r="B21" s="39">
        <v>151</v>
      </c>
      <c r="C21" s="34">
        <v>129</v>
      </c>
      <c r="D21" s="35">
        <f t="shared" si="0"/>
        <v>280</v>
      </c>
      <c r="E21" s="34">
        <v>75</v>
      </c>
      <c r="F21" s="34">
        <v>47</v>
      </c>
      <c r="G21" s="34">
        <f t="shared" si="1"/>
        <v>122</v>
      </c>
      <c r="H21" s="39">
        <f t="shared" si="2"/>
        <v>226</v>
      </c>
      <c r="I21" s="34">
        <f t="shared" si="2"/>
        <v>176</v>
      </c>
      <c r="J21" s="35">
        <f t="shared" si="3"/>
        <v>402</v>
      </c>
    </row>
    <row r="22" spans="1:10" x14ac:dyDescent="0.25">
      <c r="A22" s="12" t="s">
        <v>32</v>
      </c>
      <c r="B22" s="39">
        <v>167</v>
      </c>
      <c r="C22" s="34">
        <v>66</v>
      </c>
      <c r="D22" s="35">
        <f t="shared" si="0"/>
        <v>233</v>
      </c>
      <c r="E22" s="34">
        <v>99</v>
      </c>
      <c r="F22" s="34">
        <v>44</v>
      </c>
      <c r="G22" s="34">
        <f t="shared" si="1"/>
        <v>143</v>
      </c>
      <c r="H22" s="39">
        <f t="shared" si="2"/>
        <v>266</v>
      </c>
      <c r="I22" s="34">
        <f t="shared" si="2"/>
        <v>110</v>
      </c>
      <c r="J22" s="35">
        <f t="shared" si="3"/>
        <v>376</v>
      </c>
    </row>
    <row r="23" spans="1:10" x14ac:dyDescent="0.25">
      <c r="A23" s="12" t="s">
        <v>33</v>
      </c>
      <c r="B23" s="39">
        <v>152</v>
      </c>
      <c r="C23" s="34">
        <v>28</v>
      </c>
      <c r="D23" s="35">
        <f t="shared" si="0"/>
        <v>180</v>
      </c>
      <c r="E23" s="34">
        <v>175</v>
      </c>
      <c r="F23" s="34">
        <v>66</v>
      </c>
      <c r="G23" s="34">
        <f t="shared" si="1"/>
        <v>241</v>
      </c>
      <c r="H23" s="39">
        <f t="shared" si="2"/>
        <v>327</v>
      </c>
      <c r="I23" s="34">
        <f t="shared" si="2"/>
        <v>94</v>
      </c>
      <c r="J23" s="35">
        <f t="shared" si="3"/>
        <v>421</v>
      </c>
    </row>
    <row r="24" spans="1:10" x14ac:dyDescent="0.25">
      <c r="A24" s="12" t="s">
        <v>34</v>
      </c>
      <c r="B24" s="39">
        <v>0</v>
      </c>
      <c r="C24" s="34">
        <v>0</v>
      </c>
      <c r="D24" s="35">
        <f t="shared" si="0"/>
        <v>0</v>
      </c>
      <c r="E24" s="34">
        <v>50</v>
      </c>
      <c r="F24" s="34">
        <v>107</v>
      </c>
      <c r="G24" s="34">
        <f t="shared" si="1"/>
        <v>157</v>
      </c>
      <c r="H24" s="39">
        <f t="shared" si="2"/>
        <v>50</v>
      </c>
      <c r="I24" s="34">
        <f t="shared" si="2"/>
        <v>107</v>
      </c>
      <c r="J24" s="35">
        <f t="shared" si="3"/>
        <v>157</v>
      </c>
    </row>
    <row r="25" spans="1:10" x14ac:dyDescent="0.25">
      <c r="A25" s="12" t="s">
        <v>35</v>
      </c>
      <c r="B25" s="39">
        <v>4</v>
      </c>
      <c r="C25" s="34">
        <v>21</v>
      </c>
      <c r="D25" s="35">
        <f t="shared" si="0"/>
        <v>25</v>
      </c>
      <c r="E25" s="34">
        <v>1</v>
      </c>
      <c r="F25" s="34">
        <v>3</v>
      </c>
      <c r="G25" s="34">
        <f t="shared" si="1"/>
        <v>4</v>
      </c>
      <c r="H25" s="39">
        <f t="shared" si="2"/>
        <v>5</v>
      </c>
      <c r="I25" s="34">
        <f t="shared" si="2"/>
        <v>24</v>
      </c>
      <c r="J25" s="35">
        <f t="shared" si="3"/>
        <v>29</v>
      </c>
    </row>
    <row r="26" spans="1:10" x14ac:dyDescent="0.25">
      <c r="A26" s="12" t="s">
        <v>36</v>
      </c>
      <c r="B26" s="39">
        <v>42</v>
      </c>
      <c r="C26" s="34">
        <v>46</v>
      </c>
      <c r="D26" s="35">
        <f t="shared" si="0"/>
        <v>88</v>
      </c>
      <c r="E26" s="34">
        <v>38</v>
      </c>
      <c r="F26" s="34">
        <v>42</v>
      </c>
      <c r="G26" s="34">
        <f t="shared" si="1"/>
        <v>80</v>
      </c>
      <c r="H26" s="39">
        <f t="shared" si="2"/>
        <v>80</v>
      </c>
      <c r="I26" s="34">
        <f t="shared" si="2"/>
        <v>88</v>
      </c>
      <c r="J26" s="35">
        <f t="shared" si="3"/>
        <v>168</v>
      </c>
    </row>
    <row r="27" spans="1:10" x14ac:dyDescent="0.25">
      <c r="A27" s="12" t="s">
        <v>37</v>
      </c>
      <c r="B27" s="39">
        <v>410</v>
      </c>
      <c r="C27" s="34">
        <v>302</v>
      </c>
      <c r="D27" s="35">
        <f t="shared" si="0"/>
        <v>712</v>
      </c>
      <c r="E27" s="34">
        <v>91</v>
      </c>
      <c r="F27" s="34">
        <v>49</v>
      </c>
      <c r="G27" s="34">
        <f t="shared" si="1"/>
        <v>140</v>
      </c>
      <c r="H27" s="39">
        <f t="shared" si="2"/>
        <v>501</v>
      </c>
      <c r="I27" s="34">
        <f t="shared" si="2"/>
        <v>351</v>
      </c>
      <c r="J27" s="35">
        <f t="shared" si="3"/>
        <v>852</v>
      </c>
    </row>
    <row r="28" spans="1:10" x14ac:dyDescent="0.25">
      <c r="A28" s="12" t="s">
        <v>38</v>
      </c>
      <c r="B28" s="39">
        <v>146</v>
      </c>
      <c r="C28" s="34">
        <v>17</v>
      </c>
      <c r="D28" s="35">
        <f t="shared" si="0"/>
        <v>163</v>
      </c>
      <c r="E28" s="34">
        <v>258</v>
      </c>
      <c r="F28" s="34">
        <v>60</v>
      </c>
      <c r="G28" s="34">
        <f t="shared" si="1"/>
        <v>318</v>
      </c>
      <c r="H28" s="39">
        <f t="shared" si="2"/>
        <v>404</v>
      </c>
      <c r="I28" s="34">
        <f t="shared" si="2"/>
        <v>77</v>
      </c>
      <c r="J28" s="35">
        <f t="shared" si="3"/>
        <v>481</v>
      </c>
    </row>
    <row r="29" spans="1:10" x14ac:dyDescent="0.25">
      <c r="A29" s="12" t="s">
        <v>41</v>
      </c>
      <c r="B29" s="39">
        <v>83</v>
      </c>
      <c r="C29" s="34">
        <v>154</v>
      </c>
      <c r="D29" s="35">
        <f t="shared" si="0"/>
        <v>237</v>
      </c>
      <c r="E29" s="34">
        <v>26</v>
      </c>
      <c r="F29" s="34">
        <v>56</v>
      </c>
      <c r="G29" s="34">
        <f t="shared" si="1"/>
        <v>82</v>
      </c>
      <c r="H29" s="39">
        <f t="shared" si="2"/>
        <v>109</v>
      </c>
      <c r="I29" s="34">
        <f t="shared" si="2"/>
        <v>210</v>
      </c>
      <c r="J29" s="35">
        <f t="shared" si="3"/>
        <v>319</v>
      </c>
    </row>
    <row r="30" spans="1:10" x14ac:dyDescent="0.25">
      <c r="A30" s="12" t="s">
        <v>94</v>
      </c>
      <c r="B30" s="39">
        <v>64</v>
      </c>
      <c r="C30" s="34">
        <v>112</v>
      </c>
      <c r="D30" s="35">
        <f t="shared" si="0"/>
        <v>176</v>
      </c>
      <c r="E30" s="34">
        <v>0</v>
      </c>
      <c r="F30" s="34">
        <v>0</v>
      </c>
      <c r="G30" s="34">
        <f t="shared" si="1"/>
        <v>0</v>
      </c>
      <c r="H30" s="39">
        <f t="shared" si="2"/>
        <v>64</v>
      </c>
      <c r="I30" s="34">
        <f t="shared" si="2"/>
        <v>112</v>
      </c>
      <c r="J30" s="35">
        <f t="shared" si="3"/>
        <v>176</v>
      </c>
    </row>
    <row r="31" spans="1:10" x14ac:dyDescent="0.25">
      <c r="A31" s="12" t="s">
        <v>44</v>
      </c>
      <c r="B31" s="39">
        <v>54</v>
      </c>
      <c r="C31" s="34">
        <v>99</v>
      </c>
      <c r="D31" s="35">
        <f t="shared" si="0"/>
        <v>153</v>
      </c>
      <c r="E31" s="34">
        <v>52</v>
      </c>
      <c r="F31" s="34">
        <v>70</v>
      </c>
      <c r="G31" s="34">
        <f t="shared" si="1"/>
        <v>122</v>
      </c>
      <c r="H31" s="39">
        <f t="shared" si="2"/>
        <v>106</v>
      </c>
      <c r="I31" s="34">
        <f t="shared" si="2"/>
        <v>169</v>
      </c>
      <c r="J31" s="35">
        <f t="shared" si="3"/>
        <v>275</v>
      </c>
    </row>
    <row r="32" spans="1:10" x14ac:dyDescent="0.25">
      <c r="A32" s="12" t="s">
        <v>45</v>
      </c>
      <c r="B32" s="39">
        <v>71</v>
      </c>
      <c r="C32" s="34">
        <v>180</v>
      </c>
      <c r="D32" s="35">
        <f t="shared" si="0"/>
        <v>251</v>
      </c>
      <c r="E32" s="34">
        <v>3</v>
      </c>
      <c r="F32" s="34">
        <v>10</v>
      </c>
      <c r="G32" s="34">
        <f t="shared" si="1"/>
        <v>13</v>
      </c>
      <c r="H32" s="39">
        <f t="shared" si="2"/>
        <v>74</v>
      </c>
      <c r="I32" s="34">
        <f t="shared" si="2"/>
        <v>190</v>
      </c>
      <c r="J32" s="35">
        <f t="shared" si="3"/>
        <v>264</v>
      </c>
    </row>
    <row r="33" spans="1:10" x14ac:dyDescent="0.25">
      <c r="A33" s="12" t="s">
        <v>95</v>
      </c>
      <c r="B33" s="39">
        <v>0</v>
      </c>
      <c r="C33" s="34">
        <v>0</v>
      </c>
      <c r="D33" s="35">
        <f t="shared" si="0"/>
        <v>0</v>
      </c>
      <c r="E33" s="34">
        <v>9</v>
      </c>
      <c r="F33" s="34">
        <v>1</v>
      </c>
      <c r="G33" s="34">
        <f t="shared" si="1"/>
        <v>10</v>
      </c>
      <c r="H33" s="39">
        <f t="shared" si="2"/>
        <v>9</v>
      </c>
      <c r="I33" s="34">
        <f t="shared" si="2"/>
        <v>1</v>
      </c>
      <c r="J33" s="35">
        <f t="shared" si="3"/>
        <v>10</v>
      </c>
    </row>
    <row r="34" spans="1:10" x14ac:dyDescent="0.25">
      <c r="A34" s="12" t="s">
        <v>47</v>
      </c>
      <c r="B34" s="39">
        <v>166</v>
      </c>
      <c r="C34" s="34">
        <v>197</v>
      </c>
      <c r="D34" s="35">
        <f t="shared" si="0"/>
        <v>363</v>
      </c>
      <c r="E34" s="34">
        <v>57</v>
      </c>
      <c r="F34" s="34">
        <v>78</v>
      </c>
      <c r="G34" s="34">
        <f t="shared" si="1"/>
        <v>135</v>
      </c>
      <c r="H34" s="39">
        <f t="shared" si="2"/>
        <v>223</v>
      </c>
      <c r="I34" s="34">
        <f t="shared" si="2"/>
        <v>275</v>
      </c>
      <c r="J34" s="35">
        <f t="shared" si="3"/>
        <v>498</v>
      </c>
    </row>
    <row r="35" spans="1:10" x14ac:dyDescent="0.25">
      <c r="A35" s="12" t="s">
        <v>48</v>
      </c>
      <c r="B35" s="39">
        <v>48</v>
      </c>
      <c r="C35" s="34">
        <v>97</v>
      </c>
      <c r="D35" s="35">
        <f t="shared" si="0"/>
        <v>145</v>
      </c>
      <c r="E35" s="34">
        <v>4</v>
      </c>
      <c r="F35" s="34">
        <v>4</v>
      </c>
      <c r="G35" s="34">
        <f t="shared" si="1"/>
        <v>8</v>
      </c>
      <c r="H35" s="39">
        <f t="shared" si="2"/>
        <v>52</v>
      </c>
      <c r="I35" s="34">
        <f t="shared" si="2"/>
        <v>101</v>
      </c>
      <c r="J35" s="35">
        <f t="shared" si="3"/>
        <v>153</v>
      </c>
    </row>
    <row r="36" spans="1:10" x14ac:dyDescent="0.25">
      <c r="A36" s="12" t="s">
        <v>49</v>
      </c>
      <c r="B36" s="39">
        <v>64</v>
      </c>
      <c r="C36" s="34">
        <v>100</v>
      </c>
      <c r="D36" s="35">
        <f t="shared" si="0"/>
        <v>164</v>
      </c>
      <c r="E36" s="34">
        <v>11</v>
      </c>
      <c r="F36" s="34">
        <v>34</v>
      </c>
      <c r="G36" s="34">
        <f t="shared" si="1"/>
        <v>45</v>
      </c>
      <c r="H36" s="39">
        <f t="shared" si="2"/>
        <v>75</v>
      </c>
      <c r="I36" s="34">
        <f t="shared" si="2"/>
        <v>134</v>
      </c>
      <c r="J36" s="35">
        <f t="shared" si="3"/>
        <v>209</v>
      </c>
    </row>
    <row r="37" spans="1:10" x14ac:dyDescent="0.25">
      <c r="A37" s="12" t="s">
        <v>50</v>
      </c>
      <c r="B37" s="39">
        <v>9</v>
      </c>
      <c r="C37" s="34">
        <v>24</v>
      </c>
      <c r="D37" s="35">
        <f t="shared" si="0"/>
        <v>33</v>
      </c>
      <c r="E37" s="34">
        <v>15</v>
      </c>
      <c r="F37" s="34">
        <v>7</v>
      </c>
      <c r="G37" s="34">
        <f t="shared" si="1"/>
        <v>22</v>
      </c>
      <c r="H37" s="39">
        <f t="shared" si="2"/>
        <v>24</v>
      </c>
      <c r="I37" s="34">
        <f t="shared" si="2"/>
        <v>31</v>
      </c>
      <c r="J37" s="35">
        <f t="shared" si="3"/>
        <v>55</v>
      </c>
    </row>
    <row r="38" spans="1:10" x14ac:dyDescent="0.25">
      <c r="A38" s="12" t="s">
        <v>51</v>
      </c>
      <c r="B38" s="39">
        <v>167</v>
      </c>
      <c r="C38" s="34">
        <v>174</v>
      </c>
      <c r="D38" s="35">
        <f t="shared" si="0"/>
        <v>341</v>
      </c>
      <c r="E38" s="34">
        <v>51</v>
      </c>
      <c r="F38" s="34">
        <v>51</v>
      </c>
      <c r="G38" s="34">
        <f t="shared" si="1"/>
        <v>102</v>
      </c>
      <c r="H38" s="39">
        <f t="shared" si="2"/>
        <v>218</v>
      </c>
      <c r="I38" s="34">
        <f t="shared" si="2"/>
        <v>225</v>
      </c>
      <c r="J38" s="35">
        <f t="shared" si="3"/>
        <v>443</v>
      </c>
    </row>
    <row r="39" spans="1:10" x14ac:dyDescent="0.25">
      <c r="A39" s="12" t="s">
        <v>52</v>
      </c>
      <c r="B39" s="39">
        <v>28</v>
      </c>
      <c r="C39" s="34">
        <v>131</v>
      </c>
      <c r="D39" s="35">
        <f t="shared" si="0"/>
        <v>159</v>
      </c>
      <c r="E39" s="34">
        <v>12</v>
      </c>
      <c r="F39" s="34">
        <v>49</v>
      </c>
      <c r="G39" s="34">
        <f t="shared" si="1"/>
        <v>61</v>
      </c>
      <c r="H39" s="39">
        <f t="shared" si="2"/>
        <v>40</v>
      </c>
      <c r="I39" s="34">
        <f t="shared" si="2"/>
        <v>180</v>
      </c>
      <c r="J39" s="35">
        <f t="shared" si="3"/>
        <v>220</v>
      </c>
    </row>
    <row r="40" spans="1:10" x14ac:dyDescent="0.25">
      <c r="A40" s="12" t="s">
        <v>53</v>
      </c>
      <c r="B40" s="39">
        <v>9</v>
      </c>
      <c r="C40" s="34">
        <v>12</v>
      </c>
      <c r="D40" s="35">
        <f t="shared" si="0"/>
        <v>21</v>
      </c>
      <c r="E40" s="34">
        <v>17</v>
      </c>
      <c r="F40" s="34">
        <v>22</v>
      </c>
      <c r="G40" s="34">
        <f t="shared" si="1"/>
        <v>39</v>
      </c>
      <c r="H40" s="39">
        <f t="shared" si="2"/>
        <v>26</v>
      </c>
      <c r="I40" s="34">
        <f t="shared" si="2"/>
        <v>34</v>
      </c>
      <c r="J40" s="35">
        <f t="shared" si="3"/>
        <v>60</v>
      </c>
    </row>
    <row r="41" spans="1:10" x14ac:dyDescent="0.25">
      <c r="A41" s="12" t="s">
        <v>55</v>
      </c>
      <c r="B41" s="39">
        <v>40</v>
      </c>
      <c r="C41" s="34">
        <v>129</v>
      </c>
      <c r="D41" s="35">
        <f t="shared" si="0"/>
        <v>169</v>
      </c>
      <c r="E41" s="34">
        <v>5</v>
      </c>
      <c r="F41" s="34">
        <v>9</v>
      </c>
      <c r="G41" s="34">
        <f t="shared" si="1"/>
        <v>14</v>
      </c>
      <c r="H41" s="39">
        <f t="shared" si="2"/>
        <v>45</v>
      </c>
      <c r="I41" s="34">
        <f t="shared" si="2"/>
        <v>138</v>
      </c>
      <c r="J41" s="35">
        <f t="shared" si="3"/>
        <v>183</v>
      </c>
    </row>
    <row r="42" spans="1:10" x14ac:dyDescent="0.25">
      <c r="A42" s="12" t="s">
        <v>101</v>
      </c>
      <c r="B42" s="39">
        <v>0</v>
      </c>
      <c r="C42" s="34">
        <v>0</v>
      </c>
      <c r="D42" s="35">
        <f t="shared" si="0"/>
        <v>0</v>
      </c>
      <c r="E42" s="34">
        <v>34</v>
      </c>
      <c r="F42" s="34">
        <v>25</v>
      </c>
      <c r="G42" s="34">
        <f t="shared" si="1"/>
        <v>59</v>
      </c>
      <c r="H42" s="39">
        <f t="shared" si="2"/>
        <v>34</v>
      </c>
      <c r="I42" s="34">
        <f t="shared" si="2"/>
        <v>25</v>
      </c>
      <c r="J42" s="35">
        <f t="shared" si="3"/>
        <v>59</v>
      </c>
    </row>
    <row r="43" spans="1:10" x14ac:dyDescent="0.25">
      <c r="A43" s="12" t="s">
        <v>56</v>
      </c>
      <c r="B43" s="39">
        <v>96</v>
      </c>
      <c r="C43" s="34">
        <v>95</v>
      </c>
      <c r="D43" s="35">
        <f t="shared" si="0"/>
        <v>191</v>
      </c>
      <c r="E43" s="34">
        <v>0</v>
      </c>
      <c r="F43" s="34">
        <v>0</v>
      </c>
      <c r="G43" s="34">
        <f t="shared" si="1"/>
        <v>0</v>
      </c>
      <c r="H43" s="39">
        <f t="shared" si="2"/>
        <v>96</v>
      </c>
      <c r="I43" s="34">
        <f t="shared" si="2"/>
        <v>95</v>
      </c>
      <c r="J43" s="35">
        <f t="shared" si="3"/>
        <v>191</v>
      </c>
    </row>
    <row r="44" spans="1:10" x14ac:dyDescent="0.25">
      <c r="A44" s="12" t="s">
        <v>1</v>
      </c>
      <c r="B44" s="39">
        <v>250</v>
      </c>
      <c r="C44" s="34">
        <v>355</v>
      </c>
      <c r="D44" s="35">
        <f t="shared" si="0"/>
        <v>605</v>
      </c>
      <c r="E44" s="34">
        <v>190</v>
      </c>
      <c r="F44" s="34">
        <v>301</v>
      </c>
      <c r="G44" s="34">
        <f t="shared" si="1"/>
        <v>491</v>
      </c>
      <c r="H44" s="39">
        <f t="shared" si="2"/>
        <v>440</v>
      </c>
      <c r="I44" s="34">
        <f t="shared" si="2"/>
        <v>656</v>
      </c>
      <c r="J44" s="35">
        <f t="shared" si="3"/>
        <v>1096</v>
      </c>
    </row>
    <row r="45" spans="1:10" x14ac:dyDescent="0.25">
      <c r="A45" s="12" t="s">
        <v>102</v>
      </c>
      <c r="B45" s="39">
        <v>13</v>
      </c>
      <c r="C45" s="34">
        <v>13</v>
      </c>
      <c r="D45" s="35">
        <f t="shared" si="0"/>
        <v>26</v>
      </c>
      <c r="E45" s="34">
        <v>67</v>
      </c>
      <c r="F45" s="34">
        <v>167</v>
      </c>
      <c r="G45" s="34">
        <f t="shared" si="1"/>
        <v>234</v>
      </c>
      <c r="H45" s="39">
        <f t="shared" si="2"/>
        <v>80</v>
      </c>
      <c r="I45" s="34">
        <f t="shared" si="2"/>
        <v>180</v>
      </c>
      <c r="J45" s="35">
        <f t="shared" si="3"/>
        <v>260</v>
      </c>
    </row>
    <row r="46" spans="1:10" x14ac:dyDescent="0.25">
      <c r="A46" s="12" t="s">
        <v>57</v>
      </c>
      <c r="B46" s="39">
        <v>23</v>
      </c>
      <c r="C46" s="34">
        <v>94</v>
      </c>
      <c r="D46" s="35">
        <f t="shared" si="0"/>
        <v>117</v>
      </c>
      <c r="E46" s="34">
        <v>23</v>
      </c>
      <c r="F46" s="34">
        <v>35</v>
      </c>
      <c r="G46" s="34">
        <f t="shared" si="1"/>
        <v>58</v>
      </c>
      <c r="H46" s="39">
        <f t="shared" si="2"/>
        <v>46</v>
      </c>
      <c r="I46" s="34">
        <f t="shared" si="2"/>
        <v>129</v>
      </c>
      <c r="J46" s="35">
        <f t="shared" si="3"/>
        <v>175</v>
      </c>
    </row>
    <row r="47" spans="1:10" x14ac:dyDescent="0.25">
      <c r="A47" s="12" t="s">
        <v>58</v>
      </c>
      <c r="B47" s="39">
        <v>58</v>
      </c>
      <c r="C47" s="34">
        <v>51</v>
      </c>
      <c r="D47" s="35">
        <f t="shared" si="0"/>
        <v>109</v>
      </c>
      <c r="E47" s="34">
        <v>22</v>
      </c>
      <c r="F47" s="34">
        <v>12</v>
      </c>
      <c r="G47" s="34">
        <f t="shared" si="1"/>
        <v>34</v>
      </c>
      <c r="H47" s="39">
        <f t="shared" si="2"/>
        <v>80</v>
      </c>
      <c r="I47" s="34">
        <f t="shared" si="2"/>
        <v>63</v>
      </c>
      <c r="J47" s="35">
        <f t="shared" si="3"/>
        <v>143</v>
      </c>
    </row>
    <row r="48" spans="1:10" x14ac:dyDescent="0.25">
      <c r="A48" s="12" t="s">
        <v>59</v>
      </c>
      <c r="B48" s="39">
        <v>354</v>
      </c>
      <c r="C48" s="34">
        <v>230</v>
      </c>
      <c r="D48" s="35">
        <f t="shared" si="0"/>
        <v>584</v>
      </c>
      <c r="E48" s="34">
        <v>30</v>
      </c>
      <c r="F48" s="34">
        <v>13</v>
      </c>
      <c r="G48" s="34">
        <f t="shared" si="1"/>
        <v>43</v>
      </c>
      <c r="H48" s="39">
        <f t="shared" si="2"/>
        <v>384</v>
      </c>
      <c r="I48" s="34">
        <f t="shared" si="2"/>
        <v>243</v>
      </c>
      <c r="J48" s="35">
        <f t="shared" si="3"/>
        <v>627</v>
      </c>
    </row>
    <row r="49" spans="1:10" x14ac:dyDescent="0.25">
      <c r="A49" s="12" t="s">
        <v>60</v>
      </c>
      <c r="B49" s="39">
        <v>257</v>
      </c>
      <c r="C49" s="34">
        <v>36</v>
      </c>
      <c r="D49" s="35">
        <f t="shared" si="0"/>
        <v>293</v>
      </c>
      <c r="E49" s="34">
        <v>93</v>
      </c>
      <c r="F49" s="34">
        <v>26</v>
      </c>
      <c r="G49" s="34">
        <f t="shared" si="1"/>
        <v>119</v>
      </c>
      <c r="H49" s="39">
        <f t="shared" si="2"/>
        <v>350</v>
      </c>
      <c r="I49" s="34">
        <f t="shared" si="2"/>
        <v>62</v>
      </c>
      <c r="J49" s="35">
        <f t="shared" si="3"/>
        <v>412</v>
      </c>
    </row>
    <row r="50" spans="1:10" x14ac:dyDescent="0.25">
      <c r="A50" s="12" t="s">
        <v>61</v>
      </c>
      <c r="B50" s="39">
        <v>28</v>
      </c>
      <c r="C50" s="34">
        <v>8</v>
      </c>
      <c r="D50" s="35">
        <f t="shared" si="0"/>
        <v>36</v>
      </c>
      <c r="E50" s="34">
        <v>57</v>
      </c>
      <c r="F50" s="34">
        <v>44</v>
      </c>
      <c r="G50" s="34">
        <f t="shared" si="1"/>
        <v>101</v>
      </c>
      <c r="H50" s="39">
        <f t="shared" si="2"/>
        <v>85</v>
      </c>
      <c r="I50" s="34">
        <f t="shared" si="2"/>
        <v>52</v>
      </c>
      <c r="J50" s="35">
        <f t="shared" si="3"/>
        <v>137</v>
      </c>
    </row>
    <row r="51" spans="1:10" x14ac:dyDescent="0.25">
      <c r="A51" s="12" t="s">
        <v>62</v>
      </c>
      <c r="B51" s="39">
        <v>0</v>
      </c>
      <c r="C51" s="34">
        <v>0</v>
      </c>
      <c r="D51" s="35">
        <f t="shared" si="0"/>
        <v>0</v>
      </c>
      <c r="E51" s="34">
        <v>7</v>
      </c>
      <c r="F51" s="34">
        <v>14</v>
      </c>
      <c r="G51" s="34">
        <f t="shared" si="1"/>
        <v>21</v>
      </c>
      <c r="H51" s="39">
        <f t="shared" si="2"/>
        <v>7</v>
      </c>
      <c r="I51" s="34">
        <f t="shared" si="2"/>
        <v>14</v>
      </c>
      <c r="J51" s="35">
        <f t="shared" si="3"/>
        <v>21</v>
      </c>
    </row>
    <row r="52" spans="1:10" x14ac:dyDescent="0.25">
      <c r="A52" s="12" t="s">
        <v>63</v>
      </c>
      <c r="B52" s="39">
        <v>76</v>
      </c>
      <c r="C52" s="34">
        <v>79</v>
      </c>
      <c r="D52" s="35">
        <f t="shared" si="0"/>
        <v>155</v>
      </c>
      <c r="E52" s="34">
        <v>0</v>
      </c>
      <c r="F52" s="34">
        <v>0</v>
      </c>
      <c r="G52" s="34">
        <f t="shared" si="1"/>
        <v>0</v>
      </c>
      <c r="H52" s="39">
        <f t="shared" si="2"/>
        <v>76</v>
      </c>
      <c r="I52" s="34">
        <f t="shared" si="2"/>
        <v>79</v>
      </c>
      <c r="J52" s="35">
        <f t="shared" si="3"/>
        <v>155</v>
      </c>
    </row>
    <row r="53" spans="1:10" x14ac:dyDescent="0.25">
      <c r="A53" s="12" t="s">
        <v>64</v>
      </c>
      <c r="B53" s="39">
        <v>86</v>
      </c>
      <c r="C53" s="34">
        <v>63</v>
      </c>
      <c r="D53" s="35">
        <f t="shared" si="0"/>
        <v>149</v>
      </c>
      <c r="E53" s="34">
        <v>27</v>
      </c>
      <c r="F53" s="34">
        <v>16</v>
      </c>
      <c r="G53" s="34">
        <f t="shared" si="1"/>
        <v>43</v>
      </c>
      <c r="H53" s="39">
        <f t="shared" si="2"/>
        <v>113</v>
      </c>
      <c r="I53" s="34">
        <f t="shared" si="2"/>
        <v>79</v>
      </c>
      <c r="J53" s="35">
        <f t="shared" si="3"/>
        <v>192</v>
      </c>
    </row>
    <row r="54" spans="1:10" x14ac:dyDescent="0.25">
      <c r="A54" s="12" t="s">
        <v>65</v>
      </c>
      <c r="B54" s="39">
        <v>299</v>
      </c>
      <c r="C54" s="34">
        <v>64</v>
      </c>
      <c r="D54" s="35">
        <f t="shared" si="0"/>
        <v>363</v>
      </c>
      <c r="E54" s="34">
        <v>87</v>
      </c>
      <c r="F54" s="34">
        <v>32</v>
      </c>
      <c r="G54" s="34">
        <f t="shared" si="1"/>
        <v>119</v>
      </c>
      <c r="H54" s="39">
        <f t="shared" si="2"/>
        <v>386</v>
      </c>
      <c r="I54" s="34">
        <f t="shared" si="2"/>
        <v>96</v>
      </c>
      <c r="J54" s="35">
        <f t="shared" si="3"/>
        <v>482</v>
      </c>
    </row>
    <row r="55" spans="1:10" x14ac:dyDescent="0.25">
      <c r="A55" s="12" t="s">
        <v>66</v>
      </c>
      <c r="B55" s="39">
        <v>14</v>
      </c>
      <c r="C55" s="34">
        <v>11</v>
      </c>
      <c r="D55" s="35">
        <f t="shared" si="0"/>
        <v>25</v>
      </c>
      <c r="E55" s="34">
        <v>101</v>
      </c>
      <c r="F55" s="34">
        <v>132</v>
      </c>
      <c r="G55" s="34">
        <f t="shared" si="1"/>
        <v>233</v>
      </c>
      <c r="H55" s="39">
        <f t="shared" si="2"/>
        <v>115</v>
      </c>
      <c r="I55" s="34">
        <f t="shared" si="2"/>
        <v>143</v>
      </c>
      <c r="J55" s="35">
        <f t="shared" si="3"/>
        <v>258</v>
      </c>
    </row>
    <row r="56" spans="1:10" x14ac:dyDescent="0.25">
      <c r="A56" s="12" t="s">
        <v>67</v>
      </c>
      <c r="B56" s="39">
        <v>102</v>
      </c>
      <c r="C56" s="34">
        <v>556</v>
      </c>
      <c r="D56" s="35">
        <f t="shared" si="0"/>
        <v>658</v>
      </c>
      <c r="E56" s="34">
        <v>161</v>
      </c>
      <c r="F56" s="34">
        <v>541</v>
      </c>
      <c r="G56" s="34">
        <f t="shared" si="1"/>
        <v>702</v>
      </c>
      <c r="H56" s="39">
        <f t="shared" si="2"/>
        <v>263</v>
      </c>
      <c r="I56" s="34">
        <f t="shared" si="2"/>
        <v>1097</v>
      </c>
      <c r="J56" s="35">
        <f t="shared" si="3"/>
        <v>1360</v>
      </c>
    </row>
    <row r="57" spans="1:10" x14ac:dyDescent="0.25">
      <c r="A57" s="12" t="s">
        <v>68</v>
      </c>
      <c r="B57" s="39">
        <v>35</v>
      </c>
      <c r="C57" s="34">
        <v>77</v>
      </c>
      <c r="D57" s="35">
        <f t="shared" si="0"/>
        <v>112</v>
      </c>
      <c r="E57" s="34">
        <v>5</v>
      </c>
      <c r="F57" s="34">
        <v>6</v>
      </c>
      <c r="G57" s="34">
        <f t="shared" si="1"/>
        <v>11</v>
      </c>
      <c r="H57" s="39">
        <f t="shared" si="2"/>
        <v>40</v>
      </c>
      <c r="I57" s="34">
        <f t="shared" si="2"/>
        <v>83</v>
      </c>
      <c r="J57" s="35">
        <f t="shared" si="3"/>
        <v>123</v>
      </c>
    </row>
    <row r="58" spans="1:10" x14ac:dyDescent="0.25">
      <c r="A58" s="12" t="s">
        <v>70</v>
      </c>
      <c r="B58" s="39">
        <v>275</v>
      </c>
      <c r="C58" s="34">
        <v>281</v>
      </c>
      <c r="D58" s="35">
        <f t="shared" si="0"/>
        <v>556</v>
      </c>
      <c r="E58" s="34">
        <v>93</v>
      </c>
      <c r="F58" s="34">
        <v>129</v>
      </c>
      <c r="G58" s="34">
        <f t="shared" si="1"/>
        <v>222</v>
      </c>
      <c r="H58" s="39">
        <f t="shared" si="2"/>
        <v>368</v>
      </c>
      <c r="I58" s="34">
        <f t="shared" si="2"/>
        <v>410</v>
      </c>
      <c r="J58" s="35">
        <f t="shared" si="3"/>
        <v>778</v>
      </c>
    </row>
    <row r="59" spans="1:10" x14ac:dyDescent="0.25">
      <c r="A59" s="12" t="s">
        <v>71</v>
      </c>
      <c r="B59" s="39">
        <v>27</v>
      </c>
      <c r="C59" s="34">
        <v>37</v>
      </c>
      <c r="D59" s="35">
        <f t="shared" si="0"/>
        <v>64</v>
      </c>
      <c r="E59" s="34">
        <v>3</v>
      </c>
      <c r="F59" s="34">
        <v>5</v>
      </c>
      <c r="G59" s="34">
        <f t="shared" si="1"/>
        <v>8</v>
      </c>
      <c r="H59" s="39">
        <f t="shared" si="2"/>
        <v>30</v>
      </c>
      <c r="I59" s="34">
        <f t="shared" si="2"/>
        <v>42</v>
      </c>
      <c r="J59" s="35">
        <f t="shared" si="3"/>
        <v>72</v>
      </c>
    </row>
    <row r="60" spans="1:10" x14ac:dyDescent="0.25">
      <c r="A60" s="12" t="s">
        <v>72</v>
      </c>
      <c r="B60" s="39">
        <v>0</v>
      </c>
      <c r="C60" s="34">
        <v>0</v>
      </c>
      <c r="D60" s="35">
        <f t="shared" si="0"/>
        <v>0</v>
      </c>
      <c r="E60" s="34">
        <v>68</v>
      </c>
      <c r="F60" s="34">
        <v>18</v>
      </c>
      <c r="G60" s="34">
        <f t="shared" si="1"/>
        <v>86</v>
      </c>
      <c r="H60" s="39">
        <f t="shared" si="2"/>
        <v>68</v>
      </c>
      <c r="I60" s="34">
        <f t="shared" si="2"/>
        <v>18</v>
      </c>
      <c r="J60" s="35">
        <f t="shared" si="3"/>
        <v>86</v>
      </c>
    </row>
    <row r="61" spans="1:10" x14ac:dyDescent="0.25">
      <c r="A61" s="12" t="s">
        <v>73</v>
      </c>
      <c r="B61" s="39">
        <v>28</v>
      </c>
      <c r="C61" s="34">
        <v>64</v>
      </c>
      <c r="D61" s="35">
        <f t="shared" si="0"/>
        <v>92</v>
      </c>
      <c r="E61" s="34">
        <v>7</v>
      </c>
      <c r="F61" s="34">
        <v>11</v>
      </c>
      <c r="G61" s="34">
        <f t="shared" si="1"/>
        <v>18</v>
      </c>
      <c r="H61" s="39">
        <f t="shared" si="2"/>
        <v>35</v>
      </c>
      <c r="I61" s="34">
        <f t="shared" si="2"/>
        <v>75</v>
      </c>
      <c r="J61" s="35">
        <f t="shared" si="3"/>
        <v>110</v>
      </c>
    </row>
    <row r="62" spans="1:10" x14ac:dyDescent="0.25">
      <c r="A62" s="12" t="s">
        <v>74</v>
      </c>
      <c r="B62" s="39">
        <v>155</v>
      </c>
      <c r="C62" s="34">
        <v>118</v>
      </c>
      <c r="D62" s="35">
        <f t="shared" si="0"/>
        <v>273</v>
      </c>
      <c r="E62" s="34">
        <v>27</v>
      </c>
      <c r="F62" s="34">
        <v>15</v>
      </c>
      <c r="G62" s="34">
        <f t="shared" si="1"/>
        <v>42</v>
      </c>
      <c r="H62" s="39">
        <f t="shared" si="2"/>
        <v>182</v>
      </c>
      <c r="I62" s="34">
        <f t="shared" si="2"/>
        <v>133</v>
      </c>
      <c r="J62" s="35">
        <f t="shared" si="3"/>
        <v>315</v>
      </c>
    </row>
    <row r="63" spans="1:10" x14ac:dyDescent="0.25">
      <c r="A63" s="12" t="s">
        <v>103</v>
      </c>
      <c r="B63" s="39">
        <v>348</v>
      </c>
      <c r="C63" s="34">
        <v>311</v>
      </c>
      <c r="D63" s="35">
        <f t="shared" si="0"/>
        <v>659</v>
      </c>
      <c r="E63" s="34">
        <v>0</v>
      </c>
      <c r="F63" s="34">
        <v>0</v>
      </c>
      <c r="G63" s="34">
        <f t="shared" si="1"/>
        <v>0</v>
      </c>
      <c r="H63" s="39">
        <f t="shared" si="2"/>
        <v>348</v>
      </c>
      <c r="I63" s="34">
        <f t="shared" si="2"/>
        <v>311</v>
      </c>
      <c r="J63" s="35">
        <f t="shared" si="3"/>
        <v>659</v>
      </c>
    </row>
    <row r="64" spans="1:10" x14ac:dyDescent="0.25">
      <c r="A64" s="12" t="s">
        <v>104</v>
      </c>
      <c r="B64" s="39">
        <v>479</v>
      </c>
      <c r="C64" s="34">
        <v>608</v>
      </c>
      <c r="D64" s="35">
        <f t="shared" si="0"/>
        <v>1087</v>
      </c>
      <c r="E64" s="34">
        <v>0</v>
      </c>
      <c r="F64" s="34">
        <v>0</v>
      </c>
      <c r="G64" s="34">
        <f t="shared" si="1"/>
        <v>0</v>
      </c>
      <c r="H64" s="39">
        <f t="shared" si="2"/>
        <v>479</v>
      </c>
      <c r="I64" s="34">
        <f t="shared" si="2"/>
        <v>608</v>
      </c>
      <c r="J64" s="35">
        <f t="shared" si="3"/>
        <v>1087</v>
      </c>
    </row>
    <row r="65" spans="1:10" x14ac:dyDescent="0.25">
      <c r="A65" s="12" t="s">
        <v>105</v>
      </c>
      <c r="B65" s="39">
        <v>0</v>
      </c>
      <c r="C65" s="34">
        <v>0</v>
      </c>
      <c r="D65" s="35">
        <f t="shared" si="0"/>
        <v>0</v>
      </c>
      <c r="E65" s="34">
        <v>12</v>
      </c>
      <c r="F65" s="34">
        <v>13</v>
      </c>
      <c r="G65" s="34">
        <f t="shared" si="1"/>
        <v>25</v>
      </c>
      <c r="H65" s="39">
        <f t="shared" si="2"/>
        <v>12</v>
      </c>
      <c r="I65" s="34">
        <f t="shared" si="2"/>
        <v>13</v>
      </c>
      <c r="J65" s="35">
        <f t="shared" si="3"/>
        <v>25</v>
      </c>
    </row>
    <row r="66" spans="1:10" x14ac:dyDescent="0.25">
      <c r="A66" s="12" t="s">
        <v>77</v>
      </c>
      <c r="B66" s="39">
        <v>0</v>
      </c>
      <c r="C66" s="34">
        <v>0</v>
      </c>
      <c r="D66" s="35">
        <f t="shared" si="0"/>
        <v>0</v>
      </c>
      <c r="E66" s="34">
        <v>17</v>
      </c>
      <c r="F66" s="34">
        <v>29</v>
      </c>
      <c r="G66" s="34">
        <f t="shared" si="1"/>
        <v>46</v>
      </c>
      <c r="H66" s="39">
        <f t="shared" si="2"/>
        <v>17</v>
      </c>
      <c r="I66" s="34">
        <f t="shared" si="2"/>
        <v>29</v>
      </c>
      <c r="J66" s="35">
        <f t="shared" si="3"/>
        <v>46</v>
      </c>
    </row>
    <row r="67" spans="1:10" x14ac:dyDescent="0.25">
      <c r="A67" s="12" t="s">
        <v>79</v>
      </c>
      <c r="B67" s="39">
        <v>21</v>
      </c>
      <c r="C67" s="34">
        <v>25</v>
      </c>
      <c r="D67" s="35">
        <f t="shared" ref="D67:D74" si="9">SUM(B67:C67)</f>
        <v>46</v>
      </c>
      <c r="E67" s="34">
        <v>94</v>
      </c>
      <c r="F67" s="34">
        <v>215</v>
      </c>
      <c r="G67" s="34">
        <f t="shared" ref="G67:G74" si="10">SUM(E67:F67)</f>
        <v>309</v>
      </c>
      <c r="H67" s="39">
        <f t="shared" ref="H67:H74" si="11">B67+E67</f>
        <v>115</v>
      </c>
      <c r="I67" s="34">
        <f t="shared" ref="I67:I74" si="12">C67+F67</f>
        <v>240</v>
      </c>
      <c r="J67" s="35">
        <f t="shared" ref="J67:J74" si="13">SUM(H67:I67)</f>
        <v>355</v>
      </c>
    </row>
    <row r="68" spans="1:10" x14ac:dyDescent="0.25">
      <c r="A68" s="12" t="s">
        <v>80</v>
      </c>
      <c r="B68" s="39">
        <v>14</v>
      </c>
      <c r="C68" s="34">
        <v>69</v>
      </c>
      <c r="D68" s="35">
        <f t="shared" si="9"/>
        <v>83</v>
      </c>
      <c r="E68" s="34">
        <v>19</v>
      </c>
      <c r="F68" s="34">
        <v>28</v>
      </c>
      <c r="G68" s="34">
        <f t="shared" si="10"/>
        <v>47</v>
      </c>
      <c r="H68" s="39">
        <f t="shared" si="11"/>
        <v>33</v>
      </c>
      <c r="I68" s="34">
        <f t="shared" si="12"/>
        <v>97</v>
      </c>
      <c r="J68" s="35">
        <f t="shared" si="13"/>
        <v>130</v>
      </c>
    </row>
    <row r="69" spans="1:10" x14ac:dyDescent="0.25">
      <c r="A69" s="12" t="s">
        <v>81</v>
      </c>
      <c r="B69" s="39">
        <v>0</v>
      </c>
      <c r="C69" s="34">
        <v>0</v>
      </c>
      <c r="D69" s="35">
        <f t="shared" si="9"/>
        <v>0</v>
      </c>
      <c r="E69" s="34">
        <v>326</v>
      </c>
      <c r="F69" s="34">
        <v>251</v>
      </c>
      <c r="G69" s="34">
        <f t="shared" si="10"/>
        <v>577</v>
      </c>
      <c r="H69" s="39">
        <f t="shared" si="11"/>
        <v>326</v>
      </c>
      <c r="I69" s="34">
        <f t="shared" si="12"/>
        <v>251</v>
      </c>
      <c r="J69" s="35">
        <f t="shared" si="13"/>
        <v>577</v>
      </c>
    </row>
    <row r="70" spans="1:10" x14ac:dyDescent="0.25">
      <c r="A70" s="12" t="s">
        <v>82</v>
      </c>
      <c r="B70" s="39">
        <v>8</v>
      </c>
      <c r="C70" s="34">
        <v>8</v>
      </c>
      <c r="D70" s="35">
        <f t="shared" si="9"/>
        <v>16</v>
      </c>
      <c r="E70" s="34">
        <v>50</v>
      </c>
      <c r="F70" s="34">
        <v>94</v>
      </c>
      <c r="G70" s="34">
        <f t="shared" si="10"/>
        <v>144</v>
      </c>
      <c r="H70" s="39">
        <f t="shared" si="11"/>
        <v>58</v>
      </c>
      <c r="I70" s="34">
        <f t="shared" si="12"/>
        <v>102</v>
      </c>
      <c r="J70" s="35">
        <f t="shared" si="13"/>
        <v>160</v>
      </c>
    </row>
    <row r="71" spans="1:10" x14ac:dyDescent="0.25">
      <c r="A71" s="12" t="s">
        <v>97</v>
      </c>
      <c r="B71" s="39">
        <v>0</v>
      </c>
      <c r="C71" s="34">
        <v>0</v>
      </c>
      <c r="D71" s="35">
        <f t="shared" si="9"/>
        <v>0</v>
      </c>
      <c r="E71" s="34">
        <v>15</v>
      </c>
      <c r="F71" s="34">
        <v>21</v>
      </c>
      <c r="G71" s="34">
        <f t="shared" si="10"/>
        <v>36</v>
      </c>
      <c r="H71" s="39">
        <f t="shared" si="11"/>
        <v>15</v>
      </c>
      <c r="I71" s="34">
        <f t="shared" si="12"/>
        <v>21</v>
      </c>
      <c r="J71" s="35">
        <f t="shared" si="13"/>
        <v>36</v>
      </c>
    </row>
    <row r="72" spans="1:10" x14ac:dyDescent="0.25">
      <c r="A72" s="12" t="s">
        <v>85</v>
      </c>
      <c r="B72" s="39">
        <v>4</v>
      </c>
      <c r="C72" s="34">
        <v>4</v>
      </c>
      <c r="D72" s="35">
        <f t="shared" si="9"/>
        <v>8</v>
      </c>
      <c r="E72" s="34">
        <v>66</v>
      </c>
      <c r="F72" s="34">
        <v>74</v>
      </c>
      <c r="G72" s="34">
        <f t="shared" si="10"/>
        <v>140</v>
      </c>
      <c r="H72" s="39">
        <f t="shared" si="11"/>
        <v>70</v>
      </c>
      <c r="I72" s="34">
        <f t="shared" si="12"/>
        <v>78</v>
      </c>
      <c r="J72" s="35">
        <f t="shared" si="13"/>
        <v>148</v>
      </c>
    </row>
    <row r="73" spans="1:10" x14ac:dyDescent="0.25">
      <c r="A73" s="12" t="s">
        <v>86</v>
      </c>
      <c r="B73" s="39">
        <v>0</v>
      </c>
      <c r="C73" s="34">
        <v>0</v>
      </c>
      <c r="D73" s="35">
        <f t="shared" si="9"/>
        <v>0</v>
      </c>
      <c r="E73" s="34">
        <v>94</v>
      </c>
      <c r="F73" s="34">
        <v>104</v>
      </c>
      <c r="G73" s="34">
        <f t="shared" si="10"/>
        <v>198</v>
      </c>
      <c r="H73" s="39">
        <f t="shared" si="11"/>
        <v>94</v>
      </c>
      <c r="I73" s="34">
        <f t="shared" si="12"/>
        <v>104</v>
      </c>
      <c r="J73" s="35">
        <f t="shared" si="13"/>
        <v>198</v>
      </c>
    </row>
    <row r="74" spans="1:10" x14ac:dyDescent="0.25">
      <c r="A74" s="12" t="s">
        <v>87</v>
      </c>
      <c r="B74" s="39">
        <v>0</v>
      </c>
      <c r="C74" s="34">
        <v>0</v>
      </c>
      <c r="D74" s="35">
        <f t="shared" si="9"/>
        <v>0</v>
      </c>
      <c r="E74" s="34">
        <v>26</v>
      </c>
      <c r="F74" s="34">
        <v>38</v>
      </c>
      <c r="G74" s="34">
        <f t="shared" si="10"/>
        <v>64</v>
      </c>
      <c r="H74" s="39">
        <f t="shared" si="11"/>
        <v>26</v>
      </c>
      <c r="I74" s="34">
        <f t="shared" si="12"/>
        <v>38</v>
      </c>
      <c r="J74" s="35">
        <f t="shared" si="13"/>
        <v>64</v>
      </c>
    </row>
    <row r="75" spans="1:10" x14ac:dyDescent="0.25">
      <c r="A75" s="12" t="s">
        <v>88</v>
      </c>
      <c r="B75" s="39">
        <v>0</v>
      </c>
      <c r="C75" s="34">
        <v>11</v>
      </c>
      <c r="D75" s="35">
        <f t="shared" si="0"/>
        <v>11</v>
      </c>
      <c r="E75" s="34">
        <v>84</v>
      </c>
      <c r="F75" s="34">
        <v>146</v>
      </c>
      <c r="G75" s="34">
        <f t="shared" si="1"/>
        <v>230</v>
      </c>
      <c r="H75" s="39">
        <f t="shared" si="2"/>
        <v>84</v>
      </c>
      <c r="I75" s="34">
        <f t="shared" si="2"/>
        <v>157</v>
      </c>
      <c r="J75" s="35">
        <f t="shared" si="3"/>
        <v>241</v>
      </c>
    </row>
    <row r="76" spans="1:10" x14ac:dyDescent="0.25">
      <c r="A76" s="12" t="s">
        <v>98</v>
      </c>
      <c r="B76" s="39">
        <v>0</v>
      </c>
      <c r="C76" s="34">
        <v>0</v>
      </c>
      <c r="D76" s="35">
        <f t="shared" si="0"/>
        <v>0</v>
      </c>
      <c r="E76" s="34">
        <v>1</v>
      </c>
      <c r="F76" s="34">
        <v>2</v>
      </c>
      <c r="G76" s="34">
        <f t="shared" si="1"/>
        <v>3</v>
      </c>
      <c r="H76" s="39">
        <f t="shared" si="2"/>
        <v>1</v>
      </c>
      <c r="I76" s="34">
        <f t="shared" si="2"/>
        <v>2</v>
      </c>
      <c r="J76" s="35">
        <f t="shared" si="3"/>
        <v>3</v>
      </c>
    </row>
    <row r="77" spans="1:10" x14ac:dyDescent="0.25">
      <c r="A77" s="12" t="s">
        <v>89</v>
      </c>
      <c r="B77" s="39">
        <v>24</v>
      </c>
      <c r="C77" s="34">
        <v>7</v>
      </c>
      <c r="D77" s="35">
        <f t="shared" si="0"/>
        <v>31</v>
      </c>
      <c r="E77" s="34">
        <v>63</v>
      </c>
      <c r="F77" s="34">
        <v>34</v>
      </c>
      <c r="G77" s="34">
        <f t="shared" si="1"/>
        <v>97</v>
      </c>
      <c r="H77" s="39">
        <f t="shared" si="2"/>
        <v>87</v>
      </c>
      <c r="I77" s="34">
        <f t="shared" si="2"/>
        <v>41</v>
      </c>
      <c r="J77" s="35">
        <f t="shared" si="3"/>
        <v>128</v>
      </c>
    </row>
    <row r="78" spans="1:10" ht="15.75" thickBot="1" x14ac:dyDescent="0.3">
      <c r="A78" s="13" t="s">
        <v>99</v>
      </c>
      <c r="B78" s="43">
        <v>0</v>
      </c>
      <c r="C78" s="44">
        <v>0</v>
      </c>
      <c r="D78" s="45">
        <f t="shared" si="0"/>
        <v>0</v>
      </c>
      <c r="E78" s="44">
        <v>15</v>
      </c>
      <c r="F78" s="44">
        <v>33</v>
      </c>
      <c r="G78" s="44">
        <f t="shared" si="1"/>
        <v>48</v>
      </c>
      <c r="H78" s="43">
        <f t="shared" si="2"/>
        <v>15</v>
      </c>
      <c r="I78" s="44">
        <f t="shared" si="2"/>
        <v>33</v>
      </c>
      <c r="J78" s="45">
        <f t="shared" si="3"/>
        <v>48</v>
      </c>
    </row>
    <row r="79" spans="1:10" ht="16.5" thickTop="1" thickBot="1" x14ac:dyDescent="0.3">
      <c r="A79" s="8" t="s">
        <v>0</v>
      </c>
      <c r="B79" s="8">
        <f>SUM(B7:B78)</f>
        <v>6129</v>
      </c>
      <c r="C79" s="36">
        <f>SUM(C7:C78)</f>
        <v>6505</v>
      </c>
      <c r="D79" s="40">
        <f>SUM(D7:D78)</f>
        <v>12634</v>
      </c>
      <c r="E79" s="36">
        <f>SUM(E7:E78)</f>
        <v>3920</v>
      </c>
      <c r="F79" s="36">
        <f>SUM(F7:F78)</f>
        <v>4572</v>
      </c>
      <c r="G79" s="37">
        <f t="shared" ref="G79" si="14">SUM(E79:F79)</f>
        <v>8492</v>
      </c>
      <c r="H79" s="41">
        <f t="shared" ref="H79:I79" si="15">B79+E79</f>
        <v>10049</v>
      </c>
      <c r="I79" s="37">
        <f t="shared" si="15"/>
        <v>11077</v>
      </c>
      <c r="J79" s="38">
        <f t="shared" ref="J79" si="16">SUM(H79:I79)</f>
        <v>21126</v>
      </c>
    </row>
    <row r="80" spans="1:10" ht="15.75" thickBot="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</row>
    <row r="81" spans="1:10" x14ac:dyDescent="0.25">
      <c r="A81" s="16" t="s">
        <v>16</v>
      </c>
      <c r="B81" s="58" t="s">
        <v>3</v>
      </c>
      <c r="C81" s="59"/>
      <c r="D81" s="60"/>
      <c r="E81" s="58" t="s">
        <v>4</v>
      </c>
      <c r="F81" s="59"/>
      <c r="G81" s="60"/>
      <c r="H81" s="58" t="s">
        <v>0</v>
      </c>
      <c r="I81" s="59"/>
      <c r="J81" s="60"/>
    </row>
    <row r="82" spans="1:10" x14ac:dyDescent="0.25">
      <c r="A82" s="17"/>
      <c r="B82" s="32" t="s">
        <v>5</v>
      </c>
      <c r="C82" s="31" t="s">
        <v>6</v>
      </c>
      <c r="D82" s="33" t="s">
        <v>0</v>
      </c>
      <c r="E82" s="32" t="s">
        <v>5</v>
      </c>
      <c r="F82" s="31" t="s">
        <v>6</v>
      </c>
      <c r="G82" s="33" t="s">
        <v>0</v>
      </c>
      <c r="H82" s="32" t="s">
        <v>5</v>
      </c>
      <c r="I82" s="31" t="s">
        <v>6</v>
      </c>
      <c r="J82" s="30" t="s">
        <v>0</v>
      </c>
    </row>
    <row r="83" spans="1:10" x14ac:dyDescent="0.25">
      <c r="A83" s="29" t="s">
        <v>15</v>
      </c>
      <c r="B83" s="6">
        <v>731</v>
      </c>
      <c r="C83" s="4">
        <v>1303</v>
      </c>
      <c r="D83" s="5">
        <f t="shared" ref="D83:D90" si="17">B83+C83</f>
        <v>2034</v>
      </c>
      <c r="E83" s="6">
        <v>289</v>
      </c>
      <c r="F83" s="4">
        <v>537</v>
      </c>
      <c r="G83" s="4">
        <f t="shared" ref="G83:G90" si="18">E83+F83</f>
        <v>826</v>
      </c>
      <c r="H83" s="6">
        <f>B83+E83</f>
        <v>1020</v>
      </c>
      <c r="I83" s="4">
        <f>C83+F83</f>
        <v>1840</v>
      </c>
      <c r="J83" s="7">
        <f t="shared" ref="J83" si="19">H83+I83</f>
        <v>2860</v>
      </c>
    </row>
    <row r="84" spans="1:10" x14ac:dyDescent="0.25">
      <c r="A84" s="29" t="s">
        <v>100</v>
      </c>
      <c r="B84" s="6">
        <v>551</v>
      </c>
      <c r="C84" s="4">
        <v>734</v>
      </c>
      <c r="D84" s="5">
        <f t="shared" si="17"/>
        <v>1285</v>
      </c>
      <c r="E84" s="6">
        <v>882</v>
      </c>
      <c r="F84" s="4">
        <v>1080</v>
      </c>
      <c r="G84" s="4">
        <f t="shared" si="18"/>
        <v>1962</v>
      </c>
      <c r="H84" s="6">
        <f t="shared" ref="H84:H90" si="20">B84+E84</f>
        <v>1433</v>
      </c>
      <c r="I84" s="4">
        <f t="shared" ref="I84:I90" si="21">C84+F84</f>
        <v>1814</v>
      </c>
      <c r="J84" s="7">
        <f t="shared" ref="J84:J90" si="22">H84+I84</f>
        <v>3247</v>
      </c>
    </row>
    <row r="85" spans="1:10" x14ac:dyDescent="0.25">
      <c r="A85" s="29" t="s">
        <v>14</v>
      </c>
      <c r="B85" s="6">
        <v>393</v>
      </c>
      <c r="C85" s="4">
        <v>285</v>
      </c>
      <c r="D85" s="5">
        <f t="shared" si="17"/>
        <v>678</v>
      </c>
      <c r="E85" s="6">
        <v>455</v>
      </c>
      <c r="F85" s="4">
        <v>487</v>
      </c>
      <c r="G85" s="4">
        <f t="shared" si="18"/>
        <v>942</v>
      </c>
      <c r="H85" s="6">
        <f t="shared" si="20"/>
        <v>848</v>
      </c>
      <c r="I85" s="4">
        <f t="shared" si="21"/>
        <v>772</v>
      </c>
      <c r="J85" s="7">
        <f t="shared" si="22"/>
        <v>1620</v>
      </c>
    </row>
    <row r="86" spans="1:10" x14ac:dyDescent="0.25">
      <c r="A86" s="29" t="s">
        <v>91</v>
      </c>
      <c r="B86" s="6">
        <v>1089</v>
      </c>
      <c r="C86" s="4">
        <v>362</v>
      </c>
      <c r="D86" s="5">
        <f t="shared" si="17"/>
        <v>1451</v>
      </c>
      <c r="E86" s="6">
        <v>842</v>
      </c>
      <c r="F86" s="4">
        <v>339</v>
      </c>
      <c r="G86" s="4">
        <f t="shared" si="18"/>
        <v>1181</v>
      </c>
      <c r="H86" s="6">
        <f t="shared" si="20"/>
        <v>1931</v>
      </c>
      <c r="I86" s="4">
        <f t="shared" si="21"/>
        <v>701</v>
      </c>
      <c r="J86" s="7">
        <f t="shared" si="22"/>
        <v>2632</v>
      </c>
    </row>
    <row r="87" spans="1:10" x14ac:dyDescent="0.25">
      <c r="A87" s="29" t="s">
        <v>1</v>
      </c>
      <c r="B87" s="6">
        <v>250</v>
      </c>
      <c r="C87" s="4">
        <v>355</v>
      </c>
      <c r="D87" s="5">
        <f t="shared" si="17"/>
        <v>605</v>
      </c>
      <c r="E87" s="6">
        <v>190</v>
      </c>
      <c r="F87" s="4">
        <v>301</v>
      </c>
      <c r="G87" s="4">
        <f t="shared" si="18"/>
        <v>491</v>
      </c>
      <c r="H87" s="6">
        <f t="shared" si="20"/>
        <v>440</v>
      </c>
      <c r="I87" s="4">
        <f t="shared" si="21"/>
        <v>656</v>
      </c>
      <c r="J87" s="7">
        <f t="shared" si="22"/>
        <v>1096</v>
      </c>
    </row>
    <row r="88" spans="1:10" x14ac:dyDescent="0.25">
      <c r="A88" s="29" t="s">
        <v>11</v>
      </c>
      <c r="B88" s="6">
        <v>889</v>
      </c>
      <c r="C88" s="4">
        <v>1506</v>
      </c>
      <c r="D88" s="5">
        <f t="shared" si="17"/>
        <v>2395</v>
      </c>
      <c r="E88" s="6">
        <v>321</v>
      </c>
      <c r="F88" s="4">
        <v>769</v>
      </c>
      <c r="G88" s="4">
        <f t="shared" si="18"/>
        <v>1090</v>
      </c>
      <c r="H88" s="6">
        <f t="shared" si="20"/>
        <v>1210</v>
      </c>
      <c r="I88" s="4">
        <f t="shared" si="21"/>
        <v>2275</v>
      </c>
      <c r="J88" s="7">
        <f t="shared" si="22"/>
        <v>3485</v>
      </c>
    </row>
    <row r="89" spans="1:10" x14ac:dyDescent="0.25">
      <c r="A89" s="29" t="s">
        <v>10</v>
      </c>
      <c r="B89" s="6">
        <v>1117</v>
      </c>
      <c r="C89" s="4">
        <v>716</v>
      </c>
      <c r="D89" s="5">
        <f t="shared" si="17"/>
        <v>1833</v>
      </c>
      <c r="E89" s="6">
        <v>357</v>
      </c>
      <c r="F89" s="4">
        <v>187</v>
      </c>
      <c r="G89" s="4">
        <f t="shared" si="18"/>
        <v>544</v>
      </c>
      <c r="H89" s="6">
        <f t="shared" si="20"/>
        <v>1474</v>
      </c>
      <c r="I89" s="4">
        <f t="shared" si="21"/>
        <v>903</v>
      </c>
      <c r="J89" s="7">
        <f t="shared" si="22"/>
        <v>2377</v>
      </c>
    </row>
    <row r="90" spans="1:10" ht="15.75" thickBot="1" x14ac:dyDescent="0.3">
      <c r="A90" s="28" t="s">
        <v>9</v>
      </c>
      <c r="B90" s="10">
        <v>1109</v>
      </c>
      <c r="C90" s="27">
        <v>1244</v>
      </c>
      <c r="D90" s="14">
        <f t="shared" si="17"/>
        <v>2353</v>
      </c>
      <c r="E90" s="10">
        <v>584</v>
      </c>
      <c r="F90" s="11">
        <v>872</v>
      </c>
      <c r="G90" s="11">
        <f t="shared" si="18"/>
        <v>1456</v>
      </c>
      <c r="H90" s="10">
        <f t="shared" si="20"/>
        <v>1693</v>
      </c>
      <c r="I90" s="11">
        <f t="shared" si="21"/>
        <v>2116</v>
      </c>
      <c r="J90" s="26">
        <f t="shared" si="22"/>
        <v>3809</v>
      </c>
    </row>
    <row r="91" spans="1:10" ht="16.5" thickTop="1" thickBot="1" x14ac:dyDescent="0.3">
      <c r="A91" s="9" t="s">
        <v>0</v>
      </c>
      <c r="B91" s="8">
        <f t="shared" ref="B91:J91" si="23">SUM(B83:B90)</f>
        <v>6129</v>
      </c>
      <c r="C91" s="8">
        <f t="shared" si="23"/>
        <v>6505</v>
      </c>
      <c r="D91" s="8">
        <f t="shared" si="23"/>
        <v>12634</v>
      </c>
      <c r="E91" s="8">
        <f t="shared" si="23"/>
        <v>3920</v>
      </c>
      <c r="F91" s="8">
        <f t="shared" si="23"/>
        <v>4572</v>
      </c>
      <c r="G91" s="8">
        <f t="shared" si="23"/>
        <v>8492</v>
      </c>
      <c r="H91" s="8">
        <f t="shared" si="23"/>
        <v>10049</v>
      </c>
      <c r="I91" s="8">
        <f t="shared" si="23"/>
        <v>11077</v>
      </c>
      <c r="J91" s="9">
        <f t="shared" si="23"/>
        <v>21126</v>
      </c>
    </row>
    <row r="92" spans="1:10" ht="15.75" thickBot="1" x14ac:dyDescent="0.3">
      <c r="A92" s="25"/>
      <c r="B92" s="25"/>
      <c r="C92" s="25"/>
      <c r="D92" s="25"/>
      <c r="E92" s="25"/>
      <c r="F92" s="25"/>
      <c r="G92" s="25"/>
      <c r="H92" s="25"/>
      <c r="I92" s="25"/>
      <c r="J92" s="25"/>
    </row>
    <row r="93" spans="1:10" x14ac:dyDescent="0.25">
      <c r="A93" s="12" t="s">
        <v>15</v>
      </c>
      <c r="B93" s="24">
        <f>B83/D83</f>
        <v>0.35939036381514256</v>
      </c>
      <c r="C93" s="23">
        <f>C83/D83</f>
        <v>0.64060963618485744</v>
      </c>
      <c r="D93" s="5"/>
      <c r="E93" s="24">
        <f>E83/G83</f>
        <v>0.34987893462469732</v>
      </c>
      <c r="F93" s="23">
        <f>F83/G83</f>
        <v>0.65012106537530268</v>
      </c>
      <c r="G93" s="4"/>
      <c r="H93" s="24">
        <f>H83/J83</f>
        <v>0.35664335664335667</v>
      </c>
      <c r="I93" s="23">
        <f>I83/J83</f>
        <v>0.64335664335664333</v>
      </c>
      <c r="J93" s="7"/>
    </row>
    <row r="94" spans="1:10" x14ac:dyDescent="0.25">
      <c r="A94" s="12" t="s">
        <v>100</v>
      </c>
      <c r="B94" s="24">
        <f>B84/D84</f>
        <v>0.42879377431906612</v>
      </c>
      <c r="C94" s="23">
        <f>C84/D84</f>
        <v>0.57120622568093382</v>
      </c>
      <c r="D94" s="5"/>
      <c r="E94" s="24">
        <f>E84/G84</f>
        <v>0.44954128440366975</v>
      </c>
      <c r="F94" s="23">
        <f>F84/G84</f>
        <v>0.55045871559633031</v>
      </c>
      <c r="G94" s="4"/>
      <c r="H94" s="24">
        <f>H84/J84</f>
        <v>0.44133045888512473</v>
      </c>
      <c r="I94" s="23">
        <f>I84/J84</f>
        <v>0.55866954111487532</v>
      </c>
      <c r="J94" s="7"/>
    </row>
    <row r="95" spans="1:10" x14ac:dyDescent="0.25">
      <c r="A95" s="12" t="s">
        <v>14</v>
      </c>
      <c r="B95" s="24">
        <f>B85/D85</f>
        <v>0.57964601769911506</v>
      </c>
      <c r="C95" s="23">
        <f>C85/D85</f>
        <v>0.42035398230088494</v>
      </c>
      <c r="D95" s="5"/>
      <c r="E95" s="24">
        <f>E85/G85</f>
        <v>0.48301486199575372</v>
      </c>
      <c r="F95" s="23">
        <f>F85/G85</f>
        <v>0.51698513800424628</v>
      </c>
      <c r="G95" s="4"/>
      <c r="H95" s="24">
        <f>H85/J85</f>
        <v>0.52345679012345681</v>
      </c>
      <c r="I95" s="23">
        <f>I85/J85</f>
        <v>0.47654320987654319</v>
      </c>
      <c r="J95" s="7"/>
    </row>
    <row r="96" spans="1:10" x14ac:dyDescent="0.25">
      <c r="A96" s="12" t="s">
        <v>91</v>
      </c>
      <c r="B96" s="24">
        <f t="shared" ref="B96:B97" si="24">B86/D86</f>
        <v>0.75051688490696067</v>
      </c>
      <c r="C96" s="23">
        <f t="shared" ref="C96:C97" si="25">C86/D86</f>
        <v>0.24948311509303928</v>
      </c>
      <c r="D96" s="5"/>
      <c r="E96" s="24">
        <f t="shared" ref="E96:E97" si="26">E86/G86</f>
        <v>0.71295512277730733</v>
      </c>
      <c r="F96" s="23">
        <f t="shared" ref="F96:F97" si="27">F86/G86</f>
        <v>0.28704487722269262</v>
      </c>
      <c r="G96" s="4"/>
      <c r="H96" s="24">
        <f t="shared" ref="H96:H97" si="28">H86/J86</f>
        <v>0.73366261398176291</v>
      </c>
      <c r="I96" s="23">
        <f t="shared" ref="I96:I97" si="29">I86/J86</f>
        <v>0.26633738601823709</v>
      </c>
      <c r="J96" s="7"/>
    </row>
    <row r="97" spans="1:10" x14ac:dyDescent="0.25">
      <c r="A97" s="12" t="s">
        <v>1</v>
      </c>
      <c r="B97" s="24">
        <f t="shared" si="24"/>
        <v>0.41322314049586778</v>
      </c>
      <c r="C97" s="23">
        <f t="shared" si="25"/>
        <v>0.58677685950413228</v>
      </c>
      <c r="D97" s="5"/>
      <c r="E97" s="24">
        <f t="shared" si="26"/>
        <v>0.38696537678207737</v>
      </c>
      <c r="F97" s="23">
        <f t="shared" si="27"/>
        <v>0.61303462321792257</v>
      </c>
      <c r="G97" s="4"/>
      <c r="H97" s="24">
        <f t="shared" si="28"/>
        <v>0.40145985401459855</v>
      </c>
      <c r="I97" s="23">
        <f t="shared" si="29"/>
        <v>0.59854014598540151</v>
      </c>
      <c r="J97" s="7"/>
    </row>
    <row r="98" spans="1:10" x14ac:dyDescent="0.25">
      <c r="A98" s="12" t="s">
        <v>11</v>
      </c>
      <c r="B98" s="24">
        <f>B88/D88</f>
        <v>0.37118997912317325</v>
      </c>
      <c r="C98" s="23">
        <f>C88/D88</f>
        <v>0.62881002087682669</v>
      </c>
      <c r="D98" s="5"/>
      <c r="E98" s="24">
        <f>E88/G88</f>
        <v>0.29449541284403669</v>
      </c>
      <c r="F98" s="23">
        <f>F88/G88</f>
        <v>0.70550458715596331</v>
      </c>
      <c r="G98" s="4"/>
      <c r="H98" s="24">
        <f>H88/J88</f>
        <v>0.34720229555236731</v>
      </c>
      <c r="I98" s="23">
        <f>I88/J88</f>
        <v>0.65279770444763274</v>
      </c>
      <c r="J98" s="7"/>
    </row>
    <row r="99" spans="1:10" x14ac:dyDescent="0.25">
      <c r="A99" s="12" t="s">
        <v>10</v>
      </c>
      <c r="B99" s="24">
        <f>B89/D89</f>
        <v>0.60938352427714126</v>
      </c>
      <c r="C99" s="23">
        <f>C89/D89</f>
        <v>0.39061647572285868</v>
      </c>
      <c r="D99" s="5"/>
      <c r="E99" s="24">
        <f>E89/G89</f>
        <v>0.65625</v>
      </c>
      <c r="F99" s="23">
        <f>F89/G89</f>
        <v>0.34375</v>
      </c>
      <c r="G99" s="4"/>
      <c r="H99" s="24">
        <f>H89/J89</f>
        <v>0.62010938157341189</v>
      </c>
      <c r="I99" s="23">
        <f>I89/J89</f>
        <v>0.37989061842658811</v>
      </c>
      <c r="J99" s="7"/>
    </row>
    <row r="100" spans="1:10" ht="15.75" thickBot="1" x14ac:dyDescent="0.3">
      <c r="A100" s="13" t="s">
        <v>9</v>
      </c>
      <c r="B100" s="22">
        <f>B90/D90</f>
        <v>0.47131321716957075</v>
      </c>
      <c r="C100" s="21">
        <f>C90/D90</f>
        <v>0.52868678283042925</v>
      </c>
      <c r="D100" s="14"/>
      <c r="E100" s="22">
        <f>E90/G90</f>
        <v>0.40109890109890112</v>
      </c>
      <c r="F100" s="21">
        <f>F90/G90</f>
        <v>0.59890109890109888</v>
      </c>
      <c r="G100" s="11"/>
      <c r="H100" s="22">
        <f>H90/J90</f>
        <v>0.44447361512207928</v>
      </c>
      <c r="I100" s="21">
        <f>I90/J90</f>
        <v>0.55552638487792072</v>
      </c>
      <c r="J100" s="20"/>
    </row>
    <row r="101" spans="1:10" ht="16.5" thickTop="1" thickBot="1" x14ac:dyDescent="0.3">
      <c r="A101" s="8" t="s">
        <v>0</v>
      </c>
      <c r="B101" s="19">
        <f>B91/D91</f>
        <v>0.48511951875890452</v>
      </c>
      <c r="C101" s="19">
        <f>C91/D91</f>
        <v>0.51488048124109542</v>
      </c>
      <c r="D101" s="8"/>
      <c r="E101" s="19">
        <f>E91/G91</f>
        <v>0.46161092793217146</v>
      </c>
      <c r="F101" s="19">
        <f>F91/G91</f>
        <v>0.53838907206782849</v>
      </c>
      <c r="G101" s="8"/>
      <c r="H101" s="19">
        <f>H91/J91</f>
        <v>0.47566979077913474</v>
      </c>
      <c r="I101" s="19">
        <f>I91/J91</f>
        <v>0.52433020922086526</v>
      </c>
      <c r="J101" s="9"/>
    </row>
    <row r="103" spans="1:10" x14ac:dyDescent="0.25">
      <c r="A103" t="s">
        <v>106</v>
      </c>
    </row>
  </sheetData>
  <mergeCells count="8">
    <mergeCell ref="B81:D81"/>
    <mergeCell ref="E81:G81"/>
    <mergeCell ref="H81:J81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7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70" zoomScale="55" zoomScaleNormal="55" zoomScalePageLayoutView="70" workbookViewId="0">
      <selection activeCell="C116" sqref="C116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2007-08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54</v>
      </c>
      <c r="C7" s="34">
        <v>81</v>
      </c>
      <c r="D7" s="35">
        <f>SUM(B7:C7)</f>
        <v>135</v>
      </c>
      <c r="E7" s="34">
        <v>51</v>
      </c>
      <c r="F7" s="34">
        <v>66</v>
      </c>
      <c r="G7" s="34">
        <f>SUM(E7:F7)</f>
        <v>117</v>
      </c>
      <c r="H7" s="39">
        <f>B7+E7</f>
        <v>105</v>
      </c>
      <c r="I7" s="34">
        <f>C7+F7</f>
        <v>147</v>
      </c>
      <c r="J7" s="35">
        <f>SUM(H7:I7)</f>
        <v>252</v>
      </c>
    </row>
    <row r="8" spans="1:10" x14ac:dyDescent="0.25">
      <c r="A8" s="12" t="s">
        <v>17</v>
      </c>
      <c r="B8" s="39">
        <v>47</v>
      </c>
      <c r="C8" s="34">
        <v>141</v>
      </c>
      <c r="D8" s="35">
        <f t="shared" ref="D8:D89" si="0">SUM(B8:C8)</f>
        <v>188</v>
      </c>
      <c r="E8" s="34">
        <v>57</v>
      </c>
      <c r="F8" s="34">
        <v>114</v>
      </c>
      <c r="G8" s="34">
        <f t="shared" ref="G8:G89" si="1">SUM(E8:F8)</f>
        <v>171</v>
      </c>
      <c r="H8" s="39">
        <f t="shared" ref="H8:I89" si="2">B8+E8</f>
        <v>104</v>
      </c>
      <c r="I8" s="34">
        <f t="shared" si="2"/>
        <v>255</v>
      </c>
      <c r="J8" s="35">
        <f t="shared" ref="J8:J89" si="3">SUM(H8:I8)</f>
        <v>359</v>
      </c>
    </row>
    <row r="9" spans="1:10" x14ac:dyDescent="0.25">
      <c r="A9" s="12" t="s">
        <v>18</v>
      </c>
      <c r="B9" s="39">
        <v>51</v>
      </c>
      <c r="C9" s="34">
        <v>118</v>
      </c>
      <c r="D9" s="35">
        <f t="shared" si="0"/>
        <v>169</v>
      </c>
      <c r="E9" s="34">
        <v>91</v>
      </c>
      <c r="F9" s="34">
        <v>250</v>
      </c>
      <c r="G9" s="34">
        <f t="shared" si="1"/>
        <v>341</v>
      </c>
      <c r="H9" s="39">
        <f t="shared" si="2"/>
        <v>142</v>
      </c>
      <c r="I9" s="34">
        <f t="shared" si="2"/>
        <v>368</v>
      </c>
      <c r="J9" s="35">
        <f t="shared" si="3"/>
        <v>510</v>
      </c>
    </row>
    <row r="10" spans="1:10" x14ac:dyDescent="0.25">
      <c r="A10" s="12" t="s">
        <v>19</v>
      </c>
      <c r="B10" s="39">
        <v>252</v>
      </c>
      <c r="C10" s="34">
        <v>209</v>
      </c>
      <c r="D10" s="35">
        <f t="shared" si="0"/>
        <v>461</v>
      </c>
      <c r="E10" s="34">
        <v>69</v>
      </c>
      <c r="F10" s="34">
        <v>80</v>
      </c>
      <c r="G10" s="34">
        <f t="shared" si="1"/>
        <v>149</v>
      </c>
      <c r="H10" s="39">
        <f t="shared" si="2"/>
        <v>321</v>
      </c>
      <c r="I10" s="34">
        <f t="shared" si="2"/>
        <v>289</v>
      </c>
      <c r="J10" s="35">
        <f t="shared" si="3"/>
        <v>610</v>
      </c>
    </row>
    <row r="11" spans="1:10" x14ac:dyDescent="0.25">
      <c r="A11" s="12" t="s">
        <v>20</v>
      </c>
      <c r="B11" s="39">
        <v>85</v>
      </c>
      <c r="C11" s="34">
        <v>26</v>
      </c>
      <c r="D11" s="35">
        <f t="shared" si="0"/>
        <v>111</v>
      </c>
      <c r="E11" s="34">
        <v>0</v>
      </c>
      <c r="F11" s="34">
        <v>0</v>
      </c>
      <c r="G11" s="34">
        <f t="shared" si="1"/>
        <v>0</v>
      </c>
      <c r="H11" s="39">
        <f t="shared" si="2"/>
        <v>85</v>
      </c>
      <c r="I11" s="34">
        <f t="shared" si="2"/>
        <v>26</v>
      </c>
      <c r="J11" s="35">
        <f t="shared" si="3"/>
        <v>111</v>
      </c>
    </row>
    <row r="12" spans="1:10" x14ac:dyDescent="0.25">
      <c r="A12" s="12" t="s">
        <v>21</v>
      </c>
      <c r="B12" s="39">
        <v>0</v>
      </c>
      <c r="C12" s="34">
        <v>0</v>
      </c>
      <c r="D12" s="35">
        <f t="shared" si="0"/>
        <v>0</v>
      </c>
      <c r="E12" s="34">
        <v>172</v>
      </c>
      <c r="F12" s="34">
        <v>149</v>
      </c>
      <c r="G12" s="34">
        <f t="shared" si="1"/>
        <v>321</v>
      </c>
      <c r="H12" s="39">
        <f t="shared" si="2"/>
        <v>172</v>
      </c>
      <c r="I12" s="34">
        <f t="shared" si="2"/>
        <v>149</v>
      </c>
      <c r="J12" s="35">
        <f t="shared" si="3"/>
        <v>321</v>
      </c>
    </row>
    <row r="13" spans="1:10" x14ac:dyDescent="0.25">
      <c r="A13" s="12" t="s">
        <v>22</v>
      </c>
      <c r="B13" s="39">
        <v>57</v>
      </c>
      <c r="C13" s="34">
        <v>50</v>
      </c>
      <c r="D13" s="35">
        <f t="shared" si="0"/>
        <v>107</v>
      </c>
      <c r="E13" s="34">
        <v>107</v>
      </c>
      <c r="F13" s="34">
        <v>108</v>
      </c>
      <c r="G13" s="34">
        <f t="shared" si="1"/>
        <v>215</v>
      </c>
      <c r="H13" s="39">
        <f t="shared" si="2"/>
        <v>164</v>
      </c>
      <c r="I13" s="34">
        <f t="shared" si="2"/>
        <v>158</v>
      </c>
      <c r="J13" s="35">
        <f t="shared" si="3"/>
        <v>322</v>
      </c>
    </row>
    <row r="14" spans="1:10" x14ac:dyDescent="0.25">
      <c r="A14" s="12" t="s">
        <v>23</v>
      </c>
      <c r="B14" s="39">
        <v>77</v>
      </c>
      <c r="C14" s="34">
        <v>63</v>
      </c>
      <c r="D14" s="35">
        <f t="shared" si="0"/>
        <v>140</v>
      </c>
      <c r="E14" s="34">
        <v>71</v>
      </c>
      <c r="F14" s="34">
        <v>49</v>
      </c>
      <c r="G14" s="34">
        <f t="shared" si="1"/>
        <v>120</v>
      </c>
      <c r="H14" s="39">
        <f t="shared" si="2"/>
        <v>148</v>
      </c>
      <c r="I14" s="34">
        <f t="shared" si="2"/>
        <v>112</v>
      </c>
      <c r="J14" s="35">
        <f t="shared" si="3"/>
        <v>260</v>
      </c>
    </row>
    <row r="15" spans="1:10" x14ac:dyDescent="0.25">
      <c r="A15" s="12" t="s">
        <v>108</v>
      </c>
      <c r="B15" s="39">
        <v>72</v>
      </c>
      <c r="C15" s="34">
        <v>90</v>
      </c>
      <c r="D15" s="35">
        <f t="shared" si="0"/>
        <v>162</v>
      </c>
      <c r="E15" s="34">
        <v>43</v>
      </c>
      <c r="F15" s="34">
        <v>50</v>
      </c>
      <c r="G15" s="34">
        <f t="shared" si="1"/>
        <v>93</v>
      </c>
      <c r="H15" s="39">
        <f t="shared" si="2"/>
        <v>115</v>
      </c>
      <c r="I15" s="34">
        <f t="shared" si="2"/>
        <v>140</v>
      </c>
      <c r="J15" s="35">
        <f t="shared" si="3"/>
        <v>255</v>
      </c>
    </row>
    <row r="16" spans="1:10" x14ac:dyDescent="0.25">
      <c r="A16" s="12" t="s">
        <v>109</v>
      </c>
      <c r="B16" s="39">
        <v>73</v>
      </c>
      <c r="C16" s="34">
        <v>120</v>
      </c>
      <c r="D16" s="35">
        <f t="shared" si="0"/>
        <v>193</v>
      </c>
      <c r="E16" s="34">
        <v>29</v>
      </c>
      <c r="F16" s="34">
        <v>32</v>
      </c>
      <c r="G16" s="34">
        <f t="shared" si="1"/>
        <v>61</v>
      </c>
      <c r="H16" s="39">
        <f t="shared" si="2"/>
        <v>102</v>
      </c>
      <c r="I16" s="34">
        <f t="shared" si="2"/>
        <v>152</v>
      </c>
      <c r="J16" s="35">
        <f t="shared" si="3"/>
        <v>254</v>
      </c>
    </row>
    <row r="17" spans="1:10" x14ac:dyDescent="0.25">
      <c r="A17" s="12" t="s">
        <v>25</v>
      </c>
      <c r="B17" s="39">
        <v>0</v>
      </c>
      <c r="C17" s="34">
        <v>0</v>
      </c>
      <c r="D17" s="35">
        <f t="shared" si="0"/>
        <v>0</v>
      </c>
      <c r="E17" s="34">
        <v>1</v>
      </c>
      <c r="F17" s="34">
        <v>1</v>
      </c>
      <c r="G17" s="34">
        <f t="shared" si="1"/>
        <v>2</v>
      </c>
      <c r="H17" s="39">
        <f t="shared" si="2"/>
        <v>1</v>
      </c>
      <c r="I17" s="34">
        <f t="shared" si="2"/>
        <v>1</v>
      </c>
      <c r="J17" s="35">
        <f t="shared" si="3"/>
        <v>2</v>
      </c>
    </row>
    <row r="18" spans="1:10" x14ac:dyDescent="0.25">
      <c r="A18" s="12" t="s">
        <v>26</v>
      </c>
      <c r="B18" s="39">
        <v>0</v>
      </c>
      <c r="C18" s="34">
        <v>0</v>
      </c>
      <c r="D18" s="35">
        <f t="shared" si="0"/>
        <v>0</v>
      </c>
      <c r="E18" s="34">
        <v>22</v>
      </c>
      <c r="F18" s="34">
        <v>30</v>
      </c>
      <c r="G18" s="34">
        <f t="shared" si="1"/>
        <v>52</v>
      </c>
      <c r="H18" s="39">
        <f t="shared" si="2"/>
        <v>22</v>
      </c>
      <c r="I18" s="34">
        <f t="shared" si="2"/>
        <v>30</v>
      </c>
      <c r="J18" s="35">
        <f t="shared" si="3"/>
        <v>52</v>
      </c>
    </row>
    <row r="19" spans="1:10" x14ac:dyDescent="0.25">
      <c r="A19" s="12" t="s">
        <v>27</v>
      </c>
      <c r="B19" s="39">
        <v>0</v>
      </c>
      <c r="C19" s="34">
        <v>0</v>
      </c>
      <c r="D19" s="35">
        <f t="shared" si="0"/>
        <v>0</v>
      </c>
      <c r="E19" s="34">
        <v>18</v>
      </c>
      <c r="F19" s="34">
        <v>63</v>
      </c>
      <c r="G19" s="34">
        <f t="shared" si="1"/>
        <v>81</v>
      </c>
      <c r="H19" s="39">
        <f t="shared" si="2"/>
        <v>18</v>
      </c>
      <c r="I19" s="34">
        <f t="shared" si="2"/>
        <v>63</v>
      </c>
      <c r="J19" s="35">
        <f t="shared" si="3"/>
        <v>81</v>
      </c>
    </row>
    <row r="20" spans="1:10" x14ac:dyDescent="0.25">
      <c r="A20" s="12" t="s">
        <v>28</v>
      </c>
      <c r="B20" s="39">
        <v>0</v>
      </c>
      <c r="C20" s="34">
        <v>0</v>
      </c>
      <c r="D20" s="35">
        <f t="shared" si="0"/>
        <v>0</v>
      </c>
      <c r="E20" s="34">
        <v>34</v>
      </c>
      <c r="F20" s="34">
        <v>13</v>
      </c>
      <c r="G20" s="34">
        <f t="shared" si="1"/>
        <v>47</v>
      </c>
      <c r="H20" s="39">
        <f t="shared" si="2"/>
        <v>34</v>
      </c>
      <c r="I20" s="34">
        <f t="shared" si="2"/>
        <v>13</v>
      </c>
      <c r="J20" s="35">
        <f t="shared" si="3"/>
        <v>47</v>
      </c>
    </row>
    <row r="21" spans="1:10" x14ac:dyDescent="0.25">
      <c r="A21" s="12" t="s">
        <v>29</v>
      </c>
      <c r="B21" s="39">
        <v>0</v>
      </c>
      <c r="C21" s="34">
        <v>0</v>
      </c>
      <c r="D21" s="35">
        <f t="shared" si="0"/>
        <v>0</v>
      </c>
      <c r="E21" s="34">
        <v>81</v>
      </c>
      <c r="F21" s="34">
        <v>52</v>
      </c>
      <c r="G21" s="34">
        <f t="shared" si="1"/>
        <v>133</v>
      </c>
      <c r="H21" s="39">
        <f t="shared" si="2"/>
        <v>81</v>
      </c>
      <c r="I21" s="34">
        <f t="shared" si="2"/>
        <v>52</v>
      </c>
      <c r="J21" s="35">
        <f t="shared" si="3"/>
        <v>133</v>
      </c>
    </row>
    <row r="22" spans="1:10" x14ac:dyDescent="0.25">
      <c r="A22" s="12" t="s">
        <v>30</v>
      </c>
      <c r="B22" s="39">
        <v>166</v>
      </c>
      <c r="C22" s="34">
        <v>63</v>
      </c>
      <c r="D22" s="35">
        <f t="shared" si="0"/>
        <v>229</v>
      </c>
      <c r="E22" s="34">
        <v>20</v>
      </c>
      <c r="F22" s="34">
        <v>15</v>
      </c>
      <c r="G22" s="34">
        <f t="shared" si="1"/>
        <v>35</v>
      </c>
      <c r="H22" s="39">
        <f t="shared" si="2"/>
        <v>186</v>
      </c>
      <c r="I22" s="34">
        <f t="shared" si="2"/>
        <v>78</v>
      </c>
      <c r="J22" s="35">
        <f t="shared" si="3"/>
        <v>264</v>
      </c>
    </row>
    <row r="23" spans="1:10" x14ac:dyDescent="0.25">
      <c r="A23" s="12" t="s">
        <v>31</v>
      </c>
      <c r="B23" s="39">
        <v>140</v>
      </c>
      <c r="C23" s="34">
        <v>127</v>
      </c>
      <c r="D23" s="35">
        <f t="shared" si="0"/>
        <v>267</v>
      </c>
      <c r="E23" s="34">
        <v>65</v>
      </c>
      <c r="F23" s="34">
        <v>49</v>
      </c>
      <c r="G23" s="34">
        <f t="shared" si="1"/>
        <v>114</v>
      </c>
      <c r="H23" s="39">
        <f t="shared" si="2"/>
        <v>205</v>
      </c>
      <c r="I23" s="34">
        <f t="shared" si="2"/>
        <v>176</v>
      </c>
      <c r="J23" s="35">
        <f t="shared" si="3"/>
        <v>381</v>
      </c>
    </row>
    <row r="24" spans="1:10" x14ac:dyDescent="0.25">
      <c r="A24" s="12" t="s">
        <v>32</v>
      </c>
      <c r="B24" s="39">
        <v>175</v>
      </c>
      <c r="C24" s="34">
        <v>52</v>
      </c>
      <c r="D24" s="35">
        <f t="shared" si="0"/>
        <v>227</v>
      </c>
      <c r="E24" s="34">
        <v>82</v>
      </c>
      <c r="F24" s="34">
        <v>44</v>
      </c>
      <c r="G24" s="34">
        <f t="shared" si="1"/>
        <v>126</v>
      </c>
      <c r="H24" s="39">
        <f t="shared" si="2"/>
        <v>257</v>
      </c>
      <c r="I24" s="34">
        <f t="shared" si="2"/>
        <v>96</v>
      </c>
      <c r="J24" s="35">
        <f t="shared" si="3"/>
        <v>353</v>
      </c>
    </row>
    <row r="25" spans="1:10" x14ac:dyDescent="0.25">
      <c r="A25" s="12" t="s">
        <v>33</v>
      </c>
      <c r="B25" s="39">
        <v>153</v>
      </c>
      <c r="C25" s="34">
        <v>33</v>
      </c>
      <c r="D25" s="35">
        <f t="shared" si="0"/>
        <v>186</v>
      </c>
      <c r="E25" s="34">
        <v>180</v>
      </c>
      <c r="F25" s="34">
        <v>77</v>
      </c>
      <c r="G25" s="34">
        <f t="shared" si="1"/>
        <v>257</v>
      </c>
      <c r="H25" s="39">
        <f t="shared" si="2"/>
        <v>333</v>
      </c>
      <c r="I25" s="34">
        <f t="shared" si="2"/>
        <v>110</v>
      </c>
      <c r="J25" s="35">
        <f t="shared" si="3"/>
        <v>443</v>
      </c>
    </row>
    <row r="26" spans="1:10" x14ac:dyDescent="0.25">
      <c r="A26" s="12" t="s">
        <v>34</v>
      </c>
      <c r="B26" s="39">
        <v>0</v>
      </c>
      <c r="C26" s="34">
        <v>0</v>
      </c>
      <c r="D26" s="35">
        <f t="shared" si="0"/>
        <v>0</v>
      </c>
      <c r="E26" s="34">
        <v>56</v>
      </c>
      <c r="F26" s="34">
        <v>85</v>
      </c>
      <c r="G26" s="34">
        <f t="shared" si="1"/>
        <v>141</v>
      </c>
      <c r="H26" s="39">
        <f t="shared" si="2"/>
        <v>56</v>
      </c>
      <c r="I26" s="34">
        <f t="shared" si="2"/>
        <v>85</v>
      </c>
      <c r="J26" s="35">
        <f t="shared" si="3"/>
        <v>141</v>
      </c>
    </row>
    <row r="27" spans="1:10" x14ac:dyDescent="0.25">
      <c r="A27" s="12" t="s">
        <v>35</v>
      </c>
      <c r="B27" s="39">
        <v>9</v>
      </c>
      <c r="C27" s="34">
        <v>21</v>
      </c>
      <c r="D27" s="35">
        <f t="shared" si="0"/>
        <v>30</v>
      </c>
      <c r="E27" s="34">
        <v>1</v>
      </c>
      <c r="F27" s="34">
        <v>1</v>
      </c>
      <c r="G27" s="34">
        <f t="shared" si="1"/>
        <v>2</v>
      </c>
      <c r="H27" s="39">
        <f t="shared" si="2"/>
        <v>10</v>
      </c>
      <c r="I27" s="34">
        <f t="shared" si="2"/>
        <v>22</v>
      </c>
      <c r="J27" s="35">
        <f t="shared" si="3"/>
        <v>32</v>
      </c>
    </row>
    <row r="28" spans="1:10" x14ac:dyDescent="0.25">
      <c r="A28" s="12" t="s">
        <v>36</v>
      </c>
      <c r="B28" s="39">
        <v>59</v>
      </c>
      <c r="C28" s="34">
        <v>53</v>
      </c>
      <c r="D28" s="35">
        <f t="shared" si="0"/>
        <v>112</v>
      </c>
      <c r="E28" s="34">
        <v>41</v>
      </c>
      <c r="F28" s="34">
        <v>46</v>
      </c>
      <c r="G28" s="34">
        <f t="shared" si="1"/>
        <v>87</v>
      </c>
      <c r="H28" s="39">
        <f t="shared" si="2"/>
        <v>100</v>
      </c>
      <c r="I28" s="34">
        <f t="shared" si="2"/>
        <v>99</v>
      </c>
      <c r="J28" s="35">
        <f t="shared" si="3"/>
        <v>199</v>
      </c>
    </row>
    <row r="29" spans="1:10" x14ac:dyDescent="0.25">
      <c r="A29" s="12" t="s">
        <v>37</v>
      </c>
      <c r="B29" s="39">
        <v>357</v>
      </c>
      <c r="C29" s="34">
        <v>219</v>
      </c>
      <c r="D29" s="35">
        <f t="shared" si="0"/>
        <v>576</v>
      </c>
      <c r="E29" s="34">
        <v>90</v>
      </c>
      <c r="F29" s="34">
        <v>44</v>
      </c>
      <c r="G29" s="34">
        <f t="shared" si="1"/>
        <v>134</v>
      </c>
      <c r="H29" s="39">
        <f t="shared" si="2"/>
        <v>447</v>
      </c>
      <c r="I29" s="34">
        <f t="shared" si="2"/>
        <v>263</v>
      </c>
      <c r="J29" s="35">
        <f t="shared" si="3"/>
        <v>710</v>
      </c>
    </row>
    <row r="30" spans="1:10" x14ac:dyDescent="0.25">
      <c r="A30" s="12" t="s">
        <v>38</v>
      </c>
      <c r="B30" s="39">
        <v>129</v>
      </c>
      <c r="C30" s="34">
        <v>16</v>
      </c>
      <c r="D30" s="35">
        <f t="shared" si="0"/>
        <v>145</v>
      </c>
      <c r="E30" s="34">
        <v>265</v>
      </c>
      <c r="F30" s="34">
        <v>42</v>
      </c>
      <c r="G30" s="34">
        <f t="shared" si="1"/>
        <v>307</v>
      </c>
      <c r="H30" s="39">
        <f t="shared" si="2"/>
        <v>394</v>
      </c>
      <c r="I30" s="34">
        <f t="shared" si="2"/>
        <v>58</v>
      </c>
      <c r="J30" s="35">
        <f t="shared" si="3"/>
        <v>452</v>
      </c>
    </row>
    <row r="31" spans="1:10" x14ac:dyDescent="0.25">
      <c r="A31" s="12" t="s">
        <v>41</v>
      </c>
      <c r="B31" s="39">
        <v>81</v>
      </c>
      <c r="C31" s="34">
        <v>167</v>
      </c>
      <c r="D31" s="35">
        <f t="shared" si="0"/>
        <v>248</v>
      </c>
      <c r="E31" s="34">
        <v>29</v>
      </c>
      <c r="F31" s="34">
        <v>45</v>
      </c>
      <c r="G31" s="34">
        <f t="shared" si="1"/>
        <v>74</v>
      </c>
      <c r="H31" s="39">
        <f t="shared" si="2"/>
        <v>110</v>
      </c>
      <c r="I31" s="34">
        <f t="shared" si="2"/>
        <v>212</v>
      </c>
      <c r="J31" s="35">
        <f t="shared" si="3"/>
        <v>322</v>
      </c>
    </row>
    <row r="32" spans="1:10" x14ac:dyDescent="0.25">
      <c r="A32" s="12" t="s">
        <v>94</v>
      </c>
      <c r="B32" s="39">
        <v>55</v>
      </c>
      <c r="C32" s="34">
        <v>105</v>
      </c>
      <c r="D32" s="35">
        <f t="shared" si="0"/>
        <v>160</v>
      </c>
      <c r="E32" s="34">
        <v>0</v>
      </c>
      <c r="F32" s="34">
        <v>0</v>
      </c>
      <c r="G32" s="34">
        <f t="shared" si="1"/>
        <v>0</v>
      </c>
      <c r="H32" s="39">
        <f t="shared" si="2"/>
        <v>55</v>
      </c>
      <c r="I32" s="34">
        <f t="shared" si="2"/>
        <v>105</v>
      </c>
      <c r="J32" s="35">
        <f t="shared" si="3"/>
        <v>160</v>
      </c>
    </row>
    <row r="33" spans="1:10" x14ac:dyDescent="0.25">
      <c r="A33" s="12" t="s">
        <v>44</v>
      </c>
      <c r="B33" s="39">
        <v>60</v>
      </c>
      <c r="C33" s="34">
        <v>78</v>
      </c>
      <c r="D33" s="35">
        <f t="shared" si="0"/>
        <v>138</v>
      </c>
      <c r="E33" s="34">
        <v>46</v>
      </c>
      <c r="F33" s="34">
        <v>88</v>
      </c>
      <c r="G33" s="34">
        <f t="shared" si="1"/>
        <v>134</v>
      </c>
      <c r="H33" s="39">
        <f t="shared" si="2"/>
        <v>106</v>
      </c>
      <c r="I33" s="34">
        <f t="shared" si="2"/>
        <v>166</v>
      </c>
      <c r="J33" s="35">
        <f t="shared" si="3"/>
        <v>272</v>
      </c>
    </row>
    <row r="34" spans="1:10" x14ac:dyDescent="0.25">
      <c r="A34" s="12" t="s">
        <v>45</v>
      </c>
      <c r="B34" s="39">
        <v>68</v>
      </c>
      <c r="C34" s="34">
        <v>145</v>
      </c>
      <c r="D34" s="35">
        <f t="shared" si="0"/>
        <v>213</v>
      </c>
      <c r="E34" s="34">
        <v>3</v>
      </c>
      <c r="F34" s="34">
        <v>11</v>
      </c>
      <c r="G34" s="34">
        <f t="shared" si="1"/>
        <v>14</v>
      </c>
      <c r="H34" s="39">
        <f t="shared" si="2"/>
        <v>71</v>
      </c>
      <c r="I34" s="34">
        <f t="shared" si="2"/>
        <v>156</v>
      </c>
      <c r="J34" s="35">
        <f t="shared" si="3"/>
        <v>227</v>
      </c>
    </row>
    <row r="35" spans="1:10" x14ac:dyDescent="0.25">
      <c r="A35" s="12" t="s">
        <v>95</v>
      </c>
      <c r="B35" s="39">
        <v>0</v>
      </c>
      <c r="C35" s="34">
        <v>0</v>
      </c>
      <c r="D35" s="35">
        <f t="shared" si="0"/>
        <v>0</v>
      </c>
      <c r="E35" s="34">
        <v>7</v>
      </c>
      <c r="F35" s="34">
        <v>2</v>
      </c>
      <c r="G35" s="34">
        <f t="shared" si="1"/>
        <v>9</v>
      </c>
      <c r="H35" s="39">
        <f t="shared" si="2"/>
        <v>7</v>
      </c>
      <c r="I35" s="34">
        <f t="shared" si="2"/>
        <v>2</v>
      </c>
      <c r="J35" s="35">
        <f t="shared" si="3"/>
        <v>9</v>
      </c>
    </row>
    <row r="36" spans="1:10" x14ac:dyDescent="0.25">
      <c r="A36" s="12" t="s">
        <v>47</v>
      </c>
      <c r="B36" s="39">
        <v>138</v>
      </c>
      <c r="C36" s="34">
        <v>190</v>
      </c>
      <c r="D36" s="35">
        <f t="shared" si="0"/>
        <v>328</v>
      </c>
      <c r="E36" s="34">
        <v>56</v>
      </c>
      <c r="F36" s="34">
        <v>70</v>
      </c>
      <c r="G36" s="34">
        <f t="shared" si="1"/>
        <v>126</v>
      </c>
      <c r="H36" s="39">
        <f t="shared" si="2"/>
        <v>194</v>
      </c>
      <c r="I36" s="34">
        <f t="shared" si="2"/>
        <v>260</v>
      </c>
      <c r="J36" s="35">
        <f t="shared" si="3"/>
        <v>454</v>
      </c>
    </row>
    <row r="37" spans="1:10" x14ac:dyDescent="0.25">
      <c r="A37" s="12" t="s">
        <v>48</v>
      </c>
      <c r="B37" s="39">
        <v>45</v>
      </c>
      <c r="C37" s="34">
        <v>93</v>
      </c>
      <c r="D37" s="35">
        <f t="shared" si="0"/>
        <v>138</v>
      </c>
      <c r="E37" s="34">
        <v>5</v>
      </c>
      <c r="F37" s="34">
        <v>4</v>
      </c>
      <c r="G37" s="34">
        <f t="shared" si="1"/>
        <v>9</v>
      </c>
      <c r="H37" s="39">
        <f t="shared" si="2"/>
        <v>50</v>
      </c>
      <c r="I37" s="34">
        <f t="shared" si="2"/>
        <v>97</v>
      </c>
      <c r="J37" s="35">
        <f t="shared" si="3"/>
        <v>147</v>
      </c>
    </row>
    <row r="38" spans="1:10" x14ac:dyDescent="0.25">
      <c r="A38" s="12" t="s">
        <v>49</v>
      </c>
      <c r="B38" s="39">
        <v>62</v>
      </c>
      <c r="C38" s="34">
        <v>96</v>
      </c>
      <c r="D38" s="35">
        <f t="shared" si="0"/>
        <v>158</v>
      </c>
      <c r="E38" s="34">
        <v>17</v>
      </c>
      <c r="F38" s="34">
        <v>42</v>
      </c>
      <c r="G38" s="34">
        <f t="shared" si="1"/>
        <v>59</v>
      </c>
      <c r="H38" s="39">
        <f t="shared" si="2"/>
        <v>79</v>
      </c>
      <c r="I38" s="34">
        <f t="shared" si="2"/>
        <v>138</v>
      </c>
      <c r="J38" s="35">
        <f t="shared" si="3"/>
        <v>217</v>
      </c>
    </row>
    <row r="39" spans="1:10" x14ac:dyDescent="0.25">
      <c r="A39" s="12" t="s">
        <v>50</v>
      </c>
      <c r="B39" s="39">
        <v>13</v>
      </c>
      <c r="C39" s="34">
        <v>25</v>
      </c>
      <c r="D39" s="35">
        <f t="shared" si="0"/>
        <v>38</v>
      </c>
      <c r="E39" s="34">
        <v>16</v>
      </c>
      <c r="F39" s="34">
        <v>9</v>
      </c>
      <c r="G39" s="34">
        <f t="shared" si="1"/>
        <v>25</v>
      </c>
      <c r="H39" s="39">
        <f t="shared" si="2"/>
        <v>29</v>
      </c>
      <c r="I39" s="34">
        <f t="shared" si="2"/>
        <v>34</v>
      </c>
      <c r="J39" s="35">
        <f t="shared" si="3"/>
        <v>63</v>
      </c>
    </row>
    <row r="40" spans="1:10" x14ac:dyDescent="0.25">
      <c r="A40" s="12" t="s">
        <v>51</v>
      </c>
      <c r="B40" s="39">
        <v>154</v>
      </c>
      <c r="C40" s="34">
        <v>183</v>
      </c>
      <c r="D40" s="35">
        <f t="shared" si="0"/>
        <v>337</v>
      </c>
      <c r="E40" s="34">
        <v>49</v>
      </c>
      <c r="F40" s="34">
        <v>53</v>
      </c>
      <c r="G40" s="34">
        <f t="shared" si="1"/>
        <v>102</v>
      </c>
      <c r="H40" s="39">
        <f t="shared" si="2"/>
        <v>203</v>
      </c>
      <c r="I40" s="34">
        <f t="shared" si="2"/>
        <v>236</v>
      </c>
      <c r="J40" s="35">
        <f t="shared" si="3"/>
        <v>439</v>
      </c>
    </row>
    <row r="41" spans="1:10" x14ac:dyDescent="0.25">
      <c r="A41" s="12" t="s">
        <v>52</v>
      </c>
      <c r="B41" s="39">
        <v>33</v>
      </c>
      <c r="C41" s="34">
        <v>130</v>
      </c>
      <c r="D41" s="35">
        <f t="shared" si="0"/>
        <v>163</v>
      </c>
      <c r="E41" s="34">
        <v>14</v>
      </c>
      <c r="F41" s="34">
        <v>44</v>
      </c>
      <c r="G41" s="34">
        <f t="shared" si="1"/>
        <v>58</v>
      </c>
      <c r="H41" s="39">
        <f t="shared" si="2"/>
        <v>47</v>
      </c>
      <c r="I41" s="34">
        <f t="shared" si="2"/>
        <v>174</v>
      </c>
      <c r="J41" s="35">
        <f t="shared" si="3"/>
        <v>221</v>
      </c>
    </row>
    <row r="42" spans="1:10" x14ac:dyDescent="0.25">
      <c r="A42" s="12" t="s">
        <v>110</v>
      </c>
      <c r="B42" s="39">
        <v>10</v>
      </c>
      <c r="C42" s="34">
        <v>183</v>
      </c>
      <c r="D42" s="35">
        <f t="shared" si="0"/>
        <v>193</v>
      </c>
      <c r="E42" s="34">
        <v>11</v>
      </c>
      <c r="F42" s="34">
        <v>72</v>
      </c>
      <c r="G42" s="34">
        <f t="shared" si="1"/>
        <v>83</v>
      </c>
      <c r="H42" s="39">
        <f t="shared" si="2"/>
        <v>21</v>
      </c>
      <c r="I42" s="34">
        <f t="shared" si="2"/>
        <v>255</v>
      </c>
      <c r="J42" s="35">
        <f t="shared" si="3"/>
        <v>276</v>
      </c>
    </row>
    <row r="43" spans="1:10" x14ac:dyDescent="0.25">
      <c r="A43" s="12" t="s">
        <v>111</v>
      </c>
      <c r="B43" s="39">
        <v>22</v>
      </c>
      <c r="C43" s="34">
        <v>89</v>
      </c>
      <c r="D43" s="35">
        <f t="shared" si="0"/>
        <v>111</v>
      </c>
      <c r="E43" s="34">
        <v>0</v>
      </c>
      <c r="F43" s="34">
        <v>0</v>
      </c>
      <c r="G43" s="34">
        <f t="shared" si="1"/>
        <v>0</v>
      </c>
      <c r="H43" s="39">
        <f t="shared" si="2"/>
        <v>22</v>
      </c>
      <c r="I43" s="34">
        <f t="shared" si="2"/>
        <v>89</v>
      </c>
      <c r="J43" s="35">
        <f t="shared" si="3"/>
        <v>111</v>
      </c>
    </row>
    <row r="44" spans="1:10" x14ac:dyDescent="0.25">
      <c r="A44" s="12" t="s">
        <v>55</v>
      </c>
      <c r="B44" s="39">
        <v>42</v>
      </c>
      <c r="C44" s="34">
        <v>135</v>
      </c>
      <c r="D44" s="35">
        <f t="shared" si="0"/>
        <v>177</v>
      </c>
      <c r="E44" s="34">
        <v>9</v>
      </c>
      <c r="F44" s="34">
        <v>16</v>
      </c>
      <c r="G44" s="34">
        <f t="shared" si="1"/>
        <v>25</v>
      </c>
      <c r="H44" s="39">
        <f t="shared" si="2"/>
        <v>51</v>
      </c>
      <c r="I44" s="34">
        <f t="shared" si="2"/>
        <v>151</v>
      </c>
      <c r="J44" s="35">
        <f t="shared" si="3"/>
        <v>202</v>
      </c>
    </row>
    <row r="45" spans="1:10" x14ac:dyDescent="0.25">
      <c r="A45" s="12" t="s">
        <v>101</v>
      </c>
      <c r="B45" s="39">
        <v>0</v>
      </c>
      <c r="C45" s="34">
        <v>0</v>
      </c>
      <c r="D45" s="35">
        <f t="shared" si="0"/>
        <v>0</v>
      </c>
      <c r="E45" s="34">
        <v>14</v>
      </c>
      <c r="F45" s="34">
        <v>18</v>
      </c>
      <c r="G45" s="34">
        <f t="shared" si="1"/>
        <v>32</v>
      </c>
      <c r="H45" s="39">
        <f t="shared" si="2"/>
        <v>14</v>
      </c>
      <c r="I45" s="34">
        <f t="shared" si="2"/>
        <v>18</v>
      </c>
      <c r="J45" s="35">
        <f t="shared" si="3"/>
        <v>32</v>
      </c>
    </row>
    <row r="46" spans="1:10" x14ac:dyDescent="0.25">
      <c r="A46" s="12" t="s">
        <v>56</v>
      </c>
      <c r="B46" s="39">
        <v>99</v>
      </c>
      <c r="C46" s="34">
        <v>72</v>
      </c>
      <c r="D46" s="35">
        <f t="shared" si="0"/>
        <v>171</v>
      </c>
      <c r="E46" s="34">
        <v>0</v>
      </c>
      <c r="F46" s="34">
        <v>0</v>
      </c>
      <c r="G46" s="34">
        <f t="shared" si="1"/>
        <v>0</v>
      </c>
      <c r="H46" s="39">
        <f t="shared" si="2"/>
        <v>99</v>
      </c>
      <c r="I46" s="34">
        <f t="shared" si="2"/>
        <v>72</v>
      </c>
      <c r="J46" s="35">
        <f t="shared" si="3"/>
        <v>171</v>
      </c>
    </row>
    <row r="47" spans="1:10" x14ac:dyDescent="0.25">
      <c r="A47" s="12" t="s">
        <v>1</v>
      </c>
      <c r="B47" s="39">
        <v>248</v>
      </c>
      <c r="C47" s="34">
        <v>308</v>
      </c>
      <c r="D47" s="35">
        <f t="shared" si="0"/>
        <v>556</v>
      </c>
      <c r="E47" s="34">
        <v>189</v>
      </c>
      <c r="F47" s="34">
        <v>277</v>
      </c>
      <c r="G47" s="34">
        <f t="shared" si="1"/>
        <v>466</v>
      </c>
      <c r="H47" s="39">
        <f t="shared" si="2"/>
        <v>437</v>
      </c>
      <c r="I47" s="34">
        <f t="shared" si="2"/>
        <v>585</v>
      </c>
      <c r="J47" s="35">
        <f t="shared" si="3"/>
        <v>1022</v>
      </c>
    </row>
    <row r="48" spans="1:10" x14ac:dyDescent="0.25">
      <c r="A48" s="12" t="s">
        <v>102</v>
      </c>
      <c r="B48" s="39">
        <v>26</v>
      </c>
      <c r="C48" s="34">
        <v>28</v>
      </c>
      <c r="D48" s="35">
        <f t="shared" si="0"/>
        <v>54</v>
      </c>
      <c r="E48" s="34">
        <v>50</v>
      </c>
      <c r="F48" s="34">
        <v>180</v>
      </c>
      <c r="G48" s="34">
        <f t="shared" si="1"/>
        <v>230</v>
      </c>
      <c r="H48" s="39">
        <f t="shared" si="2"/>
        <v>76</v>
      </c>
      <c r="I48" s="34">
        <f t="shared" si="2"/>
        <v>208</v>
      </c>
      <c r="J48" s="35">
        <f t="shared" si="3"/>
        <v>284</v>
      </c>
    </row>
    <row r="49" spans="1:10" x14ac:dyDescent="0.25">
      <c r="A49" s="12" t="s">
        <v>58</v>
      </c>
      <c r="B49" s="39">
        <v>32</v>
      </c>
      <c r="C49" s="34">
        <v>20</v>
      </c>
      <c r="D49" s="35">
        <f t="shared" si="0"/>
        <v>52</v>
      </c>
      <c r="E49" s="34">
        <v>22</v>
      </c>
      <c r="F49" s="34">
        <v>13</v>
      </c>
      <c r="G49" s="34">
        <f t="shared" si="1"/>
        <v>35</v>
      </c>
      <c r="H49" s="39">
        <f t="shared" si="2"/>
        <v>54</v>
      </c>
      <c r="I49" s="34">
        <f t="shared" si="2"/>
        <v>33</v>
      </c>
      <c r="J49" s="35">
        <f t="shared" si="3"/>
        <v>87</v>
      </c>
    </row>
    <row r="50" spans="1:10" x14ac:dyDescent="0.25">
      <c r="A50" s="12" t="s">
        <v>59</v>
      </c>
      <c r="B50" s="39">
        <v>334</v>
      </c>
      <c r="C50" s="34">
        <v>242</v>
      </c>
      <c r="D50" s="35">
        <f t="shared" si="0"/>
        <v>576</v>
      </c>
      <c r="E50" s="34">
        <v>35</v>
      </c>
      <c r="F50" s="34">
        <v>11</v>
      </c>
      <c r="G50" s="34">
        <f t="shared" si="1"/>
        <v>46</v>
      </c>
      <c r="H50" s="39">
        <f t="shared" si="2"/>
        <v>369</v>
      </c>
      <c r="I50" s="34">
        <f t="shared" si="2"/>
        <v>253</v>
      </c>
      <c r="J50" s="35">
        <f t="shared" si="3"/>
        <v>622</v>
      </c>
    </row>
    <row r="51" spans="1:10" x14ac:dyDescent="0.25">
      <c r="A51" s="12" t="s">
        <v>60</v>
      </c>
      <c r="B51" s="39">
        <v>253</v>
      </c>
      <c r="C51" s="34">
        <v>37</v>
      </c>
      <c r="D51" s="35">
        <f t="shared" si="0"/>
        <v>290</v>
      </c>
      <c r="E51" s="34">
        <v>67</v>
      </c>
      <c r="F51" s="34">
        <v>18</v>
      </c>
      <c r="G51" s="34">
        <f t="shared" si="1"/>
        <v>85</v>
      </c>
      <c r="H51" s="39">
        <f t="shared" si="2"/>
        <v>320</v>
      </c>
      <c r="I51" s="34">
        <f t="shared" si="2"/>
        <v>55</v>
      </c>
      <c r="J51" s="35">
        <f t="shared" si="3"/>
        <v>375</v>
      </c>
    </row>
    <row r="52" spans="1:10" x14ac:dyDescent="0.25">
      <c r="A52" s="12" t="s">
        <v>61</v>
      </c>
      <c r="B52" s="39">
        <v>18</v>
      </c>
      <c r="C52" s="34">
        <v>7</v>
      </c>
      <c r="D52" s="35">
        <f t="shared" si="0"/>
        <v>25</v>
      </c>
      <c r="E52" s="34">
        <v>50</v>
      </c>
      <c r="F52" s="34">
        <v>33</v>
      </c>
      <c r="G52" s="34">
        <f t="shared" si="1"/>
        <v>83</v>
      </c>
      <c r="H52" s="39">
        <f t="shared" si="2"/>
        <v>68</v>
      </c>
      <c r="I52" s="34">
        <f t="shared" si="2"/>
        <v>40</v>
      </c>
      <c r="J52" s="35">
        <f t="shared" si="3"/>
        <v>108</v>
      </c>
    </row>
    <row r="53" spans="1:10" x14ac:dyDescent="0.25">
      <c r="A53" s="12" t="s">
        <v>63</v>
      </c>
      <c r="B53" s="39">
        <v>62</v>
      </c>
      <c r="C53" s="34">
        <v>56</v>
      </c>
      <c r="D53" s="35">
        <f t="shared" si="0"/>
        <v>118</v>
      </c>
      <c r="E53" s="34">
        <v>0</v>
      </c>
      <c r="F53" s="34">
        <v>0</v>
      </c>
      <c r="G53" s="34">
        <f t="shared" si="1"/>
        <v>0</v>
      </c>
      <c r="H53" s="39">
        <f t="shared" si="2"/>
        <v>62</v>
      </c>
      <c r="I53" s="34">
        <f t="shared" si="2"/>
        <v>56</v>
      </c>
      <c r="J53" s="35">
        <f t="shared" si="3"/>
        <v>118</v>
      </c>
    </row>
    <row r="54" spans="1:10" x14ac:dyDescent="0.25">
      <c r="A54" s="12" t="s">
        <v>112</v>
      </c>
      <c r="B54" s="39">
        <v>60</v>
      </c>
      <c r="C54" s="34">
        <v>75</v>
      </c>
      <c r="D54" s="35">
        <f t="shared" si="0"/>
        <v>135</v>
      </c>
      <c r="E54" s="34">
        <v>15</v>
      </c>
      <c r="F54" s="34">
        <v>17</v>
      </c>
      <c r="G54" s="34">
        <f t="shared" si="1"/>
        <v>32</v>
      </c>
      <c r="H54" s="39">
        <f t="shared" si="2"/>
        <v>75</v>
      </c>
      <c r="I54" s="34">
        <f t="shared" si="2"/>
        <v>92</v>
      </c>
      <c r="J54" s="35">
        <f t="shared" si="3"/>
        <v>167</v>
      </c>
    </row>
    <row r="55" spans="1:10" x14ac:dyDescent="0.25">
      <c r="A55" s="12" t="s">
        <v>64</v>
      </c>
      <c r="B55" s="39">
        <v>78</v>
      </c>
      <c r="C55" s="34">
        <v>60</v>
      </c>
      <c r="D55" s="35">
        <f t="shared" si="0"/>
        <v>138</v>
      </c>
      <c r="E55" s="34">
        <v>44</v>
      </c>
      <c r="F55" s="34">
        <v>9</v>
      </c>
      <c r="G55" s="34">
        <f t="shared" si="1"/>
        <v>53</v>
      </c>
      <c r="H55" s="39">
        <f t="shared" si="2"/>
        <v>122</v>
      </c>
      <c r="I55" s="34">
        <f t="shared" si="2"/>
        <v>69</v>
      </c>
      <c r="J55" s="35">
        <f t="shared" si="3"/>
        <v>191</v>
      </c>
    </row>
    <row r="56" spans="1:10" x14ac:dyDescent="0.25">
      <c r="A56" s="12" t="s">
        <v>113</v>
      </c>
      <c r="B56" s="39">
        <v>20</v>
      </c>
      <c r="C56" s="34">
        <v>58</v>
      </c>
      <c r="D56" s="35">
        <f t="shared" si="0"/>
        <v>78</v>
      </c>
      <c r="E56" s="34">
        <v>27</v>
      </c>
      <c r="F56" s="34">
        <v>47</v>
      </c>
      <c r="G56" s="34">
        <f t="shared" si="1"/>
        <v>74</v>
      </c>
      <c r="H56" s="39">
        <f t="shared" si="2"/>
        <v>47</v>
      </c>
      <c r="I56" s="34">
        <f t="shared" si="2"/>
        <v>105</v>
      </c>
      <c r="J56" s="35">
        <f t="shared" si="3"/>
        <v>152</v>
      </c>
    </row>
    <row r="57" spans="1:10" x14ac:dyDescent="0.25">
      <c r="A57" s="12" t="s">
        <v>65</v>
      </c>
      <c r="B57" s="39">
        <v>320</v>
      </c>
      <c r="C57" s="34">
        <v>81</v>
      </c>
      <c r="D57" s="35">
        <f t="shared" si="0"/>
        <v>401</v>
      </c>
      <c r="E57" s="34">
        <v>86</v>
      </c>
      <c r="F57" s="34">
        <v>39</v>
      </c>
      <c r="G57" s="34">
        <f t="shared" si="1"/>
        <v>125</v>
      </c>
      <c r="H57" s="39">
        <f t="shared" si="2"/>
        <v>406</v>
      </c>
      <c r="I57" s="34">
        <f t="shared" si="2"/>
        <v>120</v>
      </c>
      <c r="J57" s="35">
        <f t="shared" si="3"/>
        <v>526</v>
      </c>
    </row>
    <row r="58" spans="1:10" x14ac:dyDescent="0.25">
      <c r="A58" s="12" t="s">
        <v>114</v>
      </c>
      <c r="B58" s="39">
        <v>122</v>
      </c>
      <c r="C58" s="34">
        <v>213</v>
      </c>
      <c r="D58" s="35">
        <f t="shared" si="0"/>
        <v>335</v>
      </c>
      <c r="E58" s="34">
        <v>23</v>
      </c>
      <c r="F58" s="34">
        <v>61</v>
      </c>
      <c r="G58" s="34">
        <f t="shared" si="1"/>
        <v>84</v>
      </c>
      <c r="H58" s="39">
        <f t="shared" si="2"/>
        <v>145</v>
      </c>
      <c r="I58" s="34">
        <f t="shared" si="2"/>
        <v>274</v>
      </c>
      <c r="J58" s="35">
        <f t="shared" si="3"/>
        <v>419</v>
      </c>
    </row>
    <row r="59" spans="1:10" x14ac:dyDescent="0.25">
      <c r="A59" s="12" t="s">
        <v>66</v>
      </c>
      <c r="B59" s="39">
        <v>14</v>
      </c>
      <c r="C59" s="34">
        <v>21</v>
      </c>
      <c r="D59" s="35">
        <f t="shared" si="0"/>
        <v>35</v>
      </c>
      <c r="E59" s="34">
        <v>81</v>
      </c>
      <c r="F59" s="34">
        <v>99</v>
      </c>
      <c r="G59" s="34">
        <f t="shared" si="1"/>
        <v>180</v>
      </c>
      <c r="H59" s="39">
        <f t="shared" si="2"/>
        <v>95</v>
      </c>
      <c r="I59" s="34">
        <f t="shared" si="2"/>
        <v>120</v>
      </c>
      <c r="J59" s="35">
        <f t="shared" si="3"/>
        <v>215</v>
      </c>
    </row>
    <row r="60" spans="1:10" x14ac:dyDescent="0.25">
      <c r="A60" s="12" t="s">
        <v>115</v>
      </c>
      <c r="B60" s="39">
        <v>65</v>
      </c>
      <c r="C60" s="34">
        <v>311</v>
      </c>
      <c r="D60" s="35">
        <f t="shared" si="0"/>
        <v>376</v>
      </c>
      <c r="E60" s="34">
        <v>110</v>
      </c>
      <c r="F60" s="34">
        <v>329</v>
      </c>
      <c r="G60" s="34">
        <f t="shared" si="1"/>
        <v>439</v>
      </c>
      <c r="H60" s="39">
        <f t="shared" si="2"/>
        <v>175</v>
      </c>
      <c r="I60" s="34">
        <f t="shared" si="2"/>
        <v>640</v>
      </c>
      <c r="J60" s="35">
        <f t="shared" si="3"/>
        <v>815</v>
      </c>
    </row>
    <row r="61" spans="1:10" x14ac:dyDescent="0.25">
      <c r="A61" s="12" t="s">
        <v>68</v>
      </c>
      <c r="B61" s="39">
        <v>35</v>
      </c>
      <c r="C61" s="34">
        <v>75</v>
      </c>
      <c r="D61" s="35">
        <f t="shared" si="0"/>
        <v>110</v>
      </c>
      <c r="E61" s="34">
        <v>7</v>
      </c>
      <c r="F61" s="34">
        <v>7</v>
      </c>
      <c r="G61" s="34">
        <f t="shared" si="1"/>
        <v>14</v>
      </c>
      <c r="H61" s="39">
        <f t="shared" si="2"/>
        <v>42</v>
      </c>
      <c r="I61" s="34">
        <f t="shared" si="2"/>
        <v>82</v>
      </c>
      <c r="J61" s="35">
        <f t="shared" si="3"/>
        <v>124</v>
      </c>
    </row>
    <row r="62" spans="1:10" x14ac:dyDescent="0.25">
      <c r="A62" s="12" t="s">
        <v>70</v>
      </c>
      <c r="B62" s="39">
        <v>266</v>
      </c>
      <c r="C62" s="34">
        <v>235</v>
      </c>
      <c r="D62" s="35">
        <f t="shared" si="0"/>
        <v>501</v>
      </c>
      <c r="E62" s="34">
        <v>81</v>
      </c>
      <c r="F62" s="34">
        <v>103</v>
      </c>
      <c r="G62" s="34">
        <f t="shared" si="1"/>
        <v>184</v>
      </c>
      <c r="H62" s="39">
        <f t="shared" si="2"/>
        <v>347</v>
      </c>
      <c r="I62" s="34">
        <f t="shared" si="2"/>
        <v>338</v>
      </c>
      <c r="J62" s="35">
        <f t="shared" si="3"/>
        <v>685</v>
      </c>
    </row>
    <row r="63" spans="1:10" x14ac:dyDescent="0.25">
      <c r="A63" s="12" t="s">
        <v>71</v>
      </c>
      <c r="B63" s="39">
        <v>37</v>
      </c>
      <c r="C63" s="34">
        <v>35</v>
      </c>
      <c r="D63" s="35">
        <f t="shared" si="0"/>
        <v>72</v>
      </c>
      <c r="E63" s="34">
        <v>4</v>
      </c>
      <c r="F63" s="34">
        <v>7</v>
      </c>
      <c r="G63" s="34">
        <f t="shared" si="1"/>
        <v>11</v>
      </c>
      <c r="H63" s="39">
        <f t="shared" si="2"/>
        <v>41</v>
      </c>
      <c r="I63" s="34">
        <f t="shared" si="2"/>
        <v>42</v>
      </c>
      <c r="J63" s="35">
        <f t="shared" si="3"/>
        <v>83</v>
      </c>
    </row>
    <row r="64" spans="1:10" x14ac:dyDescent="0.25">
      <c r="A64" s="12" t="s">
        <v>72</v>
      </c>
      <c r="B64" s="39">
        <v>0</v>
      </c>
      <c r="C64" s="34">
        <v>0</v>
      </c>
      <c r="D64" s="35">
        <f t="shared" si="0"/>
        <v>0</v>
      </c>
      <c r="E64" s="34">
        <v>74</v>
      </c>
      <c r="F64" s="34">
        <v>21</v>
      </c>
      <c r="G64" s="34">
        <f t="shared" si="1"/>
        <v>95</v>
      </c>
      <c r="H64" s="39">
        <f t="shared" si="2"/>
        <v>74</v>
      </c>
      <c r="I64" s="34">
        <f t="shared" si="2"/>
        <v>21</v>
      </c>
      <c r="J64" s="35">
        <f t="shared" si="3"/>
        <v>95</v>
      </c>
    </row>
    <row r="65" spans="1:10" x14ac:dyDescent="0.25">
      <c r="A65" s="12" t="s">
        <v>73</v>
      </c>
      <c r="B65" s="39">
        <v>28</v>
      </c>
      <c r="C65" s="34">
        <v>73</v>
      </c>
      <c r="D65" s="35">
        <f t="shared" si="0"/>
        <v>101</v>
      </c>
      <c r="E65" s="34">
        <v>8</v>
      </c>
      <c r="F65" s="34">
        <v>9</v>
      </c>
      <c r="G65" s="34">
        <f t="shared" si="1"/>
        <v>17</v>
      </c>
      <c r="H65" s="39">
        <f t="shared" si="2"/>
        <v>36</v>
      </c>
      <c r="I65" s="34">
        <f t="shared" si="2"/>
        <v>82</v>
      </c>
      <c r="J65" s="35">
        <f t="shared" si="3"/>
        <v>118</v>
      </c>
    </row>
    <row r="66" spans="1:10" x14ac:dyDescent="0.25">
      <c r="A66" s="12" t="s">
        <v>74</v>
      </c>
      <c r="B66" s="39">
        <v>139</v>
      </c>
      <c r="C66" s="34">
        <v>104</v>
      </c>
      <c r="D66" s="35">
        <f t="shared" si="0"/>
        <v>243</v>
      </c>
      <c r="E66" s="34">
        <v>21</v>
      </c>
      <c r="F66" s="34">
        <v>16</v>
      </c>
      <c r="G66" s="34">
        <f t="shared" si="1"/>
        <v>37</v>
      </c>
      <c r="H66" s="39">
        <f t="shared" si="2"/>
        <v>160</v>
      </c>
      <c r="I66" s="34">
        <f t="shared" si="2"/>
        <v>120</v>
      </c>
      <c r="J66" s="35">
        <f t="shared" si="3"/>
        <v>280</v>
      </c>
    </row>
    <row r="67" spans="1:10" x14ac:dyDescent="0.25">
      <c r="A67" s="12" t="s">
        <v>116</v>
      </c>
      <c r="B67" s="39">
        <v>0</v>
      </c>
      <c r="C67" s="34">
        <v>0</v>
      </c>
      <c r="D67" s="35">
        <f t="shared" si="0"/>
        <v>0</v>
      </c>
      <c r="E67" s="34">
        <v>0</v>
      </c>
      <c r="F67" s="34">
        <v>0</v>
      </c>
      <c r="G67" s="34">
        <f t="shared" si="1"/>
        <v>0</v>
      </c>
      <c r="H67" s="39">
        <f t="shared" si="2"/>
        <v>0</v>
      </c>
      <c r="I67" s="34">
        <f t="shared" si="2"/>
        <v>0</v>
      </c>
      <c r="J67" s="35">
        <f t="shared" si="3"/>
        <v>0</v>
      </c>
    </row>
    <row r="68" spans="1:10" x14ac:dyDescent="0.25">
      <c r="A68" s="12" t="s">
        <v>103</v>
      </c>
      <c r="B68" s="39">
        <v>342</v>
      </c>
      <c r="C68" s="34">
        <v>308</v>
      </c>
      <c r="D68" s="35">
        <f t="shared" si="0"/>
        <v>650</v>
      </c>
      <c r="E68" s="34">
        <v>0</v>
      </c>
      <c r="F68" s="34">
        <v>0</v>
      </c>
      <c r="G68" s="34">
        <f t="shared" si="1"/>
        <v>0</v>
      </c>
      <c r="H68" s="39">
        <f t="shared" si="2"/>
        <v>342</v>
      </c>
      <c r="I68" s="34">
        <f t="shared" si="2"/>
        <v>308</v>
      </c>
      <c r="J68" s="35">
        <f t="shared" si="3"/>
        <v>650</v>
      </c>
    </row>
    <row r="69" spans="1:10" x14ac:dyDescent="0.25">
      <c r="A69" s="12" t="s">
        <v>104</v>
      </c>
      <c r="B69" s="39">
        <v>464</v>
      </c>
      <c r="C69" s="34">
        <v>638</v>
      </c>
      <c r="D69" s="35">
        <f t="shared" si="0"/>
        <v>1102</v>
      </c>
      <c r="E69" s="34">
        <v>15</v>
      </c>
      <c r="F69" s="34">
        <v>21</v>
      </c>
      <c r="G69" s="34">
        <f t="shared" si="1"/>
        <v>36</v>
      </c>
      <c r="H69" s="39">
        <f t="shared" si="2"/>
        <v>479</v>
      </c>
      <c r="I69" s="34">
        <f t="shared" si="2"/>
        <v>659</v>
      </c>
      <c r="J69" s="35">
        <f t="shared" si="3"/>
        <v>1138</v>
      </c>
    </row>
    <row r="70" spans="1:10" x14ac:dyDescent="0.25">
      <c r="A70" s="12" t="s">
        <v>105</v>
      </c>
      <c r="B70" s="39">
        <v>0</v>
      </c>
      <c r="C70" s="34">
        <v>0</v>
      </c>
      <c r="D70" s="35">
        <f t="shared" si="0"/>
        <v>0</v>
      </c>
      <c r="E70" s="34">
        <v>9</v>
      </c>
      <c r="F70" s="34">
        <v>13</v>
      </c>
      <c r="G70" s="34">
        <f t="shared" si="1"/>
        <v>22</v>
      </c>
      <c r="H70" s="39">
        <f t="shared" si="2"/>
        <v>9</v>
      </c>
      <c r="I70" s="34">
        <f t="shared" si="2"/>
        <v>13</v>
      </c>
      <c r="J70" s="35">
        <f t="shared" si="3"/>
        <v>22</v>
      </c>
    </row>
    <row r="71" spans="1:10" x14ac:dyDescent="0.25">
      <c r="A71" s="12" t="s">
        <v>79</v>
      </c>
      <c r="B71" s="39">
        <v>19</v>
      </c>
      <c r="C71" s="34">
        <v>26</v>
      </c>
      <c r="D71" s="35">
        <f t="shared" si="0"/>
        <v>45</v>
      </c>
      <c r="E71" s="34">
        <v>84</v>
      </c>
      <c r="F71" s="34">
        <v>196</v>
      </c>
      <c r="G71" s="34">
        <f t="shared" si="1"/>
        <v>280</v>
      </c>
      <c r="H71" s="39">
        <f t="shared" si="2"/>
        <v>103</v>
      </c>
      <c r="I71" s="34">
        <f t="shared" si="2"/>
        <v>222</v>
      </c>
      <c r="J71" s="35">
        <f t="shared" si="3"/>
        <v>325</v>
      </c>
    </row>
    <row r="72" spans="1:10" x14ac:dyDescent="0.25">
      <c r="A72" s="12" t="s">
        <v>117</v>
      </c>
      <c r="B72" s="39">
        <v>0</v>
      </c>
      <c r="C72" s="34">
        <v>0</v>
      </c>
      <c r="D72" s="35">
        <f t="shared" si="0"/>
        <v>0</v>
      </c>
      <c r="E72" s="34">
        <v>36</v>
      </c>
      <c r="F72" s="34">
        <v>31</v>
      </c>
      <c r="G72" s="34">
        <f t="shared" si="1"/>
        <v>67</v>
      </c>
      <c r="H72" s="39">
        <f t="shared" si="2"/>
        <v>36</v>
      </c>
      <c r="I72" s="34">
        <f t="shared" si="2"/>
        <v>31</v>
      </c>
      <c r="J72" s="35">
        <f t="shared" si="3"/>
        <v>67</v>
      </c>
    </row>
    <row r="73" spans="1:10" x14ac:dyDescent="0.25">
      <c r="A73" s="12" t="s">
        <v>80</v>
      </c>
      <c r="B73" s="39">
        <v>17</v>
      </c>
      <c r="C73" s="34">
        <v>65</v>
      </c>
      <c r="D73" s="35">
        <f t="shared" si="0"/>
        <v>82</v>
      </c>
      <c r="E73" s="34">
        <v>15</v>
      </c>
      <c r="F73" s="34">
        <v>31</v>
      </c>
      <c r="G73" s="34">
        <f t="shared" si="1"/>
        <v>46</v>
      </c>
      <c r="H73" s="39">
        <f t="shared" si="2"/>
        <v>32</v>
      </c>
      <c r="I73" s="34">
        <f t="shared" si="2"/>
        <v>96</v>
      </c>
      <c r="J73" s="35">
        <f t="shared" si="3"/>
        <v>128</v>
      </c>
    </row>
    <row r="74" spans="1:10" x14ac:dyDescent="0.25">
      <c r="A74" s="12" t="s">
        <v>81</v>
      </c>
      <c r="B74" s="39">
        <v>0</v>
      </c>
      <c r="C74" s="34">
        <v>0</v>
      </c>
      <c r="D74" s="35">
        <f t="shared" si="0"/>
        <v>0</v>
      </c>
      <c r="E74" s="34">
        <v>287</v>
      </c>
      <c r="F74" s="34">
        <v>221</v>
      </c>
      <c r="G74" s="34">
        <f t="shared" si="1"/>
        <v>508</v>
      </c>
      <c r="H74" s="39">
        <f t="shared" si="2"/>
        <v>287</v>
      </c>
      <c r="I74" s="34">
        <f t="shared" si="2"/>
        <v>221</v>
      </c>
      <c r="J74" s="35">
        <f t="shared" si="3"/>
        <v>508</v>
      </c>
    </row>
    <row r="75" spans="1:10" x14ac:dyDescent="0.25">
      <c r="A75" s="12" t="s">
        <v>118</v>
      </c>
      <c r="B75" s="39">
        <v>0</v>
      </c>
      <c r="C75" s="34">
        <v>0</v>
      </c>
      <c r="D75" s="35">
        <f t="shared" si="0"/>
        <v>0</v>
      </c>
      <c r="E75" s="34">
        <v>14</v>
      </c>
      <c r="F75" s="34">
        <v>42</v>
      </c>
      <c r="G75" s="34">
        <f t="shared" si="1"/>
        <v>56</v>
      </c>
      <c r="H75" s="39">
        <f t="shared" si="2"/>
        <v>14</v>
      </c>
      <c r="I75" s="34">
        <f t="shared" si="2"/>
        <v>42</v>
      </c>
      <c r="J75" s="35">
        <f t="shared" si="3"/>
        <v>56</v>
      </c>
    </row>
    <row r="76" spans="1:10" x14ac:dyDescent="0.25">
      <c r="A76" s="12" t="s">
        <v>119</v>
      </c>
      <c r="B76" s="39">
        <v>0</v>
      </c>
      <c r="C76" s="34">
        <v>0</v>
      </c>
      <c r="D76" s="35">
        <f t="shared" si="0"/>
        <v>0</v>
      </c>
      <c r="E76" s="34">
        <v>6</v>
      </c>
      <c r="F76" s="34">
        <v>10</v>
      </c>
      <c r="G76" s="34">
        <f t="shared" si="1"/>
        <v>16</v>
      </c>
      <c r="H76" s="39">
        <f t="shared" si="2"/>
        <v>6</v>
      </c>
      <c r="I76" s="34">
        <f t="shared" si="2"/>
        <v>10</v>
      </c>
      <c r="J76" s="35">
        <f t="shared" si="3"/>
        <v>16</v>
      </c>
    </row>
    <row r="77" spans="1:10" x14ac:dyDescent="0.25">
      <c r="A77" s="12" t="s">
        <v>120</v>
      </c>
      <c r="B77" s="39">
        <v>0</v>
      </c>
      <c r="C77" s="34">
        <v>0</v>
      </c>
      <c r="D77" s="35">
        <f t="shared" si="0"/>
        <v>0</v>
      </c>
      <c r="E77" s="34">
        <v>7</v>
      </c>
      <c r="F77" s="34">
        <v>8</v>
      </c>
      <c r="G77" s="34">
        <f t="shared" si="1"/>
        <v>15</v>
      </c>
      <c r="H77" s="39">
        <f t="shared" si="2"/>
        <v>7</v>
      </c>
      <c r="I77" s="34">
        <f t="shared" si="2"/>
        <v>8</v>
      </c>
      <c r="J77" s="35">
        <f t="shared" si="3"/>
        <v>15</v>
      </c>
    </row>
    <row r="78" spans="1:10" x14ac:dyDescent="0.25">
      <c r="A78" s="12" t="s">
        <v>121</v>
      </c>
      <c r="B78" s="39">
        <v>15</v>
      </c>
      <c r="C78" s="34">
        <v>9</v>
      </c>
      <c r="D78" s="35">
        <f t="shared" si="0"/>
        <v>24</v>
      </c>
      <c r="E78" s="34">
        <v>35</v>
      </c>
      <c r="F78" s="34">
        <v>64</v>
      </c>
      <c r="G78" s="34">
        <f t="shared" si="1"/>
        <v>99</v>
      </c>
      <c r="H78" s="39">
        <f t="shared" si="2"/>
        <v>50</v>
      </c>
      <c r="I78" s="34">
        <f t="shared" si="2"/>
        <v>73</v>
      </c>
      <c r="J78" s="35">
        <f t="shared" si="3"/>
        <v>123</v>
      </c>
    </row>
    <row r="79" spans="1:10" x14ac:dyDescent="0.25">
      <c r="A79" s="12" t="s">
        <v>122</v>
      </c>
      <c r="B79" s="39">
        <v>4</v>
      </c>
      <c r="C79" s="34">
        <v>6</v>
      </c>
      <c r="D79" s="35">
        <f t="shared" si="0"/>
        <v>10</v>
      </c>
      <c r="E79" s="34">
        <v>22</v>
      </c>
      <c r="F79" s="34">
        <v>44</v>
      </c>
      <c r="G79" s="34">
        <f t="shared" si="1"/>
        <v>66</v>
      </c>
      <c r="H79" s="39">
        <f t="shared" si="2"/>
        <v>26</v>
      </c>
      <c r="I79" s="34">
        <f t="shared" si="2"/>
        <v>50</v>
      </c>
      <c r="J79" s="35">
        <f t="shared" si="3"/>
        <v>76</v>
      </c>
    </row>
    <row r="80" spans="1:10" x14ac:dyDescent="0.25">
      <c r="A80" s="12" t="s">
        <v>123</v>
      </c>
      <c r="B80" s="39">
        <v>2</v>
      </c>
      <c r="C80" s="34">
        <v>4</v>
      </c>
      <c r="D80" s="35">
        <f t="shared" si="0"/>
        <v>6</v>
      </c>
      <c r="E80" s="34">
        <v>78</v>
      </c>
      <c r="F80" s="34">
        <v>75</v>
      </c>
      <c r="G80" s="34">
        <f t="shared" si="1"/>
        <v>153</v>
      </c>
      <c r="H80" s="39">
        <f t="shared" si="2"/>
        <v>80</v>
      </c>
      <c r="I80" s="34">
        <f t="shared" si="2"/>
        <v>79</v>
      </c>
      <c r="J80" s="35">
        <f t="shared" si="3"/>
        <v>159</v>
      </c>
    </row>
    <row r="81" spans="1:10" x14ac:dyDescent="0.25">
      <c r="A81" s="12" t="s">
        <v>124</v>
      </c>
      <c r="B81" s="39">
        <v>0</v>
      </c>
      <c r="C81" s="34">
        <v>0</v>
      </c>
      <c r="D81" s="35">
        <f t="shared" si="0"/>
        <v>0</v>
      </c>
      <c r="E81" s="34">
        <v>21</v>
      </c>
      <c r="F81" s="34">
        <v>24</v>
      </c>
      <c r="G81" s="34">
        <f t="shared" si="1"/>
        <v>45</v>
      </c>
      <c r="H81" s="39">
        <f t="shared" si="2"/>
        <v>21</v>
      </c>
      <c r="I81" s="34">
        <f t="shared" si="2"/>
        <v>24</v>
      </c>
      <c r="J81" s="35">
        <f t="shared" si="3"/>
        <v>45</v>
      </c>
    </row>
    <row r="82" spans="1:10" x14ac:dyDescent="0.25">
      <c r="A82" s="12" t="s">
        <v>86</v>
      </c>
      <c r="B82" s="39">
        <v>0</v>
      </c>
      <c r="C82" s="34">
        <v>0</v>
      </c>
      <c r="D82" s="35">
        <f t="shared" si="0"/>
        <v>0</v>
      </c>
      <c r="E82" s="34">
        <v>79</v>
      </c>
      <c r="F82" s="34">
        <v>107</v>
      </c>
      <c r="G82" s="34">
        <f t="shared" si="1"/>
        <v>186</v>
      </c>
      <c r="H82" s="39">
        <f t="shared" si="2"/>
        <v>79</v>
      </c>
      <c r="I82" s="34">
        <f t="shared" si="2"/>
        <v>107</v>
      </c>
      <c r="J82" s="35">
        <f t="shared" si="3"/>
        <v>186</v>
      </c>
    </row>
    <row r="83" spans="1:10" x14ac:dyDescent="0.25">
      <c r="A83" s="12" t="s">
        <v>125</v>
      </c>
      <c r="B83" s="39">
        <v>0</v>
      </c>
      <c r="C83" s="34">
        <v>0</v>
      </c>
      <c r="D83" s="35">
        <f t="shared" si="0"/>
        <v>0</v>
      </c>
      <c r="E83" s="34">
        <v>2</v>
      </c>
      <c r="F83" s="34">
        <v>4</v>
      </c>
      <c r="G83" s="34">
        <f t="shared" si="1"/>
        <v>6</v>
      </c>
      <c r="H83" s="39">
        <f t="shared" si="2"/>
        <v>2</v>
      </c>
      <c r="I83" s="34">
        <f t="shared" si="2"/>
        <v>4</v>
      </c>
      <c r="J83" s="35">
        <f t="shared" si="3"/>
        <v>6</v>
      </c>
    </row>
    <row r="84" spans="1:10" x14ac:dyDescent="0.25">
      <c r="A84" s="12" t="s">
        <v>126</v>
      </c>
      <c r="B84" s="39">
        <v>0</v>
      </c>
      <c r="C84" s="34">
        <v>0</v>
      </c>
      <c r="D84" s="35">
        <f t="shared" si="0"/>
        <v>0</v>
      </c>
      <c r="E84" s="34">
        <v>8</v>
      </c>
      <c r="F84" s="34">
        <v>24</v>
      </c>
      <c r="G84" s="34">
        <f t="shared" si="1"/>
        <v>32</v>
      </c>
      <c r="H84" s="39">
        <f t="shared" si="2"/>
        <v>8</v>
      </c>
      <c r="I84" s="34">
        <f t="shared" si="2"/>
        <v>24</v>
      </c>
      <c r="J84" s="35">
        <f t="shared" si="3"/>
        <v>32</v>
      </c>
    </row>
    <row r="85" spans="1:10" x14ac:dyDescent="0.25">
      <c r="A85" s="12" t="s">
        <v>127</v>
      </c>
      <c r="B85" s="39">
        <v>0</v>
      </c>
      <c r="C85" s="34">
        <v>0</v>
      </c>
      <c r="D85" s="35">
        <f t="shared" si="0"/>
        <v>0</v>
      </c>
      <c r="E85" s="34">
        <v>9</v>
      </c>
      <c r="F85" s="34">
        <v>10</v>
      </c>
      <c r="G85" s="34">
        <f t="shared" si="1"/>
        <v>19</v>
      </c>
      <c r="H85" s="39">
        <f t="shared" si="2"/>
        <v>9</v>
      </c>
      <c r="I85" s="34">
        <f t="shared" si="2"/>
        <v>10</v>
      </c>
      <c r="J85" s="35">
        <f t="shared" si="3"/>
        <v>19</v>
      </c>
    </row>
    <row r="86" spans="1:10" x14ac:dyDescent="0.25">
      <c r="A86" s="12" t="s">
        <v>87</v>
      </c>
      <c r="B86" s="39">
        <v>0</v>
      </c>
      <c r="C86" s="34">
        <v>0</v>
      </c>
      <c r="D86" s="35">
        <f t="shared" si="0"/>
        <v>0</v>
      </c>
      <c r="E86" s="34">
        <v>21</v>
      </c>
      <c r="F86" s="34">
        <v>40</v>
      </c>
      <c r="G86" s="34">
        <f t="shared" si="1"/>
        <v>61</v>
      </c>
      <c r="H86" s="39">
        <f t="shared" si="2"/>
        <v>21</v>
      </c>
      <c r="I86" s="34">
        <f t="shared" si="2"/>
        <v>40</v>
      </c>
      <c r="J86" s="35">
        <f t="shared" si="3"/>
        <v>61</v>
      </c>
    </row>
    <row r="87" spans="1:10" x14ac:dyDescent="0.25">
      <c r="A87" s="12" t="s">
        <v>128</v>
      </c>
      <c r="B87" s="39">
        <v>11</v>
      </c>
      <c r="C87" s="34">
        <v>10</v>
      </c>
      <c r="D87" s="35">
        <f t="shared" si="0"/>
        <v>21</v>
      </c>
      <c r="E87" s="34">
        <v>13</v>
      </c>
      <c r="F87" s="34">
        <v>13</v>
      </c>
      <c r="G87" s="34">
        <f t="shared" si="1"/>
        <v>26</v>
      </c>
      <c r="H87" s="39">
        <f t="shared" si="2"/>
        <v>24</v>
      </c>
      <c r="I87" s="34">
        <f t="shared" si="2"/>
        <v>23</v>
      </c>
      <c r="J87" s="35">
        <f t="shared" si="3"/>
        <v>47</v>
      </c>
    </row>
    <row r="88" spans="1:10" x14ac:dyDescent="0.25">
      <c r="A88" s="12" t="s">
        <v>129</v>
      </c>
      <c r="B88" s="39">
        <v>0</v>
      </c>
      <c r="C88" s="34">
        <v>0</v>
      </c>
      <c r="D88" s="35">
        <f t="shared" si="0"/>
        <v>0</v>
      </c>
      <c r="E88" s="34">
        <v>3</v>
      </c>
      <c r="F88" s="34">
        <v>4</v>
      </c>
      <c r="G88" s="34">
        <f t="shared" si="1"/>
        <v>7</v>
      </c>
      <c r="H88" s="39">
        <f t="shared" si="2"/>
        <v>3</v>
      </c>
      <c r="I88" s="34">
        <f t="shared" si="2"/>
        <v>4</v>
      </c>
      <c r="J88" s="35">
        <f t="shared" si="3"/>
        <v>7</v>
      </c>
    </row>
    <row r="89" spans="1:10" x14ac:dyDescent="0.25">
      <c r="A89" s="12" t="s">
        <v>130</v>
      </c>
      <c r="B89" s="39">
        <v>4</v>
      </c>
      <c r="C89" s="34">
        <v>5</v>
      </c>
      <c r="D89" s="35">
        <f t="shared" si="0"/>
        <v>9</v>
      </c>
      <c r="E89" s="34">
        <v>11</v>
      </c>
      <c r="F89" s="34">
        <v>31</v>
      </c>
      <c r="G89" s="34">
        <f t="shared" si="1"/>
        <v>42</v>
      </c>
      <c r="H89" s="39">
        <f t="shared" si="2"/>
        <v>15</v>
      </c>
      <c r="I89" s="34">
        <f t="shared" si="2"/>
        <v>36</v>
      </c>
      <c r="J89" s="35">
        <f t="shared" si="3"/>
        <v>51</v>
      </c>
    </row>
    <row r="90" spans="1:10" ht="15.75" thickBot="1" x14ac:dyDescent="0.3">
      <c r="A90" s="13" t="s">
        <v>131</v>
      </c>
      <c r="B90" s="43">
        <v>0</v>
      </c>
      <c r="C90" s="44">
        <v>0</v>
      </c>
      <c r="D90" s="45">
        <v>0</v>
      </c>
      <c r="E90" s="44">
        <v>64</v>
      </c>
      <c r="F90" s="44">
        <v>16</v>
      </c>
      <c r="G90" s="44">
        <f t="shared" ref="G90:G91" si="4">SUM(E90:F90)</f>
        <v>80</v>
      </c>
      <c r="H90" s="43">
        <f t="shared" ref="H90:I91" si="5">B90+E90</f>
        <v>64</v>
      </c>
      <c r="I90" s="44">
        <f t="shared" si="5"/>
        <v>16</v>
      </c>
      <c r="J90" s="45">
        <f t="shared" ref="J90:J91" si="6">SUM(H90:I90)</f>
        <v>80</v>
      </c>
    </row>
    <row r="91" spans="1:10" ht="16.5" thickTop="1" thickBot="1" x14ac:dyDescent="0.3">
      <c r="A91" s="8" t="s">
        <v>0</v>
      </c>
      <c r="B91" s="8">
        <f>SUM(B7:B90)</f>
        <v>5873</v>
      </c>
      <c r="C91" s="36">
        <f>SUM(C7:C90)</f>
        <v>6283</v>
      </c>
      <c r="D91" s="40">
        <f>SUM(D7:D90)</f>
        <v>12156</v>
      </c>
      <c r="E91" s="36">
        <f>SUM(E7:E90)</f>
        <v>3755</v>
      </c>
      <c r="F91" s="36">
        <f>SUM(F7:F90)</f>
        <v>4259</v>
      </c>
      <c r="G91" s="37">
        <f t="shared" si="4"/>
        <v>8014</v>
      </c>
      <c r="H91" s="41">
        <f t="shared" si="5"/>
        <v>9628</v>
      </c>
      <c r="I91" s="37">
        <f t="shared" si="5"/>
        <v>10542</v>
      </c>
      <c r="J91" s="38">
        <f t="shared" si="6"/>
        <v>20170</v>
      </c>
    </row>
    <row r="92" spans="1:10" ht="15.75" thickBo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25">
      <c r="A93" s="16" t="s">
        <v>16</v>
      </c>
      <c r="B93" s="58" t="s">
        <v>3</v>
      </c>
      <c r="C93" s="59"/>
      <c r="D93" s="60"/>
      <c r="E93" s="58" t="s">
        <v>4</v>
      </c>
      <c r="F93" s="59"/>
      <c r="G93" s="60"/>
      <c r="H93" s="58" t="s">
        <v>0</v>
      </c>
      <c r="I93" s="59"/>
      <c r="J93" s="60"/>
    </row>
    <row r="94" spans="1:10" x14ac:dyDescent="0.25">
      <c r="A94" s="17"/>
      <c r="B94" s="32" t="s">
        <v>5</v>
      </c>
      <c r="C94" s="31" t="s">
        <v>6</v>
      </c>
      <c r="D94" s="33" t="s">
        <v>0</v>
      </c>
      <c r="E94" s="32" t="s">
        <v>5</v>
      </c>
      <c r="F94" s="31" t="s">
        <v>6</v>
      </c>
      <c r="G94" s="33" t="s">
        <v>0</v>
      </c>
      <c r="H94" s="32" t="s">
        <v>5</v>
      </c>
      <c r="I94" s="31" t="s">
        <v>6</v>
      </c>
      <c r="J94" s="30" t="s">
        <v>0</v>
      </c>
    </row>
    <row r="95" spans="1:10" x14ac:dyDescent="0.25">
      <c r="A95" s="29" t="s">
        <v>15</v>
      </c>
      <c r="B95" s="6">
        <v>736</v>
      </c>
      <c r="C95" s="4">
        <v>1221</v>
      </c>
      <c r="D95" s="5">
        <f t="shared" ref="D95:D102" si="7">B95+C95</f>
        <v>1957</v>
      </c>
      <c r="E95" s="6">
        <v>304</v>
      </c>
      <c r="F95" s="4">
        <v>561</v>
      </c>
      <c r="G95" s="4">
        <f t="shared" ref="G95:G102" si="8">E95+F95</f>
        <v>865</v>
      </c>
      <c r="H95" s="6">
        <f>B95+E95</f>
        <v>1040</v>
      </c>
      <c r="I95" s="4">
        <f>C95+F95</f>
        <v>1782</v>
      </c>
      <c r="J95" s="7">
        <f t="shared" ref="J95:J102" si="9">H95+I95</f>
        <v>2822</v>
      </c>
    </row>
    <row r="96" spans="1:10" x14ac:dyDescent="0.25">
      <c r="A96" s="29" t="s">
        <v>100</v>
      </c>
      <c r="B96" s="6">
        <v>536</v>
      </c>
      <c r="C96" s="4">
        <v>763</v>
      </c>
      <c r="D96" s="5">
        <f t="shared" si="7"/>
        <v>1299</v>
      </c>
      <c r="E96" s="6">
        <v>836</v>
      </c>
      <c r="F96" s="4">
        <v>1013</v>
      </c>
      <c r="G96" s="4">
        <f t="shared" si="8"/>
        <v>1849</v>
      </c>
      <c r="H96" s="6">
        <f t="shared" ref="H96:I102" si="10">B96+E96</f>
        <v>1372</v>
      </c>
      <c r="I96" s="4">
        <f t="shared" si="10"/>
        <v>1776</v>
      </c>
      <c r="J96" s="7">
        <f t="shared" si="9"/>
        <v>3148</v>
      </c>
    </row>
    <row r="97" spans="1:10" x14ac:dyDescent="0.25">
      <c r="A97" s="29" t="s">
        <v>14</v>
      </c>
      <c r="B97" s="6">
        <v>394</v>
      </c>
      <c r="C97" s="4">
        <v>285</v>
      </c>
      <c r="D97" s="5">
        <f t="shared" si="7"/>
        <v>679</v>
      </c>
      <c r="E97" s="6">
        <v>403</v>
      </c>
      <c r="F97" s="4">
        <v>422</v>
      </c>
      <c r="G97" s="4">
        <f t="shared" si="8"/>
        <v>825</v>
      </c>
      <c r="H97" s="6">
        <f t="shared" si="10"/>
        <v>797</v>
      </c>
      <c r="I97" s="4">
        <f t="shared" si="10"/>
        <v>707</v>
      </c>
      <c r="J97" s="7">
        <f t="shared" si="9"/>
        <v>1504</v>
      </c>
    </row>
    <row r="98" spans="1:10" x14ac:dyDescent="0.25">
      <c r="A98" s="29" t="s">
        <v>91</v>
      </c>
      <c r="B98" s="6">
        <v>1003</v>
      </c>
      <c r="C98" s="4">
        <v>291</v>
      </c>
      <c r="D98" s="5">
        <f t="shared" si="7"/>
        <v>1294</v>
      </c>
      <c r="E98" s="6">
        <v>774</v>
      </c>
      <c r="F98" s="4">
        <v>313</v>
      </c>
      <c r="G98" s="4">
        <f t="shared" si="8"/>
        <v>1087</v>
      </c>
      <c r="H98" s="6">
        <f t="shared" si="10"/>
        <v>1777</v>
      </c>
      <c r="I98" s="4">
        <f t="shared" si="10"/>
        <v>604</v>
      </c>
      <c r="J98" s="7">
        <f t="shared" si="9"/>
        <v>2381</v>
      </c>
    </row>
    <row r="99" spans="1:10" x14ac:dyDescent="0.25">
      <c r="A99" s="29" t="s">
        <v>1</v>
      </c>
      <c r="B99" s="6">
        <v>248</v>
      </c>
      <c r="C99" s="4">
        <v>308</v>
      </c>
      <c r="D99" s="5">
        <f t="shared" si="7"/>
        <v>556</v>
      </c>
      <c r="E99" s="6">
        <v>189</v>
      </c>
      <c r="F99" s="4">
        <v>277</v>
      </c>
      <c r="G99" s="4">
        <f t="shared" si="8"/>
        <v>466</v>
      </c>
      <c r="H99" s="6">
        <f t="shared" si="10"/>
        <v>437</v>
      </c>
      <c r="I99" s="4">
        <f t="shared" si="10"/>
        <v>585</v>
      </c>
      <c r="J99" s="7">
        <f t="shared" si="9"/>
        <v>1022</v>
      </c>
    </row>
    <row r="100" spans="1:10" x14ac:dyDescent="0.25">
      <c r="A100" s="29" t="s">
        <v>11</v>
      </c>
      <c r="B100" s="6">
        <v>840</v>
      </c>
      <c r="C100" s="4">
        <v>1528</v>
      </c>
      <c r="D100" s="5">
        <f t="shared" si="7"/>
        <v>2368</v>
      </c>
      <c r="E100" s="6">
        <v>319</v>
      </c>
      <c r="F100" s="4">
        <v>691</v>
      </c>
      <c r="G100" s="4">
        <f t="shared" si="8"/>
        <v>1010</v>
      </c>
      <c r="H100" s="6">
        <f t="shared" si="10"/>
        <v>1159</v>
      </c>
      <c r="I100" s="4">
        <f t="shared" si="10"/>
        <v>2219</v>
      </c>
      <c r="J100" s="7">
        <f t="shared" si="9"/>
        <v>3378</v>
      </c>
    </row>
    <row r="101" spans="1:10" x14ac:dyDescent="0.25">
      <c r="A101" s="29" t="s">
        <v>10</v>
      </c>
      <c r="B101" s="6">
        <v>1117</v>
      </c>
      <c r="C101" s="4">
        <v>726</v>
      </c>
      <c r="D101" s="5">
        <f t="shared" si="7"/>
        <v>1843</v>
      </c>
      <c r="E101" s="6">
        <v>359</v>
      </c>
      <c r="F101" s="4">
        <v>200</v>
      </c>
      <c r="G101" s="4">
        <f t="shared" si="8"/>
        <v>559</v>
      </c>
      <c r="H101" s="6">
        <f t="shared" si="10"/>
        <v>1476</v>
      </c>
      <c r="I101" s="4">
        <f t="shared" si="10"/>
        <v>926</v>
      </c>
      <c r="J101" s="7">
        <f t="shared" si="9"/>
        <v>2402</v>
      </c>
    </row>
    <row r="102" spans="1:10" ht="15.75" thickBot="1" x14ac:dyDescent="0.3">
      <c r="A102" s="28" t="s">
        <v>9</v>
      </c>
      <c r="B102" s="10">
        <v>999</v>
      </c>
      <c r="C102" s="27">
        <v>1161</v>
      </c>
      <c r="D102" s="14">
        <f t="shared" si="7"/>
        <v>2160</v>
      </c>
      <c r="E102" s="10">
        <v>571</v>
      </c>
      <c r="F102" s="11">
        <v>782</v>
      </c>
      <c r="G102" s="11">
        <f t="shared" si="8"/>
        <v>1353</v>
      </c>
      <c r="H102" s="10">
        <f t="shared" si="10"/>
        <v>1570</v>
      </c>
      <c r="I102" s="11">
        <f t="shared" si="10"/>
        <v>1943</v>
      </c>
      <c r="J102" s="26">
        <f t="shared" si="9"/>
        <v>3513</v>
      </c>
    </row>
    <row r="103" spans="1:10" ht="16.5" thickTop="1" thickBot="1" x14ac:dyDescent="0.3">
      <c r="A103" s="9" t="s">
        <v>0</v>
      </c>
      <c r="B103" s="8">
        <f t="shared" ref="B103:J103" si="11">SUM(B95:B102)</f>
        <v>5873</v>
      </c>
      <c r="C103" s="8">
        <f t="shared" si="11"/>
        <v>6283</v>
      </c>
      <c r="D103" s="8">
        <f t="shared" si="11"/>
        <v>12156</v>
      </c>
      <c r="E103" s="8">
        <f t="shared" si="11"/>
        <v>3755</v>
      </c>
      <c r="F103" s="8">
        <f t="shared" si="11"/>
        <v>4259</v>
      </c>
      <c r="G103" s="8">
        <f t="shared" si="11"/>
        <v>8014</v>
      </c>
      <c r="H103" s="8">
        <f t="shared" si="11"/>
        <v>9628</v>
      </c>
      <c r="I103" s="8">
        <f t="shared" si="11"/>
        <v>10542</v>
      </c>
      <c r="J103" s="9">
        <f t="shared" si="11"/>
        <v>20170</v>
      </c>
    </row>
    <row r="104" spans="1:10" ht="15.75" thickBo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10" x14ac:dyDescent="0.25">
      <c r="A105" s="29" t="s">
        <v>15</v>
      </c>
      <c r="B105" s="24">
        <f>B95/D95</f>
        <v>0.37608584568216658</v>
      </c>
      <c r="C105" s="23">
        <f>C95/D95</f>
        <v>0.62391415431783337</v>
      </c>
      <c r="D105" s="5"/>
      <c r="E105" s="24">
        <f>E95/G95</f>
        <v>0.3514450867052023</v>
      </c>
      <c r="F105" s="23">
        <f>F95/G95</f>
        <v>0.64855491329479764</v>
      </c>
      <c r="G105" s="4"/>
      <c r="H105" s="24">
        <f>H95/J95</f>
        <v>0.36853295535081504</v>
      </c>
      <c r="I105" s="23">
        <f>I95/J95</f>
        <v>0.63146704464918502</v>
      </c>
      <c r="J105" s="7"/>
    </row>
    <row r="106" spans="1:10" x14ac:dyDescent="0.25">
      <c r="A106" s="29" t="s">
        <v>100</v>
      </c>
      <c r="B106" s="24">
        <f>B96/D96</f>
        <v>0.41262509622786758</v>
      </c>
      <c r="C106" s="23">
        <f>C96/D96</f>
        <v>0.58737490377213242</v>
      </c>
      <c r="D106" s="5"/>
      <c r="E106" s="24">
        <f>E96/G96</f>
        <v>0.45213628988642507</v>
      </c>
      <c r="F106" s="23">
        <f>F96/G96</f>
        <v>0.54786371011357493</v>
      </c>
      <c r="G106" s="4"/>
      <c r="H106" s="24">
        <f>H96/J96</f>
        <v>0.43583227445997458</v>
      </c>
      <c r="I106" s="23">
        <f>I96/J96</f>
        <v>0.56416772554002537</v>
      </c>
      <c r="J106" s="7"/>
    </row>
    <row r="107" spans="1:10" x14ac:dyDescent="0.25">
      <c r="A107" s="29" t="s">
        <v>14</v>
      </c>
      <c r="B107" s="24">
        <f>B97/D97</f>
        <v>0.5802650957290133</v>
      </c>
      <c r="C107" s="23">
        <f>C97/D97</f>
        <v>0.41973490427098675</v>
      </c>
      <c r="D107" s="5"/>
      <c r="E107" s="24">
        <f>E97/G97</f>
        <v>0.48848484848484847</v>
      </c>
      <c r="F107" s="23">
        <f>F97/G97</f>
        <v>0.51151515151515148</v>
      </c>
      <c r="G107" s="4"/>
      <c r="H107" s="24">
        <f>H97/J97</f>
        <v>0.52992021276595747</v>
      </c>
      <c r="I107" s="23">
        <f>I97/J97</f>
        <v>0.47007978723404253</v>
      </c>
      <c r="J107" s="7"/>
    </row>
    <row r="108" spans="1:10" x14ac:dyDescent="0.25">
      <c r="A108" s="29" t="s">
        <v>91</v>
      </c>
      <c r="B108" s="24">
        <f t="shared" ref="B108:B109" si="12">B98/D98</f>
        <v>0.77511591962905724</v>
      </c>
      <c r="C108" s="23">
        <f t="shared" ref="C108:C109" si="13">C98/D98</f>
        <v>0.22488408037094282</v>
      </c>
      <c r="D108" s="5"/>
      <c r="E108" s="24">
        <f t="shared" ref="E108:E109" si="14">E98/G98</f>
        <v>0.71205151793928245</v>
      </c>
      <c r="F108" s="23">
        <f t="shared" ref="F108:F109" si="15">F98/G98</f>
        <v>0.28794848206071755</v>
      </c>
      <c r="G108" s="4"/>
      <c r="H108" s="24">
        <f t="shared" ref="H108:H109" si="16">H98/J98</f>
        <v>0.74632507349853006</v>
      </c>
      <c r="I108" s="23">
        <f t="shared" ref="I108:I109" si="17">I98/J98</f>
        <v>0.25367492650146994</v>
      </c>
      <c r="J108" s="7"/>
    </row>
    <row r="109" spans="1:10" x14ac:dyDescent="0.25">
      <c r="A109" s="29" t="s">
        <v>1</v>
      </c>
      <c r="B109" s="24">
        <f t="shared" si="12"/>
        <v>0.4460431654676259</v>
      </c>
      <c r="C109" s="23">
        <f t="shared" si="13"/>
        <v>0.5539568345323741</v>
      </c>
      <c r="D109" s="5"/>
      <c r="E109" s="24">
        <f t="shared" si="14"/>
        <v>0.40557939914163088</v>
      </c>
      <c r="F109" s="23">
        <f t="shared" si="15"/>
        <v>0.59442060085836912</v>
      </c>
      <c r="G109" s="4"/>
      <c r="H109" s="24">
        <f t="shared" si="16"/>
        <v>0.42759295499021527</v>
      </c>
      <c r="I109" s="23">
        <f t="shared" si="17"/>
        <v>0.57240704500978479</v>
      </c>
      <c r="J109" s="7"/>
    </row>
    <row r="110" spans="1:10" x14ac:dyDescent="0.25">
      <c r="A110" s="29" t="s">
        <v>11</v>
      </c>
      <c r="B110" s="24">
        <f>B100/D100</f>
        <v>0.35472972972972971</v>
      </c>
      <c r="C110" s="23">
        <f>C100/D100</f>
        <v>0.64527027027027029</v>
      </c>
      <c r="D110" s="5"/>
      <c r="E110" s="24">
        <f>E100/G100</f>
        <v>0.31584158415841584</v>
      </c>
      <c r="F110" s="23">
        <f>F100/G100</f>
        <v>0.68415841584158421</v>
      </c>
      <c r="G110" s="4"/>
      <c r="H110" s="24">
        <f>H100/J100</f>
        <v>0.34310242747187686</v>
      </c>
      <c r="I110" s="23">
        <f>I100/J100</f>
        <v>0.6568975725281232</v>
      </c>
      <c r="J110" s="7"/>
    </row>
    <row r="111" spans="1:10" x14ac:dyDescent="0.25">
      <c r="A111" s="29" t="s">
        <v>10</v>
      </c>
      <c r="B111" s="24">
        <f>B101/D101</f>
        <v>0.6060770482908302</v>
      </c>
      <c r="C111" s="23">
        <f>C101/D101</f>
        <v>0.39392295170916986</v>
      </c>
      <c r="D111" s="5"/>
      <c r="E111" s="24">
        <f>E101/G101</f>
        <v>0.64221824686940965</v>
      </c>
      <c r="F111" s="23">
        <f>F101/G101</f>
        <v>0.35778175313059035</v>
      </c>
      <c r="G111" s="4"/>
      <c r="H111" s="24">
        <f>H101/J101</f>
        <v>0.6144879267277269</v>
      </c>
      <c r="I111" s="23">
        <f>I101/J101</f>
        <v>0.3855120732722731</v>
      </c>
      <c r="J111" s="7"/>
    </row>
    <row r="112" spans="1:10" ht="15.75" thickBot="1" x14ac:dyDescent="0.3">
      <c r="A112" s="28" t="s">
        <v>9</v>
      </c>
      <c r="B112" s="22">
        <f>B102/D102</f>
        <v>0.46250000000000002</v>
      </c>
      <c r="C112" s="21">
        <f>C102/D102</f>
        <v>0.53749999999999998</v>
      </c>
      <c r="D112" s="14"/>
      <c r="E112" s="22">
        <f>E102/G102</f>
        <v>0.42202512934220249</v>
      </c>
      <c r="F112" s="21">
        <f>F102/G102</f>
        <v>0.57797487065779751</v>
      </c>
      <c r="G112" s="11"/>
      <c r="H112" s="22">
        <f>H102/J102</f>
        <v>0.44691147167662965</v>
      </c>
      <c r="I112" s="21">
        <f>I102/J102</f>
        <v>0.5530885283233703</v>
      </c>
      <c r="J112" s="20"/>
    </row>
    <row r="113" spans="1:10" ht="16.5" thickTop="1" thickBot="1" x14ac:dyDescent="0.3">
      <c r="A113" s="9" t="s">
        <v>0</v>
      </c>
      <c r="B113" s="19">
        <f>B103/D103</f>
        <v>0.48313589996709444</v>
      </c>
      <c r="C113" s="19">
        <f>C103/D103</f>
        <v>0.51686410003290562</v>
      </c>
      <c r="D113" s="8"/>
      <c r="E113" s="19">
        <f>E103/G103</f>
        <v>0.46855502869977539</v>
      </c>
      <c r="F113" s="19">
        <f>F103/G103</f>
        <v>0.53144497130022461</v>
      </c>
      <c r="G113" s="8"/>
      <c r="H113" s="19">
        <f>H103/J103</f>
        <v>0.47734258800198315</v>
      </c>
      <c r="I113" s="19">
        <f>I103/J103</f>
        <v>0.52265741199801685</v>
      </c>
      <c r="J113" s="9"/>
    </row>
  </sheetData>
  <mergeCells count="8">
    <mergeCell ref="B93:D93"/>
    <mergeCell ref="E93:G93"/>
    <mergeCell ref="H93:J9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opLeftCell="A73" zoomScale="55" zoomScaleNormal="55" zoomScalePageLayoutView="70" workbookViewId="0">
      <selection activeCell="A94" sqref="A94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2006-07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57</v>
      </c>
      <c r="C7" s="34">
        <v>92</v>
      </c>
      <c r="D7" s="35">
        <f>SUM(B7:C7)</f>
        <v>149</v>
      </c>
      <c r="E7" s="34">
        <v>57</v>
      </c>
      <c r="F7" s="34">
        <v>68</v>
      </c>
      <c r="G7" s="34">
        <f>SUM(E7:F7)</f>
        <v>125</v>
      </c>
      <c r="H7" s="39">
        <f>B7+E7</f>
        <v>114</v>
      </c>
      <c r="I7" s="34">
        <f>C7+F7</f>
        <v>160</v>
      </c>
      <c r="J7" s="35">
        <f>SUM(H7:I7)</f>
        <v>274</v>
      </c>
    </row>
    <row r="8" spans="1:10" x14ac:dyDescent="0.25">
      <c r="A8" s="12" t="s">
        <v>17</v>
      </c>
      <c r="B8" s="39">
        <v>51</v>
      </c>
      <c r="C8" s="34">
        <v>130</v>
      </c>
      <c r="D8" s="35">
        <f t="shared" ref="D8:D91" si="0">SUM(B8:C8)</f>
        <v>181</v>
      </c>
      <c r="E8" s="34">
        <v>55</v>
      </c>
      <c r="F8" s="34">
        <v>100</v>
      </c>
      <c r="G8" s="34">
        <f t="shared" ref="G8:G91" si="1">SUM(E8:F8)</f>
        <v>155</v>
      </c>
      <c r="H8" s="39">
        <f t="shared" ref="H8:I91" si="2">B8+E8</f>
        <v>106</v>
      </c>
      <c r="I8" s="34">
        <f t="shared" si="2"/>
        <v>230</v>
      </c>
      <c r="J8" s="35">
        <f t="shared" ref="J8:J91" si="3">SUM(H8:I8)</f>
        <v>336</v>
      </c>
    </row>
    <row r="9" spans="1:10" x14ac:dyDescent="0.25">
      <c r="A9" s="12" t="s">
        <v>18</v>
      </c>
      <c r="B9" s="39">
        <v>62</v>
      </c>
      <c r="C9" s="34">
        <v>129</v>
      </c>
      <c r="D9" s="35">
        <f t="shared" si="0"/>
        <v>191</v>
      </c>
      <c r="E9" s="34">
        <v>87</v>
      </c>
      <c r="F9" s="34">
        <v>246</v>
      </c>
      <c r="G9" s="34">
        <f t="shared" si="1"/>
        <v>333</v>
      </c>
      <c r="H9" s="39">
        <f t="shared" si="2"/>
        <v>149</v>
      </c>
      <c r="I9" s="34">
        <f t="shared" si="2"/>
        <v>375</v>
      </c>
      <c r="J9" s="35">
        <f t="shared" si="3"/>
        <v>524</v>
      </c>
    </row>
    <row r="10" spans="1:10" x14ac:dyDescent="0.25">
      <c r="A10" s="12" t="s">
        <v>19</v>
      </c>
      <c r="B10" s="39">
        <v>234</v>
      </c>
      <c r="C10" s="34">
        <v>215</v>
      </c>
      <c r="D10" s="35">
        <f t="shared" si="0"/>
        <v>449</v>
      </c>
      <c r="E10" s="34">
        <v>41</v>
      </c>
      <c r="F10" s="34">
        <v>24</v>
      </c>
      <c r="G10" s="34">
        <f t="shared" si="1"/>
        <v>65</v>
      </c>
      <c r="H10" s="39">
        <f t="shared" si="2"/>
        <v>275</v>
      </c>
      <c r="I10" s="34">
        <f t="shared" si="2"/>
        <v>239</v>
      </c>
      <c r="J10" s="35">
        <f t="shared" si="3"/>
        <v>514</v>
      </c>
    </row>
    <row r="11" spans="1:10" x14ac:dyDescent="0.25">
      <c r="A11" s="12" t="s">
        <v>20</v>
      </c>
      <c r="B11" s="39">
        <v>73</v>
      </c>
      <c r="C11" s="34">
        <v>24</v>
      </c>
      <c r="D11" s="35">
        <f t="shared" si="0"/>
        <v>97</v>
      </c>
      <c r="E11" s="34">
        <v>0</v>
      </c>
      <c r="F11" s="34">
        <v>0</v>
      </c>
      <c r="G11" s="34">
        <f t="shared" si="1"/>
        <v>0</v>
      </c>
      <c r="H11" s="39">
        <f t="shared" si="2"/>
        <v>73</v>
      </c>
      <c r="I11" s="34">
        <f t="shared" si="2"/>
        <v>24</v>
      </c>
      <c r="J11" s="35">
        <f t="shared" si="3"/>
        <v>97</v>
      </c>
    </row>
    <row r="12" spans="1:10" x14ac:dyDescent="0.25">
      <c r="A12" s="12" t="s">
        <v>21</v>
      </c>
      <c r="B12" s="39">
        <v>0</v>
      </c>
      <c r="C12" s="34">
        <v>0</v>
      </c>
      <c r="D12" s="35">
        <f t="shared" si="0"/>
        <v>0</v>
      </c>
      <c r="E12" s="34">
        <v>186</v>
      </c>
      <c r="F12" s="34">
        <v>168</v>
      </c>
      <c r="G12" s="34">
        <f t="shared" si="1"/>
        <v>354</v>
      </c>
      <c r="H12" s="39">
        <f t="shared" si="2"/>
        <v>186</v>
      </c>
      <c r="I12" s="34">
        <f t="shared" si="2"/>
        <v>168</v>
      </c>
      <c r="J12" s="35">
        <f t="shared" si="3"/>
        <v>354</v>
      </c>
    </row>
    <row r="13" spans="1:10" x14ac:dyDescent="0.25">
      <c r="A13" s="12" t="s">
        <v>22</v>
      </c>
      <c r="B13" s="39">
        <v>54</v>
      </c>
      <c r="C13" s="34">
        <v>47</v>
      </c>
      <c r="D13" s="35">
        <f t="shared" si="0"/>
        <v>101</v>
      </c>
      <c r="E13" s="34">
        <v>100</v>
      </c>
      <c r="F13" s="34">
        <v>109</v>
      </c>
      <c r="G13" s="34">
        <f t="shared" si="1"/>
        <v>209</v>
      </c>
      <c r="H13" s="39">
        <f t="shared" si="2"/>
        <v>154</v>
      </c>
      <c r="I13" s="34">
        <f t="shared" si="2"/>
        <v>156</v>
      </c>
      <c r="J13" s="35">
        <f t="shared" si="3"/>
        <v>310</v>
      </c>
    </row>
    <row r="14" spans="1:10" x14ac:dyDescent="0.25">
      <c r="A14" s="12" t="s">
        <v>23</v>
      </c>
      <c r="B14" s="39">
        <v>73</v>
      </c>
      <c r="C14" s="34">
        <v>53</v>
      </c>
      <c r="D14" s="35">
        <f t="shared" si="0"/>
        <v>126</v>
      </c>
      <c r="E14" s="34">
        <v>66</v>
      </c>
      <c r="F14" s="34">
        <v>40</v>
      </c>
      <c r="G14" s="34">
        <f t="shared" si="1"/>
        <v>106</v>
      </c>
      <c r="H14" s="39">
        <f t="shared" si="2"/>
        <v>139</v>
      </c>
      <c r="I14" s="34">
        <f t="shared" si="2"/>
        <v>93</v>
      </c>
      <c r="J14" s="35">
        <f t="shared" si="3"/>
        <v>232</v>
      </c>
    </row>
    <row r="15" spans="1:10" x14ac:dyDescent="0.25">
      <c r="A15" s="12" t="s">
        <v>108</v>
      </c>
      <c r="B15" s="39">
        <v>84</v>
      </c>
      <c r="C15" s="34">
        <v>86</v>
      </c>
      <c r="D15" s="35">
        <f t="shared" si="0"/>
        <v>170</v>
      </c>
      <c r="E15" s="34">
        <v>47</v>
      </c>
      <c r="F15" s="34">
        <v>54</v>
      </c>
      <c r="G15" s="34">
        <f t="shared" si="1"/>
        <v>101</v>
      </c>
      <c r="H15" s="39">
        <f t="shared" si="2"/>
        <v>131</v>
      </c>
      <c r="I15" s="34">
        <f t="shared" si="2"/>
        <v>140</v>
      </c>
      <c r="J15" s="35">
        <f t="shared" si="3"/>
        <v>271</v>
      </c>
    </row>
    <row r="16" spans="1:10" x14ac:dyDescent="0.25">
      <c r="A16" s="12" t="s">
        <v>109</v>
      </c>
      <c r="B16" s="39">
        <v>85</v>
      </c>
      <c r="C16" s="34">
        <v>118</v>
      </c>
      <c r="D16" s="35">
        <f t="shared" si="0"/>
        <v>203</v>
      </c>
      <c r="E16" s="34">
        <v>32</v>
      </c>
      <c r="F16" s="34">
        <v>29</v>
      </c>
      <c r="G16" s="34">
        <f t="shared" si="1"/>
        <v>61</v>
      </c>
      <c r="H16" s="39">
        <f t="shared" si="2"/>
        <v>117</v>
      </c>
      <c r="I16" s="34">
        <f t="shared" si="2"/>
        <v>147</v>
      </c>
      <c r="J16" s="35">
        <f t="shared" si="3"/>
        <v>264</v>
      </c>
    </row>
    <row r="17" spans="1:10" x14ac:dyDescent="0.25">
      <c r="A17" s="12" t="s">
        <v>26</v>
      </c>
      <c r="B17" s="39">
        <v>0</v>
      </c>
      <c r="C17" s="34">
        <v>0</v>
      </c>
      <c r="D17" s="35">
        <f t="shared" si="0"/>
        <v>0</v>
      </c>
      <c r="E17" s="34">
        <v>29</v>
      </c>
      <c r="F17" s="34">
        <v>29</v>
      </c>
      <c r="G17" s="34">
        <f t="shared" si="1"/>
        <v>58</v>
      </c>
      <c r="H17" s="39">
        <f t="shared" si="2"/>
        <v>29</v>
      </c>
      <c r="I17" s="34">
        <f t="shared" si="2"/>
        <v>29</v>
      </c>
      <c r="J17" s="35">
        <f t="shared" si="3"/>
        <v>58</v>
      </c>
    </row>
    <row r="18" spans="1:10" x14ac:dyDescent="0.25">
      <c r="A18" s="12" t="s">
        <v>27</v>
      </c>
      <c r="B18" s="39">
        <v>0</v>
      </c>
      <c r="C18" s="34">
        <v>0</v>
      </c>
      <c r="D18" s="35">
        <f t="shared" si="0"/>
        <v>0</v>
      </c>
      <c r="E18" s="34">
        <v>6</v>
      </c>
      <c r="F18" s="34">
        <v>33</v>
      </c>
      <c r="G18" s="34">
        <f t="shared" si="1"/>
        <v>39</v>
      </c>
      <c r="H18" s="39">
        <f t="shared" si="2"/>
        <v>6</v>
      </c>
      <c r="I18" s="34">
        <f t="shared" si="2"/>
        <v>33</v>
      </c>
      <c r="J18" s="35">
        <f t="shared" si="3"/>
        <v>39</v>
      </c>
    </row>
    <row r="19" spans="1:10" x14ac:dyDescent="0.25">
      <c r="A19" s="12" t="s">
        <v>28</v>
      </c>
      <c r="B19" s="39">
        <v>0</v>
      </c>
      <c r="C19" s="34">
        <v>0</v>
      </c>
      <c r="D19" s="35">
        <f t="shared" si="0"/>
        <v>0</v>
      </c>
      <c r="E19" s="34">
        <v>32</v>
      </c>
      <c r="F19" s="34">
        <v>9</v>
      </c>
      <c r="G19" s="34">
        <f t="shared" si="1"/>
        <v>41</v>
      </c>
      <c r="H19" s="39">
        <f t="shared" si="2"/>
        <v>32</v>
      </c>
      <c r="I19" s="34">
        <f t="shared" si="2"/>
        <v>9</v>
      </c>
      <c r="J19" s="35">
        <f t="shared" si="3"/>
        <v>41</v>
      </c>
    </row>
    <row r="20" spans="1:10" x14ac:dyDescent="0.25">
      <c r="A20" s="12" t="s">
        <v>29</v>
      </c>
      <c r="B20" s="39">
        <v>0</v>
      </c>
      <c r="C20" s="34">
        <v>0</v>
      </c>
      <c r="D20" s="35">
        <f t="shared" si="0"/>
        <v>0</v>
      </c>
      <c r="E20" s="34">
        <v>77</v>
      </c>
      <c r="F20" s="34">
        <v>59</v>
      </c>
      <c r="G20" s="34">
        <f t="shared" si="1"/>
        <v>136</v>
      </c>
      <c r="H20" s="39">
        <f t="shared" si="2"/>
        <v>77</v>
      </c>
      <c r="I20" s="34">
        <f t="shared" si="2"/>
        <v>59</v>
      </c>
      <c r="J20" s="35">
        <f t="shared" si="3"/>
        <v>136</v>
      </c>
    </row>
    <row r="21" spans="1:10" x14ac:dyDescent="0.25">
      <c r="A21" s="12" t="s">
        <v>30</v>
      </c>
      <c r="B21" s="39">
        <v>123</v>
      </c>
      <c r="C21" s="34">
        <v>59</v>
      </c>
      <c r="D21" s="35">
        <f t="shared" si="0"/>
        <v>182</v>
      </c>
      <c r="E21" s="34">
        <v>27</v>
      </c>
      <c r="F21" s="34">
        <v>13</v>
      </c>
      <c r="G21" s="34">
        <f t="shared" si="1"/>
        <v>40</v>
      </c>
      <c r="H21" s="39">
        <f t="shared" si="2"/>
        <v>150</v>
      </c>
      <c r="I21" s="34">
        <f t="shared" si="2"/>
        <v>72</v>
      </c>
      <c r="J21" s="35">
        <f t="shared" si="3"/>
        <v>222</v>
      </c>
    </row>
    <row r="22" spans="1:10" x14ac:dyDescent="0.25">
      <c r="A22" s="12" t="s">
        <v>31</v>
      </c>
      <c r="B22" s="39">
        <v>156</v>
      </c>
      <c r="C22" s="34">
        <v>126</v>
      </c>
      <c r="D22" s="35">
        <f t="shared" si="0"/>
        <v>282</v>
      </c>
      <c r="E22" s="34">
        <v>69</v>
      </c>
      <c r="F22" s="34">
        <v>46</v>
      </c>
      <c r="G22" s="34">
        <f t="shared" si="1"/>
        <v>115</v>
      </c>
      <c r="H22" s="39">
        <f t="shared" si="2"/>
        <v>225</v>
      </c>
      <c r="I22" s="34">
        <f t="shared" si="2"/>
        <v>172</v>
      </c>
      <c r="J22" s="35">
        <f t="shared" si="3"/>
        <v>397</v>
      </c>
    </row>
    <row r="23" spans="1:10" x14ac:dyDescent="0.25">
      <c r="A23" s="12" t="s">
        <v>132</v>
      </c>
      <c r="B23" s="39">
        <v>163</v>
      </c>
      <c r="C23" s="34">
        <v>49</v>
      </c>
      <c r="D23" s="35">
        <f t="shared" si="0"/>
        <v>212</v>
      </c>
      <c r="E23" s="34">
        <v>39</v>
      </c>
      <c r="F23" s="34">
        <v>21</v>
      </c>
      <c r="G23" s="34">
        <f t="shared" si="1"/>
        <v>60</v>
      </c>
      <c r="H23" s="39">
        <f t="shared" si="2"/>
        <v>202</v>
      </c>
      <c r="I23" s="34">
        <f t="shared" si="2"/>
        <v>70</v>
      </c>
      <c r="J23" s="35">
        <f t="shared" si="3"/>
        <v>272</v>
      </c>
    </row>
    <row r="24" spans="1:10" x14ac:dyDescent="0.25">
      <c r="A24" s="12" t="s">
        <v>33</v>
      </c>
      <c r="B24" s="39">
        <v>152</v>
      </c>
      <c r="C24" s="34">
        <v>30</v>
      </c>
      <c r="D24" s="35">
        <f t="shared" si="0"/>
        <v>182</v>
      </c>
      <c r="E24" s="34">
        <v>146</v>
      </c>
      <c r="F24" s="34">
        <v>40</v>
      </c>
      <c r="G24" s="34">
        <f t="shared" si="1"/>
        <v>186</v>
      </c>
      <c r="H24" s="39">
        <f t="shared" si="2"/>
        <v>298</v>
      </c>
      <c r="I24" s="34">
        <f t="shared" si="2"/>
        <v>70</v>
      </c>
      <c r="J24" s="35">
        <f t="shared" si="3"/>
        <v>368</v>
      </c>
    </row>
    <row r="25" spans="1:10" x14ac:dyDescent="0.25">
      <c r="A25" s="12" t="s">
        <v>34</v>
      </c>
      <c r="B25" s="39">
        <v>0</v>
      </c>
      <c r="C25" s="34">
        <v>0</v>
      </c>
      <c r="D25" s="35">
        <f t="shared" si="0"/>
        <v>0</v>
      </c>
      <c r="E25" s="34">
        <v>55</v>
      </c>
      <c r="F25" s="34">
        <v>75</v>
      </c>
      <c r="G25" s="34">
        <f t="shared" si="1"/>
        <v>130</v>
      </c>
      <c r="H25" s="39">
        <f t="shared" si="2"/>
        <v>55</v>
      </c>
      <c r="I25" s="34">
        <f t="shared" si="2"/>
        <v>75</v>
      </c>
      <c r="J25" s="35">
        <f t="shared" si="3"/>
        <v>130</v>
      </c>
    </row>
    <row r="26" spans="1:10" x14ac:dyDescent="0.25">
      <c r="A26" s="12" t="s">
        <v>35</v>
      </c>
      <c r="B26" s="39">
        <v>13</v>
      </c>
      <c r="C26" s="34">
        <v>18</v>
      </c>
      <c r="D26" s="35">
        <f t="shared" si="0"/>
        <v>31</v>
      </c>
      <c r="E26" s="34">
        <v>0</v>
      </c>
      <c r="F26" s="34">
        <v>6</v>
      </c>
      <c r="G26" s="34">
        <f t="shared" si="1"/>
        <v>6</v>
      </c>
      <c r="H26" s="39">
        <f t="shared" si="2"/>
        <v>13</v>
      </c>
      <c r="I26" s="34">
        <f t="shared" si="2"/>
        <v>24</v>
      </c>
      <c r="J26" s="35">
        <f t="shared" si="3"/>
        <v>37</v>
      </c>
    </row>
    <row r="27" spans="1:10" x14ac:dyDescent="0.25">
      <c r="A27" s="12" t="s">
        <v>36</v>
      </c>
      <c r="B27" s="39">
        <v>66</v>
      </c>
      <c r="C27" s="34">
        <v>57</v>
      </c>
      <c r="D27" s="35">
        <f t="shared" si="0"/>
        <v>123</v>
      </c>
      <c r="E27" s="34">
        <v>50</v>
      </c>
      <c r="F27" s="34">
        <v>38</v>
      </c>
      <c r="G27" s="34">
        <f t="shared" si="1"/>
        <v>88</v>
      </c>
      <c r="H27" s="39">
        <f t="shared" si="2"/>
        <v>116</v>
      </c>
      <c r="I27" s="34">
        <f t="shared" si="2"/>
        <v>95</v>
      </c>
      <c r="J27" s="35">
        <f t="shared" si="3"/>
        <v>211</v>
      </c>
    </row>
    <row r="28" spans="1:10" x14ac:dyDescent="0.25">
      <c r="A28" s="12" t="s">
        <v>37</v>
      </c>
      <c r="B28" s="39">
        <v>387</v>
      </c>
      <c r="C28" s="34">
        <v>201</v>
      </c>
      <c r="D28" s="35">
        <f t="shared" si="0"/>
        <v>588</v>
      </c>
      <c r="E28" s="34">
        <v>82</v>
      </c>
      <c r="F28" s="34">
        <v>56</v>
      </c>
      <c r="G28" s="34">
        <f t="shared" si="1"/>
        <v>138</v>
      </c>
      <c r="H28" s="39">
        <f t="shared" si="2"/>
        <v>469</v>
      </c>
      <c r="I28" s="34">
        <f t="shared" si="2"/>
        <v>257</v>
      </c>
      <c r="J28" s="35">
        <f t="shared" si="3"/>
        <v>726</v>
      </c>
    </row>
    <row r="29" spans="1:10" x14ac:dyDescent="0.25">
      <c r="A29" s="12" t="s">
        <v>38</v>
      </c>
      <c r="B29" s="39">
        <v>135</v>
      </c>
      <c r="C29" s="34">
        <v>22</v>
      </c>
      <c r="D29" s="35">
        <f t="shared" si="0"/>
        <v>157</v>
      </c>
      <c r="E29" s="34">
        <v>250</v>
      </c>
      <c r="F29" s="34">
        <v>46</v>
      </c>
      <c r="G29" s="34">
        <f t="shared" si="1"/>
        <v>296</v>
      </c>
      <c r="H29" s="39">
        <f t="shared" si="2"/>
        <v>385</v>
      </c>
      <c r="I29" s="34">
        <f t="shared" si="2"/>
        <v>68</v>
      </c>
      <c r="J29" s="35">
        <f t="shared" si="3"/>
        <v>453</v>
      </c>
    </row>
    <row r="30" spans="1:10" x14ac:dyDescent="0.25">
      <c r="A30" s="12" t="s">
        <v>41</v>
      </c>
      <c r="B30" s="39">
        <v>92</v>
      </c>
      <c r="C30" s="34">
        <v>186</v>
      </c>
      <c r="D30" s="35">
        <f t="shared" si="0"/>
        <v>278</v>
      </c>
      <c r="E30" s="34">
        <v>29</v>
      </c>
      <c r="F30" s="34">
        <v>44</v>
      </c>
      <c r="G30" s="34">
        <f t="shared" si="1"/>
        <v>73</v>
      </c>
      <c r="H30" s="39">
        <f t="shared" si="2"/>
        <v>121</v>
      </c>
      <c r="I30" s="34">
        <f t="shared" si="2"/>
        <v>230</v>
      </c>
      <c r="J30" s="35">
        <f t="shared" si="3"/>
        <v>351</v>
      </c>
    </row>
    <row r="31" spans="1:10" x14ac:dyDescent="0.25">
      <c r="A31" s="12" t="s">
        <v>94</v>
      </c>
      <c r="B31" s="39">
        <v>47</v>
      </c>
      <c r="C31" s="34">
        <v>90</v>
      </c>
      <c r="D31" s="35">
        <f t="shared" si="0"/>
        <v>137</v>
      </c>
      <c r="E31" s="34">
        <v>0</v>
      </c>
      <c r="F31" s="34">
        <v>0</v>
      </c>
      <c r="G31" s="34">
        <f t="shared" si="1"/>
        <v>0</v>
      </c>
      <c r="H31" s="39">
        <f t="shared" si="2"/>
        <v>47</v>
      </c>
      <c r="I31" s="34">
        <f t="shared" si="2"/>
        <v>90</v>
      </c>
      <c r="J31" s="35">
        <f t="shared" si="3"/>
        <v>137</v>
      </c>
    </row>
    <row r="32" spans="1:10" x14ac:dyDescent="0.25">
      <c r="A32" s="12" t="s">
        <v>44</v>
      </c>
      <c r="B32" s="39">
        <v>63</v>
      </c>
      <c r="C32" s="34">
        <v>87</v>
      </c>
      <c r="D32" s="35">
        <f t="shared" si="0"/>
        <v>150</v>
      </c>
      <c r="E32" s="34">
        <v>38</v>
      </c>
      <c r="F32" s="34">
        <v>92</v>
      </c>
      <c r="G32" s="34">
        <f t="shared" si="1"/>
        <v>130</v>
      </c>
      <c r="H32" s="39">
        <f t="shared" si="2"/>
        <v>101</v>
      </c>
      <c r="I32" s="34">
        <f t="shared" si="2"/>
        <v>179</v>
      </c>
      <c r="J32" s="35">
        <f t="shared" si="3"/>
        <v>280</v>
      </c>
    </row>
    <row r="33" spans="1:10" x14ac:dyDescent="0.25">
      <c r="A33" s="12" t="s">
        <v>45</v>
      </c>
      <c r="B33" s="39">
        <v>63</v>
      </c>
      <c r="C33" s="34">
        <v>161</v>
      </c>
      <c r="D33" s="35">
        <f t="shared" si="0"/>
        <v>224</v>
      </c>
      <c r="E33" s="34">
        <v>4</v>
      </c>
      <c r="F33" s="34">
        <v>8</v>
      </c>
      <c r="G33" s="34">
        <f t="shared" si="1"/>
        <v>12</v>
      </c>
      <c r="H33" s="39">
        <f t="shared" si="2"/>
        <v>67</v>
      </c>
      <c r="I33" s="34">
        <f t="shared" si="2"/>
        <v>169</v>
      </c>
      <c r="J33" s="35">
        <f t="shared" si="3"/>
        <v>236</v>
      </c>
    </row>
    <row r="34" spans="1:10" x14ac:dyDescent="0.25">
      <c r="A34" s="12" t="s">
        <v>95</v>
      </c>
      <c r="B34" s="39">
        <v>0</v>
      </c>
      <c r="C34" s="34">
        <v>0</v>
      </c>
      <c r="D34" s="35">
        <f t="shared" si="0"/>
        <v>0</v>
      </c>
      <c r="E34" s="34">
        <v>6</v>
      </c>
      <c r="F34" s="34">
        <v>2</v>
      </c>
      <c r="G34" s="34">
        <f t="shared" si="1"/>
        <v>8</v>
      </c>
      <c r="H34" s="39">
        <f t="shared" si="2"/>
        <v>6</v>
      </c>
      <c r="I34" s="34">
        <f t="shared" si="2"/>
        <v>2</v>
      </c>
      <c r="J34" s="35">
        <f t="shared" si="3"/>
        <v>8</v>
      </c>
    </row>
    <row r="35" spans="1:10" x14ac:dyDescent="0.25">
      <c r="A35" s="12" t="s">
        <v>47</v>
      </c>
      <c r="B35" s="39">
        <v>148</v>
      </c>
      <c r="C35" s="34">
        <v>184</v>
      </c>
      <c r="D35" s="35">
        <f t="shared" si="0"/>
        <v>332</v>
      </c>
      <c r="E35" s="34">
        <v>48</v>
      </c>
      <c r="F35" s="34">
        <v>56</v>
      </c>
      <c r="G35" s="34">
        <f t="shared" si="1"/>
        <v>104</v>
      </c>
      <c r="H35" s="39">
        <f t="shared" si="2"/>
        <v>196</v>
      </c>
      <c r="I35" s="34">
        <f t="shared" si="2"/>
        <v>240</v>
      </c>
      <c r="J35" s="35">
        <f t="shared" si="3"/>
        <v>436</v>
      </c>
    </row>
    <row r="36" spans="1:10" x14ac:dyDescent="0.25">
      <c r="A36" s="12" t="s">
        <v>133</v>
      </c>
      <c r="B36" s="39">
        <v>28</v>
      </c>
      <c r="C36" s="34">
        <v>8</v>
      </c>
      <c r="D36" s="35">
        <f t="shared" si="0"/>
        <v>36</v>
      </c>
      <c r="E36" s="34">
        <v>53</v>
      </c>
      <c r="F36" s="34">
        <v>15</v>
      </c>
      <c r="G36" s="34">
        <f t="shared" si="1"/>
        <v>68</v>
      </c>
      <c r="H36" s="39">
        <f t="shared" si="2"/>
        <v>81</v>
      </c>
      <c r="I36" s="34">
        <f t="shared" si="2"/>
        <v>23</v>
      </c>
      <c r="J36" s="35">
        <f t="shared" si="3"/>
        <v>104</v>
      </c>
    </row>
    <row r="37" spans="1:10" x14ac:dyDescent="0.25">
      <c r="A37" s="12" t="s">
        <v>48</v>
      </c>
      <c r="B37" s="39">
        <v>49</v>
      </c>
      <c r="C37" s="34">
        <v>85</v>
      </c>
      <c r="D37" s="35">
        <f t="shared" si="0"/>
        <v>134</v>
      </c>
      <c r="E37" s="34">
        <v>4</v>
      </c>
      <c r="F37" s="34">
        <v>2</v>
      </c>
      <c r="G37" s="34">
        <f t="shared" si="1"/>
        <v>6</v>
      </c>
      <c r="H37" s="39">
        <f t="shared" si="2"/>
        <v>53</v>
      </c>
      <c r="I37" s="34">
        <f t="shared" si="2"/>
        <v>87</v>
      </c>
      <c r="J37" s="35">
        <f t="shared" si="3"/>
        <v>140</v>
      </c>
    </row>
    <row r="38" spans="1:10" x14ac:dyDescent="0.25">
      <c r="A38" s="12" t="s">
        <v>49</v>
      </c>
      <c r="B38" s="39">
        <v>68</v>
      </c>
      <c r="C38" s="34">
        <v>92</v>
      </c>
      <c r="D38" s="35">
        <f t="shared" si="0"/>
        <v>160</v>
      </c>
      <c r="E38" s="34">
        <v>13</v>
      </c>
      <c r="F38" s="34">
        <v>30</v>
      </c>
      <c r="G38" s="34">
        <f t="shared" si="1"/>
        <v>43</v>
      </c>
      <c r="H38" s="39">
        <f t="shared" si="2"/>
        <v>81</v>
      </c>
      <c r="I38" s="34">
        <f t="shared" si="2"/>
        <v>122</v>
      </c>
      <c r="J38" s="35">
        <f t="shared" si="3"/>
        <v>203</v>
      </c>
    </row>
    <row r="39" spans="1:10" x14ac:dyDescent="0.25">
      <c r="A39" s="12" t="s">
        <v>50</v>
      </c>
      <c r="B39" s="39">
        <v>15</v>
      </c>
      <c r="C39" s="34">
        <v>24</v>
      </c>
      <c r="D39" s="35">
        <f t="shared" ref="D39:D43" si="4">SUM(B39:C39)</f>
        <v>39</v>
      </c>
      <c r="E39" s="34">
        <v>19</v>
      </c>
      <c r="F39" s="34">
        <v>15</v>
      </c>
      <c r="G39" s="34">
        <f t="shared" ref="G39:G43" si="5">SUM(E39:F39)</f>
        <v>34</v>
      </c>
      <c r="H39" s="39">
        <f t="shared" ref="H39:H43" si="6">B39+E39</f>
        <v>34</v>
      </c>
      <c r="I39" s="34">
        <f t="shared" ref="I39:I43" si="7">C39+F39</f>
        <v>39</v>
      </c>
      <c r="J39" s="35">
        <f t="shared" ref="J39:J43" si="8">SUM(H39:I39)</f>
        <v>73</v>
      </c>
    </row>
    <row r="40" spans="1:10" x14ac:dyDescent="0.25">
      <c r="A40" s="12" t="s">
        <v>51</v>
      </c>
      <c r="B40" s="39">
        <v>140</v>
      </c>
      <c r="C40" s="34">
        <v>157</v>
      </c>
      <c r="D40" s="35">
        <f t="shared" si="4"/>
        <v>297</v>
      </c>
      <c r="E40" s="34">
        <v>47</v>
      </c>
      <c r="F40" s="34">
        <v>45</v>
      </c>
      <c r="G40" s="34">
        <f t="shared" si="5"/>
        <v>92</v>
      </c>
      <c r="H40" s="39">
        <f t="shared" si="6"/>
        <v>187</v>
      </c>
      <c r="I40" s="34">
        <f t="shared" si="7"/>
        <v>202</v>
      </c>
      <c r="J40" s="35">
        <f t="shared" si="8"/>
        <v>389</v>
      </c>
    </row>
    <row r="41" spans="1:10" x14ac:dyDescent="0.25">
      <c r="A41" s="12" t="s">
        <v>52</v>
      </c>
      <c r="B41" s="39">
        <v>24</v>
      </c>
      <c r="C41" s="34">
        <v>126</v>
      </c>
      <c r="D41" s="35">
        <f t="shared" si="4"/>
        <v>150</v>
      </c>
      <c r="E41" s="34">
        <v>20</v>
      </c>
      <c r="F41" s="34">
        <v>58</v>
      </c>
      <c r="G41" s="34">
        <f t="shared" si="5"/>
        <v>78</v>
      </c>
      <c r="H41" s="39">
        <f t="shared" si="6"/>
        <v>44</v>
      </c>
      <c r="I41" s="34">
        <f t="shared" si="7"/>
        <v>184</v>
      </c>
      <c r="J41" s="35">
        <f t="shared" si="8"/>
        <v>228</v>
      </c>
    </row>
    <row r="42" spans="1:10" x14ac:dyDescent="0.25">
      <c r="A42" s="12" t="s">
        <v>110</v>
      </c>
      <c r="B42" s="39">
        <v>7</v>
      </c>
      <c r="C42" s="34">
        <v>201</v>
      </c>
      <c r="D42" s="35">
        <f t="shared" si="4"/>
        <v>208</v>
      </c>
      <c r="E42" s="34">
        <v>7</v>
      </c>
      <c r="F42" s="34">
        <v>68</v>
      </c>
      <c r="G42" s="34">
        <f t="shared" si="5"/>
        <v>75</v>
      </c>
      <c r="H42" s="39">
        <f t="shared" si="6"/>
        <v>14</v>
      </c>
      <c r="I42" s="34">
        <f t="shared" si="7"/>
        <v>269</v>
      </c>
      <c r="J42" s="35">
        <f t="shared" si="8"/>
        <v>283</v>
      </c>
    </row>
    <row r="43" spans="1:10" x14ac:dyDescent="0.25">
      <c r="A43" s="12" t="s">
        <v>111</v>
      </c>
      <c r="B43" s="39">
        <v>22</v>
      </c>
      <c r="C43" s="34">
        <v>92</v>
      </c>
      <c r="D43" s="35">
        <f t="shared" si="4"/>
        <v>114</v>
      </c>
      <c r="E43" s="34">
        <v>0</v>
      </c>
      <c r="F43" s="34">
        <v>0</v>
      </c>
      <c r="G43" s="34">
        <f t="shared" si="5"/>
        <v>0</v>
      </c>
      <c r="H43" s="39">
        <f t="shared" si="6"/>
        <v>22</v>
      </c>
      <c r="I43" s="34">
        <f t="shared" si="7"/>
        <v>92</v>
      </c>
      <c r="J43" s="35">
        <f t="shared" si="8"/>
        <v>114</v>
      </c>
    </row>
    <row r="44" spans="1:10" x14ac:dyDescent="0.25">
      <c r="A44" s="12" t="s">
        <v>55</v>
      </c>
      <c r="B44" s="39">
        <v>44</v>
      </c>
      <c r="C44" s="34">
        <v>133</v>
      </c>
      <c r="D44" s="35">
        <f t="shared" si="0"/>
        <v>177</v>
      </c>
      <c r="E44" s="34">
        <v>15</v>
      </c>
      <c r="F44" s="34">
        <v>44</v>
      </c>
      <c r="G44" s="34">
        <f t="shared" si="1"/>
        <v>59</v>
      </c>
      <c r="H44" s="39">
        <f t="shared" si="2"/>
        <v>59</v>
      </c>
      <c r="I44" s="34">
        <f t="shared" si="2"/>
        <v>177</v>
      </c>
      <c r="J44" s="35">
        <f t="shared" si="3"/>
        <v>236</v>
      </c>
    </row>
    <row r="45" spans="1:10" x14ac:dyDescent="0.25">
      <c r="A45" s="12" t="s">
        <v>101</v>
      </c>
      <c r="B45" s="39">
        <v>0</v>
      </c>
      <c r="C45" s="34">
        <v>0</v>
      </c>
      <c r="D45" s="35">
        <f t="shared" si="0"/>
        <v>0</v>
      </c>
      <c r="E45" s="34">
        <v>14</v>
      </c>
      <c r="F45" s="34">
        <v>20</v>
      </c>
      <c r="G45" s="34">
        <f t="shared" si="1"/>
        <v>34</v>
      </c>
      <c r="H45" s="39">
        <f t="shared" si="2"/>
        <v>14</v>
      </c>
      <c r="I45" s="34">
        <f t="shared" si="2"/>
        <v>20</v>
      </c>
      <c r="J45" s="35">
        <f t="shared" si="3"/>
        <v>34</v>
      </c>
    </row>
    <row r="46" spans="1:10" x14ac:dyDescent="0.25">
      <c r="A46" s="12" t="s">
        <v>56</v>
      </c>
      <c r="B46" s="39">
        <v>64</v>
      </c>
      <c r="C46" s="34">
        <v>82</v>
      </c>
      <c r="D46" s="35">
        <f t="shared" si="0"/>
        <v>146</v>
      </c>
      <c r="E46" s="34">
        <v>0</v>
      </c>
      <c r="F46" s="34">
        <v>0</v>
      </c>
      <c r="G46" s="34">
        <f t="shared" si="1"/>
        <v>0</v>
      </c>
      <c r="H46" s="39">
        <f t="shared" si="2"/>
        <v>64</v>
      </c>
      <c r="I46" s="34">
        <f t="shared" si="2"/>
        <v>82</v>
      </c>
      <c r="J46" s="35">
        <f t="shared" si="3"/>
        <v>146</v>
      </c>
    </row>
    <row r="47" spans="1:10" x14ac:dyDescent="0.25">
      <c r="A47" s="12" t="s">
        <v>1</v>
      </c>
      <c r="B47" s="39">
        <v>251</v>
      </c>
      <c r="C47" s="34">
        <v>294</v>
      </c>
      <c r="D47" s="35">
        <f t="shared" si="0"/>
        <v>545</v>
      </c>
      <c r="E47" s="34">
        <v>175</v>
      </c>
      <c r="F47" s="34">
        <v>251</v>
      </c>
      <c r="G47" s="34">
        <f t="shared" si="1"/>
        <v>426</v>
      </c>
      <c r="H47" s="39">
        <f t="shared" si="2"/>
        <v>426</v>
      </c>
      <c r="I47" s="34">
        <f t="shared" si="2"/>
        <v>545</v>
      </c>
      <c r="J47" s="35">
        <f t="shared" si="3"/>
        <v>971</v>
      </c>
    </row>
    <row r="48" spans="1:10" x14ac:dyDescent="0.25">
      <c r="A48" s="12" t="s">
        <v>102</v>
      </c>
      <c r="B48" s="39">
        <v>44</v>
      </c>
      <c r="C48" s="34">
        <v>44</v>
      </c>
      <c r="D48" s="35">
        <f t="shared" si="0"/>
        <v>88</v>
      </c>
      <c r="E48" s="34">
        <v>51</v>
      </c>
      <c r="F48" s="34">
        <v>141</v>
      </c>
      <c r="G48" s="34">
        <f t="shared" si="1"/>
        <v>192</v>
      </c>
      <c r="H48" s="39">
        <f t="shared" si="2"/>
        <v>95</v>
      </c>
      <c r="I48" s="34">
        <f t="shared" si="2"/>
        <v>185</v>
      </c>
      <c r="J48" s="35">
        <f t="shared" si="3"/>
        <v>280</v>
      </c>
    </row>
    <row r="49" spans="1:10" x14ac:dyDescent="0.25">
      <c r="A49" s="12" t="s">
        <v>134</v>
      </c>
      <c r="B49" s="39">
        <v>0</v>
      </c>
      <c r="C49" s="34">
        <v>0</v>
      </c>
      <c r="D49" s="35">
        <f t="shared" si="0"/>
        <v>0</v>
      </c>
      <c r="E49" s="34">
        <v>23</v>
      </c>
      <c r="F49" s="34">
        <v>21</v>
      </c>
      <c r="G49" s="34">
        <f t="shared" si="1"/>
        <v>44</v>
      </c>
      <c r="H49" s="39">
        <f t="shared" si="2"/>
        <v>23</v>
      </c>
      <c r="I49" s="34">
        <f t="shared" si="2"/>
        <v>21</v>
      </c>
      <c r="J49" s="35">
        <f t="shared" si="3"/>
        <v>44</v>
      </c>
    </row>
    <row r="50" spans="1:10" x14ac:dyDescent="0.25">
      <c r="A50" s="12" t="s">
        <v>59</v>
      </c>
      <c r="B50" s="39">
        <v>322</v>
      </c>
      <c r="C50" s="34">
        <v>205</v>
      </c>
      <c r="D50" s="35">
        <f t="shared" si="0"/>
        <v>527</v>
      </c>
      <c r="E50" s="34">
        <v>31</v>
      </c>
      <c r="F50" s="34">
        <v>9</v>
      </c>
      <c r="G50" s="34">
        <f t="shared" si="1"/>
        <v>40</v>
      </c>
      <c r="H50" s="39">
        <f t="shared" si="2"/>
        <v>353</v>
      </c>
      <c r="I50" s="34">
        <f t="shared" si="2"/>
        <v>214</v>
      </c>
      <c r="J50" s="35">
        <f t="shared" si="3"/>
        <v>567</v>
      </c>
    </row>
    <row r="51" spans="1:10" x14ac:dyDescent="0.25">
      <c r="A51" s="12" t="s">
        <v>60</v>
      </c>
      <c r="B51" s="39">
        <v>232</v>
      </c>
      <c r="C51" s="34">
        <v>26</v>
      </c>
      <c r="D51" s="35">
        <f t="shared" si="0"/>
        <v>258</v>
      </c>
      <c r="E51" s="34">
        <v>132</v>
      </c>
      <c r="F51" s="34">
        <v>17</v>
      </c>
      <c r="G51" s="34">
        <f t="shared" si="1"/>
        <v>149</v>
      </c>
      <c r="H51" s="39">
        <f t="shared" si="2"/>
        <v>364</v>
      </c>
      <c r="I51" s="34">
        <f t="shared" si="2"/>
        <v>43</v>
      </c>
      <c r="J51" s="35">
        <f t="shared" si="3"/>
        <v>407</v>
      </c>
    </row>
    <row r="52" spans="1:10" x14ac:dyDescent="0.25">
      <c r="A52" s="12" t="s">
        <v>61</v>
      </c>
      <c r="B52" s="39">
        <v>12</v>
      </c>
      <c r="C52" s="34">
        <v>5</v>
      </c>
      <c r="D52" s="35">
        <f t="shared" si="0"/>
        <v>17</v>
      </c>
      <c r="E52" s="34">
        <v>53</v>
      </c>
      <c r="F52" s="34">
        <v>44</v>
      </c>
      <c r="G52" s="34">
        <f t="shared" si="1"/>
        <v>97</v>
      </c>
      <c r="H52" s="39">
        <f t="shared" si="2"/>
        <v>65</v>
      </c>
      <c r="I52" s="34">
        <f t="shared" si="2"/>
        <v>49</v>
      </c>
      <c r="J52" s="35">
        <f t="shared" si="3"/>
        <v>114</v>
      </c>
    </row>
    <row r="53" spans="1:10" x14ac:dyDescent="0.25">
      <c r="A53" s="12" t="s">
        <v>135</v>
      </c>
      <c r="B53" s="39">
        <v>44</v>
      </c>
      <c r="C53" s="34">
        <v>34</v>
      </c>
      <c r="D53" s="35">
        <f t="shared" si="0"/>
        <v>78</v>
      </c>
      <c r="E53" s="34">
        <v>0</v>
      </c>
      <c r="F53" s="34">
        <v>0</v>
      </c>
      <c r="G53" s="34">
        <f t="shared" si="1"/>
        <v>0</v>
      </c>
      <c r="H53" s="39">
        <f t="shared" si="2"/>
        <v>44</v>
      </c>
      <c r="I53" s="34">
        <f t="shared" si="2"/>
        <v>34</v>
      </c>
      <c r="J53" s="35">
        <f t="shared" si="3"/>
        <v>78</v>
      </c>
    </row>
    <row r="54" spans="1:10" x14ac:dyDescent="0.25">
      <c r="A54" s="12" t="s">
        <v>112</v>
      </c>
      <c r="B54" s="39">
        <v>43</v>
      </c>
      <c r="C54" s="34">
        <v>62</v>
      </c>
      <c r="D54" s="35">
        <f t="shared" si="0"/>
        <v>105</v>
      </c>
      <c r="E54" s="34">
        <v>16</v>
      </c>
      <c r="F54" s="34">
        <v>15</v>
      </c>
      <c r="G54" s="34">
        <f t="shared" si="1"/>
        <v>31</v>
      </c>
      <c r="H54" s="39">
        <f t="shared" si="2"/>
        <v>59</v>
      </c>
      <c r="I54" s="34">
        <f t="shared" si="2"/>
        <v>77</v>
      </c>
      <c r="J54" s="35">
        <f t="shared" si="3"/>
        <v>136</v>
      </c>
    </row>
    <row r="55" spans="1:10" x14ac:dyDescent="0.25">
      <c r="A55" s="12" t="s">
        <v>64</v>
      </c>
      <c r="B55" s="39">
        <v>75</v>
      </c>
      <c r="C55" s="34">
        <v>60</v>
      </c>
      <c r="D55" s="35">
        <f t="shared" si="0"/>
        <v>135</v>
      </c>
      <c r="E55" s="34">
        <v>33</v>
      </c>
      <c r="F55" s="34">
        <v>10</v>
      </c>
      <c r="G55" s="34">
        <f t="shared" si="1"/>
        <v>43</v>
      </c>
      <c r="H55" s="39">
        <f t="shared" si="2"/>
        <v>108</v>
      </c>
      <c r="I55" s="34">
        <f t="shared" si="2"/>
        <v>70</v>
      </c>
      <c r="J55" s="35">
        <f t="shared" si="3"/>
        <v>178</v>
      </c>
    </row>
    <row r="56" spans="1:10" x14ac:dyDescent="0.25">
      <c r="A56" s="12" t="s">
        <v>113</v>
      </c>
      <c r="B56" s="39">
        <v>21</v>
      </c>
      <c r="C56" s="34">
        <v>69</v>
      </c>
      <c r="D56" s="35">
        <f t="shared" si="0"/>
        <v>90</v>
      </c>
      <c r="E56" s="34">
        <v>21</v>
      </c>
      <c r="F56" s="34">
        <v>46</v>
      </c>
      <c r="G56" s="34">
        <f t="shared" si="1"/>
        <v>67</v>
      </c>
      <c r="H56" s="39">
        <f t="shared" si="2"/>
        <v>42</v>
      </c>
      <c r="I56" s="34">
        <f t="shared" si="2"/>
        <v>115</v>
      </c>
      <c r="J56" s="35">
        <f t="shared" si="3"/>
        <v>157</v>
      </c>
    </row>
    <row r="57" spans="1:10" x14ac:dyDescent="0.25">
      <c r="A57" s="12" t="s">
        <v>65</v>
      </c>
      <c r="B57" s="39">
        <v>314</v>
      </c>
      <c r="C57" s="34">
        <v>87</v>
      </c>
      <c r="D57" s="35">
        <f t="shared" si="0"/>
        <v>401</v>
      </c>
      <c r="E57" s="34">
        <v>78</v>
      </c>
      <c r="F57" s="34">
        <v>37</v>
      </c>
      <c r="G57" s="34">
        <f t="shared" si="1"/>
        <v>115</v>
      </c>
      <c r="H57" s="39">
        <f t="shared" si="2"/>
        <v>392</v>
      </c>
      <c r="I57" s="34">
        <f t="shared" si="2"/>
        <v>124</v>
      </c>
      <c r="J57" s="35">
        <f t="shared" si="3"/>
        <v>516</v>
      </c>
    </row>
    <row r="58" spans="1:10" x14ac:dyDescent="0.25">
      <c r="A58" s="12" t="s">
        <v>114</v>
      </c>
      <c r="B58" s="39">
        <v>127</v>
      </c>
      <c r="C58" s="34">
        <v>219</v>
      </c>
      <c r="D58" s="35">
        <f t="shared" si="0"/>
        <v>346</v>
      </c>
      <c r="E58" s="34">
        <v>39</v>
      </c>
      <c r="F58" s="34">
        <v>109</v>
      </c>
      <c r="G58" s="34">
        <f t="shared" si="1"/>
        <v>148</v>
      </c>
      <c r="H58" s="39">
        <f t="shared" si="2"/>
        <v>166</v>
      </c>
      <c r="I58" s="34">
        <f t="shared" si="2"/>
        <v>328</v>
      </c>
      <c r="J58" s="35">
        <f t="shared" si="3"/>
        <v>494</v>
      </c>
    </row>
    <row r="59" spans="1:10" x14ac:dyDescent="0.25">
      <c r="A59" s="12" t="s">
        <v>66</v>
      </c>
      <c r="B59" s="39">
        <v>9</v>
      </c>
      <c r="C59" s="34">
        <v>20</v>
      </c>
      <c r="D59" s="35">
        <f t="shared" si="0"/>
        <v>29</v>
      </c>
      <c r="E59" s="34">
        <v>75</v>
      </c>
      <c r="F59" s="34">
        <v>91</v>
      </c>
      <c r="G59" s="34">
        <f t="shared" si="1"/>
        <v>166</v>
      </c>
      <c r="H59" s="39">
        <f t="shared" si="2"/>
        <v>84</v>
      </c>
      <c r="I59" s="34">
        <f t="shared" si="2"/>
        <v>111</v>
      </c>
      <c r="J59" s="35">
        <f t="shared" si="3"/>
        <v>195</v>
      </c>
    </row>
    <row r="60" spans="1:10" x14ac:dyDescent="0.25">
      <c r="A60" s="12" t="s">
        <v>115</v>
      </c>
      <c r="B60" s="39">
        <v>69</v>
      </c>
      <c r="C60" s="34">
        <v>290</v>
      </c>
      <c r="D60" s="35">
        <f t="shared" si="0"/>
        <v>359</v>
      </c>
      <c r="E60" s="34">
        <v>115</v>
      </c>
      <c r="F60" s="34">
        <v>319</v>
      </c>
      <c r="G60" s="34">
        <f t="shared" si="1"/>
        <v>434</v>
      </c>
      <c r="H60" s="39">
        <f t="shared" si="2"/>
        <v>184</v>
      </c>
      <c r="I60" s="34">
        <f t="shared" si="2"/>
        <v>609</v>
      </c>
      <c r="J60" s="35">
        <f t="shared" si="3"/>
        <v>793</v>
      </c>
    </row>
    <row r="61" spans="1:10" x14ac:dyDescent="0.25">
      <c r="A61" s="12" t="s">
        <v>68</v>
      </c>
      <c r="B61" s="39">
        <v>27</v>
      </c>
      <c r="C61" s="34">
        <v>66</v>
      </c>
      <c r="D61" s="35">
        <f t="shared" si="0"/>
        <v>93</v>
      </c>
      <c r="E61" s="34">
        <v>7</v>
      </c>
      <c r="F61" s="34">
        <v>6</v>
      </c>
      <c r="G61" s="34">
        <f t="shared" si="1"/>
        <v>13</v>
      </c>
      <c r="H61" s="39">
        <f t="shared" si="2"/>
        <v>34</v>
      </c>
      <c r="I61" s="34">
        <f t="shared" si="2"/>
        <v>72</v>
      </c>
      <c r="J61" s="35">
        <f t="shared" si="3"/>
        <v>106</v>
      </c>
    </row>
    <row r="62" spans="1:10" x14ac:dyDescent="0.25">
      <c r="A62" s="12" t="s">
        <v>70</v>
      </c>
      <c r="B62" s="39">
        <v>260</v>
      </c>
      <c r="C62" s="34">
        <v>247</v>
      </c>
      <c r="D62" s="35">
        <f t="shared" si="0"/>
        <v>507</v>
      </c>
      <c r="E62" s="34">
        <v>62</v>
      </c>
      <c r="F62" s="34">
        <v>77</v>
      </c>
      <c r="G62" s="34">
        <f t="shared" si="1"/>
        <v>139</v>
      </c>
      <c r="H62" s="39">
        <f t="shared" si="2"/>
        <v>322</v>
      </c>
      <c r="I62" s="34">
        <f t="shared" si="2"/>
        <v>324</v>
      </c>
      <c r="J62" s="35">
        <f t="shared" si="3"/>
        <v>646</v>
      </c>
    </row>
    <row r="63" spans="1:10" x14ac:dyDescent="0.25">
      <c r="A63" s="12" t="s">
        <v>71</v>
      </c>
      <c r="B63" s="39">
        <v>33</v>
      </c>
      <c r="C63" s="34">
        <v>31</v>
      </c>
      <c r="D63" s="35">
        <f t="shared" si="0"/>
        <v>64</v>
      </c>
      <c r="E63" s="34">
        <v>4</v>
      </c>
      <c r="F63" s="34">
        <v>5</v>
      </c>
      <c r="G63" s="34">
        <f t="shared" si="1"/>
        <v>9</v>
      </c>
      <c r="H63" s="39">
        <f t="shared" si="2"/>
        <v>37</v>
      </c>
      <c r="I63" s="34">
        <f t="shared" si="2"/>
        <v>36</v>
      </c>
      <c r="J63" s="35">
        <f t="shared" si="3"/>
        <v>73</v>
      </c>
    </row>
    <row r="64" spans="1:10" x14ac:dyDescent="0.25">
      <c r="A64" s="12" t="s">
        <v>72</v>
      </c>
      <c r="B64" s="39">
        <v>0</v>
      </c>
      <c r="C64" s="34">
        <v>0</v>
      </c>
      <c r="D64" s="35">
        <f t="shared" si="0"/>
        <v>0</v>
      </c>
      <c r="E64" s="34">
        <v>12</v>
      </c>
      <c r="F64" s="34">
        <v>13</v>
      </c>
      <c r="G64" s="34">
        <f t="shared" si="1"/>
        <v>25</v>
      </c>
      <c r="H64" s="39">
        <f t="shared" si="2"/>
        <v>12</v>
      </c>
      <c r="I64" s="34">
        <f t="shared" si="2"/>
        <v>13</v>
      </c>
      <c r="J64" s="35">
        <f t="shared" si="3"/>
        <v>25</v>
      </c>
    </row>
    <row r="65" spans="1:10" x14ac:dyDescent="0.25">
      <c r="A65" s="12" t="s">
        <v>73</v>
      </c>
      <c r="B65" s="39">
        <v>29</v>
      </c>
      <c r="C65" s="34">
        <v>83</v>
      </c>
      <c r="D65" s="35">
        <f t="shared" si="0"/>
        <v>112</v>
      </c>
      <c r="E65" s="34">
        <v>7</v>
      </c>
      <c r="F65" s="34">
        <v>8</v>
      </c>
      <c r="G65" s="34">
        <f t="shared" si="1"/>
        <v>15</v>
      </c>
      <c r="H65" s="39">
        <f t="shared" si="2"/>
        <v>36</v>
      </c>
      <c r="I65" s="34">
        <f t="shared" si="2"/>
        <v>91</v>
      </c>
      <c r="J65" s="35">
        <f t="shared" si="3"/>
        <v>127</v>
      </c>
    </row>
    <row r="66" spans="1:10" x14ac:dyDescent="0.25">
      <c r="A66" s="12" t="s">
        <v>74</v>
      </c>
      <c r="B66" s="39">
        <v>117</v>
      </c>
      <c r="C66" s="34">
        <v>94</v>
      </c>
      <c r="D66" s="35">
        <f t="shared" si="0"/>
        <v>211</v>
      </c>
      <c r="E66" s="34">
        <v>12</v>
      </c>
      <c r="F66" s="34">
        <v>18</v>
      </c>
      <c r="G66" s="34">
        <f t="shared" si="1"/>
        <v>30</v>
      </c>
      <c r="H66" s="39">
        <f t="shared" si="2"/>
        <v>129</v>
      </c>
      <c r="I66" s="34">
        <f t="shared" si="2"/>
        <v>112</v>
      </c>
      <c r="J66" s="35">
        <f t="shared" si="3"/>
        <v>241</v>
      </c>
    </row>
    <row r="67" spans="1:10" x14ac:dyDescent="0.25">
      <c r="A67" s="12" t="s">
        <v>116</v>
      </c>
      <c r="B67" s="39">
        <v>0</v>
      </c>
      <c r="C67" s="34">
        <v>0</v>
      </c>
      <c r="D67" s="35">
        <f t="shared" si="0"/>
        <v>0</v>
      </c>
      <c r="E67" s="34">
        <v>0</v>
      </c>
      <c r="F67" s="34">
        <v>1</v>
      </c>
      <c r="G67" s="34">
        <f t="shared" si="1"/>
        <v>1</v>
      </c>
      <c r="H67" s="39">
        <f t="shared" si="2"/>
        <v>0</v>
      </c>
      <c r="I67" s="34">
        <f t="shared" si="2"/>
        <v>1</v>
      </c>
      <c r="J67" s="35">
        <f t="shared" si="3"/>
        <v>1</v>
      </c>
    </row>
    <row r="68" spans="1:10" x14ac:dyDescent="0.25">
      <c r="A68" s="12" t="s">
        <v>103</v>
      </c>
      <c r="B68" s="39">
        <v>337</v>
      </c>
      <c r="C68" s="34">
        <v>337</v>
      </c>
      <c r="D68" s="35">
        <f t="shared" si="0"/>
        <v>674</v>
      </c>
      <c r="E68" s="34">
        <v>0</v>
      </c>
      <c r="F68" s="34">
        <v>0</v>
      </c>
      <c r="G68" s="34">
        <f t="shared" si="1"/>
        <v>0</v>
      </c>
      <c r="H68" s="39">
        <f t="shared" si="2"/>
        <v>337</v>
      </c>
      <c r="I68" s="34">
        <f t="shared" si="2"/>
        <v>337</v>
      </c>
      <c r="J68" s="35">
        <f t="shared" si="3"/>
        <v>674</v>
      </c>
    </row>
    <row r="69" spans="1:10" x14ac:dyDescent="0.25">
      <c r="A69" s="12" t="s">
        <v>104</v>
      </c>
      <c r="B69" s="39">
        <v>465</v>
      </c>
      <c r="C69" s="34">
        <v>655</v>
      </c>
      <c r="D69" s="35">
        <f t="shared" si="0"/>
        <v>1120</v>
      </c>
      <c r="E69" s="34">
        <v>11</v>
      </c>
      <c r="F69" s="34">
        <v>17</v>
      </c>
      <c r="G69" s="34">
        <f t="shared" si="1"/>
        <v>28</v>
      </c>
      <c r="H69" s="39">
        <f t="shared" si="2"/>
        <v>476</v>
      </c>
      <c r="I69" s="34">
        <f t="shared" si="2"/>
        <v>672</v>
      </c>
      <c r="J69" s="35">
        <f t="shared" si="3"/>
        <v>1148</v>
      </c>
    </row>
    <row r="70" spans="1:10" x14ac:dyDescent="0.25">
      <c r="A70" s="12" t="s">
        <v>105</v>
      </c>
      <c r="B70" s="39">
        <v>0</v>
      </c>
      <c r="C70" s="34">
        <v>0</v>
      </c>
      <c r="D70" s="35">
        <f t="shared" si="0"/>
        <v>0</v>
      </c>
      <c r="E70" s="34">
        <v>8</v>
      </c>
      <c r="F70" s="34">
        <v>12</v>
      </c>
      <c r="G70" s="34">
        <f t="shared" si="1"/>
        <v>20</v>
      </c>
      <c r="H70" s="39">
        <f t="shared" si="2"/>
        <v>8</v>
      </c>
      <c r="I70" s="34">
        <f t="shared" si="2"/>
        <v>12</v>
      </c>
      <c r="J70" s="35">
        <f t="shared" si="3"/>
        <v>20</v>
      </c>
    </row>
    <row r="71" spans="1:10" x14ac:dyDescent="0.25">
      <c r="A71" s="12" t="s">
        <v>79</v>
      </c>
      <c r="B71" s="39">
        <v>3</v>
      </c>
      <c r="C71" s="34">
        <v>23</v>
      </c>
      <c r="D71" s="35">
        <f t="shared" si="0"/>
        <v>26</v>
      </c>
      <c r="E71" s="34">
        <v>74</v>
      </c>
      <c r="F71" s="34">
        <v>155</v>
      </c>
      <c r="G71" s="34">
        <f t="shared" si="1"/>
        <v>229</v>
      </c>
      <c r="H71" s="39">
        <f t="shared" si="2"/>
        <v>77</v>
      </c>
      <c r="I71" s="34">
        <f t="shared" si="2"/>
        <v>178</v>
      </c>
      <c r="J71" s="35">
        <f t="shared" si="3"/>
        <v>255</v>
      </c>
    </row>
    <row r="72" spans="1:10" x14ac:dyDescent="0.25">
      <c r="A72" s="12" t="s">
        <v>117</v>
      </c>
      <c r="B72" s="39">
        <v>0</v>
      </c>
      <c r="C72" s="34">
        <v>0</v>
      </c>
      <c r="D72" s="35">
        <f t="shared" si="0"/>
        <v>0</v>
      </c>
      <c r="E72" s="34">
        <v>37</v>
      </c>
      <c r="F72" s="34">
        <v>42</v>
      </c>
      <c r="G72" s="34">
        <f t="shared" si="1"/>
        <v>79</v>
      </c>
      <c r="H72" s="39">
        <f t="shared" si="2"/>
        <v>37</v>
      </c>
      <c r="I72" s="34">
        <f t="shared" si="2"/>
        <v>42</v>
      </c>
      <c r="J72" s="35">
        <f t="shared" si="3"/>
        <v>79</v>
      </c>
    </row>
    <row r="73" spans="1:10" x14ac:dyDescent="0.25">
      <c r="A73" s="12" t="s">
        <v>80</v>
      </c>
      <c r="B73" s="39">
        <v>16</v>
      </c>
      <c r="C73" s="34">
        <v>64</v>
      </c>
      <c r="D73" s="35">
        <f t="shared" si="0"/>
        <v>80</v>
      </c>
      <c r="E73" s="34">
        <v>16</v>
      </c>
      <c r="F73" s="34">
        <v>29</v>
      </c>
      <c r="G73" s="34">
        <f t="shared" si="1"/>
        <v>45</v>
      </c>
      <c r="H73" s="39">
        <f t="shared" si="2"/>
        <v>32</v>
      </c>
      <c r="I73" s="34">
        <f t="shared" si="2"/>
        <v>93</v>
      </c>
      <c r="J73" s="35">
        <f t="shared" si="3"/>
        <v>125</v>
      </c>
    </row>
    <row r="74" spans="1:10" x14ac:dyDescent="0.25">
      <c r="A74" s="12" t="s">
        <v>81</v>
      </c>
      <c r="B74" s="39">
        <v>0</v>
      </c>
      <c r="C74" s="34">
        <v>0</v>
      </c>
      <c r="D74" s="35">
        <f t="shared" si="0"/>
        <v>0</v>
      </c>
      <c r="E74" s="34">
        <v>223</v>
      </c>
      <c r="F74" s="34">
        <v>175</v>
      </c>
      <c r="G74" s="34">
        <f t="shared" si="1"/>
        <v>398</v>
      </c>
      <c r="H74" s="39">
        <f t="shared" si="2"/>
        <v>223</v>
      </c>
      <c r="I74" s="34">
        <f t="shared" si="2"/>
        <v>175</v>
      </c>
      <c r="J74" s="35">
        <f t="shared" si="3"/>
        <v>398</v>
      </c>
    </row>
    <row r="75" spans="1:10" x14ac:dyDescent="0.25">
      <c r="A75" s="12" t="s">
        <v>118</v>
      </c>
      <c r="B75" s="39">
        <v>0</v>
      </c>
      <c r="C75" s="34">
        <v>0</v>
      </c>
      <c r="D75" s="35">
        <f t="shared" si="0"/>
        <v>0</v>
      </c>
      <c r="E75" s="34">
        <v>21</v>
      </c>
      <c r="F75" s="34">
        <v>41</v>
      </c>
      <c r="G75" s="34">
        <f t="shared" si="1"/>
        <v>62</v>
      </c>
      <c r="H75" s="39">
        <f t="shared" si="2"/>
        <v>21</v>
      </c>
      <c r="I75" s="34">
        <f t="shared" si="2"/>
        <v>41</v>
      </c>
      <c r="J75" s="35">
        <f t="shared" si="3"/>
        <v>62</v>
      </c>
    </row>
    <row r="76" spans="1:10" x14ac:dyDescent="0.25">
      <c r="A76" s="12" t="s">
        <v>119</v>
      </c>
      <c r="B76" s="39">
        <v>0</v>
      </c>
      <c r="C76" s="34">
        <v>0</v>
      </c>
      <c r="D76" s="35">
        <f t="shared" si="0"/>
        <v>0</v>
      </c>
      <c r="E76" s="34">
        <v>3</v>
      </c>
      <c r="F76" s="34">
        <v>7</v>
      </c>
      <c r="G76" s="34">
        <f t="shared" si="1"/>
        <v>10</v>
      </c>
      <c r="H76" s="39">
        <f t="shared" si="2"/>
        <v>3</v>
      </c>
      <c r="I76" s="34">
        <f t="shared" si="2"/>
        <v>7</v>
      </c>
      <c r="J76" s="35">
        <f t="shared" si="3"/>
        <v>10</v>
      </c>
    </row>
    <row r="77" spans="1:10" x14ac:dyDescent="0.25">
      <c r="A77" s="12" t="s">
        <v>120</v>
      </c>
      <c r="B77" s="39">
        <v>0</v>
      </c>
      <c r="C77" s="34">
        <v>0</v>
      </c>
      <c r="D77" s="35">
        <f t="shared" si="0"/>
        <v>0</v>
      </c>
      <c r="E77" s="34">
        <v>8</v>
      </c>
      <c r="F77" s="34">
        <v>9</v>
      </c>
      <c r="G77" s="34">
        <f t="shared" si="1"/>
        <v>17</v>
      </c>
      <c r="H77" s="39">
        <f t="shared" si="2"/>
        <v>8</v>
      </c>
      <c r="I77" s="34">
        <f t="shared" si="2"/>
        <v>9</v>
      </c>
      <c r="J77" s="35">
        <f t="shared" si="3"/>
        <v>17</v>
      </c>
    </row>
    <row r="78" spans="1:10" x14ac:dyDescent="0.25">
      <c r="A78" s="12" t="s">
        <v>121</v>
      </c>
      <c r="B78" s="39">
        <v>11</v>
      </c>
      <c r="C78" s="34">
        <v>4</v>
      </c>
      <c r="D78" s="35">
        <f t="shared" si="0"/>
        <v>15</v>
      </c>
      <c r="E78" s="34">
        <v>29</v>
      </c>
      <c r="F78" s="34">
        <v>50</v>
      </c>
      <c r="G78" s="34">
        <f t="shared" si="1"/>
        <v>79</v>
      </c>
      <c r="H78" s="39">
        <f t="shared" si="2"/>
        <v>40</v>
      </c>
      <c r="I78" s="34">
        <f t="shared" si="2"/>
        <v>54</v>
      </c>
      <c r="J78" s="35">
        <f t="shared" si="3"/>
        <v>94</v>
      </c>
    </row>
    <row r="79" spans="1:10" x14ac:dyDescent="0.25">
      <c r="A79" s="12" t="s">
        <v>122</v>
      </c>
      <c r="B79" s="39">
        <v>0</v>
      </c>
      <c r="C79" s="34">
        <v>0</v>
      </c>
      <c r="D79" s="35">
        <f t="shared" si="0"/>
        <v>0</v>
      </c>
      <c r="E79" s="34">
        <v>18</v>
      </c>
      <c r="F79" s="34">
        <v>37</v>
      </c>
      <c r="G79" s="34">
        <f t="shared" si="1"/>
        <v>55</v>
      </c>
      <c r="H79" s="39">
        <f t="shared" si="2"/>
        <v>18</v>
      </c>
      <c r="I79" s="34">
        <f t="shared" si="2"/>
        <v>37</v>
      </c>
      <c r="J79" s="35">
        <f t="shared" si="3"/>
        <v>55</v>
      </c>
    </row>
    <row r="80" spans="1:10" x14ac:dyDescent="0.25">
      <c r="A80" s="12" t="s">
        <v>123</v>
      </c>
      <c r="B80" s="39">
        <v>10</v>
      </c>
      <c r="C80" s="34">
        <v>3</v>
      </c>
      <c r="D80" s="35">
        <f t="shared" si="0"/>
        <v>13</v>
      </c>
      <c r="E80" s="34">
        <v>55</v>
      </c>
      <c r="F80" s="34">
        <v>73</v>
      </c>
      <c r="G80" s="34">
        <f t="shared" si="1"/>
        <v>128</v>
      </c>
      <c r="H80" s="39">
        <f t="shared" si="2"/>
        <v>65</v>
      </c>
      <c r="I80" s="34">
        <f t="shared" si="2"/>
        <v>76</v>
      </c>
      <c r="J80" s="35">
        <f t="shared" si="3"/>
        <v>141</v>
      </c>
    </row>
    <row r="81" spans="1:10" x14ac:dyDescent="0.25">
      <c r="A81" s="12" t="s">
        <v>124</v>
      </c>
      <c r="B81" s="39">
        <v>0</v>
      </c>
      <c r="C81" s="34">
        <v>0</v>
      </c>
      <c r="D81" s="35">
        <f t="shared" si="0"/>
        <v>0</v>
      </c>
      <c r="E81" s="34">
        <v>30</v>
      </c>
      <c r="F81" s="34">
        <v>26</v>
      </c>
      <c r="G81" s="34">
        <f t="shared" si="1"/>
        <v>56</v>
      </c>
      <c r="H81" s="39">
        <f t="shared" si="2"/>
        <v>30</v>
      </c>
      <c r="I81" s="34">
        <f t="shared" si="2"/>
        <v>26</v>
      </c>
      <c r="J81" s="35">
        <f t="shared" si="3"/>
        <v>56</v>
      </c>
    </row>
    <row r="82" spans="1:10" x14ac:dyDescent="0.25">
      <c r="A82" s="12" t="s">
        <v>136</v>
      </c>
      <c r="B82" s="39">
        <v>0</v>
      </c>
      <c r="C82" s="34">
        <v>0</v>
      </c>
      <c r="D82" s="35">
        <f t="shared" si="0"/>
        <v>0</v>
      </c>
      <c r="E82" s="34">
        <v>3</v>
      </c>
      <c r="F82" s="34">
        <v>0</v>
      </c>
      <c r="G82" s="34">
        <f t="shared" si="1"/>
        <v>3</v>
      </c>
      <c r="H82" s="39">
        <f t="shared" si="2"/>
        <v>3</v>
      </c>
      <c r="I82" s="34">
        <f t="shared" si="2"/>
        <v>0</v>
      </c>
      <c r="J82" s="35">
        <f t="shared" si="3"/>
        <v>3</v>
      </c>
    </row>
    <row r="83" spans="1:10" x14ac:dyDescent="0.25">
      <c r="A83" s="12" t="s">
        <v>86</v>
      </c>
      <c r="B83" s="39">
        <v>0</v>
      </c>
      <c r="C83" s="34">
        <v>0</v>
      </c>
      <c r="D83" s="35">
        <f t="shared" si="0"/>
        <v>0</v>
      </c>
      <c r="E83" s="34">
        <v>57</v>
      </c>
      <c r="F83" s="34">
        <v>71</v>
      </c>
      <c r="G83" s="34">
        <f t="shared" si="1"/>
        <v>128</v>
      </c>
      <c r="H83" s="39">
        <f t="shared" si="2"/>
        <v>57</v>
      </c>
      <c r="I83" s="34">
        <f t="shared" si="2"/>
        <v>71</v>
      </c>
      <c r="J83" s="35">
        <f t="shared" si="3"/>
        <v>128</v>
      </c>
    </row>
    <row r="84" spans="1:10" x14ac:dyDescent="0.25">
      <c r="A84" s="12" t="s">
        <v>125</v>
      </c>
      <c r="B84" s="39">
        <v>0</v>
      </c>
      <c r="C84" s="34">
        <v>0</v>
      </c>
      <c r="D84" s="35">
        <f t="shared" si="0"/>
        <v>0</v>
      </c>
      <c r="E84" s="34">
        <v>1</v>
      </c>
      <c r="F84" s="34">
        <v>2</v>
      </c>
      <c r="G84" s="34">
        <f t="shared" si="1"/>
        <v>3</v>
      </c>
      <c r="H84" s="39">
        <f t="shared" si="2"/>
        <v>1</v>
      </c>
      <c r="I84" s="34">
        <f t="shared" si="2"/>
        <v>2</v>
      </c>
      <c r="J84" s="35">
        <f t="shared" si="3"/>
        <v>3</v>
      </c>
    </row>
    <row r="85" spans="1:10" x14ac:dyDescent="0.25">
      <c r="A85" s="12" t="s">
        <v>126</v>
      </c>
      <c r="B85" s="39">
        <v>0</v>
      </c>
      <c r="C85" s="34">
        <v>0</v>
      </c>
      <c r="D85" s="35">
        <f t="shared" si="0"/>
        <v>0</v>
      </c>
      <c r="E85" s="34">
        <v>9</v>
      </c>
      <c r="F85" s="34">
        <v>19</v>
      </c>
      <c r="G85" s="34">
        <f t="shared" si="1"/>
        <v>28</v>
      </c>
      <c r="H85" s="39">
        <f t="shared" si="2"/>
        <v>9</v>
      </c>
      <c r="I85" s="34">
        <f t="shared" si="2"/>
        <v>19</v>
      </c>
      <c r="J85" s="35">
        <f t="shared" si="3"/>
        <v>28</v>
      </c>
    </row>
    <row r="86" spans="1:10" x14ac:dyDescent="0.25">
      <c r="A86" s="12" t="s">
        <v>127</v>
      </c>
      <c r="B86" s="39">
        <v>0</v>
      </c>
      <c r="C86" s="34">
        <v>0</v>
      </c>
      <c r="D86" s="35">
        <f t="shared" si="0"/>
        <v>0</v>
      </c>
      <c r="E86" s="34">
        <v>11</v>
      </c>
      <c r="F86" s="34">
        <v>13</v>
      </c>
      <c r="G86" s="34">
        <f t="shared" si="1"/>
        <v>24</v>
      </c>
      <c r="H86" s="39">
        <f t="shared" si="2"/>
        <v>11</v>
      </c>
      <c r="I86" s="34">
        <f t="shared" si="2"/>
        <v>13</v>
      </c>
      <c r="J86" s="35">
        <f t="shared" si="3"/>
        <v>24</v>
      </c>
    </row>
    <row r="87" spans="1:10" x14ac:dyDescent="0.25">
      <c r="A87" s="12" t="s">
        <v>87</v>
      </c>
      <c r="B87" s="39">
        <v>0</v>
      </c>
      <c r="C87" s="34">
        <v>0</v>
      </c>
      <c r="D87" s="35">
        <f t="shared" si="0"/>
        <v>0</v>
      </c>
      <c r="E87" s="34">
        <v>15</v>
      </c>
      <c r="F87" s="34">
        <v>32</v>
      </c>
      <c r="G87" s="34">
        <f t="shared" si="1"/>
        <v>47</v>
      </c>
      <c r="H87" s="39">
        <f t="shared" si="2"/>
        <v>15</v>
      </c>
      <c r="I87" s="34">
        <f t="shared" si="2"/>
        <v>32</v>
      </c>
      <c r="J87" s="35">
        <f t="shared" si="3"/>
        <v>47</v>
      </c>
    </row>
    <row r="88" spans="1:10" x14ac:dyDescent="0.25">
      <c r="A88" s="12" t="s">
        <v>128</v>
      </c>
      <c r="B88" s="39">
        <v>13</v>
      </c>
      <c r="C88" s="34">
        <v>7</v>
      </c>
      <c r="D88" s="35">
        <f t="shared" si="0"/>
        <v>20</v>
      </c>
      <c r="E88" s="34">
        <v>7</v>
      </c>
      <c r="F88" s="34">
        <v>8</v>
      </c>
      <c r="G88" s="34">
        <f t="shared" si="1"/>
        <v>15</v>
      </c>
      <c r="H88" s="39">
        <f t="shared" si="2"/>
        <v>20</v>
      </c>
      <c r="I88" s="34">
        <f t="shared" si="2"/>
        <v>15</v>
      </c>
      <c r="J88" s="35">
        <f t="shared" si="3"/>
        <v>35</v>
      </c>
    </row>
    <row r="89" spans="1:10" x14ac:dyDescent="0.25">
      <c r="A89" s="12" t="s">
        <v>129</v>
      </c>
      <c r="B89" s="39">
        <v>0</v>
      </c>
      <c r="C89" s="34">
        <v>0</v>
      </c>
      <c r="D89" s="35">
        <f t="shared" si="0"/>
        <v>0</v>
      </c>
      <c r="E89" s="34">
        <v>3</v>
      </c>
      <c r="F89" s="34">
        <v>6</v>
      </c>
      <c r="G89" s="34">
        <f t="shared" si="1"/>
        <v>9</v>
      </c>
      <c r="H89" s="39">
        <f t="shared" si="2"/>
        <v>3</v>
      </c>
      <c r="I89" s="34">
        <f t="shared" si="2"/>
        <v>6</v>
      </c>
      <c r="J89" s="35">
        <f t="shared" si="3"/>
        <v>9</v>
      </c>
    </row>
    <row r="90" spans="1:10" x14ac:dyDescent="0.25">
      <c r="A90" s="12" t="s">
        <v>130</v>
      </c>
      <c r="B90" s="39">
        <v>2</v>
      </c>
      <c r="C90" s="34">
        <v>9</v>
      </c>
      <c r="D90" s="35">
        <f t="shared" si="0"/>
        <v>11</v>
      </c>
      <c r="E90" s="34">
        <v>13</v>
      </c>
      <c r="F90" s="34">
        <v>32</v>
      </c>
      <c r="G90" s="34">
        <f t="shared" si="1"/>
        <v>45</v>
      </c>
      <c r="H90" s="39">
        <f t="shared" si="2"/>
        <v>15</v>
      </c>
      <c r="I90" s="34">
        <f t="shared" si="2"/>
        <v>41</v>
      </c>
      <c r="J90" s="35">
        <f t="shared" si="3"/>
        <v>56</v>
      </c>
    </row>
    <row r="91" spans="1:10" x14ac:dyDescent="0.25">
      <c r="A91" s="12" t="s">
        <v>131</v>
      </c>
      <c r="B91" s="39">
        <v>0</v>
      </c>
      <c r="C91" s="34">
        <v>0</v>
      </c>
      <c r="D91" s="35">
        <f t="shared" si="0"/>
        <v>0</v>
      </c>
      <c r="E91" s="34">
        <v>42</v>
      </c>
      <c r="F91" s="34">
        <v>11</v>
      </c>
      <c r="G91" s="34">
        <f t="shared" si="1"/>
        <v>53</v>
      </c>
      <c r="H91" s="39">
        <f t="shared" si="2"/>
        <v>42</v>
      </c>
      <c r="I91" s="34">
        <f t="shared" si="2"/>
        <v>11</v>
      </c>
      <c r="J91" s="35">
        <f t="shared" si="3"/>
        <v>53</v>
      </c>
    </row>
    <row r="92" spans="1:10" ht="15.75" thickBot="1" x14ac:dyDescent="0.3">
      <c r="A92" s="13" t="s">
        <v>137</v>
      </c>
      <c r="B92" s="43">
        <v>0</v>
      </c>
      <c r="C92" s="44">
        <v>0</v>
      </c>
      <c r="D92" s="45">
        <v>0</v>
      </c>
      <c r="E92" s="44">
        <v>27</v>
      </c>
      <c r="F92" s="44">
        <v>5</v>
      </c>
      <c r="G92" s="44">
        <v>32</v>
      </c>
      <c r="H92" s="43">
        <v>27</v>
      </c>
      <c r="I92" s="44">
        <v>5</v>
      </c>
      <c r="J92" s="45">
        <v>32</v>
      </c>
    </row>
    <row r="93" spans="1:10" ht="16.5" thickTop="1" thickBot="1" x14ac:dyDescent="0.3">
      <c r="A93" s="8" t="s">
        <v>0</v>
      </c>
      <c r="B93" s="8">
        <f>SUM(B7:B92)</f>
        <v>5728</v>
      </c>
      <c r="C93" s="36">
        <f>SUM(C7:C92)</f>
        <v>6202</v>
      </c>
      <c r="D93" s="40">
        <f>SUM(D7:D92)</f>
        <v>11930</v>
      </c>
      <c r="E93" s="36">
        <f>SUM(E7:E92)</f>
        <v>3517</v>
      </c>
      <c r="F93" s="36">
        <f>SUM(F7:F92)</f>
        <v>3918</v>
      </c>
      <c r="G93" s="37">
        <f t="shared" ref="G93" si="9">SUM(E93:F93)</f>
        <v>7435</v>
      </c>
      <c r="H93" s="41">
        <f t="shared" ref="H93:I93" si="10">B93+E93</f>
        <v>9245</v>
      </c>
      <c r="I93" s="37">
        <f t="shared" si="10"/>
        <v>10120</v>
      </c>
      <c r="J93" s="38">
        <f t="shared" ref="J93" si="11">SUM(H93:I93)</f>
        <v>19365</v>
      </c>
    </row>
    <row r="94" spans="1:10" ht="15.75" thickBot="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</row>
    <row r="95" spans="1:10" x14ac:dyDescent="0.25">
      <c r="A95" s="16" t="s">
        <v>16</v>
      </c>
      <c r="B95" s="58" t="s">
        <v>3</v>
      </c>
      <c r="C95" s="59"/>
      <c r="D95" s="60"/>
      <c r="E95" s="58" t="s">
        <v>4</v>
      </c>
      <c r="F95" s="59"/>
      <c r="G95" s="60"/>
      <c r="H95" s="58" t="s">
        <v>0</v>
      </c>
      <c r="I95" s="59"/>
      <c r="J95" s="60"/>
    </row>
    <row r="96" spans="1:10" x14ac:dyDescent="0.25">
      <c r="A96" s="17"/>
      <c r="B96" s="32" t="s">
        <v>5</v>
      </c>
      <c r="C96" s="31" t="s">
        <v>6</v>
      </c>
      <c r="D96" s="33" t="s">
        <v>0</v>
      </c>
      <c r="E96" s="32" t="s">
        <v>5</v>
      </c>
      <c r="F96" s="31" t="s">
        <v>6</v>
      </c>
      <c r="G96" s="33" t="s">
        <v>0</v>
      </c>
      <c r="H96" s="32" t="s">
        <v>5</v>
      </c>
      <c r="I96" s="31" t="s">
        <v>6</v>
      </c>
      <c r="J96" s="30" t="s">
        <v>0</v>
      </c>
    </row>
    <row r="97" spans="1:10" x14ac:dyDescent="0.25">
      <c r="A97" s="29" t="s">
        <v>15</v>
      </c>
      <c r="B97" s="6">
        <v>710</v>
      </c>
      <c r="C97" s="4">
        <v>1252</v>
      </c>
      <c r="D97" s="5">
        <f t="shared" ref="D97:D104" si="12">B97+C97</f>
        <v>1962</v>
      </c>
      <c r="E97" s="6">
        <v>271</v>
      </c>
      <c r="F97" s="4">
        <v>487</v>
      </c>
      <c r="G97" s="4">
        <f t="shared" ref="G97:G104" si="13">E97+F97</f>
        <v>758</v>
      </c>
      <c r="H97" s="6">
        <f>B97+E97</f>
        <v>981</v>
      </c>
      <c r="I97" s="4">
        <f>C97+F97</f>
        <v>1739</v>
      </c>
      <c r="J97" s="7">
        <f t="shared" ref="J97:J104" si="14">H97+I97</f>
        <v>2720</v>
      </c>
    </row>
    <row r="98" spans="1:10" x14ac:dyDescent="0.25">
      <c r="A98" s="29" t="s">
        <v>138</v>
      </c>
      <c r="B98" s="6">
        <v>520</v>
      </c>
      <c r="C98" s="4">
        <v>765</v>
      </c>
      <c r="D98" s="5">
        <f t="shared" si="12"/>
        <v>1285</v>
      </c>
      <c r="E98" s="6">
        <v>718</v>
      </c>
      <c r="F98" s="4">
        <v>859</v>
      </c>
      <c r="G98" s="4">
        <f t="shared" si="13"/>
        <v>1577</v>
      </c>
      <c r="H98" s="6">
        <f t="shared" ref="H98:I104" si="15">B98+E98</f>
        <v>1238</v>
      </c>
      <c r="I98" s="4">
        <f t="shared" si="15"/>
        <v>1624</v>
      </c>
      <c r="J98" s="7">
        <f t="shared" si="14"/>
        <v>2862</v>
      </c>
    </row>
    <row r="99" spans="1:10" x14ac:dyDescent="0.25">
      <c r="A99" s="29" t="s">
        <v>14</v>
      </c>
      <c r="B99" s="6">
        <v>361</v>
      </c>
      <c r="C99" s="4">
        <v>286</v>
      </c>
      <c r="D99" s="5">
        <f t="shared" si="12"/>
        <v>647</v>
      </c>
      <c r="E99" s="6">
        <v>378</v>
      </c>
      <c r="F99" s="4">
        <v>372</v>
      </c>
      <c r="G99" s="4">
        <f t="shared" si="13"/>
        <v>750</v>
      </c>
      <c r="H99" s="6">
        <f t="shared" si="15"/>
        <v>739</v>
      </c>
      <c r="I99" s="4">
        <f t="shared" si="15"/>
        <v>658</v>
      </c>
      <c r="J99" s="7">
        <f t="shared" si="14"/>
        <v>1397</v>
      </c>
    </row>
    <row r="100" spans="1:10" x14ac:dyDescent="0.25">
      <c r="A100" s="29" t="s">
        <v>91</v>
      </c>
      <c r="B100" s="6">
        <v>918</v>
      </c>
      <c r="C100" s="4">
        <v>252</v>
      </c>
      <c r="D100" s="5">
        <f t="shared" si="12"/>
        <v>1170</v>
      </c>
      <c r="E100" s="6">
        <v>807</v>
      </c>
      <c r="F100" s="4">
        <v>282</v>
      </c>
      <c r="G100" s="4">
        <f t="shared" si="13"/>
        <v>1089</v>
      </c>
      <c r="H100" s="6">
        <f t="shared" si="15"/>
        <v>1725</v>
      </c>
      <c r="I100" s="4">
        <f t="shared" si="15"/>
        <v>534</v>
      </c>
      <c r="J100" s="7">
        <f t="shared" si="14"/>
        <v>2259</v>
      </c>
    </row>
    <row r="101" spans="1:10" x14ac:dyDescent="0.25">
      <c r="A101" s="29" t="s">
        <v>1</v>
      </c>
      <c r="B101" s="6">
        <v>251</v>
      </c>
      <c r="C101" s="4">
        <v>294</v>
      </c>
      <c r="D101" s="5">
        <f t="shared" si="12"/>
        <v>545</v>
      </c>
      <c r="E101" s="6">
        <v>175</v>
      </c>
      <c r="F101" s="4">
        <v>251</v>
      </c>
      <c r="G101" s="4">
        <f t="shared" si="13"/>
        <v>426</v>
      </c>
      <c r="H101" s="6">
        <f t="shared" si="15"/>
        <v>426</v>
      </c>
      <c r="I101" s="4">
        <f t="shared" si="15"/>
        <v>545</v>
      </c>
      <c r="J101" s="7">
        <f t="shared" si="14"/>
        <v>971</v>
      </c>
    </row>
    <row r="102" spans="1:10" x14ac:dyDescent="0.25">
      <c r="A102" s="29" t="s">
        <v>11</v>
      </c>
      <c r="B102" s="6">
        <v>852</v>
      </c>
      <c r="C102" s="4">
        <v>1566</v>
      </c>
      <c r="D102" s="5">
        <f t="shared" si="12"/>
        <v>2418</v>
      </c>
      <c r="E102" s="6">
        <v>345</v>
      </c>
      <c r="F102" s="4">
        <v>723</v>
      </c>
      <c r="G102" s="4">
        <f t="shared" si="13"/>
        <v>1068</v>
      </c>
      <c r="H102" s="6">
        <f t="shared" si="15"/>
        <v>1197</v>
      </c>
      <c r="I102" s="4">
        <f t="shared" si="15"/>
        <v>2289</v>
      </c>
      <c r="J102" s="7">
        <f t="shared" si="14"/>
        <v>3486</v>
      </c>
    </row>
    <row r="103" spans="1:10" x14ac:dyDescent="0.25">
      <c r="A103" s="29" t="s">
        <v>10</v>
      </c>
      <c r="B103" s="6">
        <v>1096</v>
      </c>
      <c r="C103" s="4">
        <v>678</v>
      </c>
      <c r="D103" s="5">
        <f t="shared" si="12"/>
        <v>1774</v>
      </c>
      <c r="E103" s="6">
        <v>286</v>
      </c>
      <c r="F103" s="4">
        <v>174</v>
      </c>
      <c r="G103" s="4">
        <f t="shared" si="13"/>
        <v>460</v>
      </c>
      <c r="H103" s="6">
        <f t="shared" si="15"/>
        <v>1382</v>
      </c>
      <c r="I103" s="4">
        <f t="shared" si="15"/>
        <v>852</v>
      </c>
      <c r="J103" s="7">
        <f t="shared" si="14"/>
        <v>2234</v>
      </c>
    </row>
    <row r="104" spans="1:10" ht="15.75" thickBot="1" x14ac:dyDescent="0.3">
      <c r="A104" s="28" t="s">
        <v>9</v>
      </c>
      <c r="B104" s="10">
        <v>1020</v>
      </c>
      <c r="C104" s="27">
        <v>1109</v>
      </c>
      <c r="D104" s="14">
        <f t="shared" si="12"/>
        <v>2129</v>
      </c>
      <c r="E104" s="10">
        <v>537</v>
      </c>
      <c r="F104" s="11">
        <v>770</v>
      </c>
      <c r="G104" s="11">
        <f t="shared" si="13"/>
        <v>1307</v>
      </c>
      <c r="H104" s="10">
        <f t="shared" si="15"/>
        <v>1557</v>
      </c>
      <c r="I104" s="11">
        <f t="shared" si="15"/>
        <v>1879</v>
      </c>
      <c r="J104" s="26">
        <f t="shared" si="14"/>
        <v>3436</v>
      </c>
    </row>
    <row r="105" spans="1:10" ht="16.5" thickTop="1" thickBot="1" x14ac:dyDescent="0.3">
      <c r="A105" s="9" t="s">
        <v>0</v>
      </c>
      <c r="B105" s="8">
        <f t="shared" ref="B105:J105" si="16">SUM(B97:B104)</f>
        <v>5728</v>
      </c>
      <c r="C105" s="8">
        <f t="shared" si="16"/>
        <v>6202</v>
      </c>
      <c r="D105" s="8">
        <f t="shared" si="16"/>
        <v>11930</v>
      </c>
      <c r="E105" s="8">
        <f t="shared" si="16"/>
        <v>3517</v>
      </c>
      <c r="F105" s="8">
        <f t="shared" si="16"/>
        <v>3918</v>
      </c>
      <c r="G105" s="8">
        <f t="shared" si="16"/>
        <v>7435</v>
      </c>
      <c r="H105" s="8">
        <f t="shared" si="16"/>
        <v>9245</v>
      </c>
      <c r="I105" s="8">
        <f t="shared" si="16"/>
        <v>10120</v>
      </c>
      <c r="J105" s="9">
        <f t="shared" si="16"/>
        <v>19365</v>
      </c>
    </row>
    <row r="106" spans="1:10" ht="15.75" thickBot="1" x14ac:dyDescent="0.3">
      <c r="A106" s="25"/>
      <c r="B106" s="25"/>
      <c r="C106" s="25"/>
      <c r="D106" s="25"/>
      <c r="E106" s="25"/>
      <c r="F106" s="25"/>
      <c r="G106" s="25"/>
      <c r="H106" s="25"/>
      <c r="I106" s="25"/>
      <c r="J106" s="25"/>
    </row>
    <row r="107" spans="1:10" x14ac:dyDescent="0.25">
      <c r="A107" s="12" t="s">
        <v>15</v>
      </c>
      <c r="B107" s="24">
        <f>B97/D97</f>
        <v>0.36187563710499493</v>
      </c>
      <c r="C107" s="23">
        <f>C97/D97</f>
        <v>0.63812436289500507</v>
      </c>
      <c r="D107" s="5"/>
      <c r="E107" s="24">
        <f>E97/G97</f>
        <v>0.35751978891820579</v>
      </c>
      <c r="F107" s="23">
        <f>F97/G97</f>
        <v>0.64248021108179421</v>
      </c>
      <c r="G107" s="4"/>
      <c r="H107" s="24">
        <f>H97/J97</f>
        <v>0.36066176470588235</v>
      </c>
      <c r="I107" s="23">
        <f>I97/J97</f>
        <v>0.6393382352941176</v>
      </c>
      <c r="J107" s="7"/>
    </row>
    <row r="108" spans="1:10" x14ac:dyDescent="0.25">
      <c r="A108" s="12" t="s">
        <v>138</v>
      </c>
      <c r="B108" s="24">
        <f>B98/D98</f>
        <v>0.40466926070038911</v>
      </c>
      <c r="C108" s="23">
        <f>C98/D98</f>
        <v>0.59533073929961089</v>
      </c>
      <c r="D108" s="5"/>
      <c r="E108" s="24">
        <f>E98/G98</f>
        <v>0.45529486366518707</v>
      </c>
      <c r="F108" s="23">
        <f>F98/G98</f>
        <v>0.54470513633481299</v>
      </c>
      <c r="G108" s="4"/>
      <c r="H108" s="24">
        <f>H98/J98</f>
        <v>0.43256464011180995</v>
      </c>
      <c r="I108" s="23">
        <f>I98/J98</f>
        <v>0.56743535988819005</v>
      </c>
      <c r="J108" s="7"/>
    </row>
    <row r="109" spans="1:10" x14ac:dyDescent="0.25">
      <c r="A109" s="12" t="s">
        <v>14</v>
      </c>
      <c r="B109" s="24">
        <f>B99/D99</f>
        <v>0.55795981452859356</v>
      </c>
      <c r="C109" s="23">
        <f>C99/D99</f>
        <v>0.4420401854714065</v>
      </c>
      <c r="D109" s="5"/>
      <c r="E109" s="24">
        <f>E99/G99</f>
        <v>0.504</v>
      </c>
      <c r="F109" s="23">
        <f>F99/G99</f>
        <v>0.496</v>
      </c>
      <c r="G109" s="4"/>
      <c r="H109" s="24">
        <f>H99/J99</f>
        <v>0.5289906943450251</v>
      </c>
      <c r="I109" s="23">
        <f>I99/J99</f>
        <v>0.47100930565497495</v>
      </c>
      <c r="J109" s="7"/>
    </row>
    <row r="110" spans="1:10" x14ac:dyDescent="0.25">
      <c r="A110" s="12" t="s">
        <v>91</v>
      </c>
      <c r="B110" s="24">
        <f t="shared" ref="B110:B111" si="17">B100/D100</f>
        <v>0.7846153846153846</v>
      </c>
      <c r="C110" s="23">
        <f t="shared" ref="C110:C111" si="18">C100/D100</f>
        <v>0.2153846153846154</v>
      </c>
      <c r="D110" s="5"/>
      <c r="E110" s="24">
        <f t="shared" ref="E110:E111" si="19">E100/G100</f>
        <v>0.74104683195592291</v>
      </c>
      <c r="F110" s="23">
        <f t="shared" ref="F110:F111" si="20">F100/G100</f>
        <v>0.25895316804407714</v>
      </c>
      <c r="G110" s="4"/>
      <c r="H110" s="24">
        <f t="shared" ref="H110:H111" si="21">H100/J100</f>
        <v>0.76361221779548472</v>
      </c>
      <c r="I110" s="23">
        <f t="shared" ref="I110:I111" si="22">I100/J100</f>
        <v>0.23638778220451528</v>
      </c>
      <c r="J110" s="7"/>
    </row>
    <row r="111" spans="1:10" x14ac:dyDescent="0.25">
      <c r="A111" s="12" t="s">
        <v>1</v>
      </c>
      <c r="B111" s="24">
        <f t="shared" si="17"/>
        <v>0.46055045871559636</v>
      </c>
      <c r="C111" s="23">
        <f t="shared" si="18"/>
        <v>0.5394495412844037</v>
      </c>
      <c r="D111" s="5"/>
      <c r="E111" s="24">
        <f t="shared" si="19"/>
        <v>0.41079812206572769</v>
      </c>
      <c r="F111" s="23">
        <f t="shared" si="20"/>
        <v>0.58920187793427226</v>
      </c>
      <c r="G111" s="4"/>
      <c r="H111" s="24">
        <f t="shared" si="21"/>
        <v>0.43872296601441813</v>
      </c>
      <c r="I111" s="23">
        <f t="shared" si="22"/>
        <v>0.56127703398558182</v>
      </c>
      <c r="J111" s="7"/>
    </row>
    <row r="112" spans="1:10" x14ac:dyDescent="0.25">
      <c r="A112" s="12" t="s">
        <v>11</v>
      </c>
      <c r="B112" s="24">
        <f>B102/D102</f>
        <v>0.35235732009925558</v>
      </c>
      <c r="C112" s="23">
        <f>C102/D102</f>
        <v>0.64764267990074442</v>
      </c>
      <c r="D112" s="5"/>
      <c r="E112" s="24">
        <f>E102/G102</f>
        <v>0.32303370786516855</v>
      </c>
      <c r="F112" s="23">
        <f>F102/G102</f>
        <v>0.6769662921348315</v>
      </c>
      <c r="G112" s="4"/>
      <c r="H112" s="24">
        <f>H102/J102</f>
        <v>0.34337349397590361</v>
      </c>
      <c r="I112" s="23">
        <f>I102/J102</f>
        <v>0.65662650602409633</v>
      </c>
      <c r="J112" s="7"/>
    </row>
    <row r="113" spans="1:10" x14ac:dyDescent="0.25">
      <c r="A113" s="12" t="s">
        <v>10</v>
      </c>
      <c r="B113" s="24">
        <f>B103/D103</f>
        <v>0.61781285231116123</v>
      </c>
      <c r="C113" s="23">
        <f>C103/D103</f>
        <v>0.38218714768883877</v>
      </c>
      <c r="D113" s="5"/>
      <c r="E113" s="24">
        <f>E103/G103</f>
        <v>0.62173913043478257</v>
      </c>
      <c r="F113" s="23">
        <f>F103/G103</f>
        <v>0.37826086956521737</v>
      </c>
      <c r="G113" s="4"/>
      <c r="H113" s="24">
        <f>H103/J103</f>
        <v>0.61862130707251561</v>
      </c>
      <c r="I113" s="23">
        <f>I103/J103</f>
        <v>0.38137869292748433</v>
      </c>
      <c r="J113" s="7"/>
    </row>
    <row r="114" spans="1:10" ht="15.75" thickBot="1" x14ac:dyDescent="0.3">
      <c r="A114" s="13" t="s">
        <v>9</v>
      </c>
      <c r="B114" s="22">
        <f>B104/D104</f>
        <v>0.47909816815406292</v>
      </c>
      <c r="C114" s="21">
        <f>C104/D104</f>
        <v>0.52090183184593708</v>
      </c>
      <c r="D114" s="14"/>
      <c r="E114" s="22">
        <f>E104/G104</f>
        <v>0.41086457536342769</v>
      </c>
      <c r="F114" s="21">
        <f>F104/G104</f>
        <v>0.58913542463657231</v>
      </c>
      <c r="G114" s="11"/>
      <c r="H114" s="22">
        <f>H104/J104</f>
        <v>0.4531431897555297</v>
      </c>
      <c r="I114" s="21">
        <f>I104/J104</f>
        <v>0.5468568102444703</v>
      </c>
      <c r="J114" s="20"/>
    </row>
    <row r="115" spans="1:10" ht="16.5" thickTop="1" thickBot="1" x14ac:dyDescent="0.3">
      <c r="A115" s="8" t="s">
        <v>0</v>
      </c>
      <c r="B115" s="19">
        <f>B105/D105</f>
        <v>0.48013411567476949</v>
      </c>
      <c r="C115" s="19">
        <f>C105/D105</f>
        <v>0.51986588432523051</v>
      </c>
      <c r="D115" s="8"/>
      <c r="E115" s="19">
        <f>E105/G105</f>
        <v>0.47303295225285813</v>
      </c>
      <c r="F115" s="19">
        <f>F105/G105</f>
        <v>0.52696704774714187</v>
      </c>
      <c r="G115" s="8"/>
      <c r="H115" s="19">
        <f>H105/J105</f>
        <v>0.47740769429382907</v>
      </c>
      <c r="I115" s="19">
        <f>I105/J105</f>
        <v>0.52259230570617088</v>
      </c>
      <c r="J115" s="9"/>
    </row>
  </sheetData>
  <mergeCells count="8">
    <mergeCell ref="B95:D95"/>
    <mergeCell ref="E95:G95"/>
    <mergeCell ref="H95:J95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opLeftCell="A82" zoomScale="55" zoomScaleNormal="55" zoomScalePageLayoutView="70" workbookViewId="0">
      <selection activeCell="A92" sqref="A92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2005-06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43</v>
      </c>
      <c r="C7" s="34">
        <v>99</v>
      </c>
      <c r="D7" s="35">
        <f>SUM(B7:C7)</f>
        <v>142</v>
      </c>
      <c r="E7" s="34">
        <v>62</v>
      </c>
      <c r="F7" s="34">
        <v>58</v>
      </c>
      <c r="G7" s="34">
        <f>SUM(E7:F7)</f>
        <v>120</v>
      </c>
      <c r="H7" s="39">
        <f>B7+E7</f>
        <v>105</v>
      </c>
      <c r="I7" s="34">
        <f>C7+F7</f>
        <v>157</v>
      </c>
      <c r="J7" s="35">
        <f>SUM(H7:I7)</f>
        <v>262</v>
      </c>
    </row>
    <row r="8" spans="1:10" x14ac:dyDescent="0.25">
      <c r="A8" s="12" t="s">
        <v>17</v>
      </c>
      <c r="B8" s="39">
        <v>56</v>
      </c>
      <c r="C8" s="34">
        <v>153</v>
      </c>
      <c r="D8" s="35">
        <f t="shared" ref="D8:D89" si="0">SUM(B8:C8)</f>
        <v>209</v>
      </c>
      <c r="E8" s="34">
        <v>51</v>
      </c>
      <c r="F8" s="34">
        <v>97</v>
      </c>
      <c r="G8" s="34">
        <f t="shared" ref="G8:G89" si="1">SUM(E8:F8)</f>
        <v>148</v>
      </c>
      <c r="H8" s="39">
        <f t="shared" ref="H8:I89" si="2">B8+E8</f>
        <v>107</v>
      </c>
      <c r="I8" s="34">
        <f t="shared" si="2"/>
        <v>250</v>
      </c>
      <c r="J8" s="35">
        <f t="shared" ref="J8:J89" si="3">SUM(H8:I8)</f>
        <v>357</v>
      </c>
    </row>
    <row r="9" spans="1:10" x14ac:dyDescent="0.25">
      <c r="A9" s="12" t="s">
        <v>18</v>
      </c>
      <c r="B9" s="39">
        <v>70</v>
      </c>
      <c r="C9" s="34">
        <v>147</v>
      </c>
      <c r="D9" s="35">
        <f t="shared" si="0"/>
        <v>217</v>
      </c>
      <c r="E9" s="34">
        <v>92</v>
      </c>
      <c r="F9" s="34">
        <v>240</v>
      </c>
      <c r="G9" s="34">
        <f t="shared" si="1"/>
        <v>332</v>
      </c>
      <c r="H9" s="39">
        <f t="shared" si="2"/>
        <v>162</v>
      </c>
      <c r="I9" s="34">
        <f t="shared" si="2"/>
        <v>387</v>
      </c>
      <c r="J9" s="35">
        <f t="shared" si="3"/>
        <v>549</v>
      </c>
    </row>
    <row r="10" spans="1:10" x14ac:dyDescent="0.25">
      <c r="A10" s="12" t="s">
        <v>19</v>
      </c>
      <c r="B10" s="39">
        <v>360</v>
      </c>
      <c r="C10" s="34">
        <v>279</v>
      </c>
      <c r="D10" s="35">
        <f t="shared" si="0"/>
        <v>639</v>
      </c>
      <c r="E10" s="34">
        <v>337</v>
      </c>
      <c r="F10" s="34">
        <v>290</v>
      </c>
      <c r="G10" s="34">
        <f t="shared" si="1"/>
        <v>627</v>
      </c>
      <c r="H10" s="39">
        <f t="shared" si="2"/>
        <v>697</v>
      </c>
      <c r="I10" s="34">
        <f t="shared" si="2"/>
        <v>569</v>
      </c>
      <c r="J10" s="35">
        <f t="shared" si="3"/>
        <v>1266</v>
      </c>
    </row>
    <row r="11" spans="1:10" x14ac:dyDescent="0.25">
      <c r="A11" s="12" t="s">
        <v>23</v>
      </c>
      <c r="B11" s="39">
        <v>67</v>
      </c>
      <c r="C11" s="34">
        <v>51</v>
      </c>
      <c r="D11" s="35">
        <f t="shared" si="0"/>
        <v>118</v>
      </c>
      <c r="E11" s="34">
        <v>72</v>
      </c>
      <c r="F11" s="34">
        <v>36</v>
      </c>
      <c r="G11" s="34">
        <f t="shared" si="1"/>
        <v>108</v>
      </c>
      <c r="H11" s="39">
        <f t="shared" si="2"/>
        <v>139</v>
      </c>
      <c r="I11" s="34">
        <f t="shared" si="2"/>
        <v>87</v>
      </c>
      <c r="J11" s="35">
        <f t="shared" si="3"/>
        <v>226</v>
      </c>
    </row>
    <row r="12" spans="1:10" x14ac:dyDescent="0.25">
      <c r="A12" s="12" t="s">
        <v>108</v>
      </c>
      <c r="B12" s="39">
        <v>91</v>
      </c>
      <c r="C12" s="34">
        <v>99</v>
      </c>
      <c r="D12" s="35">
        <f t="shared" si="0"/>
        <v>190</v>
      </c>
      <c r="E12" s="34">
        <v>43</v>
      </c>
      <c r="F12" s="34">
        <v>62</v>
      </c>
      <c r="G12" s="34">
        <f t="shared" si="1"/>
        <v>105</v>
      </c>
      <c r="H12" s="39">
        <f t="shared" si="2"/>
        <v>134</v>
      </c>
      <c r="I12" s="34">
        <f t="shared" si="2"/>
        <v>161</v>
      </c>
      <c r="J12" s="35">
        <f t="shared" si="3"/>
        <v>295</v>
      </c>
    </row>
    <row r="13" spans="1:10" x14ac:dyDescent="0.25">
      <c r="A13" s="12" t="s">
        <v>109</v>
      </c>
      <c r="B13" s="39">
        <v>84</v>
      </c>
      <c r="C13" s="34">
        <v>132</v>
      </c>
      <c r="D13" s="35">
        <f t="shared" si="0"/>
        <v>216</v>
      </c>
      <c r="E13" s="34">
        <v>34</v>
      </c>
      <c r="F13" s="34">
        <v>34</v>
      </c>
      <c r="G13" s="34">
        <f t="shared" si="1"/>
        <v>68</v>
      </c>
      <c r="H13" s="39">
        <f t="shared" si="2"/>
        <v>118</v>
      </c>
      <c r="I13" s="34">
        <f t="shared" si="2"/>
        <v>166</v>
      </c>
      <c r="J13" s="35">
        <f t="shared" si="3"/>
        <v>284</v>
      </c>
    </row>
    <row r="14" spans="1:10" x14ac:dyDescent="0.25">
      <c r="A14" s="12" t="s">
        <v>139</v>
      </c>
      <c r="B14" s="39">
        <v>0</v>
      </c>
      <c r="C14" s="34">
        <v>0</v>
      </c>
      <c r="D14" s="35">
        <f t="shared" si="0"/>
        <v>0</v>
      </c>
      <c r="E14" s="34">
        <v>2</v>
      </c>
      <c r="F14" s="34">
        <v>0</v>
      </c>
      <c r="G14" s="34">
        <f t="shared" si="1"/>
        <v>2</v>
      </c>
      <c r="H14" s="39">
        <f t="shared" si="2"/>
        <v>2</v>
      </c>
      <c r="I14" s="34">
        <f t="shared" si="2"/>
        <v>0</v>
      </c>
      <c r="J14" s="35">
        <f t="shared" si="3"/>
        <v>2</v>
      </c>
    </row>
    <row r="15" spans="1:10" x14ac:dyDescent="0.25">
      <c r="A15" s="12" t="s">
        <v>26</v>
      </c>
      <c r="B15" s="39">
        <v>0</v>
      </c>
      <c r="C15" s="34">
        <v>0</v>
      </c>
      <c r="D15" s="35">
        <f t="shared" si="0"/>
        <v>0</v>
      </c>
      <c r="E15" s="34">
        <v>18</v>
      </c>
      <c r="F15" s="34">
        <v>35</v>
      </c>
      <c r="G15" s="34">
        <f t="shared" si="1"/>
        <v>53</v>
      </c>
      <c r="H15" s="39">
        <f t="shared" si="2"/>
        <v>18</v>
      </c>
      <c r="I15" s="34">
        <f t="shared" si="2"/>
        <v>35</v>
      </c>
      <c r="J15" s="35">
        <f t="shared" si="3"/>
        <v>53</v>
      </c>
    </row>
    <row r="16" spans="1:10" x14ac:dyDescent="0.25">
      <c r="A16" s="12" t="s">
        <v>140</v>
      </c>
      <c r="B16" s="39">
        <v>0</v>
      </c>
      <c r="C16" s="34">
        <v>0</v>
      </c>
      <c r="D16" s="35">
        <f t="shared" si="0"/>
        <v>0</v>
      </c>
      <c r="E16" s="34">
        <v>29</v>
      </c>
      <c r="F16" s="34">
        <v>7</v>
      </c>
      <c r="G16" s="34">
        <f t="shared" si="1"/>
        <v>36</v>
      </c>
      <c r="H16" s="39">
        <f t="shared" si="2"/>
        <v>29</v>
      </c>
      <c r="I16" s="34">
        <f t="shared" si="2"/>
        <v>7</v>
      </c>
      <c r="J16" s="35">
        <f t="shared" si="3"/>
        <v>36</v>
      </c>
    </row>
    <row r="17" spans="1:10" x14ac:dyDescent="0.25">
      <c r="A17" s="12" t="s">
        <v>29</v>
      </c>
      <c r="B17" s="39">
        <v>0</v>
      </c>
      <c r="C17" s="34">
        <v>0</v>
      </c>
      <c r="D17" s="35">
        <f t="shared" si="0"/>
        <v>0</v>
      </c>
      <c r="E17" s="34">
        <v>52</v>
      </c>
      <c r="F17" s="34">
        <v>48</v>
      </c>
      <c r="G17" s="34">
        <f t="shared" si="1"/>
        <v>100</v>
      </c>
      <c r="H17" s="39">
        <f t="shared" si="2"/>
        <v>52</v>
      </c>
      <c r="I17" s="34">
        <f t="shared" si="2"/>
        <v>48</v>
      </c>
      <c r="J17" s="35">
        <f t="shared" si="3"/>
        <v>100</v>
      </c>
    </row>
    <row r="18" spans="1:10" x14ac:dyDescent="0.25">
      <c r="A18" s="12" t="s">
        <v>30</v>
      </c>
      <c r="B18" s="39">
        <v>91</v>
      </c>
      <c r="C18" s="34">
        <v>60</v>
      </c>
      <c r="D18" s="35">
        <f t="shared" si="0"/>
        <v>151</v>
      </c>
      <c r="E18" s="34">
        <v>29</v>
      </c>
      <c r="F18" s="34">
        <v>10</v>
      </c>
      <c r="G18" s="34">
        <f t="shared" si="1"/>
        <v>39</v>
      </c>
      <c r="H18" s="39">
        <f t="shared" si="2"/>
        <v>120</v>
      </c>
      <c r="I18" s="34">
        <f t="shared" si="2"/>
        <v>70</v>
      </c>
      <c r="J18" s="35">
        <f t="shared" si="3"/>
        <v>190</v>
      </c>
    </row>
    <row r="19" spans="1:10" x14ac:dyDescent="0.25">
      <c r="A19" s="12" t="s">
        <v>31</v>
      </c>
      <c r="B19" s="39">
        <v>137</v>
      </c>
      <c r="C19" s="34">
        <v>133</v>
      </c>
      <c r="D19" s="35">
        <f t="shared" si="0"/>
        <v>270</v>
      </c>
      <c r="E19" s="34">
        <v>64</v>
      </c>
      <c r="F19" s="34">
        <v>47</v>
      </c>
      <c r="G19" s="34">
        <f t="shared" si="1"/>
        <v>111</v>
      </c>
      <c r="H19" s="39">
        <f t="shared" si="2"/>
        <v>201</v>
      </c>
      <c r="I19" s="34">
        <f t="shared" si="2"/>
        <v>180</v>
      </c>
      <c r="J19" s="35">
        <f t="shared" si="3"/>
        <v>381</v>
      </c>
    </row>
    <row r="20" spans="1:10" x14ac:dyDescent="0.25">
      <c r="A20" s="12" t="s">
        <v>132</v>
      </c>
      <c r="B20" s="39">
        <v>158</v>
      </c>
      <c r="C20" s="34">
        <v>53</v>
      </c>
      <c r="D20" s="35">
        <f t="shared" si="0"/>
        <v>211</v>
      </c>
      <c r="E20" s="34">
        <v>36</v>
      </c>
      <c r="F20" s="34">
        <v>17</v>
      </c>
      <c r="G20" s="34">
        <f t="shared" si="1"/>
        <v>53</v>
      </c>
      <c r="H20" s="39">
        <f t="shared" si="2"/>
        <v>194</v>
      </c>
      <c r="I20" s="34">
        <f t="shared" si="2"/>
        <v>70</v>
      </c>
      <c r="J20" s="35">
        <f t="shared" si="3"/>
        <v>264</v>
      </c>
    </row>
    <row r="21" spans="1:10" x14ac:dyDescent="0.25">
      <c r="A21" s="12" t="s">
        <v>33</v>
      </c>
      <c r="B21" s="39">
        <v>174</v>
      </c>
      <c r="C21" s="34">
        <v>35</v>
      </c>
      <c r="D21" s="35">
        <f t="shared" si="0"/>
        <v>209</v>
      </c>
      <c r="E21" s="34">
        <v>173</v>
      </c>
      <c r="F21" s="34">
        <v>43</v>
      </c>
      <c r="G21" s="34">
        <f t="shared" si="1"/>
        <v>216</v>
      </c>
      <c r="H21" s="39">
        <f t="shared" si="2"/>
        <v>347</v>
      </c>
      <c r="I21" s="34">
        <f t="shared" si="2"/>
        <v>78</v>
      </c>
      <c r="J21" s="35">
        <f t="shared" si="3"/>
        <v>425</v>
      </c>
    </row>
    <row r="22" spans="1:10" x14ac:dyDescent="0.25">
      <c r="A22" s="12" t="s">
        <v>34</v>
      </c>
      <c r="B22" s="39">
        <v>0</v>
      </c>
      <c r="C22" s="34">
        <v>0</v>
      </c>
      <c r="D22" s="35">
        <f t="shared" si="0"/>
        <v>0</v>
      </c>
      <c r="E22" s="34">
        <v>55</v>
      </c>
      <c r="F22" s="34">
        <v>67</v>
      </c>
      <c r="G22" s="34">
        <f t="shared" si="1"/>
        <v>122</v>
      </c>
      <c r="H22" s="39">
        <f t="shared" si="2"/>
        <v>55</v>
      </c>
      <c r="I22" s="34">
        <f t="shared" si="2"/>
        <v>67</v>
      </c>
      <c r="J22" s="35">
        <f t="shared" si="3"/>
        <v>122</v>
      </c>
    </row>
    <row r="23" spans="1:10" x14ac:dyDescent="0.25">
      <c r="A23" s="12" t="s">
        <v>35</v>
      </c>
      <c r="B23" s="39">
        <v>14</v>
      </c>
      <c r="C23" s="34">
        <v>20</v>
      </c>
      <c r="D23" s="35">
        <f t="shared" si="0"/>
        <v>34</v>
      </c>
      <c r="E23" s="34">
        <v>10</v>
      </c>
      <c r="F23" s="34">
        <v>28</v>
      </c>
      <c r="G23" s="34">
        <f t="shared" si="1"/>
        <v>38</v>
      </c>
      <c r="H23" s="39">
        <f t="shared" si="2"/>
        <v>24</v>
      </c>
      <c r="I23" s="34">
        <f t="shared" si="2"/>
        <v>48</v>
      </c>
      <c r="J23" s="35">
        <f t="shared" si="3"/>
        <v>72</v>
      </c>
    </row>
    <row r="24" spans="1:10" x14ac:dyDescent="0.25">
      <c r="A24" s="12" t="s">
        <v>36</v>
      </c>
      <c r="B24" s="39">
        <v>80</v>
      </c>
      <c r="C24" s="34">
        <v>65</v>
      </c>
      <c r="D24" s="35">
        <f t="shared" si="0"/>
        <v>145</v>
      </c>
      <c r="E24" s="34">
        <v>42</v>
      </c>
      <c r="F24" s="34">
        <v>35</v>
      </c>
      <c r="G24" s="34">
        <f t="shared" si="1"/>
        <v>77</v>
      </c>
      <c r="H24" s="39">
        <f t="shared" si="2"/>
        <v>122</v>
      </c>
      <c r="I24" s="34">
        <f t="shared" si="2"/>
        <v>100</v>
      </c>
      <c r="J24" s="35">
        <f t="shared" si="3"/>
        <v>222</v>
      </c>
    </row>
    <row r="25" spans="1:10" x14ac:dyDescent="0.25">
      <c r="A25" s="12" t="s">
        <v>37</v>
      </c>
      <c r="B25" s="39">
        <v>380</v>
      </c>
      <c r="C25" s="34">
        <v>185</v>
      </c>
      <c r="D25" s="35">
        <f t="shared" si="0"/>
        <v>565</v>
      </c>
      <c r="E25" s="34">
        <v>80</v>
      </c>
      <c r="F25" s="34">
        <v>57</v>
      </c>
      <c r="G25" s="34">
        <f t="shared" si="1"/>
        <v>137</v>
      </c>
      <c r="H25" s="39">
        <f t="shared" si="2"/>
        <v>460</v>
      </c>
      <c r="I25" s="34">
        <f t="shared" si="2"/>
        <v>242</v>
      </c>
      <c r="J25" s="35">
        <f t="shared" si="3"/>
        <v>702</v>
      </c>
    </row>
    <row r="26" spans="1:10" x14ac:dyDescent="0.25">
      <c r="A26" s="12" t="s">
        <v>38</v>
      </c>
      <c r="B26" s="39">
        <v>156</v>
      </c>
      <c r="C26" s="34">
        <v>22</v>
      </c>
      <c r="D26" s="35">
        <f t="shared" si="0"/>
        <v>178</v>
      </c>
      <c r="E26" s="34">
        <v>268</v>
      </c>
      <c r="F26" s="34">
        <v>53</v>
      </c>
      <c r="G26" s="34">
        <f t="shared" si="1"/>
        <v>321</v>
      </c>
      <c r="H26" s="39">
        <f t="shared" si="2"/>
        <v>424</v>
      </c>
      <c r="I26" s="34">
        <f t="shared" si="2"/>
        <v>75</v>
      </c>
      <c r="J26" s="35">
        <f t="shared" si="3"/>
        <v>499</v>
      </c>
    </row>
    <row r="27" spans="1:10" x14ac:dyDescent="0.25">
      <c r="A27" s="12" t="s">
        <v>41</v>
      </c>
      <c r="B27" s="39">
        <v>102</v>
      </c>
      <c r="C27" s="34">
        <v>175</v>
      </c>
      <c r="D27" s="35">
        <f t="shared" si="0"/>
        <v>277</v>
      </c>
      <c r="E27" s="34">
        <v>29</v>
      </c>
      <c r="F27" s="34">
        <v>38</v>
      </c>
      <c r="G27" s="34">
        <f t="shared" si="1"/>
        <v>67</v>
      </c>
      <c r="H27" s="39">
        <f t="shared" si="2"/>
        <v>131</v>
      </c>
      <c r="I27" s="34">
        <f t="shared" si="2"/>
        <v>213</v>
      </c>
      <c r="J27" s="35">
        <f t="shared" si="3"/>
        <v>344</v>
      </c>
    </row>
    <row r="28" spans="1:10" x14ac:dyDescent="0.25">
      <c r="A28" s="12" t="s">
        <v>94</v>
      </c>
      <c r="B28" s="39">
        <v>50</v>
      </c>
      <c r="C28" s="34">
        <v>99</v>
      </c>
      <c r="D28" s="35">
        <f t="shared" si="0"/>
        <v>149</v>
      </c>
      <c r="E28" s="34">
        <v>0</v>
      </c>
      <c r="F28" s="34">
        <v>0</v>
      </c>
      <c r="G28" s="34">
        <f t="shared" si="1"/>
        <v>0</v>
      </c>
      <c r="H28" s="39">
        <f t="shared" si="2"/>
        <v>50</v>
      </c>
      <c r="I28" s="34">
        <f t="shared" si="2"/>
        <v>99</v>
      </c>
      <c r="J28" s="35">
        <f t="shared" si="3"/>
        <v>149</v>
      </c>
    </row>
    <row r="29" spans="1:10" x14ac:dyDescent="0.25">
      <c r="A29" s="12" t="s">
        <v>44</v>
      </c>
      <c r="B29" s="39">
        <v>69</v>
      </c>
      <c r="C29" s="34">
        <v>82</v>
      </c>
      <c r="D29" s="35">
        <f t="shared" si="0"/>
        <v>151</v>
      </c>
      <c r="E29" s="34">
        <v>35</v>
      </c>
      <c r="F29" s="34">
        <v>82</v>
      </c>
      <c r="G29" s="34">
        <f t="shared" si="1"/>
        <v>117</v>
      </c>
      <c r="H29" s="39">
        <f t="shared" si="2"/>
        <v>104</v>
      </c>
      <c r="I29" s="34">
        <f t="shared" si="2"/>
        <v>164</v>
      </c>
      <c r="J29" s="35">
        <f t="shared" si="3"/>
        <v>268</v>
      </c>
    </row>
    <row r="30" spans="1:10" x14ac:dyDescent="0.25">
      <c r="A30" s="12" t="s">
        <v>45</v>
      </c>
      <c r="B30" s="39">
        <v>62</v>
      </c>
      <c r="C30" s="34">
        <v>167</v>
      </c>
      <c r="D30" s="35">
        <f t="shared" si="0"/>
        <v>229</v>
      </c>
      <c r="E30" s="34">
        <v>5</v>
      </c>
      <c r="F30" s="34">
        <v>11</v>
      </c>
      <c r="G30" s="34">
        <f t="shared" si="1"/>
        <v>16</v>
      </c>
      <c r="H30" s="39">
        <f t="shared" si="2"/>
        <v>67</v>
      </c>
      <c r="I30" s="34">
        <f t="shared" si="2"/>
        <v>178</v>
      </c>
      <c r="J30" s="35">
        <f t="shared" si="3"/>
        <v>245</v>
      </c>
    </row>
    <row r="31" spans="1:10" x14ac:dyDescent="0.25">
      <c r="A31" s="12" t="s">
        <v>95</v>
      </c>
      <c r="B31" s="39">
        <v>0</v>
      </c>
      <c r="C31" s="34">
        <v>0</v>
      </c>
      <c r="D31" s="35">
        <f t="shared" si="0"/>
        <v>0</v>
      </c>
      <c r="E31" s="34">
        <v>8</v>
      </c>
      <c r="F31" s="34">
        <v>1</v>
      </c>
      <c r="G31" s="34">
        <f t="shared" si="1"/>
        <v>9</v>
      </c>
      <c r="H31" s="39">
        <f t="shared" si="2"/>
        <v>8</v>
      </c>
      <c r="I31" s="34">
        <f t="shared" si="2"/>
        <v>1</v>
      </c>
      <c r="J31" s="35">
        <f t="shared" si="3"/>
        <v>9</v>
      </c>
    </row>
    <row r="32" spans="1:10" x14ac:dyDescent="0.25">
      <c r="A32" s="12" t="s">
        <v>47</v>
      </c>
      <c r="B32" s="39">
        <v>167</v>
      </c>
      <c r="C32" s="34">
        <v>173</v>
      </c>
      <c r="D32" s="35">
        <f t="shared" si="0"/>
        <v>340</v>
      </c>
      <c r="E32" s="34">
        <v>66</v>
      </c>
      <c r="F32" s="34">
        <v>66</v>
      </c>
      <c r="G32" s="34">
        <f t="shared" si="1"/>
        <v>132</v>
      </c>
      <c r="H32" s="39">
        <f t="shared" si="2"/>
        <v>233</v>
      </c>
      <c r="I32" s="34">
        <f t="shared" si="2"/>
        <v>239</v>
      </c>
      <c r="J32" s="35">
        <f t="shared" si="3"/>
        <v>472</v>
      </c>
    </row>
    <row r="33" spans="1:10" x14ac:dyDescent="0.25">
      <c r="A33" s="12" t="s">
        <v>133</v>
      </c>
      <c r="B33" s="39">
        <v>26</v>
      </c>
      <c r="C33" s="34">
        <v>6</v>
      </c>
      <c r="D33" s="35">
        <f t="shared" si="0"/>
        <v>32</v>
      </c>
      <c r="E33" s="34">
        <v>50</v>
      </c>
      <c r="F33" s="34">
        <v>20</v>
      </c>
      <c r="G33" s="34">
        <f t="shared" si="1"/>
        <v>70</v>
      </c>
      <c r="H33" s="39">
        <f t="shared" si="2"/>
        <v>76</v>
      </c>
      <c r="I33" s="34">
        <f t="shared" si="2"/>
        <v>26</v>
      </c>
      <c r="J33" s="35">
        <f t="shared" si="3"/>
        <v>102</v>
      </c>
    </row>
    <row r="34" spans="1:10" x14ac:dyDescent="0.25">
      <c r="A34" s="12" t="s">
        <v>48</v>
      </c>
      <c r="B34" s="39">
        <v>51</v>
      </c>
      <c r="C34" s="34">
        <v>103</v>
      </c>
      <c r="D34" s="35">
        <f t="shared" si="0"/>
        <v>154</v>
      </c>
      <c r="E34" s="34">
        <v>1</v>
      </c>
      <c r="F34" s="34">
        <v>5</v>
      </c>
      <c r="G34" s="34">
        <f t="shared" si="1"/>
        <v>6</v>
      </c>
      <c r="H34" s="39">
        <f t="shared" si="2"/>
        <v>52</v>
      </c>
      <c r="I34" s="34">
        <f t="shared" si="2"/>
        <v>108</v>
      </c>
      <c r="J34" s="35">
        <f t="shared" si="3"/>
        <v>160</v>
      </c>
    </row>
    <row r="35" spans="1:10" x14ac:dyDescent="0.25">
      <c r="A35" s="12" t="s">
        <v>49</v>
      </c>
      <c r="B35" s="39">
        <v>63</v>
      </c>
      <c r="C35" s="34">
        <v>94</v>
      </c>
      <c r="D35" s="35">
        <f t="shared" si="0"/>
        <v>157</v>
      </c>
      <c r="E35" s="34">
        <v>12</v>
      </c>
      <c r="F35" s="34">
        <v>24</v>
      </c>
      <c r="G35" s="34">
        <f t="shared" si="1"/>
        <v>36</v>
      </c>
      <c r="H35" s="39">
        <f t="shared" si="2"/>
        <v>75</v>
      </c>
      <c r="I35" s="34">
        <f t="shared" si="2"/>
        <v>118</v>
      </c>
      <c r="J35" s="35">
        <f t="shared" si="3"/>
        <v>193</v>
      </c>
    </row>
    <row r="36" spans="1:10" x14ac:dyDescent="0.25">
      <c r="A36" s="12" t="s">
        <v>50</v>
      </c>
      <c r="B36" s="39">
        <v>14</v>
      </c>
      <c r="C36" s="34">
        <v>25</v>
      </c>
      <c r="D36" s="35">
        <f t="shared" si="0"/>
        <v>39</v>
      </c>
      <c r="E36" s="34">
        <v>13</v>
      </c>
      <c r="F36" s="34">
        <v>19</v>
      </c>
      <c r="G36" s="34">
        <f t="shared" si="1"/>
        <v>32</v>
      </c>
      <c r="H36" s="39">
        <f t="shared" si="2"/>
        <v>27</v>
      </c>
      <c r="I36" s="34">
        <f t="shared" si="2"/>
        <v>44</v>
      </c>
      <c r="J36" s="35">
        <f t="shared" si="3"/>
        <v>71</v>
      </c>
    </row>
    <row r="37" spans="1:10" x14ac:dyDescent="0.25">
      <c r="A37" s="12" t="s">
        <v>51</v>
      </c>
      <c r="B37" s="39">
        <v>156</v>
      </c>
      <c r="C37" s="34">
        <v>166</v>
      </c>
      <c r="D37" s="35">
        <f t="shared" si="0"/>
        <v>322</v>
      </c>
      <c r="E37" s="34">
        <v>49</v>
      </c>
      <c r="F37" s="34">
        <v>45</v>
      </c>
      <c r="G37" s="34">
        <f t="shared" si="1"/>
        <v>94</v>
      </c>
      <c r="H37" s="39">
        <f t="shared" si="2"/>
        <v>205</v>
      </c>
      <c r="I37" s="34">
        <f t="shared" si="2"/>
        <v>211</v>
      </c>
      <c r="J37" s="35">
        <f t="shared" si="3"/>
        <v>416</v>
      </c>
    </row>
    <row r="38" spans="1:10" x14ac:dyDescent="0.25">
      <c r="A38" s="12" t="s">
        <v>52</v>
      </c>
      <c r="B38" s="39">
        <v>29</v>
      </c>
      <c r="C38" s="34">
        <v>141</v>
      </c>
      <c r="D38" s="35">
        <f t="shared" si="0"/>
        <v>170</v>
      </c>
      <c r="E38" s="34">
        <v>14</v>
      </c>
      <c r="F38" s="34">
        <v>48</v>
      </c>
      <c r="G38" s="34">
        <f t="shared" si="1"/>
        <v>62</v>
      </c>
      <c r="H38" s="39">
        <f t="shared" si="2"/>
        <v>43</v>
      </c>
      <c r="I38" s="34">
        <f t="shared" si="2"/>
        <v>189</v>
      </c>
      <c r="J38" s="35">
        <f t="shared" si="3"/>
        <v>232</v>
      </c>
    </row>
    <row r="39" spans="1:10" x14ac:dyDescent="0.25">
      <c r="A39" s="12" t="s">
        <v>110</v>
      </c>
      <c r="B39" s="39">
        <v>7</v>
      </c>
      <c r="C39" s="34">
        <v>206</v>
      </c>
      <c r="D39" s="35">
        <f t="shared" si="0"/>
        <v>213</v>
      </c>
      <c r="E39" s="34">
        <v>6</v>
      </c>
      <c r="F39" s="34">
        <v>70</v>
      </c>
      <c r="G39" s="34">
        <f t="shared" si="1"/>
        <v>76</v>
      </c>
      <c r="H39" s="39">
        <f t="shared" si="2"/>
        <v>13</v>
      </c>
      <c r="I39" s="34">
        <f t="shared" si="2"/>
        <v>276</v>
      </c>
      <c r="J39" s="35">
        <f t="shared" si="3"/>
        <v>289</v>
      </c>
    </row>
    <row r="40" spans="1:10" x14ac:dyDescent="0.25">
      <c r="A40" s="12" t="s">
        <v>111</v>
      </c>
      <c r="B40" s="39">
        <v>20</v>
      </c>
      <c r="C40" s="34">
        <v>92</v>
      </c>
      <c r="D40" s="35">
        <f t="shared" si="0"/>
        <v>112</v>
      </c>
      <c r="E40" s="34">
        <v>0</v>
      </c>
      <c r="F40" s="34">
        <v>0</v>
      </c>
      <c r="G40" s="34">
        <f t="shared" si="1"/>
        <v>0</v>
      </c>
      <c r="H40" s="39">
        <f t="shared" si="2"/>
        <v>20</v>
      </c>
      <c r="I40" s="34">
        <f t="shared" si="2"/>
        <v>92</v>
      </c>
      <c r="J40" s="35">
        <f t="shared" si="3"/>
        <v>112</v>
      </c>
    </row>
    <row r="41" spans="1:10" x14ac:dyDescent="0.25">
      <c r="A41" s="12" t="s">
        <v>55</v>
      </c>
      <c r="B41" s="39">
        <v>56</v>
      </c>
      <c r="C41" s="34">
        <v>147</v>
      </c>
      <c r="D41" s="35">
        <f t="shared" si="0"/>
        <v>203</v>
      </c>
      <c r="E41" s="34">
        <v>25</v>
      </c>
      <c r="F41" s="34">
        <v>26</v>
      </c>
      <c r="G41" s="34">
        <f t="shared" si="1"/>
        <v>51</v>
      </c>
      <c r="H41" s="39">
        <f t="shared" si="2"/>
        <v>81</v>
      </c>
      <c r="I41" s="34">
        <f t="shared" si="2"/>
        <v>173</v>
      </c>
      <c r="J41" s="35">
        <f t="shared" si="3"/>
        <v>254</v>
      </c>
    </row>
    <row r="42" spans="1:10" x14ac:dyDescent="0.25">
      <c r="A42" s="12" t="s">
        <v>56</v>
      </c>
      <c r="B42" s="39">
        <v>39</v>
      </c>
      <c r="C42" s="34">
        <v>48</v>
      </c>
      <c r="D42" s="35">
        <f t="shared" si="0"/>
        <v>87</v>
      </c>
      <c r="E42" s="34">
        <v>0</v>
      </c>
      <c r="F42" s="34">
        <v>0</v>
      </c>
      <c r="G42" s="34">
        <f t="shared" si="1"/>
        <v>0</v>
      </c>
      <c r="H42" s="39">
        <f t="shared" si="2"/>
        <v>39</v>
      </c>
      <c r="I42" s="34">
        <f t="shared" si="2"/>
        <v>48</v>
      </c>
      <c r="J42" s="35">
        <f t="shared" si="3"/>
        <v>87</v>
      </c>
    </row>
    <row r="43" spans="1:10" x14ac:dyDescent="0.25">
      <c r="A43" s="12" t="s">
        <v>1</v>
      </c>
      <c r="B43" s="39">
        <v>233</v>
      </c>
      <c r="C43" s="34">
        <v>327</v>
      </c>
      <c r="D43" s="35">
        <f t="shared" si="0"/>
        <v>560</v>
      </c>
      <c r="E43" s="34">
        <v>196</v>
      </c>
      <c r="F43" s="34">
        <v>241</v>
      </c>
      <c r="G43" s="34">
        <f t="shared" si="1"/>
        <v>437</v>
      </c>
      <c r="H43" s="39">
        <f t="shared" si="2"/>
        <v>429</v>
      </c>
      <c r="I43" s="34">
        <f t="shared" si="2"/>
        <v>568</v>
      </c>
      <c r="J43" s="35">
        <f t="shared" si="3"/>
        <v>997</v>
      </c>
    </row>
    <row r="44" spans="1:10" x14ac:dyDescent="0.25">
      <c r="A44" s="12" t="s">
        <v>102</v>
      </c>
      <c r="B44" s="39">
        <v>52</v>
      </c>
      <c r="C44" s="34">
        <v>40</v>
      </c>
      <c r="D44" s="35">
        <f t="shared" si="0"/>
        <v>92</v>
      </c>
      <c r="E44" s="34">
        <v>55</v>
      </c>
      <c r="F44" s="34">
        <v>102</v>
      </c>
      <c r="G44" s="34">
        <f t="shared" si="1"/>
        <v>157</v>
      </c>
      <c r="H44" s="39">
        <f t="shared" si="2"/>
        <v>107</v>
      </c>
      <c r="I44" s="34">
        <f t="shared" si="2"/>
        <v>142</v>
      </c>
      <c r="J44" s="35">
        <f t="shared" si="3"/>
        <v>249</v>
      </c>
    </row>
    <row r="45" spans="1:10" x14ac:dyDescent="0.25">
      <c r="A45" s="12" t="s">
        <v>134</v>
      </c>
      <c r="B45" s="39">
        <v>0</v>
      </c>
      <c r="C45" s="34">
        <v>0</v>
      </c>
      <c r="D45" s="35">
        <f t="shared" si="0"/>
        <v>0</v>
      </c>
      <c r="E45" s="34">
        <v>12</v>
      </c>
      <c r="F45" s="34">
        <v>8</v>
      </c>
      <c r="G45" s="34">
        <f t="shared" si="1"/>
        <v>20</v>
      </c>
      <c r="H45" s="39">
        <f t="shared" si="2"/>
        <v>12</v>
      </c>
      <c r="I45" s="34">
        <f t="shared" si="2"/>
        <v>8</v>
      </c>
      <c r="J45" s="35">
        <f t="shared" si="3"/>
        <v>20</v>
      </c>
    </row>
    <row r="46" spans="1:10" x14ac:dyDescent="0.25">
      <c r="A46" s="12" t="s">
        <v>59</v>
      </c>
      <c r="B46" s="39">
        <v>304</v>
      </c>
      <c r="C46" s="34">
        <v>187</v>
      </c>
      <c r="D46" s="35">
        <f t="shared" si="0"/>
        <v>491</v>
      </c>
      <c r="E46" s="34">
        <v>23</v>
      </c>
      <c r="F46" s="34">
        <v>9</v>
      </c>
      <c r="G46" s="34">
        <f t="shared" si="1"/>
        <v>32</v>
      </c>
      <c r="H46" s="39">
        <f t="shared" si="2"/>
        <v>327</v>
      </c>
      <c r="I46" s="34">
        <f t="shared" si="2"/>
        <v>196</v>
      </c>
      <c r="J46" s="35">
        <f t="shared" si="3"/>
        <v>523</v>
      </c>
    </row>
    <row r="47" spans="1:10" x14ac:dyDescent="0.25">
      <c r="A47" s="12" t="s">
        <v>60</v>
      </c>
      <c r="B47" s="39">
        <v>246</v>
      </c>
      <c r="C47" s="34">
        <v>33</v>
      </c>
      <c r="D47" s="35">
        <f t="shared" si="0"/>
        <v>279</v>
      </c>
      <c r="E47" s="34">
        <v>108</v>
      </c>
      <c r="F47" s="34">
        <v>5</v>
      </c>
      <c r="G47" s="34">
        <f t="shared" si="1"/>
        <v>113</v>
      </c>
      <c r="H47" s="39">
        <f t="shared" si="2"/>
        <v>354</v>
      </c>
      <c r="I47" s="34">
        <f t="shared" si="2"/>
        <v>38</v>
      </c>
      <c r="J47" s="35">
        <f t="shared" si="3"/>
        <v>392</v>
      </c>
    </row>
    <row r="48" spans="1:10" x14ac:dyDescent="0.25">
      <c r="A48" s="12" t="s">
        <v>61</v>
      </c>
      <c r="B48" s="39">
        <v>13</v>
      </c>
      <c r="C48" s="34">
        <v>7</v>
      </c>
      <c r="D48" s="35">
        <f t="shared" si="0"/>
        <v>20</v>
      </c>
      <c r="E48" s="34">
        <v>55</v>
      </c>
      <c r="F48" s="34">
        <v>42</v>
      </c>
      <c r="G48" s="34">
        <f t="shared" si="1"/>
        <v>97</v>
      </c>
      <c r="H48" s="39">
        <f t="shared" si="2"/>
        <v>68</v>
      </c>
      <c r="I48" s="34">
        <f t="shared" si="2"/>
        <v>49</v>
      </c>
      <c r="J48" s="35">
        <f t="shared" si="3"/>
        <v>117</v>
      </c>
    </row>
    <row r="49" spans="1:10" x14ac:dyDescent="0.25">
      <c r="A49" s="12" t="s">
        <v>135</v>
      </c>
      <c r="B49" s="39">
        <v>14</v>
      </c>
      <c r="C49" s="34">
        <v>11</v>
      </c>
      <c r="D49" s="35">
        <f t="shared" si="0"/>
        <v>25</v>
      </c>
      <c r="E49" s="34">
        <v>0</v>
      </c>
      <c r="F49" s="34">
        <v>0</v>
      </c>
      <c r="G49" s="34">
        <f t="shared" si="1"/>
        <v>0</v>
      </c>
      <c r="H49" s="39">
        <f t="shared" si="2"/>
        <v>14</v>
      </c>
      <c r="I49" s="34">
        <f t="shared" si="2"/>
        <v>11</v>
      </c>
      <c r="J49" s="35">
        <f t="shared" si="3"/>
        <v>25</v>
      </c>
    </row>
    <row r="50" spans="1:10" x14ac:dyDescent="0.25">
      <c r="A50" s="12" t="s">
        <v>112</v>
      </c>
      <c r="B50" s="39">
        <v>47</v>
      </c>
      <c r="C50" s="34">
        <v>64</v>
      </c>
      <c r="D50" s="35">
        <f t="shared" si="0"/>
        <v>111</v>
      </c>
      <c r="E50" s="34">
        <v>12</v>
      </c>
      <c r="F50" s="34">
        <v>15</v>
      </c>
      <c r="G50" s="34">
        <f t="shared" si="1"/>
        <v>27</v>
      </c>
      <c r="H50" s="39">
        <f t="shared" si="2"/>
        <v>59</v>
      </c>
      <c r="I50" s="34">
        <f t="shared" si="2"/>
        <v>79</v>
      </c>
      <c r="J50" s="35">
        <f t="shared" si="3"/>
        <v>138</v>
      </c>
    </row>
    <row r="51" spans="1:10" x14ac:dyDescent="0.25">
      <c r="A51" s="12" t="s">
        <v>64</v>
      </c>
      <c r="B51" s="39">
        <v>75</v>
      </c>
      <c r="C51" s="34">
        <v>71</v>
      </c>
      <c r="D51" s="35">
        <f t="shared" si="0"/>
        <v>146</v>
      </c>
      <c r="E51" s="34">
        <v>34</v>
      </c>
      <c r="F51" s="34">
        <v>11</v>
      </c>
      <c r="G51" s="34">
        <f t="shared" si="1"/>
        <v>45</v>
      </c>
      <c r="H51" s="39">
        <f t="shared" si="2"/>
        <v>109</v>
      </c>
      <c r="I51" s="34">
        <f t="shared" si="2"/>
        <v>82</v>
      </c>
      <c r="J51" s="35">
        <f t="shared" si="3"/>
        <v>191</v>
      </c>
    </row>
    <row r="52" spans="1:10" x14ac:dyDescent="0.25">
      <c r="A52" s="12" t="s">
        <v>113</v>
      </c>
      <c r="B52" s="39">
        <v>24</v>
      </c>
      <c r="C52" s="34">
        <v>80</v>
      </c>
      <c r="D52" s="35">
        <f t="shared" si="0"/>
        <v>104</v>
      </c>
      <c r="E52" s="34">
        <v>32</v>
      </c>
      <c r="F52" s="34">
        <v>50</v>
      </c>
      <c r="G52" s="34">
        <f t="shared" si="1"/>
        <v>82</v>
      </c>
      <c r="H52" s="39">
        <f t="shared" si="2"/>
        <v>56</v>
      </c>
      <c r="I52" s="34">
        <f t="shared" si="2"/>
        <v>130</v>
      </c>
      <c r="J52" s="35">
        <f t="shared" si="3"/>
        <v>186</v>
      </c>
    </row>
    <row r="53" spans="1:10" x14ac:dyDescent="0.25">
      <c r="A53" s="12" t="s">
        <v>65</v>
      </c>
      <c r="B53" s="39">
        <v>314</v>
      </c>
      <c r="C53" s="34">
        <v>89</v>
      </c>
      <c r="D53" s="35">
        <f t="shared" si="0"/>
        <v>403</v>
      </c>
      <c r="E53" s="34">
        <v>76</v>
      </c>
      <c r="F53" s="34">
        <v>32</v>
      </c>
      <c r="G53" s="34">
        <f t="shared" si="1"/>
        <v>108</v>
      </c>
      <c r="H53" s="39">
        <f t="shared" si="2"/>
        <v>390</v>
      </c>
      <c r="I53" s="34">
        <f t="shared" si="2"/>
        <v>121</v>
      </c>
      <c r="J53" s="35">
        <f t="shared" si="3"/>
        <v>511</v>
      </c>
    </row>
    <row r="54" spans="1:10" x14ac:dyDescent="0.25">
      <c r="A54" s="12" t="s">
        <v>114</v>
      </c>
      <c r="B54" s="39">
        <v>110</v>
      </c>
      <c r="C54" s="34">
        <v>187</v>
      </c>
      <c r="D54" s="35">
        <f t="shared" si="0"/>
        <v>297</v>
      </c>
      <c r="E54" s="34">
        <v>33</v>
      </c>
      <c r="F54" s="34">
        <v>88</v>
      </c>
      <c r="G54" s="34">
        <f t="shared" si="1"/>
        <v>121</v>
      </c>
      <c r="H54" s="39">
        <f t="shared" si="2"/>
        <v>143</v>
      </c>
      <c r="I54" s="34">
        <f t="shared" si="2"/>
        <v>275</v>
      </c>
      <c r="J54" s="35">
        <f t="shared" si="3"/>
        <v>418</v>
      </c>
    </row>
    <row r="55" spans="1:10" x14ac:dyDescent="0.25">
      <c r="A55" s="12" t="s">
        <v>66</v>
      </c>
      <c r="B55" s="39">
        <v>0</v>
      </c>
      <c r="C55" s="34">
        <v>0</v>
      </c>
      <c r="D55" s="35">
        <f t="shared" si="0"/>
        <v>0</v>
      </c>
      <c r="E55" s="34">
        <v>92</v>
      </c>
      <c r="F55" s="34">
        <v>124</v>
      </c>
      <c r="G55" s="34">
        <f t="shared" si="1"/>
        <v>216</v>
      </c>
      <c r="H55" s="39">
        <f t="shared" si="2"/>
        <v>92</v>
      </c>
      <c r="I55" s="34">
        <f t="shared" si="2"/>
        <v>124</v>
      </c>
      <c r="J55" s="35">
        <f t="shared" si="3"/>
        <v>216</v>
      </c>
    </row>
    <row r="56" spans="1:10" x14ac:dyDescent="0.25">
      <c r="A56" s="12" t="s">
        <v>115</v>
      </c>
      <c r="B56" s="39">
        <v>59</v>
      </c>
      <c r="C56" s="34">
        <v>301</v>
      </c>
      <c r="D56" s="35">
        <f t="shared" si="0"/>
        <v>360</v>
      </c>
      <c r="E56" s="34">
        <v>106</v>
      </c>
      <c r="F56" s="34">
        <v>285</v>
      </c>
      <c r="G56" s="34">
        <f t="shared" si="1"/>
        <v>391</v>
      </c>
      <c r="H56" s="39">
        <f t="shared" si="2"/>
        <v>165</v>
      </c>
      <c r="I56" s="34">
        <f t="shared" si="2"/>
        <v>586</v>
      </c>
      <c r="J56" s="35">
        <f t="shared" si="3"/>
        <v>751</v>
      </c>
    </row>
    <row r="57" spans="1:10" x14ac:dyDescent="0.25">
      <c r="A57" s="12" t="s">
        <v>68</v>
      </c>
      <c r="B57" s="39">
        <v>38</v>
      </c>
      <c r="C57" s="34">
        <v>65</v>
      </c>
      <c r="D57" s="35">
        <f t="shared" si="0"/>
        <v>103</v>
      </c>
      <c r="E57" s="34">
        <v>7</v>
      </c>
      <c r="F57" s="34">
        <v>14</v>
      </c>
      <c r="G57" s="34">
        <f t="shared" si="1"/>
        <v>21</v>
      </c>
      <c r="H57" s="39">
        <f t="shared" si="2"/>
        <v>45</v>
      </c>
      <c r="I57" s="34">
        <f t="shared" si="2"/>
        <v>79</v>
      </c>
      <c r="J57" s="35">
        <f t="shared" si="3"/>
        <v>124</v>
      </c>
    </row>
    <row r="58" spans="1:10" x14ac:dyDescent="0.25">
      <c r="A58" s="12" t="s">
        <v>70</v>
      </c>
      <c r="B58" s="39">
        <v>286</v>
      </c>
      <c r="C58" s="34">
        <v>276</v>
      </c>
      <c r="D58" s="35">
        <f t="shared" si="0"/>
        <v>562</v>
      </c>
      <c r="E58" s="34">
        <v>49</v>
      </c>
      <c r="F58" s="34">
        <v>74</v>
      </c>
      <c r="G58" s="34">
        <f t="shared" si="1"/>
        <v>123</v>
      </c>
      <c r="H58" s="39">
        <f t="shared" si="2"/>
        <v>335</v>
      </c>
      <c r="I58" s="34">
        <f t="shared" si="2"/>
        <v>350</v>
      </c>
      <c r="J58" s="35">
        <f t="shared" si="3"/>
        <v>685</v>
      </c>
    </row>
    <row r="59" spans="1:10" x14ac:dyDescent="0.25">
      <c r="A59" s="12" t="s">
        <v>71</v>
      </c>
      <c r="B59" s="39">
        <v>29</v>
      </c>
      <c r="C59" s="34">
        <v>38</v>
      </c>
      <c r="D59" s="35">
        <f t="shared" si="0"/>
        <v>67</v>
      </c>
      <c r="E59" s="34">
        <v>6</v>
      </c>
      <c r="F59" s="34">
        <v>5</v>
      </c>
      <c r="G59" s="34">
        <f t="shared" si="1"/>
        <v>11</v>
      </c>
      <c r="H59" s="39">
        <f t="shared" si="2"/>
        <v>35</v>
      </c>
      <c r="I59" s="34">
        <f t="shared" si="2"/>
        <v>43</v>
      </c>
      <c r="J59" s="35">
        <f t="shared" si="3"/>
        <v>78</v>
      </c>
    </row>
    <row r="60" spans="1:10" x14ac:dyDescent="0.25">
      <c r="A60" s="12" t="s">
        <v>72</v>
      </c>
      <c r="B60" s="39">
        <v>0</v>
      </c>
      <c r="C60" s="34">
        <v>0</v>
      </c>
      <c r="D60" s="35">
        <f t="shared" si="0"/>
        <v>0</v>
      </c>
      <c r="E60" s="34">
        <v>18</v>
      </c>
      <c r="F60" s="34">
        <v>15</v>
      </c>
      <c r="G60" s="34">
        <f t="shared" si="1"/>
        <v>33</v>
      </c>
      <c r="H60" s="39">
        <f t="shared" si="2"/>
        <v>18</v>
      </c>
      <c r="I60" s="34">
        <f t="shared" si="2"/>
        <v>15</v>
      </c>
      <c r="J60" s="35">
        <f t="shared" si="3"/>
        <v>33</v>
      </c>
    </row>
    <row r="61" spans="1:10" x14ac:dyDescent="0.25">
      <c r="A61" s="12" t="s">
        <v>73</v>
      </c>
      <c r="B61" s="39">
        <v>31</v>
      </c>
      <c r="C61" s="34">
        <v>97</v>
      </c>
      <c r="D61" s="35">
        <f t="shared" si="0"/>
        <v>128</v>
      </c>
      <c r="E61" s="34">
        <v>4</v>
      </c>
      <c r="F61" s="34">
        <v>10</v>
      </c>
      <c r="G61" s="34">
        <f t="shared" si="1"/>
        <v>14</v>
      </c>
      <c r="H61" s="39">
        <f t="shared" si="2"/>
        <v>35</v>
      </c>
      <c r="I61" s="34">
        <f t="shared" si="2"/>
        <v>107</v>
      </c>
      <c r="J61" s="35">
        <f t="shared" si="3"/>
        <v>142</v>
      </c>
    </row>
    <row r="62" spans="1:10" x14ac:dyDescent="0.25">
      <c r="A62" s="12" t="s">
        <v>74</v>
      </c>
      <c r="B62" s="39">
        <v>122</v>
      </c>
      <c r="C62" s="34">
        <v>86</v>
      </c>
      <c r="D62" s="35">
        <f t="shared" si="0"/>
        <v>208</v>
      </c>
      <c r="E62" s="34">
        <v>18</v>
      </c>
      <c r="F62" s="34">
        <v>23</v>
      </c>
      <c r="G62" s="34">
        <f t="shared" si="1"/>
        <v>41</v>
      </c>
      <c r="H62" s="39">
        <f t="shared" si="2"/>
        <v>140</v>
      </c>
      <c r="I62" s="34">
        <f t="shared" si="2"/>
        <v>109</v>
      </c>
      <c r="J62" s="35">
        <f t="shared" si="3"/>
        <v>249</v>
      </c>
    </row>
    <row r="63" spans="1:10" x14ac:dyDescent="0.25">
      <c r="A63" s="12" t="s">
        <v>103</v>
      </c>
      <c r="B63" s="39">
        <v>310</v>
      </c>
      <c r="C63" s="34">
        <v>363</v>
      </c>
      <c r="D63" s="35">
        <f t="shared" si="0"/>
        <v>673</v>
      </c>
      <c r="E63" s="34">
        <v>0</v>
      </c>
      <c r="F63" s="34">
        <v>0</v>
      </c>
      <c r="G63" s="34">
        <f t="shared" si="1"/>
        <v>0</v>
      </c>
      <c r="H63" s="39">
        <f t="shared" si="2"/>
        <v>310</v>
      </c>
      <c r="I63" s="34">
        <f t="shared" si="2"/>
        <v>363</v>
      </c>
      <c r="J63" s="35">
        <f t="shared" si="3"/>
        <v>673</v>
      </c>
    </row>
    <row r="64" spans="1:10" x14ac:dyDescent="0.25">
      <c r="A64" s="12" t="s">
        <v>104</v>
      </c>
      <c r="B64" s="39">
        <v>503</v>
      </c>
      <c r="C64" s="34">
        <v>673</v>
      </c>
      <c r="D64" s="35">
        <f t="shared" si="0"/>
        <v>1176</v>
      </c>
      <c r="E64" s="34">
        <v>15</v>
      </c>
      <c r="F64" s="34">
        <v>15</v>
      </c>
      <c r="G64" s="34">
        <f t="shared" si="1"/>
        <v>30</v>
      </c>
      <c r="H64" s="39">
        <f t="shared" si="2"/>
        <v>518</v>
      </c>
      <c r="I64" s="34">
        <f t="shared" si="2"/>
        <v>688</v>
      </c>
      <c r="J64" s="35">
        <f t="shared" si="3"/>
        <v>1206</v>
      </c>
    </row>
    <row r="65" spans="1:10" x14ac:dyDescent="0.25">
      <c r="A65" s="12" t="s">
        <v>105</v>
      </c>
      <c r="B65" s="39">
        <v>0</v>
      </c>
      <c r="C65" s="34">
        <v>0</v>
      </c>
      <c r="D65" s="35">
        <f t="shared" si="0"/>
        <v>0</v>
      </c>
      <c r="E65" s="34">
        <v>8</v>
      </c>
      <c r="F65" s="34">
        <v>11</v>
      </c>
      <c r="G65" s="34">
        <f t="shared" si="1"/>
        <v>19</v>
      </c>
      <c r="H65" s="39">
        <f t="shared" si="2"/>
        <v>8</v>
      </c>
      <c r="I65" s="34">
        <f t="shared" si="2"/>
        <v>11</v>
      </c>
      <c r="J65" s="35">
        <f t="shared" si="3"/>
        <v>19</v>
      </c>
    </row>
    <row r="66" spans="1:10" x14ac:dyDescent="0.25">
      <c r="A66" s="12" t="s">
        <v>79</v>
      </c>
      <c r="B66" s="39">
        <v>0</v>
      </c>
      <c r="C66" s="34">
        <v>0</v>
      </c>
      <c r="D66" s="35">
        <f t="shared" si="0"/>
        <v>0</v>
      </c>
      <c r="E66" s="34">
        <v>73</v>
      </c>
      <c r="F66" s="34">
        <v>156</v>
      </c>
      <c r="G66" s="34">
        <f t="shared" si="1"/>
        <v>229</v>
      </c>
      <c r="H66" s="39">
        <f t="shared" si="2"/>
        <v>73</v>
      </c>
      <c r="I66" s="34">
        <f t="shared" si="2"/>
        <v>156</v>
      </c>
      <c r="J66" s="35">
        <f t="shared" si="3"/>
        <v>229</v>
      </c>
    </row>
    <row r="67" spans="1:10" x14ac:dyDescent="0.25">
      <c r="A67" s="12" t="s">
        <v>117</v>
      </c>
      <c r="B67" s="39">
        <v>6</v>
      </c>
      <c r="C67" s="34">
        <v>17</v>
      </c>
      <c r="D67" s="35">
        <f t="shared" si="0"/>
        <v>23</v>
      </c>
      <c r="E67" s="34">
        <v>38</v>
      </c>
      <c r="F67" s="34">
        <v>40</v>
      </c>
      <c r="G67" s="34">
        <f t="shared" si="1"/>
        <v>78</v>
      </c>
      <c r="H67" s="39">
        <f t="shared" si="2"/>
        <v>44</v>
      </c>
      <c r="I67" s="34">
        <f t="shared" si="2"/>
        <v>57</v>
      </c>
      <c r="J67" s="35">
        <f t="shared" si="3"/>
        <v>101</v>
      </c>
    </row>
    <row r="68" spans="1:10" x14ac:dyDescent="0.25">
      <c r="A68" s="12" t="s">
        <v>141</v>
      </c>
      <c r="B68" s="39">
        <v>0</v>
      </c>
      <c r="C68" s="34">
        <v>0</v>
      </c>
      <c r="D68" s="35">
        <f t="shared" si="0"/>
        <v>0</v>
      </c>
      <c r="E68" s="34">
        <v>2</v>
      </c>
      <c r="F68" s="34">
        <v>0</v>
      </c>
      <c r="G68" s="34">
        <f t="shared" si="1"/>
        <v>2</v>
      </c>
      <c r="H68" s="39">
        <f t="shared" si="2"/>
        <v>2</v>
      </c>
      <c r="I68" s="34">
        <f t="shared" si="2"/>
        <v>0</v>
      </c>
      <c r="J68" s="35">
        <f t="shared" si="3"/>
        <v>2</v>
      </c>
    </row>
    <row r="69" spans="1:10" x14ac:dyDescent="0.25">
      <c r="A69" s="12" t="s">
        <v>80</v>
      </c>
      <c r="B69" s="39">
        <v>11</v>
      </c>
      <c r="C69" s="34">
        <v>48</v>
      </c>
      <c r="D69" s="35">
        <f t="shared" si="0"/>
        <v>59</v>
      </c>
      <c r="E69" s="34">
        <v>28</v>
      </c>
      <c r="F69" s="34">
        <v>35</v>
      </c>
      <c r="G69" s="34">
        <f t="shared" si="1"/>
        <v>63</v>
      </c>
      <c r="H69" s="39">
        <f t="shared" si="2"/>
        <v>39</v>
      </c>
      <c r="I69" s="34">
        <f t="shared" si="2"/>
        <v>83</v>
      </c>
      <c r="J69" s="35">
        <f t="shared" si="3"/>
        <v>122</v>
      </c>
    </row>
    <row r="70" spans="1:10" x14ac:dyDescent="0.25">
      <c r="A70" s="12" t="s">
        <v>81</v>
      </c>
      <c r="B70" s="39">
        <v>0</v>
      </c>
      <c r="C70" s="34">
        <v>0</v>
      </c>
      <c r="D70" s="35">
        <f t="shared" si="0"/>
        <v>0</v>
      </c>
      <c r="E70" s="34">
        <v>183</v>
      </c>
      <c r="F70" s="34">
        <v>153</v>
      </c>
      <c r="G70" s="34">
        <f t="shared" si="1"/>
        <v>336</v>
      </c>
      <c r="H70" s="39">
        <f t="shared" si="2"/>
        <v>183</v>
      </c>
      <c r="I70" s="34">
        <f t="shared" si="2"/>
        <v>153</v>
      </c>
      <c r="J70" s="35">
        <f t="shared" si="3"/>
        <v>336</v>
      </c>
    </row>
    <row r="71" spans="1:10" x14ac:dyDescent="0.25">
      <c r="A71" s="12" t="s">
        <v>118</v>
      </c>
      <c r="B71" s="39">
        <v>0</v>
      </c>
      <c r="C71" s="34">
        <v>0</v>
      </c>
      <c r="D71" s="35">
        <f t="shared" si="0"/>
        <v>0</v>
      </c>
      <c r="E71" s="34">
        <v>19</v>
      </c>
      <c r="F71" s="34">
        <v>30</v>
      </c>
      <c r="G71" s="34">
        <f t="shared" si="1"/>
        <v>49</v>
      </c>
      <c r="H71" s="39">
        <f t="shared" si="2"/>
        <v>19</v>
      </c>
      <c r="I71" s="34">
        <f t="shared" si="2"/>
        <v>30</v>
      </c>
      <c r="J71" s="35">
        <f t="shared" si="3"/>
        <v>49</v>
      </c>
    </row>
    <row r="72" spans="1:10" x14ac:dyDescent="0.25">
      <c r="A72" s="12" t="s">
        <v>119</v>
      </c>
      <c r="B72" s="39">
        <v>0</v>
      </c>
      <c r="C72" s="34">
        <v>0</v>
      </c>
      <c r="D72" s="35">
        <f t="shared" si="0"/>
        <v>0</v>
      </c>
      <c r="E72" s="34">
        <v>1</v>
      </c>
      <c r="F72" s="34">
        <v>2</v>
      </c>
      <c r="G72" s="34">
        <f t="shared" si="1"/>
        <v>3</v>
      </c>
      <c r="H72" s="39">
        <f t="shared" si="2"/>
        <v>1</v>
      </c>
      <c r="I72" s="34">
        <f t="shared" si="2"/>
        <v>2</v>
      </c>
      <c r="J72" s="35">
        <f t="shared" si="3"/>
        <v>3</v>
      </c>
    </row>
    <row r="73" spans="1:10" x14ac:dyDescent="0.25">
      <c r="A73" s="12" t="s">
        <v>120</v>
      </c>
      <c r="B73" s="39">
        <v>0</v>
      </c>
      <c r="C73" s="34">
        <v>0</v>
      </c>
      <c r="D73" s="35">
        <f t="shared" si="0"/>
        <v>0</v>
      </c>
      <c r="E73" s="34">
        <v>8</v>
      </c>
      <c r="F73" s="34">
        <v>11</v>
      </c>
      <c r="G73" s="34">
        <f t="shared" si="1"/>
        <v>19</v>
      </c>
      <c r="H73" s="39">
        <f t="shared" si="2"/>
        <v>8</v>
      </c>
      <c r="I73" s="34">
        <f t="shared" si="2"/>
        <v>11</v>
      </c>
      <c r="J73" s="35">
        <f t="shared" si="3"/>
        <v>19</v>
      </c>
    </row>
    <row r="74" spans="1:10" x14ac:dyDescent="0.25">
      <c r="A74" s="12" t="s">
        <v>121</v>
      </c>
      <c r="B74" s="39">
        <v>10</v>
      </c>
      <c r="C74" s="34">
        <v>8</v>
      </c>
      <c r="D74" s="35">
        <f t="shared" si="0"/>
        <v>18</v>
      </c>
      <c r="E74" s="34">
        <v>23</v>
      </c>
      <c r="F74" s="34">
        <v>52</v>
      </c>
      <c r="G74" s="34">
        <f t="shared" si="1"/>
        <v>75</v>
      </c>
      <c r="H74" s="39">
        <f t="shared" si="2"/>
        <v>33</v>
      </c>
      <c r="I74" s="34">
        <f t="shared" si="2"/>
        <v>60</v>
      </c>
      <c r="J74" s="35">
        <f t="shared" si="3"/>
        <v>93</v>
      </c>
    </row>
    <row r="75" spans="1:10" x14ac:dyDescent="0.25">
      <c r="A75" s="12" t="s">
        <v>122</v>
      </c>
      <c r="B75" s="39">
        <v>0</v>
      </c>
      <c r="C75" s="34">
        <v>0</v>
      </c>
      <c r="D75" s="35">
        <f t="shared" si="0"/>
        <v>0</v>
      </c>
      <c r="E75" s="34">
        <v>19</v>
      </c>
      <c r="F75" s="34">
        <v>33</v>
      </c>
      <c r="G75" s="34">
        <f t="shared" si="1"/>
        <v>52</v>
      </c>
      <c r="H75" s="39">
        <f t="shared" si="2"/>
        <v>19</v>
      </c>
      <c r="I75" s="34">
        <f t="shared" si="2"/>
        <v>33</v>
      </c>
      <c r="J75" s="35">
        <f t="shared" si="3"/>
        <v>52</v>
      </c>
    </row>
    <row r="76" spans="1:10" x14ac:dyDescent="0.25">
      <c r="A76" s="12" t="s">
        <v>123</v>
      </c>
      <c r="B76" s="39">
        <v>0</v>
      </c>
      <c r="C76" s="34">
        <v>0</v>
      </c>
      <c r="D76" s="35">
        <f t="shared" si="0"/>
        <v>0</v>
      </c>
      <c r="E76" s="34">
        <v>45</v>
      </c>
      <c r="F76" s="34">
        <v>74</v>
      </c>
      <c r="G76" s="34">
        <f t="shared" si="1"/>
        <v>119</v>
      </c>
      <c r="H76" s="39">
        <f t="shared" si="2"/>
        <v>45</v>
      </c>
      <c r="I76" s="34">
        <f t="shared" si="2"/>
        <v>74</v>
      </c>
      <c r="J76" s="35">
        <f t="shared" si="3"/>
        <v>119</v>
      </c>
    </row>
    <row r="77" spans="1:10" x14ac:dyDescent="0.25">
      <c r="A77" s="12" t="s">
        <v>124</v>
      </c>
      <c r="B77" s="39">
        <v>0</v>
      </c>
      <c r="C77" s="34">
        <v>0</v>
      </c>
      <c r="D77" s="35">
        <f t="shared" si="0"/>
        <v>0</v>
      </c>
      <c r="E77" s="34">
        <v>26</v>
      </c>
      <c r="F77" s="34">
        <v>27</v>
      </c>
      <c r="G77" s="34">
        <f t="shared" si="1"/>
        <v>53</v>
      </c>
      <c r="H77" s="39">
        <f t="shared" si="2"/>
        <v>26</v>
      </c>
      <c r="I77" s="34">
        <f t="shared" si="2"/>
        <v>27</v>
      </c>
      <c r="J77" s="35">
        <f t="shared" si="3"/>
        <v>53</v>
      </c>
    </row>
    <row r="78" spans="1:10" x14ac:dyDescent="0.25">
      <c r="A78" s="12" t="s">
        <v>136</v>
      </c>
      <c r="B78" s="39">
        <v>0</v>
      </c>
      <c r="C78" s="34">
        <v>0</v>
      </c>
      <c r="D78" s="35">
        <f t="shared" si="0"/>
        <v>0</v>
      </c>
      <c r="E78" s="34">
        <v>3</v>
      </c>
      <c r="F78" s="34">
        <v>0</v>
      </c>
      <c r="G78" s="34">
        <f t="shared" si="1"/>
        <v>3</v>
      </c>
      <c r="H78" s="39">
        <f t="shared" si="2"/>
        <v>3</v>
      </c>
      <c r="I78" s="34">
        <f t="shared" si="2"/>
        <v>0</v>
      </c>
      <c r="J78" s="35">
        <f t="shared" si="3"/>
        <v>3</v>
      </c>
    </row>
    <row r="79" spans="1:10" x14ac:dyDescent="0.25">
      <c r="A79" s="12" t="s">
        <v>86</v>
      </c>
      <c r="B79" s="39">
        <v>0</v>
      </c>
      <c r="C79" s="34">
        <v>0</v>
      </c>
      <c r="D79" s="35">
        <f t="shared" si="0"/>
        <v>0</v>
      </c>
      <c r="E79" s="34">
        <v>56</v>
      </c>
      <c r="F79" s="34">
        <v>81</v>
      </c>
      <c r="G79" s="34">
        <f t="shared" si="1"/>
        <v>137</v>
      </c>
      <c r="H79" s="39">
        <f t="shared" si="2"/>
        <v>56</v>
      </c>
      <c r="I79" s="34">
        <f t="shared" si="2"/>
        <v>81</v>
      </c>
      <c r="J79" s="35">
        <f t="shared" si="3"/>
        <v>137</v>
      </c>
    </row>
    <row r="80" spans="1:10" x14ac:dyDescent="0.25">
      <c r="A80" s="12" t="s">
        <v>125</v>
      </c>
      <c r="B80" s="39">
        <v>0</v>
      </c>
      <c r="C80" s="34">
        <v>0</v>
      </c>
      <c r="D80" s="35">
        <f t="shared" si="0"/>
        <v>0</v>
      </c>
      <c r="E80" s="34">
        <v>1</v>
      </c>
      <c r="F80" s="34">
        <v>1</v>
      </c>
      <c r="G80" s="34">
        <f t="shared" si="1"/>
        <v>2</v>
      </c>
      <c r="H80" s="39">
        <f t="shared" si="2"/>
        <v>1</v>
      </c>
      <c r="I80" s="34">
        <f t="shared" si="2"/>
        <v>1</v>
      </c>
      <c r="J80" s="35">
        <f t="shared" si="3"/>
        <v>2</v>
      </c>
    </row>
    <row r="81" spans="1:10" x14ac:dyDescent="0.25">
      <c r="A81" s="12" t="s">
        <v>126</v>
      </c>
      <c r="B81" s="39">
        <v>0</v>
      </c>
      <c r="C81" s="34">
        <v>0</v>
      </c>
      <c r="D81" s="35">
        <f t="shared" si="0"/>
        <v>0</v>
      </c>
      <c r="E81" s="34">
        <v>8</v>
      </c>
      <c r="F81" s="34">
        <v>20</v>
      </c>
      <c r="G81" s="34">
        <f t="shared" si="1"/>
        <v>28</v>
      </c>
      <c r="H81" s="39">
        <f t="shared" si="2"/>
        <v>8</v>
      </c>
      <c r="I81" s="34">
        <f t="shared" si="2"/>
        <v>20</v>
      </c>
      <c r="J81" s="35">
        <f t="shared" si="3"/>
        <v>28</v>
      </c>
    </row>
    <row r="82" spans="1:10" x14ac:dyDescent="0.25">
      <c r="A82" s="12" t="s">
        <v>127</v>
      </c>
      <c r="B82" s="39">
        <v>0</v>
      </c>
      <c r="C82" s="34">
        <v>0</v>
      </c>
      <c r="D82" s="35">
        <f t="shared" si="0"/>
        <v>0</v>
      </c>
      <c r="E82" s="34">
        <v>14</v>
      </c>
      <c r="F82" s="34">
        <v>11</v>
      </c>
      <c r="G82" s="34">
        <f t="shared" si="1"/>
        <v>25</v>
      </c>
      <c r="H82" s="39">
        <f t="shared" si="2"/>
        <v>14</v>
      </c>
      <c r="I82" s="34">
        <f t="shared" si="2"/>
        <v>11</v>
      </c>
      <c r="J82" s="35">
        <f t="shared" si="3"/>
        <v>25</v>
      </c>
    </row>
    <row r="83" spans="1:10" x14ac:dyDescent="0.25">
      <c r="A83" s="12" t="s">
        <v>87</v>
      </c>
      <c r="B83" s="39">
        <v>0</v>
      </c>
      <c r="C83" s="34">
        <v>0</v>
      </c>
      <c r="D83" s="35">
        <f t="shared" si="0"/>
        <v>0</v>
      </c>
      <c r="E83" s="34">
        <v>15</v>
      </c>
      <c r="F83" s="34">
        <v>29</v>
      </c>
      <c r="G83" s="34">
        <f t="shared" si="1"/>
        <v>44</v>
      </c>
      <c r="H83" s="39">
        <f t="shared" si="2"/>
        <v>15</v>
      </c>
      <c r="I83" s="34">
        <f t="shared" si="2"/>
        <v>29</v>
      </c>
      <c r="J83" s="35">
        <f t="shared" si="3"/>
        <v>44</v>
      </c>
    </row>
    <row r="84" spans="1:10" x14ac:dyDescent="0.25">
      <c r="A84" s="12" t="s">
        <v>142</v>
      </c>
      <c r="B84" s="39">
        <v>13</v>
      </c>
      <c r="C84" s="34">
        <v>5</v>
      </c>
      <c r="D84" s="35">
        <f t="shared" si="0"/>
        <v>18</v>
      </c>
      <c r="E84" s="34">
        <v>9</v>
      </c>
      <c r="F84" s="34">
        <v>8</v>
      </c>
      <c r="G84" s="34">
        <f t="shared" si="1"/>
        <v>17</v>
      </c>
      <c r="H84" s="39">
        <f t="shared" si="2"/>
        <v>22</v>
      </c>
      <c r="I84" s="34">
        <f t="shared" si="2"/>
        <v>13</v>
      </c>
      <c r="J84" s="35">
        <f t="shared" si="3"/>
        <v>35</v>
      </c>
    </row>
    <row r="85" spans="1:10" x14ac:dyDescent="0.25">
      <c r="A85" s="12" t="s">
        <v>143</v>
      </c>
      <c r="B85" s="39">
        <v>0</v>
      </c>
      <c r="C85" s="34">
        <v>0</v>
      </c>
      <c r="D85" s="35">
        <f t="shared" si="0"/>
        <v>0</v>
      </c>
      <c r="E85" s="34">
        <v>2</v>
      </c>
      <c r="F85" s="34">
        <v>6</v>
      </c>
      <c r="G85" s="34">
        <f t="shared" si="1"/>
        <v>8</v>
      </c>
      <c r="H85" s="39">
        <f t="shared" si="2"/>
        <v>2</v>
      </c>
      <c r="I85" s="34">
        <f t="shared" si="2"/>
        <v>6</v>
      </c>
      <c r="J85" s="35">
        <f t="shared" si="3"/>
        <v>8</v>
      </c>
    </row>
    <row r="86" spans="1:10" x14ac:dyDescent="0.25">
      <c r="A86" s="12" t="s">
        <v>129</v>
      </c>
      <c r="B86" s="39">
        <v>0</v>
      </c>
      <c r="C86" s="34">
        <v>0</v>
      </c>
      <c r="D86" s="35">
        <f t="shared" si="0"/>
        <v>0</v>
      </c>
      <c r="E86" s="34">
        <v>4</v>
      </c>
      <c r="F86" s="34">
        <v>6</v>
      </c>
      <c r="G86" s="34">
        <f t="shared" si="1"/>
        <v>10</v>
      </c>
      <c r="H86" s="39">
        <f t="shared" si="2"/>
        <v>4</v>
      </c>
      <c r="I86" s="34">
        <f t="shared" si="2"/>
        <v>6</v>
      </c>
      <c r="J86" s="35">
        <f t="shared" si="3"/>
        <v>10</v>
      </c>
    </row>
    <row r="87" spans="1:10" x14ac:dyDescent="0.25">
      <c r="A87" s="12" t="s">
        <v>144</v>
      </c>
      <c r="B87" s="39">
        <v>4</v>
      </c>
      <c r="C87" s="34">
        <v>3</v>
      </c>
      <c r="D87" s="35">
        <f t="shared" si="0"/>
        <v>7</v>
      </c>
      <c r="E87" s="34">
        <v>0</v>
      </c>
      <c r="F87" s="34">
        <v>0</v>
      </c>
      <c r="G87" s="34">
        <f t="shared" si="1"/>
        <v>0</v>
      </c>
      <c r="H87" s="39">
        <f t="shared" si="2"/>
        <v>4</v>
      </c>
      <c r="I87" s="34">
        <f t="shared" si="2"/>
        <v>3</v>
      </c>
      <c r="J87" s="35">
        <f t="shared" si="3"/>
        <v>7</v>
      </c>
    </row>
    <row r="88" spans="1:10" x14ac:dyDescent="0.25">
      <c r="A88" s="12" t="s">
        <v>130</v>
      </c>
      <c r="B88" s="39">
        <v>5</v>
      </c>
      <c r="C88" s="34">
        <v>17</v>
      </c>
      <c r="D88" s="35">
        <f t="shared" si="0"/>
        <v>22</v>
      </c>
      <c r="E88" s="34">
        <v>11</v>
      </c>
      <c r="F88" s="34">
        <v>30</v>
      </c>
      <c r="G88" s="34">
        <f t="shared" si="1"/>
        <v>41</v>
      </c>
      <c r="H88" s="39">
        <f t="shared" si="2"/>
        <v>16</v>
      </c>
      <c r="I88" s="34">
        <f t="shared" si="2"/>
        <v>47</v>
      </c>
      <c r="J88" s="35">
        <f t="shared" si="3"/>
        <v>63</v>
      </c>
    </row>
    <row r="89" spans="1:10" x14ac:dyDescent="0.25">
      <c r="A89" s="12" t="s">
        <v>131</v>
      </c>
      <c r="B89" s="39">
        <v>1</v>
      </c>
      <c r="C89" s="34">
        <v>2</v>
      </c>
      <c r="D89" s="35">
        <f t="shared" si="0"/>
        <v>3</v>
      </c>
      <c r="E89" s="34">
        <v>51</v>
      </c>
      <c r="F89" s="34">
        <v>6</v>
      </c>
      <c r="G89" s="34">
        <f t="shared" si="1"/>
        <v>57</v>
      </c>
      <c r="H89" s="39">
        <f t="shared" si="2"/>
        <v>52</v>
      </c>
      <c r="I89" s="34">
        <f t="shared" si="2"/>
        <v>8</v>
      </c>
      <c r="J89" s="35">
        <f t="shared" si="3"/>
        <v>60</v>
      </c>
    </row>
    <row r="90" spans="1:10" ht="15.75" thickBot="1" x14ac:dyDescent="0.3">
      <c r="A90" s="13" t="s">
        <v>137</v>
      </c>
      <c r="B90" s="43">
        <v>0</v>
      </c>
      <c r="C90" s="44">
        <v>0</v>
      </c>
      <c r="D90" s="45">
        <v>0</v>
      </c>
      <c r="E90" s="44">
        <v>39</v>
      </c>
      <c r="F90" s="44">
        <v>7</v>
      </c>
      <c r="G90" s="44">
        <f t="shared" ref="G90:G91" si="4">SUM(E90:F90)</f>
        <v>46</v>
      </c>
      <c r="H90" s="43">
        <f t="shared" ref="H90:I91" si="5">B90+E90</f>
        <v>39</v>
      </c>
      <c r="I90" s="44">
        <f t="shared" si="5"/>
        <v>7</v>
      </c>
      <c r="J90" s="45">
        <f t="shared" ref="J90:J91" si="6">SUM(H90:I90)</f>
        <v>46</v>
      </c>
    </row>
    <row r="91" spans="1:10" ht="16.5" thickTop="1" thickBot="1" x14ac:dyDescent="0.3">
      <c r="A91" s="8" t="s">
        <v>0</v>
      </c>
      <c r="B91" s="8">
        <f>SUM(B7:B90)</f>
        <v>5732</v>
      </c>
      <c r="C91" s="36">
        <f>SUM(C7:C90)</f>
        <v>6352</v>
      </c>
      <c r="D91" s="40">
        <f>SUM(D7:D90)</f>
        <v>12084</v>
      </c>
      <c r="E91" s="36">
        <f>SUM(E7:E90)</f>
        <v>3499</v>
      </c>
      <c r="F91" s="36">
        <f>SUM(F7:F90)</f>
        <v>3716</v>
      </c>
      <c r="G91" s="37">
        <f t="shared" si="4"/>
        <v>7215</v>
      </c>
      <c r="H91" s="41">
        <f t="shared" si="5"/>
        <v>9231</v>
      </c>
      <c r="I91" s="37">
        <f t="shared" si="5"/>
        <v>10068</v>
      </c>
      <c r="J91" s="38">
        <f t="shared" si="6"/>
        <v>19299</v>
      </c>
    </row>
    <row r="92" spans="1:10" ht="15.75" thickBo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25">
      <c r="A93" s="16" t="s">
        <v>16</v>
      </c>
      <c r="B93" s="58" t="s">
        <v>3</v>
      </c>
      <c r="C93" s="59"/>
      <c r="D93" s="60"/>
      <c r="E93" s="58" t="s">
        <v>4</v>
      </c>
      <c r="F93" s="59"/>
      <c r="G93" s="60"/>
      <c r="H93" s="58" t="s">
        <v>0</v>
      </c>
      <c r="I93" s="59"/>
      <c r="J93" s="60"/>
    </row>
    <row r="94" spans="1:10" x14ac:dyDescent="0.25">
      <c r="A94" s="17"/>
      <c r="B94" s="32" t="s">
        <v>5</v>
      </c>
      <c r="C94" s="31" t="s">
        <v>6</v>
      </c>
      <c r="D94" s="33" t="s">
        <v>0</v>
      </c>
      <c r="E94" s="32" t="s">
        <v>5</v>
      </c>
      <c r="F94" s="31" t="s">
        <v>6</v>
      </c>
      <c r="G94" s="33" t="s">
        <v>0</v>
      </c>
      <c r="H94" s="32" t="s">
        <v>5</v>
      </c>
      <c r="I94" s="31" t="s">
        <v>6</v>
      </c>
      <c r="J94" s="30" t="s">
        <v>0</v>
      </c>
    </row>
    <row r="95" spans="1:10" x14ac:dyDescent="0.25">
      <c r="A95" s="29" t="s">
        <v>15</v>
      </c>
      <c r="B95" s="6">
        <v>722</v>
      </c>
      <c r="C95" s="4">
        <v>1263</v>
      </c>
      <c r="D95" s="5">
        <f t="shared" ref="D95:D103" si="7">B95+C95</f>
        <v>1985</v>
      </c>
      <c r="E95" s="6">
        <v>255</v>
      </c>
      <c r="F95" s="4">
        <v>423</v>
      </c>
      <c r="G95" s="4">
        <f t="shared" ref="G95:G103" si="8">E95+F95</f>
        <v>678</v>
      </c>
      <c r="H95" s="6">
        <f>B95+E95</f>
        <v>977</v>
      </c>
      <c r="I95" s="4">
        <f>C95+F95</f>
        <v>1686</v>
      </c>
      <c r="J95" s="7">
        <f t="shared" ref="J95:J103" si="9">H95+I95</f>
        <v>2663</v>
      </c>
    </row>
    <row r="96" spans="1:10" x14ac:dyDescent="0.25">
      <c r="A96" s="29" t="s">
        <v>14</v>
      </c>
      <c r="B96" s="6">
        <v>360</v>
      </c>
      <c r="C96" s="4">
        <v>279</v>
      </c>
      <c r="D96" s="5">
        <f t="shared" si="7"/>
        <v>639</v>
      </c>
      <c r="E96" s="6">
        <v>385</v>
      </c>
      <c r="F96" s="4">
        <v>353</v>
      </c>
      <c r="G96" s="4">
        <f t="shared" si="8"/>
        <v>738</v>
      </c>
      <c r="H96" s="6">
        <f t="shared" ref="H96:I103" si="10">B96+E96</f>
        <v>745</v>
      </c>
      <c r="I96" s="4">
        <f t="shared" si="10"/>
        <v>632</v>
      </c>
      <c r="J96" s="7">
        <f t="shared" si="9"/>
        <v>1377</v>
      </c>
    </row>
    <row r="97" spans="1:10" x14ac:dyDescent="0.25">
      <c r="A97" s="29" t="s">
        <v>13</v>
      </c>
      <c r="B97" s="6">
        <v>543</v>
      </c>
      <c r="C97" s="4">
        <v>765</v>
      </c>
      <c r="D97" s="5">
        <f t="shared" si="7"/>
        <v>1308</v>
      </c>
      <c r="E97" s="6">
        <v>508</v>
      </c>
      <c r="F97" s="4">
        <v>669</v>
      </c>
      <c r="G97" s="4">
        <f t="shared" si="8"/>
        <v>1177</v>
      </c>
      <c r="H97" s="6">
        <f t="shared" si="10"/>
        <v>1051</v>
      </c>
      <c r="I97" s="4">
        <f t="shared" si="10"/>
        <v>1434</v>
      </c>
      <c r="J97" s="7">
        <f t="shared" si="9"/>
        <v>2485</v>
      </c>
    </row>
    <row r="98" spans="1:10" x14ac:dyDescent="0.25">
      <c r="A98" s="29" t="s">
        <v>81</v>
      </c>
      <c r="B98" s="6">
        <v>0</v>
      </c>
      <c r="C98" s="4">
        <v>0</v>
      </c>
      <c r="D98" s="5">
        <f t="shared" si="7"/>
        <v>0</v>
      </c>
      <c r="E98" s="6">
        <v>183</v>
      </c>
      <c r="F98" s="4">
        <v>153</v>
      </c>
      <c r="G98" s="4">
        <f t="shared" si="8"/>
        <v>336</v>
      </c>
      <c r="H98" s="6">
        <f t="shared" si="10"/>
        <v>183</v>
      </c>
      <c r="I98" s="4">
        <f t="shared" si="10"/>
        <v>153</v>
      </c>
      <c r="J98" s="7">
        <f t="shared" si="9"/>
        <v>336</v>
      </c>
    </row>
    <row r="99" spans="1:10" x14ac:dyDescent="0.25">
      <c r="A99" s="29" t="s">
        <v>91</v>
      </c>
      <c r="B99" s="6">
        <v>931</v>
      </c>
      <c r="C99" s="4">
        <v>267</v>
      </c>
      <c r="D99" s="5">
        <f t="shared" si="7"/>
        <v>1198</v>
      </c>
      <c r="E99" s="6">
        <v>808</v>
      </c>
      <c r="F99" s="4">
        <v>237</v>
      </c>
      <c r="G99" s="4">
        <f t="shared" si="8"/>
        <v>1045</v>
      </c>
      <c r="H99" s="6">
        <f t="shared" si="10"/>
        <v>1739</v>
      </c>
      <c r="I99" s="4">
        <f t="shared" si="10"/>
        <v>504</v>
      </c>
      <c r="J99" s="7">
        <f t="shared" si="9"/>
        <v>2243</v>
      </c>
    </row>
    <row r="100" spans="1:10" x14ac:dyDescent="0.25">
      <c r="A100" s="29" t="s">
        <v>1</v>
      </c>
      <c r="B100" s="6">
        <v>233</v>
      </c>
      <c r="C100" s="4">
        <v>327</v>
      </c>
      <c r="D100" s="5">
        <f t="shared" si="7"/>
        <v>560</v>
      </c>
      <c r="E100" s="6">
        <v>196</v>
      </c>
      <c r="F100" s="4">
        <v>241</v>
      </c>
      <c r="G100" s="4">
        <f t="shared" si="8"/>
        <v>437</v>
      </c>
      <c r="H100" s="6">
        <f t="shared" si="10"/>
        <v>429</v>
      </c>
      <c r="I100" s="4">
        <f t="shared" si="10"/>
        <v>568</v>
      </c>
      <c r="J100" s="7">
        <f t="shared" si="9"/>
        <v>997</v>
      </c>
    </row>
    <row r="101" spans="1:10" x14ac:dyDescent="0.25">
      <c r="A101" s="29" t="s">
        <v>11</v>
      </c>
      <c r="B101" s="6">
        <v>805</v>
      </c>
      <c r="C101" s="4">
        <v>1628</v>
      </c>
      <c r="D101" s="5">
        <f t="shared" si="7"/>
        <v>2433</v>
      </c>
      <c r="E101" s="6">
        <v>346</v>
      </c>
      <c r="F101" s="4">
        <v>686</v>
      </c>
      <c r="G101" s="4">
        <f t="shared" si="8"/>
        <v>1032</v>
      </c>
      <c r="H101" s="6">
        <f t="shared" si="10"/>
        <v>1151</v>
      </c>
      <c r="I101" s="4">
        <f t="shared" si="10"/>
        <v>2314</v>
      </c>
      <c r="J101" s="7">
        <f t="shared" si="9"/>
        <v>3465</v>
      </c>
    </row>
    <row r="102" spans="1:10" x14ac:dyDescent="0.25">
      <c r="A102" s="29" t="s">
        <v>10</v>
      </c>
      <c r="B102" s="6">
        <v>1052</v>
      </c>
      <c r="C102" s="5">
        <v>652</v>
      </c>
      <c r="D102" s="5">
        <f t="shared" si="7"/>
        <v>1704</v>
      </c>
      <c r="E102" s="6">
        <v>276</v>
      </c>
      <c r="F102" s="4">
        <v>172</v>
      </c>
      <c r="G102" s="4">
        <f t="shared" si="8"/>
        <v>448</v>
      </c>
      <c r="H102" s="6">
        <f t="shared" ref="H102" si="11">B102+E102</f>
        <v>1328</v>
      </c>
      <c r="I102" s="4">
        <f t="shared" ref="I102" si="12">C102+F102</f>
        <v>824</v>
      </c>
      <c r="J102" s="7">
        <f t="shared" ref="J102" si="13">H102+I102</f>
        <v>2152</v>
      </c>
    </row>
    <row r="103" spans="1:10" ht="15.75" thickBot="1" x14ac:dyDescent="0.3">
      <c r="A103" s="28" t="s">
        <v>9</v>
      </c>
      <c r="B103" s="10">
        <v>1086</v>
      </c>
      <c r="C103" s="27">
        <v>1171</v>
      </c>
      <c r="D103" s="14">
        <f t="shared" si="7"/>
        <v>2257</v>
      </c>
      <c r="E103" s="10">
        <v>542</v>
      </c>
      <c r="F103" s="11">
        <v>782</v>
      </c>
      <c r="G103" s="11">
        <f t="shared" si="8"/>
        <v>1324</v>
      </c>
      <c r="H103" s="10">
        <f t="shared" si="10"/>
        <v>1628</v>
      </c>
      <c r="I103" s="11">
        <f t="shared" si="10"/>
        <v>1953</v>
      </c>
      <c r="J103" s="26">
        <f t="shared" si="9"/>
        <v>3581</v>
      </c>
    </row>
    <row r="104" spans="1:10" ht="16.5" thickTop="1" thickBot="1" x14ac:dyDescent="0.3">
      <c r="A104" s="9" t="s">
        <v>0</v>
      </c>
      <c r="B104" s="8">
        <f t="shared" ref="B104:J104" si="14">SUM(B95:B103)</f>
        <v>5732</v>
      </c>
      <c r="C104" s="8">
        <f t="shared" si="14"/>
        <v>6352</v>
      </c>
      <c r="D104" s="8">
        <f t="shared" si="14"/>
        <v>12084</v>
      </c>
      <c r="E104" s="8">
        <f t="shared" si="14"/>
        <v>3499</v>
      </c>
      <c r="F104" s="8">
        <f t="shared" si="14"/>
        <v>3716</v>
      </c>
      <c r="G104" s="8">
        <f t="shared" si="14"/>
        <v>7215</v>
      </c>
      <c r="H104" s="8">
        <f t="shared" si="14"/>
        <v>9231</v>
      </c>
      <c r="I104" s="8">
        <f t="shared" si="14"/>
        <v>10068</v>
      </c>
      <c r="J104" s="9">
        <f t="shared" si="14"/>
        <v>19299</v>
      </c>
    </row>
    <row r="105" spans="1:10" ht="15.75" thickBo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10" x14ac:dyDescent="0.25">
      <c r="A106" s="12" t="s">
        <v>15</v>
      </c>
      <c r="B106" s="24">
        <f>B95/D95</f>
        <v>0.36372795969773297</v>
      </c>
      <c r="C106" s="23">
        <f>C95/D95</f>
        <v>0.63627204030226703</v>
      </c>
      <c r="D106" s="5"/>
      <c r="E106" s="24">
        <f>E95/G95</f>
        <v>0.37610619469026546</v>
      </c>
      <c r="F106" s="23">
        <f>F95/G95</f>
        <v>0.62389380530973448</v>
      </c>
      <c r="G106" s="4"/>
      <c r="H106" s="24">
        <f>H95/J95</f>
        <v>0.36687945925647764</v>
      </c>
      <c r="I106" s="23">
        <f>I95/J95</f>
        <v>0.63312054074352231</v>
      </c>
      <c r="J106" s="7"/>
    </row>
    <row r="107" spans="1:10" x14ac:dyDescent="0.25">
      <c r="A107" s="12" t="s">
        <v>14</v>
      </c>
      <c r="B107" s="24">
        <f>B96/D96</f>
        <v>0.56338028169014087</v>
      </c>
      <c r="C107" s="23">
        <f>C96/D96</f>
        <v>0.43661971830985913</v>
      </c>
      <c r="D107" s="5"/>
      <c r="E107" s="24">
        <f>E96/G96</f>
        <v>0.52168021680216803</v>
      </c>
      <c r="F107" s="23">
        <f>F96/G96</f>
        <v>0.47831978319783197</v>
      </c>
      <c r="G107" s="4"/>
      <c r="H107" s="24">
        <f>H96/J96</f>
        <v>0.54103122730573716</v>
      </c>
      <c r="I107" s="23">
        <f>I96/J96</f>
        <v>0.45896877269426289</v>
      </c>
      <c r="J107" s="7"/>
    </row>
    <row r="108" spans="1:10" x14ac:dyDescent="0.25">
      <c r="A108" s="12" t="s">
        <v>13</v>
      </c>
      <c r="B108" s="24">
        <f t="shared" ref="B108:B112" si="15">B97/D97</f>
        <v>0.41513761467889909</v>
      </c>
      <c r="C108" s="23">
        <f>C97/D97</f>
        <v>0.58486238532110091</v>
      </c>
      <c r="D108" s="5"/>
      <c r="E108" s="24">
        <f>E97/G97</f>
        <v>0.43160577740016992</v>
      </c>
      <c r="F108" s="23">
        <f>F97/G97</f>
        <v>0.56839422259983008</v>
      </c>
      <c r="G108" s="4"/>
      <c r="H108" s="24">
        <f>H97/J97</f>
        <v>0.42293762575452715</v>
      </c>
      <c r="I108" s="23">
        <f>I97/J97</f>
        <v>0.5770623742454728</v>
      </c>
      <c r="J108" s="7"/>
    </row>
    <row r="109" spans="1:10" x14ac:dyDescent="0.25">
      <c r="A109" s="12" t="s">
        <v>81</v>
      </c>
      <c r="B109" s="24">
        <v>0</v>
      </c>
      <c r="C109" s="23">
        <v>0</v>
      </c>
      <c r="D109" s="5"/>
      <c r="E109" s="24">
        <f t="shared" ref="E109:E110" si="16">E98/G98</f>
        <v>0.5446428571428571</v>
      </c>
      <c r="F109" s="23">
        <f t="shared" ref="F109:F110" si="17">F98/G98</f>
        <v>0.45535714285714285</v>
      </c>
      <c r="G109" s="4"/>
      <c r="H109" s="24">
        <f t="shared" ref="H109:H113" si="18">H98/J98</f>
        <v>0.5446428571428571</v>
      </c>
      <c r="I109" s="23">
        <f t="shared" ref="I109:I113" si="19">I98/J98</f>
        <v>0.45535714285714285</v>
      </c>
      <c r="J109" s="7"/>
    </row>
    <row r="110" spans="1:10" x14ac:dyDescent="0.25">
      <c r="A110" s="12" t="s">
        <v>91</v>
      </c>
      <c r="B110" s="24">
        <f t="shared" si="15"/>
        <v>0.77712854757929883</v>
      </c>
      <c r="C110" s="23">
        <f>C99/D99</f>
        <v>0.22287145242070117</v>
      </c>
      <c r="D110" s="5"/>
      <c r="E110" s="24">
        <f t="shared" si="16"/>
        <v>0.77320574162679423</v>
      </c>
      <c r="F110" s="23">
        <f t="shared" si="17"/>
        <v>0.22679425837320574</v>
      </c>
      <c r="G110" s="4"/>
      <c r="H110" s="24">
        <f t="shared" si="18"/>
        <v>0.77530093624609897</v>
      </c>
      <c r="I110" s="23">
        <f t="shared" si="19"/>
        <v>0.22469906375390103</v>
      </c>
      <c r="J110" s="7"/>
    </row>
    <row r="111" spans="1:10" x14ac:dyDescent="0.25">
      <c r="A111" s="12" t="s">
        <v>1</v>
      </c>
      <c r="B111" s="24">
        <f t="shared" si="15"/>
        <v>0.41607142857142859</v>
      </c>
      <c r="C111" s="23">
        <f>C100/D100</f>
        <v>0.58392857142857146</v>
      </c>
      <c r="D111" s="5"/>
      <c r="E111" s="24">
        <f>E100/G100</f>
        <v>0.44851258581235698</v>
      </c>
      <c r="F111" s="23">
        <f>F100/G100</f>
        <v>0.55148741418764302</v>
      </c>
      <c r="G111" s="4"/>
      <c r="H111" s="24">
        <f t="shared" si="18"/>
        <v>0.43029087261785354</v>
      </c>
      <c r="I111" s="23">
        <f t="shared" si="19"/>
        <v>0.56970912738214641</v>
      </c>
      <c r="J111" s="7"/>
    </row>
    <row r="112" spans="1:10" x14ac:dyDescent="0.25">
      <c r="A112" s="12" t="s">
        <v>11</v>
      </c>
      <c r="B112" s="24">
        <f t="shared" si="15"/>
        <v>0.33086724208795726</v>
      </c>
      <c r="C112" s="23">
        <f t="shared" ref="C112:C113" si="20">C101/D101</f>
        <v>0.66913275791204274</v>
      </c>
      <c r="D112" s="5"/>
      <c r="E112" s="24">
        <f t="shared" ref="E112:E113" si="21">E101/G101</f>
        <v>0.33527131782945735</v>
      </c>
      <c r="F112" s="23">
        <f t="shared" ref="F112:F113" si="22">F101/G101</f>
        <v>0.6647286821705426</v>
      </c>
      <c r="G112" s="4"/>
      <c r="H112" s="24">
        <f t="shared" si="18"/>
        <v>0.33217893217893218</v>
      </c>
      <c r="I112" s="23">
        <f t="shared" si="19"/>
        <v>0.66782106782106787</v>
      </c>
      <c r="J112" s="7"/>
    </row>
    <row r="113" spans="1:10" x14ac:dyDescent="0.25">
      <c r="A113" s="12" t="s">
        <v>10</v>
      </c>
      <c r="B113" s="24">
        <f t="shared" ref="B113" si="23">B102/D102</f>
        <v>0.61737089201877937</v>
      </c>
      <c r="C113" s="23">
        <f t="shared" si="20"/>
        <v>0.38262910798122068</v>
      </c>
      <c r="D113" s="5"/>
      <c r="E113" s="24">
        <f t="shared" si="21"/>
        <v>0.6160714285714286</v>
      </c>
      <c r="F113" s="23">
        <f t="shared" si="22"/>
        <v>0.38392857142857145</v>
      </c>
      <c r="G113" s="4"/>
      <c r="H113" s="24">
        <f t="shared" si="18"/>
        <v>0.61710037174721188</v>
      </c>
      <c r="I113" s="23">
        <f t="shared" si="19"/>
        <v>0.38289962825278812</v>
      </c>
      <c r="J113" s="7"/>
    </row>
    <row r="114" spans="1:10" ht="15.75" thickBot="1" x14ac:dyDescent="0.3">
      <c r="A114" s="13" t="s">
        <v>9</v>
      </c>
      <c r="B114" s="22">
        <f>B103/D103</f>
        <v>0.48116969428444839</v>
      </c>
      <c r="C114" s="21">
        <f>C103/D103</f>
        <v>0.51883030571555167</v>
      </c>
      <c r="D114" s="14"/>
      <c r="E114" s="22">
        <f>E103/G103</f>
        <v>0.40936555891238668</v>
      </c>
      <c r="F114" s="21">
        <f>F103/G103</f>
        <v>0.59063444108761332</v>
      </c>
      <c r="G114" s="11"/>
      <c r="H114" s="22">
        <f>H103/J103</f>
        <v>0.45462161407428092</v>
      </c>
      <c r="I114" s="21">
        <f>I103/J103</f>
        <v>0.54537838592571908</v>
      </c>
      <c r="J114" s="20"/>
    </row>
    <row r="115" spans="1:10" ht="16.5" thickTop="1" thickBot="1" x14ac:dyDescent="0.3">
      <c r="A115" s="8" t="s">
        <v>0</v>
      </c>
      <c r="B115" s="19">
        <f>B104/D104</f>
        <v>0.47434624296590533</v>
      </c>
      <c r="C115" s="19">
        <f>C104/D104</f>
        <v>0.52565375703409467</v>
      </c>
      <c r="D115" s="8"/>
      <c r="E115" s="19">
        <f>E104/G104</f>
        <v>0.48496188496188497</v>
      </c>
      <c r="F115" s="19">
        <f>F104/G104</f>
        <v>0.51503811503811503</v>
      </c>
      <c r="G115" s="8"/>
      <c r="H115" s="19">
        <f>H104/J104</f>
        <v>0.47831493859785479</v>
      </c>
      <c r="I115" s="19">
        <f>I104/J104</f>
        <v>0.52168506140214521</v>
      </c>
      <c r="J115" s="9"/>
    </row>
  </sheetData>
  <mergeCells count="8">
    <mergeCell ref="B93:D93"/>
    <mergeCell ref="E93:G93"/>
    <mergeCell ref="H93:J9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1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76" zoomScale="55" zoomScaleNormal="55" zoomScalePageLayoutView="70" workbookViewId="0">
      <selection activeCell="A91" sqref="A91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2004-05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53</v>
      </c>
      <c r="C7" s="34">
        <v>110</v>
      </c>
      <c r="D7" s="35">
        <f>SUM(B7:C7)</f>
        <v>163</v>
      </c>
      <c r="E7" s="34">
        <v>70</v>
      </c>
      <c r="F7" s="34">
        <v>71</v>
      </c>
      <c r="G7" s="34">
        <f>SUM(E7:F7)</f>
        <v>141</v>
      </c>
      <c r="H7" s="39">
        <f>B7+E7</f>
        <v>123</v>
      </c>
      <c r="I7" s="34">
        <f>C7+F7</f>
        <v>181</v>
      </c>
      <c r="J7" s="35">
        <f>SUM(H7:I7)</f>
        <v>304</v>
      </c>
    </row>
    <row r="8" spans="1:10" x14ac:dyDescent="0.25">
      <c r="A8" s="12" t="s">
        <v>17</v>
      </c>
      <c r="B8" s="39">
        <v>59</v>
      </c>
      <c r="C8" s="34">
        <v>147</v>
      </c>
      <c r="D8" s="35">
        <f t="shared" ref="D8:D88" si="0">SUM(B8:C8)</f>
        <v>206</v>
      </c>
      <c r="E8" s="34">
        <v>48</v>
      </c>
      <c r="F8" s="34">
        <v>93</v>
      </c>
      <c r="G8" s="34">
        <f t="shared" ref="G8:G88" si="1">SUM(E8:F8)</f>
        <v>141</v>
      </c>
      <c r="H8" s="39">
        <f t="shared" ref="H8:I88" si="2">B8+E8</f>
        <v>107</v>
      </c>
      <c r="I8" s="34">
        <f t="shared" si="2"/>
        <v>240</v>
      </c>
      <c r="J8" s="35">
        <f t="shared" ref="J8:J88" si="3">SUM(H8:I8)</f>
        <v>347</v>
      </c>
    </row>
    <row r="9" spans="1:10" x14ac:dyDescent="0.25">
      <c r="A9" s="12" t="s">
        <v>18</v>
      </c>
      <c r="B9" s="39">
        <v>93</v>
      </c>
      <c r="C9" s="34">
        <v>153</v>
      </c>
      <c r="D9" s="35">
        <f t="shared" si="0"/>
        <v>246</v>
      </c>
      <c r="E9" s="34">
        <v>83</v>
      </c>
      <c r="F9" s="34">
        <v>235</v>
      </c>
      <c r="G9" s="34">
        <f t="shared" si="1"/>
        <v>318</v>
      </c>
      <c r="H9" s="39">
        <f t="shared" si="2"/>
        <v>176</v>
      </c>
      <c r="I9" s="34">
        <f t="shared" si="2"/>
        <v>388</v>
      </c>
      <c r="J9" s="35">
        <f t="shared" si="3"/>
        <v>564</v>
      </c>
    </row>
    <row r="10" spans="1:10" x14ac:dyDescent="0.25">
      <c r="A10" s="12" t="s">
        <v>19</v>
      </c>
      <c r="B10" s="39">
        <v>236</v>
      </c>
      <c r="C10" s="34">
        <v>213</v>
      </c>
      <c r="D10" s="35">
        <f t="shared" si="0"/>
        <v>449</v>
      </c>
      <c r="E10" s="34">
        <v>465</v>
      </c>
      <c r="F10" s="34">
        <v>337</v>
      </c>
      <c r="G10" s="34">
        <f t="shared" si="1"/>
        <v>802</v>
      </c>
      <c r="H10" s="39">
        <f t="shared" si="2"/>
        <v>701</v>
      </c>
      <c r="I10" s="34">
        <f t="shared" si="2"/>
        <v>550</v>
      </c>
      <c r="J10" s="35">
        <f t="shared" si="3"/>
        <v>1251</v>
      </c>
    </row>
    <row r="11" spans="1:10" x14ac:dyDescent="0.25">
      <c r="A11" s="12" t="s">
        <v>23</v>
      </c>
      <c r="B11" s="39">
        <v>71</v>
      </c>
      <c r="C11" s="34">
        <v>50</v>
      </c>
      <c r="D11" s="35">
        <f t="shared" si="0"/>
        <v>121</v>
      </c>
      <c r="E11" s="34">
        <v>74</v>
      </c>
      <c r="F11" s="34">
        <v>43</v>
      </c>
      <c r="G11" s="34">
        <f t="shared" si="1"/>
        <v>117</v>
      </c>
      <c r="H11" s="39">
        <f t="shared" si="2"/>
        <v>145</v>
      </c>
      <c r="I11" s="34">
        <f t="shared" si="2"/>
        <v>93</v>
      </c>
      <c r="J11" s="35">
        <f t="shared" si="3"/>
        <v>238</v>
      </c>
    </row>
    <row r="12" spans="1:10" x14ac:dyDescent="0.25">
      <c r="A12" s="12" t="s">
        <v>108</v>
      </c>
      <c r="B12" s="39">
        <v>106</v>
      </c>
      <c r="C12" s="34">
        <v>111</v>
      </c>
      <c r="D12" s="35">
        <f t="shared" si="0"/>
        <v>217</v>
      </c>
      <c r="E12" s="34">
        <v>52</v>
      </c>
      <c r="F12" s="34">
        <v>54</v>
      </c>
      <c r="G12" s="34">
        <f t="shared" si="1"/>
        <v>106</v>
      </c>
      <c r="H12" s="39">
        <f t="shared" si="2"/>
        <v>158</v>
      </c>
      <c r="I12" s="34">
        <f t="shared" si="2"/>
        <v>165</v>
      </c>
      <c r="J12" s="35">
        <f t="shared" si="3"/>
        <v>323</v>
      </c>
    </row>
    <row r="13" spans="1:10" x14ac:dyDescent="0.25">
      <c r="A13" s="12" t="s">
        <v>109</v>
      </c>
      <c r="B13" s="39">
        <v>92</v>
      </c>
      <c r="C13" s="34">
        <v>164</v>
      </c>
      <c r="D13" s="35">
        <f t="shared" si="0"/>
        <v>256</v>
      </c>
      <c r="E13" s="34">
        <v>42</v>
      </c>
      <c r="F13" s="34">
        <v>39</v>
      </c>
      <c r="G13" s="34">
        <f t="shared" si="1"/>
        <v>81</v>
      </c>
      <c r="H13" s="39">
        <f t="shared" si="2"/>
        <v>134</v>
      </c>
      <c r="I13" s="34">
        <f t="shared" si="2"/>
        <v>203</v>
      </c>
      <c r="J13" s="35">
        <f t="shared" si="3"/>
        <v>337</v>
      </c>
    </row>
    <row r="14" spans="1:10" x14ac:dyDescent="0.25">
      <c r="A14" s="12" t="s">
        <v>139</v>
      </c>
      <c r="B14" s="39">
        <v>0</v>
      </c>
      <c r="C14" s="34">
        <v>0</v>
      </c>
      <c r="D14" s="35">
        <f t="shared" si="0"/>
        <v>0</v>
      </c>
      <c r="E14" s="34">
        <v>1</v>
      </c>
      <c r="F14" s="34">
        <v>0</v>
      </c>
      <c r="G14" s="34">
        <f t="shared" si="1"/>
        <v>1</v>
      </c>
      <c r="H14" s="39">
        <f t="shared" si="2"/>
        <v>1</v>
      </c>
      <c r="I14" s="34">
        <f t="shared" si="2"/>
        <v>0</v>
      </c>
      <c r="J14" s="35">
        <f t="shared" si="3"/>
        <v>1</v>
      </c>
    </row>
    <row r="15" spans="1:10" x14ac:dyDescent="0.25">
      <c r="A15" s="12" t="s">
        <v>26</v>
      </c>
      <c r="B15" s="39">
        <v>0</v>
      </c>
      <c r="C15" s="34">
        <v>0</v>
      </c>
      <c r="D15" s="35">
        <f t="shared" si="0"/>
        <v>0</v>
      </c>
      <c r="E15" s="34">
        <v>14</v>
      </c>
      <c r="F15" s="34">
        <v>27</v>
      </c>
      <c r="G15" s="34">
        <f t="shared" si="1"/>
        <v>41</v>
      </c>
      <c r="H15" s="39">
        <f t="shared" si="2"/>
        <v>14</v>
      </c>
      <c r="I15" s="34">
        <f t="shared" si="2"/>
        <v>27</v>
      </c>
      <c r="J15" s="35">
        <f t="shared" si="3"/>
        <v>41</v>
      </c>
    </row>
    <row r="16" spans="1:10" x14ac:dyDescent="0.25">
      <c r="A16" s="12" t="s">
        <v>140</v>
      </c>
      <c r="B16" s="39">
        <v>0</v>
      </c>
      <c r="C16" s="34">
        <v>0</v>
      </c>
      <c r="D16" s="35">
        <f t="shared" si="0"/>
        <v>0</v>
      </c>
      <c r="E16" s="34">
        <v>25</v>
      </c>
      <c r="F16" s="34">
        <v>3</v>
      </c>
      <c r="G16" s="34">
        <f t="shared" si="1"/>
        <v>28</v>
      </c>
      <c r="H16" s="39">
        <f t="shared" si="2"/>
        <v>25</v>
      </c>
      <c r="I16" s="34">
        <f t="shared" si="2"/>
        <v>3</v>
      </c>
      <c r="J16" s="35">
        <f t="shared" si="3"/>
        <v>28</v>
      </c>
    </row>
    <row r="17" spans="1:10" x14ac:dyDescent="0.25">
      <c r="A17" s="12" t="s">
        <v>29</v>
      </c>
      <c r="B17" s="39">
        <v>0</v>
      </c>
      <c r="C17" s="34">
        <v>0</v>
      </c>
      <c r="D17" s="35">
        <f t="shared" si="0"/>
        <v>0</v>
      </c>
      <c r="E17" s="34">
        <v>46</v>
      </c>
      <c r="F17" s="34">
        <v>57</v>
      </c>
      <c r="G17" s="34">
        <f t="shared" si="1"/>
        <v>103</v>
      </c>
      <c r="H17" s="39">
        <f t="shared" si="2"/>
        <v>46</v>
      </c>
      <c r="I17" s="34">
        <f t="shared" si="2"/>
        <v>57</v>
      </c>
      <c r="J17" s="35">
        <f t="shared" si="3"/>
        <v>103</v>
      </c>
    </row>
    <row r="18" spans="1:10" x14ac:dyDescent="0.25">
      <c r="A18" s="12" t="s">
        <v>30</v>
      </c>
      <c r="B18" s="39">
        <v>101</v>
      </c>
      <c r="C18" s="34">
        <v>52</v>
      </c>
      <c r="D18" s="35">
        <f t="shared" si="0"/>
        <v>153</v>
      </c>
      <c r="E18" s="34">
        <v>37</v>
      </c>
      <c r="F18" s="34">
        <v>12</v>
      </c>
      <c r="G18" s="34">
        <f t="shared" si="1"/>
        <v>49</v>
      </c>
      <c r="H18" s="39">
        <f t="shared" si="2"/>
        <v>138</v>
      </c>
      <c r="I18" s="34">
        <f t="shared" si="2"/>
        <v>64</v>
      </c>
      <c r="J18" s="35">
        <f t="shared" si="3"/>
        <v>202</v>
      </c>
    </row>
    <row r="19" spans="1:10" x14ac:dyDescent="0.25">
      <c r="A19" s="12" t="s">
        <v>31</v>
      </c>
      <c r="B19" s="39">
        <v>129</v>
      </c>
      <c r="C19" s="34">
        <v>132</v>
      </c>
      <c r="D19" s="35">
        <f t="shared" si="0"/>
        <v>261</v>
      </c>
      <c r="E19" s="34">
        <v>56</v>
      </c>
      <c r="F19" s="34">
        <v>44</v>
      </c>
      <c r="G19" s="34">
        <f t="shared" si="1"/>
        <v>100</v>
      </c>
      <c r="H19" s="39">
        <f t="shared" si="2"/>
        <v>185</v>
      </c>
      <c r="I19" s="34">
        <f t="shared" si="2"/>
        <v>176</v>
      </c>
      <c r="J19" s="35">
        <f t="shared" si="3"/>
        <v>361</v>
      </c>
    </row>
    <row r="20" spans="1:10" x14ac:dyDescent="0.25">
      <c r="A20" s="12" t="s">
        <v>132</v>
      </c>
      <c r="B20" s="39">
        <v>155</v>
      </c>
      <c r="C20" s="34">
        <v>51</v>
      </c>
      <c r="D20" s="35">
        <f t="shared" si="0"/>
        <v>206</v>
      </c>
      <c r="E20" s="34">
        <v>39</v>
      </c>
      <c r="F20" s="34">
        <v>13</v>
      </c>
      <c r="G20" s="34">
        <f t="shared" si="1"/>
        <v>52</v>
      </c>
      <c r="H20" s="39">
        <f t="shared" si="2"/>
        <v>194</v>
      </c>
      <c r="I20" s="34">
        <f t="shared" si="2"/>
        <v>64</v>
      </c>
      <c r="J20" s="35">
        <f t="shared" si="3"/>
        <v>258</v>
      </c>
    </row>
    <row r="21" spans="1:10" x14ac:dyDescent="0.25">
      <c r="A21" s="12" t="s">
        <v>33</v>
      </c>
      <c r="B21" s="39">
        <v>206</v>
      </c>
      <c r="C21" s="34">
        <v>37</v>
      </c>
      <c r="D21" s="35">
        <f t="shared" si="0"/>
        <v>243</v>
      </c>
      <c r="E21" s="34">
        <v>134</v>
      </c>
      <c r="F21" s="34">
        <v>48</v>
      </c>
      <c r="G21" s="34">
        <f t="shared" si="1"/>
        <v>182</v>
      </c>
      <c r="H21" s="39">
        <f t="shared" si="2"/>
        <v>340</v>
      </c>
      <c r="I21" s="34">
        <f t="shared" si="2"/>
        <v>85</v>
      </c>
      <c r="J21" s="35">
        <f t="shared" si="3"/>
        <v>425</v>
      </c>
    </row>
    <row r="22" spans="1:10" x14ac:dyDescent="0.25">
      <c r="A22" s="12" t="s">
        <v>34</v>
      </c>
      <c r="B22" s="39">
        <v>0</v>
      </c>
      <c r="C22" s="34">
        <v>0</v>
      </c>
      <c r="D22" s="35">
        <f t="shared" si="0"/>
        <v>0</v>
      </c>
      <c r="E22" s="34">
        <v>50</v>
      </c>
      <c r="F22" s="34">
        <v>68</v>
      </c>
      <c r="G22" s="34">
        <f t="shared" si="1"/>
        <v>118</v>
      </c>
      <c r="H22" s="39">
        <f t="shared" si="2"/>
        <v>50</v>
      </c>
      <c r="I22" s="34">
        <f t="shared" si="2"/>
        <v>68</v>
      </c>
      <c r="J22" s="35">
        <f t="shared" si="3"/>
        <v>118</v>
      </c>
    </row>
    <row r="23" spans="1:10" x14ac:dyDescent="0.25">
      <c r="A23" s="12" t="s">
        <v>35</v>
      </c>
      <c r="B23" s="39">
        <v>11</v>
      </c>
      <c r="C23" s="34">
        <v>19</v>
      </c>
      <c r="D23" s="35">
        <f t="shared" si="0"/>
        <v>30</v>
      </c>
      <c r="E23" s="34">
        <v>9</v>
      </c>
      <c r="F23" s="34">
        <v>28</v>
      </c>
      <c r="G23" s="34">
        <f t="shared" si="1"/>
        <v>37</v>
      </c>
      <c r="H23" s="39">
        <f t="shared" si="2"/>
        <v>20</v>
      </c>
      <c r="I23" s="34">
        <f t="shared" si="2"/>
        <v>47</v>
      </c>
      <c r="J23" s="35">
        <f t="shared" si="3"/>
        <v>67</v>
      </c>
    </row>
    <row r="24" spans="1:10" x14ac:dyDescent="0.25">
      <c r="A24" s="12" t="s">
        <v>36</v>
      </c>
      <c r="B24" s="39">
        <v>73</v>
      </c>
      <c r="C24" s="34">
        <v>75</v>
      </c>
      <c r="D24" s="35">
        <f t="shared" si="0"/>
        <v>148</v>
      </c>
      <c r="E24" s="34">
        <v>25</v>
      </c>
      <c r="F24" s="34">
        <v>28</v>
      </c>
      <c r="G24" s="34">
        <f t="shared" si="1"/>
        <v>53</v>
      </c>
      <c r="H24" s="39">
        <f t="shared" si="2"/>
        <v>98</v>
      </c>
      <c r="I24" s="34">
        <f t="shared" si="2"/>
        <v>103</v>
      </c>
      <c r="J24" s="35">
        <f t="shared" si="3"/>
        <v>201</v>
      </c>
    </row>
    <row r="25" spans="1:10" x14ac:dyDescent="0.25">
      <c r="A25" s="12" t="s">
        <v>37</v>
      </c>
      <c r="B25" s="39">
        <v>387</v>
      </c>
      <c r="C25" s="34">
        <v>188</v>
      </c>
      <c r="D25" s="35">
        <f t="shared" si="0"/>
        <v>575</v>
      </c>
      <c r="E25" s="34">
        <v>92</v>
      </c>
      <c r="F25" s="34">
        <v>71</v>
      </c>
      <c r="G25" s="34">
        <f t="shared" si="1"/>
        <v>163</v>
      </c>
      <c r="H25" s="39">
        <f t="shared" si="2"/>
        <v>479</v>
      </c>
      <c r="I25" s="34">
        <f t="shared" si="2"/>
        <v>259</v>
      </c>
      <c r="J25" s="35">
        <f t="shared" si="3"/>
        <v>738</v>
      </c>
    </row>
    <row r="26" spans="1:10" x14ac:dyDescent="0.25">
      <c r="A26" s="12" t="s">
        <v>38</v>
      </c>
      <c r="B26" s="39">
        <v>194</v>
      </c>
      <c r="C26" s="34">
        <v>29</v>
      </c>
      <c r="D26" s="35">
        <f t="shared" si="0"/>
        <v>223</v>
      </c>
      <c r="E26" s="34">
        <v>311</v>
      </c>
      <c r="F26" s="34">
        <v>53</v>
      </c>
      <c r="G26" s="34">
        <f t="shared" si="1"/>
        <v>364</v>
      </c>
      <c r="H26" s="39">
        <f t="shared" si="2"/>
        <v>505</v>
      </c>
      <c r="I26" s="34">
        <f t="shared" si="2"/>
        <v>82</v>
      </c>
      <c r="J26" s="35">
        <f t="shared" si="3"/>
        <v>587</v>
      </c>
    </row>
    <row r="27" spans="1:10" x14ac:dyDescent="0.25">
      <c r="A27" s="12" t="s">
        <v>41</v>
      </c>
      <c r="B27" s="39">
        <v>96</v>
      </c>
      <c r="C27" s="34">
        <v>174</v>
      </c>
      <c r="D27" s="35">
        <f t="shared" si="0"/>
        <v>270</v>
      </c>
      <c r="E27" s="34">
        <v>30</v>
      </c>
      <c r="F27" s="34">
        <v>38</v>
      </c>
      <c r="G27" s="34">
        <f t="shared" si="1"/>
        <v>68</v>
      </c>
      <c r="H27" s="39">
        <f t="shared" si="2"/>
        <v>126</v>
      </c>
      <c r="I27" s="34">
        <f t="shared" si="2"/>
        <v>212</v>
      </c>
      <c r="J27" s="35">
        <f t="shared" si="3"/>
        <v>338</v>
      </c>
    </row>
    <row r="28" spans="1:10" x14ac:dyDescent="0.25">
      <c r="A28" s="12" t="s">
        <v>94</v>
      </c>
      <c r="B28" s="39">
        <v>47</v>
      </c>
      <c r="C28" s="34">
        <v>108</v>
      </c>
      <c r="D28" s="35">
        <f t="shared" si="0"/>
        <v>155</v>
      </c>
      <c r="E28" s="34">
        <v>0</v>
      </c>
      <c r="F28" s="34">
        <v>0</v>
      </c>
      <c r="G28" s="34">
        <f t="shared" si="1"/>
        <v>0</v>
      </c>
      <c r="H28" s="39">
        <f t="shared" si="2"/>
        <v>47</v>
      </c>
      <c r="I28" s="34">
        <f t="shared" si="2"/>
        <v>108</v>
      </c>
      <c r="J28" s="35">
        <f t="shared" si="3"/>
        <v>155</v>
      </c>
    </row>
    <row r="29" spans="1:10" x14ac:dyDescent="0.25">
      <c r="A29" s="12" t="s">
        <v>44</v>
      </c>
      <c r="B29" s="39">
        <v>61</v>
      </c>
      <c r="C29" s="34">
        <v>89</v>
      </c>
      <c r="D29" s="35">
        <f t="shared" si="0"/>
        <v>150</v>
      </c>
      <c r="E29" s="34">
        <v>47</v>
      </c>
      <c r="F29" s="34">
        <v>74</v>
      </c>
      <c r="G29" s="34">
        <f t="shared" si="1"/>
        <v>121</v>
      </c>
      <c r="H29" s="39">
        <f t="shared" si="2"/>
        <v>108</v>
      </c>
      <c r="I29" s="34">
        <f t="shared" si="2"/>
        <v>163</v>
      </c>
      <c r="J29" s="35">
        <f t="shared" si="3"/>
        <v>271</v>
      </c>
    </row>
    <row r="30" spans="1:10" x14ac:dyDescent="0.25">
      <c r="A30" s="12" t="s">
        <v>45</v>
      </c>
      <c r="B30" s="39">
        <v>55</v>
      </c>
      <c r="C30" s="34">
        <v>150</v>
      </c>
      <c r="D30" s="35">
        <f t="shared" si="0"/>
        <v>205</v>
      </c>
      <c r="E30" s="34">
        <v>5</v>
      </c>
      <c r="F30" s="34">
        <v>11</v>
      </c>
      <c r="G30" s="34">
        <f t="shared" si="1"/>
        <v>16</v>
      </c>
      <c r="H30" s="39">
        <f t="shared" si="2"/>
        <v>60</v>
      </c>
      <c r="I30" s="34">
        <f t="shared" si="2"/>
        <v>161</v>
      </c>
      <c r="J30" s="35">
        <f t="shared" si="3"/>
        <v>221</v>
      </c>
    </row>
    <row r="31" spans="1:10" x14ac:dyDescent="0.25">
      <c r="A31" s="12" t="s">
        <v>95</v>
      </c>
      <c r="B31" s="39">
        <v>0</v>
      </c>
      <c r="C31" s="34">
        <v>0</v>
      </c>
      <c r="D31" s="35">
        <f t="shared" si="0"/>
        <v>0</v>
      </c>
      <c r="E31" s="34">
        <v>6</v>
      </c>
      <c r="F31" s="34">
        <v>2</v>
      </c>
      <c r="G31" s="34">
        <f t="shared" si="1"/>
        <v>8</v>
      </c>
      <c r="H31" s="39">
        <f t="shared" si="2"/>
        <v>6</v>
      </c>
      <c r="I31" s="34">
        <f t="shared" si="2"/>
        <v>2</v>
      </c>
      <c r="J31" s="35">
        <f t="shared" si="3"/>
        <v>8</v>
      </c>
    </row>
    <row r="32" spans="1:10" x14ac:dyDescent="0.25">
      <c r="A32" s="12" t="s">
        <v>47</v>
      </c>
      <c r="B32" s="39">
        <v>164</v>
      </c>
      <c r="C32" s="34">
        <v>177</v>
      </c>
      <c r="D32" s="35">
        <f t="shared" si="0"/>
        <v>341</v>
      </c>
      <c r="E32" s="34">
        <v>67</v>
      </c>
      <c r="F32" s="34">
        <v>72</v>
      </c>
      <c r="G32" s="34">
        <f t="shared" si="1"/>
        <v>139</v>
      </c>
      <c r="H32" s="39">
        <f t="shared" si="2"/>
        <v>231</v>
      </c>
      <c r="I32" s="34">
        <f t="shared" si="2"/>
        <v>249</v>
      </c>
      <c r="J32" s="35">
        <f t="shared" si="3"/>
        <v>480</v>
      </c>
    </row>
    <row r="33" spans="1:10" x14ac:dyDescent="0.25">
      <c r="A33" s="12" t="s">
        <v>133</v>
      </c>
      <c r="B33" s="39">
        <v>17</v>
      </c>
      <c r="C33" s="34">
        <v>7</v>
      </c>
      <c r="D33" s="35">
        <f t="shared" si="0"/>
        <v>24</v>
      </c>
      <c r="E33" s="34">
        <v>47</v>
      </c>
      <c r="F33" s="34">
        <v>20</v>
      </c>
      <c r="G33" s="34">
        <f t="shared" si="1"/>
        <v>67</v>
      </c>
      <c r="H33" s="39">
        <f t="shared" si="2"/>
        <v>64</v>
      </c>
      <c r="I33" s="34">
        <f t="shared" si="2"/>
        <v>27</v>
      </c>
      <c r="J33" s="35">
        <f t="shared" si="3"/>
        <v>91</v>
      </c>
    </row>
    <row r="34" spans="1:10" x14ac:dyDescent="0.25">
      <c r="A34" s="12" t="s">
        <v>48</v>
      </c>
      <c r="B34" s="39">
        <v>57</v>
      </c>
      <c r="C34" s="34">
        <v>104</v>
      </c>
      <c r="D34" s="35">
        <f t="shared" si="0"/>
        <v>161</v>
      </c>
      <c r="E34" s="34">
        <v>6</v>
      </c>
      <c r="F34" s="34">
        <v>9</v>
      </c>
      <c r="G34" s="34">
        <f t="shared" si="1"/>
        <v>15</v>
      </c>
      <c r="H34" s="39">
        <f t="shared" si="2"/>
        <v>63</v>
      </c>
      <c r="I34" s="34">
        <f t="shared" si="2"/>
        <v>113</v>
      </c>
      <c r="J34" s="35">
        <f t="shared" si="3"/>
        <v>176</v>
      </c>
    </row>
    <row r="35" spans="1:10" x14ac:dyDescent="0.25">
      <c r="A35" s="12" t="s">
        <v>49</v>
      </c>
      <c r="B35" s="39">
        <v>60</v>
      </c>
      <c r="C35" s="34">
        <v>78</v>
      </c>
      <c r="D35" s="35">
        <f t="shared" si="0"/>
        <v>138</v>
      </c>
      <c r="E35" s="34">
        <v>12</v>
      </c>
      <c r="F35" s="34">
        <v>21</v>
      </c>
      <c r="G35" s="34">
        <f t="shared" si="1"/>
        <v>33</v>
      </c>
      <c r="H35" s="39">
        <f t="shared" si="2"/>
        <v>72</v>
      </c>
      <c r="I35" s="34">
        <f t="shared" si="2"/>
        <v>99</v>
      </c>
      <c r="J35" s="35">
        <f t="shared" si="3"/>
        <v>171</v>
      </c>
    </row>
    <row r="36" spans="1:10" x14ac:dyDescent="0.25">
      <c r="A36" s="12" t="s">
        <v>50</v>
      </c>
      <c r="B36" s="39">
        <v>5</v>
      </c>
      <c r="C36" s="34">
        <v>28</v>
      </c>
      <c r="D36" s="35">
        <f t="shared" si="0"/>
        <v>33</v>
      </c>
      <c r="E36" s="34">
        <v>8</v>
      </c>
      <c r="F36" s="34">
        <v>16</v>
      </c>
      <c r="G36" s="34">
        <f t="shared" si="1"/>
        <v>24</v>
      </c>
      <c r="H36" s="39">
        <f t="shared" si="2"/>
        <v>13</v>
      </c>
      <c r="I36" s="34">
        <f t="shared" si="2"/>
        <v>44</v>
      </c>
      <c r="J36" s="35">
        <f t="shared" si="3"/>
        <v>57</v>
      </c>
    </row>
    <row r="37" spans="1:10" x14ac:dyDescent="0.25">
      <c r="A37" s="12" t="s">
        <v>51</v>
      </c>
      <c r="B37" s="39">
        <v>166</v>
      </c>
      <c r="C37" s="34">
        <v>190</v>
      </c>
      <c r="D37" s="35">
        <f t="shared" si="0"/>
        <v>356</v>
      </c>
      <c r="E37" s="34">
        <v>50</v>
      </c>
      <c r="F37" s="34">
        <v>51</v>
      </c>
      <c r="G37" s="34">
        <f t="shared" si="1"/>
        <v>101</v>
      </c>
      <c r="H37" s="39">
        <f t="shared" si="2"/>
        <v>216</v>
      </c>
      <c r="I37" s="34">
        <f t="shared" si="2"/>
        <v>241</v>
      </c>
      <c r="J37" s="35">
        <f t="shared" si="3"/>
        <v>457</v>
      </c>
    </row>
    <row r="38" spans="1:10" x14ac:dyDescent="0.25">
      <c r="A38" s="12" t="s">
        <v>52</v>
      </c>
      <c r="B38" s="39">
        <v>33</v>
      </c>
      <c r="C38" s="34">
        <v>151</v>
      </c>
      <c r="D38" s="35">
        <f t="shared" si="0"/>
        <v>184</v>
      </c>
      <c r="E38" s="34">
        <v>14</v>
      </c>
      <c r="F38" s="34">
        <v>54</v>
      </c>
      <c r="G38" s="34">
        <f t="shared" si="1"/>
        <v>68</v>
      </c>
      <c r="H38" s="39">
        <f t="shared" si="2"/>
        <v>47</v>
      </c>
      <c r="I38" s="34">
        <f t="shared" si="2"/>
        <v>205</v>
      </c>
      <c r="J38" s="35">
        <f t="shared" si="3"/>
        <v>252</v>
      </c>
    </row>
    <row r="39" spans="1:10" x14ac:dyDescent="0.25">
      <c r="A39" s="12" t="s">
        <v>110</v>
      </c>
      <c r="B39" s="39">
        <v>5</v>
      </c>
      <c r="C39" s="34">
        <v>193</v>
      </c>
      <c r="D39" s="35">
        <f t="shared" si="0"/>
        <v>198</v>
      </c>
      <c r="E39" s="34">
        <v>3</v>
      </c>
      <c r="F39" s="34">
        <v>68</v>
      </c>
      <c r="G39" s="34">
        <f t="shared" si="1"/>
        <v>71</v>
      </c>
      <c r="H39" s="39">
        <f t="shared" si="2"/>
        <v>8</v>
      </c>
      <c r="I39" s="34">
        <f t="shared" si="2"/>
        <v>261</v>
      </c>
      <c r="J39" s="35">
        <f t="shared" si="3"/>
        <v>269</v>
      </c>
    </row>
    <row r="40" spans="1:10" x14ac:dyDescent="0.25">
      <c r="A40" s="12" t="s">
        <v>111</v>
      </c>
      <c r="B40" s="39">
        <v>29</v>
      </c>
      <c r="C40" s="34">
        <v>84</v>
      </c>
      <c r="D40" s="35">
        <f t="shared" si="0"/>
        <v>113</v>
      </c>
      <c r="E40" s="34">
        <v>0</v>
      </c>
      <c r="F40" s="34">
        <v>0</v>
      </c>
      <c r="G40" s="34">
        <f t="shared" si="1"/>
        <v>0</v>
      </c>
      <c r="H40" s="39">
        <f t="shared" si="2"/>
        <v>29</v>
      </c>
      <c r="I40" s="34">
        <f t="shared" si="2"/>
        <v>84</v>
      </c>
      <c r="J40" s="35">
        <f t="shared" si="3"/>
        <v>113</v>
      </c>
    </row>
    <row r="41" spans="1:10" x14ac:dyDescent="0.25">
      <c r="A41" s="12" t="s">
        <v>55</v>
      </c>
      <c r="B41" s="39">
        <v>55</v>
      </c>
      <c r="C41" s="34">
        <v>187</v>
      </c>
      <c r="D41" s="35">
        <f t="shared" si="0"/>
        <v>242</v>
      </c>
      <c r="E41" s="34">
        <v>21</v>
      </c>
      <c r="F41" s="34">
        <v>36</v>
      </c>
      <c r="G41" s="34">
        <f t="shared" si="1"/>
        <v>57</v>
      </c>
      <c r="H41" s="39">
        <f t="shared" si="2"/>
        <v>76</v>
      </c>
      <c r="I41" s="34">
        <f t="shared" si="2"/>
        <v>223</v>
      </c>
      <c r="J41" s="35">
        <f t="shared" si="3"/>
        <v>299</v>
      </c>
    </row>
    <row r="42" spans="1:10" x14ac:dyDescent="0.25">
      <c r="A42" s="12" t="s">
        <v>56</v>
      </c>
      <c r="B42" s="39">
        <v>51</v>
      </c>
      <c r="C42" s="34">
        <v>45</v>
      </c>
      <c r="D42" s="35">
        <f t="shared" si="0"/>
        <v>96</v>
      </c>
      <c r="E42" s="34">
        <v>0</v>
      </c>
      <c r="F42" s="34">
        <v>0</v>
      </c>
      <c r="G42" s="34">
        <f t="shared" si="1"/>
        <v>0</v>
      </c>
      <c r="H42" s="39">
        <f t="shared" si="2"/>
        <v>51</v>
      </c>
      <c r="I42" s="34">
        <f t="shared" si="2"/>
        <v>45</v>
      </c>
      <c r="J42" s="35">
        <f t="shared" si="3"/>
        <v>96</v>
      </c>
    </row>
    <row r="43" spans="1:10" x14ac:dyDescent="0.25">
      <c r="A43" s="12" t="s">
        <v>1</v>
      </c>
      <c r="B43" s="39">
        <v>229</v>
      </c>
      <c r="C43" s="34">
        <v>347</v>
      </c>
      <c r="D43" s="35">
        <f t="shared" si="0"/>
        <v>576</v>
      </c>
      <c r="E43" s="34">
        <v>196</v>
      </c>
      <c r="F43" s="34">
        <v>243</v>
      </c>
      <c r="G43" s="34">
        <f t="shared" si="1"/>
        <v>439</v>
      </c>
      <c r="H43" s="39">
        <f t="shared" si="2"/>
        <v>425</v>
      </c>
      <c r="I43" s="34">
        <f t="shared" si="2"/>
        <v>590</v>
      </c>
      <c r="J43" s="35">
        <f t="shared" si="3"/>
        <v>1015</v>
      </c>
    </row>
    <row r="44" spans="1:10" x14ac:dyDescent="0.25">
      <c r="A44" s="12" t="s">
        <v>102</v>
      </c>
      <c r="B44" s="39">
        <v>63</v>
      </c>
      <c r="C44" s="34">
        <v>52</v>
      </c>
      <c r="D44" s="35">
        <f t="shared" si="0"/>
        <v>115</v>
      </c>
      <c r="E44" s="34">
        <v>52</v>
      </c>
      <c r="F44" s="34">
        <v>116</v>
      </c>
      <c r="G44" s="34">
        <f t="shared" si="1"/>
        <v>168</v>
      </c>
      <c r="H44" s="39">
        <f t="shared" si="2"/>
        <v>115</v>
      </c>
      <c r="I44" s="34">
        <f t="shared" si="2"/>
        <v>168</v>
      </c>
      <c r="J44" s="35">
        <f t="shared" si="3"/>
        <v>283</v>
      </c>
    </row>
    <row r="45" spans="1:10" x14ac:dyDescent="0.25">
      <c r="A45" s="12" t="s">
        <v>59</v>
      </c>
      <c r="B45" s="39">
        <v>311</v>
      </c>
      <c r="C45" s="34">
        <v>177</v>
      </c>
      <c r="D45" s="35">
        <f t="shared" si="0"/>
        <v>488</v>
      </c>
      <c r="E45" s="34">
        <v>16</v>
      </c>
      <c r="F45" s="34">
        <v>3</v>
      </c>
      <c r="G45" s="34">
        <f t="shared" si="1"/>
        <v>19</v>
      </c>
      <c r="H45" s="39">
        <f t="shared" si="2"/>
        <v>327</v>
      </c>
      <c r="I45" s="34">
        <f t="shared" si="2"/>
        <v>180</v>
      </c>
      <c r="J45" s="35">
        <f t="shared" si="3"/>
        <v>507</v>
      </c>
    </row>
    <row r="46" spans="1:10" x14ac:dyDescent="0.25">
      <c r="A46" s="12" t="s">
        <v>60</v>
      </c>
      <c r="B46" s="39">
        <v>238</v>
      </c>
      <c r="C46" s="34">
        <v>40</v>
      </c>
      <c r="D46" s="35">
        <f t="shared" si="0"/>
        <v>278</v>
      </c>
      <c r="E46" s="34">
        <v>93</v>
      </c>
      <c r="F46" s="34">
        <v>8</v>
      </c>
      <c r="G46" s="34">
        <f t="shared" si="1"/>
        <v>101</v>
      </c>
      <c r="H46" s="39">
        <f t="shared" si="2"/>
        <v>331</v>
      </c>
      <c r="I46" s="34">
        <f t="shared" si="2"/>
        <v>48</v>
      </c>
      <c r="J46" s="35">
        <f t="shared" si="3"/>
        <v>379</v>
      </c>
    </row>
    <row r="47" spans="1:10" x14ac:dyDescent="0.25">
      <c r="A47" s="12" t="s">
        <v>61</v>
      </c>
      <c r="B47" s="39">
        <v>12</v>
      </c>
      <c r="C47" s="34">
        <v>4</v>
      </c>
      <c r="D47" s="35">
        <f t="shared" si="0"/>
        <v>16</v>
      </c>
      <c r="E47" s="34">
        <v>49</v>
      </c>
      <c r="F47" s="34">
        <v>31</v>
      </c>
      <c r="G47" s="34">
        <f t="shared" si="1"/>
        <v>80</v>
      </c>
      <c r="H47" s="39">
        <f t="shared" si="2"/>
        <v>61</v>
      </c>
      <c r="I47" s="34">
        <f t="shared" si="2"/>
        <v>35</v>
      </c>
      <c r="J47" s="35">
        <f t="shared" si="3"/>
        <v>96</v>
      </c>
    </row>
    <row r="48" spans="1:10" x14ac:dyDescent="0.25">
      <c r="A48" s="12" t="s">
        <v>112</v>
      </c>
      <c r="B48" s="39">
        <v>33</v>
      </c>
      <c r="C48" s="34">
        <v>64</v>
      </c>
      <c r="D48" s="35">
        <f t="shared" si="0"/>
        <v>97</v>
      </c>
      <c r="E48" s="34">
        <v>12</v>
      </c>
      <c r="F48" s="34">
        <v>18</v>
      </c>
      <c r="G48" s="34">
        <f t="shared" si="1"/>
        <v>30</v>
      </c>
      <c r="H48" s="39">
        <f t="shared" si="2"/>
        <v>45</v>
      </c>
      <c r="I48" s="34">
        <f t="shared" si="2"/>
        <v>82</v>
      </c>
      <c r="J48" s="35">
        <f t="shared" si="3"/>
        <v>127</v>
      </c>
    </row>
    <row r="49" spans="1:10" x14ac:dyDescent="0.25">
      <c r="A49" s="12" t="s">
        <v>64</v>
      </c>
      <c r="B49" s="39">
        <v>85</v>
      </c>
      <c r="C49" s="34">
        <v>73</v>
      </c>
      <c r="D49" s="35">
        <f t="shared" si="0"/>
        <v>158</v>
      </c>
      <c r="E49" s="34">
        <v>39</v>
      </c>
      <c r="F49" s="34">
        <v>12</v>
      </c>
      <c r="G49" s="34">
        <f t="shared" si="1"/>
        <v>51</v>
      </c>
      <c r="H49" s="39">
        <f t="shared" si="2"/>
        <v>124</v>
      </c>
      <c r="I49" s="34">
        <f t="shared" si="2"/>
        <v>85</v>
      </c>
      <c r="J49" s="35">
        <f t="shared" si="3"/>
        <v>209</v>
      </c>
    </row>
    <row r="50" spans="1:10" x14ac:dyDescent="0.25">
      <c r="A50" s="12" t="s">
        <v>113</v>
      </c>
      <c r="B50" s="39">
        <v>25</v>
      </c>
      <c r="C50" s="34">
        <v>73</v>
      </c>
      <c r="D50" s="35">
        <f t="shared" si="0"/>
        <v>98</v>
      </c>
      <c r="E50" s="34">
        <v>23</v>
      </c>
      <c r="F50" s="34">
        <v>46</v>
      </c>
      <c r="G50" s="34">
        <f t="shared" si="1"/>
        <v>69</v>
      </c>
      <c r="H50" s="39">
        <f t="shared" si="2"/>
        <v>48</v>
      </c>
      <c r="I50" s="34">
        <f t="shared" si="2"/>
        <v>119</v>
      </c>
      <c r="J50" s="35">
        <f t="shared" si="3"/>
        <v>167</v>
      </c>
    </row>
    <row r="51" spans="1:10" x14ac:dyDescent="0.25">
      <c r="A51" s="12" t="s">
        <v>145</v>
      </c>
      <c r="B51" s="39">
        <v>19</v>
      </c>
      <c r="C51" s="34">
        <v>15</v>
      </c>
      <c r="D51" s="35">
        <f t="shared" si="0"/>
        <v>34</v>
      </c>
      <c r="E51" s="34">
        <v>0</v>
      </c>
      <c r="F51" s="34">
        <v>0</v>
      </c>
      <c r="G51" s="34">
        <f t="shared" si="1"/>
        <v>0</v>
      </c>
      <c r="H51" s="39">
        <f t="shared" si="2"/>
        <v>19</v>
      </c>
      <c r="I51" s="34">
        <f t="shared" si="2"/>
        <v>15</v>
      </c>
      <c r="J51" s="35">
        <f t="shared" si="3"/>
        <v>34</v>
      </c>
    </row>
    <row r="52" spans="1:10" x14ac:dyDescent="0.25">
      <c r="A52" s="12" t="s">
        <v>65</v>
      </c>
      <c r="B52" s="39">
        <v>316</v>
      </c>
      <c r="C52" s="34">
        <v>123</v>
      </c>
      <c r="D52" s="35">
        <f t="shared" si="0"/>
        <v>439</v>
      </c>
      <c r="E52" s="34">
        <v>64</v>
      </c>
      <c r="F52" s="34">
        <v>32</v>
      </c>
      <c r="G52" s="34">
        <f t="shared" si="1"/>
        <v>96</v>
      </c>
      <c r="H52" s="39">
        <f t="shared" si="2"/>
        <v>380</v>
      </c>
      <c r="I52" s="34">
        <f t="shared" si="2"/>
        <v>155</v>
      </c>
      <c r="J52" s="35">
        <f t="shared" si="3"/>
        <v>535</v>
      </c>
    </row>
    <row r="53" spans="1:10" x14ac:dyDescent="0.25">
      <c r="A53" s="12" t="s">
        <v>114</v>
      </c>
      <c r="B53" s="39">
        <v>103</v>
      </c>
      <c r="C53" s="34">
        <v>178</v>
      </c>
      <c r="D53" s="35">
        <f t="shared" si="0"/>
        <v>281</v>
      </c>
      <c r="E53" s="34">
        <v>35</v>
      </c>
      <c r="F53" s="34">
        <v>70</v>
      </c>
      <c r="G53" s="34">
        <f t="shared" si="1"/>
        <v>105</v>
      </c>
      <c r="H53" s="39">
        <f t="shared" si="2"/>
        <v>138</v>
      </c>
      <c r="I53" s="34">
        <f t="shared" si="2"/>
        <v>248</v>
      </c>
      <c r="J53" s="35">
        <f t="shared" si="3"/>
        <v>386</v>
      </c>
    </row>
    <row r="54" spans="1:10" x14ac:dyDescent="0.25">
      <c r="A54" s="12" t="s">
        <v>115</v>
      </c>
      <c r="B54" s="39">
        <v>63</v>
      </c>
      <c r="C54" s="34">
        <v>309</v>
      </c>
      <c r="D54" s="35">
        <f t="shared" si="0"/>
        <v>372</v>
      </c>
      <c r="E54" s="34">
        <v>97</v>
      </c>
      <c r="F54" s="34">
        <v>276</v>
      </c>
      <c r="G54" s="34">
        <f t="shared" si="1"/>
        <v>373</v>
      </c>
      <c r="H54" s="39">
        <f t="shared" si="2"/>
        <v>160</v>
      </c>
      <c r="I54" s="34">
        <f t="shared" si="2"/>
        <v>585</v>
      </c>
      <c r="J54" s="35">
        <f t="shared" si="3"/>
        <v>745</v>
      </c>
    </row>
    <row r="55" spans="1:10" x14ac:dyDescent="0.25">
      <c r="A55" s="12" t="s">
        <v>146</v>
      </c>
      <c r="B55" s="39">
        <v>0</v>
      </c>
      <c r="C55" s="34">
        <v>0</v>
      </c>
      <c r="D55" s="35">
        <f t="shared" si="0"/>
        <v>0</v>
      </c>
      <c r="E55" s="34">
        <v>70</v>
      </c>
      <c r="F55" s="34">
        <v>105</v>
      </c>
      <c r="G55" s="34">
        <f t="shared" si="1"/>
        <v>175</v>
      </c>
      <c r="H55" s="39">
        <f t="shared" si="2"/>
        <v>70</v>
      </c>
      <c r="I55" s="34">
        <f t="shared" si="2"/>
        <v>105</v>
      </c>
      <c r="J55" s="35">
        <f t="shared" si="3"/>
        <v>175</v>
      </c>
    </row>
    <row r="56" spans="1:10" x14ac:dyDescent="0.25">
      <c r="A56" s="12" t="s">
        <v>68</v>
      </c>
      <c r="B56" s="39">
        <v>37</v>
      </c>
      <c r="C56" s="34">
        <v>55</v>
      </c>
      <c r="D56" s="35">
        <f t="shared" si="0"/>
        <v>92</v>
      </c>
      <c r="E56" s="34">
        <v>3</v>
      </c>
      <c r="F56" s="34">
        <v>11</v>
      </c>
      <c r="G56" s="34">
        <f t="shared" si="1"/>
        <v>14</v>
      </c>
      <c r="H56" s="39">
        <f t="shared" si="2"/>
        <v>40</v>
      </c>
      <c r="I56" s="34">
        <f t="shared" si="2"/>
        <v>66</v>
      </c>
      <c r="J56" s="35">
        <f t="shared" si="3"/>
        <v>106</v>
      </c>
    </row>
    <row r="57" spans="1:10" x14ac:dyDescent="0.25">
      <c r="A57" s="12" t="s">
        <v>70</v>
      </c>
      <c r="B57" s="39">
        <v>292</v>
      </c>
      <c r="C57" s="34">
        <v>286</v>
      </c>
      <c r="D57" s="35">
        <f t="shared" si="0"/>
        <v>578</v>
      </c>
      <c r="E57" s="34">
        <v>52</v>
      </c>
      <c r="F57" s="34">
        <v>85</v>
      </c>
      <c r="G57" s="34">
        <f t="shared" si="1"/>
        <v>137</v>
      </c>
      <c r="H57" s="39">
        <f t="shared" si="2"/>
        <v>344</v>
      </c>
      <c r="I57" s="34">
        <f t="shared" si="2"/>
        <v>371</v>
      </c>
      <c r="J57" s="35">
        <f t="shared" si="3"/>
        <v>715</v>
      </c>
    </row>
    <row r="58" spans="1:10" x14ac:dyDescent="0.25">
      <c r="A58" s="12" t="s">
        <v>71</v>
      </c>
      <c r="B58" s="39">
        <v>29</v>
      </c>
      <c r="C58" s="34">
        <v>43</v>
      </c>
      <c r="D58" s="35">
        <f t="shared" si="0"/>
        <v>72</v>
      </c>
      <c r="E58" s="34">
        <v>7</v>
      </c>
      <c r="F58" s="34">
        <v>6</v>
      </c>
      <c r="G58" s="34">
        <f t="shared" si="1"/>
        <v>13</v>
      </c>
      <c r="H58" s="39">
        <f t="shared" si="2"/>
        <v>36</v>
      </c>
      <c r="I58" s="34">
        <f t="shared" si="2"/>
        <v>49</v>
      </c>
      <c r="J58" s="35">
        <f t="shared" si="3"/>
        <v>85</v>
      </c>
    </row>
    <row r="59" spans="1:10" x14ac:dyDescent="0.25">
      <c r="A59" s="12" t="s">
        <v>72</v>
      </c>
      <c r="B59" s="39">
        <v>0</v>
      </c>
      <c r="C59" s="34">
        <v>0</v>
      </c>
      <c r="D59" s="35">
        <f t="shared" si="0"/>
        <v>0</v>
      </c>
      <c r="E59" s="34">
        <v>19</v>
      </c>
      <c r="F59" s="34">
        <v>14</v>
      </c>
      <c r="G59" s="34">
        <f t="shared" si="1"/>
        <v>33</v>
      </c>
      <c r="H59" s="39">
        <f t="shared" si="2"/>
        <v>19</v>
      </c>
      <c r="I59" s="34">
        <f t="shared" si="2"/>
        <v>14</v>
      </c>
      <c r="J59" s="35">
        <f t="shared" si="3"/>
        <v>33</v>
      </c>
    </row>
    <row r="60" spans="1:10" x14ac:dyDescent="0.25">
      <c r="A60" s="12" t="s">
        <v>73</v>
      </c>
      <c r="B60" s="39">
        <v>26</v>
      </c>
      <c r="C60" s="34">
        <v>93</v>
      </c>
      <c r="D60" s="35">
        <f t="shared" si="0"/>
        <v>119</v>
      </c>
      <c r="E60" s="34">
        <v>3</v>
      </c>
      <c r="F60" s="34">
        <v>10</v>
      </c>
      <c r="G60" s="34">
        <f t="shared" si="1"/>
        <v>13</v>
      </c>
      <c r="H60" s="39">
        <f t="shared" si="2"/>
        <v>29</v>
      </c>
      <c r="I60" s="34">
        <f t="shared" si="2"/>
        <v>103</v>
      </c>
      <c r="J60" s="35">
        <f t="shared" si="3"/>
        <v>132</v>
      </c>
    </row>
    <row r="61" spans="1:10" x14ac:dyDescent="0.25">
      <c r="A61" s="12" t="s">
        <v>74</v>
      </c>
      <c r="B61" s="39">
        <v>130</v>
      </c>
      <c r="C61" s="34">
        <v>78</v>
      </c>
      <c r="D61" s="35">
        <f t="shared" si="0"/>
        <v>208</v>
      </c>
      <c r="E61" s="34">
        <v>24</v>
      </c>
      <c r="F61" s="34">
        <v>16</v>
      </c>
      <c r="G61" s="34">
        <f t="shared" si="1"/>
        <v>40</v>
      </c>
      <c r="H61" s="39">
        <f t="shared" si="2"/>
        <v>154</v>
      </c>
      <c r="I61" s="34">
        <f t="shared" si="2"/>
        <v>94</v>
      </c>
      <c r="J61" s="35">
        <f t="shared" si="3"/>
        <v>248</v>
      </c>
    </row>
    <row r="62" spans="1:10" x14ac:dyDescent="0.25">
      <c r="A62" s="12" t="s">
        <v>103</v>
      </c>
      <c r="B62" s="39">
        <v>273</v>
      </c>
      <c r="C62" s="34">
        <v>385</v>
      </c>
      <c r="D62" s="35">
        <f t="shared" si="0"/>
        <v>658</v>
      </c>
      <c r="E62" s="34">
        <v>0</v>
      </c>
      <c r="F62" s="34">
        <v>0</v>
      </c>
      <c r="G62" s="34">
        <f t="shared" si="1"/>
        <v>0</v>
      </c>
      <c r="H62" s="39">
        <f t="shared" si="2"/>
        <v>273</v>
      </c>
      <c r="I62" s="34">
        <f t="shared" si="2"/>
        <v>385</v>
      </c>
      <c r="J62" s="35">
        <f t="shared" si="3"/>
        <v>658</v>
      </c>
    </row>
    <row r="63" spans="1:10" x14ac:dyDescent="0.25">
      <c r="A63" s="12" t="s">
        <v>104</v>
      </c>
      <c r="B63" s="39">
        <v>498</v>
      </c>
      <c r="C63" s="34">
        <v>619</v>
      </c>
      <c r="D63" s="35">
        <f t="shared" si="0"/>
        <v>1117</v>
      </c>
      <c r="E63" s="34">
        <v>29</v>
      </c>
      <c r="F63" s="34">
        <v>15</v>
      </c>
      <c r="G63" s="34">
        <f t="shared" si="1"/>
        <v>44</v>
      </c>
      <c r="H63" s="39">
        <f t="shared" si="2"/>
        <v>527</v>
      </c>
      <c r="I63" s="34">
        <f t="shared" si="2"/>
        <v>634</v>
      </c>
      <c r="J63" s="35">
        <f t="shared" si="3"/>
        <v>1161</v>
      </c>
    </row>
    <row r="64" spans="1:10" x14ac:dyDescent="0.25">
      <c r="A64" s="12" t="s">
        <v>105</v>
      </c>
      <c r="B64" s="39">
        <v>0</v>
      </c>
      <c r="C64" s="34">
        <v>0</v>
      </c>
      <c r="D64" s="35">
        <f t="shared" si="0"/>
        <v>0</v>
      </c>
      <c r="E64" s="34">
        <v>10</v>
      </c>
      <c r="F64" s="34">
        <v>15</v>
      </c>
      <c r="G64" s="34">
        <f t="shared" si="1"/>
        <v>25</v>
      </c>
      <c r="H64" s="39">
        <f t="shared" si="2"/>
        <v>10</v>
      </c>
      <c r="I64" s="34">
        <f t="shared" si="2"/>
        <v>15</v>
      </c>
      <c r="J64" s="35">
        <f t="shared" si="3"/>
        <v>25</v>
      </c>
    </row>
    <row r="65" spans="1:10" x14ac:dyDescent="0.25">
      <c r="A65" s="12" t="s">
        <v>79</v>
      </c>
      <c r="B65" s="39">
        <v>0</v>
      </c>
      <c r="C65" s="34">
        <v>0</v>
      </c>
      <c r="D65" s="35">
        <f t="shared" si="0"/>
        <v>0</v>
      </c>
      <c r="E65" s="34">
        <v>76</v>
      </c>
      <c r="F65" s="34">
        <v>152</v>
      </c>
      <c r="G65" s="34">
        <f t="shared" si="1"/>
        <v>228</v>
      </c>
      <c r="H65" s="39">
        <f t="shared" si="2"/>
        <v>76</v>
      </c>
      <c r="I65" s="34">
        <f t="shared" si="2"/>
        <v>152</v>
      </c>
      <c r="J65" s="35">
        <f t="shared" si="3"/>
        <v>228</v>
      </c>
    </row>
    <row r="66" spans="1:10" x14ac:dyDescent="0.25">
      <c r="A66" s="12" t="s">
        <v>117</v>
      </c>
      <c r="B66" s="39">
        <v>4</v>
      </c>
      <c r="C66" s="34">
        <v>16</v>
      </c>
      <c r="D66" s="35">
        <f t="shared" si="0"/>
        <v>20</v>
      </c>
      <c r="E66" s="34">
        <v>42</v>
      </c>
      <c r="F66" s="34">
        <v>56</v>
      </c>
      <c r="G66" s="34">
        <f t="shared" si="1"/>
        <v>98</v>
      </c>
      <c r="H66" s="39">
        <f t="shared" si="2"/>
        <v>46</v>
      </c>
      <c r="I66" s="34">
        <f t="shared" si="2"/>
        <v>72</v>
      </c>
      <c r="J66" s="35">
        <f t="shared" si="3"/>
        <v>118</v>
      </c>
    </row>
    <row r="67" spans="1:10" x14ac:dyDescent="0.25">
      <c r="A67" s="12" t="s">
        <v>141</v>
      </c>
      <c r="B67" s="39">
        <v>0</v>
      </c>
      <c r="C67" s="34">
        <v>0</v>
      </c>
      <c r="D67" s="35">
        <f t="shared" si="0"/>
        <v>0</v>
      </c>
      <c r="E67" s="34">
        <v>2</v>
      </c>
      <c r="F67" s="34">
        <v>0</v>
      </c>
      <c r="G67" s="34">
        <f t="shared" si="1"/>
        <v>2</v>
      </c>
      <c r="H67" s="39">
        <f t="shared" si="2"/>
        <v>2</v>
      </c>
      <c r="I67" s="34">
        <f t="shared" si="2"/>
        <v>0</v>
      </c>
      <c r="J67" s="35">
        <f t="shared" si="3"/>
        <v>2</v>
      </c>
    </row>
    <row r="68" spans="1:10" x14ac:dyDescent="0.25">
      <c r="A68" s="12" t="s">
        <v>81</v>
      </c>
      <c r="B68" s="39">
        <v>0</v>
      </c>
      <c r="C68" s="34">
        <v>0</v>
      </c>
      <c r="D68" s="35">
        <f t="shared" si="0"/>
        <v>0</v>
      </c>
      <c r="E68" s="34">
        <v>165</v>
      </c>
      <c r="F68" s="34">
        <v>144</v>
      </c>
      <c r="G68" s="34">
        <f t="shared" si="1"/>
        <v>309</v>
      </c>
      <c r="H68" s="39">
        <f t="shared" si="2"/>
        <v>165</v>
      </c>
      <c r="I68" s="34">
        <f t="shared" si="2"/>
        <v>144</v>
      </c>
      <c r="J68" s="35">
        <f t="shared" si="3"/>
        <v>309</v>
      </c>
    </row>
    <row r="69" spans="1:10" x14ac:dyDescent="0.25">
      <c r="A69" s="12" t="s">
        <v>118</v>
      </c>
      <c r="B69" s="39">
        <v>0</v>
      </c>
      <c r="C69" s="34">
        <v>0</v>
      </c>
      <c r="D69" s="35">
        <f t="shared" si="0"/>
        <v>0</v>
      </c>
      <c r="E69" s="34">
        <v>13</v>
      </c>
      <c r="F69" s="34">
        <v>24</v>
      </c>
      <c r="G69" s="34">
        <f t="shared" si="1"/>
        <v>37</v>
      </c>
      <c r="H69" s="39">
        <f t="shared" si="2"/>
        <v>13</v>
      </c>
      <c r="I69" s="34">
        <f t="shared" si="2"/>
        <v>24</v>
      </c>
      <c r="J69" s="35">
        <f t="shared" si="3"/>
        <v>37</v>
      </c>
    </row>
    <row r="70" spans="1:10" x14ac:dyDescent="0.25">
      <c r="A70" s="12" t="s">
        <v>119</v>
      </c>
      <c r="B70" s="39">
        <v>0</v>
      </c>
      <c r="C70" s="34">
        <v>0</v>
      </c>
      <c r="D70" s="35">
        <f t="shared" si="0"/>
        <v>0</v>
      </c>
      <c r="E70" s="34">
        <v>0</v>
      </c>
      <c r="F70" s="34">
        <v>1</v>
      </c>
      <c r="G70" s="34">
        <f t="shared" si="1"/>
        <v>1</v>
      </c>
      <c r="H70" s="39">
        <f t="shared" si="2"/>
        <v>0</v>
      </c>
      <c r="I70" s="34">
        <f t="shared" si="2"/>
        <v>1</v>
      </c>
      <c r="J70" s="35">
        <f t="shared" si="3"/>
        <v>1</v>
      </c>
    </row>
    <row r="71" spans="1:10" x14ac:dyDescent="0.25">
      <c r="A71" s="12" t="s">
        <v>120</v>
      </c>
      <c r="B71" s="39">
        <v>0</v>
      </c>
      <c r="C71" s="34">
        <v>0</v>
      </c>
      <c r="D71" s="35">
        <f t="shared" si="0"/>
        <v>0</v>
      </c>
      <c r="E71" s="34">
        <v>10</v>
      </c>
      <c r="F71" s="34">
        <v>8</v>
      </c>
      <c r="G71" s="34">
        <f t="shared" si="1"/>
        <v>18</v>
      </c>
      <c r="H71" s="39">
        <f t="shared" si="2"/>
        <v>10</v>
      </c>
      <c r="I71" s="34">
        <f t="shared" si="2"/>
        <v>8</v>
      </c>
      <c r="J71" s="35">
        <f t="shared" si="3"/>
        <v>18</v>
      </c>
    </row>
    <row r="72" spans="1:10" x14ac:dyDescent="0.25">
      <c r="A72" s="12" t="s">
        <v>121</v>
      </c>
      <c r="B72" s="39">
        <v>14</v>
      </c>
      <c r="C72" s="34">
        <v>15</v>
      </c>
      <c r="D72" s="35">
        <f t="shared" si="0"/>
        <v>29</v>
      </c>
      <c r="E72" s="34">
        <v>21</v>
      </c>
      <c r="F72" s="34">
        <v>48</v>
      </c>
      <c r="G72" s="34">
        <f t="shared" si="1"/>
        <v>69</v>
      </c>
      <c r="H72" s="39">
        <f t="shared" si="2"/>
        <v>35</v>
      </c>
      <c r="I72" s="34">
        <f t="shared" si="2"/>
        <v>63</v>
      </c>
      <c r="J72" s="35">
        <f t="shared" si="3"/>
        <v>98</v>
      </c>
    </row>
    <row r="73" spans="1:10" x14ac:dyDescent="0.25">
      <c r="A73" s="12" t="s">
        <v>122</v>
      </c>
      <c r="B73" s="39">
        <v>0</v>
      </c>
      <c r="C73" s="34">
        <v>0</v>
      </c>
      <c r="D73" s="35">
        <f t="shared" si="0"/>
        <v>0</v>
      </c>
      <c r="E73" s="34">
        <v>18</v>
      </c>
      <c r="F73" s="34">
        <v>25</v>
      </c>
      <c r="G73" s="34">
        <f t="shared" si="1"/>
        <v>43</v>
      </c>
      <c r="H73" s="39">
        <f t="shared" si="2"/>
        <v>18</v>
      </c>
      <c r="I73" s="34">
        <f t="shared" si="2"/>
        <v>25</v>
      </c>
      <c r="J73" s="35">
        <f t="shared" si="3"/>
        <v>43</v>
      </c>
    </row>
    <row r="74" spans="1:10" x14ac:dyDescent="0.25">
      <c r="A74" s="12" t="s">
        <v>147</v>
      </c>
      <c r="B74" s="39">
        <v>10</v>
      </c>
      <c r="C74" s="34">
        <v>32</v>
      </c>
      <c r="D74" s="35">
        <f t="shared" si="0"/>
        <v>42</v>
      </c>
      <c r="E74" s="34">
        <v>22</v>
      </c>
      <c r="F74" s="34">
        <v>49</v>
      </c>
      <c r="G74" s="34">
        <f t="shared" si="1"/>
        <v>71</v>
      </c>
      <c r="H74" s="39">
        <f t="shared" si="2"/>
        <v>32</v>
      </c>
      <c r="I74" s="34">
        <f t="shared" si="2"/>
        <v>81</v>
      </c>
      <c r="J74" s="35">
        <f t="shared" si="3"/>
        <v>113</v>
      </c>
    </row>
    <row r="75" spans="1:10" x14ac:dyDescent="0.25">
      <c r="A75" s="12" t="s">
        <v>123</v>
      </c>
      <c r="B75" s="39">
        <v>1</v>
      </c>
      <c r="C75" s="34">
        <v>6</v>
      </c>
      <c r="D75" s="35">
        <f t="shared" si="0"/>
        <v>7</v>
      </c>
      <c r="E75" s="34">
        <v>48</v>
      </c>
      <c r="F75" s="34">
        <v>73</v>
      </c>
      <c r="G75" s="34">
        <f t="shared" si="1"/>
        <v>121</v>
      </c>
      <c r="H75" s="39">
        <f t="shared" si="2"/>
        <v>49</v>
      </c>
      <c r="I75" s="34">
        <f t="shared" si="2"/>
        <v>79</v>
      </c>
      <c r="J75" s="35">
        <f t="shared" si="3"/>
        <v>128</v>
      </c>
    </row>
    <row r="76" spans="1:10" x14ac:dyDescent="0.25">
      <c r="A76" s="12" t="s">
        <v>124</v>
      </c>
      <c r="B76" s="39">
        <v>0</v>
      </c>
      <c r="C76" s="34">
        <v>0</v>
      </c>
      <c r="D76" s="35">
        <f t="shared" si="0"/>
        <v>0</v>
      </c>
      <c r="E76" s="34">
        <v>23</v>
      </c>
      <c r="F76" s="34">
        <v>26</v>
      </c>
      <c r="G76" s="34">
        <f t="shared" si="1"/>
        <v>49</v>
      </c>
      <c r="H76" s="39">
        <f t="shared" si="2"/>
        <v>23</v>
      </c>
      <c r="I76" s="34">
        <f t="shared" si="2"/>
        <v>26</v>
      </c>
      <c r="J76" s="35">
        <f t="shared" si="3"/>
        <v>49</v>
      </c>
    </row>
    <row r="77" spans="1:10" x14ac:dyDescent="0.25">
      <c r="A77" s="12" t="s">
        <v>136</v>
      </c>
      <c r="B77" s="39">
        <v>0</v>
      </c>
      <c r="C77" s="34">
        <v>0</v>
      </c>
      <c r="D77" s="35">
        <f t="shared" si="0"/>
        <v>0</v>
      </c>
      <c r="E77" s="34">
        <v>2</v>
      </c>
      <c r="F77" s="34">
        <v>0</v>
      </c>
      <c r="G77" s="34">
        <f t="shared" si="1"/>
        <v>2</v>
      </c>
      <c r="H77" s="39">
        <f t="shared" si="2"/>
        <v>2</v>
      </c>
      <c r="I77" s="34">
        <f t="shared" si="2"/>
        <v>0</v>
      </c>
      <c r="J77" s="35">
        <f t="shared" si="3"/>
        <v>2</v>
      </c>
    </row>
    <row r="78" spans="1:10" x14ac:dyDescent="0.25">
      <c r="A78" s="12" t="s">
        <v>86</v>
      </c>
      <c r="B78" s="39">
        <v>0</v>
      </c>
      <c r="C78" s="34">
        <v>0</v>
      </c>
      <c r="D78" s="35">
        <f t="shared" si="0"/>
        <v>0</v>
      </c>
      <c r="E78" s="34">
        <v>55</v>
      </c>
      <c r="F78" s="34">
        <v>61</v>
      </c>
      <c r="G78" s="34">
        <f t="shared" si="1"/>
        <v>116</v>
      </c>
      <c r="H78" s="39">
        <f t="shared" si="2"/>
        <v>55</v>
      </c>
      <c r="I78" s="34">
        <f t="shared" si="2"/>
        <v>61</v>
      </c>
      <c r="J78" s="35">
        <f t="shared" si="3"/>
        <v>116</v>
      </c>
    </row>
    <row r="79" spans="1:10" x14ac:dyDescent="0.25">
      <c r="A79" s="12" t="s">
        <v>125</v>
      </c>
      <c r="B79" s="39">
        <v>0</v>
      </c>
      <c r="C79" s="34">
        <v>0</v>
      </c>
      <c r="D79" s="35">
        <f t="shared" si="0"/>
        <v>0</v>
      </c>
      <c r="E79" s="34">
        <v>1</v>
      </c>
      <c r="F79" s="34">
        <v>1</v>
      </c>
      <c r="G79" s="34">
        <f t="shared" si="1"/>
        <v>2</v>
      </c>
      <c r="H79" s="39">
        <f t="shared" si="2"/>
        <v>1</v>
      </c>
      <c r="I79" s="34">
        <f t="shared" si="2"/>
        <v>1</v>
      </c>
      <c r="J79" s="35">
        <f t="shared" si="3"/>
        <v>2</v>
      </c>
    </row>
    <row r="80" spans="1:10" x14ac:dyDescent="0.25">
      <c r="A80" s="12" t="s">
        <v>126</v>
      </c>
      <c r="B80" s="39">
        <v>0</v>
      </c>
      <c r="C80" s="34">
        <v>0</v>
      </c>
      <c r="D80" s="35">
        <f t="shared" si="0"/>
        <v>0</v>
      </c>
      <c r="E80" s="34">
        <v>12</v>
      </c>
      <c r="F80" s="34">
        <v>19</v>
      </c>
      <c r="G80" s="34">
        <f t="shared" si="1"/>
        <v>31</v>
      </c>
      <c r="H80" s="39">
        <f t="shared" si="2"/>
        <v>12</v>
      </c>
      <c r="I80" s="34">
        <f t="shared" si="2"/>
        <v>19</v>
      </c>
      <c r="J80" s="35">
        <f t="shared" si="3"/>
        <v>31</v>
      </c>
    </row>
    <row r="81" spans="1:10" x14ac:dyDescent="0.25">
      <c r="A81" s="12" t="s">
        <v>127</v>
      </c>
      <c r="B81" s="39">
        <v>0</v>
      </c>
      <c r="C81" s="34">
        <v>0</v>
      </c>
      <c r="D81" s="35">
        <f t="shared" si="0"/>
        <v>0</v>
      </c>
      <c r="E81" s="34">
        <v>10</v>
      </c>
      <c r="F81" s="34">
        <v>13</v>
      </c>
      <c r="G81" s="34">
        <f t="shared" si="1"/>
        <v>23</v>
      </c>
      <c r="H81" s="39">
        <f t="shared" si="2"/>
        <v>10</v>
      </c>
      <c r="I81" s="34">
        <f t="shared" si="2"/>
        <v>13</v>
      </c>
      <c r="J81" s="35">
        <f t="shared" si="3"/>
        <v>23</v>
      </c>
    </row>
    <row r="82" spans="1:10" x14ac:dyDescent="0.25">
      <c r="A82" s="12" t="s">
        <v>87</v>
      </c>
      <c r="B82" s="39">
        <v>0</v>
      </c>
      <c r="C82" s="34">
        <v>0</v>
      </c>
      <c r="D82" s="35">
        <f t="shared" si="0"/>
        <v>0</v>
      </c>
      <c r="E82" s="34">
        <v>23</v>
      </c>
      <c r="F82" s="34">
        <v>18</v>
      </c>
      <c r="G82" s="34">
        <f t="shared" si="1"/>
        <v>41</v>
      </c>
      <c r="H82" s="39">
        <f t="shared" si="2"/>
        <v>23</v>
      </c>
      <c r="I82" s="34">
        <f t="shared" si="2"/>
        <v>18</v>
      </c>
      <c r="J82" s="35">
        <f t="shared" si="3"/>
        <v>41</v>
      </c>
    </row>
    <row r="83" spans="1:10" x14ac:dyDescent="0.25">
      <c r="A83" s="12" t="s">
        <v>148</v>
      </c>
      <c r="B83" s="39">
        <v>14</v>
      </c>
      <c r="C83" s="34">
        <v>5</v>
      </c>
      <c r="D83" s="35">
        <f t="shared" si="0"/>
        <v>19</v>
      </c>
      <c r="E83" s="34">
        <v>21</v>
      </c>
      <c r="F83" s="34">
        <v>10</v>
      </c>
      <c r="G83" s="34">
        <f t="shared" si="1"/>
        <v>31</v>
      </c>
      <c r="H83" s="39">
        <f t="shared" si="2"/>
        <v>35</v>
      </c>
      <c r="I83" s="34">
        <f t="shared" si="2"/>
        <v>15</v>
      </c>
      <c r="J83" s="35">
        <f t="shared" si="3"/>
        <v>50</v>
      </c>
    </row>
    <row r="84" spans="1:10" x14ac:dyDescent="0.25">
      <c r="A84" s="12" t="s">
        <v>143</v>
      </c>
      <c r="B84" s="39">
        <v>0</v>
      </c>
      <c r="C84" s="34">
        <v>0</v>
      </c>
      <c r="D84" s="35">
        <f t="shared" si="0"/>
        <v>0</v>
      </c>
      <c r="E84" s="34">
        <v>4</v>
      </c>
      <c r="F84" s="34">
        <v>5</v>
      </c>
      <c r="G84" s="34">
        <f t="shared" si="1"/>
        <v>9</v>
      </c>
      <c r="H84" s="39">
        <f t="shared" si="2"/>
        <v>4</v>
      </c>
      <c r="I84" s="34">
        <f t="shared" si="2"/>
        <v>5</v>
      </c>
      <c r="J84" s="35">
        <f t="shared" si="3"/>
        <v>9</v>
      </c>
    </row>
    <row r="85" spans="1:10" x14ac:dyDescent="0.25">
      <c r="A85" s="12" t="s">
        <v>129</v>
      </c>
      <c r="B85" s="39">
        <v>0</v>
      </c>
      <c r="C85" s="34">
        <v>0</v>
      </c>
      <c r="D85" s="35">
        <f t="shared" si="0"/>
        <v>0</v>
      </c>
      <c r="E85" s="34">
        <v>1</v>
      </c>
      <c r="F85" s="34">
        <v>4</v>
      </c>
      <c r="G85" s="34">
        <f t="shared" si="1"/>
        <v>5</v>
      </c>
      <c r="H85" s="39">
        <f t="shared" si="2"/>
        <v>1</v>
      </c>
      <c r="I85" s="34">
        <f t="shared" si="2"/>
        <v>4</v>
      </c>
      <c r="J85" s="35">
        <f t="shared" si="3"/>
        <v>5</v>
      </c>
    </row>
    <row r="86" spans="1:10" x14ac:dyDescent="0.25">
      <c r="A86" s="12" t="s">
        <v>144</v>
      </c>
      <c r="B86" s="39">
        <v>9</v>
      </c>
      <c r="C86" s="34">
        <v>36</v>
      </c>
      <c r="D86" s="35">
        <f t="shared" si="0"/>
        <v>45</v>
      </c>
      <c r="E86" s="34">
        <v>0</v>
      </c>
      <c r="F86" s="34">
        <v>0</v>
      </c>
      <c r="G86" s="34">
        <f t="shared" si="1"/>
        <v>0</v>
      </c>
      <c r="H86" s="39">
        <f t="shared" si="2"/>
        <v>9</v>
      </c>
      <c r="I86" s="34">
        <f t="shared" si="2"/>
        <v>36</v>
      </c>
      <c r="J86" s="35">
        <f t="shared" si="3"/>
        <v>45</v>
      </c>
    </row>
    <row r="87" spans="1:10" x14ac:dyDescent="0.25">
      <c r="A87" s="12" t="s">
        <v>130</v>
      </c>
      <c r="B87" s="39">
        <v>6</v>
      </c>
      <c r="C87" s="34">
        <v>13</v>
      </c>
      <c r="D87" s="35">
        <f t="shared" si="0"/>
        <v>19</v>
      </c>
      <c r="E87" s="34">
        <v>12</v>
      </c>
      <c r="F87" s="34">
        <v>37</v>
      </c>
      <c r="G87" s="34">
        <f t="shared" si="1"/>
        <v>49</v>
      </c>
      <c r="H87" s="39">
        <f t="shared" si="2"/>
        <v>18</v>
      </c>
      <c r="I87" s="34">
        <f t="shared" si="2"/>
        <v>50</v>
      </c>
      <c r="J87" s="35">
        <f t="shared" si="3"/>
        <v>68</v>
      </c>
    </row>
    <row r="88" spans="1:10" x14ac:dyDescent="0.25">
      <c r="A88" s="12" t="s">
        <v>131</v>
      </c>
      <c r="B88" s="39">
        <v>1</v>
      </c>
      <c r="C88" s="34">
        <v>0</v>
      </c>
      <c r="D88" s="35">
        <f t="shared" si="0"/>
        <v>1</v>
      </c>
      <c r="E88" s="34">
        <v>40</v>
      </c>
      <c r="F88" s="34">
        <v>10</v>
      </c>
      <c r="G88" s="34">
        <f t="shared" si="1"/>
        <v>50</v>
      </c>
      <c r="H88" s="39">
        <f t="shared" si="2"/>
        <v>41</v>
      </c>
      <c r="I88" s="34">
        <f t="shared" si="2"/>
        <v>10</v>
      </c>
      <c r="J88" s="35">
        <f t="shared" si="3"/>
        <v>51</v>
      </c>
    </row>
    <row r="89" spans="1:10" ht="15.75" thickBot="1" x14ac:dyDescent="0.3">
      <c r="A89" s="13" t="s">
        <v>149</v>
      </c>
      <c r="B89" s="43">
        <v>0</v>
      </c>
      <c r="C89" s="44">
        <v>0</v>
      </c>
      <c r="D89" s="45">
        <v>0</v>
      </c>
      <c r="E89" s="44">
        <v>51</v>
      </c>
      <c r="F89" s="44">
        <v>7</v>
      </c>
      <c r="G89" s="44">
        <v>58</v>
      </c>
      <c r="H89" s="43">
        <v>51</v>
      </c>
      <c r="I89" s="44">
        <v>7</v>
      </c>
      <c r="J89" s="45">
        <v>58</v>
      </c>
    </row>
    <row r="90" spans="1:10" ht="16.5" thickTop="1" thickBot="1" x14ac:dyDescent="0.3">
      <c r="A90" s="8" t="s">
        <v>0</v>
      </c>
      <c r="B90" s="8">
        <f>SUM(B7:B89)</f>
        <v>5708</v>
      </c>
      <c r="C90" s="36">
        <f>SUM(C7:C89)</f>
        <v>6433</v>
      </c>
      <c r="D90" s="40">
        <f>SUM(D7:D89)</f>
        <v>12141</v>
      </c>
      <c r="E90" s="36">
        <f>SUM(E7:E89)</f>
        <v>3554</v>
      </c>
      <c r="F90" s="36">
        <f>SUM(F7:F89)</f>
        <v>3719</v>
      </c>
      <c r="G90" s="37">
        <f t="shared" ref="G90" si="4">SUM(E90:F90)</f>
        <v>7273</v>
      </c>
      <c r="H90" s="41">
        <f t="shared" ref="H90:I90" si="5">B90+E90</f>
        <v>9262</v>
      </c>
      <c r="I90" s="37">
        <f t="shared" si="5"/>
        <v>10152</v>
      </c>
      <c r="J90" s="38">
        <f t="shared" ref="J90" si="6">SUM(H90:I90)</f>
        <v>19414</v>
      </c>
    </row>
    <row r="91" spans="1:10" ht="15.75" thickBot="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x14ac:dyDescent="0.25">
      <c r="A92" s="16" t="s">
        <v>16</v>
      </c>
      <c r="B92" s="58" t="s">
        <v>3</v>
      </c>
      <c r="C92" s="59"/>
      <c r="D92" s="60"/>
      <c r="E92" s="58" t="s">
        <v>4</v>
      </c>
      <c r="F92" s="59"/>
      <c r="G92" s="60"/>
      <c r="H92" s="58" t="s">
        <v>0</v>
      </c>
      <c r="I92" s="59"/>
      <c r="J92" s="60"/>
    </row>
    <row r="93" spans="1:10" x14ac:dyDescent="0.25">
      <c r="A93" s="17"/>
      <c r="B93" s="32" t="s">
        <v>5</v>
      </c>
      <c r="C93" s="31" t="s">
        <v>6</v>
      </c>
      <c r="D93" s="33" t="s">
        <v>0</v>
      </c>
      <c r="E93" s="32" t="s">
        <v>5</v>
      </c>
      <c r="F93" s="31" t="s">
        <v>6</v>
      </c>
      <c r="G93" s="33" t="s">
        <v>0</v>
      </c>
      <c r="H93" s="32" t="s">
        <v>5</v>
      </c>
      <c r="I93" s="31" t="s">
        <v>6</v>
      </c>
      <c r="J93" s="30" t="s">
        <v>0</v>
      </c>
    </row>
    <row r="94" spans="1:10" x14ac:dyDescent="0.25">
      <c r="A94" s="29" t="s">
        <v>15</v>
      </c>
      <c r="B94" s="6">
        <v>705</v>
      </c>
      <c r="C94" s="4">
        <v>1264</v>
      </c>
      <c r="D94" s="5">
        <f t="shared" ref="D94:D102" si="7">B94+C94</f>
        <v>1969</v>
      </c>
      <c r="E94" s="6">
        <v>260</v>
      </c>
      <c r="F94" s="4">
        <v>432</v>
      </c>
      <c r="G94" s="4">
        <f t="shared" ref="G94:G102" si="8">E94+F94</f>
        <v>692</v>
      </c>
      <c r="H94" s="6">
        <f>B94+E94</f>
        <v>965</v>
      </c>
      <c r="I94" s="4">
        <f>C94+F94</f>
        <v>1696</v>
      </c>
      <c r="J94" s="7">
        <f t="shared" ref="J94:J102" si="9">H94+I94</f>
        <v>2661</v>
      </c>
    </row>
    <row r="95" spans="1:10" x14ac:dyDescent="0.25">
      <c r="A95" s="29" t="s">
        <v>14</v>
      </c>
      <c r="B95" s="6">
        <v>236</v>
      </c>
      <c r="C95" s="4">
        <v>213</v>
      </c>
      <c r="D95" s="5">
        <f t="shared" si="7"/>
        <v>449</v>
      </c>
      <c r="E95" s="6">
        <v>508</v>
      </c>
      <c r="F95" s="4">
        <v>402</v>
      </c>
      <c r="G95" s="4">
        <f t="shared" si="8"/>
        <v>910</v>
      </c>
      <c r="H95" s="6">
        <f t="shared" ref="H95:I102" si="10">B95+E95</f>
        <v>744</v>
      </c>
      <c r="I95" s="4">
        <f t="shared" si="10"/>
        <v>615</v>
      </c>
      <c r="J95" s="7">
        <f t="shared" si="9"/>
        <v>1359</v>
      </c>
    </row>
    <row r="96" spans="1:10" x14ac:dyDescent="0.25">
      <c r="A96" s="29" t="s">
        <v>13</v>
      </c>
      <c r="B96" s="6">
        <v>543</v>
      </c>
      <c r="C96" s="4">
        <v>727</v>
      </c>
      <c r="D96" s="5">
        <f t="shared" si="7"/>
        <v>1270</v>
      </c>
      <c r="E96" s="6">
        <v>532</v>
      </c>
      <c r="F96" s="4">
        <v>653</v>
      </c>
      <c r="G96" s="4">
        <f t="shared" si="8"/>
        <v>1185</v>
      </c>
      <c r="H96" s="6">
        <f t="shared" si="10"/>
        <v>1075</v>
      </c>
      <c r="I96" s="4">
        <f t="shared" si="10"/>
        <v>1380</v>
      </c>
      <c r="J96" s="7">
        <f t="shared" si="9"/>
        <v>2455</v>
      </c>
    </row>
    <row r="97" spans="1:10" x14ac:dyDescent="0.25">
      <c r="A97" s="29" t="s">
        <v>81</v>
      </c>
      <c r="B97" s="6">
        <v>0</v>
      </c>
      <c r="C97" s="4">
        <v>0</v>
      </c>
      <c r="D97" s="5">
        <f t="shared" si="7"/>
        <v>0</v>
      </c>
      <c r="E97" s="6">
        <v>165</v>
      </c>
      <c r="F97" s="4">
        <v>144</v>
      </c>
      <c r="G97" s="4">
        <f t="shared" si="8"/>
        <v>309</v>
      </c>
      <c r="H97" s="6">
        <f t="shared" si="10"/>
        <v>165</v>
      </c>
      <c r="I97" s="4">
        <f t="shared" si="10"/>
        <v>144</v>
      </c>
      <c r="J97" s="7">
        <f t="shared" si="9"/>
        <v>309</v>
      </c>
    </row>
    <row r="98" spans="1:10" x14ac:dyDescent="0.25">
      <c r="A98" s="29" t="s">
        <v>91</v>
      </c>
      <c r="B98" s="6">
        <v>994</v>
      </c>
      <c r="C98" s="4">
        <v>270</v>
      </c>
      <c r="D98" s="5">
        <f t="shared" si="7"/>
        <v>1264</v>
      </c>
      <c r="E98" s="6">
        <v>792</v>
      </c>
      <c r="F98" s="4">
        <v>231</v>
      </c>
      <c r="G98" s="4">
        <f t="shared" si="8"/>
        <v>1023</v>
      </c>
      <c r="H98" s="6">
        <f t="shared" si="10"/>
        <v>1786</v>
      </c>
      <c r="I98" s="4">
        <f t="shared" si="10"/>
        <v>501</v>
      </c>
      <c r="J98" s="7">
        <f t="shared" si="9"/>
        <v>2287</v>
      </c>
    </row>
    <row r="99" spans="1:10" x14ac:dyDescent="0.25">
      <c r="A99" s="29" t="s">
        <v>1</v>
      </c>
      <c r="B99" s="6">
        <v>229</v>
      </c>
      <c r="C99" s="4">
        <v>347</v>
      </c>
      <c r="D99" s="5">
        <f t="shared" ref="D99:D101" si="11">B99+C99</f>
        <v>576</v>
      </c>
      <c r="E99" s="6">
        <v>195</v>
      </c>
      <c r="F99" s="4">
        <v>242</v>
      </c>
      <c r="G99" s="4">
        <f t="shared" ref="G99:G101" si="12">E99+F99</f>
        <v>437</v>
      </c>
      <c r="H99" s="6">
        <f t="shared" ref="H99:H101" si="13">B99+E99</f>
        <v>424</v>
      </c>
      <c r="I99" s="4">
        <f t="shared" ref="I99:I101" si="14">C99+F99</f>
        <v>589</v>
      </c>
      <c r="J99" s="7">
        <f t="shared" ref="J99:J101" si="15">H99+I99</f>
        <v>1013</v>
      </c>
    </row>
    <row r="100" spans="1:10" x14ac:dyDescent="0.25">
      <c r="A100" s="29" t="s">
        <v>11</v>
      </c>
      <c r="B100" s="6">
        <v>796</v>
      </c>
      <c r="C100" s="4">
        <v>1686</v>
      </c>
      <c r="D100" s="5">
        <f t="shared" si="11"/>
        <v>2482</v>
      </c>
      <c r="E100" s="6">
        <v>356</v>
      </c>
      <c r="F100" s="4">
        <v>670</v>
      </c>
      <c r="G100" s="4">
        <f t="shared" si="12"/>
        <v>1026</v>
      </c>
      <c r="H100" s="6">
        <f t="shared" si="13"/>
        <v>1152</v>
      </c>
      <c r="I100" s="4">
        <f t="shared" si="14"/>
        <v>2356</v>
      </c>
      <c r="J100" s="7">
        <f t="shared" si="15"/>
        <v>3508</v>
      </c>
    </row>
    <row r="101" spans="1:10" x14ac:dyDescent="0.25">
      <c r="A101" s="29" t="s">
        <v>10</v>
      </c>
      <c r="B101" s="6">
        <v>1070</v>
      </c>
      <c r="C101" s="4">
        <v>695</v>
      </c>
      <c r="D101" s="5">
        <f t="shared" si="11"/>
        <v>1765</v>
      </c>
      <c r="E101" s="6">
        <v>235</v>
      </c>
      <c r="F101" s="4">
        <v>145</v>
      </c>
      <c r="G101" s="4">
        <f t="shared" si="12"/>
        <v>380</v>
      </c>
      <c r="H101" s="6">
        <f t="shared" si="13"/>
        <v>1305</v>
      </c>
      <c r="I101" s="4">
        <f t="shared" si="14"/>
        <v>840</v>
      </c>
      <c r="J101" s="7">
        <f t="shared" si="15"/>
        <v>2145</v>
      </c>
    </row>
    <row r="102" spans="1:10" ht="15.75" thickBot="1" x14ac:dyDescent="0.3">
      <c r="A102" s="28" t="s">
        <v>9</v>
      </c>
      <c r="B102" s="10">
        <v>1135</v>
      </c>
      <c r="C102" s="11">
        <v>1231</v>
      </c>
      <c r="D102" s="54">
        <f t="shared" si="7"/>
        <v>2366</v>
      </c>
      <c r="E102" s="10">
        <v>511</v>
      </c>
      <c r="F102" s="11">
        <v>800</v>
      </c>
      <c r="G102" s="11">
        <f t="shared" si="8"/>
        <v>1311</v>
      </c>
      <c r="H102" s="10">
        <f t="shared" si="10"/>
        <v>1646</v>
      </c>
      <c r="I102" s="11">
        <f t="shared" si="10"/>
        <v>2031</v>
      </c>
      <c r="J102" s="14">
        <f t="shared" si="9"/>
        <v>3677</v>
      </c>
    </row>
    <row r="103" spans="1:10" ht="16.5" thickTop="1" thickBot="1" x14ac:dyDescent="0.3">
      <c r="A103" s="9" t="s">
        <v>0</v>
      </c>
      <c r="B103" s="8">
        <f t="shared" ref="B103:J103" si="16">SUM(B94:B102)</f>
        <v>5708</v>
      </c>
      <c r="C103" s="8">
        <f t="shared" si="16"/>
        <v>6433</v>
      </c>
      <c r="D103" s="8">
        <f t="shared" si="16"/>
        <v>12141</v>
      </c>
      <c r="E103" s="8">
        <f t="shared" si="16"/>
        <v>3554</v>
      </c>
      <c r="F103" s="8">
        <f t="shared" si="16"/>
        <v>3719</v>
      </c>
      <c r="G103" s="8">
        <f t="shared" si="16"/>
        <v>7273</v>
      </c>
      <c r="H103" s="8">
        <f t="shared" si="16"/>
        <v>9262</v>
      </c>
      <c r="I103" s="8">
        <f t="shared" si="16"/>
        <v>10152</v>
      </c>
      <c r="J103" s="9">
        <f t="shared" si="16"/>
        <v>19414</v>
      </c>
    </row>
    <row r="104" spans="1:10" ht="15.75" thickBo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10" x14ac:dyDescent="0.25">
      <c r="A105" s="12" t="s">
        <v>15</v>
      </c>
      <c r="B105" s="24">
        <f>B94/D94</f>
        <v>0.3580497714575927</v>
      </c>
      <c r="C105" s="23">
        <f>C94/D94</f>
        <v>0.64195022854240735</v>
      </c>
      <c r="D105" s="5"/>
      <c r="E105" s="24">
        <f>E94/G94</f>
        <v>0.37572254335260113</v>
      </c>
      <c r="F105" s="23">
        <f>F94/G94</f>
        <v>0.62427745664739887</v>
      </c>
      <c r="G105" s="4"/>
      <c r="H105" s="24">
        <f>H94/J94</f>
        <v>0.36264562194663658</v>
      </c>
      <c r="I105" s="23">
        <f>I94/J94</f>
        <v>0.63735437805336337</v>
      </c>
      <c r="J105" s="7"/>
    </row>
    <row r="106" spans="1:10" x14ac:dyDescent="0.25">
      <c r="A106" s="12" t="s">
        <v>14</v>
      </c>
      <c r="B106" s="24">
        <f>B95/D95</f>
        <v>0.52561247216035634</v>
      </c>
      <c r="C106" s="23">
        <f>C95/D95</f>
        <v>0.47438752783964366</v>
      </c>
      <c r="D106" s="5"/>
      <c r="E106" s="24">
        <f>E95/G95</f>
        <v>0.55824175824175826</v>
      </c>
      <c r="F106" s="23">
        <f>F95/G95</f>
        <v>0.44175824175824174</v>
      </c>
      <c r="G106" s="4"/>
      <c r="H106" s="24">
        <f>H95/J95</f>
        <v>0.54746136865342165</v>
      </c>
      <c r="I106" s="23">
        <f>I95/J95</f>
        <v>0.45253863134657835</v>
      </c>
      <c r="J106" s="7"/>
    </row>
    <row r="107" spans="1:10" x14ac:dyDescent="0.25">
      <c r="A107" s="12" t="s">
        <v>13</v>
      </c>
      <c r="B107" s="24">
        <f>B96/D96</f>
        <v>0.42755905511811021</v>
      </c>
      <c r="C107" s="23">
        <f t="shared" ref="C107:C111" si="17">C96/D96</f>
        <v>0.57244094488188979</v>
      </c>
      <c r="D107" s="5"/>
      <c r="E107" s="24">
        <f>E96/G96</f>
        <v>0.44894514767932492</v>
      </c>
      <c r="F107" s="23">
        <f>F96/G96</f>
        <v>0.55105485232067508</v>
      </c>
      <c r="G107" s="4"/>
      <c r="H107" s="24">
        <f>H96/J96</f>
        <v>0.43788187372708759</v>
      </c>
      <c r="I107" s="23">
        <f>I96/J96</f>
        <v>0.56211812627291247</v>
      </c>
      <c r="J107" s="7"/>
    </row>
    <row r="108" spans="1:10" x14ac:dyDescent="0.25">
      <c r="A108" s="12" t="s">
        <v>81</v>
      </c>
      <c r="B108" s="24">
        <v>0</v>
      </c>
      <c r="C108" s="23">
        <v>0</v>
      </c>
      <c r="D108" s="5"/>
      <c r="E108" s="24">
        <f t="shared" ref="E108:E109" si="18">E97/G97</f>
        <v>0.53398058252427183</v>
      </c>
      <c r="F108" s="23">
        <f t="shared" ref="F108:F109" si="19">F97/G97</f>
        <v>0.46601941747572817</v>
      </c>
      <c r="G108" s="4"/>
      <c r="H108" s="24">
        <f t="shared" ref="H108:H109" si="20">H97/J97</f>
        <v>0.53398058252427183</v>
      </c>
      <c r="I108" s="23">
        <f t="shared" ref="I108:I109" si="21">I97/J97</f>
        <v>0.46601941747572817</v>
      </c>
      <c r="J108" s="7"/>
    </row>
    <row r="109" spans="1:10" x14ac:dyDescent="0.25">
      <c r="A109" s="12" t="s">
        <v>91</v>
      </c>
      <c r="B109" s="24">
        <f t="shared" ref="B109:B111" si="22">B98/D98</f>
        <v>0.78639240506329111</v>
      </c>
      <c r="C109" s="23">
        <f t="shared" si="17"/>
        <v>0.21360759493670886</v>
      </c>
      <c r="D109" s="5"/>
      <c r="E109" s="24">
        <f t="shared" si="18"/>
        <v>0.77419354838709675</v>
      </c>
      <c r="F109" s="23">
        <f t="shared" si="19"/>
        <v>0.22580645161290322</v>
      </c>
      <c r="G109" s="4"/>
      <c r="H109" s="24">
        <f t="shared" si="20"/>
        <v>0.78093572365544384</v>
      </c>
      <c r="I109" s="23">
        <f t="shared" si="21"/>
        <v>0.21906427634455619</v>
      </c>
      <c r="J109" s="7"/>
    </row>
    <row r="110" spans="1:10" x14ac:dyDescent="0.25">
      <c r="A110" s="12" t="s">
        <v>1</v>
      </c>
      <c r="B110" s="24">
        <f t="shared" si="22"/>
        <v>0.39756944444444442</v>
      </c>
      <c r="C110" s="23">
        <f t="shared" si="17"/>
        <v>0.60243055555555558</v>
      </c>
      <c r="D110" s="5"/>
      <c r="E110" s="24">
        <f t="shared" ref="E110:E111" si="23">E97/G97</f>
        <v>0.53398058252427183</v>
      </c>
      <c r="F110" s="23">
        <f t="shared" ref="F110:F111" si="24">F97/G97</f>
        <v>0.46601941747572817</v>
      </c>
      <c r="G110" s="4"/>
      <c r="H110" s="24">
        <f t="shared" ref="H110:H111" si="25">H97/J97</f>
        <v>0.53398058252427183</v>
      </c>
      <c r="I110" s="23">
        <f t="shared" ref="I110:I111" si="26">I97/J97</f>
        <v>0.46601941747572817</v>
      </c>
      <c r="J110" s="7"/>
    </row>
    <row r="111" spans="1:10" x14ac:dyDescent="0.25">
      <c r="A111" s="12" t="s">
        <v>11</v>
      </c>
      <c r="B111" s="24">
        <f t="shared" si="22"/>
        <v>0.32070910556003224</v>
      </c>
      <c r="C111" s="23">
        <f t="shared" si="17"/>
        <v>0.67929089443996782</v>
      </c>
      <c r="D111" s="5"/>
      <c r="E111" s="24">
        <f t="shared" si="23"/>
        <v>0.77419354838709675</v>
      </c>
      <c r="F111" s="23">
        <f t="shared" si="24"/>
        <v>0.22580645161290322</v>
      </c>
      <c r="G111" s="4"/>
      <c r="H111" s="24">
        <f t="shared" si="25"/>
        <v>0.78093572365544384</v>
      </c>
      <c r="I111" s="23">
        <f t="shared" si="26"/>
        <v>0.21906427634455619</v>
      </c>
      <c r="J111" s="7"/>
    </row>
    <row r="112" spans="1:10" x14ac:dyDescent="0.25">
      <c r="A112" s="12" t="s">
        <v>10</v>
      </c>
      <c r="B112" s="24">
        <f>B101/D101</f>
        <v>0.60623229461756378</v>
      </c>
      <c r="C112" s="23">
        <f>C101/D101</f>
        <v>0.39376770538243627</v>
      </c>
      <c r="D112" s="5"/>
      <c r="E112" s="24">
        <f>E101/G101</f>
        <v>0.61842105263157898</v>
      </c>
      <c r="F112" s="23">
        <f>F101/G101</f>
        <v>0.38157894736842107</v>
      </c>
      <c r="G112" s="4"/>
      <c r="H112" s="24">
        <f>H101/J101</f>
        <v>0.60839160839160844</v>
      </c>
      <c r="I112" s="23">
        <f>I101/J101</f>
        <v>0.39160839160839161</v>
      </c>
      <c r="J112" s="7"/>
    </row>
    <row r="113" spans="1:10" ht="15.75" thickBot="1" x14ac:dyDescent="0.3">
      <c r="A113" s="13" t="s">
        <v>9</v>
      </c>
      <c r="B113" s="22">
        <f>B102/D102</f>
        <v>0.47971259509721048</v>
      </c>
      <c r="C113" s="21">
        <f>C102/D102</f>
        <v>0.52028740490278946</v>
      </c>
      <c r="D113" s="54"/>
      <c r="E113" s="22">
        <f>E102/G102</f>
        <v>0.38977879481311978</v>
      </c>
      <c r="F113" s="21">
        <f>F102/G102</f>
        <v>0.61022120518688028</v>
      </c>
      <c r="G113" s="11"/>
      <c r="H113" s="22">
        <f>H102/J102</f>
        <v>0.44764753875441937</v>
      </c>
      <c r="I113" s="21">
        <f>I102/J102</f>
        <v>0.55235246124558068</v>
      </c>
      <c r="J113" s="14"/>
    </row>
    <row r="114" spans="1:10" ht="16.5" thickTop="1" thickBot="1" x14ac:dyDescent="0.3">
      <c r="A114" s="8" t="s">
        <v>0</v>
      </c>
      <c r="B114" s="19">
        <f>B103/D103</f>
        <v>0.47014249238118772</v>
      </c>
      <c r="C114" s="19">
        <f>C103/D103</f>
        <v>0.52985750761881234</v>
      </c>
      <c r="D114" s="8"/>
      <c r="E114" s="19">
        <f>E103/G103</f>
        <v>0.48865667537467344</v>
      </c>
      <c r="F114" s="19">
        <f>F103/G103</f>
        <v>0.5113433246253265</v>
      </c>
      <c r="G114" s="8"/>
      <c r="H114" s="19">
        <f>H103/J103</f>
        <v>0.47707839703306892</v>
      </c>
      <c r="I114" s="19">
        <f>I103/J103</f>
        <v>0.52292160296693113</v>
      </c>
      <c r="J114" s="9"/>
    </row>
  </sheetData>
  <mergeCells count="8">
    <mergeCell ref="B92:D92"/>
    <mergeCell ref="E92:G92"/>
    <mergeCell ref="H92:J92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4"/>
  <sheetViews>
    <sheetView topLeftCell="A79" zoomScale="55" zoomScaleNormal="55" zoomScalePageLayoutView="70" workbookViewId="0">
      <selection activeCell="A91" sqref="A91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2003-04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60</v>
      </c>
      <c r="C7" s="34">
        <v>102</v>
      </c>
      <c r="D7" s="35">
        <f>SUM(B7:C7)</f>
        <v>162</v>
      </c>
      <c r="E7" s="34">
        <v>65</v>
      </c>
      <c r="F7" s="34">
        <v>66</v>
      </c>
      <c r="G7" s="34">
        <f>SUM(E7:F7)</f>
        <v>131</v>
      </c>
      <c r="H7" s="39">
        <f>B7+E7</f>
        <v>125</v>
      </c>
      <c r="I7" s="34">
        <f>C7+F7</f>
        <v>168</v>
      </c>
      <c r="J7" s="35">
        <f>SUM(H7:I7)</f>
        <v>293</v>
      </c>
    </row>
    <row r="8" spans="1:10" x14ac:dyDescent="0.25">
      <c r="A8" s="12" t="s">
        <v>17</v>
      </c>
      <c r="B8" s="39">
        <v>52</v>
      </c>
      <c r="C8" s="34">
        <v>142</v>
      </c>
      <c r="D8" s="35">
        <f t="shared" ref="D8:D89" si="0">SUM(B8:C8)</f>
        <v>194</v>
      </c>
      <c r="E8" s="34">
        <v>43</v>
      </c>
      <c r="F8" s="34">
        <v>87</v>
      </c>
      <c r="G8" s="34">
        <f t="shared" ref="G8:G89" si="1">SUM(E8:F8)</f>
        <v>130</v>
      </c>
      <c r="H8" s="39">
        <f t="shared" ref="H8:I89" si="2">B8+E8</f>
        <v>95</v>
      </c>
      <c r="I8" s="34">
        <f t="shared" si="2"/>
        <v>229</v>
      </c>
      <c r="J8" s="35">
        <f t="shared" ref="J8:J89" si="3">SUM(H8:I8)</f>
        <v>324</v>
      </c>
    </row>
    <row r="9" spans="1:10" x14ac:dyDescent="0.25">
      <c r="A9" s="12" t="s">
        <v>18</v>
      </c>
      <c r="B9" s="39">
        <v>97</v>
      </c>
      <c r="C9" s="34">
        <v>146</v>
      </c>
      <c r="D9" s="35">
        <f t="shared" si="0"/>
        <v>243</v>
      </c>
      <c r="E9" s="34">
        <v>94</v>
      </c>
      <c r="F9" s="34">
        <v>214</v>
      </c>
      <c r="G9" s="34">
        <f t="shared" si="1"/>
        <v>308</v>
      </c>
      <c r="H9" s="39">
        <f t="shared" si="2"/>
        <v>191</v>
      </c>
      <c r="I9" s="34">
        <f t="shared" si="2"/>
        <v>360</v>
      </c>
      <c r="J9" s="35">
        <f t="shared" si="3"/>
        <v>551</v>
      </c>
    </row>
    <row r="10" spans="1:10" x14ac:dyDescent="0.25">
      <c r="A10" s="12" t="s">
        <v>19</v>
      </c>
      <c r="B10" s="39">
        <v>224</v>
      </c>
      <c r="C10" s="34">
        <v>198</v>
      </c>
      <c r="D10" s="35">
        <f t="shared" si="0"/>
        <v>422</v>
      </c>
      <c r="E10" s="34">
        <v>423</v>
      </c>
      <c r="F10" s="34">
        <v>318</v>
      </c>
      <c r="G10" s="34">
        <f t="shared" si="1"/>
        <v>741</v>
      </c>
      <c r="H10" s="39">
        <f t="shared" si="2"/>
        <v>647</v>
      </c>
      <c r="I10" s="34">
        <f t="shared" si="2"/>
        <v>516</v>
      </c>
      <c r="J10" s="35">
        <f t="shared" si="3"/>
        <v>1163</v>
      </c>
    </row>
    <row r="11" spans="1:10" x14ac:dyDescent="0.25">
      <c r="A11" s="12" t="s">
        <v>23</v>
      </c>
      <c r="B11" s="39">
        <v>74</v>
      </c>
      <c r="C11" s="34">
        <v>45</v>
      </c>
      <c r="D11" s="35">
        <f t="shared" si="0"/>
        <v>119</v>
      </c>
      <c r="E11" s="34">
        <v>72</v>
      </c>
      <c r="F11" s="34">
        <v>34</v>
      </c>
      <c r="G11" s="34">
        <f t="shared" si="1"/>
        <v>106</v>
      </c>
      <c r="H11" s="39">
        <f t="shared" si="2"/>
        <v>146</v>
      </c>
      <c r="I11" s="34">
        <f t="shared" si="2"/>
        <v>79</v>
      </c>
      <c r="J11" s="35">
        <f t="shared" si="3"/>
        <v>225</v>
      </c>
    </row>
    <row r="12" spans="1:10" x14ac:dyDescent="0.25">
      <c r="A12" s="12" t="s">
        <v>108</v>
      </c>
      <c r="B12" s="39">
        <v>100</v>
      </c>
      <c r="C12" s="34">
        <v>109</v>
      </c>
      <c r="D12" s="35">
        <f t="shared" si="0"/>
        <v>209</v>
      </c>
      <c r="E12" s="34">
        <v>52</v>
      </c>
      <c r="F12" s="34">
        <v>54</v>
      </c>
      <c r="G12" s="34">
        <f t="shared" si="1"/>
        <v>106</v>
      </c>
      <c r="H12" s="39">
        <f t="shared" si="2"/>
        <v>152</v>
      </c>
      <c r="I12" s="34">
        <f t="shared" si="2"/>
        <v>163</v>
      </c>
      <c r="J12" s="35">
        <f t="shared" si="3"/>
        <v>315</v>
      </c>
    </row>
    <row r="13" spans="1:10" x14ac:dyDescent="0.25">
      <c r="A13" s="12" t="s">
        <v>109</v>
      </c>
      <c r="B13" s="39">
        <v>108</v>
      </c>
      <c r="C13" s="34">
        <v>164</v>
      </c>
      <c r="D13" s="35">
        <f t="shared" si="0"/>
        <v>272</v>
      </c>
      <c r="E13" s="34">
        <v>49</v>
      </c>
      <c r="F13" s="34">
        <v>36</v>
      </c>
      <c r="G13" s="34">
        <f t="shared" si="1"/>
        <v>85</v>
      </c>
      <c r="H13" s="39">
        <f t="shared" si="2"/>
        <v>157</v>
      </c>
      <c r="I13" s="34">
        <f t="shared" si="2"/>
        <v>200</v>
      </c>
      <c r="J13" s="35">
        <f t="shared" si="3"/>
        <v>357</v>
      </c>
    </row>
    <row r="14" spans="1:10" x14ac:dyDescent="0.25">
      <c r="A14" s="12" t="s">
        <v>139</v>
      </c>
      <c r="B14" s="39">
        <v>0</v>
      </c>
      <c r="C14" s="34">
        <v>0</v>
      </c>
      <c r="D14" s="35">
        <f t="shared" si="0"/>
        <v>0</v>
      </c>
      <c r="E14" s="34">
        <v>3</v>
      </c>
      <c r="F14" s="34">
        <v>9</v>
      </c>
      <c r="G14" s="34">
        <f t="shared" si="1"/>
        <v>12</v>
      </c>
      <c r="H14" s="39">
        <f t="shared" si="2"/>
        <v>3</v>
      </c>
      <c r="I14" s="34">
        <f t="shared" si="2"/>
        <v>9</v>
      </c>
      <c r="J14" s="35">
        <f t="shared" si="3"/>
        <v>12</v>
      </c>
    </row>
    <row r="15" spans="1:10" x14ac:dyDescent="0.25">
      <c r="A15" s="12" t="s">
        <v>26</v>
      </c>
      <c r="B15" s="39">
        <v>0</v>
      </c>
      <c r="C15" s="34">
        <v>0</v>
      </c>
      <c r="D15" s="35">
        <f t="shared" si="0"/>
        <v>0</v>
      </c>
      <c r="E15" s="34">
        <v>10</v>
      </c>
      <c r="F15" s="34">
        <v>14</v>
      </c>
      <c r="G15" s="34">
        <f t="shared" si="1"/>
        <v>24</v>
      </c>
      <c r="H15" s="39">
        <f t="shared" si="2"/>
        <v>10</v>
      </c>
      <c r="I15" s="34">
        <f t="shared" si="2"/>
        <v>14</v>
      </c>
      <c r="J15" s="35">
        <f t="shared" si="3"/>
        <v>24</v>
      </c>
    </row>
    <row r="16" spans="1:10" x14ac:dyDescent="0.25">
      <c r="A16" s="12" t="s">
        <v>140</v>
      </c>
      <c r="B16" s="39">
        <v>0</v>
      </c>
      <c r="C16" s="34">
        <v>0</v>
      </c>
      <c r="D16" s="35">
        <f t="shared" si="0"/>
        <v>0</v>
      </c>
      <c r="E16" s="34">
        <v>18</v>
      </c>
      <c r="F16" s="34">
        <v>1</v>
      </c>
      <c r="G16" s="34">
        <f t="shared" si="1"/>
        <v>19</v>
      </c>
      <c r="H16" s="39">
        <f t="shared" si="2"/>
        <v>18</v>
      </c>
      <c r="I16" s="34">
        <f t="shared" si="2"/>
        <v>1</v>
      </c>
      <c r="J16" s="35">
        <f t="shared" si="3"/>
        <v>19</v>
      </c>
    </row>
    <row r="17" spans="1:10" x14ac:dyDescent="0.25">
      <c r="A17" s="12" t="s">
        <v>30</v>
      </c>
      <c r="B17" s="39">
        <v>89</v>
      </c>
      <c r="C17" s="34">
        <v>39</v>
      </c>
      <c r="D17" s="35">
        <f t="shared" si="0"/>
        <v>128</v>
      </c>
      <c r="E17" s="34">
        <v>38</v>
      </c>
      <c r="F17" s="34">
        <v>11</v>
      </c>
      <c r="G17" s="34">
        <f t="shared" si="1"/>
        <v>49</v>
      </c>
      <c r="H17" s="39">
        <f t="shared" si="2"/>
        <v>127</v>
      </c>
      <c r="I17" s="34">
        <f t="shared" si="2"/>
        <v>50</v>
      </c>
      <c r="J17" s="35">
        <f t="shared" si="3"/>
        <v>177</v>
      </c>
    </row>
    <row r="18" spans="1:10" x14ac:dyDescent="0.25">
      <c r="A18" s="12" t="s">
        <v>31</v>
      </c>
      <c r="B18" s="39">
        <v>130</v>
      </c>
      <c r="C18" s="34">
        <v>140</v>
      </c>
      <c r="D18" s="35">
        <f t="shared" si="0"/>
        <v>270</v>
      </c>
      <c r="E18" s="34">
        <v>51</v>
      </c>
      <c r="F18" s="34">
        <v>49</v>
      </c>
      <c r="G18" s="34">
        <f t="shared" si="1"/>
        <v>100</v>
      </c>
      <c r="H18" s="39">
        <f t="shared" si="2"/>
        <v>181</v>
      </c>
      <c r="I18" s="34">
        <f t="shared" si="2"/>
        <v>189</v>
      </c>
      <c r="J18" s="35">
        <f t="shared" si="3"/>
        <v>370</v>
      </c>
    </row>
    <row r="19" spans="1:10" x14ac:dyDescent="0.25">
      <c r="A19" s="12" t="s">
        <v>132</v>
      </c>
      <c r="B19" s="39">
        <v>150</v>
      </c>
      <c r="C19" s="34">
        <v>36</v>
      </c>
      <c r="D19" s="35">
        <f t="shared" si="0"/>
        <v>186</v>
      </c>
      <c r="E19" s="34">
        <v>25</v>
      </c>
      <c r="F19" s="34">
        <v>9</v>
      </c>
      <c r="G19" s="34">
        <f t="shared" si="1"/>
        <v>34</v>
      </c>
      <c r="H19" s="39">
        <f t="shared" si="2"/>
        <v>175</v>
      </c>
      <c r="I19" s="34">
        <f t="shared" si="2"/>
        <v>45</v>
      </c>
      <c r="J19" s="35">
        <f t="shared" si="3"/>
        <v>220</v>
      </c>
    </row>
    <row r="20" spans="1:10" x14ac:dyDescent="0.25">
      <c r="A20" s="12" t="s">
        <v>33</v>
      </c>
      <c r="B20" s="39">
        <v>203</v>
      </c>
      <c r="C20" s="34">
        <v>52</v>
      </c>
      <c r="D20" s="35">
        <f t="shared" si="0"/>
        <v>255</v>
      </c>
      <c r="E20" s="34">
        <v>164</v>
      </c>
      <c r="F20" s="34">
        <v>54</v>
      </c>
      <c r="G20" s="34">
        <f t="shared" si="1"/>
        <v>218</v>
      </c>
      <c r="H20" s="39">
        <f t="shared" si="2"/>
        <v>367</v>
      </c>
      <c r="I20" s="34">
        <f t="shared" si="2"/>
        <v>106</v>
      </c>
      <c r="J20" s="35">
        <f t="shared" si="3"/>
        <v>473</v>
      </c>
    </row>
    <row r="21" spans="1:10" x14ac:dyDescent="0.25">
      <c r="A21" s="12" t="s">
        <v>34</v>
      </c>
      <c r="B21" s="39">
        <v>0</v>
      </c>
      <c r="C21" s="34">
        <v>0</v>
      </c>
      <c r="D21" s="35">
        <f t="shared" si="0"/>
        <v>0</v>
      </c>
      <c r="E21" s="34">
        <v>56</v>
      </c>
      <c r="F21" s="34">
        <v>60</v>
      </c>
      <c r="G21" s="34">
        <f t="shared" si="1"/>
        <v>116</v>
      </c>
      <c r="H21" s="39">
        <f t="shared" si="2"/>
        <v>56</v>
      </c>
      <c r="I21" s="34">
        <f t="shared" si="2"/>
        <v>60</v>
      </c>
      <c r="J21" s="35">
        <f t="shared" si="3"/>
        <v>116</v>
      </c>
    </row>
    <row r="22" spans="1:10" x14ac:dyDescent="0.25">
      <c r="A22" s="12" t="s">
        <v>35</v>
      </c>
      <c r="B22" s="39">
        <v>15</v>
      </c>
      <c r="C22" s="34">
        <v>17</v>
      </c>
      <c r="D22" s="35">
        <f t="shared" si="0"/>
        <v>32</v>
      </c>
      <c r="E22" s="34">
        <v>7</v>
      </c>
      <c r="F22" s="34">
        <v>17</v>
      </c>
      <c r="G22" s="34">
        <f t="shared" si="1"/>
        <v>24</v>
      </c>
      <c r="H22" s="39">
        <f t="shared" si="2"/>
        <v>22</v>
      </c>
      <c r="I22" s="34">
        <f t="shared" si="2"/>
        <v>34</v>
      </c>
      <c r="J22" s="35">
        <f t="shared" si="3"/>
        <v>56</v>
      </c>
    </row>
    <row r="23" spans="1:10" x14ac:dyDescent="0.25">
      <c r="A23" s="12" t="s">
        <v>36</v>
      </c>
      <c r="B23" s="39">
        <v>72</v>
      </c>
      <c r="C23" s="34">
        <v>73</v>
      </c>
      <c r="D23" s="35">
        <f t="shared" si="0"/>
        <v>145</v>
      </c>
      <c r="E23" s="34">
        <v>28</v>
      </c>
      <c r="F23" s="34">
        <v>27</v>
      </c>
      <c r="G23" s="34">
        <f t="shared" si="1"/>
        <v>55</v>
      </c>
      <c r="H23" s="39">
        <f t="shared" si="2"/>
        <v>100</v>
      </c>
      <c r="I23" s="34">
        <f t="shared" si="2"/>
        <v>100</v>
      </c>
      <c r="J23" s="35">
        <f t="shared" si="3"/>
        <v>200</v>
      </c>
    </row>
    <row r="24" spans="1:10" x14ac:dyDescent="0.25">
      <c r="A24" s="12" t="s">
        <v>37</v>
      </c>
      <c r="B24" s="39">
        <v>357</v>
      </c>
      <c r="C24" s="34">
        <v>201</v>
      </c>
      <c r="D24" s="35">
        <f t="shared" si="0"/>
        <v>558</v>
      </c>
      <c r="E24" s="34">
        <v>83</v>
      </c>
      <c r="F24" s="34">
        <v>53</v>
      </c>
      <c r="G24" s="34">
        <f t="shared" si="1"/>
        <v>136</v>
      </c>
      <c r="H24" s="39">
        <f t="shared" si="2"/>
        <v>440</v>
      </c>
      <c r="I24" s="34">
        <f t="shared" si="2"/>
        <v>254</v>
      </c>
      <c r="J24" s="35">
        <f t="shared" si="3"/>
        <v>694</v>
      </c>
    </row>
    <row r="25" spans="1:10" x14ac:dyDescent="0.25">
      <c r="A25" s="12" t="s">
        <v>150</v>
      </c>
      <c r="B25" s="39">
        <v>0</v>
      </c>
      <c r="C25" s="34">
        <v>0</v>
      </c>
      <c r="D25" s="35">
        <f t="shared" si="0"/>
        <v>0</v>
      </c>
      <c r="E25" s="34">
        <v>42</v>
      </c>
      <c r="F25" s="34">
        <v>37</v>
      </c>
      <c r="G25" s="34">
        <f t="shared" si="1"/>
        <v>79</v>
      </c>
      <c r="H25" s="39">
        <f t="shared" si="2"/>
        <v>42</v>
      </c>
      <c r="I25" s="34">
        <f t="shared" si="2"/>
        <v>37</v>
      </c>
      <c r="J25" s="35">
        <f t="shared" si="3"/>
        <v>79</v>
      </c>
    </row>
    <row r="26" spans="1:10" x14ac:dyDescent="0.25">
      <c r="A26" s="12" t="s">
        <v>38</v>
      </c>
      <c r="B26" s="39">
        <v>226</v>
      </c>
      <c r="C26" s="34">
        <v>31</v>
      </c>
      <c r="D26" s="35">
        <f t="shared" si="0"/>
        <v>257</v>
      </c>
      <c r="E26" s="34">
        <v>312</v>
      </c>
      <c r="F26" s="34">
        <v>58</v>
      </c>
      <c r="G26" s="34">
        <f t="shared" si="1"/>
        <v>370</v>
      </c>
      <c r="H26" s="39">
        <f t="shared" si="2"/>
        <v>538</v>
      </c>
      <c r="I26" s="34">
        <f t="shared" si="2"/>
        <v>89</v>
      </c>
      <c r="J26" s="35">
        <f t="shared" si="3"/>
        <v>627</v>
      </c>
    </row>
    <row r="27" spans="1:10" x14ac:dyDescent="0.25">
      <c r="A27" s="12" t="s">
        <v>41</v>
      </c>
      <c r="B27" s="39">
        <v>83</v>
      </c>
      <c r="C27" s="34">
        <v>178</v>
      </c>
      <c r="D27" s="35">
        <f t="shared" si="0"/>
        <v>261</v>
      </c>
      <c r="E27" s="34">
        <v>18</v>
      </c>
      <c r="F27" s="34">
        <v>35</v>
      </c>
      <c r="G27" s="34">
        <f t="shared" si="1"/>
        <v>53</v>
      </c>
      <c r="H27" s="39">
        <f t="shared" si="2"/>
        <v>101</v>
      </c>
      <c r="I27" s="34">
        <f t="shared" si="2"/>
        <v>213</v>
      </c>
      <c r="J27" s="35">
        <f t="shared" si="3"/>
        <v>314</v>
      </c>
    </row>
    <row r="28" spans="1:10" x14ac:dyDescent="0.25">
      <c r="A28" s="12" t="s">
        <v>94</v>
      </c>
      <c r="B28" s="39">
        <v>46</v>
      </c>
      <c r="C28" s="34">
        <v>111</v>
      </c>
      <c r="D28" s="35">
        <f t="shared" si="0"/>
        <v>157</v>
      </c>
      <c r="E28" s="34">
        <v>0</v>
      </c>
      <c r="F28" s="34">
        <v>0</v>
      </c>
      <c r="G28" s="34">
        <f t="shared" si="1"/>
        <v>0</v>
      </c>
      <c r="H28" s="39">
        <f t="shared" si="2"/>
        <v>46</v>
      </c>
      <c r="I28" s="34">
        <f t="shared" si="2"/>
        <v>111</v>
      </c>
      <c r="J28" s="35">
        <f t="shared" si="3"/>
        <v>157</v>
      </c>
    </row>
    <row r="29" spans="1:10" x14ac:dyDescent="0.25">
      <c r="A29" s="12" t="s">
        <v>44</v>
      </c>
      <c r="B29" s="39">
        <v>58</v>
      </c>
      <c r="C29" s="34">
        <v>96</v>
      </c>
      <c r="D29" s="35">
        <f t="shared" si="0"/>
        <v>154</v>
      </c>
      <c r="E29" s="34">
        <v>51</v>
      </c>
      <c r="F29" s="34">
        <v>76</v>
      </c>
      <c r="G29" s="34">
        <f t="shared" si="1"/>
        <v>127</v>
      </c>
      <c r="H29" s="39">
        <f t="shared" si="2"/>
        <v>109</v>
      </c>
      <c r="I29" s="34">
        <f t="shared" si="2"/>
        <v>172</v>
      </c>
      <c r="J29" s="35">
        <f t="shared" si="3"/>
        <v>281</v>
      </c>
    </row>
    <row r="30" spans="1:10" x14ac:dyDescent="0.25">
      <c r="A30" s="12" t="s">
        <v>45</v>
      </c>
      <c r="B30" s="39">
        <v>56</v>
      </c>
      <c r="C30" s="34">
        <v>153</v>
      </c>
      <c r="D30" s="35">
        <f t="shared" si="0"/>
        <v>209</v>
      </c>
      <c r="E30" s="34">
        <v>2</v>
      </c>
      <c r="F30" s="34">
        <v>8</v>
      </c>
      <c r="G30" s="34">
        <f t="shared" si="1"/>
        <v>10</v>
      </c>
      <c r="H30" s="39">
        <f t="shared" si="2"/>
        <v>58</v>
      </c>
      <c r="I30" s="34">
        <f t="shared" si="2"/>
        <v>161</v>
      </c>
      <c r="J30" s="35">
        <f t="shared" si="3"/>
        <v>219</v>
      </c>
    </row>
    <row r="31" spans="1:10" x14ac:dyDescent="0.25">
      <c r="A31" s="12" t="s">
        <v>95</v>
      </c>
      <c r="B31" s="39">
        <v>0</v>
      </c>
      <c r="C31" s="34">
        <v>0</v>
      </c>
      <c r="D31" s="35">
        <f t="shared" si="0"/>
        <v>0</v>
      </c>
      <c r="E31" s="34">
        <v>5</v>
      </c>
      <c r="F31" s="34">
        <v>3</v>
      </c>
      <c r="G31" s="34">
        <f t="shared" si="1"/>
        <v>8</v>
      </c>
      <c r="H31" s="39">
        <f t="shared" si="2"/>
        <v>5</v>
      </c>
      <c r="I31" s="34">
        <f t="shared" si="2"/>
        <v>3</v>
      </c>
      <c r="J31" s="35">
        <f t="shared" si="3"/>
        <v>8</v>
      </c>
    </row>
    <row r="32" spans="1:10" x14ac:dyDescent="0.25">
      <c r="A32" s="12" t="s">
        <v>47</v>
      </c>
      <c r="B32" s="39">
        <v>181</v>
      </c>
      <c r="C32" s="34">
        <v>173</v>
      </c>
      <c r="D32" s="35">
        <f t="shared" si="0"/>
        <v>354</v>
      </c>
      <c r="E32" s="34">
        <v>53</v>
      </c>
      <c r="F32" s="34">
        <v>59</v>
      </c>
      <c r="G32" s="34">
        <f t="shared" si="1"/>
        <v>112</v>
      </c>
      <c r="H32" s="39">
        <f t="shared" si="2"/>
        <v>234</v>
      </c>
      <c r="I32" s="34">
        <f t="shared" si="2"/>
        <v>232</v>
      </c>
      <c r="J32" s="35">
        <f t="shared" si="3"/>
        <v>466</v>
      </c>
    </row>
    <row r="33" spans="1:10" x14ac:dyDescent="0.25">
      <c r="A33" s="12" t="s">
        <v>133</v>
      </c>
      <c r="B33" s="39">
        <v>6</v>
      </c>
      <c r="C33" s="34">
        <v>3</v>
      </c>
      <c r="D33" s="35">
        <f t="shared" si="0"/>
        <v>9</v>
      </c>
      <c r="E33" s="34">
        <v>47</v>
      </c>
      <c r="F33" s="34">
        <v>12</v>
      </c>
      <c r="G33" s="34">
        <f t="shared" si="1"/>
        <v>59</v>
      </c>
      <c r="H33" s="39">
        <f t="shared" si="2"/>
        <v>53</v>
      </c>
      <c r="I33" s="34">
        <f t="shared" si="2"/>
        <v>15</v>
      </c>
      <c r="J33" s="35">
        <f t="shared" si="3"/>
        <v>68</v>
      </c>
    </row>
    <row r="34" spans="1:10" x14ac:dyDescent="0.25">
      <c r="A34" s="12" t="s">
        <v>48</v>
      </c>
      <c r="B34" s="39">
        <v>47</v>
      </c>
      <c r="C34" s="34">
        <v>100</v>
      </c>
      <c r="D34" s="35">
        <f t="shared" si="0"/>
        <v>147</v>
      </c>
      <c r="E34" s="34">
        <v>7</v>
      </c>
      <c r="F34" s="34">
        <v>11</v>
      </c>
      <c r="G34" s="34">
        <f t="shared" si="1"/>
        <v>18</v>
      </c>
      <c r="H34" s="39">
        <f t="shared" si="2"/>
        <v>54</v>
      </c>
      <c r="I34" s="34">
        <f t="shared" si="2"/>
        <v>111</v>
      </c>
      <c r="J34" s="35">
        <f t="shared" si="3"/>
        <v>165</v>
      </c>
    </row>
    <row r="35" spans="1:10" x14ac:dyDescent="0.25">
      <c r="A35" s="12" t="s">
        <v>49</v>
      </c>
      <c r="B35" s="39">
        <v>46</v>
      </c>
      <c r="C35" s="34">
        <v>64</v>
      </c>
      <c r="D35" s="35">
        <f t="shared" si="0"/>
        <v>110</v>
      </c>
      <c r="E35" s="34">
        <v>14</v>
      </c>
      <c r="F35" s="34">
        <v>24</v>
      </c>
      <c r="G35" s="34">
        <f t="shared" si="1"/>
        <v>38</v>
      </c>
      <c r="H35" s="39">
        <f t="shared" si="2"/>
        <v>60</v>
      </c>
      <c r="I35" s="34">
        <f t="shared" si="2"/>
        <v>88</v>
      </c>
      <c r="J35" s="35">
        <f t="shared" si="3"/>
        <v>148</v>
      </c>
    </row>
    <row r="36" spans="1:10" x14ac:dyDescent="0.25">
      <c r="A36" s="12" t="s">
        <v>50</v>
      </c>
      <c r="B36" s="39">
        <v>14</v>
      </c>
      <c r="C36" s="34">
        <v>24</v>
      </c>
      <c r="D36" s="35">
        <f t="shared" si="0"/>
        <v>38</v>
      </c>
      <c r="E36" s="34">
        <v>10</v>
      </c>
      <c r="F36" s="34">
        <v>16</v>
      </c>
      <c r="G36" s="34">
        <f t="shared" si="1"/>
        <v>26</v>
      </c>
      <c r="H36" s="39">
        <f t="shared" si="2"/>
        <v>24</v>
      </c>
      <c r="I36" s="34">
        <f t="shared" si="2"/>
        <v>40</v>
      </c>
      <c r="J36" s="35">
        <f t="shared" si="3"/>
        <v>64</v>
      </c>
    </row>
    <row r="37" spans="1:10" x14ac:dyDescent="0.25">
      <c r="A37" s="12" t="s">
        <v>51</v>
      </c>
      <c r="B37" s="39">
        <v>181</v>
      </c>
      <c r="C37" s="34">
        <v>193</v>
      </c>
      <c r="D37" s="35">
        <f t="shared" si="0"/>
        <v>374</v>
      </c>
      <c r="E37" s="34">
        <v>38</v>
      </c>
      <c r="F37" s="34">
        <v>46</v>
      </c>
      <c r="G37" s="34">
        <f t="shared" si="1"/>
        <v>84</v>
      </c>
      <c r="H37" s="39">
        <f t="shared" si="2"/>
        <v>219</v>
      </c>
      <c r="I37" s="34">
        <f t="shared" si="2"/>
        <v>239</v>
      </c>
      <c r="J37" s="35">
        <f t="shared" si="3"/>
        <v>458</v>
      </c>
    </row>
    <row r="38" spans="1:10" x14ac:dyDescent="0.25">
      <c r="A38" s="12" t="s">
        <v>52</v>
      </c>
      <c r="B38" s="39">
        <v>34</v>
      </c>
      <c r="C38" s="34">
        <v>143</v>
      </c>
      <c r="D38" s="35">
        <f t="shared" si="0"/>
        <v>177</v>
      </c>
      <c r="E38" s="34">
        <v>16</v>
      </c>
      <c r="F38" s="34">
        <v>53</v>
      </c>
      <c r="G38" s="34">
        <f t="shared" si="1"/>
        <v>69</v>
      </c>
      <c r="H38" s="39">
        <f t="shared" si="2"/>
        <v>50</v>
      </c>
      <c r="I38" s="34">
        <f t="shared" si="2"/>
        <v>196</v>
      </c>
      <c r="J38" s="35">
        <f t="shared" si="3"/>
        <v>246</v>
      </c>
    </row>
    <row r="39" spans="1:10" x14ac:dyDescent="0.25">
      <c r="A39" s="12" t="s">
        <v>110</v>
      </c>
      <c r="B39" s="39">
        <v>5</v>
      </c>
      <c r="C39" s="34">
        <v>192</v>
      </c>
      <c r="D39" s="35">
        <f t="shared" si="0"/>
        <v>197</v>
      </c>
      <c r="E39" s="34">
        <v>4</v>
      </c>
      <c r="F39" s="34">
        <v>77</v>
      </c>
      <c r="G39" s="34">
        <f t="shared" si="1"/>
        <v>81</v>
      </c>
      <c r="H39" s="39">
        <f t="shared" si="2"/>
        <v>9</v>
      </c>
      <c r="I39" s="34">
        <f t="shared" si="2"/>
        <v>269</v>
      </c>
      <c r="J39" s="35">
        <f t="shared" si="3"/>
        <v>278</v>
      </c>
    </row>
    <row r="40" spans="1:10" x14ac:dyDescent="0.25">
      <c r="A40" s="12" t="s">
        <v>111</v>
      </c>
      <c r="B40" s="39">
        <v>24</v>
      </c>
      <c r="C40" s="34">
        <v>80</v>
      </c>
      <c r="D40" s="35">
        <f t="shared" si="0"/>
        <v>104</v>
      </c>
      <c r="E40" s="34">
        <v>0</v>
      </c>
      <c r="F40" s="34">
        <v>0</v>
      </c>
      <c r="G40" s="34">
        <f t="shared" si="1"/>
        <v>0</v>
      </c>
      <c r="H40" s="39">
        <f t="shared" si="2"/>
        <v>24</v>
      </c>
      <c r="I40" s="34">
        <f t="shared" si="2"/>
        <v>80</v>
      </c>
      <c r="J40" s="35">
        <f t="shared" si="3"/>
        <v>104</v>
      </c>
    </row>
    <row r="41" spans="1:10" x14ac:dyDescent="0.25">
      <c r="A41" s="12" t="s">
        <v>55</v>
      </c>
      <c r="B41" s="39">
        <v>64</v>
      </c>
      <c r="C41" s="34">
        <v>187</v>
      </c>
      <c r="D41" s="35">
        <f t="shared" si="0"/>
        <v>251</v>
      </c>
      <c r="E41" s="34">
        <v>12</v>
      </c>
      <c r="F41" s="34">
        <v>39</v>
      </c>
      <c r="G41" s="34">
        <f t="shared" si="1"/>
        <v>51</v>
      </c>
      <c r="H41" s="39">
        <f t="shared" si="2"/>
        <v>76</v>
      </c>
      <c r="I41" s="34">
        <f t="shared" si="2"/>
        <v>226</v>
      </c>
      <c r="J41" s="35">
        <f t="shared" si="3"/>
        <v>302</v>
      </c>
    </row>
    <row r="42" spans="1:10" x14ac:dyDescent="0.25">
      <c r="A42" s="12" t="s">
        <v>56</v>
      </c>
      <c r="B42" s="39">
        <v>50</v>
      </c>
      <c r="C42" s="34">
        <v>57</v>
      </c>
      <c r="D42" s="35">
        <f t="shared" si="0"/>
        <v>107</v>
      </c>
      <c r="E42" s="34">
        <v>0</v>
      </c>
      <c r="F42" s="34">
        <v>0</v>
      </c>
      <c r="G42" s="34">
        <f t="shared" si="1"/>
        <v>0</v>
      </c>
      <c r="H42" s="39">
        <f t="shared" si="2"/>
        <v>50</v>
      </c>
      <c r="I42" s="34">
        <f t="shared" si="2"/>
        <v>57</v>
      </c>
      <c r="J42" s="35">
        <f t="shared" si="3"/>
        <v>107</v>
      </c>
    </row>
    <row r="43" spans="1:10" x14ac:dyDescent="0.25">
      <c r="A43" s="12" t="s">
        <v>1</v>
      </c>
      <c r="B43" s="39">
        <v>229</v>
      </c>
      <c r="C43" s="34">
        <v>363</v>
      </c>
      <c r="D43" s="35">
        <f t="shared" si="0"/>
        <v>592</v>
      </c>
      <c r="E43" s="34">
        <v>173</v>
      </c>
      <c r="F43" s="34">
        <v>235</v>
      </c>
      <c r="G43" s="34">
        <f t="shared" si="1"/>
        <v>408</v>
      </c>
      <c r="H43" s="39">
        <f t="shared" si="2"/>
        <v>402</v>
      </c>
      <c r="I43" s="34">
        <f t="shared" si="2"/>
        <v>598</v>
      </c>
      <c r="J43" s="35">
        <f t="shared" si="3"/>
        <v>1000</v>
      </c>
    </row>
    <row r="44" spans="1:10" x14ac:dyDescent="0.25">
      <c r="A44" s="12" t="s">
        <v>102</v>
      </c>
      <c r="B44" s="39">
        <v>61</v>
      </c>
      <c r="C44" s="34">
        <v>67</v>
      </c>
      <c r="D44" s="35">
        <f t="shared" si="0"/>
        <v>128</v>
      </c>
      <c r="E44" s="34">
        <v>46</v>
      </c>
      <c r="F44" s="34">
        <v>116</v>
      </c>
      <c r="G44" s="34">
        <f t="shared" si="1"/>
        <v>162</v>
      </c>
      <c r="H44" s="39">
        <f t="shared" si="2"/>
        <v>107</v>
      </c>
      <c r="I44" s="34">
        <f t="shared" si="2"/>
        <v>183</v>
      </c>
      <c r="J44" s="35">
        <f t="shared" si="3"/>
        <v>290</v>
      </c>
    </row>
    <row r="45" spans="1:10" x14ac:dyDescent="0.25">
      <c r="A45" s="12" t="s">
        <v>59</v>
      </c>
      <c r="B45" s="39">
        <v>282</v>
      </c>
      <c r="C45" s="34">
        <v>170</v>
      </c>
      <c r="D45" s="35">
        <f t="shared" si="0"/>
        <v>452</v>
      </c>
      <c r="E45" s="34">
        <v>15</v>
      </c>
      <c r="F45" s="34">
        <v>6</v>
      </c>
      <c r="G45" s="34">
        <f t="shared" si="1"/>
        <v>21</v>
      </c>
      <c r="H45" s="39">
        <f t="shared" si="2"/>
        <v>297</v>
      </c>
      <c r="I45" s="34">
        <f t="shared" si="2"/>
        <v>176</v>
      </c>
      <c r="J45" s="35">
        <f t="shared" si="3"/>
        <v>473</v>
      </c>
    </row>
    <row r="46" spans="1:10" x14ac:dyDescent="0.25">
      <c r="A46" s="12" t="s">
        <v>60</v>
      </c>
      <c r="B46" s="39">
        <v>219</v>
      </c>
      <c r="C46" s="34">
        <v>45</v>
      </c>
      <c r="D46" s="35">
        <f t="shared" si="0"/>
        <v>264</v>
      </c>
      <c r="E46" s="34">
        <v>110</v>
      </c>
      <c r="F46" s="34">
        <v>9</v>
      </c>
      <c r="G46" s="34">
        <f t="shared" si="1"/>
        <v>119</v>
      </c>
      <c r="H46" s="39">
        <f t="shared" si="2"/>
        <v>329</v>
      </c>
      <c r="I46" s="34">
        <f t="shared" si="2"/>
        <v>54</v>
      </c>
      <c r="J46" s="35">
        <f t="shared" si="3"/>
        <v>383</v>
      </c>
    </row>
    <row r="47" spans="1:10" x14ac:dyDescent="0.25">
      <c r="A47" s="12" t="s">
        <v>61</v>
      </c>
      <c r="B47" s="39">
        <v>8</v>
      </c>
      <c r="C47" s="34">
        <v>4</v>
      </c>
      <c r="D47" s="35">
        <f t="shared" si="0"/>
        <v>12</v>
      </c>
      <c r="E47" s="34">
        <v>48</v>
      </c>
      <c r="F47" s="34">
        <v>29</v>
      </c>
      <c r="G47" s="34">
        <f t="shared" si="1"/>
        <v>77</v>
      </c>
      <c r="H47" s="39">
        <f t="shared" si="2"/>
        <v>56</v>
      </c>
      <c r="I47" s="34">
        <f t="shared" si="2"/>
        <v>33</v>
      </c>
      <c r="J47" s="35">
        <f t="shared" si="3"/>
        <v>89</v>
      </c>
    </row>
    <row r="48" spans="1:10" x14ac:dyDescent="0.25">
      <c r="A48" s="12" t="s">
        <v>112</v>
      </c>
      <c r="B48" s="39">
        <v>32</v>
      </c>
      <c r="C48" s="34">
        <v>59</v>
      </c>
      <c r="D48" s="35">
        <f t="shared" si="0"/>
        <v>91</v>
      </c>
      <c r="E48" s="34">
        <v>12</v>
      </c>
      <c r="F48" s="34">
        <v>20</v>
      </c>
      <c r="G48" s="34">
        <f t="shared" si="1"/>
        <v>32</v>
      </c>
      <c r="H48" s="39">
        <f t="shared" si="2"/>
        <v>44</v>
      </c>
      <c r="I48" s="34">
        <f t="shared" si="2"/>
        <v>79</v>
      </c>
      <c r="J48" s="35">
        <f t="shared" si="3"/>
        <v>123</v>
      </c>
    </row>
    <row r="49" spans="1:10" x14ac:dyDescent="0.25">
      <c r="A49" s="12" t="s">
        <v>64</v>
      </c>
      <c r="B49" s="39">
        <v>87</v>
      </c>
      <c r="C49" s="34">
        <v>70</v>
      </c>
      <c r="D49" s="35">
        <f t="shared" si="0"/>
        <v>157</v>
      </c>
      <c r="E49" s="34">
        <v>43</v>
      </c>
      <c r="F49" s="34">
        <v>12</v>
      </c>
      <c r="G49" s="34">
        <f t="shared" si="1"/>
        <v>55</v>
      </c>
      <c r="H49" s="39">
        <f t="shared" si="2"/>
        <v>130</v>
      </c>
      <c r="I49" s="34">
        <f t="shared" si="2"/>
        <v>82</v>
      </c>
      <c r="J49" s="35">
        <f t="shared" si="3"/>
        <v>212</v>
      </c>
    </row>
    <row r="50" spans="1:10" x14ac:dyDescent="0.25">
      <c r="A50" s="12" t="s">
        <v>113</v>
      </c>
      <c r="B50" s="39">
        <v>22</v>
      </c>
      <c r="C50" s="34">
        <v>64</v>
      </c>
      <c r="D50" s="35">
        <f t="shared" si="0"/>
        <v>86</v>
      </c>
      <c r="E50" s="34">
        <v>19</v>
      </c>
      <c r="F50" s="34">
        <v>40</v>
      </c>
      <c r="G50" s="34">
        <f t="shared" si="1"/>
        <v>59</v>
      </c>
      <c r="H50" s="39">
        <f t="shared" si="2"/>
        <v>41</v>
      </c>
      <c r="I50" s="34">
        <f t="shared" si="2"/>
        <v>104</v>
      </c>
      <c r="J50" s="35">
        <f t="shared" si="3"/>
        <v>145</v>
      </c>
    </row>
    <row r="51" spans="1:10" x14ac:dyDescent="0.25">
      <c r="A51" s="12" t="s">
        <v>145</v>
      </c>
      <c r="B51" s="39">
        <v>25</v>
      </c>
      <c r="C51" s="34">
        <v>22</v>
      </c>
      <c r="D51" s="35">
        <f t="shared" si="0"/>
        <v>47</v>
      </c>
      <c r="E51" s="34">
        <v>0</v>
      </c>
      <c r="F51" s="34">
        <v>0</v>
      </c>
      <c r="G51" s="34">
        <f t="shared" si="1"/>
        <v>0</v>
      </c>
      <c r="H51" s="39">
        <f t="shared" si="2"/>
        <v>25</v>
      </c>
      <c r="I51" s="34">
        <f t="shared" si="2"/>
        <v>22</v>
      </c>
      <c r="J51" s="35">
        <f t="shared" si="3"/>
        <v>47</v>
      </c>
    </row>
    <row r="52" spans="1:10" x14ac:dyDescent="0.25">
      <c r="A52" s="12" t="s">
        <v>65</v>
      </c>
      <c r="B52" s="39">
        <v>311</v>
      </c>
      <c r="C52" s="34">
        <v>134</v>
      </c>
      <c r="D52" s="35">
        <f t="shared" si="0"/>
        <v>445</v>
      </c>
      <c r="E52" s="34">
        <v>56</v>
      </c>
      <c r="F52" s="34">
        <v>24</v>
      </c>
      <c r="G52" s="34">
        <f t="shared" si="1"/>
        <v>80</v>
      </c>
      <c r="H52" s="39">
        <f t="shared" si="2"/>
        <v>367</v>
      </c>
      <c r="I52" s="34">
        <f t="shared" si="2"/>
        <v>158</v>
      </c>
      <c r="J52" s="35">
        <f t="shared" si="3"/>
        <v>525</v>
      </c>
    </row>
    <row r="53" spans="1:10" x14ac:dyDescent="0.25">
      <c r="A53" s="12" t="s">
        <v>114</v>
      </c>
      <c r="B53" s="39">
        <v>86</v>
      </c>
      <c r="C53" s="34">
        <v>162</v>
      </c>
      <c r="D53" s="35">
        <f t="shared" si="0"/>
        <v>248</v>
      </c>
      <c r="E53" s="34">
        <v>34</v>
      </c>
      <c r="F53" s="34">
        <v>59</v>
      </c>
      <c r="G53" s="34">
        <f t="shared" si="1"/>
        <v>93</v>
      </c>
      <c r="H53" s="39">
        <f t="shared" si="2"/>
        <v>120</v>
      </c>
      <c r="I53" s="34">
        <f t="shared" si="2"/>
        <v>221</v>
      </c>
      <c r="J53" s="35">
        <f t="shared" si="3"/>
        <v>341</v>
      </c>
    </row>
    <row r="54" spans="1:10" x14ac:dyDescent="0.25">
      <c r="A54" s="12" t="s">
        <v>115</v>
      </c>
      <c r="B54" s="39">
        <v>70</v>
      </c>
      <c r="C54" s="34">
        <v>296</v>
      </c>
      <c r="D54" s="35">
        <f t="shared" si="0"/>
        <v>366</v>
      </c>
      <c r="E54" s="34">
        <v>114</v>
      </c>
      <c r="F54" s="34">
        <v>252</v>
      </c>
      <c r="G54" s="34">
        <f t="shared" si="1"/>
        <v>366</v>
      </c>
      <c r="H54" s="39">
        <f t="shared" si="2"/>
        <v>184</v>
      </c>
      <c r="I54" s="34">
        <f t="shared" si="2"/>
        <v>548</v>
      </c>
      <c r="J54" s="35">
        <f t="shared" si="3"/>
        <v>732</v>
      </c>
    </row>
    <row r="55" spans="1:10" x14ac:dyDescent="0.25">
      <c r="A55" s="12" t="s">
        <v>146</v>
      </c>
      <c r="B55" s="39">
        <v>0</v>
      </c>
      <c r="C55" s="34">
        <v>0</v>
      </c>
      <c r="D55" s="35">
        <f t="shared" si="0"/>
        <v>0</v>
      </c>
      <c r="E55" s="34">
        <v>71</v>
      </c>
      <c r="F55" s="34">
        <v>52</v>
      </c>
      <c r="G55" s="34">
        <f t="shared" si="1"/>
        <v>123</v>
      </c>
      <c r="H55" s="39">
        <f t="shared" si="2"/>
        <v>71</v>
      </c>
      <c r="I55" s="34">
        <f t="shared" si="2"/>
        <v>52</v>
      </c>
      <c r="J55" s="35">
        <f t="shared" si="3"/>
        <v>123</v>
      </c>
    </row>
    <row r="56" spans="1:10" x14ac:dyDescent="0.25">
      <c r="A56" s="12" t="s">
        <v>68</v>
      </c>
      <c r="B56" s="39">
        <v>26</v>
      </c>
      <c r="C56" s="34">
        <v>46</v>
      </c>
      <c r="D56" s="35">
        <f t="shared" si="0"/>
        <v>72</v>
      </c>
      <c r="E56" s="34">
        <v>2</v>
      </c>
      <c r="F56" s="34">
        <v>9</v>
      </c>
      <c r="G56" s="34">
        <f t="shared" si="1"/>
        <v>11</v>
      </c>
      <c r="H56" s="39">
        <f t="shared" si="2"/>
        <v>28</v>
      </c>
      <c r="I56" s="34">
        <f t="shared" si="2"/>
        <v>55</v>
      </c>
      <c r="J56" s="35">
        <f t="shared" si="3"/>
        <v>83</v>
      </c>
    </row>
    <row r="57" spans="1:10" x14ac:dyDescent="0.25">
      <c r="A57" s="12" t="s">
        <v>70</v>
      </c>
      <c r="B57" s="39">
        <v>302</v>
      </c>
      <c r="C57" s="34">
        <v>293</v>
      </c>
      <c r="D57" s="35">
        <f t="shared" si="0"/>
        <v>595</v>
      </c>
      <c r="E57" s="34">
        <v>62</v>
      </c>
      <c r="F57" s="34">
        <v>79</v>
      </c>
      <c r="G57" s="34">
        <f t="shared" si="1"/>
        <v>141</v>
      </c>
      <c r="H57" s="39">
        <f t="shared" si="2"/>
        <v>364</v>
      </c>
      <c r="I57" s="34">
        <f t="shared" si="2"/>
        <v>372</v>
      </c>
      <c r="J57" s="35">
        <f t="shared" si="3"/>
        <v>736</v>
      </c>
    </row>
    <row r="58" spans="1:10" x14ac:dyDescent="0.25">
      <c r="A58" s="12" t="s">
        <v>71</v>
      </c>
      <c r="B58" s="39">
        <v>39</v>
      </c>
      <c r="C58" s="34">
        <v>46</v>
      </c>
      <c r="D58" s="35">
        <f t="shared" si="0"/>
        <v>85</v>
      </c>
      <c r="E58" s="34">
        <v>4</v>
      </c>
      <c r="F58" s="34">
        <v>5</v>
      </c>
      <c r="G58" s="34">
        <f t="shared" si="1"/>
        <v>9</v>
      </c>
      <c r="H58" s="39">
        <f t="shared" si="2"/>
        <v>43</v>
      </c>
      <c r="I58" s="34">
        <f t="shared" si="2"/>
        <v>51</v>
      </c>
      <c r="J58" s="35">
        <f t="shared" si="3"/>
        <v>94</v>
      </c>
    </row>
    <row r="59" spans="1:10" x14ac:dyDescent="0.25">
      <c r="A59" s="12" t="s">
        <v>72</v>
      </c>
      <c r="B59" s="39">
        <v>0</v>
      </c>
      <c r="C59" s="34">
        <v>0</v>
      </c>
      <c r="D59" s="35">
        <f t="shared" si="0"/>
        <v>0</v>
      </c>
      <c r="E59" s="34">
        <v>31</v>
      </c>
      <c r="F59" s="34">
        <v>15</v>
      </c>
      <c r="G59" s="34">
        <f t="shared" si="1"/>
        <v>46</v>
      </c>
      <c r="H59" s="39">
        <f t="shared" si="2"/>
        <v>31</v>
      </c>
      <c r="I59" s="34">
        <f t="shared" si="2"/>
        <v>15</v>
      </c>
      <c r="J59" s="35">
        <f t="shared" si="3"/>
        <v>46</v>
      </c>
    </row>
    <row r="60" spans="1:10" x14ac:dyDescent="0.25">
      <c r="A60" s="12" t="s">
        <v>73</v>
      </c>
      <c r="B60" s="39">
        <v>27</v>
      </c>
      <c r="C60" s="34">
        <v>78</v>
      </c>
      <c r="D60" s="35">
        <f t="shared" si="0"/>
        <v>105</v>
      </c>
      <c r="E60" s="34">
        <v>3</v>
      </c>
      <c r="F60" s="34">
        <v>7</v>
      </c>
      <c r="G60" s="34">
        <f t="shared" si="1"/>
        <v>10</v>
      </c>
      <c r="H60" s="39">
        <f t="shared" si="2"/>
        <v>30</v>
      </c>
      <c r="I60" s="34">
        <f t="shared" si="2"/>
        <v>85</v>
      </c>
      <c r="J60" s="35">
        <f t="shared" si="3"/>
        <v>115</v>
      </c>
    </row>
    <row r="61" spans="1:10" x14ac:dyDescent="0.25">
      <c r="A61" s="12" t="s">
        <v>74</v>
      </c>
      <c r="B61" s="39">
        <v>129</v>
      </c>
      <c r="C61" s="34">
        <v>70</v>
      </c>
      <c r="D61" s="35">
        <f t="shared" si="0"/>
        <v>199</v>
      </c>
      <c r="E61" s="34">
        <v>18</v>
      </c>
      <c r="F61" s="34">
        <v>23</v>
      </c>
      <c r="G61" s="34">
        <f t="shared" si="1"/>
        <v>41</v>
      </c>
      <c r="H61" s="39">
        <f t="shared" si="2"/>
        <v>147</v>
      </c>
      <c r="I61" s="34">
        <f t="shared" si="2"/>
        <v>93</v>
      </c>
      <c r="J61" s="35">
        <f t="shared" si="3"/>
        <v>240</v>
      </c>
    </row>
    <row r="62" spans="1:10" x14ac:dyDescent="0.25">
      <c r="A62" s="12" t="s">
        <v>151</v>
      </c>
      <c r="B62" s="39">
        <v>1</v>
      </c>
      <c r="C62" s="34">
        <v>0</v>
      </c>
      <c r="D62" s="35">
        <f t="shared" si="0"/>
        <v>1</v>
      </c>
      <c r="E62" s="34">
        <v>0</v>
      </c>
      <c r="F62" s="34">
        <v>0</v>
      </c>
      <c r="G62" s="34">
        <f t="shared" si="1"/>
        <v>0</v>
      </c>
      <c r="H62" s="39">
        <f t="shared" si="2"/>
        <v>1</v>
      </c>
      <c r="I62" s="34">
        <f t="shared" si="2"/>
        <v>0</v>
      </c>
      <c r="J62" s="35">
        <f t="shared" si="3"/>
        <v>1</v>
      </c>
    </row>
    <row r="63" spans="1:10" x14ac:dyDescent="0.25">
      <c r="A63" s="12" t="s">
        <v>103</v>
      </c>
      <c r="B63" s="39">
        <v>280</v>
      </c>
      <c r="C63" s="34">
        <v>407</v>
      </c>
      <c r="D63" s="35">
        <f t="shared" si="0"/>
        <v>687</v>
      </c>
      <c r="E63" s="34">
        <v>0</v>
      </c>
      <c r="F63" s="34">
        <v>0</v>
      </c>
      <c r="G63" s="34">
        <f t="shared" si="1"/>
        <v>0</v>
      </c>
      <c r="H63" s="39">
        <f t="shared" si="2"/>
        <v>280</v>
      </c>
      <c r="I63" s="34">
        <f t="shared" si="2"/>
        <v>407</v>
      </c>
      <c r="J63" s="35">
        <f t="shared" si="3"/>
        <v>687</v>
      </c>
    </row>
    <row r="64" spans="1:10" x14ac:dyDescent="0.25">
      <c r="A64" s="12" t="s">
        <v>104</v>
      </c>
      <c r="B64" s="39">
        <v>502</v>
      </c>
      <c r="C64" s="34">
        <v>589</v>
      </c>
      <c r="D64" s="35">
        <f t="shared" si="0"/>
        <v>1091</v>
      </c>
      <c r="E64" s="34">
        <v>19</v>
      </c>
      <c r="F64" s="34">
        <v>4</v>
      </c>
      <c r="G64" s="34">
        <f t="shared" si="1"/>
        <v>23</v>
      </c>
      <c r="H64" s="39">
        <f t="shared" si="2"/>
        <v>521</v>
      </c>
      <c r="I64" s="34">
        <f t="shared" si="2"/>
        <v>593</v>
      </c>
      <c r="J64" s="35">
        <f t="shared" si="3"/>
        <v>1114</v>
      </c>
    </row>
    <row r="65" spans="1:10" x14ac:dyDescent="0.25">
      <c r="A65" s="12" t="s">
        <v>105</v>
      </c>
      <c r="B65" s="39">
        <v>0</v>
      </c>
      <c r="C65" s="34">
        <v>0</v>
      </c>
      <c r="D65" s="35">
        <f t="shared" si="0"/>
        <v>0</v>
      </c>
      <c r="E65" s="34">
        <v>13</v>
      </c>
      <c r="F65" s="34">
        <v>18</v>
      </c>
      <c r="G65" s="34">
        <f t="shared" si="1"/>
        <v>31</v>
      </c>
      <c r="H65" s="39">
        <f t="shared" si="2"/>
        <v>13</v>
      </c>
      <c r="I65" s="34">
        <f t="shared" si="2"/>
        <v>18</v>
      </c>
      <c r="J65" s="35">
        <f t="shared" si="3"/>
        <v>31</v>
      </c>
    </row>
    <row r="66" spans="1:10" x14ac:dyDescent="0.25">
      <c r="A66" s="12" t="s">
        <v>79</v>
      </c>
      <c r="B66" s="39">
        <v>0</v>
      </c>
      <c r="C66" s="34">
        <v>0</v>
      </c>
      <c r="D66" s="35">
        <f t="shared" si="0"/>
        <v>0</v>
      </c>
      <c r="E66" s="34">
        <v>75</v>
      </c>
      <c r="F66" s="34">
        <v>156</v>
      </c>
      <c r="G66" s="34">
        <f t="shared" si="1"/>
        <v>231</v>
      </c>
      <c r="H66" s="39">
        <f t="shared" si="2"/>
        <v>75</v>
      </c>
      <c r="I66" s="34">
        <f t="shared" si="2"/>
        <v>156</v>
      </c>
      <c r="J66" s="35">
        <f t="shared" si="3"/>
        <v>231</v>
      </c>
    </row>
    <row r="67" spans="1:10" x14ac:dyDescent="0.25">
      <c r="A67" s="12" t="s">
        <v>117</v>
      </c>
      <c r="B67" s="39">
        <v>2</v>
      </c>
      <c r="C67" s="34">
        <v>15</v>
      </c>
      <c r="D67" s="35">
        <f t="shared" si="0"/>
        <v>17</v>
      </c>
      <c r="E67" s="34">
        <v>50</v>
      </c>
      <c r="F67" s="34">
        <v>59</v>
      </c>
      <c r="G67" s="34">
        <f t="shared" si="1"/>
        <v>109</v>
      </c>
      <c r="H67" s="39">
        <f t="shared" si="2"/>
        <v>52</v>
      </c>
      <c r="I67" s="34">
        <f t="shared" si="2"/>
        <v>74</v>
      </c>
      <c r="J67" s="35">
        <f t="shared" si="3"/>
        <v>126</v>
      </c>
    </row>
    <row r="68" spans="1:10" x14ac:dyDescent="0.25">
      <c r="A68" s="12" t="s">
        <v>141</v>
      </c>
      <c r="B68" s="39">
        <v>0</v>
      </c>
      <c r="C68" s="34">
        <v>0</v>
      </c>
      <c r="D68" s="35">
        <f t="shared" si="0"/>
        <v>0</v>
      </c>
      <c r="E68" s="34">
        <v>3</v>
      </c>
      <c r="F68" s="34">
        <v>0</v>
      </c>
      <c r="G68" s="34">
        <f t="shared" si="1"/>
        <v>3</v>
      </c>
      <c r="H68" s="39">
        <f t="shared" si="2"/>
        <v>3</v>
      </c>
      <c r="I68" s="34">
        <f t="shared" si="2"/>
        <v>0</v>
      </c>
      <c r="J68" s="35">
        <f t="shared" si="3"/>
        <v>3</v>
      </c>
    </row>
    <row r="69" spans="1:10" x14ac:dyDescent="0.25">
      <c r="A69" s="12" t="s">
        <v>81</v>
      </c>
      <c r="B69" s="39">
        <v>0</v>
      </c>
      <c r="C69" s="34">
        <v>0</v>
      </c>
      <c r="D69" s="35">
        <f t="shared" si="0"/>
        <v>0</v>
      </c>
      <c r="E69" s="34">
        <v>204</v>
      </c>
      <c r="F69" s="34">
        <v>147</v>
      </c>
      <c r="G69" s="34">
        <f t="shared" si="1"/>
        <v>351</v>
      </c>
      <c r="H69" s="39">
        <f t="shared" si="2"/>
        <v>204</v>
      </c>
      <c r="I69" s="34">
        <f t="shared" si="2"/>
        <v>147</v>
      </c>
      <c r="J69" s="35">
        <f t="shared" si="3"/>
        <v>351</v>
      </c>
    </row>
    <row r="70" spans="1:10" x14ac:dyDescent="0.25">
      <c r="A70" s="12" t="s">
        <v>118</v>
      </c>
      <c r="B70" s="39">
        <v>0</v>
      </c>
      <c r="C70" s="34">
        <v>0</v>
      </c>
      <c r="D70" s="35">
        <f t="shared" si="0"/>
        <v>0</v>
      </c>
      <c r="E70" s="34">
        <v>9</v>
      </c>
      <c r="F70" s="34">
        <v>30</v>
      </c>
      <c r="G70" s="34">
        <f t="shared" si="1"/>
        <v>39</v>
      </c>
      <c r="H70" s="39">
        <f t="shared" si="2"/>
        <v>9</v>
      </c>
      <c r="I70" s="34">
        <f t="shared" si="2"/>
        <v>30</v>
      </c>
      <c r="J70" s="35">
        <f t="shared" si="3"/>
        <v>39</v>
      </c>
    </row>
    <row r="71" spans="1:10" x14ac:dyDescent="0.25">
      <c r="A71" s="12" t="s">
        <v>120</v>
      </c>
      <c r="B71" s="39">
        <v>0</v>
      </c>
      <c r="C71" s="34">
        <v>0</v>
      </c>
      <c r="D71" s="35">
        <f t="shared" si="0"/>
        <v>0</v>
      </c>
      <c r="E71" s="34">
        <v>13</v>
      </c>
      <c r="F71" s="34">
        <v>13</v>
      </c>
      <c r="G71" s="34">
        <f t="shared" si="1"/>
        <v>26</v>
      </c>
      <c r="H71" s="39">
        <f t="shared" si="2"/>
        <v>13</v>
      </c>
      <c r="I71" s="34">
        <f t="shared" si="2"/>
        <v>13</v>
      </c>
      <c r="J71" s="35">
        <f t="shared" si="3"/>
        <v>26</v>
      </c>
    </row>
    <row r="72" spans="1:10" x14ac:dyDescent="0.25">
      <c r="A72" s="12" t="s">
        <v>152</v>
      </c>
      <c r="B72" s="39">
        <v>0</v>
      </c>
      <c r="C72" s="34">
        <v>0</v>
      </c>
      <c r="D72" s="35">
        <f t="shared" si="0"/>
        <v>0</v>
      </c>
      <c r="E72" s="34">
        <v>2</v>
      </c>
      <c r="F72" s="34">
        <v>3</v>
      </c>
      <c r="G72" s="34">
        <f t="shared" si="1"/>
        <v>5</v>
      </c>
      <c r="H72" s="39">
        <f t="shared" si="2"/>
        <v>2</v>
      </c>
      <c r="I72" s="34">
        <f t="shared" si="2"/>
        <v>3</v>
      </c>
      <c r="J72" s="35">
        <f t="shared" si="3"/>
        <v>5</v>
      </c>
    </row>
    <row r="73" spans="1:10" x14ac:dyDescent="0.25">
      <c r="A73" s="12" t="s">
        <v>121</v>
      </c>
      <c r="B73" s="39">
        <v>9</v>
      </c>
      <c r="C73" s="34">
        <v>9</v>
      </c>
      <c r="D73" s="35">
        <f t="shared" si="0"/>
        <v>18</v>
      </c>
      <c r="E73" s="34">
        <v>31</v>
      </c>
      <c r="F73" s="34">
        <v>46</v>
      </c>
      <c r="G73" s="34">
        <f t="shared" si="1"/>
        <v>77</v>
      </c>
      <c r="H73" s="39">
        <f t="shared" si="2"/>
        <v>40</v>
      </c>
      <c r="I73" s="34">
        <f t="shared" si="2"/>
        <v>55</v>
      </c>
      <c r="J73" s="35">
        <f t="shared" si="3"/>
        <v>95</v>
      </c>
    </row>
    <row r="74" spans="1:10" x14ac:dyDescent="0.25">
      <c r="A74" s="12" t="s">
        <v>122</v>
      </c>
      <c r="B74" s="39">
        <v>0</v>
      </c>
      <c r="C74" s="34">
        <v>0</v>
      </c>
      <c r="D74" s="35">
        <f t="shared" si="0"/>
        <v>0</v>
      </c>
      <c r="E74" s="34">
        <v>15</v>
      </c>
      <c r="F74" s="34">
        <v>22</v>
      </c>
      <c r="G74" s="34">
        <f t="shared" si="1"/>
        <v>37</v>
      </c>
      <c r="H74" s="39">
        <f t="shared" si="2"/>
        <v>15</v>
      </c>
      <c r="I74" s="34">
        <f t="shared" si="2"/>
        <v>22</v>
      </c>
      <c r="J74" s="35">
        <f t="shared" si="3"/>
        <v>37</v>
      </c>
    </row>
    <row r="75" spans="1:10" x14ac:dyDescent="0.25">
      <c r="A75" s="12" t="s">
        <v>147</v>
      </c>
      <c r="B75" s="39">
        <v>3</v>
      </c>
      <c r="C75" s="34">
        <v>14</v>
      </c>
      <c r="D75" s="35">
        <f t="shared" si="0"/>
        <v>17</v>
      </c>
      <c r="E75" s="34">
        <v>19</v>
      </c>
      <c r="F75" s="34">
        <v>39</v>
      </c>
      <c r="G75" s="34">
        <f t="shared" si="1"/>
        <v>58</v>
      </c>
      <c r="H75" s="39">
        <f t="shared" si="2"/>
        <v>22</v>
      </c>
      <c r="I75" s="34">
        <f t="shared" si="2"/>
        <v>53</v>
      </c>
      <c r="J75" s="35">
        <f t="shared" si="3"/>
        <v>75</v>
      </c>
    </row>
    <row r="76" spans="1:10" x14ac:dyDescent="0.25">
      <c r="A76" s="12" t="s">
        <v>123</v>
      </c>
      <c r="B76" s="39">
        <v>4</v>
      </c>
      <c r="C76" s="34">
        <v>4</v>
      </c>
      <c r="D76" s="35">
        <f t="shared" si="0"/>
        <v>8</v>
      </c>
      <c r="E76" s="34">
        <v>39</v>
      </c>
      <c r="F76" s="34">
        <v>32</v>
      </c>
      <c r="G76" s="34">
        <f t="shared" si="1"/>
        <v>71</v>
      </c>
      <c r="H76" s="39">
        <f t="shared" si="2"/>
        <v>43</v>
      </c>
      <c r="I76" s="34">
        <f t="shared" si="2"/>
        <v>36</v>
      </c>
      <c r="J76" s="35">
        <f t="shared" si="3"/>
        <v>79</v>
      </c>
    </row>
    <row r="77" spans="1:10" x14ac:dyDescent="0.25">
      <c r="A77" s="12" t="s">
        <v>136</v>
      </c>
      <c r="B77" s="39">
        <v>0</v>
      </c>
      <c r="C77" s="34">
        <v>0</v>
      </c>
      <c r="D77" s="35">
        <f t="shared" si="0"/>
        <v>0</v>
      </c>
      <c r="E77" s="34">
        <v>1</v>
      </c>
      <c r="F77" s="34">
        <v>0</v>
      </c>
      <c r="G77" s="34">
        <f t="shared" si="1"/>
        <v>1</v>
      </c>
      <c r="H77" s="39">
        <f t="shared" si="2"/>
        <v>1</v>
      </c>
      <c r="I77" s="34">
        <f t="shared" si="2"/>
        <v>0</v>
      </c>
      <c r="J77" s="35">
        <f t="shared" si="3"/>
        <v>1</v>
      </c>
    </row>
    <row r="78" spans="1:10" x14ac:dyDescent="0.25">
      <c r="A78" s="12" t="s">
        <v>86</v>
      </c>
      <c r="B78" s="39">
        <v>0</v>
      </c>
      <c r="C78" s="34">
        <v>0</v>
      </c>
      <c r="D78" s="35">
        <f t="shared" si="0"/>
        <v>0</v>
      </c>
      <c r="E78" s="34">
        <v>63</v>
      </c>
      <c r="F78" s="34">
        <v>46</v>
      </c>
      <c r="G78" s="34">
        <f t="shared" si="1"/>
        <v>109</v>
      </c>
      <c r="H78" s="39">
        <f t="shared" si="2"/>
        <v>63</v>
      </c>
      <c r="I78" s="34">
        <f t="shared" si="2"/>
        <v>46</v>
      </c>
      <c r="J78" s="35">
        <f t="shared" si="3"/>
        <v>109</v>
      </c>
    </row>
    <row r="79" spans="1:10" x14ac:dyDescent="0.25">
      <c r="A79" s="12" t="s">
        <v>126</v>
      </c>
      <c r="B79" s="39">
        <v>0</v>
      </c>
      <c r="C79" s="34">
        <v>0</v>
      </c>
      <c r="D79" s="35">
        <f t="shared" si="0"/>
        <v>0</v>
      </c>
      <c r="E79" s="34">
        <v>11</v>
      </c>
      <c r="F79" s="34">
        <v>15</v>
      </c>
      <c r="G79" s="34">
        <f t="shared" si="1"/>
        <v>26</v>
      </c>
      <c r="H79" s="39">
        <f t="shared" si="2"/>
        <v>11</v>
      </c>
      <c r="I79" s="34">
        <f t="shared" si="2"/>
        <v>15</v>
      </c>
      <c r="J79" s="35">
        <f t="shared" si="3"/>
        <v>26</v>
      </c>
    </row>
    <row r="80" spans="1:10" x14ac:dyDescent="0.25">
      <c r="A80" s="12" t="s">
        <v>127</v>
      </c>
      <c r="B80" s="39">
        <v>0</v>
      </c>
      <c r="C80" s="34">
        <v>0</v>
      </c>
      <c r="D80" s="35">
        <f t="shared" si="0"/>
        <v>0</v>
      </c>
      <c r="E80" s="34">
        <v>12</v>
      </c>
      <c r="F80" s="34">
        <v>13</v>
      </c>
      <c r="G80" s="34">
        <f t="shared" si="1"/>
        <v>25</v>
      </c>
      <c r="H80" s="39">
        <f t="shared" si="2"/>
        <v>12</v>
      </c>
      <c r="I80" s="34">
        <f t="shared" si="2"/>
        <v>13</v>
      </c>
      <c r="J80" s="35">
        <f t="shared" si="3"/>
        <v>25</v>
      </c>
    </row>
    <row r="81" spans="1:10" x14ac:dyDescent="0.25">
      <c r="A81" s="12" t="s">
        <v>87</v>
      </c>
      <c r="B81" s="39">
        <v>0</v>
      </c>
      <c r="C81" s="34">
        <v>0</v>
      </c>
      <c r="D81" s="35">
        <f t="shared" si="0"/>
        <v>0</v>
      </c>
      <c r="E81" s="34">
        <v>25</v>
      </c>
      <c r="F81" s="34">
        <v>17</v>
      </c>
      <c r="G81" s="34">
        <f t="shared" si="1"/>
        <v>42</v>
      </c>
      <c r="H81" s="39">
        <f t="shared" si="2"/>
        <v>25</v>
      </c>
      <c r="I81" s="34">
        <f t="shared" si="2"/>
        <v>17</v>
      </c>
      <c r="J81" s="35">
        <f t="shared" si="3"/>
        <v>42</v>
      </c>
    </row>
    <row r="82" spans="1:10" x14ac:dyDescent="0.25">
      <c r="A82" s="12" t="s">
        <v>148</v>
      </c>
      <c r="B82" s="39">
        <v>6</v>
      </c>
      <c r="C82" s="34">
        <v>4</v>
      </c>
      <c r="D82" s="35">
        <f t="shared" si="0"/>
        <v>10</v>
      </c>
      <c r="E82" s="34">
        <v>21</v>
      </c>
      <c r="F82" s="34">
        <v>7</v>
      </c>
      <c r="G82" s="34">
        <f t="shared" si="1"/>
        <v>28</v>
      </c>
      <c r="H82" s="39">
        <f t="shared" si="2"/>
        <v>27</v>
      </c>
      <c r="I82" s="34">
        <f t="shared" si="2"/>
        <v>11</v>
      </c>
      <c r="J82" s="35">
        <f t="shared" si="3"/>
        <v>38</v>
      </c>
    </row>
    <row r="83" spans="1:10" x14ac:dyDescent="0.25">
      <c r="A83" s="12" t="s">
        <v>143</v>
      </c>
      <c r="B83" s="39">
        <v>0</v>
      </c>
      <c r="C83" s="34">
        <v>0</v>
      </c>
      <c r="D83" s="35">
        <f t="shared" si="0"/>
        <v>0</v>
      </c>
      <c r="E83" s="34">
        <v>4</v>
      </c>
      <c r="F83" s="34">
        <v>5</v>
      </c>
      <c r="G83" s="34">
        <f t="shared" si="1"/>
        <v>9</v>
      </c>
      <c r="H83" s="39">
        <f t="shared" si="2"/>
        <v>4</v>
      </c>
      <c r="I83" s="34">
        <f t="shared" si="2"/>
        <v>5</v>
      </c>
      <c r="J83" s="35">
        <f t="shared" si="3"/>
        <v>9</v>
      </c>
    </row>
    <row r="84" spans="1:10" x14ac:dyDescent="0.25">
      <c r="A84" s="12" t="s">
        <v>144</v>
      </c>
      <c r="B84" s="39">
        <v>13</v>
      </c>
      <c r="C84" s="34">
        <v>52</v>
      </c>
      <c r="D84" s="35">
        <f t="shared" si="0"/>
        <v>65</v>
      </c>
      <c r="E84" s="34">
        <v>0</v>
      </c>
      <c r="F84" s="34">
        <v>0</v>
      </c>
      <c r="G84" s="34">
        <f t="shared" si="1"/>
        <v>0</v>
      </c>
      <c r="H84" s="39">
        <f t="shared" si="2"/>
        <v>13</v>
      </c>
      <c r="I84" s="34">
        <f t="shared" si="2"/>
        <v>52</v>
      </c>
      <c r="J84" s="35">
        <f t="shared" si="3"/>
        <v>65</v>
      </c>
    </row>
    <row r="85" spans="1:10" x14ac:dyDescent="0.25">
      <c r="A85" s="12" t="s">
        <v>130</v>
      </c>
      <c r="B85" s="39">
        <v>5</v>
      </c>
      <c r="C85" s="34">
        <v>15</v>
      </c>
      <c r="D85" s="35">
        <f t="shared" si="0"/>
        <v>20</v>
      </c>
      <c r="E85" s="34">
        <v>13</v>
      </c>
      <c r="F85" s="34">
        <v>23</v>
      </c>
      <c r="G85" s="34">
        <f t="shared" si="1"/>
        <v>36</v>
      </c>
      <c r="H85" s="39">
        <f t="shared" si="2"/>
        <v>18</v>
      </c>
      <c r="I85" s="34">
        <f t="shared" si="2"/>
        <v>38</v>
      </c>
      <c r="J85" s="35">
        <f t="shared" si="3"/>
        <v>56</v>
      </c>
    </row>
    <row r="86" spans="1:10" x14ac:dyDescent="0.25">
      <c r="A86" s="12" t="s">
        <v>153</v>
      </c>
      <c r="B86" s="39">
        <v>0</v>
      </c>
      <c r="C86" s="34">
        <v>0</v>
      </c>
      <c r="D86" s="35">
        <f t="shared" si="0"/>
        <v>0</v>
      </c>
      <c r="E86" s="34">
        <v>33</v>
      </c>
      <c r="F86" s="34">
        <v>54</v>
      </c>
      <c r="G86" s="34">
        <f t="shared" si="1"/>
        <v>87</v>
      </c>
      <c r="H86" s="39">
        <f t="shared" si="2"/>
        <v>33</v>
      </c>
      <c r="I86" s="34">
        <f t="shared" si="2"/>
        <v>54</v>
      </c>
      <c r="J86" s="35">
        <f t="shared" si="3"/>
        <v>87</v>
      </c>
    </row>
    <row r="87" spans="1:10" x14ac:dyDescent="0.25">
      <c r="A87" s="12" t="s">
        <v>154</v>
      </c>
      <c r="B87" s="39">
        <v>0</v>
      </c>
      <c r="C87" s="34">
        <v>0</v>
      </c>
      <c r="D87" s="35">
        <f t="shared" si="0"/>
        <v>0</v>
      </c>
      <c r="E87" s="34">
        <v>11</v>
      </c>
      <c r="F87" s="34">
        <v>11</v>
      </c>
      <c r="G87" s="34">
        <f t="shared" si="1"/>
        <v>22</v>
      </c>
      <c r="H87" s="39">
        <f t="shared" si="2"/>
        <v>11</v>
      </c>
      <c r="I87" s="34">
        <f t="shared" si="2"/>
        <v>11</v>
      </c>
      <c r="J87" s="35">
        <f t="shared" si="3"/>
        <v>22</v>
      </c>
    </row>
    <row r="88" spans="1:10" x14ac:dyDescent="0.25">
      <c r="A88" s="12" t="s">
        <v>131</v>
      </c>
      <c r="B88" s="39">
        <v>2</v>
      </c>
      <c r="C88" s="34">
        <v>5</v>
      </c>
      <c r="D88" s="35">
        <f t="shared" si="0"/>
        <v>7</v>
      </c>
      <c r="E88" s="34">
        <v>40</v>
      </c>
      <c r="F88" s="34">
        <v>15</v>
      </c>
      <c r="G88" s="34">
        <f t="shared" si="1"/>
        <v>55</v>
      </c>
      <c r="H88" s="39">
        <f t="shared" si="2"/>
        <v>42</v>
      </c>
      <c r="I88" s="34">
        <f t="shared" si="2"/>
        <v>20</v>
      </c>
      <c r="J88" s="35">
        <f t="shared" si="3"/>
        <v>62</v>
      </c>
    </row>
    <row r="89" spans="1:10" ht="15.75" thickBot="1" x14ac:dyDescent="0.3">
      <c r="A89" s="13" t="s">
        <v>149</v>
      </c>
      <c r="B89" s="43">
        <v>0</v>
      </c>
      <c r="C89" s="44">
        <v>0</v>
      </c>
      <c r="D89" s="45">
        <f t="shared" si="0"/>
        <v>0</v>
      </c>
      <c r="E89" s="44">
        <v>59</v>
      </c>
      <c r="F89" s="44">
        <v>13</v>
      </c>
      <c r="G89" s="44">
        <f t="shared" si="1"/>
        <v>72</v>
      </c>
      <c r="H89" s="43">
        <f t="shared" si="2"/>
        <v>59</v>
      </c>
      <c r="I89" s="44">
        <f t="shared" si="2"/>
        <v>13</v>
      </c>
      <c r="J89" s="45">
        <f t="shared" si="3"/>
        <v>72</v>
      </c>
    </row>
    <row r="90" spans="1:10" ht="16.5" thickTop="1" thickBot="1" x14ac:dyDescent="0.3">
      <c r="A90" s="8" t="s">
        <v>0</v>
      </c>
      <c r="B90" s="8">
        <f>SUM(B7:B89)</f>
        <v>5634</v>
      </c>
      <c r="C90" s="36">
        <f>SUM(C7:C89)</f>
        <v>6352</v>
      </c>
      <c r="D90" s="40">
        <f>SUM(D7:D89)</f>
        <v>11986</v>
      </c>
      <c r="E90" s="36">
        <f>SUM(E7:E89)</f>
        <v>3558</v>
      </c>
      <c r="F90" s="36">
        <f>SUM(F7:F89)</f>
        <v>3447</v>
      </c>
      <c r="G90" s="37">
        <f t="shared" ref="G90" si="4">SUM(E90:F90)</f>
        <v>7005</v>
      </c>
      <c r="H90" s="41">
        <f t="shared" ref="H90:I90" si="5">B90+E90</f>
        <v>9192</v>
      </c>
      <c r="I90" s="37">
        <f t="shared" si="5"/>
        <v>9799</v>
      </c>
      <c r="J90" s="38">
        <f t="shared" ref="J90" si="6">SUM(H90:I90)</f>
        <v>18991</v>
      </c>
    </row>
    <row r="91" spans="1:10" ht="15.75" thickBot="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</row>
    <row r="92" spans="1:10" x14ac:dyDescent="0.25">
      <c r="A92" s="16" t="s">
        <v>16</v>
      </c>
      <c r="B92" s="58" t="s">
        <v>3</v>
      </c>
      <c r="C92" s="59"/>
      <c r="D92" s="60"/>
      <c r="E92" s="58" t="s">
        <v>4</v>
      </c>
      <c r="F92" s="59"/>
      <c r="G92" s="60"/>
      <c r="H92" s="58" t="s">
        <v>0</v>
      </c>
      <c r="I92" s="59"/>
      <c r="J92" s="60"/>
    </row>
    <row r="93" spans="1:10" x14ac:dyDescent="0.25">
      <c r="A93" s="17"/>
      <c r="B93" s="32" t="s">
        <v>5</v>
      </c>
      <c r="C93" s="31" t="s">
        <v>6</v>
      </c>
      <c r="D93" s="33" t="s">
        <v>0</v>
      </c>
      <c r="E93" s="32" t="s">
        <v>5</v>
      </c>
      <c r="F93" s="31" t="s">
        <v>6</v>
      </c>
      <c r="G93" s="33" t="s">
        <v>0</v>
      </c>
      <c r="H93" s="32" t="s">
        <v>5</v>
      </c>
      <c r="I93" s="31" t="s">
        <v>6</v>
      </c>
      <c r="J93" s="30" t="s">
        <v>0</v>
      </c>
    </row>
    <row r="94" spans="1:10" x14ac:dyDescent="0.25">
      <c r="A94" s="29" t="s">
        <v>15</v>
      </c>
      <c r="B94" s="6">
        <v>678</v>
      </c>
      <c r="C94" s="4">
        <v>1254</v>
      </c>
      <c r="D94" s="5">
        <f t="shared" ref="D94:D102" si="7">B94+C94</f>
        <v>1932</v>
      </c>
      <c r="E94" s="6">
        <v>235</v>
      </c>
      <c r="F94" s="4">
        <v>400</v>
      </c>
      <c r="G94" s="4">
        <f t="shared" ref="G94:G102" si="8">E94+F94</f>
        <v>635</v>
      </c>
      <c r="H94" s="6">
        <f>B94+E94</f>
        <v>913</v>
      </c>
      <c r="I94" s="4">
        <f>C94+F94</f>
        <v>1654</v>
      </c>
      <c r="J94" s="7">
        <f t="shared" ref="J94:J102" si="9">H94+I94</f>
        <v>2567</v>
      </c>
    </row>
    <row r="95" spans="1:10" x14ac:dyDescent="0.25">
      <c r="A95" s="29" t="s">
        <v>14</v>
      </c>
      <c r="B95" s="6">
        <v>224</v>
      </c>
      <c r="C95" s="4">
        <v>198</v>
      </c>
      <c r="D95" s="5">
        <f t="shared" si="7"/>
        <v>422</v>
      </c>
      <c r="E95" s="6">
        <v>473</v>
      </c>
      <c r="F95" s="4">
        <v>376</v>
      </c>
      <c r="G95" s="4">
        <f t="shared" si="8"/>
        <v>849</v>
      </c>
      <c r="H95" s="6">
        <f t="shared" ref="H95:I102" si="10">B95+E95</f>
        <v>697</v>
      </c>
      <c r="I95" s="4">
        <f t="shared" si="10"/>
        <v>574</v>
      </c>
      <c r="J95" s="7">
        <f t="shared" si="9"/>
        <v>1271</v>
      </c>
    </row>
    <row r="96" spans="1:10" x14ac:dyDescent="0.25">
      <c r="A96" s="29" t="s">
        <v>155</v>
      </c>
      <c r="B96" s="6">
        <v>537</v>
      </c>
      <c r="C96" s="4">
        <v>698</v>
      </c>
      <c r="D96" s="5">
        <f t="shared" si="7"/>
        <v>1235</v>
      </c>
      <c r="E96" s="6">
        <v>565</v>
      </c>
      <c r="F96" s="4">
        <v>627</v>
      </c>
      <c r="G96" s="4">
        <f t="shared" si="8"/>
        <v>1192</v>
      </c>
      <c r="H96" s="6">
        <f t="shared" si="10"/>
        <v>1102</v>
      </c>
      <c r="I96" s="4">
        <f t="shared" si="10"/>
        <v>1325</v>
      </c>
      <c r="J96" s="7">
        <f t="shared" si="9"/>
        <v>2427</v>
      </c>
    </row>
    <row r="97" spans="1:10" x14ac:dyDescent="0.25">
      <c r="A97" s="29" t="s">
        <v>81</v>
      </c>
      <c r="B97" s="6">
        <v>0</v>
      </c>
      <c r="C97" s="4">
        <v>0</v>
      </c>
      <c r="D97" s="5">
        <f t="shared" si="7"/>
        <v>0</v>
      </c>
      <c r="E97" s="6">
        <v>204</v>
      </c>
      <c r="F97" s="4">
        <v>147</v>
      </c>
      <c r="G97" s="4">
        <f t="shared" si="8"/>
        <v>351</v>
      </c>
      <c r="H97" s="6">
        <f t="shared" ref="H97:H99" si="11">B97+E97</f>
        <v>204</v>
      </c>
      <c r="I97" s="4">
        <f t="shared" ref="I97:I99" si="12">C97+F97</f>
        <v>147</v>
      </c>
      <c r="J97" s="7">
        <f t="shared" ref="J97:J99" si="13">H97+I97</f>
        <v>351</v>
      </c>
    </row>
    <row r="98" spans="1:10" x14ac:dyDescent="0.25">
      <c r="A98" s="29" t="s">
        <v>91</v>
      </c>
      <c r="B98" s="6">
        <v>975</v>
      </c>
      <c r="C98" s="4">
        <v>255</v>
      </c>
      <c r="D98" s="5">
        <f t="shared" si="7"/>
        <v>1230</v>
      </c>
      <c r="E98" s="6">
        <v>822</v>
      </c>
      <c r="F98" s="4">
        <v>217</v>
      </c>
      <c r="G98" s="4">
        <f t="shared" si="8"/>
        <v>1039</v>
      </c>
      <c r="H98" s="6">
        <f t="shared" si="11"/>
        <v>1797</v>
      </c>
      <c r="I98" s="4">
        <f t="shared" si="12"/>
        <v>472</v>
      </c>
      <c r="J98" s="7">
        <f t="shared" si="13"/>
        <v>2269</v>
      </c>
    </row>
    <row r="99" spans="1:10" x14ac:dyDescent="0.25">
      <c r="A99" s="29" t="s">
        <v>1</v>
      </c>
      <c r="B99" s="6">
        <v>229</v>
      </c>
      <c r="C99" s="4">
        <v>363</v>
      </c>
      <c r="D99" s="5">
        <f t="shared" si="7"/>
        <v>592</v>
      </c>
      <c r="E99" s="6">
        <v>172</v>
      </c>
      <c r="F99" s="4">
        <v>235</v>
      </c>
      <c r="G99" s="4">
        <f t="shared" si="8"/>
        <v>407</v>
      </c>
      <c r="H99" s="6">
        <f t="shared" si="11"/>
        <v>401</v>
      </c>
      <c r="I99" s="4">
        <f t="shared" si="12"/>
        <v>598</v>
      </c>
      <c r="J99" s="7">
        <f t="shared" si="13"/>
        <v>999</v>
      </c>
    </row>
    <row r="100" spans="1:10" x14ac:dyDescent="0.25">
      <c r="A100" s="29" t="s">
        <v>11</v>
      </c>
      <c r="B100" s="6">
        <v>797</v>
      </c>
      <c r="C100" s="4">
        <v>1644</v>
      </c>
      <c r="D100" s="5">
        <f t="shared" si="7"/>
        <v>2441</v>
      </c>
      <c r="E100" s="6">
        <v>371</v>
      </c>
      <c r="F100" s="4">
        <v>622</v>
      </c>
      <c r="G100" s="4">
        <f t="shared" si="8"/>
        <v>993</v>
      </c>
      <c r="H100" s="6">
        <f t="shared" si="10"/>
        <v>1168</v>
      </c>
      <c r="I100" s="4">
        <f t="shared" si="10"/>
        <v>2266</v>
      </c>
      <c r="J100" s="7">
        <f t="shared" si="9"/>
        <v>3434</v>
      </c>
    </row>
    <row r="101" spans="1:10" x14ac:dyDescent="0.25">
      <c r="A101" s="29" t="s">
        <v>10</v>
      </c>
      <c r="B101" s="6">
        <v>1049</v>
      </c>
      <c r="C101" s="4">
        <v>722</v>
      </c>
      <c r="D101" s="5">
        <f t="shared" si="7"/>
        <v>1771</v>
      </c>
      <c r="E101" s="6">
        <v>229</v>
      </c>
      <c r="F101" s="4">
        <v>169</v>
      </c>
      <c r="G101" s="4">
        <f t="shared" si="8"/>
        <v>398</v>
      </c>
      <c r="H101" s="6">
        <f t="shared" si="10"/>
        <v>1278</v>
      </c>
      <c r="I101" s="4">
        <f t="shared" si="10"/>
        <v>891</v>
      </c>
      <c r="J101" s="7">
        <f t="shared" si="9"/>
        <v>2169</v>
      </c>
    </row>
    <row r="102" spans="1:10" ht="15.75" thickBot="1" x14ac:dyDescent="0.3">
      <c r="A102" s="28" t="s">
        <v>9</v>
      </c>
      <c r="B102" s="10">
        <v>1145</v>
      </c>
      <c r="C102" s="27">
        <v>1218</v>
      </c>
      <c r="D102" s="14">
        <f t="shared" si="7"/>
        <v>2363</v>
      </c>
      <c r="E102" s="10">
        <v>487</v>
      </c>
      <c r="F102" s="11">
        <v>654</v>
      </c>
      <c r="G102" s="11">
        <f t="shared" si="8"/>
        <v>1141</v>
      </c>
      <c r="H102" s="10">
        <f t="shared" si="10"/>
        <v>1632</v>
      </c>
      <c r="I102" s="11">
        <f t="shared" si="10"/>
        <v>1872</v>
      </c>
      <c r="J102" s="26">
        <f t="shared" si="9"/>
        <v>3504</v>
      </c>
    </row>
    <row r="103" spans="1:10" ht="16.5" thickTop="1" thickBot="1" x14ac:dyDescent="0.3">
      <c r="A103" s="9" t="s">
        <v>0</v>
      </c>
      <c r="B103" s="8">
        <f t="shared" ref="B103:J103" si="14">SUM(B94:B102)</f>
        <v>5634</v>
      </c>
      <c r="C103" s="8">
        <f t="shared" si="14"/>
        <v>6352</v>
      </c>
      <c r="D103" s="8">
        <f t="shared" si="14"/>
        <v>11986</v>
      </c>
      <c r="E103" s="8">
        <f t="shared" si="14"/>
        <v>3558</v>
      </c>
      <c r="F103" s="8">
        <f t="shared" si="14"/>
        <v>3447</v>
      </c>
      <c r="G103" s="8">
        <f t="shared" si="14"/>
        <v>7005</v>
      </c>
      <c r="H103" s="8">
        <f t="shared" si="14"/>
        <v>9192</v>
      </c>
      <c r="I103" s="8">
        <f t="shared" si="14"/>
        <v>9799</v>
      </c>
      <c r="J103" s="9">
        <f t="shared" si="14"/>
        <v>18991</v>
      </c>
    </row>
    <row r="104" spans="1:10" ht="15.75" thickBot="1" x14ac:dyDescent="0.3">
      <c r="A104" s="25"/>
      <c r="B104" s="25"/>
      <c r="C104" s="25"/>
      <c r="D104" s="25"/>
      <c r="E104" s="25"/>
      <c r="F104" s="25"/>
      <c r="G104" s="25"/>
      <c r="H104" s="25"/>
      <c r="I104" s="25"/>
      <c r="J104" s="25"/>
    </row>
    <row r="105" spans="1:10" x14ac:dyDescent="0.25">
      <c r="A105" s="29" t="s">
        <v>15</v>
      </c>
      <c r="B105" s="24">
        <f>B94/D94</f>
        <v>0.35093167701863354</v>
      </c>
      <c r="C105" s="23">
        <f>C94/D94</f>
        <v>0.64906832298136641</v>
      </c>
      <c r="D105" s="5"/>
      <c r="E105" s="24">
        <f>E94/G94</f>
        <v>0.37007874015748032</v>
      </c>
      <c r="F105" s="23">
        <f>F94/G94</f>
        <v>0.62992125984251968</v>
      </c>
      <c r="G105" s="4"/>
      <c r="H105" s="24">
        <f>H94/J94</f>
        <v>0.35566809505259056</v>
      </c>
      <c r="I105" s="23">
        <f>I94/J94</f>
        <v>0.64433190494740944</v>
      </c>
      <c r="J105" s="7"/>
    </row>
    <row r="106" spans="1:10" x14ac:dyDescent="0.25">
      <c r="A106" s="29" t="s">
        <v>14</v>
      </c>
      <c r="B106" s="24">
        <f>B95/D95</f>
        <v>0.53080568720379151</v>
      </c>
      <c r="C106" s="23">
        <f>C95/D95</f>
        <v>0.46919431279620855</v>
      </c>
      <c r="D106" s="5"/>
      <c r="E106" s="24">
        <f>E95/G95</f>
        <v>0.5571260306242638</v>
      </c>
      <c r="F106" s="23">
        <f>F95/G95</f>
        <v>0.44287396937573614</v>
      </c>
      <c r="G106" s="4"/>
      <c r="H106" s="24">
        <f>H95/J95</f>
        <v>0.54838709677419351</v>
      </c>
      <c r="I106" s="23">
        <f>I95/J95</f>
        <v>0.45161290322580644</v>
      </c>
      <c r="J106" s="7"/>
    </row>
    <row r="107" spans="1:10" x14ac:dyDescent="0.25">
      <c r="A107" s="29" t="s">
        <v>155</v>
      </c>
      <c r="B107" s="24">
        <f>B96/D96</f>
        <v>0.43481781376518219</v>
      </c>
      <c r="C107" s="23">
        <f>C96/D96</f>
        <v>0.56518218623481786</v>
      </c>
      <c r="D107" s="5"/>
      <c r="E107" s="24">
        <f>E96/G96</f>
        <v>0.47399328859060402</v>
      </c>
      <c r="F107" s="23">
        <f>F96/G96</f>
        <v>0.52600671140939592</v>
      </c>
      <c r="G107" s="4"/>
      <c r="H107" s="24">
        <f>H96/J96</f>
        <v>0.45405850844664192</v>
      </c>
      <c r="I107" s="23">
        <f>I96/J96</f>
        <v>0.54594149155335803</v>
      </c>
      <c r="J107" s="7"/>
    </row>
    <row r="108" spans="1:10" x14ac:dyDescent="0.25">
      <c r="A108" s="29" t="s">
        <v>81</v>
      </c>
      <c r="B108" s="24">
        <v>0</v>
      </c>
      <c r="C108" s="23">
        <v>0</v>
      </c>
      <c r="D108" s="5"/>
      <c r="E108" s="24">
        <f>E97/G97</f>
        <v>0.58119658119658124</v>
      </c>
      <c r="F108" s="23">
        <f>F97/G97</f>
        <v>0.41880341880341881</v>
      </c>
      <c r="G108" s="4"/>
      <c r="H108" s="24">
        <f>H97/J97</f>
        <v>0.58119658119658124</v>
      </c>
      <c r="I108" s="23">
        <f>I97/J97</f>
        <v>0.41880341880341881</v>
      </c>
      <c r="J108" s="7"/>
    </row>
    <row r="109" spans="1:10" x14ac:dyDescent="0.25">
      <c r="A109" s="29" t="s">
        <v>91</v>
      </c>
      <c r="B109" s="24">
        <f>B98/D98</f>
        <v>0.79268292682926833</v>
      </c>
      <c r="C109" s="23">
        <f>C98/D98</f>
        <v>0.2073170731707317</v>
      </c>
      <c r="D109" s="5"/>
      <c r="E109" s="24">
        <f>E98/G98</f>
        <v>0.79114533205004811</v>
      </c>
      <c r="F109" s="23">
        <f>F98/G98</f>
        <v>0.20885466794995189</v>
      </c>
      <c r="G109" s="4"/>
      <c r="H109" s="24">
        <f>H98/J98</f>
        <v>0.79197884530630236</v>
      </c>
      <c r="I109" s="23">
        <f>I98/J98</f>
        <v>0.20802115469369767</v>
      </c>
      <c r="J109" s="7"/>
    </row>
    <row r="110" spans="1:10" x14ac:dyDescent="0.25">
      <c r="A110" s="29" t="s">
        <v>1</v>
      </c>
      <c r="B110" s="24">
        <f t="shared" ref="B110" si="15">B99/D99</f>
        <v>0.38682432432432434</v>
      </c>
      <c r="C110" s="23">
        <f t="shared" ref="C110" si="16">C99/D99</f>
        <v>0.61317567567567566</v>
      </c>
      <c r="D110" s="5"/>
      <c r="E110" s="24">
        <f t="shared" ref="E110" si="17">E99/G99</f>
        <v>0.4226044226044226</v>
      </c>
      <c r="F110" s="23">
        <f t="shared" ref="F110" si="18">F99/G99</f>
        <v>0.57739557739557734</v>
      </c>
      <c r="G110" s="4"/>
      <c r="H110" s="24">
        <f t="shared" ref="H110" si="19">H99/J99</f>
        <v>0.4014014014014014</v>
      </c>
      <c r="I110" s="23">
        <f t="shared" ref="I110" si="20">I99/J99</f>
        <v>0.59859859859859865</v>
      </c>
      <c r="J110" s="7"/>
    </row>
    <row r="111" spans="1:10" x14ac:dyDescent="0.25">
      <c r="A111" s="29" t="s">
        <v>11</v>
      </c>
      <c r="B111" s="24">
        <f>B100/D100</f>
        <v>0.32650553052027859</v>
      </c>
      <c r="C111" s="23">
        <f>C100/D100</f>
        <v>0.67349446947972147</v>
      </c>
      <c r="D111" s="5"/>
      <c r="E111" s="24">
        <f>E100/G100</f>
        <v>0.37361530715005037</v>
      </c>
      <c r="F111" s="23">
        <f>F100/G100</f>
        <v>0.62638469284994969</v>
      </c>
      <c r="G111" s="4"/>
      <c r="H111" s="24">
        <f>H100/J100</f>
        <v>0.34012813046010482</v>
      </c>
      <c r="I111" s="23">
        <f>I100/J100</f>
        <v>0.65987186953989518</v>
      </c>
      <c r="J111" s="7"/>
    </row>
    <row r="112" spans="1:10" x14ac:dyDescent="0.25">
      <c r="A112" s="29" t="s">
        <v>10</v>
      </c>
      <c r="B112" s="24">
        <f>B101/D101</f>
        <v>0.5923207227555054</v>
      </c>
      <c r="C112" s="23">
        <f>C101/D101</f>
        <v>0.40767927724449465</v>
      </c>
      <c r="D112" s="5"/>
      <c r="E112" s="24">
        <f>E101/G101</f>
        <v>0.57537688442211055</v>
      </c>
      <c r="F112" s="23">
        <f>F101/G101</f>
        <v>0.42462311557788945</v>
      </c>
      <c r="G112" s="4"/>
      <c r="H112" s="24">
        <f>H101/J101</f>
        <v>0.58921161825726143</v>
      </c>
      <c r="I112" s="23">
        <f>I101/J101</f>
        <v>0.41078838174273857</v>
      </c>
      <c r="J112" s="7"/>
    </row>
    <row r="113" spans="1:10" ht="15.75" thickBot="1" x14ac:dyDescent="0.3">
      <c r="A113" s="28" t="s">
        <v>9</v>
      </c>
      <c r="B113" s="22">
        <f>B102/D102</f>
        <v>0.48455353364367332</v>
      </c>
      <c r="C113" s="21">
        <f>C102/D102</f>
        <v>0.51544646635632674</v>
      </c>
      <c r="D113" s="14"/>
      <c r="E113" s="22">
        <f>E102/G102</f>
        <v>0.42681858019281332</v>
      </c>
      <c r="F113" s="21">
        <f>F102/G102</f>
        <v>0.57318141980718673</v>
      </c>
      <c r="G113" s="11"/>
      <c r="H113" s="22">
        <f>H102/J102</f>
        <v>0.46575342465753422</v>
      </c>
      <c r="I113" s="21">
        <f>I102/J102</f>
        <v>0.53424657534246578</v>
      </c>
      <c r="J113" s="20"/>
    </row>
    <row r="114" spans="1:10" ht="16.5" thickTop="1" thickBot="1" x14ac:dyDescent="0.3">
      <c r="A114" s="8" t="s">
        <v>0</v>
      </c>
      <c r="B114" s="19">
        <f>B103/D103</f>
        <v>0.47004838978808611</v>
      </c>
      <c r="C114" s="19">
        <f>C103/D103</f>
        <v>0.52995161021191395</v>
      </c>
      <c r="D114" s="8"/>
      <c r="E114" s="19">
        <f>E103/G103</f>
        <v>0.5079229122055674</v>
      </c>
      <c r="F114" s="19">
        <f>F103/G103</f>
        <v>0.49207708779443254</v>
      </c>
      <c r="G114" s="8"/>
      <c r="H114" s="19">
        <f>H103/J103</f>
        <v>0.48401874572165765</v>
      </c>
      <c r="I114" s="19">
        <f>I103/J103</f>
        <v>0.5159812542783424</v>
      </c>
      <c r="J114" s="9"/>
    </row>
  </sheetData>
  <mergeCells count="8">
    <mergeCell ref="B92:D92"/>
    <mergeCell ref="E92:G92"/>
    <mergeCell ref="H92:J92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abSelected="1" topLeftCell="A79" zoomScale="55" zoomScaleNormal="55" zoomScalePageLayoutView="70" workbookViewId="0">
      <selection activeCell="A92" sqref="A92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2002-03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81</v>
      </c>
      <c r="C7" s="34">
        <v>165</v>
      </c>
      <c r="D7" s="35">
        <f>SUM(B7:C7)</f>
        <v>246</v>
      </c>
      <c r="E7" s="34">
        <v>67</v>
      </c>
      <c r="F7" s="34">
        <v>64</v>
      </c>
      <c r="G7" s="34">
        <f>SUM(E7:F7)</f>
        <v>131</v>
      </c>
      <c r="H7" s="39">
        <f>B7+E7</f>
        <v>148</v>
      </c>
      <c r="I7" s="34">
        <f>C7+F7</f>
        <v>229</v>
      </c>
      <c r="J7" s="35">
        <f>SUM(H7:I7)</f>
        <v>377</v>
      </c>
    </row>
    <row r="8" spans="1:10" x14ac:dyDescent="0.25">
      <c r="A8" s="12" t="s">
        <v>17</v>
      </c>
      <c r="B8" s="39">
        <v>52</v>
      </c>
      <c r="C8" s="34">
        <v>143</v>
      </c>
      <c r="D8" s="35">
        <f t="shared" ref="D8:D89" si="0">SUM(B8:C8)</f>
        <v>195</v>
      </c>
      <c r="E8" s="34">
        <v>30</v>
      </c>
      <c r="F8" s="34">
        <v>93</v>
      </c>
      <c r="G8" s="34">
        <f t="shared" ref="G8:G89" si="1">SUM(E8:F8)</f>
        <v>123</v>
      </c>
      <c r="H8" s="39">
        <f t="shared" ref="H8:I89" si="2">B8+E8</f>
        <v>82</v>
      </c>
      <c r="I8" s="34">
        <f t="shared" si="2"/>
        <v>236</v>
      </c>
      <c r="J8" s="35">
        <f t="shared" ref="J8:J89" si="3">SUM(H8:I8)</f>
        <v>318</v>
      </c>
    </row>
    <row r="9" spans="1:10" x14ac:dyDescent="0.25">
      <c r="A9" s="12" t="s">
        <v>18</v>
      </c>
      <c r="B9" s="39">
        <v>99</v>
      </c>
      <c r="C9" s="34">
        <v>160</v>
      </c>
      <c r="D9" s="35">
        <f t="shared" si="0"/>
        <v>259</v>
      </c>
      <c r="E9" s="34">
        <v>87</v>
      </c>
      <c r="F9" s="34">
        <v>210</v>
      </c>
      <c r="G9" s="34">
        <f t="shared" si="1"/>
        <v>297</v>
      </c>
      <c r="H9" s="39">
        <f t="shared" si="2"/>
        <v>186</v>
      </c>
      <c r="I9" s="34">
        <f t="shared" si="2"/>
        <v>370</v>
      </c>
      <c r="J9" s="35">
        <f t="shared" si="3"/>
        <v>556</v>
      </c>
    </row>
    <row r="10" spans="1:10" x14ac:dyDescent="0.25">
      <c r="A10" s="12" t="s">
        <v>19</v>
      </c>
      <c r="B10" s="39">
        <v>237</v>
      </c>
      <c r="C10" s="34">
        <v>176</v>
      </c>
      <c r="D10" s="35">
        <f t="shared" si="0"/>
        <v>413</v>
      </c>
      <c r="E10" s="34">
        <v>409</v>
      </c>
      <c r="F10" s="34">
        <v>296</v>
      </c>
      <c r="G10" s="34">
        <f t="shared" si="1"/>
        <v>705</v>
      </c>
      <c r="H10" s="39">
        <f t="shared" si="2"/>
        <v>646</v>
      </c>
      <c r="I10" s="34">
        <f t="shared" si="2"/>
        <v>472</v>
      </c>
      <c r="J10" s="35">
        <f t="shared" si="3"/>
        <v>1118</v>
      </c>
    </row>
    <row r="11" spans="1:10" x14ac:dyDescent="0.25">
      <c r="A11" s="12" t="s">
        <v>23</v>
      </c>
      <c r="B11" s="39">
        <v>66</v>
      </c>
      <c r="C11" s="34">
        <v>56</v>
      </c>
      <c r="D11" s="35">
        <f t="shared" si="0"/>
        <v>122</v>
      </c>
      <c r="E11" s="34">
        <v>64</v>
      </c>
      <c r="F11" s="34">
        <v>33</v>
      </c>
      <c r="G11" s="34">
        <f t="shared" si="1"/>
        <v>97</v>
      </c>
      <c r="H11" s="39">
        <f t="shared" si="2"/>
        <v>130</v>
      </c>
      <c r="I11" s="34">
        <f t="shared" si="2"/>
        <v>89</v>
      </c>
      <c r="J11" s="35">
        <f t="shared" si="3"/>
        <v>219</v>
      </c>
    </row>
    <row r="12" spans="1:10" x14ac:dyDescent="0.25">
      <c r="A12" s="12" t="s">
        <v>108</v>
      </c>
      <c r="B12" s="39">
        <v>110</v>
      </c>
      <c r="C12" s="34">
        <v>102</v>
      </c>
      <c r="D12" s="35">
        <f t="shared" si="0"/>
        <v>212</v>
      </c>
      <c r="E12" s="34">
        <v>53</v>
      </c>
      <c r="F12" s="34">
        <v>51</v>
      </c>
      <c r="G12" s="34">
        <f t="shared" si="1"/>
        <v>104</v>
      </c>
      <c r="H12" s="39">
        <f t="shared" si="2"/>
        <v>163</v>
      </c>
      <c r="I12" s="34">
        <f t="shared" si="2"/>
        <v>153</v>
      </c>
      <c r="J12" s="35">
        <f t="shared" si="3"/>
        <v>316</v>
      </c>
    </row>
    <row r="13" spans="1:10" x14ac:dyDescent="0.25">
      <c r="A13" s="12" t="s">
        <v>109</v>
      </c>
      <c r="B13" s="39">
        <v>124</v>
      </c>
      <c r="C13" s="34">
        <v>163</v>
      </c>
      <c r="D13" s="35">
        <f t="shared" si="0"/>
        <v>287</v>
      </c>
      <c r="E13" s="34">
        <v>45</v>
      </c>
      <c r="F13" s="34">
        <v>45</v>
      </c>
      <c r="G13" s="34">
        <f t="shared" si="1"/>
        <v>90</v>
      </c>
      <c r="H13" s="39">
        <f t="shared" si="2"/>
        <v>169</v>
      </c>
      <c r="I13" s="34">
        <f t="shared" si="2"/>
        <v>208</v>
      </c>
      <c r="J13" s="35">
        <f t="shared" si="3"/>
        <v>377</v>
      </c>
    </row>
    <row r="14" spans="1:10" x14ac:dyDescent="0.25">
      <c r="A14" s="12" t="s">
        <v>139</v>
      </c>
      <c r="B14" s="39">
        <v>0</v>
      </c>
      <c r="C14" s="34">
        <v>0</v>
      </c>
      <c r="D14" s="35">
        <f t="shared" si="0"/>
        <v>0</v>
      </c>
      <c r="E14" s="34">
        <v>5</v>
      </c>
      <c r="F14" s="34">
        <v>6</v>
      </c>
      <c r="G14" s="34">
        <f t="shared" si="1"/>
        <v>11</v>
      </c>
      <c r="H14" s="39">
        <f t="shared" si="2"/>
        <v>5</v>
      </c>
      <c r="I14" s="34">
        <f t="shared" si="2"/>
        <v>6</v>
      </c>
      <c r="J14" s="35">
        <f t="shared" si="3"/>
        <v>11</v>
      </c>
    </row>
    <row r="15" spans="1:10" x14ac:dyDescent="0.25">
      <c r="A15" s="12" t="s">
        <v>140</v>
      </c>
      <c r="B15" s="39">
        <v>0</v>
      </c>
      <c r="C15" s="34">
        <v>0</v>
      </c>
      <c r="D15" s="35">
        <f t="shared" si="0"/>
        <v>0</v>
      </c>
      <c r="E15" s="34">
        <v>12</v>
      </c>
      <c r="F15" s="34">
        <v>1</v>
      </c>
      <c r="G15" s="34">
        <f t="shared" si="1"/>
        <v>13</v>
      </c>
      <c r="H15" s="39">
        <f t="shared" si="2"/>
        <v>12</v>
      </c>
      <c r="I15" s="34">
        <f t="shared" si="2"/>
        <v>1</v>
      </c>
      <c r="J15" s="35">
        <f t="shared" si="3"/>
        <v>13</v>
      </c>
    </row>
    <row r="16" spans="1:10" x14ac:dyDescent="0.25">
      <c r="A16" s="12" t="s">
        <v>30</v>
      </c>
      <c r="B16" s="39">
        <v>96</v>
      </c>
      <c r="C16" s="34">
        <v>42</v>
      </c>
      <c r="D16" s="35">
        <f t="shared" si="0"/>
        <v>138</v>
      </c>
      <c r="E16" s="34">
        <v>35</v>
      </c>
      <c r="F16" s="34">
        <v>10</v>
      </c>
      <c r="G16" s="34">
        <f t="shared" si="1"/>
        <v>45</v>
      </c>
      <c r="H16" s="39">
        <f t="shared" si="2"/>
        <v>131</v>
      </c>
      <c r="I16" s="34">
        <f t="shared" si="2"/>
        <v>52</v>
      </c>
      <c r="J16" s="35">
        <f t="shared" si="3"/>
        <v>183</v>
      </c>
    </row>
    <row r="17" spans="1:10" x14ac:dyDescent="0.25">
      <c r="A17" s="12" t="s">
        <v>31</v>
      </c>
      <c r="B17" s="39">
        <v>120</v>
      </c>
      <c r="C17" s="34">
        <v>126</v>
      </c>
      <c r="D17" s="35">
        <f t="shared" si="0"/>
        <v>246</v>
      </c>
      <c r="E17" s="34">
        <v>37</v>
      </c>
      <c r="F17" s="34">
        <v>38</v>
      </c>
      <c r="G17" s="34">
        <f t="shared" si="1"/>
        <v>75</v>
      </c>
      <c r="H17" s="39">
        <f t="shared" si="2"/>
        <v>157</v>
      </c>
      <c r="I17" s="34">
        <f t="shared" si="2"/>
        <v>164</v>
      </c>
      <c r="J17" s="35">
        <f t="shared" si="3"/>
        <v>321</v>
      </c>
    </row>
    <row r="18" spans="1:10" x14ac:dyDescent="0.25">
      <c r="A18" s="12" t="s">
        <v>132</v>
      </c>
      <c r="B18" s="39">
        <v>134</v>
      </c>
      <c r="C18" s="34">
        <v>37</v>
      </c>
      <c r="D18" s="35">
        <f t="shared" si="0"/>
        <v>171</v>
      </c>
      <c r="E18" s="34">
        <v>22</v>
      </c>
      <c r="F18" s="34">
        <v>7</v>
      </c>
      <c r="G18" s="34">
        <f t="shared" si="1"/>
        <v>29</v>
      </c>
      <c r="H18" s="39">
        <f t="shared" si="2"/>
        <v>156</v>
      </c>
      <c r="I18" s="34">
        <f t="shared" si="2"/>
        <v>44</v>
      </c>
      <c r="J18" s="35">
        <f t="shared" si="3"/>
        <v>200</v>
      </c>
    </row>
    <row r="19" spans="1:10" x14ac:dyDescent="0.25">
      <c r="A19" s="12" t="s">
        <v>33</v>
      </c>
      <c r="B19" s="39">
        <v>183</v>
      </c>
      <c r="C19" s="34">
        <v>42</v>
      </c>
      <c r="D19" s="35">
        <f t="shared" si="0"/>
        <v>225</v>
      </c>
      <c r="E19" s="34">
        <v>138</v>
      </c>
      <c r="F19" s="34">
        <v>34</v>
      </c>
      <c r="G19" s="34">
        <f t="shared" si="1"/>
        <v>172</v>
      </c>
      <c r="H19" s="39">
        <f t="shared" si="2"/>
        <v>321</v>
      </c>
      <c r="I19" s="34">
        <f t="shared" si="2"/>
        <v>76</v>
      </c>
      <c r="J19" s="35">
        <f t="shared" si="3"/>
        <v>397</v>
      </c>
    </row>
    <row r="20" spans="1:10" x14ac:dyDescent="0.25">
      <c r="A20" s="12" t="s">
        <v>34</v>
      </c>
      <c r="B20" s="39">
        <v>0</v>
      </c>
      <c r="C20" s="34">
        <v>0</v>
      </c>
      <c r="D20" s="35">
        <f t="shared" si="0"/>
        <v>0</v>
      </c>
      <c r="E20" s="34">
        <v>48</v>
      </c>
      <c r="F20" s="34">
        <v>66</v>
      </c>
      <c r="G20" s="34">
        <f t="shared" si="1"/>
        <v>114</v>
      </c>
      <c r="H20" s="39">
        <f t="shared" si="2"/>
        <v>48</v>
      </c>
      <c r="I20" s="34">
        <f t="shared" si="2"/>
        <v>66</v>
      </c>
      <c r="J20" s="35">
        <f t="shared" si="3"/>
        <v>114</v>
      </c>
    </row>
    <row r="21" spans="1:10" x14ac:dyDescent="0.25">
      <c r="A21" s="12" t="s">
        <v>35</v>
      </c>
      <c r="B21" s="39">
        <v>9</v>
      </c>
      <c r="C21" s="34">
        <v>23</v>
      </c>
      <c r="D21" s="35">
        <f t="shared" si="0"/>
        <v>32</v>
      </c>
      <c r="E21" s="34">
        <v>6</v>
      </c>
      <c r="F21" s="34">
        <v>22</v>
      </c>
      <c r="G21" s="34">
        <f t="shared" si="1"/>
        <v>28</v>
      </c>
      <c r="H21" s="39">
        <f t="shared" si="2"/>
        <v>15</v>
      </c>
      <c r="I21" s="34">
        <f t="shared" si="2"/>
        <v>45</v>
      </c>
      <c r="J21" s="35">
        <f t="shared" si="3"/>
        <v>60</v>
      </c>
    </row>
    <row r="22" spans="1:10" x14ac:dyDescent="0.25">
      <c r="A22" s="12" t="s">
        <v>36</v>
      </c>
      <c r="B22" s="39">
        <v>66</v>
      </c>
      <c r="C22" s="34">
        <v>75</v>
      </c>
      <c r="D22" s="35">
        <f t="shared" si="0"/>
        <v>141</v>
      </c>
      <c r="E22" s="34">
        <v>31</v>
      </c>
      <c r="F22" s="34">
        <v>19</v>
      </c>
      <c r="G22" s="34">
        <f t="shared" si="1"/>
        <v>50</v>
      </c>
      <c r="H22" s="39">
        <f t="shared" si="2"/>
        <v>97</v>
      </c>
      <c r="I22" s="34">
        <f t="shared" si="2"/>
        <v>94</v>
      </c>
      <c r="J22" s="35">
        <f t="shared" si="3"/>
        <v>191</v>
      </c>
    </row>
    <row r="23" spans="1:10" x14ac:dyDescent="0.25">
      <c r="A23" s="12" t="s">
        <v>37</v>
      </c>
      <c r="B23" s="39">
        <v>374</v>
      </c>
      <c r="C23" s="34">
        <v>196</v>
      </c>
      <c r="D23" s="35">
        <f t="shared" si="0"/>
        <v>570</v>
      </c>
      <c r="E23" s="34">
        <v>83</v>
      </c>
      <c r="F23" s="34">
        <v>54</v>
      </c>
      <c r="G23" s="34">
        <f t="shared" si="1"/>
        <v>137</v>
      </c>
      <c r="H23" s="39">
        <f t="shared" si="2"/>
        <v>457</v>
      </c>
      <c r="I23" s="34">
        <f t="shared" si="2"/>
        <v>250</v>
      </c>
      <c r="J23" s="35">
        <f t="shared" si="3"/>
        <v>707</v>
      </c>
    </row>
    <row r="24" spans="1:10" x14ac:dyDescent="0.25">
      <c r="A24" s="12" t="s">
        <v>150</v>
      </c>
      <c r="B24" s="39">
        <v>0</v>
      </c>
      <c r="C24" s="34">
        <v>0</v>
      </c>
      <c r="D24" s="35">
        <f t="shared" si="0"/>
        <v>0</v>
      </c>
      <c r="E24" s="34">
        <v>21</v>
      </c>
      <c r="F24" s="34">
        <v>20</v>
      </c>
      <c r="G24" s="34">
        <f t="shared" si="1"/>
        <v>41</v>
      </c>
      <c r="H24" s="39">
        <f t="shared" si="2"/>
        <v>21</v>
      </c>
      <c r="I24" s="34">
        <f t="shared" si="2"/>
        <v>20</v>
      </c>
      <c r="J24" s="35">
        <f t="shared" si="3"/>
        <v>41</v>
      </c>
    </row>
    <row r="25" spans="1:10" x14ac:dyDescent="0.25">
      <c r="A25" s="12" t="s">
        <v>38</v>
      </c>
      <c r="B25" s="39">
        <v>242</v>
      </c>
      <c r="C25" s="34">
        <v>39</v>
      </c>
      <c r="D25" s="35">
        <f t="shared" si="0"/>
        <v>281</v>
      </c>
      <c r="E25" s="34">
        <v>314</v>
      </c>
      <c r="F25" s="34">
        <v>65</v>
      </c>
      <c r="G25" s="34">
        <f t="shared" si="1"/>
        <v>379</v>
      </c>
      <c r="H25" s="39">
        <f t="shared" si="2"/>
        <v>556</v>
      </c>
      <c r="I25" s="34">
        <f t="shared" si="2"/>
        <v>104</v>
      </c>
      <c r="J25" s="35">
        <f t="shared" si="3"/>
        <v>660</v>
      </c>
    </row>
    <row r="26" spans="1:10" x14ac:dyDescent="0.25">
      <c r="A26" s="12" t="s">
        <v>41</v>
      </c>
      <c r="B26" s="39">
        <v>86</v>
      </c>
      <c r="C26" s="34">
        <v>173</v>
      </c>
      <c r="D26" s="35">
        <f t="shared" si="0"/>
        <v>259</v>
      </c>
      <c r="E26" s="34">
        <v>21</v>
      </c>
      <c r="F26" s="34">
        <v>31</v>
      </c>
      <c r="G26" s="34">
        <f t="shared" si="1"/>
        <v>52</v>
      </c>
      <c r="H26" s="39">
        <f t="shared" si="2"/>
        <v>107</v>
      </c>
      <c r="I26" s="34">
        <f t="shared" si="2"/>
        <v>204</v>
      </c>
      <c r="J26" s="35">
        <f t="shared" si="3"/>
        <v>311</v>
      </c>
    </row>
    <row r="27" spans="1:10" x14ac:dyDescent="0.25">
      <c r="A27" s="12" t="s">
        <v>44</v>
      </c>
      <c r="B27" s="39">
        <v>53</v>
      </c>
      <c r="C27" s="34">
        <v>116</v>
      </c>
      <c r="D27" s="35">
        <f t="shared" si="0"/>
        <v>169</v>
      </c>
      <c r="E27" s="34">
        <v>52</v>
      </c>
      <c r="F27" s="34">
        <v>66</v>
      </c>
      <c r="G27" s="34">
        <f t="shared" si="1"/>
        <v>118</v>
      </c>
      <c r="H27" s="39">
        <f t="shared" si="2"/>
        <v>105</v>
      </c>
      <c r="I27" s="34">
        <f t="shared" si="2"/>
        <v>182</v>
      </c>
      <c r="J27" s="35">
        <f t="shared" si="3"/>
        <v>287</v>
      </c>
    </row>
    <row r="28" spans="1:10" x14ac:dyDescent="0.25">
      <c r="A28" s="12" t="s">
        <v>45</v>
      </c>
      <c r="B28" s="39">
        <v>68</v>
      </c>
      <c r="C28" s="34">
        <v>152</v>
      </c>
      <c r="D28" s="35">
        <f t="shared" si="0"/>
        <v>220</v>
      </c>
      <c r="E28" s="34">
        <v>2</v>
      </c>
      <c r="F28" s="34">
        <v>8</v>
      </c>
      <c r="G28" s="34">
        <f t="shared" si="1"/>
        <v>10</v>
      </c>
      <c r="H28" s="39">
        <f t="shared" si="2"/>
        <v>70</v>
      </c>
      <c r="I28" s="34">
        <f t="shared" si="2"/>
        <v>160</v>
      </c>
      <c r="J28" s="35">
        <f t="shared" si="3"/>
        <v>230</v>
      </c>
    </row>
    <row r="29" spans="1:10" x14ac:dyDescent="0.25">
      <c r="A29" s="12" t="s">
        <v>95</v>
      </c>
      <c r="B29" s="39">
        <v>0</v>
      </c>
      <c r="C29" s="34">
        <v>0</v>
      </c>
      <c r="D29" s="35">
        <f t="shared" si="0"/>
        <v>0</v>
      </c>
      <c r="E29" s="34">
        <v>6</v>
      </c>
      <c r="F29" s="34">
        <v>1</v>
      </c>
      <c r="G29" s="34">
        <f t="shared" si="1"/>
        <v>7</v>
      </c>
      <c r="H29" s="39">
        <f t="shared" si="2"/>
        <v>6</v>
      </c>
      <c r="I29" s="34">
        <f t="shared" si="2"/>
        <v>1</v>
      </c>
      <c r="J29" s="35">
        <f t="shared" si="3"/>
        <v>7</v>
      </c>
    </row>
    <row r="30" spans="1:10" x14ac:dyDescent="0.25">
      <c r="A30" s="12" t="s">
        <v>47</v>
      </c>
      <c r="B30" s="39">
        <v>157</v>
      </c>
      <c r="C30" s="34">
        <v>166</v>
      </c>
      <c r="D30" s="35">
        <f t="shared" si="0"/>
        <v>323</v>
      </c>
      <c r="E30" s="34">
        <v>66</v>
      </c>
      <c r="F30" s="34">
        <v>58</v>
      </c>
      <c r="G30" s="34">
        <f t="shared" si="1"/>
        <v>124</v>
      </c>
      <c r="H30" s="39">
        <f t="shared" si="2"/>
        <v>223</v>
      </c>
      <c r="I30" s="34">
        <f t="shared" si="2"/>
        <v>224</v>
      </c>
      <c r="J30" s="35">
        <f t="shared" si="3"/>
        <v>447</v>
      </c>
    </row>
    <row r="31" spans="1:10" x14ac:dyDescent="0.25">
      <c r="A31" s="12" t="s">
        <v>133</v>
      </c>
      <c r="B31" s="39">
        <v>0</v>
      </c>
      <c r="C31" s="34">
        <v>2</v>
      </c>
      <c r="D31" s="35">
        <f t="shared" si="0"/>
        <v>2</v>
      </c>
      <c r="E31" s="34">
        <v>46</v>
      </c>
      <c r="F31" s="34">
        <v>18</v>
      </c>
      <c r="G31" s="34">
        <f t="shared" si="1"/>
        <v>64</v>
      </c>
      <c r="H31" s="39">
        <f t="shared" si="2"/>
        <v>46</v>
      </c>
      <c r="I31" s="34">
        <f t="shared" si="2"/>
        <v>20</v>
      </c>
      <c r="J31" s="35">
        <f t="shared" si="3"/>
        <v>66</v>
      </c>
    </row>
    <row r="32" spans="1:10" x14ac:dyDescent="0.25">
      <c r="A32" s="12" t="s">
        <v>48</v>
      </c>
      <c r="B32" s="39">
        <v>45</v>
      </c>
      <c r="C32" s="34">
        <v>103</v>
      </c>
      <c r="D32" s="35">
        <f t="shared" si="0"/>
        <v>148</v>
      </c>
      <c r="E32" s="34">
        <v>8</v>
      </c>
      <c r="F32" s="34">
        <v>15</v>
      </c>
      <c r="G32" s="34">
        <f t="shared" si="1"/>
        <v>23</v>
      </c>
      <c r="H32" s="39">
        <f t="shared" si="2"/>
        <v>53</v>
      </c>
      <c r="I32" s="34">
        <f t="shared" si="2"/>
        <v>118</v>
      </c>
      <c r="J32" s="35">
        <f t="shared" si="3"/>
        <v>171</v>
      </c>
    </row>
    <row r="33" spans="1:10" x14ac:dyDescent="0.25">
      <c r="A33" s="12" t="s">
        <v>49</v>
      </c>
      <c r="B33" s="39">
        <v>44</v>
      </c>
      <c r="C33" s="34">
        <v>68</v>
      </c>
      <c r="D33" s="35">
        <f t="shared" si="0"/>
        <v>112</v>
      </c>
      <c r="E33" s="34">
        <v>8</v>
      </c>
      <c r="F33" s="34">
        <v>26</v>
      </c>
      <c r="G33" s="34">
        <f t="shared" si="1"/>
        <v>34</v>
      </c>
      <c r="H33" s="39">
        <f t="shared" si="2"/>
        <v>52</v>
      </c>
      <c r="I33" s="34">
        <f t="shared" si="2"/>
        <v>94</v>
      </c>
      <c r="J33" s="35">
        <f t="shared" si="3"/>
        <v>146</v>
      </c>
    </row>
    <row r="34" spans="1:10" x14ac:dyDescent="0.25">
      <c r="A34" s="12" t="s">
        <v>50</v>
      </c>
      <c r="B34" s="39">
        <v>14</v>
      </c>
      <c r="C34" s="34">
        <v>24</v>
      </c>
      <c r="D34" s="35">
        <f t="shared" si="0"/>
        <v>38</v>
      </c>
      <c r="E34" s="34">
        <v>15</v>
      </c>
      <c r="F34" s="34">
        <v>24</v>
      </c>
      <c r="G34" s="34">
        <f t="shared" si="1"/>
        <v>39</v>
      </c>
      <c r="H34" s="39">
        <f t="shared" si="2"/>
        <v>29</v>
      </c>
      <c r="I34" s="34">
        <f t="shared" si="2"/>
        <v>48</v>
      </c>
      <c r="J34" s="35">
        <f t="shared" si="3"/>
        <v>77</v>
      </c>
    </row>
    <row r="35" spans="1:10" x14ac:dyDescent="0.25">
      <c r="A35" s="12" t="s">
        <v>51</v>
      </c>
      <c r="B35" s="39">
        <v>168</v>
      </c>
      <c r="C35" s="34">
        <v>189</v>
      </c>
      <c r="D35" s="35">
        <f t="shared" si="0"/>
        <v>357</v>
      </c>
      <c r="E35" s="34">
        <v>47</v>
      </c>
      <c r="F35" s="34">
        <v>47</v>
      </c>
      <c r="G35" s="34">
        <f t="shared" si="1"/>
        <v>94</v>
      </c>
      <c r="H35" s="39">
        <f t="shared" si="2"/>
        <v>215</v>
      </c>
      <c r="I35" s="34">
        <f t="shared" si="2"/>
        <v>236</v>
      </c>
      <c r="J35" s="35">
        <f t="shared" si="3"/>
        <v>451</v>
      </c>
    </row>
    <row r="36" spans="1:10" x14ac:dyDescent="0.25">
      <c r="A36" s="12" t="s">
        <v>52</v>
      </c>
      <c r="B36" s="39">
        <v>33</v>
      </c>
      <c r="C36" s="34">
        <v>143</v>
      </c>
      <c r="D36" s="35">
        <f t="shared" si="0"/>
        <v>176</v>
      </c>
      <c r="E36" s="34">
        <v>8</v>
      </c>
      <c r="F36" s="34">
        <v>45</v>
      </c>
      <c r="G36" s="34">
        <f t="shared" si="1"/>
        <v>53</v>
      </c>
      <c r="H36" s="39">
        <f t="shared" si="2"/>
        <v>41</v>
      </c>
      <c r="I36" s="34">
        <f t="shared" si="2"/>
        <v>188</v>
      </c>
      <c r="J36" s="35">
        <f t="shared" si="3"/>
        <v>229</v>
      </c>
    </row>
    <row r="37" spans="1:10" x14ac:dyDescent="0.25">
      <c r="A37" s="12" t="s">
        <v>110</v>
      </c>
      <c r="B37" s="39">
        <v>4</v>
      </c>
      <c r="C37" s="34">
        <v>199</v>
      </c>
      <c r="D37" s="35">
        <f t="shared" si="0"/>
        <v>203</v>
      </c>
      <c r="E37" s="34">
        <v>3</v>
      </c>
      <c r="F37" s="34">
        <v>76</v>
      </c>
      <c r="G37" s="34">
        <f t="shared" si="1"/>
        <v>79</v>
      </c>
      <c r="H37" s="39">
        <f t="shared" si="2"/>
        <v>7</v>
      </c>
      <c r="I37" s="34">
        <f t="shared" si="2"/>
        <v>275</v>
      </c>
      <c r="J37" s="35">
        <f t="shared" si="3"/>
        <v>282</v>
      </c>
    </row>
    <row r="38" spans="1:10" x14ac:dyDescent="0.25">
      <c r="A38" s="12" t="s">
        <v>55</v>
      </c>
      <c r="B38" s="39">
        <v>68</v>
      </c>
      <c r="C38" s="34">
        <v>188</v>
      </c>
      <c r="D38" s="35">
        <f t="shared" si="0"/>
        <v>256</v>
      </c>
      <c r="E38" s="34">
        <v>17</v>
      </c>
      <c r="F38" s="34">
        <v>36</v>
      </c>
      <c r="G38" s="34">
        <f t="shared" si="1"/>
        <v>53</v>
      </c>
      <c r="H38" s="39">
        <f t="shared" si="2"/>
        <v>85</v>
      </c>
      <c r="I38" s="34">
        <f t="shared" si="2"/>
        <v>224</v>
      </c>
      <c r="J38" s="35">
        <f t="shared" si="3"/>
        <v>309</v>
      </c>
    </row>
    <row r="39" spans="1:10" x14ac:dyDescent="0.25">
      <c r="A39" s="12" t="s">
        <v>1</v>
      </c>
      <c r="B39" s="39">
        <v>207</v>
      </c>
      <c r="C39" s="34">
        <v>326</v>
      </c>
      <c r="D39" s="35">
        <f t="shared" si="0"/>
        <v>533</v>
      </c>
      <c r="E39" s="34">
        <v>226</v>
      </c>
      <c r="F39" s="34">
        <v>241</v>
      </c>
      <c r="G39" s="34">
        <f t="shared" si="1"/>
        <v>467</v>
      </c>
      <c r="H39" s="39">
        <f t="shared" si="2"/>
        <v>433</v>
      </c>
      <c r="I39" s="34">
        <f t="shared" si="2"/>
        <v>567</v>
      </c>
      <c r="J39" s="35">
        <f t="shared" si="3"/>
        <v>1000</v>
      </c>
    </row>
    <row r="40" spans="1:10" x14ac:dyDescent="0.25">
      <c r="A40" s="12" t="s">
        <v>102</v>
      </c>
      <c r="B40" s="39">
        <v>54</v>
      </c>
      <c r="C40" s="34">
        <v>72</v>
      </c>
      <c r="D40" s="35">
        <f t="shared" si="0"/>
        <v>126</v>
      </c>
      <c r="E40" s="34">
        <v>37</v>
      </c>
      <c r="F40" s="34">
        <v>97</v>
      </c>
      <c r="G40" s="34">
        <f t="shared" si="1"/>
        <v>134</v>
      </c>
      <c r="H40" s="39">
        <f t="shared" si="2"/>
        <v>91</v>
      </c>
      <c r="I40" s="34">
        <f t="shared" si="2"/>
        <v>169</v>
      </c>
      <c r="J40" s="35">
        <f t="shared" si="3"/>
        <v>260</v>
      </c>
    </row>
    <row r="41" spans="1:10" x14ac:dyDescent="0.25">
      <c r="A41" s="12" t="s">
        <v>59</v>
      </c>
      <c r="B41" s="39">
        <v>264</v>
      </c>
      <c r="C41" s="34">
        <v>143</v>
      </c>
      <c r="D41" s="35">
        <f t="shared" si="0"/>
        <v>407</v>
      </c>
      <c r="E41" s="34">
        <v>14</v>
      </c>
      <c r="F41" s="34">
        <v>3</v>
      </c>
      <c r="G41" s="34">
        <f t="shared" si="1"/>
        <v>17</v>
      </c>
      <c r="H41" s="39">
        <f t="shared" si="2"/>
        <v>278</v>
      </c>
      <c r="I41" s="34">
        <f t="shared" si="2"/>
        <v>146</v>
      </c>
      <c r="J41" s="35">
        <f t="shared" si="3"/>
        <v>424</v>
      </c>
    </row>
    <row r="42" spans="1:10" x14ac:dyDescent="0.25">
      <c r="A42" s="12" t="s">
        <v>60</v>
      </c>
      <c r="B42" s="39">
        <v>208</v>
      </c>
      <c r="C42" s="34">
        <v>40</v>
      </c>
      <c r="D42" s="35">
        <f t="shared" si="0"/>
        <v>248</v>
      </c>
      <c r="E42" s="34">
        <v>95</v>
      </c>
      <c r="F42" s="34">
        <v>10</v>
      </c>
      <c r="G42" s="34">
        <f t="shared" si="1"/>
        <v>105</v>
      </c>
      <c r="H42" s="39">
        <f t="shared" si="2"/>
        <v>303</v>
      </c>
      <c r="I42" s="34">
        <f t="shared" si="2"/>
        <v>50</v>
      </c>
      <c r="J42" s="35">
        <f t="shared" si="3"/>
        <v>353</v>
      </c>
    </row>
    <row r="43" spans="1:10" x14ac:dyDescent="0.25">
      <c r="A43" s="12" t="s">
        <v>61</v>
      </c>
      <c r="B43" s="39">
        <v>7</v>
      </c>
      <c r="C43" s="34">
        <v>5</v>
      </c>
      <c r="D43" s="35">
        <f t="shared" si="0"/>
        <v>12</v>
      </c>
      <c r="E43" s="34">
        <v>32</v>
      </c>
      <c r="F43" s="34">
        <v>24</v>
      </c>
      <c r="G43" s="34">
        <f t="shared" si="1"/>
        <v>56</v>
      </c>
      <c r="H43" s="39">
        <f t="shared" si="2"/>
        <v>39</v>
      </c>
      <c r="I43" s="34">
        <f t="shared" si="2"/>
        <v>29</v>
      </c>
      <c r="J43" s="35">
        <f t="shared" si="3"/>
        <v>68</v>
      </c>
    </row>
    <row r="44" spans="1:10" x14ac:dyDescent="0.25">
      <c r="A44" s="12" t="s">
        <v>156</v>
      </c>
      <c r="B44" s="39">
        <v>44</v>
      </c>
      <c r="C44" s="34">
        <v>114</v>
      </c>
      <c r="D44" s="35">
        <f t="shared" si="0"/>
        <v>158</v>
      </c>
      <c r="E44" s="34">
        <v>0</v>
      </c>
      <c r="F44" s="34">
        <v>0</v>
      </c>
      <c r="G44" s="34">
        <f t="shared" si="1"/>
        <v>0</v>
      </c>
      <c r="H44" s="39">
        <f t="shared" si="2"/>
        <v>44</v>
      </c>
      <c r="I44" s="34">
        <f t="shared" si="2"/>
        <v>114</v>
      </c>
      <c r="J44" s="35">
        <f t="shared" si="3"/>
        <v>158</v>
      </c>
    </row>
    <row r="45" spans="1:10" x14ac:dyDescent="0.25">
      <c r="A45" s="12" t="s">
        <v>112</v>
      </c>
      <c r="B45" s="39">
        <v>35</v>
      </c>
      <c r="C45" s="34">
        <v>57</v>
      </c>
      <c r="D45" s="35">
        <f t="shared" si="0"/>
        <v>92</v>
      </c>
      <c r="E45" s="34">
        <v>13</v>
      </c>
      <c r="F45" s="34">
        <v>25</v>
      </c>
      <c r="G45" s="34">
        <f t="shared" si="1"/>
        <v>38</v>
      </c>
      <c r="H45" s="39">
        <f t="shared" si="2"/>
        <v>48</v>
      </c>
      <c r="I45" s="34">
        <f t="shared" si="2"/>
        <v>82</v>
      </c>
      <c r="J45" s="35">
        <f t="shared" si="3"/>
        <v>130</v>
      </c>
    </row>
    <row r="46" spans="1:10" x14ac:dyDescent="0.25">
      <c r="A46" s="12" t="s">
        <v>64</v>
      </c>
      <c r="B46" s="39">
        <v>99</v>
      </c>
      <c r="C46" s="34">
        <v>69</v>
      </c>
      <c r="D46" s="35">
        <f t="shared" si="0"/>
        <v>168</v>
      </c>
      <c r="E46" s="34">
        <v>43</v>
      </c>
      <c r="F46" s="34">
        <v>15</v>
      </c>
      <c r="G46" s="34">
        <f t="shared" si="1"/>
        <v>58</v>
      </c>
      <c r="H46" s="39">
        <f t="shared" si="2"/>
        <v>142</v>
      </c>
      <c r="I46" s="34">
        <f t="shared" si="2"/>
        <v>84</v>
      </c>
      <c r="J46" s="35">
        <f t="shared" si="3"/>
        <v>226</v>
      </c>
    </row>
    <row r="47" spans="1:10" x14ac:dyDescent="0.25">
      <c r="A47" s="12" t="s">
        <v>113</v>
      </c>
      <c r="B47" s="39">
        <v>18</v>
      </c>
      <c r="C47" s="34">
        <v>75</v>
      </c>
      <c r="D47" s="35">
        <f t="shared" si="0"/>
        <v>93</v>
      </c>
      <c r="E47" s="34">
        <v>14</v>
      </c>
      <c r="F47" s="34">
        <v>30</v>
      </c>
      <c r="G47" s="34">
        <f t="shared" si="1"/>
        <v>44</v>
      </c>
      <c r="H47" s="39">
        <f t="shared" si="2"/>
        <v>32</v>
      </c>
      <c r="I47" s="34">
        <f t="shared" si="2"/>
        <v>105</v>
      </c>
      <c r="J47" s="35">
        <f t="shared" si="3"/>
        <v>137</v>
      </c>
    </row>
    <row r="48" spans="1:10" x14ac:dyDescent="0.25">
      <c r="A48" s="12" t="s">
        <v>145</v>
      </c>
      <c r="B48" s="39">
        <v>30</v>
      </c>
      <c r="C48" s="34">
        <v>22</v>
      </c>
      <c r="D48" s="35">
        <f t="shared" si="0"/>
        <v>52</v>
      </c>
      <c r="E48" s="34">
        <v>0</v>
      </c>
      <c r="F48" s="34">
        <v>0</v>
      </c>
      <c r="G48" s="34">
        <f t="shared" si="1"/>
        <v>0</v>
      </c>
      <c r="H48" s="39">
        <f t="shared" si="2"/>
        <v>30</v>
      </c>
      <c r="I48" s="34">
        <f t="shared" si="2"/>
        <v>22</v>
      </c>
      <c r="J48" s="35">
        <f t="shared" si="3"/>
        <v>52</v>
      </c>
    </row>
    <row r="49" spans="1:10" x14ac:dyDescent="0.25">
      <c r="A49" s="12" t="s">
        <v>65</v>
      </c>
      <c r="B49" s="39">
        <v>300</v>
      </c>
      <c r="C49" s="34">
        <v>146</v>
      </c>
      <c r="D49" s="35">
        <f t="shared" si="0"/>
        <v>446</v>
      </c>
      <c r="E49" s="34">
        <v>48</v>
      </c>
      <c r="F49" s="34">
        <v>19</v>
      </c>
      <c r="G49" s="34">
        <f t="shared" si="1"/>
        <v>67</v>
      </c>
      <c r="H49" s="39">
        <f t="shared" si="2"/>
        <v>348</v>
      </c>
      <c r="I49" s="34">
        <f t="shared" si="2"/>
        <v>165</v>
      </c>
      <c r="J49" s="35">
        <f t="shared" si="3"/>
        <v>513</v>
      </c>
    </row>
    <row r="50" spans="1:10" x14ac:dyDescent="0.25">
      <c r="A50" s="12" t="s">
        <v>114</v>
      </c>
      <c r="B50" s="39">
        <v>96</v>
      </c>
      <c r="C50" s="34">
        <v>128</v>
      </c>
      <c r="D50" s="35">
        <f t="shared" si="0"/>
        <v>224</v>
      </c>
      <c r="E50" s="34">
        <v>46</v>
      </c>
      <c r="F50" s="34">
        <v>55</v>
      </c>
      <c r="G50" s="34">
        <f t="shared" si="1"/>
        <v>101</v>
      </c>
      <c r="H50" s="39">
        <f t="shared" si="2"/>
        <v>142</v>
      </c>
      <c r="I50" s="34">
        <f t="shared" si="2"/>
        <v>183</v>
      </c>
      <c r="J50" s="35">
        <f t="shared" si="3"/>
        <v>325</v>
      </c>
    </row>
    <row r="51" spans="1:10" x14ac:dyDescent="0.25">
      <c r="A51" s="12" t="s">
        <v>115</v>
      </c>
      <c r="B51" s="39">
        <v>83</v>
      </c>
      <c r="C51" s="34">
        <v>272</v>
      </c>
      <c r="D51" s="35">
        <f t="shared" si="0"/>
        <v>355</v>
      </c>
      <c r="E51" s="34">
        <v>111</v>
      </c>
      <c r="F51" s="34">
        <v>260</v>
      </c>
      <c r="G51" s="34">
        <f t="shared" si="1"/>
        <v>371</v>
      </c>
      <c r="H51" s="39">
        <f t="shared" si="2"/>
        <v>194</v>
      </c>
      <c r="I51" s="34">
        <f t="shared" si="2"/>
        <v>532</v>
      </c>
      <c r="J51" s="35">
        <f t="shared" si="3"/>
        <v>726</v>
      </c>
    </row>
    <row r="52" spans="1:10" x14ac:dyDescent="0.25">
      <c r="A52" s="12" t="s">
        <v>146</v>
      </c>
      <c r="B52" s="39">
        <v>0</v>
      </c>
      <c r="C52" s="34">
        <v>0</v>
      </c>
      <c r="D52" s="35">
        <f t="shared" si="0"/>
        <v>0</v>
      </c>
      <c r="E52" s="34">
        <v>38</v>
      </c>
      <c r="F52" s="34">
        <v>49</v>
      </c>
      <c r="G52" s="34">
        <f t="shared" si="1"/>
        <v>87</v>
      </c>
      <c r="H52" s="39">
        <f t="shared" si="2"/>
        <v>38</v>
      </c>
      <c r="I52" s="34">
        <f t="shared" si="2"/>
        <v>49</v>
      </c>
      <c r="J52" s="35">
        <f t="shared" si="3"/>
        <v>87</v>
      </c>
    </row>
    <row r="53" spans="1:10" x14ac:dyDescent="0.25">
      <c r="A53" s="12" t="s">
        <v>70</v>
      </c>
      <c r="B53" s="39">
        <v>286</v>
      </c>
      <c r="C53" s="34">
        <v>300</v>
      </c>
      <c r="D53" s="35">
        <f t="shared" si="0"/>
        <v>586</v>
      </c>
      <c r="E53" s="34">
        <v>52</v>
      </c>
      <c r="F53" s="34">
        <v>75</v>
      </c>
      <c r="G53" s="34">
        <f t="shared" si="1"/>
        <v>127</v>
      </c>
      <c r="H53" s="39">
        <f t="shared" si="2"/>
        <v>338</v>
      </c>
      <c r="I53" s="34">
        <f t="shared" si="2"/>
        <v>375</v>
      </c>
      <c r="J53" s="35">
        <f t="shared" si="3"/>
        <v>713</v>
      </c>
    </row>
    <row r="54" spans="1:10" x14ac:dyDescent="0.25">
      <c r="A54" s="12" t="s">
        <v>68</v>
      </c>
      <c r="B54" s="39">
        <v>20</v>
      </c>
      <c r="C54" s="34">
        <v>31</v>
      </c>
      <c r="D54" s="35">
        <f t="shared" si="0"/>
        <v>51</v>
      </c>
      <c r="E54" s="34">
        <v>3</v>
      </c>
      <c r="F54" s="34">
        <v>9</v>
      </c>
      <c r="G54" s="34">
        <f t="shared" si="1"/>
        <v>12</v>
      </c>
      <c r="H54" s="39">
        <f t="shared" si="2"/>
        <v>23</v>
      </c>
      <c r="I54" s="34">
        <f t="shared" si="2"/>
        <v>40</v>
      </c>
      <c r="J54" s="35">
        <f t="shared" si="3"/>
        <v>63</v>
      </c>
    </row>
    <row r="55" spans="1:10" x14ac:dyDescent="0.25">
      <c r="A55" s="12" t="s">
        <v>71</v>
      </c>
      <c r="B55" s="39">
        <v>41</v>
      </c>
      <c r="C55" s="34">
        <v>38</v>
      </c>
      <c r="D55" s="35">
        <f t="shared" si="0"/>
        <v>79</v>
      </c>
      <c r="E55" s="34">
        <v>3</v>
      </c>
      <c r="F55" s="34">
        <v>7</v>
      </c>
      <c r="G55" s="34">
        <f t="shared" si="1"/>
        <v>10</v>
      </c>
      <c r="H55" s="39">
        <f t="shared" si="2"/>
        <v>44</v>
      </c>
      <c r="I55" s="34">
        <f t="shared" si="2"/>
        <v>45</v>
      </c>
      <c r="J55" s="35">
        <f t="shared" si="3"/>
        <v>89</v>
      </c>
    </row>
    <row r="56" spans="1:10" x14ac:dyDescent="0.25">
      <c r="A56" s="12" t="s">
        <v>72</v>
      </c>
      <c r="B56" s="39">
        <v>0</v>
      </c>
      <c r="C56" s="34">
        <v>0</v>
      </c>
      <c r="D56" s="35">
        <f t="shared" si="0"/>
        <v>0</v>
      </c>
      <c r="E56" s="34">
        <v>25</v>
      </c>
      <c r="F56" s="34">
        <v>12</v>
      </c>
      <c r="G56" s="34">
        <f t="shared" si="1"/>
        <v>37</v>
      </c>
      <c r="H56" s="39">
        <f t="shared" si="2"/>
        <v>25</v>
      </c>
      <c r="I56" s="34">
        <f t="shared" si="2"/>
        <v>12</v>
      </c>
      <c r="J56" s="35">
        <f t="shared" si="3"/>
        <v>37</v>
      </c>
    </row>
    <row r="57" spans="1:10" x14ac:dyDescent="0.25">
      <c r="A57" s="12" t="s">
        <v>73</v>
      </c>
      <c r="B57" s="39">
        <v>28</v>
      </c>
      <c r="C57" s="34">
        <v>59</v>
      </c>
      <c r="D57" s="35">
        <f t="shared" si="0"/>
        <v>87</v>
      </c>
      <c r="E57" s="34">
        <v>6</v>
      </c>
      <c r="F57" s="34">
        <v>7</v>
      </c>
      <c r="G57" s="34">
        <f t="shared" si="1"/>
        <v>13</v>
      </c>
      <c r="H57" s="39">
        <f t="shared" si="2"/>
        <v>34</v>
      </c>
      <c r="I57" s="34">
        <f t="shared" si="2"/>
        <v>66</v>
      </c>
      <c r="J57" s="35">
        <f t="shared" si="3"/>
        <v>100</v>
      </c>
    </row>
    <row r="58" spans="1:10" x14ac:dyDescent="0.25">
      <c r="A58" s="12" t="s">
        <v>74</v>
      </c>
      <c r="B58" s="39">
        <v>115</v>
      </c>
      <c r="C58" s="34">
        <v>76</v>
      </c>
      <c r="D58" s="35">
        <f t="shared" si="0"/>
        <v>191</v>
      </c>
      <c r="E58" s="34">
        <v>12</v>
      </c>
      <c r="F58" s="34">
        <v>16</v>
      </c>
      <c r="G58" s="34">
        <f t="shared" si="1"/>
        <v>28</v>
      </c>
      <c r="H58" s="39">
        <f t="shared" si="2"/>
        <v>127</v>
      </c>
      <c r="I58" s="34">
        <f t="shared" si="2"/>
        <v>92</v>
      </c>
      <c r="J58" s="35">
        <f t="shared" si="3"/>
        <v>219</v>
      </c>
    </row>
    <row r="59" spans="1:10" x14ac:dyDescent="0.25">
      <c r="A59" s="12" t="s">
        <v>151</v>
      </c>
      <c r="B59" s="39">
        <v>0</v>
      </c>
      <c r="C59" s="34">
        <v>0</v>
      </c>
      <c r="D59" s="35">
        <f t="shared" si="0"/>
        <v>0</v>
      </c>
      <c r="E59" s="34">
        <v>0</v>
      </c>
      <c r="F59" s="34">
        <v>0</v>
      </c>
      <c r="G59" s="34">
        <f t="shared" si="1"/>
        <v>0</v>
      </c>
      <c r="H59" s="39">
        <f t="shared" si="2"/>
        <v>0</v>
      </c>
      <c r="I59" s="34">
        <f t="shared" si="2"/>
        <v>0</v>
      </c>
      <c r="J59" s="35">
        <f t="shared" si="3"/>
        <v>0</v>
      </c>
    </row>
    <row r="60" spans="1:10" x14ac:dyDescent="0.25">
      <c r="A60" s="12" t="s">
        <v>103</v>
      </c>
      <c r="B60" s="39">
        <v>294</v>
      </c>
      <c r="C60" s="34">
        <v>389</v>
      </c>
      <c r="D60" s="35">
        <f t="shared" si="0"/>
        <v>683</v>
      </c>
      <c r="E60" s="34">
        <v>0</v>
      </c>
      <c r="F60" s="34">
        <v>0</v>
      </c>
      <c r="G60" s="34">
        <f t="shared" si="1"/>
        <v>0</v>
      </c>
      <c r="H60" s="39">
        <f t="shared" si="2"/>
        <v>294</v>
      </c>
      <c r="I60" s="34">
        <f t="shared" si="2"/>
        <v>389</v>
      </c>
      <c r="J60" s="35">
        <f t="shared" si="3"/>
        <v>683</v>
      </c>
    </row>
    <row r="61" spans="1:10" x14ac:dyDescent="0.25">
      <c r="A61" s="12" t="s">
        <v>104</v>
      </c>
      <c r="B61" s="39">
        <v>513</v>
      </c>
      <c r="C61" s="34">
        <v>573</v>
      </c>
      <c r="D61" s="35">
        <f t="shared" si="0"/>
        <v>1086</v>
      </c>
      <c r="E61" s="34">
        <v>0</v>
      </c>
      <c r="F61" s="34">
        <v>0</v>
      </c>
      <c r="G61" s="34">
        <f t="shared" si="1"/>
        <v>0</v>
      </c>
      <c r="H61" s="39">
        <f t="shared" si="2"/>
        <v>513</v>
      </c>
      <c r="I61" s="34">
        <f t="shared" si="2"/>
        <v>573</v>
      </c>
      <c r="J61" s="35">
        <f t="shared" si="3"/>
        <v>1086</v>
      </c>
    </row>
    <row r="62" spans="1:10" x14ac:dyDescent="0.25">
      <c r="A62" s="12" t="s">
        <v>105</v>
      </c>
      <c r="B62" s="39">
        <v>0</v>
      </c>
      <c r="C62" s="34">
        <v>0</v>
      </c>
      <c r="D62" s="35">
        <f t="shared" si="0"/>
        <v>0</v>
      </c>
      <c r="E62" s="34">
        <v>16</v>
      </c>
      <c r="F62" s="34">
        <v>11</v>
      </c>
      <c r="G62" s="34">
        <f t="shared" si="1"/>
        <v>27</v>
      </c>
      <c r="H62" s="39">
        <f t="shared" si="2"/>
        <v>16</v>
      </c>
      <c r="I62" s="34">
        <f t="shared" si="2"/>
        <v>11</v>
      </c>
      <c r="J62" s="35">
        <f t="shared" si="3"/>
        <v>27</v>
      </c>
    </row>
    <row r="63" spans="1:10" x14ac:dyDescent="0.25">
      <c r="A63" s="12" t="s">
        <v>79</v>
      </c>
      <c r="B63" s="39">
        <v>0</v>
      </c>
      <c r="C63" s="34">
        <v>0</v>
      </c>
      <c r="D63" s="35">
        <f t="shared" si="0"/>
        <v>0</v>
      </c>
      <c r="E63" s="34">
        <v>72</v>
      </c>
      <c r="F63" s="34">
        <v>146</v>
      </c>
      <c r="G63" s="34">
        <f t="shared" si="1"/>
        <v>218</v>
      </c>
      <c r="H63" s="39">
        <f t="shared" si="2"/>
        <v>72</v>
      </c>
      <c r="I63" s="34">
        <f t="shared" si="2"/>
        <v>146</v>
      </c>
      <c r="J63" s="35">
        <f t="shared" si="3"/>
        <v>218</v>
      </c>
    </row>
    <row r="64" spans="1:10" x14ac:dyDescent="0.25">
      <c r="A64" s="12" t="s">
        <v>117</v>
      </c>
      <c r="B64" s="39">
        <v>4</v>
      </c>
      <c r="C64" s="34">
        <v>11</v>
      </c>
      <c r="D64" s="35">
        <f t="shared" si="0"/>
        <v>15</v>
      </c>
      <c r="E64" s="34">
        <v>54</v>
      </c>
      <c r="F64" s="34">
        <v>53</v>
      </c>
      <c r="G64" s="34">
        <f t="shared" si="1"/>
        <v>107</v>
      </c>
      <c r="H64" s="39">
        <f t="shared" si="2"/>
        <v>58</v>
      </c>
      <c r="I64" s="34">
        <f t="shared" si="2"/>
        <v>64</v>
      </c>
      <c r="J64" s="35">
        <f t="shared" si="3"/>
        <v>122</v>
      </c>
    </row>
    <row r="65" spans="1:10" x14ac:dyDescent="0.25">
      <c r="A65" s="12" t="s">
        <v>141</v>
      </c>
      <c r="B65" s="39">
        <v>0</v>
      </c>
      <c r="C65" s="34">
        <v>0</v>
      </c>
      <c r="D65" s="35">
        <f t="shared" si="0"/>
        <v>0</v>
      </c>
      <c r="E65" s="34">
        <v>6</v>
      </c>
      <c r="F65" s="34">
        <v>1</v>
      </c>
      <c r="G65" s="34">
        <f t="shared" si="1"/>
        <v>7</v>
      </c>
      <c r="H65" s="39">
        <f t="shared" si="2"/>
        <v>6</v>
      </c>
      <c r="I65" s="34">
        <f t="shared" si="2"/>
        <v>1</v>
      </c>
      <c r="J65" s="35">
        <f t="shared" si="3"/>
        <v>7</v>
      </c>
    </row>
    <row r="66" spans="1:10" x14ac:dyDescent="0.25">
      <c r="A66" s="12" t="s">
        <v>81</v>
      </c>
      <c r="B66" s="39">
        <v>0</v>
      </c>
      <c r="C66" s="34">
        <v>0</v>
      </c>
      <c r="D66" s="35">
        <f t="shared" si="0"/>
        <v>0</v>
      </c>
      <c r="E66" s="34">
        <v>204</v>
      </c>
      <c r="F66" s="34">
        <v>145</v>
      </c>
      <c r="G66" s="34">
        <f t="shared" si="1"/>
        <v>349</v>
      </c>
      <c r="H66" s="39">
        <f t="shared" si="2"/>
        <v>204</v>
      </c>
      <c r="I66" s="34">
        <f t="shared" si="2"/>
        <v>145</v>
      </c>
      <c r="J66" s="35">
        <f t="shared" si="3"/>
        <v>349</v>
      </c>
    </row>
    <row r="67" spans="1:10" x14ac:dyDescent="0.25">
      <c r="A67" s="12" t="s">
        <v>118</v>
      </c>
      <c r="B67" s="39">
        <v>0</v>
      </c>
      <c r="C67" s="34">
        <v>0</v>
      </c>
      <c r="D67" s="35">
        <f t="shared" si="0"/>
        <v>0</v>
      </c>
      <c r="E67" s="34">
        <v>11</v>
      </c>
      <c r="F67" s="34">
        <v>27</v>
      </c>
      <c r="G67" s="34">
        <f t="shared" si="1"/>
        <v>38</v>
      </c>
      <c r="H67" s="39">
        <f t="shared" si="2"/>
        <v>11</v>
      </c>
      <c r="I67" s="34">
        <f t="shared" si="2"/>
        <v>27</v>
      </c>
      <c r="J67" s="35">
        <f t="shared" si="3"/>
        <v>38</v>
      </c>
    </row>
    <row r="68" spans="1:10" x14ac:dyDescent="0.25">
      <c r="A68" s="12" t="s">
        <v>120</v>
      </c>
      <c r="B68" s="39">
        <v>0</v>
      </c>
      <c r="C68" s="34">
        <v>0</v>
      </c>
      <c r="D68" s="35">
        <f t="shared" si="0"/>
        <v>0</v>
      </c>
      <c r="E68" s="34">
        <v>16</v>
      </c>
      <c r="F68" s="34">
        <v>14</v>
      </c>
      <c r="G68" s="34">
        <f t="shared" si="1"/>
        <v>30</v>
      </c>
      <c r="H68" s="39">
        <f t="shared" si="2"/>
        <v>16</v>
      </c>
      <c r="I68" s="34">
        <f t="shared" si="2"/>
        <v>14</v>
      </c>
      <c r="J68" s="35">
        <f t="shared" si="3"/>
        <v>30</v>
      </c>
    </row>
    <row r="69" spans="1:10" x14ac:dyDescent="0.25">
      <c r="A69" s="12" t="s">
        <v>152</v>
      </c>
      <c r="B69" s="39">
        <v>0</v>
      </c>
      <c r="C69" s="34">
        <v>0</v>
      </c>
      <c r="D69" s="35">
        <f t="shared" si="0"/>
        <v>0</v>
      </c>
      <c r="E69" s="34">
        <v>2</v>
      </c>
      <c r="F69" s="34">
        <v>4</v>
      </c>
      <c r="G69" s="34">
        <f t="shared" si="1"/>
        <v>6</v>
      </c>
      <c r="H69" s="39">
        <f t="shared" si="2"/>
        <v>2</v>
      </c>
      <c r="I69" s="34">
        <f t="shared" si="2"/>
        <v>4</v>
      </c>
      <c r="J69" s="35">
        <f t="shared" si="3"/>
        <v>6</v>
      </c>
    </row>
    <row r="70" spans="1:10" x14ac:dyDescent="0.25">
      <c r="A70" s="12" t="s">
        <v>121</v>
      </c>
      <c r="B70" s="39">
        <v>13</v>
      </c>
      <c r="C70" s="34">
        <v>15</v>
      </c>
      <c r="D70" s="35">
        <f t="shared" si="0"/>
        <v>28</v>
      </c>
      <c r="E70" s="34">
        <v>38</v>
      </c>
      <c r="F70" s="34">
        <v>54</v>
      </c>
      <c r="G70" s="34">
        <f t="shared" si="1"/>
        <v>92</v>
      </c>
      <c r="H70" s="39">
        <f t="shared" si="2"/>
        <v>51</v>
      </c>
      <c r="I70" s="34">
        <f t="shared" si="2"/>
        <v>69</v>
      </c>
      <c r="J70" s="35">
        <f t="shared" si="3"/>
        <v>120</v>
      </c>
    </row>
    <row r="71" spans="1:10" x14ac:dyDescent="0.25">
      <c r="A71" s="12" t="s">
        <v>147</v>
      </c>
      <c r="B71" s="39">
        <v>0</v>
      </c>
      <c r="C71" s="34">
        <v>0</v>
      </c>
      <c r="D71" s="35">
        <f t="shared" si="0"/>
        <v>0</v>
      </c>
      <c r="E71" s="34">
        <v>18</v>
      </c>
      <c r="F71" s="34">
        <v>51</v>
      </c>
      <c r="G71" s="34">
        <f t="shared" si="1"/>
        <v>69</v>
      </c>
      <c r="H71" s="39">
        <f t="shared" si="2"/>
        <v>18</v>
      </c>
      <c r="I71" s="34">
        <f t="shared" si="2"/>
        <v>51</v>
      </c>
      <c r="J71" s="35">
        <f t="shared" si="3"/>
        <v>69</v>
      </c>
    </row>
    <row r="72" spans="1:10" x14ac:dyDescent="0.25">
      <c r="A72" s="12" t="s">
        <v>157</v>
      </c>
      <c r="B72" s="39">
        <v>1</v>
      </c>
      <c r="C72" s="34">
        <v>0</v>
      </c>
      <c r="D72" s="35">
        <f t="shared" si="0"/>
        <v>1</v>
      </c>
      <c r="E72" s="34">
        <v>8</v>
      </c>
      <c r="F72" s="34">
        <v>14</v>
      </c>
      <c r="G72" s="34">
        <f t="shared" si="1"/>
        <v>22</v>
      </c>
      <c r="H72" s="39">
        <f t="shared" si="2"/>
        <v>9</v>
      </c>
      <c r="I72" s="34">
        <f t="shared" si="2"/>
        <v>14</v>
      </c>
      <c r="J72" s="35">
        <f t="shared" si="3"/>
        <v>23</v>
      </c>
    </row>
    <row r="73" spans="1:10" x14ac:dyDescent="0.25">
      <c r="A73" s="12" t="s">
        <v>123</v>
      </c>
      <c r="B73" s="39">
        <v>8</v>
      </c>
      <c r="C73" s="34">
        <v>3</v>
      </c>
      <c r="D73" s="35">
        <f t="shared" si="0"/>
        <v>11</v>
      </c>
      <c r="E73" s="34">
        <v>47</v>
      </c>
      <c r="F73" s="34">
        <v>34</v>
      </c>
      <c r="G73" s="34">
        <f t="shared" si="1"/>
        <v>81</v>
      </c>
      <c r="H73" s="39">
        <f t="shared" si="2"/>
        <v>55</v>
      </c>
      <c r="I73" s="34">
        <f t="shared" si="2"/>
        <v>37</v>
      </c>
      <c r="J73" s="35">
        <f t="shared" si="3"/>
        <v>92</v>
      </c>
    </row>
    <row r="74" spans="1:10" x14ac:dyDescent="0.25">
      <c r="A74" s="12" t="s">
        <v>136</v>
      </c>
      <c r="B74" s="39">
        <v>0</v>
      </c>
      <c r="C74" s="34">
        <v>0</v>
      </c>
      <c r="D74" s="35">
        <f t="shared" si="0"/>
        <v>0</v>
      </c>
      <c r="E74" s="34">
        <v>1</v>
      </c>
      <c r="F74" s="34">
        <v>1</v>
      </c>
      <c r="G74" s="34">
        <f t="shared" si="1"/>
        <v>2</v>
      </c>
      <c r="H74" s="39">
        <f t="shared" si="2"/>
        <v>1</v>
      </c>
      <c r="I74" s="34">
        <f t="shared" si="2"/>
        <v>1</v>
      </c>
      <c r="J74" s="35">
        <f t="shared" si="3"/>
        <v>2</v>
      </c>
    </row>
    <row r="75" spans="1:10" x14ac:dyDescent="0.25">
      <c r="A75" s="12" t="s">
        <v>86</v>
      </c>
      <c r="B75" s="39">
        <v>0</v>
      </c>
      <c r="C75" s="34">
        <v>0</v>
      </c>
      <c r="D75" s="35">
        <f t="shared" si="0"/>
        <v>0</v>
      </c>
      <c r="E75" s="34">
        <v>61</v>
      </c>
      <c r="F75" s="34">
        <v>44</v>
      </c>
      <c r="G75" s="34">
        <f t="shared" si="1"/>
        <v>105</v>
      </c>
      <c r="H75" s="39">
        <f t="shared" si="2"/>
        <v>61</v>
      </c>
      <c r="I75" s="34">
        <f t="shared" si="2"/>
        <v>44</v>
      </c>
      <c r="J75" s="35">
        <f t="shared" si="3"/>
        <v>105</v>
      </c>
    </row>
    <row r="76" spans="1:10" x14ac:dyDescent="0.25">
      <c r="A76" s="12" t="s">
        <v>125</v>
      </c>
      <c r="B76" s="39">
        <v>0</v>
      </c>
      <c r="C76" s="34">
        <v>0</v>
      </c>
      <c r="D76" s="35">
        <f t="shared" si="0"/>
        <v>0</v>
      </c>
      <c r="E76" s="34">
        <v>2</v>
      </c>
      <c r="F76" s="34">
        <v>1</v>
      </c>
      <c r="G76" s="34">
        <f t="shared" si="1"/>
        <v>3</v>
      </c>
      <c r="H76" s="39">
        <f t="shared" si="2"/>
        <v>2</v>
      </c>
      <c r="I76" s="34">
        <f t="shared" si="2"/>
        <v>1</v>
      </c>
      <c r="J76" s="35">
        <f t="shared" si="3"/>
        <v>3</v>
      </c>
    </row>
    <row r="77" spans="1:10" x14ac:dyDescent="0.25">
      <c r="A77" s="12" t="s">
        <v>126</v>
      </c>
      <c r="B77" s="39">
        <v>0</v>
      </c>
      <c r="C77" s="34">
        <v>0</v>
      </c>
      <c r="D77" s="35">
        <f t="shared" si="0"/>
        <v>0</v>
      </c>
      <c r="E77" s="34">
        <v>7</v>
      </c>
      <c r="F77" s="34">
        <v>18</v>
      </c>
      <c r="G77" s="34">
        <f t="shared" si="1"/>
        <v>25</v>
      </c>
      <c r="H77" s="39">
        <f t="shared" si="2"/>
        <v>7</v>
      </c>
      <c r="I77" s="34">
        <f t="shared" si="2"/>
        <v>18</v>
      </c>
      <c r="J77" s="35">
        <f t="shared" si="3"/>
        <v>25</v>
      </c>
    </row>
    <row r="78" spans="1:10" x14ac:dyDescent="0.25">
      <c r="A78" s="12" t="s">
        <v>127</v>
      </c>
      <c r="B78" s="39">
        <v>0</v>
      </c>
      <c r="C78" s="34">
        <v>0</v>
      </c>
      <c r="D78" s="35">
        <f t="shared" si="0"/>
        <v>0</v>
      </c>
      <c r="E78" s="34">
        <v>7</v>
      </c>
      <c r="F78" s="34">
        <v>15</v>
      </c>
      <c r="G78" s="34">
        <f t="shared" si="1"/>
        <v>22</v>
      </c>
      <c r="H78" s="39">
        <f t="shared" si="2"/>
        <v>7</v>
      </c>
      <c r="I78" s="34">
        <f t="shared" si="2"/>
        <v>15</v>
      </c>
      <c r="J78" s="35">
        <f t="shared" si="3"/>
        <v>22</v>
      </c>
    </row>
    <row r="79" spans="1:10" x14ac:dyDescent="0.25">
      <c r="A79" s="12" t="s">
        <v>87</v>
      </c>
      <c r="B79" s="39">
        <v>0</v>
      </c>
      <c r="C79" s="34">
        <v>0</v>
      </c>
      <c r="D79" s="35">
        <f t="shared" si="0"/>
        <v>0</v>
      </c>
      <c r="E79" s="34">
        <v>22</v>
      </c>
      <c r="F79" s="34">
        <v>20</v>
      </c>
      <c r="G79" s="34">
        <f t="shared" si="1"/>
        <v>42</v>
      </c>
      <c r="H79" s="39">
        <f t="shared" si="2"/>
        <v>22</v>
      </c>
      <c r="I79" s="34">
        <f t="shared" si="2"/>
        <v>20</v>
      </c>
      <c r="J79" s="35">
        <f t="shared" si="3"/>
        <v>42</v>
      </c>
    </row>
    <row r="80" spans="1:10" x14ac:dyDescent="0.25">
      <c r="A80" s="12" t="s">
        <v>148</v>
      </c>
      <c r="B80" s="39">
        <v>15</v>
      </c>
      <c r="C80" s="34">
        <v>1</v>
      </c>
      <c r="D80" s="35">
        <f t="shared" si="0"/>
        <v>16</v>
      </c>
      <c r="E80" s="34">
        <v>14</v>
      </c>
      <c r="F80" s="34">
        <v>4</v>
      </c>
      <c r="G80" s="34">
        <f t="shared" si="1"/>
        <v>18</v>
      </c>
      <c r="H80" s="39">
        <f t="shared" si="2"/>
        <v>29</v>
      </c>
      <c r="I80" s="34">
        <f t="shared" si="2"/>
        <v>5</v>
      </c>
      <c r="J80" s="35">
        <f t="shared" si="3"/>
        <v>34</v>
      </c>
    </row>
    <row r="81" spans="1:10" x14ac:dyDescent="0.25">
      <c r="A81" s="12" t="s">
        <v>143</v>
      </c>
      <c r="B81" s="39">
        <v>0</v>
      </c>
      <c r="C81" s="34">
        <v>0</v>
      </c>
      <c r="D81" s="35">
        <f t="shared" si="0"/>
        <v>0</v>
      </c>
      <c r="E81" s="34">
        <v>2</v>
      </c>
      <c r="F81" s="34">
        <v>5</v>
      </c>
      <c r="G81" s="34">
        <f t="shared" si="1"/>
        <v>7</v>
      </c>
      <c r="H81" s="39">
        <f t="shared" si="2"/>
        <v>2</v>
      </c>
      <c r="I81" s="34">
        <f t="shared" si="2"/>
        <v>5</v>
      </c>
      <c r="J81" s="35">
        <f t="shared" si="3"/>
        <v>7</v>
      </c>
    </row>
    <row r="82" spans="1:10" x14ac:dyDescent="0.25">
      <c r="A82" s="12" t="s">
        <v>144</v>
      </c>
      <c r="B82" s="39">
        <v>20</v>
      </c>
      <c r="C82" s="34">
        <v>77</v>
      </c>
      <c r="D82" s="35">
        <f t="shared" si="0"/>
        <v>97</v>
      </c>
      <c r="E82" s="34">
        <v>0</v>
      </c>
      <c r="F82" s="34">
        <v>0</v>
      </c>
      <c r="G82" s="34">
        <f t="shared" si="1"/>
        <v>0</v>
      </c>
      <c r="H82" s="39">
        <f t="shared" si="2"/>
        <v>20</v>
      </c>
      <c r="I82" s="34">
        <f t="shared" si="2"/>
        <v>77</v>
      </c>
      <c r="J82" s="35">
        <f t="shared" si="3"/>
        <v>97</v>
      </c>
    </row>
    <row r="83" spans="1:10" x14ac:dyDescent="0.25">
      <c r="A83" s="12" t="s">
        <v>130</v>
      </c>
      <c r="B83" s="39">
        <v>5</v>
      </c>
      <c r="C83" s="34">
        <v>6</v>
      </c>
      <c r="D83" s="35">
        <f t="shared" si="0"/>
        <v>11</v>
      </c>
      <c r="E83" s="34">
        <v>15</v>
      </c>
      <c r="F83" s="34">
        <v>30</v>
      </c>
      <c r="G83" s="34">
        <f t="shared" si="1"/>
        <v>45</v>
      </c>
      <c r="H83" s="39">
        <f t="shared" si="2"/>
        <v>20</v>
      </c>
      <c r="I83" s="34">
        <f t="shared" si="2"/>
        <v>36</v>
      </c>
      <c r="J83" s="35">
        <f t="shared" si="3"/>
        <v>56</v>
      </c>
    </row>
    <row r="84" spans="1:10" x14ac:dyDescent="0.25">
      <c r="A84" s="12" t="s">
        <v>153</v>
      </c>
      <c r="B84" s="39">
        <v>0</v>
      </c>
      <c r="C84" s="34">
        <v>0</v>
      </c>
      <c r="D84" s="35">
        <f t="shared" si="0"/>
        <v>0</v>
      </c>
      <c r="E84" s="34">
        <v>21</v>
      </c>
      <c r="F84" s="34">
        <v>54</v>
      </c>
      <c r="G84" s="34">
        <f t="shared" si="1"/>
        <v>75</v>
      </c>
      <c r="H84" s="39">
        <f t="shared" si="2"/>
        <v>21</v>
      </c>
      <c r="I84" s="34">
        <f t="shared" si="2"/>
        <v>54</v>
      </c>
      <c r="J84" s="35">
        <f t="shared" si="3"/>
        <v>75</v>
      </c>
    </row>
    <row r="85" spans="1:10" x14ac:dyDescent="0.25">
      <c r="A85" s="12" t="s">
        <v>154</v>
      </c>
      <c r="B85" s="39">
        <v>0</v>
      </c>
      <c r="C85" s="34">
        <v>0</v>
      </c>
      <c r="D85" s="35">
        <f t="shared" si="0"/>
        <v>0</v>
      </c>
      <c r="E85" s="34">
        <v>5</v>
      </c>
      <c r="F85" s="34">
        <v>6</v>
      </c>
      <c r="G85" s="34">
        <f t="shared" si="1"/>
        <v>11</v>
      </c>
      <c r="H85" s="39">
        <f t="shared" si="2"/>
        <v>5</v>
      </c>
      <c r="I85" s="34">
        <f t="shared" si="2"/>
        <v>6</v>
      </c>
      <c r="J85" s="35">
        <f t="shared" si="3"/>
        <v>11</v>
      </c>
    </row>
    <row r="86" spans="1:10" x14ac:dyDescent="0.25">
      <c r="A86" s="12" t="s">
        <v>131</v>
      </c>
      <c r="B86" s="39">
        <v>3</v>
      </c>
      <c r="C86" s="34">
        <v>9</v>
      </c>
      <c r="D86" s="35">
        <f t="shared" si="0"/>
        <v>12</v>
      </c>
      <c r="E86" s="34">
        <v>34</v>
      </c>
      <c r="F86" s="34">
        <v>12</v>
      </c>
      <c r="G86" s="34">
        <f t="shared" si="1"/>
        <v>46</v>
      </c>
      <c r="H86" s="39">
        <f t="shared" si="2"/>
        <v>37</v>
      </c>
      <c r="I86" s="34">
        <f t="shared" si="2"/>
        <v>21</v>
      </c>
      <c r="J86" s="35">
        <f t="shared" si="3"/>
        <v>58</v>
      </c>
    </row>
    <row r="87" spans="1:10" x14ac:dyDescent="0.25">
      <c r="A87" s="12" t="s">
        <v>149</v>
      </c>
      <c r="B87" s="39">
        <v>0</v>
      </c>
      <c r="C87" s="34">
        <v>0</v>
      </c>
      <c r="D87" s="35">
        <f t="shared" si="0"/>
        <v>0</v>
      </c>
      <c r="E87" s="34">
        <v>32</v>
      </c>
      <c r="F87" s="34">
        <v>12</v>
      </c>
      <c r="G87" s="34">
        <f t="shared" si="1"/>
        <v>44</v>
      </c>
      <c r="H87" s="39">
        <f t="shared" si="2"/>
        <v>32</v>
      </c>
      <c r="I87" s="34">
        <f t="shared" si="2"/>
        <v>12</v>
      </c>
      <c r="J87" s="35">
        <f t="shared" si="3"/>
        <v>44</v>
      </c>
    </row>
    <row r="88" spans="1:10" x14ac:dyDescent="0.25">
      <c r="A88" s="12" t="s">
        <v>158</v>
      </c>
      <c r="B88" s="39">
        <v>0</v>
      </c>
      <c r="C88" s="34">
        <v>0</v>
      </c>
      <c r="D88" s="35">
        <f t="shared" si="0"/>
        <v>0</v>
      </c>
      <c r="E88" s="34">
        <v>7</v>
      </c>
      <c r="F88" s="34">
        <v>7</v>
      </c>
      <c r="G88" s="34">
        <f t="shared" si="1"/>
        <v>14</v>
      </c>
      <c r="H88" s="39">
        <f t="shared" si="2"/>
        <v>7</v>
      </c>
      <c r="I88" s="34">
        <f t="shared" si="2"/>
        <v>7</v>
      </c>
      <c r="J88" s="35">
        <f t="shared" si="3"/>
        <v>14</v>
      </c>
    </row>
    <row r="89" spans="1:10" x14ac:dyDescent="0.25">
      <c r="A89" s="12"/>
      <c r="B89" s="39"/>
      <c r="C89" s="34"/>
      <c r="D89" s="35">
        <f t="shared" si="0"/>
        <v>0</v>
      </c>
      <c r="E89" s="34"/>
      <c r="F89" s="34"/>
      <c r="G89" s="34">
        <f t="shared" si="1"/>
        <v>0</v>
      </c>
      <c r="H89" s="39">
        <f t="shared" si="2"/>
        <v>0</v>
      </c>
      <c r="I89" s="34">
        <f t="shared" si="2"/>
        <v>0</v>
      </c>
      <c r="J89" s="35">
        <f t="shared" si="3"/>
        <v>0</v>
      </c>
    </row>
    <row r="90" spans="1:10" ht="15.75" thickBot="1" x14ac:dyDescent="0.3">
      <c r="A90" s="13"/>
      <c r="B90" s="43"/>
      <c r="C90" s="44"/>
      <c r="D90" s="45">
        <v>0</v>
      </c>
      <c r="E90" s="44"/>
      <c r="F90" s="44"/>
      <c r="G90" s="44">
        <f t="shared" ref="G90:G91" si="4">SUM(E90:F90)</f>
        <v>0</v>
      </c>
      <c r="H90" s="43">
        <f t="shared" ref="H90:I91" si="5">B90+E90</f>
        <v>0</v>
      </c>
      <c r="I90" s="44">
        <f t="shared" si="5"/>
        <v>0</v>
      </c>
      <c r="J90" s="45">
        <f t="shared" ref="J90:J91" si="6">SUM(H90:I90)</f>
        <v>0</v>
      </c>
    </row>
    <row r="91" spans="1:10" ht="16.5" thickTop="1" thickBot="1" x14ac:dyDescent="0.3">
      <c r="A91" s="8" t="s">
        <v>0</v>
      </c>
      <c r="B91" s="8">
        <f>SUM(B7:B90)</f>
        <v>5544</v>
      </c>
      <c r="C91" s="36">
        <f>SUM(C7:C90)</f>
        <v>6125</v>
      </c>
      <c r="D91" s="40">
        <f>SUM(D7:D90)</f>
        <v>11669</v>
      </c>
      <c r="E91" s="36">
        <f>SUM(E7:E90)</f>
        <v>3346</v>
      </c>
      <c r="F91" s="36">
        <f>SUM(F7:F90)</f>
        <v>3322</v>
      </c>
      <c r="G91" s="37">
        <f t="shared" si="4"/>
        <v>6668</v>
      </c>
      <c r="H91" s="41">
        <f t="shared" si="5"/>
        <v>8890</v>
      </c>
      <c r="I91" s="37">
        <f t="shared" si="5"/>
        <v>9447</v>
      </c>
      <c r="J91" s="38">
        <f t="shared" si="6"/>
        <v>18337</v>
      </c>
    </row>
    <row r="92" spans="1:10" ht="15.75" thickBo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25">
      <c r="A93" s="16" t="s">
        <v>16</v>
      </c>
      <c r="B93" s="58" t="s">
        <v>3</v>
      </c>
      <c r="C93" s="59"/>
      <c r="D93" s="60"/>
      <c r="E93" s="58" t="s">
        <v>4</v>
      </c>
      <c r="F93" s="59"/>
      <c r="G93" s="60"/>
      <c r="H93" s="58" t="s">
        <v>0</v>
      </c>
      <c r="I93" s="59"/>
      <c r="J93" s="60"/>
    </row>
    <row r="94" spans="1:10" x14ac:dyDescent="0.25">
      <c r="A94" s="17"/>
      <c r="B94" s="32" t="s">
        <v>5</v>
      </c>
      <c r="C94" s="31" t="s">
        <v>6</v>
      </c>
      <c r="D94" s="33" t="s">
        <v>0</v>
      </c>
      <c r="E94" s="32" t="s">
        <v>5</v>
      </c>
      <c r="F94" s="31" t="s">
        <v>6</v>
      </c>
      <c r="G94" s="33" t="s">
        <v>0</v>
      </c>
      <c r="H94" s="32" t="s">
        <v>5</v>
      </c>
      <c r="I94" s="31" t="s">
        <v>6</v>
      </c>
      <c r="J94" s="30" t="s">
        <v>0</v>
      </c>
    </row>
    <row r="95" spans="1:10" x14ac:dyDescent="0.25">
      <c r="A95" s="29" t="s">
        <v>15</v>
      </c>
      <c r="B95" s="6">
        <v>652</v>
      </c>
      <c r="C95" s="4">
        <v>1277</v>
      </c>
      <c r="D95" s="5">
        <f t="shared" ref="D95:D103" si="7">B95+C95</f>
        <v>1929</v>
      </c>
      <c r="E95" s="6">
        <v>242</v>
      </c>
      <c r="F95" s="4">
        <v>398</v>
      </c>
      <c r="G95" s="4">
        <f t="shared" ref="G95:G103" si="8">E95+F95</f>
        <v>640</v>
      </c>
      <c r="H95" s="6">
        <f>B95+E95</f>
        <v>894</v>
      </c>
      <c r="I95" s="4">
        <f>C95+F95</f>
        <v>1675</v>
      </c>
      <c r="J95" s="7">
        <f t="shared" ref="J95:J103" si="9">H95+I95</f>
        <v>2569</v>
      </c>
    </row>
    <row r="96" spans="1:10" x14ac:dyDescent="0.25">
      <c r="A96" s="29" t="s">
        <v>14</v>
      </c>
      <c r="B96" s="6">
        <v>237</v>
      </c>
      <c r="C96" s="4">
        <v>176</v>
      </c>
      <c r="D96" s="5">
        <f t="shared" si="7"/>
        <v>413</v>
      </c>
      <c r="E96" s="6">
        <v>455</v>
      </c>
      <c r="F96" s="4">
        <v>361</v>
      </c>
      <c r="G96" s="4">
        <f t="shared" si="8"/>
        <v>816</v>
      </c>
      <c r="H96" s="6">
        <f t="shared" ref="H96:I103" si="10">B96+E96</f>
        <v>692</v>
      </c>
      <c r="I96" s="4">
        <f t="shared" si="10"/>
        <v>537</v>
      </c>
      <c r="J96" s="7">
        <f t="shared" si="9"/>
        <v>1229</v>
      </c>
    </row>
    <row r="97" spans="1:10" x14ac:dyDescent="0.25">
      <c r="A97" s="29" t="s">
        <v>155</v>
      </c>
      <c r="B97" s="6">
        <v>568</v>
      </c>
      <c r="C97" s="4">
        <v>680</v>
      </c>
      <c r="D97" s="5">
        <f t="shared" si="7"/>
        <v>1248</v>
      </c>
      <c r="E97" s="6">
        <v>509</v>
      </c>
      <c r="F97" s="4">
        <v>626</v>
      </c>
      <c r="G97" s="4">
        <f t="shared" si="8"/>
        <v>1135</v>
      </c>
      <c r="H97" s="6">
        <f t="shared" si="10"/>
        <v>1077</v>
      </c>
      <c r="I97" s="4">
        <f t="shared" si="10"/>
        <v>1306</v>
      </c>
      <c r="J97" s="7">
        <f t="shared" si="9"/>
        <v>2383</v>
      </c>
    </row>
    <row r="98" spans="1:10" x14ac:dyDescent="0.25">
      <c r="A98" s="29" t="s">
        <v>81</v>
      </c>
      <c r="B98" s="6">
        <v>0</v>
      </c>
      <c r="C98" s="4">
        <v>0</v>
      </c>
      <c r="D98" s="5">
        <f t="shared" si="7"/>
        <v>0</v>
      </c>
      <c r="E98" s="6">
        <v>204</v>
      </c>
      <c r="F98" s="4">
        <v>145</v>
      </c>
      <c r="G98" s="4">
        <f t="shared" si="8"/>
        <v>349</v>
      </c>
      <c r="H98" s="6">
        <f t="shared" si="10"/>
        <v>204</v>
      </c>
      <c r="I98" s="4">
        <f t="shared" si="10"/>
        <v>145</v>
      </c>
      <c r="J98" s="7">
        <f t="shared" si="9"/>
        <v>349</v>
      </c>
    </row>
    <row r="99" spans="1:10" x14ac:dyDescent="0.25">
      <c r="A99" s="29" t="s">
        <v>91</v>
      </c>
      <c r="B99" s="6">
        <v>936</v>
      </c>
      <c r="C99" s="4">
        <v>263</v>
      </c>
      <c r="D99" s="5">
        <f t="shared" si="7"/>
        <v>1199</v>
      </c>
      <c r="E99" s="6">
        <v>747</v>
      </c>
      <c r="F99" s="4">
        <v>202</v>
      </c>
      <c r="G99" s="4">
        <f t="shared" ref="G99:G100" si="11">E99+F99</f>
        <v>949</v>
      </c>
      <c r="H99" s="6">
        <f t="shared" ref="H99:H100" si="12">B99+E99</f>
        <v>1683</v>
      </c>
      <c r="I99" s="4">
        <f t="shared" ref="I99:I100" si="13">C99+F99</f>
        <v>465</v>
      </c>
      <c r="J99" s="7">
        <f t="shared" ref="J99:J100" si="14">H99+I99</f>
        <v>2148</v>
      </c>
    </row>
    <row r="100" spans="1:10" x14ac:dyDescent="0.25">
      <c r="A100" s="29" t="s">
        <v>1</v>
      </c>
      <c r="B100" s="6">
        <v>207</v>
      </c>
      <c r="C100" s="4">
        <v>326</v>
      </c>
      <c r="D100" s="5">
        <f t="shared" si="7"/>
        <v>533</v>
      </c>
      <c r="E100" s="6">
        <v>226</v>
      </c>
      <c r="F100" s="4">
        <v>241</v>
      </c>
      <c r="G100" s="4">
        <f t="shared" si="11"/>
        <v>467</v>
      </c>
      <c r="H100" s="6">
        <f t="shared" si="12"/>
        <v>433</v>
      </c>
      <c r="I100" s="4">
        <f t="shared" si="13"/>
        <v>567</v>
      </c>
      <c r="J100" s="7">
        <f t="shared" si="14"/>
        <v>1000</v>
      </c>
    </row>
    <row r="101" spans="1:10" x14ac:dyDescent="0.25">
      <c r="A101" s="29" t="s">
        <v>11</v>
      </c>
      <c r="B101" s="6">
        <v>841</v>
      </c>
      <c r="C101" s="4">
        <v>1493</v>
      </c>
      <c r="D101" s="5">
        <f t="shared" si="7"/>
        <v>2334</v>
      </c>
      <c r="E101" s="6">
        <v>354</v>
      </c>
      <c r="F101" s="4">
        <v>593</v>
      </c>
      <c r="G101" s="4">
        <f t="shared" si="8"/>
        <v>947</v>
      </c>
      <c r="H101" s="6">
        <f t="shared" si="10"/>
        <v>1195</v>
      </c>
      <c r="I101" s="4">
        <f t="shared" si="10"/>
        <v>2086</v>
      </c>
      <c r="J101" s="7">
        <f t="shared" si="9"/>
        <v>3281</v>
      </c>
    </row>
    <row r="102" spans="1:10" x14ac:dyDescent="0.25">
      <c r="A102" s="29" t="s">
        <v>10</v>
      </c>
      <c r="B102" s="6">
        <v>990</v>
      </c>
      <c r="C102" s="4">
        <v>698</v>
      </c>
      <c r="D102" s="5">
        <f t="shared" si="7"/>
        <v>1688</v>
      </c>
      <c r="E102" s="6">
        <v>190</v>
      </c>
      <c r="F102" s="4">
        <v>128</v>
      </c>
      <c r="G102" s="4">
        <f t="shared" si="8"/>
        <v>318</v>
      </c>
      <c r="H102" s="6">
        <f t="shared" si="10"/>
        <v>1180</v>
      </c>
      <c r="I102" s="4">
        <f t="shared" si="10"/>
        <v>826</v>
      </c>
      <c r="J102" s="7">
        <f t="shared" si="9"/>
        <v>2006</v>
      </c>
    </row>
    <row r="103" spans="1:10" ht="15.75" thickBot="1" x14ac:dyDescent="0.3">
      <c r="A103" s="28" t="s">
        <v>9</v>
      </c>
      <c r="B103" s="10">
        <v>1113</v>
      </c>
      <c r="C103" s="27">
        <v>1212</v>
      </c>
      <c r="D103" s="14">
        <f t="shared" si="7"/>
        <v>2325</v>
      </c>
      <c r="E103" s="10">
        <v>419</v>
      </c>
      <c r="F103" s="11">
        <v>628</v>
      </c>
      <c r="G103" s="11">
        <f t="shared" si="8"/>
        <v>1047</v>
      </c>
      <c r="H103" s="10">
        <f t="shared" si="10"/>
        <v>1532</v>
      </c>
      <c r="I103" s="11">
        <f t="shared" si="10"/>
        <v>1840</v>
      </c>
      <c r="J103" s="26">
        <f t="shared" si="9"/>
        <v>3372</v>
      </c>
    </row>
    <row r="104" spans="1:10" ht="16.5" thickTop="1" thickBot="1" x14ac:dyDescent="0.3">
      <c r="A104" s="9" t="s">
        <v>0</v>
      </c>
      <c r="B104" s="8">
        <f t="shared" ref="B104:J104" si="15">SUM(B95:B103)</f>
        <v>5544</v>
      </c>
      <c r="C104" s="8">
        <f t="shared" si="15"/>
        <v>6125</v>
      </c>
      <c r="D104" s="8">
        <f t="shared" si="15"/>
        <v>11669</v>
      </c>
      <c r="E104" s="8">
        <f t="shared" si="15"/>
        <v>3346</v>
      </c>
      <c r="F104" s="8">
        <f t="shared" si="15"/>
        <v>3322</v>
      </c>
      <c r="G104" s="8">
        <f t="shared" si="15"/>
        <v>6668</v>
      </c>
      <c r="H104" s="8">
        <f t="shared" si="15"/>
        <v>8890</v>
      </c>
      <c r="I104" s="8">
        <f t="shared" si="15"/>
        <v>9447</v>
      </c>
      <c r="J104" s="9">
        <f t="shared" si="15"/>
        <v>18337</v>
      </c>
    </row>
    <row r="105" spans="1:10" ht="15.75" thickBo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10" x14ac:dyDescent="0.25">
      <c r="A106" s="12" t="s">
        <v>15</v>
      </c>
      <c r="B106" s="24">
        <f>B95/D95</f>
        <v>0.33799896319336442</v>
      </c>
      <c r="C106" s="23">
        <f>C95/D95</f>
        <v>0.66200103680663558</v>
      </c>
      <c r="D106" s="5"/>
      <c r="E106" s="24">
        <f>E95/G95</f>
        <v>0.37812499999999999</v>
      </c>
      <c r="F106" s="23">
        <f>F95/G95</f>
        <v>0.62187499999999996</v>
      </c>
      <c r="G106" s="4"/>
      <c r="H106" s="24">
        <f>H95/J95</f>
        <v>0.34799532892175944</v>
      </c>
      <c r="I106" s="23">
        <f>I95/J95</f>
        <v>0.65200467107824056</v>
      </c>
      <c r="J106" s="7"/>
    </row>
    <row r="107" spans="1:10" x14ac:dyDescent="0.25">
      <c r="A107" s="12" t="s">
        <v>14</v>
      </c>
      <c r="B107" s="24">
        <f>B96/D96</f>
        <v>0.57384987893462469</v>
      </c>
      <c r="C107" s="23">
        <f>C96/D96</f>
        <v>0.42615012106537531</v>
      </c>
      <c r="D107" s="5"/>
      <c r="E107" s="24">
        <f>E96/G96</f>
        <v>0.55759803921568629</v>
      </c>
      <c r="F107" s="23">
        <f>F96/G96</f>
        <v>0.44240196078431371</v>
      </c>
      <c r="G107" s="4"/>
      <c r="H107" s="24">
        <f>H96/J96</f>
        <v>0.56305939788445891</v>
      </c>
      <c r="I107" s="23">
        <f>I96/J96</f>
        <v>0.43694060211554109</v>
      </c>
      <c r="J107" s="7"/>
    </row>
    <row r="108" spans="1:10" x14ac:dyDescent="0.25">
      <c r="A108" s="12" t="s">
        <v>155</v>
      </c>
      <c r="B108" s="24">
        <f>B97/D97</f>
        <v>0.45512820512820512</v>
      </c>
      <c r="C108" s="23">
        <f>C97/D97</f>
        <v>0.54487179487179482</v>
      </c>
      <c r="D108" s="5"/>
      <c r="E108" s="24">
        <f>E97/G97</f>
        <v>0.44845814977973569</v>
      </c>
      <c r="F108" s="23">
        <f>F97/G97</f>
        <v>0.55154185022026436</v>
      </c>
      <c r="G108" s="4"/>
      <c r="H108" s="24">
        <f>H97/J97</f>
        <v>0.45195132186319764</v>
      </c>
      <c r="I108" s="23">
        <f>I97/J97</f>
        <v>0.54804867813680236</v>
      </c>
      <c r="J108" s="7"/>
    </row>
    <row r="109" spans="1:10" x14ac:dyDescent="0.25">
      <c r="A109" s="12" t="s">
        <v>81</v>
      </c>
      <c r="B109" s="24"/>
      <c r="C109" s="23"/>
      <c r="D109" s="5"/>
      <c r="E109" s="24">
        <f t="shared" ref="E109:E111" si="16">E98/G98</f>
        <v>0.58452722063037255</v>
      </c>
      <c r="F109" s="23">
        <f t="shared" ref="F109:F111" si="17">F98/G98</f>
        <v>0.41547277936962751</v>
      </c>
      <c r="G109" s="4"/>
      <c r="H109" s="24">
        <f t="shared" ref="H109:H111" si="18">H98/J98</f>
        <v>0.58452722063037255</v>
      </c>
      <c r="I109" s="23">
        <f t="shared" ref="I109:I111" si="19">I98/J98</f>
        <v>0.41547277936962751</v>
      </c>
      <c r="J109" s="7"/>
    </row>
    <row r="110" spans="1:10" x14ac:dyDescent="0.25">
      <c r="A110" s="12" t="s">
        <v>91</v>
      </c>
      <c r="B110" s="24">
        <f t="shared" ref="B110:B111" si="20">B99/D99</f>
        <v>0.78065054211843199</v>
      </c>
      <c r="C110" s="23">
        <f t="shared" ref="C110:C111" si="21">C99/D99</f>
        <v>0.21934945788156798</v>
      </c>
      <c r="D110" s="5"/>
      <c r="E110" s="24">
        <f t="shared" si="16"/>
        <v>0.78714436248682829</v>
      </c>
      <c r="F110" s="23">
        <f t="shared" si="17"/>
        <v>0.21285563751317177</v>
      </c>
      <c r="G110" s="4"/>
      <c r="H110" s="24">
        <f t="shared" si="18"/>
        <v>0.78351955307262566</v>
      </c>
      <c r="I110" s="23">
        <f t="shared" si="19"/>
        <v>0.21648044692737431</v>
      </c>
      <c r="J110" s="7"/>
    </row>
    <row r="111" spans="1:10" x14ac:dyDescent="0.25">
      <c r="A111" s="12" t="s">
        <v>1</v>
      </c>
      <c r="B111" s="24">
        <f t="shared" si="20"/>
        <v>0.38836772983114448</v>
      </c>
      <c r="C111" s="23">
        <f t="shared" si="21"/>
        <v>0.61163227016885557</v>
      </c>
      <c r="D111" s="5"/>
      <c r="E111" s="24">
        <f t="shared" si="16"/>
        <v>0.48394004282655245</v>
      </c>
      <c r="F111" s="23">
        <f t="shared" si="17"/>
        <v>0.51605995717344755</v>
      </c>
      <c r="G111" s="4"/>
      <c r="H111" s="24">
        <f t="shared" si="18"/>
        <v>0.433</v>
      </c>
      <c r="I111" s="23">
        <f t="shared" si="19"/>
        <v>0.56699999999999995</v>
      </c>
      <c r="J111" s="7"/>
    </row>
    <row r="112" spans="1:10" x14ac:dyDescent="0.25">
      <c r="A112" s="12" t="s">
        <v>11</v>
      </c>
      <c r="B112" s="24">
        <f>B101/D101</f>
        <v>0.36032562125107115</v>
      </c>
      <c r="C112" s="23">
        <f>C101/D101</f>
        <v>0.63967437874892885</v>
      </c>
      <c r="D112" s="5"/>
      <c r="E112" s="24">
        <f>E101/G101</f>
        <v>0.37381203801478352</v>
      </c>
      <c r="F112" s="23">
        <f>F101/G101</f>
        <v>0.62618796198521642</v>
      </c>
      <c r="G112" s="4"/>
      <c r="H112" s="24">
        <f>H101/J101</f>
        <v>0.36421822615056387</v>
      </c>
      <c r="I112" s="23">
        <f>I101/J101</f>
        <v>0.63578177384943613</v>
      </c>
      <c r="J112" s="7"/>
    </row>
    <row r="113" spans="1:10" x14ac:dyDescent="0.25">
      <c r="A113" s="12" t="s">
        <v>10</v>
      </c>
      <c r="B113" s="24">
        <f>B102/D102</f>
        <v>0.5864928909952607</v>
      </c>
      <c r="C113" s="23">
        <f>C102/D102</f>
        <v>0.41350710900473936</v>
      </c>
      <c r="D113" s="5"/>
      <c r="E113" s="24">
        <f>E102/G102</f>
        <v>0.59748427672955973</v>
      </c>
      <c r="F113" s="23">
        <f>F102/G102</f>
        <v>0.40251572327044027</v>
      </c>
      <c r="G113" s="4"/>
      <c r="H113" s="24">
        <f>H102/J102</f>
        <v>0.58823529411764708</v>
      </c>
      <c r="I113" s="23">
        <f>I102/J102</f>
        <v>0.41176470588235292</v>
      </c>
      <c r="J113" s="7"/>
    </row>
    <row r="114" spans="1:10" ht="15.75" thickBot="1" x14ac:dyDescent="0.3">
      <c r="A114" s="13" t="s">
        <v>9</v>
      </c>
      <c r="B114" s="22">
        <f>B103/D103</f>
        <v>0.47870967741935483</v>
      </c>
      <c r="C114" s="21">
        <f>C103/D103</f>
        <v>0.52129032258064512</v>
      </c>
      <c r="D114" s="14"/>
      <c r="E114" s="22">
        <f>E103/G103</f>
        <v>0.40019102196752626</v>
      </c>
      <c r="F114" s="21">
        <f>F103/G103</f>
        <v>0.59980897803247368</v>
      </c>
      <c r="G114" s="11"/>
      <c r="H114" s="22">
        <f>H103/J103</f>
        <v>0.4543297746144721</v>
      </c>
      <c r="I114" s="21">
        <f>I103/J103</f>
        <v>0.5456702253855279</v>
      </c>
      <c r="J114" s="20"/>
    </row>
    <row r="115" spans="1:10" ht="16.5" thickTop="1" thickBot="1" x14ac:dyDescent="0.3">
      <c r="A115" s="8" t="s">
        <v>0</v>
      </c>
      <c r="B115" s="19">
        <f>B104/D104</f>
        <v>0.47510497900419918</v>
      </c>
      <c r="C115" s="19">
        <f>C104/D104</f>
        <v>0.52489502099580088</v>
      </c>
      <c r="D115" s="8"/>
      <c r="E115" s="19">
        <f>E104/G104</f>
        <v>0.50179964007198563</v>
      </c>
      <c r="F115" s="19">
        <f>F104/G104</f>
        <v>0.49820035992801442</v>
      </c>
      <c r="G115" s="8"/>
      <c r="H115" s="19">
        <f>H104/J104</f>
        <v>0.48481212848339422</v>
      </c>
      <c r="I115" s="19">
        <f>I104/J104</f>
        <v>0.51518787151660572</v>
      </c>
      <c r="J115" s="9"/>
    </row>
  </sheetData>
  <mergeCells count="8">
    <mergeCell ref="B93:D93"/>
    <mergeCell ref="E93:G93"/>
    <mergeCell ref="H93:J9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topLeftCell="A82" zoomScale="55" zoomScaleNormal="55" zoomScalePageLayoutView="70" workbookViewId="0">
      <selection activeCell="A92" sqref="A92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2001-02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72</v>
      </c>
      <c r="C7" s="34">
        <v>173</v>
      </c>
      <c r="D7" s="35">
        <f>SUM(B7:C7)</f>
        <v>245</v>
      </c>
      <c r="E7" s="34">
        <v>62</v>
      </c>
      <c r="F7" s="34">
        <v>48</v>
      </c>
      <c r="G7" s="34">
        <f>SUM(E7:F7)</f>
        <v>110</v>
      </c>
      <c r="H7" s="39">
        <f>B7+E7</f>
        <v>134</v>
      </c>
      <c r="I7" s="34">
        <f>C7+F7</f>
        <v>221</v>
      </c>
      <c r="J7" s="35">
        <f>SUM(H7:I7)</f>
        <v>355</v>
      </c>
    </row>
    <row r="8" spans="1:10" x14ac:dyDescent="0.25">
      <c r="A8" s="12" t="s">
        <v>17</v>
      </c>
      <c r="B8" s="39">
        <v>52</v>
      </c>
      <c r="C8" s="34">
        <v>134</v>
      </c>
      <c r="D8" s="35">
        <f t="shared" ref="D8:D89" si="0">SUM(B8:C8)</f>
        <v>186</v>
      </c>
      <c r="E8" s="34">
        <v>33</v>
      </c>
      <c r="F8" s="34">
        <v>88</v>
      </c>
      <c r="G8" s="34">
        <f t="shared" ref="G8:G89" si="1">SUM(E8:F8)</f>
        <v>121</v>
      </c>
      <c r="H8" s="39">
        <f t="shared" ref="H8:I89" si="2">B8+E8</f>
        <v>85</v>
      </c>
      <c r="I8" s="34">
        <f t="shared" si="2"/>
        <v>222</v>
      </c>
      <c r="J8" s="35">
        <f t="shared" ref="J8:J89" si="3">SUM(H8:I8)</f>
        <v>307</v>
      </c>
    </row>
    <row r="9" spans="1:10" x14ac:dyDescent="0.25">
      <c r="A9" s="12" t="s">
        <v>18</v>
      </c>
      <c r="B9" s="39">
        <v>98</v>
      </c>
      <c r="C9" s="34">
        <v>166</v>
      </c>
      <c r="D9" s="35">
        <f t="shared" si="0"/>
        <v>264</v>
      </c>
      <c r="E9" s="34">
        <v>89</v>
      </c>
      <c r="F9" s="34">
        <v>180</v>
      </c>
      <c r="G9" s="34">
        <f t="shared" si="1"/>
        <v>269</v>
      </c>
      <c r="H9" s="39">
        <f t="shared" si="2"/>
        <v>187</v>
      </c>
      <c r="I9" s="34">
        <f t="shared" si="2"/>
        <v>346</v>
      </c>
      <c r="J9" s="35">
        <f t="shared" si="3"/>
        <v>533</v>
      </c>
    </row>
    <row r="10" spans="1:10" x14ac:dyDescent="0.25">
      <c r="A10" s="12" t="s">
        <v>19</v>
      </c>
      <c r="B10" s="39">
        <v>198</v>
      </c>
      <c r="C10" s="34">
        <v>156</v>
      </c>
      <c r="D10" s="35">
        <f t="shared" si="0"/>
        <v>354</v>
      </c>
      <c r="E10" s="34">
        <v>329</v>
      </c>
      <c r="F10" s="34">
        <v>231</v>
      </c>
      <c r="G10" s="34">
        <f t="shared" si="1"/>
        <v>560</v>
      </c>
      <c r="H10" s="39">
        <f t="shared" si="2"/>
        <v>527</v>
      </c>
      <c r="I10" s="34">
        <f t="shared" si="2"/>
        <v>387</v>
      </c>
      <c r="J10" s="35">
        <f t="shared" si="3"/>
        <v>914</v>
      </c>
    </row>
    <row r="11" spans="1:10" x14ac:dyDescent="0.25">
      <c r="A11" s="12" t="s">
        <v>23</v>
      </c>
      <c r="B11" s="39">
        <v>76</v>
      </c>
      <c r="C11" s="34">
        <v>52</v>
      </c>
      <c r="D11" s="35">
        <f t="shared" si="0"/>
        <v>128</v>
      </c>
      <c r="E11" s="34">
        <v>61</v>
      </c>
      <c r="F11" s="34">
        <v>27</v>
      </c>
      <c r="G11" s="34">
        <f t="shared" si="1"/>
        <v>88</v>
      </c>
      <c r="H11" s="39">
        <f t="shared" si="2"/>
        <v>137</v>
      </c>
      <c r="I11" s="34">
        <f t="shared" si="2"/>
        <v>79</v>
      </c>
      <c r="J11" s="35">
        <f t="shared" si="3"/>
        <v>216</v>
      </c>
    </row>
    <row r="12" spans="1:10" x14ac:dyDescent="0.25">
      <c r="A12" s="12" t="s">
        <v>108</v>
      </c>
      <c r="B12" s="39">
        <v>99</v>
      </c>
      <c r="C12" s="34">
        <v>88</v>
      </c>
      <c r="D12" s="35">
        <f t="shared" si="0"/>
        <v>187</v>
      </c>
      <c r="E12" s="34">
        <v>44</v>
      </c>
      <c r="F12" s="34">
        <v>55</v>
      </c>
      <c r="G12" s="34">
        <f t="shared" si="1"/>
        <v>99</v>
      </c>
      <c r="H12" s="39">
        <f t="shared" si="2"/>
        <v>143</v>
      </c>
      <c r="I12" s="34">
        <f t="shared" si="2"/>
        <v>143</v>
      </c>
      <c r="J12" s="35">
        <f t="shared" si="3"/>
        <v>286</v>
      </c>
    </row>
    <row r="13" spans="1:10" x14ac:dyDescent="0.25">
      <c r="A13" s="12" t="s">
        <v>109</v>
      </c>
      <c r="B13" s="39">
        <v>118</v>
      </c>
      <c r="C13" s="34">
        <v>158</v>
      </c>
      <c r="D13" s="35">
        <f t="shared" si="0"/>
        <v>276</v>
      </c>
      <c r="E13" s="34">
        <v>41</v>
      </c>
      <c r="F13" s="34">
        <v>60</v>
      </c>
      <c r="G13" s="34">
        <f t="shared" si="1"/>
        <v>101</v>
      </c>
      <c r="H13" s="39">
        <f t="shared" si="2"/>
        <v>159</v>
      </c>
      <c r="I13" s="34">
        <f t="shared" si="2"/>
        <v>218</v>
      </c>
      <c r="J13" s="35">
        <f t="shared" si="3"/>
        <v>377</v>
      </c>
    </row>
    <row r="14" spans="1:10" x14ac:dyDescent="0.25">
      <c r="A14" s="12" t="s">
        <v>139</v>
      </c>
      <c r="B14" s="39">
        <v>0</v>
      </c>
      <c r="C14" s="34">
        <v>0</v>
      </c>
      <c r="D14" s="35">
        <f t="shared" si="0"/>
        <v>0</v>
      </c>
      <c r="E14" s="34">
        <v>16</v>
      </c>
      <c r="F14" s="34">
        <v>4</v>
      </c>
      <c r="G14" s="34">
        <f t="shared" si="1"/>
        <v>20</v>
      </c>
      <c r="H14" s="39">
        <f t="shared" si="2"/>
        <v>16</v>
      </c>
      <c r="I14" s="34">
        <f t="shared" si="2"/>
        <v>4</v>
      </c>
      <c r="J14" s="35">
        <f t="shared" si="3"/>
        <v>20</v>
      </c>
    </row>
    <row r="15" spans="1:10" x14ac:dyDescent="0.25">
      <c r="A15" s="12" t="s">
        <v>140</v>
      </c>
      <c r="B15" s="39">
        <v>0</v>
      </c>
      <c r="C15" s="34">
        <v>0</v>
      </c>
      <c r="D15" s="35">
        <f t="shared" si="0"/>
        <v>0</v>
      </c>
      <c r="E15" s="34">
        <v>9</v>
      </c>
      <c r="F15" s="34">
        <v>1</v>
      </c>
      <c r="G15" s="34">
        <f t="shared" si="1"/>
        <v>10</v>
      </c>
      <c r="H15" s="39">
        <f t="shared" si="2"/>
        <v>9</v>
      </c>
      <c r="I15" s="34">
        <f t="shared" si="2"/>
        <v>1</v>
      </c>
      <c r="J15" s="35">
        <f t="shared" si="3"/>
        <v>10</v>
      </c>
    </row>
    <row r="16" spans="1:10" x14ac:dyDescent="0.25">
      <c r="A16" s="12" t="s">
        <v>30</v>
      </c>
      <c r="B16" s="39">
        <v>86</v>
      </c>
      <c r="C16" s="34">
        <v>37</v>
      </c>
      <c r="D16" s="35">
        <f t="shared" si="0"/>
        <v>123</v>
      </c>
      <c r="E16" s="34">
        <v>35</v>
      </c>
      <c r="F16" s="34">
        <v>13</v>
      </c>
      <c r="G16" s="34">
        <f t="shared" si="1"/>
        <v>48</v>
      </c>
      <c r="H16" s="39">
        <f t="shared" si="2"/>
        <v>121</v>
      </c>
      <c r="I16" s="34">
        <f t="shared" si="2"/>
        <v>50</v>
      </c>
      <c r="J16" s="35">
        <f t="shared" si="3"/>
        <v>171</v>
      </c>
    </row>
    <row r="17" spans="1:10" x14ac:dyDescent="0.25">
      <c r="A17" s="12" t="s">
        <v>31</v>
      </c>
      <c r="B17" s="39">
        <v>124</v>
      </c>
      <c r="C17" s="34">
        <v>135</v>
      </c>
      <c r="D17" s="35">
        <f t="shared" si="0"/>
        <v>259</v>
      </c>
      <c r="E17" s="34">
        <v>43</v>
      </c>
      <c r="F17" s="34">
        <v>39</v>
      </c>
      <c r="G17" s="34">
        <f t="shared" si="1"/>
        <v>82</v>
      </c>
      <c r="H17" s="39">
        <f t="shared" si="2"/>
        <v>167</v>
      </c>
      <c r="I17" s="34">
        <f t="shared" si="2"/>
        <v>174</v>
      </c>
      <c r="J17" s="35">
        <f t="shared" si="3"/>
        <v>341</v>
      </c>
    </row>
    <row r="18" spans="1:10" x14ac:dyDescent="0.25">
      <c r="A18" s="12" t="s">
        <v>132</v>
      </c>
      <c r="B18" s="39">
        <v>136</v>
      </c>
      <c r="C18" s="34">
        <v>37</v>
      </c>
      <c r="D18" s="35">
        <f t="shared" si="0"/>
        <v>173</v>
      </c>
      <c r="E18" s="34">
        <v>24</v>
      </c>
      <c r="F18" s="34">
        <v>12</v>
      </c>
      <c r="G18" s="34">
        <f t="shared" si="1"/>
        <v>36</v>
      </c>
      <c r="H18" s="39">
        <f t="shared" si="2"/>
        <v>160</v>
      </c>
      <c r="I18" s="34">
        <f t="shared" si="2"/>
        <v>49</v>
      </c>
      <c r="J18" s="35">
        <f t="shared" si="3"/>
        <v>209</v>
      </c>
    </row>
    <row r="19" spans="1:10" x14ac:dyDescent="0.25">
      <c r="A19" s="12" t="s">
        <v>33</v>
      </c>
      <c r="B19" s="39">
        <v>178</v>
      </c>
      <c r="C19" s="34">
        <v>36</v>
      </c>
      <c r="D19" s="35">
        <f t="shared" si="0"/>
        <v>214</v>
      </c>
      <c r="E19" s="34">
        <v>110</v>
      </c>
      <c r="F19" s="34">
        <v>43</v>
      </c>
      <c r="G19" s="34">
        <f t="shared" si="1"/>
        <v>153</v>
      </c>
      <c r="H19" s="39">
        <f t="shared" si="2"/>
        <v>288</v>
      </c>
      <c r="I19" s="34">
        <f t="shared" si="2"/>
        <v>79</v>
      </c>
      <c r="J19" s="35">
        <f t="shared" si="3"/>
        <v>367</v>
      </c>
    </row>
    <row r="20" spans="1:10" x14ac:dyDescent="0.25">
      <c r="A20" s="12" t="s">
        <v>34</v>
      </c>
      <c r="B20" s="39">
        <v>0</v>
      </c>
      <c r="C20" s="34">
        <v>0</v>
      </c>
      <c r="D20" s="35">
        <f t="shared" si="0"/>
        <v>0</v>
      </c>
      <c r="E20" s="34">
        <v>47</v>
      </c>
      <c r="F20" s="34">
        <v>64</v>
      </c>
      <c r="G20" s="34">
        <f t="shared" si="1"/>
        <v>111</v>
      </c>
      <c r="H20" s="39">
        <f t="shared" si="2"/>
        <v>47</v>
      </c>
      <c r="I20" s="34">
        <f t="shared" si="2"/>
        <v>64</v>
      </c>
      <c r="J20" s="35">
        <f t="shared" si="3"/>
        <v>111</v>
      </c>
    </row>
    <row r="21" spans="1:10" x14ac:dyDescent="0.25">
      <c r="A21" s="12" t="s">
        <v>35</v>
      </c>
      <c r="B21" s="39">
        <v>8</v>
      </c>
      <c r="C21" s="34">
        <v>22</v>
      </c>
      <c r="D21" s="35">
        <f t="shared" si="0"/>
        <v>30</v>
      </c>
      <c r="E21" s="34">
        <v>4</v>
      </c>
      <c r="F21" s="34">
        <v>7</v>
      </c>
      <c r="G21" s="34">
        <f t="shared" si="1"/>
        <v>11</v>
      </c>
      <c r="H21" s="39">
        <f t="shared" si="2"/>
        <v>12</v>
      </c>
      <c r="I21" s="34">
        <f t="shared" si="2"/>
        <v>29</v>
      </c>
      <c r="J21" s="35">
        <f t="shared" si="3"/>
        <v>41</v>
      </c>
    </row>
    <row r="22" spans="1:10" x14ac:dyDescent="0.25">
      <c r="A22" s="12" t="s">
        <v>37</v>
      </c>
      <c r="B22" s="39">
        <v>322</v>
      </c>
      <c r="C22" s="34">
        <v>159</v>
      </c>
      <c r="D22" s="35">
        <f t="shared" si="0"/>
        <v>481</v>
      </c>
      <c r="E22" s="34">
        <v>70</v>
      </c>
      <c r="F22" s="34">
        <v>47</v>
      </c>
      <c r="G22" s="34">
        <f t="shared" si="1"/>
        <v>117</v>
      </c>
      <c r="H22" s="39">
        <f t="shared" si="2"/>
        <v>392</v>
      </c>
      <c r="I22" s="34">
        <f t="shared" si="2"/>
        <v>206</v>
      </c>
      <c r="J22" s="35">
        <f t="shared" si="3"/>
        <v>598</v>
      </c>
    </row>
    <row r="23" spans="1:10" x14ac:dyDescent="0.25">
      <c r="A23" s="12" t="s">
        <v>38</v>
      </c>
      <c r="B23" s="39">
        <v>211</v>
      </c>
      <c r="C23" s="34">
        <v>37</v>
      </c>
      <c r="D23" s="35">
        <f t="shared" si="0"/>
        <v>248</v>
      </c>
      <c r="E23" s="34">
        <v>277</v>
      </c>
      <c r="F23" s="34">
        <v>59</v>
      </c>
      <c r="G23" s="34">
        <f t="shared" si="1"/>
        <v>336</v>
      </c>
      <c r="H23" s="39">
        <f t="shared" si="2"/>
        <v>488</v>
      </c>
      <c r="I23" s="34">
        <f t="shared" si="2"/>
        <v>96</v>
      </c>
      <c r="J23" s="35">
        <f t="shared" si="3"/>
        <v>584</v>
      </c>
    </row>
    <row r="24" spans="1:10" x14ac:dyDescent="0.25">
      <c r="A24" s="12" t="s">
        <v>41</v>
      </c>
      <c r="B24" s="39">
        <v>78</v>
      </c>
      <c r="C24" s="34">
        <v>193</v>
      </c>
      <c r="D24" s="35">
        <f t="shared" si="0"/>
        <v>271</v>
      </c>
      <c r="E24" s="34">
        <v>23</v>
      </c>
      <c r="F24" s="34">
        <v>32</v>
      </c>
      <c r="G24" s="34">
        <f t="shared" si="1"/>
        <v>55</v>
      </c>
      <c r="H24" s="39">
        <f t="shared" si="2"/>
        <v>101</v>
      </c>
      <c r="I24" s="34">
        <f t="shared" si="2"/>
        <v>225</v>
      </c>
      <c r="J24" s="35">
        <f t="shared" si="3"/>
        <v>326</v>
      </c>
    </row>
    <row r="25" spans="1:10" x14ac:dyDescent="0.25">
      <c r="A25" s="12" t="s">
        <v>44</v>
      </c>
      <c r="B25" s="39">
        <v>53</v>
      </c>
      <c r="C25" s="34">
        <v>114</v>
      </c>
      <c r="D25" s="35">
        <f t="shared" si="0"/>
        <v>167</v>
      </c>
      <c r="E25" s="34">
        <v>42</v>
      </c>
      <c r="F25" s="34">
        <v>67</v>
      </c>
      <c r="G25" s="34">
        <f t="shared" si="1"/>
        <v>109</v>
      </c>
      <c r="H25" s="39">
        <f t="shared" si="2"/>
        <v>95</v>
      </c>
      <c r="I25" s="34">
        <f t="shared" si="2"/>
        <v>181</v>
      </c>
      <c r="J25" s="35">
        <f t="shared" si="3"/>
        <v>276</v>
      </c>
    </row>
    <row r="26" spans="1:10" x14ac:dyDescent="0.25">
      <c r="A26" s="12" t="s">
        <v>45</v>
      </c>
      <c r="B26" s="39">
        <v>76</v>
      </c>
      <c r="C26" s="34">
        <v>171</v>
      </c>
      <c r="D26" s="35">
        <f t="shared" si="0"/>
        <v>247</v>
      </c>
      <c r="E26" s="34">
        <v>5</v>
      </c>
      <c r="F26" s="34">
        <v>10</v>
      </c>
      <c r="G26" s="34">
        <f t="shared" si="1"/>
        <v>15</v>
      </c>
      <c r="H26" s="39">
        <f t="shared" si="2"/>
        <v>81</v>
      </c>
      <c r="I26" s="34">
        <f t="shared" si="2"/>
        <v>181</v>
      </c>
      <c r="J26" s="35">
        <f t="shared" si="3"/>
        <v>262</v>
      </c>
    </row>
    <row r="27" spans="1:10" x14ac:dyDescent="0.25">
      <c r="A27" s="12" t="s">
        <v>95</v>
      </c>
      <c r="B27" s="39">
        <v>0</v>
      </c>
      <c r="C27" s="34">
        <v>0</v>
      </c>
      <c r="D27" s="35">
        <f t="shared" si="0"/>
        <v>0</v>
      </c>
      <c r="E27" s="34">
        <v>6</v>
      </c>
      <c r="F27" s="34">
        <v>1</v>
      </c>
      <c r="G27" s="34">
        <f t="shared" si="1"/>
        <v>7</v>
      </c>
      <c r="H27" s="39">
        <f t="shared" si="2"/>
        <v>6</v>
      </c>
      <c r="I27" s="34">
        <f t="shared" si="2"/>
        <v>1</v>
      </c>
      <c r="J27" s="35">
        <f t="shared" si="3"/>
        <v>7</v>
      </c>
    </row>
    <row r="28" spans="1:10" x14ac:dyDescent="0.25">
      <c r="A28" s="12" t="s">
        <v>47</v>
      </c>
      <c r="B28" s="39">
        <v>138</v>
      </c>
      <c r="C28" s="34">
        <v>152</v>
      </c>
      <c r="D28" s="35">
        <f t="shared" si="0"/>
        <v>290</v>
      </c>
      <c r="E28" s="34">
        <v>52</v>
      </c>
      <c r="F28" s="34">
        <v>46</v>
      </c>
      <c r="G28" s="34">
        <f t="shared" si="1"/>
        <v>98</v>
      </c>
      <c r="H28" s="39">
        <f t="shared" si="2"/>
        <v>190</v>
      </c>
      <c r="I28" s="34">
        <f t="shared" si="2"/>
        <v>198</v>
      </c>
      <c r="J28" s="35">
        <f t="shared" si="3"/>
        <v>388</v>
      </c>
    </row>
    <row r="29" spans="1:10" x14ac:dyDescent="0.25">
      <c r="A29" s="12" t="s">
        <v>159</v>
      </c>
      <c r="B29" s="39">
        <v>109</v>
      </c>
      <c r="C29" s="34">
        <v>114</v>
      </c>
      <c r="D29" s="35">
        <f t="shared" si="0"/>
        <v>223</v>
      </c>
      <c r="E29" s="34">
        <v>25</v>
      </c>
      <c r="F29" s="34">
        <v>10</v>
      </c>
      <c r="G29" s="34">
        <f t="shared" si="1"/>
        <v>35</v>
      </c>
      <c r="H29" s="39">
        <f t="shared" si="2"/>
        <v>134</v>
      </c>
      <c r="I29" s="34">
        <f t="shared" si="2"/>
        <v>124</v>
      </c>
      <c r="J29" s="35">
        <f t="shared" si="3"/>
        <v>258</v>
      </c>
    </row>
    <row r="30" spans="1:10" x14ac:dyDescent="0.25">
      <c r="A30" s="12" t="s">
        <v>133</v>
      </c>
      <c r="B30" s="39">
        <v>2</v>
      </c>
      <c r="C30" s="34">
        <v>2</v>
      </c>
      <c r="D30" s="35">
        <f t="shared" si="0"/>
        <v>4</v>
      </c>
      <c r="E30" s="34">
        <v>41</v>
      </c>
      <c r="F30" s="34">
        <v>14</v>
      </c>
      <c r="G30" s="34">
        <f t="shared" si="1"/>
        <v>55</v>
      </c>
      <c r="H30" s="39">
        <f t="shared" si="2"/>
        <v>43</v>
      </c>
      <c r="I30" s="34">
        <f t="shared" si="2"/>
        <v>16</v>
      </c>
      <c r="J30" s="35">
        <f t="shared" si="3"/>
        <v>59</v>
      </c>
    </row>
    <row r="31" spans="1:10" x14ac:dyDescent="0.25">
      <c r="A31" s="12" t="s">
        <v>48</v>
      </c>
      <c r="B31" s="39">
        <v>27</v>
      </c>
      <c r="C31" s="34">
        <v>61</v>
      </c>
      <c r="D31" s="35">
        <f t="shared" si="0"/>
        <v>88</v>
      </c>
      <c r="E31" s="34">
        <v>6</v>
      </c>
      <c r="F31" s="34">
        <v>20</v>
      </c>
      <c r="G31" s="34">
        <f t="shared" si="1"/>
        <v>26</v>
      </c>
      <c r="H31" s="39">
        <f t="shared" si="2"/>
        <v>33</v>
      </c>
      <c r="I31" s="34">
        <f t="shared" si="2"/>
        <v>81</v>
      </c>
      <c r="J31" s="35">
        <f t="shared" si="3"/>
        <v>114</v>
      </c>
    </row>
    <row r="32" spans="1:10" x14ac:dyDescent="0.25">
      <c r="A32" s="12" t="s">
        <v>49</v>
      </c>
      <c r="B32" s="39">
        <v>33</v>
      </c>
      <c r="C32" s="34">
        <v>78</v>
      </c>
      <c r="D32" s="35">
        <f t="shared" si="0"/>
        <v>111</v>
      </c>
      <c r="E32" s="34">
        <v>11</v>
      </c>
      <c r="F32" s="34">
        <v>25</v>
      </c>
      <c r="G32" s="34">
        <f t="shared" si="1"/>
        <v>36</v>
      </c>
      <c r="H32" s="39">
        <f t="shared" si="2"/>
        <v>44</v>
      </c>
      <c r="I32" s="34">
        <f t="shared" si="2"/>
        <v>103</v>
      </c>
      <c r="J32" s="35">
        <f t="shared" si="3"/>
        <v>147</v>
      </c>
    </row>
    <row r="33" spans="1:10" x14ac:dyDescent="0.25">
      <c r="A33" s="12" t="s">
        <v>50</v>
      </c>
      <c r="B33" s="39">
        <v>13</v>
      </c>
      <c r="C33" s="34">
        <v>24</v>
      </c>
      <c r="D33" s="35">
        <f t="shared" si="0"/>
        <v>37</v>
      </c>
      <c r="E33" s="34">
        <v>16</v>
      </c>
      <c r="F33" s="34">
        <v>21</v>
      </c>
      <c r="G33" s="34">
        <f t="shared" si="1"/>
        <v>37</v>
      </c>
      <c r="H33" s="39">
        <f t="shared" si="2"/>
        <v>29</v>
      </c>
      <c r="I33" s="34">
        <f t="shared" si="2"/>
        <v>45</v>
      </c>
      <c r="J33" s="35">
        <f t="shared" si="3"/>
        <v>74</v>
      </c>
    </row>
    <row r="34" spans="1:10" x14ac:dyDescent="0.25">
      <c r="A34" s="12" t="s">
        <v>160</v>
      </c>
      <c r="B34" s="39">
        <v>0</v>
      </c>
      <c r="C34" s="34">
        <v>0</v>
      </c>
      <c r="D34" s="35">
        <f t="shared" si="0"/>
        <v>0</v>
      </c>
      <c r="E34" s="34">
        <v>1</v>
      </c>
      <c r="F34" s="34">
        <v>5</v>
      </c>
      <c r="G34" s="34">
        <f t="shared" si="1"/>
        <v>6</v>
      </c>
      <c r="H34" s="39">
        <f t="shared" si="2"/>
        <v>1</v>
      </c>
      <c r="I34" s="34">
        <f t="shared" si="2"/>
        <v>5</v>
      </c>
      <c r="J34" s="35">
        <f t="shared" si="3"/>
        <v>6</v>
      </c>
    </row>
    <row r="35" spans="1:10" x14ac:dyDescent="0.25">
      <c r="A35" s="12" t="s">
        <v>51</v>
      </c>
      <c r="B35" s="39">
        <v>160</v>
      </c>
      <c r="C35" s="34">
        <v>197</v>
      </c>
      <c r="D35" s="35">
        <f t="shared" si="0"/>
        <v>357</v>
      </c>
      <c r="E35" s="34">
        <v>47</v>
      </c>
      <c r="F35" s="34">
        <v>52</v>
      </c>
      <c r="G35" s="34">
        <f t="shared" si="1"/>
        <v>99</v>
      </c>
      <c r="H35" s="39">
        <f t="shared" si="2"/>
        <v>207</v>
      </c>
      <c r="I35" s="34">
        <f t="shared" si="2"/>
        <v>249</v>
      </c>
      <c r="J35" s="35">
        <f t="shared" si="3"/>
        <v>456</v>
      </c>
    </row>
    <row r="36" spans="1:10" x14ac:dyDescent="0.25">
      <c r="A36" s="12" t="s">
        <v>52</v>
      </c>
      <c r="B36" s="39">
        <v>34</v>
      </c>
      <c r="C36" s="34">
        <v>124</v>
      </c>
      <c r="D36" s="35">
        <f t="shared" si="0"/>
        <v>158</v>
      </c>
      <c r="E36" s="34">
        <v>7</v>
      </c>
      <c r="F36" s="34">
        <v>30</v>
      </c>
      <c r="G36" s="34">
        <f t="shared" si="1"/>
        <v>37</v>
      </c>
      <c r="H36" s="39">
        <f t="shared" si="2"/>
        <v>41</v>
      </c>
      <c r="I36" s="34">
        <f t="shared" si="2"/>
        <v>154</v>
      </c>
      <c r="J36" s="35">
        <f t="shared" si="3"/>
        <v>195</v>
      </c>
    </row>
    <row r="37" spans="1:10" x14ac:dyDescent="0.25">
      <c r="A37" s="12" t="s">
        <v>110</v>
      </c>
      <c r="B37" s="39">
        <v>4</v>
      </c>
      <c r="C37" s="34">
        <v>205</v>
      </c>
      <c r="D37" s="35">
        <f t="shared" si="0"/>
        <v>209</v>
      </c>
      <c r="E37" s="34">
        <v>6</v>
      </c>
      <c r="F37" s="34">
        <v>77</v>
      </c>
      <c r="G37" s="34">
        <f t="shared" si="1"/>
        <v>83</v>
      </c>
      <c r="H37" s="39">
        <f t="shared" si="2"/>
        <v>10</v>
      </c>
      <c r="I37" s="34">
        <f t="shared" si="2"/>
        <v>282</v>
      </c>
      <c r="J37" s="35">
        <f t="shared" si="3"/>
        <v>292</v>
      </c>
    </row>
    <row r="38" spans="1:10" x14ac:dyDescent="0.25">
      <c r="A38" s="12" t="s">
        <v>55</v>
      </c>
      <c r="B38" s="39">
        <v>64</v>
      </c>
      <c r="C38" s="34">
        <v>215</v>
      </c>
      <c r="D38" s="35">
        <f t="shared" si="0"/>
        <v>279</v>
      </c>
      <c r="E38" s="34">
        <v>10</v>
      </c>
      <c r="F38" s="34">
        <v>19</v>
      </c>
      <c r="G38" s="34">
        <f t="shared" si="1"/>
        <v>29</v>
      </c>
      <c r="H38" s="39">
        <f t="shared" si="2"/>
        <v>74</v>
      </c>
      <c r="I38" s="34">
        <f t="shared" si="2"/>
        <v>234</v>
      </c>
      <c r="J38" s="35">
        <f t="shared" si="3"/>
        <v>308</v>
      </c>
    </row>
    <row r="39" spans="1:10" x14ac:dyDescent="0.25">
      <c r="A39" s="12" t="s">
        <v>1</v>
      </c>
      <c r="B39" s="39">
        <v>191</v>
      </c>
      <c r="C39" s="34">
        <v>315</v>
      </c>
      <c r="D39" s="35">
        <f t="shared" si="0"/>
        <v>506</v>
      </c>
      <c r="E39" s="34">
        <v>165</v>
      </c>
      <c r="F39" s="34">
        <v>203</v>
      </c>
      <c r="G39" s="34">
        <f t="shared" si="1"/>
        <v>368</v>
      </c>
      <c r="H39" s="39">
        <f t="shared" si="2"/>
        <v>356</v>
      </c>
      <c r="I39" s="34">
        <f t="shared" si="2"/>
        <v>518</v>
      </c>
      <c r="J39" s="35">
        <f t="shared" si="3"/>
        <v>874</v>
      </c>
    </row>
    <row r="40" spans="1:10" x14ac:dyDescent="0.25">
      <c r="A40" s="12" t="s">
        <v>102</v>
      </c>
      <c r="B40" s="39">
        <v>55</v>
      </c>
      <c r="C40" s="34">
        <v>58</v>
      </c>
      <c r="D40" s="35">
        <f t="shared" si="0"/>
        <v>113</v>
      </c>
      <c r="E40" s="34">
        <v>42</v>
      </c>
      <c r="F40" s="34">
        <v>110</v>
      </c>
      <c r="G40" s="34">
        <f t="shared" si="1"/>
        <v>152</v>
      </c>
      <c r="H40" s="39">
        <f t="shared" si="2"/>
        <v>97</v>
      </c>
      <c r="I40" s="34">
        <f t="shared" si="2"/>
        <v>168</v>
      </c>
      <c r="J40" s="35">
        <f t="shared" si="3"/>
        <v>265</v>
      </c>
    </row>
    <row r="41" spans="1:10" x14ac:dyDescent="0.25">
      <c r="A41" s="12" t="s">
        <v>59</v>
      </c>
      <c r="B41" s="39">
        <v>252</v>
      </c>
      <c r="C41" s="34">
        <v>131</v>
      </c>
      <c r="D41" s="35">
        <f t="shared" si="0"/>
        <v>383</v>
      </c>
      <c r="E41" s="34">
        <v>11</v>
      </c>
      <c r="F41" s="34">
        <v>1</v>
      </c>
      <c r="G41" s="34">
        <f t="shared" si="1"/>
        <v>12</v>
      </c>
      <c r="H41" s="39">
        <f t="shared" si="2"/>
        <v>263</v>
      </c>
      <c r="I41" s="34">
        <f t="shared" si="2"/>
        <v>132</v>
      </c>
      <c r="J41" s="35">
        <f t="shared" si="3"/>
        <v>395</v>
      </c>
    </row>
    <row r="42" spans="1:10" x14ac:dyDescent="0.25">
      <c r="A42" s="12" t="s">
        <v>60</v>
      </c>
      <c r="B42" s="39">
        <v>201</v>
      </c>
      <c r="C42" s="34">
        <v>33</v>
      </c>
      <c r="D42" s="35">
        <f t="shared" si="0"/>
        <v>234</v>
      </c>
      <c r="E42" s="34">
        <v>108</v>
      </c>
      <c r="F42" s="34">
        <v>7</v>
      </c>
      <c r="G42" s="34">
        <f t="shared" si="1"/>
        <v>115</v>
      </c>
      <c r="H42" s="39">
        <f t="shared" si="2"/>
        <v>309</v>
      </c>
      <c r="I42" s="34">
        <f t="shared" si="2"/>
        <v>40</v>
      </c>
      <c r="J42" s="35">
        <f t="shared" si="3"/>
        <v>349</v>
      </c>
    </row>
    <row r="43" spans="1:10" x14ac:dyDescent="0.25">
      <c r="A43" s="12" t="s">
        <v>61</v>
      </c>
      <c r="B43" s="39">
        <v>12</v>
      </c>
      <c r="C43" s="34">
        <v>1</v>
      </c>
      <c r="D43" s="35">
        <f t="shared" si="0"/>
        <v>13</v>
      </c>
      <c r="E43" s="34">
        <v>23</v>
      </c>
      <c r="F43" s="34">
        <v>25</v>
      </c>
      <c r="G43" s="34">
        <f t="shared" si="1"/>
        <v>48</v>
      </c>
      <c r="H43" s="39">
        <f t="shared" si="2"/>
        <v>35</v>
      </c>
      <c r="I43" s="34">
        <f t="shared" si="2"/>
        <v>26</v>
      </c>
      <c r="J43" s="35">
        <f t="shared" si="3"/>
        <v>61</v>
      </c>
    </row>
    <row r="44" spans="1:10" x14ac:dyDescent="0.25">
      <c r="A44" s="12" t="s">
        <v>156</v>
      </c>
      <c r="B44" s="39">
        <v>47</v>
      </c>
      <c r="C44" s="34">
        <v>110</v>
      </c>
      <c r="D44" s="35">
        <f t="shared" si="0"/>
        <v>157</v>
      </c>
      <c r="E44" s="34">
        <v>0</v>
      </c>
      <c r="F44" s="34">
        <v>0</v>
      </c>
      <c r="G44" s="34">
        <f t="shared" si="1"/>
        <v>0</v>
      </c>
      <c r="H44" s="39">
        <f t="shared" si="2"/>
        <v>47</v>
      </c>
      <c r="I44" s="34">
        <f t="shared" si="2"/>
        <v>110</v>
      </c>
      <c r="J44" s="35">
        <f t="shared" si="3"/>
        <v>157</v>
      </c>
    </row>
    <row r="45" spans="1:10" x14ac:dyDescent="0.25">
      <c r="A45" s="12" t="s">
        <v>112</v>
      </c>
      <c r="B45" s="39">
        <v>48</v>
      </c>
      <c r="C45" s="34">
        <v>81</v>
      </c>
      <c r="D45" s="35">
        <f t="shared" si="0"/>
        <v>129</v>
      </c>
      <c r="E45" s="34">
        <v>12</v>
      </c>
      <c r="F45" s="34">
        <v>18</v>
      </c>
      <c r="G45" s="34">
        <f t="shared" si="1"/>
        <v>30</v>
      </c>
      <c r="H45" s="39">
        <f t="shared" si="2"/>
        <v>60</v>
      </c>
      <c r="I45" s="34">
        <f t="shared" si="2"/>
        <v>99</v>
      </c>
      <c r="J45" s="35">
        <f t="shared" si="3"/>
        <v>159</v>
      </c>
    </row>
    <row r="46" spans="1:10" x14ac:dyDescent="0.25">
      <c r="A46" s="12" t="s">
        <v>64</v>
      </c>
      <c r="B46" s="39">
        <v>99</v>
      </c>
      <c r="C46" s="34">
        <v>79</v>
      </c>
      <c r="D46" s="35">
        <f t="shared" si="0"/>
        <v>178</v>
      </c>
      <c r="E46" s="34">
        <v>41</v>
      </c>
      <c r="F46" s="34">
        <v>14</v>
      </c>
      <c r="G46" s="34">
        <f t="shared" si="1"/>
        <v>55</v>
      </c>
      <c r="H46" s="39">
        <f t="shared" si="2"/>
        <v>140</v>
      </c>
      <c r="I46" s="34">
        <f t="shared" si="2"/>
        <v>93</v>
      </c>
      <c r="J46" s="35">
        <f t="shared" si="3"/>
        <v>233</v>
      </c>
    </row>
    <row r="47" spans="1:10" x14ac:dyDescent="0.25">
      <c r="A47" s="12" t="s">
        <v>113</v>
      </c>
      <c r="B47" s="39">
        <v>19</v>
      </c>
      <c r="C47" s="34">
        <v>71</v>
      </c>
      <c r="D47" s="35">
        <f t="shared" si="0"/>
        <v>90</v>
      </c>
      <c r="E47" s="34">
        <v>18</v>
      </c>
      <c r="F47" s="34">
        <v>41</v>
      </c>
      <c r="G47" s="34">
        <f t="shared" si="1"/>
        <v>59</v>
      </c>
      <c r="H47" s="39">
        <f t="shared" si="2"/>
        <v>37</v>
      </c>
      <c r="I47" s="34">
        <f t="shared" si="2"/>
        <v>112</v>
      </c>
      <c r="J47" s="35">
        <f t="shared" si="3"/>
        <v>149</v>
      </c>
    </row>
    <row r="48" spans="1:10" x14ac:dyDescent="0.25">
      <c r="A48" s="12" t="s">
        <v>65</v>
      </c>
      <c r="B48" s="39">
        <v>279</v>
      </c>
      <c r="C48" s="34">
        <v>120</v>
      </c>
      <c r="D48" s="35">
        <f t="shared" si="0"/>
        <v>399</v>
      </c>
      <c r="E48" s="34">
        <v>46</v>
      </c>
      <c r="F48" s="34">
        <v>16</v>
      </c>
      <c r="G48" s="34">
        <f t="shared" si="1"/>
        <v>62</v>
      </c>
      <c r="H48" s="39">
        <f t="shared" si="2"/>
        <v>325</v>
      </c>
      <c r="I48" s="34">
        <f t="shared" si="2"/>
        <v>136</v>
      </c>
      <c r="J48" s="35">
        <f t="shared" si="3"/>
        <v>461</v>
      </c>
    </row>
    <row r="49" spans="1:10" x14ac:dyDescent="0.25">
      <c r="A49" s="12" t="s">
        <v>114</v>
      </c>
      <c r="B49" s="39">
        <v>56</v>
      </c>
      <c r="C49" s="34">
        <v>74</v>
      </c>
      <c r="D49" s="35">
        <f t="shared" si="0"/>
        <v>130</v>
      </c>
      <c r="E49" s="34">
        <v>36</v>
      </c>
      <c r="F49" s="34">
        <v>45</v>
      </c>
      <c r="G49" s="34">
        <f t="shared" si="1"/>
        <v>81</v>
      </c>
      <c r="H49" s="39">
        <f t="shared" si="2"/>
        <v>92</v>
      </c>
      <c r="I49" s="34">
        <f t="shared" si="2"/>
        <v>119</v>
      </c>
      <c r="J49" s="35">
        <f t="shared" si="3"/>
        <v>211</v>
      </c>
    </row>
    <row r="50" spans="1:10" x14ac:dyDescent="0.25">
      <c r="A50" s="12" t="s">
        <v>115</v>
      </c>
      <c r="B50" s="39">
        <v>91</v>
      </c>
      <c r="C50" s="34">
        <v>264</v>
      </c>
      <c r="D50" s="35">
        <f t="shared" si="0"/>
        <v>355</v>
      </c>
      <c r="E50" s="34">
        <v>109</v>
      </c>
      <c r="F50" s="34">
        <v>238</v>
      </c>
      <c r="G50" s="34">
        <f t="shared" si="1"/>
        <v>347</v>
      </c>
      <c r="H50" s="39">
        <f t="shared" si="2"/>
        <v>200</v>
      </c>
      <c r="I50" s="34">
        <f t="shared" si="2"/>
        <v>502</v>
      </c>
      <c r="J50" s="35">
        <f t="shared" si="3"/>
        <v>702</v>
      </c>
    </row>
    <row r="51" spans="1:10" x14ac:dyDescent="0.25">
      <c r="A51" s="12" t="s">
        <v>146</v>
      </c>
      <c r="B51" s="39">
        <v>0</v>
      </c>
      <c r="C51" s="34">
        <v>0</v>
      </c>
      <c r="D51" s="35">
        <f t="shared" si="0"/>
        <v>0</v>
      </c>
      <c r="E51" s="34">
        <v>30</v>
      </c>
      <c r="F51" s="34">
        <v>29</v>
      </c>
      <c r="G51" s="34">
        <f t="shared" si="1"/>
        <v>59</v>
      </c>
      <c r="H51" s="39">
        <f t="shared" si="2"/>
        <v>30</v>
      </c>
      <c r="I51" s="34">
        <f t="shared" si="2"/>
        <v>29</v>
      </c>
      <c r="J51" s="35">
        <f t="shared" si="3"/>
        <v>59</v>
      </c>
    </row>
    <row r="52" spans="1:10" x14ac:dyDescent="0.25">
      <c r="A52" s="12" t="s">
        <v>70</v>
      </c>
      <c r="B52" s="39">
        <v>264</v>
      </c>
      <c r="C52" s="34">
        <v>272</v>
      </c>
      <c r="D52" s="35">
        <f t="shared" si="0"/>
        <v>536</v>
      </c>
      <c r="E52" s="34">
        <v>72</v>
      </c>
      <c r="F52" s="34">
        <v>83</v>
      </c>
      <c r="G52" s="34">
        <f t="shared" si="1"/>
        <v>155</v>
      </c>
      <c r="H52" s="39">
        <f t="shared" si="2"/>
        <v>336</v>
      </c>
      <c r="I52" s="34">
        <f t="shared" si="2"/>
        <v>355</v>
      </c>
      <c r="J52" s="35">
        <f t="shared" si="3"/>
        <v>691</v>
      </c>
    </row>
    <row r="53" spans="1:10" x14ac:dyDescent="0.25">
      <c r="A53" s="12" t="s">
        <v>68</v>
      </c>
      <c r="B53" s="39">
        <v>21</v>
      </c>
      <c r="C53" s="34">
        <v>39</v>
      </c>
      <c r="D53" s="35">
        <f t="shared" si="0"/>
        <v>60</v>
      </c>
      <c r="E53" s="34">
        <v>5</v>
      </c>
      <c r="F53" s="34">
        <v>3</v>
      </c>
      <c r="G53" s="34">
        <f t="shared" si="1"/>
        <v>8</v>
      </c>
      <c r="H53" s="39">
        <f t="shared" si="2"/>
        <v>26</v>
      </c>
      <c r="I53" s="34">
        <f t="shared" si="2"/>
        <v>42</v>
      </c>
      <c r="J53" s="35">
        <f t="shared" si="3"/>
        <v>68</v>
      </c>
    </row>
    <row r="54" spans="1:10" x14ac:dyDescent="0.25">
      <c r="A54" s="12" t="s">
        <v>71</v>
      </c>
      <c r="B54" s="39">
        <v>42</v>
      </c>
      <c r="C54" s="34">
        <v>34</v>
      </c>
      <c r="D54" s="35">
        <f t="shared" si="0"/>
        <v>76</v>
      </c>
      <c r="E54" s="34">
        <v>4</v>
      </c>
      <c r="F54" s="34">
        <v>5</v>
      </c>
      <c r="G54" s="34">
        <f t="shared" si="1"/>
        <v>9</v>
      </c>
      <c r="H54" s="39">
        <f t="shared" si="2"/>
        <v>46</v>
      </c>
      <c r="I54" s="34">
        <f t="shared" si="2"/>
        <v>39</v>
      </c>
      <c r="J54" s="35">
        <f t="shared" si="3"/>
        <v>85</v>
      </c>
    </row>
    <row r="55" spans="1:10" x14ac:dyDescent="0.25">
      <c r="A55" s="12" t="s">
        <v>72</v>
      </c>
      <c r="B55" s="39">
        <v>0</v>
      </c>
      <c r="C55" s="34">
        <v>0</v>
      </c>
      <c r="D55" s="35">
        <f t="shared" si="0"/>
        <v>0</v>
      </c>
      <c r="E55" s="34">
        <v>23</v>
      </c>
      <c r="F55" s="34">
        <v>11</v>
      </c>
      <c r="G55" s="34">
        <f t="shared" si="1"/>
        <v>34</v>
      </c>
      <c r="H55" s="39">
        <f t="shared" si="2"/>
        <v>23</v>
      </c>
      <c r="I55" s="34">
        <f t="shared" si="2"/>
        <v>11</v>
      </c>
      <c r="J55" s="35">
        <f t="shared" si="3"/>
        <v>34</v>
      </c>
    </row>
    <row r="56" spans="1:10" x14ac:dyDescent="0.25">
      <c r="A56" s="12" t="s">
        <v>73</v>
      </c>
      <c r="B56" s="39">
        <v>25</v>
      </c>
      <c r="C56" s="34">
        <v>41</v>
      </c>
      <c r="D56" s="35">
        <f t="shared" si="0"/>
        <v>66</v>
      </c>
      <c r="E56" s="34">
        <v>8</v>
      </c>
      <c r="F56" s="34">
        <v>5</v>
      </c>
      <c r="G56" s="34">
        <f t="shared" si="1"/>
        <v>13</v>
      </c>
      <c r="H56" s="39">
        <f t="shared" si="2"/>
        <v>33</v>
      </c>
      <c r="I56" s="34">
        <f t="shared" si="2"/>
        <v>46</v>
      </c>
      <c r="J56" s="35">
        <f t="shared" si="3"/>
        <v>79</v>
      </c>
    </row>
    <row r="57" spans="1:10" x14ac:dyDescent="0.25">
      <c r="A57" s="12" t="s">
        <v>74</v>
      </c>
      <c r="B57" s="39">
        <v>104</v>
      </c>
      <c r="C57" s="34">
        <v>79</v>
      </c>
      <c r="D57" s="35">
        <f t="shared" si="0"/>
        <v>183</v>
      </c>
      <c r="E57" s="34">
        <v>8</v>
      </c>
      <c r="F57" s="34">
        <v>11</v>
      </c>
      <c r="G57" s="34">
        <f t="shared" si="1"/>
        <v>19</v>
      </c>
      <c r="H57" s="39">
        <f t="shared" si="2"/>
        <v>112</v>
      </c>
      <c r="I57" s="34">
        <f t="shared" si="2"/>
        <v>90</v>
      </c>
      <c r="J57" s="35">
        <f t="shared" si="3"/>
        <v>202</v>
      </c>
    </row>
    <row r="58" spans="1:10" x14ac:dyDescent="0.25">
      <c r="A58" s="12" t="s">
        <v>151</v>
      </c>
      <c r="B58" s="39">
        <v>5</v>
      </c>
      <c r="C58" s="34">
        <v>17</v>
      </c>
      <c r="D58" s="35">
        <f t="shared" si="0"/>
        <v>22</v>
      </c>
      <c r="E58" s="34">
        <v>3</v>
      </c>
      <c r="F58" s="34">
        <v>11</v>
      </c>
      <c r="G58" s="34">
        <f t="shared" si="1"/>
        <v>14</v>
      </c>
      <c r="H58" s="39">
        <f t="shared" si="2"/>
        <v>8</v>
      </c>
      <c r="I58" s="34">
        <f t="shared" si="2"/>
        <v>28</v>
      </c>
      <c r="J58" s="35">
        <f t="shared" si="3"/>
        <v>36</v>
      </c>
    </row>
    <row r="59" spans="1:10" x14ac:dyDescent="0.25">
      <c r="A59" s="12" t="s">
        <v>103</v>
      </c>
      <c r="B59" s="39">
        <v>276</v>
      </c>
      <c r="C59" s="34">
        <v>388</v>
      </c>
      <c r="D59" s="35">
        <f t="shared" si="0"/>
        <v>664</v>
      </c>
      <c r="E59" s="34">
        <v>0</v>
      </c>
      <c r="F59" s="34">
        <v>0</v>
      </c>
      <c r="G59" s="34">
        <f t="shared" si="1"/>
        <v>0</v>
      </c>
      <c r="H59" s="39">
        <f t="shared" si="2"/>
        <v>276</v>
      </c>
      <c r="I59" s="34">
        <f t="shared" si="2"/>
        <v>388</v>
      </c>
      <c r="J59" s="35">
        <f t="shared" si="3"/>
        <v>664</v>
      </c>
    </row>
    <row r="60" spans="1:10" x14ac:dyDescent="0.25">
      <c r="A60" s="12" t="s">
        <v>104</v>
      </c>
      <c r="B60" s="39">
        <v>543</v>
      </c>
      <c r="C60" s="34">
        <v>543</v>
      </c>
      <c r="D60" s="35">
        <f t="shared" si="0"/>
        <v>1086</v>
      </c>
      <c r="E60" s="34">
        <v>2</v>
      </c>
      <c r="F60" s="34">
        <v>4</v>
      </c>
      <c r="G60" s="34">
        <f t="shared" si="1"/>
        <v>6</v>
      </c>
      <c r="H60" s="39">
        <f t="shared" si="2"/>
        <v>545</v>
      </c>
      <c r="I60" s="34">
        <f t="shared" si="2"/>
        <v>547</v>
      </c>
      <c r="J60" s="35">
        <f t="shared" si="3"/>
        <v>1092</v>
      </c>
    </row>
    <row r="61" spans="1:10" x14ac:dyDescent="0.25">
      <c r="A61" s="12" t="s">
        <v>105</v>
      </c>
      <c r="B61" s="39">
        <v>0</v>
      </c>
      <c r="C61" s="34">
        <v>0</v>
      </c>
      <c r="D61" s="35">
        <f t="shared" si="0"/>
        <v>0</v>
      </c>
      <c r="E61" s="34">
        <v>11</v>
      </c>
      <c r="F61" s="34">
        <v>7</v>
      </c>
      <c r="G61" s="34">
        <f t="shared" si="1"/>
        <v>18</v>
      </c>
      <c r="H61" s="39">
        <f t="shared" si="2"/>
        <v>11</v>
      </c>
      <c r="I61" s="34">
        <f t="shared" si="2"/>
        <v>7</v>
      </c>
      <c r="J61" s="35">
        <f t="shared" si="3"/>
        <v>18</v>
      </c>
    </row>
    <row r="62" spans="1:10" x14ac:dyDescent="0.25">
      <c r="A62" s="12" t="s">
        <v>79</v>
      </c>
      <c r="B62" s="39">
        <v>0</v>
      </c>
      <c r="C62" s="34">
        <v>0</v>
      </c>
      <c r="D62" s="35">
        <f t="shared" si="0"/>
        <v>0</v>
      </c>
      <c r="E62" s="34">
        <v>77</v>
      </c>
      <c r="F62" s="34">
        <v>132</v>
      </c>
      <c r="G62" s="34">
        <f t="shared" si="1"/>
        <v>209</v>
      </c>
      <c r="H62" s="39">
        <f t="shared" si="2"/>
        <v>77</v>
      </c>
      <c r="I62" s="34">
        <f t="shared" si="2"/>
        <v>132</v>
      </c>
      <c r="J62" s="35">
        <f t="shared" si="3"/>
        <v>209</v>
      </c>
    </row>
    <row r="63" spans="1:10" x14ac:dyDescent="0.25">
      <c r="A63" s="12" t="s">
        <v>117</v>
      </c>
      <c r="B63" s="39">
        <v>4</v>
      </c>
      <c r="C63" s="34">
        <v>13</v>
      </c>
      <c r="D63" s="35">
        <f t="shared" si="0"/>
        <v>17</v>
      </c>
      <c r="E63" s="34">
        <v>40</v>
      </c>
      <c r="F63" s="34">
        <v>36</v>
      </c>
      <c r="G63" s="34">
        <f t="shared" si="1"/>
        <v>76</v>
      </c>
      <c r="H63" s="39">
        <f t="shared" si="2"/>
        <v>44</v>
      </c>
      <c r="I63" s="34">
        <f t="shared" si="2"/>
        <v>49</v>
      </c>
      <c r="J63" s="35">
        <f t="shared" si="3"/>
        <v>93</v>
      </c>
    </row>
    <row r="64" spans="1:10" x14ac:dyDescent="0.25">
      <c r="A64" s="12" t="s">
        <v>141</v>
      </c>
      <c r="B64" s="39">
        <v>0</v>
      </c>
      <c r="C64" s="34">
        <v>0</v>
      </c>
      <c r="D64" s="35">
        <f t="shared" si="0"/>
        <v>0</v>
      </c>
      <c r="E64" s="34">
        <v>8</v>
      </c>
      <c r="F64" s="34">
        <v>1</v>
      </c>
      <c r="G64" s="34">
        <f t="shared" si="1"/>
        <v>9</v>
      </c>
      <c r="H64" s="39">
        <f t="shared" si="2"/>
        <v>8</v>
      </c>
      <c r="I64" s="34">
        <f t="shared" si="2"/>
        <v>1</v>
      </c>
      <c r="J64" s="35">
        <f t="shared" si="3"/>
        <v>9</v>
      </c>
    </row>
    <row r="65" spans="1:10" x14ac:dyDescent="0.25">
      <c r="A65" s="12" t="s">
        <v>81</v>
      </c>
      <c r="B65" s="39">
        <v>0</v>
      </c>
      <c r="C65" s="34">
        <v>0</v>
      </c>
      <c r="D65" s="35">
        <f t="shared" si="0"/>
        <v>0</v>
      </c>
      <c r="E65" s="34">
        <v>215</v>
      </c>
      <c r="F65" s="34">
        <v>153</v>
      </c>
      <c r="G65" s="34">
        <f t="shared" si="1"/>
        <v>368</v>
      </c>
      <c r="H65" s="39">
        <f t="shared" si="2"/>
        <v>215</v>
      </c>
      <c r="I65" s="34">
        <f t="shared" si="2"/>
        <v>153</v>
      </c>
      <c r="J65" s="35">
        <f t="shared" si="3"/>
        <v>368</v>
      </c>
    </row>
    <row r="66" spans="1:10" x14ac:dyDescent="0.25">
      <c r="A66" s="12" t="s">
        <v>118</v>
      </c>
      <c r="B66" s="39">
        <v>0</v>
      </c>
      <c r="C66" s="34">
        <v>0</v>
      </c>
      <c r="D66" s="35">
        <f t="shared" si="0"/>
        <v>0</v>
      </c>
      <c r="E66" s="34">
        <v>5</v>
      </c>
      <c r="F66" s="34">
        <v>20</v>
      </c>
      <c r="G66" s="34">
        <f t="shared" si="1"/>
        <v>25</v>
      </c>
      <c r="H66" s="39">
        <f t="shared" si="2"/>
        <v>5</v>
      </c>
      <c r="I66" s="34">
        <f t="shared" si="2"/>
        <v>20</v>
      </c>
      <c r="J66" s="35">
        <f t="shared" si="3"/>
        <v>25</v>
      </c>
    </row>
    <row r="67" spans="1:10" x14ac:dyDescent="0.25">
      <c r="A67" s="12" t="s">
        <v>120</v>
      </c>
      <c r="B67" s="39">
        <v>0</v>
      </c>
      <c r="C67" s="34">
        <v>0</v>
      </c>
      <c r="D67" s="35">
        <f t="shared" si="0"/>
        <v>0</v>
      </c>
      <c r="E67" s="34">
        <v>16</v>
      </c>
      <c r="F67" s="34">
        <v>9</v>
      </c>
      <c r="G67" s="34">
        <f t="shared" si="1"/>
        <v>25</v>
      </c>
      <c r="H67" s="39">
        <f t="shared" si="2"/>
        <v>16</v>
      </c>
      <c r="I67" s="34">
        <f t="shared" si="2"/>
        <v>9</v>
      </c>
      <c r="J67" s="35">
        <f t="shared" si="3"/>
        <v>25</v>
      </c>
    </row>
    <row r="68" spans="1:10" x14ac:dyDescent="0.25">
      <c r="A68" s="12" t="s">
        <v>152</v>
      </c>
      <c r="B68" s="39">
        <v>0</v>
      </c>
      <c r="C68" s="34">
        <v>0</v>
      </c>
      <c r="D68" s="35">
        <f t="shared" si="0"/>
        <v>0</v>
      </c>
      <c r="E68" s="34">
        <v>4</v>
      </c>
      <c r="F68" s="34">
        <v>4</v>
      </c>
      <c r="G68" s="34">
        <f t="shared" si="1"/>
        <v>8</v>
      </c>
      <c r="H68" s="39">
        <f t="shared" si="2"/>
        <v>4</v>
      </c>
      <c r="I68" s="34">
        <f t="shared" si="2"/>
        <v>4</v>
      </c>
      <c r="J68" s="35">
        <f t="shared" si="3"/>
        <v>8</v>
      </c>
    </row>
    <row r="69" spans="1:10" x14ac:dyDescent="0.25">
      <c r="A69" s="12" t="s">
        <v>121</v>
      </c>
      <c r="B69" s="39">
        <v>13</v>
      </c>
      <c r="C69" s="34">
        <v>19</v>
      </c>
      <c r="D69" s="35">
        <f t="shared" si="0"/>
        <v>32</v>
      </c>
      <c r="E69" s="34">
        <v>41</v>
      </c>
      <c r="F69" s="34">
        <v>45</v>
      </c>
      <c r="G69" s="34">
        <f t="shared" si="1"/>
        <v>86</v>
      </c>
      <c r="H69" s="39">
        <f t="shared" si="2"/>
        <v>54</v>
      </c>
      <c r="I69" s="34">
        <f t="shared" si="2"/>
        <v>64</v>
      </c>
      <c r="J69" s="35">
        <f t="shared" si="3"/>
        <v>118</v>
      </c>
    </row>
    <row r="70" spans="1:10" x14ac:dyDescent="0.25">
      <c r="A70" s="12" t="s">
        <v>147</v>
      </c>
      <c r="B70" s="39">
        <v>0</v>
      </c>
      <c r="C70" s="34">
        <v>0</v>
      </c>
      <c r="D70" s="35">
        <f t="shared" si="0"/>
        <v>0</v>
      </c>
      <c r="E70" s="34">
        <v>15</v>
      </c>
      <c r="F70" s="34">
        <v>41</v>
      </c>
      <c r="G70" s="34">
        <f t="shared" si="1"/>
        <v>56</v>
      </c>
      <c r="H70" s="39">
        <f t="shared" si="2"/>
        <v>15</v>
      </c>
      <c r="I70" s="34">
        <f t="shared" si="2"/>
        <v>41</v>
      </c>
      <c r="J70" s="35">
        <f t="shared" si="3"/>
        <v>56</v>
      </c>
    </row>
    <row r="71" spans="1:10" x14ac:dyDescent="0.25">
      <c r="A71" s="12" t="s">
        <v>157</v>
      </c>
      <c r="B71" s="39">
        <v>0</v>
      </c>
      <c r="C71" s="34">
        <v>0</v>
      </c>
      <c r="D71" s="35">
        <f t="shared" si="0"/>
        <v>0</v>
      </c>
      <c r="E71" s="34">
        <v>13</v>
      </c>
      <c r="F71" s="34">
        <v>17</v>
      </c>
      <c r="G71" s="34">
        <f t="shared" si="1"/>
        <v>30</v>
      </c>
      <c r="H71" s="39">
        <f t="shared" si="2"/>
        <v>13</v>
      </c>
      <c r="I71" s="34">
        <f t="shared" si="2"/>
        <v>17</v>
      </c>
      <c r="J71" s="35">
        <f t="shared" si="3"/>
        <v>30</v>
      </c>
    </row>
    <row r="72" spans="1:10" x14ac:dyDescent="0.25">
      <c r="A72" s="12" t="s">
        <v>123</v>
      </c>
      <c r="B72" s="39">
        <v>3</v>
      </c>
      <c r="C72" s="34">
        <v>3</v>
      </c>
      <c r="D72" s="35">
        <f t="shared" si="0"/>
        <v>6</v>
      </c>
      <c r="E72" s="34">
        <v>52</v>
      </c>
      <c r="F72" s="34">
        <v>36</v>
      </c>
      <c r="G72" s="34">
        <f t="shared" si="1"/>
        <v>88</v>
      </c>
      <c r="H72" s="39">
        <f t="shared" si="2"/>
        <v>55</v>
      </c>
      <c r="I72" s="34">
        <f t="shared" si="2"/>
        <v>39</v>
      </c>
      <c r="J72" s="35">
        <f t="shared" si="3"/>
        <v>94</v>
      </c>
    </row>
    <row r="73" spans="1:10" x14ac:dyDescent="0.25">
      <c r="A73" s="12" t="s">
        <v>136</v>
      </c>
      <c r="B73" s="39">
        <v>0</v>
      </c>
      <c r="C73" s="34">
        <v>0</v>
      </c>
      <c r="D73" s="35">
        <f t="shared" si="0"/>
        <v>0</v>
      </c>
      <c r="E73" s="34">
        <v>1</v>
      </c>
      <c r="F73" s="34">
        <v>2</v>
      </c>
      <c r="G73" s="34">
        <f t="shared" si="1"/>
        <v>3</v>
      </c>
      <c r="H73" s="39">
        <f t="shared" si="2"/>
        <v>1</v>
      </c>
      <c r="I73" s="34">
        <f t="shared" si="2"/>
        <v>2</v>
      </c>
      <c r="J73" s="35">
        <f t="shared" si="3"/>
        <v>3</v>
      </c>
    </row>
    <row r="74" spans="1:10" x14ac:dyDescent="0.25">
      <c r="A74" s="12" t="s">
        <v>86</v>
      </c>
      <c r="B74" s="39">
        <v>0</v>
      </c>
      <c r="C74" s="34">
        <v>0</v>
      </c>
      <c r="D74" s="35">
        <f t="shared" si="0"/>
        <v>0</v>
      </c>
      <c r="E74" s="34">
        <v>60</v>
      </c>
      <c r="F74" s="34">
        <v>46</v>
      </c>
      <c r="G74" s="34">
        <f t="shared" si="1"/>
        <v>106</v>
      </c>
      <c r="H74" s="39">
        <f t="shared" si="2"/>
        <v>60</v>
      </c>
      <c r="I74" s="34">
        <f t="shared" si="2"/>
        <v>46</v>
      </c>
      <c r="J74" s="35">
        <f t="shared" si="3"/>
        <v>106</v>
      </c>
    </row>
    <row r="75" spans="1:10" x14ac:dyDescent="0.25">
      <c r="A75" s="12" t="s">
        <v>125</v>
      </c>
      <c r="B75" s="39">
        <v>0</v>
      </c>
      <c r="C75" s="34">
        <v>0</v>
      </c>
      <c r="D75" s="35">
        <f t="shared" si="0"/>
        <v>0</v>
      </c>
      <c r="E75" s="34">
        <v>1</v>
      </c>
      <c r="F75" s="34">
        <v>0</v>
      </c>
      <c r="G75" s="34">
        <f t="shared" si="1"/>
        <v>1</v>
      </c>
      <c r="H75" s="39">
        <f t="shared" si="2"/>
        <v>1</v>
      </c>
      <c r="I75" s="34">
        <f t="shared" si="2"/>
        <v>0</v>
      </c>
      <c r="J75" s="35">
        <f t="shared" si="3"/>
        <v>1</v>
      </c>
    </row>
    <row r="76" spans="1:10" x14ac:dyDescent="0.25">
      <c r="A76" s="12" t="s">
        <v>126</v>
      </c>
      <c r="B76" s="39">
        <v>0</v>
      </c>
      <c r="C76" s="34">
        <v>0</v>
      </c>
      <c r="D76" s="35">
        <f t="shared" si="0"/>
        <v>0</v>
      </c>
      <c r="E76" s="34">
        <v>14</v>
      </c>
      <c r="F76" s="34">
        <v>13</v>
      </c>
      <c r="G76" s="34">
        <f t="shared" si="1"/>
        <v>27</v>
      </c>
      <c r="H76" s="39">
        <f t="shared" si="2"/>
        <v>14</v>
      </c>
      <c r="I76" s="34">
        <f t="shared" si="2"/>
        <v>13</v>
      </c>
      <c r="J76" s="35">
        <f t="shared" si="3"/>
        <v>27</v>
      </c>
    </row>
    <row r="77" spans="1:10" x14ac:dyDescent="0.25">
      <c r="A77" s="12" t="s">
        <v>127</v>
      </c>
      <c r="B77" s="39">
        <v>0</v>
      </c>
      <c r="C77" s="34">
        <v>0</v>
      </c>
      <c r="D77" s="35">
        <f t="shared" si="0"/>
        <v>0</v>
      </c>
      <c r="E77" s="34">
        <v>8</v>
      </c>
      <c r="F77" s="34">
        <v>24</v>
      </c>
      <c r="G77" s="34">
        <f t="shared" si="1"/>
        <v>32</v>
      </c>
      <c r="H77" s="39">
        <f t="shared" si="2"/>
        <v>8</v>
      </c>
      <c r="I77" s="34">
        <f t="shared" si="2"/>
        <v>24</v>
      </c>
      <c r="J77" s="35">
        <f t="shared" si="3"/>
        <v>32</v>
      </c>
    </row>
    <row r="78" spans="1:10" x14ac:dyDescent="0.25">
      <c r="A78" s="12" t="s">
        <v>87</v>
      </c>
      <c r="B78" s="39">
        <v>0</v>
      </c>
      <c r="C78" s="34">
        <v>0</v>
      </c>
      <c r="D78" s="35">
        <f t="shared" si="0"/>
        <v>0</v>
      </c>
      <c r="E78" s="34">
        <v>36</v>
      </c>
      <c r="F78" s="34">
        <v>38</v>
      </c>
      <c r="G78" s="34">
        <f t="shared" si="1"/>
        <v>74</v>
      </c>
      <c r="H78" s="39">
        <f t="shared" si="2"/>
        <v>36</v>
      </c>
      <c r="I78" s="34">
        <f t="shared" si="2"/>
        <v>38</v>
      </c>
      <c r="J78" s="35">
        <f t="shared" si="3"/>
        <v>74</v>
      </c>
    </row>
    <row r="79" spans="1:10" x14ac:dyDescent="0.25">
      <c r="A79" s="12" t="s">
        <v>148</v>
      </c>
      <c r="B79" s="39">
        <v>14</v>
      </c>
      <c r="C79" s="34">
        <v>6</v>
      </c>
      <c r="D79" s="35">
        <f t="shared" si="0"/>
        <v>20</v>
      </c>
      <c r="E79" s="34">
        <v>10</v>
      </c>
      <c r="F79" s="34">
        <v>3</v>
      </c>
      <c r="G79" s="34">
        <f t="shared" si="1"/>
        <v>13</v>
      </c>
      <c r="H79" s="39">
        <f t="shared" si="2"/>
        <v>24</v>
      </c>
      <c r="I79" s="34">
        <f t="shared" si="2"/>
        <v>9</v>
      </c>
      <c r="J79" s="35">
        <f t="shared" si="3"/>
        <v>33</v>
      </c>
    </row>
    <row r="80" spans="1:10" x14ac:dyDescent="0.25">
      <c r="A80" s="12" t="s">
        <v>143</v>
      </c>
      <c r="B80" s="39">
        <v>0</v>
      </c>
      <c r="C80" s="34">
        <v>0</v>
      </c>
      <c r="D80" s="35">
        <f t="shared" si="0"/>
        <v>0</v>
      </c>
      <c r="E80" s="34">
        <v>6</v>
      </c>
      <c r="F80" s="34">
        <v>5</v>
      </c>
      <c r="G80" s="34">
        <f t="shared" si="1"/>
        <v>11</v>
      </c>
      <c r="H80" s="39">
        <f t="shared" si="2"/>
        <v>6</v>
      </c>
      <c r="I80" s="34">
        <f t="shared" si="2"/>
        <v>5</v>
      </c>
      <c r="J80" s="35">
        <f t="shared" si="3"/>
        <v>11</v>
      </c>
    </row>
    <row r="81" spans="1:10" x14ac:dyDescent="0.25">
      <c r="A81" s="12" t="s">
        <v>144</v>
      </c>
      <c r="B81" s="39">
        <v>18</v>
      </c>
      <c r="C81" s="34">
        <v>64</v>
      </c>
      <c r="D81" s="35">
        <f t="shared" si="0"/>
        <v>82</v>
      </c>
      <c r="E81" s="34">
        <v>0</v>
      </c>
      <c r="F81" s="34">
        <v>0</v>
      </c>
      <c r="G81" s="34">
        <f t="shared" si="1"/>
        <v>0</v>
      </c>
      <c r="H81" s="39">
        <f t="shared" si="2"/>
        <v>18</v>
      </c>
      <c r="I81" s="34">
        <f t="shared" si="2"/>
        <v>64</v>
      </c>
      <c r="J81" s="35">
        <f t="shared" si="3"/>
        <v>82</v>
      </c>
    </row>
    <row r="82" spans="1:10" x14ac:dyDescent="0.25">
      <c r="A82" s="12" t="s">
        <v>130</v>
      </c>
      <c r="B82" s="39">
        <v>0</v>
      </c>
      <c r="C82" s="34">
        <v>7</v>
      </c>
      <c r="D82" s="35">
        <f t="shared" si="0"/>
        <v>7</v>
      </c>
      <c r="E82" s="34">
        <v>12</v>
      </c>
      <c r="F82" s="34">
        <v>27</v>
      </c>
      <c r="G82" s="34">
        <f t="shared" si="1"/>
        <v>39</v>
      </c>
      <c r="H82" s="39">
        <f t="shared" si="2"/>
        <v>12</v>
      </c>
      <c r="I82" s="34">
        <f t="shared" si="2"/>
        <v>34</v>
      </c>
      <c r="J82" s="35">
        <f t="shared" si="3"/>
        <v>46</v>
      </c>
    </row>
    <row r="83" spans="1:10" x14ac:dyDescent="0.25">
      <c r="A83" s="12" t="s">
        <v>153</v>
      </c>
      <c r="B83" s="39">
        <v>0</v>
      </c>
      <c r="C83" s="34">
        <v>0</v>
      </c>
      <c r="D83" s="35">
        <f t="shared" si="0"/>
        <v>0</v>
      </c>
      <c r="E83" s="34">
        <v>18</v>
      </c>
      <c r="F83" s="34">
        <v>58</v>
      </c>
      <c r="G83" s="34">
        <f t="shared" si="1"/>
        <v>76</v>
      </c>
      <c r="H83" s="39">
        <f t="shared" si="2"/>
        <v>18</v>
      </c>
      <c r="I83" s="34">
        <f t="shared" si="2"/>
        <v>58</v>
      </c>
      <c r="J83" s="35">
        <f t="shared" si="3"/>
        <v>76</v>
      </c>
    </row>
    <row r="84" spans="1:10" x14ac:dyDescent="0.25">
      <c r="A84" s="12" t="s">
        <v>154</v>
      </c>
      <c r="B84" s="39">
        <v>0</v>
      </c>
      <c r="C84" s="34">
        <v>0</v>
      </c>
      <c r="D84" s="35">
        <f t="shared" si="0"/>
        <v>0</v>
      </c>
      <c r="E84" s="34">
        <v>9</v>
      </c>
      <c r="F84" s="34">
        <v>10</v>
      </c>
      <c r="G84" s="34">
        <f t="shared" si="1"/>
        <v>19</v>
      </c>
      <c r="H84" s="39">
        <f t="shared" si="2"/>
        <v>9</v>
      </c>
      <c r="I84" s="34">
        <f t="shared" si="2"/>
        <v>10</v>
      </c>
      <c r="J84" s="35">
        <f t="shared" si="3"/>
        <v>19</v>
      </c>
    </row>
    <row r="85" spans="1:10" x14ac:dyDescent="0.25">
      <c r="A85" s="12" t="s">
        <v>131</v>
      </c>
      <c r="B85" s="39">
        <v>5</v>
      </c>
      <c r="C85" s="34">
        <v>8</v>
      </c>
      <c r="D85" s="35">
        <f t="shared" si="0"/>
        <v>13</v>
      </c>
      <c r="E85" s="34">
        <v>41</v>
      </c>
      <c r="F85" s="34">
        <v>8</v>
      </c>
      <c r="G85" s="34">
        <f t="shared" si="1"/>
        <v>49</v>
      </c>
      <c r="H85" s="39">
        <f t="shared" si="2"/>
        <v>46</v>
      </c>
      <c r="I85" s="34">
        <f t="shared" si="2"/>
        <v>16</v>
      </c>
      <c r="J85" s="35">
        <f t="shared" si="3"/>
        <v>62</v>
      </c>
    </row>
    <row r="86" spans="1:10" x14ac:dyDescent="0.25">
      <c r="A86" s="12" t="s">
        <v>149</v>
      </c>
      <c r="B86" s="39">
        <v>0</v>
      </c>
      <c r="C86" s="34">
        <v>0</v>
      </c>
      <c r="D86" s="35">
        <f t="shared" si="0"/>
        <v>0</v>
      </c>
      <c r="E86" s="34">
        <v>36</v>
      </c>
      <c r="F86" s="34">
        <v>10</v>
      </c>
      <c r="G86" s="34">
        <f t="shared" si="1"/>
        <v>46</v>
      </c>
      <c r="H86" s="39">
        <f t="shared" si="2"/>
        <v>36</v>
      </c>
      <c r="I86" s="34">
        <f t="shared" si="2"/>
        <v>10</v>
      </c>
      <c r="J86" s="35">
        <f t="shared" si="3"/>
        <v>46</v>
      </c>
    </row>
    <row r="87" spans="1:10" x14ac:dyDescent="0.25">
      <c r="A87" s="12" t="s">
        <v>158</v>
      </c>
      <c r="B87" s="39">
        <v>0</v>
      </c>
      <c r="C87" s="34">
        <v>0</v>
      </c>
      <c r="D87" s="35">
        <f t="shared" si="0"/>
        <v>0</v>
      </c>
      <c r="E87" s="34">
        <v>5</v>
      </c>
      <c r="F87" s="34">
        <v>7</v>
      </c>
      <c r="G87" s="34">
        <f t="shared" si="1"/>
        <v>12</v>
      </c>
      <c r="H87" s="39">
        <f t="shared" si="2"/>
        <v>5</v>
      </c>
      <c r="I87" s="34">
        <f t="shared" si="2"/>
        <v>7</v>
      </c>
      <c r="J87" s="35">
        <f t="shared" si="3"/>
        <v>12</v>
      </c>
    </row>
    <row r="88" spans="1:10" x14ac:dyDescent="0.25">
      <c r="A88" s="12"/>
      <c r="B88" s="39"/>
      <c r="C88" s="34"/>
      <c r="D88" s="35">
        <f t="shared" si="0"/>
        <v>0</v>
      </c>
      <c r="E88" s="34"/>
      <c r="F88" s="34"/>
      <c r="G88" s="34">
        <f t="shared" si="1"/>
        <v>0</v>
      </c>
      <c r="H88" s="39">
        <f t="shared" si="2"/>
        <v>0</v>
      </c>
      <c r="I88" s="34">
        <f t="shared" si="2"/>
        <v>0</v>
      </c>
      <c r="J88" s="35">
        <f t="shared" si="3"/>
        <v>0</v>
      </c>
    </row>
    <row r="89" spans="1:10" x14ac:dyDescent="0.25">
      <c r="A89" s="12"/>
      <c r="B89" s="39"/>
      <c r="C89" s="34"/>
      <c r="D89" s="35">
        <f t="shared" si="0"/>
        <v>0</v>
      </c>
      <c r="E89" s="34"/>
      <c r="F89" s="34"/>
      <c r="G89" s="34">
        <f t="shared" si="1"/>
        <v>0</v>
      </c>
      <c r="H89" s="39">
        <f t="shared" si="2"/>
        <v>0</v>
      </c>
      <c r="I89" s="34">
        <f t="shared" si="2"/>
        <v>0</v>
      </c>
      <c r="J89" s="35">
        <f t="shared" si="3"/>
        <v>0</v>
      </c>
    </row>
    <row r="90" spans="1:10" ht="15.75" thickBot="1" x14ac:dyDescent="0.3">
      <c r="A90" s="13"/>
      <c r="B90" s="43"/>
      <c r="C90" s="44"/>
      <c r="D90" s="45">
        <v>0</v>
      </c>
      <c r="E90" s="44"/>
      <c r="F90" s="44"/>
      <c r="G90" s="44">
        <f t="shared" ref="G90:G91" si="4">SUM(E90:F90)</f>
        <v>0</v>
      </c>
      <c r="H90" s="43">
        <f t="shared" ref="H90:I91" si="5">B90+E90</f>
        <v>0</v>
      </c>
      <c r="I90" s="44">
        <f t="shared" si="5"/>
        <v>0</v>
      </c>
      <c r="J90" s="45">
        <f t="shared" ref="J90:J91" si="6">SUM(H90:I90)</f>
        <v>0</v>
      </c>
    </row>
    <row r="91" spans="1:10" ht="16.5" thickTop="1" thickBot="1" x14ac:dyDescent="0.3">
      <c r="A91" s="8" t="s">
        <v>0</v>
      </c>
      <c r="B91" s="8">
        <f>SUM(B7:B90)</f>
        <v>5256</v>
      </c>
      <c r="C91" s="36">
        <f>SUM(C7:C90)</f>
        <v>5910</v>
      </c>
      <c r="D91" s="40">
        <f>SUM(D7:D90)</f>
        <v>11166</v>
      </c>
      <c r="E91" s="36">
        <f>SUM(E7:E90)</f>
        <v>3112</v>
      </c>
      <c r="F91" s="36">
        <f>SUM(F7:F90)</f>
        <v>3039</v>
      </c>
      <c r="G91" s="37">
        <f t="shared" si="4"/>
        <v>6151</v>
      </c>
      <c r="H91" s="41">
        <f t="shared" si="5"/>
        <v>8368</v>
      </c>
      <c r="I91" s="37">
        <f t="shared" si="5"/>
        <v>8949</v>
      </c>
      <c r="J91" s="38">
        <f t="shared" si="6"/>
        <v>17317</v>
      </c>
    </row>
    <row r="92" spans="1:10" ht="15.75" thickBo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25">
      <c r="A93" s="16" t="s">
        <v>16</v>
      </c>
      <c r="B93" s="58" t="s">
        <v>3</v>
      </c>
      <c r="C93" s="59"/>
      <c r="D93" s="60"/>
      <c r="E93" s="58" t="s">
        <v>4</v>
      </c>
      <c r="F93" s="59"/>
      <c r="G93" s="60"/>
      <c r="H93" s="58" t="s">
        <v>0</v>
      </c>
      <c r="I93" s="59"/>
      <c r="J93" s="60"/>
    </row>
    <row r="94" spans="1:10" x14ac:dyDescent="0.25">
      <c r="A94" s="17"/>
      <c r="B94" s="32" t="s">
        <v>5</v>
      </c>
      <c r="C94" s="31" t="s">
        <v>6</v>
      </c>
      <c r="D94" s="33" t="s">
        <v>0</v>
      </c>
      <c r="E94" s="32" t="s">
        <v>5</v>
      </c>
      <c r="F94" s="31" t="s">
        <v>6</v>
      </c>
      <c r="G94" s="33" t="s">
        <v>0</v>
      </c>
      <c r="H94" s="32" t="s">
        <v>5</v>
      </c>
      <c r="I94" s="31" t="s">
        <v>6</v>
      </c>
      <c r="J94" s="30" t="s">
        <v>0</v>
      </c>
    </row>
    <row r="95" spans="1:10" x14ac:dyDescent="0.25">
      <c r="A95" s="29" t="s">
        <v>15</v>
      </c>
      <c r="B95" s="6">
        <v>624</v>
      </c>
      <c r="C95" s="4">
        <v>1325</v>
      </c>
      <c r="D95" s="5">
        <f t="shared" ref="D95:D103" si="7">B95+C95</f>
        <v>1949</v>
      </c>
      <c r="E95" s="6">
        <v>248</v>
      </c>
      <c r="F95" s="4">
        <v>396</v>
      </c>
      <c r="G95" s="4">
        <f t="shared" ref="G95:G103" si="8">E95+F95</f>
        <v>644</v>
      </c>
      <c r="H95" s="6">
        <f>B95+E95</f>
        <v>872</v>
      </c>
      <c r="I95" s="4">
        <f>C95+F95</f>
        <v>1721</v>
      </c>
      <c r="J95" s="7">
        <f t="shared" ref="J95:J103" si="9">H95+I95</f>
        <v>2593</v>
      </c>
    </row>
    <row r="96" spans="1:10" x14ac:dyDescent="0.25">
      <c r="A96" s="29" t="s">
        <v>14</v>
      </c>
      <c r="B96" s="6">
        <v>198</v>
      </c>
      <c r="C96" s="4">
        <v>156</v>
      </c>
      <c r="D96" s="5">
        <f t="shared" si="7"/>
        <v>354</v>
      </c>
      <c r="E96" s="6">
        <v>375</v>
      </c>
      <c r="F96" s="4">
        <v>294</v>
      </c>
      <c r="G96" s="4">
        <f t="shared" si="8"/>
        <v>669</v>
      </c>
      <c r="H96" s="6">
        <f t="shared" ref="H96:I103" si="10">B96+E96</f>
        <v>573</v>
      </c>
      <c r="I96" s="4">
        <f t="shared" si="10"/>
        <v>450</v>
      </c>
      <c r="J96" s="7">
        <f t="shared" si="9"/>
        <v>1023</v>
      </c>
    </row>
    <row r="97" spans="1:10" x14ac:dyDescent="0.25">
      <c r="A97" s="29" t="s">
        <v>155</v>
      </c>
      <c r="B97" s="6">
        <v>569</v>
      </c>
      <c r="C97" s="4">
        <v>629</v>
      </c>
      <c r="D97" s="5">
        <f t="shared" si="7"/>
        <v>1198</v>
      </c>
      <c r="E97" s="6">
        <v>539</v>
      </c>
      <c r="F97" s="4">
        <v>588</v>
      </c>
      <c r="G97" s="4">
        <f t="shared" si="8"/>
        <v>1127</v>
      </c>
      <c r="H97" s="6">
        <f t="shared" si="10"/>
        <v>1108</v>
      </c>
      <c r="I97" s="4">
        <f t="shared" si="10"/>
        <v>1217</v>
      </c>
      <c r="J97" s="7">
        <f t="shared" si="9"/>
        <v>2325</v>
      </c>
    </row>
    <row r="98" spans="1:10" x14ac:dyDescent="0.25">
      <c r="A98" s="29" t="s">
        <v>81</v>
      </c>
      <c r="B98" s="6">
        <v>0</v>
      </c>
      <c r="C98" s="4">
        <v>0</v>
      </c>
      <c r="D98" s="5">
        <f t="shared" si="7"/>
        <v>0</v>
      </c>
      <c r="E98" s="6">
        <v>215</v>
      </c>
      <c r="F98" s="4">
        <v>153</v>
      </c>
      <c r="G98" s="4">
        <f t="shared" si="8"/>
        <v>368</v>
      </c>
      <c r="H98" s="6">
        <f t="shared" si="10"/>
        <v>215</v>
      </c>
      <c r="I98" s="4">
        <f t="shared" si="10"/>
        <v>153</v>
      </c>
      <c r="J98" s="7">
        <f t="shared" si="9"/>
        <v>368</v>
      </c>
    </row>
    <row r="99" spans="1:10" x14ac:dyDescent="0.25">
      <c r="A99" s="29" t="s">
        <v>12</v>
      </c>
      <c r="B99" s="6">
        <v>712</v>
      </c>
      <c r="C99" s="4">
        <v>198</v>
      </c>
      <c r="D99" s="5">
        <f t="shared" si="7"/>
        <v>910</v>
      </c>
      <c r="E99" s="6">
        <v>555</v>
      </c>
      <c r="F99" s="4">
        <v>136</v>
      </c>
      <c r="G99" s="4">
        <f t="shared" ref="G99:G102" si="11">E99+F99</f>
        <v>691</v>
      </c>
      <c r="H99" s="6">
        <f t="shared" ref="H99:H102" si="12">B99+E99</f>
        <v>1267</v>
      </c>
      <c r="I99" s="4">
        <f t="shared" ref="I99:I102" si="13">C99+F99</f>
        <v>334</v>
      </c>
      <c r="J99" s="7">
        <f t="shared" ref="J99:J102" si="14">H99+I99</f>
        <v>1601</v>
      </c>
    </row>
    <row r="100" spans="1:10" x14ac:dyDescent="0.25">
      <c r="A100" s="29" t="s">
        <v>1</v>
      </c>
      <c r="B100" s="6">
        <v>191</v>
      </c>
      <c r="C100" s="4">
        <v>315</v>
      </c>
      <c r="D100" s="5">
        <f t="shared" si="7"/>
        <v>506</v>
      </c>
      <c r="E100" s="6">
        <v>165</v>
      </c>
      <c r="F100" s="4">
        <v>203</v>
      </c>
      <c r="G100" s="4">
        <f t="shared" si="11"/>
        <v>368</v>
      </c>
      <c r="H100" s="6">
        <f t="shared" si="12"/>
        <v>356</v>
      </c>
      <c r="I100" s="4">
        <f t="shared" si="13"/>
        <v>518</v>
      </c>
      <c r="J100" s="7">
        <f t="shared" si="14"/>
        <v>874</v>
      </c>
    </row>
    <row r="101" spans="1:10" x14ac:dyDescent="0.25">
      <c r="A101" s="29" t="s">
        <v>11</v>
      </c>
      <c r="B101" s="6">
        <v>800</v>
      </c>
      <c r="C101" s="4">
        <v>1469</v>
      </c>
      <c r="D101" s="5">
        <f t="shared" si="7"/>
        <v>2269</v>
      </c>
      <c r="E101" s="6">
        <v>318</v>
      </c>
      <c r="F101" s="4">
        <v>561</v>
      </c>
      <c r="G101" s="4">
        <f t="shared" si="11"/>
        <v>879</v>
      </c>
      <c r="H101" s="6">
        <f t="shared" si="12"/>
        <v>1118</v>
      </c>
      <c r="I101" s="4">
        <f t="shared" si="13"/>
        <v>2030</v>
      </c>
      <c r="J101" s="7">
        <f t="shared" si="14"/>
        <v>3148</v>
      </c>
    </row>
    <row r="102" spans="1:10" x14ac:dyDescent="0.25">
      <c r="A102" s="29" t="s">
        <v>10</v>
      </c>
      <c r="B102" s="6">
        <v>1155</v>
      </c>
      <c r="C102" s="4">
        <v>708</v>
      </c>
      <c r="D102" s="5">
        <f t="shared" si="7"/>
        <v>1863</v>
      </c>
      <c r="E102" s="6">
        <v>313</v>
      </c>
      <c r="F102" s="4">
        <v>172</v>
      </c>
      <c r="G102" s="4">
        <f t="shared" si="11"/>
        <v>485</v>
      </c>
      <c r="H102" s="6">
        <f t="shared" si="12"/>
        <v>1468</v>
      </c>
      <c r="I102" s="4">
        <f t="shared" si="13"/>
        <v>880</v>
      </c>
      <c r="J102" s="7">
        <f t="shared" si="14"/>
        <v>2348</v>
      </c>
    </row>
    <row r="103" spans="1:10" ht="15.75" thickBot="1" x14ac:dyDescent="0.3">
      <c r="A103" s="28" t="s">
        <v>9</v>
      </c>
      <c r="B103" s="10">
        <v>1007</v>
      </c>
      <c r="C103" s="27">
        <v>1110</v>
      </c>
      <c r="D103" s="14">
        <f t="shared" si="7"/>
        <v>2117</v>
      </c>
      <c r="E103" s="10">
        <v>384</v>
      </c>
      <c r="F103" s="11">
        <v>536</v>
      </c>
      <c r="G103" s="11">
        <f t="shared" si="8"/>
        <v>920</v>
      </c>
      <c r="H103" s="10">
        <f t="shared" si="10"/>
        <v>1391</v>
      </c>
      <c r="I103" s="11">
        <f t="shared" si="10"/>
        <v>1646</v>
      </c>
      <c r="J103" s="26">
        <f t="shared" si="9"/>
        <v>3037</v>
      </c>
    </row>
    <row r="104" spans="1:10" ht="16.5" thickTop="1" thickBot="1" x14ac:dyDescent="0.3">
      <c r="A104" s="9" t="s">
        <v>0</v>
      </c>
      <c r="B104" s="8">
        <f t="shared" ref="B104:J104" si="15">SUM(B95:B103)</f>
        <v>5256</v>
      </c>
      <c r="C104" s="8">
        <f t="shared" si="15"/>
        <v>5910</v>
      </c>
      <c r="D104" s="8">
        <f t="shared" si="15"/>
        <v>11166</v>
      </c>
      <c r="E104" s="8">
        <f t="shared" si="15"/>
        <v>3112</v>
      </c>
      <c r="F104" s="8">
        <f t="shared" si="15"/>
        <v>3039</v>
      </c>
      <c r="G104" s="8">
        <f t="shared" si="15"/>
        <v>6151</v>
      </c>
      <c r="H104" s="8">
        <f t="shared" si="15"/>
        <v>8368</v>
      </c>
      <c r="I104" s="8">
        <f t="shared" si="15"/>
        <v>8949</v>
      </c>
      <c r="J104" s="9">
        <f t="shared" si="15"/>
        <v>17317</v>
      </c>
    </row>
    <row r="105" spans="1:10" ht="15.75" thickBot="1" x14ac:dyDescent="0.3">
      <c r="A105" s="25"/>
      <c r="B105" s="25"/>
      <c r="C105" s="25"/>
      <c r="D105" s="25"/>
      <c r="E105" s="25"/>
      <c r="F105" s="25"/>
      <c r="G105" s="25"/>
      <c r="H105" s="25"/>
      <c r="I105" s="25"/>
      <c r="J105" s="25"/>
    </row>
    <row r="106" spans="1:10" x14ac:dyDescent="0.25">
      <c r="A106" s="12" t="s">
        <v>15</v>
      </c>
      <c r="B106" s="24">
        <f>B95/D95</f>
        <v>0.32016418676244229</v>
      </c>
      <c r="C106" s="23">
        <f>C95/D95</f>
        <v>0.67983581323755771</v>
      </c>
      <c r="D106" s="5"/>
      <c r="E106" s="24">
        <f>E95/G95</f>
        <v>0.38509316770186336</v>
      </c>
      <c r="F106" s="23">
        <f>F95/G95</f>
        <v>0.6149068322981367</v>
      </c>
      <c r="G106" s="4"/>
      <c r="H106" s="24">
        <f>H95/J95</f>
        <v>0.33629001156961047</v>
      </c>
      <c r="I106" s="23">
        <f>I95/J95</f>
        <v>0.66370998843038953</v>
      </c>
      <c r="J106" s="7"/>
    </row>
    <row r="107" spans="1:10" x14ac:dyDescent="0.25">
      <c r="A107" s="12" t="s">
        <v>14</v>
      </c>
      <c r="B107" s="24">
        <f>B96/D96</f>
        <v>0.55932203389830504</v>
      </c>
      <c r="C107" s="23">
        <f>C96/D96</f>
        <v>0.44067796610169491</v>
      </c>
      <c r="D107" s="5"/>
      <c r="E107" s="24">
        <f>E96/G96</f>
        <v>0.5605381165919282</v>
      </c>
      <c r="F107" s="23">
        <f>F96/G96</f>
        <v>0.43946188340807174</v>
      </c>
      <c r="G107" s="4"/>
      <c r="H107" s="24">
        <f>H96/J96</f>
        <v>0.56011730205278587</v>
      </c>
      <c r="I107" s="23">
        <f>I96/J96</f>
        <v>0.43988269794721407</v>
      </c>
      <c r="J107" s="7"/>
    </row>
    <row r="108" spans="1:10" x14ac:dyDescent="0.25">
      <c r="A108" s="12" t="s">
        <v>155</v>
      </c>
      <c r="B108" s="24">
        <f>B97/D97</f>
        <v>0.47495826377295491</v>
      </c>
      <c r="C108" s="23">
        <f>C97/D97</f>
        <v>0.52504173622704509</v>
      </c>
      <c r="D108" s="5"/>
      <c r="E108" s="24">
        <f>E97/G97</f>
        <v>0.47826086956521741</v>
      </c>
      <c r="F108" s="23">
        <f>F97/G97</f>
        <v>0.52173913043478259</v>
      </c>
      <c r="G108" s="4"/>
      <c r="H108" s="24">
        <f>H97/J97</f>
        <v>0.47655913978494624</v>
      </c>
      <c r="I108" s="23">
        <f>I97/J97</f>
        <v>0.52344086021505376</v>
      </c>
      <c r="J108" s="7"/>
    </row>
    <row r="109" spans="1:10" x14ac:dyDescent="0.25">
      <c r="A109" s="12" t="s">
        <v>81</v>
      </c>
      <c r="B109" s="24"/>
      <c r="C109" s="23"/>
      <c r="D109" s="5"/>
      <c r="E109" s="24">
        <f t="shared" ref="E109" si="16">E98/G98</f>
        <v>0.58423913043478259</v>
      </c>
      <c r="F109" s="23">
        <f t="shared" ref="F109" si="17">F98/G98</f>
        <v>0.41576086956521741</v>
      </c>
      <c r="G109" s="4"/>
      <c r="H109" s="24">
        <f t="shared" ref="H109" si="18">H98/J98</f>
        <v>0.58423913043478259</v>
      </c>
      <c r="I109" s="23">
        <f t="shared" ref="I109" si="19">I98/J98</f>
        <v>0.41576086956521741</v>
      </c>
      <c r="J109" s="7"/>
    </row>
    <row r="110" spans="1:10" x14ac:dyDescent="0.25">
      <c r="A110" s="12" t="s">
        <v>12</v>
      </c>
      <c r="B110" s="24">
        <f t="shared" ref="B110:B115" si="20">B99/D99</f>
        <v>0.78241758241758241</v>
      </c>
      <c r="C110" s="23">
        <f t="shared" ref="C110:C115" si="21">C99/D99</f>
        <v>0.21758241758241759</v>
      </c>
      <c r="D110" s="5"/>
      <c r="E110" s="24">
        <f t="shared" ref="E110:E115" si="22">E99/G99</f>
        <v>0.80318379160636755</v>
      </c>
      <c r="F110" s="23">
        <f t="shared" ref="F110:F115" si="23">F99/G99</f>
        <v>0.19681620839363242</v>
      </c>
      <c r="G110" s="4"/>
      <c r="H110" s="24">
        <f t="shared" ref="H110:H115" si="24">H99/J99</f>
        <v>0.79138038725796378</v>
      </c>
      <c r="I110" s="23">
        <f t="shared" ref="I110:I115" si="25">I99/J99</f>
        <v>0.20861961274203622</v>
      </c>
      <c r="J110" s="7"/>
    </row>
    <row r="111" spans="1:10" x14ac:dyDescent="0.25">
      <c r="A111" s="12" t="s">
        <v>1</v>
      </c>
      <c r="B111" s="24">
        <f t="shared" si="20"/>
        <v>0.37747035573122528</v>
      </c>
      <c r="C111" s="23">
        <f t="shared" si="21"/>
        <v>0.62252964426877466</v>
      </c>
      <c r="D111" s="5"/>
      <c r="E111" s="24">
        <f t="shared" si="22"/>
        <v>0.4483695652173913</v>
      </c>
      <c r="F111" s="23">
        <f t="shared" si="23"/>
        <v>0.55163043478260865</v>
      </c>
      <c r="G111" s="4"/>
      <c r="H111" s="24">
        <f t="shared" si="24"/>
        <v>0.40732265446224258</v>
      </c>
      <c r="I111" s="23">
        <f t="shared" si="25"/>
        <v>0.59267734553775742</v>
      </c>
      <c r="J111" s="7"/>
    </row>
    <row r="112" spans="1:10" x14ac:dyDescent="0.25">
      <c r="A112" s="12" t="s">
        <v>11</v>
      </c>
      <c r="B112" s="24">
        <f t="shared" si="20"/>
        <v>0.35257822829440283</v>
      </c>
      <c r="C112" s="23">
        <f t="shared" si="21"/>
        <v>0.64742177170559723</v>
      </c>
      <c r="D112" s="5"/>
      <c r="E112" s="24">
        <f t="shared" si="22"/>
        <v>0.36177474402730375</v>
      </c>
      <c r="F112" s="23">
        <f t="shared" si="23"/>
        <v>0.63822525597269619</v>
      </c>
      <c r="G112" s="4"/>
      <c r="H112" s="24">
        <f t="shared" si="24"/>
        <v>0.35514612452350697</v>
      </c>
      <c r="I112" s="23">
        <f t="shared" si="25"/>
        <v>0.64485387547649298</v>
      </c>
      <c r="J112" s="7"/>
    </row>
    <row r="113" spans="1:10" x14ac:dyDescent="0.25">
      <c r="A113" s="12" t="s">
        <v>10</v>
      </c>
      <c r="B113" s="24">
        <f t="shared" si="20"/>
        <v>0.61996779388083734</v>
      </c>
      <c r="C113" s="23">
        <f t="shared" si="21"/>
        <v>0.38003220611916266</v>
      </c>
      <c r="D113" s="5"/>
      <c r="E113" s="24">
        <f t="shared" si="22"/>
        <v>0.64536082474226808</v>
      </c>
      <c r="F113" s="23">
        <f t="shared" si="23"/>
        <v>0.35463917525773198</v>
      </c>
      <c r="G113" s="4"/>
      <c r="H113" s="24">
        <f t="shared" si="24"/>
        <v>0.62521294718909715</v>
      </c>
      <c r="I113" s="23">
        <f t="shared" si="25"/>
        <v>0.37478705281090291</v>
      </c>
      <c r="J113" s="7"/>
    </row>
    <row r="114" spans="1:10" ht="15.75" thickBot="1" x14ac:dyDescent="0.3">
      <c r="A114" s="13" t="s">
        <v>9</v>
      </c>
      <c r="B114" s="22">
        <f t="shared" si="20"/>
        <v>0.47567312234293813</v>
      </c>
      <c r="C114" s="21">
        <f t="shared" si="21"/>
        <v>0.52432687765706187</v>
      </c>
      <c r="D114" s="14"/>
      <c r="E114" s="22">
        <f t="shared" si="22"/>
        <v>0.41739130434782606</v>
      </c>
      <c r="F114" s="21">
        <f t="shared" si="23"/>
        <v>0.58260869565217388</v>
      </c>
      <c r="G114" s="11"/>
      <c r="H114" s="22">
        <f t="shared" si="24"/>
        <v>0.45801778070464272</v>
      </c>
      <c r="I114" s="21">
        <f t="shared" si="25"/>
        <v>0.54198221929535728</v>
      </c>
      <c r="J114" s="20"/>
    </row>
    <row r="115" spans="1:10" ht="16.5" thickTop="1" thickBot="1" x14ac:dyDescent="0.3">
      <c r="A115" s="8" t="s">
        <v>0</v>
      </c>
      <c r="B115" s="19">
        <f t="shared" si="20"/>
        <v>0.4707146695325094</v>
      </c>
      <c r="C115" s="19">
        <f t="shared" si="21"/>
        <v>0.5292853304674906</v>
      </c>
      <c r="D115" s="8"/>
      <c r="E115" s="19">
        <f t="shared" si="22"/>
        <v>0.50593399447244347</v>
      </c>
      <c r="F115" s="19">
        <f t="shared" si="23"/>
        <v>0.49406600552755647</v>
      </c>
      <c r="G115" s="8"/>
      <c r="H115" s="19">
        <f t="shared" si="24"/>
        <v>0.48322457700525495</v>
      </c>
      <c r="I115" s="19">
        <f t="shared" si="25"/>
        <v>0.51677542299474499</v>
      </c>
      <c r="J115" s="9"/>
    </row>
  </sheetData>
  <mergeCells count="8">
    <mergeCell ref="B93:D93"/>
    <mergeCell ref="E93:G93"/>
    <mergeCell ref="H93:J9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1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"/>
  <sheetViews>
    <sheetView topLeftCell="A82" zoomScale="55" zoomScaleNormal="55" zoomScalePageLayoutView="70" workbookViewId="0">
      <selection activeCell="A90" sqref="A90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2000-01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83</v>
      </c>
      <c r="C7" s="34">
        <v>166</v>
      </c>
      <c r="D7" s="35">
        <f>SUM(B7:C7)</f>
        <v>249</v>
      </c>
      <c r="E7" s="34">
        <v>73</v>
      </c>
      <c r="F7" s="34">
        <v>48</v>
      </c>
      <c r="G7" s="34">
        <f>SUM(E7:F7)</f>
        <v>121</v>
      </c>
      <c r="H7" s="39">
        <f>B7+E7</f>
        <v>156</v>
      </c>
      <c r="I7" s="34">
        <f>C7+F7</f>
        <v>214</v>
      </c>
      <c r="J7" s="35">
        <f>SUM(H7:I7)</f>
        <v>370</v>
      </c>
    </row>
    <row r="8" spans="1:10" x14ac:dyDescent="0.25">
      <c r="A8" s="12" t="s">
        <v>17</v>
      </c>
      <c r="B8" s="39">
        <v>51</v>
      </c>
      <c r="C8" s="34">
        <v>140</v>
      </c>
      <c r="D8" s="35">
        <f t="shared" ref="D8:D88" si="0">SUM(B8:C8)</f>
        <v>191</v>
      </c>
      <c r="E8" s="34">
        <v>50</v>
      </c>
      <c r="F8" s="34">
        <v>85</v>
      </c>
      <c r="G8" s="34">
        <f t="shared" ref="G8:G88" si="1">SUM(E8:F8)</f>
        <v>135</v>
      </c>
      <c r="H8" s="39">
        <f t="shared" ref="H8:I88" si="2">B8+E8</f>
        <v>101</v>
      </c>
      <c r="I8" s="34">
        <f t="shared" si="2"/>
        <v>225</v>
      </c>
      <c r="J8" s="35">
        <f t="shared" ref="J8:J88" si="3">SUM(H8:I8)</f>
        <v>326</v>
      </c>
    </row>
    <row r="9" spans="1:10" x14ac:dyDescent="0.25">
      <c r="A9" s="12" t="s">
        <v>18</v>
      </c>
      <c r="B9" s="39">
        <v>99</v>
      </c>
      <c r="C9" s="34">
        <v>175</v>
      </c>
      <c r="D9" s="35">
        <f t="shared" si="0"/>
        <v>274</v>
      </c>
      <c r="E9" s="34">
        <v>75</v>
      </c>
      <c r="F9" s="34">
        <v>166</v>
      </c>
      <c r="G9" s="34">
        <f t="shared" si="1"/>
        <v>241</v>
      </c>
      <c r="H9" s="39">
        <f t="shared" si="2"/>
        <v>174</v>
      </c>
      <c r="I9" s="34">
        <f t="shared" si="2"/>
        <v>341</v>
      </c>
      <c r="J9" s="35">
        <f t="shared" si="3"/>
        <v>515</v>
      </c>
    </row>
    <row r="10" spans="1:10" x14ac:dyDescent="0.25">
      <c r="A10" s="12" t="s">
        <v>161</v>
      </c>
      <c r="B10" s="39">
        <v>196</v>
      </c>
      <c r="C10" s="34">
        <v>138</v>
      </c>
      <c r="D10" s="35">
        <f t="shared" si="0"/>
        <v>334</v>
      </c>
      <c r="E10" s="34">
        <v>321</v>
      </c>
      <c r="F10" s="34">
        <v>229</v>
      </c>
      <c r="G10" s="34">
        <f t="shared" si="1"/>
        <v>550</v>
      </c>
      <c r="H10" s="39">
        <f t="shared" si="2"/>
        <v>517</v>
      </c>
      <c r="I10" s="34">
        <f t="shared" si="2"/>
        <v>367</v>
      </c>
      <c r="J10" s="35">
        <f t="shared" si="3"/>
        <v>884</v>
      </c>
    </row>
    <row r="11" spans="1:10" x14ac:dyDescent="0.25">
      <c r="A11" s="12" t="s">
        <v>23</v>
      </c>
      <c r="B11" s="39">
        <v>68</v>
      </c>
      <c r="C11" s="34">
        <v>54</v>
      </c>
      <c r="D11" s="35">
        <f t="shared" si="0"/>
        <v>122</v>
      </c>
      <c r="E11" s="34">
        <v>51</v>
      </c>
      <c r="F11" s="34">
        <v>31</v>
      </c>
      <c r="G11" s="34">
        <f t="shared" si="1"/>
        <v>82</v>
      </c>
      <c r="H11" s="39">
        <f t="shared" si="2"/>
        <v>119</v>
      </c>
      <c r="I11" s="34">
        <f t="shared" si="2"/>
        <v>85</v>
      </c>
      <c r="J11" s="35">
        <f t="shared" si="3"/>
        <v>204</v>
      </c>
    </row>
    <row r="12" spans="1:10" x14ac:dyDescent="0.25">
      <c r="A12" s="12" t="s">
        <v>108</v>
      </c>
      <c r="B12" s="39">
        <v>95</v>
      </c>
      <c r="C12" s="34">
        <v>90</v>
      </c>
      <c r="D12" s="35">
        <f t="shared" si="0"/>
        <v>185</v>
      </c>
      <c r="E12" s="34">
        <v>48</v>
      </c>
      <c r="F12" s="34">
        <v>57</v>
      </c>
      <c r="G12" s="34">
        <f t="shared" si="1"/>
        <v>105</v>
      </c>
      <c r="H12" s="39">
        <f t="shared" si="2"/>
        <v>143</v>
      </c>
      <c r="I12" s="34">
        <f t="shared" si="2"/>
        <v>147</v>
      </c>
      <c r="J12" s="35">
        <f t="shared" si="3"/>
        <v>290</v>
      </c>
    </row>
    <row r="13" spans="1:10" x14ac:dyDescent="0.25">
      <c r="A13" s="12" t="s">
        <v>109</v>
      </c>
      <c r="B13" s="39">
        <v>127</v>
      </c>
      <c r="C13" s="34">
        <v>153</v>
      </c>
      <c r="D13" s="35">
        <f t="shared" si="0"/>
        <v>280</v>
      </c>
      <c r="E13" s="34">
        <v>26</v>
      </c>
      <c r="F13" s="34">
        <v>58</v>
      </c>
      <c r="G13" s="34">
        <f t="shared" si="1"/>
        <v>84</v>
      </c>
      <c r="H13" s="39">
        <f t="shared" si="2"/>
        <v>153</v>
      </c>
      <c r="I13" s="34">
        <f t="shared" si="2"/>
        <v>211</v>
      </c>
      <c r="J13" s="35">
        <f t="shared" si="3"/>
        <v>364</v>
      </c>
    </row>
    <row r="14" spans="1:10" x14ac:dyDescent="0.25">
      <c r="A14" s="12" t="s">
        <v>162</v>
      </c>
      <c r="B14" s="39">
        <v>0</v>
      </c>
      <c r="C14" s="34">
        <v>0</v>
      </c>
      <c r="D14" s="35">
        <f t="shared" si="0"/>
        <v>0</v>
      </c>
      <c r="E14" s="34">
        <v>17</v>
      </c>
      <c r="F14" s="34">
        <v>4</v>
      </c>
      <c r="G14" s="34">
        <f t="shared" si="1"/>
        <v>21</v>
      </c>
      <c r="H14" s="39">
        <f t="shared" si="2"/>
        <v>17</v>
      </c>
      <c r="I14" s="34">
        <f t="shared" si="2"/>
        <v>4</v>
      </c>
      <c r="J14" s="35">
        <f t="shared" si="3"/>
        <v>21</v>
      </c>
    </row>
    <row r="15" spans="1:10" x14ac:dyDescent="0.25">
      <c r="A15" s="12" t="s">
        <v>140</v>
      </c>
      <c r="B15" s="39">
        <v>0</v>
      </c>
      <c r="C15" s="34">
        <v>0</v>
      </c>
      <c r="D15" s="35">
        <f t="shared" si="0"/>
        <v>0</v>
      </c>
      <c r="E15" s="34">
        <v>4</v>
      </c>
      <c r="F15" s="34">
        <v>2</v>
      </c>
      <c r="G15" s="34">
        <f t="shared" si="1"/>
        <v>6</v>
      </c>
      <c r="H15" s="39">
        <f t="shared" si="2"/>
        <v>4</v>
      </c>
      <c r="I15" s="34">
        <f t="shared" si="2"/>
        <v>2</v>
      </c>
      <c r="J15" s="35">
        <f t="shared" si="3"/>
        <v>6</v>
      </c>
    </row>
    <row r="16" spans="1:10" x14ac:dyDescent="0.25">
      <c r="A16" s="12" t="s">
        <v>30</v>
      </c>
      <c r="B16" s="39">
        <v>110</v>
      </c>
      <c r="C16" s="34">
        <v>45</v>
      </c>
      <c r="D16" s="35">
        <f t="shared" si="0"/>
        <v>155</v>
      </c>
      <c r="E16" s="34">
        <v>30</v>
      </c>
      <c r="F16" s="34">
        <v>10</v>
      </c>
      <c r="G16" s="34">
        <f t="shared" si="1"/>
        <v>40</v>
      </c>
      <c r="H16" s="39">
        <f t="shared" si="2"/>
        <v>140</v>
      </c>
      <c r="I16" s="34">
        <f t="shared" si="2"/>
        <v>55</v>
      </c>
      <c r="J16" s="35">
        <f t="shared" si="3"/>
        <v>195</v>
      </c>
    </row>
    <row r="17" spans="1:10" x14ac:dyDescent="0.25">
      <c r="A17" s="12" t="s">
        <v>31</v>
      </c>
      <c r="B17" s="39">
        <v>125</v>
      </c>
      <c r="C17" s="34">
        <v>126</v>
      </c>
      <c r="D17" s="35">
        <f t="shared" si="0"/>
        <v>251</v>
      </c>
      <c r="E17" s="34">
        <v>40</v>
      </c>
      <c r="F17" s="34">
        <v>45</v>
      </c>
      <c r="G17" s="34">
        <f t="shared" si="1"/>
        <v>85</v>
      </c>
      <c r="H17" s="39">
        <f t="shared" si="2"/>
        <v>165</v>
      </c>
      <c r="I17" s="34">
        <f t="shared" si="2"/>
        <v>171</v>
      </c>
      <c r="J17" s="35">
        <f t="shared" si="3"/>
        <v>336</v>
      </c>
    </row>
    <row r="18" spans="1:10" x14ac:dyDescent="0.25">
      <c r="A18" s="12" t="s">
        <v>132</v>
      </c>
      <c r="B18" s="39">
        <v>152</v>
      </c>
      <c r="C18" s="34">
        <v>41</v>
      </c>
      <c r="D18" s="35">
        <f t="shared" si="0"/>
        <v>193</v>
      </c>
      <c r="E18" s="34">
        <v>18</v>
      </c>
      <c r="F18" s="34">
        <v>9</v>
      </c>
      <c r="G18" s="34">
        <f t="shared" si="1"/>
        <v>27</v>
      </c>
      <c r="H18" s="39">
        <f t="shared" si="2"/>
        <v>170</v>
      </c>
      <c r="I18" s="34">
        <f t="shared" si="2"/>
        <v>50</v>
      </c>
      <c r="J18" s="35">
        <f t="shared" si="3"/>
        <v>220</v>
      </c>
    </row>
    <row r="19" spans="1:10" x14ac:dyDescent="0.25">
      <c r="A19" s="12" t="s">
        <v>33</v>
      </c>
      <c r="B19" s="39">
        <v>154</v>
      </c>
      <c r="C19" s="34">
        <v>23</v>
      </c>
      <c r="D19" s="35">
        <f t="shared" si="0"/>
        <v>177</v>
      </c>
      <c r="E19" s="34">
        <v>100</v>
      </c>
      <c r="F19" s="34">
        <v>30</v>
      </c>
      <c r="G19" s="34">
        <f t="shared" si="1"/>
        <v>130</v>
      </c>
      <c r="H19" s="39">
        <f t="shared" si="2"/>
        <v>254</v>
      </c>
      <c r="I19" s="34">
        <f t="shared" si="2"/>
        <v>53</v>
      </c>
      <c r="J19" s="35">
        <f t="shared" si="3"/>
        <v>307</v>
      </c>
    </row>
    <row r="20" spans="1:10" x14ac:dyDescent="0.25">
      <c r="A20" s="12" t="s">
        <v>34</v>
      </c>
      <c r="B20" s="39">
        <v>0</v>
      </c>
      <c r="C20" s="34">
        <v>0</v>
      </c>
      <c r="D20" s="35">
        <f t="shared" si="0"/>
        <v>0</v>
      </c>
      <c r="E20" s="34">
        <v>69</v>
      </c>
      <c r="F20" s="34">
        <v>66</v>
      </c>
      <c r="G20" s="34">
        <f t="shared" si="1"/>
        <v>135</v>
      </c>
      <c r="H20" s="39">
        <f t="shared" si="2"/>
        <v>69</v>
      </c>
      <c r="I20" s="34">
        <f t="shared" si="2"/>
        <v>66</v>
      </c>
      <c r="J20" s="35">
        <f t="shared" si="3"/>
        <v>135</v>
      </c>
    </row>
    <row r="21" spans="1:10" x14ac:dyDescent="0.25">
      <c r="A21" s="12" t="s">
        <v>35</v>
      </c>
      <c r="B21" s="39">
        <v>12</v>
      </c>
      <c r="C21" s="34">
        <v>23</v>
      </c>
      <c r="D21" s="35">
        <f t="shared" si="0"/>
        <v>35</v>
      </c>
      <c r="E21" s="34">
        <v>1</v>
      </c>
      <c r="F21" s="34">
        <v>10</v>
      </c>
      <c r="G21" s="34">
        <f t="shared" si="1"/>
        <v>11</v>
      </c>
      <c r="H21" s="39">
        <f t="shared" si="2"/>
        <v>13</v>
      </c>
      <c r="I21" s="34">
        <f t="shared" si="2"/>
        <v>33</v>
      </c>
      <c r="J21" s="35">
        <f t="shared" si="3"/>
        <v>46</v>
      </c>
    </row>
    <row r="22" spans="1:10" x14ac:dyDescent="0.25">
      <c r="A22" s="12" t="s">
        <v>37</v>
      </c>
      <c r="B22" s="39">
        <v>279</v>
      </c>
      <c r="C22" s="34">
        <v>151</v>
      </c>
      <c r="D22" s="35">
        <f t="shared" si="0"/>
        <v>430</v>
      </c>
      <c r="E22" s="34">
        <v>73</v>
      </c>
      <c r="F22" s="34">
        <v>44</v>
      </c>
      <c r="G22" s="34">
        <f t="shared" si="1"/>
        <v>117</v>
      </c>
      <c r="H22" s="39">
        <f t="shared" si="2"/>
        <v>352</v>
      </c>
      <c r="I22" s="34">
        <f t="shared" si="2"/>
        <v>195</v>
      </c>
      <c r="J22" s="35">
        <f t="shared" si="3"/>
        <v>547</v>
      </c>
    </row>
    <row r="23" spans="1:10" x14ac:dyDescent="0.25">
      <c r="A23" s="12" t="s">
        <v>38</v>
      </c>
      <c r="B23" s="39">
        <v>185</v>
      </c>
      <c r="C23" s="34">
        <v>27</v>
      </c>
      <c r="D23" s="35">
        <f t="shared" si="0"/>
        <v>212</v>
      </c>
      <c r="E23" s="34">
        <v>293</v>
      </c>
      <c r="F23" s="34">
        <v>56</v>
      </c>
      <c r="G23" s="34">
        <f t="shared" si="1"/>
        <v>349</v>
      </c>
      <c r="H23" s="39">
        <f t="shared" si="2"/>
        <v>478</v>
      </c>
      <c r="I23" s="34">
        <f t="shared" si="2"/>
        <v>83</v>
      </c>
      <c r="J23" s="35">
        <f t="shared" si="3"/>
        <v>561</v>
      </c>
    </row>
    <row r="24" spans="1:10" x14ac:dyDescent="0.25">
      <c r="A24" s="12" t="s">
        <v>41</v>
      </c>
      <c r="B24" s="39">
        <v>82</v>
      </c>
      <c r="C24" s="34">
        <v>208</v>
      </c>
      <c r="D24" s="35">
        <f t="shared" si="0"/>
        <v>290</v>
      </c>
      <c r="E24" s="34">
        <v>21</v>
      </c>
      <c r="F24" s="34">
        <v>26</v>
      </c>
      <c r="G24" s="34">
        <f t="shared" si="1"/>
        <v>47</v>
      </c>
      <c r="H24" s="39">
        <f t="shared" si="2"/>
        <v>103</v>
      </c>
      <c r="I24" s="34">
        <f t="shared" si="2"/>
        <v>234</v>
      </c>
      <c r="J24" s="35">
        <f t="shared" si="3"/>
        <v>337</v>
      </c>
    </row>
    <row r="25" spans="1:10" x14ac:dyDescent="0.25">
      <c r="A25" s="12" t="s">
        <v>44</v>
      </c>
      <c r="B25" s="39">
        <v>51</v>
      </c>
      <c r="C25" s="34">
        <v>100</v>
      </c>
      <c r="D25" s="35">
        <f t="shared" si="0"/>
        <v>151</v>
      </c>
      <c r="E25" s="34">
        <v>33</v>
      </c>
      <c r="F25" s="34">
        <v>71</v>
      </c>
      <c r="G25" s="34">
        <f t="shared" si="1"/>
        <v>104</v>
      </c>
      <c r="H25" s="39">
        <f t="shared" si="2"/>
        <v>84</v>
      </c>
      <c r="I25" s="34">
        <f t="shared" si="2"/>
        <v>171</v>
      </c>
      <c r="J25" s="35">
        <f t="shared" si="3"/>
        <v>255</v>
      </c>
    </row>
    <row r="26" spans="1:10" x14ac:dyDescent="0.25">
      <c r="A26" s="12" t="s">
        <v>45</v>
      </c>
      <c r="B26" s="39">
        <v>78</v>
      </c>
      <c r="C26" s="34">
        <v>187</v>
      </c>
      <c r="D26" s="35">
        <f t="shared" si="0"/>
        <v>265</v>
      </c>
      <c r="E26" s="34">
        <v>6</v>
      </c>
      <c r="F26" s="34">
        <v>12</v>
      </c>
      <c r="G26" s="34">
        <f t="shared" si="1"/>
        <v>18</v>
      </c>
      <c r="H26" s="39">
        <f t="shared" si="2"/>
        <v>84</v>
      </c>
      <c r="I26" s="34">
        <f t="shared" si="2"/>
        <v>199</v>
      </c>
      <c r="J26" s="35">
        <f t="shared" si="3"/>
        <v>283</v>
      </c>
    </row>
    <row r="27" spans="1:10" x14ac:dyDescent="0.25">
      <c r="A27" s="12" t="s">
        <v>95</v>
      </c>
      <c r="B27" s="39">
        <v>0</v>
      </c>
      <c r="C27" s="34">
        <v>0</v>
      </c>
      <c r="D27" s="35">
        <f t="shared" si="0"/>
        <v>0</v>
      </c>
      <c r="E27" s="34">
        <v>12</v>
      </c>
      <c r="F27" s="34">
        <v>1</v>
      </c>
      <c r="G27" s="34">
        <f t="shared" si="1"/>
        <v>13</v>
      </c>
      <c r="H27" s="39">
        <f t="shared" si="2"/>
        <v>12</v>
      </c>
      <c r="I27" s="34">
        <f t="shared" si="2"/>
        <v>1</v>
      </c>
      <c r="J27" s="35">
        <f t="shared" si="3"/>
        <v>13</v>
      </c>
    </row>
    <row r="28" spans="1:10" x14ac:dyDescent="0.25">
      <c r="A28" s="12" t="s">
        <v>47</v>
      </c>
      <c r="B28" s="39">
        <v>137</v>
      </c>
      <c r="C28" s="34">
        <v>159</v>
      </c>
      <c r="D28" s="35">
        <f t="shared" si="0"/>
        <v>296</v>
      </c>
      <c r="E28" s="34">
        <v>43</v>
      </c>
      <c r="F28" s="34">
        <v>46</v>
      </c>
      <c r="G28" s="34">
        <f t="shared" si="1"/>
        <v>89</v>
      </c>
      <c r="H28" s="39">
        <f t="shared" si="2"/>
        <v>180</v>
      </c>
      <c r="I28" s="34">
        <f t="shared" si="2"/>
        <v>205</v>
      </c>
      <c r="J28" s="35">
        <f t="shared" si="3"/>
        <v>385</v>
      </c>
    </row>
    <row r="29" spans="1:10" x14ac:dyDescent="0.25">
      <c r="A29" s="12" t="s">
        <v>159</v>
      </c>
      <c r="B29" s="39">
        <v>128</v>
      </c>
      <c r="C29" s="34">
        <v>103</v>
      </c>
      <c r="D29" s="35">
        <f t="shared" si="0"/>
        <v>231</v>
      </c>
      <c r="E29" s="34">
        <v>31</v>
      </c>
      <c r="F29" s="34">
        <v>20</v>
      </c>
      <c r="G29" s="34">
        <f t="shared" si="1"/>
        <v>51</v>
      </c>
      <c r="H29" s="39">
        <f t="shared" si="2"/>
        <v>159</v>
      </c>
      <c r="I29" s="34">
        <f t="shared" si="2"/>
        <v>123</v>
      </c>
      <c r="J29" s="35">
        <f t="shared" si="3"/>
        <v>282</v>
      </c>
    </row>
    <row r="30" spans="1:10" x14ac:dyDescent="0.25">
      <c r="A30" s="12" t="s">
        <v>133</v>
      </c>
      <c r="B30" s="39">
        <v>1</v>
      </c>
      <c r="C30" s="34">
        <v>0</v>
      </c>
      <c r="D30" s="35">
        <f t="shared" si="0"/>
        <v>1</v>
      </c>
      <c r="E30" s="34">
        <v>42</v>
      </c>
      <c r="F30" s="34">
        <v>14</v>
      </c>
      <c r="G30" s="34">
        <f t="shared" si="1"/>
        <v>56</v>
      </c>
      <c r="H30" s="39">
        <f t="shared" si="2"/>
        <v>43</v>
      </c>
      <c r="I30" s="34">
        <f t="shared" si="2"/>
        <v>14</v>
      </c>
      <c r="J30" s="35">
        <f t="shared" si="3"/>
        <v>57</v>
      </c>
    </row>
    <row r="31" spans="1:10" x14ac:dyDescent="0.25">
      <c r="A31" s="12" t="s">
        <v>48</v>
      </c>
      <c r="B31" s="39">
        <v>21</v>
      </c>
      <c r="C31" s="34">
        <v>66</v>
      </c>
      <c r="D31" s="35">
        <f t="shared" si="0"/>
        <v>87</v>
      </c>
      <c r="E31" s="34">
        <v>6</v>
      </c>
      <c r="F31" s="34">
        <v>19</v>
      </c>
      <c r="G31" s="34">
        <f t="shared" si="1"/>
        <v>25</v>
      </c>
      <c r="H31" s="39">
        <f t="shared" si="2"/>
        <v>27</v>
      </c>
      <c r="I31" s="34">
        <f t="shared" si="2"/>
        <v>85</v>
      </c>
      <c r="J31" s="35">
        <f t="shared" si="3"/>
        <v>112</v>
      </c>
    </row>
    <row r="32" spans="1:10" x14ac:dyDescent="0.25">
      <c r="A32" s="12" t="s">
        <v>49</v>
      </c>
      <c r="B32" s="39">
        <v>35</v>
      </c>
      <c r="C32" s="34">
        <v>82</v>
      </c>
      <c r="D32" s="35">
        <f t="shared" si="0"/>
        <v>117</v>
      </c>
      <c r="E32" s="34">
        <v>10</v>
      </c>
      <c r="F32" s="34">
        <v>19</v>
      </c>
      <c r="G32" s="34">
        <f t="shared" si="1"/>
        <v>29</v>
      </c>
      <c r="H32" s="39">
        <f t="shared" si="2"/>
        <v>45</v>
      </c>
      <c r="I32" s="34">
        <f t="shared" si="2"/>
        <v>101</v>
      </c>
      <c r="J32" s="35">
        <f t="shared" si="3"/>
        <v>146</v>
      </c>
    </row>
    <row r="33" spans="1:10" x14ac:dyDescent="0.25">
      <c r="A33" s="12" t="s">
        <v>50</v>
      </c>
      <c r="B33" s="39">
        <v>14</v>
      </c>
      <c r="C33" s="34">
        <v>25</v>
      </c>
      <c r="D33" s="35">
        <f t="shared" si="0"/>
        <v>39</v>
      </c>
      <c r="E33" s="34">
        <v>11</v>
      </c>
      <c r="F33" s="34">
        <v>22</v>
      </c>
      <c r="G33" s="34">
        <f t="shared" si="1"/>
        <v>33</v>
      </c>
      <c r="H33" s="39">
        <f t="shared" si="2"/>
        <v>25</v>
      </c>
      <c r="I33" s="34">
        <f t="shared" si="2"/>
        <v>47</v>
      </c>
      <c r="J33" s="35">
        <f t="shared" si="3"/>
        <v>72</v>
      </c>
    </row>
    <row r="34" spans="1:10" x14ac:dyDescent="0.25">
      <c r="A34" s="12" t="s">
        <v>160</v>
      </c>
      <c r="B34" s="39">
        <v>0</v>
      </c>
      <c r="C34" s="34">
        <v>0</v>
      </c>
      <c r="D34" s="35">
        <f t="shared" si="0"/>
        <v>0</v>
      </c>
      <c r="E34" s="34">
        <v>1</v>
      </c>
      <c r="F34" s="34">
        <v>2</v>
      </c>
      <c r="G34" s="34">
        <f t="shared" si="1"/>
        <v>3</v>
      </c>
      <c r="H34" s="39">
        <f t="shared" si="2"/>
        <v>1</v>
      </c>
      <c r="I34" s="34">
        <f t="shared" si="2"/>
        <v>2</v>
      </c>
      <c r="J34" s="35">
        <f t="shared" si="3"/>
        <v>3</v>
      </c>
    </row>
    <row r="35" spans="1:10" x14ac:dyDescent="0.25">
      <c r="A35" s="12" t="s">
        <v>51</v>
      </c>
      <c r="B35" s="39">
        <v>162</v>
      </c>
      <c r="C35" s="34">
        <v>191</v>
      </c>
      <c r="D35" s="35">
        <f t="shared" si="0"/>
        <v>353</v>
      </c>
      <c r="E35" s="34">
        <v>54</v>
      </c>
      <c r="F35" s="34">
        <v>54</v>
      </c>
      <c r="G35" s="34">
        <f t="shared" si="1"/>
        <v>108</v>
      </c>
      <c r="H35" s="39">
        <f t="shared" si="2"/>
        <v>216</v>
      </c>
      <c r="I35" s="34">
        <f t="shared" si="2"/>
        <v>245</v>
      </c>
      <c r="J35" s="35">
        <f t="shared" si="3"/>
        <v>461</v>
      </c>
    </row>
    <row r="36" spans="1:10" x14ac:dyDescent="0.25">
      <c r="A36" s="12" t="s">
        <v>52</v>
      </c>
      <c r="B36" s="39">
        <v>26</v>
      </c>
      <c r="C36" s="34">
        <v>127</v>
      </c>
      <c r="D36" s="35">
        <f t="shared" si="0"/>
        <v>153</v>
      </c>
      <c r="E36" s="34">
        <v>12</v>
      </c>
      <c r="F36" s="34">
        <v>42</v>
      </c>
      <c r="G36" s="34">
        <f t="shared" si="1"/>
        <v>54</v>
      </c>
      <c r="H36" s="39">
        <f t="shared" si="2"/>
        <v>38</v>
      </c>
      <c r="I36" s="34">
        <f t="shared" si="2"/>
        <v>169</v>
      </c>
      <c r="J36" s="35">
        <f t="shared" si="3"/>
        <v>207</v>
      </c>
    </row>
    <row r="37" spans="1:10" x14ac:dyDescent="0.25">
      <c r="A37" s="12" t="s">
        <v>110</v>
      </c>
      <c r="B37" s="39">
        <v>7</v>
      </c>
      <c r="C37" s="34">
        <v>205</v>
      </c>
      <c r="D37" s="35">
        <f t="shared" si="0"/>
        <v>212</v>
      </c>
      <c r="E37" s="34">
        <v>8</v>
      </c>
      <c r="F37" s="34">
        <v>78</v>
      </c>
      <c r="G37" s="34">
        <f t="shared" si="1"/>
        <v>86</v>
      </c>
      <c r="H37" s="39">
        <f t="shared" si="2"/>
        <v>15</v>
      </c>
      <c r="I37" s="34">
        <f t="shared" si="2"/>
        <v>283</v>
      </c>
      <c r="J37" s="35">
        <f t="shared" si="3"/>
        <v>298</v>
      </c>
    </row>
    <row r="38" spans="1:10" x14ac:dyDescent="0.25">
      <c r="A38" s="12" t="s">
        <v>55</v>
      </c>
      <c r="B38" s="39">
        <v>64</v>
      </c>
      <c r="C38" s="34">
        <v>216</v>
      </c>
      <c r="D38" s="35">
        <f t="shared" si="0"/>
        <v>280</v>
      </c>
      <c r="E38" s="34">
        <v>4</v>
      </c>
      <c r="F38" s="34">
        <v>16</v>
      </c>
      <c r="G38" s="34">
        <f t="shared" si="1"/>
        <v>20</v>
      </c>
      <c r="H38" s="39">
        <f t="shared" si="2"/>
        <v>68</v>
      </c>
      <c r="I38" s="34">
        <f t="shared" si="2"/>
        <v>232</v>
      </c>
      <c r="J38" s="35">
        <f t="shared" si="3"/>
        <v>300</v>
      </c>
    </row>
    <row r="39" spans="1:10" x14ac:dyDescent="0.25">
      <c r="A39" s="12" t="s">
        <v>1</v>
      </c>
      <c r="B39" s="39">
        <v>185</v>
      </c>
      <c r="C39" s="34">
        <v>286</v>
      </c>
      <c r="D39" s="35">
        <f t="shared" si="0"/>
        <v>471</v>
      </c>
      <c r="E39" s="34">
        <v>153</v>
      </c>
      <c r="F39" s="34">
        <v>168</v>
      </c>
      <c r="G39" s="34">
        <f t="shared" si="1"/>
        <v>321</v>
      </c>
      <c r="H39" s="39">
        <f t="shared" si="2"/>
        <v>338</v>
      </c>
      <c r="I39" s="34">
        <f t="shared" si="2"/>
        <v>454</v>
      </c>
      <c r="J39" s="35">
        <f t="shared" si="3"/>
        <v>792</v>
      </c>
    </row>
    <row r="40" spans="1:10" x14ac:dyDescent="0.25">
      <c r="A40" s="12" t="s">
        <v>102</v>
      </c>
      <c r="B40" s="39">
        <v>59</v>
      </c>
      <c r="C40" s="34">
        <v>55</v>
      </c>
      <c r="D40" s="35">
        <f t="shared" si="0"/>
        <v>114</v>
      </c>
      <c r="E40" s="34">
        <v>43</v>
      </c>
      <c r="F40" s="34">
        <v>126</v>
      </c>
      <c r="G40" s="34">
        <f t="shared" si="1"/>
        <v>169</v>
      </c>
      <c r="H40" s="39">
        <f t="shared" si="2"/>
        <v>102</v>
      </c>
      <c r="I40" s="34">
        <f t="shared" si="2"/>
        <v>181</v>
      </c>
      <c r="J40" s="35">
        <f t="shared" si="3"/>
        <v>283</v>
      </c>
    </row>
    <row r="41" spans="1:10" x14ac:dyDescent="0.25">
      <c r="A41" s="12" t="s">
        <v>59</v>
      </c>
      <c r="B41" s="39">
        <v>229</v>
      </c>
      <c r="C41" s="34">
        <v>143</v>
      </c>
      <c r="D41" s="35">
        <f t="shared" si="0"/>
        <v>372</v>
      </c>
      <c r="E41" s="34">
        <v>10</v>
      </c>
      <c r="F41" s="34">
        <v>0</v>
      </c>
      <c r="G41" s="34">
        <f t="shared" si="1"/>
        <v>10</v>
      </c>
      <c r="H41" s="39">
        <f t="shared" si="2"/>
        <v>239</v>
      </c>
      <c r="I41" s="34">
        <f t="shared" si="2"/>
        <v>143</v>
      </c>
      <c r="J41" s="35">
        <f t="shared" si="3"/>
        <v>382</v>
      </c>
    </row>
    <row r="42" spans="1:10" x14ac:dyDescent="0.25">
      <c r="A42" s="12" t="s">
        <v>60</v>
      </c>
      <c r="B42" s="39">
        <v>214</v>
      </c>
      <c r="C42" s="34">
        <v>26</v>
      </c>
      <c r="D42" s="35">
        <f t="shared" si="0"/>
        <v>240</v>
      </c>
      <c r="E42" s="34">
        <v>121</v>
      </c>
      <c r="F42" s="34">
        <v>7</v>
      </c>
      <c r="G42" s="34">
        <f t="shared" si="1"/>
        <v>128</v>
      </c>
      <c r="H42" s="39">
        <f t="shared" si="2"/>
        <v>335</v>
      </c>
      <c r="I42" s="34">
        <f t="shared" si="2"/>
        <v>33</v>
      </c>
      <c r="J42" s="35">
        <f t="shared" si="3"/>
        <v>368</v>
      </c>
    </row>
    <row r="43" spans="1:10" x14ac:dyDescent="0.25">
      <c r="A43" s="12" t="s">
        <v>61</v>
      </c>
      <c r="B43" s="39">
        <v>6</v>
      </c>
      <c r="C43" s="34">
        <v>4</v>
      </c>
      <c r="D43" s="35">
        <f t="shared" si="0"/>
        <v>10</v>
      </c>
      <c r="E43" s="34">
        <v>21</v>
      </c>
      <c r="F43" s="34">
        <v>24</v>
      </c>
      <c r="G43" s="34">
        <f t="shared" si="1"/>
        <v>45</v>
      </c>
      <c r="H43" s="39">
        <f t="shared" si="2"/>
        <v>27</v>
      </c>
      <c r="I43" s="34">
        <f t="shared" si="2"/>
        <v>28</v>
      </c>
      <c r="J43" s="35">
        <f t="shared" si="3"/>
        <v>55</v>
      </c>
    </row>
    <row r="44" spans="1:10" x14ac:dyDescent="0.25">
      <c r="A44" s="12" t="s">
        <v>156</v>
      </c>
      <c r="B44" s="39">
        <v>44</v>
      </c>
      <c r="C44" s="34">
        <v>109</v>
      </c>
      <c r="D44" s="35">
        <f t="shared" si="0"/>
        <v>153</v>
      </c>
      <c r="E44" s="34">
        <v>0</v>
      </c>
      <c r="F44" s="34">
        <v>0</v>
      </c>
      <c r="G44" s="34">
        <f t="shared" si="1"/>
        <v>0</v>
      </c>
      <c r="H44" s="39">
        <f t="shared" si="2"/>
        <v>44</v>
      </c>
      <c r="I44" s="34">
        <f t="shared" si="2"/>
        <v>109</v>
      </c>
      <c r="J44" s="35">
        <f t="shared" si="3"/>
        <v>153</v>
      </c>
    </row>
    <row r="45" spans="1:10" x14ac:dyDescent="0.25">
      <c r="A45" s="12" t="s">
        <v>112</v>
      </c>
      <c r="B45" s="39">
        <v>53</v>
      </c>
      <c r="C45" s="34">
        <v>82</v>
      </c>
      <c r="D45" s="35">
        <f t="shared" si="0"/>
        <v>135</v>
      </c>
      <c r="E45" s="34">
        <v>13</v>
      </c>
      <c r="F45" s="34">
        <v>19</v>
      </c>
      <c r="G45" s="34">
        <f t="shared" si="1"/>
        <v>32</v>
      </c>
      <c r="H45" s="39">
        <f t="shared" si="2"/>
        <v>66</v>
      </c>
      <c r="I45" s="34">
        <f t="shared" si="2"/>
        <v>101</v>
      </c>
      <c r="J45" s="35">
        <f t="shared" si="3"/>
        <v>167</v>
      </c>
    </row>
    <row r="46" spans="1:10" x14ac:dyDescent="0.25">
      <c r="A46" s="12" t="s">
        <v>64</v>
      </c>
      <c r="B46" s="39">
        <v>102</v>
      </c>
      <c r="C46" s="34">
        <v>68</v>
      </c>
      <c r="D46" s="35">
        <f t="shared" si="0"/>
        <v>170</v>
      </c>
      <c r="E46" s="34">
        <v>32</v>
      </c>
      <c r="F46" s="34">
        <v>16</v>
      </c>
      <c r="G46" s="34">
        <f t="shared" si="1"/>
        <v>48</v>
      </c>
      <c r="H46" s="39">
        <f t="shared" si="2"/>
        <v>134</v>
      </c>
      <c r="I46" s="34">
        <f t="shared" si="2"/>
        <v>84</v>
      </c>
      <c r="J46" s="35">
        <f t="shared" si="3"/>
        <v>218</v>
      </c>
    </row>
    <row r="47" spans="1:10" x14ac:dyDescent="0.25">
      <c r="A47" s="12" t="s">
        <v>113</v>
      </c>
      <c r="B47" s="39">
        <v>21</v>
      </c>
      <c r="C47" s="34">
        <v>63</v>
      </c>
      <c r="D47" s="35">
        <f t="shared" si="0"/>
        <v>84</v>
      </c>
      <c r="E47" s="34">
        <v>20</v>
      </c>
      <c r="F47" s="34">
        <v>43</v>
      </c>
      <c r="G47" s="34">
        <f t="shared" si="1"/>
        <v>63</v>
      </c>
      <c r="H47" s="39">
        <f t="shared" si="2"/>
        <v>41</v>
      </c>
      <c r="I47" s="34">
        <f t="shared" si="2"/>
        <v>106</v>
      </c>
      <c r="J47" s="35">
        <f t="shared" si="3"/>
        <v>147</v>
      </c>
    </row>
    <row r="48" spans="1:10" x14ac:dyDescent="0.25">
      <c r="A48" s="12" t="s">
        <v>65</v>
      </c>
      <c r="B48" s="39">
        <v>323</v>
      </c>
      <c r="C48" s="34">
        <v>106</v>
      </c>
      <c r="D48" s="35">
        <f t="shared" si="0"/>
        <v>429</v>
      </c>
      <c r="E48" s="34">
        <v>44</v>
      </c>
      <c r="F48" s="34">
        <v>13</v>
      </c>
      <c r="G48" s="34">
        <f t="shared" si="1"/>
        <v>57</v>
      </c>
      <c r="H48" s="39">
        <f t="shared" si="2"/>
        <v>367</v>
      </c>
      <c r="I48" s="34">
        <f t="shared" si="2"/>
        <v>119</v>
      </c>
      <c r="J48" s="35">
        <f t="shared" si="3"/>
        <v>486</v>
      </c>
    </row>
    <row r="49" spans="1:10" x14ac:dyDescent="0.25">
      <c r="A49" s="12" t="s">
        <v>114</v>
      </c>
      <c r="B49" s="39">
        <v>46</v>
      </c>
      <c r="C49" s="34">
        <v>53</v>
      </c>
      <c r="D49" s="35">
        <f t="shared" si="0"/>
        <v>99</v>
      </c>
      <c r="E49" s="34">
        <v>24</v>
      </c>
      <c r="F49" s="34">
        <v>43</v>
      </c>
      <c r="G49" s="34">
        <f t="shared" si="1"/>
        <v>67</v>
      </c>
      <c r="H49" s="39">
        <f t="shared" si="2"/>
        <v>70</v>
      </c>
      <c r="I49" s="34">
        <f t="shared" si="2"/>
        <v>96</v>
      </c>
      <c r="J49" s="35">
        <f t="shared" si="3"/>
        <v>166</v>
      </c>
    </row>
    <row r="50" spans="1:10" x14ac:dyDescent="0.25">
      <c r="A50" s="12" t="s">
        <v>115</v>
      </c>
      <c r="B50" s="39">
        <v>91</v>
      </c>
      <c r="C50" s="34">
        <v>262</v>
      </c>
      <c r="D50" s="35">
        <f t="shared" si="0"/>
        <v>353</v>
      </c>
      <c r="E50" s="34">
        <v>80</v>
      </c>
      <c r="F50" s="34">
        <v>235</v>
      </c>
      <c r="G50" s="34">
        <f t="shared" si="1"/>
        <v>315</v>
      </c>
      <c r="H50" s="39">
        <f t="shared" si="2"/>
        <v>171</v>
      </c>
      <c r="I50" s="34">
        <f t="shared" si="2"/>
        <v>497</v>
      </c>
      <c r="J50" s="35">
        <f t="shared" si="3"/>
        <v>668</v>
      </c>
    </row>
    <row r="51" spans="1:10" x14ac:dyDescent="0.25">
      <c r="A51" s="12" t="s">
        <v>146</v>
      </c>
      <c r="B51" s="39">
        <v>0</v>
      </c>
      <c r="C51" s="34">
        <v>0</v>
      </c>
      <c r="D51" s="35">
        <f t="shared" si="0"/>
        <v>0</v>
      </c>
      <c r="E51" s="34">
        <v>34</v>
      </c>
      <c r="F51" s="34">
        <v>34</v>
      </c>
      <c r="G51" s="34">
        <f t="shared" si="1"/>
        <v>68</v>
      </c>
      <c r="H51" s="39">
        <f t="shared" si="2"/>
        <v>34</v>
      </c>
      <c r="I51" s="34">
        <f t="shared" si="2"/>
        <v>34</v>
      </c>
      <c r="J51" s="35">
        <f t="shared" si="3"/>
        <v>68</v>
      </c>
    </row>
    <row r="52" spans="1:10" x14ac:dyDescent="0.25">
      <c r="A52" s="12" t="s">
        <v>68</v>
      </c>
      <c r="B52" s="39">
        <v>28</v>
      </c>
      <c r="C52" s="34">
        <v>47</v>
      </c>
      <c r="D52" s="35">
        <f t="shared" si="0"/>
        <v>75</v>
      </c>
      <c r="E52" s="34">
        <v>4</v>
      </c>
      <c r="F52" s="34">
        <v>3</v>
      </c>
      <c r="G52" s="34">
        <f t="shared" si="1"/>
        <v>7</v>
      </c>
      <c r="H52" s="39">
        <f t="shared" si="2"/>
        <v>32</v>
      </c>
      <c r="I52" s="34">
        <f t="shared" si="2"/>
        <v>50</v>
      </c>
      <c r="J52" s="35">
        <f t="shared" si="3"/>
        <v>82</v>
      </c>
    </row>
    <row r="53" spans="1:10" x14ac:dyDescent="0.25">
      <c r="A53" s="12" t="s">
        <v>71</v>
      </c>
      <c r="B53" s="39">
        <v>40</v>
      </c>
      <c r="C53" s="34">
        <v>30</v>
      </c>
      <c r="D53" s="35">
        <f t="shared" si="0"/>
        <v>70</v>
      </c>
      <c r="E53" s="34">
        <v>3</v>
      </c>
      <c r="F53" s="34">
        <v>4</v>
      </c>
      <c r="G53" s="34">
        <f t="shared" si="1"/>
        <v>7</v>
      </c>
      <c r="H53" s="39">
        <f t="shared" si="2"/>
        <v>43</v>
      </c>
      <c r="I53" s="34">
        <f t="shared" si="2"/>
        <v>34</v>
      </c>
      <c r="J53" s="35">
        <f t="shared" si="3"/>
        <v>77</v>
      </c>
    </row>
    <row r="54" spans="1:10" x14ac:dyDescent="0.25">
      <c r="A54" s="12" t="s">
        <v>72</v>
      </c>
      <c r="B54" s="39">
        <v>0</v>
      </c>
      <c r="C54" s="34">
        <v>0</v>
      </c>
      <c r="D54" s="35">
        <f t="shared" si="0"/>
        <v>0</v>
      </c>
      <c r="E54" s="34">
        <v>18</v>
      </c>
      <c r="F54" s="34">
        <v>14</v>
      </c>
      <c r="G54" s="34">
        <f t="shared" si="1"/>
        <v>32</v>
      </c>
      <c r="H54" s="39">
        <f t="shared" si="2"/>
        <v>18</v>
      </c>
      <c r="I54" s="34">
        <f t="shared" si="2"/>
        <v>14</v>
      </c>
      <c r="J54" s="35">
        <f t="shared" si="3"/>
        <v>32</v>
      </c>
    </row>
    <row r="55" spans="1:10" x14ac:dyDescent="0.25">
      <c r="A55" s="12" t="s">
        <v>73</v>
      </c>
      <c r="B55" s="39">
        <v>28</v>
      </c>
      <c r="C55" s="34">
        <v>40</v>
      </c>
      <c r="D55" s="35">
        <f t="shared" si="0"/>
        <v>68</v>
      </c>
      <c r="E55" s="34">
        <v>7</v>
      </c>
      <c r="F55" s="34">
        <v>7</v>
      </c>
      <c r="G55" s="34">
        <f t="shared" si="1"/>
        <v>14</v>
      </c>
      <c r="H55" s="39">
        <f t="shared" si="2"/>
        <v>35</v>
      </c>
      <c r="I55" s="34">
        <f t="shared" si="2"/>
        <v>47</v>
      </c>
      <c r="J55" s="35">
        <f t="shared" si="3"/>
        <v>82</v>
      </c>
    </row>
    <row r="56" spans="1:10" x14ac:dyDescent="0.25">
      <c r="A56" s="12" t="s">
        <v>74</v>
      </c>
      <c r="B56" s="39">
        <v>92</v>
      </c>
      <c r="C56" s="34">
        <v>68</v>
      </c>
      <c r="D56" s="35">
        <f t="shared" si="0"/>
        <v>160</v>
      </c>
      <c r="E56" s="34">
        <v>14</v>
      </c>
      <c r="F56" s="34">
        <v>11</v>
      </c>
      <c r="G56" s="34">
        <f t="shared" si="1"/>
        <v>25</v>
      </c>
      <c r="H56" s="39">
        <f t="shared" si="2"/>
        <v>106</v>
      </c>
      <c r="I56" s="34">
        <f t="shared" si="2"/>
        <v>79</v>
      </c>
      <c r="J56" s="35">
        <f t="shared" si="3"/>
        <v>185</v>
      </c>
    </row>
    <row r="57" spans="1:10" x14ac:dyDescent="0.25">
      <c r="A57" s="12" t="s">
        <v>151</v>
      </c>
      <c r="B57" s="39">
        <v>3</v>
      </c>
      <c r="C57" s="34">
        <v>5</v>
      </c>
      <c r="D57" s="35">
        <f t="shared" si="0"/>
        <v>8</v>
      </c>
      <c r="E57" s="34">
        <v>2</v>
      </c>
      <c r="F57" s="34">
        <v>15</v>
      </c>
      <c r="G57" s="34">
        <f t="shared" si="1"/>
        <v>17</v>
      </c>
      <c r="H57" s="39">
        <f t="shared" si="2"/>
        <v>5</v>
      </c>
      <c r="I57" s="34">
        <f t="shared" si="2"/>
        <v>20</v>
      </c>
      <c r="J57" s="35">
        <f t="shared" si="3"/>
        <v>25</v>
      </c>
    </row>
    <row r="58" spans="1:10" x14ac:dyDescent="0.25">
      <c r="A58" s="12" t="s">
        <v>103</v>
      </c>
      <c r="B58" s="39">
        <v>295</v>
      </c>
      <c r="C58" s="34">
        <v>359</v>
      </c>
      <c r="D58" s="35">
        <f t="shared" si="0"/>
        <v>654</v>
      </c>
      <c r="E58" s="34">
        <v>0</v>
      </c>
      <c r="F58" s="34">
        <v>0</v>
      </c>
      <c r="G58" s="34">
        <f t="shared" si="1"/>
        <v>0</v>
      </c>
      <c r="H58" s="39">
        <f t="shared" si="2"/>
        <v>295</v>
      </c>
      <c r="I58" s="34">
        <f t="shared" si="2"/>
        <v>359</v>
      </c>
      <c r="J58" s="35">
        <f t="shared" si="3"/>
        <v>654</v>
      </c>
    </row>
    <row r="59" spans="1:10" x14ac:dyDescent="0.25">
      <c r="A59" s="12" t="s">
        <v>104</v>
      </c>
      <c r="B59" s="39">
        <v>529</v>
      </c>
      <c r="C59" s="34">
        <v>500</v>
      </c>
      <c r="D59" s="35">
        <f t="shared" si="0"/>
        <v>1029</v>
      </c>
      <c r="E59" s="34">
        <v>0</v>
      </c>
      <c r="F59" s="34">
        <v>1</v>
      </c>
      <c r="G59" s="34">
        <f t="shared" si="1"/>
        <v>1</v>
      </c>
      <c r="H59" s="39">
        <f t="shared" si="2"/>
        <v>529</v>
      </c>
      <c r="I59" s="34">
        <f t="shared" si="2"/>
        <v>501</v>
      </c>
      <c r="J59" s="35">
        <f t="shared" si="3"/>
        <v>1030</v>
      </c>
    </row>
    <row r="60" spans="1:10" x14ac:dyDescent="0.25">
      <c r="A60" s="12" t="s">
        <v>75</v>
      </c>
      <c r="B60" s="39">
        <v>0</v>
      </c>
      <c r="C60" s="34">
        <v>0</v>
      </c>
      <c r="D60" s="35">
        <f t="shared" si="0"/>
        <v>0</v>
      </c>
      <c r="E60" s="34">
        <v>5</v>
      </c>
      <c r="F60" s="34">
        <v>7</v>
      </c>
      <c r="G60" s="34">
        <f t="shared" si="1"/>
        <v>12</v>
      </c>
      <c r="H60" s="39">
        <f t="shared" si="2"/>
        <v>5</v>
      </c>
      <c r="I60" s="34">
        <f t="shared" si="2"/>
        <v>7</v>
      </c>
      <c r="J60" s="35">
        <f t="shared" si="3"/>
        <v>12</v>
      </c>
    </row>
    <row r="61" spans="1:10" x14ac:dyDescent="0.25">
      <c r="A61" s="12" t="s">
        <v>79</v>
      </c>
      <c r="B61" s="39">
        <v>0</v>
      </c>
      <c r="C61" s="34">
        <v>0</v>
      </c>
      <c r="D61" s="35">
        <f t="shared" si="0"/>
        <v>0</v>
      </c>
      <c r="E61" s="34">
        <v>75</v>
      </c>
      <c r="F61" s="34">
        <v>165</v>
      </c>
      <c r="G61" s="34">
        <f t="shared" si="1"/>
        <v>240</v>
      </c>
      <c r="H61" s="39">
        <f t="shared" si="2"/>
        <v>75</v>
      </c>
      <c r="I61" s="34">
        <f t="shared" si="2"/>
        <v>165</v>
      </c>
      <c r="J61" s="35">
        <f t="shared" si="3"/>
        <v>240</v>
      </c>
    </row>
    <row r="62" spans="1:10" x14ac:dyDescent="0.25">
      <c r="A62" s="12" t="s">
        <v>117</v>
      </c>
      <c r="B62" s="39">
        <v>0</v>
      </c>
      <c r="C62" s="34">
        <v>0</v>
      </c>
      <c r="D62" s="35">
        <f t="shared" si="0"/>
        <v>0</v>
      </c>
      <c r="E62" s="34">
        <v>25</v>
      </c>
      <c r="F62" s="34">
        <v>28</v>
      </c>
      <c r="G62" s="34">
        <f t="shared" si="1"/>
        <v>53</v>
      </c>
      <c r="H62" s="39">
        <f t="shared" si="2"/>
        <v>25</v>
      </c>
      <c r="I62" s="34">
        <f t="shared" si="2"/>
        <v>28</v>
      </c>
      <c r="J62" s="35">
        <f t="shared" si="3"/>
        <v>53</v>
      </c>
    </row>
    <row r="63" spans="1:10" x14ac:dyDescent="0.25">
      <c r="A63" s="12" t="s">
        <v>141</v>
      </c>
      <c r="B63" s="39">
        <v>0</v>
      </c>
      <c r="C63" s="34">
        <v>0</v>
      </c>
      <c r="D63" s="35">
        <f t="shared" si="0"/>
        <v>0</v>
      </c>
      <c r="E63" s="34">
        <v>8</v>
      </c>
      <c r="F63" s="34">
        <v>1</v>
      </c>
      <c r="G63" s="34">
        <f t="shared" si="1"/>
        <v>9</v>
      </c>
      <c r="H63" s="39">
        <f t="shared" si="2"/>
        <v>8</v>
      </c>
      <c r="I63" s="34">
        <f t="shared" si="2"/>
        <v>1</v>
      </c>
      <c r="J63" s="35">
        <f t="shared" si="3"/>
        <v>9</v>
      </c>
    </row>
    <row r="64" spans="1:10" x14ac:dyDescent="0.25">
      <c r="A64" s="12" t="s">
        <v>81</v>
      </c>
      <c r="B64" s="39">
        <v>0</v>
      </c>
      <c r="C64" s="34">
        <v>0</v>
      </c>
      <c r="D64" s="35">
        <f t="shared" si="0"/>
        <v>0</v>
      </c>
      <c r="E64" s="34">
        <v>190</v>
      </c>
      <c r="F64" s="34">
        <v>130</v>
      </c>
      <c r="G64" s="34">
        <f t="shared" si="1"/>
        <v>320</v>
      </c>
      <c r="H64" s="39">
        <f t="shared" si="2"/>
        <v>190</v>
      </c>
      <c r="I64" s="34">
        <f t="shared" si="2"/>
        <v>130</v>
      </c>
      <c r="J64" s="35">
        <f t="shared" si="3"/>
        <v>320</v>
      </c>
    </row>
    <row r="65" spans="1:10" x14ac:dyDescent="0.25">
      <c r="A65" s="12" t="s">
        <v>163</v>
      </c>
      <c r="B65" s="39">
        <v>0</v>
      </c>
      <c r="C65" s="34">
        <v>0</v>
      </c>
      <c r="D65" s="35">
        <f t="shared" si="0"/>
        <v>0</v>
      </c>
      <c r="E65" s="34">
        <v>6</v>
      </c>
      <c r="F65" s="34">
        <v>20</v>
      </c>
      <c r="G65" s="34">
        <f t="shared" si="1"/>
        <v>26</v>
      </c>
      <c r="H65" s="39">
        <f t="shared" si="2"/>
        <v>6</v>
      </c>
      <c r="I65" s="34">
        <f t="shared" si="2"/>
        <v>20</v>
      </c>
      <c r="J65" s="35">
        <f t="shared" si="3"/>
        <v>26</v>
      </c>
    </row>
    <row r="66" spans="1:10" x14ac:dyDescent="0.25">
      <c r="A66" s="12" t="s">
        <v>120</v>
      </c>
      <c r="B66" s="39">
        <v>0</v>
      </c>
      <c r="C66" s="34">
        <v>0</v>
      </c>
      <c r="D66" s="35">
        <f t="shared" si="0"/>
        <v>0</v>
      </c>
      <c r="E66" s="34">
        <v>21</v>
      </c>
      <c r="F66" s="34">
        <v>10</v>
      </c>
      <c r="G66" s="34">
        <f t="shared" si="1"/>
        <v>31</v>
      </c>
      <c r="H66" s="39">
        <f t="shared" si="2"/>
        <v>21</v>
      </c>
      <c r="I66" s="34">
        <f t="shared" si="2"/>
        <v>10</v>
      </c>
      <c r="J66" s="35">
        <f t="shared" si="3"/>
        <v>31</v>
      </c>
    </row>
    <row r="67" spans="1:10" x14ac:dyDescent="0.25">
      <c r="A67" s="12" t="s">
        <v>152</v>
      </c>
      <c r="B67" s="39">
        <v>0</v>
      </c>
      <c r="C67" s="34">
        <v>0</v>
      </c>
      <c r="D67" s="35">
        <f t="shared" si="0"/>
        <v>0</v>
      </c>
      <c r="E67" s="34">
        <v>3</v>
      </c>
      <c r="F67" s="34">
        <v>3</v>
      </c>
      <c r="G67" s="34">
        <f t="shared" si="1"/>
        <v>6</v>
      </c>
      <c r="H67" s="39">
        <f t="shared" si="2"/>
        <v>3</v>
      </c>
      <c r="I67" s="34">
        <f t="shared" si="2"/>
        <v>3</v>
      </c>
      <c r="J67" s="35">
        <f t="shared" si="3"/>
        <v>6</v>
      </c>
    </row>
    <row r="68" spans="1:10" x14ac:dyDescent="0.25">
      <c r="A68" s="12" t="s">
        <v>121</v>
      </c>
      <c r="B68" s="39">
        <v>25</v>
      </c>
      <c r="C68" s="34">
        <v>32</v>
      </c>
      <c r="D68" s="35">
        <f t="shared" si="0"/>
        <v>57</v>
      </c>
      <c r="E68" s="34">
        <v>32</v>
      </c>
      <c r="F68" s="34">
        <v>36</v>
      </c>
      <c r="G68" s="34">
        <f t="shared" si="1"/>
        <v>68</v>
      </c>
      <c r="H68" s="39">
        <f t="shared" si="2"/>
        <v>57</v>
      </c>
      <c r="I68" s="34">
        <f t="shared" si="2"/>
        <v>68</v>
      </c>
      <c r="J68" s="35">
        <f t="shared" si="3"/>
        <v>125</v>
      </c>
    </row>
    <row r="69" spans="1:10" x14ac:dyDescent="0.25">
      <c r="A69" s="12" t="s">
        <v>164</v>
      </c>
      <c r="B69" s="39">
        <v>0</v>
      </c>
      <c r="C69" s="34">
        <v>0</v>
      </c>
      <c r="D69" s="35">
        <f t="shared" si="0"/>
        <v>0</v>
      </c>
      <c r="E69" s="34">
        <v>12</v>
      </c>
      <c r="F69" s="34">
        <v>21</v>
      </c>
      <c r="G69" s="34">
        <f t="shared" si="1"/>
        <v>33</v>
      </c>
      <c r="H69" s="39">
        <f t="shared" si="2"/>
        <v>12</v>
      </c>
      <c r="I69" s="34">
        <f t="shared" si="2"/>
        <v>21</v>
      </c>
      <c r="J69" s="35">
        <f t="shared" si="3"/>
        <v>33</v>
      </c>
    </row>
    <row r="70" spans="1:10" x14ac:dyDescent="0.25">
      <c r="A70" s="12" t="s">
        <v>157</v>
      </c>
      <c r="B70" s="39">
        <v>0</v>
      </c>
      <c r="C70" s="34">
        <v>0</v>
      </c>
      <c r="D70" s="35">
        <f t="shared" si="0"/>
        <v>0</v>
      </c>
      <c r="E70" s="34">
        <v>10</v>
      </c>
      <c r="F70" s="34">
        <v>25</v>
      </c>
      <c r="G70" s="34">
        <f t="shared" si="1"/>
        <v>35</v>
      </c>
      <c r="H70" s="39">
        <f t="shared" si="2"/>
        <v>10</v>
      </c>
      <c r="I70" s="34">
        <f t="shared" si="2"/>
        <v>25</v>
      </c>
      <c r="J70" s="35">
        <f t="shared" si="3"/>
        <v>35</v>
      </c>
    </row>
    <row r="71" spans="1:10" x14ac:dyDescent="0.25">
      <c r="A71" s="12" t="s">
        <v>123</v>
      </c>
      <c r="B71" s="39">
        <v>2</v>
      </c>
      <c r="C71" s="34">
        <v>6</v>
      </c>
      <c r="D71" s="35">
        <f t="shared" si="0"/>
        <v>8</v>
      </c>
      <c r="E71" s="34">
        <v>55</v>
      </c>
      <c r="F71" s="34">
        <v>40</v>
      </c>
      <c r="G71" s="34">
        <f t="shared" si="1"/>
        <v>95</v>
      </c>
      <c r="H71" s="39">
        <f t="shared" si="2"/>
        <v>57</v>
      </c>
      <c r="I71" s="34">
        <f t="shared" si="2"/>
        <v>46</v>
      </c>
      <c r="J71" s="35">
        <f t="shared" si="3"/>
        <v>103</v>
      </c>
    </row>
    <row r="72" spans="1:10" x14ac:dyDescent="0.25">
      <c r="A72" s="12" t="s">
        <v>165</v>
      </c>
      <c r="B72" s="39">
        <v>0</v>
      </c>
      <c r="C72" s="34">
        <v>0</v>
      </c>
      <c r="D72" s="35">
        <f t="shared" si="0"/>
        <v>0</v>
      </c>
      <c r="E72" s="34">
        <v>1</v>
      </c>
      <c r="F72" s="34">
        <v>0</v>
      </c>
      <c r="G72" s="34">
        <f t="shared" si="1"/>
        <v>1</v>
      </c>
      <c r="H72" s="39">
        <f t="shared" si="2"/>
        <v>1</v>
      </c>
      <c r="I72" s="34">
        <f t="shared" si="2"/>
        <v>0</v>
      </c>
      <c r="J72" s="35">
        <f t="shared" si="3"/>
        <v>1</v>
      </c>
    </row>
    <row r="73" spans="1:10" x14ac:dyDescent="0.25">
      <c r="A73" s="12" t="s">
        <v>136</v>
      </c>
      <c r="B73" s="39">
        <v>0</v>
      </c>
      <c r="C73" s="34">
        <v>0</v>
      </c>
      <c r="D73" s="35">
        <f t="shared" si="0"/>
        <v>0</v>
      </c>
      <c r="E73" s="34">
        <v>1</v>
      </c>
      <c r="F73" s="34">
        <v>3</v>
      </c>
      <c r="G73" s="34">
        <f t="shared" si="1"/>
        <v>4</v>
      </c>
      <c r="H73" s="39">
        <f t="shared" si="2"/>
        <v>1</v>
      </c>
      <c r="I73" s="34">
        <f t="shared" si="2"/>
        <v>3</v>
      </c>
      <c r="J73" s="35">
        <f t="shared" si="3"/>
        <v>4</v>
      </c>
    </row>
    <row r="74" spans="1:10" x14ac:dyDescent="0.25">
      <c r="A74" s="12" t="s">
        <v>86</v>
      </c>
      <c r="B74" s="39">
        <v>0</v>
      </c>
      <c r="C74" s="34">
        <v>0</v>
      </c>
      <c r="D74" s="35">
        <f t="shared" si="0"/>
        <v>0</v>
      </c>
      <c r="E74" s="34">
        <v>53</v>
      </c>
      <c r="F74" s="34">
        <v>50</v>
      </c>
      <c r="G74" s="34">
        <f t="shared" si="1"/>
        <v>103</v>
      </c>
      <c r="H74" s="39">
        <f t="shared" si="2"/>
        <v>53</v>
      </c>
      <c r="I74" s="34">
        <f t="shared" si="2"/>
        <v>50</v>
      </c>
      <c r="J74" s="35">
        <f t="shared" si="3"/>
        <v>103</v>
      </c>
    </row>
    <row r="75" spans="1:10" x14ac:dyDescent="0.25">
      <c r="A75" s="12" t="s">
        <v>125</v>
      </c>
      <c r="B75" s="39">
        <v>0</v>
      </c>
      <c r="C75" s="34">
        <v>0</v>
      </c>
      <c r="D75" s="35">
        <f t="shared" si="0"/>
        <v>0</v>
      </c>
      <c r="E75" s="34">
        <v>1</v>
      </c>
      <c r="F75" s="34">
        <v>1</v>
      </c>
      <c r="G75" s="34">
        <f t="shared" si="1"/>
        <v>2</v>
      </c>
      <c r="H75" s="39">
        <f t="shared" si="2"/>
        <v>1</v>
      </c>
      <c r="I75" s="34">
        <f t="shared" si="2"/>
        <v>1</v>
      </c>
      <c r="J75" s="35">
        <f t="shared" si="3"/>
        <v>2</v>
      </c>
    </row>
    <row r="76" spans="1:10" x14ac:dyDescent="0.25">
      <c r="A76" s="12" t="s">
        <v>126</v>
      </c>
      <c r="B76" s="39">
        <v>0</v>
      </c>
      <c r="C76" s="34">
        <v>0</v>
      </c>
      <c r="D76" s="35">
        <f t="shared" si="0"/>
        <v>0</v>
      </c>
      <c r="E76" s="34">
        <v>10</v>
      </c>
      <c r="F76" s="34">
        <v>18</v>
      </c>
      <c r="G76" s="34">
        <f t="shared" si="1"/>
        <v>28</v>
      </c>
      <c r="H76" s="39">
        <f t="shared" si="2"/>
        <v>10</v>
      </c>
      <c r="I76" s="34">
        <f t="shared" si="2"/>
        <v>18</v>
      </c>
      <c r="J76" s="35">
        <f t="shared" si="3"/>
        <v>28</v>
      </c>
    </row>
    <row r="77" spans="1:10" x14ac:dyDescent="0.25">
      <c r="A77" s="12" t="s">
        <v>127</v>
      </c>
      <c r="B77" s="39">
        <v>0</v>
      </c>
      <c r="C77" s="34">
        <v>0</v>
      </c>
      <c r="D77" s="35">
        <f t="shared" si="0"/>
        <v>0</v>
      </c>
      <c r="E77" s="34">
        <v>7</v>
      </c>
      <c r="F77" s="34">
        <v>22</v>
      </c>
      <c r="G77" s="34">
        <f t="shared" si="1"/>
        <v>29</v>
      </c>
      <c r="H77" s="39">
        <f t="shared" si="2"/>
        <v>7</v>
      </c>
      <c r="I77" s="34">
        <f t="shared" si="2"/>
        <v>22</v>
      </c>
      <c r="J77" s="35">
        <f t="shared" si="3"/>
        <v>29</v>
      </c>
    </row>
    <row r="78" spans="1:10" x14ac:dyDescent="0.25">
      <c r="A78" s="12" t="s">
        <v>87</v>
      </c>
      <c r="B78" s="39">
        <v>0</v>
      </c>
      <c r="C78" s="34">
        <v>0</v>
      </c>
      <c r="D78" s="35">
        <f t="shared" si="0"/>
        <v>0</v>
      </c>
      <c r="E78" s="34">
        <v>42</v>
      </c>
      <c r="F78" s="34">
        <v>36</v>
      </c>
      <c r="G78" s="34">
        <f t="shared" si="1"/>
        <v>78</v>
      </c>
      <c r="H78" s="39">
        <f t="shared" si="2"/>
        <v>42</v>
      </c>
      <c r="I78" s="34">
        <f t="shared" si="2"/>
        <v>36</v>
      </c>
      <c r="J78" s="35">
        <f t="shared" si="3"/>
        <v>78</v>
      </c>
    </row>
    <row r="79" spans="1:10" x14ac:dyDescent="0.25">
      <c r="A79" s="12" t="s">
        <v>148</v>
      </c>
      <c r="B79" s="39">
        <v>16</v>
      </c>
      <c r="C79" s="34">
        <v>3</v>
      </c>
      <c r="D79" s="35">
        <f t="shared" si="0"/>
        <v>19</v>
      </c>
      <c r="E79" s="34">
        <v>11</v>
      </c>
      <c r="F79" s="34">
        <v>5</v>
      </c>
      <c r="G79" s="34">
        <f t="shared" si="1"/>
        <v>16</v>
      </c>
      <c r="H79" s="39">
        <f t="shared" si="2"/>
        <v>27</v>
      </c>
      <c r="I79" s="34">
        <f t="shared" si="2"/>
        <v>8</v>
      </c>
      <c r="J79" s="35">
        <f t="shared" si="3"/>
        <v>35</v>
      </c>
    </row>
    <row r="80" spans="1:10" x14ac:dyDescent="0.25">
      <c r="A80" s="12" t="s">
        <v>143</v>
      </c>
      <c r="B80" s="39">
        <v>0</v>
      </c>
      <c r="C80" s="34">
        <v>0</v>
      </c>
      <c r="D80" s="35">
        <f t="shared" si="0"/>
        <v>0</v>
      </c>
      <c r="E80" s="34">
        <v>5</v>
      </c>
      <c r="F80" s="34">
        <v>5</v>
      </c>
      <c r="G80" s="34">
        <f t="shared" si="1"/>
        <v>10</v>
      </c>
      <c r="H80" s="39">
        <f t="shared" si="2"/>
        <v>5</v>
      </c>
      <c r="I80" s="34">
        <f t="shared" si="2"/>
        <v>5</v>
      </c>
      <c r="J80" s="35">
        <f t="shared" si="3"/>
        <v>10</v>
      </c>
    </row>
    <row r="81" spans="1:10" x14ac:dyDescent="0.25">
      <c r="A81" s="12" t="s">
        <v>166</v>
      </c>
      <c r="B81" s="39">
        <v>19</v>
      </c>
      <c r="C81" s="34">
        <v>53</v>
      </c>
      <c r="D81" s="35">
        <f t="shared" si="0"/>
        <v>72</v>
      </c>
      <c r="E81" s="34">
        <v>0</v>
      </c>
      <c r="F81" s="34">
        <v>0</v>
      </c>
      <c r="G81" s="34">
        <f t="shared" si="1"/>
        <v>0</v>
      </c>
      <c r="H81" s="39">
        <f t="shared" si="2"/>
        <v>19</v>
      </c>
      <c r="I81" s="34">
        <f t="shared" si="2"/>
        <v>53</v>
      </c>
      <c r="J81" s="35">
        <f t="shared" si="3"/>
        <v>72</v>
      </c>
    </row>
    <row r="82" spans="1:10" x14ac:dyDescent="0.25">
      <c r="A82" s="12" t="s">
        <v>130</v>
      </c>
      <c r="B82" s="39">
        <v>6</v>
      </c>
      <c r="C82" s="34">
        <v>3</v>
      </c>
      <c r="D82" s="35">
        <f t="shared" si="0"/>
        <v>9</v>
      </c>
      <c r="E82" s="34">
        <v>8</v>
      </c>
      <c r="F82" s="34">
        <v>14</v>
      </c>
      <c r="G82" s="34">
        <f t="shared" si="1"/>
        <v>22</v>
      </c>
      <c r="H82" s="39">
        <f t="shared" si="2"/>
        <v>14</v>
      </c>
      <c r="I82" s="34">
        <f t="shared" si="2"/>
        <v>17</v>
      </c>
      <c r="J82" s="35">
        <f t="shared" si="3"/>
        <v>31</v>
      </c>
    </row>
    <row r="83" spans="1:10" x14ac:dyDescent="0.25">
      <c r="A83" s="12" t="s">
        <v>153</v>
      </c>
      <c r="B83" s="39">
        <v>0</v>
      </c>
      <c r="C83" s="34">
        <v>0</v>
      </c>
      <c r="D83" s="35">
        <f t="shared" si="0"/>
        <v>0</v>
      </c>
      <c r="E83" s="34">
        <v>25</v>
      </c>
      <c r="F83" s="34">
        <v>62</v>
      </c>
      <c r="G83" s="34">
        <f t="shared" si="1"/>
        <v>87</v>
      </c>
      <c r="H83" s="39">
        <f t="shared" si="2"/>
        <v>25</v>
      </c>
      <c r="I83" s="34">
        <f t="shared" si="2"/>
        <v>62</v>
      </c>
      <c r="J83" s="35">
        <f t="shared" si="3"/>
        <v>87</v>
      </c>
    </row>
    <row r="84" spans="1:10" x14ac:dyDescent="0.25">
      <c r="A84" s="12" t="s">
        <v>154</v>
      </c>
      <c r="B84" s="39">
        <v>0</v>
      </c>
      <c r="C84" s="34">
        <v>0</v>
      </c>
      <c r="D84" s="35">
        <f t="shared" si="0"/>
        <v>0</v>
      </c>
      <c r="E84" s="34">
        <v>8</v>
      </c>
      <c r="F84" s="34">
        <v>14</v>
      </c>
      <c r="G84" s="34">
        <f t="shared" si="1"/>
        <v>22</v>
      </c>
      <c r="H84" s="39">
        <f t="shared" si="2"/>
        <v>8</v>
      </c>
      <c r="I84" s="34">
        <f t="shared" si="2"/>
        <v>14</v>
      </c>
      <c r="J84" s="35">
        <f t="shared" si="3"/>
        <v>22</v>
      </c>
    </row>
    <row r="85" spans="1:10" x14ac:dyDescent="0.25">
      <c r="A85" s="12" t="s">
        <v>131</v>
      </c>
      <c r="B85" s="39">
        <v>8</v>
      </c>
      <c r="C85" s="34">
        <v>5</v>
      </c>
      <c r="D85" s="35">
        <f t="shared" si="0"/>
        <v>13</v>
      </c>
      <c r="E85" s="34">
        <v>36</v>
      </c>
      <c r="F85" s="34">
        <v>11</v>
      </c>
      <c r="G85" s="34">
        <f t="shared" si="1"/>
        <v>47</v>
      </c>
      <c r="H85" s="39">
        <f t="shared" si="2"/>
        <v>44</v>
      </c>
      <c r="I85" s="34">
        <f t="shared" si="2"/>
        <v>16</v>
      </c>
      <c r="J85" s="35">
        <f t="shared" si="3"/>
        <v>60</v>
      </c>
    </row>
    <row r="86" spans="1:10" x14ac:dyDescent="0.25">
      <c r="A86" s="12" t="s">
        <v>167</v>
      </c>
      <c r="B86" s="39">
        <v>0</v>
      </c>
      <c r="C86" s="34">
        <v>0</v>
      </c>
      <c r="D86" s="35">
        <f t="shared" si="0"/>
        <v>0</v>
      </c>
      <c r="E86" s="34">
        <v>30</v>
      </c>
      <c r="F86" s="34">
        <v>10</v>
      </c>
      <c r="G86" s="34">
        <f t="shared" si="1"/>
        <v>40</v>
      </c>
      <c r="H86" s="39">
        <f t="shared" si="2"/>
        <v>30</v>
      </c>
      <c r="I86" s="34">
        <f t="shared" si="2"/>
        <v>10</v>
      </c>
      <c r="J86" s="35">
        <f t="shared" si="3"/>
        <v>40</v>
      </c>
    </row>
    <row r="87" spans="1:10" x14ac:dyDescent="0.25">
      <c r="A87" s="12" t="s">
        <v>158</v>
      </c>
      <c r="B87" s="39">
        <v>0</v>
      </c>
      <c r="C87" s="34">
        <v>0</v>
      </c>
      <c r="D87" s="35">
        <f t="shared" si="0"/>
        <v>0</v>
      </c>
      <c r="E87" s="34">
        <v>4</v>
      </c>
      <c r="F87" s="34">
        <v>10</v>
      </c>
      <c r="G87" s="34">
        <f t="shared" si="1"/>
        <v>14</v>
      </c>
      <c r="H87" s="39">
        <f t="shared" si="2"/>
        <v>4</v>
      </c>
      <c r="I87" s="34">
        <f t="shared" si="2"/>
        <v>10</v>
      </c>
      <c r="J87" s="35">
        <f t="shared" si="3"/>
        <v>14</v>
      </c>
    </row>
    <row r="88" spans="1:10" ht="15.75" thickBot="1" x14ac:dyDescent="0.3">
      <c r="A88" s="13" t="s">
        <v>168</v>
      </c>
      <c r="B88" s="43">
        <v>210</v>
      </c>
      <c r="C88" s="44">
        <v>252</v>
      </c>
      <c r="D88" s="45">
        <f t="shared" si="0"/>
        <v>462</v>
      </c>
      <c r="E88" s="44">
        <v>49</v>
      </c>
      <c r="F88" s="44">
        <v>72</v>
      </c>
      <c r="G88" s="44">
        <f t="shared" si="1"/>
        <v>121</v>
      </c>
      <c r="H88" s="43">
        <f t="shared" si="2"/>
        <v>259</v>
      </c>
      <c r="I88" s="44">
        <f t="shared" si="2"/>
        <v>324</v>
      </c>
      <c r="J88" s="45">
        <f t="shared" si="3"/>
        <v>583</v>
      </c>
    </row>
    <row r="89" spans="1:10" ht="16.5" thickTop="1" thickBot="1" x14ac:dyDescent="0.3">
      <c r="A89" s="8" t="s">
        <v>0</v>
      </c>
      <c r="B89" s="8">
        <f>SUM(B7:B88)</f>
        <v>5216</v>
      </c>
      <c r="C89" s="36">
        <f>SUM(C7:C88)</f>
        <v>5681</v>
      </c>
      <c r="D89" s="40">
        <f>SUM(D7:D88)</f>
        <v>10897</v>
      </c>
      <c r="E89" s="36">
        <f>SUM(E7:E88)</f>
        <v>2959</v>
      </c>
      <c r="F89" s="36">
        <f>SUM(F7:F88)</f>
        <v>2994</v>
      </c>
      <c r="G89" s="37">
        <f t="shared" ref="G89" si="4">SUM(E89:F89)</f>
        <v>5953</v>
      </c>
      <c r="H89" s="41">
        <f t="shared" ref="H89:I89" si="5">B89+E89</f>
        <v>8175</v>
      </c>
      <c r="I89" s="37">
        <f t="shared" si="5"/>
        <v>8675</v>
      </c>
      <c r="J89" s="38">
        <f t="shared" ref="J89" si="6">SUM(H89:I89)</f>
        <v>16850</v>
      </c>
    </row>
    <row r="90" spans="1:10" ht="15.75" thickBot="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</row>
    <row r="91" spans="1:10" x14ac:dyDescent="0.25">
      <c r="A91" s="16" t="s">
        <v>16</v>
      </c>
      <c r="B91" s="58" t="s">
        <v>3</v>
      </c>
      <c r="C91" s="59"/>
      <c r="D91" s="60"/>
      <c r="E91" s="58" t="s">
        <v>4</v>
      </c>
      <c r="F91" s="59"/>
      <c r="G91" s="60"/>
      <c r="H91" s="58" t="s">
        <v>0</v>
      </c>
      <c r="I91" s="59"/>
      <c r="J91" s="60"/>
    </row>
    <row r="92" spans="1:10" x14ac:dyDescent="0.25">
      <c r="A92" s="17"/>
      <c r="B92" s="32" t="s">
        <v>5</v>
      </c>
      <c r="C92" s="31" t="s">
        <v>6</v>
      </c>
      <c r="D92" s="33" t="s">
        <v>0</v>
      </c>
      <c r="E92" s="32" t="s">
        <v>5</v>
      </c>
      <c r="F92" s="31" t="s">
        <v>6</v>
      </c>
      <c r="G92" s="33" t="s">
        <v>0</v>
      </c>
      <c r="H92" s="32" t="s">
        <v>5</v>
      </c>
      <c r="I92" s="31" t="s">
        <v>6</v>
      </c>
      <c r="J92" s="30" t="s">
        <v>0</v>
      </c>
    </row>
    <row r="93" spans="1:10" x14ac:dyDescent="0.25">
      <c r="A93" s="29" t="s">
        <v>15</v>
      </c>
      <c r="B93" s="6">
        <v>636</v>
      </c>
      <c r="C93" s="4">
        <v>1332</v>
      </c>
      <c r="D93" s="5">
        <f t="shared" ref="D93:D101" si="7">B93+C93</f>
        <v>1968</v>
      </c>
      <c r="E93" s="6">
        <v>206</v>
      </c>
      <c r="F93" s="4">
        <v>404</v>
      </c>
      <c r="G93" s="4">
        <f t="shared" ref="G93:G101" si="8">E93+F93</f>
        <v>610</v>
      </c>
      <c r="H93" s="6">
        <f>B93+E93</f>
        <v>842</v>
      </c>
      <c r="I93" s="4">
        <f>C93+F93</f>
        <v>1736</v>
      </c>
      <c r="J93" s="7">
        <f t="shared" ref="J93:J101" si="9">H93+I93</f>
        <v>2578</v>
      </c>
    </row>
    <row r="94" spans="1:10" x14ac:dyDescent="0.25">
      <c r="A94" s="29" t="s">
        <v>14</v>
      </c>
      <c r="B94" s="6">
        <v>196</v>
      </c>
      <c r="C94" s="4">
        <v>138</v>
      </c>
      <c r="D94" s="5">
        <f t="shared" si="7"/>
        <v>334</v>
      </c>
      <c r="E94" s="6">
        <v>389</v>
      </c>
      <c r="F94" s="4">
        <v>295</v>
      </c>
      <c r="G94" s="4">
        <f t="shared" si="8"/>
        <v>684</v>
      </c>
      <c r="H94" s="6">
        <f t="shared" ref="H94:I101" si="10">B94+E94</f>
        <v>585</v>
      </c>
      <c r="I94" s="4">
        <f t="shared" si="10"/>
        <v>433</v>
      </c>
      <c r="J94" s="7">
        <f t="shared" si="9"/>
        <v>1018</v>
      </c>
    </row>
    <row r="95" spans="1:10" x14ac:dyDescent="0.25">
      <c r="A95" s="29" t="s">
        <v>155</v>
      </c>
      <c r="B95" s="6">
        <v>556</v>
      </c>
      <c r="C95" s="4">
        <v>563</v>
      </c>
      <c r="D95" s="5">
        <f t="shared" ref="D95:D96" si="11">B95+C95</f>
        <v>1119</v>
      </c>
      <c r="E95" s="6">
        <v>506</v>
      </c>
      <c r="F95" s="4">
        <v>613</v>
      </c>
      <c r="G95" s="4">
        <f t="shared" ref="G95:G96" si="12">E95+F95</f>
        <v>1119</v>
      </c>
      <c r="H95" s="6">
        <f t="shared" ref="H95:H96" si="13">B95+E95</f>
        <v>1062</v>
      </c>
      <c r="I95" s="4">
        <f t="shared" ref="I95:I96" si="14">C95+F95</f>
        <v>1176</v>
      </c>
      <c r="J95" s="7">
        <f t="shared" ref="J95:J96" si="15">H95+I95</f>
        <v>2238</v>
      </c>
    </row>
    <row r="96" spans="1:10" x14ac:dyDescent="0.25">
      <c r="A96" s="29" t="s">
        <v>81</v>
      </c>
      <c r="B96" s="6">
        <v>0</v>
      </c>
      <c r="C96" s="4">
        <v>0</v>
      </c>
      <c r="D96" s="5">
        <f t="shared" si="11"/>
        <v>0</v>
      </c>
      <c r="E96" s="6">
        <v>190</v>
      </c>
      <c r="F96" s="4">
        <v>130</v>
      </c>
      <c r="G96" s="4">
        <f t="shared" si="12"/>
        <v>320</v>
      </c>
      <c r="H96" s="6">
        <f t="shared" si="13"/>
        <v>190</v>
      </c>
      <c r="I96" s="4">
        <f t="shared" si="14"/>
        <v>130</v>
      </c>
      <c r="J96" s="7">
        <f t="shared" si="15"/>
        <v>320</v>
      </c>
    </row>
    <row r="97" spans="1:10" x14ac:dyDescent="0.25">
      <c r="A97" s="29" t="s">
        <v>12</v>
      </c>
      <c r="B97" s="6">
        <v>730</v>
      </c>
      <c r="C97" s="4">
        <v>193</v>
      </c>
      <c r="D97" s="5">
        <f t="shared" si="7"/>
        <v>923</v>
      </c>
      <c r="E97" s="6">
        <v>568</v>
      </c>
      <c r="F97" s="4">
        <v>133</v>
      </c>
      <c r="G97" s="4">
        <f t="shared" si="8"/>
        <v>701</v>
      </c>
      <c r="H97" s="6">
        <f t="shared" si="10"/>
        <v>1298</v>
      </c>
      <c r="I97" s="4">
        <f t="shared" si="10"/>
        <v>326</v>
      </c>
      <c r="J97" s="7">
        <f t="shared" si="9"/>
        <v>1624</v>
      </c>
    </row>
    <row r="98" spans="1:10" x14ac:dyDescent="0.25">
      <c r="A98" s="29" t="s">
        <v>1</v>
      </c>
      <c r="B98" s="6">
        <v>185</v>
      </c>
      <c r="C98" s="4">
        <v>286</v>
      </c>
      <c r="D98" s="5">
        <f t="shared" si="7"/>
        <v>471</v>
      </c>
      <c r="E98" s="6">
        <v>153</v>
      </c>
      <c r="F98" s="4">
        <v>168</v>
      </c>
      <c r="G98" s="4">
        <f t="shared" si="8"/>
        <v>321</v>
      </c>
      <c r="H98" s="6">
        <f t="shared" si="10"/>
        <v>338</v>
      </c>
      <c r="I98" s="4">
        <f t="shared" si="10"/>
        <v>454</v>
      </c>
      <c r="J98" s="7">
        <f t="shared" si="9"/>
        <v>792</v>
      </c>
    </row>
    <row r="99" spans="1:10" x14ac:dyDescent="0.25">
      <c r="A99" s="29" t="s">
        <v>11</v>
      </c>
      <c r="B99" s="6">
        <v>847</v>
      </c>
      <c r="C99" s="4">
        <v>1411</v>
      </c>
      <c r="D99" s="5">
        <f t="shared" si="7"/>
        <v>2258</v>
      </c>
      <c r="E99" s="6">
        <v>278</v>
      </c>
      <c r="F99" s="4">
        <v>557</v>
      </c>
      <c r="G99" s="4">
        <f t="shared" si="8"/>
        <v>835</v>
      </c>
      <c r="H99" s="6">
        <f t="shared" si="10"/>
        <v>1125</v>
      </c>
      <c r="I99" s="4">
        <f t="shared" si="10"/>
        <v>1968</v>
      </c>
      <c r="J99" s="7">
        <f t="shared" si="9"/>
        <v>3093</v>
      </c>
    </row>
    <row r="100" spans="1:10" x14ac:dyDescent="0.25">
      <c r="A100" s="29" t="s">
        <v>10</v>
      </c>
      <c r="B100" s="6">
        <v>1156</v>
      </c>
      <c r="C100" s="4">
        <v>658</v>
      </c>
      <c r="D100" s="5">
        <f t="shared" si="7"/>
        <v>1814</v>
      </c>
      <c r="E100" s="6">
        <v>292</v>
      </c>
      <c r="F100" s="4">
        <v>169</v>
      </c>
      <c r="G100" s="4">
        <f t="shared" si="8"/>
        <v>461</v>
      </c>
      <c r="H100" s="6">
        <f t="shared" si="10"/>
        <v>1448</v>
      </c>
      <c r="I100" s="4">
        <f t="shared" si="10"/>
        <v>827</v>
      </c>
      <c r="J100" s="7">
        <f t="shared" si="9"/>
        <v>2275</v>
      </c>
    </row>
    <row r="101" spans="1:10" ht="15.75" thickBot="1" x14ac:dyDescent="0.3">
      <c r="A101" s="28" t="s">
        <v>9</v>
      </c>
      <c r="B101" s="10">
        <v>910</v>
      </c>
      <c r="C101" s="27">
        <v>1100</v>
      </c>
      <c r="D101" s="14">
        <f t="shared" si="7"/>
        <v>2010</v>
      </c>
      <c r="E101" s="10">
        <v>377</v>
      </c>
      <c r="F101" s="11">
        <v>525</v>
      </c>
      <c r="G101" s="11">
        <f t="shared" si="8"/>
        <v>902</v>
      </c>
      <c r="H101" s="10">
        <f t="shared" si="10"/>
        <v>1287</v>
      </c>
      <c r="I101" s="11">
        <f t="shared" si="10"/>
        <v>1625</v>
      </c>
      <c r="J101" s="26">
        <f t="shared" si="9"/>
        <v>2912</v>
      </c>
    </row>
    <row r="102" spans="1:10" ht="16.5" thickTop="1" thickBot="1" x14ac:dyDescent="0.3">
      <c r="A102" s="9" t="s">
        <v>0</v>
      </c>
      <c r="B102" s="8">
        <f t="shared" ref="B102:J102" si="16">SUM(B93:B101)</f>
        <v>5216</v>
      </c>
      <c r="C102" s="8">
        <f t="shared" si="16"/>
        <v>5681</v>
      </c>
      <c r="D102" s="8">
        <f t="shared" si="16"/>
        <v>10897</v>
      </c>
      <c r="E102" s="8">
        <f t="shared" si="16"/>
        <v>2959</v>
      </c>
      <c r="F102" s="8">
        <f t="shared" si="16"/>
        <v>2994</v>
      </c>
      <c r="G102" s="8">
        <f t="shared" si="16"/>
        <v>5953</v>
      </c>
      <c r="H102" s="8">
        <f t="shared" si="16"/>
        <v>8175</v>
      </c>
      <c r="I102" s="8">
        <f t="shared" si="16"/>
        <v>8675</v>
      </c>
      <c r="J102" s="9">
        <f t="shared" si="16"/>
        <v>16850</v>
      </c>
    </row>
    <row r="103" spans="1:10" ht="15.75" thickBot="1" x14ac:dyDescent="0.3">
      <c r="A103" s="25"/>
      <c r="B103" s="25"/>
      <c r="C103" s="25"/>
      <c r="D103" s="25"/>
      <c r="E103" s="25"/>
      <c r="F103" s="25"/>
      <c r="G103" s="25"/>
      <c r="H103" s="25"/>
      <c r="I103" s="25"/>
      <c r="J103" s="25"/>
    </row>
    <row r="104" spans="1:10" x14ac:dyDescent="0.25">
      <c r="A104" s="29" t="s">
        <v>15</v>
      </c>
      <c r="B104" s="24">
        <f>B93/D93</f>
        <v>0.32317073170731708</v>
      </c>
      <c r="C104" s="23">
        <f>C93/D93</f>
        <v>0.67682926829268297</v>
      </c>
      <c r="D104" s="5"/>
      <c r="E104" s="24">
        <f>E93/G93</f>
        <v>0.3377049180327869</v>
      </c>
      <c r="F104" s="23">
        <f>F93/G93</f>
        <v>0.6622950819672131</v>
      </c>
      <c r="G104" s="4"/>
      <c r="H104" s="24">
        <f>H93/J93</f>
        <v>0.32660977501939487</v>
      </c>
      <c r="I104" s="23">
        <f>I93/J93</f>
        <v>0.67339022498060508</v>
      </c>
      <c r="J104" s="7"/>
    </row>
    <row r="105" spans="1:10" x14ac:dyDescent="0.25">
      <c r="A105" s="29" t="s">
        <v>14</v>
      </c>
      <c r="B105" s="24">
        <f t="shared" ref="B105:B109" si="17">B94/D94</f>
        <v>0.58682634730538918</v>
      </c>
      <c r="C105" s="23">
        <f t="shared" ref="C105:C109" si="18">C94/D94</f>
        <v>0.41317365269461076</v>
      </c>
      <c r="D105" s="5"/>
      <c r="E105" s="24">
        <f t="shared" ref="E105:E111" si="19">E94/G94</f>
        <v>0.56871345029239762</v>
      </c>
      <c r="F105" s="23">
        <f>F94/G94</f>
        <v>0.43128654970760233</v>
      </c>
      <c r="G105" s="4"/>
      <c r="H105" s="24">
        <f>H94/J94</f>
        <v>0.57465618860510803</v>
      </c>
      <c r="I105" s="23">
        <f>I94/J94</f>
        <v>0.42534381139489197</v>
      </c>
      <c r="J105" s="7"/>
    </row>
    <row r="106" spans="1:10" x14ac:dyDescent="0.25">
      <c r="A106" s="29" t="s">
        <v>155</v>
      </c>
      <c r="B106" s="24">
        <f t="shared" si="17"/>
        <v>0.49687220732797138</v>
      </c>
      <c r="C106" s="23">
        <f t="shared" si="18"/>
        <v>0.50312779267202856</v>
      </c>
      <c r="D106" s="5"/>
      <c r="E106" s="24">
        <f t="shared" si="19"/>
        <v>0.45218945487042</v>
      </c>
      <c r="F106" s="23">
        <f t="shared" ref="F106:F110" si="20">F95/G95</f>
        <v>0.54781054512957994</v>
      </c>
      <c r="G106" s="4"/>
      <c r="H106" s="24">
        <f t="shared" ref="H106:H110" si="21">H95/J95</f>
        <v>0.47453083109919569</v>
      </c>
      <c r="I106" s="23">
        <f t="shared" ref="I106:I110" si="22">I95/J95</f>
        <v>0.52546916890080431</v>
      </c>
      <c r="J106" s="7"/>
    </row>
    <row r="107" spans="1:10" x14ac:dyDescent="0.25">
      <c r="A107" s="29" t="s">
        <v>81</v>
      </c>
      <c r="B107" s="24"/>
      <c r="C107" s="23"/>
      <c r="D107" s="5"/>
      <c r="E107" s="24">
        <f t="shared" si="19"/>
        <v>0.59375</v>
      </c>
      <c r="F107" s="23">
        <f t="shared" si="20"/>
        <v>0.40625</v>
      </c>
      <c r="G107" s="4"/>
      <c r="H107" s="24">
        <f t="shared" si="21"/>
        <v>0.59375</v>
      </c>
      <c r="I107" s="23">
        <f t="shared" si="22"/>
        <v>0.40625</v>
      </c>
      <c r="J107" s="7"/>
    </row>
    <row r="108" spans="1:10" x14ac:dyDescent="0.25">
      <c r="A108" s="29" t="s">
        <v>12</v>
      </c>
      <c r="B108" s="24">
        <f t="shared" si="17"/>
        <v>0.79089924160346692</v>
      </c>
      <c r="C108" s="23">
        <f t="shared" si="18"/>
        <v>0.20910075839653305</v>
      </c>
      <c r="D108" s="5"/>
      <c r="E108" s="24">
        <f t="shared" si="19"/>
        <v>0.81027104136947214</v>
      </c>
      <c r="F108" s="23">
        <f t="shared" si="20"/>
        <v>0.18972895863052783</v>
      </c>
      <c r="G108" s="4"/>
      <c r="H108" s="24">
        <f t="shared" si="21"/>
        <v>0.79926108374384242</v>
      </c>
      <c r="I108" s="23">
        <f t="shared" si="22"/>
        <v>0.20073891625615764</v>
      </c>
      <c r="J108" s="7"/>
    </row>
    <row r="109" spans="1:10" x14ac:dyDescent="0.25">
      <c r="A109" s="29" t="s">
        <v>1</v>
      </c>
      <c r="B109" s="24">
        <f t="shared" si="17"/>
        <v>0.39278131634819535</v>
      </c>
      <c r="C109" s="23">
        <f t="shared" si="18"/>
        <v>0.60721868365180465</v>
      </c>
      <c r="D109" s="5"/>
      <c r="E109" s="24">
        <f t="shared" si="19"/>
        <v>0.47663551401869159</v>
      </c>
      <c r="F109" s="23">
        <f t="shared" si="20"/>
        <v>0.52336448598130836</v>
      </c>
      <c r="G109" s="4"/>
      <c r="H109" s="24">
        <f t="shared" si="21"/>
        <v>0.42676767676767674</v>
      </c>
      <c r="I109" s="23">
        <f t="shared" si="22"/>
        <v>0.5732323232323232</v>
      </c>
      <c r="J109" s="7"/>
    </row>
    <row r="110" spans="1:10" x14ac:dyDescent="0.25">
      <c r="A110" s="29" t="s">
        <v>11</v>
      </c>
      <c r="B110" s="24">
        <f t="shared" ref="B110" si="23">B98/D98</f>
        <v>0.39278131634819535</v>
      </c>
      <c r="C110" s="23">
        <f t="shared" ref="C110" si="24">C98/D98</f>
        <v>0.60721868365180465</v>
      </c>
      <c r="D110" s="5"/>
      <c r="E110" s="24">
        <f t="shared" si="19"/>
        <v>0.33293413173652697</v>
      </c>
      <c r="F110" s="23">
        <f t="shared" si="20"/>
        <v>0.66706586826347303</v>
      </c>
      <c r="G110" s="4"/>
      <c r="H110" s="24">
        <f t="shared" si="21"/>
        <v>0.36372453928225024</v>
      </c>
      <c r="I110" s="23">
        <f t="shared" si="22"/>
        <v>0.63627546071774976</v>
      </c>
      <c r="J110" s="7"/>
    </row>
    <row r="111" spans="1:10" x14ac:dyDescent="0.25">
      <c r="A111" s="29" t="s">
        <v>10</v>
      </c>
      <c r="B111" s="24">
        <f>B99/D99</f>
        <v>0.37511071744906999</v>
      </c>
      <c r="C111" s="23">
        <f>C99/D99</f>
        <v>0.62488928255093001</v>
      </c>
      <c r="D111" s="5"/>
      <c r="E111" s="24">
        <f t="shared" si="19"/>
        <v>0.63340563991323207</v>
      </c>
      <c r="F111" s="23">
        <f>F99/G99</f>
        <v>0.66706586826347303</v>
      </c>
      <c r="G111" s="4"/>
      <c r="H111" s="24">
        <f>H99/J99</f>
        <v>0.36372453928225024</v>
      </c>
      <c r="I111" s="23">
        <f>I99/J99</f>
        <v>0.63627546071774976</v>
      </c>
      <c r="J111" s="7"/>
    </row>
    <row r="112" spans="1:10" ht="15.75" thickBot="1" x14ac:dyDescent="0.3">
      <c r="A112" s="28" t="s">
        <v>9</v>
      </c>
      <c r="B112" s="22">
        <f>B100/D100</f>
        <v>0.63726571113561192</v>
      </c>
      <c r="C112" s="21">
        <f>C100/D100</f>
        <v>0.36273428886438808</v>
      </c>
      <c r="D112" s="54"/>
      <c r="E112" s="22">
        <f>E100/G100</f>
        <v>0.63340563991323207</v>
      </c>
      <c r="F112" s="21">
        <f>F100/G100</f>
        <v>0.36659436008676788</v>
      </c>
      <c r="G112" s="11"/>
      <c r="H112" s="22">
        <f>H100/J100</f>
        <v>0.63648351648351653</v>
      </c>
      <c r="I112" s="21">
        <f>I100/J100</f>
        <v>0.36351648351648352</v>
      </c>
      <c r="J112" s="14"/>
    </row>
    <row r="113" spans="1:10" ht="16.5" thickTop="1" thickBot="1" x14ac:dyDescent="0.3">
      <c r="A113" s="8" t="s">
        <v>0</v>
      </c>
      <c r="B113" s="19">
        <f>B102/D102</f>
        <v>0.47866385243645038</v>
      </c>
      <c r="C113" s="19">
        <f>C102/D102</f>
        <v>0.52133614756354962</v>
      </c>
      <c r="D113" s="8"/>
      <c r="E113" s="19">
        <f>E102/G102</f>
        <v>0.49706030572820425</v>
      </c>
      <c r="F113" s="19">
        <f>F102/G102</f>
        <v>0.50293969427179575</v>
      </c>
      <c r="G113" s="8"/>
      <c r="H113" s="19">
        <f>H102/J102</f>
        <v>0.48516320474777447</v>
      </c>
      <c r="I113" s="19">
        <f>I102/J102</f>
        <v>0.51483679525222548</v>
      </c>
      <c r="J113" s="9"/>
    </row>
  </sheetData>
  <mergeCells count="8">
    <mergeCell ref="B91:D91"/>
    <mergeCell ref="E91:G91"/>
    <mergeCell ref="H91:J91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9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9"/>
  <sheetViews>
    <sheetView topLeftCell="A82" zoomScale="55" zoomScaleNormal="55" zoomScalePageLayoutView="70" workbookViewId="0">
      <selection activeCell="A92" sqref="A92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1999-00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83</v>
      </c>
      <c r="C7" s="34">
        <v>149</v>
      </c>
      <c r="D7" s="35">
        <f>SUM(B7:C7)</f>
        <v>232</v>
      </c>
      <c r="E7" s="34">
        <v>67</v>
      </c>
      <c r="F7" s="34">
        <v>43</v>
      </c>
      <c r="G7" s="34">
        <f>SUM(E7:F7)</f>
        <v>110</v>
      </c>
      <c r="H7" s="39">
        <f>B7+E7</f>
        <v>150</v>
      </c>
      <c r="I7" s="34">
        <f>C7+F7</f>
        <v>192</v>
      </c>
      <c r="J7" s="35">
        <f>SUM(H7:I7)</f>
        <v>342</v>
      </c>
    </row>
    <row r="8" spans="1:10" x14ac:dyDescent="0.25">
      <c r="A8" s="12" t="s">
        <v>17</v>
      </c>
      <c r="B8" s="39">
        <v>47</v>
      </c>
      <c r="C8" s="34">
        <v>124</v>
      </c>
      <c r="D8" s="35">
        <f t="shared" ref="D8:D89" si="0">SUM(B8:C8)</f>
        <v>171</v>
      </c>
      <c r="E8" s="34">
        <v>45</v>
      </c>
      <c r="F8" s="34">
        <v>82</v>
      </c>
      <c r="G8" s="34">
        <f t="shared" ref="G8:G90" si="1">SUM(E8:F8)</f>
        <v>127</v>
      </c>
      <c r="H8" s="39">
        <f t="shared" ref="H8:I89" si="2">B8+E8</f>
        <v>92</v>
      </c>
      <c r="I8" s="34">
        <f t="shared" si="2"/>
        <v>206</v>
      </c>
      <c r="J8" s="35">
        <f t="shared" ref="J8:J89" si="3">SUM(H8:I8)</f>
        <v>298</v>
      </c>
    </row>
    <row r="9" spans="1:10" x14ac:dyDescent="0.25">
      <c r="A9" s="12" t="s">
        <v>18</v>
      </c>
      <c r="B9" s="39">
        <v>106</v>
      </c>
      <c r="C9" s="34">
        <v>160</v>
      </c>
      <c r="D9" s="35">
        <f t="shared" si="0"/>
        <v>266</v>
      </c>
      <c r="E9" s="34">
        <v>62</v>
      </c>
      <c r="F9" s="34">
        <v>136</v>
      </c>
      <c r="G9" s="34">
        <f t="shared" si="1"/>
        <v>198</v>
      </c>
      <c r="H9" s="39">
        <f t="shared" si="2"/>
        <v>168</v>
      </c>
      <c r="I9" s="34">
        <f t="shared" si="2"/>
        <v>296</v>
      </c>
      <c r="J9" s="35">
        <f t="shared" si="3"/>
        <v>464</v>
      </c>
    </row>
    <row r="10" spans="1:10" x14ac:dyDescent="0.25">
      <c r="A10" s="12" t="s">
        <v>161</v>
      </c>
      <c r="B10" s="39">
        <v>186</v>
      </c>
      <c r="C10" s="34">
        <v>131</v>
      </c>
      <c r="D10" s="35">
        <f t="shared" si="0"/>
        <v>317</v>
      </c>
      <c r="E10" s="34">
        <v>336</v>
      </c>
      <c r="F10" s="34">
        <v>212</v>
      </c>
      <c r="G10" s="34">
        <f t="shared" si="1"/>
        <v>548</v>
      </c>
      <c r="H10" s="39">
        <f t="shared" si="2"/>
        <v>522</v>
      </c>
      <c r="I10" s="34">
        <f t="shared" si="2"/>
        <v>343</v>
      </c>
      <c r="J10" s="35">
        <f t="shared" si="3"/>
        <v>865</v>
      </c>
    </row>
    <row r="11" spans="1:10" x14ac:dyDescent="0.25">
      <c r="A11" s="12" t="s">
        <v>23</v>
      </c>
      <c r="B11" s="39">
        <v>58</v>
      </c>
      <c r="C11" s="34">
        <v>38</v>
      </c>
      <c r="D11" s="35">
        <f t="shared" si="0"/>
        <v>96</v>
      </c>
      <c r="E11" s="34">
        <v>44</v>
      </c>
      <c r="F11" s="34">
        <v>28</v>
      </c>
      <c r="G11" s="34">
        <f t="shared" si="1"/>
        <v>72</v>
      </c>
      <c r="H11" s="39">
        <f t="shared" si="2"/>
        <v>102</v>
      </c>
      <c r="I11" s="34">
        <f t="shared" si="2"/>
        <v>66</v>
      </c>
      <c r="J11" s="35">
        <f t="shared" si="3"/>
        <v>168</v>
      </c>
    </row>
    <row r="12" spans="1:10" x14ac:dyDescent="0.25">
      <c r="A12" s="12" t="s">
        <v>108</v>
      </c>
      <c r="B12" s="39">
        <v>77</v>
      </c>
      <c r="C12" s="34">
        <v>77</v>
      </c>
      <c r="D12" s="35">
        <f t="shared" si="0"/>
        <v>154</v>
      </c>
      <c r="E12" s="34">
        <v>39</v>
      </c>
      <c r="F12" s="34">
        <v>50</v>
      </c>
      <c r="G12" s="34">
        <f t="shared" si="1"/>
        <v>89</v>
      </c>
      <c r="H12" s="39">
        <f t="shared" si="2"/>
        <v>116</v>
      </c>
      <c r="I12" s="34">
        <f t="shared" si="2"/>
        <v>127</v>
      </c>
      <c r="J12" s="35">
        <f t="shared" si="3"/>
        <v>243</v>
      </c>
    </row>
    <row r="13" spans="1:10" x14ac:dyDescent="0.25">
      <c r="A13" s="12" t="s">
        <v>109</v>
      </c>
      <c r="B13" s="39">
        <v>116</v>
      </c>
      <c r="C13" s="34">
        <v>171</v>
      </c>
      <c r="D13" s="35">
        <f t="shared" si="0"/>
        <v>287</v>
      </c>
      <c r="E13" s="34">
        <v>33</v>
      </c>
      <c r="F13" s="34">
        <v>71</v>
      </c>
      <c r="G13" s="34">
        <f t="shared" si="1"/>
        <v>104</v>
      </c>
      <c r="H13" s="39">
        <f t="shared" si="2"/>
        <v>149</v>
      </c>
      <c r="I13" s="34">
        <f t="shared" si="2"/>
        <v>242</v>
      </c>
      <c r="J13" s="35">
        <f t="shared" si="3"/>
        <v>391</v>
      </c>
    </row>
    <row r="14" spans="1:10" x14ac:dyDescent="0.25">
      <c r="A14" s="12" t="s">
        <v>162</v>
      </c>
      <c r="B14" s="39">
        <v>0</v>
      </c>
      <c r="C14" s="34">
        <v>0</v>
      </c>
      <c r="D14" s="35">
        <f t="shared" si="0"/>
        <v>0</v>
      </c>
      <c r="E14" s="34">
        <v>21</v>
      </c>
      <c r="F14" s="34">
        <v>11</v>
      </c>
      <c r="G14" s="34">
        <f t="shared" si="1"/>
        <v>32</v>
      </c>
      <c r="H14" s="39">
        <f t="shared" si="2"/>
        <v>21</v>
      </c>
      <c r="I14" s="34">
        <f t="shared" si="2"/>
        <v>11</v>
      </c>
      <c r="J14" s="35">
        <f t="shared" si="3"/>
        <v>32</v>
      </c>
    </row>
    <row r="15" spans="1:10" x14ac:dyDescent="0.25">
      <c r="A15" s="12" t="s">
        <v>140</v>
      </c>
      <c r="B15" s="39">
        <v>0</v>
      </c>
      <c r="C15" s="34">
        <v>0</v>
      </c>
      <c r="D15" s="35">
        <f t="shared" si="0"/>
        <v>0</v>
      </c>
      <c r="E15" s="34">
        <v>4</v>
      </c>
      <c r="F15" s="34">
        <v>2</v>
      </c>
      <c r="G15" s="34">
        <f t="shared" si="1"/>
        <v>6</v>
      </c>
      <c r="H15" s="39">
        <f t="shared" si="2"/>
        <v>4</v>
      </c>
      <c r="I15" s="34">
        <f t="shared" si="2"/>
        <v>2</v>
      </c>
      <c r="J15" s="35">
        <f t="shared" si="3"/>
        <v>6</v>
      </c>
    </row>
    <row r="16" spans="1:10" x14ac:dyDescent="0.25">
      <c r="A16" s="12" t="s">
        <v>30</v>
      </c>
      <c r="B16" s="39">
        <v>125</v>
      </c>
      <c r="C16" s="34">
        <v>51</v>
      </c>
      <c r="D16" s="35">
        <f t="shared" si="0"/>
        <v>176</v>
      </c>
      <c r="E16" s="34">
        <v>23</v>
      </c>
      <c r="F16" s="34">
        <v>14</v>
      </c>
      <c r="G16" s="34">
        <f t="shared" si="1"/>
        <v>37</v>
      </c>
      <c r="H16" s="39">
        <f t="shared" si="2"/>
        <v>148</v>
      </c>
      <c r="I16" s="34">
        <f t="shared" si="2"/>
        <v>65</v>
      </c>
      <c r="J16" s="35">
        <f t="shared" si="3"/>
        <v>213</v>
      </c>
    </row>
    <row r="17" spans="1:10" x14ac:dyDescent="0.25">
      <c r="A17" s="12" t="s">
        <v>31</v>
      </c>
      <c r="B17" s="39">
        <v>127</v>
      </c>
      <c r="C17" s="34">
        <v>122</v>
      </c>
      <c r="D17" s="35">
        <f t="shared" si="0"/>
        <v>249</v>
      </c>
      <c r="E17" s="34">
        <v>49</v>
      </c>
      <c r="F17" s="34">
        <v>44</v>
      </c>
      <c r="G17" s="34">
        <f t="shared" si="1"/>
        <v>93</v>
      </c>
      <c r="H17" s="39">
        <f t="shared" si="2"/>
        <v>176</v>
      </c>
      <c r="I17" s="34">
        <f t="shared" si="2"/>
        <v>166</v>
      </c>
      <c r="J17" s="35">
        <f t="shared" si="3"/>
        <v>342</v>
      </c>
    </row>
    <row r="18" spans="1:10" x14ac:dyDescent="0.25">
      <c r="A18" s="12" t="s">
        <v>132</v>
      </c>
      <c r="B18" s="39">
        <v>167</v>
      </c>
      <c r="C18" s="34">
        <v>41</v>
      </c>
      <c r="D18" s="35">
        <f t="shared" si="0"/>
        <v>208</v>
      </c>
      <c r="E18" s="34">
        <v>22</v>
      </c>
      <c r="F18" s="34">
        <v>12</v>
      </c>
      <c r="G18" s="34">
        <f t="shared" si="1"/>
        <v>34</v>
      </c>
      <c r="H18" s="39">
        <f t="shared" si="2"/>
        <v>189</v>
      </c>
      <c r="I18" s="34">
        <f t="shared" si="2"/>
        <v>53</v>
      </c>
      <c r="J18" s="35">
        <f t="shared" si="3"/>
        <v>242</v>
      </c>
    </row>
    <row r="19" spans="1:10" x14ac:dyDescent="0.25">
      <c r="A19" s="12" t="s">
        <v>33</v>
      </c>
      <c r="B19" s="39">
        <v>149</v>
      </c>
      <c r="C19" s="34">
        <v>13</v>
      </c>
      <c r="D19" s="35">
        <f t="shared" si="0"/>
        <v>162</v>
      </c>
      <c r="E19" s="34">
        <v>108</v>
      </c>
      <c r="F19" s="34">
        <v>36</v>
      </c>
      <c r="G19" s="34">
        <f t="shared" si="1"/>
        <v>144</v>
      </c>
      <c r="H19" s="39">
        <f t="shared" si="2"/>
        <v>257</v>
      </c>
      <c r="I19" s="34">
        <f t="shared" si="2"/>
        <v>49</v>
      </c>
      <c r="J19" s="35">
        <f t="shared" si="3"/>
        <v>306</v>
      </c>
    </row>
    <row r="20" spans="1:10" x14ac:dyDescent="0.25">
      <c r="A20" s="12" t="s">
        <v>34</v>
      </c>
      <c r="B20" s="39">
        <v>0</v>
      </c>
      <c r="C20" s="34">
        <v>0</v>
      </c>
      <c r="D20" s="35">
        <f t="shared" si="0"/>
        <v>0</v>
      </c>
      <c r="E20" s="34">
        <v>56</v>
      </c>
      <c r="F20" s="34">
        <v>60</v>
      </c>
      <c r="G20" s="34">
        <f t="shared" si="1"/>
        <v>116</v>
      </c>
      <c r="H20" s="39">
        <f t="shared" si="2"/>
        <v>56</v>
      </c>
      <c r="I20" s="34">
        <f t="shared" si="2"/>
        <v>60</v>
      </c>
      <c r="J20" s="35">
        <f t="shared" si="3"/>
        <v>116</v>
      </c>
    </row>
    <row r="21" spans="1:10" x14ac:dyDescent="0.25">
      <c r="A21" s="12" t="s">
        <v>35</v>
      </c>
      <c r="B21" s="39">
        <v>15</v>
      </c>
      <c r="C21" s="34">
        <v>18</v>
      </c>
      <c r="D21" s="35">
        <f t="shared" si="0"/>
        <v>33</v>
      </c>
      <c r="E21" s="34">
        <v>3</v>
      </c>
      <c r="F21" s="34">
        <v>6</v>
      </c>
      <c r="G21" s="34">
        <f t="shared" si="1"/>
        <v>9</v>
      </c>
      <c r="H21" s="39">
        <f t="shared" si="2"/>
        <v>18</v>
      </c>
      <c r="I21" s="34">
        <f t="shared" si="2"/>
        <v>24</v>
      </c>
      <c r="J21" s="35">
        <f t="shared" si="3"/>
        <v>42</v>
      </c>
    </row>
    <row r="22" spans="1:10" x14ac:dyDescent="0.25">
      <c r="A22" s="12" t="s">
        <v>37</v>
      </c>
      <c r="B22" s="39">
        <v>318</v>
      </c>
      <c r="C22" s="34">
        <v>150</v>
      </c>
      <c r="D22" s="35">
        <f t="shared" si="0"/>
        <v>468</v>
      </c>
      <c r="E22" s="34">
        <v>69</v>
      </c>
      <c r="F22" s="34">
        <v>50</v>
      </c>
      <c r="G22" s="34">
        <f t="shared" si="1"/>
        <v>119</v>
      </c>
      <c r="H22" s="39">
        <f t="shared" si="2"/>
        <v>387</v>
      </c>
      <c r="I22" s="34">
        <f t="shared" si="2"/>
        <v>200</v>
      </c>
      <c r="J22" s="35">
        <f t="shared" si="3"/>
        <v>587</v>
      </c>
    </row>
    <row r="23" spans="1:10" x14ac:dyDescent="0.25">
      <c r="A23" s="12" t="s">
        <v>38</v>
      </c>
      <c r="B23" s="39">
        <v>168</v>
      </c>
      <c r="C23" s="34">
        <v>21</v>
      </c>
      <c r="D23" s="35">
        <f t="shared" si="0"/>
        <v>189</v>
      </c>
      <c r="E23" s="34">
        <v>294</v>
      </c>
      <c r="F23" s="34">
        <v>43</v>
      </c>
      <c r="G23" s="34">
        <f t="shared" si="1"/>
        <v>337</v>
      </c>
      <c r="H23" s="39">
        <f t="shared" si="2"/>
        <v>462</v>
      </c>
      <c r="I23" s="34">
        <f t="shared" si="2"/>
        <v>64</v>
      </c>
      <c r="J23" s="35">
        <f t="shared" si="3"/>
        <v>526</v>
      </c>
    </row>
    <row r="24" spans="1:10" x14ac:dyDescent="0.25">
      <c r="A24" s="12" t="s">
        <v>41</v>
      </c>
      <c r="B24" s="39">
        <v>81</v>
      </c>
      <c r="C24" s="34">
        <v>211</v>
      </c>
      <c r="D24" s="35">
        <f t="shared" si="0"/>
        <v>292</v>
      </c>
      <c r="E24" s="34">
        <v>21</v>
      </c>
      <c r="F24" s="34">
        <v>27</v>
      </c>
      <c r="G24" s="34">
        <f t="shared" si="1"/>
        <v>48</v>
      </c>
      <c r="H24" s="39">
        <f t="shared" si="2"/>
        <v>102</v>
      </c>
      <c r="I24" s="34">
        <f t="shared" si="2"/>
        <v>238</v>
      </c>
      <c r="J24" s="35">
        <f t="shared" si="3"/>
        <v>340</v>
      </c>
    </row>
    <row r="25" spans="1:10" x14ac:dyDescent="0.25">
      <c r="A25" s="12" t="s">
        <v>44</v>
      </c>
      <c r="B25" s="39">
        <v>44</v>
      </c>
      <c r="C25" s="34">
        <v>100</v>
      </c>
      <c r="D25" s="35">
        <f t="shared" si="0"/>
        <v>144</v>
      </c>
      <c r="E25" s="34">
        <v>35</v>
      </c>
      <c r="F25" s="34">
        <v>75</v>
      </c>
      <c r="G25" s="34">
        <f t="shared" si="1"/>
        <v>110</v>
      </c>
      <c r="H25" s="39">
        <f t="shared" si="2"/>
        <v>79</v>
      </c>
      <c r="I25" s="34">
        <f t="shared" si="2"/>
        <v>175</v>
      </c>
      <c r="J25" s="35">
        <f t="shared" si="3"/>
        <v>254</v>
      </c>
    </row>
    <row r="26" spans="1:10" x14ac:dyDescent="0.25">
      <c r="A26" s="12" t="s">
        <v>45</v>
      </c>
      <c r="B26" s="39">
        <v>76</v>
      </c>
      <c r="C26" s="34">
        <v>181</v>
      </c>
      <c r="D26" s="35">
        <f t="shared" si="0"/>
        <v>257</v>
      </c>
      <c r="E26" s="34">
        <v>10</v>
      </c>
      <c r="F26" s="34">
        <v>16</v>
      </c>
      <c r="G26" s="34">
        <f t="shared" si="1"/>
        <v>26</v>
      </c>
      <c r="H26" s="39">
        <f t="shared" si="2"/>
        <v>86</v>
      </c>
      <c r="I26" s="34">
        <f t="shared" si="2"/>
        <v>197</v>
      </c>
      <c r="J26" s="35">
        <f t="shared" si="3"/>
        <v>283</v>
      </c>
    </row>
    <row r="27" spans="1:10" x14ac:dyDescent="0.25">
      <c r="A27" s="12" t="s">
        <v>95</v>
      </c>
      <c r="B27" s="39">
        <v>0</v>
      </c>
      <c r="C27" s="34">
        <v>0</v>
      </c>
      <c r="D27" s="35">
        <f t="shared" si="0"/>
        <v>0</v>
      </c>
      <c r="E27" s="34">
        <v>12</v>
      </c>
      <c r="F27" s="34">
        <v>0</v>
      </c>
      <c r="G27" s="34">
        <f t="shared" si="1"/>
        <v>12</v>
      </c>
      <c r="H27" s="39">
        <f t="shared" si="2"/>
        <v>12</v>
      </c>
      <c r="I27" s="34">
        <f t="shared" si="2"/>
        <v>0</v>
      </c>
      <c r="J27" s="35">
        <f t="shared" si="3"/>
        <v>12</v>
      </c>
    </row>
    <row r="28" spans="1:10" x14ac:dyDescent="0.25">
      <c r="A28" s="12" t="s">
        <v>47</v>
      </c>
      <c r="B28" s="39">
        <v>132</v>
      </c>
      <c r="C28" s="34">
        <v>148</v>
      </c>
      <c r="D28" s="35">
        <f t="shared" si="0"/>
        <v>280</v>
      </c>
      <c r="E28" s="34">
        <v>45</v>
      </c>
      <c r="F28" s="34">
        <v>50</v>
      </c>
      <c r="G28" s="34">
        <f t="shared" si="1"/>
        <v>95</v>
      </c>
      <c r="H28" s="39">
        <f t="shared" si="2"/>
        <v>177</v>
      </c>
      <c r="I28" s="34">
        <f t="shared" si="2"/>
        <v>198</v>
      </c>
      <c r="J28" s="35">
        <f t="shared" si="3"/>
        <v>375</v>
      </c>
    </row>
    <row r="29" spans="1:10" x14ac:dyDescent="0.25">
      <c r="A29" s="12" t="s">
        <v>159</v>
      </c>
      <c r="B29" s="39">
        <v>151</v>
      </c>
      <c r="C29" s="34">
        <v>96</v>
      </c>
      <c r="D29" s="35">
        <f t="shared" si="0"/>
        <v>247</v>
      </c>
      <c r="E29" s="34">
        <v>41</v>
      </c>
      <c r="F29" s="34">
        <v>15</v>
      </c>
      <c r="G29" s="34">
        <f t="shared" si="1"/>
        <v>56</v>
      </c>
      <c r="H29" s="39">
        <f t="shared" si="2"/>
        <v>192</v>
      </c>
      <c r="I29" s="34">
        <f t="shared" si="2"/>
        <v>111</v>
      </c>
      <c r="J29" s="35">
        <f t="shared" si="3"/>
        <v>303</v>
      </c>
    </row>
    <row r="30" spans="1:10" x14ac:dyDescent="0.25">
      <c r="A30" s="12" t="s">
        <v>133</v>
      </c>
      <c r="B30" s="39">
        <v>0</v>
      </c>
      <c r="C30" s="34">
        <v>0</v>
      </c>
      <c r="D30" s="35">
        <f t="shared" si="0"/>
        <v>0</v>
      </c>
      <c r="E30" s="34">
        <v>37</v>
      </c>
      <c r="F30" s="34">
        <v>13</v>
      </c>
      <c r="G30" s="34">
        <f t="shared" si="1"/>
        <v>50</v>
      </c>
      <c r="H30" s="39">
        <f t="shared" si="2"/>
        <v>37</v>
      </c>
      <c r="I30" s="34">
        <f t="shared" si="2"/>
        <v>13</v>
      </c>
      <c r="J30" s="35">
        <f t="shared" si="3"/>
        <v>50</v>
      </c>
    </row>
    <row r="31" spans="1:10" x14ac:dyDescent="0.25">
      <c r="A31" s="12" t="s">
        <v>48</v>
      </c>
      <c r="B31" s="39">
        <v>25</v>
      </c>
      <c r="C31" s="34">
        <v>61</v>
      </c>
      <c r="D31" s="35">
        <f t="shared" si="0"/>
        <v>86</v>
      </c>
      <c r="E31" s="34">
        <v>6</v>
      </c>
      <c r="F31" s="34">
        <v>19</v>
      </c>
      <c r="G31" s="34">
        <f t="shared" si="1"/>
        <v>25</v>
      </c>
      <c r="H31" s="39">
        <f t="shared" si="2"/>
        <v>31</v>
      </c>
      <c r="I31" s="34">
        <f t="shared" si="2"/>
        <v>80</v>
      </c>
      <c r="J31" s="35">
        <f t="shared" si="3"/>
        <v>111</v>
      </c>
    </row>
    <row r="32" spans="1:10" x14ac:dyDescent="0.25">
      <c r="A32" s="12" t="s">
        <v>49</v>
      </c>
      <c r="B32" s="39">
        <v>26</v>
      </c>
      <c r="C32" s="34">
        <v>78</v>
      </c>
      <c r="D32" s="35">
        <f t="shared" si="0"/>
        <v>104</v>
      </c>
      <c r="E32" s="34">
        <v>12</v>
      </c>
      <c r="F32" s="34">
        <v>20</v>
      </c>
      <c r="G32" s="34">
        <f t="shared" si="1"/>
        <v>32</v>
      </c>
      <c r="H32" s="39">
        <f t="shared" si="2"/>
        <v>38</v>
      </c>
      <c r="I32" s="34">
        <f t="shared" si="2"/>
        <v>98</v>
      </c>
      <c r="J32" s="35">
        <f t="shared" si="3"/>
        <v>136</v>
      </c>
    </row>
    <row r="33" spans="1:10" x14ac:dyDescent="0.25">
      <c r="A33" s="12" t="s">
        <v>50</v>
      </c>
      <c r="B33" s="39">
        <v>17</v>
      </c>
      <c r="C33" s="34">
        <v>37</v>
      </c>
      <c r="D33" s="35">
        <f t="shared" si="0"/>
        <v>54</v>
      </c>
      <c r="E33" s="34">
        <v>12</v>
      </c>
      <c r="F33" s="34">
        <v>15</v>
      </c>
      <c r="G33" s="34">
        <f t="shared" si="1"/>
        <v>27</v>
      </c>
      <c r="H33" s="39">
        <f t="shared" si="2"/>
        <v>29</v>
      </c>
      <c r="I33" s="34">
        <f t="shared" si="2"/>
        <v>52</v>
      </c>
      <c r="J33" s="35">
        <f t="shared" si="3"/>
        <v>81</v>
      </c>
    </row>
    <row r="34" spans="1:10" x14ac:dyDescent="0.25">
      <c r="A34" s="12" t="s">
        <v>160</v>
      </c>
      <c r="B34" s="39">
        <v>0</v>
      </c>
      <c r="C34" s="34">
        <v>0</v>
      </c>
      <c r="D34" s="35">
        <f t="shared" si="0"/>
        <v>0</v>
      </c>
      <c r="E34" s="34">
        <v>3</v>
      </c>
      <c r="F34" s="34">
        <v>6</v>
      </c>
      <c r="G34" s="34">
        <f t="shared" si="1"/>
        <v>9</v>
      </c>
      <c r="H34" s="39">
        <f t="shared" si="2"/>
        <v>3</v>
      </c>
      <c r="I34" s="34">
        <f t="shared" si="2"/>
        <v>6</v>
      </c>
      <c r="J34" s="35">
        <f t="shared" si="3"/>
        <v>9</v>
      </c>
    </row>
    <row r="35" spans="1:10" x14ac:dyDescent="0.25">
      <c r="A35" s="12" t="s">
        <v>51</v>
      </c>
      <c r="B35" s="39">
        <v>143</v>
      </c>
      <c r="C35" s="34">
        <v>181</v>
      </c>
      <c r="D35" s="35">
        <f t="shared" si="0"/>
        <v>324</v>
      </c>
      <c r="E35" s="34">
        <v>50</v>
      </c>
      <c r="F35" s="34">
        <v>59</v>
      </c>
      <c r="G35" s="34">
        <f t="shared" si="1"/>
        <v>109</v>
      </c>
      <c r="H35" s="39">
        <f t="shared" si="2"/>
        <v>193</v>
      </c>
      <c r="I35" s="34">
        <f t="shared" si="2"/>
        <v>240</v>
      </c>
      <c r="J35" s="35">
        <f t="shared" si="3"/>
        <v>433</v>
      </c>
    </row>
    <row r="36" spans="1:10" x14ac:dyDescent="0.25">
      <c r="A36" s="12" t="s">
        <v>52</v>
      </c>
      <c r="B36" s="39">
        <v>24</v>
      </c>
      <c r="C36" s="34">
        <v>118</v>
      </c>
      <c r="D36" s="35">
        <f t="shared" si="0"/>
        <v>142</v>
      </c>
      <c r="E36" s="34">
        <v>17</v>
      </c>
      <c r="F36" s="34">
        <v>29</v>
      </c>
      <c r="G36" s="34">
        <f t="shared" si="1"/>
        <v>46</v>
      </c>
      <c r="H36" s="39">
        <f t="shared" si="2"/>
        <v>41</v>
      </c>
      <c r="I36" s="34">
        <f t="shared" si="2"/>
        <v>147</v>
      </c>
      <c r="J36" s="35">
        <f t="shared" si="3"/>
        <v>188</v>
      </c>
    </row>
    <row r="37" spans="1:10" x14ac:dyDescent="0.25">
      <c r="A37" s="12" t="s">
        <v>110</v>
      </c>
      <c r="B37" s="39">
        <v>9</v>
      </c>
      <c r="C37" s="34">
        <v>196</v>
      </c>
      <c r="D37" s="35">
        <f t="shared" si="0"/>
        <v>205</v>
      </c>
      <c r="E37" s="34">
        <v>8</v>
      </c>
      <c r="F37" s="34">
        <v>63</v>
      </c>
      <c r="G37" s="34">
        <f t="shared" si="1"/>
        <v>71</v>
      </c>
      <c r="H37" s="39">
        <f t="shared" si="2"/>
        <v>17</v>
      </c>
      <c r="I37" s="34">
        <f t="shared" si="2"/>
        <v>259</v>
      </c>
      <c r="J37" s="35">
        <f t="shared" si="3"/>
        <v>276</v>
      </c>
    </row>
    <row r="38" spans="1:10" x14ac:dyDescent="0.25">
      <c r="A38" s="12" t="s">
        <v>55</v>
      </c>
      <c r="B38" s="39">
        <v>62</v>
      </c>
      <c r="C38" s="34">
        <v>224</v>
      </c>
      <c r="D38" s="35">
        <f t="shared" si="0"/>
        <v>286</v>
      </c>
      <c r="E38" s="34">
        <v>7</v>
      </c>
      <c r="F38" s="34">
        <v>5</v>
      </c>
      <c r="G38" s="34">
        <f t="shared" si="1"/>
        <v>12</v>
      </c>
      <c r="H38" s="39">
        <f t="shared" si="2"/>
        <v>69</v>
      </c>
      <c r="I38" s="34">
        <f t="shared" si="2"/>
        <v>229</v>
      </c>
      <c r="J38" s="35">
        <f t="shared" si="3"/>
        <v>298</v>
      </c>
    </row>
    <row r="39" spans="1:10" x14ac:dyDescent="0.25">
      <c r="A39" s="12" t="s">
        <v>1</v>
      </c>
      <c r="B39" s="39">
        <v>196</v>
      </c>
      <c r="C39" s="34">
        <v>294</v>
      </c>
      <c r="D39" s="35">
        <f t="shared" si="0"/>
        <v>490</v>
      </c>
      <c r="E39" s="34">
        <v>164</v>
      </c>
      <c r="F39" s="34">
        <v>196</v>
      </c>
      <c r="G39" s="34">
        <f t="shared" si="1"/>
        <v>360</v>
      </c>
      <c r="H39" s="39">
        <f t="shared" si="2"/>
        <v>360</v>
      </c>
      <c r="I39" s="34">
        <f t="shared" si="2"/>
        <v>490</v>
      </c>
      <c r="J39" s="35">
        <f t="shared" si="3"/>
        <v>850</v>
      </c>
    </row>
    <row r="40" spans="1:10" x14ac:dyDescent="0.25">
      <c r="A40" s="12" t="s">
        <v>102</v>
      </c>
      <c r="B40" s="39">
        <v>57</v>
      </c>
      <c r="C40" s="34">
        <v>52</v>
      </c>
      <c r="D40" s="35">
        <f t="shared" si="0"/>
        <v>109</v>
      </c>
      <c r="E40" s="34">
        <v>43</v>
      </c>
      <c r="F40" s="34">
        <v>129</v>
      </c>
      <c r="G40" s="34">
        <f t="shared" si="1"/>
        <v>172</v>
      </c>
      <c r="H40" s="39">
        <f t="shared" si="2"/>
        <v>100</v>
      </c>
      <c r="I40" s="34">
        <f t="shared" si="2"/>
        <v>181</v>
      </c>
      <c r="J40" s="35">
        <f t="shared" si="3"/>
        <v>281</v>
      </c>
    </row>
    <row r="41" spans="1:10" x14ac:dyDescent="0.25">
      <c r="A41" s="12" t="s">
        <v>59</v>
      </c>
      <c r="B41" s="39">
        <v>207</v>
      </c>
      <c r="C41" s="34">
        <v>137</v>
      </c>
      <c r="D41" s="35">
        <f t="shared" si="0"/>
        <v>344</v>
      </c>
      <c r="E41" s="34">
        <v>14</v>
      </c>
      <c r="F41" s="34">
        <v>2</v>
      </c>
      <c r="G41" s="34">
        <f t="shared" si="1"/>
        <v>16</v>
      </c>
      <c r="H41" s="39">
        <f t="shared" si="2"/>
        <v>221</v>
      </c>
      <c r="I41" s="34">
        <f t="shared" si="2"/>
        <v>139</v>
      </c>
      <c r="J41" s="35">
        <f t="shared" si="3"/>
        <v>360</v>
      </c>
    </row>
    <row r="42" spans="1:10" x14ac:dyDescent="0.25">
      <c r="A42" s="12" t="s">
        <v>60</v>
      </c>
      <c r="B42" s="39">
        <v>200</v>
      </c>
      <c r="C42" s="34">
        <v>31</v>
      </c>
      <c r="D42" s="35">
        <f t="shared" si="0"/>
        <v>231</v>
      </c>
      <c r="E42" s="34">
        <v>112</v>
      </c>
      <c r="F42" s="34">
        <v>7</v>
      </c>
      <c r="G42" s="34">
        <f t="shared" si="1"/>
        <v>119</v>
      </c>
      <c r="H42" s="39">
        <f t="shared" si="2"/>
        <v>312</v>
      </c>
      <c r="I42" s="34">
        <f t="shared" si="2"/>
        <v>38</v>
      </c>
      <c r="J42" s="35">
        <f t="shared" si="3"/>
        <v>350</v>
      </c>
    </row>
    <row r="43" spans="1:10" x14ac:dyDescent="0.25">
      <c r="A43" s="12" t="s">
        <v>61</v>
      </c>
      <c r="B43" s="39">
        <v>1</v>
      </c>
      <c r="C43" s="34">
        <v>1</v>
      </c>
      <c r="D43" s="35">
        <f t="shared" si="0"/>
        <v>2</v>
      </c>
      <c r="E43" s="34">
        <v>27</v>
      </c>
      <c r="F43" s="34">
        <v>19</v>
      </c>
      <c r="G43" s="34">
        <f t="shared" si="1"/>
        <v>46</v>
      </c>
      <c r="H43" s="39">
        <f t="shared" si="2"/>
        <v>28</v>
      </c>
      <c r="I43" s="34">
        <f t="shared" si="2"/>
        <v>20</v>
      </c>
      <c r="J43" s="35">
        <f t="shared" si="3"/>
        <v>48</v>
      </c>
    </row>
    <row r="44" spans="1:10" x14ac:dyDescent="0.25">
      <c r="A44" s="12" t="s">
        <v>156</v>
      </c>
      <c r="B44" s="39">
        <v>42</v>
      </c>
      <c r="C44" s="34">
        <v>109</v>
      </c>
      <c r="D44" s="35">
        <f t="shared" si="0"/>
        <v>151</v>
      </c>
      <c r="E44" s="34">
        <v>0</v>
      </c>
      <c r="F44" s="34">
        <v>0</v>
      </c>
      <c r="G44" s="34">
        <f t="shared" si="1"/>
        <v>0</v>
      </c>
      <c r="H44" s="39">
        <f t="shared" si="2"/>
        <v>42</v>
      </c>
      <c r="I44" s="34">
        <f t="shared" si="2"/>
        <v>109</v>
      </c>
      <c r="J44" s="35">
        <f t="shared" si="3"/>
        <v>151</v>
      </c>
    </row>
    <row r="45" spans="1:10" x14ac:dyDescent="0.25">
      <c r="A45" s="12" t="s">
        <v>112</v>
      </c>
      <c r="B45" s="39">
        <v>55</v>
      </c>
      <c r="C45" s="34">
        <v>85</v>
      </c>
      <c r="D45" s="35">
        <f t="shared" si="0"/>
        <v>140</v>
      </c>
      <c r="E45" s="34">
        <v>14</v>
      </c>
      <c r="F45" s="34">
        <v>17</v>
      </c>
      <c r="G45" s="34">
        <f t="shared" si="1"/>
        <v>31</v>
      </c>
      <c r="H45" s="39">
        <f t="shared" si="2"/>
        <v>69</v>
      </c>
      <c r="I45" s="34">
        <f t="shared" si="2"/>
        <v>102</v>
      </c>
      <c r="J45" s="35">
        <f t="shared" si="3"/>
        <v>171</v>
      </c>
    </row>
    <row r="46" spans="1:10" x14ac:dyDescent="0.25">
      <c r="A46" s="12" t="s">
        <v>64</v>
      </c>
      <c r="B46" s="39">
        <v>93</v>
      </c>
      <c r="C46" s="34">
        <v>61</v>
      </c>
      <c r="D46" s="35">
        <f t="shared" si="0"/>
        <v>154</v>
      </c>
      <c r="E46" s="34">
        <v>40</v>
      </c>
      <c r="F46" s="34">
        <v>14</v>
      </c>
      <c r="G46" s="34">
        <f t="shared" si="1"/>
        <v>54</v>
      </c>
      <c r="H46" s="39">
        <f t="shared" si="2"/>
        <v>133</v>
      </c>
      <c r="I46" s="34">
        <f t="shared" si="2"/>
        <v>75</v>
      </c>
      <c r="J46" s="35">
        <f t="shared" si="3"/>
        <v>208</v>
      </c>
    </row>
    <row r="47" spans="1:10" x14ac:dyDescent="0.25">
      <c r="A47" s="12" t="s">
        <v>113</v>
      </c>
      <c r="B47" s="39">
        <v>17</v>
      </c>
      <c r="C47" s="34">
        <v>63</v>
      </c>
      <c r="D47" s="35">
        <f t="shared" si="0"/>
        <v>80</v>
      </c>
      <c r="E47" s="34">
        <v>17</v>
      </c>
      <c r="F47" s="34">
        <v>41</v>
      </c>
      <c r="G47" s="34">
        <f t="shared" si="1"/>
        <v>58</v>
      </c>
      <c r="H47" s="39">
        <f t="shared" si="2"/>
        <v>34</v>
      </c>
      <c r="I47" s="34">
        <f t="shared" si="2"/>
        <v>104</v>
      </c>
      <c r="J47" s="35">
        <f t="shared" si="3"/>
        <v>138</v>
      </c>
    </row>
    <row r="48" spans="1:10" x14ac:dyDescent="0.25">
      <c r="A48" s="12" t="s">
        <v>65</v>
      </c>
      <c r="B48" s="39">
        <v>316</v>
      </c>
      <c r="C48" s="34">
        <v>93</v>
      </c>
      <c r="D48" s="35">
        <f t="shared" si="0"/>
        <v>409</v>
      </c>
      <c r="E48" s="34">
        <v>48</v>
      </c>
      <c r="F48" s="34">
        <v>12</v>
      </c>
      <c r="G48" s="34">
        <f t="shared" si="1"/>
        <v>60</v>
      </c>
      <c r="H48" s="39">
        <f t="shared" si="2"/>
        <v>364</v>
      </c>
      <c r="I48" s="34">
        <f t="shared" si="2"/>
        <v>105</v>
      </c>
      <c r="J48" s="35">
        <f t="shared" si="3"/>
        <v>469</v>
      </c>
    </row>
    <row r="49" spans="1:10" x14ac:dyDescent="0.25">
      <c r="A49" s="12" t="s">
        <v>114</v>
      </c>
      <c r="B49" s="39">
        <v>41</v>
      </c>
      <c r="C49" s="34">
        <v>55</v>
      </c>
      <c r="D49" s="35">
        <f t="shared" si="0"/>
        <v>96</v>
      </c>
      <c r="E49" s="34">
        <v>25</v>
      </c>
      <c r="F49" s="34">
        <v>41</v>
      </c>
      <c r="G49" s="34">
        <f t="shared" si="1"/>
        <v>66</v>
      </c>
      <c r="H49" s="39">
        <f t="shared" si="2"/>
        <v>66</v>
      </c>
      <c r="I49" s="34">
        <f t="shared" si="2"/>
        <v>96</v>
      </c>
      <c r="J49" s="35">
        <f t="shared" si="3"/>
        <v>162</v>
      </c>
    </row>
    <row r="50" spans="1:10" x14ac:dyDescent="0.25">
      <c r="A50" s="12" t="s">
        <v>115</v>
      </c>
      <c r="B50" s="39">
        <v>80</v>
      </c>
      <c r="C50" s="34">
        <v>270</v>
      </c>
      <c r="D50" s="35">
        <f t="shared" si="0"/>
        <v>350</v>
      </c>
      <c r="E50" s="34">
        <v>81</v>
      </c>
      <c r="F50" s="34">
        <v>189</v>
      </c>
      <c r="G50" s="34">
        <f t="shared" si="1"/>
        <v>270</v>
      </c>
      <c r="H50" s="39">
        <f t="shared" si="2"/>
        <v>161</v>
      </c>
      <c r="I50" s="34">
        <f t="shared" si="2"/>
        <v>459</v>
      </c>
      <c r="J50" s="35">
        <f t="shared" si="3"/>
        <v>620</v>
      </c>
    </row>
    <row r="51" spans="1:10" x14ac:dyDescent="0.25">
      <c r="A51" s="12" t="s">
        <v>146</v>
      </c>
      <c r="B51" s="39">
        <v>0</v>
      </c>
      <c r="C51" s="34">
        <v>0</v>
      </c>
      <c r="D51" s="35">
        <f t="shared" si="0"/>
        <v>0</v>
      </c>
      <c r="E51" s="34">
        <v>30</v>
      </c>
      <c r="F51" s="34">
        <v>23</v>
      </c>
      <c r="G51" s="34">
        <f t="shared" si="1"/>
        <v>53</v>
      </c>
      <c r="H51" s="39">
        <f t="shared" si="2"/>
        <v>30</v>
      </c>
      <c r="I51" s="34">
        <f t="shared" si="2"/>
        <v>23</v>
      </c>
      <c r="J51" s="35">
        <f t="shared" si="3"/>
        <v>53</v>
      </c>
    </row>
    <row r="52" spans="1:10" x14ac:dyDescent="0.25">
      <c r="A52" s="12" t="s">
        <v>68</v>
      </c>
      <c r="B52" s="39">
        <v>39</v>
      </c>
      <c r="C52" s="34">
        <v>48</v>
      </c>
      <c r="D52" s="35">
        <f t="shared" si="0"/>
        <v>87</v>
      </c>
      <c r="E52" s="34">
        <v>2</v>
      </c>
      <c r="F52" s="34">
        <v>2</v>
      </c>
      <c r="G52" s="34">
        <f t="shared" si="1"/>
        <v>4</v>
      </c>
      <c r="H52" s="39">
        <f t="shared" si="2"/>
        <v>41</v>
      </c>
      <c r="I52" s="34">
        <f t="shared" si="2"/>
        <v>50</v>
      </c>
      <c r="J52" s="35">
        <f t="shared" si="3"/>
        <v>91</v>
      </c>
    </row>
    <row r="53" spans="1:10" x14ac:dyDescent="0.25">
      <c r="A53" s="12" t="s">
        <v>71</v>
      </c>
      <c r="B53" s="39">
        <v>34</v>
      </c>
      <c r="C53" s="34">
        <v>36</v>
      </c>
      <c r="D53" s="35">
        <f t="shared" si="0"/>
        <v>70</v>
      </c>
      <c r="E53" s="34">
        <v>4</v>
      </c>
      <c r="F53" s="34">
        <v>1</v>
      </c>
      <c r="G53" s="34">
        <f t="shared" si="1"/>
        <v>5</v>
      </c>
      <c r="H53" s="39">
        <f t="shared" si="2"/>
        <v>38</v>
      </c>
      <c r="I53" s="34">
        <f t="shared" si="2"/>
        <v>37</v>
      </c>
      <c r="J53" s="35">
        <f t="shared" si="3"/>
        <v>75</v>
      </c>
    </row>
    <row r="54" spans="1:10" x14ac:dyDescent="0.25">
      <c r="A54" s="12" t="s">
        <v>72</v>
      </c>
      <c r="B54" s="39">
        <v>0</v>
      </c>
      <c r="C54" s="34">
        <v>0</v>
      </c>
      <c r="D54" s="35">
        <f t="shared" si="0"/>
        <v>0</v>
      </c>
      <c r="E54" s="34">
        <v>27</v>
      </c>
      <c r="F54" s="34">
        <v>10</v>
      </c>
      <c r="G54" s="34">
        <f t="shared" si="1"/>
        <v>37</v>
      </c>
      <c r="H54" s="39">
        <f t="shared" si="2"/>
        <v>27</v>
      </c>
      <c r="I54" s="34">
        <f t="shared" si="2"/>
        <v>10</v>
      </c>
      <c r="J54" s="35">
        <f t="shared" si="3"/>
        <v>37</v>
      </c>
    </row>
    <row r="55" spans="1:10" x14ac:dyDescent="0.25">
      <c r="A55" s="12" t="s">
        <v>73</v>
      </c>
      <c r="B55" s="39">
        <v>19</v>
      </c>
      <c r="C55" s="34">
        <v>47</v>
      </c>
      <c r="D55" s="35">
        <f t="shared" si="0"/>
        <v>66</v>
      </c>
      <c r="E55" s="34">
        <v>4</v>
      </c>
      <c r="F55" s="34">
        <v>6</v>
      </c>
      <c r="G55" s="34">
        <f t="shared" si="1"/>
        <v>10</v>
      </c>
      <c r="H55" s="39">
        <f t="shared" si="2"/>
        <v>23</v>
      </c>
      <c r="I55" s="34">
        <f t="shared" si="2"/>
        <v>53</v>
      </c>
      <c r="J55" s="35">
        <f t="shared" si="3"/>
        <v>76</v>
      </c>
    </row>
    <row r="56" spans="1:10" x14ac:dyDescent="0.25">
      <c r="A56" s="12" t="s">
        <v>74</v>
      </c>
      <c r="B56" s="39">
        <v>41</v>
      </c>
      <c r="C56" s="34">
        <v>36</v>
      </c>
      <c r="D56" s="35">
        <f t="shared" si="0"/>
        <v>77</v>
      </c>
      <c r="E56" s="34">
        <v>9</v>
      </c>
      <c r="F56" s="34">
        <v>7</v>
      </c>
      <c r="G56" s="34">
        <f t="shared" si="1"/>
        <v>16</v>
      </c>
      <c r="H56" s="39">
        <f t="shared" si="2"/>
        <v>50</v>
      </c>
      <c r="I56" s="34">
        <f t="shared" si="2"/>
        <v>43</v>
      </c>
      <c r="J56" s="35">
        <f t="shared" si="3"/>
        <v>93</v>
      </c>
    </row>
    <row r="57" spans="1:10" x14ac:dyDescent="0.25">
      <c r="A57" s="12" t="s">
        <v>151</v>
      </c>
      <c r="B57" s="39">
        <v>2</v>
      </c>
      <c r="C57" s="34">
        <v>10</v>
      </c>
      <c r="D57" s="35">
        <f t="shared" si="0"/>
        <v>12</v>
      </c>
      <c r="E57" s="34">
        <v>2</v>
      </c>
      <c r="F57" s="34">
        <v>9</v>
      </c>
      <c r="G57" s="34">
        <f t="shared" si="1"/>
        <v>11</v>
      </c>
      <c r="H57" s="39">
        <f t="shared" si="2"/>
        <v>4</v>
      </c>
      <c r="I57" s="34">
        <f t="shared" si="2"/>
        <v>19</v>
      </c>
      <c r="J57" s="35">
        <f t="shared" si="3"/>
        <v>23</v>
      </c>
    </row>
    <row r="58" spans="1:10" x14ac:dyDescent="0.25">
      <c r="A58" s="12" t="s">
        <v>103</v>
      </c>
      <c r="B58" s="39">
        <v>223</v>
      </c>
      <c r="C58" s="34">
        <v>219</v>
      </c>
      <c r="D58" s="35">
        <f t="shared" si="0"/>
        <v>442</v>
      </c>
      <c r="E58" s="34">
        <v>0</v>
      </c>
      <c r="F58" s="34">
        <v>0</v>
      </c>
      <c r="G58" s="34">
        <f t="shared" si="1"/>
        <v>0</v>
      </c>
      <c r="H58" s="39">
        <f t="shared" si="2"/>
        <v>223</v>
      </c>
      <c r="I58" s="34">
        <f t="shared" si="2"/>
        <v>219</v>
      </c>
      <c r="J58" s="35">
        <f t="shared" si="3"/>
        <v>442</v>
      </c>
    </row>
    <row r="59" spans="1:10" x14ac:dyDescent="0.25">
      <c r="A59" s="12" t="s">
        <v>104</v>
      </c>
      <c r="B59" s="39">
        <v>362</v>
      </c>
      <c r="C59" s="34">
        <v>308</v>
      </c>
      <c r="D59" s="35">
        <f t="shared" si="0"/>
        <v>670</v>
      </c>
      <c r="E59" s="34">
        <v>0</v>
      </c>
      <c r="F59" s="34">
        <v>0</v>
      </c>
      <c r="G59" s="34">
        <f t="shared" si="1"/>
        <v>0</v>
      </c>
      <c r="H59" s="39">
        <f t="shared" si="2"/>
        <v>362</v>
      </c>
      <c r="I59" s="34">
        <f t="shared" si="2"/>
        <v>308</v>
      </c>
      <c r="J59" s="35">
        <f t="shared" si="3"/>
        <v>670</v>
      </c>
    </row>
    <row r="60" spans="1:10" x14ac:dyDescent="0.25">
      <c r="A60" s="12" t="s">
        <v>169</v>
      </c>
      <c r="B60" s="39">
        <v>0</v>
      </c>
      <c r="C60" s="34">
        <v>0</v>
      </c>
      <c r="D60" s="35">
        <f t="shared" si="0"/>
        <v>0</v>
      </c>
      <c r="E60" s="34">
        <v>5</v>
      </c>
      <c r="F60" s="34">
        <v>8</v>
      </c>
      <c r="G60" s="34">
        <f t="shared" si="1"/>
        <v>13</v>
      </c>
      <c r="H60" s="39">
        <f t="shared" si="2"/>
        <v>5</v>
      </c>
      <c r="I60" s="34">
        <f t="shared" si="2"/>
        <v>8</v>
      </c>
      <c r="J60" s="35">
        <f t="shared" si="3"/>
        <v>13</v>
      </c>
    </row>
    <row r="61" spans="1:10" x14ac:dyDescent="0.25">
      <c r="A61" s="12" t="s">
        <v>75</v>
      </c>
      <c r="B61" s="39">
        <v>0</v>
      </c>
      <c r="C61" s="34">
        <v>0</v>
      </c>
      <c r="D61" s="35">
        <f t="shared" si="0"/>
        <v>0</v>
      </c>
      <c r="E61" s="34">
        <v>6</v>
      </c>
      <c r="F61" s="34">
        <v>6</v>
      </c>
      <c r="G61" s="34">
        <f t="shared" si="1"/>
        <v>12</v>
      </c>
      <c r="H61" s="39">
        <f t="shared" si="2"/>
        <v>6</v>
      </c>
      <c r="I61" s="34">
        <f t="shared" si="2"/>
        <v>6</v>
      </c>
      <c r="J61" s="35">
        <f t="shared" si="3"/>
        <v>12</v>
      </c>
    </row>
    <row r="62" spans="1:10" x14ac:dyDescent="0.25">
      <c r="A62" s="12" t="s">
        <v>170</v>
      </c>
      <c r="B62" s="39">
        <v>0</v>
      </c>
      <c r="C62" s="34">
        <v>0</v>
      </c>
      <c r="D62" s="35">
        <f t="shared" si="0"/>
        <v>0</v>
      </c>
      <c r="E62" s="34">
        <v>2</v>
      </c>
      <c r="F62" s="34">
        <v>3</v>
      </c>
      <c r="G62" s="34">
        <f t="shared" si="1"/>
        <v>5</v>
      </c>
      <c r="H62" s="39">
        <f t="shared" si="2"/>
        <v>2</v>
      </c>
      <c r="I62" s="34">
        <f t="shared" si="2"/>
        <v>3</v>
      </c>
      <c r="J62" s="35">
        <f t="shared" si="3"/>
        <v>5</v>
      </c>
    </row>
    <row r="63" spans="1:10" x14ac:dyDescent="0.25">
      <c r="A63" s="12" t="s">
        <v>117</v>
      </c>
      <c r="B63" s="39">
        <v>0</v>
      </c>
      <c r="C63" s="34">
        <v>0</v>
      </c>
      <c r="D63" s="35">
        <f t="shared" si="0"/>
        <v>0</v>
      </c>
      <c r="E63" s="34">
        <v>15</v>
      </c>
      <c r="F63" s="34">
        <v>23</v>
      </c>
      <c r="G63" s="34">
        <f t="shared" si="1"/>
        <v>38</v>
      </c>
      <c r="H63" s="39">
        <f t="shared" si="2"/>
        <v>15</v>
      </c>
      <c r="I63" s="34">
        <f t="shared" si="2"/>
        <v>23</v>
      </c>
      <c r="J63" s="35">
        <f t="shared" si="3"/>
        <v>38</v>
      </c>
    </row>
    <row r="64" spans="1:10" x14ac:dyDescent="0.25">
      <c r="A64" s="12" t="s">
        <v>81</v>
      </c>
      <c r="B64" s="39">
        <v>0</v>
      </c>
      <c r="C64" s="34">
        <v>0</v>
      </c>
      <c r="D64" s="35">
        <f t="shared" si="0"/>
        <v>0</v>
      </c>
      <c r="E64" s="34">
        <v>153</v>
      </c>
      <c r="F64" s="34">
        <v>107</v>
      </c>
      <c r="G64" s="34">
        <f t="shared" si="1"/>
        <v>260</v>
      </c>
      <c r="H64" s="39">
        <f t="shared" si="2"/>
        <v>153</v>
      </c>
      <c r="I64" s="34">
        <f t="shared" si="2"/>
        <v>107</v>
      </c>
      <c r="J64" s="35">
        <f t="shared" si="3"/>
        <v>260</v>
      </c>
    </row>
    <row r="65" spans="1:10" x14ac:dyDescent="0.25">
      <c r="A65" s="12" t="s">
        <v>163</v>
      </c>
      <c r="B65" s="39">
        <v>0</v>
      </c>
      <c r="C65" s="34">
        <v>0</v>
      </c>
      <c r="D65" s="35">
        <f t="shared" si="0"/>
        <v>0</v>
      </c>
      <c r="E65" s="34">
        <v>8</v>
      </c>
      <c r="F65" s="34">
        <v>23</v>
      </c>
      <c r="G65" s="34">
        <f t="shared" si="1"/>
        <v>31</v>
      </c>
      <c r="H65" s="39">
        <f t="shared" si="2"/>
        <v>8</v>
      </c>
      <c r="I65" s="34">
        <f t="shared" si="2"/>
        <v>23</v>
      </c>
      <c r="J65" s="35">
        <f t="shared" si="3"/>
        <v>31</v>
      </c>
    </row>
    <row r="66" spans="1:10" x14ac:dyDescent="0.25">
      <c r="A66" s="12" t="s">
        <v>120</v>
      </c>
      <c r="B66" s="39">
        <v>0</v>
      </c>
      <c r="C66" s="34">
        <v>0</v>
      </c>
      <c r="D66" s="35">
        <f t="shared" si="0"/>
        <v>0</v>
      </c>
      <c r="E66" s="34">
        <v>7</v>
      </c>
      <c r="F66" s="34">
        <v>2</v>
      </c>
      <c r="G66" s="34">
        <f t="shared" si="1"/>
        <v>9</v>
      </c>
      <c r="H66" s="39">
        <f t="shared" si="2"/>
        <v>7</v>
      </c>
      <c r="I66" s="34">
        <f t="shared" si="2"/>
        <v>2</v>
      </c>
      <c r="J66" s="35">
        <f t="shared" si="3"/>
        <v>9</v>
      </c>
    </row>
    <row r="67" spans="1:10" x14ac:dyDescent="0.25">
      <c r="A67" s="12" t="s">
        <v>152</v>
      </c>
      <c r="B67" s="39">
        <v>0</v>
      </c>
      <c r="C67" s="34">
        <v>0</v>
      </c>
      <c r="D67" s="35">
        <f t="shared" si="0"/>
        <v>0</v>
      </c>
      <c r="E67" s="34">
        <v>2</v>
      </c>
      <c r="F67" s="34">
        <v>2</v>
      </c>
      <c r="G67" s="34">
        <f t="shared" si="1"/>
        <v>4</v>
      </c>
      <c r="H67" s="39">
        <f t="shared" si="2"/>
        <v>2</v>
      </c>
      <c r="I67" s="34">
        <f t="shared" si="2"/>
        <v>2</v>
      </c>
      <c r="J67" s="35">
        <f t="shared" si="3"/>
        <v>4</v>
      </c>
    </row>
    <row r="68" spans="1:10" x14ac:dyDescent="0.25">
      <c r="A68" s="12" t="s">
        <v>171</v>
      </c>
      <c r="B68" s="39">
        <v>29</v>
      </c>
      <c r="C68" s="34">
        <v>27</v>
      </c>
      <c r="D68" s="35">
        <f t="shared" si="0"/>
        <v>56</v>
      </c>
      <c r="E68" s="34">
        <v>19</v>
      </c>
      <c r="F68" s="34">
        <v>22</v>
      </c>
      <c r="G68" s="34">
        <f t="shared" si="1"/>
        <v>41</v>
      </c>
      <c r="H68" s="39">
        <f t="shared" si="2"/>
        <v>48</v>
      </c>
      <c r="I68" s="34">
        <f t="shared" si="2"/>
        <v>49</v>
      </c>
      <c r="J68" s="35">
        <f t="shared" si="3"/>
        <v>97</v>
      </c>
    </row>
    <row r="69" spans="1:10" x14ac:dyDescent="0.25">
      <c r="A69" s="12" t="s">
        <v>164</v>
      </c>
      <c r="B69" s="39">
        <v>0</v>
      </c>
      <c r="C69" s="34">
        <v>0</v>
      </c>
      <c r="D69" s="35">
        <f t="shared" si="0"/>
        <v>0</v>
      </c>
      <c r="E69" s="34">
        <v>11</v>
      </c>
      <c r="F69" s="34">
        <v>23</v>
      </c>
      <c r="G69" s="34">
        <f t="shared" si="1"/>
        <v>34</v>
      </c>
      <c r="H69" s="39">
        <f t="shared" si="2"/>
        <v>11</v>
      </c>
      <c r="I69" s="34">
        <f t="shared" si="2"/>
        <v>23</v>
      </c>
      <c r="J69" s="35">
        <f t="shared" si="3"/>
        <v>34</v>
      </c>
    </row>
    <row r="70" spans="1:10" x14ac:dyDescent="0.25">
      <c r="A70" s="12" t="s">
        <v>123</v>
      </c>
      <c r="B70" s="39">
        <v>0</v>
      </c>
      <c r="C70" s="34">
        <v>0</v>
      </c>
      <c r="D70" s="35">
        <f t="shared" si="0"/>
        <v>0</v>
      </c>
      <c r="E70" s="34">
        <v>41</v>
      </c>
      <c r="F70" s="34">
        <v>34</v>
      </c>
      <c r="G70" s="34">
        <f t="shared" si="1"/>
        <v>75</v>
      </c>
      <c r="H70" s="39">
        <f t="shared" si="2"/>
        <v>41</v>
      </c>
      <c r="I70" s="34">
        <f t="shared" si="2"/>
        <v>34</v>
      </c>
      <c r="J70" s="35">
        <f t="shared" si="3"/>
        <v>75</v>
      </c>
    </row>
    <row r="71" spans="1:10" x14ac:dyDescent="0.25">
      <c r="A71" s="12" t="s">
        <v>165</v>
      </c>
      <c r="B71" s="39">
        <v>0</v>
      </c>
      <c r="C71" s="34">
        <v>0</v>
      </c>
      <c r="D71" s="35">
        <f t="shared" si="0"/>
        <v>0</v>
      </c>
      <c r="E71" s="34">
        <v>2</v>
      </c>
      <c r="F71" s="34">
        <v>0</v>
      </c>
      <c r="G71" s="34">
        <f t="shared" si="1"/>
        <v>2</v>
      </c>
      <c r="H71" s="39">
        <f t="shared" si="2"/>
        <v>2</v>
      </c>
      <c r="I71" s="34">
        <f t="shared" si="2"/>
        <v>0</v>
      </c>
      <c r="J71" s="35">
        <f t="shared" si="3"/>
        <v>2</v>
      </c>
    </row>
    <row r="72" spans="1:10" x14ac:dyDescent="0.25">
      <c r="A72" s="12" t="s">
        <v>172</v>
      </c>
      <c r="B72" s="39">
        <v>0</v>
      </c>
      <c r="C72" s="34">
        <v>0</v>
      </c>
      <c r="D72" s="35">
        <f t="shared" si="0"/>
        <v>0</v>
      </c>
      <c r="E72" s="34">
        <v>19</v>
      </c>
      <c r="F72" s="34">
        <v>32</v>
      </c>
      <c r="G72" s="34">
        <f t="shared" si="1"/>
        <v>51</v>
      </c>
      <c r="H72" s="39">
        <f t="shared" si="2"/>
        <v>19</v>
      </c>
      <c r="I72" s="34">
        <f t="shared" si="2"/>
        <v>32</v>
      </c>
      <c r="J72" s="35">
        <f t="shared" si="3"/>
        <v>51</v>
      </c>
    </row>
    <row r="73" spans="1:10" x14ac:dyDescent="0.25">
      <c r="A73" s="12" t="s">
        <v>173</v>
      </c>
      <c r="B73" s="39">
        <v>0</v>
      </c>
      <c r="C73" s="34">
        <v>0</v>
      </c>
      <c r="D73" s="35">
        <f t="shared" si="0"/>
        <v>0</v>
      </c>
      <c r="E73" s="34">
        <v>0</v>
      </c>
      <c r="F73" s="34">
        <v>1</v>
      </c>
      <c r="G73" s="34">
        <f t="shared" si="1"/>
        <v>1</v>
      </c>
      <c r="H73" s="39">
        <f t="shared" si="2"/>
        <v>0</v>
      </c>
      <c r="I73" s="34">
        <f t="shared" si="2"/>
        <v>1</v>
      </c>
      <c r="J73" s="35">
        <f t="shared" si="3"/>
        <v>1</v>
      </c>
    </row>
    <row r="74" spans="1:10" x14ac:dyDescent="0.25">
      <c r="A74" s="12" t="s">
        <v>125</v>
      </c>
      <c r="B74" s="39">
        <v>0</v>
      </c>
      <c r="C74" s="34">
        <v>0</v>
      </c>
      <c r="D74" s="35">
        <f t="shared" si="0"/>
        <v>0</v>
      </c>
      <c r="E74" s="34">
        <v>1</v>
      </c>
      <c r="F74" s="34">
        <v>2</v>
      </c>
      <c r="G74" s="34">
        <f t="shared" si="1"/>
        <v>3</v>
      </c>
      <c r="H74" s="39">
        <f t="shared" si="2"/>
        <v>1</v>
      </c>
      <c r="I74" s="34">
        <f t="shared" si="2"/>
        <v>2</v>
      </c>
      <c r="J74" s="35">
        <f t="shared" si="3"/>
        <v>3</v>
      </c>
    </row>
    <row r="75" spans="1:10" x14ac:dyDescent="0.25">
      <c r="A75" s="12" t="s">
        <v>126</v>
      </c>
      <c r="B75" s="39">
        <v>0</v>
      </c>
      <c r="C75" s="34">
        <v>0</v>
      </c>
      <c r="D75" s="35">
        <f t="shared" si="0"/>
        <v>0</v>
      </c>
      <c r="E75" s="34">
        <v>8</v>
      </c>
      <c r="F75" s="34">
        <v>15</v>
      </c>
      <c r="G75" s="34">
        <f t="shared" si="1"/>
        <v>23</v>
      </c>
      <c r="H75" s="39">
        <f t="shared" si="2"/>
        <v>8</v>
      </c>
      <c r="I75" s="34">
        <f t="shared" si="2"/>
        <v>15</v>
      </c>
      <c r="J75" s="35">
        <f t="shared" si="3"/>
        <v>23</v>
      </c>
    </row>
    <row r="76" spans="1:10" x14ac:dyDescent="0.25">
      <c r="A76" s="12" t="s">
        <v>127</v>
      </c>
      <c r="B76" s="39">
        <v>0</v>
      </c>
      <c r="C76" s="34">
        <v>0</v>
      </c>
      <c r="D76" s="35">
        <f t="shared" si="0"/>
        <v>0</v>
      </c>
      <c r="E76" s="34">
        <v>5</v>
      </c>
      <c r="F76" s="34">
        <v>16</v>
      </c>
      <c r="G76" s="34">
        <f t="shared" si="1"/>
        <v>21</v>
      </c>
      <c r="H76" s="39">
        <f t="shared" si="2"/>
        <v>5</v>
      </c>
      <c r="I76" s="34">
        <f t="shared" si="2"/>
        <v>16</v>
      </c>
      <c r="J76" s="35">
        <f t="shared" si="3"/>
        <v>21</v>
      </c>
    </row>
    <row r="77" spans="1:10" x14ac:dyDescent="0.25">
      <c r="A77" s="12" t="s">
        <v>148</v>
      </c>
      <c r="B77" s="39">
        <v>11</v>
      </c>
      <c r="C77" s="34">
        <v>2</v>
      </c>
      <c r="D77" s="35">
        <f t="shared" si="0"/>
        <v>13</v>
      </c>
      <c r="E77" s="34">
        <v>10</v>
      </c>
      <c r="F77" s="34">
        <v>2</v>
      </c>
      <c r="G77" s="34">
        <f t="shared" si="1"/>
        <v>12</v>
      </c>
      <c r="H77" s="39">
        <f t="shared" si="2"/>
        <v>21</v>
      </c>
      <c r="I77" s="34">
        <f t="shared" si="2"/>
        <v>4</v>
      </c>
      <c r="J77" s="35">
        <f t="shared" si="3"/>
        <v>25</v>
      </c>
    </row>
    <row r="78" spans="1:10" x14ac:dyDescent="0.25">
      <c r="A78" s="12" t="s">
        <v>174</v>
      </c>
      <c r="B78" s="39">
        <v>0</v>
      </c>
      <c r="C78" s="34">
        <v>0</v>
      </c>
      <c r="D78" s="35">
        <f t="shared" si="0"/>
        <v>0</v>
      </c>
      <c r="E78" s="34">
        <v>2</v>
      </c>
      <c r="F78" s="34">
        <v>4</v>
      </c>
      <c r="G78" s="34">
        <f t="shared" si="1"/>
        <v>6</v>
      </c>
      <c r="H78" s="39">
        <f t="shared" si="2"/>
        <v>2</v>
      </c>
      <c r="I78" s="34">
        <f t="shared" si="2"/>
        <v>4</v>
      </c>
      <c r="J78" s="35">
        <f t="shared" si="3"/>
        <v>6</v>
      </c>
    </row>
    <row r="79" spans="1:10" x14ac:dyDescent="0.25">
      <c r="A79" s="12" t="s">
        <v>166</v>
      </c>
      <c r="B79" s="39">
        <v>13</v>
      </c>
      <c r="C79" s="34">
        <v>48</v>
      </c>
      <c r="D79" s="35">
        <f t="shared" si="0"/>
        <v>61</v>
      </c>
      <c r="E79" s="34">
        <v>0</v>
      </c>
      <c r="F79" s="34">
        <v>0</v>
      </c>
      <c r="G79" s="34">
        <f t="shared" si="1"/>
        <v>0</v>
      </c>
      <c r="H79" s="39">
        <f t="shared" si="2"/>
        <v>13</v>
      </c>
      <c r="I79" s="34">
        <f t="shared" si="2"/>
        <v>48</v>
      </c>
      <c r="J79" s="35">
        <f t="shared" si="3"/>
        <v>61</v>
      </c>
    </row>
    <row r="80" spans="1:10" x14ac:dyDescent="0.25">
      <c r="A80" s="12" t="s">
        <v>175</v>
      </c>
      <c r="B80" s="39">
        <v>0</v>
      </c>
      <c r="C80" s="34">
        <v>0</v>
      </c>
      <c r="D80" s="35">
        <f t="shared" si="0"/>
        <v>0</v>
      </c>
      <c r="E80" s="34">
        <v>4</v>
      </c>
      <c r="F80" s="34">
        <v>5</v>
      </c>
      <c r="G80" s="34">
        <f t="shared" si="1"/>
        <v>9</v>
      </c>
      <c r="H80" s="39">
        <f t="shared" si="2"/>
        <v>4</v>
      </c>
      <c r="I80" s="34">
        <f t="shared" si="2"/>
        <v>5</v>
      </c>
      <c r="J80" s="35">
        <f t="shared" si="3"/>
        <v>9</v>
      </c>
    </row>
    <row r="81" spans="1:10" x14ac:dyDescent="0.25">
      <c r="A81" s="12" t="s">
        <v>176</v>
      </c>
      <c r="B81" s="39">
        <v>0</v>
      </c>
      <c r="C81" s="34">
        <v>0</v>
      </c>
      <c r="D81" s="35">
        <f t="shared" si="0"/>
        <v>0</v>
      </c>
      <c r="E81" s="34">
        <v>27</v>
      </c>
      <c r="F81" s="34">
        <v>66</v>
      </c>
      <c r="G81" s="34">
        <f t="shared" si="1"/>
        <v>93</v>
      </c>
      <c r="H81" s="39">
        <f t="shared" si="2"/>
        <v>27</v>
      </c>
      <c r="I81" s="34">
        <f t="shared" si="2"/>
        <v>66</v>
      </c>
      <c r="J81" s="35">
        <f t="shared" si="3"/>
        <v>93</v>
      </c>
    </row>
    <row r="82" spans="1:10" x14ac:dyDescent="0.25">
      <c r="A82" s="12" t="s">
        <v>154</v>
      </c>
      <c r="B82" s="39">
        <v>0</v>
      </c>
      <c r="C82" s="34">
        <v>0</v>
      </c>
      <c r="D82" s="35">
        <f t="shared" si="0"/>
        <v>0</v>
      </c>
      <c r="E82" s="34">
        <v>11</v>
      </c>
      <c r="F82" s="34">
        <v>13</v>
      </c>
      <c r="G82" s="34">
        <f t="shared" si="1"/>
        <v>24</v>
      </c>
      <c r="H82" s="39">
        <f t="shared" si="2"/>
        <v>11</v>
      </c>
      <c r="I82" s="34">
        <f t="shared" si="2"/>
        <v>13</v>
      </c>
      <c r="J82" s="35">
        <f t="shared" si="3"/>
        <v>24</v>
      </c>
    </row>
    <row r="83" spans="1:10" x14ac:dyDescent="0.25">
      <c r="A83" s="12" t="s">
        <v>131</v>
      </c>
      <c r="B83" s="39">
        <v>6</v>
      </c>
      <c r="C83" s="34">
        <v>4</v>
      </c>
      <c r="D83" s="35">
        <f t="shared" si="0"/>
        <v>10</v>
      </c>
      <c r="E83" s="34">
        <v>16</v>
      </c>
      <c r="F83" s="34">
        <v>7</v>
      </c>
      <c r="G83" s="34">
        <f t="shared" si="1"/>
        <v>23</v>
      </c>
      <c r="H83" s="39">
        <f t="shared" si="2"/>
        <v>22</v>
      </c>
      <c r="I83" s="34">
        <f t="shared" si="2"/>
        <v>11</v>
      </c>
      <c r="J83" s="35">
        <f t="shared" si="3"/>
        <v>33</v>
      </c>
    </row>
    <row r="84" spans="1:10" x14ac:dyDescent="0.25">
      <c r="A84" s="12" t="s">
        <v>167</v>
      </c>
      <c r="B84" s="39">
        <v>0</v>
      </c>
      <c r="C84" s="34">
        <v>0</v>
      </c>
      <c r="D84" s="35">
        <f t="shared" si="0"/>
        <v>0</v>
      </c>
      <c r="E84" s="34">
        <v>28</v>
      </c>
      <c r="F84" s="34">
        <v>7</v>
      </c>
      <c r="G84" s="34">
        <f t="shared" si="1"/>
        <v>35</v>
      </c>
      <c r="H84" s="39">
        <f t="shared" si="2"/>
        <v>28</v>
      </c>
      <c r="I84" s="34">
        <f t="shared" si="2"/>
        <v>7</v>
      </c>
      <c r="J84" s="35">
        <f t="shared" si="3"/>
        <v>35</v>
      </c>
    </row>
    <row r="85" spans="1:10" x14ac:dyDescent="0.25">
      <c r="A85" s="12" t="s">
        <v>158</v>
      </c>
      <c r="B85" s="39">
        <v>0</v>
      </c>
      <c r="C85" s="34">
        <v>0</v>
      </c>
      <c r="D85" s="35">
        <f t="shared" si="0"/>
        <v>0</v>
      </c>
      <c r="E85" s="34">
        <v>2</v>
      </c>
      <c r="F85" s="34">
        <v>7</v>
      </c>
      <c r="G85" s="34">
        <f t="shared" si="1"/>
        <v>9</v>
      </c>
      <c r="H85" s="39">
        <f t="shared" si="2"/>
        <v>2</v>
      </c>
      <c r="I85" s="34">
        <f t="shared" si="2"/>
        <v>7</v>
      </c>
      <c r="J85" s="35">
        <f t="shared" si="3"/>
        <v>9</v>
      </c>
    </row>
    <row r="86" spans="1:10" x14ac:dyDescent="0.25">
      <c r="A86" s="12" t="s">
        <v>79</v>
      </c>
      <c r="B86" s="39">
        <v>0</v>
      </c>
      <c r="C86" s="34">
        <v>0</v>
      </c>
      <c r="D86" s="35">
        <f t="shared" si="0"/>
        <v>0</v>
      </c>
      <c r="E86" s="34">
        <v>66</v>
      </c>
      <c r="F86" s="34">
        <v>144</v>
      </c>
      <c r="G86" s="34">
        <f t="shared" si="1"/>
        <v>210</v>
      </c>
      <c r="H86" s="39">
        <f t="shared" si="2"/>
        <v>66</v>
      </c>
      <c r="I86" s="34">
        <f t="shared" si="2"/>
        <v>144</v>
      </c>
      <c r="J86" s="35">
        <f t="shared" si="3"/>
        <v>210</v>
      </c>
    </row>
    <row r="87" spans="1:10" x14ac:dyDescent="0.25">
      <c r="A87" s="12" t="s">
        <v>86</v>
      </c>
      <c r="B87" s="39">
        <v>0</v>
      </c>
      <c r="C87" s="34">
        <v>0</v>
      </c>
      <c r="D87" s="35">
        <f t="shared" si="0"/>
        <v>0</v>
      </c>
      <c r="E87" s="34">
        <v>57</v>
      </c>
      <c r="F87" s="34">
        <v>46</v>
      </c>
      <c r="G87" s="34">
        <f t="shared" si="1"/>
        <v>103</v>
      </c>
      <c r="H87" s="39">
        <f t="shared" si="2"/>
        <v>57</v>
      </c>
      <c r="I87" s="34">
        <f t="shared" si="2"/>
        <v>46</v>
      </c>
      <c r="J87" s="35">
        <f t="shared" si="3"/>
        <v>103</v>
      </c>
    </row>
    <row r="88" spans="1:10" x14ac:dyDescent="0.25">
      <c r="A88" s="12" t="s">
        <v>87</v>
      </c>
      <c r="B88" s="39">
        <v>0</v>
      </c>
      <c r="C88" s="34">
        <v>0</v>
      </c>
      <c r="D88" s="35">
        <f t="shared" si="0"/>
        <v>0</v>
      </c>
      <c r="E88" s="34">
        <v>35</v>
      </c>
      <c r="F88" s="34">
        <v>32</v>
      </c>
      <c r="G88" s="34">
        <f t="shared" si="1"/>
        <v>67</v>
      </c>
      <c r="H88" s="39">
        <f t="shared" si="2"/>
        <v>35</v>
      </c>
      <c r="I88" s="34">
        <f t="shared" si="2"/>
        <v>32</v>
      </c>
      <c r="J88" s="35">
        <f t="shared" si="3"/>
        <v>67</v>
      </c>
    </row>
    <row r="89" spans="1:10" x14ac:dyDescent="0.25">
      <c r="A89" s="12" t="s">
        <v>177</v>
      </c>
      <c r="B89" s="39">
        <v>305</v>
      </c>
      <c r="C89" s="34">
        <v>316</v>
      </c>
      <c r="D89" s="35">
        <f t="shared" si="0"/>
        <v>621</v>
      </c>
      <c r="E89" s="34">
        <v>69</v>
      </c>
      <c r="F89" s="34">
        <v>66</v>
      </c>
      <c r="G89" s="34">
        <f t="shared" si="1"/>
        <v>135</v>
      </c>
      <c r="H89" s="39">
        <f t="shared" si="2"/>
        <v>374</v>
      </c>
      <c r="I89" s="34">
        <f t="shared" si="2"/>
        <v>382</v>
      </c>
      <c r="J89" s="35">
        <f t="shared" si="3"/>
        <v>756</v>
      </c>
    </row>
    <row r="90" spans="1:10" ht="15.75" thickBot="1" x14ac:dyDescent="0.3">
      <c r="A90" s="13" t="s">
        <v>178</v>
      </c>
      <c r="B90" s="43">
        <v>148</v>
      </c>
      <c r="C90" s="44">
        <v>207</v>
      </c>
      <c r="D90" s="45">
        <v>0</v>
      </c>
      <c r="E90" s="44">
        <v>70</v>
      </c>
      <c r="F90" s="44">
        <v>101</v>
      </c>
      <c r="G90" s="44">
        <f t="shared" si="1"/>
        <v>171</v>
      </c>
      <c r="H90" s="43">
        <f t="shared" ref="H90:I91" si="4">B90+E90</f>
        <v>218</v>
      </c>
      <c r="I90" s="44">
        <f t="shared" si="4"/>
        <v>308</v>
      </c>
      <c r="J90" s="45">
        <f t="shared" ref="J90:J91" si="5">SUM(H90:I90)</f>
        <v>526</v>
      </c>
    </row>
    <row r="91" spans="1:10" ht="16.5" thickTop="1" thickBot="1" x14ac:dyDescent="0.3">
      <c r="A91" s="8" t="s">
        <v>0</v>
      </c>
      <c r="B91" s="8">
        <f>SUM(B7:B90)</f>
        <v>5069</v>
      </c>
      <c r="C91" s="36">
        <f>SUM(C7:C90)</f>
        <v>5456</v>
      </c>
      <c r="D91" s="40">
        <f>SUM(D7:D90)</f>
        <v>10170</v>
      </c>
      <c r="E91" s="36">
        <f>SUM(E7:E90)</f>
        <v>2955</v>
      </c>
      <c r="F91" s="36">
        <f>SUM(F7:F90)</f>
        <v>2856</v>
      </c>
      <c r="G91" s="36">
        <f t="shared" ref="G91" si="6">SUM(E91:F91)</f>
        <v>5811</v>
      </c>
      <c r="H91" s="41">
        <f t="shared" si="4"/>
        <v>8024</v>
      </c>
      <c r="I91" s="37">
        <f t="shared" si="4"/>
        <v>8312</v>
      </c>
      <c r="J91" s="38">
        <f t="shared" si="5"/>
        <v>16336</v>
      </c>
    </row>
    <row r="92" spans="1:10" ht="15.75" thickBo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</row>
    <row r="93" spans="1:10" x14ac:dyDescent="0.25">
      <c r="A93" s="16" t="s">
        <v>16</v>
      </c>
      <c r="B93" s="58" t="s">
        <v>3</v>
      </c>
      <c r="C93" s="59"/>
      <c r="D93" s="60"/>
      <c r="E93" s="58" t="s">
        <v>4</v>
      </c>
      <c r="F93" s="59"/>
      <c r="G93" s="60"/>
      <c r="H93" s="58" t="s">
        <v>0</v>
      </c>
      <c r="I93" s="59"/>
      <c r="J93" s="60"/>
    </row>
    <row r="94" spans="1:10" x14ac:dyDescent="0.25">
      <c r="A94" s="17"/>
      <c r="B94" s="32" t="s">
        <v>5</v>
      </c>
      <c r="C94" s="31" t="s">
        <v>6</v>
      </c>
      <c r="D94" s="33" t="s">
        <v>0</v>
      </c>
      <c r="E94" s="32" t="s">
        <v>5</v>
      </c>
      <c r="F94" s="31" t="s">
        <v>6</v>
      </c>
      <c r="G94" s="33" t="s">
        <v>0</v>
      </c>
      <c r="H94" s="32" t="s">
        <v>5</v>
      </c>
      <c r="I94" s="31" t="s">
        <v>6</v>
      </c>
      <c r="J94" s="30" t="s">
        <v>0</v>
      </c>
    </row>
    <row r="95" spans="1:10" x14ac:dyDescent="0.25">
      <c r="A95" s="29" t="s">
        <v>15</v>
      </c>
      <c r="B95" s="6">
        <v>558</v>
      </c>
      <c r="C95" s="4">
        <v>1244</v>
      </c>
      <c r="D95" s="5">
        <f t="shared" ref="D95:D105" si="7">B95+C95</f>
        <v>1802</v>
      </c>
      <c r="E95" s="6">
        <v>211</v>
      </c>
      <c r="F95" s="4">
        <v>374</v>
      </c>
      <c r="G95" s="4">
        <f t="shared" ref="G95:G105" si="8">E95+F95</f>
        <v>585</v>
      </c>
      <c r="H95" s="6">
        <f>B95+E95</f>
        <v>769</v>
      </c>
      <c r="I95" s="4">
        <f>C95+F95</f>
        <v>1618</v>
      </c>
      <c r="J95" s="7">
        <f t="shared" ref="J95:J105" si="9">H95+I95</f>
        <v>2387</v>
      </c>
    </row>
    <row r="96" spans="1:10" x14ac:dyDescent="0.25">
      <c r="A96" s="29" t="s">
        <v>14</v>
      </c>
      <c r="B96" s="6">
        <v>186</v>
      </c>
      <c r="C96" s="4">
        <v>131</v>
      </c>
      <c r="D96" s="5">
        <f t="shared" ref="D96:D98" si="10">B96+C96</f>
        <v>317</v>
      </c>
      <c r="E96" s="6">
        <v>392</v>
      </c>
      <c r="F96" s="4">
        <v>272</v>
      </c>
      <c r="G96" s="4">
        <f t="shared" ref="G96:G98" si="11">E96+F96</f>
        <v>664</v>
      </c>
      <c r="H96" s="6">
        <f t="shared" ref="H96:H98" si="12">B96+E96</f>
        <v>578</v>
      </c>
      <c r="I96" s="4">
        <f t="shared" ref="I96:I98" si="13">C96+F96</f>
        <v>403</v>
      </c>
      <c r="J96" s="7">
        <f t="shared" ref="J96:J98" si="14">H96+I96</f>
        <v>981</v>
      </c>
    </row>
    <row r="97" spans="1:10" x14ac:dyDescent="0.25">
      <c r="A97" s="29" t="s">
        <v>155</v>
      </c>
      <c r="B97" s="6">
        <v>375</v>
      </c>
      <c r="C97" s="4">
        <v>356</v>
      </c>
      <c r="D97" s="5">
        <f t="shared" si="10"/>
        <v>731</v>
      </c>
      <c r="E97" s="6">
        <v>402</v>
      </c>
      <c r="F97" s="4">
        <v>532</v>
      </c>
      <c r="G97" s="4">
        <f t="shared" si="11"/>
        <v>934</v>
      </c>
      <c r="H97" s="6">
        <f t="shared" si="12"/>
        <v>777</v>
      </c>
      <c r="I97" s="4">
        <f t="shared" si="13"/>
        <v>888</v>
      </c>
      <c r="J97" s="7">
        <f t="shared" si="14"/>
        <v>1665</v>
      </c>
    </row>
    <row r="98" spans="1:10" x14ac:dyDescent="0.25">
      <c r="A98" s="29" t="s">
        <v>12</v>
      </c>
      <c r="B98" s="6">
        <v>718</v>
      </c>
      <c r="C98" s="4">
        <v>182</v>
      </c>
      <c r="D98" s="5">
        <f t="shared" si="10"/>
        <v>900</v>
      </c>
      <c r="E98" s="6">
        <v>548</v>
      </c>
      <c r="F98" s="4">
        <v>120</v>
      </c>
      <c r="G98" s="4">
        <f t="shared" si="11"/>
        <v>668</v>
      </c>
      <c r="H98" s="6">
        <f t="shared" si="12"/>
        <v>1266</v>
      </c>
      <c r="I98" s="4">
        <f t="shared" si="13"/>
        <v>302</v>
      </c>
      <c r="J98" s="7">
        <f t="shared" si="14"/>
        <v>1568</v>
      </c>
    </row>
    <row r="99" spans="1:10" x14ac:dyDescent="0.25">
      <c r="A99" s="29" t="s">
        <v>1</v>
      </c>
      <c r="B99" s="6">
        <v>196</v>
      </c>
      <c r="C99" s="4">
        <v>294</v>
      </c>
      <c r="D99" s="5">
        <f t="shared" si="7"/>
        <v>490</v>
      </c>
      <c r="E99" s="6">
        <v>164</v>
      </c>
      <c r="F99" s="4">
        <v>197</v>
      </c>
      <c r="G99" s="4">
        <f t="shared" si="8"/>
        <v>361</v>
      </c>
      <c r="H99" s="6">
        <f t="shared" ref="H99:I105" si="15">B99+E99</f>
        <v>360</v>
      </c>
      <c r="I99" s="4">
        <f t="shared" si="15"/>
        <v>491</v>
      </c>
      <c r="J99" s="7">
        <f t="shared" si="9"/>
        <v>851</v>
      </c>
    </row>
    <row r="100" spans="1:10" x14ac:dyDescent="0.25">
      <c r="A100" s="29" t="s">
        <v>11</v>
      </c>
      <c r="B100" s="6">
        <v>730</v>
      </c>
      <c r="C100" s="4">
        <v>1259</v>
      </c>
      <c r="D100" s="5">
        <f t="shared" si="7"/>
        <v>1989</v>
      </c>
      <c r="E100" s="6">
        <v>292</v>
      </c>
      <c r="F100" s="4">
        <v>495</v>
      </c>
      <c r="G100" s="4">
        <f t="shared" si="8"/>
        <v>787</v>
      </c>
      <c r="H100" s="6">
        <f t="shared" si="15"/>
        <v>1022</v>
      </c>
      <c r="I100" s="4">
        <f t="shared" si="15"/>
        <v>1754</v>
      </c>
      <c r="J100" s="7">
        <f t="shared" si="9"/>
        <v>2776</v>
      </c>
    </row>
    <row r="101" spans="1:10" x14ac:dyDescent="0.25">
      <c r="A101" s="29" t="s">
        <v>10</v>
      </c>
      <c r="B101" s="6">
        <v>1083</v>
      </c>
      <c r="C101" s="4">
        <v>586</v>
      </c>
      <c r="D101" s="5">
        <f t="shared" si="7"/>
        <v>1669</v>
      </c>
      <c r="E101" s="6">
        <v>341</v>
      </c>
      <c r="F101" s="4">
        <v>168</v>
      </c>
      <c r="G101" s="4">
        <f t="shared" si="8"/>
        <v>509</v>
      </c>
      <c r="H101" s="6">
        <f t="shared" si="15"/>
        <v>1424</v>
      </c>
      <c r="I101" s="4">
        <f t="shared" si="15"/>
        <v>754</v>
      </c>
      <c r="J101" s="7">
        <f t="shared" si="9"/>
        <v>2178</v>
      </c>
    </row>
    <row r="102" spans="1:10" x14ac:dyDescent="0.25">
      <c r="A102" s="29" t="s">
        <v>9</v>
      </c>
      <c r="B102" s="6">
        <v>770</v>
      </c>
      <c r="C102" s="4">
        <v>881</v>
      </c>
      <c r="D102" s="5">
        <f t="shared" si="7"/>
        <v>1651</v>
      </c>
      <c r="E102" s="6">
        <v>313</v>
      </c>
      <c r="F102" s="4">
        <v>424</v>
      </c>
      <c r="G102" s="4">
        <f t="shared" si="8"/>
        <v>737</v>
      </c>
      <c r="H102" s="6">
        <f t="shared" si="15"/>
        <v>1083</v>
      </c>
      <c r="I102" s="4">
        <f t="shared" si="15"/>
        <v>1305</v>
      </c>
      <c r="J102" s="7">
        <f t="shared" si="9"/>
        <v>2388</v>
      </c>
    </row>
    <row r="103" spans="1:10" x14ac:dyDescent="0.25">
      <c r="A103" s="29" t="s">
        <v>81</v>
      </c>
      <c r="B103" s="6">
        <v>0</v>
      </c>
      <c r="C103" s="4">
        <v>0</v>
      </c>
      <c r="D103" s="5">
        <f t="shared" si="7"/>
        <v>0</v>
      </c>
      <c r="E103" s="6">
        <v>153</v>
      </c>
      <c r="F103" s="4">
        <v>107</v>
      </c>
      <c r="G103" s="4">
        <f t="shared" si="8"/>
        <v>260</v>
      </c>
      <c r="H103" s="6">
        <f t="shared" si="15"/>
        <v>153</v>
      </c>
      <c r="I103" s="4">
        <f t="shared" si="15"/>
        <v>107</v>
      </c>
      <c r="J103" s="7">
        <f t="shared" si="9"/>
        <v>260</v>
      </c>
    </row>
    <row r="104" spans="1:10" x14ac:dyDescent="0.25">
      <c r="A104" s="29" t="s">
        <v>178</v>
      </c>
      <c r="B104" s="6">
        <v>148</v>
      </c>
      <c r="C104" s="4">
        <v>207</v>
      </c>
      <c r="D104" s="5">
        <f t="shared" si="7"/>
        <v>355</v>
      </c>
      <c r="E104" s="6">
        <v>70</v>
      </c>
      <c r="F104" s="4">
        <v>101</v>
      </c>
      <c r="G104" s="4">
        <f t="shared" si="8"/>
        <v>171</v>
      </c>
      <c r="H104" s="6">
        <f t="shared" si="15"/>
        <v>218</v>
      </c>
      <c r="I104" s="4">
        <f t="shared" si="15"/>
        <v>308</v>
      </c>
      <c r="J104" s="7">
        <f t="shared" si="9"/>
        <v>526</v>
      </c>
    </row>
    <row r="105" spans="1:10" ht="15.75" thickBot="1" x14ac:dyDescent="0.3">
      <c r="A105" s="28" t="s">
        <v>177</v>
      </c>
      <c r="B105" s="10">
        <v>305</v>
      </c>
      <c r="C105" s="27">
        <v>316</v>
      </c>
      <c r="D105" s="14">
        <f t="shared" si="7"/>
        <v>621</v>
      </c>
      <c r="E105" s="10">
        <v>69</v>
      </c>
      <c r="F105" s="11">
        <v>66</v>
      </c>
      <c r="G105" s="11">
        <f t="shared" si="8"/>
        <v>135</v>
      </c>
      <c r="H105" s="10">
        <f t="shared" si="15"/>
        <v>374</v>
      </c>
      <c r="I105" s="11">
        <f t="shared" si="15"/>
        <v>382</v>
      </c>
      <c r="J105" s="26">
        <f t="shared" si="9"/>
        <v>756</v>
      </c>
    </row>
    <row r="106" spans="1:10" ht="16.5" thickTop="1" thickBot="1" x14ac:dyDescent="0.3">
      <c r="A106" s="9" t="s">
        <v>0</v>
      </c>
      <c r="B106" s="8">
        <f t="shared" ref="B106:J106" si="16">SUM(B95:B105)</f>
        <v>5069</v>
      </c>
      <c r="C106" s="8">
        <f t="shared" si="16"/>
        <v>5456</v>
      </c>
      <c r="D106" s="8">
        <f t="shared" si="16"/>
        <v>10525</v>
      </c>
      <c r="E106" s="8">
        <f t="shared" si="16"/>
        <v>2955</v>
      </c>
      <c r="F106" s="8">
        <f t="shared" si="16"/>
        <v>2856</v>
      </c>
      <c r="G106" s="8">
        <f t="shared" si="16"/>
        <v>5811</v>
      </c>
      <c r="H106" s="8">
        <f t="shared" si="16"/>
        <v>8024</v>
      </c>
      <c r="I106" s="8">
        <f t="shared" si="16"/>
        <v>8312</v>
      </c>
      <c r="J106" s="9">
        <f t="shared" si="16"/>
        <v>16336</v>
      </c>
    </row>
    <row r="107" spans="1:10" ht="15.75" thickBot="1" x14ac:dyDescent="0.3">
      <c r="A107" s="25"/>
      <c r="B107" s="25"/>
      <c r="C107" s="25"/>
      <c r="D107" s="25"/>
      <c r="E107" s="25"/>
      <c r="F107" s="25"/>
      <c r="G107" s="25"/>
      <c r="H107" s="25"/>
      <c r="I107" s="25"/>
      <c r="J107" s="25"/>
    </row>
    <row r="108" spans="1:10" x14ac:dyDescent="0.25">
      <c r="A108" s="12" t="s">
        <v>15</v>
      </c>
      <c r="B108" s="24">
        <f>B95/D95</f>
        <v>0.30965593784683687</v>
      </c>
      <c r="C108" s="23">
        <f>C95/D95</f>
        <v>0.69034406215316313</v>
      </c>
      <c r="D108" s="5"/>
      <c r="E108" s="24">
        <f>E95/G95</f>
        <v>0.36068376068376068</v>
      </c>
      <c r="F108" s="23">
        <f>F95/G95</f>
        <v>0.63931623931623927</v>
      </c>
      <c r="G108" s="4"/>
      <c r="H108" s="24">
        <f>H95/J95</f>
        <v>0.32216170925848348</v>
      </c>
      <c r="I108" s="23">
        <f>I95/J95</f>
        <v>0.67783829074151658</v>
      </c>
      <c r="J108" s="7"/>
    </row>
    <row r="109" spans="1:10" x14ac:dyDescent="0.25">
      <c r="A109" s="12" t="s">
        <v>14</v>
      </c>
      <c r="B109" s="24">
        <f>B96/D96</f>
        <v>0.58675078864353314</v>
      </c>
      <c r="C109" s="23">
        <f>C96/D96</f>
        <v>0.41324921135646686</v>
      </c>
      <c r="D109" s="5"/>
      <c r="E109" s="24">
        <f>E96/G96</f>
        <v>0.59036144578313254</v>
      </c>
      <c r="F109" s="23">
        <f>F96/G96</f>
        <v>0.40963855421686746</v>
      </c>
      <c r="G109" s="4"/>
      <c r="H109" s="24">
        <f>H96/J96</f>
        <v>0.58919469928644241</v>
      </c>
      <c r="I109" s="23">
        <f>I96/J96</f>
        <v>0.41080530071355759</v>
      </c>
      <c r="J109" s="7"/>
    </row>
    <row r="110" spans="1:10" x14ac:dyDescent="0.25">
      <c r="A110" s="12" t="s">
        <v>155</v>
      </c>
      <c r="B110" s="24">
        <f>B97/D97</f>
        <v>0.51299589603283169</v>
      </c>
      <c r="C110" s="23">
        <f>C97/D97</f>
        <v>0.48700410396716826</v>
      </c>
      <c r="D110" s="5"/>
      <c r="E110" s="24">
        <f>E97/G97</f>
        <v>0.43040685224839398</v>
      </c>
      <c r="F110" s="23">
        <f>F97/G97</f>
        <v>0.56959314775160597</v>
      </c>
      <c r="G110" s="4"/>
      <c r="H110" s="24">
        <f>H97/J97</f>
        <v>0.46666666666666667</v>
      </c>
      <c r="I110" s="23">
        <f>I97/J97</f>
        <v>0.53333333333333333</v>
      </c>
      <c r="J110" s="7"/>
    </row>
    <row r="111" spans="1:10" x14ac:dyDescent="0.25">
      <c r="A111" s="12" t="s">
        <v>12</v>
      </c>
      <c r="B111" s="24">
        <f t="shared" ref="B111:B112" si="17">B98/D98</f>
        <v>0.79777777777777781</v>
      </c>
      <c r="C111" s="23">
        <f t="shared" ref="C111:C112" si="18">C98/D98</f>
        <v>0.20222222222222222</v>
      </c>
      <c r="D111" s="5"/>
      <c r="E111" s="24">
        <f t="shared" ref="E111:E112" si="19">E98/G98</f>
        <v>0.82035928143712578</v>
      </c>
      <c r="F111" s="23">
        <f t="shared" ref="F111:F112" si="20">F98/G98</f>
        <v>0.17964071856287425</v>
      </c>
      <c r="G111" s="4"/>
      <c r="H111" s="24">
        <f t="shared" ref="H111:H112" si="21">H98/J98</f>
        <v>0.80739795918367352</v>
      </c>
      <c r="I111" s="23">
        <f t="shared" ref="I111:I112" si="22">I98/J98</f>
        <v>0.19260204081632654</v>
      </c>
      <c r="J111" s="7"/>
    </row>
    <row r="112" spans="1:10" x14ac:dyDescent="0.25">
      <c r="A112" s="12" t="s">
        <v>1</v>
      </c>
      <c r="B112" s="24">
        <f t="shared" si="17"/>
        <v>0.4</v>
      </c>
      <c r="C112" s="23">
        <f t="shared" si="18"/>
        <v>0.6</v>
      </c>
      <c r="D112" s="5"/>
      <c r="E112" s="24">
        <f t="shared" si="19"/>
        <v>0.45429362880886426</v>
      </c>
      <c r="F112" s="23">
        <f t="shared" si="20"/>
        <v>0.54570637119113574</v>
      </c>
      <c r="G112" s="4"/>
      <c r="H112" s="24">
        <f t="shared" si="21"/>
        <v>0.42303172737955347</v>
      </c>
      <c r="I112" s="23">
        <f t="shared" si="22"/>
        <v>0.57696827262044659</v>
      </c>
      <c r="J112" s="7"/>
    </row>
    <row r="113" spans="1:10" x14ac:dyDescent="0.25">
      <c r="A113" s="12" t="s">
        <v>11</v>
      </c>
      <c r="B113" s="24">
        <f>B100/D100</f>
        <v>0.36701860231271993</v>
      </c>
      <c r="C113" s="23">
        <f>C100/D100</f>
        <v>0.63298139768728001</v>
      </c>
      <c r="D113" s="5"/>
      <c r="E113" s="24">
        <f>E100/G100</f>
        <v>0.37102922490470142</v>
      </c>
      <c r="F113" s="23">
        <f>F100/G100</f>
        <v>0.62897077509529864</v>
      </c>
      <c r="G113" s="4"/>
      <c r="H113" s="24">
        <f>H100/J100</f>
        <v>0.36815561959654181</v>
      </c>
      <c r="I113" s="23">
        <f>I100/J100</f>
        <v>0.63184438040345825</v>
      </c>
      <c r="J113" s="7"/>
    </row>
    <row r="114" spans="1:10" x14ac:dyDescent="0.25">
      <c r="A114" s="12" t="s">
        <v>10</v>
      </c>
      <c r="B114" s="24">
        <f t="shared" ref="B114:B115" si="23">B101/D101</f>
        <v>0.64889155182744163</v>
      </c>
      <c r="C114" s="23">
        <f t="shared" ref="C114:C115" si="24">C101/D101</f>
        <v>0.35110844817255843</v>
      </c>
      <c r="D114" s="5"/>
      <c r="E114" s="24">
        <f t="shared" ref="E114:E115" si="25">E101/G101</f>
        <v>0.66994106090373284</v>
      </c>
      <c r="F114" s="23">
        <f t="shared" ref="F114:F115" si="26">F101/G101</f>
        <v>0.33005893909626721</v>
      </c>
      <c r="G114" s="4"/>
      <c r="H114" s="24">
        <f t="shared" ref="H114:H115" si="27">H101/J101</f>
        <v>0.65381083562901743</v>
      </c>
      <c r="I114" s="23">
        <f t="shared" ref="I114:I115" si="28">I101/J101</f>
        <v>0.34618916437098257</v>
      </c>
      <c r="J114" s="7"/>
    </row>
    <row r="115" spans="1:10" x14ac:dyDescent="0.25">
      <c r="A115" s="12" t="s">
        <v>9</v>
      </c>
      <c r="B115" s="24">
        <f t="shared" si="23"/>
        <v>0.46638400969109628</v>
      </c>
      <c r="C115" s="23">
        <f t="shared" si="24"/>
        <v>0.53361599030890372</v>
      </c>
      <c r="D115" s="5"/>
      <c r="E115" s="24">
        <f t="shared" si="25"/>
        <v>0.42469470827679784</v>
      </c>
      <c r="F115" s="23">
        <f t="shared" si="26"/>
        <v>0.57530529172320222</v>
      </c>
      <c r="G115" s="4"/>
      <c r="H115" s="24">
        <f t="shared" si="27"/>
        <v>0.45351758793969849</v>
      </c>
      <c r="I115" s="23">
        <f t="shared" si="28"/>
        <v>0.54648241206030146</v>
      </c>
      <c r="J115" s="7"/>
    </row>
    <row r="116" spans="1:10" x14ac:dyDescent="0.25">
      <c r="A116" s="12" t="s">
        <v>81</v>
      </c>
      <c r="B116" s="24"/>
      <c r="C116" s="23"/>
      <c r="D116" s="5"/>
      <c r="E116" s="24">
        <f>E103/G103</f>
        <v>0.58846153846153848</v>
      </c>
      <c r="F116" s="23">
        <f>F103/G103</f>
        <v>0.41153846153846152</v>
      </c>
      <c r="G116" s="4"/>
      <c r="H116" s="24">
        <f>H103/J103</f>
        <v>0.58846153846153848</v>
      </c>
      <c r="I116" s="23">
        <f>I103/J103</f>
        <v>0.41153846153846152</v>
      </c>
      <c r="J116" s="7"/>
    </row>
    <row r="117" spans="1:10" x14ac:dyDescent="0.25">
      <c r="A117" s="12" t="s">
        <v>178</v>
      </c>
      <c r="B117" s="24">
        <f>B104/D104</f>
        <v>0.41690140845070423</v>
      </c>
      <c r="C117" s="23">
        <f>C104/D104</f>
        <v>0.58309859154929577</v>
      </c>
      <c r="D117" s="5"/>
      <c r="E117" s="24">
        <f>E104/G104</f>
        <v>0.40935672514619881</v>
      </c>
      <c r="F117" s="23">
        <f>F104/G104</f>
        <v>0.59064327485380119</v>
      </c>
      <c r="G117" s="4"/>
      <c r="H117" s="24">
        <f>H104/J104</f>
        <v>0.4144486692015209</v>
      </c>
      <c r="I117" s="23">
        <f>I104/J104</f>
        <v>0.5855513307984791</v>
      </c>
      <c r="J117" s="7"/>
    </row>
    <row r="118" spans="1:10" ht="15.75" thickBot="1" x14ac:dyDescent="0.3">
      <c r="A118" s="13" t="s">
        <v>177</v>
      </c>
      <c r="B118" s="22">
        <f>B105/D105</f>
        <v>0.49114331723027377</v>
      </c>
      <c r="C118" s="21">
        <f>C105/D105</f>
        <v>0.50885668276972629</v>
      </c>
      <c r="D118" s="14"/>
      <c r="E118" s="22">
        <f>E105/G105</f>
        <v>0.51111111111111107</v>
      </c>
      <c r="F118" s="21">
        <f>F105/G105</f>
        <v>0.48888888888888887</v>
      </c>
      <c r="G118" s="11"/>
      <c r="H118" s="22">
        <f>H105/J105</f>
        <v>0.49470899470899471</v>
      </c>
      <c r="I118" s="21">
        <f>I105/J105</f>
        <v>0.50529100529100535</v>
      </c>
      <c r="J118" s="20"/>
    </row>
    <row r="119" spans="1:10" ht="16.5" thickTop="1" thickBot="1" x14ac:dyDescent="0.3">
      <c r="A119" s="8" t="s">
        <v>0</v>
      </c>
      <c r="B119" s="19">
        <f>B106/D106</f>
        <v>0.48161520190023754</v>
      </c>
      <c r="C119" s="19">
        <f>C106/D106</f>
        <v>0.51838479809976246</v>
      </c>
      <c r="D119" s="8"/>
      <c r="E119" s="19">
        <f>E106/G106</f>
        <v>0.50851832731027358</v>
      </c>
      <c r="F119" s="19">
        <f>F106/G106</f>
        <v>0.49148167268972637</v>
      </c>
      <c r="G119" s="8"/>
      <c r="H119" s="19">
        <f>H106/J106</f>
        <v>0.49118511263467191</v>
      </c>
      <c r="I119" s="19">
        <f>I106/J106</f>
        <v>0.50881488736532809</v>
      </c>
      <c r="J119" s="9"/>
    </row>
  </sheetData>
  <mergeCells count="8">
    <mergeCell ref="B93:D93"/>
    <mergeCell ref="E93:G93"/>
    <mergeCell ref="H93:J9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91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1"/>
  <sheetViews>
    <sheetView topLeftCell="A76" zoomScale="55" zoomScaleNormal="55" zoomScalePageLayoutView="70" workbookViewId="0">
      <selection activeCell="A88" sqref="A88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1998-99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93</v>
      </c>
      <c r="C7" s="34">
        <v>141</v>
      </c>
      <c r="D7" s="35">
        <f>SUM(B7:C7)</f>
        <v>234</v>
      </c>
      <c r="E7" s="34">
        <v>71</v>
      </c>
      <c r="F7" s="34">
        <v>47</v>
      </c>
      <c r="G7" s="34">
        <f>SUM(E7:F7)</f>
        <v>118</v>
      </c>
      <c r="H7" s="39">
        <f>B7+E7</f>
        <v>164</v>
      </c>
      <c r="I7" s="34">
        <f>C7+F7</f>
        <v>188</v>
      </c>
      <c r="J7" s="35">
        <f>SUM(H7:I7)</f>
        <v>352</v>
      </c>
    </row>
    <row r="8" spans="1:10" x14ac:dyDescent="0.25">
      <c r="A8" s="12" t="s">
        <v>17</v>
      </c>
      <c r="B8" s="39">
        <v>57</v>
      </c>
      <c r="C8" s="34">
        <v>134</v>
      </c>
      <c r="D8" s="35">
        <f t="shared" ref="D8:D86" si="0">SUM(B8:C8)</f>
        <v>191</v>
      </c>
      <c r="E8" s="34">
        <v>49</v>
      </c>
      <c r="F8" s="34">
        <v>75</v>
      </c>
      <c r="G8" s="34">
        <f t="shared" ref="G8:G86" si="1">SUM(E8:F8)</f>
        <v>124</v>
      </c>
      <c r="H8" s="39">
        <f t="shared" ref="H8:I86" si="2">B8+E8</f>
        <v>106</v>
      </c>
      <c r="I8" s="34">
        <f t="shared" si="2"/>
        <v>209</v>
      </c>
      <c r="J8" s="35">
        <f t="shared" ref="J8:J86" si="3">SUM(H8:I8)</f>
        <v>315</v>
      </c>
    </row>
    <row r="9" spans="1:10" x14ac:dyDescent="0.25">
      <c r="A9" s="12" t="s">
        <v>18</v>
      </c>
      <c r="B9" s="39">
        <v>112</v>
      </c>
      <c r="C9" s="34">
        <v>185</v>
      </c>
      <c r="D9" s="35">
        <f t="shared" si="0"/>
        <v>297</v>
      </c>
      <c r="E9" s="34">
        <v>74</v>
      </c>
      <c r="F9" s="34">
        <v>154</v>
      </c>
      <c r="G9" s="34">
        <f t="shared" si="1"/>
        <v>228</v>
      </c>
      <c r="H9" s="39">
        <f t="shared" si="2"/>
        <v>186</v>
      </c>
      <c r="I9" s="34">
        <f t="shared" si="2"/>
        <v>339</v>
      </c>
      <c r="J9" s="35">
        <f t="shared" si="3"/>
        <v>525</v>
      </c>
    </row>
    <row r="10" spans="1:10" x14ac:dyDescent="0.25">
      <c r="A10" s="12" t="s">
        <v>161</v>
      </c>
      <c r="B10" s="39">
        <v>206</v>
      </c>
      <c r="C10" s="34">
        <v>142</v>
      </c>
      <c r="D10" s="35">
        <f t="shared" si="0"/>
        <v>348</v>
      </c>
      <c r="E10" s="34">
        <v>340</v>
      </c>
      <c r="F10" s="34">
        <v>220</v>
      </c>
      <c r="G10" s="34">
        <f t="shared" si="1"/>
        <v>560</v>
      </c>
      <c r="H10" s="39">
        <f t="shared" si="2"/>
        <v>546</v>
      </c>
      <c r="I10" s="34">
        <f t="shared" si="2"/>
        <v>362</v>
      </c>
      <c r="J10" s="35">
        <f t="shared" si="3"/>
        <v>908</v>
      </c>
    </row>
    <row r="11" spans="1:10" x14ac:dyDescent="0.25">
      <c r="A11" s="12" t="s">
        <v>23</v>
      </c>
      <c r="B11" s="39">
        <v>41</v>
      </c>
      <c r="C11" s="34">
        <v>26</v>
      </c>
      <c r="D11" s="35">
        <f t="shared" si="0"/>
        <v>67</v>
      </c>
      <c r="E11" s="34">
        <v>52</v>
      </c>
      <c r="F11" s="34">
        <v>36</v>
      </c>
      <c r="G11" s="34">
        <f t="shared" si="1"/>
        <v>88</v>
      </c>
      <c r="H11" s="39">
        <f t="shared" si="2"/>
        <v>93</v>
      </c>
      <c r="I11" s="34">
        <f t="shared" si="2"/>
        <v>62</v>
      </c>
      <c r="J11" s="35">
        <f t="shared" si="3"/>
        <v>155</v>
      </c>
    </row>
    <row r="12" spans="1:10" x14ac:dyDescent="0.25">
      <c r="A12" s="12" t="s">
        <v>108</v>
      </c>
      <c r="B12" s="39">
        <v>92</v>
      </c>
      <c r="C12" s="34">
        <v>72</v>
      </c>
      <c r="D12" s="35">
        <f t="shared" si="0"/>
        <v>164</v>
      </c>
      <c r="E12" s="34">
        <v>47</v>
      </c>
      <c r="F12" s="34">
        <v>65</v>
      </c>
      <c r="G12" s="34">
        <f t="shared" si="1"/>
        <v>112</v>
      </c>
      <c r="H12" s="39">
        <f t="shared" si="2"/>
        <v>139</v>
      </c>
      <c r="I12" s="34">
        <f t="shared" si="2"/>
        <v>137</v>
      </c>
      <c r="J12" s="35">
        <f t="shared" si="3"/>
        <v>276</v>
      </c>
    </row>
    <row r="13" spans="1:10" x14ac:dyDescent="0.25">
      <c r="A13" s="12" t="s">
        <v>109</v>
      </c>
      <c r="B13" s="39">
        <v>109</v>
      </c>
      <c r="C13" s="34">
        <v>175</v>
      </c>
      <c r="D13" s="35">
        <f t="shared" si="0"/>
        <v>284</v>
      </c>
      <c r="E13" s="34">
        <v>41</v>
      </c>
      <c r="F13" s="34">
        <v>69</v>
      </c>
      <c r="G13" s="34">
        <f t="shared" si="1"/>
        <v>110</v>
      </c>
      <c r="H13" s="39">
        <f t="shared" si="2"/>
        <v>150</v>
      </c>
      <c r="I13" s="34">
        <f t="shared" si="2"/>
        <v>244</v>
      </c>
      <c r="J13" s="35">
        <f t="shared" si="3"/>
        <v>394</v>
      </c>
    </row>
    <row r="14" spans="1:10" x14ac:dyDescent="0.25">
      <c r="A14" s="12" t="s">
        <v>162</v>
      </c>
      <c r="B14" s="39">
        <v>0</v>
      </c>
      <c r="C14" s="34">
        <v>0</v>
      </c>
      <c r="D14" s="35">
        <f t="shared" si="0"/>
        <v>0</v>
      </c>
      <c r="E14" s="34">
        <v>18</v>
      </c>
      <c r="F14" s="34">
        <v>9</v>
      </c>
      <c r="G14" s="34">
        <f t="shared" si="1"/>
        <v>27</v>
      </c>
      <c r="H14" s="39">
        <f t="shared" si="2"/>
        <v>18</v>
      </c>
      <c r="I14" s="34">
        <f t="shared" si="2"/>
        <v>9</v>
      </c>
      <c r="J14" s="35">
        <f t="shared" si="3"/>
        <v>27</v>
      </c>
    </row>
    <row r="15" spans="1:10" x14ac:dyDescent="0.25">
      <c r="A15" s="12" t="s">
        <v>30</v>
      </c>
      <c r="B15" s="39">
        <v>116</v>
      </c>
      <c r="C15" s="34">
        <v>45</v>
      </c>
      <c r="D15" s="35">
        <f t="shared" si="0"/>
        <v>161</v>
      </c>
      <c r="E15" s="34">
        <v>16</v>
      </c>
      <c r="F15" s="34">
        <v>10</v>
      </c>
      <c r="G15" s="34">
        <f t="shared" si="1"/>
        <v>26</v>
      </c>
      <c r="H15" s="39">
        <f t="shared" si="2"/>
        <v>132</v>
      </c>
      <c r="I15" s="34">
        <f t="shared" si="2"/>
        <v>55</v>
      </c>
      <c r="J15" s="35">
        <f t="shared" si="3"/>
        <v>187</v>
      </c>
    </row>
    <row r="16" spans="1:10" x14ac:dyDescent="0.25">
      <c r="A16" s="12" t="s">
        <v>31</v>
      </c>
      <c r="B16" s="39">
        <v>131</v>
      </c>
      <c r="C16" s="34">
        <v>119</v>
      </c>
      <c r="D16" s="35">
        <f t="shared" si="0"/>
        <v>250</v>
      </c>
      <c r="E16" s="34">
        <v>47</v>
      </c>
      <c r="F16" s="34">
        <v>39</v>
      </c>
      <c r="G16" s="34">
        <f t="shared" si="1"/>
        <v>86</v>
      </c>
      <c r="H16" s="39">
        <f t="shared" si="2"/>
        <v>178</v>
      </c>
      <c r="I16" s="34">
        <f t="shared" si="2"/>
        <v>158</v>
      </c>
      <c r="J16" s="35">
        <f t="shared" si="3"/>
        <v>336</v>
      </c>
    </row>
    <row r="17" spans="1:10" x14ac:dyDescent="0.25">
      <c r="A17" s="12" t="s">
        <v>132</v>
      </c>
      <c r="B17" s="39">
        <v>170</v>
      </c>
      <c r="C17" s="34">
        <v>47</v>
      </c>
      <c r="D17" s="35">
        <f t="shared" si="0"/>
        <v>217</v>
      </c>
      <c r="E17" s="34">
        <v>30</v>
      </c>
      <c r="F17" s="34">
        <v>10</v>
      </c>
      <c r="G17" s="34">
        <f t="shared" si="1"/>
        <v>40</v>
      </c>
      <c r="H17" s="39">
        <f t="shared" si="2"/>
        <v>200</v>
      </c>
      <c r="I17" s="34">
        <f t="shared" si="2"/>
        <v>57</v>
      </c>
      <c r="J17" s="35">
        <f t="shared" si="3"/>
        <v>257</v>
      </c>
    </row>
    <row r="18" spans="1:10" x14ac:dyDescent="0.25">
      <c r="A18" s="12" t="s">
        <v>33</v>
      </c>
      <c r="B18" s="39">
        <v>151</v>
      </c>
      <c r="C18" s="34">
        <v>21</v>
      </c>
      <c r="D18" s="35">
        <f t="shared" si="0"/>
        <v>172</v>
      </c>
      <c r="E18" s="34">
        <v>101</v>
      </c>
      <c r="F18" s="34">
        <v>34</v>
      </c>
      <c r="G18" s="34">
        <f t="shared" si="1"/>
        <v>135</v>
      </c>
      <c r="H18" s="39">
        <f t="shared" si="2"/>
        <v>252</v>
      </c>
      <c r="I18" s="34">
        <f t="shared" si="2"/>
        <v>55</v>
      </c>
      <c r="J18" s="35">
        <f t="shared" si="3"/>
        <v>307</v>
      </c>
    </row>
    <row r="19" spans="1:10" x14ac:dyDescent="0.25">
      <c r="A19" s="12" t="s">
        <v>34</v>
      </c>
      <c r="B19" s="39">
        <v>0</v>
      </c>
      <c r="C19" s="34">
        <v>0</v>
      </c>
      <c r="D19" s="35">
        <f t="shared" si="0"/>
        <v>0</v>
      </c>
      <c r="E19" s="34">
        <v>59</v>
      </c>
      <c r="F19" s="34">
        <v>60</v>
      </c>
      <c r="G19" s="34">
        <f t="shared" si="1"/>
        <v>119</v>
      </c>
      <c r="H19" s="39">
        <f t="shared" si="2"/>
        <v>59</v>
      </c>
      <c r="I19" s="34">
        <f t="shared" si="2"/>
        <v>60</v>
      </c>
      <c r="J19" s="35">
        <f t="shared" si="3"/>
        <v>119</v>
      </c>
    </row>
    <row r="20" spans="1:10" x14ac:dyDescent="0.25">
      <c r="A20" s="12" t="s">
        <v>35</v>
      </c>
      <c r="B20" s="39">
        <v>14</v>
      </c>
      <c r="C20" s="34">
        <v>20</v>
      </c>
      <c r="D20" s="35">
        <f t="shared" si="0"/>
        <v>34</v>
      </c>
      <c r="E20" s="34">
        <v>0</v>
      </c>
      <c r="F20" s="34">
        <v>6</v>
      </c>
      <c r="G20" s="34">
        <f t="shared" si="1"/>
        <v>6</v>
      </c>
      <c r="H20" s="39">
        <f t="shared" si="2"/>
        <v>14</v>
      </c>
      <c r="I20" s="34">
        <f t="shared" si="2"/>
        <v>26</v>
      </c>
      <c r="J20" s="35">
        <f t="shared" si="3"/>
        <v>40</v>
      </c>
    </row>
    <row r="21" spans="1:10" x14ac:dyDescent="0.25">
      <c r="A21" s="12" t="s">
        <v>37</v>
      </c>
      <c r="B21" s="39">
        <v>327</v>
      </c>
      <c r="C21" s="34">
        <v>154</v>
      </c>
      <c r="D21" s="35">
        <f t="shared" si="0"/>
        <v>481</v>
      </c>
      <c r="E21" s="34">
        <v>57</v>
      </c>
      <c r="F21" s="34">
        <v>50</v>
      </c>
      <c r="G21" s="34">
        <f t="shared" si="1"/>
        <v>107</v>
      </c>
      <c r="H21" s="39">
        <f t="shared" si="2"/>
        <v>384</v>
      </c>
      <c r="I21" s="34">
        <f t="shared" si="2"/>
        <v>204</v>
      </c>
      <c r="J21" s="35">
        <f t="shared" si="3"/>
        <v>588</v>
      </c>
    </row>
    <row r="22" spans="1:10" x14ac:dyDescent="0.25">
      <c r="A22" s="12" t="s">
        <v>38</v>
      </c>
      <c r="B22" s="39">
        <v>192</v>
      </c>
      <c r="C22" s="34">
        <v>32</v>
      </c>
      <c r="D22" s="35">
        <f t="shared" si="0"/>
        <v>224</v>
      </c>
      <c r="E22" s="34">
        <v>238</v>
      </c>
      <c r="F22" s="34">
        <v>34</v>
      </c>
      <c r="G22" s="34">
        <f t="shared" si="1"/>
        <v>272</v>
      </c>
      <c r="H22" s="39">
        <f t="shared" si="2"/>
        <v>430</v>
      </c>
      <c r="I22" s="34">
        <f t="shared" si="2"/>
        <v>66</v>
      </c>
      <c r="J22" s="35">
        <f t="shared" si="3"/>
        <v>496</v>
      </c>
    </row>
    <row r="23" spans="1:10" x14ac:dyDescent="0.25">
      <c r="A23" s="12" t="s">
        <v>41</v>
      </c>
      <c r="B23" s="39">
        <v>98</v>
      </c>
      <c r="C23" s="34">
        <v>197</v>
      </c>
      <c r="D23" s="35">
        <f t="shared" si="0"/>
        <v>295</v>
      </c>
      <c r="E23" s="34">
        <v>18</v>
      </c>
      <c r="F23" s="34">
        <v>21</v>
      </c>
      <c r="G23" s="34">
        <f t="shared" si="1"/>
        <v>39</v>
      </c>
      <c r="H23" s="39">
        <f t="shared" si="2"/>
        <v>116</v>
      </c>
      <c r="I23" s="34">
        <f t="shared" si="2"/>
        <v>218</v>
      </c>
      <c r="J23" s="35">
        <f t="shared" si="3"/>
        <v>334</v>
      </c>
    </row>
    <row r="24" spans="1:10" x14ac:dyDescent="0.25">
      <c r="A24" s="12" t="s">
        <v>44</v>
      </c>
      <c r="B24" s="39">
        <v>50</v>
      </c>
      <c r="C24" s="34">
        <v>102</v>
      </c>
      <c r="D24" s="35">
        <f t="shared" si="0"/>
        <v>152</v>
      </c>
      <c r="E24" s="34">
        <v>43</v>
      </c>
      <c r="F24" s="34">
        <v>72</v>
      </c>
      <c r="G24" s="34">
        <f t="shared" si="1"/>
        <v>115</v>
      </c>
      <c r="H24" s="39">
        <f t="shared" si="2"/>
        <v>93</v>
      </c>
      <c r="I24" s="34">
        <f t="shared" si="2"/>
        <v>174</v>
      </c>
      <c r="J24" s="35">
        <f t="shared" si="3"/>
        <v>267</v>
      </c>
    </row>
    <row r="25" spans="1:10" x14ac:dyDescent="0.25">
      <c r="A25" s="12" t="s">
        <v>45</v>
      </c>
      <c r="B25" s="39">
        <v>74</v>
      </c>
      <c r="C25" s="34">
        <v>170</v>
      </c>
      <c r="D25" s="35">
        <f t="shared" si="0"/>
        <v>244</v>
      </c>
      <c r="E25" s="34">
        <v>14</v>
      </c>
      <c r="F25" s="34">
        <v>21</v>
      </c>
      <c r="G25" s="34">
        <f t="shared" si="1"/>
        <v>35</v>
      </c>
      <c r="H25" s="39">
        <f t="shared" si="2"/>
        <v>88</v>
      </c>
      <c r="I25" s="34">
        <f t="shared" si="2"/>
        <v>191</v>
      </c>
      <c r="J25" s="35">
        <f t="shared" si="3"/>
        <v>279</v>
      </c>
    </row>
    <row r="26" spans="1:10" x14ac:dyDescent="0.25">
      <c r="A26" s="12" t="s">
        <v>95</v>
      </c>
      <c r="B26" s="39">
        <v>0</v>
      </c>
      <c r="C26" s="34">
        <v>0</v>
      </c>
      <c r="D26" s="35">
        <f t="shared" si="0"/>
        <v>0</v>
      </c>
      <c r="E26" s="34">
        <v>8</v>
      </c>
      <c r="F26" s="34">
        <v>0</v>
      </c>
      <c r="G26" s="34">
        <f t="shared" si="1"/>
        <v>8</v>
      </c>
      <c r="H26" s="39">
        <f t="shared" si="2"/>
        <v>8</v>
      </c>
      <c r="I26" s="34">
        <f t="shared" si="2"/>
        <v>0</v>
      </c>
      <c r="J26" s="35">
        <f t="shared" si="3"/>
        <v>8</v>
      </c>
    </row>
    <row r="27" spans="1:10" x14ac:dyDescent="0.25">
      <c r="A27" s="12" t="s">
        <v>47</v>
      </c>
      <c r="B27" s="39">
        <v>145</v>
      </c>
      <c r="C27" s="34">
        <v>150</v>
      </c>
      <c r="D27" s="35">
        <f t="shared" si="0"/>
        <v>295</v>
      </c>
      <c r="E27" s="34">
        <v>49</v>
      </c>
      <c r="F27" s="34">
        <v>44</v>
      </c>
      <c r="G27" s="34">
        <f t="shared" si="1"/>
        <v>93</v>
      </c>
      <c r="H27" s="39">
        <f t="shared" si="2"/>
        <v>194</v>
      </c>
      <c r="I27" s="34">
        <f t="shared" si="2"/>
        <v>194</v>
      </c>
      <c r="J27" s="35">
        <f t="shared" si="3"/>
        <v>388</v>
      </c>
    </row>
    <row r="28" spans="1:10" x14ac:dyDescent="0.25">
      <c r="A28" s="12" t="s">
        <v>159</v>
      </c>
      <c r="B28" s="39">
        <v>81</v>
      </c>
      <c r="C28" s="34">
        <v>52</v>
      </c>
      <c r="D28" s="35">
        <f t="shared" si="0"/>
        <v>133</v>
      </c>
      <c r="E28" s="34">
        <v>36</v>
      </c>
      <c r="F28" s="34">
        <v>21</v>
      </c>
      <c r="G28" s="34">
        <f t="shared" si="1"/>
        <v>57</v>
      </c>
      <c r="H28" s="39">
        <f t="shared" si="2"/>
        <v>117</v>
      </c>
      <c r="I28" s="34">
        <f t="shared" si="2"/>
        <v>73</v>
      </c>
      <c r="J28" s="35">
        <f t="shared" si="3"/>
        <v>190</v>
      </c>
    </row>
    <row r="29" spans="1:10" x14ac:dyDescent="0.25">
      <c r="A29" s="12" t="s">
        <v>133</v>
      </c>
      <c r="B29" s="39">
        <v>0</v>
      </c>
      <c r="C29" s="34">
        <v>0</v>
      </c>
      <c r="D29" s="35">
        <f t="shared" si="0"/>
        <v>0</v>
      </c>
      <c r="E29" s="34">
        <v>34</v>
      </c>
      <c r="F29" s="34">
        <v>11</v>
      </c>
      <c r="G29" s="34">
        <f t="shared" si="1"/>
        <v>45</v>
      </c>
      <c r="H29" s="39">
        <f t="shared" si="2"/>
        <v>34</v>
      </c>
      <c r="I29" s="34">
        <f t="shared" si="2"/>
        <v>11</v>
      </c>
      <c r="J29" s="35">
        <f t="shared" si="3"/>
        <v>45</v>
      </c>
    </row>
    <row r="30" spans="1:10" x14ac:dyDescent="0.25">
      <c r="A30" s="12" t="s">
        <v>48</v>
      </c>
      <c r="B30" s="39">
        <v>23</v>
      </c>
      <c r="C30" s="34">
        <v>73</v>
      </c>
      <c r="D30" s="35">
        <f t="shared" si="0"/>
        <v>96</v>
      </c>
      <c r="E30" s="34">
        <v>5</v>
      </c>
      <c r="F30" s="34">
        <v>18</v>
      </c>
      <c r="G30" s="34">
        <f t="shared" si="1"/>
        <v>23</v>
      </c>
      <c r="H30" s="39">
        <f t="shared" si="2"/>
        <v>28</v>
      </c>
      <c r="I30" s="34">
        <f t="shared" si="2"/>
        <v>91</v>
      </c>
      <c r="J30" s="35">
        <f t="shared" si="3"/>
        <v>119</v>
      </c>
    </row>
    <row r="31" spans="1:10" x14ac:dyDescent="0.25">
      <c r="A31" s="12" t="s">
        <v>49</v>
      </c>
      <c r="B31" s="39">
        <v>39</v>
      </c>
      <c r="C31" s="34">
        <v>75</v>
      </c>
      <c r="D31" s="35">
        <f t="shared" si="0"/>
        <v>114</v>
      </c>
      <c r="E31" s="34">
        <v>13</v>
      </c>
      <c r="F31" s="34">
        <v>24</v>
      </c>
      <c r="G31" s="34">
        <f t="shared" si="1"/>
        <v>37</v>
      </c>
      <c r="H31" s="39">
        <f t="shared" si="2"/>
        <v>52</v>
      </c>
      <c r="I31" s="34">
        <f t="shared" si="2"/>
        <v>99</v>
      </c>
      <c r="J31" s="35">
        <f t="shared" si="3"/>
        <v>151</v>
      </c>
    </row>
    <row r="32" spans="1:10" x14ac:dyDescent="0.25">
      <c r="A32" s="12" t="s">
        <v>50</v>
      </c>
      <c r="B32" s="39">
        <v>25</v>
      </c>
      <c r="C32" s="34">
        <v>37</v>
      </c>
      <c r="D32" s="35">
        <f t="shared" si="0"/>
        <v>62</v>
      </c>
      <c r="E32" s="34">
        <v>11</v>
      </c>
      <c r="F32" s="34">
        <v>20</v>
      </c>
      <c r="G32" s="34">
        <f t="shared" si="1"/>
        <v>31</v>
      </c>
      <c r="H32" s="39">
        <f t="shared" si="2"/>
        <v>36</v>
      </c>
      <c r="I32" s="34">
        <f t="shared" si="2"/>
        <v>57</v>
      </c>
      <c r="J32" s="35">
        <f t="shared" si="3"/>
        <v>93</v>
      </c>
    </row>
    <row r="33" spans="1:10" x14ac:dyDescent="0.25">
      <c r="A33" s="12" t="s">
        <v>160</v>
      </c>
      <c r="B33" s="39">
        <v>0</v>
      </c>
      <c r="C33" s="34">
        <v>0</v>
      </c>
      <c r="D33" s="35">
        <f t="shared" si="0"/>
        <v>0</v>
      </c>
      <c r="E33" s="34">
        <v>3</v>
      </c>
      <c r="F33" s="34">
        <v>6</v>
      </c>
      <c r="G33" s="34">
        <f t="shared" si="1"/>
        <v>9</v>
      </c>
      <c r="H33" s="39">
        <f t="shared" si="2"/>
        <v>3</v>
      </c>
      <c r="I33" s="34">
        <f t="shared" si="2"/>
        <v>6</v>
      </c>
      <c r="J33" s="35">
        <f t="shared" si="3"/>
        <v>9</v>
      </c>
    </row>
    <row r="34" spans="1:10" x14ac:dyDescent="0.25">
      <c r="A34" s="12" t="s">
        <v>51</v>
      </c>
      <c r="B34" s="39">
        <v>138</v>
      </c>
      <c r="C34" s="34">
        <v>187</v>
      </c>
      <c r="D34" s="35">
        <f t="shared" si="0"/>
        <v>325</v>
      </c>
      <c r="E34" s="34">
        <v>64</v>
      </c>
      <c r="F34" s="34">
        <v>51</v>
      </c>
      <c r="G34" s="34">
        <f t="shared" si="1"/>
        <v>115</v>
      </c>
      <c r="H34" s="39">
        <f t="shared" si="2"/>
        <v>202</v>
      </c>
      <c r="I34" s="34">
        <f t="shared" si="2"/>
        <v>238</v>
      </c>
      <c r="J34" s="35">
        <f t="shared" si="3"/>
        <v>440</v>
      </c>
    </row>
    <row r="35" spans="1:10" x14ac:dyDescent="0.25">
      <c r="A35" s="12" t="s">
        <v>52</v>
      </c>
      <c r="B35" s="39">
        <v>25</v>
      </c>
      <c r="C35" s="34">
        <v>121</v>
      </c>
      <c r="D35" s="35">
        <f t="shared" si="0"/>
        <v>146</v>
      </c>
      <c r="E35" s="34">
        <v>24</v>
      </c>
      <c r="F35" s="34">
        <v>38</v>
      </c>
      <c r="G35" s="34">
        <f t="shared" si="1"/>
        <v>62</v>
      </c>
      <c r="H35" s="39">
        <f t="shared" si="2"/>
        <v>49</v>
      </c>
      <c r="I35" s="34">
        <f t="shared" si="2"/>
        <v>159</v>
      </c>
      <c r="J35" s="35">
        <f t="shared" si="3"/>
        <v>208</v>
      </c>
    </row>
    <row r="36" spans="1:10" x14ac:dyDescent="0.25">
      <c r="A36" s="12" t="s">
        <v>110</v>
      </c>
      <c r="B36" s="39">
        <v>5</v>
      </c>
      <c r="C36" s="34">
        <v>181</v>
      </c>
      <c r="D36" s="35">
        <f t="shared" si="0"/>
        <v>186</v>
      </c>
      <c r="E36" s="34">
        <v>6</v>
      </c>
      <c r="F36" s="34">
        <v>60</v>
      </c>
      <c r="G36" s="34">
        <f t="shared" si="1"/>
        <v>66</v>
      </c>
      <c r="H36" s="39">
        <f t="shared" si="2"/>
        <v>11</v>
      </c>
      <c r="I36" s="34">
        <f t="shared" si="2"/>
        <v>241</v>
      </c>
      <c r="J36" s="35">
        <f t="shared" si="3"/>
        <v>252</v>
      </c>
    </row>
    <row r="37" spans="1:10" x14ac:dyDescent="0.25">
      <c r="A37" s="12" t="s">
        <v>55</v>
      </c>
      <c r="B37" s="39">
        <v>64</v>
      </c>
      <c r="C37" s="34">
        <v>240</v>
      </c>
      <c r="D37" s="35">
        <f t="shared" si="0"/>
        <v>304</v>
      </c>
      <c r="E37" s="34">
        <v>9</v>
      </c>
      <c r="F37" s="34">
        <v>8</v>
      </c>
      <c r="G37" s="34">
        <f t="shared" si="1"/>
        <v>17</v>
      </c>
      <c r="H37" s="39">
        <f t="shared" si="2"/>
        <v>73</v>
      </c>
      <c r="I37" s="34">
        <f t="shared" si="2"/>
        <v>248</v>
      </c>
      <c r="J37" s="35">
        <f t="shared" si="3"/>
        <v>321</v>
      </c>
    </row>
    <row r="38" spans="1:10" x14ac:dyDescent="0.25">
      <c r="A38" s="12" t="s">
        <v>1</v>
      </c>
      <c r="B38" s="39">
        <v>198</v>
      </c>
      <c r="C38" s="34">
        <v>308</v>
      </c>
      <c r="D38" s="35">
        <f t="shared" si="0"/>
        <v>506</v>
      </c>
      <c r="E38" s="34">
        <v>165</v>
      </c>
      <c r="F38" s="34">
        <v>177</v>
      </c>
      <c r="G38" s="34">
        <f t="shared" si="1"/>
        <v>342</v>
      </c>
      <c r="H38" s="39">
        <f t="shared" si="2"/>
        <v>363</v>
      </c>
      <c r="I38" s="34">
        <f t="shared" si="2"/>
        <v>485</v>
      </c>
      <c r="J38" s="35">
        <f t="shared" si="3"/>
        <v>848</v>
      </c>
    </row>
    <row r="39" spans="1:10" x14ac:dyDescent="0.25">
      <c r="A39" s="12" t="s">
        <v>102</v>
      </c>
      <c r="B39" s="39">
        <v>58</v>
      </c>
      <c r="C39" s="34">
        <v>52</v>
      </c>
      <c r="D39" s="35">
        <f t="shared" si="0"/>
        <v>110</v>
      </c>
      <c r="E39" s="34">
        <v>44</v>
      </c>
      <c r="F39" s="34">
        <v>105</v>
      </c>
      <c r="G39" s="34">
        <f t="shared" si="1"/>
        <v>149</v>
      </c>
      <c r="H39" s="39">
        <f t="shared" si="2"/>
        <v>102</v>
      </c>
      <c r="I39" s="34">
        <f t="shared" si="2"/>
        <v>157</v>
      </c>
      <c r="J39" s="35">
        <f t="shared" si="3"/>
        <v>259</v>
      </c>
    </row>
    <row r="40" spans="1:10" x14ac:dyDescent="0.25">
      <c r="A40" s="12" t="s">
        <v>59</v>
      </c>
      <c r="B40" s="39">
        <v>203</v>
      </c>
      <c r="C40" s="34">
        <v>141</v>
      </c>
      <c r="D40" s="35">
        <f t="shared" si="0"/>
        <v>344</v>
      </c>
      <c r="E40" s="34">
        <v>10</v>
      </c>
      <c r="F40" s="34">
        <v>3</v>
      </c>
      <c r="G40" s="34">
        <f t="shared" si="1"/>
        <v>13</v>
      </c>
      <c r="H40" s="39">
        <f t="shared" si="2"/>
        <v>213</v>
      </c>
      <c r="I40" s="34">
        <f t="shared" si="2"/>
        <v>144</v>
      </c>
      <c r="J40" s="35">
        <f t="shared" si="3"/>
        <v>357</v>
      </c>
    </row>
    <row r="41" spans="1:10" x14ac:dyDescent="0.25">
      <c r="A41" s="12" t="s">
        <v>60</v>
      </c>
      <c r="B41" s="39">
        <v>226</v>
      </c>
      <c r="C41" s="34">
        <v>30</v>
      </c>
      <c r="D41" s="35">
        <f t="shared" si="0"/>
        <v>256</v>
      </c>
      <c r="E41" s="34">
        <v>99</v>
      </c>
      <c r="F41" s="34">
        <v>9</v>
      </c>
      <c r="G41" s="34">
        <f t="shared" si="1"/>
        <v>108</v>
      </c>
      <c r="H41" s="39">
        <f t="shared" si="2"/>
        <v>325</v>
      </c>
      <c r="I41" s="34">
        <f t="shared" si="2"/>
        <v>39</v>
      </c>
      <c r="J41" s="35">
        <f t="shared" si="3"/>
        <v>364</v>
      </c>
    </row>
    <row r="42" spans="1:10" x14ac:dyDescent="0.25">
      <c r="A42" s="12" t="s">
        <v>61</v>
      </c>
      <c r="B42" s="39">
        <v>4</v>
      </c>
      <c r="C42" s="34">
        <v>2</v>
      </c>
      <c r="D42" s="35">
        <f t="shared" si="0"/>
        <v>6</v>
      </c>
      <c r="E42" s="34">
        <v>29</v>
      </c>
      <c r="F42" s="34">
        <v>21</v>
      </c>
      <c r="G42" s="34">
        <f t="shared" si="1"/>
        <v>50</v>
      </c>
      <c r="H42" s="39">
        <f t="shared" si="2"/>
        <v>33</v>
      </c>
      <c r="I42" s="34">
        <f t="shared" si="2"/>
        <v>23</v>
      </c>
      <c r="J42" s="35">
        <f t="shared" si="3"/>
        <v>56</v>
      </c>
    </row>
    <row r="43" spans="1:10" x14ac:dyDescent="0.25">
      <c r="A43" s="12" t="s">
        <v>156</v>
      </c>
      <c r="B43" s="39">
        <v>40</v>
      </c>
      <c r="C43" s="34">
        <v>114</v>
      </c>
      <c r="D43" s="35">
        <f t="shared" si="0"/>
        <v>154</v>
      </c>
      <c r="E43" s="34">
        <v>0</v>
      </c>
      <c r="F43" s="34">
        <v>0</v>
      </c>
      <c r="G43" s="34">
        <f t="shared" si="1"/>
        <v>0</v>
      </c>
      <c r="H43" s="39">
        <f t="shared" si="2"/>
        <v>40</v>
      </c>
      <c r="I43" s="34">
        <f t="shared" si="2"/>
        <v>114</v>
      </c>
      <c r="J43" s="35">
        <f t="shared" si="3"/>
        <v>154</v>
      </c>
    </row>
    <row r="44" spans="1:10" x14ac:dyDescent="0.25">
      <c r="A44" s="12" t="s">
        <v>112</v>
      </c>
      <c r="B44" s="39">
        <v>55</v>
      </c>
      <c r="C44" s="34">
        <v>91</v>
      </c>
      <c r="D44" s="35">
        <f t="shared" si="0"/>
        <v>146</v>
      </c>
      <c r="E44" s="34">
        <v>16</v>
      </c>
      <c r="F44" s="34">
        <v>20</v>
      </c>
      <c r="G44" s="34">
        <f t="shared" si="1"/>
        <v>36</v>
      </c>
      <c r="H44" s="39">
        <f t="shared" si="2"/>
        <v>71</v>
      </c>
      <c r="I44" s="34">
        <f t="shared" si="2"/>
        <v>111</v>
      </c>
      <c r="J44" s="35">
        <f t="shared" si="3"/>
        <v>182</v>
      </c>
    </row>
    <row r="45" spans="1:10" x14ac:dyDescent="0.25">
      <c r="A45" s="12" t="s">
        <v>64</v>
      </c>
      <c r="B45" s="39">
        <v>97</v>
      </c>
      <c r="C45" s="34">
        <v>59</v>
      </c>
      <c r="D45" s="35">
        <f t="shared" si="0"/>
        <v>156</v>
      </c>
      <c r="E45" s="34">
        <v>37</v>
      </c>
      <c r="F45" s="34">
        <v>21</v>
      </c>
      <c r="G45" s="34">
        <f t="shared" si="1"/>
        <v>58</v>
      </c>
      <c r="H45" s="39">
        <f t="shared" si="2"/>
        <v>134</v>
      </c>
      <c r="I45" s="34">
        <f t="shared" si="2"/>
        <v>80</v>
      </c>
      <c r="J45" s="35">
        <f t="shared" si="3"/>
        <v>214</v>
      </c>
    </row>
    <row r="46" spans="1:10" x14ac:dyDescent="0.25">
      <c r="A46" s="12" t="s">
        <v>113</v>
      </c>
      <c r="B46" s="39">
        <v>21</v>
      </c>
      <c r="C46" s="34">
        <v>46</v>
      </c>
      <c r="D46" s="35">
        <f t="shared" si="0"/>
        <v>67</v>
      </c>
      <c r="E46" s="34">
        <v>17</v>
      </c>
      <c r="F46" s="34">
        <v>45</v>
      </c>
      <c r="G46" s="34">
        <f t="shared" si="1"/>
        <v>62</v>
      </c>
      <c r="H46" s="39">
        <f t="shared" si="2"/>
        <v>38</v>
      </c>
      <c r="I46" s="34">
        <f t="shared" si="2"/>
        <v>91</v>
      </c>
      <c r="J46" s="35">
        <f t="shared" si="3"/>
        <v>129</v>
      </c>
    </row>
    <row r="47" spans="1:10" x14ac:dyDescent="0.25">
      <c r="A47" s="12" t="s">
        <v>65</v>
      </c>
      <c r="B47" s="39">
        <v>385</v>
      </c>
      <c r="C47" s="34">
        <v>133</v>
      </c>
      <c r="D47" s="35">
        <f t="shared" si="0"/>
        <v>518</v>
      </c>
      <c r="E47" s="34">
        <v>49</v>
      </c>
      <c r="F47" s="34">
        <v>7</v>
      </c>
      <c r="G47" s="34">
        <f t="shared" si="1"/>
        <v>56</v>
      </c>
      <c r="H47" s="39">
        <f t="shared" si="2"/>
        <v>434</v>
      </c>
      <c r="I47" s="34">
        <f t="shared" si="2"/>
        <v>140</v>
      </c>
      <c r="J47" s="35">
        <f t="shared" si="3"/>
        <v>574</v>
      </c>
    </row>
    <row r="48" spans="1:10" x14ac:dyDescent="0.25">
      <c r="A48" s="12" t="s">
        <v>114</v>
      </c>
      <c r="B48" s="39">
        <v>37</v>
      </c>
      <c r="C48" s="34">
        <v>55</v>
      </c>
      <c r="D48" s="35">
        <f t="shared" si="0"/>
        <v>92</v>
      </c>
      <c r="E48" s="34">
        <v>41</v>
      </c>
      <c r="F48" s="34">
        <v>35</v>
      </c>
      <c r="G48" s="34">
        <f t="shared" si="1"/>
        <v>76</v>
      </c>
      <c r="H48" s="39">
        <f t="shared" si="2"/>
        <v>78</v>
      </c>
      <c r="I48" s="34">
        <f t="shared" si="2"/>
        <v>90</v>
      </c>
      <c r="J48" s="35">
        <f t="shared" si="3"/>
        <v>168</v>
      </c>
    </row>
    <row r="49" spans="1:10" x14ac:dyDescent="0.25">
      <c r="A49" s="12" t="s">
        <v>115</v>
      </c>
      <c r="B49" s="39">
        <v>76</v>
      </c>
      <c r="C49" s="34">
        <v>250</v>
      </c>
      <c r="D49" s="35">
        <f t="shared" si="0"/>
        <v>326</v>
      </c>
      <c r="E49" s="34">
        <v>70</v>
      </c>
      <c r="F49" s="34">
        <v>173</v>
      </c>
      <c r="G49" s="34">
        <f t="shared" si="1"/>
        <v>243</v>
      </c>
      <c r="H49" s="39">
        <f t="shared" si="2"/>
        <v>146</v>
      </c>
      <c r="I49" s="34">
        <f t="shared" si="2"/>
        <v>423</v>
      </c>
      <c r="J49" s="35">
        <f t="shared" si="3"/>
        <v>569</v>
      </c>
    </row>
    <row r="50" spans="1:10" x14ac:dyDescent="0.25">
      <c r="A50" s="12" t="s">
        <v>146</v>
      </c>
      <c r="B50" s="39">
        <v>0</v>
      </c>
      <c r="C50" s="34">
        <v>0</v>
      </c>
      <c r="D50" s="35">
        <f t="shared" si="0"/>
        <v>0</v>
      </c>
      <c r="E50" s="34">
        <v>25</v>
      </c>
      <c r="F50" s="34">
        <v>14</v>
      </c>
      <c r="G50" s="34">
        <f t="shared" si="1"/>
        <v>39</v>
      </c>
      <c r="H50" s="39">
        <f t="shared" si="2"/>
        <v>25</v>
      </c>
      <c r="I50" s="34">
        <f t="shared" si="2"/>
        <v>14</v>
      </c>
      <c r="J50" s="35">
        <f t="shared" si="3"/>
        <v>39</v>
      </c>
    </row>
    <row r="51" spans="1:10" x14ac:dyDescent="0.25">
      <c r="A51" s="12" t="s">
        <v>68</v>
      </c>
      <c r="B51" s="39">
        <v>37</v>
      </c>
      <c r="C51" s="34">
        <v>56</v>
      </c>
      <c r="D51" s="35">
        <f t="shared" si="0"/>
        <v>93</v>
      </c>
      <c r="E51" s="34">
        <v>1</v>
      </c>
      <c r="F51" s="34">
        <v>2</v>
      </c>
      <c r="G51" s="34">
        <f t="shared" si="1"/>
        <v>3</v>
      </c>
      <c r="H51" s="39">
        <f t="shared" si="2"/>
        <v>38</v>
      </c>
      <c r="I51" s="34">
        <f t="shared" si="2"/>
        <v>58</v>
      </c>
      <c r="J51" s="35">
        <f t="shared" si="3"/>
        <v>96</v>
      </c>
    </row>
    <row r="52" spans="1:10" x14ac:dyDescent="0.25">
      <c r="A52" s="12" t="s">
        <v>71</v>
      </c>
      <c r="B52" s="39">
        <v>36</v>
      </c>
      <c r="C52" s="34">
        <v>36</v>
      </c>
      <c r="D52" s="35">
        <f t="shared" si="0"/>
        <v>72</v>
      </c>
      <c r="E52" s="34">
        <v>2</v>
      </c>
      <c r="F52" s="34">
        <v>1</v>
      </c>
      <c r="G52" s="34">
        <f t="shared" si="1"/>
        <v>3</v>
      </c>
      <c r="H52" s="39">
        <f t="shared" si="2"/>
        <v>38</v>
      </c>
      <c r="I52" s="34">
        <f t="shared" si="2"/>
        <v>37</v>
      </c>
      <c r="J52" s="35">
        <f t="shared" si="3"/>
        <v>75</v>
      </c>
    </row>
    <row r="53" spans="1:10" x14ac:dyDescent="0.25">
      <c r="A53" s="12" t="s">
        <v>72</v>
      </c>
      <c r="B53" s="39">
        <v>0</v>
      </c>
      <c r="C53" s="34">
        <v>0</v>
      </c>
      <c r="D53" s="35">
        <f t="shared" si="0"/>
        <v>0</v>
      </c>
      <c r="E53" s="34">
        <v>30</v>
      </c>
      <c r="F53" s="34">
        <v>13</v>
      </c>
      <c r="G53" s="34">
        <f t="shared" si="1"/>
        <v>43</v>
      </c>
      <c r="H53" s="39">
        <f t="shared" si="2"/>
        <v>30</v>
      </c>
      <c r="I53" s="34">
        <f t="shared" si="2"/>
        <v>13</v>
      </c>
      <c r="J53" s="35">
        <f t="shared" si="3"/>
        <v>43</v>
      </c>
    </row>
    <row r="54" spans="1:10" x14ac:dyDescent="0.25">
      <c r="A54" s="12" t="s">
        <v>73</v>
      </c>
      <c r="B54" s="39">
        <v>16</v>
      </c>
      <c r="C54" s="34">
        <v>54</v>
      </c>
      <c r="D54" s="35">
        <f t="shared" si="0"/>
        <v>70</v>
      </c>
      <c r="E54" s="34">
        <v>2</v>
      </c>
      <c r="F54" s="34">
        <v>4</v>
      </c>
      <c r="G54" s="34">
        <f t="shared" si="1"/>
        <v>6</v>
      </c>
      <c r="H54" s="39">
        <f t="shared" si="2"/>
        <v>18</v>
      </c>
      <c r="I54" s="34">
        <f t="shared" si="2"/>
        <v>58</v>
      </c>
      <c r="J54" s="35">
        <f t="shared" si="3"/>
        <v>76</v>
      </c>
    </row>
    <row r="55" spans="1:10" x14ac:dyDescent="0.25">
      <c r="A55" s="12" t="s">
        <v>74</v>
      </c>
      <c r="B55" s="39">
        <v>47</v>
      </c>
      <c r="C55" s="34">
        <v>33</v>
      </c>
      <c r="D55" s="35">
        <f t="shared" si="0"/>
        <v>80</v>
      </c>
      <c r="E55" s="34">
        <v>6</v>
      </c>
      <c r="F55" s="34">
        <v>9</v>
      </c>
      <c r="G55" s="34">
        <f t="shared" si="1"/>
        <v>15</v>
      </c>
      <c r="H55" s="39">
        <f t="shared" si="2"/>
        <v>53</v>
      </c>
      <c r="I55" s="34">
        <f t="shared" si="2"/>
        <v>42</v>
      </c>
      <c r="J55" s="35">
        <f t="shared" si="3"/>
        <v>95</v>
      </c>
    </row>
    <row r="56" spans="1:10" x14ac:dyDescent="0.25">
      <c r="A56" s="12" t="s">
        <v>179</v>
      </c>
      <c r="B56" s="39">
        <v>1</v>
      </c>
      <c r="C56" s="34">
        <v>1</v>
      </c>
      <c r="D56" s="35">
        <f t="shared" si="0"/>
        <v>2</v>
      </c>
      <c r="E56" s="34">
        <v>0</v>
      </c>
      <c r="F56" s="34">
        <v>0</v>
      </c>
      <c r="G56" s="34">
        <f t="shared" si="1"/>
        <v>0</v>
      </c>
      <c r="H56" s="39">
        <f t="shared" si="2"/>
        <v>1</v>
      </c>
      <c r="I56" s="34">
        <f t="shared" si="2"/>
        <v>1</v>
      </c>
      <c r="J56" s="35">
        <f t="shared" si="3"/>
        <v>2</v>
      </c>
    </row>
    <row r="57" spans="1:10" x14ac:dyDescent="0.25">
      <c r="A57" s="12" t="s">
        <v>151</v>
      </c>
      <c r="B57" s="39">
        <v>5</v>
      </c>
      <c r="C57" s="34">
        <v>10</v>
      </c>
      <c r="D57" s="35">
        <f t="shared" si="0"/>
        <v>15</v>
      </c>
      <c r="E57" s="34">
        <v>4</v>
      </c>
      <c r="F57" s="34">
        <v>15</v>
      </c>
      <c r="G57" s="34">
        <f t="shared" si="1"/>
        <v>19</v>
      </c>
      <c r="H57" s="39">
        <f t="shared" si="2"/>
        <v>9</v>
      </c>
      <c r="I57" s="34">
        <f t="shared" si="2"/>
        <v>25</v>
      </c>
      <c r="J57" s="35">
        <f t="shared" si="3"/>
        <v>34</v>
      </c>
    </row>
    <row r="58" spans="1:10" x14ac:dyDescent="0.25">
      <c r="A58" s="12" t="s">
        <v>103</v>
      </c>
      <c r="B58" s="39">
        <v>232</v>
      </c>
      <c r="C58" s="34">
        <v>218</v>
      </c>
      <c r="D58" s="35">
        <f t="shared" si="0"/>
        <v>450</v>
      </c>
      <c r="E58" s="34">
        <v>0</v>
      </c>
      <c r="F58" s="34">
        <v>0</v>
      </c>
      <c r="G58" s="34">
        <f t="shared" si="1"/>
        <v>0</v>
      </c>
      <c r="H58" s="39">
        <f t="shared" si="2"/>
        <v>232</v>
      </c>
      <c r="I58" s="34">
        <f t="shared" si="2"/>
        <v>218</v>
      </c>
      <c r="J58" s="35">
        <f t="shared" si="3"/>
        <v>450</v>
      </c>
    </row>
    <row r="59" spans="1:10" x14ac:dyDescent="0.25">
      <c r="A59" s="12" t="s">
        <v>104</v>
      </c>
      <c r="B59" s="39">
        <v>364</v>
      </c>
      <c r="C59" s="34">
        <v>301</v>
      </c>
      <c r="D59" s="35">
        <f t="shared" si="0"/>
        <v>665</v>
      </c>
      <c r="E59" s="34">
        <v>0</v>
      </c>
      <c r="F59" s="34">
        <v>0</v>
      </c>
      <c r="G59" s="34">
        <f t="shared" si="1"/>
        <v>0</v>
      </c>
      <c r="H59" s="39">
        <f t="shared" si="2"/>
        <v>364</v>
      </c>
      <c r="I59" s="34">
        <f t="shared" si="2"/>
        <v>301</v>
      </c>
      <c r="J59" s="35">
        <f t="shared" si="3"/>
        <v>665</v>
      </c>
    </row>
    <row r="60" spans="1:10" x14ac:dyDescent="0.25">
      <c r="A60" s="12" t="s">
        <v>169</v>
      </c>
      <c r="B60" s="39">
        <v>0</v>
      </c>
      <c r="C60" s="34">
        <v>0</v>
      </c>
      <c r="D60" s="35">
        <f t="shared" si="0"/>
        <v>0</v>
      </c>
      <c r="E60" s="34">
        <v>5</v>
      </c>
      <c r="F60" s="34">
        <v>6</v>
      </c>
      <c r="G60" s="34">
        <f t="shared" si="1"/>
        <v>11</v>
      </c>
      <c r="H60" s="39">
        <f t="shared" si="2"/>
        <v>5</v>
      </c>
      <c r="I60" s="34">
        <f t="shared" si="2"/>
        <v>6</v>
      </c>
      <c r="J60" s="35">
        <f t="shared" si="3"/>
        <v>11</v>
      </c>
    </row>
    <row r="61" spans="1:10" x14ac:dyDescent="0.25">
      <c r="A61" s="12" t="s">
        <v>75</v>
      </c>
      <c r="B61" s="39">
        <v>0</v>
      </c>
      <c r="C61" s="34">
        <v>0</v>
      </c>
      <c r="D61" s="35">
        <f t="shared" si="0"/>
        <v>0</v>
      </c>
      <c r="E61" s="34">
        <v>15</v>
      </c>
      <c r="F61" s="34">
        <v>9</v>
      </c>
      <c r="G61" s="34">
        <f t="shared" si="1"/>
        <v>24</v>
      </c>
      <c r="H61" s="39">
        <f t="shared" si="2"/>
        <v>15</v>
      </c>
      <c r="I61" s="34">
        <f t="shared" si="2"/>
        <v>9</v>
      </c>
      <c r="J61" s="35">
        <f t="shared" si="3"/>
        <v>24</v>
      </c>
    </row>
    <row r="62" spans="1:10" x14ac:dyDescent="0.25">
      <c r="A62" s="12" t="s">
        <v>170</v>
      </c>
      <c r="B62" s="39">
        <v>0</v>
      </c>
      <c r="C62" s="34">
        <v>0</v>
      </c>
      <c r="D62" s="35">
        <f t="shared" si="0"/>
        <v>0</v>
      </c>
      <c r="E62" s="34">
        <v>3</v>
      </c>
      <c r="F62" s="34">
        <v>4</v>
      </c>
      <c r="G62" s="34">
        <f t="shared" si="1"/>
        <v>7</v>
      </c>
      <c r="H62" s="39">
        <f t="shared" si="2"/>
        <v>3</v>
      </c>
      <c r="I62" s="34">
        <f t="shared" si="2"/>
        <v>4</v>
      </c>
      <c r="J62" s="35">
        <f t="shared" si="3"/>
        <v>7</v>
      </c>
    </row>
    <row r="63" spans="1:10" x14ac:dyDescent="0.25">
      <c r="A63" s="12" t="s">
        <v>117</v>
      </c>
      <c r="B63" s="39">
        <v>0</v>
      </c>
      <c r="C63" s="34">
        <v>0</v>
      </c>
      <c r="D63" s="35">
        <f t="shared" si="0"/>
        <v>0</v>
      </c>
      <c r="E63" s="34">
        <v>2</v>
      </c>
      <c r="F63" s="34">
        <v>1</v>
      </c>
      <c r="G63" s="34">
        <f t="shared" si="1"/>
        <v>3</v>
      </c>
      <c r="H63" s="39">
        <f t="shared" si="2"/>
        <v>2</v>
      </c>
      <c r="I63" s="34">
        <f t="shared" si="2"/>
        <v>1</v>
      </c>
      <c r="J63" s="35">
        <f t="shared" si="3"/>
        <v>3</v>
      </c>
    </row>
    <row r="64" spans="1:10" x14ac:dyDescent="0.25">
      <c r="A64" s="12" t="s">
        <v>163</v>
      </c>
      <c r="B64" s="39">
        <v>0</v>
      </c>
      <c r="C64" s="34">
        <v>0</v>
      </c>
      <c r="D64" s="35">
        <f t="shared" si="0"/>
        <v>0</v>
      </c>
      <c r="E64" s="34">
        <v>10</v>
      </c>
      <c r="F64" s="34">
        <v>21</v>
      </c>
      <c r="G64" s="34">
        <f t="shared" si="1"/>
        <v>31</v>
      </c>
      <c r="H64" s="39">
        <f t="shared" si="2"/>
        <v>10</v>
      </c>
      <c r="I64" s="34">
        <f t="shared" si="2"/>
        <v>21</v>
      </c>
      <c r="J64" s="35">
        <f t="shared" si="3"/>
        <v>31</v>
      </c>
    </row>
    <row r="65" spans="1:10" x14ac:dyDescent="0.25">
      <c r="A65" s="12" t="s">
        <v>120</v>
      </c>
      <c r="B65" s="39">
        <v>0</v>
      </c>
      <c r="C65" s="34">
        <v>0</v>
      </c>
      <c r="D65" s="35">
        <f t="shared" si="0"/>
        <v>0</v>
      </c>
      <c r="E65" s="34">
        <v>5</v>
      </c>
      <c r="F65" s="34">
        <v>2</v>
      </c>
      <c r="G65" s="34">
        <f t="shared" si="1"/>
        <v>7</v>
      </c>
      <c r="H65" s="39">
        <f t="shared" si="2"/>
        <v>5</v>
      </c>
      <c r="I65" s="34">
        <f t="shared" si="2"/>
        <v>2</v>
      </c>
      <c r="J65" s="35">
        <f t="shared" si="3"/>
        <v>7</v>
      </c>
    </row>
    <row r="66" spans="1:10" x14ac:dyDescent="0.25">
      <c r="A66" s="12" t="s">
        <v>152</v>
      </c>
      <c r="B66" s="39">
        <v>0</v>
      </c>
      <c r="C66" s="34">
        <v>0</v>
      </c>
      <c r="D66" s="35">
        <f t="shared" si="0"/>
        <v>0</v>
      </c>
      <c r="E66" s="34">
        <v>0</v>
      </c>
      <c r="F66" s="34">
        <v>4</v>
      </c>
      <c r="G66" s="34">
        <f t="shared" si="1"/>
        <v>4</v>
      </c>
      <c r="H66" s="39">
        <f t="shared" si="2"/>
        <v>0</v>
      </c>
      <c r="I66" s="34">
        <f t="shared" si="2"/>
        <v>4</v>
      </c>
      <c r="J66" s="35">
        <f t="shared" si="3"/>
        <v>4</v>
      </c>
    </row>
    <row r="67" spans="1:10" x14ac:dyDescent="0.25">
      <c r="A67" s="12" t="s">
        <v>171</v>
      </c>
      <c r="B67" s="39">
        <v>23</v>
      </c>
      <c r="C67" s="34">
        <v>30</v>
      </c>
      <c r="D67" s="35">
        <f t="shared" si="0"/>
        <v>53</v>
      </c>
      <c r="E67" s="34">
        <v>15</v>
      </c>
      <c r="F67" s="34">
        <v>18</v>
      </c>
      <c r="G67" s="34">
        <f t="shared" si="1"/>
        <v>33</v>
      </c>
      <c r="H67" s="39">
        <f t="shared" si="2"/>
        <v>38</v>
      </c>
      <c r="I67" s="34">
        <f t="shared" si="2"/>
        <v>48</v>
      </c>
      <c r="J67" s="35">
        <f t="shared" si="3"/>
        <v>86</v>
      </c>
    </row>
    <row r="68" spans="1:10" x14ac:dyDescent="0.25">
      <c r="A68" s="12" t="s">
        <v>164</v>
      </c>
      <c r="B68" s="39">
        <v>0</v>
      </c>
      <c r="C68" s="34">
        <v>0</v>
      </c>
      <c r="D68" s="35">
        <f t="shared" si="0"/>
        <v>0</v>
      </c>
      <c r="E68" s="34">
        <v>18</v>
      </c>
      <c r="F68" s="34">
        <v>27</v>
      </c>
      <c r="G68" s="34">
        <f t="shared" si="1"/>
        <v>45</v>
      </c>
      <c r="H68" s="39">
        <f t="shared" si="2"/>
        <v>18</v>
      </c>
      <c r="I68" s="34">
        <f t="shared" si="2"/>
        <v>27</v>
      </c>
      <c r="J68" s="35">
        <f t="shared" si="3"/>
        <v>45</v>
      </c>
    </row>
    <row r="69" spans="1:10" x14ac:dyDescent="0.25">
      <c r="A69" s="12" t="s">
        <v>123</v>
      </c>
      <c r="B69" s="39">
        <v>0</v>
      </c>
      <c r="C69" s="34">
        <v>0</v>
      </c>
      <c r="D69" s="35">
        <f t="shared" si="0"/>
        <v>0</v>
      </c>
      <c r="E69" s="34">
        <v>35</v>
      </c>
      <c r="F69" s="34">
        <v>30</v>
      </c>
      <c r="G69" s="34">
        <f t="shared" si="1"/>
        <v>65</v>
      </c>
      <c r="H69" s="39">
        <f t="shared" si="2"/>
        <v>35</v>
      </c>
      <c r="I69" s="34">
        <f t="shared" si="2"/>
        <v>30</v>
      </c>
      <c r="J69" s="35">
        <f t="shared" si="3"/>
        <v>65</v>
      </c>
    </row>
    <row r="70" spans="1:10" x14ac:dyDescent="0.25">
      <c r="A70" s="12" t="s">
        <v>165</v>
      </c>
      <c r="B70" s="39">
        <v>0</v>
      </c>
      <c r="C70" s="34">
        <v>0</v>
      </c>
      <c r="D70" s="35">
        <f t="shared" si="0"/>
        <v>0</v>
      </c>
      <c r="E70" s="34">
        <v>2</v>
      </c>
      <c r="F70" s="34">
        <v>0</v>
      </c>
      <c r="G70" s="34">
        <f t="shared" si="1"/>
        <v>2</v>
      </c>
      <c r="H70" s="39">
        <f t="shared" si="2"/>
        <v>2</v>
      </c>
      <c r="I70" s="34">
        <f t="shared" si="2"/>
        <v>0</v>
      </c>
      <c r="J70" s="35">
        <f t="shared" si="3"/>
        <v>2</v>
      </c>
    </row>
    <row r="71" spans="1:10" x14ac:dyDescent="0.25">
      <c r="A71" s="12" t="s">
        <v>180</v>
      </c>
      <c r="B71" s="39">
        <v>0</v>
      </c>
      <c r="C71" s="34">
        <v>0</v>
      </c>
      <c r="D71" s="35">
        <f t="shared" si="0"/>
        <v>0</v>
      </c>
      <c r="E71" s="34">
        <v>14</v>
      </c>
      <c r="F71" s="34">
        <v>32</v>
      </c>
      <c r="G71" s="34">
        <f t="shared" si="1"/>
        <v>46</v>
      </c>
      <c r="H71" s="39">
        <f t="shared" si="2"/>
        <v>14</v>
      </c>
      <c r="I71" s="34">
        <f t="shared" si="2"/>
        <v>32</v>
      </c>
      <c r="J71" s="35">
        <f t="shared" si="3"/>
        <v>46</v>
      </c>
    </row>
    <row r="72" spans="1:10" x14ac:dyDescent="0.25">
      <c r="A72" s="12" t="s">
        <v>125</v>
      </c>
      <c r="B72" s="39">
        <v>0</v>
      </c>
      <c r="C72" s="34">
        <v>0</v>
      </c>
      <c r="D72" s="35">
        <f t="shared" si="0"/>
        <v>0</v>
      </c>
      <c r="E72" s="34">
        <v>1</v>
      </c>
      <c r="F72" s="34">
        <v>3</v>
      </c>
      <c r="G72" s="34">
        <f t="shared" si="1"/>
        <v>4</v>
      </c>
      <c r="H72" s="39">
        <f t="shared" si="2"/>
        <v>1</v>
      </c>
      <c r="I72" s="34">
        <f t="shared" si="2"/>
        <v>3</v>
      </c>
      <c r="J72" s="35">
        <f t="shared" si="3"/>
        <v>4</v>
      </c>
    </row>
    <row r="73" spans="1:10" x14ac:dyDescent="0.25">
      <c r="A73" s="12" t="s">
        <v>126</v>
      </c>
      <c r="B73" s="39">
        <v>0</v>
      </c>
      <c r="C73" s="34">
        <v>0</v>
      </c>
      <c r="D73" s="35">
        <f t="shared" si="0"/>
        <v>0</v>
      </c>
      <c r="E73" s="34">
        <v>10</v>
      </c>
      <c r="F73" s="34">
        <v>15</v>
      </c>
      <c r="G73" s="34">
        <f t="shared" si="1"/>
        <v>25</v>
      </c>
      <c r="H73" s="39">
        <f t="shared" si="2"/>
        <v>10</v>
      </c>
      <c r="I73" s="34">
        <f t="shared" si="2"/>
        <v>15</v>
      </c>
      <c r="J73" s="35">
        <f t="shared" si="3"/>
        <v>25</v>
      </c>
    </row>
    <row r="74" spans="1:10" x14ac:dyDescent="0.25">
      <c r="A74" s="12" t="s">
        <v>127</v>
      </c>
      <c r="B74" s="39">
        <v>0</v>
      </c>
      <c r="C74" s="34">
        <v>0</v>
      </c>
      <c r="D74" s="35">
        <f t="shared" si="0"/>
        <v>0</v>
      </c>
      <c r="E74" s="34">
        <v>2</v>
      </c>
      <c r="F74" s="34">
        <v>7</v>
      </c>
      <c r="G74" s="34">
        <f t="shared" si="1"/>
        <v>9</v>
      </c>
      <c r="H74" s="39">
        <f t="shared" si="2"/>
        <v>2</v>
      </c>
      <c r="I74" s="34">
        <f t="shared" si="2"/>
        <v>7</v>
      </c>
      <c r="J74" s="35">
        <f t="shared" si="3"/>
        <v>9</v>
      </c>
    </row>
    <row r="75" spans="1:10" x14ac:dyDescent="0.25">
      <c r="A75" s="12" t="s">
        <v>148</v>
      </c>
      <c r="B75" s="39">
        <v>8</v>
      </c>
      <c r="C75" s="34">
        <v>0</v>
      </c>
      <c r="D75" s="35">
        <f t="shared" si="0"/>
        <v>8</v>
      </c>
      <c r="E75" s="34">
        <v>11</v>
      </c>
      <c r="F75" s="34">
        <v>0</v>
      </c>
      <c r="G75" s="34">
        <f t="shared" si="1"/>
        <v>11</v>
      </c>
      <c r="H75" s="39">
        <f t="shared" si="2"/>
        <v>19</v>
      </c>
      <c r="I75" s="34">
        <f t="shared" si="2"/>
        <v>0</v>
      </c>
      <c r="J75" s="35">
        <f t="shared" si="3"/>
        <v>19</v>
      </c>
    </row>
    <row r="76" spans="1:10" x14ac:dyDescent="0.25">
      <c r="A76" s="12" t="s">
        <v>174</v>
      </c>
      <c r="B76" s="39">
        <v>0</v>
      </c>
      <c r="C76" s="34">
        <v>0</v>
      </c>
      <c r="D76" s="35">
        <f t="shared" si="0"/>
        <v>0</v>
      </c>
      <c r="E76" s="34">
        <v>2</v>
      </c>
      <c r="F76" s="34">
        <v>3</v>
      </c>
      <c r="G76" s="34">
        <f t="shared" si="1"/>
        <v>5</v>
      </c>
      <c r="H76" s="39">
        <f t="shared" si="2"/>
        <v>2</v>
      </c>
      <c r="I76" s="34">
        <f t="shared" si="2"/>
        <v>3</v>
      </c>
      <c r="J76" s="35">
        <f t="shared" si="3"/>
        <v>5</v>
      </c>
    </row>
    <row r="77" spans="1:10" x14ac:dyDescent="0.25">
      <c r="A77" s="12" t="s">
        <v>166</v>
      </c>
      <c r="B77" s="39">
        <v>15</v>
      </c>
      <c r="C77" s="34">
        <v>50</v>
      </c>
      <c r="D77" s="35">
        <f t="shared" si="0"/>
        <v>65</v>
      </c>
      <c r="E77" s="34">
        <v>0</v>
      </c>
      <c r="F77" s="34">
        <v>0</v>
      </c>
      <c r="G77" s="34">
        <f t="shared" si="1"/>
        <v>0</v>
      </c>
      <c r="H77" s="39">
        <f t="shared" si="2"/>
        <v>15</v>
      </c>
      <c r="I77" s="34">
        <f t="shared" si="2"/>
        <v>50</v>
      </c>
      <c r="J77" s="35">
        <f t="shared" si="3"/>
        <v>65</v>
      </c>
    </row>
    <row r="78" spans="1:10" x14ac:dyDescent="0.25">
      <c r="A78" s="12" t="s">
        <v>176</v>
      </c>
      <c r="B78" s="39">
        <v>0</v>
      </c>
      <c r="C78" s="34">
        <v>0</v>
      </c>
      <c r="D78" s="35">
        <f t="shared" si="0"/>
        <v>0</v>
      </c>
      <c r="E78" s="34">
        <v>35</v>
      </c>
      <c r="F78" s="34">
        <v>54</v>
      </c>
      <c r="G78" s="34">
        <f t="shared" si="1"/>
        <v>89</v>
      </c>
      <c r="H78" s="39">
        <f t="shared" si="2"/>
        <v>35</v>
      </c>
      <c r="I78" s="34">
        <f t="shared" si="2"/>
        <v>54</v>
      </c>
      <c r="J78" s="35">
        <f t="shared" si="3"/>
        <v>89</v>
      </c>
    </row>
    <row r="79" spans="1:10" x14ac:dyDescent="0.25">
      <c r="A79" s="12" t="s">
        <v>154</v>
      </c>
      <c r="B79" s="39">
        <v>0</v>
      </c>
      <c r="C79" s="34">
        <v>0</v>
      </c>
      <c r="D79" s="35">
        <f t="shared" si="0"/>
        <v>0</v>
      </c>
      <c r="E79" s="34">
        <v>12</v>
      </c>
      <c r="F79" s="34">
        <v>14</v>
      </c>
      <c r="G79" s="34">
        <f t="shared" si="1"/>
        <v>26</v>
      </c>
      <c r="H79" s="39">
        <f t="shared" si="2"/>
        <v>12</v>
      </c>
      <c r="I79" s="34">
        <f t="shared" si="2"/>
        <v>14</v>
      </c>
      <c r="J79" s="35">
        <f t="shared" si="3"/>
        <v>26</v>
      </c>
    </row>
    <row r="80" spans="1:10" x14ac:dyDescent="0.25">
      <c r="A80" s="12" t="s">
        <v>131</v>
      </c>
      <c r="B80" s="39">
        <v>3</v>
      </c>
      <c r="C80" s="34">
        <v>7</v>
      </c>
      <c r="D80" s="35">
        <f t="shared" si="0"/>
        <v>10</v>
      </c>
      <c r="E80" s="34">
        <v>19</v>
      </c>
      <c r="F80" s="34">
        <v>10</v>
      </c>
      <c r="G80" s="34">
        <f t="shared" si="1"/>
        <v>29</v>
      </c>
      <c r="H80" s="39">
        <f t="shared" si="2"/>
        <v>22</v>
      </c>
      <c r="I80" s="34">
        <f t="shared" si="2"/>
        <v>17</v>
      </c>
      <c r="J80" s="35">
        <f t="shared" si="3"/>
        <v>39</v>
      </c>
    </row>
    <row r="81" spans="1:10" x14ac:dyDescent="0.25">
      <c r="A81" s="12" t="s">
        <v>167</v>
      </c>
      <c r="B81" s="39">
        <v>0</v>
      </c>
      <c r="C81" s="34">
        <v>0</v>
      </c>
      <c r="D81" s="35">
        <f t="shared" si="0"/>
        <v>0</v>
      </c>
      <c r="E81" s="34">
        <v>36</v>
      </c>
      <c r="F81" s="34">
        <v>6</v>
      </c>
      <c r="G81" s="34">
        <f t="shared" si="1"/>
        <v>42</v>
      </c>
      <c r="H81" s="39">
        <f t="shared" si="2"/>
        <v>36</v>
      </c>
      <c r="I81" s="34">
        <f t="shared" si="2"/>
        <v>6</v>
      </c>
      <c r="J81" s="35">
        <f t="shared" si="3"/>
        <v>42</v>
      </c>
    </row>
    <row r="82" spans="1:10" x14ac:dyDescent="0.25">
      <c r="A82" s="12" t="s">
        <v>158</v>
      </c>
      <c r="B82" s="39">
        <v>0</v>
      </c>
      <c r="C82" s="34">
        <v>0</v>
      </c>
      <c r="D82" s="35">
        <f t="shared" si="0"/>
        <v>0</v>
      </c>
      <c r="E82" s="34">
        <v>2</v>
      </c>
      <c r="F82" s="34">
        <v>9</v>
      </c>
      <c r="G82" s="34">
        <f t="shared" si="1"/>
        <v>11</v>
      </c>
      <c r="H82" s="39">
        <f t="shared" si="2"/>
        <v>2</v>
      </c>
      <c r="I82" s="34">
        <f t="shared" si="2"/>
        <v>9</v>
      </c>
      <c r="J82" s="35">
        <f t="shared" si="3"/>
        <v>11</v>
      </c>
    </row>
    <row r="83" spans="1:10" x14ac:dyDescent="0.25">
      <c r="A83" s="12" t="s">
        <v>79</v>
      </c>
      <c r="B83" s="39">
        <v>0</v>
      </c>
      <c r="C83" s="34">
        <v>0</v>
      </c>
      <c r="D83" s="35">
        <f t="shared" si="0"/>
        <v>0</v>
      </c>
      <c r="E83" s="34">
        <v>77</v>
      </c>
      <c r="F83" s="34">
        <v>131</v>
      </c>
      <c r="G83" s="34">
        <f t="shared" si="1"/>
        <v>208</v>
      </c>
      <c r="H83" s="39">
        <f t="shared" si="2"/>
        <v>77</v>
      </c>
      <c r="I83" s="34">
        <f t="shared" si="2"/>
        <v>131</v>
      </c>
      <c r="J83" s="35">
        <f t="shared" si="3"/>
        <v>208</v>
      </c>
    </row>
    <row r="84" spans="1:10" x14ac:dyDescent="0.25">
      <c r="A84" s="12" t="s">
        <v>86</v>
      </c>
      <c r="B84" s="39">
        <v>0</v>
      </c>
      <c r="C84" s="34">
        <v>0</v>
      </c>
      <c r="D84" s="35">
        <f t="shared" si="0"/>
        <v>0</v>
      </c>
      <c r="E84" s="34">
        <v>53</v>
      </c>
      <c r="F84" s="34">
        <v>36</v>
      </c>
      <c r="G84" s="34">
        <f t="shared" si="1"/>
        <v>89</v>
      </c>
      <c r="H84" s="39">
        <f t="shared" si="2"/>
        <v>53</v>
      </c>
      <c r="I84" s="34">
        <f t="shared" si="2"/>
        <v>36</v>
      </c>
      <c r="J84" s="35">
        <f t="shared" si="3"/>
        <v>89</v>
      </c>
    </row>
    <row r="85" spans="1:10" x14ac:dyDescent="0.25">
      <c r="A85" s="12" t="s">
        <v>87</v>
      </c>
      <c r="B85" s="39">
        <v>0</v>
      </c>
      <c r="C85" s="34">
        <v>0</v>
      </c>
      <c r="D85" s="35">
        <f t="shared" si="0"/>
        <v>0</v>
      </c>
      <c r="E85" s="34">
        <v>39</v>
      </c>
      <c r="F85" s="34">
        <v>30</v>
      </c>
      <c r="G85" s="34">
        <f t="shared" si="1"/>
        <v>69</v>
      </c>
      <c r="H85" s="39">
        <f t="shared" si="2"/>
        <v>39</v>
      </c>
      <c r="I85" s="34">
        <f t="shared" si="2"/>
        <v>30</v>
      </c>
      <c r="J85" s="35">
        <f t="shared" si="3"/>
        <v>69</v>
      </c>
    </row>
    <row r="86" spans="1:10" ht="15.75" thickBot="1" x14ac:dyDescent="0.3">
      <c r="A86" s="13" t="s">
        <v>177</v>
      </c>
      <c r="B86" s="43">
        <v>292</v>
      </c>
      <c r="C86" s="44">
        <v>306</v>
      </c>
      <c r="D86" s="45">
        <f t="shared" si="0"/>
        <v>598</v>
      </c>
      <c r="E86" s="44">
        <v>93</v>
      </c>
      <c r="F86" s="44">
        <v>61</v>
      </c>
      <c r="G86" s="44">
        <f t="shared" si="1"/>
        <v>154</v>
      </c>
      <c r="H86" s="43">
        <f t="shared" si="2"/>
        <v>385</v>
      </c>
      <c r="I86" s="44">
        <f t="shared" si="2"/>
        <v>367</v>
      </c>
      <c r="J86" s="45">
        <f t="shared" si="3"/>
        <v>752</v>
      </c>
    </row>
    <row r="87" spans="1:10" ht="16.5" thickTop="1" thickBot="1" x14ac:dyDescent="0.3">
      <c r="A87" s="8" t="s">
        <v>0</v>
      </c>
      <c r="B87" s="8">
        <f>SUM(B7:B86)</f>
        <v>5057</v>
      </c>
      <c r="C87" s="36">
        <f>SUM(C7:C86)</f>
        <v>5281</v>
      </c>
      <c r="D87" s="40">
        <f>SUM(D7:D86)</f>
        <v>10338</v>
      </c>
      <c r="E87" s="36">
        <f>SUM(E7:E86)</f>
        <v>2740</v>
      </c>
      <c r="F87" s="36">
        <f>SUM(F7:F86)</f>
        <v>2540</v>
      </c>
      <c r="G87" s="37">
        <f t="shared" ref="G87" si="4">SUM(E87:F87)</f>
        <v>5280</v>
      </c>
      <c r="H87" s="41">
        <f t="shared" ref="H87:I87" si="5">B87+E87</f>
        <v>7797</v>
      </c>
      <c r="I87" s="37">
        <f t="shared" si="5"/>
        <v>7821</v>
      </c>
      <c r="J87" s="38">
        <f t="shared" ref="J87" si="6">SUM(H87:I87)</f>
        <v>15618</v>
      </c>
    </row>
    <row r="88" spans="1:10" ht="15.75" thickBot="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</row>
    <row r="89" spans="1:10" x14ac:dyDescent="0.25">
      <c r="A89" s="16" t="s">
        <v>16</v>
      </c>
      <c r="B89" s="58" t="s">
        <v>3</v>
      </c>
      <c r="C89" s="59"/>
      <c r="D89" s="60"/>
      <c r="E89" s="58" t="s">
        <v>4</v>
      </c>
      <c r="F89" s="59"/>
      <c r="G89" s="60"/>
      <c r="H89" s="58" t="s">
        <v>0</v>
      </c>
      <c r="I89" s="59"/>
      <c r="J89" s="60"/>
    </row>
    <row r="90" spans="1:10" x14ac:dyDescent="0.25">
      <c r="A90" s="17"/>
      <c r="B90" s="32" t="s">
        <v>5</v>
      </c>
      <c r="C90" s="31" t="s">
        <v>6</v>
      </c>
      <c r="D90" s="33" t="s">
        <v>0</v>
      </c>
      <c r="E90" s="32" t="s">
        <v>5</v>
      </c>
      <c r="F90" s="31" t="s">
        <v>6</v>
      </c>
      <c r="G90" s="33" t="s">
        <v>0</v>
      </c>
      <c r="H90" s="32" t="s">
        <v>5</v>
      </c>
      <c r="I90" s="31" t="s">
        <v>6</v>
      </c>
      <c r="J90" s="30" t="s">
        <v>0</v>
      </c>
    </row>
    <row r="91" spans="1:10" x14ac:dyDescent="0.25">
      <c r="A91" s="29" t="s">
        <v>15</v>
      </c>
      <c r="B91" s="6">
        <v>600</v>
      </c>
      <c r="C91" s="4">
        <v>1249</v>
      </c>
      <c r="D91" s="5">
        <f t="shared" ref="D91:D99" si="7">B91+C91</f>
        <v>1849</v>
      </c>
      <c r="E91" s="6">
        <v>216</v>
      </c>
      <c r="F91" s="4">
        <v>372</v>
      </c>
      <c r="G91" s="4">
        <f t="shared" ref="G91:G99" si="8">E91+F91</f>
        <v>588</v>
      </c>
      <c r="H91" s="6">
        <f>B91+E91</f>
        <v>816</v>
      </c>
      <c r="I91" s="4">
        <f>C91+F91</f>
        <v>1621</v>
      </c>
      <c r="J91" s="7">
        <f t="shared" ref="J91:J99" si="9">H91+I91</f>
        <v>2437</v>
      </c>
    </row>
    <row r="92" spans="1:10" x14ac:dyDescent="0.25">
      <c r="A92" s="29" t="s">
        <v>14</v>
      </c>
      <c r="B92" s="6">
        <v>206</v>
      </c>
      <c r="C92" s="4">
        <v>142</v>
      </c>
      <c r="D92" s="5">
        <f t="shared" si="7"/>
        <v>348</v>
      </c>
      <c r="E92" s="6">
        <v>399</v>
      </c>
      <c r="F92" s="4">
        <v>280</v>
      </c>
      <c r="G92" s="4">
        <f t="shared" si="8"/>
        <v>679</v>
      </c>
      <c r="H92" s="6">
        <f t="shared" ref="H92:I99" si="10">B92+E92</f>
        <v>605</v>
      </c>
      <c r="I92" s="4">
        <f t="shared" si="10"/>
        <v>422</v>
      </c>
      <c r="J92" s="7">
        <f t="shared" si="9"/>
        <v>1027</v>
      </c>
    </row>
    <row r="93" spans="1:10" x14ac:dyDescent="0.25">
      <c r="A93" s="29" t="s">
        <v>155</v>
      </c>
      <c r="B93" s="6">
        <v>379</v>
      </c>
      <c r="C93" s="4">
        <v>351</v>
      </c>
      <c r="D93" s="5">
        <f t="shared" si="7"/>
        <v>730</v>
      </c>
      <c r="E93" s="6">
        <v>414</v>
      </c>
      <c r="F93" s="4">
        <v>458</v>
      </c>
      <c r="G93" s="4">
        <f t="shared" si="8"/>
        <v>872</v>
      </c>
      <c r="H93" s="6">
        <f t="shared" si="10"/>
        <v>793</v>
      </c>
      <c r="I93" s="4">
        <f t="shared" si="10"/>
        <v>809</v>
      </c>
      <c r="J93" s="7">
        <f t="shared" si="9"/>
        <v>1602</v>
      </c>
    </row>
    <row r="94" spans="1:10" x14ac:dyDescent="0.25">
      <c r="A94" s="29" t="s">
        <v>12</v>
      </c>
      <c r="B94" s="6">
        <v>745</v>
      </c>
      <c r="C94" s="4">
        <v>180</v>
      </c>
      <c r="D94" s="5">
        <f t="shared" ref="D94" si="11">B94+C94</f>
        <v>925</v>
      </c>
      <c r="E94" s="6">
        <v>482</v>
      </c>
      <c r="F94" s="4">
        <v>115</v>
      </c>
      <c r="G94" s="4">
        <f t="shared" ref="G94" si="12">E94+F94</f>
        <v>597</v>
      </c>
      <c r="H94" s="6">
        <f t="shared" ref="H94" si="13">B94+E94</f>
        <v>1227</v>
      </c>
      <c r="I94" s="4">
        <f t="shared" ref="I94" si="14">C94+F94</f>
        <v>295</v>
      </c>
      <c r="J94" s="7">
        <f t="shared" ref="J94" si="15">H94+I94</f>
        <v>1522</v>
      </c>
    </row>
    <row r="95" spans="1:10" x14ac:dyDescent="0.25">
      <c r="A95" s="29" t="s">
        <v>1</v>
      </c>
      <c r="B95" s="6">
        <v>198</v>
      </c>
      <c r="C95" s="4">
        <v>308</v>
      </c>
      <c r="D95" s="5">
        <f t="shared" si="7"/>
        <v>506</v>
      </c>
      <c r="E95" s="6">
        <v>165</v>
      </c>
      <c r="F95" s="4">
        <v>177</v>
      </c>
      <c r="G95" s="4">
        <f t="shared" si="8"/>
        <v>342</v>
      </c>
      <c r="H95" s="6">
        <f t="shared" si="10"/>
        <v>363</v>
      </c>
      <c r="I95" s="4">
        <f t="shared" si="10"/>
        <v>485</v>
      </c>
      <c r="J95" s="7">
        <f t="shared" si="9"/>
        <v>848</v>
      </c>
    </row>
    <row r="96" spans="1:10" x14ac:dyDescent="0.25">
      <c r="A96" s="29" t="s">
        <v>11</v>
      </c>
      <c r="B96" s="6">
        <v>735</v>
      </c>
      <c r="C96" s="4">
        <v>1224</v>
      </c>
      <c r="D96" s="5">
        <f t="shared" si="7"/>
        <v>1959</v>
      </c>
      <c r="E96" s="6">
        <v>311</v>
      </c>
      <c r="F96" s="4">
        <v>490</v>
      </c>
      <c r="G96" s="4">
        <f t="shared" si="8"/>
        <v>801</v>
      </c>
      <c r="H96" s="6">
        <f t="shared" si="10"/>
        <v>1046</v>
      </c>
      <c r="I96" s="4">
        <f t="shared" si="10"/>
        <v>1714</v>
      </c>
      <c r="J96" s="7">
        <f t="shared" si="9"/>
        <v>2760</v>
      </c>
    </row>
    <row r="97" spans="1:10" x14ac:dyDescent="0.25">
      <c r="A97" s="29" t="s">
        <v>10</v>
      </c>
      <c r="B97" s="6">
        <v>1098</v>
      </c>
      <c r="C97" s="4">
        <v>590</v>
      </c>
      <c r="D97" s="5">
        <f t="shared" si="7"/>
        <v>1688</v>
      </c>
      <c r="E97" s="6">
        <v>321</v>
      </c>
      <c r="F97" s="4">
        <v>167</v>
      </c>
      <c r="G97" s="4">
        <f t="shared" si="8"/>
        <v>488</v>
      </c>
      <c r="H97" s="6">
        <f t="shared" si="10"/>
        <v>1419</v>
      </c>
      <c r="I97" s="4">
        <f t="shared" si="10"/>
        <v>757</v>
      </c>
      <c r="J97" s="7">
        <f t="shared" si="9"/>
        <v>2176</v>
      </c>
    </row>
    <row r="98" spans="1:10" x14ac:dyDescent="0.25">
      <c r="A98" s="29" t="s">
        <v>9</v>
      </c>
      <c r="B98" s="6">
        <v>804</v>
      </c>
      <c r="C98" s="4">
        <v>931</v>
      </c>
      <c r="D98" s="5">
        <f t="shared" si="7"/>
        <v>1735</v>
      </c>
      <c r="E98" s="6">
        <v>339</v>
      </c>
      <c r="F98" s="4">
        <v>420</v>
      </c>
      <c r="G98" s="4">
        <f t="shared" si="8"/>
        <v>759</v>
      </c>
      <c r="H98" s="6">
        <f t="shared" si="10"/>
        <v>1143</v>
      </c>
      <c r="I98" s="4">
        <f t="shared" si="10"/>
        <v>1351</v>
      </c>
      <c r="J98" s="7">
        <f t="shared" si="9"/>
        <v>2494</v>
      </c>
    </row>
    <row r="99" spans="1:10" ht="15.75" thickBot="1" x14ac:dyDescent="0.3">
      <c r="A99" s="28" t="s">
        <v>177</v>
      </c>
      <c r="B99" s="10">
        <v>292</v>
      </c>
      <c r="C99" s="27">
        <v>306</v>
      </c>
      <c r="D99" s="14">
        <f t="shared" si="7"/>
        <v>598</v>
      </c>
      <c r="E99" s="10">
        <v>93</v>
      </c>
      <c r="F99" s="11">
        <v>61</v>
      </c>
      <c r="G99" s="11">
        <f t="shared" si="8"/>
        <v>154</v>
      </c>
      <c r="H99" s="10">
        <f t="shared" si="10"/>
        <v>385</v>
      </c>
      <c r="I99" s="11">
        <f t="shared" si="10"/>
        <v>367</v>
      </c>
      <c r="J99" s="26">
        <f t="shared" si="9"/>
        <v>752</v>
      </c>
    </row>
    <row r="100" spans="1:10" ht="16.5" thickTop="1" thickBot="1" x14ac:dyDescent="0.3">
      <c r="A100" s="9" t="s">
        <v>0</v>
      </c>
      <c r="B100" s="8">
        <f t="shared" ref="B100:J100" si="16">SUM(B91:B99)</f>
        <v>5057</v>
      </c>
      <c r="C100" s="8">
        <f t="shared" si="16"/>
        <v>5281</v>
      </c>
      <c r="D100" s="8">
        <f t="shared" si="16"/>
        <v>10338</v>
      </c>
      <c r="E100" s="8">
        <f t="shared" si="16"/>
        <v>2740</v>
      </c>
      <c r="F100" s="8">
        <f t="shared" si="16"/>
        <v>2540</v>
      </c>
      <c r="G100" s="8">
        <f t="shared" si="16"/>
        <v>5280</v>
      </c>
      <c r="H100" s="8">
        <f t="shared" si="16"/>
        <v>7797</v>
      </c>
      <c r="I100" s="8">
        <f t="shared" si="16"/>
        <v>7821</v>
      </c>
      <c r="J100" s="9">
        <f t="shared" si="16"/>
        <v>15618</v>
      </c>
    </row>
    <row r="101" spans="1:10" ht="15.75" thickBot="1" x14ac:dyDescent="0.3">
      <c r="A101" s="25"/>
      <c r="B101" s="25"/>
      <c r="C101" s="25"/>
      <c r="D101" s="25"/>
      <c r="E101" s="25"/>
      <c r="F101" s="25"/>
      <c r="G101" s="25"/>
      <c r="H101" s="25"/>
      <c r="I101" s="25"/>
      <c r="J101" s="25"/>
    </row>
    <row r="102" spans="1:10" x14ac:dyDescent="0.25">
      <c r="A102" s="29" t="s">
        <v>15</v>
      </c>
      <c r="B102" s="24">
        <f>B91/D91</f>
        <v>0.32449972958355866</v>
      </c>
      <c r="C102" s="23">
        <f>C91/D91</f>
        <v>0.67550027041644134</v>
      </c>
      <c r="D102" s="5"/>
      <c r="E102" s="24">
        <f>E91/G91</f>
        <v>0.36734693877551022</v>
      </c>
      <c r="F102" s="23">
        <f>F91/G91</f>
        <v>0.63265306122448983</v>
      </c>
      <c r="G102" s="4"/>
      <c r="H102" s="24">
        <f>H91/J91</f>
        <v>0.33483791546983999</v>
      </c>
      <c r="I102" s="23">
        <f>I91/J91</f>
        <v>0.66516208453016001</v>
      </c>
      <c r="J102" s="7"/>
    </row>
    <row r="103" spans="1:10" x14ac:dyDescent="0.25">
      <c r="A103" s="29" t="s">
        <v>14</v>
      </c>
      <c r="B103" s="24">
        <f>B92/D92</f>
        <v>0.59195402298850575</v>
      </c>
      <c r="C103" s="23">
        <f>C92/D92</f>
        <v>0.40804597701149425</v>
      </c>
      <c r="D103" s="5"/>
      <c r="E103" s="24">
        <f>E92/G92</f>
        <v>0.58762886597938147</v>
      </c>
      <c r="F103" s="23">
        <f>F92/G92</f>
        <v>0.41237113402061853</v>
      </c>
      <c r="G103" s="4"/>
      <c r="H103" s="24">
        <f>H92/J92</f>
        <v>0.58909444985394355</v>
      </c>
      <c r="I103" s="23">
        <f>I92/J92</f>
        <v>0.41090555014605645</v>
      </c>
      <c r="J103" s="7"/>
    </row>
    <row r="104" spans="1:10" x14ac:dyDescent="0.25">
      <c r="A104" s="29" t="s">
        <v>155</v>
      </c>
      <c r="B104" s="24">
        <f>B93/D93</f>
        <v>0.51917808219178085</v>
      </c>
      <c r="C104" s="23">
        <f>C93/D93</f>
        <v>0.4808219178082192</v>
      </c>
      <c r="D104" s="5"/>
      <c r="E104" s="24">
        <f>E93/G93</f>
        <v>0.47477064220183485</v>
      </c>
      <c r="F104" s="23">
        <f>F93/G93</f>
        <v>0.52522935779816515</v>
      </c>
      <c r="G104" s="4"/>
      <c r="H104" s="24">
        <f>H93/J93</f>
        <v>0.49500624219725342</v>
      </c>
      <c r="I104" s="23">
        <f>I93/J93</f>
        <v>0.50499375780274658</v>
      </c>
      <c r="J104" s="7"/>
    </row>
    <row r="105" spans="1:10" x14ac:dyDescent="0.25">
      <c r="A105" s="29" t="s">
        <v>12</v>
      </c>
      <c r="B105" s="24">
        <f t="shared" ref="B105" si="17">B95/D95</f>
        <v>0.39130434782608697</v>
      </c>
      <c r="C105" s="23">
        <f t="shared" ref="C105:C106" si="18">C95/D95</f>
        <v>0.60869565217391308</v>
      </c>
      <c r="D105" s="5"/>
      <c r="E105" s="24">
        <f t="shared" ref="E105" si="19">E95/G95</f>
        <v>0.48245614035087719</v>
      </c>
      <c r="F105" s="23">
        <f t="shared" ref="F105:F106" si="20">F95/G95</f>
        <v>0.51754385964912286</v>
      </c>
      <c r="G105" s="4"/>
      <c r="H105" s="24">
        <f t="shared" ref="H105" si="21">H95/J95</f>
        <v>0.42806603773584906</v>
      </c>
      <c r="I105" s="23">
        <f t="shared" ref="I105:I106" si="22">I95/J95</f>
        <v>0.57193396226415094</v>
      </c>
      <c r="J105" s="7"/>
    </row>
    <row r="106" spans="1:10" x14ac:dyDescent="0.25">
      <c r="A106" s="29" t="s">
        <v>1</v>
      </c>
      <c r="B106" s="24">
        <f t="shared" ref="B106" si="23">B96/D96</f>
        <v>0.37519142419601836</v>
      </c>
      <c r="C106" s="23">
        <f t="shared" si="18"/>
        <v>0.62480857580398164</v>
      </c>
      <c r="D106" s="5"/>
      <c r="E106" s="24">
        <f t="shared" ref="E106" si="24">E96/G96</f>
        <v>0.38826466916354557</v>
      </c>
      <c r="F106" s="23">
        <f t="shared" si="20"/>
        <v>0.61173533083645448</v>
      </c>
      <c r="G106" s="4"/>
      <c r="H106" s="24">
        <f t="shared" ref="H106" si="25">H96/J96</f>
        <v>0.37898550724637681</v>
      </c>
      <c r="I106" s="23">
        <f t="shared" si="22"/>
        <v>0.62101449275362319</v>
      </c>
      <c r="J106" s="7"/>
    </row>
    <row r="107" spans="1:10" x14ac:dyDescent="0.25">
      <c r="A107" s="29" t="s">
        <v>11</v>
      </c>
      <c r="B107" s="24">
        <f>B96/D96</f>
        <v>0.37519142419601836</v>
      </c>
      <c r="C107" s="23">
        <f>C96/D96</f>
        <v>0.62480857580398164</v>
      </c>
      <c r="D107" s="5"/>
      <c r="E107" s="24">
        <f>E96/G96</f>
        <v>0.38826466916354557</v>
      </c>
      <c r="F107" s="23">
        <f>F96/G96</f>
        <v>0.61173533083645448</v>
      </c>
      <c r="G107" s="4"/>
      <c r="H107" s="24">
        <f>H96/J96</f>
        <v>0.37898550724637681</v>
      </c>
      <c r="I107" s="23">
        <f>I96/J96</f>
        <v>0.62101449275362319</v>
      </c>
      <c r="J107" s="7"/>
    </row>
    <row r="108" spans="1:10" x14ac:dyDescent="0.25">
      <c r="A108" s="29" t="s">
        <v>10</v>
      </c>
      <c r="B108" s="24">
        <f>B97/D97</f>
        <v>0.65047393364928907</v>
      </c>
      <c r="C108" s="23">
        <f>C97/D97</f>
        <v>0.34952606635071087</v>
      </c>
      <c r="D108" s="5"/>
      <c r="E108" s="24">
        <f>E97/G97</f>
        <v>0.65778688524590168</v>
      </c>
      <c r="F108" s="23">
        <f>F97/G97</f>
        <v>0.34221311475409838</v>
      </c>
      <c r="G108" s="4"/>
      <c r="H108" s="24">
        <f>H97/J97</f>
        <v>0.65211397058823528</v>
      </c>
      <c r="I108" s="23">
        <f>I97/J97</f>
        <v>0.34788602941176472</v>
      </c>
      <c r="J108" s="7"/>
    </row>
    <row r="109" spans="1:10" x14ac:dyDescent="0.25">
      <c r="A109" s="29" t="s">
        <v>9</v>
      </c>
      <c r="B109" s="24">
        <f>B98/D98</f>
        <v>0.4634005763688761</v>
      </c>
      <c r="C109" s="23">
        <f>C98/D98</f>
        <v>0.5365994236311239</v>
      </c>
      <c r="D109" s="5"/>
      <c r="E109" s="24">
        <f>E98/G98</f>
        <v>0.44664031620553357</v>
      </c>
      <c r="F109" s="23">
        <f>F98/G98</f>
        <v>0.55335968379446643</v>
      </c>
      <c r="G109" s="4"/>
      <c r="H109" s="24">
        <f>H98/J98</f>
        <v>0.45829991980753809</v>
      </c>
      <c r="I109" s="23">
        <f>I98/J98</f>
        <v>0.54170008019246196</v>
      </c>
      <c r="J109" s="7"/>
    </row>
    <row r="110" spans="1:10" ht="15.75" thickBot="1" x14ac:dyDescent="0.3">
      <c r="A110" s="28" t="s">
        <v>177</v>
      </c>
      <c r="B110" s="22">
        <f>B99/D99</f>
        <v>0.48829431438127091</v>
      </c>
      <c r="C110" s="21">
        <f>C99/D99</f>
        <v>0.51170568561872909</v>
      </c>
      <c r="D110" s="14"/>
      <c r="E110" s="22">
        <f>E99/G99</f>
        <v>0.60389610389610393</v>
      </c>
      <c r="F110" s="21">
        <f>F99/G99</f>
        <v>0.39610389610389612</v>
      </c>
      <c r="G110" s="11"/>
      <c r="H110" s="22">
        <f>H99/J99</f>
        <v>0.51196808510638303</v>
      </c>
      <c r="I110" s="21">
        <f>I99/J99</f>
        <v>0.48803191489361702</v>
      </c>
      <c r="J110" s="20"/>
    </row>
    <row r="111" spans="1:10" ht="16.5" thickTop="1" thickBot="1" x14ac:dyDescent="0.3">
      <c r="A111" s="8" t="s">
        <v>0</v>
      </c>
      <c r="B111" s="19">
        <f>B100/D100</f>
        <v>0.48916618301412268</v>
      </c>
      <c r="C111" s="19">
        <f>C100/D100</f>
        <v>0.51083381698587738</v>
      </c>
      <c r="D111" s="8"/>
      <c r="E111" s="19">
        <f>E100/G100</f>
        <v>0.51893939393939392</v>
      </c>
      <c r="F111" s="19">
        <f>F100/G100</f>
        <v>0.48106060606060608</v>
      </c>
      <c r="G111" s="8"/>
      <c r="H111" s="19">
        <f>H100/J100</f>
        <v>0.49923165578179024</v>
      </c>
      <c r="I111" s="19">
        <f>I100/J100</f>
        <v>0.5007683442182097</v>
      </c>
      <c r="J111" s="9"/>
    </row>
  </sheetData>
  <mergeCells count="8">
    <mergeCell ref="B89:D89"/>
    <mergeCell ref="E89:G89"/>
    <mergeCell ref="H89:J89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7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topLeftCell="A73" zoomScale="55" zoomScaleNormal="55" zoomScalePageLayoutView="70" workbookViewId="0">
      <selection activeCell="A86" sqref="A86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1997-98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87</v>
      </c>
      <c r="C7" s="34">
        <v>148</v>
      </c>
      <c r="D7" s="35">
        <f>SUM(B7:C7)</f>
        <v>235</v>
      </c>
      <c r="E7" s="34">
        <v>75</v>
      </c>
      <c r="F7" s="34">
        <v>40</v>
      </c>
      <c r="G7" s="34">
        <f>SUM(E7:F7)</f>
        <v>115</v>
      </c>
      <c r="H7" s="39">
        <f>B7+E7</f>
        <v>162</v>
      </c>
      <c r="I7" s="34">
        <f>C7+F7</f>
        <v>188</v>
      </c>
      <c r="J7" s="35">
        <f>SUM(H7:I7)</f>
        <v>350</v>
      </c>
    </row>
    <row r="8" spans="1:10" x14ac:dyDescent="0.25">
      <c r="A8" s="12" t="s">
        <v>17</v>
      </c>
      <c r="B8" s="39">
        <v>54</v>
      </c>
      <c r="C8" s="34">
        <v>142</v>
      </c>
      <c r="D8" s="35">
        <f t="shared" ref="D8:D84" si="0">SUM(B8:C8)</f>
        <v>196</v>
      </c>
      <c r="E8" s="34">
        <v>48</v>
      </c>
      <c r="F8" s="34">
        <v>79</v>
      </c>
      <c r="G8" s="34">
        <f t="shared" ref="G8:G84" si="1">SUM(E8:F8)</f>
        <v>127</v>
      </c>
      <c r="H8" s="39">
        <f t="shared" ref="H8:I84" si="2">B8+E8</f>
        <v>102</v>
      </c>
      <c r="I8" s="34">
        <f t="shared" si="2"/>
        <v>221</v>
      </c>
      <c r="J8" s="35">
        <f t="shared" ref="J8:J84" si="3">SUM(H8:I8)</f>
        <v>323</v>
      </c>
    </row>
    <row r="9" spans="1:10" x14ac:dyDescent="0.25">
      <c r="A9" s="12" t="s">
        <v>18</v>
      </c>
      <c r="B9" s="39">
        <v>112</v>
      </c>
      <c r="C9" s="34">
        <v>193</v>
      </c>
      <c r="D9" s="35">
        <f t="shared" si="0"/>
        <v>305</v>
      </c>
      <c r="E9" s="34">
        <v>67</v>
      </c>
      <c r="F9" s="34">
        <v>160</v>
      </c>
      <c r="G9" s="34">
        <f t="shared" si="1"/>
        <v>227</v>
      </c>
      <c r="H9" s="39">
        <f t="shared" si="2"/>
        <v>179</v>
      </c>
      <c r="I9" s="34">
        <f t="shared" si="2"/>
        <v>353</v>
      </c>
      <c r="J9" s="35">
        <f t="shared" si="3"/>
        <v>532</v>
      </c>
    </row>
    <row r="10" spans="1:10" x14ac:dyDescent="0.25">
      <c r="A10" s="12" t="s">
        <v>161</v>
      </c>
      <c r="B10" s="39">
        <v>201</v>
      </c>
      <c r="C10" s="34">
        <v>121</v>
      </c>
      <c r="D10" s="35">
        <f t="shared" si="0"/>
        <v>322</v>
      </c>
      <c r="E10" s="34">
        <v>351</v>
      </c>
      <c r="F10" s="34">
        <v>209</v>
      </c>
      <c r="G10" s="34">
        <f t="shared" si="1"/>
        <v>560</v>
      </c>
      <c r="H10" s="39">
        <f t="shared" si="2"/>
        <v>552</v>
      </c>
      <c r="I10" s="34">
        <f t="shared" si="2"/>
        <v>330</v>
      </c>
      <c r="J10" s="35">
        <f t="shared" si="3"/>
        <v>882</v>
      </c>
    </row>
    <row r="11" spans="1:10" x14ac:dyDescent="0.25">
      <c r="A11" s="12" t="s">
        <v>108</v>
      </c>
      <c r="B11" s="39">
        <v>80</v>
      </c>
      <c r="C11" s="34">
        <v>66</v>
      </c>
      <c r="D11" s="35">
        <f t="shared" si="0"/>
        <v>146</v>
      </c>
      <c r="E11" s="34">
        <v>50</v>
      </c>
      <c r="F11" s="34">
        <v>63</v>
      </c>
      <c r="G11" s="34">
        <f t="shared" si="1"/>
        <v>113</v>
      </c>
      <c r="H11" s="39">
        <f t="shared" si="2"/>
        <v>130</v>
      </c>
      <c r="I11" s="34">
        <f t="shared" si="2"/>
        <v>129</v>
      </c>
      <c r="J11" s="35">
        <f t="shared" si="3"/>
        <v>259</v>
      </c>
    </row>
    <row r="12" spans="1:10" x14ac:dyDescent="0.25">
      <c r="A12" s="12" t="s">
        <v>109</v>
      </c>
      <c r="B12" s="39">
        <v>112</v>
      </c>
      <c r="C12" s="34">
        <v>180</v>
      </c>
      <c r="D12" s="35">
        <f t="shared" si="0"/>
        <v>292</v>
      </c>
      <c r="E12" s="34">
        <v>43</v>
      </c>
      <c r="F12" s="34">
        <v>63</v>
      </c>
      <c r="G12" s="34">
        <f t="shared" si="1"/>
        <v>106</v>
      </c>
      <c r="H12" s="39">
        <f t="shared" si="2"/>
        <v>155</v>
      </c>
      <c r="I12" s="34">
        <f t="shared" si="2"/>
        <v>243</v>
      </c>
      <c r="J12" s="35">
        <f t="shared" si="3"/>
        <v>398</v>
      </c>
    </row>
    <row r="13" spans="1:10" x14ac:dyDescent="0.25">
      <c r="A13" s="12" t="s">
        <v>162</v>
      </c>
      <c r="B13" s="39">
        <v>0</v>
      </c>
      <c r="C13" s="34">
        <v>0</v>
      </c>
      <c r="D13" s="35">
        <f t="shared" si="0"/>
        <v>0</v>
      </c>
      <c r="E13" s="34">
        <v>27</v>
      </c>
      <c r="F13" s="34">
        <v>3</v>
      </c>
      <c r="G13" s="34">
        <f t="shared" si="1"/>
        <v>30</v>
      </c>
      <c r="H13" s="39">
        <f t="shared" si="2"/>
        <v>27</v>
      </c>
      <c r="I13" s="34">
        <f t="shared" si="2"/>
        <v>3</v>
      </c>
      <c r="J13" s="35">
        <f t="shared" si="3"/>
        <v>30</v>
      </c>
    </row>
    <row r="14" spans="1:10" x14ac:dyDescent="0.25">
      <c r="A14" s="12" t="s">
        <v>181</v>
      </c>
      <c r="B14" s="39">
        <v>147</v>
      </c>
      <c r="C14" s="34">
        <v>63</v>
      </c>
      <c r="D14" s="35">
        <f t="shared" si="0"/>
        <v>210</v>
      </c>
      <c r="E14" s="34">
        <v>70</v>
      </c>
      <c r="F14" s="34">
        <v>45</v>
      </c>
      <c r="G14" s="34">
        <f t="shared" si="1"/>
        <v>115</v>
      </c>
      <c r="H14" s="39">
        <f t="shared" si="2"/>
        <v>217</v>
      </c>
      <c r="I14" s="34">
        <f t="shared" si="2"/>
        <v>108</v>
      </c>
      <c r="J14" s="35">
        <f t="shared" si="3"/>
        <v>325</v>
      </c>
    </row>
    <row r="15" spans="1:10" x14ac:dyDescent="0.25">
      <c r="A15" s="12" t="s">
        <v>31</v>
      </c>
      <c r="B15" s="39">
        <v>126</v>
      </c>
      <c r="C15" s="34">
        <v>87</v>
      </c>
      <c r="D15" s="35">
        <f t="shared" si="0"/>
        <v>213</v>
      </c>
      <c r="E15" s="34">
        <v>56</v>
      </c>
      <c r="F15" s="34">
        <v>41</v>
      </c>
      <c r="G15" s="34">
        <f t="shared" si="1"/>
        <v>97</v>
      </c>
      <c r="H15" s="39">
        <f t="shared" si="2"/>
        <v>182</v>
      </c>
      <c r="I15" s="34">
        <f t="shared" si="2"/>
        <v>128</v>
      </c>
      <c r="J15" s="35">
        <f t="shared" si="3"/>
        <v>310</v>
      </c>
    </row>
    <row r="16" spans="1:10" x14ac:dyDescent="0.25">
      <c r="A16" s="12" t="s">
        <v>132</v>
      </c>
      <c r="B16" s="39">
        <v>186</v>
      </c>
      <c r="C16" s="34">
        <v>41</v>
      </c>
      <c r="D16" s="35">
        <f t="shared" si="0"/>
        <v>227</v>
      </c>
      <c r="E16" s="34">
        <v>41</v>
      </c>
      <c r="F16" s="34">
        <v>10</v>
      </c>
      <c r="G16" s="34">
        <f t="shared" si="1"/>
        <v>51</v>
      </c>
      <c r="H16" s="39">
        <f t="shared" si="2"/>
        <v>227</v>
      </c>
      <c r="I16" s="34">
        <f t="shared" si="2"/>
        <v>51</v>
      </c>
      <c r="J16" s="35">
        <f t="shared" si="3"/>
        <v>278</v>
      </c>
    </row>
    <row r="17" spans="1:10" x14ac:dyDescent="0.25">
      <c r="A17" s="12" t="s">
        <v>33</v>
      </c>
      <c r="B17" s="39">
        <v>179</v>
      </c>
      <c r="C17" s="34">
        <v>21</v>
      </c>
      <c r="D17" s="35">
        <f t="shared" si="0"/>
        <v>200</v>
      </c>
      <c r="E17" s="34">
        <v>115</v>
      </c>
      <c r="F17" s="34">
        <v>39</v>
      </c>
      <c r="G17" s="34">
        <f t="shared" si="1"/>
        <v>154</v>
      </c>
      <c r="H17" s="39">
        <f t="shared" si="2"/>
        <v>294</v>
      </c>
      <c r="I17" s="34">
        <f t="shared" si="2"/>
        <v>60</v>
      </c>
      <c r="J17" s="35">
        <f t="shared" si="3"/>
        <v>354</v>
      </c>
    </row>
    <row r="18" spans="1:10" x14ac:dyDescent="0.25">
      <c r="A18" s="12" t="s">
        <v>34</v>
      </c>
      <c r="B18" s="39">
        <v>0</v>
      </c>
      <c r="C18" s="34">
        <v>0</v>
      </c>
      <c r="D18" s="35">
        <f t="shared" si="0"/>
        <v>0</v>
      </c>
      <c r="E18" s="34">
        <v>62</v>
      </c>
      <c r="F18" s="34">
        <v>45</v>
      </c>
      <c r="G18" s="34">
        <f t="shared" si="1"/>
        <v>107</v>
      </c>
      <c r="H18" s="39">
        <f t="shared" si="2"/>
        <v>62</v>
      </c>
      <c r="I18" s="34">
        <f t="shared" si="2"/>
        <v>45</v>
      </c>
      <c r="J18" s="35">
        <f t="shared" si="3"/>
        <v>107</v>
      </c>
    </row>
    <row r="19" spans="1:10" x14ac:dyDescent="0.25">
      <c r="A19" s="12" t="s">
        <v>35</v>
      </c>
      <c r="B19" s="39">
        <v>21</v>
      </c>
      <c r="C19" s="34">
        <v>16</v>
      </c>
      <c r="D19" s="35">
        <f t="shared" si="0"/>
        <v>37</v>
      </c>
      <c r="E19" s="34">
        <v>5</v>
      </c>
      <c r="F19" s="34">
        <v>6</v>
      </c>
      <c r="G19" s="34">
        <f t="shared" si="1"/>
        <v>11</v>
      </c>
      <c r="H19" s="39">
        <f t="shared" si="2"/>
        <v>26</v>
      </c>
      <c r="I19" s="34">
        <f t="shared" si="2"/>
        <v>22</v>
      </c>
      <c r="J19" s="35">
        <f t="shared" si="3"/>
        <v>48</v>
      </c>
    </row>
    <row r="20" spans="1:10" x14ac:dyDescent="0.25">
      <c r="A20" s="12" t="s">
        <v>37</v>
      </c>
      <c r="B20" s="39">
        <v>313</v>
      </c>
      <c r="C20" s="34">
        <v>151</v>
      </c>
      <c r="D20" s="35">
        <f t="shared" si="0"/>
        <v>464</v>
      </c>
      <c r="E20" s="34">
        <v>81</v>
      </c>
      <c r="F20" s="34">
        <v>66</v>
      </c>
      <c r="G20" s="34">
        <f t="shared" si="1"/>
        <v>147</v>
      </c>
      <c r="H20" s="39">
        <f t="shared" si="2"/>
        <v>394</v>
      </c>
      <c r="I20" s="34">
        <f t="shared" si="2"/>
        <v>217</v>
      </c>
      <c r="J20" s="35">
        <f t="shared" si="3"/>
        <v>611</v>
      </c>
    </row>
    <row r="21" spans="1:10" x14ac:dyDescent="0.25">
      <c r="A21" s="12" t="s">
        <v>38</v>
      </c>
      <c r="B21" s="39">
        <v>198</v>
      </c>
      <c r="C21" s="34">
        <v>33</v>
      </c>
      <c r="D21" s="35">
        <f t="shared" si="0"/>
        <v>231</v>
      </c>
      <c r="E21" s="34">
        <v>250</v>
      </c>
      <c r="F21" s="34">
        <v>36</v>
      </c>
      <c r="G21" s="34">
        <f t="shared" si="1"/>
        <v>286</v>
      </c>
      <c r="H21" s="39">
        <f t="shared" si="2"/>
        <v>448</v>
      </c>
      <c r="I21" s="34">
        <f t="shared" si="2"/>
        <v>69</v>
      </c>
      <c r="J21" s="35">
        <f t="shared" si="3"/>
        <v>517</v>
      </c>
    </row>
    <row r="22" spans="1:10" x14ac:dyDescent="0.25">
      <c r="A22" s="12" t="s">
        <v>41</v>
      </c>
      <c r="B22" s="39">
        <v>97</v>
      </c>
      <c r="C22" s="34">
        <v>179</v>
      </c>
      <c r="D22" s="35">
        <f t="shared" si="0"/>
        <v>276</v>
      </c>
      <c r="E22" s="34">
        <v>17</v>
      </c>
      <c r="F22" s="34">
        <v>17</v>
      </c>
      <c r="G22" s="34">
        <f t="shared" si="1"/>
        <v>34</v>
      </c>
      <c r="H22" s="39">
        <f t="shared" si="2"/>
        <v>114</v>
      </c>
      <c r="I22" s="34">
        <f t="shared" si="2"/>
        <v>196</v>
      </c>
      <c r="J22" s="35">
        <f t="shared" si="3"/>
        <v>310</v>
      </c>
    </row>
    <row r="23" spans="1:10" x14ac:dyDescent="0.25">
      <c r="A23" s="12" t="s">
        <v>44</v>
      </c>
      <c r="B23" s="39">
        <v>53</v>
      </c>
      <c r="C23" s="34">
        <v>94</v>
      </c>
      <c r="D23" s="35">
        <f t="shared" si="0"/>
        <v>147</v>
      </c>
      <c r="E23" s="34">
        <v>53</v>
      </c>
      <c r="F23" s="34">
        <v>72</v>
      </c>
      <c r="G23" s="34">
        <f t="shared" si="1"/>
        <v>125</v>
      </c>
      <c r="H23" s="39">
        <f t="shared" si="2"/>
        <v>106</v>
      </c>
      <c r="I23" s="34">
        <f t="shared" si="2"/>
        <v>166</v>
      </c>
      <c r="J23" s="35">
        <f t="shared" si="3"/>
        <v>272</v>
      </c>
    </row>
    <row r="24" spans="1:10" x14ac:dyDescent="0.25">
      <c r="A24" s="12" t="s">
        <v>45</v>
      </c>
      <c r="B24" s="39">
        <v>81</v>
      </c>
      <c r="C24" s="34">
        <v>178</v>
      </c>
      <c r="D24" s="35">
        <f t="shared" si="0"/>
        <v>259</v>
      </c>
      <c r="E24" s="34">
        <v>15</v>
      </c>
      <c r="F24" s="34">
        <v>21</v>
      </c>
      <c r="G24" s="34">
        <f t="shared" si="1"/>
        <v>36</v>
      </c>
      <c r="H24" s="39">
        <f t="shared" si="2"/>
        <v>96</v>
      </c>
      <c r="I24" s="34">
        <f t="shared" si="2"/>
        <v>199</v>
      </c>
      <c r="J24" s="35">
        <f t="shared" si="3"/>
        <v>295</v>
      </c>
    </row>
    <row r="25" spans="1:10" x14ac:dyDescent="0.25">
      <c r="A25" s="12" t="s">
        <v>47</v>
      </c>
      <c r="B25" s="39">
        <v>146</v>
      </c>
      <c r="C25" s="34">
        <v>144</v>
      </c>
      <c r="D25" s="35">
        <f t="shared" si="0"/>
        <v>290</v>
      </c>
      <c r="E25" s="34">
        <v>50</v>
      </c>
      <c r="F25" s="34">
        <v>41</v>
      </c>
      <c r="G25" s="34">
        <f t="shared" si="1"/>
        <v>91</v>
      </c>
      <c r="H25" s="39">
        <f t="shared" si="2"/>
        <v>196</v>
      </c>
      <c r="I25" s="34">
        <f t="shared" si="2"/>
        <v>185</v>
      </c>
      <c r="J25" s="35">
        <f t="shared" si="3"/>
        <v>381</v>
      </c>
    </row>
    <row r="26" spans="1:10" x14ac:dyDescent="0.25">
      <c r="A26" s="12" t="s">
        <v>159</v>
      </c>
      <c r="B26" s="39">
        <v>82</v>
      </c>
      <c r="C26" s="34">
        <v>59</v>
      </c>
      <c r="D26" s="35">
        <f t="shared" si="0"/>
        <v>141</v>
      </c>
      <c r="E26" s="34">
        <v>31</v>
      </c>
      <c r="F26" s="34">
        <v>28</v>
      </c>
      <c r="G26" s="34">
        <f t="shared" si="1"/>
        <v>59</v>
      </c>
      <c r="H26" s="39">
        <f t="shared" si="2"/>
        <v>113</v>
      </c>
      <c r="I26" s="34">
        <f t="shared" si="2"/>
        <v>87</v>
      </c>
      <c r="J26" s="35">
        <f t="shared" si="3"/>
        <v>200</v>
      </c>
    </row>
    <row r="27" spans="1:10" x14ac:dyDescent="0.25">
      <c r="A27" s="12" t="s">
        <v>133</v>
      </c>
      <c r="B27" s="39">
        <v>0</v>
      </c>
      <c r="C27" s="34">
        <v>0</v>
      </c>
      <c r="D27" s="35">
        <f t="shared" si="0"/>
        <v>0</v>
      </c>
      <c r="E27" s="34">
        <v>32</v>
      </c>
      <c r="F27" s="34">
        <v>15</v>
      </c>
      <c r="G27" s="34">
        <f t="shared" si="1"/>
        <v>47</v>
      </c>
      <c r="H27" s="39">
        <f t="shared" si="2"/>
        <v>32</v>
      </c>
      <c r="I27" s="34">
        <f t="shared" si="2"/>
        <v>15</v>
      </c>
      <c r="J27" s="35">
        <f t="shared" si="3"/>
        <v>47</v>
      </c>
    </row>
    <row r="28" spans="1:10" x14ac:dyDescent="0.25">
      <c r="A28" s="12" t="s">
        <v>48</v>
      </c>
      <c r="B28" s="39">
        <v>27</v>
      </c>
      <c r="C28" s="34">
        <v>79</v>
      </c>
      <c r="D28" s="35">
        <f t="shared" si="0"/>
        <v>106</v>
      </c>
      <c r="E28" s="34">
        <v>10</v>
      </c>
      <c r="F28" s="34">
        <v>16</v>
      </c>
      <c r="G28" s="34">
        <f t="shared" si="1"/>
        <v>26</v>
      </c>
      <c r="H28" s="39">
        <f t="shared" si="2"/>
        <v>37</v>
      </c>
      <c r="I28" s="34">
        <f t="shared" si="2"/>
        <v>95</v>
      </c>
      <c r="J28" s="35">
        <f t="shared" si="3"/>
        <v>132</v>
      </c>
    </row>
    <row r="29" spans="1:10" x14ac:dyDescent="0.25">
      <c r="A29" s="12" t="s">
        <v>49</v>
      </c>
      <c r="B29" s="39">
        <v>41</v>
      </c>
      <c r="C29" s="34">
        <v>80</v>
      </c>
      <c r="D29" s="35">
        <f t="shared" si="0"/>
        <v>121</v>
      </c>
      <c r="E29" s="34">
        <v>13</v>
      </c>
      <c r="F29" s="34">
        <v>22</v>
      </c>
      <c r="G29" s="34">
        <f t="shared" si="1"/>
        <v>35</v>
      </c>
      <c r="H29" s="39">
        <f t="shared" si="2"/>
        <v>54</v>
      </c>
      <c r="I29" s="34">
        <f t="shared" si="2"/>
        <v>102</v>
      </c>
      <c r="J29" s="35">
        <f t="shared" si="3"/>
        <v>156</v>
      </c>
    </row>
    <row r="30" spans="1:10" x14ac:dyDescent="0.25">
      <c r="A30" s="12" t="s">
        <v>50</v>
      </c>
      <c r="B30" s="39">
        <v>28</v>
      </c>
      <c r="C30" s="34">
        <v>43</v>
      </c>
      <c r="D30" s="35">
        <f t="shared" si="0"/>
        <v>71</v>
      </c>
      <c r="E30" s="34">
        <v>10</v>
      </c>
      <c r="F30" s="34">
        <v>22</v>
      </c>
      <c r="G30" s="34">
        <f t="shared" si="1"/>
        <v>32</v>
      </c>
      <c r="H30" s="39">
        <f t="shared" si="2"/>
        <v>38</v>
      </c>
      <c r="I30" s="34">
        <f t="shared" si="2"/>
        <v>65</v>
      </c>
      <c r="J30" s="35">
        <f t="shared" si="3"/>
        <v>103</v>
      </c>
    </row>
    <row r="31" spans="1:10" x14ac:dyDescent="0.25">
      <c r="A31" s="12" t="s">
        <v>160</v>
      </c>
      <c r="B31" s="39">
        <v>0</v>
      </c>
      <c r="C31" s="34">
        <v>0</v>
      </c>
      <c r="D31" s="35">
        <f t="shared" si="0"/>
        <v>0</v>
      </c>
      <c r="E31" s="34">
        <v>3</v>
      </c>
      <c r="F31" s="34">
        <v>7</v>
      </c>
      <c r="G31" s="34">
        <f t="shared" si="1"/>
        <v>10</v>
      </c>
      <c r="H31" s="39">
        <f t="shared" si="2"/>
        <v>3</v>
      </c>
      <c r="I31" s="34">
        <f t="shared" si="2"/>
        <v>7</v>
      </c>
      <c r="J31" s="35">
        <f t="shared" si="3"/>
        <v>10</v>
      </c>
    </row>
    <row r="32" spans="1:10" x14ac:dyDescent="0.25">
      <c r="A32" s="12" t="s">
        <v>51</v>
      </c>
      <c r="B32" s="39">
        <v>138</v>
      </c>
      <c r="C32" s="34">
        <v>208</v>
      </c>
      <c r="D32" s="35">
        <f t="shared" si="0"/>
        <v>346</v>
      </c>
      <c r="E32" s="34">
        <v>74</v>
      </c>
      <c r="F32" s="34">
        <v>52</v>
      </c>
      <c r="G32" s="34">
        <f t="shared" si="1"/>
        <v>126</v>
      </c>
      <c r="H32" s="39">
        <f t="shared" si="2"/>
        <v>212</v>
      </c>
      <c r="I32" s="34">
        <f t="shared" si="2"/>
        <v>260</v>
      </c>
      <c r="J32" s="35">
        <f t="shared" si="3"/>
        <v>472</v>
      </c>
    </row>
    <row r="33" spans="1:10" x14ac:dyDescent="0.25">
      <c r="A33" s="12" t="s">
        <v>52</v>
      </c>
      <c r="B33" s="39">
        <v>35</v>
      </c>
      <c r="C33" s="34">
        <v>132</v>
      </c>
      <c r="D33" s="35">
        <f t="shared" si="0"/>
        <v>167</v>
      </c>
      <c r="E33" s="34">
        <v>16</v>
      </c>
      <c r="F33" s="34">
        <v>38</v>
      </c>
      <c r="G33" s="34">
        <f t="shared" si="1"/>
        <v>54</v>
      </c>
      <c r="H33" s="39">
        <f t="shared" si="2"/>
        <v>51</v>
      </c>
      <c r="I33" s="34">
        <f t="shared" si="2"/>
        <v>170</v>
      </c>
      <c r="J33" s="35">
        <f t="shared" si="3"/>
        <v>221</v>
      </c>
    </row>
    <row r="34" spans="1:10" x14ac:dyDescent="0.25">
      <c r="A34" s="12" t="s">
        <v>110</v>
      </c>
      <c r="B34" s="39">
        <v>7</v>
      </c>
      <c r="C34" s="34">
        <v>184</v>
      </c>
      <c r="D34" s="35">
        <f t="shared" si="0"/>
        <v>191</v>
      </c>
      <c r="E34" s="34">
        <v>9</v>
      </c>
      <c r="F34" s="34">
        <v>81</v>
      </c>
      <c r="G34" s="34">
        <f t="shared" si="1"/>
        <v>90</v>
      </c>
      <c r="H34" s="39">
        <f t="shared" si="2"/>
        <v>16</v>
      </c>
      <c r="I34" s="34">
        <f t="shared" si="2"/>
        <v>265</v>
      </c>
      <c r="J34" s="35">
        <f t="shared" si="3"/>
        <v>281</v>
      </c>
    </row>
    <row r="35" spans="1:10" x14ac:dyDescent="0.25">
      <c r="A35" s="12" t="s">
        <v>55</v>
      </c>
      <c r="B35" s="39">
        <v>61</v>
      </c>
      <c r="C35" s="34">
        <v>220</v>
      </c>
      <c r="D35" s="35">
        <f t="shared" si="0"/>
        <v>281</v>
      </c>
      <c r="E35" s="34">
        <v>7</v>
      </c>
      <c r="F35" s="34">
        <v>14</v>
      </c>
      <c r="G35" s="34">
        <f t="shared" si="1"/>
        <v>21</v>
      </c>
      <c r="H35" s="39">
        <f t="shared" si="2"/>
        <v>68</v>
      </c>
      <c r="I35" s="34">
        <f t="shared" si="2"/>
        <v>234</v>
      </c>
      <c r="J35" s="35">
        <f t="shared" si="3"/>
        <v>302</v>
      </c>
    </row>
    <row r="36" spans="1:10" x14ac:dyDescent="0.25">
      <c r="A36" s="12" t="s">
        <v>1</v>
      </c>
      <c r="B36" s="39">
        <v>225</v>
      </c>
      <c r="C36" s="34">
        <v>324</v>
      </c>
      <c r="D36" s="35">
        <f t="shared" si="0"/>
        <v>549</v>
      </c>
      <c r="E36" s="34">
        <v>162</v>
      </c>
      <c r="F36" s="34">
        <v>154</v>
      </c>
      <c r="G36" s="34">
        <f t="shared" si="1"/>
        <v>316</v>
      </c>
      <c r="H36" s="39">
        <f t="shared" si="2"/>
        <v>387</v>
      </c>
      <c r="I36" s="34">
        <f t="shared" si="2"/>
        <v>478</v>
      </c>
      <c r="J36" s="35">
        <f t="shared" si="3"/>
        <v>865</v>
      </c>
    </row>
    <row r="37" spans="1:10" x14ac:dyDescent="0.25">
      <c r="A37" s="12" t="s">
        <v>102</v>
      </c>
      <c r="B37" s="39">
        <v>51</v>
      </c>
      <c r="C37" s="34">
        <v>48</v>
      </c>
      <c r="D37" s="35">
        <f t="shared" si="0"/>
        <v>99</v>
      </c>
      <c r="E37" s="34">
        <v>53</v>
      </c>
      <c r="F37" s="34">
        <v>123</v>
      </c>
      <c r="G37" s="34">
        <f t="shared" si="1"/>
        <v>176</v>
      </c>
      <c r="H37" s="39">
        <f t="shared" si="2"/>
        <v>104</v>
      </c>
      <c r="I37" s="34">
        <f t="shared" si="2"/>
        <v>171</v>
      </c>
      <c r="J37" s="35">
        <f t="shared" si="3"/>
        <v>275</v>
      </c>
    </row>
    <row r="38" spans="1:10" x14ac:dyDescent="0.25">
      <c r="A38" s="12" t="s">
        <v>59</v>
      </c>
      <c r="B38" s="39">
        <v>199</v>
      </c>
      <c r="C38" s="34">
        <v>130</v>
      </c>
      <c r="D38" s="35">
        <f t="shared" si="0"/>
        <v>329</v>
      </c>
      <c r="E38" s="34">
        <v>10</v>
      </c>
      <c r="F38" s="34">
        <v>4</v>
      </c>
      <c r="G38" s="34">
        <f t="shared" si="1"/>
        <v>14</v>
      </c>
      <c r="H38" s="39">
        <f t="shared" si="2"/>
        <v>209</v>
      </c>
      <c r="I38" s="34">
        <f t="shared" si="2"/>
        <v>134</v>
      </c>
      <c r="J38" s="35">
        <f t="shared" si="3"/>
        <v>343</v>
      </c>
    </row>
    <row r="39" spans="1:10" x14ac:dyDescent="0.25">
      <c r="A39" s="12" t="s">
        <v>60</v>
      </c>
      <c r="B39" s="39">
        <v>228</v>
      </c>
      <c r="C39" s="34">
        <v>27</v>
      </c>
      <c r="D39" s="35">
        <f t="shared" si="0"/>
        <v>255</v>
      </c>
      <c r="E39" s="34">
        <v>96</v>
      </c>
      <c r="F39" s="34">
        <v>3</v>
      </c>
      <c r="G39" s="34">
        <f t="shared" si="1"/>
        <v>99</v>
      </c>
      <c r="H39" s="39">
        <f t="shared" si="2"/>
        <v>324</v>
      </c>
      <c r="I39" s="34">
        <f t="shared" si="2"/>
        <v>30</v>
      </c>
      <c r="J39" s="35">
        <f t="shared" si="3"/>
        <v>354</v>
      </c>
    </row>
    <row r="40" spans="1:10" x14ac:dyDescent="0.25">
      <c r="A40" s="12" t="s">
        <v>61</v>
      </c>
      <c r="B40" s="39">
        <v>5</v>
      </c>
      <c r="C40" s="34">
        <v>0</v>
      </c>
      <c r="D40" s="35">
        <f t="shared" si="0"/>
        <v>5</v>
      </c>
      <c r="E40" s="34">
        <v>33</v>
      </c>
      <c r="F40" s="34">
        <v>13</v>
      </c>
      <c r="G40" s="34">
        <f t="shared" si="1"/>
        <v>46</v>
      </c>
      <c r="H40" s="39">
        <f t="shared" si="2"/>
        <v>38</v>
      </c>
      <c r="I40" s="34">
        <f t="shared" si="2"/>
        <v>13</v>
      </c>
      <c r="J40" s="35">
        <f t="shared" si="3"/>
        <v>51</v>
      </c>
    </row>
    <row r="41" spans="1:10" x14ac:dyDescent="0.25">
      <c r="A41" s="12" t="s">
        <v>156</v>
      </c>
      <c r="B41" s="39">
        <v>36</v>
      </c>
      <c r="C41" s="34">
        <v>118</v>
      </c>
      <c r="D41" s="35">
        <f t="shared" si="0"/>
        <v>154</v>
      </c>
      <c r="E41" s="34">
        <v>0</v>
      </c>
      <c r="F41" s="34">
        <v>0</v>
      </c>
      <c r="G41" s="34">
        <f t="shared" si="1"/>
        <v>0</v>
      </c>
      <c r="H41" s="39">
        <f t="shared" si="2"/>
        <v>36</v>
      </c>
      <c r="I41" s="34">
        <f t="shared" si="2"/>
        <v>118</v>
      </c>
      <c r="J41" s="35">
        <f t="shared" si="3"/>
        <v>154</v>
      </c>
    </row>
    <row r="42" spans="1:10" x14ac:dyDescent="0.25">
      <c r="A42" s="12" t="s">
        <v>112</v>
      </c>
      <c r="B42" s="39">
        <v>62</v>
      </c>
      <c r="C42" s="34">
        <v>100</v>
      </c>
      <c r="D42" s="35">
        <f t="shared" si="0"/>
        <v>162</v>
      </c>
      <c r="E42" s="34">
        <v>14</v>
      </c>
      <c r="F42" s="34">
        <v>22</v>
      </c>
      <c r="G42" s="34">
        <f t="shared" si="1"/>
        <v>36</v>
      </c>
      <c r="H42" s="39">
        <f t="shared" si="2"/>
        <v>76</v>
      </c>
      <c r="I42" s="34">
        <f t="shared" si="2"/>
        <v>122</v>
      </c>
      <c r="J42" s="35">
        <f t="shared" si="3"/>
        <v>198</v>
      </c>
    </row>
    <row r="43" spans="1:10" x14ac:dyDescent="0.25">
      <c r="A43" s="12" t="s">
        <v>64</v>
      </c>
      <c r="B43" s="39">
        <v>91</v>
      </c>
      <c r="C43" s="34">
        <v>69</v>
      </c>
      <c r="D43" s="35">
        <f t="shared" si="0"/>
        <v>160</v>
      </c>
      <c r="E43" s="34">
        <v>30</v>
      </c>
      <c r="F43" s="34">
        <v>16</v>
      </c>
      <c r="G43" s="34">
        <f t="shared" si="1"/>
        <v>46</v>
      </c>
      <c r="H43" s="39">
        <f t="shared" si="2"/>
        <v>121</v>
      </c>
      <c r="I43" s="34">
        <f t="shared" si="2"/>
        <v>85</v>
      </c>
      <c r="J43" s="35">
        <f t="shared" si="3"/>
        <v>206</v>
      </c>
    </row>
    <row r="44" spans="1:10" x14ac:dyDescent="0.25">
      <c r="A44" s="12" t="s">
        <v>113</v>
      </c>
      <c r="B44" s="39">
        <v>34</v>
      </c>
      <c r="C44" s="34">
        <v>59</v>
      </c>
      <c r="D44" s="35">
        <f t="shared" si="0"/>
        <v>93</v>
      </c>
      <c r="E44" s="34">
        <v>23</v>
      </c>
      <c r="F44" s="34">
        <v>37</v>
      </c>
      <c r="G44" s="34">
        <f t="shared" si="1"/>
        <v>60</v>
      </c>
      <c r="H44" s="39">
        <f t="shared" si="2"/>
        <v>57</v>
      </c>
      <c r="I44" s="34">
        <f t="shared" si="2"/>
        <v>96</v>
      </c>
      <c r="J44" s="35">
        <f t="shared" si="3"/>
        <v>153</v>
      </c>
    </row>
    <row r="45" spans="1:10" x14ac:dyDescent="0.25">
      <c r="A45" s="12" t="s">
        <v>65</v>
      </c>
      <c r="B45" s="39">
        <v>386</v>
      </c>
      <c r="C45" s="34">
        <v>137</v>
      </c>
      <c r="D45" s="35">
        <f t="shared" si="0"/>
        <v>523</v>
      </c>
      <c r="E45" s="34">
        <v>52</v>
      </c>
      <c r="F45" s="34">
        <v>10</v>
      </c>
      <c r="G45" s="34">
        <f t="shared" si="1"/>
        <v>62</v>
      </c>
      <c r="H45" s="39">
        <f t="shared" si="2"/>
        <v>438</v>
      </c>
      <c r="I45" s="34">
        <f t="shared" si="2"/>
        <v>147</v>
      </c>
      <c r="J45" s="35">
        <f t="shared" si="3"/>
        <v>585</v>
      </c>
    </row>
    <row r="46" spans="1:10" x14ac:dyDescent="0.25">
      <c r="A46" s="12" t="s">
        <v>114</v>
      </c>
      <c r="B46" s="39">
        <v>31</v>
      </c>
      <c r="C46" s="34">
        <v>58</v>
      </c>
      <c r="D46" s="35">
        <f t="shared" si="0"/>
        <v>89</v>
      </c>
      <c r="E46" s="34">
        <v>36</v>
      </c>
      <c r="F46" s="34">
        <v>49</v>
      </c>
      <c r="G46" s="34">
        <f t="shared" si="1"/>
        <v>85</v>
      </c>
      <c r="H46" s="39">
        <f t="shared" si="2"/>
        <v>67</v>
      </c>
      <c r="I46" s="34">
        <f t="shared" si="2"/>
        <v>107</v>
      </c>
      <c r="J46" s="35">
        <f t="shared" si="3"/>
        <v>174</v>
      </c>
    </row>
    <row r="47" spans="1:10" x14ac:dyDescent="0.25">
      <c r="A47" s="12" t="s">
        <v>115</v>
      </c>
      <c r="B47" s="39">
        <v>84</v>
      </c>
      <c r="C47" s="34">
        <v>269</v>
      </c>
      <c r="D47" s="35">
        <f t="shared" si="0"/>
        <v>353</v>
      </c>
      <c r="E47" s="34">
        <v>82</v>
      </c>
      <c r="F47" s="34">
        <v>173</v>
      </c>
      <c r="G47" s="34">
        <f t="shared" si="1"/>
        <v>255</v>
      </c>
      <c r="H47" s="39">
        <f t="shared" si="2"/>
        <v>166</v>
      </c>
      <c r="I47" s="34">
        <f t="shared" si="2"/>
        <v>442</v>
      </c>
      <c r="J47" s="35">
        <f t="shared" si="3"/>
        <v>608</v>
      </c>
    </row>
    <row r="48" spans="1:10" x14ac:dyDescent="0.25">
      <c r="A48" s="12" t="s">
        <v>68</v>
      </c>
      <c r="B48" s="39">
        <v>48</v>
      </c>
      <c r="C48" s="34">
        <v>58</v>
      </c>
      <c r="D48" s="35">
        <f t="shared" si="0"/>
        <v>106</v>
      </c>
      <c r="E48" s="34">
        <v>1</v>
      </c>
      <c r="F48" s="34">
        <v>2</v>
      </c>
      <c r="G48" s="34">
        <f t="shared" si="1"/>
        <v>3</v>
      </c>
      <c r="H48" s="39">
        <f t="shared" si="2"/>
        <v>49</v>
      </c>
      <c r="I48" s="34">
        <f t="shared" si="2"/>
        <v>60</v>
      </c>
      <c r="J48" s="35">
        <f t="shared" si="3"/>
        <v>109</v>
      </c>
    </row>
    <row r="49" spans="1:10" x14ac:dyDescent="0.25">
      <c r="A49" s="12" t="s">
        <v>71</v>
      </c>
      <c r="B49" s="39">
        <v>39</v>
      </c>
      <c r="C49" s="34">
        <v>38</v>
      </c>
      <c r="D49" s="35">
        <f t="shared" si="0"/>
        <v>77</v>
      </c>
      <c r="E49" s="34">
        <v>2</v>
      </c>
      <c r="F49" s="34">
        <v>2</v>
      </c>
      <c r="G49" s="34">
        <f t="shared" si="1"/>
        <v>4</v>
      </c>
      <c r="H49" s="39">
        <f t="shared" si="2"/>
        <v>41</v>
      </c>
      <c r="I49" s="34">
        <f t="shared" si="2"/>
        <v>40</v>
      </c>
      <c r="J49" s="35">
        <f t="shared" si="3"/>
        <v>81</v>
      </c>
    </row>
    <row r="50" spans="1:10" x14ac:dyDescent="0.25">
      <c r="A50" s="12" t="s">
        <v>72</v>
      </c>
      <c r="B50" s="39">
        <v>0</v>
      </c>
      <c r="C50" s="34">
        <v>0</v>
      </c>
      <c r="D50" s="35">
        <f t="shared" si="0"/>
        <v>0</v>
      </c>
      <c r="E50" s="34">
        <v>29</v>
      </c>
      <c r="F50" s="34">
        <v>8</v>
      </c>
      <c r="G50" s="34">
        <f t="shared" si="1"/>
        <v>37</v>
      </c>
      <c r="H50" s="39">
        <f t="shared" si="2"/>
        <v>29</v>
      </c>
      <c r="I50" s="34">
        <f t="shared" si="2"/>
        <v>8</v>
      </c>
      <c r="J50" s="35">
        <f t="shared" si="3"/>
        <v>37</v>
      </c>
    </row>
    <row r="51" spans="1:10" x14ac:dyDescent="0.25">
      <c r="A51" s="12" t="s">
        <v>73</v>
      </c>
      <c r="B51" s="39">
        <v>15</v>
      </c>
      <c r="C51" s="34">
        <v>60</v>
      </c>
      <c r="D51" s="35">
        <f t="shared" si="0"/>
        <v>75</v>
      </c>
      <c r="E51" s="34">
        <v>4</v>
      </c>
      <c r="F51" s="34">
        <v>5</v>
      </c>
      <c r="G51" s="34">
        <f t="shared" si="1"/>
        <v>9</v>
      </c>
      <c r="H51" s="39">
        <f t="shared" si="2"/>
        <v>19</v>
      </c>
      <c r="I51" s="34">
        <f t="shared" si="2"/>
        <v>65</v>
      </c>
      <c r="J51" s="35">
        <f t="shared" si="3"/>
        <v>84</v>
      </c>
    </row>
    <row r="52" spans="1:10" x14ac:dyDescent="0.25">
      <c r="A52" s="12" t="s">
        <v>74</v>
      </c>
      <c r="B52" s="39">
        <v>48</v>
      </c>
      <c r="C52" s="34">
        <v>28</v>
      </c>
      <c r="D52" s="35">
        <f t="shared" si="0"/>
        <v>76</v>
      </c>
      <c r="E52" s="34">
        <v>9</v>
      </c>
      <c r="F52" s="34">
        <v>12</v>
      </c>
      <c r="G52" s="34">
        <f t="shared" si="1"/>
        <v>21</v>
      </c>
      <c r="H52" s="39">
        <f t="shared" si="2"/>
        <v>57</v>
      </c>
      <c r="I52" s="34">
        <f t="shared" si="2"/>
        <v>40</v>
      </c>
      <c r="J52" s="35">
        <f t="shared" si="3"/>
        <v>97</v>
      </c>
    </row>
    <row r="53" spans="1:10" x14ac:dyDescent="0.25">
      <c r="A53" s="12" t="s">
        <v>179</v>
      </c>
      <c r="B53" s="39">
        <v>2</v>
      </c>
      <c r="C53" s="34">
        <v>0</v>
      </c>
      <c r="D53" s="35">
        <f t="shared" si="0"/>
        <v>2</v>
      </c>
      <c r="E53" s="34">
        <v>0</v>
      </c>
      <c r="F53" s="34">
        <v>0</v>
      </c>
      <c r="G53" s="34">
        <f t="shared" si="1"/>
        <v>0</v>
      </c>
      <c r="H53" s="39">
        <f t="shared" si="2"/>
        <v>2</v>
      </c>
      <c r="I53" s="34">
        <f t="shared" si="2"/>
        <v>0</v>
      </c>
      <c r="J53" s="35">
        <f t="shared" si="3"/>
        <v>2</v>
      </c>
    </row>
    <row r="54" spans="1:10" x14ac:dyDescent="0.25">
      <c r="A54" s="12" t="s">
        <v>151</v>
      </c>
      <c r="B54" s="39">
        <v>9</v>
      </c>
      <c r="C54" s="34">
        <v>17</v>
      </c>
      <c r="D54" s="35">
        <f t="shared" si="0"/>
        <v>26</v>
      </c>
      <c r="E54" s="34">
        <v>5</v>
      </c>
      <c r="F54" s="34">
        <v>8</v>
      </c>
      <c r="G54" s="34">
        <f t="shared" si="1"/>
        <v>13</v>
      </c>
      <c r="H54" s="39">
        <f t="shared" si="2"/>
        <v>14</v>
      </c>
      <c r="I54" s="34">
        <f t="shared" si="2"/>
        <v>25</v>
      </c>
      <c r="J54" s="35">
        <f t="shared" si="3"/>
        <v>39</v>
      </c>
    </row>
    <row r="55" spans="1:10" x14ac:dyDescent="0.25">
      <c r="A55" s="12" t="s">
        <v>103</v>
      </c>
      <c r="B55" s="39">
        <v>211</v>
      </c>
      <c r="C55" s="34">
        <v>206</v>
      </c>
      <c r="D55" s="35">
        <f t="shared" si="0"/>
        <v>417</v>
      </c>
      <c r="E55" s="34">
        <v>0</v>
      </c>
      <c r="F55" s="34">
        <v>0</v>
      </c>
      <c r="G55" s="34">
        <f t="shared" si="1"/>
        <v>0</v>
      </c>
      <c r="H55" s="39">
        <f t="shared" si="2"/>
        <v>211</v>
      </c>
      <c r="I55" s="34">
        <f t="shared" si="2"/>
        <v>206</v>
      </c>
      <c r="J55" s="35">
        <f t="shared" si="3"/>
        <v>417</v>
      </c>
    </row>
    <row r="56" spans="1:10" x14ac:dyDescent="0.25">
      <c r="A56" s="12" t="s">
        <v>104</v>
      </c>
      <c r="B56" s="39">
        <v>380</v>
      </c>
      <c r="C56" s="34">
        <v>301</v>
      </c>
      <c r="D56" s="35">
        <f t="shared" si="0"/>
        <v>681</v>
      </c>
      <c r="E56" s="34">
        <v>0</v>
      </c>
      <c r="F56" s="34">
        <v>0</v>
      </c>
      <c r="G56" s="34">
        <f t="shared" si="1"/>
        <v>0</v>
      </c>
      <c r="H56" s="39">
        <f t="shared" si="2"/>
        <v>380</v>
      </c>
      <c r="I56" s="34">
        <f t="shared" si="2"/>
        <v>301</v>
      </c>
      <c r="J56" s="35">
        <f t="shared" si="3"/>
        <v>681</v>
      </c>
    </row>
    <row r="57" spans="1:10" x14ac:dyDescent="0.25">
      <c r="A57" s="12" t="s">
        <v>169</v>
      </c>
      <c r="B57" s="39">
        <v>0</v>
      </c>
      <c r="C57" s="34">
        <v>0</v>
      </c>
      <c r="D57" s="35">
        <f t="shared" si="0"/>
        <v>0</v>
      </c>
      <c r="E57" s="34">
        <v>5</v>
      </c>
      <c r="F57" s="34">
        <v>3</v>
      </c>
      <c r="G57" s="34">
        <f t="shared" si="1"/>
        <v>8</v>
      </c>
      <c r="H57" s="39">
        <f t="shared" si="2"/>
        <v>5</v>
      </c>
      <c r="I57" s="34">
        <f t="shared" si="2"/>
        <v>3</v>
      </c>
      <c r="J57" s="35">
        <f t="shared" si="3"/>
        <v>8</v>
      </c>
    </row>
    <row r="58" spans="1:10" x14ac:dyDescent="0.25">
      <c r="A58" s="12" t="s">
        <v>170</v>
      </c>
      <c r="B58" s="39">
        <v>0</v>
      </c>
      <c r="C58" s="34">
        <v>0</v>
      </c>
      <c r="D58" s="35">
        <f t="shared" si="0"/>
        <v>0</v>
      </c>
      <c r="E58" s="34">
        <v>9</v>
      </c>
      <c r="F58" s="34">
        <v>14</v>
      </c>
      <c r="G58" s="34">
        <f t="shared" si="1"/>
        <v>23</v>
      </c>
      <c r="H58" s="39">
        <f t="shared" si="2"/>
        <v>9</v>
      </c>
      <c r="I58" s="34">
        <f t="shared" si="2"/>
        <v>14</v>
      </c>
      <c r="J58" s="35">
        <f t="shared" si="3"/>
        <v>23</v>
      </c>
    </row>
    <row r="59" spans="1:10" x14ac:dyDescent="0.25">
      <c r="A59" s="12" t="s">
        <v>117</v>
      </c>
      <c r="B59" s="39">
        <v>0</v>
      </c>
      <c r="C59" s="34">
        <v>0</v>
      </c>
      <c r="D59" s="35">
        <f t="shared" si="0"/>
        <v>0</v>
      </c>
      <c r="E59" s="34">
        <v>3</v>
      </c>
      <c r="F59" s="34">
        <v>1</v>
      </c>
      <c r="G59" s="34">
        <f t="shared" si="1"/>
        <v>4</v>
      </c>
      <c r="H59" s="39">
        <f t="shared" si="2"/>
        <v>3</v>
      </c>
      <c r="I59" s="34">
        <f t="shared" si="2"/>
        <v>1</v>
      </c>
      <c r="J59" s="35">
        <f t="shared" si="3"/>
        <v>4</v>
      </c>
    </row>
    <row r="60" spans="1:10" x14ac:dyDescent="0.25">
      <c r="A60" s="12" t="s">
        <v>163</v>
      </c>
      <c r="B60" s="39">
        <v>0</v>
      </c>
      <c r="C60" s="34">
        <v>0</v>
      </c>
      <c r="D60" s="35">
        <f t="shared" si="0"/>
        <v>0</v>
      </c>
      <c r="E60" s="34">
        <v>9</v>
      </c>
      <c r="F60" s="34">
        <v>12</v>
      </c>
      <c r="G60" s="34">
        <f t="shared" si="1"/>
        <v>21</v>
      </c>
      <c r="H60" s="39">
        <f t="shared" si="2"/>
        <v>9</v>
      </c>
      <c r="I60" s="34">
        <f t="shared" si="2"/>
        <v>12</v>
      </c>
      <c r="J60" s="35">
        <f t="shared" si="3"/>
        <v>21</v>
      </c>
    </row>
    <row r="61" spans="1:10" x14ac:dyDescent="0.25">
      <c r="A61" s="12" t="s">
        <v>120</v>
      </c>
      <c r="B61" s="39">
        <v>0</v>
      </c>
      <c r="C61" s="34">
        <v>0</v>
      </c>
      <c r="D61" s="35">
        <f t="shared" si="0"/>
        <v>0</v>
      </c>
      <c r="E61" s="34">
        <v>3</v>
      </c>
      <c r="F61" s="34">
        <v>5</v>
      </c>
      <c r="G61" s="34">
        <f t="shared" si="1"/>
        <v>8</v>
      </c>
      <c r="H61" s="39">
        <f t="shared" si="2"/>
        <v>3</v>
      </c>
      <c r="I61" s="34">
        <f t="shared" si="2"/>
        <v>5</v>
      </c>
      <c r="J61" s="35">
        <f t="shared" si="3"/>
        <v>8</v>
      </c>
    </row>
    <row r="62" spans="1:10" x14ac:dyDescent="0.25">
      <c r="A62" s="12" t="s">
        <v>152</v>
      </c>
      <c r="B62" s="39">
        <v>0</v>
      </c>
      <c r="C62" s="34">
        <v>0</v>
      </c>
      <c r="D62" s="35">
        <f t="shared" si="0"/>
        <v>0</v>
      </c>
      <c r="E62" s="34">
        <v>1</v>
      </c>
      <c r="F62" s="34">
        <v>1</v>
      </c>
      <c r="G62" s="34">
        <f t="shared" si="1"/>
        <v>2</v>
      </c>
      <c r="H62" s="39">
        <f t="shared" si="2"/>
        <v>1</v>
      </c>
      <c r="I62" s="34">
        <f t="shared" si="2"/>
        <v>1</v>
      </c>
      <c r="J62" s="35">
        <f t="shared" si="3"/>
        <v>2</v>
      </c>
    </row>
    <row r="63" spans="1:10" x14ac:dyDescent="0.25">
      <c r="A63" s="12" t="s">
        <v>171</v>
      </c>
      <c r="B63" s="39">
        <v>23</v>
      </c>
      <c r="C63" s="34">
        <v>22</v>
      </c>
      <c r="D63" s="35">
        <f t="shared" si="0"/>
        <v>45</v>
      </c>
      <c r="E63" s="34">
        <v>17</v>
      </c>
      <c r="F63" s="34">
        <v>19</v>
      </c>
      <c r="G63" s="34">
        <f t="shared" si="1"/>
        <v>36</v>
      </c>
      <c r="H63" s="39">
        <f t="shared" si="2"/>
        <v>40</v>
      </c>
      <c r="I63" s="34">
        <f t="shared" si="2"/>
        <v>41</v>
      </c>
      <c r="J63" s="35">
        <f t="shared" si="3"/>
        <v>81</v>
      </c>
    </row>
    <row r="64" spans="1:10" x14ac:dyDescent="0.25">
      <c r="A64" s="12" t="s">
        <v>164</v>
      </c>
      <c r="B64" s="39">
        <v>0</v>
      </c>
      <c r="C64" s="34">
        <v>0</v>
      </c>
      <c r="D64" s="35">
        <f t="shared" si="0"/>
        <v>0</v>
      </c>
      <c r="E64" s="34">
        <v>16</v>
      </c>
      <c r="F64" s="34">
        <v>21</v>
      </c>
      <c r="G64" s="34">
        <f t="shared" si="1"/>
        <v>37</v>
      </c>
      <c r="H64" s="39">
        <f t="shared" si="2"/>
        <v>16</v>
      </c>
      <c r="I64" s="34">
        <f t="shared" si="2"/>
        <v>21</v>
      </c>
      <c r="J64" s="35">
        <f t="shared" si="3"/>
        <v>37</v>
      </c>
    </row>
    <row r="65" spans="1:10" x14ac:dyDescent="0.25">
      <c r="A65" s="12" t="s">
        <v>123</v>
      </c>
      <c r="B65" s="39">
        <v>0</v>
      </c>
      <c r="C65" s="34">
        <v>0</v>
      </c>
      <c r="D65" s="35">
        <f t="shared" si="0"/>
        <v>0</v>
      </c>
      <c r="E65" s="34">
        <v>25</v>
      </c>
      <c r="F65" s="34">
        <v>30</v>
      </c>
      <c r="G65" s="34">
        <f t="shared" si="1"/>
        <v>55</v>
      </c>
      <c r="H65" s="39">
        <f t="shared" si="2"/>
        <v>25</v>
      </c>
      <c r="I65" s="34">
        <f t="shared" si="2"/>
        <v>30</v>
      </c>
      <c r="J65" s="35">
        <f t="shared" si="3"/>
        <v>55</v>
      </c>
    </row>
    <row r="66" spans="1:10" x14ac:dyDescent="0.25">
      <c r="A66" s="12" t="s">
        <v>182</v>
      </c>
      <c r="B66" s="39">
        <v>0</v>
      </c>
      <c r="C66" s="34">
        <v>0</v>
      </c>
      <c r="D66" s="35">
        <f t="shared" si="0"/>
        <v>0</v>
      </c>
      <c r="E66" s="34">
        <v>6</v>
      </c>
      <c r="F66" s="34">
        <v>4</v>
      </c>
      <c r="G66" s="34">
        <f t="shared" si="1"/>
        <v>10</v>
      </c>
      <c r="H66" s="39">
        <f t="shared" si="2"/>
        <v>6</v>
      </c>
      <c r="I66" s="34">
        <f t="shared" si="2"/>
        <v>4</v>
      </c>
      <c r="J66" s="35">
        <f t="shared" si="3"/>
        <v>10</v>
      </c>
    </row>
    <row r="67" spans="1:10" x14ac:dyDescent="0.25">
      <c r="A67" s="12" t="s">
        <v>165</v>
      </c>
      <c r="B67" s="39">
        <v>0</v>
      </c>
      <c r="C67" s="34">
        <v>0</v>
      </c>
      <c r="D67" s="35">
        <f t="shared" si="0"/>
        <v>0</v>
      </c>
      <c r="E67" s="34">
        <v>1</v>
      </c>
      <c r="F67" s="34">
        <v>1</v>
      </c>
      <c r="G67" s="34">
        <f t="shared" si="1"/>
        <v>2</v>
      </c>
      <c r="H67" s="39">
        <f t="shared" si="2"/>
        <v>1</v>
      </c>
      <c r="I67" s="34">
        <f t="shared" si="2"/>
        <v>1</v>
      </c>
      <c r="J67" s="35">
        <f t="shared" si="3"/>
        <v>2</v>
      </c>
    </row>
    <row r="68" spans="1:10" x14ac:dyDescent="0.25">
      <c r="A68" s="12" t="s">
        <v>180</v>
      </c>
      <c r="B68" s="39">
        <v>0</v>
      </c>
      <c r="C68" s="34">
        <v>0</v>
      </c>
      <c r="D68" s="35">
        <f t="shared" si="0"/>
        <v>0</v>
      </c>
      <c r="E68" s="34">
        <v>19</v>
      </c>
      <c r="F68" s="34">
        <v>31</v>
      </c>
      <c r="G68" s="34">
        <f t="shared" si="1"/>
        <v>50</v>
      </c>
      <c r="H68" s="39">
        <f t="shared" si="2"/>
        <v>19</v>
      </c>
      <c r="I68" s="34">
        <f t="shared" si="2"/>
        <v>31</v>
      </c>
      <c r="J68" s="35">
        <f t="shared" si="3"/>
        <v>50</v>
      </c>
    </row>
    <row r="69" spans="1:10" x14ac:dyDescent="0.25">
      <c r="A69" s="12" t="s">
        <v>183</v>
      </c>
      <c r="B69" s="39">
        <v>0</v>
      </c>
      <c r="C69" s="34">
        <v>0</v>
      </c>
      <c r="D69" s="35">
        <f t="shared" si="0"/>
        <v>0</v>
      </c>
      <c r="E69" s="34">
        <v>1</v>
      </c>
      <c r="F69" s="34">
        <v>0</v>
      </c>
      <c r="G69" s="34">
        <f t="shared" si="1"/>
        <v>1</v>
      </c>
      <c r="H69" s="39">
        <f t="shared" si="2"/>
        <v>1</v>
      </c>
      <c r="I69" s="34">
        <f t="shared" si="2"/>
        <v>0</v>
      </c>
      <c r="J69" s="35">
        <f t="shared" si="3"/>
        <v>1</v>
      </c>
    </row>
    <row r="70" spans="1:10" x14ac:dyDescent="0.25">
      <c r="A70" s="12" t="s">
        <v>125</v>
      </c>
      <c r="B70" s="39">
        <v>0</v>
      </c>
      <c r="C70" s="34">
        <v>0</v>
      </c>
      <c r="D70" s="35">
        <f t="shared" si="0"/>
        <v>0</v>
      </c>
      <c r="E70" s="34">
        <v>4</v>
      </c>
      <c r="F70" s="34">
        <v>4</v>
      </c>
      <c r="G70" s="34">
        <f t="shared" si="1"/>
        <v>8</v>
      </c>
      <c r="H70" s="39">
        <f t="shared" si="2"/>
        <v>4</v>
      </c>
      <c r="I70" s="34">
        <f t="shared" si="2"/>
        <v>4</v>
      </c>
      <c r="J70" s="35">
        <f t="shared" si="3"/>
        <v>8</v>
      </c>
    </row>
    <row r="71" spans="1:10" x14ac:dyDescent="0.25">
      <c r="A71" s="12" t="s">
        <v>126</v>
      </c>
      <c r="B71" s="39">
        <v>0</v>
      </c>
      <c r="C71" s="34">
        <v>0</v>
      </c>
      <c r="D71" s="35">
        <f t="shared" si="0"/>
        <v>0</v>
      </c>
      <c r="E71" s="34">
        <v>11</v>
      </c>
      <c r="F71" s="34">
        <v>19</v>
      </c>
      <c r="G71" s="34">
        <f t="shared" si="1"/>
        <v>30</v>
      </c>
      <c r="H71" s="39">
        <f t="shared" si="2"/>
        <v>11</v>
      </c>
      <c r="I71" s="34">
        <f t="shared" si="2"/>
        <v>19</v>
      </c>
      <c r="J71" s="35">
        <f t="shared" si="3"/>
        <v>30</v>
      </c>
    </row>
    <row r="72" spans="1:10" x14ac:dyDescent="0.25">
      <c r="A72" s="12" t="s">
        <v>127</v>
      </c>
      <c r="B72" s="39">
        <v>0</v>
      </c>
      <c r="C72" s="34">
        <v>0</v>
      </c>
      <c r="D72" s="35">
        <f t="shared" si="0"/>
        <v>0</v>
      </c>
      <c r="E72" s="34">
        <v>5</v>
      </c>
      <c r="F72" s="34">
        <v>6</v>
      </c>
      <c r="G72" s="34">
        <f t="shared" si="1"/>
        <v>11</v>
      </c>
      <c r="H72" s="39">
        <f t="shared" si="2"/>
        <v>5</v>
      </c>
      <c r="I72" s="34">
        <f t="shared" si="2"/>
        <v>6</v>
      </c>
      <c r="J72" s="35">
        <f t="shared" si="3"/>
        <v>11</v>
      </c>
    </row>
    <row r="73" spans="1:10" x14ac:dyDescent="0.25">
      <c r="A73" s="12" t="s">
        <v>148</v>
      </c>
      <c r="B73" s="39">
        <v>6</v>
      </c>
      <c r="C73" s="34">
        <v>4</v>
      </c>
      <c r="D73" s="35">
        <f t="shared" si="0"/>
        <v>10</v>
      </c>
      <c r="E73" s="34">
        <v>12</v>
      </c>
      <c r="F73" s="34">
        <v>0</v>
      </c>
      <c r="G73" s="34">
        <f t="shared" si="1"/>
        <v>12</v>
      </c>
      <c r="H73" s="39">
        <f t="shared" si="2"/>
        <v>18</v>
      </c>
      <c r="I73" s="34">
        <f t="shared" si="2"/>
        <v>4</v>
      </c>
      <c r="J73" s="35">
        <f t="shared" si="3"/>
        <v>22</v>
      </c>
    </row>
    <row r="74" spans="1:10" x14ac:dyDescent="0.25">
      <c r="A74" s="12" t="s">
        <v>174</v>
      </c>
      <c r="B74" s="39">
        <v>0</v>
      </c>
      <c r="C74" s="34">
        <v>0</v>
      </c>
      <c r="D74" s="35">
        <f t="shared" si="0"/>
        <v>0</v>
      </c>
      <c r="E74" s="34">
        <v>1</v>
      </c>
      <c r="F74" s="34">
        <v>2</v>
      </c>
      <c r="G74" s="34">
        <f t="shared" si="1"/>
        <v>3</v>
      </c>
      <c r="H74" s="39">
        <f t="shared" si="2"/>
        <v>1</v>
      </c>
      <c r="I74" s="34">
        <f t="shared" si="2"/>
        <v>2</v>
      </c>
      <c r="J74" s="35">
        <f t="shared" si="3"/>
        <v>3</v>
      </c>
    </row>
    <row r="75" spans="1:10" x14ac:dyDescent="0.25">
      <c r="A75" s="12" t="s">
        <v>166</v>
      </c>
      <c r="B75" s="39">
        <v>23</v>
      </c>
      <c r="C75" s="34">
        <v>46</v>
      </c>
      <c r="D75" s="35">
        <f t="shared" si="0"/>
        <v>69</v>
      </c>
      <c r="E75" s="34">
        <v>0</v>
      </c>
      <c r="F75" s="34">
        <v>0</v>
      </c>
      <c r="G75" s="34">
        <f t="shared" si="1"/>
        <v>0</v>
      </c>
      <c r="H75" s="39">
        <f t="shared" si="2"/>
        <v>23</v>
      </c>
      <c r="I75" s="34">
        <f t="shared" si="2"/>
        <v>46</v>
      </c>
      <c r="J75" s="35">
        <f t="shared" si="3"/>
        <v>69</v>
      </c>
    </row>
    <row r="76" spans="1:10" x14ac:dyDescent="0.25">
      <c r="A76" s="12" t="s">
        <v>184</v>
      </c>
      <c r="B76" s="39">
        <v>0</v>
      </c>
      <c r="C76" s="34">
        <v>0</v>
      </c>
      <c r="D76" s="35">
        <f t="shared" si="0"/>
        <v>0</v>
      </c>
      <c r="E76" s="34">
        <v>0</v>
      </c>
      <c r="F76" s="34">
        <v>1</v>
      </c>
      <c r="G76" s="34">
        <f t="shared" si="1"/>
        <v>1</v>
      </c>
      <c r="H76" s="39">
        <f t="shared" si="2"/>
        <v>0</v>
      </c>
      <c r="I76" s="34">
        <f t="shared" si="2"/>
        <v>1</v>
      </c>
      <c r="J76" s="35">
        <f t="shared" si="3"/>
        <v>1</v>
      </c>
    </row>
    <row r="77" spans="1:10" x14ac:dyDescent="0.25">
      <c r="A77" s="12" t="s">
        <v>176</v>
      </c>
      <c r="B77" s="39">
        <v>0</v>
      </c>
      <c r="C77" s="34">
        <v>1</v>
      </c>
      <c r="D77" s="35">
        <f t="shared" si="0"/>
        <v>1</v>
      </c>
      <c r="E77" s="34">
        <v>28</v>
      </c>
      <c r="F77" s="34">
        <v>57</v>
      </c>
      <c r="G77" s="34">
        <f t="shared" si="1"/>
        <v>85</v>
      </c>
      <c r="H77" s="39">
        <f t="shared" si="2"/>
        <v>28</v>
      </c>
      <c r="I77" s="34">
        <f t="shared" si="2"/>
        <v>58</v>
      </c>
      <c r="J77" s="35">
        <f t="shared" si="3"/>
        <v>86</v>
      </c>
    </row>
    <row r="78" spans="1:10" x14ac:dyDescent="0.25">
      <c r="A78" s="12" t="s">
        <v>154</v>
      </c>
      <c r="B78" s="39">
        <v>0</v>
      </c>
      <c r="C78" s="34">
        <v>0</v>
      </c>
      <c r="D78" s="35">
        <f t="shared" si="0"/>
        <v>0</v>
      </c>
      <c r="E78" s="34">
        <v>10</v>
      </c>
      <c r="F78" s="34">
        <v>11</v>
      </c>
      <c r="G78" s="34">
        <f t="shared" si="1"/>
        <v>21</v>
      </c>
      <c r="H78" s="39">
        <f t="shared" si="2"/>
        <v>10</v>
      </c>
      <c r="I78" s="34">
        <f t="shared" si="2"/>
        <v>11</v>
      </c>
      <c r="J78" s="35">
        <f t="shared" si="3"/>
        <v>21</v>
      </c>
    </row>
    <row r="79" spans="1:10" x14ac:dyDescent="0.25">
      <c r="A79" s="12" t="s">
        <v>131</v>
      </c>
      <c r="B79" s="39">
        <v>6</v>
      </c>
      <c r="C79" s="34">
        <v>6</v>
      </c>
      <c r="D79" s="35">
        <f t="shared" si="0"/>
        <v>12</v>
      </c>
      <c r="E79" s="34">
        <v>15</v>
      </c>
      <c r="F79" s="34">
        <v>11</v>
      </c>
      <c r="G79" s="34">
        <f t="shared" si="1"/>
        <v>26</v>
      </c>
      <c r="H79" s="39">
        <f t="shared" si="2"/>
        <v>21</v>
      </c>
      <c r="I79" s="34">
        <f t="shared" si="2"/>
        <v>17</v>
      </c>
      <c r="J79" s="35">
        <f t="shared" si="3"/>
        <v>38</v>
      </c>
    </row>
    <row r="80" spans="1:10" x14ac:dyDescent="0.25">
      <c r="A80" s="12" t="s">
        <v>167</v>
      </c>
      <c r="B80" s="39">
        <v>0</v>
      </c>
      <c r="C80" s="34">
        <v>0</v>
      </c>
      <c r="D80" s="35">
        <f t="shared" si="0"/>
        <v>0</v>
      </c>
      <c r="E80" s="34">
        <v>39</v>
      </c>
      <c r="F80" s="34">
        <v>8</v>
      </c>
      <c r="G80" s="34">
        <f t="shared" si="1"/>
        <v>47</v>
      </c>
      <c r="H80" s="39">
        <f t="shared" si="2"/>
        <v>39</v>
      </c>
      <c r="I80" s="34">
        <f t="shared" si="2"/>
        <v>8</v>
      </c>
      <c r="J80" s="35">
        <f t="shared" si="3"/>
        <v>47</v>
      </c>
    </row>
    <row r="81" spans="1:10" x14ac:dyDescent="0.25">
      <c r="A81" s="12" t="s">
        <v>158</v>
      </c>
      <c r="B81" s="39">
        <v>0</v>
      </c>
      <c r="C81" s="34">
        <v>0</v>
      </c>
      <c r="D81" s="35">
        <f t="shared" si="0"/>
        <v>0</v>
      </c>
      <c r="E81" s="34">
        <v>2</v>
      </c>
      <c r="F81" s="34">
        <v>5</v>
      </c>
      <c r="G81" s="34">
        <f t="shared" si="1"/>
        <v>7</v>
      </c>
      <c r="H81" s="39">
        <f t="shared" si="2"/>
        <v>2</v>
      </c>
      <c r="I81" s="34">
        <f t="shared" si="2"/>
        <v>5</v>
      </c>
      <c r="J81" s="35">
        <f t="shared" si="3"/>
        <v>7</v>
      </c>
    </row>
    <row r="82" spans="1:10" x14ac:dyDescent="0.25">
      <c r="A82" s="12" t="s">
        <v>79</v>
      </c>
      <c r="B82" s="39">
        <v>0</v>
      </c>
      <c r="C82" s="34">
        <v>0</v>
      </c>
      <c r="D82" s="35">
        <f t="shared" si="0"/>
        <v>0</v>
      </c>
      <c r="E82" s="34">
        <v>71</v>
      </c>
      <c r="F82" s="34">
        <v>142</v>
      </c>
      <c r="G82" s="34">
        <f t="shared" si="1"/>
        <v>213</v>
      </c>
      <c r="H82" s="39">
        <f t="shared" si="2"/>
        <v>71</v>
      </c>
      <c r="I82" s="34">
        <f t="shared" si="2"/>
        <v>142</v>
      </c>
      <c r="J82" s="35">
        <f t="shared" si="3"/>
        <v>213</v>
      </c>
    </row>
    <row r="83" spans="1:10" x14ac:dyDescent="0.25">
      <c r="A83" s="12" t="s">
        <v>86</v>
      </c>
      <c r="B83" s="39">
        <v>0</v>
      </c>
      <c r="C83" s="34">
        <v>0</v>
      </c>
      <c r="D83" s="35">
        <f t="shared" si="0"/>
        <v>0</v>
      </c>
      <c r="E83" s="34">
        <v>39</v>
      </c>
      <c r="F83" s="34">
        <v>37</v>
      </c>
      <c r="G83" s="34">
        <f t="shared" si="1"/>
        <v>76</v>
      </c>
      <c r="H83" s="39">
        <f t="shared" si="2"/>
        <v>39</v>
      </c>
      <c r="I83" s="34">
        <f t="shared" si="2"/>
        <v>37</v>
      </c>
      <c r="J83" s="35">
        <f t="shared" si="3"/>
        <v>76</v>
      </c>
    </row>
    <row r="84" spans="1:10" ht="15.75" thickBot="1" x14ac:dyDescent="0.3">
      <c r="A84" s="13" t="s">
        <v>87</v>
      </c>
      <c r="B84" s="43">
        <v>0</v>
      </c>
      <c r="C84" s="44">
        <v>0</v>
      </c>
      <c r="D84" s="45">
        <f t="shared" si="0"/>
        <v>0</v>
      </c>
      <c r="E84" s="44">
        <v>33</v>
      </c>
      <c r="F84" s="44">
        <v>29</v>
      </c>
      <c r="G84" s="44">
        <f t="shared" si="1"/>
        <v>62</v>
      </c>
      <c r="H84" s="43">
        <f t="shared" si="2"/>
        <v>33</v>
      </c>
      <c r="I84" s="44">
        <f t="shared" si="2"/>
        <v>29</v>
      </c>
      <c r="J84" s="45">
        <f t="shared" si="3"/>
        <v>62</v>
      </c>
    </row>
    <row r="85" spans="1:10" ht="16.5" thickTop="1" thickBot="1" x14ac:dyDescent="0.3">
      <c r="A85" s="8" t="s">
        <v>0</v>
      </c>
      <c r="B85" s="8">
        <f>SUM(B7:B84)</f>
        <v>4854</v>
      </c>
      <c r="C85" s="36">
        <f>SUM(C7:C84)</f>
        <v>4988</v>
      </c>
      <c r="D85" s="40">
        <f>SUM(D7:D84)</f>
        <v>9842</v>
      </c>
      <c r="E85" s="36">
        <f>SUM(E7:E84)</f>
        <v>2707</v>
      </c>
      <c r="F85" s="36">
        <f>SUM(F7:F84)</f>
        <v>2466</v>
      </c>
      <c r="G85" s="37">
        <f t="shared" ref="G85" si="4">SUM(E85:F85)</f>
        <v>5173</v>
      </c>
      <c r="H85" s="41">
        <f t="shared" ref="H85:I85" si="5">B85+E85</f>
        <v>7561</v>
      </c>
      <c r="I85" s="37">
        <f t="shared" si="5"/>
        <v>7454</v>
      </c>
      <c r="J85" s="38">
        <f t="shared" ref="J85" si="6">SUM(H85:I85)</f>
        <v>15015</v>
      </c>
    </row>
    <row r="86" spans="1:10" ht="15.75" thickBot="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</row>
    <row r="87" spans="1:10" x14ac:dyDescent="0.25">
      <c r="A87" s="16" t="s">
        <v>16</v>
      </c>
      <c r="B87" s="58" t="s">
        <v>3</v>
      </c>
      <c r="C87" s="59"/>
      <c r="D87" s="60"/>
      <c r="E87" s="58" t="s">
        <v>4</v>
      </c>
      <c r="F87" s="59"/>
      <c r="G87" s="60"/>
      <c r="H87" s="58" t="s">
        <v>0</v>
      </c>
      <c r="I87" s="59"/>
      <c r="J87" s="60"/>
    </row>
    <row r="88" spans="1:10" x14ac:dyDescent="0.25">
      <c r="A88" s="17"/>
      <c r="B88" s="32" t="s">
        <v>5</v>
      </c>
      <c r="C88" s="31" t="s">
        <v>6</v>
      </c>
      <c r="D88" s="33" t="s">
        <v>0</v>
      </c>
      <c r="E88" s="32" t="s">
        <v>5</v>
      </c>
      <c r="F88" s="31" t="s">
        <v>6</v>
      </c>
      <c r="G88" s="33" t="s">
        <v>0</v>
      </c>
      <c r="H88" s="32" t="s">
        <v>5</v>
      </c>
      <c r="I88" s="31" t="s">
        <v>6</v>
      </c>
      <c r="J88" s="30" t="s">
        <v>0</v>
      </c>
    </row>
    <row r="89" spans="1:10" x14ac:dyDescent="0.25">
      <c r="A89" s="29" t="s">
        <v>15</v>
      </c>
      <c r="B89" s="6">
        <v>636</v>
      </c>
      <c r="C89" s="4">
        <v>1260</v>
      </c>
      <c r="D89" s="5">
        <f t="shared" ref="D89:D96" si="7">B89+C89</f>
        <v>1896</v>
      </c>
      <c r="E89" s="6">
        <v>243</v>
      </c>
      <c r="F89" s="4">
        <v>365</v>
      </c>
      <c r="G89" s="4">
        <f t="shared" ref="G89:G96" si="8">E89+F89</f>
        <v>608</v>
      </c>
      <c r="H89" s="6">
        <f>B89+E89</f>
        <v>879</v>
      </c>
      <c r="I89" s="4">
        <f>C89+F89</f>
        <v>1625</v>
      </c>
      <c r="J89" s="7">
        <f t="shared" ref="J89:J96" si="9">H89+I89</f>
        <v>2504</v>
      </c>
    </row>
    <row r="90" spans="1:10" x14ac:dyDescent="0.25">
      <c r="A90" s="29" t="s">
        <v>14</v>
      </c>
      <c r="B90" s="6">
        <v>201</v>
      </c>
      <c r="C90" s="4">
        <v>121</v>
      </c>
      <c r="D90" s="5">
        <f t="shared" si="7"/>
        <v>322</v>
      </c>
      <c r="E90" s="6">
        <v>413</v>
      </c>
      <c r="F90" s="4">
        <v>254</v>
      </c>
      <c r="G90" s="4">
        <f t="shared" si="8"/>
        <v>667</v>
      </c>
      <c r="H90" s="6">
        <f t="shared" ref="H90:I96" si="10">B90+E90</f>
        <v>614</v>
      </c>
      <c r="I90" s="4">
        <f t="shared" si="10"/>
        <v>375</v>
      </c>
      <c r="J90" s="7">
        <f t="shared" si="9"/>
        <v>989</v>
      </c>
    </row>
    <row r="91" spans="1:10" x14ac:dyDescent="0.25">
      <c r="A91" s="29" t="s">
        <v>155</v>
      </c>
      <c r="B91" s="6">
        <v>403</v>
      </c>
      <c r="C91" s="4">
        <v>347</v>
      </c>
      <c r="D91" s="5">
        <f t="shared" si="7"/>
        <v>750</v>
      </c>
      <c r="E91" s="6">
        <v>379</v>
      </c>
      <c r="F91" s="4">
        <v>463</v>
      </c>
      <c r="G91" s="4">
        <f t="shared" si="8"/>
        <v>842</v>
      </c>
      <c r="H91" s="6">
        <f t="shared" si="10"/>
        <v>782</v>
      </c>
      <c r="I91" s="4">
        <f t="shared" si="10"/>
        <v>810</v>
      </c>
      <c r="J91" s="7">
        <f t="shared" si="9"/>
        <v>1592</v>
      </c>
    </row>
    <row r="92" spans="1:10" x14ac:dyDescent="0.25">
      <c r="A92" s="29" t="s">
        <v>12</v>
      </c>
      <c r="B92" s="6">
        <v>759</v>
      </c>
      <c r="C92" s="4">
        <v>164</v>
      </c>
      <c r="D92" s="5">
        <f t="shared" si="7"/>
        <v>923</v>
      </c>
      <c r="E92" s="6">
        <v>489</v>
      </c>
      <c r="F92" s="4">
        <v>109</v>
      </c>
      <c r="G92" s="4">
        <f t="shared" si="8"/>
        <v>598</v>
      </c>
      <c r="H92" s="6">
        <f t="shared" si="10"/>
        <v>1248</v>
      </c>
      <c r="I92" s="4">
        <f t="shared" si="10"/>
        <v>273</v>
      </c>
      <c r="J92" s="7">
        <f t="shared" si="9"/>
        <v>1521</v>
      </c>
    </row>
    <row r="93" spans="1:10" x14ac:dyDescent="0.25">
      <c r="A93" s="29" t="s">
        <v>1</v>
      </c>
      <c r="B93" s="6">
        <v>225</v>
      </c>
      <c r="C93" s="4">
        <v>324</v>
      </c>
      <c r="D93" s="5">
        <f t="shared" si="7"/>
        <v>549</v>
      </c>
      <c r="E93" s="6">
        <v>162</v>
      </c>
      <c r="F93" s="4">
        <v>154</v>
      </c>
      <c r="G93" s="4">
        <f t="shared" si="8"/>
        <v>316</v>
      </c>
      <c r="H93" s="6">
        <f t="shared" si="10"/>
        <v>387</v>
      </c>
      <c r="I93" s="4">
        <f t="shared" si="10"/>
        <v>478</v>
      </c>
      <c r="J93" s="7">
        <f t="shared" si="9"/>
        <v>865</v>
      </c>
    </row>
    <row r="94" spans="1:10" x14ac:dyDescent="0.25">
      <c r="A94" s="29" t="s">
        <v>11</v>
      </c>
      <c r="B94" s="6">
        <v>714</v>
      </c>
      <c r="C94" s="4">
        <v>1253</v>
      </c>
      <c r="D94" s="5">
        <f t="shared" si="7"/>
        <v>1967</v>
      </c>
      <c r="E94" s="6">
        <v>315</v>
      </c>
      <c r="F94" s="4">
        <v>512</v>
      </c>
      <c r="G94" s="4">
        <f t="shared" si="8"/>
        <v>827</v>
      </c>
      <c r="H94" s="6">
        <f t="shared" si="10"/>
        <v>1029</v>
      </c>
      <c r="I94" s="4">
        <f t="shared" si="10"/>
        <v>1765</v>
      </c>
      <c r="J94" s="7">
        <f t="shared" si="9"/>
        <v>2794</v>
      </c>
    </row>
    <row r="95" spans="1:10" x14ac:dyDescent="0.25">
      <c r="A95" s="29" t="s">
        <v>10</v>
      </c>
      <c r="B95" s="6">
        <v>1118</v>
      </c>
      <c r="C95" s="4">
        <v>549</v>
      </c>
      <c r="D95" s="5">
        <f t="shared" si="7"/>
        <v>1667</v>
      </c>
      <c r="E95" s="6">
        <v>379</v>
      </c>
      <c r="F95" s="4">
        <v>179</v>
      </c>
      <c r="G95" s="4">
        <f t="shared" si="8"/>
        <v>558</v>
      </c>
      <c r="H95" s="6">
        <f t="shared" si="10"/>
        <v>1497</v>
      </c>
      <c r="I95" s="4">
        <f t="shared" si="10"/>
        <v>728</v>
      </c>
      <c r="J95" s="7">
        <f t="shared" si="9"/>
        <v>2225</v>
      </c>
    </row>
    <row r="96" spans="1:10" ht="15.75" thickBot="1" x14ac:dyDescent="0.3">
      <c r="A96" s="28" t="s">
        <v>9</v>
      </c>
      <c r="B96" s="10">
        <v>798</v>
      </c>
      <c r="C96" s="27">
        <v>970</v>
      </c>
      <c r="D96" s="14">
        <f t="shared" si="7"/>
        <v>1768</v>
      </c>
      <c r="E96" s="10">
        <v>327</v>
      </c>
      <c r="F96" s="11">
        <v>430</v>
      </c>
      <c r="G96" s="11">
        <f t="shared" si="8"/>
        <v>757</v>
      </c>
      <c r="H96" s="10">
        <f t="shared" si="10"/>
        <v>1125</v>
      </c>
      <c r="I96" s="11">
        <f t="shared" si="10"/>
        <v>1400</v>
      </c>
      <c r="J96" s="26">
        <f t="shared" si="9"/>
        <v>2525</v>
      </c>
    </row>
    <row r="97" spans="1:10" ht="16.5" thickTop="1" thickBot="1" x14ac:dyDescent="0.3">
      <c r="A97" s="9" t="s">
        <v>0</v>
      </c>
      <c r="B97" s="8">
        <f t="shared" ref="B97:J97" si="11">SUM(B89:B96)</f>
        <v>4854</v>
      </c>
      <c r="C97" s="8">
        <f t="shared" si="11"/>
        <v>4988</v>
      </c>
      <c r="D97" s="8">
        <f t="shared" si="11"/>
        <v>9842</v>
      </c>
      <c r="E97" s="8">
        <f t="shared" si="11"/>
        <v>2707</v>
      </c>
      <c r="F97" s="8">
        <f t="shared" si="11"/>
        <v>2466</v>
      </c>
      <c r="G97" s="8">
        <f t="shared" si="11"/>
        <v>5173</v>
      </c>
      <c r="H97" s="8">
        <f t="shared" si="11"/>
        <v>7561</v>
      </c>
      <c r="I97" s="8">
        <f t="shared" si="11"/>
        <v>7454</v>
      </c>
      <c r="J97" s="9">
        <f t="shared" si="11"/>
        <v>15015</v>
      </c>
    </row>
    <row r="98" spans="1:10" ht="15.75" thickBot="1" x14ac:dyDescent="0.3">
      <c r="A98" s="25"/>
      <c r="B98" s="25"/>
      <c r="C98" s="25"/>
      <c r="D98" s="25"/>
      <c r="E98" s="25"/>
      <c r="F98" s="25"/>
      <c r="G98" s="25"/>
      <c r="H98" s="25"/>
      <c r="I98" s="25"/>
      <c r="J98" s="25"/>
    </row>
    <row r="99" spans="1:10" x14ac:dyDescent="0.25">
      <c r="A99" s="12" t="s">
        <v>15</v>
      </c>
      <c r="B99" s="24">
        <f>B89/D89</f>
        <v>0.33544303797468356</v>
      </c>
      <c r="C99" s="23">
        <f>C89/D89</f>
        <v>0.66455696202531644</v>
      </c>
      <c r="D99" s="5"/>
      <c r="E99" s="24">
        <f>E89/G89</f>
        <v>0.39967105263157893</v>
      </c>
      <c r="F99" s="23">
        <f>F89/G89</f>
        <v>0.60032894736842102</v>
      </c>
      <c r="G99" s="4"/>
      <c r="H99" s="24">
        <f>H89/J89</f>
        <v>0.35103833865814699</v>
      </c>
      <c r="I99" s="23">
        <f>I89/J89</f>
        <v>0.64896166134185307</v>
      </c>
      <c r="J99" s="7"/>
    </row>
    <row r="100" spans="1:10" x14ac:dyDescent="0.25">
      <c r="A100" s="12" t="s">
        <v>14</v>
      </c>
      <c r="B100" s="24">
        <f>B90/D90</f>
        <v>0.62422360248447206</v>
      </c>
      <c r="C100" s="23">
        <f>C90/D90</f>
        <v>0.37577639751552794</v>
      </c>
      <c r="D100" s="5"/>
      <c r="E100" s="24">
        <f>E90/G90</f>
        <v>0.61919040479760123</v>
      </c>
      <c r="F100" s="23">
        <f>F90/G90</f>
        <v>0.38080959520239882</v>
      </c>
      <c r="G100" s="4"/>
      <c r="H100" s="24">
        <f>H90/J90</f>
        <v>0.62082912032355919</v>
      </c>
      <c r="I100" s="23">
        <f>I90/J90</f>
        <v>0.37917087967644086</v>
      </c>
      <c r="J100" s="7"/>
    </row>
    <row r="101" spans="1:10" x14ac:dyDescent="0.25">
      <c r="A101" s="12" t="s">
        <v>155</v>
      </c>
      <c r="B101" s="24">
        <f>B91/D91</f>
        <v>0.53733333333333333</v>
      </c>
      <c r="C101" s="23">
        <f>C91/D91</f>
        <v>0.46266666666666667</v>
      </c>
      <c r="D101" s="5"/>
      <c r="E101" s="24">
        <f>E91/G91</f>
        <v>0.4501187648456057</v>
      </c>
      <c r="F101" s="23">
        <f>F91/G91</f>
        <v>0.54988123515439435</v>
      </c>
      <c r="G101" s="4"/>
      <c r="H101" s="24">
        <f>H91/J91</f>
        <v>0.49120603015075376</v>
      </c>
      <c r="I101" s="23">
        <f>I91/J91</f>
        <v>0.50879396984924619</v>
      </c>
      <c r="J101" s="7"/>
    </row>
    <row r="102" spans="1:10" x14ac:dyDescent="0.25">
      <c r="A102" s="12" t="s">
        <v>12</v>
      </c>
      <c r="B102" s="24">
        <f t="shared" ref="B102:B103" si="12">B92/D92</f>
        <v>0.8223185265438786</v>
      </c>
      <c r="C102" s="23">
        <f t="shared" ref="C102:C103" si="13">C92/D92</f>
        <v>0.17768147345612134</v>
      </c>
      <c r="D102" s="5"/>
      <c r="E102" s="24">
        <f t="shared" ref="E102:E103" si="14">E92/G92</f>
        <v>0.81772575250836121</v>
      </c>
      <c r="F102" s="23">
        <f t="shared" ref="F102:F103" si="15">F92/G92</f>
        <v>0.18227424749163879</v>
      </c>
      <c r="G102" s="4"/>
      <c r="H102" s="24">
        <f t="shared" ref="H102:H103" si="16">H92/J92</f>
        <v>0.82051282051282048</v>
      </c>
      <c r="I102" s="23">
        <f t="shared" ref="I102:I103" si="17">I92/J92</f>
        <v>0.17948717948717949</v>
      </c>
      <c r="J102" s="7"/>
    </row>
    <row r="103" spans="1:10" x14ac:dyDescent="0.25">
      <c r="A103" s="12" t="s">
        <v>1</v>
      </c>
      <c r="B103" s="24">
        <f t="shared" si="12"/>
        <v>0.4098360655737705</v>
      </c>
      <c r="C103" s="23">
        <f t="shared" si="13"/>
        <v>0.5901639344262295</v>
      </c>
      <c r="D103" s="5"/>
      <c r="E103" s="24">
        <f t="shared" si="14"/>
        <v>0.51265822784810122</v>
      </c>
      <c r="F103" s="23">
        <f t="shared" si="15"/>
        <v>0.48734177215189872</v>
      </c>
      <c r="G103" s="4"/>
      <c r="H103" s="24">
        <f t="shared" si="16"/>
        <v>0.44739884393063584</v>
      </c>
      <c r="I103" s="23">
        <f t="shared" si="17"/>
        <v>0.55260115606936411</v>
      </c>
      <c r="J103" s="7"/>
    </row>
    <row r="104" spans="1:10" x14ac:dyDescent="0.25">
      <c r="A104" s="12" t="s">
        <v>11</v>
      </c>
      <c r="B104" s="24">
        <f>B94/D94</f>
        <v>0.36298932384341637</v>
      </c>
      <c r="C104" s="23">
        <f>C94/D94</f>
        <v>0.63701067615658358</v>
      </c>
      <c r="D104" s="5"/>
      <c r="E104" s="24">
        <f>E94/G94</f>
        <v>0.38089480048367591</v>
      </c>
      <c r="F104" s="23">
        <f>F94/G94</f>
        <v>0.61910519951632403</v>
      </c>
      <c r="G104" s="4"/>
      <c r="H104" s="24">
        <f>H94/J94</f>
        <v>0.36828919112383679</v>
      </c>
      <c r="I104" s="23">
        <f>I94/J94</f>
        <v>0.63171080887616315</v>
      </c>
      <c r="J104" s="7"/>
    </row>
    <row r="105" spans="1:10" x14ac:dyDescent="0.25">
      <c r="A105" s="12" t="s">
        <v>10</v>
      </c>
      <c r="B105" s="24">
        <f>B95/D95</f>
        <v>0.67066586682663465</v>
      </c>
      <c r="C105" s="23">
        <f>C95/D95</f>
        <v>0.32933413317336535</v>
      </c>
      <c r="D105" s="5"/>
      <c r="E105" s="24">
        <f>E95/G95</f>
        <v>0.67921146953405021</v>
      </c>
      <c r="F105" s="23">
        <f>F95/G95</f>
        <v>0.32078853046594979</v>
      </c>
      <c r="G105" s="4"/>
      <c r="H105" s="24">
        <f>H95/J95</f>
        <v>0.67280898876404494</v>
      </c>
      <c r="I105" s="23">
        <f>I95/J95</f>
        <v>0.32719101123595506</v>
      </c>
      <c r="J105" s="7"/>
    </row>
    <row r="106" spans="1:10" ht="15.75" thickBot="1" x14ac:dyDescent="0.3">
      <c r="A106" s="13" t="s">
        <v>9</v>
      </c>
      <c r="B106" s="22">
        <f>B96/D96</f>
        <v>0.45135746606334842</v>
      </c>
      <c r="C106" s="21">
        <f>C96/D96</f>
        <v>0.54864253393665163</v>
      </c>
      <c r="D106" s="14"/>
      <c r="E106" s="22">
        <f>E96/G96</f>
        <v>0.43196829590488772</v>
      </c>
      <c r="F106" s="21">
        <f>F96/G96</f>
        <v>0.56803170409511228</v>
      </c>
      <c r="G106" s="11"/>
      <c r="H106" s="22">
        <f>H96/J96</f>
        <v>0.44554455445544555</v>
      </c>
      <c r="I106" s="21">
        <f>I96/J96</f>
        <v>0.5544554455445545</v>
      </c>
      <c r="J106" s="20"/>
    </row>
    <row r="107" spans="1:10" ht="16.5" thickTop="1" thickBot="1" x14ac:dyDescent="0.3">
      <c r="A107" s="8" t="s">
        <v>0</v>
      </c>
      <c r="B107" s="19">
        <f>B97/D97</f>
        <v>0.49319244056086159</v>
      </c>
      <c r="C107" s="19">
        <f>C97/D97</f>
        <v>0.50680755943913836</v>
      </c>
      <c r="D107" s="8"/>
      <c r="E107" s="19">
        <f>E97/G97</f>
        <v>0.52329402667697666</v>
      </c>
      <c r="F107" s="19">
        <f>F97/G97</f>
        <v>0.47670597332302339</v>
      </c>
      <c r="G107" s="8"/>
      <c r="H107" s="19">
        <f>H97/J97</f>
        <v>0.50356310356310352</v>
      </c>
      <c r="I107" s="19">
        <f>I97/J97</f>
        <v>0.49643689643689642</v>
      </c>
      <c r="J107" s="9"/>
    </row>
  </sheetData>
  <mergeCells count="8">
    <mergeCell ref="B87:D87"/>
    <mergeCell ref="E87:G87"/>
    <mergeCell ref="H87:J87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5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opLeftCell="A67" zoomScale="55" zoomScaleNormal="55" zoomScalePageLayoutView="70" workbookViewId="0">
      <selection activeCell="A82" sqref="A82"/>
    </sheetView>
  </sheetViews>
  <sheetFormatPr defaultColWidth="9.140625" defaultRowHeight="15" x14ac:dyDescent="0.25"/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1996-97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86</v>
      </c>
      <c r="C7" s="34">
        <v>152</v>
      </c>
      <c r="D7" s="35">
        <f>SUM(B7:C7)</f>
        <v>238</v>
      </c>
      <c r="E7" s="34">
        <v>69</v>
      </c>
      <c r="F7" s="34">
        <v>43</v>
      </c>
      <c r="G7" s="34">
        <f>SUM(E7:F7)</f>
        <v>112</v>
      </c>
      <c r="H7" s="39">
        <f>B7+E7</f>
        <v>155</v>
      </c>
      <c r="I7" s="34">
        <f>C7+F7</f>
        <v>195</v>
      </c>
      <c r="J7" s="35">
        <f>SUM(H7:I7)</f>
        <v>350</v>
      </c>
    </row>
    <row r="8" spans="1:10" x14ac:dyDescent="0.25">
      <c r="A8" s="12" t="s">
        <v>17</v>
      </c>
      <c r="B8" s="39">
        <v>62</v>
      </c>
      <c r="C8" s="34">
        <v>133</v>
      </c>
      <c r="D8" s="35">
        <f t="shared" ref="D8:D80" si="0">SUM(B8:C8)</f>
        <v>195</v>
      </c>
      <c r="E8" s="34">
        <v>42</v>
      </c>
      <c r="F8" s="34">
        <v>85</v>
      </c>
      <c r="G8" s="34">
        <f t="shared" ref="G8:G80" si="1">SUM(E8:F8)</f>
        <v>127</v>
      </c>
      <c r="H8" s="39">
        <f t="shared" ref="H8:I80" si="2">B8+E8</f>
        <v>104</v>
      </c>
      <c r="I8" s="34">
        <f t="shared" si="2"/>
        <v>218</v>
      </c>
      <c r="J8" s="35">
        <f t="shared" ref="J8:J80" si="3">SUM(H8:I8)</f>
        <v>322</v>
      </c>
    </row>
    <row r="9" spans="1:10" x14ac:dyDescent="0.25">
      <c r="A9" s="12" t="s">
        <v>18</v>
      </c>
      <c r="B9" s="39">
        <v>115</v>
      </c>
      <c r="C9" s="34">
        <v>209</v>
      </c>
      <c r="D9" s="35">
        <f t="shared" si="0"/>
        <v>324</v>
      </c>
      <c r="E9" s="34">
        <v>58</v>
      </c>
      <c r="F9" s="34">
        <v>96</v>
      </c>
      <c r="G9" s="34">
        <f t="shared" si="1"/>
        <v>154</v>
      </c>
      <c r="H9" s="39">
        <f t="shared" si="2"/>
        <v>173</v>
      </c>
      <c r="I9" s="34">
        <f t="shared" si="2"/>
        <v>305</v>
      </c>
      <c r="J9" s="35">
        <f t="shared" si="3"/>
        <v>478</v>
      </c>
    </row>
    <row r="10" spans="1:10" x14ac:dyDescent="0.25">
      <c r="A10" s="12" t="s">
        <v>161</v>
      </c>
      <c r="B10" s="39">
        <v>205</v>
      </c>
      <c r="C10" s="34">
        <v>108</v>
      </c>
      <c r="D10" s="35">
        <f t="shared" si="0"/>
        <v>313</v>
      </c>
      <c r="E10" s="34">
        <v>356</v>
      </c>
      <c r="F10" s="34">
        <v>216</v>
      </c>
      <c r="G10" s="34">
        <f t="shared" si="1"/>
        <v>572</v>
      </c>
      <c r="H10" s="39">
        <f t="shared" si="2"/>
        <v>561</v>
      </c>
      <c r="I10" s="34">
        <f t="shared" si="2"/>
        <v>324</v>
      </c>
      <c r="J10" s="35">
        <f t="shared" si="3"/>
        <v>885</v>
      </c>
    </row>
    <row r="11" spans="1:10" x14ac:dyDescent="0.25">
      <c r="A11" s="12" t="s">
        <v>108</v>
      </c>
      <c r="B11" s="39">
        <v>87</v>
      </c>
      <c r="C11" s="34">
        <v>59</v>
      </c>
      <c r="D11" s="35">
        <f t="shared" si="0"/>
        <v>146</v>
      </c>
      <c r="E11" s="34">
        <v>52</v>
      </c>
      <c r="F11" s="34">
        <v>54</v>
      </c>
      <c r="G11" s="34">
        <f t="shared" si="1"/>
        <v>106</v>
      </c>
      <c r="H11" s="39">
        <f t="shared" si="2"/>
        <v>139</v>
      </c>
      <c r="I11" s="34">
        <f t="shared" si="2"/>
        <v>113</v>
      </c>
      <c r="J11" s="35">
        <f t="shared" si="3"/>
        <v>252</v>
      </c>
    </row>
    <row r="12" spans="1:10" x14ac:dyDescent="0.25">
      <c r="A12" s="12" t="s">
        <v>109</v>
      </c>
      <c r="B12" s="39">
        <v>133</v>
      </c>
      <c r="C12" s="34">
        <v>166</v>
      </c>
      <c r="D12" s="35">
        <f t="shared" si="0"/>
        <v>299</v>
      </c>
      <c r="E12" s="34">
        <v>57</v>
      </c>
      <c r="F12" s="34">
        <v>67</v>
      </c>
      <c r="G12" s="34">
        <f t="shared" si="1"/>
        <v>124</v>
      </c>
      <c r="H12" s="39">
        <f t="shared" si="2"/>
        <v>190</v>
      </c>
      <c r="I12" s="34">
        <f t="shared" si="2"/>
        <v>233</v>
      </c>
      <c r="J12" s="35">
        <f t="shared" si="3"/>
        <v>423</v>
      </c>
    </row>
    <row r="13" spans="1:10" x14ac:dyDescent="0.25">
      <c r="A13" s="12" t="s">
        <v>162</v>
      </c>
      <c r="B13" s="39">
        <v>0</v>
      </c>
      <c r="C13" s="34">
        <v>0</v>
      </c>
      <c r="D13" s="35">
        <f t="shared" si="0"/>
        <v>0</v>
      </c>
      <c r="E13" s="34">
        <v>25</v>
      </c>
      <c r="F13" s="34">
        <v>4</v>
      </c>
      <c r="G13" s="34">
        <f t="shared" si="1"/>
        <v>29</v>
      </c>
      <c r="H13" s="39">
        <f t="shared" si="2"/>
        <v>25</v>
      </c>
      <c r="I13" s="34">
        <f t="shared" si="2"/>
        <v>4</v>
      </c>
      <c r="J13" s="35">
        <f t="shared" si="3"/>
        <v>29</v>
      </c>
    </row>
    <row r="14" spans="1:10" x14ac:dyDescent="0.25">
      <c r="A14" s="12" t="s">
        <v>181</v>
      </c>
      <c r="B14" s="39">
        <v>151</v>
      </c>
      <c r="C14" s="34">
        <v>60</v>
      </c>
      <c r="D14" s="35">
        <f t="shared" si="0"/>
        <v>211</v>
      </c>
      <c r="E14" s="34">
        <v>77</v>
      </c>
      <c r="F14" s="34">
        <v>41</v>
      </c>
      <c r="G14" s="34">
        <f t="shared" si="1"/>
        <v>118</v>
      </c>
      <c r="H14" s="39">
        <f t="shared" si="2"/>
        <v>228</v>
      </c>
      <c r="I14" s="34">
        <f t="shared" si="2"/>
        <v>101</v>
      </c>
      <c r="J14" s="35">
        <f t="shared" si="3"/>
        <v>329</v>
      </c>
    </row>
    <row r="15" spans="1:10" x14ac:dyDescent="0.25">
      <c r="A15" s="12" t="s">
        <v>31</v>
      </c>
      <c r="B15" s="39">
        <v>112</v>
      </c>
      <c r="C15" s="34">
        <v>79</v>
      </c>
      <c r="D15" s="35">
        <f t="shared" si="0"/>
        <v>191</v>
      </c>
      <c r="E15" s="34">
        <v>61</v>
      </c>
      <c r="F15" s="34">
        <v>36</v>
      </c>
      <c r="G15" s="34">
        <f t="shared" si="1"/>
        <v>97</v>
      </c>
      <c r="H15" s="39">
        <f t="shared" si="2"/>
        <v>173</v>
      </c>
      <c r="I15" s="34">
        <f t="shared" si="2"/>
        <v>115</v>
      </c>
      <c r="J15" s="35">
        <f t="shared" si="3"/>
        <v>288</v>
      </c>
    </row>
    <row r="16" spans="1:10" x14ac:dyDescent="0.25">
      <c r="A16" s="12" t="s">
        <v>132</v>
      </c>
      <c r="B16" s="39">
        <v>184</v>
      </c>
      <c r="C16" s="34">
        <v>35</v>
      </c>
      <c r="D16" s="35">
        <f t="shared" si="0"/>
        <v>219</v>
      </c>
      <c r="E16" s="34">
        <v>39</v>
      </c>
      <c r="F16" s="34">
        <v>12</v>
      </c>
      <c r="G16" s="34">
        <f t="shared" si="1"/>
        <v>51</v>
      </c>
      <c r="H16" s="39">
        <f t="shared" si="2"/>
        <v>223</v>
      </c>
      <c r="I16" s="34">
        <f t="shared" si="2"/>
        <v>47</v>
      </c>
      <c r="J16" s="35">
        <f t="shared" si="3"/>
        <v>270</v>
      </c>
    </row>
    <row r="17" spans="1:10" x14ac:dyDescent="0.25">
      <c r="A17" s="12" t="s">
        <v>33</v>
      </c>
      <c r="B17" s="39">
        <v>167</v>
      </c>
      <c r="C17" s="34">
        <v>24</v>
      </c>
      <c r="D17" s="35">
        <f t="shared" si="0"/>
        <v>191</v>
      </c>
      <c r="E17" s="34">
        <v>87</v>
      </c>
      <c r="F17" s="34">
        <v>32</v>
      </c>
      <c r="G17" s="34">
        <f t="shared" si="1"/>
        <v>119</v>
      </c>
      <c r="H17" s="39">
        <f t="shared" si="2"/>
        <v>254</v>
      </c>
      <c r="I17" s="34">
        <f t="shared" si="2"/>
        <v>56</v>
      </c>
      <c r="J17" s="35">
        <f t="shared" si="3"/>
        <v>310</v>
      </c>
    </row>
    <row r="18" spans="1:10" x14ac:dyDescent="0.25">
      <c r="A18" s="12" t="s">
        <v>34</v>
      </c>
      <c r="B18" s="39">
        <v>0</v>
      </c>
      <c r="C18" s="34">
        <v>0</v>
      </c>
      <c r="D18" s="35">
        <f t="shared" si="0"/>
        <v>0</v>
      </c>
      <c r="E18" s="34">
        <v>63</v>
      </c>
      <c r="F18" s="34">
        <v>46</v>
      </c>
      <c r="G18" s="34">
        <f t="shared" si="1"/>
        <v>109</v>
      </c>
      <c r="H18" s="39">
        <f t="shared" si="2"/>
        <v>63</v>
      </c>
      <c r="I18" s="34">
        <f t="shared" si="2"/>
        <v>46</v>
      </c>
      <c r="J18" s="35">
        <f t="shared" si="3"/>
        <v>109</v>
      </c>
    </row>
    <row r="19" spans="1:10" x14ac:dyDescent="0.25">
      <c r="A19" s="12" t="s">
        <v>35</v>
      </c>
      <c r="B19" s="39">
        <v>17</v>
      </c>
      <c r="C19" s="34">
        <v>35</v>
      </c>
      <c r="D19" s="35">
        <f t="shared" si="0"/>
        <v>52</v>
      </c>
      <c r="E19" s="34">
        <v>6</v>
      </c>
      <c r="F19" s="34">
        <v>8</v>
      </c>
      <c r="G19" s="34">
        <f t="shared" si="1"/>
        <v>14</v>
      </c>
      <c r="H19" s="39">
        <f t="shared" si="2"/>
        <v>23</v>
      </c>
      <c r="I19" s="34">
        <f t="shared" si="2"/>
        <v>43</v>
      </c>
      <c r="J19" s="35">
        <f t="shared" si="3"/>
        <v>66</v>
      </c>
    </row>
    <row r="20" spans="1:10" x14ac:dyDescent="0.25">
      <c r="A20" s="12" t="s">
        <v>37</v>
      </c>
      <c r="B20" s="39">
        <v>290</v>
      </c>
      <c r="C20" s="34">
        <v>154</v>
      </c>
      <c r="D20" s="35">
        <f t="shared" si="0"/>
        <v>444</v>
      </c>
      <c r="E20" s="34">
        <v>62</v>
      </c>
      <c r="F20" s="34">
        <v>36</v>
      </c>
      <c r="G20" s="34">
        <f t="shared" si="1"/>
        <v>98</v>
      </c>
      <c r="H20" s="39">
        <f t="shared" si="2"/>
        <v>352</v>
      </c>
      <c r="I20" s="34">
        <f t="shared" si="2"/>
        <v>190</v>
      </c>
      <c r="J20" s="35">
        <f t="shared" si="3"/>
        <v>542</v>
      </c>
    </row>
    <row r="21" spans="1:10" x14ac:dyDescent="0.25">
      <c r="A21" s="12" t="s">
        <v>38</v>
      </c>
      <c r="B21" s="39">
        <v>210</v>
      </c>
      <c r="C21" s="34">
        <v>38</v>
      </c>
      <c r="D21" s="35">
        <f t="shared" si="0"/>
        <v>248</v>
      </c>
      <c r="E21" s="34">
        <v>187</v>
      </c>
      <c r="F21" s="34">
        <v>23</v>
      </c>
      <c r="G21" s="34">
        <f t="shared" si="1"/>
        <v>210</v>
      </c>
      <c r="H21" s="39">
        <f t="shared" si="2"/>
        <v>397</v>
      </c>
      <c r="I21" s="34">
        <f t="shared" si="2"/>
        <v>61</v>
      </c>
      <c r="J21" s="35">
        <f t="shared" si="3"/>
        <v>458</v>
      </c>
    </row>
    <row r="22" spans="1:10" x14ac:dyDescent="0.25">
      <c r="A22" s="12" t="s">
        <v>41</v>
      </c>
      <c r="B22" s="39">
        <v>90</v>
      </c>
      <c r="C22" s="34">
        <v>179</v>
      </c>
      <c r="D22" s="35">
        <f t="shared" si="0"/>
        <v>269</v>
      </c>
      <c r="E22" s="34">
        <v>19</v>
      </c>
      <c r="F22" s="34">
        <v>23</v>
      </c>
      <c r="G22" s="34">
        <f t="shared" si="1"/>
        <v>42</v>
      </c>
      <c r="H22" s="39">
        <f t="shared" si="2"/>
        <v>109</v>
      </c>
      <c r="I22" s="34">
        <f t="shared" si="2"/>
        <v>202</v>
      </c>
      <c r="J22" s="35">
        <f t="shared" si="3"/>
        <v>311</v>
      </c>
    </row>
    <row r="23" spans="1:10" x14ac:dyDescent="0.25">
      <c r="A23" s="12" t="s">
        <v>44</v>
      </c>
      <c r="B23" s="39">
        <v>60</v>
      </c>
      <c r="C23" s="34">
        <v>87</v>
      </c>
      <c r="D23" s="35">
        <f t="shared" si="0"/>
        <v>147</v>
      </c>
      <c r="E23" s="34">
        <v>53</v>
      </c>
      <c r="F23" s="34">
        <v>86</v>
      </c>
      <c r="G23" s="34">
        <f t="shared" si="1"/>
        <v>139</v>
      </c>
      <c r="H23" s="39">
        <f t="shared" si="2"/>
        <v>113</v>
      </c>
      <c r="I23" s="34">
        <f t="shared" si="2"/>
        <v>173</v>
      </c>
      <c r="J23" s="35">
        <f t="shared" si="3"/>
        <v>286</v>
      </c>
    </row>
    <row r="24" spans="1:10" x14ac:dyDescent="0.25">
      <c r="A24" s="12" t="s">
        <v>45</v>
      </c>
      <c r="B24" s="39">
        <v>79</v>
      </c>
      <c r="C24" s="34">
        <v>169</v>
      </c>
      <c r="D24" s="35">
        <f t="shared" si="0"/>
        <v>248</v>
      </c>
      <c r="E24" s="34">
        <v>12</v>
      </c>
      <c r="F24" s="34">
        <v>19</v>
      </c>
      <c r="G24" s="34">
        <f t="shared" si="1"/>
        <v>31</v>
      </c>
      <c r="H24" s="39">
        <f t="shared" si="2"/>
        <v>91</v>
      </c>
      <c r="I24" s="34">
        <f t="shared" si="2"/>
        <v>188</v>
      </c>
      <c r="J24" s="35">
        <f t="shared" si="3"/>
        <v>279</v>
      </c>
    </row>
    <row r="25" spans="1:10" x14ac:dyDescent="0.25">
      <c r="A25" s="12" t="s">
        <v>47</v>
      </c>
      <c r="B25" s="39">
        <v>145</v>
      </c>
      <c r="C25" s="34">
        <v>137</v>
      </c>
      <c r="D25" s="35">
        <f t="shared" si="0"/>
        <v>282</v>
      </c>
      <c r="E25" s="34">
        <v>48</v>
      </c>
      <c r="F25" s="34">
        <v>34</v>
      </c>
      <c r="G25" s="34">
        <f t="shared" si="1"/>
        <v>82</v>
      </c>
      <c r="H25" s="39">
        <f t="shared" si="2"/>
        <v>193</v>
      </c>
      <c r="I25" s="34">
        <f t="shared" si="2"/>
        <v>171</v>
      </c>
      <c r="J25" s="35">
        <f t="shared" si="3"/>
        <v>364</v>
      </c>
    </row>
    <row r="26" spans="1:10" x14ac:dyDescent="0.25">
      <c r="A26" s="12" t="s">
        <v>159</v>
      </c>
      <c r="B26" s="39">
        <v>76</v>
      </c>
      <c r="C26" s="34">
        <v>54</v>
      </c>
      <c r="D26" s="35">
        <f t="shared" si="0"/>
        <v>130</v>
      </c>
      <c r="E26" s="34">
        <v>29</v>
      </c>
      <c r="F26" s="34">
        <v>26</v>
      </c>
      <c r="G26" s="34">
        <f t="shared" si="1"/>
        <v>55</v>
      </c>
      <c r="H26" s="39">
        <f t="shared" si="2"/>
        <v>105</v>
      </c>
      <c r="I26" s="34">
        <f t="shared" si="2"/>
        <v>80</v>
      </c>
      <c r="J26" s="35">
        <f t="shared" si="3"/>
        <v>185</v>
      </c>
    </row>
    <row r="27" spans="1:10" x14ac:dyDescent="0.25">
      <c r="A27" s="12" t="s">
        <v>48</v>
      </c>
      <c r="B27" s="39">
        <v>31</v>
      </c>
      <c r="C27" s="34">
        <v>76</v>
      </c>
      <c r="D27" s="35">
        <f t="shared" si="0"/>
        <v>107</v>
      </c>
      <c r="E27" s="34">
        <v>2</v>
      </c>
      <c r="F27" s="34">
        <v>13</v>
      </c>
      <c r="G27" s="34">
        <f t="shared" si="1"/>
        <v>15</v>
      </c>
      <c r="H27" s="39">
        <f t="shared" si="2"/>
        <v>33</v>
      </c>
      <c r="I27" s="34">
        <f t="shared" si="2"/>
        <v>89</v>
      </c>
      <c r="J27" s="35">
        <f t="shared" si="3"/>
        <v>122</v>
      </c>
    </row>
    <row r="28" spans="1:10" x14ac:dyDescent="0.25">
      <c r="A28" s="12" t="s">
        <v>49</v>
      </c>
      <c r="B28" s="39">
        <v>40</v>
      </c>
      <c r="C28" s="34">
        <v>74</v>
      </c>
      <c r="D28" s="35">
        <f t="shared" si="0"/>
        <v>114</v>
      </c>
      <c r="E28" s="34">
        <v>14</v>
      </c>
      <c r="F28" s="34">
        <v>20</v>
      </c>
      <c r="G28" s="34">
        <f t="shared" si="1"/>
        <v>34</v>
      </c>
      <c r="H28" s="39">
        <f t="shared" si="2"/>
        <v>54</v>
      </c>
      <c r="I28" s="34">
        <f t="shared" si="2"/>
        <v>94</v>
      </c>
      <c r="J28" s="35">
        <f t="shared" si="3"/>
        <v>148</v>
      </c>
    </row>
    <row r="29" spans="1:10" x14ac:dyDescent="0.25">
      <c r="A29" s="12" t="s">
        <v>50</v>
      </c>
      <c r="B29" s="39">
        <v>35</v>
      </c>
      <c r="C29" s="34">
        <v>46</v>
      </c>
      <c r="D29" s="35">
        <f t="shared" si="0"/>
        <v>81</v>
      </c>
      <c r="E29" s="34">
        <v>8</v>
      </c>
      <c r="F29" s="34">
        <v>19</v>
      </c>
      <c r="G29" s="34">
        <f t="shared" si="1"/>
        <v>27</v>
      </c>
      <c r="H29" s="39">
        <f t="shared" si="2"/>
        <v>43</v>
      </c>
      <c r="I29" s="34">
        <f t="shared" si="2"/>
        <v>65</v>
      </c>
      <c r="J29" s="35">
        <f t="shared" si="3"/>
        <v>108</v>
      </c>
    </row>
    <row r="30" spans="1:10" x14ac:dyDescent="0.25">
      <c r="A30" s="12" t="s">
        <v>160</v>
      </c>
      <c r="B30" s="39">
        <v>0</v>
      </c>
      <c r="C30" s="34">
        <v>0</v>
      </c>
      <c r="D30" s="35">
        <f t="shared" si="0"/>
        <v>0</v>
      </c>
      <c r="E30" s="34">
        <v>1</v>
      </c>
      <c r="F30" s="34">
        <v>5</v>
      </c>
      <c r="G30" s="34">
        <f t="shared" si="1"/>
        <v>6</v>
      </c>
      <c r="H30" s="39">
        <f t="shared" si="2"/>
        <v>1</v>
      </c>
      <c r="I30" s="34">
        <f t="shared" si="2"/>
        <v>5</v>
      </c>
      <c r="J30" s="35">
        <f t="shared" si="3"/>
        <v>6</v>
      </c>
    </row>
    <row r="31" spans="1:10" x14ac:dyDescent="0.25">
      <c r="A31" s="12" t="s">
        <v>51</v>
      </c>
      <c r="B31" s="39">
        <v>130</v>
      </c>
      <c r="C31" s="34">
        <v>205</v>
      </c>
      <c r="D31" s="35">
        <f t="shared" si="0"/>
        <v>335</v>
      </c>
      <c r="E31" s="34">
        <v>64</v>
      </c>
      <c r="F31" s="34">
        <v>54</v>
      </c>
      <c r="G31" s="34">
        <f t="shared" si="1"/>
        <v>118</v>
      </c>
      <c r="H31" s="39">
        <f t="shared" si="2"/>
        <v>194</v>
      </c>
      <c r="I31" s="34">
        <f t="shared" si="2"/>
        <v>259</v>
      </c>
      <c r="J31" s="35">
        <f t="shared" si="3"/>
        <v>453</v>
      </c>
    </row>
    <row r="32" spans="1:10" x14ac:dyDescent="0.25">
      <c r="A32" s="12" t="s">
        <v>52</v>
      </c>
      <c r="B32" s="39">
        <v>27</v>
      </c>
      <c r="C32" s="34">
        <v>137</v>
      </c>
      <c r="D32" s="35">
        <f t="shared" si="0"/>
        <v>164</v>
      </c>
      <c r="E32" s="34">
        <v>16</v>
      </c>
      <c r="F32" s="34">
        <v>29</v>
      </c>
      <c r="G32" s="34">
        <f t="shared" si="1"/>
        <v>45</v>
      </c>
      <c r="H32" s="39">
        <f t="shared" si="2"/>
        <v>43</v>
      </c>
      <c r="I32" s="34">
        <f t="shared" si="2"/>
        <v>166</v>
      </c>
      <c r="J32" s="35">
        <f t="shared" si="3"/>
        <v>209</v>
      </c>
    </row>
    <row r="33" spans="1:10" x14ac:dyDescent="0.25">
      <c r="A33" s="12" t="s">
        <v>110</v>
      </c>
      <c r="B33" s="39">
        <v>0</v>
      </c>
      <c r="C33" s="34">
        <v>1</v>
      </c>
      <c r="D33" s="35">
        <f t="shared" si="0"/>
        <v>1</v>
      </c>
      <c r="E33" s="34">
        <v>7</v>
      </c>
      <c r="F33" s="34">
        <v>86</v>
      </c>
      <c r="G33" s="34">
        <f t="shared" si="1"/>
        <v>93</v>
      </c>
      <c r="H33" s="39">
        <f t="shared" si="2"/>
        <v>7</v>
      </c>
      <c r="I33" s="34">
        <f t="shared" si="2"/>
        <v>87</v>
      </c>
      <c r="J33" s="35">
        <f t="shared" si="3"/>
        <v>94</v>
      </c>
    </row>
    <row r="34" spans="1:10" x14ac:dyDescent="0.25">
      <c r="A34" s="12" t="s">
        <v>55</v>
      </c>
      <c r="B34" s="39">
        <v>70</v>
      </c>
      <c r="C34" s="34">
        <v>208</v>
      </c>
      <c r="D34" s="35">
        <f t="shared" si="0"/>
        <v>278</v>
      </c>
      <c r="E34" s="34">
        <v>5</v>
      </c>
      <c r="F34" s="34">
        <v>17</v>
      </c>
      <c r="G34" s="34">
        <f t="shared" si="1"/>
        <v>22</v>
      </c>
      <c r="H34" s="39">
        <f t="shared" si="2"/>
        <v>75</v>
      </c>
      <c r="I34" s="34">
        <f t="shared" si="2"/>
        <v>225</v>
      </c>
      <c r="J34" s="35">
        <f t="shared" si="3"/>
        <v>300</v>
      </c>
    </row>
    <row r="35" spans="1:10" x14ac:dyDescent="0.25">
      <c r="A35" s="12" t="s">
        <v>1</v>
      </c>
      <c r="B35" s="39">
        <v>203</v>
      </c>
      <c r="C35" s="34">
        <v>260</v>
      </c>
      <c r="D35" s="35">
        <f t="shared" si="0"/>
        <v>463</v>
      </c>
      <c r="E35" s="34">
        <v>167</v>
      </c>
      <c r="F35" s="34">
        <v>170</v>
      </c>
      <c r="G35" s="34">
        <f t="shared" si="1"/>
        <v>337</v>
      </c>
      <c r="H35" s="39">
        <f t="shared" si="2"/>
        <v>370</v>
      </c>
      <c r="I35" s="34">
        <f t="shared" si="2"/>
        <v>430</v>
      </c>
      <c r="J35" s="35">
        <f t="shared" si="3"/>
        <v>800</v>
      </c>
    </row>
    <row r="36" spans="1:10" x14ac:dyDescent="0.25">
      <c r="A36" s="12" t="s">
        <v>102</v>
      </c>
      <c r="B36" s="39">
        <v>46</v>
      </c>
      <c r="C36" s="34">
        <v>35</v>
      </c>
      <c r="D36" s="35">
        <f t="shared" si="0"/>
        <v>81</v>
      </c>
      <c r="E36" s="34">
        <v>52</v>
      </c>
      <c r="F36" s="34">
        <v>110</v>
      </c>
      <c r="G36" s="34">
        <f t="shared" si="1"/>
        <v>162</v>
      </c>
      <c r="H36" s="39">
        <f t="shared" si="2"/>
        <v>98</v>
      </c>
      <c r="I36" s="34">
        <f t="shared" si="2"/>
        <v>145</v>
      </c>
      <c r="J36" s="35">
        <f t="shared" si="3"/>
        <v>243</v>
      </c>
    </row>
    <row r="37" spans="1:10" x14ac:dyDescent="0.25">
      <c r="A37" s="12" t="s">
        <v>59</v>
      </c>
      <c r="B37" s="39">
        <v>182</v>
      </c>
      <c r="C37" s="34">
        <v>122</v>
      </c>
      <c r="D37" s="35">
        <f t="shared" si="0"/>
        <v>304</v>
      </c>
      <c r="E37" s="34">
        <v>12</v>
      </c>
      <c r="F37" s="34">
        <v>3</v>
      </c>
      <c r="G37" s="34">
        <f t="shared" si="1"/>
        <v>15</v>
      </c>
      <c r="H37" s="39">
        <f t="shared" si="2"/>
        <v>194</v>
      </c>
      <c r="I37" s="34">
        <f t="shared" si="2"/>
        <v>125</v>
      </c>
      <c r="J37" s="35">
        <f t="shared" si="3"/>
        <v>319</v>
      </c>
    </row>
    <row r="38" spans="1:10" x14ac:dyDescent="0.25">
      <c r="A38" s="12" t="s">
        <v>60</v>
      </c>
      <c r="B38" s="39">
        <v>223</v>
      </c>
      <c r="C38" s="34">
        <v>20</v>
      </c>
      <c r="D38" s="35">
        <f t="shared" si="0"/>
        <v>243</v>
      </c>
      <c r="E38" s="34">
        <v>90</v>
      </c>
      <c r="F38" s="34">
        <v>9</v>
      </c>
      <c r="G38" s="34">
        <f t="shared" si="1"/>
        <v>99</v>
      </c>
      <c r="H38" s="39">
        <f t="shared" si="2"/>
        <v>313</v>
      </c>
      <c r="I38" s="34">
        <f t="shared" si="2"/>
        <v>29</v>
      </c>
      <c r="J38" s="35">
        <f t="shared" si="3"/>
        <v>342</v>
      </c>
    </row>
    <row r="39" spans="1:10" x14ac:dyDescent="0.25">
      <c r="A39" s="12" t="s">
        <v>61</v>
      </c>
      <c r="B39" s="39">
        <v>5</v>
      </c>
      <c r="C39" s="34">
        <v>1</v>
      </c>
      <c r="D39" s="35">
        <f t="shared" si="0"/>
        <v>6</v>
      </c>
      <c r="E39" s="34">
        <v>33</v>
      </c>
      <c r="F39" s="34">
        <v>8</v>
      </c>
      <c r="G39" s="34">
        <f t="shared" si="1"/>
        <v>41</v>
      </c>
      <c r="H39" s="39">
        <f t="shared" si="2"/>
        <v>38</v>
      </c>
      <c r="I39" s="34">
        <f t="shared" si="2"/>
        <v>9</v>
      </c>
      <c r="J39" s="35">
        <f t="shared" si="3"/>
        <v>47</v>
      </c>
    </row>
    <row r="40" spans="1:10" x14ac:dyDescent="0.25">
      <c r="A40" s="12" t="s">
        <v>156</v>
      </c>
      <c r="B40" s="39">
        <v>42</v>
      </c>
      <c r="C40" s="34">
        <v>113</v>
      </c>
      <c r="D40" s="35">
        <f t="shared" si="0"/>
        <v>155</v>
      </c>
      <c r="E40" s="34">
        <v>0</v>
      </c>
      <c r="F40" s="34">
        <v>0</v>
      </c>
      <c r="G40" s="34">
        <f t="shared" si="1"/>
        <v>0</v>
      </c>
      <c r="H40" s="39">
        <f t="shared" si="2"/>
        <v>42</v>
      </c>
      <c r="I40" s="34">
        <f t="shared" si="2"/>
        <v>113</v>
      </c>
      <c r="J40" s="35">
        <f t="shared" si="3"/>
        <v>155</v>
      </c>
    </row>
    <row r="41" spans="1:10" x14ac:dyDescent="0.25">
      <c r="A41" s="12" t="s">
        <v>112</v>
      </c>
      <c r="B41" s="39">
        <v>34</v>
      </c>
      <c r="C41" s="34">
        <v>63</v>
      </c>
      <c r="D41" s="35">
        <f t="shared" si="0"/>
        <v>97</v>
      </c>
      <c r="E41" s="34">
        <v>18</v>
      </c>
      <c r="F41" s="34">
        <v>21</v>
      </c>
      <c r="G41" s="34">
        <f t="shared" si="1"/>
        <v>39</v>
      </c>
      <c r="H41" s="39">
        <f t="shared" si="2"/>
        <v>52</v>
      </c>
      <c r="I41" s="34">
        <f t="shared" si="2"/>
        <v>84</v>
      </c>
      <c r="J41" s="35">
        <f t="shared" si="3"/>
        <v>136</v>
      </c>
    </row>
    <row r="42" spans="1:10" x14ac:dyDescent="0.25">
      <c r="A42" s="12" t="s">
        <v>64</v>
      </c>
      <c r="B42" s="39">
        <v>95</v>
      </c>
      <c r="C42" s="34">
        <v>68</v>
      </c>
      <c r="D42" s="35">
        <f t="shared" si="0"/>
        <v>163</v>
      </c>
      <c r="E42" s="34">
        <v>42</v>
      </c>
      <c r="F42" s="34">
        <v>21</v>
      </c>
      <c r="G42" s="34">
        <f t="shared" si="1"/>
        <v>63</v>
      </c>
      <c r="H42" s="39">
        <f t="shared" si="2"/>
        <v>137</v>
      </c>
      <c r="I42" s="34">
        <f t="shared" si="2"/>
        <v>89</v>
      </c>
      <c r="J42" s="35">
        <f t="shared" si="3"/>
        <v>226</v>
      </c>
    </row>
    <row r="43" spans="1:10" x14ac:dyDescent="0.25">
      <c r="A43" s="12" t="s">
        <v>113</v>
      </c>
      <c r="B43" s="39">
        <v>36</v>
      </c>
      <c r="C43" s="34">
        <v>234</v>
      </c>
      <c r="D43" s="35">
        <f t="shared" si="0"/>
        <v>270</v>
      </c>
      <c r="E43" s="34">
        <v>31</v>
      </c>
      <c r="F43" s="34">
        <v>37</v>
      </c>
      <c r="G43" s="34">
        <f t="shared" si="1"/>
        <v>68</v>
      </c>
      <c r="H43" s="39">
        <f t="shared" si="2"/>
        <v>67</v>
      </c>
      <c r="I43" s="34">
        <f t="shared" si="2"/>
        <v>271</v>
      </c>
      <c r="J43" s="35">
        <f t="shared" si="3"/>
        <v>338</v>
      </c>
    </row>
    <row r="44" spans="1:10" x14ac:dyDescent="0.25">
      <c r="A44" s="12" t="s">
        <v>185</v>
      </c>
      <c r="B44" s="39">
        <v>0</v>
      </c>
      <c r="C44" s="34">
        <v>0</v>
      </c>
      <c r="D44" s="35">
        <f t="shared" si="0"/>
        <v>0</v>
      </c>
      <c r="E44" s="34">
        <v>37</v>
      </c>
      <c r="F44" s="34">
        <v>7</v>
      </c>
      <c r="G44" s="34">
        <f t="shared" si="1"/>
        <v>44</v>
      </c>
      <c r="H44" s="39">
        <f t="shared" si="2"/>
        <v>37</v>
      </c>
      <c r="I44" s="34">
        <f t="shared" si="2"/>
        <v>7</v>
      </c>
      <c r="J44" s="35">
        <f t="shared" si="3"/>
        <v>44</v>
      </c>
    </row>
    <row r="45" spans="1:10" x14ac:dyDescent="0.25">
      <c r="A45" s="12" t="s">
        <v>65</v>
      </c>
      <c r="B45" s="39">
        <v>317</v>
      </c>
      <c r="C45" s="34">
        <v>115</v>
      </c>
      <c r="D45" s="35">
        <f t="shared" si="0"/>
        <v>432</v>
      </c>
      <c r="E45" s="34">
        <v>47</v>
      </c>
      <c r="F45" s="34">
        <v>11</v>
      </c>
      <c r="G45" s="34">
        <f t="shared" si="1"/>
        <v>58</v>
      </c>
      <c r="H45" s="39">
        <f t="shared" si="2"/>
        <v>364</v>
      </c>
      <c r="I45" s="34">
        <f t="shared" si="2"/>
        <v>126</v>
      </c>
      <c r="J45" s="35">
        <f t="shared" si="3"/>
        <v>490</v>
      </c>
    </row>
    <row r="46" spans="1:10" x14ac:dyDescent="0.25">
      <c r="A46" s="12" t="s">
        <v>114</v>
      </c>
      <c r="B46" s="39">
        <v>68</v>
      </c>
      <c r="C46" s="34">
        <v>116</v>
      </c>
      <c r="D46" s="35">
        <f t="shared" si="0"/>
        <v>184</v>
      </c>
      <c r="E46" s="34">
        <v>43</v>
      </c>
      <c r="F46" s="34">
        <v>46</v>
      </c>
      <c r="G46" s="34">
        <f t="shared" si="1"/>
        <v>89</v>
      </c>
      <c r="H46" s="39">
        <f t="shared" si="2"/>
        <v>111</v>
      </c>
      <c r="I46" s="34">
        <f t="shared" si="2"/>
        <v>162</v>
      </c>
      <c r="J46" s="35">
        <f t="shared" si="3"/>
        <v>273</v>
      </c>
    </row>
    <row r="47" spans="1:10" x14ac:dyDescent="0.25">
      <c r="A47" s="12" t="s">
        <v>115</v>
      </c>
      <c r="B47" s="39">
        <v>97</v>
      </c>
      <c r="C47" s="34">
        <v>253</v>
      </c>
      <c r="D47" s="35">
        <f t="shared" si="0"/>
        <v>350</v>
      </c>
      <c r="E47" s="34">
        <v>80</v>
      </c>
      <c r="F47" s="34">
        <v>173</v>
      </c>
      <c r="G47" s="34">
        <f t="shared" si="1"/>
        <v>253</v>
      </c>
      <c r="H47" s="39">
        <f t="shared" si="2"/>
        <v>177</v>
      </c>
      <c r="I47" s="34">
        <f t="shared" si="2"/>
        <v>426</v>
      </c>
      <c r="J47" s="35">
        <f t="shared" si="3"/>
        <v>603</v>
      </c>
    </row>
    <row r="48" spans="1:10" x14ac:dyDescent="0.25">
      <c r="A48" s="12" t="s">
        <v>68</v>
      </c>
      <c r="B48" s="39">
        <v>45</v>
      </c>
      <c r="C48" s="34">
        <v>46</v>
      </c>
      <c r="D48" s="35">
        <f t="shared" si="0"/>
        <v>91</v>
      </c>
      <c r="E48" s="34">
        <v>4</v>
      </c>
      <c r="F48" s="34">
        <v>2</v>
      </c>
      <c r="G48" s="34">
        <f t="shared" si="1"/>
        <v>6</v>
      </c>
      <c r="H48" s="39">
        <f t="shared" si="2"/>
        <v>49</v>
      </c>
      <c r="I48" s="34">
        <f t="shared" si="2"/>
        <v>48</v>
      </c>
      <c r="J48" s="35">
        <f t="shared" si="3"/>
        <v>97</v>
      </c>
    </row>
    <row r="49" spans="1:10" x14ac:dyDescent="0.25">
      <c r="A49" s="12" t="s">
        <v>71</v>
      </c>
      <c r="B49" s="39">
        <v>30</v>
      </c>
      <c r="C49" s="34">
        <v>34</v>
      </c>
      <c r="D49" s="35">
        <f t="shared" si="0"/>
        <v>64</v>
      </c>
      <c r="E49" s="34">
        <v>1</v>
      </c>
      <c r="F49" s="34">
        <v>1</v>
      </c>
      <c r="G49" s="34">
        <f t="shared" si="1"/>
        <v>2</v>
      </c>
      <c r="H49" s="39">
        <f t="shared" si="2"/>
        <v>31</v>
      </c>
      <c r="I49" s="34">
        <f t="shared" si="2"/>
        <v>35</v>
      </c>
      <c r="J49" s="35">
        <f t="shared" si="3"/>
        <v>66</v>
      </c>
    </row>
    <row r="50" spans="1:10" x14ac:dyDescent="0.25">
      <c r="A50" s="12" t="s">
        <v>72</v>
      </c>
      <c r="B50" s="39">
        <v>0</v>
      </c>
      <c r="C50" s="34">
        <v>0</v>
      </c>
      <c r="D50" s="35">
        <f t="shared" si="0"/>
        <v>0</v>
      </c>
      <c r="E50" s="34">
        <v>31</v>
      </c>
      <c r="F50" s="34">
        <v>15</v>
      </c>
      <c r="G50" s="34">
        <f t="shared" si="1"/>
        <v>46</v>
      </c>
      <c r="H50" s="39">
        <f t="shared" si="2"/>
        <v>31</v>
      </c>
      <c r="I50" s="34">
        <f t="shared" si="2"/>
        <v>15</v>
      </c>
      <c r="J50" s="35">
        <f t="shared" si="3"/>
        <v>46</v>
      </c>
    </row>
    <row r="51" spans="1:10" x14ac:dyDescent="0.25">
      <c r="A51" s="12" t="s">
        <v>73</v>
      </c>
      <c r="B51" s="39">
        <v>10</v>
      </c>
      <c r="C51" s="34">
        <v>57</v>
      </c>
      <c r="D51" s="35">
        <f t="shared" si="0"/>
        <v>67</v>
      </c>
      <c r="E51" s="34">
        <v>5</v>
      </c>
      <c r="F51" s="34">
        <v>10</v>
      </c>
      <c r="G51" s="34">
        <f t="shared" si="1"/>
        <v>15</v>
      </c>
      <c r="H51" s="39">
        <f t="shared" si="2"/>
        <v>15</v>
      </c>
      <c r="I51" s="34">
        <f t="shared" si="2"/>
        <v>67</v>
      </c>
      <c r="J51" s="35">
        <f t="shared" si="3"/>
        <v>82</v>
      </c>
    </row>
    <row r="52" spans="1:10" x14ac:dyDescent="0.25">
      <c r="A52" s="12" t="s">
        <v>74</v>
      </c>
      <c r="B52" s="39">
        <v>42</v>
      </c>
      <c r="C52" s="34">
        <v>27</v>
      </c>
      <c r="D52" s="35">
        <f t="shared" si="0"/>
        <v>69</v>
      </c>
      <c r="E52" s="34">
        <v>8</v>
      </c>
      <c r="F52" s="34">
        <v>19</v>
      </c>
      <c r="G52" s="34">
        <f t="shared" si="1"/>
        <v>27</v>
      </c>
      <c r="H52" s="39">
        <f t="shared" si="2"/>
        <v>50</v>
      </c>
      <c r="I52" s="34">
        <f t="shared" si="2"/>
        <v>46</v>
      </c>
      <c r="J52" s="35">
        <f t="shared" si="3"/>
        <v>96</v>
      </c>
    </row>
    <row r="53" spans="1:10" x14ac:dyDescent="0.25">
      <c r="A53" s="12" t="s">
        <v>179</v>
      </c>
      <c r="B53" s="39">
        <v>1</v>
      </c>
      <c r="C53" s="34">
        <v>1</v>
      </c>
      <c r="D53" s="35">
        <f t="shared" si="0"/>
        <v>2</v>
      </c>
      <c r="E53" s="34">
        <v>0</v>
      </c>
      <c r="F53" s="34">
        <v>0</v>
      </c>
      <c r="G53" s="34">
        <f t="shared" si="1"/>
        <v>0</v>
      </c>
      <c r="H53" s="39">
        <f t="shared" si="2"/>
        <v>1</v>
      </c>
      <c r="I53" s="34">
        <f t="shared" si="2"/>
        <v>1</v>
      </c>
      <c r="J53" s="35">
        <f t="shared" si="3"/>
        <v>2</v>
      </c>
    </row>
    <row r="54" spans="1:10" x14ac:dyDescent="0.25">
      <c r="A54" s="12" t="s">
        <v>151</v>
      </c>
      <c r="B54" s="39">
        <v>0</v>
      </c>
      <c r="C54" s="34">
        <v>3</v>
      </c>
      <c r="D54" s="35">
        <f t="shared" si="0"/>
        <v>3</v>
      </c>
      <c r="E54" s="34">
        <v>3</v>
      </c>
      <c r="F54" s="34">
        <v>7</v>
      </c>
      <c r="G54" s="34">
        <f t="shared" si="1"/>
        <v>10</v>
      </c>
      <c r="H54" s="39">
        <f t="shared" si="2"/>
        <v>3</v>
      </c>
      <c r="I54" s="34">
        <f t="shared" si="2"/>
        <v>10</v>
      </c>
      <c r="J54" s="35">
        <f t="shared" si="3"/>
        <v>13</v>
      </c>
    </row>
    <row r="55" spans="1:10" x14ac:dyDescent="0.25">
      <c r="A55" s="12" t="s">
        <v>103</v>
      </c>
      <c r="B55" s="39">
        <v>214</v>
      </c>
      <c r="C55" s="34">
        <v>197</v>
      </c>
      <c r="D55" s="35">
        <f t="shared" si="0"/>
        <v>411</v>
      </c>
      <c r="E55" s="34">
        <v>0</v>
      </c>
      <c r="F55" s="34">
        <v>0</v>
      </c>
      <c r="G55" s="34">
        <f t="shared" si="1"/>
        <v>0</v>
      </c>
      <c r="H55" s="39">
        <f t="shared" si="2"/>
        <v>214</v>
      </c>
      <c r="I55" s="34">
        <f t="shared" si="2"/>
        <v>197</v>
      </c>
      <c r="J55" s="35">
        <f t="shared" si="3"/>
        <v>411</v>
      </c>
    </row>
    <row r="56" spans="1:10" x14ac:dyDescent="0.25">
      <c r="A56" s="12" t="s">
        <v>104</v>
      </c>
      <c r="B56" s="39">
        <v>371</v>
      </c>
      <c r="C56" s="34">
        <v>321</v>
      </c>
      <c r="D56" s="35">
        <f t="shared" si="0"/>
        <v>692</v>
      </c>
      <c r="E56" s="34">
        <v>5</v>
      </c>
      <c r="F56" s="34">
        <v>1</v>
      </c>
      <c r="G56" s="34">
        <f t="shared" si="1"/>
        <v>6</v>
      </c>
      <c r="H56" s="39">
        <f t="shared" si="2"/>
        <v>376</v>
      </c>
      <c r="I56" s="34">
        <f t="shared" si="2"/>
        <v>322</v>
      </c>
      <c r="J56" s="35">
        <f t="shared" si="3"/>
        <v>698</v>
      </c>
    </row>
    <row r="57" spans="1:10" x14ac:dyDescent="0.25">
      <c r="A57" s="12" t="s">
        <v>169</v>
      </c>
      <c r="B57" s="39">
        <v>0</v>
      </c>
      <c r="C57" s="34">
        <v>0</v>
      </c>
      <c r="D57" s="35">
        <f t="shared" si="0"/>
        <v>0</v>
      </c>
      <c r="E57" s="34">
        <v>6</v>
      </c>
      <c r="F57" s="34">
        <v>2</v>
      </c>
      <c r="G57" s="34">
        <f t="shared" si="1"/>
        <v>8</v>
      </c>
      <c r="H57" s="39">
        <f t="shared" si="2"/>
        <v>6</v>
      </c>
      <c r="I57" s="34">
        <f t="shared" si="2"/>
        <v>2</v>
      </c>
      <c r="J57" s="35">
        <f t="shared" si="3"/>
        <v>8</v>
      </c>
    </row>
    <row r="58" spans="1:10" x14ac:dyDescent="0.25">
      <c r="A58" s="12" t="s">
        <v>163</v>
      </c>
      <c r="B58" s="39">
        <v>0</v>
      </c>
      <c r="C58" s="34">
        <v>0</v>
      </c>
      <c r="D58" s="35">
        <f t="shared" si="0"/>
        <v>0</v>
      </c>
      <c r="E58" s="34">
        <v>6</v>
      </c>
      <c r="F58" s="34">
        <v>14</v>
      </c>
      <c r="G58" s="34">
        <f t="shared" si="1"/>
        <v>20</v>
      </c>
      <c r="H58" s="39">
        <f t="shared" si="2"/>
        <v>6</v>
      </c>
      <c r="I58" s="34">
        <f t="shared" si="2"/>
        <v>14</v>
      </c>
      <c r="J58" s="35">
        <f t="shared" si="3"/>
        <v>20</v>
      </c>
    </row>
    <row r="59" spans="1:10" x14ac:dyDescent="0.25">
      <c r="A59" s="12" t="s">
        <v>120</v>
      </c>
      <c r="B59" s="39">
        <v>0</v>
      </c>
      <c r="C59" s="34">
        <v>0</v>
      </c>
      <c r="D59" s="35">
        <f t="shared" si="0"/>
        <v>0</v>
      </c>
      <c r="E59" s="34">
        <v>3</v>
      </c>
      <c r="F59" s="34">
        <v>9</v>
      </c>
      <c r="G59" s="34">
        <f t="shared" si="1"/>
        <v>12</v>
      </c>
      <c r="H59" s="39">
        <f t="shared" si="2"/>
        <v>3</v>
      </c>
      <c r="I59" s="34">
        <f t="shared" si="2"/>
        <v>9</v>
      </c>
      <c r="J59" s="35">
        <f t="shared" si="3"/>
        <v>12</v>
      </c>
    </row>
    <row r="60" spans="1:10" x14ac:dyDescent="0.25">
      <c r="A60" s="12" t="s">
        <v>152</v>
      </c>
      <c r="B60" s="39">
        <v>0</v>
      </c>
      <c r="C60" s="34">
        <v>0</v>
      </c>
      <c r="D60" s="35">
        <f t="shared" si="0"/>
        <v>0</v>
      </c>
      <c r="E60" s="34">
        <v>1</v>
      </c>
      <c r="F60" s="34">
        <v>0</v>
      </c>
      <c r="G60" s="34">
        <f t="shared" si="1"/>
        <v>1</v>
      </c>
      <c r="H60" s="39">
        <f t="shared" si="2"/>
        <v>1</v>
      </c>
      <c r="I60" s="34">
        <f t="shared" si="2"/>
        <v>0</v>
      </c>
      <c r="J60" s="35">
        <f t="shared" si="3"/>
        <v>1</v>
      </c>
    </row>
    <row r="61" spans="1:10" x14ac:dyDescent="0.25">
      <c r="A61" s="12" t="s">
        <v>171</v>
      </c>
      <c r="B61" s="39">
        <v>15</v>
      </c>
      <c r="C61" s="34">
        <v>22</v>
      </c>
      <c r="D61" s="35">
        <f t="shared" si="0"/>
        <v>37</v>
      </c>
      <c r="E61" s="34">
        <v>16</v>
      </c>
      <c r="F61" s="34">
        <v>10</v>
      </c>
      <c r="G61" s="34">
        <f t="shared" si="1"/>
        <v>26</v>
      </c>
      <c r="H61" s="39">
        <f t="shared" si="2"/>
        <v>31</v>
      </c>
      <c r="I61" s="34">
        <f t="shared" si="2"/>
        <v>32</v>
      </c>
      <c r="J61" s="35">
        <f t="shared" si="3"/>
        <v>63</v>
      </c>
    </row>
    <row r="62" spans="1:10" x14ac:dyDescent="0.25">
      <c r="A62" s="12" t="s">
        <v>164</v>
      </c>
      <c r="B62" s="39">
        <v>0</v>
      </c>
      <c r="C62" s="34">
        <v>0</v>
      </c>
      <c r="D62" s="35">
        <f t="shared" si="0"/>
        <v>0</v>
      </c>
      <c r="E62" s="34">
        <v>17</v>
      </c>
      <c r="F62" s="34">
        <v>25</v>
      </c>
      <c r="G62" s="34">
        <f t="shared" si="1"/>
        <v>42</v>
      </c>
      <c r="H62" s="39">
        <f t="shared" si="2"/>
        <v>17</v>
      </c>
      <c r="I62" s="34">
        <f t="shared" si="2"/>
        <v>25</v>
      </c>
      <c r="J62" s="35">
        <f t="shared" si="3"/>
        <v>42</v>
      </c>
    </row>
    <row r="63" spans="1:10" x14ac:dyDescent="0.25">
      <c r="A63" s="12" t="s">
        <v>123</v>
      </c>
      <c r="B63" s="39">
        <v>0</v>
      </c>
      <c r="C63" s="34">
        <v>0</v>
      </c>
      <c r="D63" s="35">
        <f t="shared" si="0"/>
        <v>0</v>
      </c>
      <c r="E63" s="34">
        <v>20</v>
      </c>
      <c r="F63" s="34">
        <v>27</v>
      </c>
      <c r="G63" s="34">
        <f t="shared" si="1"/>
        <v>47</v>
      </c>
      <c r="H63" s="39">
        <f t="shared" si="2"/>
        <v>20</v>
      </c>
      <c r="I63" s="34">
        <f t="shared" si="2"/>
        <v>27</v>
      </c>
      <c r="J63" s="35">
        <f t="shared" si="3"/>
        <v>47</v>
      </c>
    </row>
    <row r="64" spans="1:10" x14ac:dyDescent="0.25">
      <c r="A64" s="12" t="s">
        <v>182</v>
      </c>
      <c r="B64" s="39">
        <v>0</v>
      </c>
      <c r="C64" s="34">
        <v>0</v>
      </c>
      <c r="D64" s="35">
        <f t="shared" si="0"/>
        <v>0</v>
      </c>
      <c r="E64" s="34">
        <v>2</v>
      </c>
      <c r="F64" s="34">
        <v>2</v>
      </c>
      <c r="G64" s="34">
        <f t="shared" si="1"/>
        <v>4</v>
      </c>
      <c r="H64" s="39">
        <f t="shared" si="2"/>
        <v>2</v>
      </c>
      <c r="I64" s="34">
        <f t="shared" si="2"/>
        <v>2</v>
      </c>
      <c r="J64" s="35">
        <f t="shared" si="3"/>
        <v>4</v>
      </c>
    </row>
    <row r="65" spans="1:10" x14ac:dyDescent="0.25">
      <c r="A65" s="12" t="s">
        <v>165</v>
      </c>
      <c r="B65" s="39">
        <v>0</v>
      </c>
      <c r="C65" s="34">
        <v>0</v>
      </c>
      <c r="D65" s="35">
        <f t="shared" si="0"/>
        <v>0</v>
      </c>
      <c r="E65" s="34">
        <v>0</v>
      </c>
      <c r="F65" s="34">
        <v>1</v>
      </c>
      <c r="G65" s="34">
        <f t="shared" si="1"/>
        <v>1</v>
      </c>
      <c r="H65" s="39">
        <f t="shared" si="2"/>
        <v>0</v>
      </c>
      <c r="I65" s="34">
        <f t="shared" si="2"/>
        <v>1</v>
      </c>
      <c r="J65" s="35">
        <f t="shared" si="3"/>
        <v>1</v>
      </c>
    </row>
    <row r="66" spans="1:10" x14ac:dyDescent="0.25">
      <c r="A66" s="12" t="s">
        <v>180</v>
      </c>
      <c r="B66" s="39">
        <v>0</v>
      </c>
      <c r="C66" s="34">
        <v>0</v>
      </c>
      <c r="D66" s="35">
        <f t="shared" si="0"/>
        <v>0</v>
      </c>
      <c r="E66" s="34">
        <v>21</v>
      </c>
      <c r="F66" s="34">
        <v>24</v>
      </c>
      <c r="G66" s="34">
        <f t="shared" si="1"/>
        <v>45</v>
      </c>
      <c r="H66" s="39">
        <f t="shared" si="2"/>
        <v>21</v>
      </c>
      <c r="I66" s="34">
        <f t="shared" si="2"/>
        <v>24</v>
      </c>
      <c r="J66" s="35">
        <f t="shared" si="3"/>
        <v>45</v>
      </c>
    </row>
    <row r="67" spans="1:10" x14ac:dyDescent="0.25">
      <c r="A67" s="12" t="s">
        <v>183</v>
      </c>
      <c r="B67" s="39">
        <v>0</v>
      </c>
      <c r="C67" s="34">
        <v>0</v>
      </c>
      <c r="D67" s="35">
        <f t="shared" si="0"/>
        <v>0</v>
      </c>
      <c r="E67" s="34">
        <v>1</v>
      </c>
      <c r="F67" s="34">
        <v>1</v>
      </c>
      <c r="G67" s="34">
        <f t="shared" si="1"/>
        <v>2</v>
      </c>
      <c r="H67" s="39">
        <f t="shared" si="2"/>
        <v>1</v>
      </c>
      <c r="I67" s="34">
        <f t="shared" si="2"/>
        <v>1</v>
      </c>
      <c r="J67" s="35">
        <f t="shared" si="3"/>
        <v>2</v>
      </c>
    </row>
    <row r="68" spans="1:10" x14ac:dyDescent="0.25">
      <c r="A68" s="12" t="s">
        <v>125</v>
      </c>
      <c r="B68" s="39">
        <v>0</v>
      </c>
      <c r="C68" s="34">
        <v>0</v>
      </c>
      <c r="D68" s="35">
        <f t="shared" si="0"/>
        <v>0</v>
      </c>
      <c r="E68" s="34">
        <v>4</v>
      </c>
      <c r="F68" s="34">
        <v>1</v>
      </c>
      <c r="G68" s="34">
        <f t="shared" si="1"/>
        <v>5</v>
      </c>
      <c r="H68" s="39">
        <f t="shared" si="2"/>
        <v>4</v>
      </c>
      <c r="I68" s="34">
        <f t="shared" si="2"/>
        <v>1</v>
      </c>
      <c r="J68" s="35">
        <f t="shared" si="3"/>
        <v>5</v>
      </c>
    </row>
    <row r="69" spans="1:10" x14ac:dyDescent="0.25">
      <c r="A69" s="12" t="s">
        <v>126</v>
      </c>
      <c r="B69" s="39">
        <v>0</v>
      </c>
      <c r="C69" s="34">
        <v>0</v>
      </c>
      <c r="D69" s="35">
        <f t="shared" si="0"/>
        <v>0</v>
      </c>
      <c r="E69" s="34">
        <v>6</v>
      </c>
      <c r="F69" s="34">
        <v>13</v>
      </c>
      <c r="G69" s="34">
        <f t="shared" si="1"/>
        <v>19</v>
      </c>
      <c r="H69" s="39">
        <f t="shared" si="2"/>
        <v>6</v>
      </c>
      <c r="I69" s="34">
        <f t="shared" si="2"/>
        <v>13</v>
      </c>
      <c r="J69" s="35">
        <f t="shared" si="3"/>
        <v>19</v>
      </c>
    </row>
    <row r="70" spans="1:10" x14ac:dyDescent="0.25">
      <c r="A70" s="12" t="s">
        <v>127</v>
      </c>
      <c r="B70" s="39">
        <v>0</v>
      </c>
      <c r="C70" s="34">
        <v>0</v>
      </c>
      <c r="D70" s="35">
        <f t="shared" si="0"/>
        <v>0</v>
      </c>
      <c r="E70" s="34">
        <v>12</v>
      </c>
      <c r="F70" s="34">
        <v>11</v>
      </c>
      <c r="G70" s="34">
        <f t="shared" si="1"/>
        <v>23</v>
      </c>
      <c r="H70" s="39">
        <f t="shared" si="2"/>
        <v>12</v>
      </c>
      <c r="I70" s="34">
        <f t="shared" si="2"/>
        <v>11</v>
      </c>
      <c r="J70" s="35">
        <f t="shared" si="3"/>
        <v>23</v>
      </c>
    </row>
    <row r="71" spans="1:10" x14ac:dyDescent="0.25">
      <c r="A71" s="12" t="s">
        <v>148</v>
      </c>
      <c r="B71" s="39">
        <v>8</v>
      </c>
      <c r="C71" s="34">
        <v>1</v>
      </c>
      <c r="D71" s="35">
        <f t="shared" si="0"/>
        <v>9</v>
      </c>
      <c r="E71" s="34">
        <v>10</v>
      </c>
      <c r="F71" s="34">
        <v>3</v>
      </c>
      <c r="G71" s="34">
        <f t="shared" si="1"/>
        <v>13</v>
      </c>
      <c r="H71" s="39">
        <f t="shared" si="2"/>
        <v>18</v>
      </c>
      <c r="I71" s="34">
        <f t="shared" si="2"/>
        <v>4</v>
      </c>
      <c r="J71" s="35">
        <f t="shared" si="3"/>
        <v>22</v>
      </c>
    </row>
    <row r="72" spans="1:10" x14ac:dyDescent="0.25">
      <c r="A72" s="12" t="s">
        <v>174</v>
      </c>
      <c r="B72" s="39">
        <v>0</v>
      </c>
      <c r="C72" s="34">
        <v>0</v>
      </c>
      <c r="D72" s="35">
        <f t="shared" si="0"/>
        <v>0</v>
      </c>
      <c r="E72" s="34">
        <v>2</v>
      </c>
      <c r="F72" s="34">
        <v>2</v>
      </c>
      <c r="G72" s="34">
        <f t="shared" si="1"/>
        <v>4</v>
      </c>
      <c r="H72" s="39">
        <f t="shared" si="2"/>
        <v>2</v>
      </c>
      <c r="I72" s="34">
        <f t="shared" si="2"/>
        <v>2</v>
      </c>
      <c r="J72" s="35">
        <f t="shared" si="3"/>
        <v>4</v>
      </c>
    </row>
    <row r="73" spans="1:10" x14ac:dyDescent="0.25">
      <c r="A73" s="12" t="s">
        <v>186</v>
      </c>
      <c r="B73" s="39">
        <v>0</v>
      </c>
      <c r="C73" s="34">
        <v>0</v>
      </c>
      <c r="D73" s="35">
        <f t="shared" si="0"/>
        <v>0</v>
      </c>
      <c r="E73" s="34">
        <v>3</v>
      </c>
      <c r="F73" s="34">
        <v>1</v>
      </c>
      <c r="G73" s="34">
        <f t="shared" si="1"/>
        <v>4</v>
      </c>
      <c r="H73" s="39">
        <f t="shared" si="2"/>
        <v>3</v>
      </c>
      <c r="I73" s="34">
        <f t="shared" si="2"/>
        <v>1</v>
      </c>
      <c r="J73" s="35">
        <f t="shared" si="3"/>
        <v>4</v>
      </c>
    </row>
    <row r="74" spans="1:10" x14ac:dyDescent="0.25">
      <c r="A74" s="12" t="s">
        <v>176</v>
      </c>
      <c r="B74" s="39">
        <v>0</v>
      </c>
      <c r="C74" s="34">
        <v>0</v>
      </c>
      <c r="D74" s="35">
        <f t="shared" si="0"/>
        <v>0</v>
      </c>
      <c r="E74" s="34">
        <v>30</v>
      </c>
      <c r="F74" s="34">
        <v>49</v>
      </c>
      <c r="G74" s="34">
        <f t="shared" si="1"/>
        <v>79</v>
      </c>
      <c r="H74" s="39">
        <f t="shared" si="2"/>
        <v>30</v>
      </c>
      <c r="I74" s="34">
        <f t="shared" si="2"/>
        <v>49</v>
      </c>
      <c r="J74" s="35">
        <f t="shared" si="3"/>
        <v>79</v>
      </c>
    </row>
    <row r="75" spans="1:10" x14ac:dyDescent="0.25">
      <c r="A75" s="12" t="s">
        <v>154</v>
      </c>
      <c r="B75" s="39">
        <v>0</v>
      </c>
      <c r="C75" s="34">
        <v>0</v>
      </c>
      <c r="D75" s="35">
        <f t="shared" si="0"/>
        <v>0</v>
      </c>
      <c r="E75" s="34">
        <v>9</v>
      </c>
      <c r="F75" s="34">
        <v>8</v>
      </c>
      <c r="G75" s="34">
        <f t="shared" si="1"/>
        <v>17</v>
      </c>
      <c r="H75" s="39">
        <f t="shared" si="2"/>
        <v>9</v>
      </c>
      <c r="I75" s="34">
        <f t="shared" si="2"/>
        <v>8</v>
      </c>
      <c r="J75" s="35">
        <f t="shared" si="3"/>
        <v>17</v>
      </c>
    </row>
    <row r="76" spans="1:10" x14ac:dyDescent="0.25">
      <c r="A76" s="12" t="s">
        <v>131</v>
      </c>
      <c r="B76" s="39">
        <v>6</v>
      </c>
      <c r="C76" s="34">
        <v>6</v>
      </c>
      <c r="D76" s="35">
        <f t="shared" si="0"/>
        <v>12</v>
      </c>
      <c r="E76" s="34">
        <v>11</v>
      </c>
      <c r="F76" s="34">
        <v>9</v>
      </c>
      <c r="G76" s="34">
        <f t="shared" si="1"/>
        <v>20</v>
      </c>
      <c r="H76" s="39">
        <f t="shared" si="2"/>
        <v>17</v>
      </c>
      <c r="I76" s="34">
        <f t="shared" si="2"/>
        <v>15</v>
      </c>
      <c r="J76" s="35">
        <f t="shared" si="3"/>
        <v>32</v>
      </c>
    </row>
    <row r="77" spans="1:10" x14ac:dyDescent="0.25">
      <c r="A77" s="12" t="s">
        <v>167</v>
      </c>
      <c r="B77" s="39">
        <v>0</v>
      </c>
      <c r="C77" s="34">
        <v>0</v>
      </c>
      <c r="D77" s="35">
        <f t="shared" si="0"/>
        <v>0</v>
      </c>
      <c r="E77" s="34">
        <v>38</v>
      </c>
      <c r="F77" s="34">
        <v>6</v>
      </c>
      <c r="G77" s="34">
        <f t="shared" si="1"/>
        <v>44</v>
      </c>
      <c r="H77" s="39">
        <f t="shared" si="2"/>
        <v>38</v>
      </c>
      <c r="I77" s="34">
        <f t="shared" si="2"/>
        <v>6</v>
      </c>
      <c r="J77" s="35">
        <f t="shared" si="3"/>
        <v>44</v>
      </c>
    </row>
    <row r="78" spans="1:10" x14ac:dyDescent="0.25">
      <c r="A78" s="12" t="s">
        <v>158</v>
      </c>
      <c r="B78" s="39">
        <v>0</v>
      </c>
      <c r="C78" s="34">
        <v>0</v>
      </c>
      <c r="D78" s="35">
        <f t="shared" si="0"/>
        <v>0</v>
      </c>
      <c r="E78" s="34">
        <v>4</v>
      </c>
      <c r="F78" s="34">
        <v>5</v>
      </c>
      <c r="G78" s="34">
        <f t="shared" si="1"/>
        <v>9</v>
      </c>
      <c r="H78" s="39">
        <f t="shared" si="2"/>
        <v>4</v>
      </c>
      <c r="I78" s="34">
        <f t="shared" si="2"/>
        <v>5</v>
      </c>
      <c r="J78" s="35">
        <f t="shared" si="3"/>
        <v>9</v>
      </c>
    </row>
    <row r="79" spans="1:10" x14ac:dyDescent="0.25">
      <c r="A79" s="12" t="s">
        <v>79</v>
      </c>
      <c r="B79" s="39">
        <v>0</v>
      </c>
      <c r="C79" s="34">
        <v>0</v>
      </c>
      <c r="D79" s="35">
        <f t="shared" si="0"/>
        <v>0</v>
      </c>
      <c r="E79" s="34">
        <v>64</v>
      </c>
      <c r="F79" s="34">
        <v>141</v>
      </c>
      <c r="G79" s="34">
        <f t="shared" si="1"/>
        <v>205</v>
      </c>
      <c r="H79" s="39">
        <f t="shared" si="2"/>
        <v>64</v>
      </c>
      <c r="I79" s="34">
        <f t="shared" si="2"/>
        <v>141</v>
      </c>
      <c r="J79" s="35">
        <f t="shared" si="3"/>
        <v>205</v>
      </c>
    </row>
    <row r="80" spans="1:10" ht="15.75" thickBot="1" x14ac:dyDescent="0.3">
      <c r="A80" s="13" t="s">
        <v>87</v>
      </c>
      <c r="B80" s="43">
        <v>0</v>
      </c>
      <c r="C80" s="44">
        <v>0</v>
      </c>
      <c r="D80" s="45">
        <f t="shared" si="0"/>
        <v>0</v>
      </c>
      <c r="E80" s="44">
        <v>31</v>
      </c>
      <c r="F80" s="44">
        <v>35</v>
      </c>
      <c r="G80" s="44">
        <f t="shared" si="1"/>
        <v>66</v>
      </c>
      <c r="H80" s="43">
        <f t="shared" si="2"/>
        <v>31</v>
      </c>
      <c r="I80" s="44">
        <f t="shared" si="2"/>
        <v>35</v>
      </c>
      <c r="J80" s="45">
        <f t="shared" si="3"/>
        <v>66</v>
      </c>
    </row>
    <row r="81" spans="1:10" ht="16.5" thickTop="1" thickBot="1" x14ac:dyDescent="0.3">
      <c r="A81" s="8" t="s">
        <v>0</v>
      </c>
      <c r="B81" s="8">
        <f>SUM(B7:B80)</f>
        <v>4692</v>
      </c>
      <c r="C81" s="36">
        <f>SUM(C7:C80)</f>
        <v>4740</v>
      </c>
      <c r="D81" s="40">
        <f>SUM(D7:D80)</f>
        <v>9432</v>
      </c>
      <c r="E81" s="36">
        <f>SUM(E7:E80)</f>
        <v>2545</v>
      </c>
      <c r="F81" s="36">
        <f>SUM(F7:F80)</f>
        <v>2300</v>
      </c>
      <c r="G81" s="37">
        <f t="shared" ref="G81" si="4">SUM(E81:F81)</f>
        <v>4845</v>
      </c>
      <c r="H81" s="41">
        <f t="shared" ref="H81:I81" si="5">B81+E81</f>
        <v>7237</v>
      </c>
      <c r="I81" s="37">
        <f t="shared" si="5"/>
        <v>7040</v>
      </c>
      <c r="J81" s="38">
        <f t="shared" ref="J81" si="6">SUM(H81:I81)</f>
        <v>14277</v>
      </c>
    </row>
    <row r="82" spans="1:10" ht="15.75" thickBo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</row>
    <row r="83" spans="1:10" x14ac:dyDescent="0.25">
      <c r="A83" s="16" t="s">
        <v>16</v>
      </c>
      <c r="B83" s="58" t="s">
        <v>3</v>
      </c>
      <c r="C83" s="59"/>
      <c r="D83" s="60"/>
      <c r="E83" s="58" t="s">
        <v>4</v>
      </c>
      <c r="F83" s="59"/>
      <c r="G83" s="60"/>
      <c r="H83" s="58" t="s">
        <v>0</v>
      </c>
      <c r="I83" s="59"/>
      <c r="J83" s="60"/>
    </row>
    <row r="84" spans="1:10" x14ac:dyDescent="0.25">
      <c r="A84" s="17"/>
      <c r="B84" s="32" t="s">
        <v>5</v>
      </c>
      <c r="C84" s="31" t="s">
        <v>6</v>
      </c>
      <c r="D84" s="33" t="s">
        <v>0</v>
      </c>
      <c r="E84" s="32" t="s">
        <v>5</v>
      </c>
      <c r="F84" s="31" t="s">
        <v>6</v>
      </c>
      <c r="G84" s="33" t="s">
        <v>0</v>
      </c>
      <c r="H84" s="32" t="s">
        <v>5</v>
      </c>
      <c r="I84" s="31" t="s">
        <v>6</v>
      </c>
      <c r="J84" s="30" t="s">
        <v>0</v>
      </c>
    </row>
    <row r="85" spans="1:10" x14ac:dyDescent="0.25">
      <c r="A85" s="29" t="s">
        <v>15</v>
      </c>
      <c r="B85" s="6">
        <v>645</v>
      </c>
      <c r="C85" s="4">
        <v>1209</v>
      </c>
      <c r="D85" s="5">
        <f t="shared" ref="D85:D92" si="7">B85+C85</f>
        <v>1854</v>
      </c>
      <c r="E85" s="6">
        <v>247</v>
      </c>
      <c r="F85" s="4">
        <v>382</v>
      </c>
      <c r="G85" s="4">
        <f t="shared" ref="G85:G92" si="8">E85+F85</f>
        <v>629</v>
      </c>
      <c r="H85" s="6">
        <f>B85+E85</f>
        <v>892</v>
      </c>
      <c r="I85" s="4">
        <f>C85+F85</f>
        <v>1591</v>
      </c>
      <c r="J85" s="7">
        <f t="shared" ref="J85:J92" si="9">H85+I85</f>
        <v>2483</v>
      </c>
    </row>
    <row r="86" spans="1:10" x14ac:dyDescent="0.25">
      <c r="A86" s="29" t="s">
        <v>14</v>
      </c>
      <c r="B86" s="6">
        <v>205</v>
      </c>
      <c r="C86" s="4">
        <v>108</v>
      </c>
      <c r="D86" s="5">
        <f t="shared" si="7"/>
        <v>313</v>
      </c>
      <c r="E86" s="6">
        <v>419</v>
      </c>
      <c r="F86" s="4">
        <v>262</v>
      </c>
      <c r="G86" s="4">
        <f t="shared" si="8"/>
        <v>681</v>
      </c>
      <c r="H86" s="6">
        <f t="shared" ref="H86:I92" si="10">B86+E86</f>
        <v>624</v>
      </c>
      <c r="I86" s="4">
        <f t="shared" si="10"/>
        <v>370</v>
      </c>
      <c r="J86" s="7">
        <f t="shared" si="9"/>
        <v>994</v>
      </c>
    </row>
    <row r="87" spans="1:10" x14ac:dyDescent="0.25">
      <c r="A87" s="29" t="s">
        <v>155</v>
      </c>
      <c r="B87" s="6">
        <v>371</v>
      </c>
      <c r="C87" s="4">
        <v>321</v>
      </c>
      <c r="D87" s="5">
        <f t="shared" si="7"/>
        <v>692</v>
      </c>
      <c r="E87" s="6">
        <v>325</v>
      </c>
      <c r="F87" s="4">
        <v>392</v>
      </c>
      <c r="G87" s="4">
        <f t="shared" si="8"/>
        <v>717</v>
      </c>
      <c r="H87" s="6">
        <f t="shared" si="10"/>
        <v>696</v>
      </c>
      <c r="I87" s="4">
        <f t="shared" si="10"/>
        <v>713</v>
      </c>
      <c r="J87" s="7">
        <f t="shared" si="9"/>
        <v>1409</v>
      </c>
    </row>
    <row r="88" spans="1:10" x14ac:dyDescent="0.25">
      <c r="A88" s="29" t="s">
        <v>12</v>
      </c>
      <c r="B88" s="6">
        <v>768</v>
      </c>
      <c r="C88" s="4">
        <v>153</v>
      </c>
      <c r="D88" s="5">
        <f t="shared" si="7"/>
        <v>921</v>
      </c>
      <c r="E88" s="6">
        <v>429</v>
      </c>
      <c r="F88" s="4">
        <v>92</v>
      </c>
      <c r="G88" s="4">
        <f t="shared" si="8"/>
        <v>521</v>
      </c>
      <c r="H88" s="6">
        <f t="shared" si="10"/>
        <v>1197</v>
      </c>
      <c r="I88" s="4">
        <f t="shared" si="10"/>
        <v>245</v>
      </c>
      <c r="J88" s="7">
        <f t="shared" si="9"/>
        <v>1442</v>
      </c>
    </row>
    <row r="89" spans="1:10" x14ac:dyDescent="0.25">
      <c r="A89" s="29" t="s">
        <v>1</v>
      </c>
      <c r="B89" s="6">
        <v>203</v>
      </c>
      <c r="C89" s="4">
        <v>260</v>
      </c>
      <c r="D89" s="5">
        <f t="shared" si="7"/>
        <v>463</v>
      </c>
      <c r="E89" s="6">
        <v>167</v>
      </c>
      <c r="F89" s="4">
        <v>170</v>
      </c>
      <c r="G89" s="4">
        <f t="shared" si="8"/>
        <v>337</v>
      </c>
      <c r="H89" s="6">
        <f t="shared" si="10"/>
        <v>370</v>
      </c>
      <c r="I89" s="4">
        <f t="shared" si="10"/>
        <v>430</v>
      </c>
      <c r="J89" s="7">
        <f t="shared" si="9"/>
        <v>800</v>
      </c>
    </row>
    <row r="90" spans="1:10" x14ac:dyDescent="0.25">
      <c r="A90" s="29" t="s">
        <v>11</v>
      </c>
      <c r="B90" s="6">
        <v>755</v>
      </c>
      <c r="C90" s="4">
        <v>1223</v>
      </c>
      <c r="D90" s="5">
        <f t="shared" si="7"/>
        <v>1978</v>
      </c>
      <c r="E90" s="6">
        <v>326</v>
      </c>
      <c r="F90" s="4">
        <v>512</v>
      </c>
      <c r="G90" s="4">
        <f t="shared" si="8"/>
        <v>838</v>
      </c>
      <c r="H90" s="6">
        <f t="shared" si="10"/>
        <v>1081</v>
      </c>
      <c r="I90" s="4">
        <f t="shared" si="10"/>
        <v>1735</v>
      </c>
      <c r="J90" s="7">
        <f t="shared" si="9"/>
        <v>2816</v>
      </c>
    </row>
    <row r="91" spans="1:10" x14ac:dyDescent="0.25">
      <c r="A91" s="29" t="s">
        <v>10</v>
      </c>
      <c r="B91" s="6">
        <v>977</v>
      </c>
      <c r="C91" s="4">
        <v>491</v>
      </c>
      <c r="D91" s="5">
        <f t="shared" si="7"/>
        <v>1468</v>
      </c>
      <c r="E91" s="6">
        <v>350</v>
      </c>
      <c r="F91" s="4">
        <v>177</v>
      </c>
      <c r="G91" s="4">
        <f t="shared" si="8"/>
        <v>527</v>
      </c>
      <c r="H91" s="6">
        <f t="shared" si="10"/>
        <v>1327</v>
      </c>
      <c r="I91" s="4">
        <f t="shared" si="10"/>
        <v>668</v>
      </c>
      <c r="J91" s="7">
        <f t="shared" si="9"/>
        <v>1995</v>
      </c>
    </row>
    <row r="92" spans="1:10" ht="15.75" thickBot="1" x14ac:dyDescent="0.3">
      <c r="A92" s="28" t="s">
        <v>9</v>
      </c>
      <c r="B92" s="10">
        <v>768</v>
      </c>
      <c r="C92" s="27">
        <v>975</v>
      </c>
      <c r="D92" s="14">
        <f t="shared" si="7"/>
        <v>1743</v>
      </c>
      <c r="E92" s="10">
        <v>282</v>
      </c>
      <c r="F92" s="11">
        <v>313</v>
      </c>
      <c r="G92" s="11">
        <f t="shared" si="8"/>
        <v>595</v>
      </c>
      <c r="H92" s="10">
        <f t="shared" si="10"/>
        <v>1050</v>
      </c>
      <c r="I92" s="11">
        <f t="shared" si="10"/>
        <v>1288</v>
      </c>
      <c r="J92" s="26">
        <f t="shared" si="9"/>
        <v>2338</v>
      </c>
    </row>
    <row r="93" spans="1:10" ht="16.5" thickTop="1" thickBot="1" x14ac:dyDescent="0.3">
      <c r="A93" s="9" t="s">
        <v>0</v>
      </c>
      <c r="B93" s="8">
        <f t="shared" ref="B93:J93" si="11">SUM(B85:B92)</f>
        <v>4692</v>
      </c>
      <c r="C93" s="8">
        <f t="shared" si="11"/>
        <v>4740</v>
      </c>
      <c r="D93" s="8">
        <f t="shared" si="11"/>
        <v>9432</v>
      </c>
      <c r="E93" s="8">
        <f t="shared" si="11"/>
        <v>2545</v>
      </c>
      <c r="F93" s="8">
        <f t="shared" si="11"/>
        <v>2300</v>
      </c>
      <c r="G93" s="8">
        <f t="shared" si="11"/>
        <v>4845</v>
      </c>
      <c r="H93" s="8">
        <f t="shared" si="11"/>
        <v>7237</v>
      </c>
      <c r="I93" s="8">
        <f t="shared" si="11"/>
        <v>7040</v>
      </c>
      <c r="J93" s="9">
        <f t="shared" si="11"/>
        <v>14277</v>
      </c>
    </row>
    <row r="94" spans="1:10" ht="15.75" thickBot="1" x14ac:dyDescent="0.3">
      <c r="A94" s="25"/>
      <c r="B94" s="25"/>
      <c r="C94" s="25"/>
      <c r="D94" s="25"/>
      <c r="E94" s="25"/>
      <c r="F94" s="25"/>
      <c r="G94" s="25"/>
      <c r="H94" s="25"/>
      <c r="I94" s="25"/>
      <c r="J94" s="25"/>
    </row>
    <row r="95" spans="1:10" x14ac:dyDescent="0.25">
      <c r="A95" s="12" t="s">
        <v>15</v>
      </c>
      <c r="B95" s="24">
        <f>B85/D85</f>
        <v>0.34789644012944981</v>
      </c>
      <c r="C95" s="23">
        <f>C85/D85</f>
        <v>0.65210355987055013</v>
      </c>
      <c r="D95" s="5"/>
      <c r="E95" s="24">
        <f>E85/G85</f>
        <v>0.39268680445151033</v>
      </c>
      <c r="F95" s="23">
        <f>F85/G85</f>
        <v>0.60731319554848961</v>
      </c>
      <c r="G95" s="4"/>
      <c r="H95" s="24">
        <f>H85/J85</f>
        <v>0.35924285138944823</v>
      </c>
      <c r="I95" s="23">
        <f>I85/J85</f>
        <v>0.64075714861055177</v>
      </c>
      <c r="J95" s="7"/>
    </row>
    <row r="96" spans="1:10" x14ac:dyDescent="0.25">
      <c r="A96" s="12" t="s">
        <v>14</v>
      </c>
      <c r="B96" s="24">
        <f>B86/D86</f>
        <v>0.65495207667731625</v>
      </c>
      <c r="C96" s="23">
        <f>C86/D86</f>
        <v>0.34504792332268369</v>
      </c>
      <c r="D96" s="5"/>
      <c r="E96" s="24">
        <f>E86/G86</f>
        <v>0.61527165932452277</v>
      </c>
      <c r="F96" s="23">
        <f>F86/G86</f>
        <v>0.38472834067547723</v>
      </c>
      <c r="G96" s="4"/>
      <c r="H96" s="24">
        <f>H86/J86</f>
        <v>0.62776659959758552</v>
      </c>
      <c r="I96" s="23">
        <f>I86/J86</f>
        <v>0.37223340040241448</v>
      </c>
      <c r="J96" s="7"/>
    </row>
    <row r="97" spans="1:10" x14ac:dyDescent="0.25">
      <c r="A97" s="12" t="s">
        <v>155</v>
      </c>
      <c r="B97" s="24">
        <f>B87/D87</f>
        <v>0.53612716763005785</v>
      </c>
      <c r="C97" s="23">
        <f>C87/D87</f>
        <v>0.4638728323699422</v>
      </c>
      <c r="D97" s="5"/>
      <c r="E97" s="24">
        <f>E87/G87</f>
        <v>0.45327754532775455</v>
      </c>
      <c r="F97" s="23">
        <f>F87/G87</f>
        <v>0.54672245467224545</v>
      </c>
      <c r="G97" s="4"/>
      <c r="H97" s="24">
        <f>H87/J87</f>
        <v>0.49396735273243436</v>
      </c>
      <c r="I97" s="23">
        <f>I87/J87</f>
        <v>0.50603264726756569</v>
      </c>
      <c r="J97" s="7"/>
    </row>
    <row r="98" spans="1:10" x14ac:dyDescent="0.25">
      <c r="A98" s="12" t="s">
        <v>12</v>
      </c>
      <c r="B98" s="24">
        <f t="shared" ref="B98:B99" si="12">B88/D88</f>
        <v>0.83387622149837137</v>
      </c>
      <c r="C98" s="23">
        <f t="shared" ref="C98:C99" si="13">C88/D88</f>
        <v>0.16612377850162866</v>
      </c>
      <c r="D98" s="5"/>
      <c r="E98" s="24">
        <f t="shared" ref="E98:E99" si="14">E88/G88</f>
        <v>0.82341650671785027</v>
      </c>
      <c r="F98" s="23">
        <f t="shared" ref="F98:F99" si="15">F88/G88</f>
        <v>0.1765834932821497</v>
      </c>
      <c r="G98" s="4"/>
      <c r="H98" s="24">
        <f t="shared" ref="H98:H99" si="16">H88/J88</f>
        <v>0.83009708737864074</v>
      </c>
      <c r="I98" s="23">
        <f t="shared" ref="I98:I99" si="17">I88/J88</f>
        <v>0.16990291262135923</v>
      </c>
      <c r="J98" s="7"/>
    </row>
    <row r="99" spans="1:10" x14ac:dyDescent="0.25">
      <c r="A99" s="12" t="s">
        <v>1</v>
      </c>
      <c r="B99" s="24">
        <f t="shared" si="12"/>
        <v>0.43844492440604754</v>
      </c>
      <c r="C99" s="23">
        <f t="shared" si="13"/>
        <v>0.56155507559395246</v>
      </c>
      <c r="D99" s="5"/>
      <c r="E99" s="24">
        <f t="shared" si="14"/>
        <v>0.49554896142433236</v>
      </c>
      <c r="F99" s="23">
        <f t="shared" si="15"/>
        <v>0.50445103857566764</v>
      </c>
      <c r="G99" s="4"/>
      <c r="H99" s="24">
        <f t="shared" si="16"/>
        <v>0.46250000000000002</v>
      </c>
      <c r="I99" s="23">
        <f t="shared" si="17"/>
        <v>0.53749999999999998</v>
      </c>
      <c r="J99" s="7"/>
    </row>
    <row r="100" spans="1:10" x14ac:dyDescent="0.25">
      <c r="A100" s="12" t="s">
        <v>11</v>
      </c>
      <c r="B100" s="24">
        <f>B90/D90</f>
        <v>0.38169868554095043</v>
      </c>
      <c r="C100" s="23">
        <f>C90/D90</f>
        <v>0.61830131445904957</v>
      </c>
      <c r="D100" s="5"/>
      <c r="E100" s="24">
        <f>E90/G90</f>
        <v>0.38902147971360385</v>
      </c>
      <c r="F100" s="23">
        <f>F90/G90</f>
        <v>0.61097852028639621</v>
      </c>
      <c r="G100" s="4"/>
      <c r="H100" s="24">
        <f>H90/J90</f>
        <v>0.38387784090909088</v>
      </c>
      <c r="I100" s="23">
        <f>I90/J90</f>
        <v>0.61612215909090906</v>
      </c>
      <c r="J100" s="7"/>
    </row>
    <row r="101" spans="1:10" x14ac:dyDescent="0.25">
      <c r="A101" s="12" t="s">
        <v>10</v>
      </c>
      <c r="B101" s="24">
        <f>B91/D91</f>
        <v>0.66553133514986373</v>
      </c>
      <c r="C101" s="23">
        <f>C91/D91</f>
        <v>0.33446866485013627</v>
      </c>
      <c r="D101" s="5"/>
      <c r="E101" s="24">
        <f>E91/G91</f>
        <v>0.66413662239089188</v>
      </c>
      <c r="F101" s="23">
        <f>F91/G91</f>
        <v>0.33586337760910817</v>
      </c>
      <c r="G101" s="4"/>
      <c r="H101" s="24">
        <f>H91/J91</f>
        <v>0.6651629072681704</v>
      </c>
      <c r="I101" s="23">
        <f>I91/J91</f>
        <v>0.3348370927318296</v>
      </c>
      <c r="J101" s="7"/>
    </row>
    <row r="102" spans="1:10" ht="15.75" thickBot="1" x14ac:dyDescent="0.3">
      <c r="A102" s="13" t="s">
        <v>9</v>
      </c>
      <c r="B102" s="22">
        <f>B92/D92</f>
        <v>0.44061962134251292</v>
      </c>
      <c r="C102" s="21">
        <f>C92/D92</f>
        <v>0.55938037865748713</v>
      </c>
      <c r="D102" s="14"/>
      <c r="E102" s="22">
        <f>E92/G92</f>
        <v>0.47394957983193275</v>
      </c>
      <c r="F102" s="21">
        <f>F92/G92</f>
        <v>0.52605042016806725</v>
      </c>
      <c r="G102" s="11"/>
      <c r="H102" s="22">
        <f>H92/J92</f>
        <v>0.44910179640718562</v>
      </c>
      <c r="I102" s="21">
        <f>I92/J92</f>
        <v>0.55089820359281438</v>
      </c>
      <c r="J102" s="20"/>
    </row>
    <row r="103" spans="1:10" ht="16.5" thickTop="1" thickBot="1" x14ac:dyDescent="0.3">
      <c r="A103" s="8" t="s">
        <v>0</v>
      </c>
      <c r="B103" s="19">
        <f>B93/D93</f>
        <v>0.49745547073791346</v>
      </c>
      <c r="C103" s="19">
        <f>C93/D93</f>
        <v>0.50254452926208648</v>
      </c>
      <c r="D103" s="8"/>
      <c r="E103" s="19">
        <f>E93/G93</f>
        <v>0.5252837977296182</v>
      </c>
      <c r="F103" s="19">
        <f>F93/G93</f>
        <v>0.47471620227038186</v>
      </c>
      <c r="G103" s="8"/>
      <c r="H103" s="19">
        <f>H93/J93</f>
        <v>0.5068992085171955</v>
      </c>
      <c r="I103" s="19">
        <f>I93/J93</f>
        <v>0.4931007914828045</v>
      </c>
      <c r="J103" s="9"/>
    </row>
  </sheetData>
  <mergeCells count="8">
    <mergeCell ref="B83:D83"/>
    <mergeCell ref="E83:G83"/>
    <mergeCell ref="H83:J83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81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view="pageLayout" zoomScale="70" zoomScaleNormal="55" zoomScalePageLayoutView="70" workbookViewId="0">
      <selection activeCell="A78" sqref="A78:A79"/>
    </sheetView>
  </sheetViews>
  <sheetFormatPr defaultColWidth="9.140625" defaultRowHeight="15" x14ac:dyDescent="0.25"/>
  <cols>
    <col min="1" max="1" width="29.140625" customWidth="1"/>
    <col min="2" max="10" width="6.85546875" customWidth="1"/>
  </cols>
  <sheetData>
    <row r="1" spans="1:10" ht="18" x14ac:dyDescent="0.25">
      <c r="A1" s="1" t="s">
        <v>7</v>
      </c>
      <c r="B1" s="3"/>
    </row>
    <row r="2" spans="1:10" x14ac:dyDescent="0.25">
      <c r="A2" s="61" t="s">
        <v>8</v>
      </c>
      <c r="B2" s="61"/>
      <c r="C2" s="61"/>
      <c r="D2" s="61"/>
      <c r="E2" s="61"/>
      <c r="F2" s="61"/>
      <c r="G2" s="61"/>
      <c r="H2" s="61"/>
    </row>
    <row r="3" spans="1:10" x14ac:dyDescent="0.25">
      <c r="A3" s="18" t="str">
        <f ca="1">RIGHT(CELL("filename",A1),LEN(CELL("filename",A1))-FIND("]",CELL("filename",A1)))</f>
        <v>1995-96</v>
      </c>
      <c r="B3" s="18"/>
      <c r="C3" s="18"/>
      <c r="D3" s="18"/>
      <c r="E3" s="18"/>
      <c r="F3" s="18"/>
      <c r="G3" s="18"/>
      <c r="H3" s="18"/>
    </row>
    <row r="4" spans="1:10" x14ac:dyDescent="0.25">
      <c r="A4" s="2"/>
      <c r="B4" s="3"/>
    </row>
    <row r="5" spans="1:10" x14ac:dyDescent="0.25">
      <c r="A5" s="69" t="s">
        <v>2</v>
      </c>
      <c r="B5" s="69" t="s">
        <v>3</v>
      </c>
      <c r="C5" s="69"/>
      <c r="D5" s="69"/>
      <c r="E5" s="69" t="s">
        <v>4</v>
      </c>
      <c r="F5" s="69"/>
      <c r="G5" s="69"/>
      <c r="H5" s="69" t="s">
        <v>0</v>
      </c>
      <c r="I5" s="69"/>
      <c r="J5" s="69"/>
    </row>
    <row r="6" spans="1:10" x14ac:dyDescent="0.25">
      <c r="A6" s="69"/>
      <c r="B6" s="42" t="s">
        <v>5</v>
      </c>
      <c r="C6" s="42" t="s">
        <v>6</v>
      </c>
      <c r="D6" s="42" t="s">
        <v>0</v>
      </c>
      <c r="E6" s="42" t="s">
        <v>5</v>
      </c>
      <c r="F6" s="42" t="s">
        <v>6</v>
      </c>
      <c r="G6" s="42" t="s">
        <v>0</v>
      </c>
      <c r="H6" s="42" t="s">
        <v>5</v>
      </c>
      <c r="I6" s="42" t="s">
        <v>6</v>
      </c>
      <c r="J6" s="42" t="s">
        <v>0</v>
      </c>
    </row>
    <row r="7" spans="1:10" x14ac:dyDescent="0.25">
      <c r="A7" s="12" t="s">
        <v>107</v>
      </c>
      <c r="B7" s="39">
        <v>96</v>
      </c>
      <c r="C7" s="34">
        <v>129</v>
      </c>
      <c r="D7" s="35">
        <f>SUM(B7:C7)</f>
        <v>225</v>
      </c>
      <c r="E7" s="34">
        <v>71</v>
      </c>
      <c r="F7" s="34">
        <v>45</v>
      </c>
      <c r="G7" s="34">
        <f>SUM(E7:F7)</f>
        <v>116</v>
      </c>
      <c r="H7" s="39">
        <f>B7+E7</f>
        <v>167</v>
      </c>
      <c r="I7" s="34">
        <f>C7+F7</f>
        <v>174</v>
      </c>
      <c r="J7" s="35">
        <f>SUM(H7:I7)</f>
        <v>341</v>
      </c>
    </row>
    <row r="8" spans="1:10" x14ac:dyDescent="0.25">
      <c r="A8" s="12" t="s">
        <v>17</v>
      </c>
      <c r="B8" s="39">
        <v>57</v>
      </c>
      <c r="C8" s="34">
        <v>123</v>
      </c>
      <c r="D8" s="35">
        <f t="shared" ref="D8:D76" si="0">SUM(B8:C8)</f>
        <v>180</v>
      </c>
      <c r="E8" s="34">
        <v>33</v>
      </c>
      <c r="F8" s="34">
        <v>69</v>
      </c>
      <c r="G8" s="34">
        <f t="shared" ref="G8:G76" si="1">SUM(E8:F8)</f>
        <v>102</v>
      </c>
      <c r="H8" s="39">
        <f t="shared" ref="H8:I76" si="2">B8+E8</f>
        <v>90</v>
      </c>
      <c r="I8" s="34">
        <f t="shared" si="2"/>
        <v>192</v>
      </c>
      <c r="J8" s="35">
        <f t="shared" ref="J8:J76" si="3">SUM(H8:I8)</f>
        <v>282</v>
      </c>
    </row>
    <row r="9" spans="1:10" ht="30" customHeight="1" x14ac:dyDescent="0.25">
      <c r="A9" s="12" t="s">
        <v>18</v>
      </c>
      <c r="B9" s="39">
        <v>121</v>
      </c>
      <c r="C9" s="34">
        <v>204</v>
      </c>
      <c r="D9" s="35">
        <f t="shared" si="0"/>
        <v>325</v>
      </c>
      <c r="E9" s="34">
        <v>60</v>
      </c>
      <c r="F9" s="34">
        <v>84</v>
      </c>
      <c r="G9" s="34">
        <f t="shared" si="1"/>
        <v>144</v>
      </c>
      <c r="H9" s="39">
        <f t="shared" si="2"/>
        <v>181</v>
      </c>
      <c r="I9" s="34">
        <f t="shared" si="2"/>
        <v>288</v>
      </c>
      <c r="J9" s="35">
        <f t="shared" si="3"/>
        <v>469</v>
      </c>
    </row>
    <row r="10" spans="1:10" x14ac:dyDescent="0.25">
      <c r="A10" s="12" t="s">
        <v>19</v>
      </c>
      <c r="B10" s="39">
        <v>209</v>
      </c>
      <c r="C10" s="34">
        <v>91</v>
      </c>
      <c r="D10" s="35">
        <f t="shared" si="0"/>
        <v>300</v>
      </c>
      <c r="E10" s="34">
        <v>318</v>
      </c>
      <c r="F10" s="34">
        <v>195</v>
      </c>
      <c r="G10" s="34">
        <f t="shared" si="1"/>
        <v>513</v>
      </c>
      <c r="H10" s="39">
        <f t="shared" si="2"/>
        <v>527</v>
      </c>
      <c r="I10" s="34">
        <f t="shared" si="2"/>
        <v>286</v>
      </c>
      <c r="J10" s="35">
        <f t="shared" si="3"/>
        <v>813</v>
      </c>
    </row>
    <row r="11" spans="1:10" x14ac:dyDescent="0.25">
      <c r="A11" s="12" t="s">
        <v>108</v>
      </c>
      <c r="B11" s="39">
        <v>87</v>
      </c>
      <c r="C11" s="34">
        <v>53</v>
      </c>
      <c r="D11" s="35">
        <f t="shared" si="0"/>
        <v>140</v>
      </c>
      <c r="E11" s="34">
        <v>48</v>
      </c>
      <c r="F11" s="34">
        <v>46</v>
      </c>
      <c r="G11" s="34">
        <f t="shared" si="1"/>
        <v>94</v>
      </c>
      <c r="H11" s="39">
        <f t="shared" si="2"/>
        <v>135</v>
      </c>
      <c r="I11" s="34">
        <f t="shared" si="2"/>
        <v>99</v>
      </c>
      <c r="J11" s="35">
        <f t="shared" si="3"/>
        <v>234</v>
      </c>
    </row>
    <row r="12" spans="1:10" x14ac:dyDescent="0.25">
      <c r="A12" s="12" t="s">
        <v>109</v>
      </c>
      <c r="B12" s="39">
        <v>131</v>
      </c>
      <c r="C12" s="34">
        <v>172</v>
      </c>
      <c r="D12" s="35">
        <f t="shared" si="0"/>
        <v>303</v>
      </c>
      <c r="E12" s="34">
        <v>70</v>
      </c>
      <c r="F12" s="34">
        <v>72</v>
      </c>
      <c r="G12" s="34">
        <f t="shared" si="1"/>
        <v>142</v>
      </c>
      <c r="H12" s="39">
        <f t="shared" si="2"/>
        <v>201</v>
      </c>
      <c r="I12" s="34">
        <f t="shared" si="2"/>
        <v>244</v>
      </c>
      <c r="J12" s="35">
        <f t="shared" si="3"/>
        <v>445</v>
      </c>
    </row>
    <row r="13" spans="1:10" x14ac:dyDescent="0.25">
      <c r="A13" s="12" t="s">
        <v>181</v>
      </c>
      <c r="B13" s="39">
        <v>154</v>
      </c>
      <c r="C13" s="34">
        <v>49</v>
      </c>
      <c r="D13" s="35">
        <f t="shared" si="0"/>
        <v>203</v>
      </c>
      <c r="E13" s="34">
        <v>88</v>
      </c>
      <c r="F13" s="34">
        <v>37</v>
      </c>
      <c r="G13" s="34">
        <f t="shared" si="1"/>
        <v>125</v>
      </c>
      <c r="H13" s="39">
        <f t="shared" si="2"/>
        <v>242</v>
      </c>
      <c r="I13" s="34">
        <f t="shared" si="2"/>
        <v>86</v>
      </c>
      <c r="J13" s="35">
        <f t="shared" si="3"/>
        <v>328</v>
      </c>
    </row>
    <row r="14" spans="1:10" x14ac:dyDescent="0.25">
      <c r="A14" s="12" t="s">
        <v>31</v>
      </c>
      <c r="B14" s="39">
        <v>103</v>
      </c>
      <c r="C14" s="34">
        <v>76</v>
      </c>
      <c r="D14" s="35">
        <f t="shared" si="0"/>
        <v>179</v>
      </c>
      <c r="E14" s="34">
        <v>57</v>
      </c>
      <c r="F14" s="34">
        <v>29</v>
      </c>
      <c r="G14" s="34">
        <f t="shared" si="1"/>
        <v>86</v>
      </c>
      <c r="H14" s="39">
        <f t="shared" si="2"/>
        <v>160</v>
      </c>
      <c r="I14" s="34">
        <f t="shared" si="2"/>
        <v>105</v>
      </c>
      <c r="J14" s="35">
        <f t="shared" si="3"/>
        <v>265</v>
      </c>
    </row>
    <row r="15" spans="1:10" x14ac:dyDescent="0.25">
      <c r="A15" s="12" t="s">
        <v>132</v>
      </c>
      <c r="B15" s="39">
        <v>182</v>
      </c>
      <c r="C15" s="34">
        <v>37</v>
      </c>
      <c r="D15" s="35">
        <f t="shared" si="0"/>
        <v>219</v>
      </c>
      <c r="E15" s="34">
        <v>42</v>
      </c>
      <c r="F15" s="34">
        <v>7</v>
      </c>
      <c r="G15" s="34">
        <f t="shared" si="1"/>
        <v>49</v>
      </c>
      <c r="H15" s="39">
        <f t="shared" si="2"/>
        <v>224</v>
      </c>
      <c r="I15" s="34">
        <f t="shared" si="2"/>
        <v>44</v>
      </c>
      <c r="J15" s="35">
        <f t="shared" si="3"/>
        <v>268</v>
      </c>
    </row>
    <row r="16" spans="1:10" x14ac:dyDescent="0.25">
      <c r="A16" s="12" t="s">
        <v>33</v>
      </c>
      <c r="B16" s="39">
        <v>146</v>
      </c>
      <c r="C16" s="34">
        <v>29</v>
      </c>
      <c r="D16" s="35">
        <f t="shared" si="0"/>
        <v>175</v>
      </c>
      <c r="E16" s="34">
        <v>99</v>
      </c>
      <c r="F16" s="34">
        <v>23</v>
      </c>
      <c r="G16" s="34">
        <f t="shared" si="1"/>
        <v>122</v>
      </c>
      <c r="H16" s="39">
        <f t="shared" si="2"/>
        <v>245</v>
      </c>
      <c r="I16" s="34">
        <f t="shared" si="2"/>
        <v>52</v>
      </c>
      <c r="J16" s="35">
        <f t="shared" si="3"/>
        <v>297</v>
      </c>
    </row>
    <row r="17" spans="1:10" x14ac:dyDescent="0.25">
      <c r="A17" s="12" t="s">
        <v>34</v>
      </c>
      <c r="B17" s="39">
        <v>0</v>
      </c>
      <c r="C17" s="34">
        <v>0</v>
      </c>
      <c r="D17" s="35">
        <f t="shared" si="0"/>
        <v>0</v>
      </c>
      <c r="E17" s="34">
        <v>62</v>
      </c>
      <c r="F17" s="34">
        <v>44</v>
      </c>
      <c r="G17" s="34">
        <f t="shared" si="1"/>
        <v>106</v>
      </c>
      <c r="H17" s="39">
        <f t="shared" si="2"/>
        <v>62</v>
      </c>
      <c r="I17" s="34">
        <f t="shared" si="2"/>
        <v>44</v>
      </c>
      <c r="J17" s="35">
        <f t="shared" si="3"/>
        <v>106</v>
      </c>
    </row>
    <row r="18" spans="1:10" x14ac:dyDescent="0.25">
      <c r="A18" s="12" t="s">
        <v>35</v>
      </c>
      <c r="B18" s="39">
        <v>24</v>
      </c>
      <c r="C18" s="34">
        <v>33</v>
      </c>
      <c r="D18" s="35">
        <f t="shared" si="0"/>
        <v>57</v>
      </c>
      <c r="E18" s="34">
        <v>4</v>
      </c>
      <c r="F18" s="34">
        <v>4</v>
      </c>
      <c r="G18" s="34">
        <f t="shared" si="1"/>
        <v>8</v>
      </c>
      <c r="H18" s="39">
        <f t="shared" si="2"/>
        <v>28</v>
      </c>
      <c r="I18" s="34">
        <f t="shared" si="2"/>
        <v>37</v>
      </c>
      <c r="J18" s="35">
        <f t="shared" si="3"/>
        <v>65</v>
      </c>
    </row>
    <row r="19" spans="1:10" x14ac:dyDescent="0.25">
      <c r="A19" s="12" t="s">
        <v>37</v>
      </c>
      <c r="B19" s="39">
        <v>272</v>
      </c>
      <c r="C19" s="34">
        <v>149</v>
      </c>
      <c r="D19" s="35">
        <f t="shared" si="0"/>
        <v>421</v>
      </c>
      <c r="E19" s="34">
        <v>74</v>
      </c>
      <c r="F19" s="34">
        <v>44</v>
      </c>
      <c r="G19" s="34">
        <f t="shared" si="1"/>
        <v>118</v>
      </c>
      <c r="H19" s="39">
        <f t="shared" si="2"/>
        <v>346</v>
      </c>
      <c r="I19" s="34">
        <f t="shared" si="2"/>
        <v>193</v>
      </c>
      <c r="J19" s="35">
        <f t="shared" si="3"/>
        <v>539</v>
      </c>
    </row>
    <row r="20" spans="1:10" x14ac:dyDescent="0.25">
      <c r="A20" s="12" t="s">
        <v>38</v>
      </c>
      <c r="B20" s="39">
        <v>215</v>
      </c>
      <c r="C20" s="34">
        <v>31</v>
      </c>
      <c r="D20" s="35">
        <f t="shared" si="0"/>
        <v>246</v>
      </c>
      <c r="E20" s="34">
        <v>149</v>
      </c>
      <c r="F20" s="34">
        <v>22</v>
      </c>
      <c r="G20" s="34">
        <f t="shared" si="1"/>
        <v>171</v>
      </c>
      <c r="H20" s="39">
        <f t="shared" si="2"/>
        <v>364</v>
      </c>
      <c r="I20" s="34">
        <f t="shared" si="2"/>
        <v>53</v>
      </c>
      <c r="J20" s="35">
        <f t="shared" si="3"/>
        <v>417</v>
      </c>
    </row>
    <row r="21" spans="1:10" x14ac:dyDescent="0.25">
      <c r="A21" s="12" t="s">
        <v>41</v>
      </c>
      <c r="B21" s="39">
        <v>84</v>
      </c>
      <c r="C21" s="34">
        <v>182</v>
      </c>
      <c r="D21" s="35">
        <f t="shared" si="0"/>
        <v>266</v>
      </c>
      <c r="E21" s="34">
        <v>14</v>
      </c>
      <c r="F21" s="34">
        <v>29</v>
      </c>
      <c r="G21" s="34">
        <f t="shared" si="1"/>
        <v>43</v>
      </c>
      <c r="H21" s="39">
        <f t="shared" si="2"/>
        <v>98</v>
      </c>
      <c r="I21" s="34">
        <f t="shared" si="2"/>
        <v>211</v>
      </c>
      <c r="J21" s="35">
        <f t="shared" si="3"/>
        <v>309</v>
      </c>
    </row>
    <row r="22" spans="1:10" x14ac:dyDescent="0.25">
      <c r="A22" s="12" t="s">
        <v>44</v>
      </c>
      <c r="B22" s="39">
        <v>61</v>
      </c>
      <c r="C22" s="34">
        <v>92</v>
      </c>
      <c r="D22" s="35">
        <f t="shared" si="0"/>
        <v>153</v>
      </c>
      <c r="E22" s="34">
        <v>48</v>
      </c>
      <c r="F22" s="34">
        <v>67</v>
      </c>
      <c r="G22" s="34">
        <f t="shared" si="1"/>
        <v>115</v>
      </c>
      <c r="H22" s="39">
        <f t="shared" si="2"/>
        <v>109</v>
      </c>
      <c r="I22" s="34">
        <f t="shared" si="2"/>
        <v>159</v>
      </c>
      <c r="J22" s="35">
        <f t="shared" si="3"/>
        <v>268</v>
      </c>
    </row>
    <row r="23" spans="1:10" x14ac:dyDescent="0.25">
      <c r="A23" s="12" t="s">
        <v>45</v>
      </c>
      <c r="B23" s="39">
        <v>84</v>
      </c>
      <c r="C23" s="34">
        <v>157</v>
      </c>
      <c r="D23" s="35">
        <f t="shared" si="0"/>
        <v>241</v>
      </c>
      <c r="E23" s="34">
        <v>9</v>
      </c>
      <c r="F23" s="34">
        <v>12</v>
      </c>
      <c r="G23" s="34">
        <f t="shared" si="1"/>
        <v>21</v>
      </c>
      <c r="H23" s="39">
        <f t="shared" si="2"/>
        <v>93</v>
      </c>
      <c r="I23" s="34">
        <f t="shared" si="2"/>
        <v>169</v>
      </c>
      <c r="J23" s="35">
        <f t="shared" si="3"/>
        <v>262</v>
      </c>
    </row>
    <row r="24" spans="1:10" x14ac:dyDescent="0.25">
      <c r="A24" s="12" t="s">
        <v>47</v>
      </c>
      <c r="B24" s="39">
        <v>139</v>
      </c>
      <c r="C24" s="34">
        <v>140</v>
      </c>
      <c r="D24" s="35">
        <f t="shared" si="0"/>
        <v>279</v>
      </c>
      <c r="E24" s="34">
        <v>45</v>
      </c>
      <c r="F24" s="34">
        <v>27</v>
      </c>
      <c r="G24" s="34">
        <f t="shared" si="1"/>
        <v>72</v>
      </c>
      <c r="H24" s="39">
        <f t="shared" si="2"/>
        <v>184</v>
      </c>
      <c r="I24" s="34">
        <f t="shared" si="2"/>
        <v>167</v>
      </c>
      <c r="J24" s="35">
        <f t="shared" si="3"/>
        <v>351</v>
      </c>
    </row>
    <row r="25" spans="1:10" x14ac:dyDescent="0.25">
      <c r="A25" s="12" t="s">
        <v>159</v>
      </c>
      <c r="B25" s="39">
        <v>75</v>
      </c>
      <c r="C25" s="34">
        <v>52</v>
      </c>
      <c r="D25" s="35">
        <f t="shared" si="0"/>
        <v>127</v>
      </c>
      <c r="E25" s="34">
        <v>31</v>
      </c>
      <c r="F25" s="34">
        <v>23</v>
      </c>
      <c r="G25" s="34">
        <f t="shared" si="1"/>
        <v>54</v>
      </c>
      <c r="H25" s="39">
        <f t="shared" si="2"/>
        <v>106</v>
      </c>
      <c r="I25" s="34">
        <f t="shared" si="2"/>
        <v>75</v>
      </c>
      <c r="J25" s="35">
        <f t="shared" si="3"/>
        <v>181</v>
      </c>
    </row>
    <row r="26" spans="1:10" x14ac:dyDescent="0.25">
      <c r="A26" s="12" t="s">
        <v>48</v>
      </c>
      <c r="B26" s="39">
        <v>35</v>
      </c>
      <c r="C26" s="34">
        <v>80</v>
      </c>
      <c r="D26" s="35">
        <f t="shared" si="0"/>
        <v>115</v>
      </c>
      <c r="E26" s="34">
        <v>7</v>
      </c>
      <c r="F26" s="34">
        <v>11</v>
      </c>
      <c r="G26" s="34">
        <f t="shared" si="1"/>
        <v>18</v>
      </c>
      <c r="H26" s="39">
        <f t="shared" si="2"/>
        <v>42</v>
      </c>
      <c r="I26" s="34">
        <f t="shared" si="2"/>
        <v>91</v>
      </c>
      <c r="J26" s="35">
        <f t="shared" si="3"/>
        <v>133</v>
      </c>
    </row>
    <row r="27" spans="1:10" x14ac:dyDescent="0.25">
      <c r="A27" s="12" t="s">
        <v>49</v>
      </c>
      <c r="B27" s="39">
        <v>40</v>
      </c>
      <c r="C27" s="34">
        <v>73</v>
      </c>
      <c r="D27" s="35">
        <f t="shared" si="0"/>
        <v>113</v>
      </c>
      <c r="E27" s="34">
        <v>13</v>
      </c>
      <c r="F27" s="34">
        <v>16</v>
      </c>
      <c r="G27" s="34">
        <f t="shared" si="1"/>
        <v>29</v>
      </c>
      <c r="H27" s="39">
        <f t="shared" si="2"/>
        <v>53</v>
      </c>
      <c r="I27" s="34">
        <f t="shared" si="2"/>
        <v>89</v>
      </c>
      <c r="J27" s="35">
        <f t="shared" si="3"/>
        <v>142</v>
      </c>
    </row>
    <row r="28" spans="1:10" x14ac:dyDescent="0.25">
      <c r="A28" s="12" t="s">
        <v>50</v>
      </c>
      <c r="B28" s="39">
        <v>38</v>
      </c>
      <c r="C28" s="34">
        <v>56</v>
      </c>
      <c r="D28" s="35">
        <f t="shared" si="0"/>
        <v>94</v>
      </c>
      <c r="E28" s="34">
        <v>11</v>
      </c>
      <c r="F28" s="34">
        <v>17</v>
      </c>
      <c r="G28" s="34">
        <f t="shared" si="1"/>
        <v>28</v>
      </c>
      <c r="H28" s="39">
        <f t="shared" si="2"/>
        <v>49</v>
      </c>
      <c r="I28" s="34">
        <f t="shared" si="2"/>
        <v>73</v>
      </c>
      <c r="J28" s="35">
        <f t="shared" si="3"/>
        <v>122</v>
      </c>
    </row>
    <row r="29" spans="1:10" x14ac:dyDescent="0.25">
      <c r="A29" s="12" t="s">
        <v>160</v>
      </c>
      <c r="B29" s="39">
        <v>0</v>
      </c>
      <c r="C29" s="34">
        <v>0</v>
      </c>
      <c r="D29" s="35">
        <f t="shared" si="0"/>
        <v>0</v>
      </c>
      <c r="E29" s="34">
        <v>1</v>
      </c>
      <c r="F29" s="34">
        <v>2</v>
      </c>
      <c r="G29" s="34">
        <f t="shared" si="1"/>
        <v>3</v>
      </c>
      <c r="H29" s="39">
        <f t="shared" si="2"/>
        <v>1</v>
      </c>
      <c r="I29" s="34">
        <f t="shared" si="2"/>
        <v>2</v>
      </c>
      <c r="J29" s="35">
        <f t="shared" si="3"/>
        <v>3</v>
      </c>
    </row>
    <row r="30" spans="1:10" x14ac:dyDescent="0.25">
      <c r="A30" s="12" t="s">
        <v>51</v>
      </c>
      <c r="B30" s="39">
        <v>147</v>
      </c>
      <c r="C30" s="34">
        <v>200</v>
      </c>
      <c r="D30" s="35">
        <f t="shared" si="0"/>
        <v>347</v>
      </c>
      <c r="E30" s="34">
        <v>65</v>
      </c>
      <c r="F30" s="34">
        <v>49</v>
      </c>
      <c r="G30" s="34">
        <f t="shared" si="1"/>
        <v>114</v>
      </c>
      <c r="H30" s="39">
        <f t="shared" si="2"/>
        <v>212</v>
      </c>
      <c r="I30" s="34">
        <f t="shared" si="2"/>
        <v>249</v>
      </c>
      <c r="J30" s="35">
        <f t="shared" si="3"/>
        <v>461</v>
      </c>
    </row>
    <row r="31" spans="1:10" x14ac:dyDescent="0.25">
      <c r="A31" s="12" t="s">
        <v>52</v>
      </c>
      <c r="B31" s="39">
        <v>34</v>
      </c>
      <c r="C31" s="34">
        <v>129</v>
      </c>
      <c r="D31" s="35">
        <f t="shared" si="0"/>
        <v>163</v>
      </c>
      <c r="E31" s="34">
        <v>13</v>
      </c>
      <c r="F31" s="34">
        <v>26</v>
      </c>
      <c r="G31" s="34">
        <f t="shared" si="1"/>
        <v>39</v>
      </c>
      <c r="H31" s="39">
        <f t="shared" si="2"/>
        <v>47</v>
      </c>
      <c r="I31" s="34">
        <f t="shared" si="2"/>
        <v>155</v>
      </c>
      <c r="J31" s="35">
        <f t="shared" si="3"/>
        <v>202</v>
      </c>
    </row>
    <row r="32" spans="1:10" x14ac:dyDescent="0.25">
      <c r="A32" s="12" t="s">
        <v>110</v>
      </c>
      <c r="B32" s="39">
        <v>0</v>
      </c>
      <c r="C32" s="34">
        <v>2</v>
      </c>
      <c r="D32" s="35">
        <f t="shared" si="0"/>
        <v>2</v>
      </c>
      <c r="E32" s="34">
        <v>4</v>
      </c>
      <c r="F32" s="34">
        <v>69</v>
      </c>
      <c r="G32" s="34">
        <f t="shared" si="1"/>
        <v>73</v>
      </c>
      <c r="H32" s="39">
        <f t="shared" si="2"/>
        <v>4</v>
      </c>
      <c r="I32" s="34">
        <f t="shared" si="2"/>
        <v>71</v>
      </c>
      <c r="J32" s="35">
        <f t="shared" si="3"/>
        <v>75</v>
      </c>
    </row>
    <row r="33" spans="1:10" x14ac:dyDescent="0.25">
      <c r="A33" s="12" t="s">
        <v>55</v>
      </c>
      <c r="B33" s="39">
        <v>72</v>
      </c>
      <c r="C33" s="34">
        <v>210</v>
      </c>
      <c r="D33" s="35">
        <f t="shared" si="0"/>
        <v>282</v>
      </c>
      <c r="E33" s="34">
        <v>2</v>
      </c>
      <c r="F33" s="34">
        <v>10</v>
      </c>
      <c r="G33" s="34">
        <f t="shared" si="1"/>
        <v>12</v>
      </c>
      <c r="H33" s="39">
        <f t="shared" si="2"/>
        <v>74</v>
      </c>
      <c r="I33" s="34">
        <f t="shared" si="2"/>
        <v>220</v>
      </c>
      <c r="J33" s="35">
        <f t="shared" si="3"/>
        <v>294</v>
      </c>
    </row>
    <row r="34" spans="1:10" x14ac:dyDescent="0.25">
      <c r="A34" s="12" t="s">
        <v>1</v>
      </c>
      <c r="B34" s="39">
        <v>236</v>
      </c>
      <c r="C34" s="34">
        <v>254</v>
      </c>
      <c r="D34" s="35">
        <f t="shared" si="0"/>
        <v>490</v>
      </c>
      <c r="E34" s="34">
        <v>140</v>
      </c>
      <c r="F34" s="34">
        <v>127</v>
      </c>
      <c r="G34" s="34">
        <f t="shared" si="1"/>
        <v>267</v>
      </c>
      <c r="H34" s="39">
        <f t="shared" si="2"/>
        <v>376</v>
      </c>
      <c r="I34" s="34">
        <f t="shared" si="2"/>
        <v>381</v>
      </c>
      <c r="J34" s="35">
        <f t="shared" si="3"/>
        <v>757</v>
      </c>
    </row>
    <row r="35" spans="1:10" x14ac:dyDescent="0.25">
      <c r="A35" s="12" t="s">
        <v>102</v>
      </c>
      <c r="B35" s="39">
        <v>26</v>
      </c>
      <c r="C35" s="34">
        <v>21</v>
      </c>
      <c r="D35" s="35">
        <f t="shared" si="0"/>
        <v>47</v>
      </c>
      <c r="E35" s="34">
        <v>62</v>
      </c>
      <c r="F35" s="34">
        <v>107</v>
      </c>
      <c r="G35" s="34">
        <f t="shared" si="1"/>
        <v>169</v>
      </c>
      <c r="H35" s="39">
        <f t="shared" si="2"/>
        <v>88</v>
      </c>
      <c r="I35" s="34">
        <f t="shared" si="2"/>
        <v>128</v>
      </c>
      <c r="J35" s="35">
        <f t="shared" si="3"/>
        <v>216</v>
      </c>
    </row>
    <row r="36" spans="1:10" x14ac:dyDescent="0.25">
      <c r="A36" s="12" t="s">
        <v>59</v>
      </c>
      <c r="B36" s="39">
        <v>153</v>
      </c>
      <c r="C36" s="34">
        <v>111</v>
      </c>
      <c r="D36" s="35">
        <f t="shared" si="0"/>
        <v>264</v>
      </c>
      <c r="E36" s="34">
        <v>13</v>
      </c>
      <c r="F36" s="34">
        <v>4</v>
      </c>
      <c r="G36" s="34">
        <f t="shared" si="1"/>
        <v>17</v>
      </c>
      <c r="H36" s="39">
        <f t="shared" si="2"/>
        <v>166</v>
      </c>
      <c r="I36" s="34">
        <f t="shared" si="2"/>
        <v>115</v>
      </c>
      <c r="J36" s="35">
        <f t="shared" si="3"/>
        <v>281</v>
      </c>
    </row>
    <row r="37" spans="1:10" x14ac:dyDescent="0.25">
      <c r="A37" s="12" t="s">
        <v>60</v>
      </c>
      <c r="B37" s="39">
        <v>204</v>
      </c>
      <c r="C37" s="34">
        <v>22</v>
      </c>
      <c r="D37" s="35">
        <f t="shared" si="0"/>
        <v>226</v>
      </c>
      <c r="E37" s="34">
        <v>86</v>
      </c>
      <c r="F37" s="34">
        <v>7</v>
      </c>
      <c r="G37" s="34">
        <f t="shared" si="1"/>
        <v>93</v>
      </c>
      <c r="H37" s="39">
        <f t="shared" si="2"/>
        <v>290</v>
      </c>
      <c r="I37" s="34">
        <f t="shared" si="2"/>
        <v>29</v>
      </c>
      <c r="J37" s="35">
        <f t="shared" si="3"/>
        <v>319</v>
      </c>
    </row>
    <row r="38" spans="1:10" x14ac:dyDescent="0.25">
      <c r="A38" s="12" t="s">
        <v>61</v>
      </c>
      <c r="B38" s="39">
        <v>1</v>
      </c>
      <c r="C38" s="34">
        <v>0</v>
      </c>
      <c r="D38" s="35">
        <f t="shared" si="0"/>
        <v>1</v>
      </c>
      <c r="E38" s="34">
        <v>33</v>
      </c>
      <c r="F38" s="34">
        <v>16</v>
      </c>
      <c r="G38" s="34">
        <f t="shared" si="1"/>
        <v>49</v>
      </c>
      <c r="H38" s="39">
        <f t="shared" si="2"/>
        <v>34</v>
      </c>
      <c r="I38" s="34">
        <f t="shared" si="2"/>
        <v>16</v>
      </c>
      <c r="J38" s="35">
        <f t="shared" si="3"/>
        <v>50</v>
      </c>
    </row>
    <row r="39" spans="1:10" x14ac:dyDescent="0.25">
      <c r="A39" s="12" t="s">
        <v>156</v>
      </c>
      <c r="B39" s="39">
        <v>45</v>
      </c>
      <c r="C39" s="34">
        <v>109</v>
      </c>
      <c r="D39" s="35">
        <f t="shared" si="0"/>
        <v>154</v>
      </c>
      <c r="E39" s="34">
        <v>0</v>
      </c>
      <c r="F39" s="34">
        <v>0</v>
      </c>
      <c r="G39" s="34">
        <f t="shared" si="1"/>
        <v>0</v>
      </c>
      <c r="H39" s="39">
        <f t="shared" si="2"/>
        <v>45</v>
      </c>
      <c r="I39" s="34">
        <f t="shared" si="2"/>
        <v>109</v>
      </c>
      <c r="J39" s="35">
        <f t="shared" si="3"/>
        <v>154</v>
      </c>
    </row>
    <row r="40" spans="1:10" x14ac:dyDescent="0.25">
      <c r="A40" s="12" t="s">
        <v>112</v>
      </c>
      <c r="B40" s="39">
        <v>32</v>
      </c>
      <c r="C40" s="34">
        <v>47</v>
      </c>
      <c r="D40" s="35">
        <f t="shared" si="0"/>
        <v>79</v>
      </c>
      <c r="E40" s="34">
        <v>19</v>
      </c>
      <c r="F40" s="34">
        <v>18</v>
      </c>
      <c r="G40" s="34">
        <f t="shared" si="1"/>
        <v>37</v>
      </c>
      <c r="H40" s="39">
        <f t="shared" si="2"/>
        <v>51</v>
      </c>
      <c r="I40" s="34">
        <f t="shared" si="2"/>
        <v>65</v>
      </c>
      <c r="J40" s="35">
        <f t="shared" si="3"/>
        <v>116</v>
      </c>
    </row>
    <row r="41" spans="1:10" x14ac:dyDescent="0.25">
      <c r="A41" s="12" t="s">
        <v>64</v>
      </c>
      <c r="B41" s="39">
        <v>92</v>
      </c>
      <c r="C41" s="34">
        <v>64</v>
      </c>
      <c r="D41" s="35">
        <f t="shared" si="0"/>
        <v>156</v>
      </c>
      <c r="E41" s="34">
        <v>33</v>
      </c>
      <c r="F41" s="34">
        <v>24</v>
      </c>
      <c r="G41" s="34">
        <f t="shared" si="1"/>
        <v>57</v>
      </c>
      <c r="H41" s="39">
        <f t="shared" si="2"/>
        <v>125</v>
      </c>
      <c r="I41" s="34">
        <f t="shared" si="2"/>
        <v>88</v>
      </c>
      <c r="J41" s="35">
        <f t="shared" si="3"/>
        <v>213</v>
      </c>
    </row>
    <row r="42" spans="1:10" x14ac:dyDescent="0.25">
      <c r="A42" s="12" t="s">
        <v>113</v>
      </c>
      <c r="B42" s="39">
        <v>35</v>
      </c>
      <c r="C42" s="34">
        <v>241</v>
      </c>
      <c r="D42" s="35">
        <f t="shared" si="0"/>
        <v>276</v>
      </c>
      <c r="E42" s="34">
        <v>21</v>
      </c>
      <c r="F42" s="34">
        <v>30</v>
      </c>
      <c r="G42" s="34">
        <f t="shared" si="1"/>
        <v>51</v>
      </c>
      <c r="H42" s="39">
        <f t="shared" si="2"/>
        <v>56</v>
      </c>
      <c r="I42" s="34">
        <f t="shared" si="2"/>
        <v>271</v>
      </c>
      <c r="J42" s="35">
        <f t="shared" si="3"/>
        <v>327</v>
      </c>
    </row>
    <row r="43" spans="1:10" x14ac:dyDescent="0.25">
      <c r="A43" s="12" t="s">
        <v>185</v>
      </c>
      <c r="B43" s="39">
        <v>0</v>
      </c>
      <c r="C43" s="34">
        <v>0</v>
      </c>
      <c r="D43" s="35">
        <f t="shared" si="0"/>
        <v>0</v>
      </c>
      <c r="E43" s="34">
        <v>40</v>
      </c>
      <c r="F43" s="34">
        <v>6</v>
      </c>
      <c r="G43" s="34">
        <f t="shared" si="1"/>
        <v>46</v>
      </c>
      <c r="H43" s="39">
        <f t="shared" si="2"/>
        <v>40</v>
      </c>
      <c r="I43" s="34">
        <f t="shared" si="2"/>
        <v>6</v>
      </c>
      <c r="J43" s="35">
        <f t="shared" si="3"/>
        <v>46</v>
      </c>
    </row>
    <row r="44" spans="1:10" x14ac:dyDescent="0.25">
      <c r="A44" s="12" t="s">
        <v>65</v>
      </c>
      <c r="B44" s="39">
        <v>290</v>
      </c>
      <c r="C44" s="34">
        <v>91</v>
      </c>
      <c r="D44" s="35">
        <f t="shared" si="0"/>
        <v>381</v>
      </c>
      <c r="E44" s="34">
        <v>82</v>
      </c>
      <c r="F44" s="34">
        <v>25</v>
      </c>
      <c r="G44" s="34">
        <f t="shared" si="1"/>
        <v>107</v>
      </c>
      <c r="H44" s="39">
        <f t="shared" si="2"/>
        <v>372</v>
      </c>
      <c r="I44" s="34">
        <f t="shared" si="2"/>
        <v>116</v>
      </c>
      <c r="J44" s="35">
        <f t="shared" si="3"/>
        <v>488</v>
      </c>
    </row>
    <row r="45" spans="1:10" x14ac:dyDescent="0.25">
      <c r="A45" s="12" t="s">
        <v>114</v>
      </c>
      <c r="B45" s="39">
        <v>76</v>
      </c>
      <c r="C45" s="34">
        <v>125</v>
      </c>
      <c r="D45" s="35">
        <f t="shared" si="0"/>
        <v>201</v>
      </c>
      <c r="E45" s="34">
        <v>33</v>
      </c>
      <c r="F45" s="34">
        <v>52</v>
      </c>
      <c r="G45" s="34">
        <f t="shared" si="1"/>
        <v>85</v>
      </c>
      <c r="H45" s="39">
        <f t="shared" si="2"/>
        <v>109</v>
      </c>
      <c r="I45" s="34">
        <f t="shared" si="2"/>
        <v>177</v>
      </c>
      <c r="J45" s="35">
        <f t="shared" si="3"/>
        <v>286</v>
      </c>
    </row>
    <row r="46" spans="1:10" x14ac:dyDescent="0.25">
      <c r="A46" s="12" t="s">
        <v>115</v>
      </c>
      <c r="B46" s="39">
        <v>87</v>
      </c>
      <c r="C46" s="34">
        <v>245</v>
      </c>
      <c r="D46" s="35">
        <f t="shared" si="0"/>
        <v>332</v>
      </c>
      <c r="E46" s="34">
        <v>81</v>
      </c>
      <c r="F46" s="34">
        <v>160</v>
      </c>
      <c r="G46" s="34">
        <f t="shared" si="1"/>
        <v>241</v>
      </c>
      <c r="H46" s="39">
        <f t="shared" si="2"/>
        <v>168</v>
      </c>
      <c r="I46" s="34">
        <f t="shared" si="2"/>
        <v>405</v>
      </c>
      <c r="J46" s="35">
        <f t="shared" si="3"/>
        <v>573</v>
      </c>
    </row>
    <row r="47" spans="1:10" x14ac:dyDescent="0.25">
      <c r="A47" s="12" t="s">
        <v>68</v>
      </c>
      <c r="B47" s="39">
        <v>41</v>
      </c>
      <c r="C47" s="34">
        <v>55</v>
      </c>
      <c r="D47" s="35">
        <f t="shared" si="0"/>
        <v>96</v>
      </c>
      <c r="E47" s="34">
        <v>3</v>
      </c>
      <c r="F47" s="34">
        <v>3</v>
      </c>
      <c r="G47" s="34">
        <f t="shared" si="1"/>
        <v>6</v>
      </c>
      <c r="H47" s="39">
        <f t="shared" si="2"/>
        <v>44</v>
      </c>
      <c r="I47" s="34">
        <f t="shared" si="2"/>
        <v>58</v>
      </c>
      <c r="J47" s="35">
        <f t="shared" si="3"/>
        <v>102</v>
      </c>
    </row>
    <row r="48" spans="1:10" x14ac:dyDescent="0.25">
      <c r="A48" s="12" t="s">
        <v>71</v>
      </c>
      <c r="B48" s="39">
        <v>29</v>
      </c>
      <c r="C48" s="34">
        <v>26</v>
      </c>
      <c r="D48" s="35">
        <f t="shared" si="0"/>
        <v>55</v>
      </c>
      <c r="E48" s="34">
        <v>0</v>
      </c>
      <c r="F48" s="34">
        <v>0</v>
      </c>
      <c r="G48" s="34">
        <f t="shared" si="1"/>
        <v>0</v>
      </c>
      <c r="H48" s="39">
        <f t="shared" si="2"/>
        <v>29</v>
      </c>
      <c r="I48" s="34">
        <f t="shared" si="2"/>
        <v>26</v>
      </c>
      <c r="J48" s="35">
        <f t="shared" si="3"/>
        <v>55</v>
      </c>
    </row>
    <row r="49" spans="1:10" x14ac:dyDescent="0.25">
      <c r="A49" s="12" t="s">
        <v>72</v>
      </c>
      <c r="B49" s="39">
        <v>0</v>
      </c>
      <c r="C49" s="34">
        <v>0</v>
      </c>
      <c r="D49" s="35">
        <f t="shared" si="0"/>
        <v>0</v>
      </c>
      <c r="E49" s="34">
        <v>32</v>
      </c>
      <c r="F49" s="34">
        <v>7</v>
      </c>
      <c r="G49" s="34">
        <f t="shared" si="1"/>
        <v>39</v>
      </c>
      <c r="H49" s="39">
        <f t="shared" si="2"/>
        <v>32</v>
      </c>
      <c r="I49" s="34">
        <f t="shared" si="2"/>
        <v>7</v>
      </c>
      <c r="J49" s="35">
        <f t="shared" si="3"/>
        <v>39</v>
      </c>
    </row>
    <row r="50" spans="1:10" x14ac:dyDescent="0.25">
      <c r="A50" s="12" t="s">
        <v>73</v>
      </c>
      <c r="B50" s="39">
        <v>17</v>
      </c>
      <c r="C50" s="34">
        <v>56</v>
      </c>
      <c r="D50" s="35">
        <f t="shared" si="0"/>
        <v>73</v>
      </c>
      <c r="E50" s="34">
        <v>2</v>
      </c>
      <c r="F50" s="34">
        <v>5</v>
      </c>
      <c r="G50" s="34">
        <f t="shared" si="1"/>
        <v>7</v>
      </c>
      <c r="H50" s="39">
        <f t="shared" si="2"/>
        <v>19</v>
      </c>
      <c r="I50" s="34">
        <f t="shared" si="2"/>
        <v>61</v>
      </c>
      <c r="J50" s="35">
        <f t="shared" si="3"/>
        <v>80</v>
      </c>
    </row>
    <row r="51" spans="1:10" x14ac:dyDescent="0.25">
      <c r="A51" s="12" t="s">
        <v>74</v>
      </c>
      <c r="B51" s="39">
        <v>28</v>
      </c>
      <c r="C51" s="34">
        <v>25</v>
      </c>
      <c r="D51" s="35">
        <f t="shared" si="0"/>
        <v>53</v>
      </c>
      <c r="E51" s="34">
        <v>13</v>
      </c>
      <c r="F51" s="34">
        <v>12</v>
      </c>
      <c r="G51" s="34">
        <f t="shared" si="1"/>
        <v>25</v>
      </c>
      <c r="H51" s="39">
        <f t="shared" si="2"/>
        <v>41</v>
      </c>
      <c r="I51" s="34">
        <f t="shared" si="2"/>
        <v>37</v>
      </c>
      <c r="J51" s="35">
        <f t="shared" si="3"/>
        <v>78</v>
      </c>
    </row>
    <row r="52" spans="1:10" x14ac:dyDescent="0.25">
      <c r="A52" s="12" t="s">
        <v>179</v>
      </c>
      <c r="B52" s="39">
        <v>1</v>
      </c>
      <c r="C52" s="34">
        <v>0</v>
      </c>
      <c r="D52" s="35">
        <f t="shared" si="0"/>
        <v>1</v>
      </c>
      <c r="E52" s="34">
        <v>0</v>
      </c>
      <c r="F52" s="34">
        <v>0</v>
      </c>
      <c r="G52" s="34">
        <f t="shared" si="1"/>
        <v>0</v>
      </c>
      <c r="H52" s="39">
        <f t="shared" si="2"/>
        <v>1</v>
      </c>
      <c r="I52" s="34">
        <f t="shared" si="2"/>
        <v>0</v>
      </c>
      <c r="J52" s="35">
        <f t="shared" si="3"/>
        <v>1</v>
      </c>
    </row>
    <row r="53" spans="1:10" x14ac:dyDescent="0.25">
      <c r="A53" s="12" t="s">
        <v>151</v>
      </c>
      <c r="B53" s="39">
        <v>4</v>
      </c>
      <c r="C53" s="34">
        <v>5</v>
      </c>
      <c r="D53" s="35">
        <f t="shared" si="0"/>
        <v>9</v>
      </c>
      <c r="E53" s="34">
        <v>8</v>
      </c>
      <c r="F53" s="34">
        <v>12</v>
      </c>
      <c r="G53" s="34">
        <f t="shared" si="1"/>
        <v>20</v>
      </c>
      <c r="H53" s="39">
        <f t="shared" si="2"/>
        <v>12</v>
      </c>
      <c r="I53" s="34">
        <f t="shared" si="2"/>
        <v>17</v>
      </c>
      <c r="J53" s="35">
        <f t="shared" si="3"/>
        <v>29</v>
      </c>
    </row>
    <row r="54" spans="1:10" x14ac:dyDescent="0.25">
      <c r="A54" s="12" t="s">
        <v>103</v>
      </c>
      <c r="B54" s="39">
        <v>237</v>
      </c>
      <c r="C54" s="34">
        <v>197</v>
      </c>
      <c r="D54" s="35">
        <f t="shared" si="0"/>
        <v>434</v>
      </c>
      <c r="E54" s="34">
        <v>0</v>
      </c>
      <c r="F54" s="34">
        <v>0</v>
      </c>
      <c r="G54" s="34">
        <f t="shared" si="1"/>
        <v>0</v>
      </c>
      <c r="H54" s="39">
        <f t="shared" si="2"/>
        <v>237</v>
      </c>
      <c r="I54" s="34">
        <f t="shared" si="2"/>
        <v>197</v>
      </c>
      <c r="J54" s="35">
        <f t="shared" si="3"/>
        <v>434</v>
      </c>
    </row>
    <row r="55" spans="1:10" x14ac:dyDescent="0.25">
      <c r="A55" s="12" t="s">
        <v>104</v>
      </c>
      <c r="B55" s="39">
        <v>389</v>
      </c>
      <c r="C55" s="34">
        <v>290</v>
      </c>
      <c r="D55" s="35">
        <f t="shared" si="0"/>
        <v>679</v>
      </c>
      <c r="E55" s="34">
        <v>0</v>
      </c>
      <c r="F55" s="34">
        <v>0</v>
      </c>
      <c r="G55" s="34">
        <f t="shared" si="1"/>
        <v>0</v>
      </c>
      <c r="H55" s="39">
        <f t="shared" si="2"/>
        <v>389</v>
      </c>
      <c r="I55" s="34">
        <f t="shared" si="2"/>
        <v>290</v>
      </c>
      <c r="J55" s="35">
        <f t="shared" si="3"/>
        <v>679</v>
      </c>
    </row>
    <row r="56" spans="1:10" x14ac:dyDescent="0.25">
      <c r="A56" s="12" t="s">
        <v>169</v>
      </c>
      <c r="B56" s="39">
        <v>0</v>
      </c>
      <c r="C56" s="34">
        <v>0</v>
      </c>
      <c r="D56" s="35">
        <f t="shared" si="0"/>
        <v>0</v>
      </c>
      <c r="E56" s="34">
        <v>4</v>
      </c>
      <c r="F56" s="34">
        <v>3</v>
      </c>
      <c r="G56" s="34">
        <f t="shared" si="1"/>
        <v>7</v>
      </c>
      <c r="H56" s="39">
        <f t="shared" si="2"/>
        <v>4</v>
      </c>
      <c r="I56" s="34">
        <f t="shared" si="2"/>
        <v>3</v>
      </c>
      <c r="J56" s="35">
        <f t="shared" si="3"/>
        <v>7</v>
      </c>
    </row>
    <row r="57" spans="1:10" x14ac:dyDescent="0.25">
      <c r="A57" s="12" t="s">
        <v>118</v>
      </c>
      <c r="B57" s="39">
        <v>0</v>
      </c>
      <c r="C57" s="34">
        <v>0</v>
      </c>
      <c r="D57" s="35">
        <f t="shared" si="0"/>
        <v>0</v>
      </c>
      <c r="E57" s="34">
        <v>6</v>
      </c>
      <c r="F57" s="34">
        <v>12</v>
      </c>
      <c r="G57" s="34">
        <f t="shared" si="1"/>
        <v>18</v>
      </c>
      <c r="H57" s="39">
        <f t="shared" si="2"/>
        <v>6</v>
      </c>
      <c r="I57" s="34">
        <f t="shared" si="2"/>
        <v>12</v>
      </c>
      <c r="J57" s="35">
        <f t="shared" si="3"/>
        <v>18</v>
      </c>
    </row>
    <row r="58" spans="1:10" x14ac:dyDescent="0.25">
      <c r="A58" s="12" t="s">
        <v>120</v>
      </c>
      <c r="B58" s="39">
        <v>0</v>
      </c>
      <c r="C58" s="34">
        <v>0</v>
      </c>
      <c r="D58" s="35">
        <f t="shared" si="0"/>
        <v>0</v>
      </c>
      <c r="E58" s="34">
        <v>6</v>
      </c>
      <c r="F58" s="34">
        <v>8</v>
      </c>
      <c r="G58" s="34">
        <f t="shared" si="1"/>
        <v>14</v>
      </c>
      <c r="H58" s="39">
        <f t="shared" si="2"/>
        <v>6</v>
      </c>
      <c r="I58" s="34">
        <f t="shared" si="2"/>
        <v>8</v>
      </c>
      <c r="J58" s="35">
        <f t="shared" si="3"/>
        <v>14</v>
      </c>
    </row>
    <row r="59" spans="1:10" x14ac:dyDescent="0.25">
      <c r="A59" s="12" t="s">
        <v>152</v>
      </c>
      <c r="B59" s="39">
        <v>0</v>
      </c>
      <c r="C59" s="34">
        <v>0</v>
      </c>
      <c r="D59" s="35">
        <f t="shared" si="0"/>
        <v>0</v>
      </c>
      <c r="E59" s="34">
        <v>2</v>
      </c>
      <c r="F59" s="34">
        <v>1</v>
      </c>
      <c r="G59" s="34">
        <f t="shared" si="1"/>
        <v>3</v>
      </c>
      <c r="H59" s="39">
        <f t="shared" si="2"/>
        <v>2</v>
      </c>
      <c r="I59" s="34">
        <f t="shared" si="2"/>
        <v>1</v>
      </c>
      <c r="J59" s="35">
        <f t="shared" si="3"/>
        <v>3</v>
      </c>
    </row>
    <row r="60" spans="1:10" x14ac:dyDescent="0.25">
      <c r="A60" s="12" t="s">
        <v>171</v>
      </c>
      <c r="B60" s="39">
        <v>18</v>
      </c>
      <c r="C60" s="34">
        <v>16</v>
      </c>
      <c r="D60" s="35">
        <f t="shared" si="0"/>
        <v>34</v>
      </c>
      <c r="E60" s="34">
        <v>13</v>
      </c>
      <c r="F60" s="34">
        <v>11</v>
      </c>
      <c r="G60" s="34">
        <f t="shared" si="1"/>
        <v>24</v>
      </c>
      <c r="H60" s="39">
        <f t="shared" si="2"/>
        <v>31</v>
      </c>
      <c r="I60" s="34">
        <f t="shared" si="2"/>
        <v>27</v>
      </c>
      <c r="J60" s="35">
        <f t="shared" si="3"/>
        <v>58</v>
      </c>
    </row>
    <row r="61" spans="1:10" x14ac:dyDescent="0.25">
      <c r="A61" s="12" t="s">
        <v>164</v>
      </c>
      <c r="B61" s="39">
        <v>0</v>
      </c>
      <c r="C61" s="34">
        <v>0</v>
      </c>
      <c r="D61" s="35">
        <f t="shared" si="0"/>
        <v>0</v>
      </c>
      <c r="E61" s="34">
        <v>11</v>
      </c>
      <c r="F61" s="34">
        <v>30</v>
      </c>
      <c r="G61" s="34">
        <f t="shared" si="1"/>
        <v>41</v>
      </c>
      <c r="H61" s="39">
        <f t="shared" si="2"/>
        <v>11</v>
      </c>
      <c r="I61" s="34">
        <f t="shared" si="2"/>
        <v>30</v>
      </c>
      <c r="J61" s="35">
        <f t="shared" si="3"/>
        <v>41</v>
      </c>
    </row>
    <row r="62" spans="1:10" x14ac:dyDescent="0.25">
      <c r="A62" s="12" t="s">
        <v>123</v>
      </c>
      <c r="B62" s="39">
        <v>0</v>
      </c>
      <c r="C62" s="34">
        <v>0</v>
      </c>
      <c r="D62" s="35">
        <f t="shared" si="0"/>
        <v>0</v>
      </c>
      <c r="E62" s="34">
        <v>17</v>
      </c>
      <c r="F62" s="34">
        <v>15</v>
      </c>
      <c r="G62" s="34">
        <f t="shared" si="1"/>
        <v>32</v>
      </c>
      <c r="H62" s="39">
        <f t="shared" si="2"/>
        <v>17</v>
      </c>
      <c r="I62" s="34">
        <f t="shared" si="2"/>
        <v>15</v>
      </c>
      <c r="J62" s="35">
        <f t="shared" si="3"/>
        <v>32</v>
      </c>
    </row>
    <row r="63" spans="1:10" x14ac:dyDescent="0.25">
      <c r="A63" s="12" t="s">
        <v>180</v>
      </c>
      <c r="B63" s="39">
        <v>0</v>
      </c>
      <c r="C63" s="34">
        <v>0</v>
      </c>
      <c r="D63" s="35">
        <f t="shared" si="0"/>
        <v>0</v>
      </c>
      <c r="E63" s="34">
        <v>17</v>
      </c>
      <c r="F63" s="34">
        <v>30</v>
      </c>
      <c r="G63" s="34">
        <f t="shared" si="1"/>
        <v>47</v>
      </c>
      <c r="H63" s="39">
        <f t="shared" si="2"/>
        <v>17</v>
      </c>
      <c r="I63" s="34">
        <f t="shared" si="2"/>
        <v>30</v>
      </c>
      <c r="J63" s="35">
        <f t="shared" si="3"/>
        <v>47</v>
      </c>
    </row>
    <row r="64" spans="1:10" x14ac:dyDescent="0.25">
      <c r="A64" s="12" t="s">
        <v>183</v>
      </c>
      <c r="B64" s="39">
        <v>0</v>
      </c>
      <c r="C64" s="34">
        <v>0</v>
      </c>
      <c r="D64" s="35">
        <f t="shared" si="0"/>
        <v>0</v>
      </c>
      <c r="E64" s="34">
        <v>1</v>
      </c>
      <c r="F64" s="34">
        <v>1</v>
      </c>
      <c r="G64" s="34">
        <f t="shared" si="1"/>
        <v>2</v>
      </c>
      <c r="H64" s="39">
        <f t="shared" si="2"/>
        <v>1</v>
      </c>
      <c r="I64" s="34">
        <f t="shared" si="2"/>
        <v>1</v>
      </c>
      <c r="J64" s="35">
        <f t="shared" si="3"/>
        <v>2</v>
      </c>
    </row>
    <row r="65" spans="1:10" x14ac:dyDescent="0.25">
      <c r="A65" s="12" t="s">
        <v>125</v>
      </c>
      <c r="B65" s="39">
        <v>0</v>
      </c>
      <c r="C65" s="34">
        <v>0</v>
      </c>
      <c r="D65" s="35">
        <f t="shared" si="0"/>
        <v>0</v>
      </c>
      <c r="E65" s="34">
        <v>4</v>
      </c>
      <c r="F65" s="34">
        <v>3</v>
      </c>
      <c r="G65" s="34">
        <f t="shared" si="1"/>
        <v>7</v>
      </c>
      <c r="H65" s="39">
        <f t="shared" si="2"/>
        <v>4</v>
      </c>
      <c r="I65" s="34">
        <f t="shared" si="2"/>
        <v>3</v>
      </c>
      <c r="J65" s="35">
        <f t="shared" si="3"/>
        <v>7</v>
      </c>
    </row>
    <row r="66" spans="1:10" x14ac:dyDescent="0.25">
      <c r="A66" s="12" t="s">
        <v>126</v>
      </c>
      <c r="B66" s="39">
        <v>0</v>
      </c>
      <c r="C66" s="34">
        <v>0</v>
      </c>
      <c r="D66" s="35">
        <f t="shared" si="0"/>
        <v>0</v>
      </c>
      <c r="E66" s="34">
        <v>1</v>
      </c>
      <c r="F66" s="34">
        <v>3</v>
      </c>
      <c r="G66" s="34">
        <f t="shared" si="1"/>
        <v>4</v>
      </c>
      <c r="H66" s="39">
        <f t="shared" si="2"/>
        <v>1</v>
      </c>
      <c r="I66" s="34">
        <f t="shared" si="2"/>
        <v>3</v>
      </c>
      <c r="J66" s="35">
        <f t="shared" si="3"/>
        <v>4</v>
      </c>
    </row>
    <row r="67" spans="1:10" x14ac:dyDescent="0.25">
      <c r="A67" s="12" t="s">
        <v>127</v>
      </c>
      <c r="B67" s="39">
        <v>0</v>
      </c>
      <c r="C67" s="34">
        <v>0</v>
      </c>
      <c r="D67" s="35">
        <f t="shared" si="0"/>
        <v>0</v>
      </c>
      <c r="E67" s="34">
        <v>13</v>
      </c>
      <c r="F67" s="34">
        <v>14</v>
      </c>
      <c r="G67" s="34">
        <f t="shared" si="1"/>
        <v>27</v>
      </c>
      <c r="H67" s="39">
        <f t="shared" si="2"/>
        <v>13</v>
      </c>
      <c r="I67" s="34">
        <f t="shared" si="2"/>
        <v>14</v>
      </c>
      <c r="J67" s="35">
        <f t="shared" si="3"/>
        <v>27</v>
      </c>
    </row>
    <row r="68" spans="1:10" x14ac:dyDescent="0.25">
      <c r="A68" s="12" t="s">
        <v>148</v>
      </c>
      <c r="B68" s="39">
        <v>7</v>
      </c>
      <c r="C68" s="34">
        <v>4</v>
      </c>
      <c r="D68" s="35">
        <f t="shared" si="0"/>
        <v>11</v>
      </c>
      <c r="E68" s="34">
        <v>11</v>
      </c>
      <c r="F68" s="34">
        <v>5</v>
      </c>
      <c r="G68" s="34">
        <f t="shared" si="1"/>
        <v>16</v>
      </c>
      <c r="H68" s="39">
        <f t="shared" si="2"/>
        <v>18</v>
      </c>
      <c r="I68" s="34">
        <f t="shared" si="2"/>
        <v>9</v>
      </c>
      <c r="J68" s="35">
        <f t="shared" si="3"/>
        <v>27</v>
      </c>
    </row>
    <row r="69" spans="1:10" x14ac:dyDescent="0.25">
      <c r="A69" s="12" t="s">
        <v>174</v>
      </c>
      <c r="B69" s="39">
        <v>0</v>
      </c>
      <c r="C69" s="34">
        <v>0</v>
      </c>
      <c r="D69" s="35">
        <f t="shared" si="0"/>
        <v>0</v>
      </c>
      <c r="E69" s="34">
        <v>2</v>
      </c>
      <c r="F69" s="34">
        <v>2</v>
      </c>
      <c r="G69" s="34">
        <f t="shared" si="1"/>
        <v>4</v>
      </c>
      <c r="H69" s="39">
        <f t="shared" si="2"/>
        <v>2</v>
      </c>
      <c r="I69" s="34">
        <f t="shared" si="2"/>
        <v>2</v>
      </c>
      <c r="J69" s="35">
        <f t="shared" si="3"/>
        <v>4</v>
      </c>
    </row>
    <row r="70" spans="1:10" x14ac:dyDescent="0.25">
      <c r="A70" s="12" t="s">
        <v>186</v>
      </c>
      <c r="B70" s="39">
        <v>0</v>
      </c>
      <c r="C70" s="34">
        <v>0</v>
      </c>
      <c r="D70" s="35">
        <f t="shared" si="0"/>
        <v>0</v>
      </c>
      <c r="E70" s="34">
        <v>1</v>
      </c>
      <c r="F70" s="34">
        <v>1</v>
      </c>
      <c r="G70" s="34">
        <f t="shared" si="1"/>
        <v>2</v>
      </c>
      <c r="H70" s="39">
        <f t="shared" si="2"/>
        <v>1</v>
      </c>
      <c r="I70" s="34">
        <f t="shared" si="2"/>
        <v>1</v>
      </c>
      <c r="J70" s="35">
        <f t="shared" si="3"/>
        <v>2</v>
      </c>
    </row>
    <row r="71" spans="1:10" x14ac:dyDescent="0.25">
      <c r="A71" s="12" t="s">
        <v>176</v>
      </c>
      <c r="B71" s="39">
        <v>1</v>
      </c>
      <c r="C71" s="34">
        <v>0</v>
      </c>
      <c r="D71" s="35">
        <f t="shared" si="0"/>
        <v>1</v>
      </c>
      <c r="E71" s="34">
        <v>23</v>
      </c>
      <c r="F71" s="34">
        <v>28</v>
      </c>
      <c r="G71" s="34">
        <f t="shared" si="1"/>
        <v>51</v>
      </c>
      <c r="H71" s="39">
        <f t="shared" si="2"/>
        <v>24</v>
      </c>
      <c r="I71" s="34">
        <f t="shared" si="2"/>
        <v>28</v>
      </c>
      <c r="J71" s="35">
        <f t="shared" si="3"/>
        <v>52</v>
      </c>
    </row>
    <row r="72" spans="1:10" x14ac:dyDescent="0.25">
      <c r="A72" s="12" t="s">
        <v>154</v>
      </c>
      <c r="B72" s="39">
        <v>0</v>
      </c>
      <c r="C72" s="34">
        <v>0</v>
      </c>
      <c r="D72" s="35">
        <f t="shared" si="0"/>
        <v>0</v>
      </c>
      <c r="E72" s="34">
        <v>0</v>
      </c>
      <c r="F72" s="34">
        <v>2</v>
      </c>
      <c r="G72" s="34">
        <f t="shared" si="1"/>
        <v>2</v>
      </c>
      <c r="H72" s="39">
        <f t="shared" si="2"/>
        <v>0</v>
      </c>
      <c r="I72" s="34">
        <f t="shared" si="2"/>
        <v>2</v>
      </c>
      <c r="J72" s="35">
        <f t="shared" si="3"/>
        <v>2</v>
      </c>
    </row>
    <row r="73" spans="1:10" x14ac:dyDescent="0.25">
      <c r="A73" s="12" t="s">
        <v>131</v>
      </c>
      <c r="B73" s="39">
        <v>7</v>
      </c>
      <c r="C73" s="34">
        <v>2</v>
      </c>
      <c r="D73" s="35">
        <f t="shared" si="0"/>
        <v>9</v>
      </c>
      <c r="E73" s="34">
        <v>13</v>
      </c>
      <c r="F73" s="34">
        <v>7</v>
      </c>
      <c r="G73" s="34">
        <f t="shared" si="1"/>
        <v>20</v>
      </c>
      <c r="H73" s="39">
        <f t="shared" si="2"/>
        <v>20</v>
      </c>
      <c r="I73" s="34">
        <f t="shared" si="2"/>
        <v>9</v>
      </c>
      <c r="J73" s="35">
        <f t="shared" si="3"/>
        <v>29</v>
      </c>
    </row>
    <row r="74" spans="1:10" x14ac:dyDescent="0.25">
      <c r="A74" s="12" t="s">
        <v>167</v>
      </c>
      <c r="B74" s="39">
        <v>0</v>
      </c>
      <c r="C74" s="34">
        <v>0</v>
      </c>
      <c r="D74" s="35">
        <f t="shared" si="0"/>
        <v>0</v>
      </c>
      <c r="E74" s="34">
        <v>35</v>
      </c>
      <c r="F74" s="34">
        <v>6</v>
      </c>
      <c r="G74" s="34">
        <f t="shared" si="1"/>
        <v>41</v>
      </c>
      <c r="H74" s="39">
        <f t="shared" si="2"/>
        <v>35</v>
      </c>
      <c r="I74" s="34">
        <f t="shared" si="2"/>
        <v>6</v>
      </c>
      <c r="J74" s="35">
        <f t="shared" si="3"/>
        <v>41</v>
      </c>
    </row>
    <row r="75" spans="1:10" x14ac:dyDescent="0.25">
      <c r="A75" s="12" t="s">
        <v>158</v>
      </c>
      <c r="B75" s="39">
        <v>0</v>
      </c>
      <c r="C75" s="34">
        <v>0</v>
      </c>
      <c r="D75" s="35">
        <f t="shared" si="0"/>
        <v>0</v>
      </c>
      <c r="E75" s="34">
        <v>4</v>
      </c>
      <c r="F75" s="34">
        <v>3</v>
      </c>
      <c r="G75" s="34">
        <f t="shared" si="1"/>
        <v>7</v>
      </c>
      <c r="H75" s="39">
        <f t="shared" si="2"/>
        <v>4</v>
      </c>
      <c r="I75" s="34">
        <f t="shared" si="2"/>
        <v>3</v>
      </c>
      <c r="J75" s="35">
        <f t="shared" si="3"/>
        <v>7</v>
      </c>
    </row>
    <row r="76" spans="1:10" ht="15.75" thickBot="1" x14ac:dyDescent="0.3">
      <c r="A76" s="13" t="s">
        <v>87</v>
      </c>
      <c r="B76" s="43">
        <v>0</v>
      </c>
      <c r="C76" s="44">
        <v>0</v>
      </c>
      <c r="D76" s="45">
        <f t="shared" si="0"/>
        <v>0</v>
      </c>
      <c r="E76" s="44">
        <v>39</v>
      </c>
      <c r="F76" s="44">
        <v>29</v>
      </c>
      <c r="G76" s="44">
        <f t="shared" si="1"/>
        <v>68</v>
      </c>
      <c r="H76" s="43">
        <f t="shared" si="2"/>
        <v>39</v>
      </c>
      <c r="I76" s="44">
        <f t="shared" si="2"/>
        <v>29</v>
      </c>
      <c r="J76" s="45">
        <f t="shared" si="3"/>
        <v>68</v>
      </c>
    </row>
    <row r="77" spans="1:10" ht="16.5" thickTop="1" thickBot="1" x14ac:dyDescent="0.3">
      <c r="A77" s="8" t="s">
        <v>0</v>
      </c>
      <c r="B77" s="8">
        <f>SUM(B7:B76)</f>
        <v>4662</v>
      </c>
      <c r="C77" s="36">
        <f>SUM(C7:C76)</f>
        <v>4555</v>
      </c>
      <c r="D77" s="40">
        <f>SUM(D7:D76)</f>
        <v>9217</v>
      </c>
      <c r="E77" s="36">
        <f>SUM(E7:E76)</f>
        <v>2362</v>
      </c>
      <c r="F77" s="36">
        <f>SUM(F7:F76)</f>
        <v>1908</v>
      </c>
      <c r="G77" s="37">
        <f t="shared" ref="G77" si="4">SUM(E77:F77)</f>
        <v>4270</v>
      </c>
      <c r="H77" s="41">
        <f t="shared" ref="H77:I77" si="5">B77+E77</f>
        <v>7024</v>
      </c>
      <c r="I77" s="37">
        <f t="shared" si="5"/>
        <v>6463</v>
      </c>
      <c r="J77" s="38">
        <f t="shared" ref="J77" si="6">SUM(H77:I77)</f>
        <v>13487</v>
      </c>
    </row>
    <row r="78" spans="1:10" ht="15.75" thickBot="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</row>
    <row r="79" spans="1:10" x14ac:dyDescent="0.25">
      <c r="A79" s="16" t="s">
        <v>16</v>
      </c>
      <c r="B79" s="58" t="s">
        <v>3</v>
      </c>
      <c r="C79" s="59"/>
      <c r="D79" s="60"/>
      <c r="E79" s="58" t="s">
        <v>4</v>
      </c>
      <c r="F79" s="59"/>
      <c r="G79" s="60"/>
      <c r="H79" s="58" t="s">
        <v>0</v>
      </c>
      <c r="I79" s="59"/>
      <c r="J79" s="60"/>
    </row>
    <row r="80" spans="1:10" x14ac:dyDescent="0.25">
      <c r="A80" s="17"/>
      <c r="B80" s="32" t="s">
        <v>5</v>
      </c>
      <c r="C80" s="31" t="s">
        <v>6</v>
      </c>
      <c r="D80" s="33" t="s">
        <v>0</v>
      </c>
      <c r="E80" s="32" t="s">
        <v>5</v>
      </c>
      <c r="F80" s="31" t="s">
        <v>6</v>
      </c>
      <c r="G80" s="33" t="s">
        <v>0</v>
      </c>
      <c r="H80" s="32" t="s">
        <v>5</v>
      </c>
      <c r="I80" s="31" t="s">
        <v>6</v>
      </c>
      <c r="J80" s="30" t="s">
        <v>0</v>
      </c>
    </row>
    <row r="81" spans="1:10" x14ac:dyDescent="0.25">
      <c r="A81" s="29" t="s">
        <v>15</v>
      </c>
      <c r="B81" s="6">
        <v>666</v>
      </c>
      <c r="C81" s="4">
        <v>1241</v>
      </c>
      <c r="D81" s="5">
        <f t="shared" ref="D81:D88" si="7">B81+C81</f>
        <v>1907</v>
      </c>
      <c r="E81" s="6">
        <v>232</v>
      </c>
      <c r="F81" s="4">
        <v>329</v>
      </c>
      <c r="G81" s="4">
        <f t="shared" ref="G81:G88" si="8">E81+F81</f>
        <v>561</v>
      </c>
      <c r="H81" s="6">
        <f>B81+E81</f>
        <v>898</v>
      </c>
      <c r="I81" s="4">
        <f>C81+F81</f>
        <v>1570</v>
      </c>
      <c r="J81" s="7">
        <f t="shared" ref="J81:J88" si="9">H81+I81</f>
        <v>2468</v>
      </c>
    </row>
    <row r="82" spans="1:10" x14ac:dyDescent="0.25">
      <c r="A82" s="29" t="s">
        <v>14</v>
      </c>
      <c r="B82" s="6">
        <v>209</v>
      </c>
      <c r="C82" s="4">
        <v>91</v>
      </c>
      <c r="D82" s="5">
        <f t="shared" si="7"/>
        <v>300</v>
      </c>
      <c r="E82" s="6">
        <v>380</v>
      </c>
      <c r="F82" s="4">
        <v>239</v>
      </c>
      <c r="G82" s="4">
        <f t="shared" si="8"/>
        <v>619</v>
      </c>
      <c r="H82" s="6">
        <f t="shared" ref="H82:I88" si="10">B82+E82</f>
        <v>589</v>
      </c>
      <c r="I82" s="4">
        <f t="shared" si="10"/>
        <v>330</v>
      </c>
      <c r="J82" s="7">
        <f t="shared" si="9"/>
        <v>919</v>
      </c>
    </row>
    <row r="83" spans="1:10" x14ac:dyDescent="0.25">
      <c r="A83" s="29" t="s">
        <v>155</v>
      </c>
      <c r="B83" s="6">
        <v>389</v>
      </c>
      <c r="C83" s="4">
        <v>290</v>
      </c>
      <c r="D83" s="5">
        <f t="shared" si="7"/>
        <v>679</v>
      </c>
      <c r="E83" s="6">
        <v>217</v>
      </c>
      <c r="F83" s="4">
        <v>188</v>
      </c>
      <c r="G83" s="4">
        <f t="shared" si="8"/>
        <v>405</v>
      </c>
      <c r="H83" s="6">
        <f t="shared" si="10"/>
        <v>606</v>
      </c>
      <c r="I83" s="4">
        <f t="shared" si="10"/>
        <v>478</v>
      </c>
      <c r="J83" s="7">
        <f t="shared" si="9"/>
        <v>1084</v>
      </c>
    </row>
    <row r="84" spans="1:10" x14ac:dyDescent="0.25">
      <c r="A84" s="29" t="s">
        <v>12</v>
      </c>
      <c r="B84" s="6">
        <v>755</v>
      </c>
      <c r="C84" s="4">
        <v>139</v>
      </c>
      <c r="D84" s="5">
        <f t="shared" si="7"/>
        <v>894</v>
      </c>
      <c r="E84" s="6">
        <v>403</v>
      </c>
      <c r="F84" s="4">
        <v>79</v>
      </c>
      <c r="G84" s="4">
        <f t="shared" si="8"/>
        <v>482</v>
      </c>
      <c r="H84" s="6">
        <f t="shared" si="10"/>
        <v>1158</v>
      </c>
      <c r="I84" s="4">
        <f t="shared" si="10"/>
        <v>218</v>
      </c>
      <c r="J84" s="7">
        <f t="shared" si="9"/>
        <v>1376</v>
      </c>
    </row>
    <row r="85" spans="1:10" x14ac:dyDescent="0.25">
      <c r="A85" s="29" t="s">
        <v>1</v>
      </c>
      <c r="B85" s="6">
        <v>236</v>
      </c>
      <c r="C85" s="4">
        <v>254</v>
      </c>
      <c r="D85" s="5">
        <f t="shared" si="7"/>
        <v>490</v>
      </c>
      <c r="E85" s="6">
        <v>140</v>
      </c>
      <c r="F85" s="4">
        <v>127</v>
      </c>
      <c r="G85" s="4">
        <f t="shared" si="8"/>
        <v>267</v>
      </c>
      <c r="H85" s="6">
        <f t="shared" si="10"/>
        <v>376</v>
      </c>
      <c r="I85" s="4">
        <f t="shared" si="10"/>
        <v>381</v>
      </c>
      <c r="J85" s="7">
        <f t="shared" si="9"/>
        <v>757</v>
      </c>
    </row>
    <row r="86" spans="1:10" x14ac:dyDescent="0.25">
      <c r="A86" s="29" t="s">
        <v>11</v>
      </c>
      <c r="B86" s="6">
        <v>791</v>
      </c>
      <c r="C86" s="4">
        <v>1171</v>
      </c>
      <c r="D86" s="5">
        <f t="shared" si="7"/>
        <v>1962</v>
      </c>
      <c r="E86" s="6">
        <v>332</v>
      </c>
      <c r="F86" s="4">
        <v>489</v>
      </c>
      <c r="G86" s="4">
        <f t="shared" si="8"/>
        <v>821</v>
      </c>
      <c r="H86" s="6">
        <f t="shared" si="10"/>
        <v>1123</v>
      </c>
      <c r="I86" s="4">
        <f t="shared" si="10"/>
        <v>1660</v>
      </c>
      <c r="J86" s="7">
        <f t="shared" si="9"/>
        <v>2783</v>
      </c>
    </row>
    <row r="87" spans="1:10" x14ac:dyDescent="0.25">
      <c r="A87" s="29" t="s">
        <v>10</v>
      </c>
      <c r="B87" s="6">
        <v>916</v>
      </c>
      <c r="C87" s="4">
        <v>481</v>
      </c>
      <c r="D87" s="5">
        <f t="shared" si="7"/>
        <v>1397</v>
      </c>
      <c r="E87" s="6">
        <v>408</v>
      </c>
      <c r="F87" s="4">
        <v>181</v>
      </c>
      <c r="G87" s="4">
        <f t="shared" si="8"/>
        <v>589</v>
      </c>
      <c r="H87" s="6">
        <f t="shared" si="10"/>
        <v>1324</v>
      </c>
      <c r="I87" s="4">
        <f t="shared" si="10"/>
        <v>662</v>
      </c>
      <c r="J87" s="7">
        <f t="shared" si="9"/>
        <v>1986</v>
      </c>
    </row>
    <row r="88" spans="1:10" ht="15.75" thickBot="1" x14ac:dyDescent="0.3">
      <c r="A88" s="28" t="s">
        <v>9</v>
      </c>
      <c r="B88" s="10">
        <v>700</v>
      </c>
      <c r="C88" s="27">
        <v>888</v>
      </c>
      <c r="D88" s="14">
        <f t="shared" si="7"/>
        <v>1588</v>
      </c>
      <c r="E88" s="10">
        <v>250</v>
      </c>
      <c r="F88" s="11">
        <v>276</v>
      </c>
      <c r="G88" s="11">
        <f t="shared" si="8"/>
        <v>526</v>
      </c>
      <c r="H88" s="10">
        <f t="shared" si="10"/>
        <v>950</v>
      </c>
      <c r="I88" s="11">
        <f t="shared" si="10"/>
        <v>1164</v>
      </c>
      <c r="J88" s="26">
        <f t="shared" si="9"/>
        <v>2114</v>
      </c>
    </row>
    <row r="89" spans="1:10" ht="16.5" thickTop="1" thickBot="1" x14ac:dyDescent="0.3">
      <c r="A89" s="9" t="s">
        <v>0</v>
      </c>
      <c r="B89" s="8">
        <f t="shared" ref="B89:J89" si="11">SUM(B81:B88)</f>
        <v>4662</v>
      </c>
      <c r="C89" s="8">
        <f t="shared" si="11"/>
        <v>4555</v>
      </c>
      <c r="D89" s="8">
        <f t="shared" si="11"/>
        <v>9217</v>
      </c>
      <c r="E89" s="8">
        <f t="shared" si="11"/>
        <v>2362</v>
      </c>
      <c r="F89" s="8">
        <f t="shared" si="11"/>
        <v>1908</v>
      </c>
      <c r="G89" s="8">
        <f t="shared" si="11"/>
        <v>4270</v>
      </c>
      <c r="H89" s="8">
        <f t="shared" si="11"/>
        <v>7024</v>
      </c>
      <c r="I89" s="8">
        <f t="shared" si="11"/>
        <v>6463</v>
      </c>
      <c r="J89" s="9">
        <f t="shared" si="11"/>
        <v>13487</v>
      </c>
    </row>
    <row r="90" spans="1:10" ht="15.75" thickBot="1" x14ac:dyDescent="0.3">
      <c r="A90" s="25"/>
      <c r="B90" s="25"/>
      <c r="C90" s="25"/>
      <c r="D90" s="25"/>
      <c r="E90" s="25"/>
      <c r="F90" s="25"/>
      <c r="G90" s="25"/>
      <c r="H90" s="25"/>
      <c r="I90" s="25"/>
      <c r="J90" s="25"/>
    </row>
    <row r="91" spans="1:10" x14ac:dyDescent="0.25">
      <c r="A91" s="12" t="s">
        <v>15</v>
      </c>
      <c r="B91" s="24">
        <f>B81/D81</f>
        <v>0.34923964341898267</v>
      </c>
      <c r="C91" s="23">
        <f>C81/D81</f>
        <v>0.65076035658101727</v>
      </c>
      <c r="D91" s="5"/>
      <c r="E91" s="24">
        <f>E81/G81</f>
        <v>0.41354723707664887</v>
      </c>
      <c r="F91" s="23">
        <f>F81/G81</f>
        <v>0.58645276292335113</v>
      </c>
      <c r="G91" s="4"/>
      <c r="H91" s="24">
        <f>H81/J81</f>
        <v>0.36385737439222043</v>
      </c>
      <c r="I91" s="23">
        <f>I81/J81</f>
        <v>0.63614262560777957</v>
      </c>
      <c r="J91" s="7"/>
    </row>
    <row r="92" spans="1:10" x14ac:dyDescent="0.25">
      <c r="A92" s="12" t="s">
        <v>14</v>
      </c>
      <c r="B92" s="24">
        <f>B82/D82</f>
        <v>0.69666666666666666</v>
      </c>
      <c r="C92" s="23">
        <f>C82/D82</f>
        <v>0.30333333333333334</v>
      </c>
      <c r="D92" s="5"/>
      <c r="E92" s="24">
        <f>E82/G82</f>
        <v>0.61389337641357022</v>
      </c>
      <c r="F92" s="23">
        <f>F82/G82</f>
        <v>0.38610662358642972</v>
      </c>
      <c r="G92" s="4"/>
      <c r="H92" s="24">
        <f>H82/J82</f>
        <v>0.64091403699673555</v>
      </c>
      <c r="I92" s="23">
        <f>I82/J82</f>
        <v>0.3590859630032644</v>
      </c>
      <c r="J92" s="7"/>
    </row>
    <row r="93" spans="1:10" x14ac:dyDescent="0.25">
      <c r="A93" s="12" t="s">
        <v>155</v>
      </c>
      <c r="B93" s="24">
        <f>B83/D83</f>
        <v>0.57290132547864503</v>
      </c>
      <c r="C93" s="23">
        <f>C83/D83</f>
        <v>0.42709867452135492</v>
      </c>
      <c r="D93" s="5"/>
      <c r="E93" s="24">
        <f>E83/G83</f>
        <v>0.53580246913580243</v>
      </c>
      <c r="F93" s="23">
        <f>F83/G83</f>
        <v>0.46419753086419752</v>
      </c>
      <c r="G93" s="4"/>
      <c r="H93" s="24">
        <f>H83/J83</f>
        <v>0.55904059040590404</v>
      </c>
      <c r="I93" s="23">
        <f>I83/J83</f>
        <v>0.44095940959409596</v>
      </c>
      <c r="J93" s="7"/>
    </row>
    <row r="94" spans="1:10" x14ac:dyDescent="0.25">
      <c r="A94" s="12" t="s">
        <v>12</v>
      </c>
      <c r="B94" s="24">
        <f t="shared" ref="B94:B95" si="12">B84/D84</f>
        <v>0.84451901565995524</v>
      </c>
      <c r="C94" s="23">
        <f t="shared" ref="C94:C95" si="13">C84/D84</f>
        <v>0.15548098434004473</v>
      </c>
      <c r="D94" s="5"/>
      <c r="E94" s="24">
        <f t="shared" ref="E94:E95" si="14">E84/G84</f>
        <v>0.83609958506224069</v>
      </c>
      <c r="F94" s="23">
        <f t="shared" ref="F94:F95" si="15">F84/G84</f>
        <v>0.16390041493775934</v>
      </c>
      <c r="G94" s="4"/>
      <c r="H94" s="24">
        <f t="shared" ref="H94:H95" si="16">H84/J84</f>
        <v>0.84156976744186052</v>
      </c>
      <c r="I94" s="23">
        <f t="shared" ref="I94:I95" si="17">I84/J84</f>
        <v>0.15843023255813954</v>
      </c>
      <c r="J94" s="7"/>
    </row>
    <row r="95" spans="1:10" x14ac:dyDescent="0.25">
      <c r="A95" s="12" t="s">
        <v>1</v>
      </c>
      <c r="B95" s="24">
        <f t="shared" si="12"/>
        <v>0.48163265306122449</v>
      </c>
      <c r="C95" s="23">
        <f t="shared" si="13"/>
        <v>0.51836734693877551</v>
      </c>
      <c r="D95" s="5"/>
      <c r="E95" s="24">
        <f t="shared" si="14"/>
        <v>0.52434456928838946</v>
      </c>
      <c r="F95" s="23">
        <f t="shared" si="15"/>
        <v>0.47565543071161048</v>
      </c>
      <c r="G95" s="4"/>
      <c r="H95" s="24">
        <f t="shared" si="16"/>
        <v>0.49669749009247027</v>
      </c>
      <c r="I95" s="23">
        <f t="shared" si="17"/>
        <v>0.50330250990752967</v>
      </c>
      <c r="J95" s="7"/>
    </row>
    <row r="96" spans="1:10" x14ac:dyDescent="0.25">
      <c r="A96" s="12" t="s">
        <v>11</v>
      </c>
      <c r="B96" s="24">
        <f>B86/D86</f>
        <v>0.40316004077471967</v>
      </c>
      <c r="C96" s="23">
        <f>C86/D86</f>
        <v>0.59683995922528033</v>
      </c>
      <c r="D96" s="5"/>
      <c r="E96" s="24">
        <f>E86/G86</f>
        <v>0.4043848964677223</v>
      </c>
      <c r="F96" s="23">
        <f>F86/G86</f>
        <v>0.59561510353227776</v>
      </c>
      <c r="G96" s="4"/>
      <c r="H96" s="24">
        <f>H86/J86</f>
        <v>0.40352137980596481</v>
      </c>
      <c r="I96" s="23">
        <f>I86/J86</f>
        <v>0.59647862019403519</v>
      </c>
      <c r="J96" s="7"/>
    </row>
    <row r="97" spans="1:10" x14ac:dyDescent="0.25">
      <c r="A97" s="12" t="s">
        <v>10</v>
      </c>
      <c r="B97" s="24">
        <f>B87/D87</f>
        <v>0.65569076592698639</v>
      </c>
      <c r="C97" s="23">
        <f>C87/D87</f>
        <v>0.34430923407301361</v>
      </c>
      <c r="D97" s="5"/>
      <c r="E97" s="24">
        <f>E87/G87</f>
        <v>0.69269949066213921</v>
      </c>
      <c r="F97" s="23">
        <f>F87/G87</f>
        <v>0.30730050933786079</v>
      </c>
      <c r="G97" s="4"/>
      <c r="H97" s="24">
        <f>H87/J87</f>
        <v>0.66666666666666663</v>
      </c>
      <c r="I97" s="23">
        <f>I87/J87</f>
        <v>0.33333333333333331</v>
      </c>
      <c r="J97" s="7"/>
    </row>
    <row r="98" spans="1:10" ht="15.75" thickBot="1" x14ac:dyDescent="0.3">
      <c r="A98" s="13" t="s">
        <v>9</v>
      </c>
      <c r="B98" s="22">
        <f>B88/D88</f>
        <v>0.44080604534005036</v>
      </c>
      <c r="C98" s="21">
        <f>C88/D88</f>
        <v>0.55919395465994959</v>
      </c>
      <c r="D98" s="14"/>
      <c r="E98" s="22">
        <f>E88/G88</f>
        <v>0.47528517110266161</v>
      </c>
      <c r="F98" s="21">
        <f>F88/G88</f>
        <v>0.52471482889733845</v>
      </c>
      <c r="G98" s="11"/>
      <c r="H98" s="22">
        <f>H88/J88</f>
        <v>0.44938505203405865</v>
      </c>
      <c r="I98" s="21">
        <f>I88/J88</f>
        <v>0.55061494796594135</v>
      </c>
      <c r="J98" s="20"/>
    </row>
    <row r="99" spans="1:10" ht="16.5" thickTop="1" thickBot="1" x14ac:dyDescent="0.3">
      <c r="A99" s="8" t="s">
        <v>0</v>
      </c>
      <c r="B99" s="19">
        <f>B89/D89</f>
        <v>0.50580449170011932</v>
      </c>
      <c r="C99" s="19">
        <f>C89/D89</f>
        <v>0.49419550829988068</v>
      </c>
      <c r="D99" s="8"/>
      <c r="E99" s="19">
        <f>E89/G89</f>
        <v>0.55316159250585484</v>
      </c>
      <c r="F99" s="19">
        <f>F89/G89</f>
        <v>0.44683840749414522</v>
      </c>
      <c r="G99" s="8"/>
      <c r="H99" s="19">
        <f>H89/J89</f>
        <v>0.52079780529398678</v>
      </c>
      <c r="I99" s="19">
        <f>I89/J89</f>
        <v>0.47920219470601322</v>
      </c>
      <c r="J99" s="9"/>
    </row>
  </sheetData>
  <mergeCells count="8">
    <mergeCell ref="B79:D79"/>
    <mergeCell ref="E79:G79"/>
    <mergeCell ref="H79:J79"/>
    <mergeCell ref="A2:H2"/>
    <mergeCell ref="A5:A6"/>
    <mergeCell ref="B5:D5"/>
    <mergeCell ref="E5:G5"/>
    <mergeCell ref="H5:J5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&amp;CUCL Student Data Statistics</oddHeader>
    <oddFooter>&amp;L&amp;F - &amp;A&amp;R&amp;P of &amp;N</oddFooter>
  </headerFooter>
  <rowBreaks count="1" manualBreakCount="1">
    <brk id="7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2011-12</vt:lpstr>
      <vt:lpstr>2010-11</vt:lpstr>
      <vt:lpstr>2009-10</vt:lpstr>
      <vt:lpstr>2008-09</vt:lpstr>
      <vt:lpstr>2007-08</vt:lpstr>
      <vt:lpstr>2006-07</vt:lpstr>
      <vt:lpstr>2005-06</vt:lpstr>
      <vt:lpstr>2004-05</vt:lpstr>
      <vt:lpstr>2003-04</vt:lpstr>
      <vt:lpstr>2002-03</vt:lpstr>
      <vt:lpstr>2001-02</vt:lpstr>
      <vt:lpstr>2000-01</vt:lpstr>
      <vt:lpstr>1999-00</vt:lpstr>
      <vt:lpstr>1998-99</vt:lpstr>
      <vt:lpstr>1997-98</vt:lpstr>
      <vt:lpstr>1996-97</vt:lpstr>
      <vt:lpstr>1995-96</vt:lpstr>
    </vt:vector>
  </TitlesOfParts>
  <Company>University College London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Meaney</dc:creator>
  <cp:lastModifiedBy>Fiona Meaney</cp:lastModifiedBy>
  <cp:lastPrinted>2013-06-18T14:29:54Z</cp:lastPrinted>
  <dcterms:created xsi:type="dcterms:W3CDTF">2013-05-17T14:02:41Z</dcterms:created>
  <dcterms:modified xsi:type="dcterms:W3CDTF">2013-06-18T14:31:22Z</dcterms:modified>
</cp:coreProperties>
</file>