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380" yWindow="1290" windowWidth="15570" windowHeight="12510"/>
  </bookViews>
  <sheets>
    <sheet name="ARRA" sheetId="1" r:id="rId1"/>
    <sheet name="Sheet2" sheetId="2" r:id="rId2"/>
    <sheet name="Sheet3" sheetId="3" r:id="rId3"/>
  </sheets>
  <definedNames>
    <definedName name="_xlnm.Print_Area" localSheetId="0">ARRA!$A$1:$K$37</definedName>
  </definedNames>
  <calcPr calcId="145621"/>
</workbook>
</file>

<file path=xl/calcChain.xml><?xml version="1.0" encoding="utf-8"?>
<calcChain xmlns="http://schemas.openxmlformats.org/spreadsheetml/2006/main">
  <c r="D8" i="1" l="1"/>
  <c r="D7" i="1"/>
  <c r="C11" i="1"/>
  <c r="E1" i="1" l="1"/>
  <c r="D10" i="1" s="1"/>
  <c r="C2" i="1" l="1"/>
  <c r="C3" i="1"/>
</calcChain>
</file>

<file path=xl/sharedStrings.xml><?xml version="1.0" encoding="utf-8"?>
<sst xmlns="http://schemas.openxmlformats.org/spreadsheetml/2006/main" count="632" uniqueCount="425">
  <si>
    <t>Total Expenditures</t>
  </si>
  <si>
    <t>USD#</t>
  </si>
  <si>
    <t>USD Name</t>
  </si>
  <si>
    <t>County</t>
  </si>
  <si>
    <t>Neosho</t>
  </si>
  <si>
    <t>Gray</t>
  </si>
  <si>
    <t>Cheyenne</t>
  </si>
  <si>
    <t>Rawlins</t>
  </si>
  <si>
    <t>Ness</t>
  </si>
  <si>
    <t>Jewell</t>
  </si>
  <si>
    <t>Washington</t>
  </si>
  <si>
    <t>Republic</t>
  </si>
  <si>
    <t>Phillips</t>
  </si>
  <si>
    <t>Doniphan</t>
  </si>
  <si>
    <t>Greeley</t>
  </si>
  <si>
    <t>Wyandotte</t>
  </si>
  <si>
    <t>Butler</t>
  </si>
  <si>
    <t>Leavenworth</t>
  </si>
  <si>
    <t>Trego</t>
  </si>
  <si>
    <t>Stevens</t>
  </si>
  <si>
    <t>Norton</t>
  </si>
  <si>
    <t>Grant</t>
  </si>
  <si>
    <t>Kearny</t>
  </si>
  <si>
    <t>Morton</t>
  </si>
  <si>
    <t>Clark</t>
  </si>
  <si>
    <t>Meade</t>
  </si>
  <si>
    <t>Hodgeman</t>
  </si>
  <si>
    <t>Johnson</t>
  </si>
  <si>
    <t>Bourbon</t>
  </si>
  <si>
    <t>Smith</t>
  </si>
  <si>
    <t>Ottawa</t>
  </si>
  <si>
    <t>Wallace</t>
  </si>
  <si>
    <t>Coffey</t>
  </si>
  <si>
    <t>Crawford</t>
  </si>
  <si>
    <t>Cherokee</t>
  </si>
  <si>
    <t>Lyon</t>
  </si>
  <si>
    <t>Barber</t>
  </si>
  <si>
    <t xml:space="preserve">South Barber </t>
  </si>
  <si>
    <t>Allen</t>
  </si>
  <si>
    <t>Rooks</t>
  </si>
  <si>
    <t>Mitchell</t>
  </si>
  <si>
    <t>Logan</t>
  </si>
  <si>
    <t>Graham</t>
  </si>
  <si>
    <t>Elk</t>
  </si>
  <si>
    <t>Chase</t>
  </si>
  <si>
    <t>Chautauqua</t>
  </si>
  <si>
    <t>Franklin</t>
  </si>
  <si>
    <t>Gove</t>
  </si>
  <si>
    <t>Decatur</t>
  </si>
  <si>
    <t>Lincoln</t>
  </si>
  <si>
    <t>Comanche</t>
  </si>
  <si>
    <t>Saline</t>
  </si>
  <si>
    <t>Reno</t>
  </si>
  <si>
    <t>Thomas</t>
  </si>
  <si>
    <t>Pottawatomie</t>
  </si>
  <si>
    <t>Ellsworth</t>
  </si>
  <si>
    <t>Wabaunsee</t>
  </si>
  <si>
    <t>Kingman</t>
  </si>
  <si>
    <t>Cloud</t>
  </si>
  <si>
    <t>Jackson</t>
  </si>
  <si>
    <t>Jefferson</t>
  </si>
  <si>
    <t>Linn</t>
  </si>
  <si>
    <t>Shawnee</t>
  </si>
  <si>
    <t>Edwards</t>
  </si>
  <si>
    <t>Douglas</t>
  </si>
  <si>
    <t>Stafford</t>
  </si>
  <si>
    <t>Sherman</t>
  </si>
  <si>
    <t>Sumner</t>
  </si>
  <si>
    <t>Barton</t>
  </si>
  <si>
    <t>Anderson</t>
  </si>
  <si>
    <t>Woodson</t>
  </si>
  <si>
    <t>Miami</t>
  </si>
  <si>
    <t>Harvey</t>
  </si>
  <si>
    <t>Haskell</t>
  </si>
  <si>
    <t>Rice</t>
  </si>
  <si>
    <t>Atchison</t>
  </si>
  <si>
    <t>Riley</t>
  </si>
  <si>
    <t>Clay</t>
  </si>
  <si>
    <t>Ford</t>
  </si>
  <si>
    <t>Pratt</t>
  </si>
  <si>
    <t>Greenwood</t>
  </si>
  <si>
    <t>Wilson</t>
  </si>
  <si>
    <t>Ellis</t>
  </si>
  <si>
    <t>Hamilton</t>
  </si>
  <si>
    <t>Osborne</t>
  </si>
  <si>
    <t>Dickinson</t>
  </si>
  <si>
    <t>Rush</t>
  </si>
  <si>
    <t>Marion</t>
  </si>
  <si>
    <t>Russell</t>
  </si>
  <si>
    <t>McPherson</t>
  </si>
  <si>
    <t>Sheridan</t>
  </si>
  <si>
    <t>Brown</t>
  </si>
  <si>
    <t>Morris</t>
  </si>
  <si>
    <t>Osage</t>
  </si>
  <si>
    <t>Kiowa</t>
  </si>
  <si>
    <t>Montgomery</t>
  </si>
  <si>
    <t>Nemaha</t>
  </si>
  <si>
    <t>Stanton</t>
  </si>
  <si>
    <t>Wichita</t>
  </si>
  <si>
    <t>Sedgwick</t>
  </si>
  <si>
    <t>Cowley</t>
  </si>
  <si>
    <t>Scott</t>
  </si>
  <si>
    <t>Lane</t>
  </si>
  <si>
    <t>Geary</t>
  </si>
  <si>
    <t>Seward</t>
  </si>
  <si>
    <t>Pawnee</t>
  </si>
  <si>
    <t>Labette</t>
  </si>
  <si>
    <t>NW KS Ed Services</t>
  </si>
  <si>
    <t>ANW Spec Ed Coop</t>
  </si>
  <si>
    <t>South Central KS Special Ed</t>
  </si>
  <si>
    <t>Tri County Special Ed Coop</t>
  </si>
  <si>
    <t>NE KS Education Services</t>
  </si>
  <si>
    <t>SE KS Reg Ed Services Ctr</t>
  </si>
  <si>
    <t>Reno Co Education Coop</t>
  </si>
  <si>
    <t>High Plains Ed Coop</t>
  </si>
  <si>
    <t>SW Area Coop</t>
  </si>
  <si>
    <t>East Central KS Coop</t>
  </si>
  <si>
    <t>Brown Co Special Ed Coop</t>
  </si>
  <si>
    <t>Doniphan Co Education Coop</t>
  </si>
  <si>
    <t>Marion Co Special Ed Coop</t>
  </si>
  <si>
    <t>Sedgwick Co Area Ed Service Coop</t>
  </si>
  <si>
    <t>Sumner Co Special Ed Coop</t>
  </si>
  <si>
    <t>Three Lakes Educational Coop</t>
  </si>
  <si>
    <t>Educ Serc &amp; Staff Dev Assoc</t>
  </si>
  <si>
    <t>SW KS Educational</t>
  </si>
  <si>
    <t>SW Plains Regional SE</t>
  </si>
  <si>
    <t>South Central KS Educ Service</t>
  </si>
  <si>
    <t>Central Kansas Educational Service</t>
  </si>
  <si>
    <t>Learning Consortium Educ</t>
  </si>
  <si>
    <t>Technology Excellence Ed Network (TEEN)</t>
  </si>
  <si>
    <t>North Central KS Spec Educ</t>
  </si>
  <si>
    <t>SE KS Special Education</t>
  </si>
  <si>
    <t>Please enter as whole numbers.</t>
  </si>
  <si>
    <t>Harper</t>
  </si>
  <si>
    <t>Finney</t>
  </si>
  <si>
    <t>Marshall</t>
  </si>
  <si>
    <t xml:space="preserve">Erie-Galesburg </t>
  </si>
  <si>
    <t xml:space="preserve">Cimarron-Ensign </t>
  </si>
  <si>
    <t xml:space="preserve">Cheylin </t>
  </si>
  <si>
    <t xml:space="preserve">Rawlins County </t>
  </si>
  <si>
    <t xml:space="preserve">Western Plains </t>
  </si>
  <si>
    <t xml:space="preserve">Rock Hills </t>
  </si>
  <si>
    <t xml:space="preserve">Washington Co. Schools </t>
  </si>
  <si>
    <t xml:space="preserve">Republic County </t>
  </si>
  <si>
    <t xml:space="preserve">Thunder Ridge Schools </t>
  </si>
  <si>
    <t xml:space="preserve">Doniphan West Schools </t>
  </si>
  <si>
    <t xml:space="preserve">Central Plains </t>
  </si>
  <si>
    <t xml:space="preserve">Prairie Hills </t>
  </si>
  <si>
    <t xml:space="preserve">Riverside </t>
  </si>
  <si>
    <t xml:space="preserve">Nemaha Central </t>
  </si>
  <si>
    <t xml:space="preserve">Greeley County Schools </t>
  </si>
  <si>
    <t xml:space="preserve">Turner-Kansas City </t>
  </si>
  <si>
    <t xml:space="preserve">Piper-Kansas City </t>
  </si>
  <si>
    <t xml:space="preserve">Bonner Springs </t>
  </si>
  <si>
    <t xml:space="preserve">Bluestem </t>
  </si>
  <si>
    <t xml:space="preserve">Remington-Whitewater </t>
  </si>
  <si>
    <t xml:space="preserve">Ft Leavenworth </t>
  </si>
  <si>
    <t xml:space="preserve">Wakeeney </t>
  </si>
  <si>
    <t xml:space="preserve">Moscow Public Schools </t>
  </si>
  <si>
    <t xml:space="preserve">Hugoton Public Schools </t>
  </si>
  <si>
    <t xml:space="preserve">Norton Community Schools </t>
  </si>
  <si>
    <t xml:space="preserve">Northern Valley </t>
  </si>
  <si>
    <t xml:space="preserve">Ulysses </t>
  </si>
  <si>
    <t xml:space="preserve">Lakin </t>
  </si>
  <si>
    <t xml:space="preserve">Deerfield </t>
  </si>
  <si>
    <t xml:space="preserve">Rolla </t>
  </si>
  <si>
    <t xml:space="preserve">Elkhart </t>
  </si>
  <si>
    <t xml:space="preserve">Minneola </t>
  </si>
  <si>
    <t xml:space="preserve">Ashland </t>
  </si>
  <si>
    <t xml:space="preserve">Barnes </t>
  </si>
  <si>
    <t xml:space="preserve">Clifton-Clyde </t>
  </si>
  <si>
    <t xml:space="preserve">Fowler </t>
  </si>
  <si>
    <t xml:space="preserve">Meade </t>
  </si>
  <si>
    <t xml:space="preserve">Hodgeman County Schools </t>
  </si>
  <si>
    <t xml:space="preserve">Blue Valley </t>
  </si>
  <si>
    <t xml:space="preserve">Spring Hill </t>
  </si>
  <si>
    <t xml:space="preserve">Gardner Edgerton </t>
  </si>
  <si>
    <t xml:space="preserve">De Soto </t>
  </si>
  <si>
    <t xml:space="preserve">Olathe </t>
  </si>
  <si>
    <t xml:space="preserve">Fort Scott </t>
  </si>
  <si>
    <t xml:space="preserve">Uniontown </t>
  </si>
  <si>
    <t xml:space="preserve">Smith Center </t>
  </si>
  <si>
    <t xml:space="preserve">North Ottawa County </t>
  </si>
  <si>
    <t xml:space="preserve">Twin Valley </t>
  </si>
  <si>
    <t xml:space="preserve">Wallace County Schools </t>
  </si>
  <si>
    <t xml:space="preserve">Weskan </t>
  </si>
  <si>
    <t xml:space="preserve">Lebo-Waverly </t>
  </si>
  <si>
    <t xml:space="preserve">Burlington </t>
  </si>
  <si>
    <t xml:space="preserve">LeRoy-Gridley </t>
  </si>
  <si>
    <t xml:space="preserve">Northeast </t>
  </si>
  <si>
    <t xml:space="preserve">Cherokee </t>
  </si>
  <si>
    <t xml:space="preserve">Girard </t>
  </si>
  <si>
    <t xml:space="preserve">Frontenac Public Schools </t>
  </si>
  <si>
    <t xml:space="preserve">Pittsburg </t>
  </si>
  <si>
    <t xml:space="preserve">North Lyon County </t>
  </si>
  <si>
    <t xml:space="preserve">Southern Lyon County </t>
  </si>
  <si>
    <t xml:space="preserve">Emporia </t>
  </si>
  <si>
    <t xml:space="preserve">Barber County North </t>
  </si>
  <si>
    <t xml:space="preserve">Marmaton Valley </t>
  </si>
  <si>
    <t xml:space="preserve">Iola </t>
  </si>
  <si>
    <t xml:space="preserve">Humboldt </t>
  </si>
  <si>
    <t xml:space="preserve">Wichita </t>
  </si>
  <si>
    <t xml:space="preserve">Derby </t>
  </si>
  <si>
    <t xml:space="preserve">Haysville </t>
  </si>
  <si>
    <t xml:space="preserve">Valley Center Pub Sch </t>
  </si>
  <si>
    <t xml:space="preserve">Mulvane </t>
  </si>
  <si>
    <t xml:space="preserve">Clearwater </t>
  </si>
  <si>
    <t xml:space="preserve">Goddard </t>
  </si>
  <si>
    <t xml:space="preserve">Maize </t>
  </si>
  <si>
    <t xml:space="preserve">Renwick </t>
  </si>
  <si>
    <t xml:space="preserve">Cheney </t>
  </si>
  <si>
    <t xml:space="preserve">Palco </t>
  </si>
  <si>
    <t xml:space="preserve">Plainville </t>
  </si>
  <si>
    <t xml:space="preserve">Stockton </t>
  </si>
  <si>
    <t xml:space="preserve">Waconda </t>
  </si>
  <si>
    <t xml:space="preserve">Beloit </t>
  </si>
  <si>
    <t xml:space="preserve">Oakley </t>
  </si>
  <si>
    <t xml:space="preserve">Triplains </t>
  </si>
  <si>
    <t xml:space="preserve">Graham County </t>
  </si>
  <si>
    <t xml:space="preserve">West Elk </t>
  </si>
  <si>
    <t xml:space="preserve">Elk Valley </t>
  </si>
  <si>
    <t xml:space="preserve">Chase County </t>
  </si>
  <si>
    <t xml:space="preserve">Cedar Vale </t>
  </si>
  <si>
    <t xml:space="preserve">Chautauqua Co Community </t>
  </si>
  <si>
    <t xml:space="preserve">West Franklin </t>
  </si>
  <si>
    <t xml:space="preserve">Central Heights </t>
  </si>
  <si>
    <t xml:space="preserve">Wellsville </t>
  </si>
  <si>
    <t xml:space="preserve">Ottawa </t>
  </si>
  <si>
    <t xml:space="preserve">Grinnell Public Schools </t>
  </si>
  <si>
    <t xml:space="preserve">Wheatland </t>
  </si>
  <si>
    <t xml:space="preserve">Quinter Public Schools </t>
  </si>
  <si>
    <t xml:space="preserve">Oberlin </t>
  </si>
  <si>
    <t xml:space="preserve">St Francis Comm Sch </t>
  </si>
  <si>
    <t xml:space="preserve">Lincoln </t>
  </si>
  <si>
    <t xml:space="preserve">Sylvan Grove </t>
  </si>
  <si>
    <t xml:space="preserve">Comanche County </t>
  </si>
  <si>
    <t xml:space="preserve">Ness City </t>
  </si>
  <si>
    <t xml:space="preserve">Salina </t>
  </si>
  <si>
    <t xml:space="preserve">Southeast Of Saline </t>
  </si>
  <si>
    <t xml:space="preserve">Ell-Saline </t>
  </si>
  <si>
    <t xml:space="preserve">Hutchinson Public Schools </t>
  </si>
  <si>
    <t xml:space="preserve">Nickerson </t>
  </si>
  <si>
    <t xml:space="preserve">Fairfield </t>
  </si>
  <si>
    <t xml:space="preserve">Pretty Prairie </t>
  </si>
  <si>
    <t xml:space="preserve">Haven Public Schools </t>
  </si>
  <si>
    <t xml:space="preserve">Buhler </t>
  </si>
  <si>
    <t xml:space="preserve">Brewster </t>
  </si>
  <si>
    <t xml:space="preserve">Colby Public Schools </t>
  </si>
  <si>
    <t xml:space="preserve">Golden Plains </t>
  </si>
  <si>
    <t xml:space="preserve">Wamego </t>
  </si>
  <si>
    <t xml:space="preserve">Kaw Valley </t>
  </si>
  <si>
    <t xml:space="preserve">Onaga-Havensville-Wheaton </t>
  </si>
  <si>
    <t xml:space="preserve">Rock Creek </t>
  </si>
  <si>
    <t xml:space="preserve">Phillipsburg </t>
  </si>
  <si>
    <t xml:space="preserve">Logan </t>
  </si>
  <si>
    <t xml:space="preserve">Ellsworth </t>
  </si>
  <si>
    <t xml:space="preserve">Mill Creek Valley </t>
  </si>
  <si>
    <t xml:space="preserve">Mission Valley </t>
  </si>
  <si>
    <t xml:space="preserve">Kingman - Norwich </t>
  </si>
  <si>
    <t xml:space="preserve">Cunningham </t>
  </si>
  <si>
    <t xml:space="preserve">Concordia </t>
  </si>
  <si>
    <t xml:space="preserve">Southern Cloud </t>
  </si>
  <si>
    <t xml:space="preserve">North Jackson </t>
  </si>
  <si>
    <t xml:space="preserve">Holton </t>
  </si>
  <si>
    <t xml:space="preserve">Royal Valley </t>
  </si>
  <si>
    <t xml:space="preserve">Valley Falls </t>
  </si>
  <si>
    <t xml:space="preserve">Jefferson County North </t>
  </si>
  <si>
    <t xml:space="preserve">Jefferson West </t>
  </si>
  <si>
    <t xml:space="preserve">Oskaloosa Public Schools </t>
  </si>
  <si>
    <t xml:space="preserve">McLouth </t>
  </si>
  <si>
    <t xml:space="preserve">Perry Public Schools </t>
  </si>
  <si>
    <t xml:space="preserve">Pleasanton </t>
  </si>
  <si>
    <t xml:space="preserve">Seaman </t>
  </si>
  <si>
    <t xml:space="preserve">Jayhawk </t>
  </si>
  <si>
    <t xml:space="preserve">Kinsley-Offerle </t>
  </si>
  <si>
    <t xml:space="preserve">Baldwin City </t>
  </si>
  <si>
    <t xml:space="preserve">Stafford </t>
  </si>
  <si>
    <t xml:space="preserve">St John-Hudson </t>
  </si>
  <si>
    <t xml:space="preserve">Macksville </t>
  </si>
  <si>
    <t xml:space="preserve">Goodland </t>
  </si>
  <si>
    <t xml:space="preserve">Wellington </t>
  </si>
  <si>
    <t xml:space="preserve">Ellinwood Public Schools </t>
  </si>
  <si>
    <t xml:space="preserve">Conway Springs </t>
  </si>
  <si>
    <t xml:space="preserve">Belle Plaine </t>
  </si>
  <si>
    <t xml:space="preserve">Oxford </t>
  </si>
  <si>
    <t xml:space="preserve">Argonia Public Schools </t>
  </si>
  <si>
    <t xml:space="preserve">Caldwell </t>
  </si>
  <si>
    <t xml:space="preserve">Anthony-Harper </t>
  </si>
  <si>
    <t xml:space="preserve">Prairie View </t>
  </si>
  <si>
    <t xml:space="preserve">Holcomb </t>
  </si>
  <si>
    <t xml:space="preserve">Marysville </t>
  </si>
  <si>
    <t xml:space="preserve">Garnett </t>
  </si>
  <si>
    <t xml:space="preserve">Woodson </t>
  </si>
  <si>
    <t xml:space="preserve">Osawatomie </t>
  </si>
  <si>
    <t xml:space="preserve">Paola </t>
  </si>
  <si>
    <t xml:space="preserve">Burrton </t>
  </si>
  <si>
    <t xml:space="preserve">Montezuma </t>
  </si>
  <si>
    <t xml:space="preserve">Silver Lake </t>
  </si>
  <si>
    <t xml:space="preserve">Newton </t>
  </si>
  <si>
    <t xml:space="preserve">Sublette </t>
  </si>
  <si>
    <t xml:space="preserve">Circle </t>
  </si>
  <si>
    <t xml:space="preserve">Sterling </t>
  </si>
  <si>
    <t xml:space="preserve">Atchison Co Comm Schools </t>
  </si>
  <si>
    <t xml:space="preserve">Riley County </t>
  </si>
  <si>
    <t xml:space="preserve">Clay Center </t>
  </si>
  <si>
    <t xml:space="preserve">Vermillion </t>
  </si>
  <si>
    <t xml:space="preserve">Spearville </t>
  </si>
  <si>
    <t xml:space="preserve">Pratt </t>
  </si>
  <si>
    <t xml:space="preserve">Manhattan-Ogden </t>
  </si>
  <si>
    <t xml:space="preserve">Andover </t>
  </si>
  <si>
    <t xml:space="preserve">Madison-Virgil </t>
  </si>
  <si>
    <t xml:space="preserve">Altoona-Midway </t>
  </si>
  <si>
    <t xml:space="preserve">Ellis </t>
  </si>
  <si>
    <t xml:space="preserve">Eureka </t>
  </si>
  <si>
    <t xml:space="preserve">Hamilton </t>
  </si>
  <si>
    <t xml:space="preserve">Osborne County </t>
  </si>
  <si>
    <t xml:space="preserve">Solomon </t>
  </si>
  <si>
    <t xml:space="preserve">Rose Hill Public Schools </t>
  </si>
  <si>
    <t xml:space="preserve">LaCrosse </t>
  </si>
  <si>
    <t xml:space="preserve">Douglass Public Schools </t>
  </si>
  <si>
    <t xml:space="preserve">Centre </t>
  </si>
  <si>
    <t xml:space="preserve">Peabody-Burns </t>
  </si>
  <si>
    <t xml:space="preserve">Paradise </t>
  </si>
  <si>
    <t xml:space="preserve">Smoky Valley </t>
  </si>
  <si>
    <t xml:space="preserve">Chase-Raymond </t>
  </si>
  <si>
    <t xml:space="preserve">Augusta </t>
  </si>
  <si>
    <t xml:space="preserve">Otis-Bison </t>
  </si>
  <si>
    <t xml:space="preserve">Riverton </t>
  </si>
  <si>
    <t xml:space="preserve">Lyons </t>
  </si>
  <si>
    <t xml:space="preserve">Russell County </t>
  </si>
  <si>
    <t xml:space="preserve">Marion-Florence </t>
  </si>
  <si>
    <t xml:space="preserve">Atchison Public Schools </t>
  </si>
  <si>
    <t xml:space="preserve">Durham-Hillsboro-Lehigh </t>
  </si>
  <si>
    <t xml:space="preserve">Goessel </t>
  </si>
  <si>
    <t xml:space="preserve">Hoxie Community Schools </t>
  </si>
  <si>
    <t xml:space="preserve">Chanute Public Schools </t>
  </si>
  <si>
    <t xml:space="preserve">Hiawatha </t>
  </si>
  <si>
    <t xml:space="preserve">Louisburg </t>
  </si>
  <si>
    <t xml:space="preserve">Morris County </t>
  </si>
  <si>
    <t xml:space="preserve">McPherson </t>
  </si>
  <si>
    <t xml:space="preserve">Canton-Galva </t>
  </si>
  <si>
    <t xml:space="preserve">Osage City </t>
  </si>
  <si>
    <t xml:space="preserve">Lyndon </t>
  </si>
  <si>
    <t xml:space="preserve">Kiowa County </t>
  </si>
  <si>
    <t xml:space="preserve">Moundridge </t>
  </si>
  <si>
    <t xml:space="preserve">Pike Valley </t>
  </si>
  <si>
    <t xml:space="preserve">Great Bend </t>
  </si>
  <si>
    <t xml:space="preserve">Troy Public Schools </t>
  </si>
  <si>
    <t xml:space="preserve">South Brown County </t>
  </si>
  <si>
    <t xml:space="preserve">Hoisington </t>
  </si>
  <si>
    <t xml:space="preserve">Victoria </t>
  </si>
  <si>
    <t xml:space="preserve">Santa Fe Trail </t>
  </si>
  <si>
    <t xml:space="preserve">Abilene </t>
  </si>
  <si>
    <t xml:space="preserve">Caney Valley </t>
  </si>
  <si>
    <t xml:space="preserve">Auburn Washburn </t>
  </si>
  <si>
    <t xml:space="preserve">Skyline Schools </t>
  </si>
  <si>
    <t xml:space="preserve">Sedgwick Public Schools </t>
  </si>
  <si>
    <t xml:space="preserve">Halstead </t>
  </si>
  <si>
    <t xml:space="preserve">Dodge City </t>
  </si>
  <si>
    <t xml:space="preserve">Little River </t>
  </si>
  <si>
    <t xml:space="preserve">Coffeyville </t>
  </si>
  <si>
    <t xml:space="preserve">Independence </t>
  </si>
  <si>
    <t xml:space="preserve">Cherryvale </t>
  </si>
  <si>
    <t xml:space="preserve">Inman </t>
  </si>
  <si>
    <t xml:space="preserve">Easton </t>
  </si>
  <si>
    <t xml:space="preserve">Shawnee Heights </t>
  </si>
  <si>
    <t xml:space="preserve">Stanton County </t>
  </si>
  <si>
    <t xml:space="preserve">Leavenworth </t>
  </si>
  <si>
    <t xml:space="preserve">Burlingame Public School </t>
  </si>
  <si>
    <t xml:space="preserve">Marais Des Cygnes Valley </t>
  </si>
  <si>
    <t xml:space="preserve">Garden City </t>
  </si>
  <si>
    <t xml:space="preserve">Basehor-Linwood </t>
  </si>
  <si>
    <t xml:space="preserve">Bucklin </t>
  </si>
  <si>
    <t xml:space="preserve">Hesston </t>
  </si>
  <si>
    <t xml:space="preserve">Neodesha </t>
  </si>
  <si>
    <t xml:space="preserve">Central </t>
  </si>
  <si>
    <t xml:space="preserve">Udall </t>
  </si>
  <si>
    <t xml:space="preserve">Tonganoxie </t>
  </si>
  <si>
    <t xml:space="preserve">Winfield </t>
  </si>
  <si>
    <t xml:space="preserve">Scott County </t>
  </si>
  <si>
    <t xml:space="preserve">Leoti </t>
  </si>
  <si>
    <t xml:space="preserve">Healy Public Schools </t>
  </si>
  <si>
    <t xml:space="preserve">Lansing </t>
  </si>
  <si>
    <t xml:space="preserve">Arkansas City </t>
  </si>
  <si>
    <t xml:space="preserve">Dexter </t>
  </si>
  <si>
    <t xml:space="preserve">Chapman </t>
  </si>
  <si>
    <t xml:space="preserve">Haviland </t>
  </si>
  <si>
    <t xml:space="preserve">Geary County Schools </t>
  </si>
  <si>
    <t xml:space="preserve">Copeland </t>
  </si>
  <si>
    <t xml:space="preserve">Ingalls </t>
  </si>
  <si>
    <t xml:space="preserve">Crest </t>
  </si>
  <si>
    <t xml:space="preserve">Liberal </t>
  </si>
  <si>
    <t xml:space="preserve">Rural Vista </t>
  </si>
  <si>
    <t xml:space="preserve">Dighton </t>
  </si>
  <si>
    <t xml:space="preserve">Kismet-Plains </t>
  </si>
  <si>
    <t xml:space="preserve">Fredonia </t>
  </si>
  <si>
    <t xml:space="preserve">Herington </t>
  </si>
  <si>
    <t xml:space="preserve">Hays </t>
  </si>
  <si>
    <t xml:space="preserve">El Dorado </t>
  </si>
  <si>
    <t xml:space="preserve">Eudora </t>
  </si>
  <si>
    <t xml:space="preserve">Flinthills </t>
  </si>
  <si>
    <t xml:space="preserve">Columbus </t>
  </si>
  <si>
    <t xml:space="preserve">Syracuse </t>
  </si>
  <si>
    <t xml:space="preserve">Ft Larned </t>
  </si>
  <si>
    <t xml:space="preserve">Pawnee Heights </t>
  </si>
  <si>
    <t xml:space="preserve">Lawrence </t>
  </si>
  <si>
    <t xml:space="preserve">Valley Heights </t>
  </si>
  <si>
    <t xml:space="preserve">Galena </t>
  </si>
  <si>
    <t xml:space="preserve">Kansas City </t>
  </si>
  <si>
    <t xml:space="preserve">Topeka Public Schools </t>
  </si>
  <si>
    <t xml:space="preserve">Lewis </t>
  </si>
  <si>
    <t xml:space="preserve">Parsons </t>
  </si>
  <si>
    <t xml:space="preserve">Oswego </t>
  </si>
  <si>
    <t xml:space="preserve">Chetopa-St. Paul </t>
  </si>
  <si>
    <t xml:space="preserve">Labette County </t>
  </si>
  <si>
    <t xml:space="preserve">Satanta </t>
  </si>
  <si>
    <t xml:space="preserve">Baxter Springs </t>
  </si>
  <si>
    <t xml:space="preserve">South Haven </t>
  </si>
  <si>
    <t xml:space="preserve">Attica </t>
  </si>
  <si>
    <t>Shawnee Mission Pub Sch</t>
  </si>
  <si>
    <t>2011-12 Actual</t>
  </si>
  <si>
    <r>
      <t xml:space="preserve">1000 - Instructional ARRA expenditures                                                              </t>
    </r>
    <r>
      <rPr>
        <i/>
        <sz val="11"/>
        <color indexed="10"/>
        <rFont val="Calibri"/>
        <family val="2"/>
      </rPr>
      <t xml:space="preserve"> (exclude 700-equipment)</t>
    </r>
  </si>
  <si>
    <r>
      <t xml:space="preserve">Total ARRA Expenditures -  Functions 1000, 2000, 3100, 3200                     </t>
    </r>
    <r>
      <rPr>
        <i/>
        <sz val="11"/>
        <color indexed="10"/>
        <rFont val="Calibri"/>
        <family val="2"/>
      </rPr>
      <t xml:space="preserve"> (exclude 700-equipment)</t>
    </r>
  </si>
  <si>
    <r>
      <t xml:space="preserve">ARRA Property Expenditures -                                                            </t>
    </r>
    <r>
      <rPr>
        <i/>
        <sz val="11"/>
        <color indexed="10"/>
        <rFont val="Calibri"/>
        <family val="2"/>
      </rPr>
      <t xml:space="preserve">  (objects 700)</t>
    </r>
  </si>
  <si>
    <r>
      <t xml:space="preserve">ARRA expenditures - </t>
    </r>
    <r>
      <rPr>
        <b/>
        <i/>
        <sz val="11"/>
        <color indexed="8"/>
        <rFont val="Calibri"/>
        <family val="2"/>
      </rPr>
      <t xml:space="preserve">School construction expenditures      </t>
    </r>
    <r>
      <rPr>
        <i/>
        <sz val="11"/>
        <color indexed="8"/>
        <rFont val="Calibri"/>
        <family val="2"/>
      </rPr>
      <t xml:space="preserve"> </t>
    </r>
    <r>
      <rPr>
        <i/>
        <sz val="11"/>
        <color indexed="10"/>
        <rFont val="Calibri"/>
        <family val="2"/>
      </rPr>
      <t>(function 4000, all objects)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</si>
</sst>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43" formatCode="_(* #,##0.00_);_(* \(#,##0.00\);_(* &quot;-&quot;??_);_(@_)"/>
  </numFmts>
  <fonts count="39">
    <font>
      <sz val="11"/>
      <color theme="1"/>
      <name val="Calibri"/>
      <family val="2"/>
      <scheme val="minor"/>
    </font>
    <font>
      <b/>
      <i/>
      <sz val="11"/>
      <color indexed="8"/>
      <name val="Calibri"/>
      <family val="2"/>
    </font>
    <font>
      <i/>
      <sz val="11"/>
      <color indexed="8"/>
      <name val="Calibri"/>
      <family val="2"/>
    </font>
    <font>
      <i/>
      <sz val="11"/>
      <color indexed="10"/>
      <name val="Calibri"/>
      <family val="2"/>
    </font>
    <font>
      <sz val="11"/>
      <color indexed="8"/>
      <name val="Calibri"/>
      <family val="2"/>
    </font>
    <font>
      <b/>
      <sz val="11"/>
      <color indexed="8"/>
      <name val="Calibri"/>
      <family val="2"/>
    </font>
    <font>
      <i/>
      <sz val="11"/>
      <color indexed="8"/>
      <name val="Calibri"/>
      <family val="2"/>
    </font>
    <font>
      <sz val="8"/>
      <name val="Verdana"/>
    </font>
    <font>
      <b/>
      <sz val="15"/>
      <color indexed="56"/>
      <name val="Calibri"/>
      <family val="2"/>
    </font>
    <font>
      <b/>
      <sz val="11"/>
      <color indexed="56"/>
      <name val="Calibri"/>
      <family val="2"/>
    </font>
    <font>
      <b/>
      <sz val="18"/>
      <color indexed="56"/>
      <name val="Cambria"/>
      <family val="2"/>
    </font>
    <font>
      <sz val="11"/>
      <color theme="1"/>
      <name val="Calibri"/>
      <family val="2"/>
      <scheme val="minor"/>
    </font>
    <font>
      <sz val="11"/>
      <color theme="0"/>
      <name val="Calibri"/>
      <family val="2"/>
      <scheme val="minor"/>
    </font>
    <font>
      <sz val="11"/>
      <color indexed="20"/>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3"/>
      <color indexed="56"/>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sz val="10"/>
      <name val="Geneva"/>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0"/>
      <name val="Arial"/>
      <family val="2"/>
    </font>
    <font>
      <sz val="10"/>
      <name val="Calibri"/>
      <family val="2"/>
      <scheme val="minor"/>
    </font>
    <font>
      <sz val="11"/>
      <color theme="1"/>
      <name val="Times New Roman"/>
      <family val="2"/>
    </font>
    <font>
      <sz val="10"/>
      <name val="MS Sans Serif"/>
      <family val="2"/>
    </font>
    <font>
      <sz val="10"/>
      <name val="Times New Roman"/>
      <family val="1"/>
    </font>
    <font>
      <sz val="10"/>
      <color indexed="8"/>
      <name val="Calibri"/>
      <family val="2"/>
      <scheme val="minor"/>
    </font>
    <font>
      <sz val="10"/>
      <color theme="1"/>
      <name val="Calibri"/>
      <family val="2"/>
      <scheme val="minor"/>
    </font>
    <font>
      <i/>
      <sz val="14"/>
      <color indexed="8"/>
      <name val="Calibri"/>
      <family val="2"/>
    </font>
  </fonts>
  <fills count="4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5" tint="0.59999389629810485"/>
        <bgColor indexed="65"/>
      </patternFill>
    </fill>
    <fill>
      <patternFill patternType="solid">
        <fgColor theme="8" tint="0.59999389629810485"/>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8"/>
      </patternFill>
    </fill>
    <fill>
      <patternFill patternType="solid">
        <fgColor theme="9"/>
      </patternFill>
    </fill>
    <fill>
      <patternFill patternType="solid">
        <fgColor rgb="FFFFC7CE"/>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
      <patternFill patternType="solid">
        <fgColor theme="6" tint="0.59999389629810485"/>
        <bgColor indexed="64"/>
      </patternFill>
    </fill>
  </fills>
  <borders count="23">
    <border>
      <left/>
      <right/>
      <top/>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double">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right/>
      <top/>
      <bottom style="thin">
        <color indexed="64"/>
      </bottom>
      <diagonal/>
    </border>
    <border>
      <left/>
      <right/>
      <top style="thin">
        <color indexed="64"/>
      </top>
      <bottom style="double">
        <color indexed="64"/>
      </bottom>
      <diagonal/>
    </border>
  </borders>
  <cellStyleXfs count="103">
    <xf numFmtId="0" fontId="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6" borderId="0" applyNumberFormat="0" applyBorder="0" applyAlignment="0" applyProtection="0"/>
    <xf numFmtId="0" fontId="11" fillId="18" borderId="0" applyNumberFormat="0" applyBorder="0" applyAlignment="0" applyProtection="0"/>
    <xf numFmtId="0" fontId="11" fillId="7" borderId="0" applyNumberFormat="0" applyBorder="0" applyAlignment="0" applyProtection="0"/>
    <xf numFmtId="0" fontId="11" fillId="5" borderId="0" applyNumberFormat="0" applyBorder="0" applyAlignment="0" applyProtection="0"/>
    <xf numFmtId="0" fontId="11" fillId="19" borderId="0" applyNumberFormat="0" applyBorder="0" applyAlignment="0" applyProtection="0"/>
    <xf numFmtId="0" fontId="11" fillId="8" borderId="0" applyNumberFormat="0" applyBorder="0" applyAlignment="0" applyProtection="0"/>
    <xf numFmtId="0" fontId="12" fillId="9" borderId="0" applyNumberFormat="0" applyBorder="0" applyAlignment="0" applyProtection="0"/>
    <xf numFmtId="0" fontId="12" fillId="20" borderId="0" applyNumberFormat="0" applyBorder="0" applyAlignment="0" applyProtection="0"/>
    <xf numFmtId="0" fontId="12" fillId="7" borderId="0" applyNumberFormat="0" applyBorder="0" applyAlignment="0" applyProtection="0"/>
    <xf numFmtId="0" fontId="12" fillId="10" borderId="0" applyNumberFormat="0" applyBorder="0" applyAlignment="0" applyProtection="0"/>
    <xf numFmtId="0" fontId="12" fillId="21"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0"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3" fillId="24" borderId="0" applyNumberFormat="0" applyBorder="0" applyAlignment="0" applyProtection="0"/>
    <xf numFmtId="0" fontId="14" fillId="15" borderId="11" applyNumberFormat="0" applyAlignment="0" applyProtection="0"/>
    <xf numFmtId="0" fontId="15" fillId="25" borderId="12" applyNumberFormat="0" applyAlignment="0" applyProtection="0"/>
    <xf numFmtId="0" fontId="16" fillId="0" borderId="0" applyNumberFormat="0" applyFill="0" applyBorder="0" applyAlignment="0" applyProtection="0"/>
    <xf numFmtId="0" fontId="17" fillId="26" borderId="0" applyNumberFormat="0" applyBorder="0" applyAlignment="0" applyProtection="0"/>
    <xf numFmtId="0" fontId="8" fillId="0" borderId="1" applyNumberFormat="0" applyFill="0" applyAlignment="0" applyProtection="0"/>
    <xf numFmtId="0" fontId="18" fillId="0" borderId="13" applyNumberFormat="0" applyFill="0" applyAlignment="0" applyProtection="0"/>
    <xf numFmtId="0" fontId="9" fillId="0" borderId="2" applyNumberFormat="0" applyFill="0" applyAlignment="0" applyProtection="0"/>
    <xf numFmtId="0" fontId="9" fillId="0" borderId="0" applyNumberFormat="0" applyFill="0" applyBorder="0" applyAlignment="0" applyProtection="0"/>
    <xf numFmtId="0" fontId="19" fillId="27" borderId="11" applyNumberFormat="0" applyAlignment="0" applyProtection="0"/>
    <xf numFmtId="0" fontId="20" fillId="0" borderId="14" applyNumberFormat="0" applyFill="0" applyAlignment="0" applyProtection="0"/>
    <xf numFmtId="0" fontId="21" fillId="28" borderId="0" applyNumberFormat="0" applyBorder="0" applyAlignment="0" applyProtection="0"/>
    <xf numFmtId="0" fontId="4" fillId="29" borderId="15" applyNumberFormat="0" applyFont="0" applyAlignment="0" applyProtection="0"/>
    <xf numFmtId="0" fontId="22" fillId="15" borderId="16" applyNumberFormat="0" applyAlignment="0" applyProtection="0"/>
    <xf numFmtId="0" fontId="10" fillId="0" borderId="0" applyNumberFormat="0" applyFill="0" applyBorder="0" applyAlignment="0" applyProtection="0"/>
    <xf numFmtId="0" fontId="23" fillId="0" borderId="3" applyNumberFormat="0" applyFill="0" applyAlignment="0" applyProtection="0"/>
    <xf numFmtId="0" fontId="24" fillId="0" borderId="0" applyNumberFormat="0" applyFill="0" applyBorder="0" applyAlignment="0" applyProtection="0"/>
    <xf numFmtId="0" fontId="25" fillId="0" borderId="0"/>
    <xf numFmtId="40" fontId="25" fillId="0" borderId="0" applyFont="0" applyFill="0" applyBorder="0" applyAlignment="0" applyProtection="0"/>
    <xf numFmtId="8" fontId="25" fillId="0" borderId="0" applyFont="0" applyFill="0" applyBorder="0" applyAlignment="0" applyProtection="0"/>
    <xf numFmtId="9" fontId="25" fillId="0" borderId="0" applyFont="0" applyFill="0" applyBorder="0" applyAlignment="0" applyProtection="0"/>
    <xf numFmtId="0" fontId="26" fillId="0" borderId="0" applyNumberFormat="0" applyFill="0" applyBorder="0" applyAlignment="0" applyProtection="0"/>
    <xf numFmtId="0" fontId="27" fillId="0" borderId="18" applyNumberFormat="0" applyFill="0" applyAlignment="0" applyProtection="0"/>
    <xf numFmtId="0" fontId="28" fillId="0" borderId="13" applyNumberFormat="0" applyFill="0" applyAlignment="0" applyProtection="0"/>
    <xf numFmtId="0" fontId="29" fillId="0" borderId="19" applyNumberFormat="0" applyFill="0" applyAlignment="0" applyProtection="0"/>
    <xf numFmtId="0" fontId="29" fillId="0" borderId="0" applyNumberFormat="0" applyFill="0" applyBorder="0" applyAlignment="0" applyProtection="0"/>
    <xf numFmtId="0" fontId="30" fillId="24" borderId="0" applyNumberFormat="0" applyBorder="0" applyAlignment="0" applyProtection="0"/>
    <xf numFmtId="0" fontId="22" fillId="30" borderId="16" applyNumberFormat="0" applyAlignment="0" applyProtection="0"/>
    <xf numFmtId="0" fontId="14" fillId="30" borderId="11" applyNumberFormat="0" applyAlignment="0" applyProtection="0"/>
    <xf numFmtId="0" fontId="23" fillId="0" borderId="20" applyNumberFormat="0" applyFill="0" applyAlignment="0" applyProtection="0"/>
    <xf numFmtId="0" fontId="12"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2" fillId="34" borderId="0" applyNumberFormat="0" applyBorder="0" applyAlignment="0" applyProtection="0"/>
    <xf numFmtId="0" fontId="12" fillId="35" borderId="0" applyNumberFormat="0" applyBorder="0" applyAlignment="0" applyProtection="0"/>
    <xf numFmtId="0" fontId="11" fillId="36" borderId="0" applyNumberFormat="0" applyBorder="0" applyAlignment="0" applyProtection="0"/>
    <xf numFmtId="0" fontId="12" fillId="37"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2" fillId="40" borderId="0" applyNumberFormat="0" applyBorder="0" applyAlignment="0" applyProtection="0"/>
    <xf numFmtId="0" fontId="12" fillId="41" borderId="0" applyNumberFormat="0" applyBorder="0" applyAlignment="0" applyProtection="0"/>
    <xf numFmtId="0" fontId="11" fillId="42" borderId="0" applyNumberFormat="0" applyBorder="0" applyAlignment="0" applyProtection="0"/>
    <xf numFmtId="0" fontId="11" fillId="43" borderId="0" applyNumberFormat="0" applyBorder="0" applyAlignment="0" applyProtection="0"/>
    <xf numFmtId="0" fontId="12" fillId="44" borderId="0" applyNumberFormat="0" applyBorder="0" applyAlignment="0" applyProtection="0"/>
    <xf numFmtId="0" fontId="11" fillId="45" borderId="0" applyNumberFormat="0" applyBorder="0" applyAlignment="0" applyProtection="0"/>
    <xf numFmtId="0" fontId="12" fillId="46" borderId="0" applyNumberFormat="0" applyBorder="0" applyAlignment="0" applyProtection="0"/>
    <xf numFmtId="0" fontId="11" fillId="0" borderId="0"/>
    <xf numFmtId="0" fontId="11" fillId="29" borderId="15" applyNumberFormat="0" applyFont="0" applyAlignment="0" applyProtection="0"/>
    <xf numFmtId="0" fontId="31" fillId="0" borderId="0"/>
    <xf numFmtId="0" fontId="11" fillId="0" borderId="0"/>
    <xf numFmtId="0" fontId="11" fillId="32" borderId="0" applyNumberFormat="0" applyBorder="0" applyAlignment="0" applyProtection="0"/>
    <xf numFmtId="0" fontId="11" fillId="33" borderId="0" applyNumberFormat="0" applyBorder="0" applyAlignment="0" applyProtection="0"/>
    <xf numFmtId="0" fontId="11" fillId="36" borderId="0" applyNumberFormat="0" applyBorder="0" applyAlignment="0" applyProtection="0"/>
    <xf numFmtId="0" fontId="11" fillId="18"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3"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45" borderId="0" applyNumberFormat="0" applyBorder="0" applyAlignment="0" applyProtection="0"/>
    <xf numFmtId="0" fontId="25" fillId="0" borderId="0"/>
    <xf numFmtId="40" fontId="25" fillId="0" borderId="0" applyFont="0" applyFill="0" applyBorder="0" applyAlignment="0" applyProtection="0"/>
    <xf numFmtId="8" fontId="25" fillId="0" borderId="0" applyFont="0" applyFill="0" applyBorder="0" applyAlignment="0" applyProtection="0"/>
    <xf numFmtId="9" fontId="25" fillId="0" borderId="0" applyFont="0" applyFill="0" applyBorder="0" applyAlignment="0" applyProtection="0"/>
    <xf numFmtId="43" fontId="34" fillId="0" borderId="0" applyFont="0" applyFill="0" applyBorder="0" applyAlignment="0" applyProtection="0"/>
    <xf numFmtId="0" fontId="35" fillId="0" borderId="0"/>
    <xf numFmtId="0" fontId="34" fillId="0" borderId="0"/>
    <xf numFmtId="0" fontId="33" fillId="0" borderId="0"/>
    <xf numFmtId="0" fontId="11" fillId="0" borderId="0"/>
    <xf numFmtId="0" fontId="11" fillId="29" borderId="15" applyNumberFormat="0" applyFont="0" applyAlignment="0" applyProtection="0"/>
    <xf numFmtId="0" fontId="34" fillId="0" borderId="0"/>
    <xf numFmtId="43" fontId="33" fillId="0" borderId="0" applyFont="0" applyFill="0" applyBorder="0" applyAlignment="0" applyProtection="0"/>
    <xf numFmtId="0" fontId="31" fillId="0" borderId="0"/>
    <xf numFmtId="0" fontId="11" fillId="0" borderId="0"/>
    <xf numFmtId="0" fontId="31" fillId="0" borderId="0"/>
    <xf numFmtId="0" fontId="34" fillId="0" borderId="0"/>
  </cellStyleXfs>
  <cellXfs count="31">
    <xf numFmtId="0" fontId="0" fillId="0" borderId="0" xfId="0"/>
    <xf numFmtId="0" fontId="0" fillId="0" borderId="0" xfId="0" applyFont="1" applyAlignment="1" applyProtection="1">
      <alignment horizontal="right"/>
    </xf>
    <xf numFmtId="0" fontId="0" fillId="0" borderId="0" xfId="0" applyAlignment="1" applyProtection="1">
      <alignment horizontal="right"/>
    </xf>
    <xf numFmtId="0" fontId="0" fillId="0" borderId="0" xfId="0" applyProtection="1"/>
    <xf numFmtId="0" fontId="0" fillId="0" borderId="0" xfId="0" applyBorder="1" applyProtection="1"/>
    <xf numFmtId="3" fontId="0" fillId="0" borderId="0" xfId="0" applyNumberFormat="1" applyFont="1" applyBorder="1" applyProtection="1"/>
    <xf numFmtId="0" fontId="32" fillId="0" borderId="0" xfId="0" applyFont="1" applyFill="1" applyProtection="1">
      <protection locked="0"/>
    </xf>
    <xf numFmtId="0" fontId="32" fillId="0" borderId="0" xfId="42" applyFont="1" applyFill="1" applyProtection="1"/>
    <xf numFmtId="0" fontId="36" fillId="0" borderId="0" xfId="0" applyFont="1"/>
    <xf numFmtId="0" fontId="32" fillId="0" borderId="0" xfId="0" applyFont="1"/>
    <xf numFmtId="0" fontId="36" fillId="0" borderId="0" xfId="0" applyFont="1" applyAlignment="1">
      <alignment horizontal="center"/>
    </xf>
    <xf numFmtId="0" fontId="37" fillId="0" borderId="0" xfId="0" applyFont="1"/>
    <xf numFmtId="0" fontId="36" fillId="0" borderId="0" xfId="0" applyFont="1" applyFill="1" applyAlignment="1">
      <alignment horizontal="center"/>
    </xf>
    <xf numFmtId="0" fontId="32" fillId="0" borderId="0" xfId="42" applyFont="1" applyFill="1" applyAlignment="1" applyProtection="1">
      <alignment horizontal="center"/>
    </xf>
    <xf numFmtId="0" fontId="32" fillId="0" borderId="0" xfId="0" applyFont="1" applyFill="1"/>
    <xf numFmtId="0" fontId="0" fillId="48" borderId="4" xfId="0" applyFill="1" applyBorder="1" applyProtection="1">
      <protection locked="0"/>
    </xf>
    <xf numFmtId="0" fontId="1" fillId="47" borderId="8" xfId="0" applyFont="1" applyFill="1" applyBorder="1" applyAlignment="1" applyProtection="1">
      <alignment horizontal="center"/>
    </xf>
    <xf numFmtId="3" fontId="0" fillId="48" borderId="5" xfId="0" applyNumberFormat="1" applyFont="1" applyFill="1" applyBorder="1" applyProtection="1">
      <protection locked="0"/>
    </xf>
    <xf numFmtId="3" fontId="0" fillId="48" borderId="6" xfId="0" applyNumberFormat="1" applyFont="1" applyFill="1" applyBorder="1" applyProtection="1">
      <protection locked="0"/>
    </xf>
    <xf numFmtId="3" fontId="0" fillId="48" borderId="7" xfId="0" applyNumberFormat="1" applyFont="1" applyFill="1" applyBorder="1" applyProtection="1">
      <protection locked="0"/>
    </xf>
    <xf numFmtId="0" fontId="5" fillId="0" borderId="0" xfId="0" applyFont="1" applyAlignment="1" applyProtection="1">
      <alignment horizontal="left"/>
    </xf>
    <xf numFmtId="0" fontId="38" fillId="0" borderId="4" xfId="0" applyFont="1" applyBorder="1" applyAlignment="1" applyProtection="1">
      <alignment horizontal="center" wrapText="1"/>
    </xf>
    <xf numFmtId="0" fontId="37" fillId="0" borderId="17" xfId="0" applyFont="1" applyBorder="1" applyAlignment="1" applyProtection="1">
      <alignment horizontal="left" wrapText="1"/>
    </xf>
    <xf numFmtId="0" fontId="37" fillId="0" borderId="0" xfId="0" applyFont="1" applyAlignment="1" applyProtection="1">
      <alignment horizontal="left" wrapText="1"/>
    </xf>
    <xf numFmtId="0" fontId="2" fillId="0" borderId="21" xfId="0" applyFont="1" applyBorder="1" applyAlignment="1" applyProtection="1">
      <alignment horizontal="right" wrapText="1"/>
    </xf>
    <xf numFmtId="0" fontId="2" fillId="0" borderId="9" xfId="0" applyFont="1" applyBorder="1" applyAlignment="1" applyProtection="1">
      <alignment horizontal="right" wrapText="1"/>
    </xf>
    <xf numFmtId="0" fontId="6" fillId="0" borderId="9" xfId="0" applyFont="1" applyBorder="1" applyAlignment="1" applyProtection="1">
      <alignment horizontal="right" wrapText="1"/>
    </xf>
    <xf numFmtId="0" fontId="2" fillId="0" borderId="22" xfId="0" applyFont="1" applyBorder="1" applyAlignment="1" applyProtection="1">
      <alignment horizontal="right" wrapText="1"/>
    </xf>
    <xf numFmtId="0" fontId="6" fillId="0" borderId="10" xfId="0" applyFont="1" applyBorder="1" applyAlignment="1" applyProtection="1">
      <alignment horizontal="right" wrapText="1"/>
    </xf>
    <xf numFmtId="0" fontId="0" fillId="0" borderId="0" xfId="0" applyBorder="1" applyAlignment="1" applyProtection="1">
      <alignment horizontal="right" wrapText="1"/>
    </xf>
    <xf numFmtId="0" fontId="12" fillId="0" borderId="0" xfId="0" applyFont="1" applyProtection="1"/>
  </cellXfs>
  <cellStyles count="103">
    <cellStyle name="20% - Accent1" xfId="1" builtinId="30" customBuiltin="1"/>
    <cellStyle name="20% - Accent1 2" xfId="75"/>
    <cellStyle name="20% - Accent1 3" xfId="56"/>
    <cellStyle name="20% - Accent2" xfId="2" builtinId="34" customBuiltin="1"/>
    <cellStyle name="20% - Accent2 2" xfId="77"/>
    <cellStyle name="20% - Accent2 3" xfId="60"/>
    <cellStyle name="20% - Accent3" xfId="3" builtinId="38" customBuiltin="1"/>
    <cellStyle name="20% - Accent3 2" xfId="79"/>
    <cellStyle name="20% - Accent3 3" xfId="62"/>
    <cellStyle name="20% - Accent4" xfId="4" builtinId="42" customBuiltin="1"/>
    <cellStyle name="20% - Accent4 2" xfId="81"/>
    <cellStyle name="20% - Accent4 3" xfId="66"/>
    <cellStyle name="20% - Accent5" xfId="5" builtinId="46" customBuiltin="1"/>
    <cellStyle name="20% - Accent5 2" xfId="83"/>
    <cellStyle name="20% - Accent6" xfId="6" builtinId="50" customBuiltin="1"/>
    <cellStyle name="20% - Accent6 2" xfId="85"/>
    <cellStyle name="40% - Accent1" xfId="7" builtinId="31" customBuiltin="1"/>
    <cellStyle name="40% - Accent1 2" xfId="76"/>
    <cellStyle name="40% - Accent1 3" xfId="57"/>
    <cellStyle name="40% - Accent2" xfId="8" builtinId="35" customBuiltin="1"/>
    <cellStyle name="40% - Accent2 2" xfId="78"/>
    <cellStyle name="40% - Accent3" xfId="9" builtinId="39" customBuiltin="1"/>
    <cellStyle name="40% - Accent3 2" xfId="80"/>
    <cellStyle name="40% - Accent3 3" xfId="63"/>
    <cellStyle name="40% - Accent4" xfId="10" builtinId="43" customBuiltin="1"/>
    <cellStyle name="40% - Accent4 2" xfId="82"/>
    <cellStyle name="40% - Accent4 3" xfId="67"/>
    <cellStyle name="40% - Accent5" xfId="11" builtinId="47" customBuiltin="1"/>
    <cellStyle name="40% - Accent5 2" xfId="84"/>
    <cellStyle name="40% - Accent6" xfId="12" builtinId="51" customBuiltin="1"/>
    <cellStyle name="40% - Accent6 2" xfId="86"/>
    <cellStyle name="40% - Accent6 3" xfId="69"/>
    <cellStyle name="60% - Accent1" xfId="13" builtinId="32" customBuiltin="1"/>
    <cellStyle name="60% - Accent1 2" xfId="58"/>
    <cellStyle name="60% - Accent2" xfId="14" builtinId="36" customBuiltin="1"/>
    <cellStyle name="60% - Accent3" xfId="15" builtinId="40" customBuiltin="1"/>
    <cellStyle name="60% - Accent3 2" xfId="64"/>
    <cellStyle name="60% - Accent4" xfId="16" builtinId="44" customBuiltin="1"/>
    <cellStyle name="60% - Accent4 2" xfId="68"/>
    <cellStyle name="60% - Accent5" xfId="17" builtinId="48" customBuiltin="1"/>
    <cellStyle name="60% - Accent6" xfId="18" builtinId="52" customBuiltin="1"/>
    <cellStyle name="60% - Accent6 2" xfId="70"/>
    <cellStyle name="Accent1" xfId="19" builtinId="29" customBuiltin="1"/>
    <cellStyle name="Accent1 2" xfId="55"/>
    <cellStyle name="Accent2" xfId="20" builtinId="33" customBuiltin="1"/>
    <cellStyle name="Accent2 2" xfId="59"/>
    <cellStyle name="Accent3" xfId="21" builtinId="37" customBuiltin="1"/>
    <cellStyle name="Accent3 2" xfId="61"/>
    <cellStyle name="Accent4" xfId="22" builtinId="41" customBuiltin="1"/>
    <cellStyle name="Accent4 2" xfId="65"/>
    <cellStyle name="Accent5" xfId="23" builtinId="45" customBuiltin="1"/>
    <cellStyle name="Accent6" xfId="24" builtinId="49" customBuiltin="1"/>
    <cellStyle name="Bad" xfId="25" builtinId="27" customBuiltin="1"/>
    <cellStyle name="Bad 2" xfId="51"/>
    <cellStyle name="Calculation" xfId="26" builtinId="22" customBuiltin="1"/>
    <cellStyle name="Calculation 2" xfId="53"/>
    <cellStyle name="Check Cell" xfId="27" builtinId="23" customBuiltin="1"/>
    <cellStyle name="Comma 2" xfId="88"/>
    <cellStyle name="Comma 2 2" xfId="91"/>
    <cellStyle name="Comma 3" xfId="98"/>
    <cellStyle name="Comma 4" xfId="43"/>
    <cellStyle name="Currency 2" xfId="89"/>
    <cellStyle name="Currency 3" xfId="44"/>
    <cellStyle name="Explanatory Text" xfId="28" builtinId="53" customBuiltin="1"/>
    <cellStyle name="Good" xfId="29" builtinId="26" customBuiltin="1"/>
    <cellStyle name="Heading 1" xfId="30" builtinId="16" customBuiltin="1"/>
    <cellStyle name="Heading 1 2" xfId="47"/>
    <cellStyle name="Heading 2" xfId="31" builtinId="17" customBuiltin="1"/>
    <cellStyle name="Heading 2 2" xfId="48"/>
    <cellStyle name="Heading 3" xfId="32" builtinId="18" customBuiltin="1"/>
    <cellStyle name="Heading 3 2" xfId="49"/>
    <cellStyle name="Heading 4" xfId="33" builtinId="19" customBuiltin="1"/>
    <cellStyle name="Heading 4 2" xfId="50"/>
    <cellStyle name="Input" xfId="34" builtinId="20" customBuiltin="1"/>
    <cellStyle name="Linked Cell" xfId="35" builtinId="24" customBuiltin="1"/>
    <cellStyle name="Neutral" xfId="36" builtinId="28" customBuiltin="1"/>
    <cellStyle name="Normal" xfId="0" builtinId="0"/>
    <cellStyle name="Normal 2" xfId="71"/>
    <cellStyle name="Normal 2 2" xfId="93"/>
    <cellStyle name="Normal 2 2 2" xfId="102"/>
    <cellStyle name="Normal 2 2 3" xfId="99"/>
    <cellStyle name="Normal 2 3" xfId="92"/>
    <cellStyle name="Normal 2 4" xfId="97"/>
    <cellStyle name="Normal 2 5" xfId="95"/>
    <cellStyle name="Normal 3" xfId="73"/>
    <cellStyle name="Normal 3 2" xfId="100"/>
    <cellStyle name="Normal 4" xfId="87"/>
    <cellStyle name="Normal 4 2" xfId="101"/>
    <cellStyle name="Normal 5" xfId="94"/>
    <cellStyle name="Normal 6" xfId="74"/>
    <cellStyle name="Normal 7" xfId="42"/>
    <cellStyle name="Note" xfId="37" builtinId="10" customBuiltin="1"/>
    <cellStyle name="Note 2" xfId="72"/>
    <cellStyle name="Note 2 2" xfId="96"/>
    <cellStyle name="Output" xfId="38" builtinId="21" customBuiltin="1"/>
    <cellStyle name="Output 2" xfId="52"/>
    <cellStyle name="Percent 2" xfId="90"/>
    <cellStyle name="Percent 3" xfId="45"/>
    <cellStyle name="Title" xfId="39" builtinId="15" customBuiltin="1"/>
    <cellStyle name="Title 2" xfId="46"/>
    <cellStyle name="Total" xfId="40" builtinId="25" customBuiltin="1"/>
    <cellStyle name="Total 2" xfId="54"/>
    <cellStyle name="Warning Text" xfId="41"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106680</xdr:colOff>
      <xdr:row>12</xdr:row>
      <xdr:rowOff>167640</xdr:rowOff>
    </xdr:from>
    <xdr:to>
      <xdr:col>2</xdr:col>
      <xdr:colOff>1581150</xdr:colOff>
      <xdr:row>36</xdr:row>
      <xdr:rowOff>38099</xdr:rowOff>
    </xdr:to>
    <xdr:sp macro="" textlink="">
      <xdr:nvSpPr>
        <xdr:cNvPr id="1047" name="TextBox 1"/>
        <xdr:cNvSpPr txBox="1">
          <a:spLocks noChangeArrowheads="1"/>
        </xdr:cNvSpPr>
      </xdr:nvSpPr>
      <xdr:spPr bwMode="auto">
        <a:xfrm>
          <a:off x="106680" y="4168140"/>
          <a:ext cx="4998720" cy="4442459"/>
        </a:xfrm>
        <a:prstGeom prst="rect">
          <a:avLst/>
        </a:prstGeom>
        <a:solidFill>
          <a:srgbClr val="F2DCDB"/>
        </a:solidFill>
        <a:ln w="9525">
          <a:solidFill>
            <a:srgbClr val="BCBCBC"/>
          </a:solidFill>
          <a:miter lim="800000"/>
          <a:headEnd/>
          <a:tailEnd/>
        </a:ln>
        <a:effectLst>
          <a:outerShdw blurRad="50800" dist="50800" dir="5400000" algn="ctr" rotWithShape="0">
            <a:srgbClr val="F2DCDB">
              <a:alpha val="74997"/>
            </a:srgbClr>
          </a:outerShdw>
        </a:effectLst>
      </xdr:spPr>
      <xdr:txBody>
        <a:bodyPr vertOverflow="clip" wrap="square" lIns="27432" tIns="22860" rIns="0" bIns="0" anchor="t"/>
        <a:lstStyle/>
        <a:p>
          <a:pPr algn="l" rtl="0">
            <a:defRPr sz="1000"/>
          </a:pPr>
          <a:r>
            <a:rPr lang="en-US" sz="1100" b="0" i="0" u="none" strike="noStrike" baseline="0">
              <a:solidFill>
                <a:srgbClr val="000000"/>
              </a:solidFill>
              <a:latin typeface="Calibri"/>
              <a:cs typeface="Calibri"/>
            </a:rPr>
            <a:t>TO:            Chief School Administrators, Public School Districts</a:t>
          </a:r>
        </a:p>
        <a:p>
          <a:pPr algn="l" rtl="0">
            <a:defRPr sz="1000"/>
          </a:pPr>
          <a:r>
            <a:rPr lang="en-US" sz="1100" b="0" i="0" u="none" strike="noStrike" baseline="0">
              <a:solidFill>
                <a:srgbClr val="000000"/>
              </a:solidFill>
              <a:latin typeface="Calibri"/>
              <a:cs typeface="Calibri"/>
            </a:rPr>
            <a:t>                   Directors of Interlocals/Service Centers</a:t>
          </a:r>
        </a:p>
        <a:p>
          <a:pPr algn="l" rtl="0">
            <a:defRPr sz="1000"/>
          </a:pPr>
          <a:r>
            <a:rPr lang="en-US" sz="1100" b="0" i="0" u="none" strike="noStrike" baseline="0">
              <a:solidFill>
                <a:srgbClr val="000000"/>
              </a:solidFill>
              <a:latin typeface="Calibri"/>
              <a:cs typeface="Calibri"/>
            </a:rPr>
            <a:t>                   Chief School Administrators, State Schools</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FROM:      Dale M. Dennis, Deputy Commissioner</a:t>
          </a:r>
        </a:p>
        <a:p>
          <a:pPr algn="l" rtl="0">
            <a:defRPr sz="1000"/>
          </a:pPr>
          <a:r>
            <a:rPr lang="en-US" sz="1100" b="0" i="0" u="none" strike="noStrike" baseline="0">
              <a:solidFill>
                <a:srgbClr val="000000"/>
              </a:solidFill>
              <a:latin typeface="Calibri"/>
              <a:cs typeface="Calibri"/>
            </a:rPr>
            <a:t>                   S. Craig Neuenswander, School Finance Director</a:t>
          </a:r>
        </a:p>
        <a:p>
          <a:pPr algn="l" rtl="0">
            <a:defRPr sz="1000"/>
          </a:pPr>
          <a:r>
            <a:rPr lang="en-US" sz="1100" b="0" i="0" u="none" strike="noStrike" baseline="0">
              <a:solidFill>
                <a:srgbClr val="000000"/>
              </a:solidFill>
              <a:latin typeface="Calibri"/>
              <a:cs typeface="Calibri"/>
            </a:rPr>
            <a:t>                   Sara Barnes, School Finance Coordinator</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SUBJECT:  ARRA/Ed Jobs Expenditures Requested</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All ARRA (American Recovery and Reinvestment Act) and Education Jobs Act expenditure data items are requested in order to comply with federal fiscal reports on behalf of the Census Bureau and the National Center for Education Statistics.</a:t>
          </a:r>
        </a:p>
        <a:p>
          <a:pPr algn="l" rtl="0">
            <a:defRPr sz="1000"/>
          </a:pPr>
          <a:endParaRPr lang="en-US" sz="1100" b="0" i="0" u="none" strike="noStrike" baseline="0">
            <a:solidFill>
              <a:srgbClr val="000000"/>
            </a:solidFill>
            <a:latin typeface="Calibri"/>
            <a:cs typeface="Calibri"/>
          </a:endParaRPr>
        </a:p>
        <a:p>
          <a:pPr algn="l" rtl="0">
            <a:defRPr sz="1000"/>
          </a:pPr>
          <a:r>
            <a:rPr lang="en-US" sz="1100" b="1" i="0" u="none" strike="noStrike" baseline="0">
              <a:solidFill>
                <a:schemeClr val="accent2">
                  <a:lumMod val="75000"/>
                </a:schemeClr>
              </a:solidFill>
              <a:latin typeface="Calibri"/>
              <a:cs typeface="Calibri"/>
            </a:rPr>
            <a:t>It is important to report only instructional expenditures (function 1000) on the first line; however, instructional expenditures should also be included  for total ARRA expenditures on the second line.  Do not include equipment/property expenditures  (object series 700 ) on the first or second lines -- report on third line only.</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Please  email the completed spreadsheet to Sara Barnes (sbarnes@ksde.org) by the end of business on Wednesday, </a:t>
          </a:r>
          <a:r>
            <a:rPr lang="en-US" sz="1100" b="1" i="0" u="sng" strike="noStrike" baseline="0">
              <a:solidFill>
                <a:srgbClr val="FF0000"/>
              </a:solidFill>
              <a:latin typeface="Calibri"/>
              <a:cs typeface="Calibri"/>
            </a:rPr>
            <a:t>January 2nd</a:t>
          </a:r>
          <a:r>
            <a:rPr lang="en-US" sz="1100" b="0" i="0" u="none" strike="noStrike" baseline="0">
              <a:solidFill>
                <a:srgbClr val="000000"/>
              </a:solidFill>
              <a:latin typeface="Calibri"/>
              <a:cs typeface="Calibri"/>
            </a:rPr>
            <a:t>.   Include in the email subject line  the following example:  </a:t>
          </a:r>
          <a:r>
            <a:rPr lang="en-US" sz="1100" b="1" i="0" u="none" strike="noStrike" baseline="0">
              <a:solidFill>
                <a:srgbClr val="000000"/>
              </a:solidFill>
              <a:latin typeface="Calibri"/>
              <a:cs typeface="Calibri"/>
            </a:rPr>
            <a:t>D0101-ARRA</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Content questions should be addressed to Sara Barnes at 785/296-4972 or sbarnes@ksde.org.  Your timely response is greatly appreciated.</a:t>
          </a:r>
        </a:p>
        <a:p>
          <a:pPr algn="l" rtl="0">
            <a:lnSpc>
              <a:spcPts val="1200"/>
            </a:lnSpc>
            <a:defRPr sz="1000"/>
          </a:pPr>
          <a:endParaRPr lang="en-US" sz="1100" b="0" i="0" u="none" strike="noStrike" baseline="0">
            <a:solidFill>
              <a:srgbClr val="000000"/>
            </a:solidFill>
            <a:latin typeface="Calibri"/>
            <a:cs typeface="Calibri"/>
          </a:endParaRPr>
        </a:p>
        <a:p>
          <a:pPr algn="l" rtl="0">
            <a:lnSpc>
              <a:spcPts val="1100"/>
            </a:lnSpc>
            <a:defRPr sz="1000"/>
          </a:pPr>
          <a:endParaRPr lang="en-US" sz="1100" b="0" i="0" u="none" strike="noStrike" baseline="0">
            <a:solidFill>
              <a:srgbClr val="000000"/>
            </a:solidFill>
            <a:latin typeface="Calibri"/>
            <a:cs typeface="Calibri"/>
          </a:endParaRPr>
        </a:p>
      </xdr:txBody>
    </xdr:sp>
    <xdr:clientData/>
  </xdr:twoCellAnchor>
  <xdr:twoCellAnchor>
    <xdr:from>
      <xdr:col>3</xdr:col>
      <xdr:colOff>171450</xdr:colOff>
      <xdr:row>13</xdr:row>
      <xdr:rowOff>1905</xdr:rowOff>
    </xdr:from>
    <xdr:to>
      <xdr:col>9</xdr:col>
      <xdr:colOff>542925</xdr:colOff>
      <xdr:row>35</xdr:row>
      <xdr:rowOff>9525</xdr:rowOff>
    </xdr:to>
    <xdr:sp macro="" textlink="">
      <xdr:nvSpPr>
        <xdr:cNvPr id="1048" name="TextBox 2"/>
        <xdr:cNvSpPr txBox="1">
          <a:spLocks noChangeArrowheads="1"/>
        </xdr:cNvSpPr>
      </xdr:nvSpPr>
      <xdr:spPr bwMode="auto">
        <a:xfrm>
          <a:off x="5305425" y="4192905"/>
          <a:ext cx="3857625" cy="4198620"/>
        </a:xfrm>
        <a:prstGeom prst="rect">
          <a:avLst/>
        </a:prstGeom>
        <a:solidFill>
          <a:srgbClr val="DCE6F2"/>
        </a:solidFill>
        <a:ln w="9525">
          <a:solidFill>
            <a:srgbClr val="95B3D7"/>
          </a:solidFill>
          <a:miter lim="800000"/>
          <a:headEnd/>
          <a:tailEnd/>
        </a:ln>
        <a:effectLst>
          <a:outerShdw blurRad="50800" dist="50800" dir="5400000" algn="ctr" rotWithShape="0">
            <a:srgbClr val="F2DCDB">
              <a:alpha val="74997"/>
            </a:srgbClr>
          </a:outerShdw>
        </a:effectLst>
      </xdr:spPr>
      <xdr:txBody>
        <a:bodyPr vertOverflow="clip" wrap="square" lIns="27432" tIns="22860" rIns="0" bIns="0" anchor="t"/>
        <a:lstStyle/>
        <a:p>
          <a:pPr algn="l" rtl="0">
            <a:defRPr sz="1000"/>
          </a:pPr>
          <a:r>
            <a:rPr lang="en-US" sz="1100" b="1" i="1" u="sng" strike="noStrike" baseline="0">
              <a:solidFill>
                <a:srgbClr val="000000"/>
              </a:solidFill>
              <a:latin typeface="Calibri"/>
              <a:cs typeface="Calibri"/>
            </a:rPr>
            <a:t>ARRA/Ed Jobs </a:t>
          </a:r>
          <a:r>
            <a:rPr lang="en-US" sz="1100" b="0" i="0" u="none" strike="noStrike" baseline="0">
              <a:solidFill>
                <a:srgbClr val="000000"/>
              </a:solidFill>
              <a:latin typeface="Calibri"/>
              <a:cs typeface="Calibri"/>
            </a:rPr>
            <a:t>expenditures reported above should include the following, as applicable to the 2011-12 fiscal year.  Be sure to consider all ARRA/Ed Jobs expenditures  </a:t>
          </a:r>
          <a:r>
            <a:rPr lang="en-US" sz="1100" b="1" i="0" u="sng" strike="noStrike" baseline="0">
              <a:solidFill>
                <a:srgbClr val="000000"/>
              </a:solidFill>
              <a:latin typeface="Calibri"/>
              <a:cs typeface="Calibri"/>
            </a:rPr>
            <a:t>(and only ARRA/Ed Jobs expenditures)</a:t>
          </a:r>
          <a:r>
            <a:rPr lang="en-US" sz="1100" b="0" i="0" u="none" strike="noStrike" baseline="0">
              <a:solidFill>
                <a:srgbClr val="000000"/>
              </a:solidFill>
              <a:latin typeface="Calibri"/>
              <a:cs typeface="Calibri"/>
            </a:rPr>
            <a:t>, whether received direct from the US Dept. of Education, State Department of Education, or other Agencies.  Below are examples:</a:t>
          </a:r>
        </a:p>
        <a:p>
          <a:pPr algn="l" rtl="0">
            <a:defRPr sz="1000"/>
          </a:pPr>
          <a:endParaRPr lang="en-US" sz="1100" b="0" i="0" u="none" strike="noStrike" baseline="0">
            <a:solidFill>
              <a:srgbClr val="000000"/>
            </a:solidFill>
            <a:latin typeface="Calibri"/>
            <a:cs typeface="Calibri"/>
          </a:endParaRPr>
        </a:p>
        <a:p>
          <a:pPr rtl="0"/>
          <a:r>
            <a:rPr lang="en-US" sz="1100" b="0" i="0" baseline="0">
              <a:effectLst/>
              <a:latin typeface="+mn-lt"/>
              <a:ea typeface="+mn-ea"/>
              <a:cs typeface="+mn-cs"/>
            </a:rPr>
            <a:t>Title I-A</a:t>
          </a:r>
          <a:endParaRPr lang="en-US">
            <a:effectLst/>
          </a:endParaRPr>
        </a:p>
        <a:p>
          <a:pPr rtl="0"/>
          <a:r>
            <a:rPr lang="en-US" sz="1100" b="0" i="0" baseline="0">
              <a:effectLst/>
              <a:latin typeface="+mn-lt"/>
              <a:ea typeface="+mn-ea"/>
              <a:cs typeface="+mn-cs"/>
            </a:rPr>
            <a:t>Title I -School Improvement</a:t>
          </a:r>
          <a:endParaRPr lang="en-US">
            <a:effectLst/>
          </a:endParaRPr>
        </a:p>
        <a:p>
          <a:pPr rtl="0"/>
          <a:r>
            <a:rPr lang="en-US" sz="1100" b="0" i="0" baseline="0">
              <a:effectLst/>
              <a:latin typeface="+mn-lt"/>
              <a:ea typeface="+mn-ea"/>
              <a:cs typeface="+mn-cs"/>
            </a:rPr>
            <a:t>Title I part D subpart 2 Delinquent</a:t>
          </a:r>
          <a:endParaRPr lang="en-US">
            <a:effectLst/>
          </a:endParaRPr>
        </a:p>
        <a:p>
          <a:pPr algn="l" rtl="0">
            <a:defRPr sz="1000"/>
          </a:pPr>
          <a:r>
            <a:rPr lang="en-US" sz="1100" b="0" i="0" u="none" strike="noStrike" baseline="0">
              <a:solidFill>
                <a:srgbClr val="000000"/>
              </a:solidFill>
              <a:latin typeface="Calibri"/>
              <a:cs typeface="Calibri"/>
            </a:rPr>
            <a:t>Title II-D Educational Technology</a:t>
          </a:r>
        </a:p>
        <a:p>
          <a:pPr algn="l" rtl="0">
            <a:defRPr sz="1000"/>
          </a:pPr>
          <a:r>
            <a:rPr lang="en-US" sz="1100" b="0" i="0" u="none" strike="noStrike" baseline="0">
              <a:solidFill>
                <a:srgbClr val="000000"/>
              </a:solidFill>
              <a:latin typeface="Calibri"/>
              <a:cs typeface="Calibri"/>
            </a:rPr>
            <a:t>Title II-D  Competitive</a:t>
          </a:r>
        </a:p>
        <a:p>
          <a:pPr algn="l" rtl="0">
            <a:defRPr sz="1000"/>
          </a:pPr>
          <a:r>
            <a:rPr lang="en-US" sz="1100" b="0" i="0" u="none" strike="noStrike" baseline="0">
              <a:solidFill>
                <a:srgbClr val="000000"/>
              </a:solidFill>
              <a:latin typeface="Calibri"/>
              <a:cs typeface="Calibri"/>
            </a:rPr>
            <a:t>Homeless</a:t>
          </a:r>
        </a:p>
        <a:p>
          <a:pPr algn="l" rtl="0">
            <a:defRPr sz="1000"/>
          </a:pPr>
          <a:r>
            <a:rPr lang="en-US" sz="1100" b="0" i="0" u="none" strike="noStrike" baseline="0">
              <a:solidFill>
                <a:srgbClr val="000000"/>
              </a:solidFill>
              <a:latin typeface="Calibri"/>
              <a:cs typeface="Calibri"/>
            </a:rPr>
            <a:t>Title VI-B PreK 3-5</a:t>
          </a:r>
        </a:p>
        <a:p>
          <a:pPr algn="l" rtl="0">
            <a:defRPr sz="1000"/>
          </a:pPr>
          <a:r>
            <a:rPr lang="en-US" sz="1100" b="0" i="0" u="none" strike="noStrike" baseline="0">
              <a:solidFill>
                <a:srgbClr val="000000"/>
              </a:solidFill>
              <a:latin typeface="Calibri"/>
              <a:cs typeface="Calibri"/>
            </a:rPr>
            <a:t>Title VI-B Grads 3-21</a:t>
          </a:r>
        </a:p>
        <a:p>
          <a:pPr algn="l" rtl="0">
            <a:defRPr sz="1000"/>
          </a:pPr>
          <a:r>
            <a:rPr lang="en-US" sz="1100" b="0" i="0" u="none" strike="noStrike" baseline="0">
              <a:solidFill>
                <a:srgbClr val="000000"/>
              </a:solidFill>
              <a:latin typeface="Calibri"/>
              <a:cs typeface="Calibri"/>
            </a:rPr>
            <a:t>Impact Aid Construction Formula (USD 207 and USD 475 only)</a:t>
          </a:r>
        </a:p>
        <a:p>
          <a:pPr algn="l" rtl="0">
            <a:defRPr sz="1000"/>
          </a:pPr>
          <a:r>
            <a:rPr lang="en-US" sz="1100" b="0" i="0" u="none" strike="noStrike" baseline="0">
              <a:solidFill>
                <a:srgbClr val="000000"/>
              </a:solidFill>
              <a:latin typeface="Calibri"/>
              <a:cs typeface="Calibri"/>
            </a:rPr>
            <a:t>Education Jobs -General Fund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37"/>
  <sheetViews>
    <sheetView tabSelected="1" zoomScaleNormal="100" workbookViewId="0">
      <selection activeCell="C1" sqref="C1"/>
    </sheetView>
  </sheetViews>
  <sheetFormatPr defaultColWidth="8.7109375" defaultRowHeight="15"/>
  <cols>
    <col min="1" max="1" width="25.5703125" customWidth="1"/>
    <col min="2" max="2" width="27.28515625" customWidth="1"/>
    <col min="3" max="3" width="24.140625" bestFit="1" customWidth="1"/>
  </cols>
  <sheetData>
    <row r="1" spans="1:11" ht="15.75" thickBot="1">
      <c r="B1" s="20" t="s">
        <v>1</v>
      </c>
      <c r="C1" s="15"/>
      <c r="D1" s="3"/>
      <c r="E1" s="30" t="b">
        <f>IF(C1&lt;&gt;207,C1&lt;&gt;475)</f>
        <v>1</v>
      </c>
      <c r="F1" s="3"/>
      <c r="G1" s="3"/>
      <c r="H1" s="3"/>
      <c r="I1" s="3"/>
      <c r="J1" s="3"/>
      <c r="K1" s="3"/>
    </row>
    <row r="2" spans="1:11">
      <c r="B2" s="20" t="s">
        <v>2</v>
      </c>
      <c r="C2" s="1" t="e">
        <f>VLOOKUP(C1,Sheet2!$A$1:$C$311,2,FALSE)</f>
        <v>#N/A</v>
      </c>
      <c r="D2" s="3"/>
      <c r="E2" s="3"/>
      <c r="F2" s="3"/>
      <c r="G2" s="3"/>
      <c r="H2" s="3"/>
      <c r="I2" s="3"/>
      <c r="J2" s="3"/>
      <c r="K2" s="3"/>
    </row>
    <row r="3" spans="1:11">
      <c r="B3" s="20" t="s">
        <v>3</v>
      </c>
      <c r="C3" s="2" t="e">
        <f>VLOOKUP(C1,Sheet2!$A$1:$C$311,3,FALSE)</f>
        <v>#N/A</v>
      </c>
      <c r="D3" s="3"/>
      <c r="E3" s="3"/>
      <c r="F3" s="3"/>
      <c r="G3" s="3"/>
      <c r="H3" s="3"/>
      <c r="I3" s="3"/>
      <c r="J3" s="3"/>
      <c r="K3" s="3"/>
    </row>
    <row r="4" spans="1:11">
      <c r="A4" s="3"/>
      <c r="B4" s="3"/>
      <c r="C4" s="3"/>
      <c r="D4" s="3"/>
      <c r="E4" s="3"/>
      <c r="F4" s="3"/>
      <c r="G4" s="3"/>
      <c r="H4" s="3"/>
      <c r="I4" s="3"/>
      <c r="J4" s="3"/>
      <c r="K4" s="3"/>
    </row>
    <row r="5" spans="1:11" ht="38.25" thickBot="1">
      <c r="A5" s="3"/>
      <c r="B5" s="3"/>
      <c r="C5" s="21" t="s">
        <v>132</v>
      </c>
      <c r="D5" s="3"/>
      <c r="E5" s="3"/>
      <c r="F5" s="3"/>
      <c r="G5" s="3"/>
      <c r="H5" s="3"/>
      <c r="I5" s="3"/>
      <c r="J5" s="3"/>
      <c r="K5" s="3"/>
    </row>
    <row r="6" spans="1:11" ht="15.75" thickBot="1">
      <c r="A6" s="4"/>
      <c r="B6" s="4"/>
      <c r="C6" s="16" t="s">
        <v>420</v>
      </c>
      <c r="D6" s="3"/>
      <c r="E6" s="3"/>
      <c r="F6" s="3"/>
      <c r="G6" s="3"/>
      <c r="H6" s="3"/>
      <c r="I6" s="3"/>
      <c r="J6" s="3"/>
      <c r="K6" s="3"/>
    </row>
    <row r="7" spans="1:11" ht="30" customHeight="1">
      <c r="A7" s="24" t="s">
        <v>421</v>
      </c>
      <c r="B7" s="25"/>
      <c r="C7" s="17"/>
      <c r="D7" s="22" t="str">
        <f>IF(C8&lt;C7, "Please verify Instructional expenditures; should not exceed total for all functions (1000, 2000, 3100, 3200) reported on next line.","")</f>
        <v/>
      </c>
      <c r="E7" s="23"/>
      <c r="F7" s="23"/>
      <c r="G7" s="23"/>
      <c r="H7" s="23"/>
      <c r="I7" s="23"/>
      <c r="J7" s="23"/>
      <c r="K7" s="3"/>
    </row>
    <row r="8" spans="1:11" ht="46.5" customHeight="1">
      <c r="A8" s="24" t="s">
        <v>422</v>
      </c>
      <c r="B8" s="26"/>
      <c r="C8" s="18"/>
      <c r="D8" s="22" t="str">
        <f>IF(C8=0, "Please verify total expenditures; should include function 1000 reported on line above.","")</f>
        <v>Please verify total expenditures; should include function 1000 reported on line above.</v>
      </c>
      <c r="E8" s="23"/>
      <c r="F8" s="23"/>
      <c r="G8" s="23"/>
      <c r="H8" s="23"/>
      <c r="I8" s="23"/>
      <c r="J8" s="23"/>
      <c r="K8" s="3"/>
    </row>
    <row r="9" spans="1:11" ht="46.5" customHeight="1">
      <c r="A9" s="24" t="s">
        <v>423</v>
      </c>
      <c r="B9" s="26"/>
      <c r="C9" s="18"/>
      <c r="D9" s="3"/>
      <c r="E9" s="3"/>
      <c r="F9" s="3"/>
      <c r="G9" s="3"/>
      <c r="H9" s="3"/>
      <c r="I9" s="3"/>
      <c r="J9" s="3"/>
      <c r="K9" s="3"/>
    </row>
    <row r="10" spans="1:11" ht="46.5" customHeight="1" thickBot="1">
      <c r="A10" s="27" t="s">
        <v>424</v>
      </c>
      <c r="B10" s="28"/>
      <c r="C10" s="19"/>
      <c r="D10" s="22" t="str">
        <f>IF(AND(E1=TRUE,C10&gt;0), "Please verify ARRA construction expenditures; applicable to only USD 207 and USD 475.","")</f>
        <v/>
      </c>
      <c r="E10" s="23"/>
      <c r="F10" s="23"/>
      <c r="G10" s="23"/>
      <c r="H10" s="23"/>
      <c r="I10" s="23"/>
      <c r="J10" s="23"/>
      <c r="K10" s="3"/>
    </row>
    <row r="11" spans="1:11" ht="15.75" thickTop="1">
      <c r="A11" s="29" t="s">
        <v>0</v>
      </c>
      <c r="B11" s="29"/>
      <c r="C11" s="5">
        <f>SUM(C8:C10)</f>
        <v>0</v>
      </c>
      <c r="D11" s="3"/>
      <c r="E11" s="3"/>
      <c r="F11" s="3"/>
      <c r="G11" s="3"/>
      <c r="H11" s="3"/>
      <c r="I11" s="3"/>
      <c r="J11" s="3"/>
      <c r="K11" s="3"/>
    </row>
    <row r="12" spans="1:11">
      <c r="A12" s="3"/>
      <c r="B12" s="3"/>
      <c r="C12" s="3"/>
      <c r="D12" s="3"/>
      <c r="E12" s="3"/>
      <c r="F12" s="3"/>
      <c r="G12" s="3"/>
      <c r="H12" s="3"/>
      <c r="I12" s="3"/>
      <c r="J12" s="3"/>
      <c r="K12" s="3"/>
    </row>
    <row r="13" spans="1:11">
      <c r="A13" s="3"/>
      <c r="B13" s="3"/>
      <c r="C13" s="3"/>
      <c r="D13" s="3"/>
      <c r="E13" s="3"/>
      <c r="F13" s="3"/>
      <c r="G13" s="3"/>
      <c r="H13" s="3"/>
      <c r="I13" s="3"/>
      <c r="J13" s="3"/>
      <c r="K13" s="3"/>
    </row>
    <row r="14" spans="1:11">
      <c r="A14" s="3"/>
      <c r="B14" s="3"/>
      <c r="C14" s="3"/>
      <c r="D14" s="3"/>
      <c r="E14" s="3"/>
      <c r="F14" s="3"/>
      <c r="G14" s="3"/>
      <c r="H14" s="3"/>
      <c r="I14" s="3"/>
      <c r="J14" s="3"/>
      <c r="K14" s="3"/>
    </row>
    <row r="15" spans="1:11">
      <c r="A15" s="3"/>
      <c r="B15" s="3"/>
      <c r="C15" s="3"/>
      <c r="D15" s="3"/>
      <c r="E15" s="3"/>
      <c r="F15" s="3"/>
      <c r="G15" s="3"/>
      <c r="H15" s="3"/>
      <c r="I15" s="3"/>
      <c r="J15" s="3"/>
      <c r="K15" s="3"/>
    </row>
    <row r="16" spans="1:11">
      <c r="A16" s="3"/>
      <c r="B16" s="3"/>
      <c r="C16" s="3"/>
      <c r="D16" s="3"/>
      <c r="E16" s="3"/>
      <c r="F16" s="3"/>
      <c r="G16" s="3"/>
      <c r="H16" s="3"/>
      <c r="I16" s="3"/>
      <c r="J16" s="3"/>
      <c r="K16" s="3"/>
    </row>
    <row r="17" spans="1:11">
      <c r="A17" s="3"/>
      <c r="B17" s="3"/>
      <c r="C17" s="3"/>
      <c r="D17" s="3"/>
      <c r="E17" s="3"/>
      <c r="F17" s="3"/>
      <c r="G17" s="3"/>
      <c r="H17" s="3"/>
      <c r="I17" s="3"/>
      <c r="J17" s="3"/>
      <c r="K17" s="3"/>
    </row>
    <row r="18" spans="1:11">
      <c r="A18" s="3"/>
      <c r="B18" s="3"/>
      <c r="C18" s="3"/>
      <c r="D18" s="3"/>
      <c r="E18" s="3"/>
      <c r="F18" s="3"/>
      <c r="G18" s="3"/>
      <c r="H18" s="3"/>
      <c r="I18" s="3"/>
      <c r="J18" s="3"/>
      <c r="K18" s="3"/>
    </row>
    <row r="19" spans="1:11">
      <c r="A19" s="3"/>
      <c r="B19" s="3"/>
      <c r="C19" s="3"/>
      <c r="D19" s="3"/>
      <c r="E19" s="3"/>
      <c r="F19" s="3"/>
      <c r="G19" s="3"/>
      <c r="H19" s="3"/>
      <c r="I19" s="3"/>
      <c r="J19" s="3"/>
      <c r="K19" s="3"/>
    </row>
    <row r="20" spans="1:11">
      <c r="A20" s="3"/>
      <c r="B20" s="3"/>
      <c r="C20" s="3"/>
      <c r="D20" s="3"/>
      <c r="E20" s="3"/>
      <c r="F20" s="3"/>
      <c r="G20" s="3"/>
      <c r="H20" s="3"/>
      <c r="I20" s="3"/>
      <c r="J20" s="3"/>
      <c r="K20" s="3"/>
    </row>
    <row r="21" spans="1:11">
      <c r="A21" s="3"/>
      <c r="B21" s="3"/>
      <c r="C21" s="3"/>
      <c r="D21" s="3"/>
      <c r="E21" s="3"/>
      <c r="F21" s="3"/>
      <c r="G21" s="3"/>
      <c r="H21" s="3"/>
      <c r="I21" s="3"/>
      <c r="J21" s="3"/>
      <c r="K21" s="3"/>
    </row>
    <row r="22" spans="1:11">
      <c r="A22" s="3"/>
      <c r="B22" s="3"/>
      <c r="C22" s="3"/>
      <c r="D22" s="3"/>
      <c r="E22" s="3"/>
      <c r="F22" s="3"/>
      <c r="G22" s="3"/>
      <c r="H22" s="3"/>
      <c r="I22" s="3"/>
      <c r="J22" s="3"/>
      <c r="K22" s="3"/>
    </row>
    <row r="23" spans="1:11">
      <c r="A23" s="3"/>
      <c r="B23" s="3"/>
      <c r="C23" s="3"/>
      <c r="D23" s="3"/>
      <c r="E23" s="3"/>
      <c r="F23" s="3"/>
      <c r="G23" s="3"/>
      <c r="H23" s="3"/>
      <c r="I23" s="3"/>
      <c r="J23" s="3"/>
      <c r="K23" s="3"/>
    </row>
    <row r="24" spans="1:11">
      <c r="A24" s="3"/>
      <c r="B24" s="3"/>
      <c r="C24" s="3"/>
      <c r="D24" s="3"/>
      <c r="E24" s="3"/>
      <c r="F24" s="3"/>
      <c r="G24" s="3"/>
      <c r="H24" s="3"/>
      <c r="I24" s="3"/>
      <c r="J24" s="3"/>
      <c r="K24" s="3"/>
    </row>
    <row r="25" spans="1:11">
      <c r="A25" s="3"/>
      <c r="B25" s="3"/>
      <c r="C25" s="3"/>
      <c r="D25" s="3"/>
      <c r="E25" s="3"/>
      <c r="F25" s="3"/>
      <c r="G25" s="3"/>
      <c r="H25" s="3"/>
      <c r="I25" s="3"/>
      <c r="J25" s="3"/>
      <c r="K25" s="3"/>
    </row>
    <row r="26" spans="1:11">
      <c r="A26" s="3"/>
      <c r="B26" s="3"/>
      <c r="C26" s="3"/>
      <c r="D26" s="3"/>
      <c r="E26" s="3"/>
      <c r="F26" s="3"/>
      <c r="G26" s="3"/>
      <c r="H26" s="3"/>
      <c r="I26" s="3"/>
      <c r="J26" s="3"/>
      <c r="K26" s="3"/>
    </row>
    <row r="27" spans="1:11">
      <c r="A27" s="3"/>
      <c r="B27" s="3"/>
      <c r="C27" s="3"/>
      <c r="D27" s="3"/>
      <c r="E27" s="3"/>
      <c r="F27" s="3"/>
      <c r="G27" s="3"/>
      <c r="H27" s="3"/>
      <c r="I27" s="3"/>
      <c r="J27" s="3"/>
      <c r="K27" s="3"/>
    </row>
    <row r="28" spans="1:11">
      <c r="A28" s="3"/>
      <c r="B28" s="3"/>
      <c r="C28" s="3"/>
      <c r="D28" s="3"/>
      <c r="E28" s="3"/>
      <c r="F28" s="3"/>
      <c r="G28" s="3"/>
      <c r="H28" s="3"/>
      <c r="I28" s="3"/>
      <c r="J28" s="3"/>
      <c r="K28" s="3"/>
    </row>
    <row r="29" spans="1:11">
      <c r="A29" s="3"/>
      <c r="B29" s="3"/>
      <c r="C29" s="3"/>
      <c r="D29" s="3"/>
      <c r="E29" s="3"/>
      <c r="F29" s="3"/>
      <c r="G29" s="3"/>
      <c r="H29" s="3"/>
      <c r="I29" s="3"/>
      <c r="J29" s="3"/>
      <c r="K29" s="3"/>
    </row>
    <row r="30" spans="1:11">
      <c r="A30" s="3"/>
      <c r="B30" s="3"/>
      <c r="C30" s="3"/>
      <c r="D30" s="3"/>
      <c r="E30" s="3"/>
      <c r="F30" s="3"/>
      <c r="G30" s="3"/>
      <c r="H30" s="3"/>
      <c r="I30" s="3"/>
      <c r="J30" s="3"/>
      <c r="K30" s="3"/>
    </row>
    <row r="31" spans="1:11">
      <c r="A31" s="3"/>
      <c r="B31" s="3"/>
      <c r="C31" s="3"/>
      <c r="D31" s="3"/>
      <c r="E31" s="3"/>
      <c r="F31" s="3"/>
      <c r="G31" s="3"/>
      <c r="H31" s="3"/>
      <c r="I31" s="3"/>
      <c r="J31" s="3"/>
      <c r="K31" s="3"/>
    </row>
    <row r="32" spans="1:11">
      <c r="A32" s="3"/>
      <c r="B32" s="3"/>
      <c r="C32" s="3"/>
      <c r="D32" s="3"/>
      <c r="E32" s="3"/>
      <c r="F32" s="3"/>
      <c r="G32" s="3"/>
      <c r="H32" s="3"/>
      <c r="I32" s="3"/>
      <c r="J32" s="3"/>
      <c r="K32" s="3"/>
    </row>
    <row r="33" spans="1:11">
      <c r="A33" s="3"/>
      <c r="B33" s="3"/>
      <c r="C33" s="3"/>
      <c r="D33" s="3"/>
      <c r="E33" s="3"/>
      <c r="F33" s="3"/>
      <c r="G33" s="3"/>
      <c r="H33" s="3"/>
      <c r="I33" s="3"/>
      <c r="J33" s="3"/>
      <c r="K33" s="3"/>
    </row>
    <row r="34" spans="1:11">
      <c r="A34" s="3"/>
      <c r="B34" s="3"/>
      <c r="C34" s="3"/>
      <c r="D34" s="3"/>
      <c r="E34" s="3"/>
      <c r="F34" s="3"/>
      <c r="G34" s="3"/>
      <c r="H34" s="3"/>
      <c r="I34" s="3"/>
      <c r="J34" s="3"/>
      <c r="K34" s="3"/>
    </row>
    <row r="35" spans="1:11">
      <c r="A35" s="3"/>
      <c r="B35" s="3"/>
      <c r="C35" s="3"/>
      <c r="D35" s="3"/>
      <c r="E35" s="3"/>
      <c r="F35" s="3"/>
      <c r="G35" s="3"/>
      <c r="H35" s="3"/>
      <c r="I35" s="3"/>
      <c r="J35" s="3"/>
      <c r="K35" s="3"/>
    </row>
    <row r="36" spans="1:11">
      <c r="A36" s="3"/>
      <c r="B36" s="3"/>
      <c r="C36" s="3"/>
      <c r="D36" s="3"/>
      <c r="E36" s="3"/>
      <c r="F36" s="3"/>
      <c r="G36" s="3"/>
      <c r="H36" s="3"/>
      <c r="I36" s="3"/>
      <c r="J36" s="3"/>
      <c r="K36" s="3"/>
    </row>
    <row r="37" spans="1:11">
      <c r="A37" s="3"/>
      <c r="B37" s="3"/>
      <c r="C37" s="3"/>
      <c r="D37" s="3"/>
      <c r="E37" s="3"/>
      <c r="F37" s="3"/>
      <c r="G37" s="3"/>
      <c r="H37" s="3"/>
      <c r="I37" s="3"/>
      <c r="J37" s="3"/>
      <c r="K37" s="3"/>
    </row>
  </sheetData>
  <sheetProtection password="C905" sheet="1" objects="1" scenarios="1"/>
  <mergeCells count="8">
    <mergeCell ref="A11:B11"/>
    <mergeCell ref="D8:J8"/>
    <mergeCell ref="D7:J7"/>
    <mergeCell ref="D10:J10"/>
    <mergeCell ref="A7:B7"/>
    <mergeCell ref="A8:B8"/>
    <mergeCell ref="A9:B9"/>
    <mergeCell ref="A10:B10"/>
  </mergeCells>
  <phoneticPr fontId="7" type="noConversion"/>
  <pageMargins left="0.2" right="0.2" top="0.25" bottom="0.25" header="0.3" footer="0.3"/>
  <pageSetup scale="8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311"/>
  <sheetViews>
    <sheetView workbookViewId="0"/>
  </sheetViews>
  <sheetFormatPr defaultColWidth="8.7109375" defaultRowHeight="12.75"/>
  <cols>
    <col min="1" max="1" width="9.140625" style="10" customWidth="1"/>
    <col min="2" max="2" width="33.42578125" style="8" bestFit="1" customWidth="1"/>
    <col min="3" max="3" width="17" style="8" customWidth="1"/>
    <col min="4" max="16384" width="8.7109375" style="11"/>
  </cols>
  <sheetData>
    <row r="1" spans="1:3">
      <c r="A1" s="13">
        <v>101</v>
      </c>
      <c r="B1" s="7" t="s">
        <v>136</v>
      </c>
      <c r="C1" s="7" t="s">
        <v>4</v>
      </c>
    </row>
    <row r="2" spans="1:3">
      <c r="A2" s="13">
        <v>102</v>
      </c>
      <c r="B2" s="7" t="s">
        <v>137</v>
      </c>
      <c r="C2" s="7" t="s">
        <v>5</v>
      </c>
    </row>
    <row r="3" spans="1:3">
      <c r="A3" s="13">
        <v>103</v>
      </c>
      <c r="B3" s="7" t="s">
        <v>138</v>
      </c>
      <c r="C3" s="7" t="s">
        <v>6</v>
      </c>
    </row>
    <row r="4" spans="1:3">
      <c r="A4" s="13">
        <v>105</v>
      </c>
      <c r="B4" s="7" t="s">
        <v>139</v>
      </c>
      <c r="C4" s="7" t="s">
        <v>7</v>
      </c>
    </row>
    <row r="5" spans="1:3">
      <c r="A5" s="13">
        <v>106</v>
      </c>
      <c r="B5" s="7" t="s">
        <v>140</v>
      </c>
      <c r="C5" s="7" t="s">
        <v>8</v>
      </c>
    </row>
    <row r="6" spans="1:3">
      <c r="A6" s="13">
        <v>107</v>
      </c>
      <c r="B6" s="7" t="s">
        <v>141</v>
      </c>
      <c r="C6" s="7" t="s">
        <v>9</v>
      </c>
    </row>
    <row r="7" spans="1:3">
      <c r="A7" s="13">
        <v>108</v>
      </c>
      <c r="B7" s="7" t="s">
        <v>142</v>
      </c>
      <c r="C7" s="7" t="s">
        <v>10</v>
      </c>
    </row>
    <row r="8" spans="1:3">
      <c r="A8" s="13">
        <v>109</v>
      </c>
      <c r="B8" s="7" t="s">
        <v>143</v>
      </c>
      <c r="C8" s="7" t="s">
        <v>11</v>
      </c>
    </row>
    <row r="9" spans="1:3">
      <c r="A9" s="13">
        <v>110</v>
      </c>
      <c r="B9" s="7" t="s">
        <v>144</v>
      </c>
      <c r="C9" s="7" t="s">
        <v>12</v>
      </c>
    </row>
    <row r="10" spans="1:3">
      <c r="A10" s="13">
        <v>111</v>
      </c>
      <c r="B10" s="7" t="s">
        <v>145</v>
      </c>
      <c r="C10" s="7" t="s">
        <v>13</v>
      </c>
    </row>
    <row r="11" spans="1:3">
      <c r="A11" s="13">
        <v>112</v>
      </c>
      <c r="B11" s="7" t="s">
        <v>146</v>
      </c>
      <c r="C11" s="7" t="s">
        <v>55</v>
      </c>
    </row>
    <row r="12" spans="1:3">
      <c r="A12" s="13">
        <v>113</v>
      </c>
      <c r="B12" s="7" t="s">
        <v>147</v>
      </c>
      <c r="C12" s="7" t="s">
        <v>96</v>
      </c>
    </row>
    <row r="13" spans="1:3">
      <c r="A13" s="13">
        <v>114</v>
      </c>
      <c r="B13" s="7" t="s">
        <v>148</v>
      </c>
      <c r="C13" s="7" t="s">
        <v>13</v>
      </c>
    </row>
    <row r="14" spans="1:3">
      <c r="A14" s="13">
        <v>115</v>
      </c>
      <c r="B14" s="7" t="s">
        <v>149</v>
      </c>
      <c r="C14" s="7" t="s">
        <v>96</v>
      </c>
    </row>
    <row r="15" spans="1:3">
      <c r="A15" s="13">
        <v>200</v>
      </c>
      <c r="B15" s="7" t="s">
        <v>150</v>
      </c>
      <c r="C15" s="7" t="s">
        <v>14</v>
      </c>
    </row>
    <row r="16" spans="1:3">
      <c r="A16" s="13">
        <v>202</v>
      </c>
      <c r="B16" s="7" t="s">
        <v>151</v>
      </c>
      <c r="C16" s="7" t="s">
        <v>15</v>
      </c>
    </row>
    <row r="17" spans="1:3">
      <c r="A17" s="13">
        <v>203</v>
      </c>
      <c r="B17" s="7" t="s">
        <v>152</v>
      </c>
      <c r="C17" s="7" t="s">
        <v>15</v>
      </c>
    </row>
    <row r="18" spans="1:3">
      <c r="A18" s="13">
        <v>204</v>
      </c>
      <c r="B18" s="7" t="s">
        <v>153</v>
      </c>
      <c r="C18" s="7" t="s">
        <v>15</v>
      </c>
    </row>
    <row r="19" spans="1:3">
      <c r="A19" s="13">
        <v>205</v>
      </c>
      <c r="B19" s="7" t="s">
        <v>154</v>
      </c>
      <c r="C19" s="7" t="s">
        <v>16</v>
      </c>
    </row>
    <row r="20" spans="1:3">
      <c r="A20" s="13">
        <v>206</v>
      </c>
      <c r="B20" s="7" t="s">
        <v>155</v>
      </c>
      <c r="C20" s="7" t="s">
        <v>16</v>
      </c>
    </row>
    <row r="21" spans="1:3">
      <c r="A21" s="13">
        <v>207</v>
      </c>
      <c r="B21" s="7" t="s">
        <v>156</v>
      </c>
      <c r="C21" s="7" t="s">
        <v>17</v>
      </c>
    </row>
    <row r="22" spans="1:3">
      <c r="A22" s="13">
        <v>208</v>
      </c>
      <c r="B22" s="7" t="s">
        <v>157</v>
      </c>
      <c r="C22" s="7" t="s">
        <v>18</v>
      </c>
    </row>
    <row r="23" spans="1:3">
      <c r="A23" s="13">
        <v>209</v>
      </c>
      <c r="B23" s="7" t="s">
        <v>158</v>
      </c>
      <c r="C23" s="7" t="s">
        <v>19</v>
      </c>
    </row>
    <row r="24" spans="1:3">
      <c r="A24" s="13">
        <v>210</v>
      </c>
      <c r="B24" s="7" t="s">
        <v>159</v>
      </c>
      <c r="C24" s="7" t="s">
        <v>19</v>
      </c>
    </row>
    <row r="25" spans="1:3">
      <c r="A25" s="13">
        <v>211</v>
      </c>
      <c r="B25" s="7" t="s">
        <v>160</v>
      </c>
      <c r="C25" s="7" t="s">
        <v>20</v>
      </c>
    </row>
    <row r="26" spans="1:3">
      <c r="A26" s="13">
        <v>212</v>
      </c>
      <c r="B26" s="7" t="s">
        <v>161</v>
      </c>
      <c r="C26" s="7" t="s">
        <v>20</v>
      </c>
    </row>
    <row r="27" spans="1:3">
      <c r="A27" s="13">
        <v>214</v>
      </c>
      <c r="B27" s="7" t="s">
        <v>162</v>
      </c>
      <c r="C27" s="7" t="s">
        <v>21</v>
      </c>
    </row>
    <row r="28" spans="1:3">
      <c r="A28" s="13">
        <v>215</v>
      </c>
      <c r="B28" s="7" t="s">
        <v>163</v>
      </c>
      <c r="C28" s="7" t="s">
        <v>22</v>
      </c>
    </row>
    <row r="29" spans="1:3">
      <c r="A29" s="13">
        <v>216</v>
      </c>
      <c r="B29" s="7" t="s">
        <v>164</v>
      </c>
      <c r="C29" s="7" t="s">
        <v>22</v>
      </c>
    </row>
    <row r="30" spans="1:3">
      <c r="A30" s="13">
        <v>217</v>
      </c>
      <c r="B30" s="7" t="s">
        <v>165</v>
      </c>
      <c r="C30" s="7" t="s">
        <v>23</v>
      </c>
    </row>
    <row r="31" spans="1:3">
      <c r="A31" s="13">
        <v>218</v>
      </c>
      <c r="B31" s="7" t="s">
        <v>166</v>
      </c>
      <c r="C31" s="7" t="s">
        <v>23</v>
      </c>
    </row>
    <row r="32" spans="1:3">
      <c r="A32" s="13">
        <v>219</v>
      </c>
      <c r="B32" s="7" t="s">
        <v>167</v>
      </c>
      <c r="C32" s="7" t="s">
        <v>24</v>
      </c>
    </row>
    <row r="33" spans="1:3">
      <c r="A33" s="13">
        <v>220</v>
      </c>
      <c r="B33" s="7" t="s">
        <v>168</v>
      </c>
      <c r="C33" s="7" t="s">
        <v>24</v>
      </c>
    </row>
    <row r="34" spans="1:3">
      <c r="A34" s="13">
        <v>223</v>
      </c>
      <c r="B34" s="7" t="s">
        <v>169</v>
      </c>
      <c r="C34" s="7" t="s">
        <v>10</v>
      </c>
    </row>
    <row r="35" spans="1:3">
      <c r="A35" s="13">
        <v>224</v>
      </c>
      <c r="B35" s="7" t="s">
        <v>170</v>
      </c>
      <c r="C35" s="7" t="s">
        <v>10</v>
      </c>
    </row>
    <row r="36" spans="1:3">
      <c r="A36" s="13">
        <v>225</v>
      </c>
      <c r="B36" s="7" t="s">
        <v>171</v>
      </c>
      <c r="C36" s="7" t="s">
        <v>25</v>
      </c>
    </row>
    <row r="37" spans="1:3">
      <c r="A37" s="13">
        <v>226</v>
      </c>
      <c r="B37" s="7" t="s">
        <v>172</v>
      </c>
      <c r="C37" s="7" t="s">
        <v>25</v>
      </c>
    </row>
    <row r="38" spans="1:3">
      <c r="A38" s="13">
        <v>227</v>
      </c>
      <c r="B38" s="7" t="s">
        <v>173</v>
      </c>
      <c r="C38" s="7" t="s">
        <v>26</v>
      </c>
    </row>
    <row r="39" spans="1:3">
      <c r="A39" s="13">
        <v>229</v>
      </c>
      <c r="B39" s="7" t="s">
        <v>174</v>
      </c>
      <c r="C39" s="7" t="s">
        <v>27</v>
      </c>
    </row>
    <row r="40" spans="1:3">
      <c r="A40" s="13">
        <v>230</v>
      </c>
      <c r="B40" s="7" t="s">
        <v>175</v>
      </c>
      <c r="C40" s="7" t="s">
        <v>27</v>
      </c>
    </row>
    <row r="41" spans="1:3">
      <c r="A41" s="13">
        <v>231</v>
      </c>
      <c r="B41" s="7" t="s">
        <v>176</v>
      </c>
      <c r="C41" s="7" t="s">
        <v>27</v>
      </c>
    </row>
    <row r="42" spans="1:3">
      <c r="A42" s="13">
        <v>232</v>
      </c>
      <c r="B42" s="7" t="s">
        <v>177</v>
      </c>
      <c r="C42" s="7" t="s">
        <v>27</v>
      </c>
    </row>
    <row r="43" spans="1:3">
      <c r="A43" s="13">
        <v>233</v>
      </c>
      <c r="B43" s="7" t="s">
        <v>178</v>
      </c>
      <c r="C43" s="7" t="s">
        <v>27</v>
      </c>
    </row>
    <row r="44" spans="1:3">
      <c r="A44" s="13">
        <v>234</v>
      </c>
      <c r="B44" s="7" t="s">
        <v>179</v>
      </c>
      <c r="C44" s="7" t="s">
        <v>28</v>
      </c>
    </row>
    <row r="45" spans="1:3">
      <c r="A45" s="13">
        <v>235</v>
      </c>
      <c r="B45" s="7" t="s">
        <v>180</v>
      </c>
      <c r="C45" s="7" t="s">
        <v>28</v>
      </c>
    </row>
    <row r="46" spans="1:3">
      <c r="A46" s="13">
        <v>237</v>
      </c>
      <c r="B46" s="7" t="s">
        <v>181</v>
      </c>
      <c r="C46" s="7" t="s">
        <v>29</v>
      </c>
    </row>
    <row r="47" spans="1:3">
      <c r="A47" s="13">
        <v>239</v>
      </c>
      <c r="B47" s="7" t="s">
        <v>182</v>
      </c>
      <c r="C47" s="7" t="s">
        <v>30</v>
      </c>
    </row>
    <row r="48" spans="1:3">
      <c r="A48" s="13">
        <v>240</v>
      </c>
      <c r="B48" s="7" t="s">
        <v>183</v>
      </c>
      <c r="C48" s="7" t="s">
        <v>30</v>
      </c>
    </row>
    <row r="49" spans="1:3">
      <c r="A49" s="13">
        <v>241</v>
      </c>
      <c r="B49" s="7" t="s">
        <v>184</v>
      </c>
      <c r="C49" s="7" t="s">
        <v>31</v>
      </c>
    </row>
    <row r="50" spans="1:3">
      <c r="A50" s="13">
        <v>242</v>
      </c>
      <c r="B50" s="7" t="s">
        <v>185</v>
      </c>
      <c r="C50" s="7" t="s">
        <v>31</v>
      </c>
    </row>
    <row r="51" spans="1:3">
      <c r="A51" s="13">
        <v>243</v>
      </c>
      <c r="B51" s="7" t="s">
        <v>186</v>
      </c>
      <c r="C51" s="7" t="s">
        <v>32</v>
      </c>
    </row>
    <row r="52" spans="1:3">
      <c r="A52" s="13">
        <v>244</v>
      </c>
      <c r="B52" s="7" t="s">
        <v>187</v>
      </c>
      <c r="C52" s="7" t="s">
        <v>32</v>
      </c>
    </row>
    <row r="53" spans="1:3">
      <c r="A53" s="13">
        <v>245</v>
      </c>
      <c r="B53" s="7" t="s">
        <v>188</v>
      </c>
      <c r="C53" s="7" t="s">
        <v>32</v>
      </c>
    </row>
    <row r="54" spans="1:3">
      <c r="A54" s="13">
        <v>246</v>
      </c>
      <c r="B54" s="7" t="s">
        <v>189</v>
      </c>
      <c r="C54" s="7" t="s">
        <v>33</v>
      </c>
    </row>
    <row r="55" spans="1:3">
      <c r="A55" s="13">
        <v>247</v>
      </c>
      <c r="B55" s="7" t="s">
        <v>190</v>
      </c>
      <c r="C55" s="7" t="s">
        <v>33</v>
      </c>
    </row>
    <row r="56" spans="1:3">
      <c r="A56" s="13">
        <v>248</v>
      </c>
      <c r="B56" s="7" t="s">
        <v>191</v>
      </c>
      <c r="C56" s="7" t="s">
        <v>33</v>
      </c>
    </row>
    <row r="57" spans="1:3">
      <c r="A57" s="13">
        <v>249</v>
      </c>
      <c r="B57" s="7" t="s">
        <v>192</v>
      </c>
      <c r="C57" s="7" t="s">
        <v>33</v>
      </c>
    </row>
    <row r="58" spans="1:3">
      <c r="A58" s="13">
        <v>250</v>
      </c>
      <c r="B58" s="7" t="s">
        <v>193</v>
      </c>
      <c r="C58" s="7" t="s">
        <v>33</v>
      </c>
    </row>
    <row r="59" spans="1:3">
      <c r="A59" s="13">
        <v>251</v>
      </c>
      <c r="B59" s="7" t="s">
        <v>194</v>
      </c>
      <c r="C59" s="7" t="s">
        <v>35</v>
      </c>
    </row>
    <row r="60" spans="1:3">
      <c r="A60" s="13">
        <v>252</v>
      </c>
      <c r="B60" s="7" t="s">
        <v>195</v>
      </c>
      <c r="C60" s="7" t="s">
        <v>35</v>
      </c>
    </row>
    <row r="61" spans="1:3">
      <c r="A61" s="13">
        <v>253</v>
      </c>
      <c r="B61" s="7" t="s">
        <v>196</v>
      </c>
      <c r="C61" s="7" t="s">
        <v>35</v>
      </c>
    </row>
    <row r="62" spans="1:3">
      <c r="A62" s="13">
        <v>254</v>
      </c>
      <c r="B62" s="7" t="s">
        <v>197</v>
      </c>
      <c r="C62" s="7" t="s">
        <v>36</v>
      </c>
    </row>
    <row r="63" spans="1:3">
      <c r="A63" s="13">
        <v>255</v>
      </c>
      <c r="B63" s="7" t="s">
        <v>37</v>
      </c>
      <c r="C63" s="7" t="s">
        <v>36</v>
      </c>
    </row>
    <row r="64" spans="1:3">
      <c r="A64" s="13">
        <v>256</v>
      </c>
      <c r="B64" s="7" t="s">
        <v>198</v>
      </c>
      <c r="C64" s="7" t="s">
        <v>38</v>
      </c>
    </row>
    <row r="65" spans="1:3">
      <c r="A65" s="13">
        <v>257</v>
      </c>
      <c r="B65" s="7" t="s">
        <v>199</v>
      </c>
      <c r="C65" s="7" t="s">
        <v>38</v>
      </c>
    </row>
    <row r="66" spans="1:3">
      <c r="A66" s="13">
        <v>258</v>
      </c>
      <c r="B66" s="7" t="s">
        <v>200</v>
      </c>
      <c r="C66" s="7" t="s">
        <v>38</v>
      </c>
    </row>
    <row r="67" spans="1:3">
      <c r="A67" s="13">
        <v>259</v>
      </c>
      <c r="B67" s="7" t="s">
        <v>201</v>
      </c>
      <c r="C67" s="7" t="s">
        <v>99</v>
      </c>
    </row>
    <row r="68" spans="1:3">
      <c r="A68" s="13">
        <v>260</v>
      </c>
      <c r="B68" s="7" t="s">
        <v>202</v>
      </c>
      <c r="C68" s="7" t="s">
        <v>99</v>
      </c>
    </row>
    <row r="69" spans="1:3">
      <c r="A69" s="13">
        <v>261</v>
      </c>
      <c r="B69" s="7" t="s">
        <v>203</v>
      </c>
      <c r="C69" s="7" t="s">
        <v>99</v>
      </c>
    </row>
    <row r="70" spans="1:3">
      <c r="A70" s="13">
        <v>262</v>
      </c>
      <c r="B70" s="7" t="s">
        <v>204</v>
      </c>
      <c r="C70" s="7" t="s">
        <v>99</v>
      </c>
    </row>
    <row r="71" spans="1:3">
      <c r="A71" s="13">
        <v>263</v>
      </c>
      <c r="B71" s="7" t="s">
        <v>205</v>
      </c>
      <c r="C71" s="7" t="s">
        <v>99</v>
      </c>
    </row>
    <row r="72" spans="1:3">
      <c r="A72" s="13">
        <v>264</v>
      </c>
      <c r="B72" s="7" t="s">
        <v>206</v>
      </c>
      <c r="C72" s="7" t="s">
        <v>99</v>
      </c>
    </row>
    <row r="73" spans="1:3">
      <c r="A73" s="13">
        <v>265</v>
      </c>
      <c r="B73" s="7" t="s">
        <v>207</v>
      </c>
      <c r="C73" s="7" t="s">
        <v>99</v>
      </c>
    </row>
    <row r="74" spans="1:3">
      <c r="A74" s="13">
        <v>266</v>
      </c>
      <c r="B74" s="7" t="s">
        <v>208</v>
      </c>
      <c r="C74" s="7" t="s">
        <v>99</v>
      </c>
    </row>
    <row r="75" spans="1:3">
      <c r="A75" s="13">
        <v>267</v>
      </c>
      <c r="B75" s="7" t="s">
        <v>209</v>
      </c>
      <c r="C75" s="7" t="s">
        <v>99</v>
      </c>
    </row>
    <row r="76" spans="1:3">
      <c r="A76" s="13">
        <v>268</v>
      </c>
      <c r="B76" s="7" t="s">
        <v>210</v>
      </c>
      <c r="C76" s="7" t="s">
        <v>99</v>
      </c>
    </row>
    <row r="77" spans="1:3">
      <c r="A77" s="13">
        <v>269</v>
      </c>
      <c r="B77" s="7" t="s">
        <v>211</v>
      </c>
      <c r="C77" s="7" t="s">
        <v>39</v>
      </c>
    </row>
    <row r="78" spans="1:3">
      <c r="A78" s="13">
        <v>270</v>
      </c>
      <c r="B78" s="7" t="s">
        <v>212</v>
      </c>
      <c r="C78" s="7" t="s">
        <v>39</v>
      </c>
    </row>
    <row r="79" spans="1:3">
      <c r="A79" s="13">
        <v>271</v>
      </c>
      <c r="B79" s="7" t="s">
        <v>213</v>
      </c>
      <c r="C79" s="7" t="s">
        <v>39</v>
      </c>
    </row>
    <row r="80" spans="1:3">
      <c r="A80" s="13">
        <v>272</v>
      </c>
      <c r="B80" s="7" t="s">
        <v>214</v>
      </c>
      <c r="C80" s="7" t="s">
        <v>40</v>
      </c>
    </row>
    <row r="81" spans="1:3">
      <c r="A81" s="13">
        <v>273</v>
      </c>
      <c r="B81" s="7" t="s">
        <v>215</v>
      </c>
      <c r="C81" s="7" t="s">
        <v>40</v>
      </c>
    </row>
    <row r="82" spans="1:3">
      <c r="A82" s="13">
        <v>274</v>
      </c>
      <c r="B82" s="7" t="s">
        <v>216</v>
      </c>
      <c r="C82" s="7" t="s">
        <v>41</v>
      </c>
    </row>
    <row r="83" spans="1:3">
      <c r="A83" s="13">
        <v>275</v>
      </c>
      <c r="B83" s="7" t="s">
        <v>217</v>
      </c>
      <c r="C83" s="7" t="s">
        <v>41</v>
      </c>
    </row>
    <row r="84" spans="1:3">
      <c r="A84" s="13">
        <v>281</v>
      </c>
      <c r="B84" s="7" t="s">
        <v>218</v>
      </c>
      <c r="C84" s="7" t="s">
        <v>42</v>
      </c>
    </row>
    <row r="85" spans="1:3">
      <c r="A85" s="13">
        <v>282</v>
      </c>
      <c r="B85" s="7" t="s">
        <v>219</v>
      </c>
      <c r="C85" s="7" t="s">
        <v>43</v>
      </c>
    </row>
    <row r="86" spans="1:3">
      <c r="A86" s="13">
        <v>283</v>
      </c>
      <c r="B86" s="7" t="s">
        <v>220</v>
      </c>
      <c r="C86" s="7" t="s">
        <v>43</v>
      </c>
    </row>
    <row r="87" spans="1:3">
      <c r="A87" s="13">
        <v>284</v>
      </c>
      <c r="B87" s="7" t="s">
        <v>221</v>
      </c>
      <c r="C87" s="7" t="s">
        <v>44</v>
      </c>
    </row>
    <row r="88" spans="1:3">
      <c r="A88" s="13">
        <v>285</v>
      </c>
      <c r="B88" s="7" t="s">
        <v>222</v>
      </c>
      <c r="C88" s="7" t="s">
        <v>45</v>
      </c>
    </row>
    <row r="89" spans="1:3">
      <c r="A89" s="13">
        <v>286</v>
      </c>
      <c r="B89" s="7" t="s">
        <v>223</v>
      </c>
      <c r="C89" s="7" t="s">
        <v>45</v>
      </c>
    </row>
    <row r="90" spans="1:3">
      <c r="A90" s="13">
        <v>287</v>
      </c>
      <c r="B90" s="7" t="s">
        <v>224</v>
      </c>
      <c r="C90" s="7" t="s">
        <v>46</v>
      </c>
    </row>
    <row r="91" spans="1:3">
      <c r="A91" s="13">
        <v>288</v>
      </c>
      <c r="B91" s="7" t="s">
        <v>225</v>
      </c>
      <c r="C91" s="7" t="s">
        <v>46</v>
      </c>
    </row>
    <row r="92" spans="1:3">
      <c r="A92" s="13">
        <v>289</v>
      </c>
      <c r="B92" s="7" t="s">
        <v>226</v>
      </c>
      <c r="C92" s="7" t="s">
        <v>46</v>
      </c>
    </row>
    <row r="93" spans="1:3">
      <c r="A93" s="13">
        <v>290</v>
      </c>
      <c r="B93" s="7" t="s">
        <v>227</v>
      </c>
      <c r="C93" s="7" t="s">
        <v>46</v>
      </c>
    </row>
    <row r="94" spans="1:3">
      <c r="A94" s="13">
        <v>291</v>
      </c>
      <c r="B94" s="7" t="s">
        <v>228</v>
      </c>
      <c r="C94" s="7" t="s">
        <v>47</v>
      </c>
    </row>
    <row r="95" spans="1:3">
      <c r="A95" s="13">
        <v>292</v>
      </c>
      <c r="B95" s="7" t="s">
        <v>229</v>
      </c>
      <c r="C95" s="7" t="s">
        <v>47</v>
      </c>
    </row>
    <row r="96" spans="1:3">
      <c r="A96" s="13">
        <v>293</v>
      </c>
      <c r="B96" s="7" t="s">
        <v>230</v>
      </c>
      <c r="C96" s="7" t="s">
        <v>47</v>
      </c>
    </row>
    <row r="97" spans="1:3">
      <c r="A97" s="13">
        <v>294</v>
      </c>
      <c r="B97" s="7" t="s">
        <v>231</v>
      </c>
      <c r="C97" s="7" t="s">
        <v>48</v>
      </c>
    </row>
    <row r="98" spans="1:3">
      <c r="A98" s="13">
        <v>297</v>
      </c>
      <c r="B98" s="7" t="s">
        <v>232</v>
      </c>
      <c r="C98" s="7" t="s">
        <v>6</v>
      </c>
    </row>
    <row r="99" spans="1:3">
      <c r="A99" s="13">
        <v>298</v>
      </c>
      <c r="B99" s="7" t="s">
        <v>233</v>
      </c>
      <c r="C99" s="7" t="s">
        <v>49</v>
      </c>
    </row>
    <row r="100" spans="1:3">
      <c r="A100" s="13">
        <v>299</v>
      </c>
      <c r="B100" s="7" t="s">
        <v>234</v>
      </c>
      <c r="C100" s="7" t="s">
        <v>49</v>
      </c>
    </row>
    <row r="101" spans="1:3">
      <c r="A101" s="13">
        <v>300</v>
      </c>
      <c r="B101" s="7" t="s">
        <v>235</v>
      </c>
      <c r="C101" s="7" t="s">
        <v>50</v>
      </c>
    </row>
    <row r="102" spans="1:3">
      <c r="A102" s="13">
        <v>303</v>
      </c>
      <c r="B102" s="7" t="s">
        <v>236</v>
      </c>
      <c r="C102" s="7" t="s">
        <v>8</v>
      </c>
    </row>
    <row r="103" spans="1:3">
      <c r="A103" s="13">
        <v>305</v>
      </c>
      <c r="B103" s="7" t="s">
        <v>237</v>
      </c>
      <c r="C103" s="7" t="s">
        <v>51</v>
      </c>
    </row>
    <row r="104" spans="1:3">
      <c r="A104" s="13">
        <v>306</v>
      </c>
      <c r="B104" s="7" t="s">
        <v>238</v>
      </c>
      <c r="C104" s="7" t="s">
        <v>51</v>
      </c>
    </row>
    <row r="105" spans="1:3">
      <c r="A105" s="13">
        <v>307</v>
      </c>
      <c r="B105" s="7" t="s">
        <v>239</v>
      </c>
      <c r="C105" s="7" t="s">
        <v>51</v>
      </c>
    </row>
    <row r="106" spans="1:3">
      <c r="A106" s="13">
        <v>308</v>
      </c>
      <c r="B106" s="7" t="s">
        <v>240</v>
      </c>
      <c r="C106" s="7" t="s">
        <v>52</v>
      </c>
    </row>
    <row r="107" spans="1:3">
      <c r="A107" s="13">
        <v>309</v>
      </c>
      <c r="B107" s="7" t="s">
        <v>241</v>
      </c>
      <c r="C107" s="7" t="s">
        <v>52</v>
      </c>
    </row>
    <row r="108" spans="1:3">
      <c r="A108" s="13">
        <v>310</v>
      </c>
      <c r="B108" s="7" t="s">
        <v>242</v>
      </c>
      <c r="C108" s="7" t="s">
        <v>52</v>
      </c>
    </row>
    <row r="109" spans="1:3">
      <c r="A109" s="13">
        <v>311</v>
      </c>
      <c r="B109" s="7" t="s">
        <v>243</v>
      </c>
      <c r="C109" s="7" t="s">
        <v>52</v>
      </c>
    </row>
    <row r="110" spans="1:3">
      <c r="A110" s="13">
        <v>312</v>
      </c>
      <c r="B110" s="7" t="s">
        <v>244</v>
      </c>
      <c r="C110" s="7" t="s">
        <v>52</v>
      </c>
    </row>
    <row r="111" spans="1:3">
      <c r="A111" s="13">
        <v>313</v>
      </c>
      <c r="B111" s="7" t="s">
        <v>245</v>
      </c>
      <c r="C111" s="7" t="s">
        <v>52</v>
      </c>
    </row>
    <row r="112" spans="1:3">
      <c r="A112" s="13">
        <v>314</v>
      </c>
      <c r="B112" s="7" t="s">
        <v>246</v>
      </c>
      <c r="C112" s="7" t="s">
        <v>53</v>
      </c>
    </row>
    <row r="113" spans="1:3">
      <c r="A113" s="13">
        <v>315</v>
      </c>
      <c r="B113" s="7" t="s">
        <v>247</v>
      </c>
      <c r="C113" s="7" t="s">
        <v>53</v>
      </c>
    </row>
    <row r="114" spans="1:3">
      <c r="A114" s="13">
        <v>316</v>
      </c>
      <c r="B114" s="7" t="s">
        <v>248</v>
      </c>
      <c r="C114" s="7" t="s">
        <v>53</v>
      </c>
    </row>
    <row r="115" spans="1:3">
      <c r="A115" s="13">
        <v>320</v>
      </c>
      <c r="B115" s="7" t="s">
        <v>249</v>
      </c>
      <c r="C115" s="7" t="s">
        <v>54</v>
      </c>
    </row>
    <row r="116" spans="1:3">
      <c r="A116" s="13">
        <v>321</v>
      </c>
      <c r="B116" s="7" t="s">
        <v>250</v>
      </c>
      <c r="C116" s="7" t="s">
        <v>54</v>
      </c>
    </row>
    <row r="117" spans="1:3">
      <c r="A117" s="13">
        <v>322</v>
      </c>
      <c r="B117" s="7" t="s">
        <v>251</v>
      </c>
      <c r="C117" s="7" t="s">
        <v>54</v>
      </c>
    </row>
    <row r="118" spans="1:3">
      <c r="A118" s="13">
        <v>323</v>
      </c>
      <c r="B118" s="7" t="s">
        <v>252</v>
      </c>
      <c r="C118" s="7" t="s">
        <v>54</v>
      </c>
    </row>
    <row r="119" spans="1:3">
      <c r="A119" s="13">
        <v>325</v>
      </c>
      <c r="B119" s="7" t="s">
        <v>253</v>
      </c>
      <c r="C119" s="7" t="s">
        <v>12</v>
      </c>
    </row>
    <row r="120" spans="1:3">
      <c r="A120" s="13">
        <v>326</v>
      </c>
      <c r="B120" s="7" t="s">
        <v>254</v>
      </c>
      <c r="C120" s="7" t="s">
        <v>12</v>
      </c>
    </row>
    <row r="121" spans="1:3">
      <c r="A121" s="13">
        <v>327</v>
      </c>
      <c r="B121" s="7" t="s">
        <v>255</v>
      </c>
      <c r="C121" s="7" t="s">
        <v>55</v>
      </c>
    </row>
    <row r="122" spans="1:3">
      <c r="A122" s="13">
        <v>329</v>
      </c>
      <c r="B122" s="7" t="s">
        <v>256</v>
      </c>
      <c r="C122" s="7" t="s">
        <v>56</v>
      </c>
    </row>
    <row r="123" spans="1:3">
      <c r="A123" s="13">
        <v>330</v>
      </c>
      <c r="B123" s="7" t="s">
        <v>257</v>
      </c>
      <c r="C123" s="7" t="s">
        <v>56</v>
      </c>
    </row>
    <row r="124" spans="1:3">
      <c r="A124" s="13">
        <v>331</v>
      </c>
      <c r="B124" s="7" t="s">
        <v>258</v>
      </c>
      <c r="C124" s="7" t="s">
        <v>57</v>
      </c>
    </row>
    <row r="125" spans="1:3">
      <c r="A125" s="13">
        <v>332</v>
      </c>
      <c r="B125" s="7" t="s">
        <v>259</v>
      </c>
      <c r="C125" s="7" t="s">
        <v>57</v>
      </c>
    </row>
    <row r="126" spans="1:3">
      <c r="A126" s="13">
        <v>333</v>
      </c>
      <c r="B126" s="7" t="s">
        <v>260</v>
      </c>
      <c r="C126" s="7" t="s">
        <v>58</v>
      </c>
    </row>
    <row r="127" spans="1:3">
      <c r="A127" s="13">
        <v>334</v>
      </c>
      <c r="B127" s="7" t="s">
        <v>261</v>
      </c>
      <c r="C127" s="7" t="s">
        <v>58</v>
      </c>
    </row>
    <row r="128" spans="1:3">
      <c r="A128" s="13">
        <v>335</v>
      </c>
      <c r="B128" s="7" t="s">
        <v>262</v>
      </c>
      <c r="C128" s="7" t="s">
        <v>59</v>
      </c>
    </row>
    <row r="129" spans="1:3">
      <c r="A129" s="13">
        <v>336</v>
      </c>
      <c r="B129" s="7" t="s">
        <v>263</v>
      </c>
      <c r="C129" s="7" t="s">
        <v>59</v>
      </c>
    </row>
    <row r="130" spans="1:3">
      <c r="A130" s="13">
        <v>337</v>
      </c>
      <c r="B130" s="7" t="s">
        <v>264</v>
      </c>
      <c r="C130" s="7" t="s">
        <v>59</v>
      </c>
    </row>
    <row r="131" spans="1:3">
      <c r="A131" s="13">
        <v>338</v>
      </c>
      <c r="B131" s="7" t="s">
        <v>265</v>
      </c>
      <c r="C131" s="7" t="s">
        <v>60</v>
      </c>
    </row>
    <row r="132" spans="1:3">
      <c r="A132" s="13">
        <v>339</v>
      </c>
      <c r="B132" s="7" t="s">
        <v>266</v>
      </c>
      <c r="C132" s="7" t="s">
        <v>60</v>
      </c>
    </row>
    <row r="133" spans="1:3">
      <c r="A133" s="13">
        <v>340</v>
      </c>
      <c r="B133" s="7" t="s">
        <v>267</v>
      </c>
      <c r="C133" s="7" t="s">
        <v>60</v>
      </c>
    </row>
    <row r="134" spans="1:3">
      <c r="A134" s="13">
        <v>341</v>
      </c>
      <c r="B134" s="7" t="s">
        <v>268</v>
      </c>
      <c r="C134" s="7" t="s">
        <v>60</v>
      </c>
    </row>
    <row r="135" spans="1:3">
      <c r="A135" s="13">
        <v>342</v>
      </c>
      <c r="B135" s="7" t="s">
        <v>269</v>
      </c>
      <c r="C135" s="7" t="s">
        <v>60</v>
      </c>
    </row>
    <row r="136" spans="1:3">
      <c r="A136" s="13">
        <v>343</v>
      </c>
      <c r="B136" s="7" t="s">
        <v>270</v>
      </c>
      <c r="C136" s="7" t="s">
        <v>60</v>
      </c>
    </row>
    <row r="137" spans="1:3">
      <c r="A137" s="13">
        <v>344</v>
      </c>
      <c r="B137" s="7" t="s">
        <v>271</v>
      </c>
      <c r="C137" s="7" t="s">
        <v>61</v>
      </c>
    </row>
    <row r="138" spans="1:3">
      <c r="A138" s="13">
        <v>345</v>
      </c>
      <c r="B138" s="7" t="s">
        <v>272</v>
      </c>
      <c r="C138" s="7" t="s">
        <v>62</v>
      </c>
    </row>
    <row r="139" spans="1:3">
      <c r="A139" s="13">
        <v>346</v>
      </c>
      <c r="B139" s="7" t="s">
        <v>273</v>
      </c>
      <c r="C139" s="7" t="s">
        <v>61</v>
      </c>
    </row>
    <row r="140" spans="1:3">
      <c r="A140" s="13">
        <v>347</v>
      </c>
      <c r="B140" s="7" t="s">
        <v>274</v>
      </c>
      <c r="C140" s="7" t="s">
        <v>63</v>
      </c>
    </row>
    <row r="141" spans="1:3">
      <c r="A141" s="13">
        <v>348</v>
      </c>
      <c r="B141" s="7" t="s">
        <v>275</v>
      </c>
      <c r="C141" s="7" t="s">
        <v>64</v>
      </c>
    </row>
    <row r="142" spans="1:3">
      <c r="A142" s="13">
        <v>349</v>
      </c>
      <c r="B142" s="7" t="s">
        <v>276</v>
      </c>
      <c r="C142" s="7" t="s">
        <v>65</v>
      </c>
    </row>
    <row r="143" spans="1:3">
      <c r="A143" s="13">
        <v>350</v>
      </c>
      <c r="B143" s="7" t="s">
        <v>277</v>
      </c>
      <c r="C143" s="7" t="s">
        <v>65</v>
      </c>
    </row>
    <row r="144" spans="1:3">
      <c r="A144" s="13">
        <v>351</v>
      </c>
      <c r="B144" s="7" t="s">
        <v>278</v>
      </c>
      <c r="C144" s="7" t="s">
        <v>65</v>
      </c>
    </row>
    <row r="145" spans="1:3">
      <c r="A145" s="13">
        <v>352</v>
      </c>
      <c r="B145" s="7" t="s">
        <v>279</v>
      </c>
      <c r="C145" s="7" t="s">
        <v>66</v>
      </c>
    </row>
    <row r="146" spans="1:3">
      <c r="A146" s="13">
        <v>353</v>
      </c>
      <c r="B146" s="7" t="s">
        <v>280</v>
      </c>
      <c r="C146" s="7" t="s">
        <v>67</v>
      </c>
    </row>
    <row r="147" spans="1:3">
      <c r="A147" s="13">
        <v>355</v>
      </c>
      <c r="B147" s="7" t="s">
        <v>281</v>
      </c>
      <c r="C147" s="7" t="s">
        <v>68</v>
      </c>
    </row>
    <row r="148" spans="1:3">
      <c r="A148" s="13">
        <v>356</v>
      </c>
      <c r="B148" s="7" t="s">
        <v>282</v>
      </c>
      <c r="C148" s="7" t="s">
        <v>67</v>
      </c>
    </row>
    <row r="149" spans="1:3">
      <c r="A149" s="13">
        <v>357</v>
      </c>
      <c r="B149" s="7" t="s">
        <v>283</v>
      </c>
      <c r="C149" s="7" t="s">
        <v>67</v>
      </c>
    </row>
    <row r="150" spans="1:3">
      <c r="A150" s="13">
        <v>358</v>
      </c>
      <c r="B150" s="7" t="s">
        <v>284</v>
      </c>
      <c r="C150" s="7" t="s">
        <v>67</v>
      </c>
    </row>
    <row r="151" spans="1:3">
      <c r="A151" s="13">
        <v>359</v>
      </c>
      <c r="B151" s="7" t="s">
        <v>285</v>
      </c>
      <c r="C151" s="7" t="s">
        <v>67</v>
      </c>
    </row>
    <row r="152" spans="1:3">
      <c r="A152" s="13">
        <v>360</v>
      </c>
      <c r="B152" s="7" t="s">
        <v>286</v>
      </c>
      <c r="C152" s="7" t="s">
        <v>67</v>
      </c>
    </row>
    <row r="153" spans="1:3">
      <c r="A153" s="13">
        <v>361</v>
      </c>
      <c r="B153" s="7" t="s">
        <v>287</v>
      </c>
      <c r="C153" s="7" t="s">
        <v>133</v>
      </c>
    </row>
    <row r="154" spans="1:3">
      <c r="A154" s="13">
        <v>362</v>
      </c>
      <c r="B154" s="7" t="s">
        <v>288</v>
      </c>
      <c r="C154" s="7" t="s">
        <v>61</v>
      </c>
    </row>
    <row r="155" spans="1:3">
      <c r="A155" s="13">
        <v>363</v>
      </c>
      <c r="B155" s="7" t="s">
        <v>289</v>
      </c>
      <c r="C155" s="7" t="s">
        <v>134</v>
      </c>
    </row>
    <row r="156" spans="1:3">
      <c r="A156" s="13">
        <v>364</v>
      </c>
      <c r="B156" s="7" t="s">
        <v>290</v>
      </c>
      <c r="C156" s="7" t="s">
        <v>135</v>
      </c>
    </row>
    <row r="157" spans="1:3">
      <c r="A157" s="13">
        <v>365</v>
      </c>
      <c r="B157" s="7" t="s">
        <v>291</v>
      </c>
      <c r="C157" s="7" t="s">
        <v>69</v>
      </c>
    </row>
    <row r="158" spans="1:3">
      <c r="A158" s="13">
        <v>366</v>
      </c>
      <c r="B158" s="7" t="s">
        <v>292</v>
      </c>
      <c r="C158" s="7" t="s">
        <v>70</v>
      </c>
    </row>
    <row r="159" spans="1:3">
      <c r="A159" s="13">
        <v>367</v>
      </c>
      <c r="B159" s="7" t="s">
        <v>293</v>
      </c>
      <c r="C159" s="7" t="s">
        <v>71</v>
      </c>
    </row>
    <row r="160" spans="1:3">
      <c r="A160" s="13">
        <v>368</v>
      </c>
      <c r="B160" s="7" t="s">
        <v>294</v>
      </c>
      <c r="C160" s="7" t="s">
        <v>71</v>
      </c>
    </row>
    <row r="161" spans="1:3">
      <c r="A161" s="13">
        <v>369</v>
      </c>
      <c r="B161" s="7" t="s">
        <v>295</v>
      </c>
      <c r="C161" s="7" t="s">
        <v>72</v>
      </c>
    </row>
    <row r="162" spans="1:3">
      <c r="A162" s="13">
        <v>371</v>
      </c>
      <c r="B162" s="7" t="s">
        <v>296</v>
      </c>
      <c r="C162" s="7" t="s">
        <v>5</v>
      </c>
    </row>
    <row r="163" spans="1:3">
      <c r="A163" s="13">
        <v>372</v>
      </c>
      <c r="B163" s="7" t="s">
        <v>297</v>
      </c>
      <c r="C163" s="7" t="s">
        <v>62</v>
      </c>
    </row>
    <row r="164" spans="1:3">
      <c r="A164" s="13">
        <v>373</v>
      </c>
      <c r="B164" s="7" t="s">
        <v>298</v>
      </c>
      <c r="C164" s="7" t="s">
        <v>72</v>
      </c>
    </row>
    <row r="165" spans="1:3">
      <c r="A165" s="13">
        <v>374</v>
      </c>
      <c r="B165" s="7" t="s">
        <v>299</v>
      </c>
      <c r="C165" s="7" t="s">
        <v>73</v>
      </c>
    </row>
    <row r="166" spans="1:3">
      <c r="A166" s="13">
        <v>375</v>
      </c>
      <c r="B166" s="7" t="s">
        <v>300</v>
      </c>
      <c r="C166" s="7" t="s">
        <v>16</v>
      </c>
    </row>
    <row r="167" spans="1:3">
      <c r="A167" s="13">
        <v>376</v>
      </c>
      <c r="B167" s="7" t="s">
        <v>301</v>
      </c>
      <c r="C167" s="7" t="s">
        <v>74</v>
      </c>
    </row>
    <row r="168" spans="1:3">
      <c r="A168" s="13">
        <v>377</v>
      </c>
      <c r="B168" s="7" t="s">
        <v>302</v>
      </c>
      <c r="C168" s="7" t="s">
        <v>75</v>
      </c>
    </row>
    <row r="169" spans="1:3">
      <c r="A169" s="13">
        <v>378</v>
      </c>
      <c r="B169" s="7" t="s">
        <v>303</v>
      </c>
      <c r="C169" s="7" t="s">
        <v>76</v>
      </c>
    </row>
    <row r="170" spans="1:3">
      <c r="A170" s="13">
        <v>379</v>
      </c>
      <c r="B170" s="7" t="s">
        <v>304</v>
      </c>
      <c r="C170" s="7" t="s">
        <v>77</v>
      </c>
    </row>
    <row r="171" spans="1:3">
      <c r="A171" s="13">
        <v>380</v>
      </c>
      <c r="B171" s="7" t="s">
        <v>305</v>
      </c>
      <c r="C171" s="7" t="s">
        <v>135</v>
      </c>
    </row>
    <row r="172" spans="1:3">
      <c r="A172" s="13">
        <v>381</v>
      </c>
      <c r="B172" s="7" t="s">
        <v>306</v>
      </c>
      <c r="C172" s="7" t="s">
        <v>78</v>
      </c>
    </row>
    <row r="173" spans="1:3">
      <c r="A173" s="13">
        <v>382</v>
      </c>
      <c r="B173" s="7" t="s">
        <v>307</v>
      </c>
      <c r="C173" s="7" t="s">
        <v>79</v>
      </c>
    </row>
    <row r="174" spans="1:3">
      <c r="A174" s="13">
        <v>383</v>
      </c>
      <c r="B174" s="7" t="s">
        <v>308</v>
      </c>
      <c r="C174" s="7" t="s">
        <v>76</v>
      </c>
    </row>
    <row r="175" spans="1:3">
      <c r="A175" s="13">
        <v>384</v>
      </c>
      <c r="B175" s="7" t="s">
        <v>174</v>
      </c>
      <c r="C175" s="7" t="s">
        <v>76</v>
      </c>
    </row>
    <row r="176" spans="1:3">
      <c r="A176" s="13">
        <v>385</v>
      </c>
      <c r="B176" s="7" t="s">
        <v>309</v>
      </c>
      <c r="C176" s="7" t="s">
        <v>16</v>
      </c>
    </row>
    <row r="177" spans="1:3">
      <c r="A177" s="13">
        <v>386</v>
      </c>
      <c r="B177" s="7" t="s">
        <v>310</v>
      </c>
      <c r="C177" s="7" t="s">
        <v>80</v>
      </c>
    </row>
    <row r="178" spans="1:3">
      <c r="A178" s="13">
        <v>387</v>
      </c>
      <c r="B178" s="7" t="s">
        <v>311</v>
      </c>
      <c r="C178" s="7" t="s">
        <v>81</v>
      </c>
    </row>
    <row r="179" spans="1:3">
      <c r="A179" s="13">
        <v>388</v>
      </c>
      <c r="B179" s="7" t="s">
        <v>312</v>
      </c>
      <c r="C179" s="7" t="s">
        <v>82</v>
      </c>
    </row>
    <row r="180" spans="1:3">
      <c r="A180" s="13">
        <v>389</v>
      </c>
      <c r="B180" s="7" t="s">
        <v>313</v>
      </c>
      <c r="C180" s="7" t="s">
        <v>80</v>
      </c>
    </row>
    <row r="181" spans="1:3">
      <c r="A181" s="13">
        <v>390</v>
      </c>
      <c r="B181" s="7" t="s">
        <v>314</v>
      </c>
      <c r="C181" s="7" t="s">
        <v>80</v>
      </c>
    </row>
    <row r="182" spans="1:3">
      <c r="A182" s="13">
        <v>392</v>
      </c>
      <c r="B182" s="7" t="s">
        <v>315</v>
      </c>
      <c r="C182" s="7" t="s">
        <v>84</v>
      </c>
    </row>
    <row r="183" spans="1:3">
      <c r="A183" s="13">
        <v>393</v>
      </c>
      <c r="B183" s="7" t="s">
        <v>316</v>
      </c>
      <c r="C183" s="7" t="s">
        <v>85</v>
      </c>
    </row>
    <row r="184" spans="1:3">
      <c r="A184" s="13">
        <v>394</v>
      </c>
      <c r="B184" s="7" t="s">
        <v>317</v>
      </c>
      <c r="C184" s="7" t="s">
        <v>16</v>
      </c>
    </row>
    <row r="185" spans="1:3">
      <c r="A185" s="13">
        <v>395</v>
      </c>
      <c r="B185" s="7" t="s">
        <v>318</v>
      </c>
      <c r="C185" s="7" t="s">
        <v>86</v>
      </c>
    </row>
    <row r="186" spans="1:3">
      <c r="A186" s="13">
        <v>396</v>
      </c>
      <c r="B186" s="7" t="s">
        <v>319</v>
      </c>
      <c r="C186" s="7" t="s">
        <v>16</v>
      </c>
    </row>
    <row r="187" spans="1:3">
      <c r="A187" s="13">
        <v>397</v>
      </c>
      <c r="B187" s="7" t="s">
        <v>320</v>
      </c>
      <c r="C187" s="7" t="s">
        <v>87</v>
      </c>
    </row>
    <row r="188" spans="1:3">
      <c r="A188" s="13">
        <v>398</v>
      </c>
      <c r="B188" s="7" t="s">
        <v>321</v>
      </c>
      <c r="C188" s="7" t="s">
        <v>87</v>
      </c>
    </row>
    <row r="189" spans="1:3">
      <c r="A189" s="13">
        <v>399</v>
      </c>
      <c r="B189" s="7" t="s">
        <v>322</v>
      </c>
      <c r="C189" s="7" t="s">
        <v>88</v>
      </c>
    </row>
    <row r="190" spans="1:3">
      <c r="A190" s="13">
        <v>400</v>
      </c>
      <c r="B190" s="7" t="s">
        <v>323</v>
      </c>
      <c r="C190" s="7" t="s">
        <v>89</v>
      </c>
    </row>
    <row r="191" spans="1:3">
      <c r="A191" s="13">
        <v>401</v>
      </c>
      <c r="B191" s="7" t="s">
        <v>324</v>
      </c>
      <c r="C191" s="7" t="s">
        <v>74</v>
      </c>
    </row>
    <row r="192" spans="1:3">
      <c r="A192" s="13">
        <v>402</v>
      </c>
      <c r="B192" s="7" t="s">
        <v>325</v>
      </c>
      <c r="C192" s="7" t="s">
        <v>16</v>
      </c>
    </row>
    <row r="193" spans="1:3">
      <c r="A193" s="13">
        <v>403</v>
      </c>
      <c r="B193" s="7" t="s">
        <v>326</v>
      </c>
      <c r="C193" s="7" t="s">
        <v>86</v>
      </c>
    </row>
    <row r="194" spans="1:3">
      <c r="A194" s="13">
        <v>404</v>
      </c>
      <c r="B194" s="7" t="s">
        <v>327</v>
      </c>
      <c r="C194" s="7" t="s">
        <v>34</v>
      </c>
    </row>
    <row r="195" spans="1:3">
      <c r="A195" s="13">
        <v>405</v>
      </c>
      <c r="B195" s="7" t="s">
        <v>328</v>
      </c>
      <c r="C195" s="7" t="s">
        <v>74</v>
      </c>
    </row>
    <row r="196" spans="1:3">
      <c r="A196" s="13">
        <v>407</v>
      </c>
      <c r="B196" s="7" t="s">
        <v>329</v>
      </c>
      <c r="C196" s="7" t="s">
        <v>88</v>
      </c>
    </row>
    <row r="197" spans="1:3">
      <c r="A197" s="13">
        <v>408</v>
      </c>
      <c r="B197" s="7" t="s">
        <v>330</v>
      </c>
      <c r="C197" s="7" t="s">
        <v>87</v>
      </c>
    </row>
    <row r="198" spans="1:3">
      <c r="A198" s="13">
        <v>409</v>
      </c>
      <c r="B198" s="7" t="s">
        <v>331</v>
      </c>
      <c r="C198" s="7" t="s">
        <v>75</v>
      </c>
    </row>
    <row r="199" spans="1:3">
      <c r="A199" s="13">
        <v>410</v>
      </c>
      <c r="B199" s="7" t="s">
        <v>332</v>
      </c>
      <c r="C199" s="7" t="s">
        <v>87</v>
      </c>
    </row>
    <row r="200" spans="1:3">
      <c r="A200" s="13">
        <v>411</v>
      </c>
      <c r="B200" s="7" t="s">
        <v>333</v>
      </c>
      <c r="C200" s="7" t="s">
        <v>87</v>
      </c>
    </row>
    <row r="201" spans="1:3">
      <c r="A201" s="13">
        <v>412</v>
      </c>
      <c r="B201" s="7" t="s">
        <v>334</v>
      </c>
      <c r="C201" s="7" t="s">
        <v>90</v>
      </c>
    </row>
    <row r="202" spans="1:3">
      <c r="A202" s="13">
        <v>413</v>
      </c>
      <c r="B202" s="7" t="s">
        <v>335</v>
      </c>
      <c r="C202" s="7" t="s">
        <v>4</v>
      </c>
    </row>
    <row r="203" spans="1:3">
      <c r="A203" s="13">
        <v>415</v>
      </c>
      <c r="B203" s="7" t="s">
        <v>336</v>
      </c>
      <c r="C203" s="7" t="s">
        <v>91</v>
      </c>
    </row>
    <row r="204" spans="1:3">
      <c r="A204" s="13">
        <v>416</v>
      </c>
      <c r="B204" s="7" t="s">
        <v>337</v>
      </c>
      <c r="C204" s="7" t="s">
        <v>71</v>
      </c>
    </row>
    <row r="205" spans="1:3">
      <c r="A205" s="13">
        <v>417</v>
      </c>
      <c r="B205" s="7" t="s">
        <v>338</v>
      </c>
      <c r="C205" s="7" t="s">
        <v>92</v>
      </c>
    </row>
    <row r="206" spans="1:3">
      <c r="A206" s="13">
        <v>418</v>
      </c>
      <c r="B206" s="7" t="s">
        <v>339</v>
      </c>
      <c r="C206" s="7" t="s">
        <v>89</v>
      </c>
    </row>
    <row r="207" spans="1:3">
      <c r="A207" s="13">
        <v>419</v>
      </c>
      <c r="B207" s="7" t="s">
        <v>340</v>
      </c>
      <c r="C207" s="7" t="s">
        <v>89</v>
      </c>
    </row>
    <row r="208" spans="1:3">
      <c r="A208" s="13">
        <v>420</v>
      </c>
      <c r="B208" s="7" t="s">
        <v>341</v>
      </c>
      <c r="C208" s="7" t="s">
        <v>93</v>
      </c>
    </row>
    <row r="209" spans="1:3">
      <c r="A209" s="13">
        <v>421</v>
      </c>
      <c r="B209" s="7" t="s">
        <v>342</v>
      </c>
      <c r="C209" s="7" t="s">
        <v>93</v>
      </c>
    </row>
    <row r="210" spans="1:3">
      <c r="A210" s="13">
        <v>422</v>
      </c>
      <c r="B210" s="7" t="s">
        <v>343</v>
      </c>
      <c r="C210" s="7" t="s">
        <v>94</v>
      </c>
    </row>
    <row r="211" spans="1:3">
      <c r="A211" s="13">
        <v>423</v>
      </c>
      <c r="B211" s="7" t="s">
        <v>344</v>
      </c>
      <c r="C211" s="7" t="s">
        <v>89</v>
      </c>
    </row>
    <row r="212" spans="1:3">
      <c r="A212" s="13">
        <v>426</v>
      </c>
      <c r="B212" s="7" t="s">
        <v>345</v>
      </c>
      <c r="C212" s="7" t="s">
        <v>11</v>
      </c>
    </row>
    <row r="213" spans="1:3">
      <c r="A213" s="13">
        <v>428</v>
      </c>
      <c r="B213" s="7" t="s">
        <v>346</v>
      </c>
      <c r="C213" s="7" t="s">
        <v>68</v>
      </c>
    </row>
    <row r="214" spans="1:3">
      <c r="A214" s="13">
        <v>429</v>
      </c>
      <c r="B214" s="7" t="s">
        <v>347</v>
      </c>
      <c r="C214" s="7" t="s">
        <v>13</v>
      </c>
    </row>
    <row r="215" spans="1:3">
      <c r="A215" s="13">
        <v>430</v>
      </c>
      <c r="B215" s="7" t="s">
        <v>348</v>
      </c>
      <c r="C215" s="7" t="s">
        <v>91</v>
      </c>
    </row>
    <row r="216" spans="1:3">
      <c r="A216" s="13">
        <v>431</v>
      </c>
      <c r="B216" s="7" t="s">
        <v>349</v>
      </c>
      <c r="C216" s="7" t="s">
        <v>68</v>
      </c>
    </row>
    <row r="217" spans="1:3">
      <c r="A217" s="13">
        <v>432</v>
      </c>
      <c r="B217" s="7" t="s">
        <v>350</v>
      </c>
      <c r="C217" s="7" t="s">
        <v>82</v>
      </c>
    </row>
    <row r="218" spans="1:3">
      <c r="A218" s="13">
        <v>434</v>
      </c>
      <c r="B218" s="7" t="s">
        <v>351</v>
      </c>
      <c r="C218" s="7" t="s">
        <v>93</v>
      </c>
    </row>
    <row r="219" spans="1:3">
      <c r="A219" s="13">
        <v>435</v>
      </c>
      <c r="B219" s="7" t="s">
        <v>352</v>
      </c>
      <c r="C219" s="7" t="s">
        <v>85</v>
      </c>
    </row>
    <row r="220" spans="1:3">
      <c r="A220" s="13">
        <v>436</v>
      </c>
      <c r="B220" s="7" t="s">
        <v>353</v>
      </c>
      <c r="C220" s="7" t="s">
        <v>95</v>
      </c>
    </row>
    <row r="221" spans="1:3">
      <c r="A221" s="13">
        <v>437</v>
      </c>
      <c r="B221" s="7" t="s">
        <v>354</v>
      </c>
      <c r="C221" s="7" t="s">
        <v>62</v>
      </c>
    </row>
    <row r="222" spans="1:3">
      <c r="A222" s="13">
        <v>438</v>
      </c>
      <c r="B222" s="7" t="s">
        <v>355</v>
      </c>
      <c r="C222" s="7" t="s">
        <v>79</v>
      </c>
    </row>
    <row r="223" spans="1:3">
      <c r="A223" s="13">
        <v>439</v>
      </c>
      <c r="B223" s="7" t="s">
        <v>356</v>
      </c>
      <c r="C223" s="7" t="s">
        <v>72</v>
      </c>
    </row>
    <row r="224" spans="1:3">
      <c r="A224" s="13">
        <v>440</v>
      </c>
      <c r="B224" s="7" t="s">
        <v>357</v>
      </c>
      <c r="C224" s="7" t="s">
        <v>72</v>
      </c>
    </row>
    <row r="225" spans="1:3">
      <c r="A225" s="13">
        <v>443</v>
      </c>
      <c r="B225" s="7" t="s">
        <v>358</v>
      </c>
      <c r="C225" s="7" t="s">
        <v>78</v>
      </c>
    </row>
    <row r="226" spans="1:3">
      <c r="A226" s="13">
        <v>444</v>
      </c>
      <c r="B226" s="7" t="s">
        <v>359</v>
      </c>
      <c r="C226" s="7" t="s">
        <v>74</v>
      </c>
    </row>
    <row r="227" spans="1:3">
      <c r="A227" s="13">
        <v>445</v>
      </c>
      <c r="B227" s="7" t="s">
        <v>360</v>
      </c>
      <c r="C227" s="7" t="s">
        <v>95</v>
      </c>
    </row>
    <row r="228" spans="1:3">
      <c r="A228" s="13">
        <v>446</v>
      </c>
      <c r="B228" s="7" t="s">
        <v>361</v>
      </c>
      <c r="C228" s="7" t="s">
        <v>95</v>
      </c>
    </row>
    <row r="229" spans="1:3">
      <c r="A229" s="13">
        <v>447</v>
      </c>
      <c r="B229" s="7" t="s">
        <v>362</v>
      </c>
      <c r="C229" s="7" t="s">
        <v>95</v>
      </c>
    </row>
    <row r="230" spans="1:3">
      <c r="A230" s="13">
        <v>448</v>
      </c>
      <c r="B230" s="7" t="s">
        <v>363</v>
      </c>
      <c r="C230" s="7" t="s">
        <v>89</v>
      </c>
    </row>
    <row r="231" spans="1:3">
      <c r="A231" s="13">
        <v>449</v>
      </c>
      <c r="B231" s="7" t="s">
        <v>364</v>
      </c>
      <c r="C231" s="7" t="s">
        <v>17</v>
      </c>
    </row>
    <row r="232" spans="1:3">
      <c r="A232" s="13">
        <v>450</v>
      </c>
      <c r="B232" s="7" t="s">
        <v>365</v>
      </c>
      <c r="C232" s="7" t="s">
        <v>62</v>
      </c>
    </row>
    <row r="233" spans="1:3">
      <c r="A233" s="13">
        <v>452</v>
      </c>
      <c r="B233" s="7" t="s">
        <v>366</v>
      </c>
      <c r="C233" s="7" t="s">
        <v>97</v>
      </c>
    </row>
    <row r="234" spans="1:3">
      <c r="A234" s="13">
        <v>453</v>
      </c>
      <c r="B234" s="7" t="s">
        <v>367</v>
      </c>
      <c r="C234" s="7" t="s">
        <v>17</v>
      </c>
    </row>
    <row r="235" spans="1:3">
      <c r="A235" s="13">
        <v>454</v>
      </c>
      <c r="B235" s="7" t="s">
        <v>368</v>
      </c>
      <c r="C235" s="7" t="s">
        <v>93</v>
      </c>
    </row>
    <row r="236" spans="1:3">
      <c r="A236" s="13">
        <v>456</v>
      </c>
      <c r="B236" s="7" t="s">
        <v>369</v>
      </c>
      <c r="C236" s="7" t="s">
        <v>93</v>
      </c>
    </row>
    <row r="237" spans="1:3">
      <c r="A237" s="13">
        <v>457</v>
      </c>
      <c r="B237" s="7" t="s">
        <v>370</v>
      </c>
      <c r="C237" s="7" t="s">
        <v>134</v>
      </c>
    </row>
    <row r="238" spans="1:3">
      <c r="A238" s="13">
        <v>458</v>
      </c>
      <c r="B238" s="7" t="s">
        <v>371</v>
      </c>
      <c r="C238" s="7" t="s">
        <v>17</v>
      </c>
    </row>
    <row r="239" spans="1:3">
      <c r="A239" s="13">
        <v>459</v>
      </c>
      <c r="B239" s="7" t="s">
        <v>372</v>
      </c>
      <c r="C239" s="7" t="s">
        <v>78</v>
      </c>
    </row>
    <row r="240" spans="1:3">
      <c r="A240" s="13">
        <v>460</v>
      </c>
      <c r="B240" s="7" t="s">
        <v>373</v>
      </c>
      <c r="C240" s="7" t="s">
        <v>72</v>
      </c>
    </row>
    <row r="241" spans="1:3">
      <c r="A241" s="13">
        <v>461</v>
      </c>
      <c r="B241" s="7" t="s">
        <v>374</v>
      </c>
      <c r="C241" s="7" t="s">
        <v>81</v>
      </c>
    </row>
    <row r="242" spans="1:3">
      <c r="A242" s="13">
        <v>462</v>
      </c>
      <c r="B242" s="7" t="s">
        <v>375</v>
      </c>
      <c r="C242" s="7" t="s">
        <v>100</v>
      </c>
    </row>
    <row r="243" spans="1:3">
      <c r="A243" s="13">
        <v>463</v>
      </c>
      <c r="B243" s="7" t="s">
        <v>376</v>
      </c>
      <c r="C243" s="7" t="s">
        <v>100</v>
      </c>
    </row>
    <row r="244" spans="1:3">
      <c r="A244" s="13">
        <v>464</v>
      </c>
      <c r="B244" s="7" t="s">
        <v>377</v>
      </c>
      <c r="C244" s="7" t="s">
        <v>17</v>
      </c>
    </row>
    <row r="245" spans="1:3">
      <c r="A245" s="13">
        <v>465</v>
      </c>
      <c r="B245" s="7" t="s">
        <v>378</v>
      </c>
      <c r="C245" s="7" t="s">
        <v>100</v>
      </c>
    </row>
    <row r="246" spans="1:3">
      <c r="A246" s="13">
        <v>466</v>
      </c>
      <c r="B246" s="7" t="s">
        <v>379</v>
      </c>
      <c r="C246" s="7" t="s">
        <v>101</v>
      </c>
    </row>
    <row r="247" spans="1:3">
      <c r="A247" s="13">
        <v>467</v>
      </c>
      <c r="B247" s="7" t="s">
        <v>380</v>
      </c>
      <c r="C247" s="7" t="s">
        <v>98</v>
      </c>
    </row>
    <row r="248" spans="1:3">
      <c r="A248" s="13">
        <v>468</v>
      </c>
      <c r="B248" s="7" t="s">
        <v>381</v>
      </c>
      <c r="C248" s="7" t="s">
        <v>102</v>
      </c>
    </row>
    <row r="249" spans="1:3">
      <c r="A249" s="13">
        <v>469</v>
      </c>
      <c r="B249" s="7" t="s">
        <v>382</v>
      </c>
      <c r="C249" s="7" t="s">
        <v>17</v>
      </c>
    </row>
    <row r="250" spans="1:3">
      <c r="A250" s="13">
        <v>470</v>
      </c>
      <c r="B250" s="7" t="s">
        <v>383</v>
      </c>
      <c r="C250" s="7" t="s">
        <v>100</v>
      </c>
    </row>
    <row r="251" spans="1:3">
      <c r="A251" s="13">
        <v>471</v>
      </c>
      <c r="B251" s="7" t="s">
        <v>384</v>
      </c>
      <c r="C251" s="7" t="s">
        <v>100</v>
      </c>
    </row>
    <row r="252" spans="1:3">
      <c r="A252" s="13">
        <v>473</v>
      </c>
      <c r="B252" s="7" t="s">
        <v>385</v>
      </c>
      <c r="C252" s="7" t="s">
        <v>85</v>
      </c>
    </row>
    <row r="253" spans="1:3">
      <c r="A253" s="13">
        <v>474</v>
      </c>
      <c r="B253" s="7" t="s">
        <v>386</v>
      </c>
      <c r="C253" s="7" t="s">
        <v>94</v>
      </c>
    </row>
    <row r="254" spans="1:3">
      <c r="A254" s="13">
        <v>475</v>
      </c>
      <c r="B254" s="7" t="s">
        <v>387</v>
      </c>
      <c r="C254" s="7" t="s">
        <v>103</v>
      </c>
    </row>
    <row r="255" spans="1:3">
      <c r="A255" s="13">
        <v>476</v>
      </c>
      <c r="B255" s="7" t="s">
        <v>388</v>
      </c>
      <c r="C255" s="7" t="s">
        <v>5</v>
      </c>
    </row>
    <row r="256" spans="1:3">
      <c r="A256" s="13">
        <v>477</v>
      </c>
      <c r="B256" s="7" t="s">
        <v>389</v>
      </c>
      <c r="C256" s="7" t="s">
        <v>5</v>
      </c>
    </row>
    <row r="257" spans="1:3">
      <c r="A257" s="13">
        <v>479</v>
      </c>
      <c r="B257" s="7" t="s">
        <v>390</v>
      </c>
      <c r="C257" s="7" t="s">
        <v>69</v>
      </c>
    </row>
    <row r="258" spans="1:3">
      <c r="A258" s="13">
        <v>480</v>
      </c>
      <c r="B258" s="7" t="s">
        <v>391</v>
      </c>
      <c r="C258" s="7" t="s">
        <v>104</v>
      </c>
    </row>
    <row r="259" spans="1:3">
      <c r="A259" s="13">
        <v>481</v>
      </c>
      <c r="B259" s="7" t="s">
        <v>392</v>
      </c>
      <c r="C259" s="7" t="s">
        <v>85</v>
      </c>
    </row>
    <row r="260" spans="1:3">
      <c r="A260" s="13">
        <v>482</v>
      </c>
      <c r="B260" s="7" t="s">
        <v>393</v>
      </c>
      <c r="C260" s="7" t="s">
        <v>102</v>
      </c>
    </row>
    <row r="261" spans="1:3">
      <c r="A261" s="13">
        <v>483</v>
      </c>
      <c r="B261" s="7" t="s">
        <v>394</v>
      </c>
      <c r="C261" s="7" t="s">
        <v>104</v>
      </c>
    </row>
    <row r="262" spans="1:3">
      <c r="A262" s="13">
        <v>484</v>
      </c>
      <c r="B262" s="7" t="s">
        <v>395</v>
      </c>
      <c r="C262" s="7" t="s">
        <v>81</v>
      </c>
    </row>
    <row r="263" spans="1:3">
      <c r="A263" s="13">
        <v>487</v>
      </c>
      <c r="B263" s="7" t="s">
        <v>396</v>
      </c>
      <c r="C263" s="7" t="s">
        <v>85</v>
      </c>
    </row>
    <row r="264" spans="1:3">
      <c r="A264" s="13">
        <v>489</v>
      </c>
      <c r="B264" s="7" t="s">
        <v>397</v>
      </c>
      <c r="C264" s="7" t="s">
        <v>82</v>
      </c>
    </row>
    <row r="265" spans="1:3">
      <c r="A265" s="13">
        <v>490</v>
      </c>
      <c r="B265" s="7" t="s">
        <v>398</v>
      </c>
      <c r="C265" s="7" t="s">
        <v>16</v>
      </c>
    </row>
    <row r="266" spans="1:3">
      <c r="A266" s="13">
        <v>491</v>
      </c>
      <c r="B266" s="7" t="s">
        <v>399</v>
      </c>
      <c r="C266" s="7" t="s">
        <v>64</v>
      </c>
    </row>
    <row r="267" spans="1:3">
      <c r="A267" s="13">
        <v>492</v>
      </c>
      <c r="B267" s="7" t="s">
        <v>400</v>
      </c>
      <c r="C267" s="7" t="s">
        <v>16</v>
      </c>
    </row>
    <row r="268" spans="1:3">
      <c r="A268" s="13">
        <v>493</v>
      </c>
      <c r="B268" s="7" t="s">
        <v>401</v>
      </c>
      <c r="C268" s="7" t="s">
        <v>34</v>
      </c>
    </row>
    <row r="269" spans="1:3">
      <c r="A269" s="13">
        <v>494</v>
      </c>
      <c r="B269" s="7" t="s">
        <v>402</v>
      </c>
      <c r="C269" s="7" t="s">
        <v>83</v>
      </c>
    </row>
    <row r="270" spans="1:3">
      <c r="A270" s="13">
        <v>495</v>
      </c>
      <c r="B270" s="7" t="s">
        <v>403</v>
      </c>
      <c r="C270" s="7" t="s">
        <v>105</v>
      </c>
    </row>
    <row r="271" spans="1:3">
      <c r="A271" s="13">
        <v>496</v>
      </c>
      <c r="B271" s="7" t="s">
        <v>404</v>
      </c>
      <c r="C271" s="7" t="s">
        <v>105</v>
      </c>
    </row>
    <row r="272" spans="1:3">
      <c r="A272" s="13">
        <v>497</v>
      </c>
      <c r="B272" s="7" t="s">
        <v>405</v>
      </c>
      <c r="C272" s="7" t="s">
        <v>64</v>
      </c>
    </row>
    <row r="273" spans="1:3">
      <c r="A273" s="13">
        <v>498</v>
      </c>
      <c r="B273" s="7" t="s">
        <v>406</v>
      </c>
      <c r="C273" s="7" t="s">
        <v>135</v>
      </c>
    </row>
    <row r="274" spans="1:3">
      <c r="A274" s="13">
        <v>499</v>
      </c>
      <c r="B274" s="7" t="s">
        <v>407</v>
      </c>
      <c r="C274" s="7" t="s">
        <v>34</v>
      </c>
    </row>
    <row r="275" spans="1:3">
      <c r="A275" s="13">
        <v>500</v>
      </c>
      <c r="B275" s="7" t="s">
        <v>408</v>
      </c>
      <c r="C275" s="7" t="s">
        <v>15</v>
      </c>
    </row>
    <row r="276" spans="1:3">
      <c r="A276" s="13">
        <v>501</v>
      </c>
      <c r="B276" s="7" t="s">
        <v>409</v>
      </c>
      <c r="C276" s="7" t="s">
        <v>62</v>
      </c>
    </row>
    <row r="277" spans="1:3">
      <c r="A277" s="13">
        <v>502</v>
      </c>
      <c r="B277" s="7" t="s">
        <v>410</v>
      </c>
      <c r="C277" s="7" t="s">
        <v>63</v>
      </c>
    </row>
    <row r="278" spans="1:3">
      <c r="A278" s="13">
        <v>503</v>
      </c>
      <c r="B278" s="7" t="s">
        <v>411</v>
      </c>
      <c r="C278" s="7" t="s">
        <v>106</v>
      </c>
    </row>
    <row r="279" spans="1:3">
      <c r="A279" s="13">
        <v>504</v>
      </c>
      <c r="B279" s="7" t="s">
        <v>412</v>
      </c>
      <c r="C279" s="7" t="s">
        <v>106</v>
      </c>
    </row>
    <row r="280" spans="1:3">
      <c r="A280" s="13">
        <v>505</v>
      </c>
      <c r="B280" s="7" t="s">
        <v>413</v>
      </c>
      <c r="C280" s="7" t="s">
        <v>106</v>
      </c>
    </row>
    <row r="281" spans="1:3">
      <c r="A281" s="13">
        <v>506</v>
      </c>
      <c r="B281" s="7" t="s">
        <v>414</v>
      </c>
      <c r="C281" s="7" t="s">
        <v>106</v>
      </c>
    </row>
    <row r="282" spans="1:3">
      <c r="A282" s="13">
        <v>507</v>
      </c>
      <c r="B282" s="7" t="s">
        <v>415</v>
      </c>
      <c r="C282" s="7" t="s">
        <v>73</v>
      </c>
    </row>
    <row r="283" spans="1:3">
      <c r="A283" s="13">
        <v>508</v>
      </c>
      <c r="B283" s="7" t="s">
        <v>416</v>
      </c>
      <c r="C283" s="7" t="s">
        <v>34</v>
      </c>
    </row>
    <row r="284" spans="1:3">
      <c r="A284" s="13">
        <v>509</v>
      </c>
      <c r="B284" s="7" t="s">
        <v>417</v>
      </c>
      <c r="C284" s="7" t="s">
        <v>67</v>
      </c>
    </row>
    <row r="285" spans="1:3">
      <c r="A285" s="13">
        <v>511</v>
      </c>
      <c r="B285" s="7" t="s">
        <v>418</v>
      </c>
      <c r="C285" s="7" t="s">
        <v>133</v>
      </c>
    </row>
    <row r="286" spans="1:3">
      <c r="A286" s="13">
        <v>512</v>
      </c>
      <c r="B286" s="7" t="s">
        <v>419</v>
      </c>
      <c r="C286" s="7" t="s">
        <v>27</v>
      </c>
    </row>
    <row r="287" spans="1:3">
      <c r="A287" s="10">
        <v>602</v>
      </c>
      <c r="B287" s="6" t="s">
        <v>107</v>
      </c>
      <c r="C287" s="9" t="s">
        <v>41</v>
      </c>
    </row>
    <row r="288" spans="1:3">
      <c r="A288" s="10">
        <v>603</v>
      </c>
      <c r="B288" s="6" t="s">
        <v>108</v>
      </c>
      <c r="C288" s="9" t="s">
        <v>38</v>
      </c>
    </row>
    <row r="289" spans="1:3">
      <c r="A289" s="12">
        <v>605</v>
      </c>
      <c r="B289" s="14" t="s">
        <v>109</v>
      </c>
      <c r="C289" s="14" t="s">
        <v>79</v>
      </c>
    </row>
    <row r="290" spans="1:3">
      <c r="A290" s="10">
        <v>607</v>
      </c>
      <c r="B290" s="9" t="s">
        <v>110</v>
      </c>
      <c r="C290" s="9" t="s">
        <v>95</v>
      </c>
    </row>
    <row r="291" spans="1:3">
      <c r="A291" s="10">
        <v>608</v>
      </c>
      <c r="B291" s="9" t="s">
        <v>111</v>
      </c>
      <c r="C291" s="9" t="s">
        <v>64</v>
      </c>
    </row>
    <row r="292" spans="1:3">
      <c r="A292" s="10">
        <v>609</v>
      </c>
      <c r="B292" s="9" t="s">
        <v>112</v>
      </c>
      <c r="C292" s="9" t="s">
        <v>33</v>
      </c>
    </row>
    <row r="293" spans="1:3">
      <c r="A293" s="10">
        <v>610</v>
      </c>
      <c r="B293" s="9" t="s">
        <v>113</v>
      </c>
      <c r="C293" s="9" t="s">
        <v>52</v>
      </c>
    </row>
    <row r="294" spans="1:3">
      <c r="A294" s="10">
        <v>611</v>
      </c>
      <c r="B294" s="9" t="s">
        <v>114</v>
      </c>
      <c r="C294" s="9" t="s">
        <v>21</v>
      </c>
    </row>
    <row r="295" spans="1:3">
      <c r="A295" s="10">
        <v>613</v>
      </c>
      <c r="B295" s="9" t="s">
        <v>115</v>
      </c>
      <c r="C295" s="9" t="s">
        <v>78</v>
      </c>
    </row>
    <row r="296" spans="1:3">
      <c r="A296" s="10">
        <v>614</v>
      </c>
      <c r="B296" s="9" t="s">
        <v>116</v>
      </c>
      <c r="C296" s="9" t="s">
        <v>64</v>
      </c>
    </row>
    <row r="297" spans="1:3">
      <c r="A297" s="10">
        <v>615</v>
      </c>
      <c r="B297" s="9" t="s">
        <v>117</v>
      </c>
      <c r="C297" s="9" t="s">
        <v>91</v>
      </c>
    </row>
    <row r="298" spans="1:3">
      <c r="A298" s="10">
        <v>616</v>
      </c>
      <c r="B298" s="9" t="s">
        <v>118</v>
      </c>
      <c r="C298" s="9" t="s">
        <v>13</v>
      </c>
    </row>
    <row r="299" spans="1:3">
      <c r="A299" s="10">
        <v>617</v>
      </c>
      <c r="B299" s="9" t="s">
        <v>119</v>
      </c>
      <c r="C299" s="9" t="s">
        <v>87</v>
      </c>
    </row>
    <row r="300" spans="1:3">
      <c r="A300" s="10">
        <v>618</v>
      </c>
      <c r="B300" s="9" t="s">
        <v>120</v>
      </c>
      <c r="C300" s="9" t="s">
        <v>99</v>
      </c>
    </row>
    <row r="301" spans="1:3">
      <c r="A301" s="12">
        <v>619</v>
      </c>
      <c r="B301" s="9" t="s">
        <v>121</v>
      </c>
      <c r="C301" s="9" t="s">
        <v>67</v>
      </c>
    </row>
    <row r="302" spans="1:3">
      <c r="A302" s="10">
        <v>620</v>
      </c>
      <c r="B302" s="9" t="s">
        <v>122</v>
      </c>
      <c r="C302" s="9" t="s">
        <v>93</v>
      </c>
    </row>
    <row r="303" spans="1:3">
      <c r="A303" s="10">
        <v>622</v>
      </c>
      <c r="B303" s="9" t="s">
        <v>123</v>
      </c>
      <c r="C303" s="9" t="s">
        <v>52</v>
      </c>
    </row>
    <row r="304" spans="1:3">
      <c r="A304" s="10">
        <v>625</v>
      </c>
      <c r="B304" s="9" t="s">
        <v>124</v>
      </c>
      <c r="C304" s="9" t="s">
        <v>25</v>
      </c>
    </row>
    <row r="305" spans="1:3">
      <c r="A305" s="10">
        <v>626</v>
      </c>
      <c r="B305" s="9" t="s">
        <v>125</v>
      </c>
      <c r="C305" s="9" t="s">
        <v>73</v>
      </c>
    </row>
    <row r="306" spans="1:3">
      <c r="A306" s="10">
        <v>628</v>
      </c>
      <c r="B306" s="9" t="s">
        <v>126</v>
      </c>
      <c r="C306" s="9" t="s">
        <v>99</v>
      </c>
    </row>
    <row r="307" spans="1:3">
      <c r="A307" s="10">
        <v>629</v>
      </c>
      <c r="B307" s="9" t="s">
        <v>127</v>
      </c>
      <c r="C307" s="9" t="s">
        <v>51</v>
      </c>
    </row>
    <row r="308" spans="1:3">
      <c r="A308" s="10">
        <v>631</v>
      </c>
      <c r="B308" s="9" t="s">
        <v>128</v>
      </c>
      <c r="C308" s="9" t="s">
        <v>72</v>
      </c>
    </row>
    <row r="309" spans="1:3">
      <c r="A309" s="10">
        <v>632</v>
      </c>
      <c r="B309" s="9" t="s">
        <v>129</v>
      </c>
      <c r="C309" s="9" t="s">
        <v>87</v>
      </c>
    </row>
    <row r="310" spans="1:3">
      <c r="A310" s="10">
        <v>636</v>
      </c>
      <c r="B310" s="9" t="s">
        <v>130</v>
      </c>
      <c r="C310" s="9" t="s">
        <v>12</v>
      </c>
    </row>
    <row r="311" spans="1:3">
      <c r="A311" s="10">
        <v>637</v>
      </c>
      <c r="B311" s="9" t="s">
        <v>131</v>
      </c>
      <c r="C311" s="9" t="s">
        <v>33</v>
      </c>
    </row>
  </sheetData>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ColWidth="8.710937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ARRA</vt:lpstr>
      <vt:lpstr>Sheet2</vt:lpstr>
      <vt:lpstr>Sheet3</vt:lpstr>
      <vt:lpstr>ARRA!Print_Area</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sbarnes</dc:creator>
  <cp:lastModifiedBy>Sara Barnes</cp:lastModifiedBy>
  <cp:lastPrinted>2012-12-05T21:02:22Z</cp:lastPrinted>
  <dcterms:created xsi:type="dcterms:W3CDTF">2011-07-14T16:27:16Z</dcterms:created>
  <dcterms:modified xsi:type="dcterms:W3CDTF">2012-12-05T21:19:14Z</dcterms:modified>
</cp:coreProperties>
</file>