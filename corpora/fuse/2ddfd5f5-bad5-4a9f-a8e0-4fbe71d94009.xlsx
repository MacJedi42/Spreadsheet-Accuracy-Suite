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M20" i="1" l="1"/>
  <c r="M9" i="1"/>
  <c r="M3" i="1"/>
  <c r="D9" i="1" l="1"/>
  <c r="D20" i="1" s="1"/>
  <c r="F9" i="1"/>
  <c r="F20" i="1" s="1"/>
  <c r="H9" i="1"/>
  <c r="H20" i="1" s="1"/>
  <c r="J9" i="1"/>
  <c r="J20" i="1" s="1"/>
  <c r="C9" i="1"/>
  <c r="C20" i="1" s="1"/>
  <c r="E3" i="1"/>
  <c r="E9" i="1" s="1"/>
  <c r="E20" i="1" s="1"/>
  <c r="G3" i="1" l="1"/>
  <c r="D8" i="1"/>
  <c r="D19" i="1" s="1"/>
  <c r="F8" i="1"/>
  <c r="F19" i="1" s="1"/>
  <c r="H8" i="1"/>
  <c r="H19" i="1" s="1"/>
  <c r="J8" i="1"/>
  <c r="J19" i="1" s="1"/>
  <c r="B8" i="1"/>
  <c r="B19" i="1" s="1"/>
  <c r="G9" i="1" l="1"/>
  <c r="G20" i="1" s="1"/>
  <c r="I3" i="1"/>
  <c r="I9" i="1" l="1"/>
  <c r="I20" i="1" s="1"/>
  <c r="K3" i="1"/>
  <c r="K9" i="1" s="1"/>
  <c r="K20" i="1" s="1"/>
</calcChain>
</file>

<file path=xl/sharedStrings.xml><?xml version="1.0" encoding="utf-8"?>
<sst xmlns="http://schemas.openxmlformats.org/spreadsheetml/2006/main" count="47" uniqueCount="34">
  <si>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</si>
  <si>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</si>
  <si>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</si>
  <si>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</si>
  <si>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</si>
  <si>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</si>
  <si>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</si>
  <si>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</si>
  <si>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</si>
  <si>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</si>
  <si>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</si>
  <si>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</si>
  <si>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</si>
  <si>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</si>
  <si>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</si>
  <si>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</si>
  <si>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</si>
  <si>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</si>
  <si>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</si>
  <si>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</si>
  <si>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</si>
  <si>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</si>
  <si>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</si>
  <si>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</si>
  <si>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</si>
  <si>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</si>
  <si>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</si>
  <si>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</si>
  <si>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 xml:space="preserve"> MSJC UG (All sections) </t>
  </si>
  <si>
    <t>Graded Seats</t>
  </si>
  <si>
    <t>Retention Rates</t>
  </si>
  <si>
    <t>Course  Retention</t>
  </si>
  <si>
    <t>na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</si>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</sst>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9" fontId="0" fillId="0" borderId="0" xfId="117" applyFont="1" applyBorder="1" applyAlignment="1">
      <alignment horizont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/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9" fontId="0" fillId="0" borderId="0" xfId="117" applyFont="1"/>
    <xf numFmtId="0" fontId="0" fillId="0" borderId="0" xfId="0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 vertic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4.5703125" customWidth="1"/>
    <col min="4" max="4" width="11.28515625" bestFit="1" customWidth="1"/>
    <col min="5" max="5" width="13.7109375" bestFit="1" customWidth="1"/>
    <col min="6" max="6" width="11.28515625" bestFit="1" customWidth="1"/>
    <col min="7" max="7" width="13.7109375" bestFit="1" customWidth="1"/>
    <col min="8" max="8" width="11.28515625" bestFit="1" customWidth="1"/>
    <col min="9" max="9" width="13.7109375" bestFit="1" customWidth="1"/>
    <col min="10" max="10" width="11.42578125" customWidth="1"/>
    <col min="11" max="11" width="13.7109375" bestFit="1" customWidth="1"/>
    <col min="12" max="12" width="11.28515625" bestFit="1" customWidth="1"/>
    <col min="13" max="13" width="13.7109375" style="27" bestFit="1" customWidth="1"/>
    <col min="14" max="16" width="9.140625" style="27"/>
    <col min="18" max="18" width="9.140625" style="19"/>
  </cols>
  <sheetData>
    <row r="1" spans="1:19" ht="15.75" thickBot="1" x14ac:dyDescent="0.3">
      <c r="A1" s="39" t="s">
        <v>31</v>
      </c>
      <c r="B1" s="37" t="s">
        <v>28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9" x14ac:dyDescent="0.25">
      <c r="A2" s="40"/>
      <c r="B2" s="41" t="s">
        <v>23</v>
      </c>
      <c r="C2" s="42"/>
      <c r="D2" s="41" t="s">
        <v>24</v>
      </c>
      <c r="E2" s="42"/>
      <c r="F2" s="41" t="s">
        <v>25</v>
      </c>
      <c r="G2" s="42"/>
      <c r="H2" s="41" t="s">
        <v>26</v>
      </c>
      <c r="I2" s="42"/>
      <c r="J2" s="41" t="s">
        <v>27</v>
      </c>
      <c r="K2" s="42"/>
      <c r="L2" s="41" t="s">
        <v>33</v>
      </c>
      <c r="M2" s="42"/>
    </row>
    <row r="3" spans="1:19" ht="17.25" customHeight="1" x14ac:dyDescent="0.25">
      <c r="A3" s="20" t="s">
        <v>0</v>
      </c>
      <c r="B3" s="24" t="s">
        <v>29</v>
      </c>
      <c r="C3" s="31" t="s">
        <v>30</v>
      </c>
      <c r="D3" s="24" t="s">
        <v>29</v>
      </c>
      <c r="E3" s="31" t="str">
        <f>C3</f>
        <v>Retention Rates</v>
      </c>
      <c r="F3" s="30" t="s">
        <v>29</v>
      </c>
      <c r="G3" s="13" t="str">
        <f>E3</f>
        <v>Retention Rates</v>
      </c>
      <c r="H3" s="30" t="s">
        <v>29</v>
      </c>
      <c r="I3" s="31" t="str">
        <f>G3</f>
        <v>Retention Rates</v>
      </c>
      <c r="J3" s="24" t="s">
        <v>29</v>
      </c>
      <c r="K3" s="13" t="str">
        <f>I3</f>
        <v>Retention Rates</v>
      </c>
      <c r="L3" s="30" t="s">
        <v>29</v>
      </c>
      <c r="M3" s="31" t="str">
        <f>K3</f>
        <v>Retention Rates</v>
      </c>
      <c r="Q3" s="19"/>
      <c r="S3" s="19"/>
    </row>
    <row r="4" spans="1:19" x14ac:dyDescent="0.25">
      <c r="A4" s="23" t="s">
        <v>1</v>
      </c>
      <c r="B4" s="9">
        <v>50204</v>
      </c>
      <c r="C4" s="3">
        <v>0.84457413751892274</v>
      </c>
      <c r="D4" s="9">
        <v>58762</v>
      </c>
      <c r="E4" s="3">
        <v>0.85220040162009458</v>
      </c>
      <c r="F4" s="9">
        <v>59600</v>
      </c>
      <c r="G4" s="3">
        <v>0.85627516778523494</v>
      </c>
      <c r="H4" s="9">
        <v>51377</v>
      </c>
      <c r="I4" s="3">
        <v>0.86466706892189116</v>
      </c>
      <c r="J4" s="9">
        <v>47710</v>
      </c>
      <c r="K4" s="3">
        <v>0.8561517501571998</v>
      </c>
      <c r="L4" s="9">
        <v>43562</v>
      </c>
      <c r="M4" s="3">
        <v>0.85840000000000005</v>
      </c>
      <c r="O4" s="26"/>
      <c r="Q4" s="26"/>
      <c r="S4" s="19"/>
    </row>
    <row r="5" spans="1:19" x14ac:dyDescent="0.25">
      <c r="A5" s="23" t="s">
        <v>2</v>
      </c>
      <c r="B5" s="9">
        <v>32818</v>
      </c>
      <c r="C5" s="3">
        <v>0.84447559266256322</v>
      </c>
      <c r="D5" s="9">
        <v>39441</v>
      </c>
      <c r="E5" s="3">
        <v>0.85056159833675615</v>
      </c>
      <c r="F5" s="9">
        <v>42678</v>
      </c>
      <c r="G5" s="3">
        <v>0.85219551056750553</v>
      </c>
      <c r="H5" s="9">
        <v>38345</v>
      </c>
      <c r="I5" s="3">
        <v>0.86079019428869474</v>
      </c>
      <c r="J5" s="9">
        <v>35776</v>
      </c>
      <c r="K5" s="3">
        <v>0.85381261180679791</v>
      </c>
      <c r="L5" s="9">
        <v>32773</v>
      </c>
      <c r="M5" s="3">
        <v>0.85260000000000002</v>
      </c>
      <c r="O5" s="26"/>
      <c r="Q5" s="26"/>
      <c r="S5" s="19"/>
    </row>
    <row r="6" spans="1:19" x14ac:dyDescent="0.25">
      <c r="A6" s="23" t="s">
        <v>3</v>
      </c>
      <c r="B6" s="9">
        <v>676</v>
      </c>
      <c r="C6" s="3">
        <v>0.85059171597633132</v>
      </c>
      <c r="D6" s="9">
        <v>1409</v>
      </c>
      <c r="E6" s="3">
        <v>0.86870120652945348</v>
      </c>
      <c r="F6" s="9">
        <v>1253</v>
      </c>
      <c r="G6" s="3">
        <v>0.86592178770949724</v>
      </c>
      <c r="H6" s="9">
        <v>1013</v>
      </c>
      <c r="I6" s="3">
        <v>0.88153998025666336</v>
      </c>
      <c r="J6" s="9">
        <v>771</v>
      </c>
      <c r="K6" s="3">
        <v>0.90791180285343709</v>
      </c>
      <c r="L6" s="9">
        <v>675</v>
      </c>
      <c r="M6" s="3">
        <v>0.89780000000000004</v>
      </c>
      <c r="O6" s="26"/>
      <c r="Q6" s="26"/>
      <c r="S6" s="19"/>
    </row>
    <row r="7" spans="1:19" x14ac:dyDescent="0.25">
      <c r="A7" s="7" t="s">
        <v>21</v>
      </c>
      <c r="B7" s="9">
        <v>83698</v>
      </c>
      <c r="C7" s="3">
        <v>0.84458409997849415</v>
      </c>
      <c r="D7" s="9">
        <v>99612</v>
      </c>
      <c r="E7" s="3">
        <v>0.85178492551098262</v>
      </c>
      <c r="F7" s="9">
        <v>103531</v>
      </c>
      <c r="G7" s="3">
        <v>0.8547101834233225</v>
      </c>
      <c r="H7" s="9">
        <v>90735</v>
      </c>
      <c r="I7" s="3">
        <v>0.86321706067118531</v>
      </c>
      <c r="J7" s="9">
        <v>84257</v>
      </c>
      <c r="K7" s="3">
        <v>0.85563217299452865</v>
      </c>
      <c r="L7" s="9">
        <v>77010</v>
      </c>
      <c r="M7" s="3">
        <v>0.85609999999999997</v>
      </c>
      <c r="O7" s="26"/>
      <c r="Q7" s="26"/>
    </row>
    <row r="8" spans="1:19" ht="15.75" thickBot="1" x14ac:dyDescent="0.3">
      <c r="A8" s="8"/>
      <c r="B8" s="35" t="str">
        <f>B2</f>
        <v>AY07-08</v>
      </c>
      <c r="C8" s="36"/>
      <c r="D8" s="35" t="str">
        <f t="shared" ref="D8:E9" si="0">D2</f>
        <v>AY08-09</v>
      </c>
      <c r="E8" s="36"/>
      <c r="F8" s="35" t="str">
        <f t="shared" ref="F8:G9" si="1">F2</f>
        <v>AY09-10</v>
      </c>
      <c r="G8" s="36"/>
      <c r="H8" s="35" t="str">
        <f t="shared" ref="H8:I9" si="2">H2</f>
        <v>AY10-11</v>
      </c>
      <c r="I8" s="36"/>
      <c r="J8" s="35" t="str">
        <f t="shared" ref="J8:K9" si="3">J2</f>
        <v>AY11-12</v>
      </c>
      <c r="K8" s="36"/>
      <c r="L8" s="35" t="s">
        <v>33</v>
      </c>
      <c r="M8" s="36"/>
      <c r="O8" s="26"/>
      <c r="Q8" s="26"/>
    </row>
    <row r="9" spans="1:19" ht="15.75" thickBot="1" x14ac:dyDescent="0.3">
      <c r="A9" s="14" t="s">
        <v>4</v>
      </c>
      <c r="B9" s="22" t="s">
        <v>29</v>
      </c>
      <c r="C9" s="32" t="str">
        <f>C3</f>
        <v>Retention Rates</v>
      </c>
      <c r="D9" s="32" t="str">
        <f t="shared" si="0"/>
        <v>Graded Seats</v>
      </c>
      <c r="E9" s="32" t="str">
        <f t="shared" si="0"/>
        <v>Retention Rates</v>
      </c>
      <c r="F9" s="32" t="str">
        <f t="shared" si="1"/>
        <v>Graded Seats</v>
      </c>
      <c r="G9" s="32" t="str">
        <f t="shared" si="1"/>
        <v>Retention Rates</v>
      </c>
      <c r="H9" s="32" t="str">
        <f t="shared" si="2"/>
        <v>Graded Seats</v>
      </c>
      <c r="I9" s="32" t="str">
        <f t="shared" si="2"/>
        <v>Retention Rates</v>
      </c>
      <c r="J9" s="32" t="str">
        <f t="shared" si="3"/>
        <v>Graded Seats</v>
      </c>
      <c r="K9" s="32" t="str">
        <f t="shared" si="3"/>
        <v>Retention Rates</v>
      </c>
      <c r="L9" s="30" t="s">
        <v>29</v>
      </c>
      <c r="M9" s="31" t="str">
        <f>K9</f>
        <v>Retention Rates</v>
      </c>
      <c r="O9" s="26"/>
      <c r="Q9" s="26"/>
    </row>
    <row r="10" spans="1:19" x14ac:dyDescent="0.25">
      <c r="A10" s="21" t="s">
        <v>5</v>
      </c>
      <c r="B10" s="9">
        <v>38614</v>
      </c>
      <c r="C10" s="3">
        <v>0.85109027813746307</v>
      </c>
      <c r="D10" s="9">
        <v>43825</v>
      </c>
      <c r="E10" s="3">
        <v>0.86272675413576727</v>
      </c>
      <c r="F10" s="9">
        <v>44203</v>
      </c>
      <c r="G10" s="3">
        <v>0.86184195642829675</v>
      </c>
      <c r="H10" s="9">
        <v>37653</v>
      </c>
      <c r="I10" s="3">
        <v>0.86678352322524099</v>
      </c>
      <c r="J10" s="9">
        <v>33209</v>
      </c>
      <c r="K10" s="3">
        <v>0.86304917341684484</v>
      </c>
      <c r="L10" s="9">
        <v>28245</v>
      </c>
      <c r="M10" s="3">
        <v>0.86470000000000002</v>
      </c>
      <c r="O10" s="26"/>
      <c r="Q10" s="26"/>
    </row>
    <row r="11" spans="1:19" x14ac:dyDescent="0.25">
      <c r="A11" s="28" t="s">
        <v>6</v>
      </c>
      <c r="B11" s="9">
        <v>23321</v>
      </c>
      <c r="C11" s="3">
        <v>0.83787144633592037</v>
      </c>
      <c r="D11" s="9">
        <v>28841</v>
      </c>
      <c r="E11" s="3">
        <v>0.84480427169654315</v>
      </c>
      <c r="F11" s="9">
        <v>31305</v>
      </c>
      <c r="G11" s="3">
        <v>0.84833093754991218</v>
      </c>
      <c r="H11" s="9">
        <v>29794</v>
      </c>
      <c r="I11" s="3">
        <v>0.86188494327716991</v>
      </c>
      <c r="J11" s="9">
        <v>30724</v>
      </c>
      <c r="K11" s="3">
        <v>0.85477151412576491</v>
      </c>
      <c r="L11" s="9">
        <v>31566</v>
      </c>
      <c r="M11" s="3">
        <v>0.8538</v>
      </c>
      <c r="O11" s="26"/>
      <c r="Q11" s="26"/>
    </row>
    <row r="12" spans="1:19" x14ac:dyDescent="0.25">
      <c r="A12" s="25" t="s">
        <v>7</v>
      </c>
      <c r="B12" s="17">
        <v>6688</v>
      </c>
      <c r="C12" s="10">
        <v>0.80098684210526316</v>
      </c>
      <c r="D12" s="17">
        <v>8448</v>
      </c>
      <c r="E12" s="10">
        <v>0.80066287878787878</v>
      </c>
      <c r="F12" s="17">
        <v>8825</v>
      </c>
      <c r="G12" s="10">
        <v>0.81835694050991503</v>
      </c>
      <c r="H12" s="17">
        <v>7147</v>
      </c>
      <c r="I12" s="10">
        <v>0.84049251434168182</v>
      </c>
      <c r="J12" s="17">
        <v>6518</v>
      </c>
      <c r="K12" s="10">
        <v>0.81037127953359922</v>
      </c>
      <c r="L12" s="17">
        <v>6059</v>
      </c>
      <c r="M12" s="10">
        <v>0.8206</v>
      </c>
      <c r="O12" s="26"/>
      <c r="Q12" s="26"/>
    </row>
    <row r="13" spans="1:19" x14ac:dyDescent="0.25">
      <c r="A13" s="28" t="s">
        <v>8</v>
      </c>
      <c r="B13" s="9">
        <v>2386</v>
      </c>
      <c r="C13" s="3">
        <v>0.88013411567476951</v>
      </c>
      <c r="D13" s="9">
        <v>2843</v>
      </c>
      <c r="E13" s="3">
        <v>0.88287020752725998</v>
      </c>
      <c r="F13" s="9">
        <v>2760</v>
      </c>
      <c r="G13" s="3">
        <v>0.88007246376811599</v>
      </c>
      <c r="H13" s="9">
        <v>2626</v>
      </c>
      <c r="I13" s="3">
        <v>0.8910891089108911</v>
      </c>
      <c r="J13" s="9">
        <v>2162</v>
      </c>
      <c r="K13" s="3">
        <v>0.88390379278445885</v>
      </c>
      <c r="L13" s="9">
        <v>1826</v>
      </c>
      <c r="M13" s="3">
        <v>0.89459999999999995</v>
      </c>
      <c r="O13" s="26"/>
      <c r="Q13" s="26"/>
    </row>
    <row r="14" spans="1:19" x14ac:dyDescent="0.25">
      <c r="A14" s="28" t="s">
        <v>9</v>
      </c>
      <c r="B14" s="9">
        <v>982</v>
      </c>
      <c r="C14" s="3">
        <v>0.8014256619144603</v>
      </c>
      <c r="D14" s="9">
        <v>1200</v>
      </c>
      <c r="E14" s="3">
        <v>0.82583333333333331</v>
      </c>
      <c r="F14" s="9">
        <v>1092</v>
      </c>
      <c r="G14" s="3">
        <v>0.83791208791208793</v>
      </c>
      <c r="H14" s="9">
        <v>853</v>
      </c>
      <c r="I14" s="3">
        <v>0.83587338804220401</v>
      </c>
      <c r="J14" s="9">
        <v>598</v>
      </c>
      <c r="K14" s="3">
        <v>0.83277591973244147</v>
      </c>
      <c r="L14" s="9">
        <v>385</v>
      </c>
      <c r="M14" s="3">
        <v>0.82079999999999997</v>
      </c>
      <c r="O14" s="26"/>
      <c r="Q14" s="26"/>
    </row>
    <row r="15" spans="1:19" x14ac:dyDescent="0.25">
      <c r="A15" s="28" t="s">
        <v>10</v>
      </c>
      <c r="B15" s="9">
        <v>3515</v>
      </c>
      <c r="C15" s="3">
        <v>0.86287339971550503</v>
      </c>
      <c r="D15" s="9">
        <v>3854</v>
      </c>
      <c r="E15" s="3">
        <v>0.8741567202906072</v>
      </c>
      <c r="F15" s="9">
        <v>3714</v>
      </c>
      <c r="G15" s="3">
        <v>0.86833602584814218</v>
      </c>
      <c r="H15" s="9">
        <v>3162</v>
      </c>
      <c r="I15" s="3">
        <v>0.88172043010752688</v>
      </c>
      <c r="J15" s="9">
        <v>2899</v>
      </c>
      <c r="K15" s="3">
        <v>0.87271472921697135</v>
      </c>
      <c r="L15" s="9">
        <v>2643</v>
      </c>
      <c r="M15" s="3">
        <v>0.87819999999999998</v>
      </c>
      <c r="O15" s="26"/>
      <c r="Q15" s="26"/>
    </row>
    <row r="16" spans="1:19" x14ac:dyDescent="0.25">
      <c r="A16" s="28" t="s">
        <v>11</v>
      </c>
      <c r="B16" s="9">
        <v>653</v>
      </c>
      <c r="C16" s="3">
        <v>0.86830015313935682</v>
      </c>
      <c r="D16" s="9">
        <v>968</v>
      </c>
      <c r="E16" s="3">
        <v>0.85537190082644632</v>
      </c>
      <c r="F16" s="9">
        <v>798</v>
      </c>
      <c r="G16" s="3">
        <v>0.85213032581453629</v>
      </c>
      <c r="H16" s="9">
        <v>582</v>
      </c>
      <c r="I16" s="3">
        <v>0.83161512027491413</v>
      </c>
      <c r="J16" s="9">
        <v>417</v>
      </c>
      <c r="K16" s="3">
        <v>0.83453237410071945</v>
      </c>
      <c r="L16" s="9">
        <v>356</v>
      </c>
      <c r="M16" s="3">
        <v>0.83709999999999996</v>
      </c>
      <c r="O16" s="26"/>
      <c r="Q16" s="26"/>
    </row>
    <row r="17" spans="1:17" x14ac:dyDescent="0.25">
      <c r="A17" s="28" t="s">
        <v>12</v>
      </c>
      <c r="B17" s="9">
        <v>1289</v>
      </c>
      <c r="C17" s="3">
        <v>0.80062063615205581</v>
      </c>
      <c r="D17" s="9">
        <v>1411</v>
      </c>
      <c r="E17" s="3">
        <v>0.7767540751240255</v>
      </c>
      <c r="F17" s="9">
        <v>2477</v>
      </c>
      <c r="G17" s="3">
        <v>0.85304804198627371</v>
      </c>
      <c r="H17" s="9">
        <v>3346</v>
      </c>
      <c r="I17" s="3">
        <v>0.84967124925283921</v>
      </c>
      <c r="J17" s="9">
        <v>4120</v>
      </c>
      <c r="K17" s="3">
        <v>0.84854368932038837</v>
      </c>
      <c r="L17" s="9">
        <v>4136</v>
      </c>
      <c r="M17" s="3">
        <v>0.84530000000000005</v>
      </c>
      <c r="O17" s="26"/>
      <c r="Q17" s="26"/>
    </row>
    <row r="18" spans="1:17" ht="15.75" thickBot="1" x14ac:dyDescent="0.3">
      <c r="A18" s="29" t="s">
        <v>3</v>
      </c>
      <c r="B18" s="9">
        <v>6198</v>
      </c>
      <c r="C18" s="3">
        <v>0.85059171597633132</v>
      </c>
      <c r="D18" s="9">
        <v>8164</v>
      </c>
      <c r="E18" s="3">
        <v>0.86870120652945348</v>
      </c>
      <c r="F18" s="9">
        <v>8077</v>
      </c>
      <c r="G18" s="3">
        <v>0.86592178770949724</v>
      </c>
      <c r="H18" s="9">
        <v>5231</v>
      </c>
      <c r="I18" s="3">
        <v>0.88153998025666336</v>
      </c>
      <c r="J18" s="9">
        <v>3204</v>
      </c>
      <c r="K18" s="3">
        <v>0.90791180285343709</v>
      </c>
      <c r="L18" s="9">
        <v>1794</v>
      </c>
      <c r="M18" s="3">
        <v>0.84499999999999997</v>
      </c>
      <c r="O18" s="26"/>
      <c r="Q18" s="26"/>
    </row>
    <row r="19" spans="1:17" ht="15.75" thickBot="1" x14ac:dyDescent="0.3">
      <c r="A19" s="12"/>
      <c r="B19" s="33" t="str">
        <f>B8</f>
        <v>AY07-08</v>
      </c>
      <c r="C19" s="34"/>
      <c r="D19" s="33" t="str">
        <f t="shared" ref="D19:E20" si="4">D8</f>
        <v>AY08-09</v>
      </c>
      <c r="E19" s="34"/>
      <c r="F19" s="33" t="str">
        <f t="shared" ref="F19:G20" si="5">F8</f>
        <v>AY09-10</v>
      </c>
      <c r="G19" s="34"/>
      <c r="H19" s="33" t="str">
        <f t="shared" ref="H19:I20" si="6">H8</f>
        <v>AY10-11</v>
      </c>
      <c r="I19" s="34"/>
      <c r="J19" s="33" t="str">
        <f t="shared" ref="J19:K20" si="7">J8</f>
        <v>AY11-12</v>
      </c>
      <c r="K19" s="34"/>
      <c r="L19" s="35" t="s">
        <v>33</v>
      </c>
      <c r="M19" s="36"/>
      <c r="O19" s="26"/>
      <c r="Q19" s="26"/>
    </row>
    <row r="20" spans="1:17" ht="15.75" thickBot="1" x14ac:dyDescent="0.3">
      <c r="A20" s="6" t="s">
        <v>13</v>
      </c>
      <c r="B20" s="22" t="s">
        <v>29</v>
      </c>
      <c r="C20" s="32" t="str">
        <f>C9</f>
        <v>Retention Rates</v>
      </c>
      <c r="D20" s="32" t="str">
        <f t="shared" si="4"/>
        <v>Graded Seats</v>
      </c>
      <c r="E20" s="32" t="str">
        <f t="shared" si="4"/>
        <v>Retention Rates</v>
      </c>
      <c r="F20" s="32" t="str">
        <f t="shared" si="5"/>
        <v>Graded Seats</v>
      </c>
      <c r="G20" s="32" t="str">
        <f t="shared" si="5"/>
        <v>Retention Rates</v>
      </c>
      <c r="H20" s="32" t="str">
        <f t="shared" si="6"/>
        <v>Graded Seats</v>
      </c>
      <c r="I20" s="32" t="str">
        <f t="shared" si="6"/>
        <v>Retention Rates</v>
      </c>
      <c r="J20" s="32" t="str">
        <f t="shared" si="7"/>
        <v>Graded Seats</v>
      </c>
      <c r="K20" s="32" t="str">
        <f t="shared" si="7"/>
        <v>Retention Rates</v>
      </c>
      <c r="L20" s="30" t="s">
        <v>29</v>
      </c>
      <c r="M20" s="31" t="str">
        <f>K20</f>
        <v>Retention Rates</v>
      </c>
      <c r="O20" s="26"/>
      <c r="Q20" s="26"/>
    </row>
    <row r="21" spans="1:17" x14ac:dyDescent="0.25">
      <c r="A21" s="15" t="s">
        <v>14</v>
      </c>
      <c r="B21" s="9">
        <v>2297</v>
      </c>
      <c r="C21" s="3">
        <v>0.9107531562908141</v>
      </c>
      <c r="D21" s="9">
        <v>2944</v>
      </c>
      <c r="E21" s="3">
        <v>0.90353260869565222</v>
      </c>
      <c r="F21" s="9">
        <v>2067</v>
      </c>
      <c r="G21" s="3">
        <v>0.91775520077406869</v>
      </c>
      <c r="H21" s="9">
        <v>1951</v>
      </c>
      <c r="I21" s="3">
        <v>0.94669400307534601</v>
      </c>
      <c r="J21" s="9">
        <v>1849</v>
      </c>
      <c r="K21" s="3">
        <v>0.95457003785830175</v>
      </c>
      <c r="L21" s="9">
        <v>1643</v>
      </c>
      <c r="M21" s="3">
        <v>0.90990000000000004</v>
      </c>
      <c r="O21" s="26"/>
      <c r="Q21" s="26"/>
    </row>
    <row r="22" spans="1:17" x14ac:dyDescent="0.25">
      <c r="A22" s="16" t="s">
        <v>15</v>
      </c>
      <c r="B22" s="9">
        <v>27146</v>
      </c>
      <c r="C22" s="3">
        <v>0.84634937007293898</v>
      </c>
      <c r="D22" s="9">
        <v>32960</v>
      </c>
      <c r="E22" s="3">
        <v>0.85567354368932036</v>
      </c>
      <c r="F22" s="9">
        <v>32555</v>
      </c>
      <c r="G22" s="3">
        <v>0.86911380740285671</v>
      </c>
      <c r="H22" s="9">
        <v>25560</v>
      </c>
      <c r="I22" s="3">
        <v>0.88208137715179968</v>
      </c>
      <c r="J22" s="9">
        <v>22789</v>
      </c>
      <c r="K22" s="3">
        <v>0.88130238272850936</v>
      </c>
      <c r="L22" s="9">
        <v>20931</v>
      </c>
      <c r="M22" s="3">
        <v>0.89090000000000003</v>
      </c>
      <c r="O22" s="26"/>
      <c r="Q22" s="26"/>
    </row>
    <row r="23" spans="1:17" x14ac:dyDescent="0.25">
      <c r="A23" s="16" t="s">
        <v>16</v>
      </c>
      <c r="B23" s="9">
        <v>26830</v>
      </c>
      <c r="C23" s="3">
        <v>0.8333581811405143</v>
      </c>
      <c r="D23" s="9">
        <v>31733</v>
      </c>
      <c r="E23" s="3">
        <v>0.83528188321305896</v>
      </c>
      <c r="F23" s="9">
        <v>33641</v>
      </c>
      <c r="G23" s="3">
        <v>0.83781694955560182</v>
      </c>
      <c r="H23" s="9">
        <v>32306</v>
      </c>
      <c r="I23" s="3">
        <v>0.84262985203986873</v>
      </c>
      <c r="J23" s="9">
        <v>32184</v>
      </c>
      <c r="K23" s="3">
        <v>0.83811831966194383</v>
      </c>
      <c r="L23" s="9">
        <v>30186</v>
      </c>
      <c r="M23" s="3">
        <v>0.83919999999999995</v>
      </c>
      <c r="O23" s="26"/>
      <c r="Q23" s="26"/>
    </row>
    <row r="24" spans="1:17" x14ac:dyDescent="0.25">
      <c r="A24" s="16" t="s">
        <v>17</v>
      </c>
      <c r="B24" s="9">
        <v>8856</v>
      </c>
      <c r="C24" s="3">
        <v>0.83242999096657633</v>
      </c>
      <c r="D24" s="9">
        <v>10242</v>
      </c>
      <c r="E24" s="3">
        <v>0.84182776801405979</v>
      </c>
      <c r="F24" s="9">
        <v>11630</v>
      </c>
      <c r="G24" s="3">
        <v>0.84978503869303523</v>
      </c>
      <c r="H24" s="9">
        <v>10696</v>
      </c>
      <c r="I24" s="3">
        <v>0.85415108451757671</v>
      </c>
      <c r="J24" s="9">
        <v>9686</v>
      </c>
      <c r="K24" s="3">
        <v>0.83512285773281025</v>
      </c>
      <c r="L24" s="9">
        <v>8760</v>
      </c>
      <c r="M24" s="3">
        <v>0.83309999999999995</v>
      </c>
      <c r="O24" s="26"/>
      <c r="Q24" s="26"/>
    </row>
    <row r="25" spans="1:17" x14ac:dyDescent="0.25">
      <c r="A25" s="16" t="s">
        <v>18</v>
      </c>
      <c r="B25" s="9">
        <v>5334</v>
      </c>
      <c r="C25" s="3">
        <v>0.84908136482939633</v>
      </c>
      <c r="D25" s="9">
        <v>6411</v>
      </c>
      <c r="E25" s="3">
        <v>0.86647948837934796</v>
      </c>
      <c r="F25" s="9">
        <v>6894</v>
      </c>
      <c r="G25" s="3">
        <v>0.84957934435741223</v>
      </c>
      <c r="H25" s="9">
        <v>6169</v>
      </c>
      <c r="I25" s="3">
        <v>0.86189009563948771</v>
      </c>
      <c r="J25" s="9">
        <v>5582</v>
      </c>
      <c r="K25" s="3">
        <v>0.84826227158724476</v>
      </c>
      <c r="L25" s="9">
        <v>5015</v>
      </c>
      <c r="M25" s="3">
        <v>0.84419999999999995</v>
      </c>
      <c r="O25" s="26"/>
      <c r="Q25" s="26"/>
    </row>
    <row r="26" spans="1:17" x14ac:dyDescent="0.25">
      <c r="A26" s="16" t="s">
        <v>19</v>
      </c>
      <c r="B26" s="9">
        <v>4224</v>
      </c>
      <c r="C26" s="3">
        <v>0.84777462121212122</v>
      </c>
      <c r="D26" s="9">
        <v>5019</v>
      </c>
      <c r="E26" s="3">
        <v>0.85694361426579002</v>
      </c>
      <c r="F26" s="9">
        <v>5211</v>
      </c>
      <c r="G26" s="3">
        <v>0.85300326232968715</v>
      </c>
      <c r="H26" s="9">
        <v>4239</v>
      </c>
      <c r="I26" s="3">
        <v>0.87048832271762211</v>
      </c>
      <c r="J26" s="9">
        <v>3744</v>
      </c>
      <c r="K26" s="3">
        <v>0.84561965811965811</v>
      </c>
      <c r="L26" s="9">
        <v>3117</v>
      </c>
      <c r="M26" s="3">
        <v>0.8498</v>
      </c>
      <c r="O26" s="26"/>
      <c r="Q26" s="26"/>
    </row>
    <row r="27" spans="1:17" x14ac:dyDescent="0.25">
      <c r="A27" s="5" t="s">
        <v>20</v>
      </c>
      <c r="B27" s="9">
        <v>6057</v>
      </c>
      <c r="C27" s="3">
        <v>0.86924219910846956</v>
      </c>
      <c r="D27" s="9">
        <v>6901</v>
      </c>
      <c r="E27" s="3">
        <v>0.87885813650195621</v>
      </c>
      <c r="F27" s="9">
        <v>7689</v>
      </c>
      <c r="G27" s="3">
        <v>0.85771881909220971</v>
      </c>
      <c r="H27" s="9">
        <v>6571</v>
      </c>
      <c r="I27" s="3">
        <v>0.86836098006391726</v>
      </c>
      <c r="J27" s="9">
        <v>5462</v>
      </c>
      <c r="K27" s="3">
        <v>0.86433540827535704</v>
      </c>
      <c r="L27" s="9">
        <v>4646</v>
      </c>
      <c r="M27" s="3">
        <v>0.87660000000000005</v>
      </c>
      <c r="O27" s="26"/>
      <c r="Q27" s="26"/>
    </row>
    <row r="28" spans="1:17" x14ac:dyDescent="0.25">
      <c r="A28" s="5" t="s">
        <v>22</v>
      </c>
      <c r="B28" s="9">
        <v>2946</v>
      </c>
      <c r="C28" s="3">
        <v>0.85166327223353699</v>
      </c>
      <c r="D28" s="9">
        <v>3402</v>
      </c>
      <c r="E28" s="3">
        <v>0.86302175191064079</v>
      </c>
      <c r="F28" s="9">
        <v>3828</v>
      </c>
      <c r="G28" s="3">
        <v>0.86807732497387669</v>
      </c>
      <c r="H28" s="9">
        <v>3236</v>
      </c>
      <c r="I28" s="3">
        <v>0.88164400494437578</v>
      </c>
      <c r="J28" s="9">
        <v>2952</v>
      </c>
      <c r="K28" s="3">
        <v>0.8644986449864499</v>
      </c>
      <c r="L28" s="9">
        <v>2708</v>
      </c>
      <c r="M28" s="3">
        <v>0.85909999999999997</v>
      </c>
      <c r="O28" s="26"/>
      <c r="Q28" s="26"/>
    </row>
    <row r="29" spans="1:17" ht="15.75" thickBot="1" x14ac:dyDescent="0.3">
      <c r="A29" s="29" t="s">
        <v>3</v>
      </c>
      <c r="B29" s="18">
        <v>8</v>
      </c>
      <c r="C29" s="4">
        <v>0.85059171597633132</v>
      </c>
      <c r="D29" s="18">
        <v>0</v>
      </c>
      <c r="E29" s="4" t="s">
        <v>32</v>
      </c>
      <c r="F29" s="18">
        <v>16</v>
      </c>
      <c r="G29" s="4">
        <v>0.86592178770949724</v>
      </c>
      <c r="H29" s="18">
        <v>7</v>
      </c>
      <c r="I29" s="4">
        <v>0.88153998025666336</v>
      </c>
      <c r="J29" s="18">
        <v>9</v>
      </c>
      <c r="K29" s="4">
        <v>0.90791180285343709</v>
      </c>
      <c r="L29" s="18">
        <v>4</v>
      </c>
      <c r="M29" s="4">
        <v>1</v>
      </c>
      <c r="O29" s="26"/>
      <c r="Q29" s="26"/>
    </row>
    <row r="30" spans="1:17" x14ac:dyDescent="0.25">
      <c r="A30" s="1"/>
      <c r="B30" s="1"/>
      <c r="C30" s="11"/>
      <c r="D30" s="11"/>
      <c r="E30" s="11"/>
      <c r="F30" s="11"/>
      <c r="G30" s="11"/>
      <c r="H30" s="11"/>
      <c r="I30" s="11"/>
      <c r="J30" s="11"/>
      <c r="K30" s="11"/>
    </row>
    <row r="31" spans="1:17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J19:K19"/>
    <mergeCell ref="L2:M2"/>
    <mergeCell ref="L8:M8"/>
    <mergeCell ref="L19:M19"/>
    <mergeCell ref="J8:K8"/>
    <mergeCell ref="B1:M1"/>
    <mergeCell ref="A1:A2"/>
    <mergeCell ref="B2:C2"/>
    <mergeCell ref="D2:E2"/>
    <mergeCell ref="F2:G2"/>
    <mergeCell ref="H2:I2"/>
    <mergeCell ref="J2:K2"/>
    <mergeCell ref="B19:C19"/>
    <mergeCell ref="B8:C8"/>
    <mergeCell ref="D8:E8"/>
    <mergeCell ref="F8:G8"/>
    <mergeCell ref="H8:I8"/>
    <mergeCell ref="D19:E19"/>
    <mergeCell ref="F19:G19"/>
    <mergeCell ref="H19:I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sharepoint/v3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equity course retention (all UG)</dc:title>
  <dc:creator>nmesaris</dc:creator>
  <cp:lastModifiedBy>wklein</cp:lastModifiedBy>
  <dcterms:created xsi:type="dcterms:W3CDTF">2012-06-05T22:10:59Z</dcterms:created>
  <dcterms:modified xsi:type="dcterms:W3CDTF">2014-05-07T16:21:26Z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