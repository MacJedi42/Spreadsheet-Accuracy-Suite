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O28" i="1" l="1"/>
  <c r="O29" i="1"/>
  <c r="O30" i="1"/>
  <c r="O31" i="1"/>
  <c r="O32" i="1"/>
  <c r="O33" i="1"/>
  <c r="O34" i="1"/>
  <c r="O35" i="1"/>
  <c r="O27" i="1"/>
  <c r="O14" i="1"/>
  <c r="O15" i="1"/>
  <c r="O16" i="1"/>
  <c r="O17" i="1"/>
  <c r="O18" i="1"/>
  <c r="O19" i="1"/>
  <c r="O20" i="1"/>
  <c r="O21" i="1"/>
  <c r="O13" i="1"/>
  <c r="O5" i="1"/>
  <c r="O6" i="1"/>
  <c r="O4" i="1"/>
  <c r="M28" i="1" l="1"/>
  <c r="M29" i="1"/>
  <c r="M30" i="1"/>
  <c r="M31" i="1"/>
  <c r="M32" i="1"/>
  <c r="M33" i="1"/>
  <c r="M34" i="1"/>
  <c r="M35" i="1"/>
  <c r="M27" i="1"/>
  <c r="M14" i="1"/>
  <c r="M15" i="1"/>
  <c r="M16" i="1"/>
  <c r="M17" i="1"/>
  <c r="M18" i="1"/>
  <c r="M19" i="1"/>
  <c r="M20" i="1"/>
  <c r="M21" i="1"/>
  <c r="M13" i="1"/>
  <c r="M5" i="1"/>
  <c r="M6" i="1"/>
  <c r="M4" i="1"/>
  <c r="B10" i="1" l="1"/>
  <c r="B24" i="1" s="1"/>
  <c r="E11" i="3" l="1"/>
  <c r="D11" i="3"/>
  <c r="C11" i="3"/>
  <c r="B11" i="3"/>
  <c r="A11" i="3"/>
  <c r="E10" i="3"/>
  <c r="D10" i="3"/>
  <c r="C10" i="3"/>
  <c r="B10" i="3"/>
  <c r="A10" i="3"/>
  <c r="E4" i="3"/>
  <c r="D4" i="3"/>
  <c r="C4" i="3"/>
  <c r="B4" i="3"/>
  <c r="A4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3" i="3"/>
  <c r="D3" i="3"/>
  <c r="C3" i="3"/>
  <c r="B3" i="3"/>
  <c r="A3" i="3"/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Q43" i="1" l="1"/>
  <c r="Q28" i="1" l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27" i="1"/>
  <c r="R27" i="1" s="1"/>
  <c r="Q14" i="1"/>
  <c r="Q15" i="1"/>
  <c r="Q16" i="1"/>
  <c r="Q17" i="1"/>
  <c r="Q18" i="1"/>
  <c r="Q19" i="1"/>
  <c r="Q20" i="1"/>
  <c r="Q21" i="1"/>
  <c r="Q13" i="1"/>
  <c r="F4" i="3"/>
  <c r="F6" i="3"/>
  <c r="F7" i="3"/>
  <c r="F8" i="3"/>
  <c r="F9" i="3"/>
  <c r="F10" i="3"/>
  <c r="F11" i="3"/>
  <c r="F3" i="3"/>
  <c r="H15" i="5" l="1"/>
  <c r="D15" i="5"/>
  <c r="D22" i="5"/>
  <c r="D20" i="5"/>
  <c r="D18" i="5"/>
  <c r="D16" i="5"/>
  <c r="B15" i="5"/>
  <c r="J15" i="5"/>
  <c r="F15" i="5"/>
  <c r="D14" i="5"/>
  <c r="J21" i="5"/>
  <c r="B19" i="5"/>
  <c r="B17" i="5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F18" i="5"/>
  <c r="D19" i="5"/>
  <c r="B20" i="5"/>
  <c r="C20" i="5" s="1"/>
  <c r="J20" i="5"/>
  <c r="R20" i="1"/>
  <c r="J14" i="5"/>
  <c r="R16" i="1"/>
  <c r="P7" i="1"/>
  <c r="Q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G18" i="5" l="1"/>
  <c r="K14" i="5"/>
  <c r="E19" i="5"/>
  <c r="I17" i="5"/>
  <c r="R14" i="1"/>
  <c r="R15" i="1"/>
  <c r="R18" i="1"/>
  <c r="R19" i="1"/>
  <c r="R21" i="1"/>
  <c r="R17" i="1"/>
  <c r="C19" i="5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R13" i="1"/>
  <c r="Q4" i="1"/>
  <c r="Q5" i="1"/>
  <c r="F8" i="5" l="1"/>
  <c r="G44" i="5" s="1"/>
  <c r="J8" i="5"/>
  <c r="K44" i="5" s="1"/>
  <c r="B8" i="5"/>
  <c r="C5" i="5" s="1"/>
  <c r="G6" i="5"/>
  <c r="D8" i="5"/>
  <c r="E44" i="5" s="1"/>
  <c r="H8" i="5"/>
  <c r="I44" i="5" s="1"/>
  <c r="R5" i="1"/>
  <c r="R43" i="1"/>
  <c r="R6" i="1"/>
  <c r="R4" i="1"/>
  <c r="E7" i="5" l="1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<sst xmlns="http://schemas.openxmlformats.org/spreadsheetml/2006/main" count="340" uniqueCount="63">
  <si>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</si>
  <si>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</si>
  <si>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</si>
  <si>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</si>
  <si>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</si>
  <si>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</si>
  <si>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</si>
  <si>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</si>
  <si>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</si>
  <si>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</si>
  <si>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</si>
  <si>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</si>
  <si>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</si>
  <si>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</si>
  <si>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</si>
  <si>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</si>
  <si>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</si>
  <si>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</si>
  <si>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</si>
  <si>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</si>
  <si>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</si>
  <si>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</si>
  <si>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</si>
  <si>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</si>
  <si>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</si>
  <si>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</si>
  <si>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</si>
  <si>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</si>
  <si>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</si>
  <si>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</si>
  <si>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</si>
  <si>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</si>
  <si>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</si>
  <si>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</si>
  <si>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</si>
  <si>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</si>
  <si>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</si>
  <si>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</si>
  <si>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</si>
  <si>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</si>
  <si>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</si>
  <si>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</si>
  <si>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</si>
  <si>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</si>
  <si>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</si>
  <si>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</si>
  <si>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</si>
  <si>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</si>
  <si>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</si>
  <si>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</si>
  <si>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</si>
  <si>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</si>
  <si>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</si>
  <si>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</si>
  <si>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</si>
  <si>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</si>
  <si>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</si>
  <si>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</si>
  <si>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</si>
  <si>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</si>
  <si>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AY13-14</t>
  </si>
  <si>
    <t>7 Year MSJC MVC Data</t>
  </si>
  <si>
    <t>7 Year MSJC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</si>
</sst>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6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7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39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39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0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4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0" fontId="27" fillId="0" borderId="28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9" fontId="29" fillId="0" borderId="18" xfId="117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0" xfId="2" applyNumberFormat="1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9" fontId="29" fillId="0" borderId="52" xfId="2" applyNumberFormat="1" applyFont="1" applyBorder="1" applyAlignment="1">
      <alignment horizontal="center" vertical="center"/>
    </xf>
    <xf numFmtId="0" fontId="16" fillId="0" borderId="53" xfId="2" applyFont="1" applyBorder="1" applyAlignment="1">
      <alignment horizontal="right"/>
    </xf>
    <xf numFmtId="0" fontId="22" fillId="0" borderId="53" xfId="2" applyFont="1" applyBorder="1" applyAlignment="1">
      <alignment horizontal="center"/>
    </xf>
    <xf numFmtId="0" fontId="25" fillId="0" borderId="13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0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5" xfId="117" applyNumberFormat="1" applyFont="1" applyBorder="1" applyAlignment="1">
      <alignment horizontal="center" vertical="center"/>
    </xf>
    <xf numFmtId="10" fontId="23" fillId="0" borderId="54" xfId="117" applyNumberFormat="1" applyFont="1" applyBorder="1" applyAlignment="1">
      <alignment horizontal="center" vertical="center"/>
    </xf>
    <xf numFmtId="10" fontId="29" fillId="0" borderId="45" xfId="117" applyNumberFormat="1" applyFont="1" applyBorder="1" applyAlignment="1">
      <alignment horizontal="center" vertical="center"/>
    </xf>
    <xf numFmtId="0" fontId="30" fillId="0" borderId="50" xfId="0" applyFont="1" applyBorder="1"/>
    <xf numFmtId="0" fontId="30" fillId="0" borderId="51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5" xfId="2" applyFont="1" applyBorder="1" applyAlignment="1">
      <alignment horizontal="center" vertical="center"/>
    </xf>
    <xf numFmtId="3" fontId="33" fillId="0" borderId="55" xfId="118" applyNumberFormat="1" applyFont="1" applyBorder="1" applyAlignment="1"/>
    <xf numFmtId="0" fontId="0" fillId="0" borderId="55" xfId="0" applyBorder="1"/>
    <xf numFmtId="0" fontId="0" fillId="0" borderId="47" xfId="0" applyBorder="1"/>
    <xf numFmtId="0" fontId="0" fillId="0" borderId="22" xfId="0" applyBorder="1"/>
    <xf numFmtId="0" fontId="0" fillId="0" borderId="0" xfId="0" applyBorder="1"/>
    <xf numFmtId="0" fontId="0" fillId="0" borderId="56" xfId="0" applyBorder="1"/>
    <xf numFmtId="0" fontId="19" fillId="0" borderId="53" xfId="49" applyBorder="1" applyAlignment="1" applyProtection="1"/>
    <xf numFmtId="0" fontId="0" fillId="0" borderId="54" xfId="0" applyBorder="1"/>
    <xf numFmtId="0" fontId="0" fillId="0" borderId="45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30" fillId="0" borderId="58" xfId="0" applyFont="1" applyBorder="1"/>
    <xf numFmtId="0" fontId="30" fillId="0" borderId="59" xfId="0" applyFont="1" applyBorder="1"/>
    <xf numFmtId="0" fontId="29" fillId="0" borderId="60" xfId="2" applyFont="1" applyBorder="1" applyAlignment="1">
      <alignment horizontal="center" vertical="center"/>
    </xf>
    <xf numFmtId="164" fontId="16" fillId="34" borderId="61" xfId="0" applyNumberFormat="1" applyFont="1" applyFill="1" applyBorder="1"/>
    <xf numFmtId="0" fontId="23" fillId="0" borderId="3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3" fontId="23" fillId="0" borderId="34" xfId="2" applyNumberFormat="1" applyFont="1" applyBorder="1" applyAlignment="1">
      <alignment horizontal="center" vertical="center"/>
    </xf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9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23" fillId="0" borderId="38" xfId="2" applyFont="1" applyBorder="1" applyAlignment="1">
      <alignment horizontal="center" vertical="center"/>
    </xf>
    <xf numFmtId="164" fontId="23" fillId="0" borderId="36" xfId="2" applyNumberFormat="1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164" fontId="16" fillId="34" borderId="57" xfId="0" applyNumberFormat="1" applyFont="1" applyFill="1" applyBorder="1"/>
    <xf numFmtId="3" fontId="23" fillId="0" borderId="16" xfId="2" applyNumberFormat="1" applyFont="1" applyBorder="1" applyAlignment="1">
      <alignment horizontal="center" vertical="center"/>
    </xf>
    <xf numFmtId="3" fontId="23" fillId="0" borderId="42" xfId="2" applyNumberFormat="1" applyFont="1" applyBorder="1" applyAlignment="1">
      <alignment horizontal="center" vertical="center"/>
    </xf>
    <xf numFmtId="3" fontId="23" fillId="0" borderId="43" xfId="2" applyNumberFormat="1" applyFont="1" applyBorder="1" applyAlignment="1">
      <alignment horizontal="center" vertical="center"/>
    </xf>
    <xf numFmtId="0" fontId="25" fillId="0" borderId="39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24" fillId="0" borderId="16" xfId="2" applyFont="1" applyBorder="1" applyAlignment="1">
      <alignment horizontal="center"/>
    </xf>
    <xf numFmtId="0" fontId="24" fillId="0" borderId="42" xfId="2" applyFont="1" applyBorder="1" applyAlignment="1">
      <alignment horizontal="center"/>
    </xf>
    <xf numFmtId="0" fontId="24" fillId="0" borderId="43" xfId="2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25" fillId="0" borderId="46" xfId="2" applyFont="1" applyBorder="1" applyAlignment="1">
      <alignment horizontal="center"/>
    </xf>
    <xf numFmtId="0" fontId="25" fillId="0" borderId="41" xfId="2" applyFont="1" applyBorder="1" applyAlignment="1">
      <alignment horizontal="center"/>
    </xf>
    <xf numFmtId="0" fontId="25" fillId="0" borderId="55" xfId="2" applyFont="1" applyBorder="1" applyAlignment="1">
      <alignment horizontal="center" vertical="center"/>
    </xf>
    <xf numFmtId="0" fontId="25" fillId="0" borderId="16" xfId="2" applyFont="1" applyBorder="1" applyAlignment="1">
      <alignment horizontal="center"/>
    </xf>
    <xf numFmtId="0" fontId="25" fillId="0" borderId="43" xfId="2" applyFont="1" applyBorder="1" applyAlignment="1">
      <alignment horizontal="center"/>
    </xf>
    <xf numFmtId="0" fontId="23" fillId="0" borderId="62" xfId="117" applyNumberFormat="1" applyFont="1" applyBorder="1" applyAlignment="1">
      <alignment horizontal="center" vertical="center"/>
    </xf>
    <xf numFmtId="3" fontId="23" fillId="0" borderId="23" xfId="2" applyNumberFormat="1" applyFont="1" applyBorder="1" applyAlignment="1">
      <alignment horizontal="center" vertical="center"/>
    </xf>
    <xf numFmtId="3" fontId="23" fillId="0" borderId="55" xfId="2" applyNumberFormat="1" applyFont="1" applyBorder="1" applyAlignment="1">
      <alignment horizontal="center" vertical="center"/>
    </xf>
    <xf numFmtId="3" fontId="23" fillId="0" borderId="47" xfId="2" applyNumberFormat="1" applyFont="1" applyBorder="1" applyAlignment="1">
      <alignment horizontal="center" vertical="center"/>
    </xf>
    <xf numFmtId="9" fontId="23" fillId="0" borderId="63" xfId="117" applyFont="1" applyBorder="1" applyAlignment="1">
      <alignment horizontal="center" vertical="center"/>
    </xf>
    <xf numFmtId="9" fontId="23" fillId="0" borderId="64" xfId="117" applyFont="1" applyBorder="1" applyAlignment="1">
      <alignment horizontal="center" vertical="center"/>
    </xf>
    <xf numFmtId="9" fontId="23" fillId="0" borderId="65" xfId="117" applyFont="1" applyBorder="1" applyAlignment="1">
      <alignment horizontal="center" vertical="center"/>
    </xf>
    <xf numFmtId="0" fontId="23" fillId="0" borderId="66" xfId="117" applyNumberFormat="1" applyFont="1" applyBorder="1" applyAlignment="1">
      <alignment horizontal="center" vertical="center"/>
    </xf>
    <xf numFmtId="0" fontId="23" fillId="0" borderId="10" xfId="117" applyNumberFormat="1" applyFont="1" applyBorder="1" applyAlignment="1">
      <alignment horizontal="center" vertical="center"/>
    </xf>
    <xf numFmtId="0" fontId="23" fillId="0" borderId="12" xfId="117" applyNumberFormat="1" applyFont="1" applyBorder="1" applyAlignment="1">
      <alignment horizontal="center" vertical="center"/>
    </xf>
    <xf numFmtId="0" fontId="23" fillId="0" borderId="17" xfId="117" applyNumberFormat="1" applyFont="1" applyBorder="1" applyAlignment="1">
      <alignment horizontal="center" vertical="center"/>
    </xf>
    <xf numFmtId="0" fontId="23" fillId="0" borderId="14" xfId="117" applyNumberFormat="1" applyFont="1" applyBorder="1" applyAlignment="1">
      <alignment horizontal="center" vertical="center"/>
    </xf>
    <xf numFmtId="0" fontId="23" fillId="0" borderId="0" xfId="117" applyNumberFormat="1" applyFont="1" applyBorder="1" applyAlignment="1">
      <alignment horizontal="center" vertical="center"/>
    </xf>
    <xf numFmtId="0" fontId="30" fillId="0" borderId="60" xfId="0" applyFont="1" applyBorder="1"/>
    <xf numFmtId="0" fontId="25" fillId="0" borderId="67" xfId="2" applyFont="1" applyBorder="1" applyAlignment="1">
      <alignment horizontal="center" vertical="center"/>
    </xf>
    <xf numFmtId="0" fontId="27" fillId="0" borderId="58" xfId="2" applyFont="1" applyBorder="1" applyAlignment="1">
      <alignment horizontal="center" vertical="center"/>
    </xf>
    <xf numFmtId="0" fontId="25" fillId="0" borderId="23" xfId="2" applyFont="1" applyBorder="1" applyAlignment="1">
      <alignment horizontal="center"/>
    </xf>
    <xf numFmtId="0" fontId="25" fillId="0" borderId="47" xfId="2" applyFont="1" applyBorder="1" applyAlignment="1">
      <alignment horizontal="center"/>
    </xf>
    <xf numFmtId="164" fontId="16" fillId="35" borderId="68" xfId="117" applyNumberFormat="1" applyFont="1" applyFill="1" applyBorder="1" applyAlignment="1">
      <alignment horizontal="center" vertical="center"/>
    </xf>
    <xf numFmtId="166" fontId="23" fillId="0" borderId="12" xfId="120" applyNumberFormat="1" applyFont="1" applyBorder="1" applyAlignment="1">
      <alignment horizontal="center" vertical="center"/>
    </xf>
    <xf numFmtId="166" fontId="23" fillId="0" borderId="17" xfId="120" applyNumberFormat="1" applyFont="1" applyBorder="1" applyAlignment="1">
      <alignment horizontal="center" vertical="center"/>
    </xf>
    <xf numFmtId="166" fontId="23" fillId="0" borderId="14" xfId="120" applyNumberFormat="1" applyFont="1" applyBorder="1" applyAlignment="1">
      <alignment horizontal="center" vertical="center"/>
    </xf>
    <xf numFmtId="166" fontId="23" fillId="0" borderId="11" xfId="120" applyNumberFormat="1" applyFont="1" applyBorder="1" applyAlignment="1">
      <alignment horizontal="center" vertical="center"/>
    </xf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" xfId="120" builtinId="3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Access(MVC).xlsx]gender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7658</c:v>
                </c:pt>
                <c:pt idx="1">
                  <c:v>8341</c:v>
                </c:pt>
                <c:pt idx="2">
                  <c:v>8198</c:v>
                </c:pt>
                <c:pt idx="3">
                  <c:v>7167</c:v>
                </c:pt>
                <c:pt idx="4">
                  <c:v>6625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5063</c:v>
                </c:pt>
                <c:pt idx="1">
                  <c:v>5799</c:v>
                </c:pt>
                <c:pt idx="2">
                  <c:v>5955</c:v>
                </c:pt>
                <c:pt idx="3">
                  <c:v>5447</c:v>
                </c:pt>
                <c:pt idx="4">
                  <c:v>5206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92</c:v>
                </c:pt>
                <c:pt idx="1">
                  <c:v>188</c:v>
                </c:pt>
                <c:pt idx="2">
                  <c:v>150</c:v>
                </c:pt>
                <c:pt idx="3">
                  <c:v>128</c:v>
                </c:pt>
                <c:pt idx="4">
                  <c:v>103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435456"/>
        <c:axId val="56437376"/>
      </c:barChart>
      <c:catAx>
        <c:axId val="5643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56437376"/>
        <c:crosses val="autoZero"/>
        <c:auto val="1"/>
        <c:lblAlgn val="ctr"/>
        <c:lblOffset val="100"/>
        <c:noMultiLvlLbl val="0"/>
      </c:catAx>
      <c:valAx>
        <c:axId val="56437376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6435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Access(MVC).xlsx]ethnicity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6073</c:v>
                </c:pt>
                <c:pt idx="1">
                  <c:v>6628</c:v>
                </c:pt>
                <c:pt idx="2">
                  <c:v>6423</c:v>
                </c:pt>
                <c:pt idx="3">
                  <c:v>5563</c:v>
                </c:pt>
                <c:pt idx="4">
                  <c:v>4964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3497</c:v>
                </c:pt>
                <c:pt idx="1">
                  <c:v>4002</c:v>
                </c:pt>
                <c:pt idx="2">
                  <c:v>4289</c:v>
                </c:pt>
                <c:pt idx="3">
                  <c:v>4143</c:v>
                </c:pt>
                <c:pt idx="4">
                  <c:v>4339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939</c:v>
                </c:pt>
                <c:pt idx="1">
                  <c:v>1137</c:v>
                </c:pt>
                <c:pt idx="2">
                  <c:v>1013</c:v>
                </c:pt>
                <c:pt idx="3">
                  <c:v>670</c:v>
                </c:pt>
                <c:pt idx="4">
                  <c:v>455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819</c:v>
                </c:pt>
                <c:pt idx="1">
                  <c:v>951</c:v>
                </c:pt>
                <c:pt idx="2">
                  <c:v>926</c:v>
                </c:pt>
                <c:pt idx="3">
                  <c:v>805</c:v>
                </c:pt>
                <c:pt idx="4">
                  <c:v>727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621</c:v>
                </c:pt>
                <c:pt idx="1">
                  <c:v>647</c:v>
                </c:pt>
                <c:pt idx="2">
                  <c:v>609</c:v>
                </c:pt>
                <c:pt idx="3">
                  <c:v>507</c:v>
                </c:pt>
                <c:pt idx="4">
                  <c:v>455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453</c:v>
                </c:pt>
                <c:pt idx="1">
                  <c:v>489</c:v>
                </c:pt>
                <c:pt idx="2">
                  <c:v>443</c:v>
                </c:pt>
                <c:pt idx="3">
                  <c:v>414</c:v>
                </c:pt>
                <c:pt idx="4">
                  <c:v>325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204</c:v>
                </c:pt>
                <c:pt idx="1">
                  <c:v>242</c:v>
                </c:pt>
                <c:pt idx="2">
                  <c:v>463</c:v>
                </c:pt>
                <c:pt idx="3">
                  <c:v>574</c:v>
                </c:pt>
                <c:pt idx="4">
                  <c:v>636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130</c:v>
                </c:pt>
                <c:pt idx="1">
                  <c:v>144</c:v>
                </c:pt>
                <c:pt idx="2">
                  <c:v>122</c:v>
                </c:pt>
                <c:pt idx="3">
                  <c:v>89</c:v>
                </c:pt>
                <c:pt idx="4">
                  <c:v>66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88</c:v>
                </c:pt>
                <c:pt idx="1">
                  <c:v>100</c:v>
                </c:pt>
                <c:pt idx="2">
                  <c:v>87</c:v>
                </c:pt>
                <c:pt idx="3">
                  <c:v>62</c:v>
                </c:pt>
                <c:pt idx="4">
                  <c:v>47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862976"/>
        <c:axId val="56877440"/>
      </c:barChart>
      <c:catAx>
        <c:axId val="5686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56877440"/>
        <c:crosses val="autoZero"/>
        <c:auto val="1"/>
        <c:lblAlgn val="ctr"/>
        <c:lblOffset val="100"/>
        <c:noMultiLvlLbl val="0"/>
      </c:catAx>
      <c:valAx>
        <c:axId val="56877440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862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Access(MVC).xlsx]age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297</c:v>
                </c:pt>
                <c:pt idx="1">
                  <c:v>427</c:v>
                </c:pt>
                <c:pt idx="2">
                  <c:v>337</c:v>
                </c:pt>
                <c:pt idx="3">
                  <c:v>134</c:v>
                </c:pt>
                <c:pt idx="4">
                  <c:v>105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3297</c:v>
                </c:pt>
                <c:pt idx="1">
                  <c:v>3740</c:v>
                </c:pt>
                <c:pt idx="2">
                  <c:v>3641</c:v>
                </c:pt>
                <c:pt idx="3">
                  <c:v>2877</c:v>
                </c:pt>
                <c:pt idx="4">
                  <c:v>2586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4371</c:v>
                </c:pt>
                <c:pt idx="1">
                  <c:v>4888</c:v>
                </c:pt>
                <c:pt idx="2">
                  <c:v>4940</c:v>
                </c:pt>
                <c:pt idx="3">
                  <c:v>4919</c:v>
                </c:pt>
                <c:pt idx="4">
                  <c:v>4966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1505</c:v>
                </c:pt>
                <c:pt idx="1">
                  <c:v>1639</c:v>
                </c:pt>
                <c:pt idx="2">
                  <c:v>1739</c:v>
                </c:pt>
                <c:pt idx="3">
                  <c:v>1645</c:v>
                </c:pt>
                <c:pt idx="4">
                  <c:v>1471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865</c:v>
                </c:pt>
                <c:pt idx="1">
                  <c:v>1007</c:v>
                </c:pt>
                <c:pt idx="2">
                  <c:v>995</c:v>
                </c:pt>
                <c:pt idx="3">
                  <c:v>902</c:v>
                </c:pt>
                <c:pt idx="4">
                  <c:v>825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730</c:v>
                </c:pt>
                <c:pt idx="1">
                  <c:v>764</c:v>
                </c:pt>
                <c:pt idx="2">
                  <c:v>768</c:v>
                </c:pt>
                <c:pt idx="3">
                  <c:v>639</c:v>
                </c:pt>
                <c:pt idx="4">
                  <c:v>582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1116</c:v>
                </c:pt>
                <c:pt idx="1">
                  <c:v>1215</c:v>
                </c:pt>
                <c:pt idx="2">
                  <c:v>1212</c:v>
                </c:pt>
                <c:pt idx="3">
                  <c:v>1053</c:v>
                </c:pt>
                <c:pt idx="4">
                  <c:v>876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631</c:v>
                </c:pt>
                <c:pt idx="1">
                  <c:v>648</c:v>
                </c:pt>
                <c:pt idx="2">
                  <c:v>670</c:v>
                </c:pt>
                <c:pt idx="3">
                  <c:v>573</c:v>
                </c:pt>
                <c:pt idx="4">
                  <c:v>523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969856"/>
        <c:axId val="56992512"/>
      </c:barChart>
      <c:catAx>
        <c:axId val="56969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56992512"/>
        <c:crosses val="autoZero"/>
        <c:auto val="1"/>
        <c:lblAlgn val="ctr"/>
        <c:lblOffset val="100"/>
        <c:noMultiLvlLbl val="0"/>
      </c:catAx>
      <c:valAx>
        <c:axId val="56992512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969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53731712959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92" maxValue="7658"/>
    </cacheField>
    <cacheField name="AY07-08%" numFmtId="0">
      <sharedItems containsSemiMixedTypes="0" containsString="0" containsNumber="1" minValue="7.18020760165457E-3" maxValue="0.59767423710294232"/>
    </cacheField>
    <cacheField name="AY08-09#" numFmtId="0">
      <sharedItems containsSemiMixedTypes="0" containsString="0" containsNumber="1" containsInteger="1" minValue="188" maxValue="8341"/>
    </cacheField>
    <cacheField name="AY08-09%" numFmtId="0">
      <sharedItems containsSemiMixedTypes="0" containsString="0" containsNumber="1" minValue="1.3121161362367392E-2" maxValue="0.58214684533780015"/>
    </cacheField>
    <cacheField name="AY09-10#" numFmtId="0">
      <sharedItems containsSemiMixedTypes="0" containsString="0" containsNumber="1" containsInteger="1" minValue="150" maxValue="8198"/>
    </cacheField>
    <cacheField name="AY09-10%" numFmtId="0">
      <sharedItems containsSemiMixedTypes="0" containsString="0" containsNumber="1" minValue="1.0487310354471089E-2" maxValue="0.57316646857302667"/>
    </cacheField>
    <cacheField name="AY10-11#" numFmtId="0">
      <sharedItems containsSemiMixedTypes="0" containsString="0" containsNumber="1" containsInteger="1" minValue="128" maxValue="7167"/>
    </cacheField>
    <cacheField name="AY10-11%" numFmtId="0">
      <sharedItems containsSemiMixedTypes="0" containsString="0" containsNumber="1" minValue="1.0045518756867053E-2" maxValue="0.56247056976926701"/>
    </cacheField>
    <cacheField name="AY11-12#" numFmtId="0">
      <sharedItems containsSemiMixedTypes="0" containsString="0" containsNumber="1" containsInteger="1" minValue="103" maxValue="6625"/>
    </cacheField>
    <cacheField name="AY11-12%" numFmtId="0">
      <sharedItems containsSemiMixedTypes="0" containsString="0" containsNumber="1" minValue="8.6308027484498073E-3" maxValue="0.55513658454834924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53770486108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88" maxValue="6073"/>
    </cacheField>
    <cacheField name="AY07-08%" numFmtId="0">
      <sharedItems containsSemiMixedTypes="0" containsString="0" containsNumber="1" minValue="6.8621334996880846E-3" maxValue="0.47356519026824706"/>
    </cacheField>
    <cacheField name="AY08-09#" numFmtId="0">
      <sharedItems containsSemiMixedTypes="0" containsString="0" containsNumber="1" containsInteger="1" minValue="100" maxValue="6628"/>
    </cacheField>
    <cacheField name="AY08-09%" numFmtId="0">
      <sharedItems containsSemiMixedTypes="0" containsString="0" containsNumber="1" minValue="6.9735006973500697E-3" maxValue="0.4622036262203626"/>
    </cacheField>
    <cacheField name="AY09-10#" numFmtId="0">
      <sharedItems containsSemiMixedTypes="0" containsString="0" containsNumber="1" containsInteger="1" minValue="87" maxValue="6423"/>
    </cacheField>
    <cacheField name="AY09-10%" numFmtId="0">
      <sharedItems containsSemiMixedTypes="0" containsString="0" containsNumber="1" minValue="6.0521739130434786E-3" maxValue="0.44681739130434783"/>
    </cacheField>
    <cacheField name="AY10-11#" numFmtId="0">
      <sharedItems containsSemiMixedTypes="0" containsString="0" containsNumber="1" containsInteger="1" minValue="62" maxValue="5563"/>
    </cacheField>
    <cacheField name="AY10-11%" numFmtId="0">
      <sharedItems containsSemiMixedTypes="0" containsString="0" containsNumber="1" minValue="4.8335542215638891E-3" maxValue="0.43369455055741796"/>
    </cacheField>
    <cacheField name="AY11-12#" numFmtId="0">
      <sharedItems containsSemiMixedTypes="0" containsString="0" containsNumber="1" containsInteger="1" minValue="47" maxValue="4964"/>
    </cacheField>
    <cacheField name="AY11-12%" numFmtId="0">
      <sharedItems containsSemiMixedTypes="0" containsString="0" containsNumber="1" minValue="3.9121025470284666E-3" maxValue="0.41318461794572997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53858101851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1" maxValue="4371"/>
    </cacheField>
    <cacheField name="AY07-08%" numFmtId="0">
      <sharedItems containsSemiMixedTypes="0" containsString="0" containsNumber="1" minValue="7.804573480059315E-5" maxValue="0.34113790681339262"/>
    </cacheField>
    <cacheField name="AY08-09#" numFmtId="0">
      <sharedItems containsSemiMixedTypes="0" containsString="0" containsNumber="1" containsInteger="1" minValue="0" maxValue="4888"/>
    </cacheField>
    <cacheField name="AY08-09%" numFmtId="0">
      <sharedItems containsSemiMixedTypes="0" containsString="0" containsNumber="1" minValue="0" maxValue="0.34115019542155223"/>
    </cacheField>
    <cacheField name="AY09-10#" numFmtId="0">
      <sharedItems containsSemiMixedTypes="0" containsString="0" containsNumber="1" containsInteger="1" minValue="1" maxValue="4940"/>
    </cacheField>
    <cacheField name="AY09-10%" numFmtId="0">
      <sharedItems containsSemiMixedTypes="0" containsString="0" containsNumber="1" minValue="6.9915402363140606E-5" maxValue="0.34538208767391454"/>
    </cacheField>
    <cacheField name="AY10-11#" numFmtId="0">
      <sharedItems containsSemiMixedTypes="0" containsString="0" containsNumber="1" containsInteger="1" minValue="0" maxValue="4919"/>
    </cacheField>
    <cacheField name="AY10-11%" numFmtId="0">
      <sharedItems containsSemiMixedTypes="0" containsString="0" containsNumber="1" minValue="0" maxValue="0.38604614660178938"/>
    </cacheField>
    <cacheField name="AY11-12#" numFmtId="0">
      <sharedItems containsSemiMixedTypes="0" containsString="0" containsNumber="1" containsInteger="1" minValue="0" maxValue="4966"/>
    </cacheField>
    <cacheField name="AY11-12%" numFmtId="0">
      <sharedItems containsSemiMixedTypes="0" containsString="0" containsNumber="1" minValue="0" maxValue="0.41612200435729846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7658"/>
    <n v="0.59767423710294232"/>
    <n v="8341"/>
    <n v="0.58214684533780015"/>
    <n v="8198"/>
    <n v="0.57316646857302667"/>
    <n v="7167"/>
    <n v="0.56247056976926701"/>
    <n v="6625"/>
    <n v="0.55513658454834924"/>
    <n v="425726"/>
    <n v="0.50871708836104401"/>
  </r>
  <r>
    <x v="1"/>
    <n v="5063"/>
    <n v="0.39514555529540313"/>
    <n v="5799"/>
    <n v="0.4047319932998325"/>
    <n v="5955"/>
    <n v="0.4163462210725023"/>
    <n v="5447"/>
    <n v="0.42748391147386594"/>
    <n v="5206"/>
    <n v="0.43623261270320096"/>
    <n v="411136"/>
    <n v="0.49128291163895599"/>
  </r>
  <r>
    <x v="2"/>
    <n v="92"/>
    <n v="7.18020760165457E-3"/>
    <n v="188"/>
    <n v="1.3121161362367392E-2"/>
    <n v="150"/>
    <n v="1.0487310354471089E-2"/>
    <n v="128"/>
    <n v="1.0045518756867053E-2"/>
    <n v="103"/>
    <n v="8.6308027484498073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6073"/>
    <n v="0.47356519026824706"/>
    <n v="6628"/>
    <n v="0.4622036262203626"/>
    <n v="6423"/>
    <n v="0.44681739130434783"/>
    <n v="5563"/>
    <n v="0.43369455055741796"/>
    <n v="4964"/>
    <n v="0.41318461794572997"/>
    <n v="398271"/>
    <n v="0.47591000666776601"/>
  </r>
  <r>
    <x v="1"/>
    <n v="3497"/>
    <n v="0.27269182782283219"/>
    <n v="4002"/>
    <n v="0.27907949790794978"/>
    <n v="4289"/>
    <n v="0.29836521739130434"/>
    <n v="4143"/>
    <n v="0.32299056677321275"/>
    <n v="4339"/>
    <n v="0.36116197769269187"/>
    <n v="318674"/>
    <n v="0.38079635591053246"/>
  </r>
  <r>
    <x v="2"/>
    <n v="819"/>
    <n v="6.3864628820960695E-2"/>
    <n v="951"/>
    <n v="6.6317991631799161E-2"/>
    <n v="926"/>
    <n v="6.4417391304347829E-2"/>
    <n v="805"/>
    <n v="6.275824432836985E-2"/>
    <n v="727"/>
    <n v="6.0512735142333941E-2"/>
    <n v="43085"/>
    <n v="5.1483996166632011E-2"/>
  </r>
  <r>
    <x v="3"/>
    <n v="453"/>
    <n v="3.5324391765439798E-2"/>
    <n v="489"/>
    <n v="3.4100418410041841E-2"/>
    <n v="443"/>
    <n v="3.0817391304347828E-2"/>
    <n v="414"/>
    <n v="3.2275668511733066E-2"/>
    <n v="325"/>
    <n v="2.7051772931579822E-2"/>
    <n v="21251"/>
    <n v="2.5393673030917881E-2"/>
  </r>
  <r>
    <x v="4"/>
    <n v="130"/>
    <n v="1.0137242669993761E-2"/>
    <n v="144"/>
    <n v="1.00418410041841E-2"/>
    <n v="122"/>
    <n v="8.4869565217391297E-3"/>
    <n v="89"/>
    <n v="6.9384891245030016E-3"/>
    <n v="66"/>
    <n v="5.493590810720826E-3"/>
    <n v="6071"/>
    <n v="7.254481623015503E-3"/>
  </r>
  <r>
    <x v="5"/>
    <n v="621"/>
    <n v="4.8424828446662509E-2"/>
    <n v="647"/>
    <n v="4.5118549511854948E-2"/>
    <n v="609"/>
    <n v="4.2365217391304347E-2"/>
    <n v="507"/>
    <n v="3.9525999844078896E-2"/>
    <n v="455"/>
    <n v="3.7872482104211756E-2"/>
    <n v="23365"/>
    <n v="2.7919776498395197E-2"/>
  </r>
  <r>
    <x v="6"/>
    <n v="88"/>
    <n v="6.8621334996880846E-3"/>
    <n v="100"/>
    <n v="6.9735006973500697E-3"/>
    <n v="87"/>
    <n v="6.0521739130434786E-3"/>
    <n v="62"/>
    <n v="4.8335542215638891E-3"/>
    <n v="47"/>
    <n v="3.9121025470284666E-3"/>
    <n v="2305"/>
    <n v="2.7543370352579037E-3"/>
  </r>
  <r>
    <x v="7"/>
    <n v="204"/>
    <n v="1.5907673112913287E-2"/>
    <n v="242"/>
    <n v="1.6875871687587168E-2"/>
    <n v="463"/>
    <n v="3.2208695652173915E-2"/>
    <n v="574"/>
    <n v="4.4749356825446326E-2"/>
    <n v="636"/>
    <n v="5.2938238721491594E-2"/>
    <n v="22553"/>
    <n v="2.6949485100291326E-2"/>
  </r>
  <r>
    <x v="8"/>
    <n v="939"/>
    <n v="7.3222083593262627E-2"/>
    <n v="1137"/>
    <n v="7.9288702928870289E-2"/>
    <n v="1013"/>
    <n v="7.0469565217391311E-2"/>
    <n v="670"/>
    <n v="5.2233569813674281E-2"/>
    <n v="455"/>
    <n v="3.7872482104211756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297"/>
    <n v="2.3179583235776166E-2"/>
    <n v="427"/>
    <n v="2.980178671133445E-2"/>
    <n v="337"/>
    <n v="2.3561490596378382E-2"/>
    <n v="134"/>
    <n v="1.0516402448595197E-2"/>
    <n v="105"/>
    <n v="8.7983911513323278E-3"/>
    <n v="245217"/>
    <n v="0.29301963764635031"/>
  </r>
  <r>
    <x v="1"/>
    <n v="3297"/>
    <n v="0.25731678763755561"/>
    <n v="3740"/>
    <n v="0.26102735901730878"/>
    <n v="3641"/>
    <n v="0.25456198000419494"/>
    <n v="2877"/>
    <n v="0.22578873018364465"/>
    <n v="2586"/>
    <n v="0.21669180492709905"/>
    <n v="25706"/>
    <n v="3.0717131378889231E-2"/>
  </r>
  <r>
    <x v="2"/>
    <n v="4371"/>
    <n v="0.34113790681339262"/>
    <n v="4888"/>
    <n v="0.34115019542155223"/>
    <n v="4940"/>
    <n v="0.34538208767391454"/>
    <n v="4919"/>
    <n v="0.38604614660178938"/>
    <n v="4966"/>
    <n v="0.41612200435729846"/>
    <n v="52893"/>
    <n v="6.3203969113187125E-2"/>
  </r>
  <r>
    <x v="3"/>
    <n v="1505"/>
    <n v="0.11745883087489269"/>
    <n v="1639"/>
    <n v="0.11439140145170296"/>
    <n v="1739"/>
    <n v="0.1215828847095015"/>
    <n v="1645"/>
    <n v="0.12910061214879925"/>
    <n v="1471"/>
    <n v="0.12326127032009385"/>
    <n v="52166"/>
    <n v="6.2335247627446341E-2"/>
  </r>
  <r>
    <x v="4"/>
    <n v="865"/>
    <n v="6.7509560602513077E-2"/>
    <n v="1007"/>
    <n v="7.0281965382467892E-2"/>
    <n v="995"/>
    <n v="6.9565825351324898E-2"/>
    <n v="902"/>
    <n v="7.078951498979752E-2"/>
    <n v="825"/>
    <n v="6.9130216189039723E-2"/>
    <n v="52145"/>
    <n v="6.2310153884391928E-2"/>
  </r>
  <r>
    <x v="5"/>
    <n v="730"/>
    <n v="5.6973386404432995E-2"/>
    <n v="764"/>
    <n v="5.3322166387493021E-2"/>
    <n v="768"/>
    <n v="5.3695029014891982E-2"/>
    <n v="639"/>
    <n v="5.0149113169047244E-2"/>
    <n v="582"/>
    <n v="4.8768225238813474E-2"/>
    <n v="55384"/>
    <n v="6.6180565015498377E-2"/>
  </r>
  <r>
    <x v="6"/>
    <n v="1116"/>
    <n v="8.7099040037461953E-2"/>
    <n v="1215"/>
    <n v="8.4798994974874378E-2"/>
    <n v="1212"/>
    <n v="8.4737467664126404E-2"/>
    <n v="1053"/>
    <n v="8.2640087898289125E-2"/>
    <n v="876"/>
    <n v="7.3403720462543995E-2"/>
    <n v="116401"/>
    <n v="0.13909222787030598"/>
  </r>
  <r>
    <x v="7"/>
    <n v="631"/>
    <n v="4.9246858659174275E-2"/>
    <n v="648"/>
    <n v="4.5226130653266333E-2"/>
    <n v="670"/>
    <n v="4.6843319583304205E-2"/>
    <n v="573"/>
    <n v="4.4969392560037673E-2"/>
    <n v="523"/>
    <n v="4.382436735377912E-2"/>
    <n v="236950"/>
    <n v="0.28314106746393075"/>
  </r>
  <r>
    <x v="8"/>
    <n v="1"/>
    <n v="7.804573480059315E-5"/>
    <n v="0"/>
    <n v="0"/>
    <n v="1"/>
    <n v="6.9915402363140606E-5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"/>
  <sheetViews>
    <sheetView tabSelected="1" workbookViewId="0">
      <selection activeCell="T8" sqref="T8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6.42578125" style="30" bestFit="1" customWidth="1"/>
    <col min="13" max="13" width="4.28515625" style="30" bestFit="1" customWidth="1"/>
    <col min="14" max="14" width="7.5703125" style="30" bestFit="1" customWidth="1"/>
    <col min="15" max="15" width="4.28515625" style="30" bestFit="1" customWidth="1"/>
    <col min="16" max="16" width="7.85546875" bestFit="1" customWidth="1"/>
    <col min="17" max="17" width="5.7109375" bestFit="1" customWidth="1"/>
    <col min="18" max="18" width="9.85546875" bestFit="1" customWidth="1"/>
  </cols>
  <sheetData>
    <row r="1" spans="1:18" ht="15.75" customHeight="1" thickBot="1" x14ac:dyDescent="0.3">
      <c r="A1" s="140" t="s">
        <v>0</v>
      </c>
      <c r="B1" s="142" t="s">
        <v>61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4"/>
      <c r="P1" s="138" t="s">
        <v>1</v>
      </c>
      <c r="Q1" s="139"/>
      <c r="R1" s="23" t="s">
        <v>2</v>
      </c>
    </row>
    <row r="2" spans="1:18" ht="15.75" customHeight="1" thickBot="1" x14ac:dyDescent="0.3">
      <c r="A2" s="141"/>
      <c r="B2" s="134" t="s">
        <v>3</v>
      </c>
      <c r="C2" s="135"/>
      <c r="D2" s="134" t="s">
        <v>4</v>
      </c>
      <c r="E2" s="135"/>
      <c r="F2" s="134" t="s">
        <v>5</v>
      </c>
      <c r="G2" s="135"/>
      <c r="H2" s="134" t="s">
        <v>6</v>
      </c>
      <c r="I2" s="135"/>
      <c r="J2" s="134" t="s">
        <v>7</v>
      </c>
      <c r="K2" s="135"/>
      <c r="L2" s="134" t="s">
        <v>59</v>
      </c>
      <c r="M2" s="135"/>
      <c r="N2" s="152" t="s">
        <v>60</v>
      </c>
      <c r="O2" s="153"/>
      <c r="P2" s="136" t="s">
        <v>40</v>
      </c>
      <c r="Q2" s="137"/>
      <c r="R2" s="24" t="s">
        <v>8</v>
      </c>
    </row>
    <row r="3" spans="1:18" ht="15.75" thickBot="1" x14ac:dyDescent="0.3">
      <c r="A3" s="3" t="s">
        <v>9</v>
      </c>
      <c r="B3" s="17" t="s">
        <v>10</v>
      </c>
      <c r="C3" s="18" t="s">
        <v>11</v>
      </c>
      <c r="D3" s="17" t="s">
        <v>10</v>
      </c>
      <c r="E3" s="18" t="s">
        <v>11</v>
      </c>
      <c r="F3" s="17" t="s">
        <v>10</v>
      </c>
      <c r="G3" s="18" t="s">
        <v>11</v>
      </c>
      <c r="H3" s="17" t="s">
        <v>10</v>
      </c>
      <c r="I3" s="18" t="s">
        <v>11</v>
      </c>
      <c r="J3" s="17" t="s">
        <v>10</v>
      </c>
      <c r="K3" s="18" t="s">
        <v>11</v>
      </c>
      <c r="L3" s="17" t="s">
        <v>10</v>
      </c>
      <c r="M3" s="18" t="s">
        <v>11</v>
      </c>
      <c r="N3" s="151" t="s">
        <v>10</v>
      </c>
      <c r="O3" s="151" t="s">
        <v>11</v>
      </c>
      <c r="P3" s="28" t="s">
        <v>10</v>
      </c>
      <c r="Q3" s="57" t="s">
        <v>11</v>
      </c>
      <c r="R3" s="34" t="s">
        <v>11</v>
      </c>
    </row>
    <row r="4" spans="1:18" x14ac:dyDescent="0.25">
      <c r="A4" s="35" t="s">
        <v>12</v>
      </c>
      <c r="B4" s="110">
        <v>7658</v>
      </c>
      <c r="C4" s="113">
        <v>0.59767423710294232</v>
      </c>
      <c r="D4" s="110">
        <v>8341</v>
      </c>
      <c r="E4" s="113">
        <v>0.58214684533780015</v>
      </c>
      <c r="F4" s="110">
        <v>8198</v>
      </c>
      <c r="G4" s="113">
        <v>0.57316646857302667</v>
      </c>
      <c r="H4" s="110">
        <v>7167</v>
      </c>
      <c r="I4" s="113">
        <v>0.56247056976926701</v>
      </c>
      <c r="J4" s="116">
        <v>6625</v>
      </c>
      <c r="K4" s="117">
        <v>0.55513658454834924</v>
      </c>
      <c r="L4" s="38">
        <v>6329</v>
      </c>
      <c r="M4" s="158">
        <f>L4/L$7</f>
        <v>0.56003893460755683</v>
      </c>
      <c r="N4" s="173">
        <v>6218</v>
      </c>
      <c r="O4" s="113">
        <f>N4/N$7</f>
        <v>0.55627124709250308</v>
      </c>
      <c r="P4" s="103">
        <v>425726</v>
      </c>
      <c r="Q4" s="58">
        <f>P4/P$7</f>
        <v>0.50871708836104401</v>
      </c>
      <c r="R4" s="61">
        <f>K4-Q4</f>
        <v>4.6419496187305231E-2</v>
      </c>
    </row>
    <row r="5" spans="1:18" x14ac:dyDescent="0.25">
      <c r="A5" s="36" t="s">
        <v>13</v>
      </c>
      <c r="B5" s="111">
        <v>5063</v>
      </c>
      <c r="C5" s="114">
        <v>0.39514555529540313</v>
      </c>
      <c r="D5" s="111">
        <v>5799</v>
      </c>
      <c r="E5" s="114">
        <v>0.4047319932998325</v>
      </c>
      <c r="F5" s="111">
        <v>5955</v>
      </c>
      <c r="G5" s="114">
        <v>0.4163462210725023</v>
      </c>
      <c r="H5" s="111">
        <v>5447</v>
      </c>
      <c r="I5" s="114">
        <v>0.42748391147386594</v>
      </c>
      <c r="J5" s="111">
        <v>5206</v>
      </c>
      <c r="K5" s="114">
        <v>0.43623261270320096</v>
      </c>
      <c r="L5" s="39">
        <v>4885</v>
      </c>
      <c r="M5" s="159">
        <f t="shared" ref="M5:M6" si="0">L5/L$7</f>
        <v>0.43226263162551987</v>
      </c>
      <c r="N5" s="174">
        <v>4887</v>
      </c>
      <c r="O5" s="128">
        <f t="shared" ref="O5:O6" si="1">N5/N$7</f>
        <v>0.43719806763285024</v>
      </c>
      <c r="P5" s="104">
        <v>411136</v>
      </c>
      <c r="Q5" s="59">
        <f>P5/P$7</f>
        <v>0.49128291163895599</v>
      </c>
      <c r="R5" s="62">
        <f>K5-Q5</f>
        <v>-5.5050298935755027E-2</v>
      </c>
    </row>
    <row r="6" spans="1:18" ht="15.75" thickBot="1" x14ac:dyDescent="0.3">
      <c r="A6" s="37" t="s">
        <v>14</v>
      </c>
      <c r="B6" s="112">
        <v>92</v>
      </c>
      <c r="C6" s="115">
        <v>7.18020760165457E-3</v>
      </c>
      <c r="D6" s="112">
        <v>188</v>
      </c>
      <c r="E6" s="115">
        <v>1.3121161362367392E-2</v>
      </c>
      <c r="F6" s="112">
        <v>150</v>
      </c>
      <c r="G6" s="115">
        <v>1.0487310354471089E-2</v>
      </c>
      <c r="H6" s="112">
        <v>128</v>
      </c>
      <c r="I6" s="115">
        <v>1.0045518756867053E-2</v>
      </c>
      <c r="J6" s="112">
        <v>103</v>
      </c>
      <c r="K6" s="115">
        <v>8.6308027484498073E-3</v>
      </c>
      <c r="L6" s="40">
        <v>87</v>
      </c>
      <c r="M6" s="160">
        <f t="shared" si="0"/>
        <v>7.6984337669232811E-3</v>
      </c>
      <c r="N6" s="175">
        <v>73</v>
      </c>
      <c r="O6" s="129">
        <f t="shared" si="1"/>
        <v>6.5306852746466271E-3</v>
      </c>
      <c r="P6" s="105">
        <v>0</v>
      </c>
      <c r="Q6" s="60">
        <f>P6/P$7</f>
        <v>0</v>
      </c>
      <c r="R6" s="63">
        <f>K6-Q6</f>
        <v>8.6308027484498073E-3</v>
      </c>
    </row>
    <row r="7" spans="1:18" ht="16.5" thickTop="1" thickBot="1" x14ac:dyDescent="0.3">
      <c r="A7" s="20" t="s">
        <v>15</v>
      </c>
      <c r="B7" s="109">
        <v>12813</v>
      </c>
      <c r="C7" s="108"/>
      <c r="D7" s="109">
        <v>14328</v>
      </c>
      <c r="E7" s="108"/>
      <c r="F7" s="109">
        <v>14303</v>
      </c>
      <c r="G7" s="108"/>
      <c r="H7" s="109">
        <v>12742</v>
      </c>
      <c r="I7" s="108"/>
      <c r="J7" s="109">
        <v>11934</v>
      </c>
      <c r="K7" s="107"/>
      <c r="L7" s="26">
        <v>11301</v>
      </c>
      <c r="M7" s="19"/>
      <c r="N7" s="176">
        <v>11178</v>
      </c>
      <c r="O7" s="123"/>
      <c r="P7" s="31">
        <f>SUM(P4:P6)</f>
        <v>836862</v>
      </c>
      <c r="Q7" s="21"/>
      <c r="R7" s="21"/>
    </row>
    <row r="8" spans="1:18" s="30" customFormat="1" x14ac:dyDescent="0.25">
      <c r="A8" s="97" t="s">
        <v>52</v>
      </c>
      <c r="B8" s="45"/>
      <c r="C8" s="10"/>
      <c r="D8" s="45"/>
      <c r="E8" s="10"/>
      <c r="F8" s="45"/>
      <c r="G8" s="10"/>
      <c r="H8" s="45"/>
      <c r="I8" s="10"/>
      <c r="J8" s="45"/>
      <c r="K8" s="10"/>
      <c r="L8" s="10"/>
      <c r="M8" s="10"/>
      <c r="N8" s="166"/>
      <c r="O8" s="123"/>
      <c r="P8" s="46"/>
      <c r="Q8" s="21"/>
      <c r="R8" s="21"/>
    </row>
    <row r="9" spans="1:18" s="30" customFormat="1" ht="15.75" thickBot="1" x14ac:dyDescent="0.3">
      <c r="A9" s="4"/>
      <c r="B9" s="45"/>
      <c r="C9" s="10"/>
      <c r="D9" s="45"/>
      <c r="E9" s="10"/>
      <c r="F9" s="45"/>
      <c r="G9" s="10"/>
      <c r="H9" s="45"/>
      <c r="I9" s="10"/>
      <c r="J9" s="45"/>
      <c r="K9" s="10"/>
      <c r="L9" s="10"/>
      <c r="M9" s="10"/>
      <c r="N9" s="161"/>
      <c r="O9" s="123"/>
      <c r="P9" s="46"/>
      <c r="Q9" s="21"/>
      <c r="R9" s="21"/>
    </row>
    <row r="10" spans="1:18" s="30" customFormat="1" ht="15.75" thickBot="1" x14ac:dyDescent="0.3">
      <c r="A10" s="55"/>
      <c r="B10" s="155" t="str">
        <f>B1</f>
        <v>7 Year MSJC MVC Data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7"/>
      <c r="P10" s="138" t="s">
        <v>1</v>
      </c>
      <c r="Q10" s="139"/>
      <c r="R10" s="23" t="s">
        <v>2</v>
      </c>
    </row>
    <row r="11" spans="1:18" ht="15.75" thickBot="1" x14ac:dyDescent="0.3">
      <c r="A11" s="64"/>
      <c r="B11" s="134" t="s">
        <v>3</v>
      </c>
      <c r="C11" s="135"/>
      <c r="D11" s="134" t="s">
        <v>4</v>
      </c>
      <c r="E11" s="135"/>
      <c r="F11" s="134" t="s">
        <v>5</v>
      </c>
      <c r="G11" s="135"/>
      <c r="H11" s="134" t="s">
        <v>6</v>
      </c>
      <c r="I11" s="135"/>
      <c r="J11" s="134" t="s">
        <v>7</v>
      </c>
      <c r="K11" s="135"/>
      <c r="L11" s="134" t="s">
        <v>59</v>
      </c>
      <c r="M11" s="135"/>
      <c r="N11" s="152" t="s">
        <v>60</v>
      </c>
      <c r="O11" s="153"/>
      <c r="P11" s="136" t="s">
        <v>40</v>
      </c>
      <c r="Q11" s="137"/>
      <c r="R11" s="24" t="s">
        <v>8</v>
      </c>
    </row>
    <row r="12" spans="1:18" ht="15.75" thickBot="1" x14ac:dyDescent="0.3">
      <c r="A12" s="65" t="s">
        <v>16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17" t="s">
        <v>10</v>
      </c>
      <c r="M12" s="18" t="s">
        <v>11</v>
      </c>
      <c r="N12" s="151" t="s">
        <v>10</v>
      </c>
      <c r="O12" s="151" t="s">
        <v>11</v>
      </c>
      <c r="P12" s="28" t="s">
        <v>10</v>
      </c>
      <c r="Q12" s="57" t="s">
        <v>11</v>
      </c>
      <c r="R12" s="29" t="s">
        <v>11</v>
      </c>
    </row>
    <row r="13" spans="1:18" x14ac:dyDescent="0.25">
      <c r="A13" s="14" t="s">
        <v>17</v>
      </c>
      <c r="B13" s="118">
        <v>6073</v>
      </c>
      <c r="C13" s="120">
        <v>0.47397174744400217</v>
      </c>
      <c r="D13" s="118">
        <v>6628</v>
      </c>
      <c r="E13" s="120">
        <v>0.46259073143495255</v>
      </c>
      <c r="F13" s="118">
        <v>6423</v>
      </c>
      <c r="G13" s="120">
        <v>0.4490666293784521</v>
      </c>
      <c r="H13" s="118">
        <v>5563</v>
      </c>
      <c r="I13" s="120">
        <v>0.43658766284727674</v>
      </c>
      <c r="J13" s="118">
        <v>4964</v>
      </c>
      <c r="K13" s="120">
        <v>0.41595441595441596</v>
      </c>
      <c r="L13" s="11">
        <v>4339</v>
      </c>
      <c r="M13" s="159">
        <f>L13/SUM(L$13:L$21)</f>
        <v>0.3839483231572427</v>
      </c>
      <c r="N13" s="163">
        <v>4026</v>
      </c>
      <c r="O13" s="113">
        <f>N13/N$7</f>
        <v>0.36017176596886741</v>
      </c>
      <c r="P13" s="104">
        <v>398271</v>
      </c>
      <c r="Q13" s="59">
        <f t="shared" ref="Q13:Q21" si="2">P13/(SUM(P$13:P$21))</f>
        <v>0.47591000666776601</v>
      </c>
      <c r="R13" s="62">
        <f t="shared" ref="R13:R21" si="3">K13-Q13</f>
        <v>-5.9955590713350049E-2</v>
      </c>
    </row>
    <row r="14" spans="1:18" x14ac:dyDescent="0.25">
      <c r="A14" s="15" t="s">
        <v>18</v>
      </c>
      <c r="B14" s="118">
        <v>3497</v>
      </c>
      <c r="C14" s="120">
        <v>0.27292593459767422</v>
      </c>
      <c r="D14" s="118">
        <v>4002</v>
      </c>
      <c r="E14" s="120">
        <v>0.27931323283082077</v>
      </c>
      <c r="F14" s="118">
        <v>4289</v>
      </c>
      <c r="G14" s="120">
        <v>0.29986716073551001</v>
      </c>
      <c r="H14" s="118">
        <v>4143</v>
      </c>
      <c r="I14" s="120">
        <v>0.32514518913828283</v>
      </c>
      <c r="J14" s="118">
        <v>4339</v>
      </c>
      <c r="K14" s="120">
        <v>0.36358304005362829</v>
      </c>
      <c r="L14" s="11">
        <v>4520</v>
      </c>
      <c r="M14" s="159">
        <f t="shared" ref="M14:M21" si="4">L14/SUM(L$13:L$21)</f>
        <v>0.39996460490222102</v>
      </c>
      <c r="N14" s="164">
        <v>4787</v>
      </c>
      <c r="O14" s="128">
        <f t="shared" ref="O14:O21" si="5">N14/N$7</f>
        <v>0.42825192342100554</v>
      </c>
      <c r="P14" s="104">
        <v>318674</v>
      </c>
      <c r="Q14" s="59">
        <f t="shared" si="2"/>
        <v>0.38079635591053246</v>
      </c>
      <c r="R14" s="62">
        <f t="shared" si="3"/>
        <v>-1.7213315856904166E-2</v>
      </c>
    </row>
    <row r="15" spans="1:18" x14ac:dyDescent="0.25">
      <c r="A15" s="15" t="s">
        <v>19</v>
      </c>
      <c r="B15" s="118">
        <v>819</v>
      </c>
      <c r="C15" s="120">
        <v>6.3919456801685787E-2</v>
      </c>
      <c r="D15" s="118">
        <v>951</v>
      </c>
      <c r="E15" s="120">
        <v>6.6373534338358464E-2</v>
      </c>
      <c r="F15" s="118">
        <v>926</v>
      </c>
      <c r="G15" s="120">
        <v>6.474166258826819E-2</v>
      </c>
      <c r="H15" s="118">
        <v>805</v>
      </c>
      <c r="I15" s="120">
        <v>6.3176895306859202E-2</v>
      </c>
      <c r="J15" s="118">
        <v>727</v>
      </c>
      <c r="K15" s="120">
        <v>6.0918384447796216E-2</v>
      </c>
      <c r="L15" s="11">
        <v>731</v>
      </c>
      <c r="M15" s="159">
        <f t="shared" si="4"/>
        <v>6.4684541191045039E-2</v>
      </c>
      <c r="N15" s="164">
        <v>753</v>
      </c>
      <c r="O15" s="128">
        <f t="shared" si="5"/>
        <v>6.7364465915190547E-2</v>
      </c>
      <c r="P15" s="104">
        <v>43085</v>
      </c>
      <c r="Q15" s="59">
        <f t="shared" si="2"/>
        <v>5.1483996166632011E-2</v>
      </c>
      <c r="R15" s="62">
        <f t="shared" si="3"/>
        <v>9.4343882811642049E-3</v>
      </c>
    </row>
    <row r="16" spans="1:18" x14ac:dyDescent="0.25">
      <c r="A16" s="15" t="s">
        <v>20</v>
      </c>
      <c r="B16" s="118">
        <v>453</v>
      </c>
      <c r="C16" s="120">
        <v>3.5354717864668699E-2</v>
      </c>
      <c r="D16" s="118">
        <v>489</v>
      </c>
      <c r="E16" s="120">
        <v>3.4128978224455611E-2</v>
      </c>
      <c r="F16" s="118">
        <v>443</v>
      </c>
      <c r="G16" s="120">
        <v>3.0972523246871286E-2</v>
      </c>
      <c r="H16" s="118">
        <v>414</v>
      </c>
      <c r="I16" s="120">
        <v>3.2490974729241874E-2</v>
      </c>
      <c r="J16" s="118">
        <v>325</v>
      </c>
      <c r="K16" s="120">
        <v>2.7233115468409588E-2</v>
      </c>
      <c r="L16" s="11">
        <v>302</v>
      </c>
      <c r="M16" s="159">
        <f t="shared" si="4"/>
        <v>2.6723298823112997E-2</v>
      </c>
      <c r="N16" s="164">
        <v>287</v>
      </c>
      <c r="O16" s="128">
        <f t="shared" si="5"/>
        <v>2.5675433887994273E-2</v>
      </c>
      <c r="P16" s="104">
        <v>21251</v>
      </c>
      <c r="Q16" s="59">
        <f t="shared" si="2"/>
        <v>2.5393673030917881E-2</v>
      </c>
      <c r="R16" s="62">
        <f t="shared" si="3"/>
        <v>1.8394424374917062E-3</v>
      </c>
    </row>
    <row r="17" spans="1:22" x14ac:dyDescent="0.25">
      <c r="A17" s="15" t="s">
        <v>21</v>
      </c>
      <c r="B17" s="118">
        <v>130</v>
      </c>
      <c r="C17" s="120">
        <v>1.014594552407711E-2</v>
      </c>
      <c r="D17" s="118">
        <v>144</v>
      </c>
      <c r="E17" s="120">
        <v>1.0050251256281407E-2</v>
      </c>
      <c r="F17" s="118">
        <v>122</v>
      </c>
      <c r="G17" s="120">
        <v>8.5296790883031531E-3</v>
      </c>
      <c r="H17" s="118">
        <v>89</v>
      </c>
      <c r="I17" s="120">
        <v>6.9847747606341234E-3</v>
      </c>
      <c r="J17" s="118">
        <v>66</v>
      </c>
      <c r="K17" s="120">
        <v>5.5304172951231778E-3</v>
      </c>
      <c r="L17" s="11">
        <v>57</v>
      </c>
      <c r="M17" s="159">
        <f t="shared" si="4"/>
        <v>5.0438014335014601E-3</v>
      </c>
      <c r="N17" s="164">
        <v>44</v>
      </c>
      <c r="O17" s="128">
        <f t="shared" si="5"/>
        <v>3.9363034532116656E-3</v>
      </c>
      <c r="P17" s="104">
        <v>6071</v>
      </c>
      <c r="Q17" s="59">
        <f t="shared" si="2"/>
        <v>7.254481623015503E-3</v>
      </c>
      <c r="R17" s="62">
        <f t="shared" si="3"/>
        <v>-1.7240643278923252E-3</v>
      </c>
    </row>
    <row r="18" spans="1:22" x14ac:dyDescent="0.25">
      <c r="A18" s="15" t="s">
        <v>22</v>
      </c>
      <c r="B18" s="118">
        <v>621</v>
      </c>
      <c r="C18" s="120">
        <v>4.8466401311168347E-2</v>
      </c>
      <c r="D18" s="118">
        <v>647</v>
      </c>
      <c r="E18" s="120">
        <v>4.5156337241764377E-2</v>
      </c>
      <c r="F18" s="118">
        <v>609</v>
      </c>
      <c r="G18" s="120">
        <v>4.2578480039152627E-2</v>
      </c>
      <c r="H18" s="118">
        <v>507</v>
      </c>
      <c r="I18" s="120">
        <v>3.9789671951028095E-2</v>
      </c>
      <c r="J18" s="118">
        <v>455</v>
      </c>
      <c r="K18" s="120">
        <v>3.8126361655773419E-2</v>
      </c>
      <c r="L18" s="11">
        <v>437</v>
      </c>
      <c r="M18" s="159">
        <f t="shared" si="4"/>
        <v>3.8669144323511193E-2</v>
      </c>
      <c r="N18" s="164">
        <v>396</v>
      </c>
      <c r="O18" s="128">
        <f t="shared" si="5"/>
        <v>3.542673107890499E-2</v>
      </c>
      <c r="P18" s="104">
        <v>23365</v>
      </c>
      <c r="Q18" s="59">
        <f t="shared" si="2"/>
        <v>2.7919776498395197E-2</v>
      </c>
      <c r="R18" s="62">
        <f t="shared" si="3"/>
        <v>1.0206585157378222E-2</v>
      </c>
    </row>
    <row r="19" spans="1:22" x14ac:dyDescent="0.25">
      <c r="A19" s="15" t="s">
        <v>23</v>
      </c>
      <c r="B19" s="118">
        <v>88</v>
      </c>
      <c r="C19" s="120">
        <v>6.8680246624521967E-3</v>
      </c>
      <c r="D19" s="118">
        <v>100</v>
      </c>
      <c r="E19" s="120">
        <v>6.9793411501954212E-3</v>
      </c>
      <c r="F19" s="118">
        <v>87</v>
      </c>
      <c r="G19" s="120">
        <v>6.0826400055932319E-3</v>
      </c>
      <c r="H19" s="118">
        <v>62</v>
      </c>
      <c r="I19" s="120">
        <v>4.865798147857479E-3</v>
      </c>
      <c r="J19" s="118">
        <v>47</v>
      </c>
      <c r="K19" s="120">
        <v>3.938327467739232E-3</v>
      </c>
      <c r="L19" s="11">
        <v>41</v>
      </c>
      <c r="M19" s="159">
        <f t="shared" si="4"/>
        <v>3.6279975223431553E-3</v>
      </c>
      <c r="N19" s="164">
        <v>47</v>
      </c>
      <c r="O19" s="128">
        <f t="shared" si="5"/>
        <v>4.2046877795670068E-3</v>
      </c>
      <c r="P19" s="104">
        <v>2305</v>
      </c>
      <c r="Q19" s="59">
        <f t="shared" si="2"/>
        <v>2.7543370352579037E-3</v>
      </c>
      <c r="R19" s="62">
        <f t="shared" si="3"/>
        <v>1.1839904324813283E-3</v>
      </c>
    </row>
    <row r="20" spans="1:22" x14ac:dyDescent="0.25">
      <c r="A20" s="15" t="s">
        <v>24</v>
      </c>
      <c r="B20" s="118">
        <v>193</v>
      </c>
      <c r="C20" s="120">
        <v>1.5062826816514477E-2</v>
      </c>
      <c r="D20" s="118">
        <v>230</v>
      </c>
      <c r="E20" s="120">
        <v>1.605248464544947E-2</v>
      </c>
      <c r="F20" s="118">
        <v>391</v>
      </c>
      <c r="G20" s="120">
        <v>2.7336922323987975E-2</v>
      </c>
      <c r="H20" s="118">
        <v>489</v>
      </c>
      <c r="I20" s="120">
        <v>3.8377020875843666E-2</v>
      </c>
      <c r="J20" s="118">
        <v>556</v>
      </c>
      <c r="K20" s="120">
        <v>4.6589576001340706E-2</v>
      </c>
      <c r="L20" s="11">
        <v>599</v>
      </c>
      <c r="M20" s="159">
        <f t="shared" si="4"/>
        <v>5.3004158923989027E-2</v>
      </c>
      <c r="N20" s="164">
        <v>662</v>
      </c>
      <c r="O20" s="128">
        <f t="shared" si="5"/>
        <v>5.9223474682411882E-2</v>
      </c>
      <c r="P20" s="104">
        <v>22553</v>
      </c>
      <c r="Q20" s="59">
        <f t="shared" si="2"/>
        <v>2.6949485100291326E-2</v>
      </c>
      <c r="R20" s="62">
        <f t="shared" si="3"/>
        <v>1.964009090104938E-2</v>
      </c>
      <c r="T20" s="54"/>
      <c r="U20" s="54"/>
      <c r="V20" s="54"/>
    </row>
    <row r="21" spans="1:22" ht="15.75" thickBot="1" x14ac:dyDescent="0.3">
      <c r="A21" s="16" t="s">
        <v>14</v>
      </c>
      <c r="B21" s="119">
        <v>939</v>
      </c>
      <c r="C21" s="121">
        <v>7.3284944977756963E-2</v>
      </c>
      <c r="D21" s="119">
        <v>1137</v>
      </c>
      <c r="E21" s="121">
        <v>7.9355108877721944E-2</v>
      </c>
      <c r="F21" s="119">
        <v>1013</v>
      </c>
      <c r="G21" s="121">
        <v>7.0824302593861424E-2</v>
      </c>
      <c r="H21" s="119">
        <v>670</v>
      </c>
      <c r="I21" s="121">
        <v>5.2582012242975984E-2</v>
      </c>
      <c r="J21" s="119">
        <v>455</v>
      </c>
      <c r="K21" s="121">
        <v>3.8126361655773419E-2</v>
      </c>
      <c r="L21" s="12">
        <v>275</v>
      </c>
      <c r="M21" s="160">
        <f t="shared" si="4"/>
        <v>2.4334129723033358E-2</v>
      </c>
      <c r="N21" s="165">
        <v>176</v>
      </c>
      <c r="O21" s="129">
        <f t="shared" si="5"/>
        <v>1.5745213812846662E-2</v>
      </c>
      <c r="P21" s="167">
        <v>1287</v>
      </c>
      <c r="Q21" s="60">
        <f t="shared" si="2"/>
        <v>1.5378879671917233E-3</v>
      </c>
      <c r="R21" s="63">
        <f t="shared" si="3"/>
        <v>3.6588473688581695E-2</v>
      </c>
      <c r="U21" s="30"/>
      <c r="V21" s="30"/>
    </row>
    <row r="22" spans="1:22" s="30" customFormat="1" x14ac:dyDescent="0.25">
      <c r="A22" s="97" t="s">
        <v>52</v>
      </c>
      <c r="B22" s="10"/>
      <c r="C22" s="99"/>
      <c r="D22" s="10"/>
      <c r="E22" s="99"/>
      <c r="F22" s="10"/>
      <c r="G22" s="99"/>
      <c r="H22" s="10"/>
      <c r="I22" s="99"/>
      <c r="J22" s="10"/>
      <c r="K22" s="99"/>
      <c r="L22" s="99"/>
      <c r="M22" s="99"/>
      <c r="N22" s="166"/>
      <c r="O22" s="99"/>
      <c r="P22" s="100"/>
      <c r="Q22" s="101"/>
      <c r="R22" s="102"/>
    </row>
    <row r="23" spans="1:22" ht="15.75" thickBot="1" x14ac:dyDescent="0.3">
      <c r="N23" s="161"/>
      <c r="T23" s="54"/>
      <c r="U23" s="54"/>
      <c r="V23" s="54"/>
    </row>
    <row r="24" spans="1:22" s="30" customFormat="1" ht="15.75" customHeight="1" thickBot="1" x14ac:dyDescent="0.3">
      <c r="A24" s="55"/>
      <c r="B24" s="131" t="str">
        <f>B10</f>
        <v>7 Year MSJC MVC Data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3"/>
      <c r="P24" s="138" t="s">
        <v>1</v>
      </c>
      <c r="Q24" s="139"/>
      <c r="R24" s="23" t="s">
        <v>2</v>
      </c>
    </row>
    <row r="25" spans="1:22" s="30" customFormat="1" ht="15.75" thickBot="1" x14ac:dyDescent="0.3">
      <c r="A25" s="56"/>
      <c r="B25" s="134" t="s">
        <v>3</v>
      </c>
      <c r="C25" s="135"/>
      <c r="D25" s="134" t="s">
        <v>4</v>
      </c>
      <c r="E25" s="135"/>
      <c r="F25" s="134" t="s">
        <v>5</v>
      </c>
      <c r="G25" s="135"/>
      <c r="H25" s="134" t="s">
        <v>6</v>
      </c>
      <c r="I25" s="135"/>
      <c r="J25" s="134" t="s">
        <v>7</v>
      </c>
      <c r="K25" s="135"/>
      <c r="L25" s="134" t="s">
        <v>59</v>
      </c>
      <c r="M25" s="135"/>
      <c r="N25" s="170" t="s">
        <v>60</v>
      </c>
      <c r="O25" s="171"/>
      <c r="P25" s="136" t="s">
        <v>40</v>
      </c>
      <c r="Q25" s="137"/>
      <c r="R25" s="24" t="s">
        <v>8</v>
      </c>
    </row>
    <row r="26" spans="1:22" ht="15.75" thickBot="1" x14ac:dyDescent="0.3">
      <c r="A26" s="32" t="s">
        <v>25</v>
      </c>
      <c r="B26" s="33" t="s">
        <v>10</v>
      </c>
      <c r="C26" s="66" t="s">
        <v>11</v>
      </c>
      <c r="D26" s="33" t="s">
        <v>10</v>
      </c>
      <c r="E26" s="66" t="s">
        <v>11</v>
      </c>
      <c r="F26" s="33" t="s">
        <v>10</v>
      </c>
      <c r="G26" s="66" t="s">
        <v>11</v>
      </c>
      <c r="H26" s="33" t="s">
        <v>10</v>
      </c>
      <c r="I26" s="66" t="s">
        <v>11</v>
      </c>
      <c r="J26" s="33" t="s">
        <v>10</v>
      </c>
      <c r="K26" s="66" t="s">
        <v>11</v>
      </c>
      <c r="L26" s="17" t="s">
        <v>10</v>
      </c>
      <c r="M26" s="168" t="s">
        <v>11</v>
      </c>
      <c r="N26" s="33" t="s">
        <v>10</v>
      </c>
      <c r="O26" s="66" t="s">
        <v>11</v>
      </c>
      <c r="P26" s="169" t="s">
        <v>10</v>
      </c>
      <c r="Q26" s="67" t="s">
        <v>11</v>
      </c>
      <c r="R26" s="68" t="s">
        <v>11</v>
      </c>
    </row>
    <row r="27" spans="1:22" x14ac:dyDescent="0.25">
      <c r="A27" s="8" t="s">
        <v>26</v>
      </c>
      <c r="B27" s="124">
        <v>297</v>
      </c>
      <c r="C27" s="128">
        <v>2.3179583235776166E-2</v>
      </c>
      <c r="D27" s="124">
        <v>427</v>
      </c>
      <c r="E27" s="128">
        <v>2.980178671133445E-2</v>
      </c>
      <c r="F27" s="124">
        <v>337</v>
      </c>
      <c r="G27" s="128">
        <v>2.3561490596378382E-2</v>
      </c>
      <c r="H27" s="124">
        <v>134</v>
      </c>
      <c r="I27" s="128">
        <v>1.0516402448595197E-2</v>
      </c>
      <c r="J27" s="124">
        <v>105</v>
      </c>
      <c r="K27" s="128">
        <v>8.7983911513323278E-3</v>
      </c>
      <c r="L27" s="11">
        <v>322</v>
      </c>
      <c r="M27" s="159">
        <f>L27/SUM(L$27:L$35)</f>
        <v>2.6844518549395582E-2</v>
      </c>
      <c r="N27" s="164">
        <v>298</v>
      </c>
      <c r="O27" s="128">
        <f>N27/N$7</f>
        <v>2.6659509751297192E-2</v>
      </c>
      <c r="P27" s="104">
        <v>245217</v>
      </c>
      <c r="Q27" s="59">
        <f>P27/SUM(P$27:P$35)</f>
        <v>0.29301963764635031</v>
      </c>
      <c r="R27" s="62">
        <f>K27-Q27</f>
        <v>-0.28422124649501795</v>
      </c>
    </row>
    <row r="28" spans="1:22" x14ac:dyDescent="0.25">
      <c r="A28" s="6" t="s">
        <v>27</v>
      </c>
      <c r="B28" s="124">
        <v>3297</v>
      </c>
      <c r="C28" s="128">
        <v>0.25731678763755561</v>
      </c>
      <c r="D28" s="124">
        <v>3740</v>
      </c>
      <c r="E28" s="128">
        <v>0.26102735901730878</v>
      </c>
      <c r="F28" s="124">
        <v>3641</v>
      </c>
      <c r="G28" s="128">
        <v>0.25456198000419494</v>
      </c>
      <c r="H28" s="124">
        <v>2877</v>
      </c>
      <c r="I28" s="128">
        <v>0.22578873018364465</v>
      </c>
      <c r="J28" s="124">
        <v>2586</v>
      </c>
      <c r="K28" s="128">
        <v>0.21669180492709905</v>
      </c>
      <c r="L28" s="11">
        <v>3119</v>
      </c>
      <c r="M28" s="159">
        <f t="shared" ref="M28:M35" si="6">L28/SUM(L$27:L$35)</f>
        <v>0.26002501042100873</v>
      </c>
      <c r="N28" s="164">
        <v>2988</v>
      </c>
      <c r="O28" s="128">
        <f t="shared" ref="O28:O35" si="7">N28/N$7</f>
        <v>0.26731078904991951</v>
      </c>
      <c r="P28" s="104">
        <v>25706</v>
      </c>
      <c r="Q28" s="59">
        <f t="shared" ref="Q28:Q35" si="8">P28/SUM(P$27:P$35)</f>
        <v>3.0717131378889231E-2</v>
      </c>
      <c r="R28" s="62">
        <f t="shared" ref="R28:R35" si="9">K28-Q28</f>
        <v>0.18597467354820982</v>
      </c>
    </row>
    <row r="29" spans="1:22" x14ac:dyDescent="0.25">
      <c r="A29" s="7" t="s">
        <v>28</v>
      </c>
      <c r="B29" s="124">
        <v>4371</v>
      </c>
      <c r="C29" s="128">
        <v>0.34113790681339262</v>
      </c>
      <c r="D29" s="124">
        <v>4888</v>
      </c>
      <c r="E29" s="128">
        <v>0.34115019542155223</v>
      </c>
      <c r="F29" s="124">
        <v>4940</v>
      </c>
      <c r="G29" s="128">
        <v>0.34538208767391454</v>
      </c>
      <c r="H29" s="124">
        <v>4919</v>
      </c>
      <c r="I29" s="128">
        <v>0.38604614660178938</v>
      </c>
      <c r="J29" s="124">
        <v>4966</v>
      </c>
      <c r="K29" s="128">
        <v>0.41612200435729846</v>
      </c>
      <c r="L29" s="11">
        <v>4692</v>
      </c>
      <c r="M29" s="159">
        <f t="shared" si="6"/>
        <v>0.39116298457690707</v>
      </c>
      <c r="N29" s="164">
        <v>4666</v>
      </c>
      <c r="O29" s="128">
        <f t="shared" si="7"/>
        <v>0.41742708892467345</v>
      </c>
      <c r="P29" s="104">
        <v>52893</v>
      </c>
      <c r="Q29" s="59">
        <f t="shared" si="8"/>
        <v>6.3203969113187125E-2</v>
      </c>
      <c r="R29" s="62">
        <f t="shared" si="9"/>
        <v>0.35291803524411136</v>
      </c>
    </row>
    <row r="30" spans="1:22" x14ac:dyDescent="0.25">
      <c r="A30" s="7" t="s">
        <v>29</v>
      </c>
      <c r="B30" s="124">
        <v>1505</v>
      </c>
      <c r="C30" s="128">
        <v>0.11745883087489269</v>
      </c>
      <c r="D30" s="124">
        <v>1639</v>
      </c>
      <c r="E30" s="128">
        <v>0.11439140145170296</v>
      </c>
      <c r="F30" s="124">
        <v>1739</v>
      </c>
      <c r="G30" s="128">
        <v>0.1215828847095015</v>
      </c>
      <c r="H30" s="124">
        <v>1645</v>
      </c>
      <c r="I30" s="128">
        <v>0.12910061214879925</v>
      </c>
      <c r="J30" s="124">
        <v>1471</v>
      </c>
      <c r="K30" s="128">
        <v>0.12326127032009385</v>
      </c>
      <c r="L30" s="11">
        <v>1432</v>
      </c>
      <c r="M30" s="159">
        <f t="shared" si="6"/>
        <v>0.11938307628178407</v>
      </c>
      <c r="N30" s="164">
        <v>1478</v>
      </c>
      <c r="O30" s="128">
        <f t="shared" si="7"/>
        <v>0.1322240114510646</v>
      </c>
      <c r="P30" s="104">
        <v>52166</v>
      </c>
      <c r="Q30" s="59">
        <f t="shared" si="8"/>
        <v>6.2335247627446341E-2</v>
      </c>
      <c r="R30" s="62">
        <f t="shared" si="9"/>
        <v>6.0926022692647505E-2</v>
      </c>
    </row>
    <row r="31" spans="1:22" x14ac:dyDescent="0.25">
      <c r="A31" s="7" t="s">
        <v>30</v>
      </c>
      <c r="B31" s="124">
        <v>865</v>
      </c>
      <c r="C31" s="128">
        <v>6.7509560602513077E-2</v>
      </c>
      <c r="D31" s="124">
        <v>1007</v>
      </c>
      <c r="E31" s="128">
        <v>7.0281965382467892E-2</v>
      </c>
      <c r="F31" s="124">
        <v>995</v>
      </c>
      <c r="G31" s="128">
        <v>6.9565825351324898E-2</v>
      </c>
      <c r="H31" s="124">
        <v>902</v>
      </c>
      <c r="I31" s="128">
        <v>7.078951498979752E-2</v>
      </c>
      <c r="J31" s="124">
        <v>825</v>
      </c>
      <c r="K31" s="128">
        <v>6.9130216189039723E-2</v>
      </c>
      <c r="L31" s="11">
        <v>758</v>
      </c>
      <c r="M31" s="159">
        <f t="shared" si="6"/>
        <v>6.319299708211755E-2</v>
      </c>
      <c r="N31" s="164">
        <v>761</v>
      </c>
      <c r="O31" s="128">
        <f t="shared" si="7"/>
        <v>6.8080157452138135E-2</v>
      </c>
      <c r="P31" s="104">
        <v>52145</v>
      </c>
      <c r="Q31" s="59">
        <f t="shared" si="8"/>
        <v>6.2310153884391928E-2</v>
      </c>
      <c r="R31" s="62">
        <f t="shared" si="9"/>
        <v>6.8200623046477948E-3</v>
      </c>
    </row>
    <row r="32" spans="1:22" x14ac:dyDescent="0.25">
      <c r="A32" s="7" t="s">
        <v>31</v>
      </c>
      <c r="B32" s="124">
        <v>730</v>
      </c>
      <c r="C32" s="128">
        <v>5.6973386404432995E-2</v>
      </c>
      <c r="D32" s="124">
        <v>764</v>
      </c>
      <c r="E32" s="128">
        <v>5.3322166387493021E-2</v>
      </c>
      <c r="F32" s="124">
        <v>768</v>
      </c>
      <c r="G32" s="128">
        <v>5.3695029014891982E-2</v>
      </c>
      <c r="H32" s="124">
        <v>639</v>
      </c>
      <c r="I32" s="128">
        <v>5.0149113169047244E-2</v>
      </c>
      <c r="J32" s="124">
        <v>582</v>
      </c>
      <c r="K32" s="128">
        <v>4.8768225238813474E-2</v>
      </c>
      <c r="L32" s="11">
        <v>449</v>
      </c>
      <c r="M32" s="159">
        <f t="shared" si="6"/>
        <v>3.7432263443101292E-2</v>
      </c>
      <c r="N32" s="164">
        <v>489</v>
      </c>
      <c r="O32" s="128">
        <f t="shared" si="7"/>
        <v>4.3746645195920558E-2</v>
      </c>
      <c r="P32" s="104">
        <v>55384</v>
      </c>
      <c r="Q32" s="59">
        <f t="shared" si="8"/>
        <v>6.6180565015498377E-2</v>
      </c>
      <c r="R32" s="62">
        <f t="shared" si="9"/>
        <v>-1.7412339776684903E-2</v>
      </c>
    </row>
    <row r="33" spans="1:18" x14ac:dyDescent="0.25">
      <c r="A33" s="5" t="s">
        <v>32</v>
      </c>
      <c r="B33" s="124">
        <v>1116</v>
      </c>
      <c r="C33" s="128">
        <v>8.7099040037461953E-2</v>
      </c>
      <c r="D33" s="124">
        <v>1215</v>
      </c>
      <c r="E33" s="128">
        <v>8.4798994974874378E-2</v>
      </c>
      <c r="F33" s="124">
        <v>1212</v>
      </c>
      <c r="G33" s="128">
        <v>8.4737467664126404E-2</v>
      </c>
      <c r="H33" s="124">
        <v>1053</v>
      </c>
      <c r="I33" s="128">
        <v>8.2640087898289125E-2</v>
      </c>
      <c r="J33" s="124">
        <v>876</v>
      </c>
      <c r="K33" s="128">
        <v>7.3403720462543995E-2</v>
      </c>
      <c r="L33" s="11">
        <v>765</v>
      </c>
      <c r="M33" s="159">
        <f t="shared" si="6"/>
        <v>6.3776573572321804E-2</v>
      </c>
      <c r="N33" s="164">
        <v>715</v>
      </c>
      <c r="O33" s="128">
        <f t="shared" si="7"/>
        <v>6.3964931114689566E-2</v>
      </c>
      <c r="P33" s="104">
        <v>116401</v>
      </c>
      <c r="Q33" s="59">
        <f t="shared" si="8"/>
        <v>0.13909222787030598</v>
      </c>
      <c r="R33" s="62">
        <f t="shared" si="9"/>
        <v>-6.5688507407761984E-2</v>
      </c>
    </row>
    <row r="34" spans="1:18" x14ac:dyDescent="0.25">
      <c r="A34" s="5" t="s">
        <v>33</v>
      </c>
      <c r="B34" s="124">
        <v>631</v>
      </c>
      <c r="C34" s="128">
        <v>4.9246858659174275E-2</v>
      </c>
      <c r="D34" s="124">
        <v>648</v>
      </c>
      <c r="E34" s="128">
        <v>4.5226130653266333E-2</v>
      </c>
      <c r="F34" s="124">
        <v>670</v>
      </c>
      <c r="G34" s="128">
        <v>4.6843319583304205E-2</v>
      </c>
      <c r="H34" s="124">
        <v>573</v>
      </c>
      <c r="I34" s="128">
        <v>4.4969392560037673E-2</v>
      </c>
      <c r="J34" s="124">
        <v>523</v>
      </c>
      <c r="K34" s="128">
        <v>4.382436735377912E-2</v>
      </c>
      <c r="L34" s="11">
        <v>458</v>
      </c>
      <c r="M34" s="159">
        <f t="shared" si="6"/>
        <v>3.8182576073363901E-2</v>
      </c>
      <c r="N34" s="164">
        <v>468</v>
      </c>
      <c r="O34" s="128">
        <f t="shared" si="7"/>
        <v>4.1867954911433171E-2</v>
      </c>
      <c r="P34" s="104">
        <v>236950</v>
      </c>
      <c r="Q34" s="59">
        <f t="shared" si="8"/>
        <v>0.28314106746393075</v>
      </c>
      <c r="R34" s="62">
        <f t="shared" si="9"/>
        <v>-0.23931670011015163</v>
      </c>
    </row>
    <row r="35" spans="1:18" ht="15.75" thickBot="1" x14ac:dyDescent="0.3">
      <c r="A35" s="15" t="s">
        <v>14</v>
      </c>
      <c r="B35" s="125">
        <v>1</v>
      </c>
      <c r="C35" s="129">
        <v>7.804573480059315E-5</v>
      </c>
      <c r="D35" s="125">
        <v>0</v>
      </c>
      <c r="E35" s="129">
        <v>0</v>
      </c>
      <c r="F35" s="125">
        <v>1</v>
      </c>
      <c r="G35" s="129">
        <v>6.9915402363140606E-5</v>
      </c>
      <c r="H35" s="125">
        <v>0</v>
      </c>
      <c r="I35" s="129">
        <v>0</v>
      </c>
      <c r="J35" s="125">
        <v>0</v>
      </c>
      <c r="K35" s="129">
        <v>0</v>
      </c>
      <c r="L35" s="12">
        <v>0</v>
      </c>
      <c r="M35" s="160">
        <f t="shared" si="6"/>
        <v>0</v>
      </c>
      <c r="N35" s="165">
        <v>0</v>
      </c>
      <c r="O35" s="129">
        <f t="shared" si="7"/>
        <v>0</v>
      </c>
      <c r="P35" s="105">
        <v>0</v>
      </c>
      <c r="Q35" s="60">
        <f t="shared" si="8"/>
        <v>0</v>
      </c>
      <c r="R35" s="63">
        <f t="shared" si="9"/>
        <v>0</v>
      </c>
    </row>
    <row r="36" spans="1:18" x14ac:dyDescent="0.25">
      <c r="A36" s="42" t="s">
        <v>34</v>
      </c>
      <c r="B36" s="130">
        <v>26.513737121448642</v>
      </c>
      <c r="C36" s="127"/>
      <c r="D36" s="130">
        <v>26.198213288665549</v>
      </c>
      <c r="E36" s="127"/>
      <c r="F36" s="130">
        <v>26.344986715144735</v>
      </c>
      <c r="G36" s="127"/>
      <c r="H36" s="130">
        <v>26.371605713388792</v>
      </c>
      <c r="I36" s="127"/>
      <c r="J36" s="130">
        <v>26.086140439081614</v>
      </c>
      <c r="K36" s="126"/>
      <c r="L36" s="106">
        <v>24.9</v>
      </c>
      <c r="M36" s="44"/>
      <c r="N36" s="172">
        <v>24.35</v>
      </c>
      <c r="O36" s="123"/>
      <c r="P36" s="21"/>
      <c r="Q36" s="21"/>
      <c r="R36" s="21"/>
    </row>
    <row r="37" spans="1:18" s="30" customFormat="1" x14ac:dyDescent="0.25">
      <c r="A37" s="43" t="s">
        <v>39</v>
      </c>
      <c r="B37" s="122">
        <v>22</v>
      </c>
      <c r="C37" s="123"/>
      <c r="D37" s="122">
        <v>22</v>
      </c>
      <c r="E37" s="123"/>
      <c r="F37" s="122">
        <v>22</v>
      </c>
      <c r="G37" s="123"/>
      <c r="H37" s="122">
        <v>22</v>
      </c>
      <c r="I37" s="123"/>
      <c r="J37" s="122">
        <v>22</v>
      </c>
      <c r="K37" s="123"/>
      <c r="L37" s="9">
        <v>21</v>
      </c>
      <c r="M37" s="10"/>
      <c r="N37" s="162">
        <v>22</v>
      </c>
      <c r="O37" s="123"/>
      <c r="P37" s="10"/>
      <c r="Q37" s="21"/>
      <c r="R37" s="21"/>
    </row>
    <row r="38" spans="1:18" s="30" customFormat="1" x14ac:dyDescent="0.25">
      <c r="A38" s="97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66"/>
      <c r="O38" s="123"/>
      <c r="P38" s="10"/>
      <c r="Q38" s="21"/>
      <c r="R38" s="21"/>
    </row>
    <row r="39" spans="1:18" s="30" customFormat="1" ht="15.75" thickBot="1" x14ac:dyDescent="0.3">
      <c r="A39" s="41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61"/>
      <c r="O39" s="123"/>
      <c r="P39" s="21"/>
      <c r="Q39" s="21"/>
      <c r="R39" s="21"/>
    </row>
    <row r="40" spans="1:18" s="30" customFormat="1" ht="15.75" thickBot="1" x14ac:dyDescent="0.3">
      <c r="A40" s="55"/>
      <c r="B40" s="131" t="s">
        <v>62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3"/>
      <c r="P40" s="145" t="s">
        <v>42</v>
      </c>
      <c r="Q40" s="146"/>
      <c r="R40" s="77" t="s">
        <v>2</v>
      </c>
    </row>
    <row r="41" spans="1:18" ht="15.75" thickBot="1" x14ac:dyDescent="0.3">
      <c r="A41" s="64"/>
      <c r="B41" s="134" t="s">
        <v>3</v>
      </c>
      <c r="C41" s="135"/>
      <c r="D41" s="134" t="s">
        <v>4</v>
      </c>
      <c r="E41" s="135"/>
      <c r="F41" s="134" t="s">
        <v>5</v>
      </c>
      <c r="G41" s="135"/>
      <c r="H41" s="149" t="s">
        <v>6</v>
      </c>
      <c r="I41" s="150"/>
      <c r="J41" s="134" t="s">
        <v>7</v>
      </c>
      <c r="K41" s="135"/>
      <c r="L41" s="134" t="s">
        <v>59</v>
      </c>
      <c r="M41" s="135"/>
      <c r="N41" s="152" t="s">
        <v>60</v>
      </c>
      <c r="O41" s="153"/>
      <c r="P41" s="147" t="s">
        <v>41</v>
      </c>
      <c r="Q41" s="148"/>
      <c r="R41" s="78" t="s">
        <v>8</v>
      </c>
    </row>
    <row r="42" spans="1:18" ht="15.75" thickBot="1" x14ac:dyDescent="0.3">
      <c r="A42" s="69" t="s">
        <v>35</v>
      </c>
      <c r="B42" s="71" t="s">
        <v>10</v>
      </c>
      <c r="C42" s="72" t="s">
        <v>11</v>
      </c>
      <c r="D42" s="71" t="s">
        <v>10</v>
      </c>
      <c r="E42" s="72" t="s">
        <v>11</v>
      </c>
      <c r="F42" s="71" t="s">
        <v>10</v>
      </c>
      <c r="G42" s="72" t="s">
        <v>11</v>
      </c>
      <c r="H42" s="71" t="s">
        <v>10</v>
      </c>
      <c r="I42" s="50" t="s">
        <v>11</v>
      </c>
      <c r="J42" s="71" t="s">
        <v>10</v>
      </c>
      <c r="K42" s="72" t="s">
        <v>11</v>
      </c>
      <c r="L42" s="71" t="s">
        <v>10</v>
      </c>
      <c r="M42" s="72" t="s">
        <v>11</v>
      </c>
      <c r="N42" s="151" t="s">
        <v>10</v>
      </c>
      <c r="O42" s="151" t="s">
        <v>11</v>
      </c>
      <c r="P42" s="48" t="s">
        <v>10</v>
      </c>
      <c r="Q42" s="49" t="s">
        <v>11</v>
      </c>
      <c r="R42" s="79" t="s">
        <v>10</v>
      </c>
    </row>
    <row r="43" spans="1:18" ht="15.75" thickBot="1" x14ac:dyDescent="0.3">
      <c r="A43" s="70" t="s">
        <v>44</v>
      </c>
      <c r="B43" s="73"/>
      <c r="C43" s="74"/>
      <c r="D43" s="73"/>
      <c r="E43" s="74"/>
      <c r="F43" s="73"/>
      <c r="G43" s="74"/>
      <c r="H43" s="73"/>
      <c r="I43" s="75"/>
      <c r="J43" s="73"/>
      <c r="K43" s="74"/>
      <c r="L43" s="73"/>
      <c r="M43" s="74"/>
      <c r="N43" s="154"/>
      <c r="O43" s="75"/>
      <c r="P43" s="51">
        <v>105412</v>
      </c>
      <c r="Q43" s="76">
        <f>P43/P44</f>
        <v>8.1095074304327316E-2</v>
      </c>
      <c r="R43" s="80">
        <f>K43-Q43</f>
        <v>-8.1095074304327316E-2</v>
      </c>
    </row>
    <row r="44" spans="1:18" s="30" customFormat="1" ht="15.75" thickBot="1" x14ac:dyDescent="0.3">
      <c r="A44" s="4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23"/>
      <c r="O44" s="123"/>
      <c r="P44" s="52">
        <v>1299857</v>
      </c>
    </row>
    <row r="45" spans="1:18" s="30" customFormat="1" ht="15.75" thickBot="1" x14ac:dyDescent="0.3">
      <c r="A45" s="4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23"/>
      <c r="O45" s="123"/>
      <c r="P45" s="53"/>
    </row>
    <row r="46" spans="1:18" s="30" customFormat="1" x14ac:dyDescent="0.25">
      <c r="A46" s="81" t="s">
        <v>47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3"/>
      <c r="Q46" s="84"/>
      <c r="R46" s="85"/>
    </row>
    <row r="47" spans="1:18" x14ac:dyDescent="0.25">
      <c r="A47" s="86" t="s">
        <v>45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8"/>
    </row>
    <row r="48" spans="1:18" ht="15.75" thickBot="1" x14ac:dyDescent="0.3">
      <c r="A48" s="89" t="s">
        <v>46</v>
      </c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1"/>
    </row>
  </sheetData>
  <mergeCells count="41">
    <mergeCell ref="B10:O10"/>
    <mergeCell ref="B1:O1"/>
    <mergeCell ref="N11:O11"/>
    <mergeCell ref="N25:O25"/>
    <mergeCell ref="N41:O41"/>
    <mergeCell ref="B24:O24"/>
    <mergeCell ref="B40:O40"/>
    <mergeCell ref="F41:G41"/>
    <mergeCell ref="H41:I41"/>
    <mergeCell ref="J41:K41"/>
    <mergeCell ref="B25:C25"/>
    <mergeCell ref="D25:E25"/>
    <mergeCell ref="P40:Q40"/>
    <mergeCell ref="P41:Q41"/>
    <mergeCell ref="P10:Q10"/>
    <mergeCell ref="P11:Q11"/>
    <mergeCell ref="P24:Q24"/>
    <mergeCell ref="P25:Q25"/>
    <mergeCell ref="J2:K2"/>
    <mergeCell ref="P2:Q2"/>
    <mergeCell ref="P1:Q1"/>
    <mergeCell ref="A1:A2"/>
    <mergeCell ref="B2:C2"/>
    <mergeCell ref="D2:E2"/>
    <mergeCell ref="F2:G2"/>
    <mergeCell ref="H2:I2"/>
    <mergeCell ref="L2:M2"/>
    <mergeCell ref="N2:O2"/>
    <mergeCell ref="L11:M11"/>
    <mergeCell ref="L25:M25"/>
    <mergeCell ref="L41:M41"/>
    <mergeCell ref="F25:G25"/>
    <mergeCell ref="H25:I25"/>
    <mergeCell ref="J25:K25"/>
    <mergeCell ref="B11:C11"/>
    <mergeCell ref="D11:E11"/>
    <mergeCell ref="F11:G11"/>
    <mergeCell ref="H11:I11"/>
    <mergeCell ref="J11:K11"/>
    <mergeCell ref="B41:C41"/>
    <mergeCell ref="D41:E41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5" t="s">
        <v>3</v>
      </c>
      <c r="B1" s="25" t="s">
        <v>4</v>
      </c>
      <c r="C1" s="25" t="s">
        <v>5</v>
      </c>
      <c r="D1" s="25" t="s">
        <v>6</v>
      </c>
      <c r="E1" s="25" t="s">
        <v>7</v>
      </c>
    </row>
    <row r="2" spans="1:6" x14ac:dyDescent="0.25">
      <c r="A2" s="25">
        <v>2007</v>
      </c>
      <c r="B2" s="25">
        <v>2008</v>
      </c>
      <c r="C2" s="25">
        <v>2009</v>
      </c>
      <c r="D2" s="25">
        <v>2010</v>
      </c>
      <c r="E2" s="25">
        <v>2011</v>
      </c>
    </row>
    <row r="3" spans="1:6" x14ac:dyDescent="0.25">
      <c r="A3">
        <f>VLOOKUP($F3,'[1]gender heads'!$A:$G,HLOOKUP(A$2,'[1]gender heads'!$1:$2,2,FALSE),FALSE)</f>
        <v>12909</v>
      </c>
      <c r="B3" s="1">
        <f>VLOOKUP($F3,'[1]gender heads'!$A:$G,HLOOKUP(B$2,'[1]gender heads'!$1:$2,2,FALSE),FALSE)</f>
        <v>14479</v>
      </c>
      <c r="C3" s="1">
        <f>VLOOKUP($F3,'[1]gender heads'!$A:$G,HLOOKUP(C$2,'[1]gender heads'!$1:$2,2,FALSE),FALSE)</f>
        <v>13953</v>
      </c>
      <c r="D3" s="1">
        <f>VLOOKUP($F3,'[1]gender heads'!$A:$G,HLOOKUP(D$2,'[1]gender heads'!$1:$2,2,FALSE),FALSE)</f>
        <v>12000</v>
      </c>
      <c r="E3" s="1">
        <f>VLOOKUP($F3,'[1]gender heads'!$A:$G,HLOOKUP(E$2,'[1]gender heads'!$1:$2,2,FALSE),FALSE)</f>
        <v>11055</v>
      </c>
      <c r="F3" t="s">
        <v>36</v>
      </c>
    </row>
    <row r="4" spans="1:6" x14ac:dyDescent="0.25">
      <c r="A4" s="1">
        <f>VLOOKUP($F4,'[1]gender heads'!$A:$G,HLOOKUP(A$2,'[1]gender heads'!$1:$2,2,FALSE),FALSE)</f>
        <v>8196</v>
      </c>
      <c r="B4" s="1">
        <f>VLOOKUP($F4,'[1]gender heads'!$A:$G,HLOOKUP(B$2,'[1]gender heads'!$1:$2,2,FALSE),FALSE)</f>
        <v>9592</v>
      </c>
      <c r="C4" s="1">
        <f>VLOOKUP($F4,'[1]gender heads'!$A:$G,HLOOKUP(C$2,'[1]gender heads'!$1:$2,2,FALSE),FALSE)</f>
        <v>9853</v>
      </c>
      <c r="D4" s="1">
        <f>VLOOKUP($F4,'[1]gender heads'!$A:$G,HLOOKUP(D$2,'[1]gender heads'!$1:$2,2,FALSE),FALSE)</f>
        <v>8784</v>
      </c>
      <c r="E4" s="1">
        <f>VLOOKUP($F4,'[1]gender heads'!$A:$G,HLOOKUP(E$2,'[1]gender heads'!$1:$2,2,FALSE),FALSE)</f>
        <v>8299</v>
      </c>
      <c r="F4" t="s">
        <v>37</v>
      </c>
    </row>
    <row r="5" spans="1:6" x14ac:dyDescent="0.25">
      <c r="A5" s="1">
        <f>VLOOKUP($F5,'[1]gender heads'!$A:$G,HLOOKUP(A$2,'[1]gender heads'!$1:$2,2,FALSE),FALSE)</f>
        <v>192</v>
      </c>
      <c r="B5" s="1">
        <f>VLOOKUP($F5,'[1]gender heads'!$A:$G,HLOOKUP(B$2,'[1]gender heads'!$1:$2,2,FALSE),FALSE)</f>
        <v>338</v>
      </c>
      <c r="C5" s="1">
        <f>VLOOKUP($F5,'[1]gender heads'!$A:$G,HLOOKUP(C$2,'[1]gender heads'!$1:$2,2,FALSE),FALSE)</f>
        <v>261</v>
      </c>
      <c r="D5" s="1">
        <f>VLOOKUP($F5,'[1]gender heads'!$A:$G,HLOOKUP(D$2,'[1]gender heads'!$1:$2,2,FALSE),FALSE)</f>
        <v>228</v>
      </c>
      <c r="E5" s="1">
        <f>VLOOKUP($F5,'[1]gender heads'!$A:$G,HLOOKUP(E$2,'[1]gender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5" t="s">
        <v>3</v>
      </c>
      <c r="B1" s="25" t="s">
        <v>4</v>
      </c>
      <c r="C1" s="25" t="s">
        <v>5</v>
      </c>
      <c r="D1" s="25" t="s">
        <v>6</v>
      </c>
      <c r="E1" s="25" t="s">
        <v>7</v>
      </c>
    </row>
    <row r="2" spans="1:9" x14ac:dyDescent="0.25">
      <c r="A2" s="25">
        <v>2007</v>
      </c>
      <c r="B2" s="25">
        <v>2008</v>
      </c>
      <c r="C2" s="25">
        <v>2009</v>
      </c>
      <c r="D2" s="25">
        <v>2010</v>
      </c>
      <c r="E2" s="25">
        <v>2011</v>
      </c>
    </row>
    <row r="3" spans="1:9" x14ac:dyDescent="0.25">
      <c r="A3">
        <f>VLOOKUP($F3,'[2]Primary Races'!$A:$G,HLOOKUP(A$2,'[2]Primary Races'!$1:$2,2,FALSE),FALSE)</f>
        <v>9963</v>
      </c>
      <c r="B3" s="27">
        <f>VLOOKUP($F3,'[2]Primary Races'!$A:$G,HLOOKUP(B$2,'[2]Primary Races'!$1:$2,2,FALSE),FALSE)</f>
        <v>10935</v>
      </c>
      <c r="C3" s="27">
        <f>VLOOKUP($F3,'[2]Primary Races'!$A:$G,HLOOKUP(C$2,'[2]Primary Races'!$1:$2,2,FALSE),FALSE)</f>
        <v>10427</v>
      </c>
      <c r="D3" s="27">
        <f>VLOOKUP($F3,'[2]Primary Races'!$A:$G,HLOOKUP(D$2,'[2]Primary Races'!$1:$2,2,FALSE),FALSE)</f>
        <v>8877</v>
      </c>
      <c r="E3" s="27">
        <f>VLOOKUP($F3,'[2]Primary Races'!$A:$G,HLOOKUP(E$2,'[2]Primary Races'!$1:$2,2,FALSE),FALSE)</f>
        <v>7806</v>
      </c>
      <c r="F3" t="str">
        <f>MID(G3,1,1)</f>
        <v>W</v>
      </c>
      <c r="G3" s="14" t="s">
        <v>17</v>
      </c>
      <c r="I3" s="14" t="s">
        <v>17</v>
      </c>
    </row>
    <row r="4" spans="1:9" x14ac:dyDescent="0.25">
      <c r="A4">
        <f>VLOOKUP($G4,'[2]hispanic total'!$A:$F,HLOOKUP(A$2,'[2]hispanic total'!$1:$2,2,FALSE),FALSE)</f>
        <v>6040</v>
      </c>
      <c r="B4" s="27">
        <f>VLOOKUP($G4,'[2]hispanic total'!$A:$F,HLOOKUP(B$2,'[2]hispanic total'!$1:$2,2,FALSE),FALSE)</f>
        <v>7149</v>
      </c>
      <c r="C4" s="27">
        <f>VLOOKUP($G4,'[2]hispanic total'!$A:$F,HLOOKUP(C$2,'[2]hispanic total'!$1:$2,2,FALSE),FALSE)</f>
        <v>7520</v>
      </c>
      <c r="D4" s="27">
        <f>VLOOKUP($G4,'[2]hispanic total'!$A:$F,HLOOKUP(D$2,'[2]hispanic total'!$1:$2,2,FALSE),FALSE)</f>
        <v>7022</v>
      </c>
      <c r="E4" s="27">
        <f>VLOOKUP($G4,'[2]hispanic total'!$A:$F,HLOOKUP(E$2,'[2]hispanic total'!$1:$2,2,FALSE),FALSE)</f>
        <v>7295</v>
      </c>
      <c r="F4" s="27" t="str">
        <f>MID(G4,1,1)</f>
        <v>H</v>
      </c>
      <c r="G4" s="15" t="s">
        <v>18</v>
      </c>
      <c r="I4" s="15" t="s">
        <v>18</v>
      </c>
    </row>
    <row r="5" spans="1:9" x14ac:dyDescent="0.25">
      <c r="A5" s="27">
        <f>VLOOKUP($F5,'[2]Primary Races'!$A:$G,HLOOKUP(A$2,'[2]Primary Races'!$1:$2,2,FALSE),FALSE)</f>
        <v>1547</v>
      </c>
      <c r="B5" s="27">
        <f>VLOOKUP($F5,'[2]Primary Races'!$A:$G,HLOOKUP(B$2,'[2]Primary Races'!$1:$2,2,FALSE),FALSE)</f>
        <v>1956</v>
      </c>
      <c r="C5" s="27">
        <f>VLOOKUP($F5,'[2]Primary Races'!$A:$G,HLOOKUP(C$2,'[2]Primary Races'!$1:$2,2,FALSE),FALSE)</f>
        <v>1913</v>
      </c>
      <c r="D5" s="27">
        <f>VLOOKUP($F5,'[2]Primary Races'!$A:$G,HLOOKUP(D$2,'[2]Primary Races'!$1:$2,2,FALSE),FALSE)</f>
        <v>1641</v>
      </c>
      <c r="E5" s="27">
        <f>VLOOKUP($F5,'[2]Primary Races'!$A:$G,HLOOKUP(E$2,'[2]Primary Races'!$1:$2,2,FALSE),FALSE)</f>
        <v>1507</v>
      </c>
      <c r="F5" s="27" t="s">
        <v>48</v>
      </c>
      <c r="G5" s="15" t="s">
        <v>19</v>
      </c>
      <c r="I5" s="15" t="s">
        <v>19</v>
      </c>
    </row>
    <row r="6" spans="1:9" x14ac:dyDescent="0.25">
      <c r="A6" s="27">
        <f>VLOOKUP($F6,'[2]Primary Races'!$A:$G,HLOOKUP(A$2,'[2]Primary Races'!$1:$2,2,FALSE),FALSE)</f>
        <v>609</v>
      </c>
      <c r="B6" s="27">
        <f>VLOOKUP($F6,'[2]Primary Races'!$A:$G,HLOOKUP(B$2,'[2]Primary Races'!$1:$2,2,FALSE),FALSE)</f>
        <v>718</v>
      </c>
      <c r="C6" s="27">
        <f>VLOOKUP($F6,'[2]Primary Races'!$A:$G,HLOOKUP(C$2,'[2]Primary Races'!$1:$2,2,FALSE),FALSE)</f>
        <v>635</v>
      </c>
      <c r="D6" s="27">
        <f>VLOOKUP($F6,'[2]Primary Races'!$A:$G,HLOOKUP(D$2,'[2]Primary Races'!$1:$2,2,FALSE),FALSE)</f>
        <v>583</v>
      </c>
      <c r="E6" s="27">
        <f>VLOOKUP($F6,'[2]Primary Races'!$A:$G,HLOOKUP(E$2,'[2]Primary Races'!$1:$2,2,FALSE),FALSE)</f>
        <v>478</v>
      </c>
      <c r="F6" s="27" t="str">
        <f t="shared" ref="F6:F9" si="0">MID(G6,1,1)</f>
        <v>A</v>
      </c>
      <c r="G6" s="15" t="s">
        <v>20</v>
      </c>
      <c r="I6" s="15" t="s">
        <v>20</v>
      </c>
    </row>
    <row r="7" spans="1:9" x14ac:dyDescent="0.25">
      <c r="A7" s="27">
        <f>VLOOKUP($F7,'[2]Primary Races'!$A:$G,HLOOKUP(A$2,'[2]Primary Races'!$1:$2,2,FALSE),FALSE)</f>
        <v>254</v>
      </c>
      <c r="B7" s="27">
        <f>VLOOKUP($F7,'[2]Primary Races'!$A:$G,HLOOKUP(B$2,'[2]Primary Races'!$1:$2,2,FALSE),FALSE)</f>
        <v>294</v>
      </c>
      <c r="C7" s="27">
        <f>VLOOKUP($F7,'[2]Primary Races'!$A:$G,HLOOKUP(C$2,'[2]Primary Races'!$1:$2,2,FALSE),FALSE)</f>
        <v>250</v>
      </c>
      <c r="D7" s="27">
        <f>VLOOKUP($F7,'[2]Primary Races'!$A:$G,HLOOKUP(D$2,'[2]Primary Races'!$1:$2,2,FALSE),FALSE)</f>
        <v>182</v>
      </c>
      <c r="E7" s="27">
        <f>VLOOKUP($F7,'[2]Primary Races'!$A:$G,HLOOKUP(E$2,'[2]Primary Races'!$1:$2,2,FALSE),FALSE)</f>
        <v>141</v>
      </c>
      <c r="F7" s="27" t="str">
        <f t="shared" si="0"/>
        <v>N</v>
      </c>
      <c r="G7" s="15" t="s">
        <v>21</v>
      </c>
      <c r="I7" s="15" t="s">
        <v>21</v>
      </c>
    </row>
    <row r="8" spans="1:9" x14ac:dyDescent="0.25">
      <c r="A8" s="27">
        <f>VLOOKUP($F8,'[2]Primary Races'!$A:$G,HLOOKUP(A$2,'[2]Primary Races'!$1:$2,2,FALSE),FALSE)</f>
        <v>813</v>
      </c>
      <c r="B8" s="27">
        <f>VLOOKUP($F8,'[2]Primary Races'!$A:$G,HLOOKUP(B$2,'[2]Primary Races'!$1:$2,2,FALSE),FALSE)</f>
        <v>840</v>
      </c>
      <c r="C8" s="27">
        <f>VLOOKUP($F8,'[2]Primary Races'!$A:$G,HLOOKUP(C$2,'[2]Primary Races'!$1:$2,2,FALSE),FALSE)</f>
        <v>816</v>
      </c>
      <c r="D8" s="27">
        <f>VLOOKUP($F8,'[2]Primary Races'!$A:$G,HLOOKUP(D$2,'[2]Primary Races'!$1:$2,2,FALSE),FALSE)</f>
        <v>671</v>
      </c>
      <c r="E8" s="27">
        <f>VLOOKUP($F8,'[2]Primary Races'!$A:$G,HLOOKUP(E$2,'[2]Primary Races'!$1:$2,2,FALSE),FALSE)</f>
        <v>599</v>
      </c>
      <c r="F8" s="27" t="str">
        <f t="shared" si="0"/>
        <v>F</v>
      </c>
      <c r="G8" s="15" t="s">
        <v>22</v>
      </c>
      <c r="I8" s="15" t="s">
        <v>22</v>
      </c>
    </row>
    <row r="9" spans="1:9" x14ac:dyDescent="0.25">
      <c r="A9" s="27">
        <f>VLOOKUP($F9,'[2]Primary Races'!$A:$G,HLOOKUP(A$2,'[2]Primary Races'!$1:$2,2,FALSE),FALSE)</f>
        <v>151</v>
      </c>
      <c r="B9" s="27">
        <f>VLOOKUP($F9,'[2]Primary Races'!$A:$G,HLOOKUP(B$2,'[2]Primary Races'!$1:$2,2,FALSE),FALSE)</f>
        <v>183</v>
      </c>
      <c r="C9" s="27">
        <f>VLOOKUP($F9,'[2]Primary Races'!$A:$G,HLOOKUP(C$2,'[2]Primary Races'!$1:$2,2,FALSE),FALSE)</f>
        <v>159</v>
      </c>
      <c r="D9" s="27">
        <f>VLOOKUP($F9,'[2]Primary Races'!$A:$G,HLOOKUP(D$2,'[2]Primary Races'!$1:$2,2,FALSE),FALSE)</f>
        <v>124</v>
      </c>
      <c r="E9" s="27">
        <f>VLOOKUP($F9,'[2]Primary Races'!$A:$G,HLOOKUP(E$2,'[2]Primary Races'!$1:$2,2,FALSE),FALSE)</f>
        <v>90</v>
      </c>
      <c r="F9" s="27" t="str">
        <f t="shared" si="0"/>
        <v>P</v>
      </c>
      <c r="G9" s="15" t="s">
        <v>23</v>
      </c>
      <c r="I9" s="15" t="s">
        <v>23</v>
      </c>
    </row>
    <row r="10" spans="1:9" x14ac:dyDescent="0.25">
      <c r="A10" s="27">
        <f>VLOOKUP($F10,'[2]multi race'!$A:$G,HLOOKUP(A$2,'[2]multi race'!$1:$2,2,FALSE),FALSE)</f>
        <v>330</v>
      </c>
      <c r="B10" s="27">
        <f>VLOOKUP($F10,'[2]multi race'!$A:$G,HLOOKUP(B$2,'[2]multi race'!$1:$2,2,FALSE),FALSE)</f>
        <v>399</v>
      </c>
      <c r="C10" s="27">
        <f>VLOOKUP($F10,'[2]multi race'!$A:$G,HLOOKUP(C$2,'[2]multi race'!$1:$2,2,FALSE),FALSE)</f>
        <v>657</v>
      </c>
      <c r="D10" s="27">
        <f>VLOOKUP($F10,'[2]multi race'!$A:$G,HLOOKUP(D$2,'[2]multi race'!$1:$2,2,FALSE),FALSE)</f>
        <v>833</v>
      </c>
      <c r="E10" s="27">
        <f>VLOOKUP($F10,'[2]multi race'!$A:$G,HLOOKUP(E$2,'[2]multi race'!$1:$2,2,FALSE),FALSE)</f>
        <v>908</v>
      </c>
      <c r="F10" s="27" t="str">
        <f>MID(G10,1,1)</f>
        <v>M</v>
      </c>
      <c r="G10" s="15" t="s">
        <v>24</v>
      </c>
      <c r="I10" s="15" t="s">
        <v>24</v>
      </c>
    </row>
    <row r="11" spans="1:9" ht="15.75" thickBot="1" x14ac:dyDescent="0.3">
      <c r="A11" s="27">
        <f>VLOOKUP($F11,[2]unknown!$A:$G,HLOOKUP(A$2,[2]unknown!$1:$2,2,FALSE),FALSE)</f>
        <v>1590</v>
      </c>
      <c r="B11" s="27">
        <f>VLOOKUP($F11,[2]unknown!$A:$G,HLOOKUP(B$2,[2]unknown!$1:$2,2,FALSE),FALSE)</f>
        <v>1935</v>
      </c>
      <c r="C11" s="27">
        <f>VLOOKUP($F11,[2]unknown!$A:$G,HLOOKUP(C$2,[2]unknown!$1:$2,2,FALSE),FALSE)</f>
        <v>1690</v>
      </c>
      <c r="D11" s="27">
        <f>VLOOKUP($F11,[2]unknown!$A:$G,HLOOKUP(D$2,[2]unknown!$1:$2,2,FALSE),FALSE)</f>
        <v>1079</v>
      </c>
      <c r="E11" s="27">
        <f>VLOOKUP($F11,[2]unknown!$A:$G,HLOOKUP(E$2,[2]unknown!$1:$2,2,FALSE),FALSE)</f>
        <v>710</v>
      </c>
      <c r="F11" s="27" t="str">
        <f>MID(G11,1,1)</f>
        <v>U</v>
      </c>
      <c r="G11" s="16" t="s">
        <v>14</v>
      </c>
      <c r="I11" s="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30" customFormat="1" ht="15.75" customHeight="1" x14ac:dyDescent="0.25">
      <c r="A1" s="2"/>
      <c r="B1" s="13">
        <v>2007</v>
      </c>
      <c r="C1" s="13"/>
      <c r="D1" s="13">
        <v>2008</v>
      </c>
      <c r="E1" s="13"/>
      <c r="F1" s="13">
        <v>2009</v>
      </c>
      <c r="G1" s="13"/>
      <c r="H1" s="13">
        <v>2010</v>
      </c>
      <c r="I1" s="13"/>
      <c r="J1" s="13">
        <v>2011</v>
      </c>
      <c r="K1" s="13"/>
      <c r="L1" s="22"/>
      <c r="M1" s="22"/>
      <c r="N1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92" bestFit="1" customWidth="1"/>
    <col min="2" max="2" width="16.5703125" style="92" bestFit="1" customWidth="1"/>
    <col min="3" max="7" width="12" style="92" bestFit="1" customWidth="1"/>
    <col min="8" max="8" width="10" style="92" bestFit="1" customWidth="1"/>
    <col min="9" max="9" width="12.42578125" style="92" bestFit="1" customWidth="1"/>
    <col min="10" max="11" width="12" style="92" bestFit="1" customWidth="1"/>
    <col min="12" max="12" width="15" style="92" bestFit="1" customWidth="1"/>
    <col min="13" max="13" width="13.7109375" style="92" bestFit="1" customWidth="1"/>
    <col min="14" max="14" width="13.140625" style="92" bestFit="1" customWidth="1"/>
    <col min="15" max="16384" width="9.140625" style="92"/>
  </cols>
  <sheetData>
    <row r="1" spans="1:13" x14ac:dyDescent="0.2">
      <c r="A1" s="93" t="s">
        <v>0</v>
      </c>
      <c r="B1" s="93" t="s">
        <v>43</v>
      </c>
      <c r="C1" s="93"/>
      <c r="D1" s="93"/>
      <c r="E1" s="93"/>
      <c r="F1" s="93"/>
      <c r="G1" s="93"/>
      <c r="H1" s="93"/>
      <c r="I1" s="93"/>
      <c r="J1" s="93"/>
      <c r="K1" s="93"/>
      <c r="L1" s="93" t="s">
        <v>1</v>
      </c>
      <c r="M1" s="93"/>
    </row>
    <row r="2" spans="1:13" x14ac:dyDescent="0.2">
      <c r="A2" s="93"/>
      <c r="B2" s="93" t="s">
        <v>3</v>
      </c>
      <c r="C2" s="93"/>
      <c r="D2" s="93" t="s">
        <v>4</v>
      </c>
      <c r="E2" s="93"/>
      <c r="F2" s="93" t="s">
        <v>5</v>
      </c>
      <c r="G2" s="93"/>
      <c r="H2" s="93" t="s">
        <v>6</v>
      </c>
      <c r="I2" s="93"/>
      <c r="J2" s="93" t="s">
        <v>7</v>
      </c>
      <c r="K2" s="93"/>
      <c r="L2" s="93" t="s">
        <v>40</v>
      </c>
      <c r="M2" s="93"/>
    </row>
    <row r="3" spans="1:13" x14ac:dyDescent="0.2">
      <c r="A3" s="92" t="s">
        <v>9</v>
      </c>
      <c r="B3" s="92" t="s">
        <v>10</v>
      </c>
      <c r="C3" s="92" t="s">
        <v>11</v>
      </c>
      <c r="D3" s="92" t="s">
        <v>10</v>
      </c>
      <c r="E3" s="92" t="s">
        <v>11</v>
      </c>
      <c r="F3" s="92" t="s">
        <v>10</v>
      </c>
      <c r="G3" s="92" t="s">
        <v>11</v>
      </c>
      <c r="H3" s="92" t="s">
        <v>10</v>
      </c>
      <c r="I3" s="92" t="s">
        <v>11</v>
      </c>
      <c r="J3" s="92" t="s">
        <v>10</v>
      </c>
      <c r="K3" s="92" t="s">
        <v>11</v>
      </c>
      <c r="L3" s="92" t="s">
        <v>10</v>
      </c>
      <c r="M3" s="92" t="s">
        <v>11</v>
      </c>
    </row>
    <row r="4" spans="1:13" x14ac:dyDescent="0.2">
      <c r="A4" s="92" t="str">
        <f>A3</f>
        <v>Gender</v>
      </c>
      <c r="B4" s="92" t="str">
        <f>CONCATENATE(B2,B3)</f>
        <v>AY07-08#</v>
      </c>
      <c r="C4" s="92" t="str">
        <f>CONCATENATE(B2,C3)</f>
        <v>AY07-08%</v>
      </c>
      <c r="D4" s="92" t="str">
        <f t="shared" ref="D4" si="0">CONCATENATE(D2,D3)</f>
        <v>AY08-09#</v>
      </c>
      <c r="E4" s="92" t="str">
        <f t="shared" ref="E4" si="1">CONCATENATE(D2,E3)</f>
        <v>AY08-09%</v>
      </c>
      <c r="F4" s="92" t="str">
        <f t="shared" ref="F4" si="2">CONCATENATE(F2,F3)</f>
        <v>AY09-10#</v>
      </c>
      <c r="G4" s="92" t="str">
        <f t="shared" ref="G4" si="3">CONCATENATE(F2,G3)</f>
        <v>AY09-10%</v>
      </c>
      <c r="H4" s="92" t="str">
        <f t="shared" ref="H4" si="4">CONCATENATE(H2,H3)</f>
        <v>AY10-11#</v>
      </c>
      <c r="I4" s="92" t="str">
        <f t="shared" ref="I4" si="5">CONCATENATE(H2,I3)</f>
        <v>AY10-11%</v>
      </c>
      <c r="J4" s="92" t="str">
        <f t="shared" ref="J4" si="6">CONCATENATE(J2,J3)</f>
        <v>AY11-12#</v>
      </c>
      <c r="K4" s="92" t="str">
        <f t="shared" ref="K4" si="7">CONCATENATE(J2,K3)</f>
        <v>AY11-12%</v>
      </c>
      <c r="L4" s="92" t="str">
        <f t="shared" ref="L4" si="8">CONCATENATE(L2,L3)</f>
        <v>2010 Census#</v>
      </c>
      <c r="M4" s="92" t="str">
        <f t="shared" ref="M4" si="9">CONCATENATE(L2,M3)</f>
        <v>2010 Census%</v>
      </c>
    </row>
    <row r="5" spans="1:13" x14ac:dyDescent="0.2">
      <c r="A5" s="92" t="s">
        <v>12</v>
      </c>
      <c r="B5" s="92">
        <f>gender!A3</f>
        <v>12909</v>
      </c>
      <c r="C5" s="92">
        <f>B5/B$8</f>
        <v>0.60614171010001405</v>
      </c>
      <c r="D5" s="92">
        <f>gender!B3</f>
        <v>14479</v>
      </c>
      <c r="E5" s="92">
        <f>D5/D$8</f>
        <v>0.59318284239419883</v>
      </c>
      <c r="F5" s="92">
        <f>gender!C3</f>
        <v>13953</v>
      </c>
      <c r="G5" s="92">
        <f>F5/F$8</f>
        <v>0.57975651306768605</v>
      </c>
      <c r="H5" s="92">
        <f>gender!D3</f>
        <v>12000</v>
      </c>
      <c r="I5" s="92">
        <f>H5/H$8</f>
        <v>0.57110222729868643</v>
      </c>
      <c r="J5" s="92">
        <f>gender!E3</f>
        <v>11055</v>
      </c>
      <c r="K5" s="92">
        <f>J5/J$8</f>
        <v>0.56593631616668372</v>
      </c>
      <c r="L5" s="92">
        <v>425726</v>
      </c>
      <c r="M5" s="92">
        <f>L5/L$8</f>
        <v>0.50871708836104401</v>
      </c>
    </row>
    <row r="6" spans="1:13" x14ac:dyDescent="0.2">
      <c r="A6" s="92" t="s">
        <v>13</v>
      </c>
      <c r="B6" s="92">
        <f>gender!A4</f>
        <v>8196</v>
      </c>
      <c r="C6" s="92">
        <f>B6/B$8</f>
        <v>0.38484293562473587</v>
      </c>
      <c r="D6" s="92">
        <f>gender!B4</f>
        <v>9592</v>
      </c>
      <c r="E6" s="92">
        <f>D6/D$8</f>
        <v>0.39296980621901756</v>
      </c>
      <c r="F6" s="92">
        <f>gender!C4</f>
        <v>9853</v>
      </c>
      <c r="G6" s="92">
        <f>F6/F$8</f>
        <v>0.4093987617900029</v>
      </c>
      <c r="H6" s="92">
        <f>gender!D4</f>
        <v>8784</v>
      </c>
      <c r="I6" s="92">
        <f>H6/H$8</f>
        <v>0.41804683038263851</v>
      </c>
      <c r="J6" s="92">
        <f>gender!E4</f>
        <v>8299</v>
      </c>
      <c r="K6" s="92">
        <f>J6/J$8</f>
        <v>0.42484898126343812</v>
      </c>
      <c r="L6" s="92">
        <v>411136</v>
      </c>
      <c r="M6" s="92">
        <f>L6/L$8</f>
        <v>0.49128291163895599</v>
      </c>
    </row>
    <row r="7" spans="1:13" x14ac:dyDescent="0.2">
      <c r="A7" s="92" t="s">
        <v>14</v>
      </c>
      <c r="B7" s="92">
        <f>gender!A5</f>
        <v>192</v>
      </c>
      <c r="C7" s="92">
        <f>B7/B$8</f>
        <v>9.015354275250036E-3</v>
      </c>
      <c r="D7" s="92">
        <f>gender!B5</f>
        <v>338</v>
      </c>
      <c r="E7" s="92">
        <f>D7/D$8</f>
        <v>1.3847351386783563E-2</v>
      </c>
      <c r="F7" s="92">
        <f>gender!C5</f>
        <v>261</v>
      </c>
      <c r="G7" s="92">
        <f>F7/F$8</f>
        <v>1.0844725142311048E-2</v>
      </c>
      <c r="H7" s="92">
        <f>gender!D5</f>
        <v>228</v>
      </c>
      <c r="I7" s="92">
        <f>H7/H$8</f>
        <v>1.0850942318675044E-2</v>
      </c>
      <c r="J7" s="92">
        <f>gender!E5</f>
        <v>180</v>
      </c>
      <c r="K7" s="92">
        <f>J7/J$8</f>
        <v>9.214702569878162E-3</v>
      </c>
      <c r="L7" s="92">
        <v>0</v>
      </c>
      <c r="M7" s="92">
        <f>L7/L$8</f>
        <v>0</v>
      </c>
    </row>
    <row r="8" spans="1:13" x14ac:dyDescent="0.2">
      <c r="A8" s="92" t="s">
        <v>15</v>
      </c>
      <c r="B8" s="92">
        <f>SUM(B5:B7)</f>
        <v>21297</v>
      </c>
      <c r="D8" s="92">
        <f>SUM(D5:D7)</f>
        <v>24409</v>
      </c>
      <c r="F8" s="92">
        <f>SUM(F5:F7)</f>
        <v>24067</v>
      </c>
      <c r="H8" s="92">
        <f>SUM(H5:H7)</f>
        <v>21012</v>
      </c>
      <c r="J8" s="92">
        <f>SUM(J5:J7)</f>
        <v>19534</v>
      </c>
      <c r="L8" s="92">
        <f>SUM(L5:L7)</f>
        <v>836862</v>
      </c>
    </row>
    <row r="10" spans="1:13" x14ac:dyDescent="0.2">
      <c r="B10" s="93" t="s">
        <v>43</v>
      </c>
      <c r="C10" s="93"/>
      <c r="D10" s="93"/>
      <c r="E10" s="93"/>
      <c r="F10" s="93"/>
      <c r="G10" s="93"/>
      <c r="H10" s="93"/>
      <c r="I10" s="93"/>
      <c r="J10" s="93"/>
      <c r="K10" s="93"/>
      <c r="L10" s="93" t="s">
        <v>1</v>
      </c>
      <c r="M10" s="93"/>
    </row>
    <row r="11" spans="1:13" x14ac:dyDescent="0.2">
      <c r="B11" s="93" t="s">
        <v>3</v>
      </c>
      <c r="C11" s="93"/>
      <c r="D11" s="93" t="s">
        <v>4</v>
      </c>
      <c r="E11" s="93"/>
      <c r="F11" s="93" t="s">
        <v>5</v>
      </c>
      <c r="G11" s="93"/>
      <c r="H11" s="93" t="s">
        <v>6</v>
      </c>
      <c r="I11" s="93"/>
      <c r="J11" s="93" t="s">
        <v>7</v>
      </c>
      <c r="K11" s="93"/>
      <c r="L11" s="93" t="s">
        <v>40</v>
      </c>
      <c r="M11" s="93"/>
    </row>
    <row r="12" spans="1:13" x14ac:dyDescent="0.2">
      <c r="A12" s="92" t="s">
        <v>16</v>
      </c>
      <c r="B12" s="92" t="s">
        <v>10</v>
      </c>
      <c r="C12" s="92" t="s">
        <v>11</v>
      </c>
      <c r="D12" s="92" t="s">
        <v>10</v>
      </c>
      <c r="E12" s="92" t="s">
        <v>11</v>
      </c>
      <c r="F12" s="92" t="s">
        <v>10</v>
      </c>
      <c r="G12" s="92" t="s">
        <v>11</v>
      </c>
      <c r="H12" s="92" t="s">
        <v>10</v>
      </c>
      <c r="I12" s="92" t="s">
        <v>11</v>
      </c>
      <c r="J12" s="92" t="s">
        <v>10</v>
      </c>
      <c r="K12" s="92" t="s">
        <v>11</v>
      </c>
      <c r="L12" s="92" t="s">
        <v>10</v>
      </c>
      <c r="M12" s="92" t="s">
        <v>11</v>
      </c>
    </row>
    <row r="13" spans="1:13" x14ac:dyDescent="0.2">
      <c r="A13" s="92" t="str">
        <f>A12</f>
        <v>Ethnicity</v>
      </c>
      <c r="B13" s="92" t="str">
        <f>B4</f>
        <v>AY07-08#</v>
      </c>
      <c r="C13" s="92" t="str">
        <f t="shared" ref="C13:M13" si="10">C4</f>
        <v>AY07-08%</v>
      </c>
      <c r="D13" s="92" t="str">
        <f t="shared" si="10"/>
        <v>AY08-09#</v>
      </c>
      <c r="E13" s="92" t="str">
        <f t="shared" si="10"/>
        <v>AY08-09%</v>
      </c>
      <c r="F13" s="92" t="str">
        <f t="shared" si="10"/>
        <v>AY09-10#</v>
      </c>
      <c r="G13" s="92" t="str">
        <f t="shared" si="10"/>
        <v>AY09-10%</v>
      </c>
      <c r="H13" s="92" t="str">
        <f t="shared" si="10"/>
        <v>AY10-11#</v>
      </c>
      <c r="I13" s="92" t="str">
        <f t="shared" si="10"/>
        <v>AY10-11%</v>
      </c>
      <c r="J13" s="92" t="str">
        <f t="shared" si="10"/>
        <v>AY11-12#</v>
      </c>
      <c r="K13" s="92" t="str">
        <f t="shared" si="10"/>
        <v>AY11-12%</v>
      </c>
      <c r="L13" s="92" t="str">
        <f t="shared" si="10"/>
        <v>2010 Census#</v>
      </c>
      <c r="M13" s="92" t="str">
        <f t="shared" si="10"/>
        <v>2010 Census%</v>
      </c>
    </row>
    <row r="14" spans="1:13" x14ac:dyDescent="0.2">
      <c r="A14" s="92" t="s">
        <v>17</v>
      </c>
      <c r="B14" s="92">
        <f>ethnic!A3</f>
        <v>9963</v>
      </c>
      <c r="C14" s="92">
        <f t="shared" ref="C14:C22" si="11">B14/(SUM(B$14:B$22))</f>
        <v>0.46781236793914638</v>
      </c>
      <c r="D14" s="92">
        <f>ethnic!B3</f>
        <v>10935</v>
      </c>
      <c r="E14" s="92">
        <f t="shared" ref="E14:E22" si="12">D14/(SUM(D$14:D$22))</f>
        <v>0.44799049530910728</v>
      </c>
      <c r="F14" s="92">
        <f>ethnic!C3</f>
        <v>10427</v>
      </c>
      <c r="G14" s="92">
        <f t="shared" ref="G14:G22" si="13">F14/(SUM(F$14:F$22))</f>
        <v>0.43324884696887855</v>
      </c>
      <c r="H14" s="92">
        <f>ethnic!D3</f>
        <v>8877</v>
      </c>
      <c r="I14" s="92">
        <f t="shared" ref="I14:I22" si="14">H14/(SUM(H$14:H$22))</f>
        <v>0.4224728726442033</v>
      </c>
      <c r="J14" s="92">
        <f>ethnic!E3</f>
        <v>7806</v>
      </c>
      <c r="K14" s="92">
        <f t="shared" ref="K14:K22" si="15">J14/(SUM(J$14:J$22))</f>
        <v>0.3996109347803829</v>
      </c>
      <c r="L14" s="92">
        <v>398271</v>
      </c>
      <c r="M14" s="92">
        <f t="shared" ref="M14:M22" si="16">L14/(SUM(L$14:L$22))</f>
        <v>0.47591000666776601</v>
      </c>
    </row>
    <row r="15" spans="1:13" x14ac:dyDescent="0.2">
      <c r="A15" s="92" t="s">
        <v>18</v>
      </c>
      <c r="B15" s="92">
        <f>ethnic!A4</f>
        <v>6040</v>
      </c>
      <c r="C15" s="92">
        <f t="shared" si="11"/>
        <v>0.28360801990890738</v>
      </c>
      <c r="D15" s="92">
        <f>ethnic!B4</f>
        <v>7149</v>
      </c>
      <c r="E15" s="92">
        <f t="shared" si="12"/>
        <v>0.29288377237904051</v>
      </c>
      <c r="F15" s="92">
        <f>ethnic!C4</f>
        <v>7520</v>
      </c>
      <c r="G15" s="92">
        <f t="shared" si="13"/>
        <v>0.31246104624589688</v>
      </c>
      <c r="H15" s="92">
        <f>ethnic!D4</f>
        <v>7022</v>
      </c>
      <c r="I15" s="92">
        <f t="shared" si="14"/>
        <v>0.33418998667428135</v>
      </c>
      <c r="J15" s="92">
        <f>ethnic!E4</f>
        <v>7295</v>
      </c>
      <c r="K15" s="92">
        <f t="shared" si="15"/>
        <v>0.37345141804033993</v>
      </c>
      <c r="L15" s="92">
        <v>318674</v>
      </c>
      <c r="M15" s="92">
        <f t="shared" si="16"/>
        <v>0.38079635591053246</v>
      </c>
    </row>
    <row r="16" spans="1:13" x14ac:dyDescent="0.2">
      <c r="A16" s="92" t="s">
        <v>19</v>
      </c>
      <c r="B16" s="92">
        <f>ethnic!A5</f>
        <v>1547</v>
      </c>
      <c r="C16" s="92">
        <f t="shared" si="11"/>
        <v>7.2639338874019813E-2</v>
      </c>
      <c r="D16" s="92">
        <f>ethnic!B5</f>
        <v>1956</v>
      </c>
      <c r="E16" s="92">
        <f t="shared" si="12"/>
        <v>8.0134376664345114E-2</v>
      </c>
      <c r="F16" s="92">
        <f>ethnic!C5</f>
        <v>1913</v>
      </c>
      <c r="G16" s="92">
        <f t="shared" si="13"/>
        <v>7.9486433705904344E-2</v>
      </c>
      <c r="H16" s="92">
        <f>ethnic!D5</f>
        <v>1641</v>
      </c>
      <c r="I16" s="92">
        <f t="shared" si="14"/>
        <v>7.8098229583095369E-2</v>
      </c>
      <c r="J16" s="92">
        <f>ethnic!E5</f>
        <v>1507</v>
      </c>
      <c r="K16" s="92">
        <f t="shared" si="15"/>
        <v>7.7147537626702165E-2</v>
      </c>
      <c r="L16" s="92">
        <v>43085</v>
      </c>
      <c r="M16" s="92">
        <f t="shared" si="16"/>
        <v>5.1483996166632011E-2</v>
      </c>
    </row>
    <row r="17" spans="1:13" x14ac:dyDescent="0.2">
      <c r="A17" s="92" t="s">
        <v>20</v>
      </c>
      <c r="B17" s="92">
        <f>ethnic!A6</f>
        <v>609</v>
      </c>
      <c r="C17" s="92">
        <f t="shared" si="11"/>
        <v>2.8595576841808707E-2</v>
      </c>
      <c r="D17" s="92">
        <f>ethnic!B6</f>
        <v>718</v>
      </c>
      <c r="E17" s="92">
        <f t="shared" si="12"/>
        <v>2.9415379573108278E-2</v>
      </c>
      <c r="F17" s="92">
        <f>ethnic!C6</f>
        <v>635</v>
      </c>
      <c r="G17" s="92">
        <f t="shared" si="13"/>
        <v>2.6384676112519219E-2</v>
      </c>
      <c r="H17" s="92">
        <f>ethnic!D6</f>
        <v>583</v>
      </c>
      <c r="I17" s="92">
        <f t="shared" si="14"/>
        <v>2.7746049876261183E-2</v>
      </c>
      <c r="J17" s="92">
        <f>ethnic!E6</f>
        <v>478</v>
      </c>
      <c r="K17" s="92">
        <f t="shared" si="15"/>
        <v>2.4470154602232005E-2</v>
      </c>
      <c r="L17" s="92">
        <v>21251</v>
      </c>
      <c r="M17" s="92">
        <f t="shared" si="16"/>
        <v>2.5393673030917881E-2</v>
      </c>
    </row>
    <row r="18" spans="1:13" x14ac:dyDescent="0.2">
      <c r="A18" s="92" t="s">
        <v>21</v>
      </c>
      <c r="B18" s="92">
        <f>ethnic!A7</f>
        <v>254</v>
      </c>
      <c r="C18" s="92">
        <f t="shared" si="11"/>
        <v>1.1926562426632859E-2</v>
      </c>
      <c r="D18" s="92">
        <f>ethnic!B7</f>
        <v>294</v>
      </c>
      <c r="E18" s="92">
        <f t="shared" si="12"/>
        <v>1.204473759678807E-2</v>
      </c>
      <c r="F18" s="92">
        <f>ethnic!C7</f>
        <v>250</v>
      </c>
      <c r="G18" s="92">
        <f t="shared" si="13"/>
        <v>1.0387667760834338E-2</v>
      </c>
      <c r="H18" s="92">
        <f>ethnic!D7</f>
        <v>182</v>
      </c>
      <c r="I18" s="92">
        <f t="shared" si="14"/>
        <v>8.6617171140300781E-3</v>
      </c>
      <c r="J18" s="92">
        <f>ethnic!E7</f>
        <v>141</v>
      </c>
      <c r="K18" s="92">
        <f t="shared" si="15"/>
        <v>7.2181836797378931E-3</v>
      </c>
      <c r="L18" s="92">
        <v>6071</v>
      </c>
      <c r="M18" s="92">
        <f t="shared" si="16"/>
        <v>7.254481623015503E-3</v>
      </c>
    </row>
    <row r="19" spans="1:13" x14ac:dyDescent="0.2">
      <c r="A19" s="92" t="s">
        <v>22</v>
      </c>
      <c r="B19" s="92">
        <f>ethnic!A8</f>
        <v>813</v>
      </c>
      <c r="C19" s="92">
        <f t="shared" si="11"/>
        <v>3.8174390759261871E-2</v>
      </c>
      <c r="D19" s="92">
        <f>ethnic!B8</f>
        <v>840</v>
      </c>
      <c r="E19" s="92">
        <f t="shared" si="12"/>
        <v>3.4413535990823058E-2</v>
      </c>
      <c r="F19" s="92">
        <f>ethnic!C8</f>
        <v>816</v>
      </c>
      <c r="G19" s="92">
        <f t="shared" si="13"/>
        <v>3.3905347571363278E-2</v>
      </c>
      <c r="H19" s="92">
        <f>ethnic!D8</f>
        <v>671</v>
      </c>
      <c r="I19" s="92">
        <f t="shared" si="14"/>
        <v>3.1934132876451554E-2</v>
      </c>
      <c r="J19" s="92">
        <f>ethnic!E8</f>
        <v>599</v>
      </c>
      <c r="K19" s="92">
        <f t="shared" si="15"/>
        <v>3.0664482440872325E-2</v>
      </c>
      <c r="L19" s="92">
        <v>23365</v>
      </c>
      <c r="M19" s="92">
        <f t="shared" si="16"/>
        <v>2.7919776498395197E-2</v>
      </c>
    </row>
    <row r="20" spans="1:13" x14ac:dyDescent="0.2">
      <c r="A20" s="92" t="s">
        <v>23</v>
      </c>
      <c r="B20" s="92">
        <f>ethnic!A9</f>
        <v>151</v>
      </c>
      <c r="C20" s="92">
        <f t="shared" si="11"/>
        <v>7.0902004977226839E-3</v>
      </c>
      <c r="D20" s="92">
        <f>ethnic!B9</f>
        <v>183</v>
      </c>
      <c r="E20" s="92">
        <f t="shared" si="12"/>
        <v>7.4972346265721659E-3</v>
      </c>
      <c r="F20" s="92">
        <f>ethnic!C9</f>
        <v>159</v>
      </c>
      <c r="G20" s="92">
        <f t="shared" si="13"/>
        <v>6.6065566958906389E-3</v>
      </c>
      <c r="H20" s="92">
        <f>ethnic!D9</f>
        <v>124</v>
      </c>
      <c r="I20" s="92">
        <f t="shared" si="14"/>
        <v>5.9013896820864272E-3</v>
      </c>
      <c r="J20" s="92">
        <f>ethnic!E9</f>
        <v>90</v>
      </c>
      <c r="K20" s="92">
        <f t="shared" si="15"/>
        <v>4.607351284939081E-3</v>
      </c>
      <c r="L20" s="92">
        <v>2305</v>
      </c>
      <c r="M20" s="92">
        <f t="shared" si="16"/>
        <v>2.7543370352579037E-3</v>
      </c>
    </row>
    <row r="21" spans="1:13" x14ac:dyDescent="0.2">
      <c r="A21" s="92" t="s">
        <v>24</v>
      </c>
      <c r="B21" s="92">
        <f>ethnic!A10</f>
        <v>330</v>
      </c>
      <c r="C21" s="92">
        <f t="shared" si="11"/>
        <v>1.5495140160585999E-2</v>
      </c>
      <c r="D21" s="92">
        <f>ethnic!B10</f>
        <v>399</v>
      </c>
      <c r="E21" s="92">
        <f t="shared" si="12"/>
        <v>1.6346429595640952E-2</v>
      </c>
      <c r="F21" s="92">
        <f>ethnic!C10</f>
        <v>657</v>
      </c>
      <c r="G21" s="92">
        <f t="shared" si="13"/>
        <v>2.7298790875472639E-2</v>
      </c>
      <c r="H21" s="92">
        <f>ethnic!D10</f>
        <v>833</v>
      </c>
      <c r="I21" s="92">
        <f t="shared" si="14"/>
        <v>3.964401294498382E-2</v>
      </c>
      <c r="J21" s="92">
        <f>ethnic!E10</f>
        <v>908</v>
      </c>
      <c r="K21" s="92">
        <f t="shared" si="15"/>
        <v>4.6483055185829833E-2</v>
      </c>
      <c r="L21" s="92">
        <v>22553</v>
      </c>
      <c r="M21" s="92">
        <f t="shared" si="16"/>
        <v>2.6949485100291326E-2</v>
      </c>
    </row>
    <row r="22" spans="1:13" x14ac:dyDescent="0.2">
      <c r="A22" s="92" t="s">
        <v>14</v>
      </c>
      <c r="B22" s="92">
        <f>ethnic!A11</f>
        <v>1590</v>
      </c>
      <c r="C22" s="92">
        <f t="shared" si="11"/>
        <v>7.465840259191435E-2</v>
      </c>
      <c r="D22" s="92">
        <f>ethnic!B11</f>
        <v>1935</v>
      </c>
      <c r="E22" s="92">
        <f t="shared" si="12"/>
        <v>7.9274038264574548E-2</v>
      </c>
      <c r="F22" s="92">
        <f>ethnic!C11</f>
        <v>1690</v>
      </c>
      <c r="G22" s="92">
        <f t="shared" si="13"/>
        <v>7.0220634063240125E-2</v>
      </c>
      <c r="H22" s="92">
        <f>ethnic!D11</f>
        <v>1079</v>
      </c>
      <c r="I22" s="92">
        <f t="shared" si="14"/>
        <v>5.1351608604606892E-2</v>
      </c>
      <c r="J22" s="92">
        <f>ethnic!E11</f>
        <v>710</v>
      </c>
      <c r="K22" s="92">
        <f t="shared" si="15"/>
        <v>3.6346882358963856E-2</v>
      </c>
      <c r="L22" s="92">
        <v>1287</v>
      </c>
      <c r="M22" s="92">
        <f t="shared" si="16"/>
        <v>1.5378879671917233E-3</v>
      </c>
    </row>
    <row r="24" spans="1:13" ht="15.75" customHeight="1" x14ac:dyDescent="0.2">
      <c r="B24" s="93" t="s">
        <v>43</v>
      </c>
      <c r="C24" s="93"/>
      <c r="D24" s="93"/>
      <c r="E24" s="93"/>
      <c r="F24" s="93"/>
      <c r="G24" s="93"/>
      <c r="H24" s="93"/>
      <c r="I24" s="93"/>
      <c r="J24" s="93"/>
      <c r="K24" s="93"/>
      <c r="L24" s="93" t="s">
        <v>1</v>
      </c>
      <c r="M24" s="93"/>
    </row>
    <row r="25" spans="1:13" x14ac:dyDescent="0.2">
      <c r="B25" s="93" t="s">
        <v>3</v>
      </c>
      <c r="C25" s="93"/>
      <c r="D25" s="93" t="s">
        <v>4</v>
      </c>
      <c r="E25" s="93"/>
      <c r="F25" s="93" t="s">
        <v>5</v>
      </c>
      <c r="G25" s="93"/>
      <c r="H25" s="93" t="s">
        <v>6</v>
      </c>
      <c r="I25" s="93"/>
      <c r="J25" s="93" t="s">
        <v>7</v>
      </c>
      <c r="K25" s="93"/>
      <c r="L25" s="93" t="s">
        <v>40</v>
      </c>
      <c r="M25" s="93"/>
    </row>
    <row r="26" spans="1:13" x14ac:dyDescent="0.2">
      <c r="A26" s="92" t="s">
        <v>25</v>
      </c>
      <c r="B26" s="92" t="s">
        <v>10</v>
      </c>
      <c r="C26" s="92" t="s">
        <v>11</v>
      </c>
      <c r="D26" s="92" t="s">
        <v>10</v>
      </c>
      <c r="E26" s="92" t="s">
        <v>11</v>
      </c>
      <c r="F26" s="92" t="s">
        <v>10</v>
      </c>
      <c r="G26" s="92" t="s">
        <v>11</v>
      </c>
      <c r="H26" s="92" t="s">
        <v>10</v>
      </c>
      <c r="I26" s="92" t="s">
        <v>11</v>
      </c>
      <c r="J26" s="92" t="s">
        <v>10</v>
      </c>
      <c r="K26" s="92" t="s">
        <v>11</v>
      </c>
      <c r="L26" s="92" t="s">
        <v>10</v>
      </c>
      <c r="M26" s="92" t="s">
        <v>11</v>
      </c>
    </row>
    <row r="27" spans="1:13" x14ac:dyDescent="0.2">
      <c r="A27" s="92" t="str">
        <f>A26</f>
        <v xml:space="preserve">Age </v>
      </c>
      <c r="B27" s="92" t="str">
        <f>B13</f>
        <v>AY07-08#</v>
      </c>
      <c r="C27" s="92" t="str">
        <f t="shared" ref="C27:M27" si="17">C13</f>
        <v>AY07-08%</v>
      </c>
      <c r="D27" s="92" t="str">
        <f t="shared" si="17"/>
        <v>AY08-09#</v>
      </c>
      <c r="E27" s="92" t="str">
        <f t="shared" si="17"/>
        <v>AY08-09%</v>
      </c>
      <c r="F27" s="92" t="str">
        <f t="shared" si="17"/>
        <v>AY09-10#</v>
      </c>
      <c r="G27" s="92" t="str">
        <f t="shared" si="17"/>
        <v>AY09-10%</v>
      </c>
      <c r="H27" s="92" t="str">
        <f t="shared" si="17"/>
        <v>AY10-11#</v>
      </c>
      <c r="I27" s="92" t="str">
        <f t="shared" si="17"/>
        <v>AY10-11%</v>
      </c>
      <c r="J27" s="92" t="str">
        <f t="shared" si="17"/>
        <v>AY11-12#</v>
      </c>
      <c r="K27" s="92" t="str">
        <f t="shared" si="17"/>
        <v>AY11-12%</v>
      </c>
      <c r="L27" s="92" t="str">
        <f t="shared" si="17"/>
        <v>2010 Census#</v>
      </c>
      <c r="M27" s="92" t="str">
        <f t="shared" si="17"/>
        <v>2010 Census%</v>
      </c>
    </row>
    <row r="28" spans="1:13" x14ac:dyDescent="0.2">
      <c r="A28" s="92" t="s">
        <v>26</v>
      </c>
      <c r="B28" s="92">
        <f>VLOOKUP($A28,'[3]age headcounts'!$A:$G,HLOOKUP(Sheet2!B$1,'[3]age headcounts'!$1:$2,2,FALSE),FALSE)</f>
        <v>733</v>
      </c>
      <c r="C28" s="92">
        <f>B28/(SUM(B$28:B$36))</f>
        <v>3.4417993144574353E-2</v>
      </c>
      <c r="D28" s="92">
        <f>VLOOKUP($A28,'[3]age headcounts'!$A:$G,HLOOKUP(Sheet2!D$1,'[3]age headcounts'!$1:$2,2,FALSE),FALSE)</f>
        <v>1026</v>
      </c>
      <c r="E28" s="92">
        <f>D28/(SUM(D$28:D$36))</f>
        <v>4.2033676103076734E-2</v>
      </c>
      <c r="F28" s="92">
        <f>VLOOKUP($A28,'[3]age headcounts'!$A:$G,HLOOKUP(Sheet2!F$1,'[3]age headcounts'!$1:$2,2,FALSE),FALSE)</f>
        <v>743</v>
      </c>
      <c r="G28" s="92">
        <f>F28/(SUM(F$28:F$36))</f>
        <v>3.0872148585199651E-2</v>
      </c>
      <c r="H28" s="92">
        <f>VLOOKUP($A28,'[3]age headcounts'!$A:$G,HLOOKUP(Sheet2!H$1,'[3]age headcounts'!$1:$2,2,FALSE),FALSE)</f>
        <v>336</v>
      </c>
      <c r="I28" s="92">
        <f>H28/(SUM(H$28:H$36))</f>
        <v>1.5990862364363222E-2</v>
      </c>
      <c r="J28" s="92">
        <f>VLOOKUP($A28,'[3]age headcounts'!$A:$G,HLOOKUP(Sheet2!J$1,'[3]age headcounts'!$1:$2,2,FALSE),FALSE)</f>
        <v>196</v>
      </c>
      <c r="K28" s="92">
        <f>J28/(SUM(J$28:J$36))</f>
        <v>1.003378724275622E-2</v>
      </c>
      <c r="L28" s="92">
        <v>245217</v>
      </c>
      <c r="M28" s="92">
        <f>L28/SUM(L$28:L$36)</f>
        <v>0.29301963764635031</v>
      </c>
    </row>
    <row r="29" spans="1:13" x14ac:dyDescent="0.2">
      <c r="A29" s="92" t="s">
        <v>27</v>
      </c>
      <c r="B29" s="92">
        <f>VLOOKUP($A29,'[3]age headcounts'!$A:$G,HLOOKUP(Sheet2!B$1,'[3]age headcounts'!$1:$2,2,FALSE),FALSE)</f>
        <v>4893</v>
      </c>
      <c r="C29" s="92">
        <f t="shared" ref="C29:C36" si="18">B29/(SUM(B$28:B$36))</f>
        <v>0.22975066910832512</v>
      </c>
      <c r="D29" s="92">
        <f>VLOOKUP($A29,'[3]age headcounts'!$A:$G,HLOOKUP(Sheet2!D$1,'[3]age headcounts'!$1:$2,2,FALSE),FALSE)</f>
        <v>5828</v>
      </c>
      <c r="E29" s="92">
        <f t="shared" ref="E29:E36" si="19">D29/(SUM(D$28:D$36))</f>
        <v>0.23876439018394854</v>
      </c>
      <c r="F29" s="92">
        <f>VLOOKUP($A29,'[3]age headcounts'!$A:$G,HLOOKUP(Sheet2!F$1,'[3]age headcounts'!$1:$2,2,FALSE),FALSE)</f>
        <v>5660</v>
      </c>
      <c r="G29" s="92">
        <f t="shared" ref="G29:G36" si="20">F29/(SUM(F$28:F$36))</f>
        <v>0.23517679810528941</v>
      </c>
      <c r="H29" s="92">
        <f>VLOOKUP($A29,'[3]age headcounts'!$A:$G,HLOOKUP(Sheet2!H$1,'[3]age headcounts'!$1:$2,2,FALSE),FALSE)</f>
        <v>4488</v>
      </c>
      <c r="I29" s="92">
        <f t="shared" ref="I29:I36" si="21">H29/(SUM(H$28:H$36))</f>
        <v>0.21359223300970873</v>
      </c>
      <c r="J29" s="92">
        <f>VLOOKUP($A29,'[3]age headcounts'!$A:$G,HLOOKUP(Sheet2!J$1,'[3]age headcounts'!$1:$2,2,FALSE),FALSE)</f>
        <v>4057</v>
      </c>
      <c r="K29" s="92">
        <f t="shared" ref="K29:K36" si="22">J29/(SUM(J$28:J$36))</f>
        <v>0.20768915736664278</v>
      </c>
      <c r="L29" s="92">
        <v>25706</v>
      </c>
      <c r="M29" s="92">
        <f t="shared" ref="M29:M36" si="23">L29/SUM(L$28:L$36)</f>
        <v>3.0717131378889231E-2</v>
      </c>
    </row>
    <row r="30" spans="1:13" x14ac:dyDescent="0.2">
      <c r="A30" s="92" t="s">
        <v>28</v>
      </c>
      <c r="B30" s="92">
        <f>VLOOKUP($A30,'[3]age headcounts'!$A:$G,HLOOKUP(Sheet2!B$1,'[3]age headcounts'!$1:$2,2,FALSE),FALSE)</f>
        <v>6750</v>
      </c>
      <c r="C30" s="92">
        <f t="shared" si="18"/>
        <v>0.31694604873925902</v>
      </c>
      <c r="D30" s="92">
        <f>VLOOKUP($A30,'[3]age headcounts'!$A:$G,HLOOKUP(Sheet2!D$1,'[3]age headcounts'!$1:$2,2,FALSE),FALSE)</f>
        <v>7632</v>
      </c>
      <c r="E30" s="92">
        <f t="shared" si="19"/>
        <v>0.31267155557376375</v>
      </c>
      <c r="F30" s="92">
        <f>VLOOKUP($A30,'[3]age headcounts'!$A:$G,HLOOKUP(Sheet2!F$1,'[3]age headcounts'!$1:$2,2,FALSE),FALSE)</f>
        <v>7750</v>
      </c>
      <c r="G30" s="92">
        <f t="shared" si="20"/>
        <v>0.32201770058586449</v>
      </c>
      <c r="H30" s="92">
        <f>VLOOKUP($A30,'[3]age headcounts'!$A:$G,HLOOKUP(Sheet2!H$1,'[3]age headcounts'!$1:$2,2,FALSE),FALSE)</f>
        <v>7563</v>
      </c>
      <c r="I30" s="92">
        <f t="shared" si="21"/>
        <v>0.35993717875499714</v>
      </c>
      <c r="J30" s="92">
        <f>VLOOKUP($A30,'[3]age headcounts'!$A:$G,HLOOKUP(Sheet2!J$1,'[3]age headcounts'!$1:$2,2,FALSE),FALSE)</f>
        <v>7524</v>
      </c>
      <c r="K30" s="92">
        <f t="shared" si="22"/>
        <v>0.38517456742090711</v>
      </c>
      <c r="L30" s="92">
        <v>52893</v>
      </c>
      <c r="M30" s="92">
        <f t="shared" si="23"/>
        <v>6.3203969113187125E-2</v>
      </c>
    </row>
    <row r="31" spans="1:13" x14ac:dyDescent="0.2">
      <c r="A31" s="92" t="s">
        <v>29</v>
      </c>
      <c r="B31" s="92">
        <f>VLOOKUP($A31,'[3]age headcounts'!$A:$G,HLOOKUP(Sheet2!B$1,'[3]age headcounts'!$1:$2,2,FALSE),FALSE)</f>
        <v>2617</v>
      </c>
      <c r="C31" s="92">
        <f t="shared" si="18"/>
        <v>0.12288115697046532</v>
      </c>
      <c r="D31" s="92">
        <f>VLOOKUP($A31,'[3]age headcounts'!$A:$G,HLOOKUP(Sheet2!D$1,'[3]age headcounts'!$1:$2,2,FALSE),FALSE)</f>
        <v>2960</v>
      </c>
      <c r="E31" s="92">
        <f t="shared" si="19"/>
        <v>0.1212667458724241</v>
      </c>
      <c r="F31" s="92">
        <f>VLOOKUP($A31,'[3]age headcounts'!$A:$G,HLOOKUP(Sheet2!F$1,'[3]age headcounts'!$1:$2,2,FALSE),FALSE)</f>
        <v>3092</v>
      </c>
      <c r="G31" s="92">
        <f t="shared" si="20"/>
        <v>0.12847467486599909</v>
      </c>
      <c r="H31" s="92">
        <f>VLOOKUP($A31,'[3]age headcounts'!$A:$G,HLOOKUP(Sheet2!H$1,'[3]age headcounts'!$1:$2,2,FALSE),FALSE)</f>
        <v>2847</v>
      </c>
      <c r="I31" s="92">
        <f t="shared" si="21"/>
        <v>0.13549400342661336</v>
      </c>
      <c r="J31" s="92">
        <f>VLOOKUP($A31,'[3]age headcounts'!$A:$G,HLOOKUP(Sheet2!J$1,'[3]age headcounts'!$1:$2,2,FALSE),FALSE)</f>
        <v>2625</v>
      </c>
      <c r="K31" s="92">
        <f t="shared" si="22"/>
        <v>0.1343810791440565</v>
      </c>
      <c r="L31" s="92">
        <v>52166</v>
      </c>
      <c r="M31" s="92">
        <f t="shared" si="23"/>
        <v>6.2335247627446341E-2</v>
      </c>
    </row>
    <row r="32" spans="1:13" x14ac:dyDescent="0.2">
      <c r="A32" s="92" t="s">
        <v>30</v>
      </c>
      <c r="B32" s="92">
        <f>VLOOKUP($A32,'[3]age headcounts'!$A:$G,HLOOKUP(Sheet2!B$1,'[3]age headcounts'!$1:$2,2,FALSE),FALSE)</f>
        <v>1668</v>
      </c>
      <c r="C32" s="92">
        <f t="shared" si="18"/>
        <v>7.8320890266234677E-2</v>
      </c>
      <c r="D32" s="92">
        <f>VLOOKUP($A32,'[3]age headcounts'!$A:$G,HLOOKUP(Sheet2!D$1,'[3]age headcounts'!$1:$2,2,FALSE),FALSE)</f>
        <v>1886</v>
      </c>
      <c r="E32" s="92">
        <f t="shared" si="19"/>
        <v>7.7266581998443204E-2</v>
      </c>
      <c r="F32" s="92">
        <f>VLOOKUP($A32,'[3]age headcounts'!$A:$G,HLOOKUP(Sheet2!F$1,'[3]age headcounts'!$1:$2,2,FALSE),FALSE)</f>
        <v>1849</v>
      </c>
      <c r="G32" s="92">
        <f t="shared" si="20"/>
        <v>7.6827190759130762E-2</v>
      </c>
      <c r="H32" s="92">
        <f>VLOOKUP($A32,'[3]age headcounts'!$A:$G,HLOOKUP(Sheet2!H$1,'[3]age headcounts'!$1:$2,2,FALSE),FALSE)</f>
        <v>1632</v>
      </c>
      <c r="I32" s="92">
        <f t="shared" si="21"/>
        <v>7.7669902912621352E-2</v>
      </c>
      <c r="J32" s="92">
        <f>VLOOKUP($A32,'[3]age headcounts'!$A:$G,HLOOKUP(Sheet2!J$1,'[3]age headcounts'!$1:$2,2,FALSE),FALSE)</f>
        <v>1536</v>
      </c>
      <c r="K32" s="92">
        <f t="shared" si="22"/>
        <v>7.8632128596293635E-2</v>
      </c>
      <c r="L32" s="92">
        <v>52145</v>
      </c>
      <c r="M32" s="92">
        <f t="shared" si="23"/>
        <v>6.2310153884391928E-2</v>
      </c>
    </row>
    <row r="33" spans="1:13" x14ac:dyDescent="0.2">
      <c r="A33" s="92" t="s">
        <v>31</v>
      </c>
      <c r="B33" s="92">
        <f>VLOOKUP($A33,'[3]age headcounts'!$A:$G,HLOOKUP(Sheet2!B$1,'[3]age headcounts'!$1:$2,2,FALSE),FALSE)</f>
        <v>1354</v>
      </c>
      <c r="C33" s="92">
        <f t="shared" si="18"/>
        <v>6.357702962858619E-2</v>
      </c>
      <c r="D33" s="92">
        <f>VLOOKUP($A33,'[3]age headcounts'!$A:$G,HLOOKUP(Sheet2!D$1,'[3]age headcounts'!$1:$2,2,FALSE),FALSE)</f>
        <v>1507</v>
      </c>
      <c r="E33" s="92">
        <f t="shared" si="19"/>
        <v>6.1739522307345654E-2</v>
      </c>
      <c r="F33" s="92">
        <f>VLOOKUP($A33,'[3]age headcounts'!$A:$G,HLOOKUP(Sheet2!F$1,'[3]age headcounts'!$1:$2,2,FALSE),FALSE)</f>
        <v>1438</v>
      </c>
      <c r="G33" s="92">
        <f t="shared" si="20"/>
        <v>5.9749864960319109E-2</v>
      </c>
      <c r="H33" s="92">
        <f>VLOOKUP($A33,'[3]age headcounts'!$A:$G,HLOOKUP(Sheet2!H$1,'[3]age headcounts'!$1:$2,2,FALSE),FALSE)</f>
        <v>1186</v>
      </c>
      <c r="I33" s="92">
        <f t="shared" si="21"/>
        <v>5.6443936798020178E-2</v>
      </c>
      <c r="J33" s="92">
        <f>VLOOKUP($A33,'[3]age headcounts'!$A:$G,HLOOKUP(Sheet2!J$1,'[3]age headcounts'!$1:$2,2,FALSE),FALSE)</f>
        <v>1074</v>
      </c>
      <c r="K33" s="92">
        <f t="shared" si="22"/>
        <v>5.4981058666939697E-2</v>
      </c>
      <c r="L33" s="92">
        <v>55384</v>
      </c>
      <c r="M33" s="92">
        <f t="shared" si="23"/>
        <v>6.6180565015498377E-2</v>
      </c>
    </row>
    <row r="34" spans="1:13" x14ac:dyDescent="0.2">
      <c r="A34" s="92" t="s">
        <v>32</v>
      </c>
      <c r="B34" s="92">
        <f>VLOOKUP($A34,'[3]age headcounts'!$A:$G,HLOOKUP(Sheet2!B$1,'[3]age headcounts'!$1:$2,2,FALSE),FALSE)</f>
        <v>2065</v>
      </c>
      <c r="C34" s="92">
        <f t="shared" si="18"/>
        <v>9.6962013429121474E-2</v>
      </c>
      <c r="D34" s="92">
        <f>VLOOKUP($A34,'[3]age headcounts'!$A:$G,HLOOKUP(Sheet2!D$1,'[3]age headcounts'!$1:$2,2,FALSE),FALSE)</f>
        <v>2241</v>
      </c>
      <c r="E34" s="92">
        <f t="shared" si="19"/>
        <v>9.1810397804088659E-2</v>
      </c>
      <c r="F34" s="92">
        <f>VLOOKUP($A34,'[3]age headcounts'!$A:$G,HLOOKUP(Sheet2!F$1,'[3]age headcounts'!$1:$2,2,FALSE),FALSE)</f>
        <v>2282</v>
      </c>
      <c r="G34" s="92">
        <f t="shared" si="20"/>
        <v>9.4818631320895838E-2</v>
      </c>
      <c r="H34" s="92">
        <f>VLOOKUP($A34,'[3]age headcounts'!$A:$G,HLOOKUP(Sheet2!H$1,'[3]age headcounts'!$1:$2,2,FALSE),FALSE)</f>
        <v>1900</v>
      </c>
      <c r="I34" s="92">
        <f t="shared" si="21"/>
        <v>9.0424519322292021E-2</v>
      </c>
      <c r="J34" s="92">
        <f>VLOOKUP($A34,'[3]age headcounts'!$A:$G,HLOOKUP(Sheet2!J$1,'[3]age headcounts'!$1:$2,2,FALSE),FALSE)</f>
        <v>1573</v>
      </c>
      <c r="K34" s="92">
        <f t="shared" si="22"/>
        <v>8.0526261902324148E-2</v>
      </c>
      <c r="L34" s="92">
        <v>116401</v>
      </c>
      <c r="M34" s="92">
        <f t="shared" si="23"/>
        <v>0.13909222787030598</v>
      </c>
    </row>
    <row r="35" spans="1:13" x14ac:dyDescent="0.2">
      <c r="A35" s="92" t="s">
        <v>33</v>
      </c>
      <c r="B35" s="92">
        <f>VLOOKUP($A35,'[3]age headcounts'!$A:$G,HLOOKUP(Sheet2!B$1,'[3]age headcounts'!$1:$2,2,FALSE),FALSE)</f>
        <v>1213</v>
      </c>
      <c r="C35" s="92">
        <f t="shared" si="18"/>
        <v>5.6956378832699439E-2</v>
      </c>
      <c r="D35" s="92">
        <f>VLOOKUP($A35,'[3]age headcounts'!$A:$G,HLOOKUP(Sheet2!D$1,'[3]age headcounts'!$1:$2,2,FALSE),FALSE)</f>
        <v>1329</v>
      </c>
      <c r="E35" s="92">
        <f t="shared" si="19"/>
        <v>5.4447130156909336E-2</v>
      </c>
      <c r="F35" s="92">
        <f>VLOOKUP($A35,'[3]age headcounts'!$A:$G,HLOOKUP(Sheet2!F$1,'[3]age headcounts'!$1:$2,2,FALSE),FALSE)</f>
        <v>1250</v>
      </c>
      <c r="G35" s="92">
        <f t="shared" si="20"/>
        <v>5.1938338804171688E-2</v>
      </c>
      <c r="H35" s="92">
        <f>VLOOKUP($A35,'[3]age headcounts'!$A:$G,HLOOKUP(Sheet2!H$1,'[3]age headcounts'!$1:$2,2,FALSE),FALSE)</f>
        <v>1058</v>
      </c>
      <c r="I35" s="92">
        <f t="shared" si="21"/>
        <v>5.0352179706834192E-2</v>
      </c>
      <c r="J35" s="92">
        <f>VLOOKUP($A35,'[3]age headcounts'!$A:$G,HLOOKUP(Sheet2!J$1,'[3]age headcounts'!$1:$2,2,FALSE),FALSE)</f>
        <v>947</v>
      </c>
      <c r="K35" s="92">
        <f t="shared" si="22"/>
        <v>4.8479574075970103E-2</v>
      </c>
      <c r="L35" s="92">
        <v>236950</v>
      </c>
      <c r="M35" s="92">
        <f t="shared" si="23"/>
        <v>0.28314106746393075</v>
      </c>
    </row>
    <row r="36" spans="1:13" x14ac:dyDescent="0.2">
      <c r="A36" s="92" t="s">
        <v>14</v>
      </c>
      <c r="B36" s="92">
        <f>VLOOKUP($A36,'[3]age headcounts'!$A:$G,HLOOKUP(Sheet2!B$1,'[3]age headcounts'!$1:$2,2,FALSE),FALSE)</f>
        <v>4</v>
      </c>
      <c r="C36" s="92">
        <f t="shared" si="18"/>
        <v>1.8781988073437574E-4</v>
      </c>
      <c r="D36" s="92">
        <f>VLOOKUP($A36,'[3]age headcounts'!$A:$G,HLOOKUP(Sheet2!D$1,'[3]age headcounts'!$1:$2,2,FALSE),FALSE)</f>
        <v>0</v>
      </c>
      <c r="E36" s="92">
        <f t="shared" si="19"/>
        <v>0</v>
      </c>
      <c r="F36" s="92">
        <f>VLOOKUP($A36,'[3]age headcounts'!$A:$G,HLOOKUP(Sheet2!F$1,'[3]age headcounts'!$1:$2,2,FALSE),FALSE)</f>
        <v>3</v>
      </c>
      <c r="G36" s="92">
        <f t="shared" si="20"/>
        <v>1.2465201313001205E-4</v>
      </c>
      <c r="H36" s="92">
        <f>VLOOKUP($A36,'[3]age headcounts'!$A:$G,HLOOKUP(Sheet2!H$1,'[3]age headcounts'!$1:$2,2,FALSE),FALSE)</f>
        <v>2</v>
      </c>
      <c r="I36" s="92">
        <f t="shared" si="21"/>
        <v>9.5183704549781079E-5</v>
      </c>
      <c r="J36" s="92">
        <f>VLOOKUP($A36,'[3]age headcounts'!$A:$G,HLOOKUP(Sheet2!J$1,'[3]age headcounts'!$1:$2,2,FALSE),FALSE)</f>
        <v>2</v>
      </c>
      <c r="K36" s="92">
        <f t="shared" si="22"/>
        <v>1.0238558410975735E-4</v>
      </c>
      <c r="L36" s="92">
        <v>0</v>
      </c>
      <c r="M36" s="92">
        <f t="shared" si="23"/>
        <v>0</v>
      </c>
    </row>
    <row r="37" spans="1:13" x14ac:dyDescent="0.2">
      <c r="A37" s="92" t="s">
        <v>34</v>
      </c>
      <c r="B37" s="92">
        <v>27.085804739513012</v>
      </c>
      <c r="D37" s="92">
        <v>26.740921673994464</v>
      </c>
      <c r="F37" s="92">
        <v>26.808411988739859</v>
      </c>
      <c r="H37" s="92">
        <v>26.616662002052429</v>
      </c>
      <c r="J37" s="92">
        <v>26.219426245781218</v>
      </c>
    </row>
    <row r="38" spans="1:13" x14ac:dyDescent="0.2">
      <c r="A38" s="92" t="s">
        <v>39</v>
      </c>
      <c r="B38" s="92">
        <v>22</v>
      </c>
      <c r="D38" s="92">
        <v>22</v>
      </c>
      <c r="F38" s="92">
        <v>22</v>
      </c>
      <c r="H38" s="92">
        <v>22</v>
      </c>
      <c r="J38" s="92">
        <v>22</v>
      </c>
    </row>
    <row r="40" spans="1:13" x14ac:dyDescent="0.2">
      <c r="B40" s="93" t="s">
        <v>43</v>
      </c>
      <c r="C40" s="93"/>
      <c r="D40" s="93"/>
      <c r="E40" s="93"/>
      <c r="F40" s="93"/>
      <c r="G40" s="93"/>
      <c r="H40" s="93"/>
      <c r="I40" s="93"/>
      <c r="J40" s="93"/>
      <c r="K40" s="93"/>
      <c r="L40" s="93" t="s">
        <v>42</v>
      </c>
      <c r="M40" s="93"/>
    </row>
    <row r="41" spans="1:13" x14ac:dyDescent="0.2">
      <c r="B41" s="93" t="s">
        <v>3</v>
      </c>
      <c r="C41" s="93"/>
      <c r="D41" s="93" t="s">
        <v>4</v>
      </c>
      <c r="E41" s="93"/>
      <c r="F41" s="93" t="s">
        <v>5</v>
      </c>
      <c r="G41" s="93"/>
      <c r="H41" s="93" t="s">
        <v>6</v>
      </c>
      <c r="I41" s="93"/>
      <c r="J41" s="93" t="s">
        <v>7</v>
      </c>
      <c r="K41" s="93"/>
      <c r="L41" s="93" t="s">
        <v>41</v>
      </c>
      <c r="M41" s="93"/>
    </row>
    <row r="42" spans="1:13" x14ac:dyDescent="0.2">
      <c r="A42" s="92" t="s">
        <v>35</v>
      </c>
      <c r="B42" s="92" t="s">
        <v>10</v>
      </c>
      <c r="C42" s="92" t="s">
        <v>11</v>
      </c>
      <c r="D42" s="92" t="s">
        <v>10</v>
      </c>
      <c r="E42" s="92" t="s">
        <v>11</v>
      </c>
      <c r="F42" s="92" t="s">
        <v>10</v>
      </c>
      <c r="G42" s="92" t="s">
        <v>11</v>
      </c>
      <c r="H42" s="92" t="s">
        <v>10</v>
      </c>
      <c r="I42" s="92" t="s">
        <v>11</v>
      </c>
      <c r="J42" s="92" t="s">
        <v>10</v>
      </c>
      <c r="K42" s="92" t="s">
        <v>11</v>
      </c>
      <c r="L42" s="92" t="s">
        <v>10</v>
      </c>
      <c r="M42" s="92" t="s">
        <v>11</v>
      </c>
    </row>
    <row r="43" spans="1:13" x14ac:dyDescent="0.2">
      <c r="A43" s="92" t="str">
        <f>A42</f>
        <v>DSPS</v>
      </c>
      <c r="B43" s="92" t="str">
        <f>B27</f>
        <v>AY07-08#</v>
      </c>
      <c r="C43" s="92" t="str">
        <f t="shared" ref="C43:M43" si="24">C27</f>
        <v>AY07-08%</v>
      </c>
      <c r="D43" s="92" t="str">
        <f t="shared" si="24"/>
        <v>AY08-09#</v>
      </c>
      <c r="E43" s="92" t="str">
        <f t="shared" si="24"/>
        <v>AY08-09%</v>
      </c>
      <c r="F43" s="92" t="str">
        <f t="shared" si="24"/>
        <v>AY09-10#</v>
      </c>
      <c r="G43" s="92" t="str">
        <f t="shared" si="24"/>
        <v>AY09-10%</v>
      </c>
      <c r="H43" s="92" t="str">
        <f t="shared" si="24"/>
        <v>AY10-11#</v>
      </c>
      <c r="I43" s="92" t="str">
        <f t="shared" si="24"/>
        <v>AY10-11%</v>
      </c>
      <c r="J43" s="92" t="str">
        <f t="shared" si="24"/>
        <v>AY11-12#</v>
      </c>
      <c r="K43" s="92" t="str">
        <f t="shared" si="24"/>
        <v>AY11-12%</v>
      </c>
      <c r="L43" s="92" t="str">
        <f t="shared" si="24"/>
        <v>2010 Census#</v>
      </c>
      <c r="M43" s="92" t="str">
        <f t="shared" si="24"/>
        <v>2010 Census%</v>
      </c>
    </row>
    <row r="44" spans="1:13" x14ac:dyDescent="0.2">
      <c r="A44" s="92" t="s">
        <v>44</v>
      </c>
      <c r="B44" s="92">
        <f>VLOOKUP($A42,[4]Sheet1!$A:$F,HLOOKUP(Sheet2!B$1,[4]Sheet1!$1:$2,2,FALSE),FALSE)</f>
        <v>649</v>
      </c>
      <c r="C44" s="92">
        <f>B44/B8</f>
        <v>3.0473775649152463E-2</v>
      </c>
      <c r="D44" s="92">
        <f>VLOOKUP($A42,[4]Sheet1!$A:$F,HLOOKUP(Sheet2!D$1,[4]Sheet1!$1:$2,2,FALSE),FALSE)</f>
        <v>963</v>
      </c>
      <c r="E44" s="92">
        <f>D44/D8</f>
        <v>3.9452660903765008E-2</v>
      </c>
      <c r="F44" s="92">
        <f>VLOOKUP($A42,[4]Sheet1!$A:$F,HLOOKUP(Sheet2!F$1,[4]Sheet1!$1:$2,2,FALSE),FALSE)</f>
        <v>1178</v>
      </c>
      <c r="G44" s="92">
        <f>F44/F8</f>
        <v>4.8946690489051398E-2</v>
      </c>
      <c r="H44" s="92">
        <f>VLOOKUP($A42,[4]Sheet1!$A:$F,HLOOKUP(Sheet2!H$1,[4]Sheet1!$1:$2,2,FALSE),FALSE)</f>
        <v>1155</v>
      </c>
      <c r="I44" s="92">
        <f>H44/H8</f>
        <v>5.4968589377498572E-2</v>
      </c>
      <c r="J44" s="92">
        <f>VLOOKUP($A42,[4]Sheet1!$A:$N,HLOOKUP(Sheet2!J$1,[4]Sheet1!$1:$2,2,FALSE),FALSE)</f>
        <v>1132</v>
      </c>
      <c r="K44" s="92">
        <f>J44/J8</f>
        <v>5.7950240606122659E-2</v>
      </c>
      <c r="L44" s="92">
        <v>105412</v>
      </c>
      <c r="M44" s="92">
        <f>L44/L45</f>
        <v>8.1095074304327316E-2</v>
      </c>
    </row>
    <row r="45" spans="1:13" x14ac:dyDescent="0.2">
      <c r="L45" s="92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98" t="s">
        <v>58</v>
      </c>
      <c r="AB1" s="94" t="s">
        <v>50</v>
      </c>
    </row>
    <row r="2" spans="1:31" x14ac:dyDescent="0.25">
      <c r="AA2" s="94" t="s">
        <v>51</v>
      </c>
      <c r="AB2" s="30" t="s">
        <v>12</v>
      </c>
      <c r="AC2" s="30" t="s">
        <v>13</v>
      </c>
      <c r="AD2" s="30" t="s">
        <v>14</v>
      </c>
      <c r="AE2" s="30" t="s">
        <v>49</v>
      </c>
    </row>
    <row r="3" spans="1:31" x14ac:dyDescent="0.25">
      <c r="AA3" s="95" t="s">
        <v>53</v>
      </c>
      <c r="AB3" s="96">
        <v>7658</v>
      </c>
      <c r="AC3" s="96">
        <v>5063</v>
      </c>
      <c r="AD3" s="96">
        <v>92</v>
      </c>
      <c r="AE3" s="96">
        <v>12813</v>
      </c>
    </row>
    <row r="4" spans="1:31" x14ac:dyDescent="0.25">
      <c r="AA4" s="95" t="s">
        <v>54</v>
      </c>
      <c r="AB4" s="96">
        <v>8341</v>
      </c>
      <c r="AC4" s="96">
        <v>5799</v>
      </c>
      <c r="AD4" s="96">
        <v>188</v>
      </c>
      <c r="AE4" s="96">
        <v>14328</v>
      </c>
    </row>
    <row r="5" spans="1:31" x14ac:dyDescent="0.25">
      <c r="AA5" s="95" t="s">
        <v>55</v>
      </c>
      <c r="AB5" s="96">
        <v>8198</v>
      </c>
      <c r="AC5" s="96">
        <v>5955</v>
      </c>
      <c r="AD5" s="96">
        <v>150</v>
      </c>
      <c r="AE5" s="96">
        <v>14303</v>
      </c>
    </row>
    <row r="6" spans="1:31" x14ac:dyDescent="0.25">
      <c r="AA6" s="95" t="s">
        <v>56</v>
      </c>
      <c r="AB6" s="96">
        <v>7167</v>
      </c>
      <c r="AC6" s="96">
        <v>5447</v>
      </c>
      <c r="AD6" s="96">
        <v>128</v>
      </c>
      <c r="AE6" s="96">
        <v>12742</v>
      </c>
    </row>
    <row r="7" spans="1:31" x14ac:dyDescent="0.25">
      <c r="AA7" s="95" t="s">
        <v>57</v>
      </c>
      <c r="AB7" s="96">
        <v>6625</v>
      </c>
      <c r="AC7" s="96">
        <v>5206</v>
      </c>
      <c r="AD7" s="96">
        <v>103</v>
      </c>
      <c r="AE7" s="96">
        <v>11934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9.5703125" bestFit="1" customWidth="1"/>
    <col min="31" max="31" width="16.285156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98" t="s">
        <v>58</v>
      </c>
      <c r="AB1" s="94" t="s">
        <v>50</v>
      </c>
    </row>
    <row r="2" spans="1:37" x14ac:dyDescent="0.25">
      <c r="AA2" s="94" t="s">
        <v>51</v>
      </c>
      <c r="AB2" s="30" t="s">
        <v>17</v>
      </c>
      <c r="AC2" s="30" t="s">
        <v>18</v>
      </c>
      <c r="AD2" s="30" t="s">
        <v>14</v>
      </c>
      <c r="AE2" s="30" t="s">
        <v>19</v>
      </c>
      <c r="AF2" s="30" t="s">
        <v>22</v>
      </c>
      <c r="AG2" s="30" t="s">
        <v>20</v>
      </c>
      <c r="AH2" s="30" t="s">
        <v>24</v>
      </c>
      <c r="AI2" s="30" t="s">
        <v>21</v>
      </c>
      <c r="AJ2" s="30" t="s">
        <v>23</v>
      </c>
      <c r="AK2" s="30" t="s">
        <v>49</v>
      </c>
    </row>
    <row r="3" spans="1:37" x14ac:dyDescent="0.25">
      <c r="AA3" s="95" t="s">
        <v>53</v>
      </c>
      <c r="AB3" s="96">
        <v>6073</v>
      </c>
      <c r="AC3" s="96">
        <v>3497</v>
      </c>
      <c r="AD3" s="96">
        <v>939</v>
      </c>
      <c r="AE3" s="96">
        <v>819</v>
      </c>
      <c r="AF3" s="96">
        <v>621</v>
      </c>
      <c r="AG3" s="96">
        <v>453</v>
      </c>
      <c r="AH3" s="96">
        <v>204</v>
      </c>
      <c r="AI3" s="96">
        <v>130</v>
      </c>
      <c r="AJ3" s="96">
        <v>88</v>
      </c>
      <c r="AK3" s="96">
        <v>12824</v>
      </c>
    </row>
    <row r="4" spans="1:37" x14ac:dyDescent="0.25">
      <c r="AA4" s="95" t="s">
        <v>54</v>
      </c>
      <c r="AB4" s="96">
        <v>6628</v>
      </c>
      <c r="AC4" s="96">
        <v>4002</v>
      </c>
      <c r="AD4" s="96">
        <v>1137</v>
      </c>
      <c r="AE4" s="96">
        <v>951</v>
      </c>
      <c r="AF4" s="96">
        <v>647</v>
      </c>
      <c r="AG4" s="96">
        <v>489</v>
      </c>
      <c r="AH4" s="96">
        <v>242</v>
      </c>
      <c r="AI4" s="96">
        <v>144</v>
      </c>
      <c r="AJ4" s="96">
        <v>100</v>
      </c>
      <c r="AK4" s="96">
        <v>14340</v>
      </c>
    </row>
    <row r="5" spans="1:37" x14ac:dyDescent="0.25">
      <c r="AA5" s="95" t="s">
        <v>55</v>
      </c>
      <c r="AB5" s="96">
        <v>6423</v>
      </c>
      <c r="AC5" s="96">
        <v>4289</v>
      </c>
      <c r="AD5" s="96">
        <v>1013</v>
      </c>
      <c r="AE5" s="96">
        <v>926</v>
      </c>
      <c r="AF5" s="96">
        <v>609</v>
      </c>
      <c r="AG5" s="96">
        <v>443</v>
      </c>
      <c r="AH5" s="96">
        <v>463</v>
      </c>
      <c r="AI5" s="96">
        <v>122</v>
      </c>
      <c r="AJ5" s="96">
        <v>87</v>
      </c>
      <c r="AK5" s="96">
        <v>14375</v>
      </c>
    </row>
    <row r="6" spans="1:37" x14ac:dyDescent="0.25">
      <c r="AA6" s="95" t="s">
        <v>56</v>
      </c>
      <c r="AB6" s="96">
        <v>5563</v>
      </c>
      <c r="AC6" s="96">
        <v>4143</v>
      </c>
      <c r="AD6" s="96">
        <v>670</v>
      </c>
      <c r="AE6" s="96">
        <v>805</v>
      </c>
      <c r="AF6" s="96">
        <v>507</v>
      </c>
      <c r="AG6" s="96">
        <v>414</v>
      </c>
      <c r="AH6" s="96">
        <v>574</v>
      </c>
      <c r="AI6" s="96">
        <v>89</v>
      </c>
      <c r="AJ6" s="96">
        <v>62</v>
      </c>
      <c r="AK6" s="96">
        <v>12827</v>
      </c>
    </row>
    <row r="7" spans="1:37" x14ac:dyDescent="0.25">
      <c r="AA7" s="95" t="s">
        <v>57</v>
      </c>
      <c r="AB7" s="96">
        <v>4964</v>
      </c>
      <c r="AC7" s="96">
        <v>4339</v>
      </c>
      <c r="AD7" s="96">
        <v>455</v>
      </c>
      <c r="AE7" s="96">
        <v>727</v>
      </c>
      <c r="AF7" s="96">
        <v>455</v>
      </c>
      <c r="AG7" s="96">
        <v>325</v>
      </c>
      <c r="AH7" s="96">
        <v>636</v>
      </c>
      <c r="AI7" s="96">
        <v>66</v>
      </c>
      <c r="AJ7" s="96">
        <v>47</v>
      </c>
      <c r="AK7" s="96">
        <v>12014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98" t="s">
        <v>58</v>
      </c>
      <c r="AB1" s="94" t="s">
        <v>50</v>
      </c>
    </row>
    <row r="2" spans="1:37" x14ac:dyDescent="0.25">
      <c r="AA2" s="94" t="s">
        <v>51</v>
      </c>
      <c r="AB2" s="30" t="s">
        <v>26</v>
      </c>
      <c r="AC2" s="30" t="s">
        <v>27</v>
      </c>
      <c r="AD2" s="30" t="s">
        <v>28</v>
      </c>
      <c r="AE2" s="30" t="s">
        <v>29</v>
      </c>
      <c r="AF2" s="30" t="s">
        <v>30</v>
      </c>
      <c r="AG2" s="30" t="s">
        <v>31</v>
      </c>
      <c r="AH2" s="30" t="s">
        <v>32</v>
      </c>
      <c r="AI2" s="30" t="s">
        <v>33</v>
      </c>
      <c r="AJ2" s="30" t="s">
        <v>14</v>
      </c>
      <c r="AK2" s="30" t="s">
        <v>49</v>
      </c>
    </row>
    <row r="3" spans="1:37" x14ac:dyDescent="0.25">
      <c r="AA3" s="95" t="s">
        <v>53</v>
      </c>
      <c r="AB3" s="96">
        <v>297</v>
      </c>
      <c r="AC3" s="96">
        <v>3297</v>
      </c>
      <c r="AD3" s="96">
        <v>4371</v>
      </c>
      <c r="AE3" s="96">
        <v>1505</v>
      </c>
      <c r="AF3" s="96">
        <v>865</v>
      </c>
      <c r="AG3" s="96">
        <v>730</v>
      </c>
      <c r="AH3" s="96">
        <v>1116</v>
      </c>
      <c r="AI3" s="96">
        <v>631</v>
      </c>
      <c r="AJ3" s="96">
        <v>1</v>
      </c>
      <c r="AK3" s="96">
        <v>12813</v>
      </c>
    </row>
    <row r="4" spans="1:37" x14ac:dyDescent="0.25">
      <c r="AA4" s="95" t="s">
        <v>54</v>
      </c>
      <c r="AB4" s="96">
        <v>427</v>
      </c>
      <c r="AC4" s="96">
        <v>3740</v>
      </c>
      <c r="AD4" s="96">
        <v>4888</v>
      </c>
      <c r="AE4" s="96">
        <v>1639</v>
      </c>
      <c r="AF4" s="96">
        <v>1007</v>
      </c>
      <c r="AG4" s="96">
        <v>764</v>
      </c>
      <c r="AH4" s="96">
        <v>1215</v>
      </c>
      <c r="AI4" s="96">
        <v>648</v>
      </c>
      <c r="AJ4" s="96">
        <v>0</v>
      </c>
      <c r="AK4" s="96">
        <v>14328</v>
      </c>
    </row>
    <row r="5" spans="1:37" x14ac:dyDescent="0.25">
      <c r="AA5" s="95" t="s">
        <v>55</v>
      </c>
      <c r="AB5" s="96">
        <v>337</v>
      </c>
      <c r="AC5" s="96">
        <v>3641</v>
      </c>
      <c r="AD5" s="96">
        <v>4940</v>
      </c>
      <c r="AE5" s="96">
        <v>1739</v>
      </c>
      <c r="AF5" s="96">
        <v>995</v>
      </c>
      <c r="AG5" s="96">
        <v>768</v>
      </c>
      <c r="AH5" s="96">
        <v>1212</v>
      </c>
      <c r="AI5" s="96">
        <v>670</v>
      </c>
      <c r="AJ5" s="96">
        <v>1</v>
      </c>
      <c r="AK5" s="96">
        <v>14303</v>
      </c>
    </row>
    <row r="6" spans="1:37" x14ac:dyDescent="0.25">
      <c r="AA6" s="95" t="s">
        <v>56</v>
      </c>
      <c r="AB6" s="96">
        <v>134</v>
      </c>
      <c r="AC6" s="96">
        <v>2877</v>
      </c>
      <c r="AD6" s="96">
        <v>4919</v>
      </c>
      <c r="AE6" s="96">
        <v>1645</v>
      </c>
      <c r="AF6" s="96">
        <v>902</v>
      </c>
      <c r="AG6" s="96">
        <v>639</v>
      </c>
      <c r="AH6" s="96">
        <v>1053</v>
      </c>
      <c r="AI6" s="96">
        <v>573</v>
      </c>
      <c r="AJ6" s="96">
        <v>0</v>
      </c>
      <c r="AK6" s="96">
        <v>12742</v>
      </c>
    </row>
    <row r="7" spans="1:37" x14ac:dyDescent="0.25">
      <c r="AA7" s="95" t="s">
        <v>57</v>
      </c>
      <c r="AB7" s="96">
        <v>105</v>
      </c>
      <c r="AC7" s="96">
        <v>2586</v>
      </c>
      <c r="AD7" s="96">
        <v>4966</v>
      </c>
      <c r="AE7" s="96">
        <v>1471</v>
      </c>
      <c r="AF7" s="96">
        <v>825</v>
      </c>
      <c r="AG7" s="96">
        <v>582</v>
      </c>
      <c r="AH7" s="96">
        <v>876</v>
      </c>
      <c r="AI7" s="96">
        <v>523</v>
      </c>
      <c r="AJ7" s="96">
        <v>0</v>
      </c>
      <c r="AK7" s="96">
        <v>11934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B936583-3F14-4F51-AFFB-EB3D37C327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0E394A-7711-4FB0-82B1-059A9F499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E0B773-DC6C-4DBA-ADA2-F52356CDAA4F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Access(MVC)</dc:title>
  <dc:creator>nmesaris</dc:creator>
  <cp:lastModifiedBy>Wesley Klein</cp:lastModifiedBy>
  <dcterms:created xsi:type="dcterms:W3CDTF">2012-06-04T19:06:44Z</dcterms:created>
  <dcterms:modified xsi:type="dcterms:W3CDTF">2014-07-23T16:45:53Z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