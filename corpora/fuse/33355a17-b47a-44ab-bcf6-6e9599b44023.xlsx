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Table_S4" sheetId="1" r:id="rId1"/>
  </sheets>
  <calcPr calcId="125725" concurrentCalc="0"/>
</workbook>
</file>

<file path=xl/calcChain.xml><?xml version="1.0" encoding="utf-8"?>
<calcChain xmlns="http://schemas.openxmlformats.org/spreadsheetml/2006/main">
  <c r="I103" i="1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</calcChain>
</file>

<file path=xl/sharedStrings.xml><?xml version="1.0" encoding="utf-8"?>
<sst xmlns="http://schemas.openxmlformats.org/spreadsheetml/2006/main" count="175" uniqueCount="127">
  <si>
    <r>
      <t>Table S4:</t>
    </r>
    <r>
      <rPr>
        <sz val="12"/>
        <color indexed="8"/>
        <rFont val="Times New Roman"/>
        <family val="1"/>
      </rPr>
      <t xml:space="preserve"> The 100 Most Extreme XP-EHH SNPs</t>
    </r>
  </si>
  <si>
    <t>rsID</t>
  </si>
  <si>
    <t>Chr</t>
  </si>
  <si>
    <t>Pos_36</t>
  </si>
  <si>
    <t>Pos_37</t>
  </si>
  <si>
    <t>IHH_Pygmy</t>
  </si>
  <si>
    <t>IHH_Bantu</t>
  </si>
  <si>
    <t>XPEHH_raw</t>
  </si>
  <si>
    <t>XPEHH</t>
  </si>
  <si>
    <t>XPEHH_Abs</t>
    <phoneticPr fontId="0" type="noConversion"/>
  </si>
  <si>
    <t>p-value_Pygmy-Bantu</t>
  </si>
  <si>
    <t>FDR</t>
  </si>
  <si>
    <t>Genes</t>
  </si>
  <si>
    <t>rs11864151</t>
  </si>
  <si>
    <t>rs1568527</t>
  </si>
  <si>
    <t>rs8189643</t>
  </si>
  <si>
    <t>rs1448050</t>
  </si>
  <si>
    <t>rs6845295</t>
  </si>
  <si>
    <t>FRYL;RNU5E-3P</t>
  </si>
  <si>
    <t>rs4260065</t>
  </si>
  <si>
    <t>rs1702800</t>
  </si>
  <si>
    <t>rs2354312</t>
  </si>
  <si>
    <t>rs7667288</t>
  </si>
  <si>
    <t>rs9313036</t>
  </si>
  <si>
    <t>rs2138866</t>
  </si>
  <si>
    <t>FRYL</t>
  </si>
  <si>
    <t>rs776581</t>
  </si>
  <si>
    <t>rs11863937</t>
  </si>
  <si>
    <t>rs2358619</t>
  </si>
  <si>
    <t>TKT;DCP1A</t>
  </si>
  <si>
    <t>rs17841540</t>
  </si>
  <si>
    <t>rs13082092</t>
  </si>
  <si>
    <t>rs1038395</t>
  </si>
  <si>
    <t>rs7633832</t>
  </si>
  <si>
    <t>KIAA2018;NAA50;ATP6V1A;GRAMD1C</t>
  </si>
  <si>
    <t>rs1661091</t>
  </si>
  <si>
    <t>rs1215655</t>
  </si>
  <si>
    <t>rs12637463</t>
  </si>
  <si>
    <t>rs17307574</t>
  </si>
  <si>
    <t>rs10212375</t>
  </si>
  <si>
    <t>rs9811353</t>
  </si>
  <si>
    <t>rs13070720</t>
  </si>
  <si>
    <t>rs12695295</t>
  </si>
  <si>
    <t>rs2172766</t>
  </si>
  <si>
    <t>rs6445576</t>
  </si>
  <si>
    <t>rs1661102</t>
  </si>
  <si>
    <t>rs9288983</t>
  </si>
  <si>
    <t>rs10461029</t>
  </si>
  <si>
    <t>rs3732834</t>
  </si>
  <si>
    <t>PRKCD;TKT;DCP1A</t>
  </si>
  <si>
    <t>rs16861296</t>
  </si>
  <si>
    <t>rs9865965</t>
  </si>
  <si>
    <t>rs2566972</t>
  </si>
  <si>
    <t>rs11865835</t>
  </si>
  <si>
    <t>ZNF843;ITGAD;COX6A2;ARMC5;TGFB1I1;SLC5A2;C16orf58;AHSP;VN1R64P</t>
  </si>
  <si>
    <t>rs13063111</t>
  </si>
  <si>
    <t>rs2712348</t>
  </si>
  <si>
    <t>rs2566970</t>
  </si>
  <si>
    <t>rs1215656</t>
  </si>
  <si>
    <t>rs7643417</t>
  </si>
  <si>
    <t>rs9879760</t>
  </si>
  <si>
    <t>rs1026364</t>
  </si>
  <si>
    <t>SIDT1-AS1;SIDT1;KIAA2018;NAA50;ATP6V1A</t>
  </si>
  <si>
    <t>rs2279319</t>
  </si>
  <si>
    <t>rs11925433</t>
  </si>
  <si>
    <t>rs16861260</t>
  </si>
  <si>
    <t>rs4877475</t>
  </si>
  <si>
    <t>rs2075754</t>
  </si>
  <si>
    <t>CEACAM6;CEACAM3;LYPD4;DMRTC2;RPS19;CD79A;ARHGEF1;RABAC1;ATP1A3</t>
  </si>
  <si>
    <t>rs2769958</t>
  </si>
  <si>
    <t>rs1366610</t>
  </si>
  <si>
    <t>rs2075750</t>
  </si>
  <si>
    <t>rs2075752</t>
  </si>
  <si>
    <t>rs1048892</t>
  </si>
  <si>
    <t>rs7254214</t>
  </si>
  <si>
    <t>CEACAM6;CEACAM3;LYPD4;DMRTC2;RPS19;CD79A;ARHGEF1;RABAC1</t>
  </si>
  <si>
    <t>rs873282</t>
  </si>
  <si>
    <t>rs273465</t>
  </si>
  <si>
    <t>rs7648021</t>
  </si>
  <si>
    <t>SIDT1;KIAA2018;NAA50;ATP6V1A</t>
  </si>
  <si>
    <t>rs10122209</t>
  </si>
  <si>
    <t>rs273464</t>
  </si>
  <si>
    <t>rs4536493</t>
  </si>
  <si>
    <t>rs9827682</t>
  </si>
  <si>
    <t>rs7600040</t>
  </si>
  <si>
    <t>rs251817</t>
  </si>
  <si>
    <t>rs9646737</t>
  </si>
  <si>
    <t>rs6792447</t>
  </si>
  <si>
    <t>rs2818865</t>
  </si>
  <si>
    <t>rs6433539</t>
  </si>
  <si>
    <t>rs1661110</t>
  </si>
  <si>
    <t>rs17082152</t>
  </si>
  <si>
    <t>rs461401</t>
  </si>
  <si>
    <t>rs16863236</t>
  </si>
  <si>
    <t>rs2008265</t>
  </si>
  <si>
    <t>rs9812118</t>
  </si>
  <si>
    <t>rs9830102</t>
  </si>
  <si>
    <t>rs9881563</t>
  </si>
  <si>
    <t>rs9860642</t>
  </si>
  <si>
    <t>rs9848993</t>
  </si>
  <si>
    <t>rs6565237</t>
  </si>
  <si>
    <t>rs1554531</t>
  </si>
  <si>
    <t>rs13061150</t>
  </si>
  <si>
    <t>rs2305546</t>
  </si>
  <si>
    <t>rs7255488</t>
  </si>
  <si>
    <t>rs2603793</t>
  </si>
  <si>
    <t>rs9851731</t>
  </si>
  <si>
    <t>rs4972473</t>
  </si>
  <si>
    <t>rs921741</t>
  </si>
  <si>
    <t>rs2712353</t>
  </si>
  <si>
    <t>rs2461759</t>
  </si>
  <si>
    <t>rs4877474</t>
  </si>
  <si>
    <t>rs1215658</t>
  </si>
  <si>
    <t>rs7206531</t>
  </si>
  <si>
    <t>ZNF843;ARMC5;TGFB1I1;SLC5A2;C16orf58;AHSP;VN1R64P</t>
  </si>
  <si>
    <t>rs16863205</t>
  </si>
  <si>
    <t>rs2037528</t>
  </si>
  <si>
    <t>rs6433541</t>
  </si>
  <si>
    <t>rs4972768</t>
  </si>
  <si>
    <t>rs3810153</t>
  </si>
  <si>
    <t>CEACAM3;LYPD4;DMRTC2;RPS19;CD79A;ARHGEF1;RABAC1;ATP1A3</t>
  </si>
  <si>
    <t>rs6509002</t>
  </si>
  <si>
    <t>CEACAM6;CEACAM3;LYPD4;DMRTC2;RPS19;CD79A;ARHGEF1</t>
  </si>
  <si>
    <t>rs16863235</t>
  </si>
  <si>
    <t>rs4889544</t>
  </si>
  <si>
    <t>ZNF843;ITGAM;ITGAX;ITGAD;COX6A2;ARMC5;TGFB1I1;SLC5A2;C16orf58</t>
  </si>
  <si>
    <t>rs10417985</t>
  </si>
</sst>
</file>

<file path=xl/styles.xml><?xml version="1.0" encoding="utf-8"?>
<styleSheet xmlns="http://schemas.openxmlformats.org/spreadsheetml/2006/main">
  <numFmts count="1">
    <numFmt numFmtId="164" formatCode="0.00000"/>
  </numFmts>
  <fonts count="3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tabSelected="1" workbookViewId="0">
      <selection sqref="A1:XFD1048576"/>
    </sheetView>
  </sheetViews>
  <sheetFormatPr defaultRowHeight="15"/>
  <cols>
    <col min="1" max="1" width="15.85546875" customWidth="1"/>
    <col min="2" max="2" width="3.85546875" bestFit="1" customWidth="1"/>
    <col min="3" max="5" width="10.140625" bestFit="1" customWidth="1"/>
    <col min="6" max="6" width="11.140625" bestFit="1" customWidth="1"/>
    <col min="7" max="7" width="10" bestFit="1" customWidth="1"/>
    <col min="8" max="8" width="10.85546875" bestFit="1" customWidth="1"/>
    <col min="9" max="9" width="10.85546875" customWidth="1"/>
    <col min="10" max="10" width="17.42578125" bestFit="1" customWidth="1"/>
    <col min="11" max="11" width="12.140625" bestFit="1" customWidth="1"/>
    <col min="257" max="257" width="15.85546875" customWidth="1"/>
    <col min="258" max="258" width="3.85546875" bestFit="1" customWidth="1"/>
    <col min="259" max="261" width="10.140625" bestFit="1" customWidth="1"/>
    <col min="262" max="262" width="11.140625" bestFit="1" customWidth="1"/>
    <col min="263" max="263" width="10" bestFit="1" customWidth="1"/>
    <col min="264" max="264" width="10.85546875" bestFit="1" customWidth="1"/>
    <col min="265" max="265" width="10.85546875" customWidth="1"/>
    <col min="266" max="266" width="17.42578125" bestFit="1" customWidth="1"/>
    <col min="267" max="267" width="12.140625" bestFit="1" customWidth="1"/>
    <col min="513" max="513" width="15.85546875" customWidth="1"/>
    <col min="514" max="514" width="3.85546875" bestFit="1" customWidth="1"/>
    <col min="515" max="517" width="10.140625" bestFit="1" customWidth="1"/>
    <col min="518" max="518" width="11.140625" bestFit="1" customWidth="1"/>
    <col min="519" max="519" width="10" bestFit="1" customWidth="1"/>
    <col min="520" max="520" width="10.85546875" bestFit="1" customWidth="1"/>
    <col min="521" max="521" width="10.85546875" customWidth="1"/>
    <col min="522" max="522" width="17.42578125" bestFit="1" customWidth="1"/>
    <col min="523" max="523" width="12.140625" bestFit="1" customWidth="1"/>
    <col min="769" max="769" width="15.85546875" customWidth="1"/>
    <col min="770" max="770" width="3.85546875" bestFit="1" customWidth="1"/>
    <col min="771" max="773" width="10.140625" bestFit="1" customWidth="1"/>
    <col min="774" max="774" width="11.140625" bestFit="1" customWidth="1"/>
    <col min="775" max="775" width="10" bestFit="1" customWidth="1"/>
    <col min="776" max="776" width="10.85546875" bestFit="1" customWidth="1"/>
    <col min="777" max="777" width="10.85546875" customWidth="1"/>
    <col min="778" max="778" width="17.42578125" bestFit="1" customWidth="1"/>
    <col min="779" max="779" width="12.140625" bestFit="1" customWidth="1"/>
    <col min="1025" max="1025" width="15.85546875" customWidth="1"/>
    <col min="1026" max="1026" width="3.85546875" bestFit="1" customWidth="1"/>
    <col min="1027" max="1029" width="10.140625" bestFit="1" customWidth="1"/>
    <col min="1030" max="1030" width="11.140625" bestFit="1" customWidth="1"/>
    <col min="1031" max="1031" width="10" bestFit="1" customWidth="1"/>
    <col min="1032" max="1032" width="10.85546875" bestFit="1" customWidth="1"/>
    <col min="1033" max="1033" width="10.85546875" customWidth="1"/>
    <col min="1034" max="1034" width="17.42578125" bestFit="1" customWidth="1"/>
    <col min="1035" max="1035" width="12.140625" bestFit="1" customWidth="1"/>
    <col min="1281" max="1281" width="15.85546875" customWidth="1"/>
    <col min="1282" max="1282" width="3.85546875" bestFit="1" customWidth="1"/>
    <col min="1283" max="1285" width="10.140625" bestFit="1" customWidth="1"/>
    <col min="1286" max="1286" width="11.140625" bestFit="1" customWidth="1"/>
    <col min="1287" max="1287" width="10" bestFit="1" customWidth="1"/>
    <col min="1288" max="1288" width="10.85546875" bestFit="1" customWidth="1"/>
    <col min="1289" max="1289" width="10.85546875" customWidth="1"/>
    <col min="1290" max="1290" width="17.42578125" bestFit="1" customWidth="1"/>
    <col min="1291" max="1291" width="12.140625" bestFit="1" customWidth="1"/>
    <col min="1537" max="1537" width="15.85546875" customWidth="1"/>
    <col min="1538" max="1538" width="3.85546875" bestFit="1" customWidth="1"/>
    <col min="1539" max="1541" width="10.140625" bestFit="1" customWidth="1"/>
    <col min="1542" max="1542" width="11.140625" bestFit="1" customWidth="1"/>
    <col min="1543" max="1543" width="10" bestFit="1" customWidth="1"/>
    <col min="1544" max="1544" width="10.85546875" bestFit="1" customWidth="1"/>
    <col min="1545" max="1545" width="10.85546875" customWidth="1"/>
    <col min="1546" max="1546" width="17.42578125" bestFit="1" customWidth="1"/>
    <col min="1547" max="1547" width="12.140625" bestFit="1" customWidth="1"/>
    <col min="1793" max="1793" width="15.85546875" customWidth="1"/>
    <col min="1794" max="1794" width="3.85546875" bestFit="1" customWidth="1"/>
    <col min="1795" max="1797" width="10.140625" bestFit="1" customWidth="1"/>
    <col min="1798" max="1798" width="11.140625" bestFit="1" customWidth="1"/>
    <col min="1799" max="1799" width="10" bestFit="1" customWidth="1"/>
    <col min="1800" max="1800" width="10.85546875" bestFit="1" customWidth="1"/>
    <col min="1801" max="1801" width="10.85546875" customWidth="1"/>
    <col min="1802" max="1802" width="17.42578125" bestFit="1" customWidth="1"/>
    <col min="1803" max="1803" width="12.140625" bestFit="1" customWidth="1"/>
    <col min="2049" max="2049" width="15.85546875" customWidth="1"/>
    <col min="2050" max="2050" width="3.85546875" bestFit="1" customWidth="1"/>
    <col min="2051" max="2053" width="10.140625" bestFit="1" customWidth="1"/>
    <col min="2054" max="2054" width="11.140625" bestFit="1" customWidth="1"/>
    <col min="2055" max="2055" width="10" bestFit="1" customWidth="1"/>
    <col min="2056" max="2056" width="10.85546875" bestFit="1" customWidth="1"/>
    <col min="2057" max="2057" width="10.85546875" customWidth="1"/>
    <col min="2058" max="2058" width="17.42578125" bestFit="1" customWidth="1"/>
    <col min="2059" max="2059" width="12.140625" bestFit="1" customWidth="1"/>
    <col min="2305" max="2305" width="15.85546875" customWidth="1"/>
    <col min="2306" max="2306" width="3.85546875" bestFit="1" customWidth="1"/>
    <col min="2307" max="2309" width="10.140625" bestFit="1" customWidth="1"/>
    <col min="2310" max="2310" width="11.140625" bestFit="1" customWidth="1"/>
    <col min="2311" max="2311" width="10" bestFit="1" customWidth="1"/>
    <col min="2312" max="2312" width="10.85546875" bestFit="1" customWidth="1"/>
    <col min="2313" max="2313" width="10.85546875" customWidth="1"/>
    <col min="2314" max="2314" width="17.42578125" bestFit="1" customWidth="1"/>
    <col min="2315" max="2315" width="12.140625" bestFit="1" customWidth="1"/>
    <col min="2561" max="2561" width="15.85546875" customWidth="1"/>
    <col min="2562" max="2562" width="3.85546875" bestFit="1" customWidth="1"/>
    <col min="2563" max="2565" width="10.140625" bestFit="1" customWidth="1"/>
    <col min="2566" max="2566" width="11.140625" bestFit="1" customWidth="1"/>
    <col min="2567" max="2567" width="10" bestFit="1" customWidth="1"/>
    <col min="2568" max="2568" width="10.85546875" bestFit="1" customWidth="1"/>
    <col min="2569" max="2569" width="10.85546875" customWidth="1"/>
    <col min="2570" max="2570" width="17.42578125" bestFit="1" customWidth="1"/>
    <col min="2571" max="2571" width="12.140625" bestFit="1" customWidth="1"/>
    <col min="2817" max="2817" width="15.85546875" customWidth="1"/>
    <col min="2818" max="2818" width="3.85546875" bestFit="1" customWidth="1"/>
    <col min="2819" max="2821" width="10.140625" bestFit="1" customWidth="1"/>
    <col min="2822" max="2822" width="11.140625" bestFit="1" customWidth="1"/>
    <col min="2823" max="2823" width="10" bestFit="1" customWidth="1"/>
    <col min="2824" max="2824" width="10.85546875" bestFit="1" customWidth="1"/>
    <col min="2825" max="2825" width="10.85546875" customWidth="1"/>
    <col min="2826" max="2826" width="17.42578125" bestFit="1" customWidth="1"/>
    <col min="2827" max="2827" width="12.140625" bestFit="1" customWidth="1"/>
    <col min="3073" max="3073" width="15.85546875" customWidth="1"/>
    <col min="3074" max="3074" width="3.85546875" bestFit="1" customWidth="1"/>
    <col min="3075" max="3077" width="10.140625" bestFit="1" customWidth="1"/>
    <col min="3078" max="3078" width="11.140625" bestFit="1" customWidth="1"/>
    <col min="3079" max="3079" width="10" bestFit="1" customWidth="1"/>
    <col min="3080" max="3080" width="10.85546875" bestFit="1" customWidth="1"/>
    <col min="3081" max="3081" width="10.85546875" customWidth="1"/>
    <col min="3082" max="3082" width="17.42578125" bestFit="1" customWidth="1"/>
    <col min="3083" max="3083" width="12.140625" bestFit="1" customWidth="1"/>
    <col min="3329" max="3329" width="15.85546875" customWidth="1"/>
    <col min="3330" max="3330" width="3.85546875" bestFit="1" customWidth="1"/>
    <col min="3331" max="3333" width="10.140625" bestFit="1" customWidth="1"/>
    <col min="3334" max="3334" width="11.140625" bestFit="1" customWidth="1"/>
    <col min="3335" max="3335" width="10" bestFit="1" customWidth="1"/>
    <col min="3336" max="3336" width="10.85546875" bestFit="1" customWidth="1"/>
    <col min="3337" max="3337" width="10.85546875" customWidth="1"/>
    <col min="3338" max="3338" width="17.42578125" bestFit="1" customWidth="1"/>
    <col min="3339" max="3339" width="12.140625" bestFit="1" customWidth="1"/>
    <col min="3585" max="3585" width="15.85546875" customWidth="1"/>
    <col min="3586" max="3586" width="3.85546875" bestFit="1" customWidth="1"/>
    <col min="3587" max="3589" width="10.140625" bestFit="1" customWidth="1"/>
    <col min="3590" max="3590" width="11.140625" bestFit="1" customWidth="1"/>
    <col min="3591" max="3591" width="10" bestFit="1" customWidth="1"/>
    <col min="3592" max="3592" width="10.85546875" bestFit="1" customWidth="1"/>
    <col min="3593" max="3593" width="10.85546875" customWidth="1"/>
    <col min="3594" max="3594" width="17.42578125" bestFit="1" customWidth="1"/>
    <col min="3595" max="3595" width="12.140625" bestFit="1" customWidth="1"/>
    <col min="3841" max="3841" width="15.85546875" customWidth="1"/>
    <col min="3842" max="3842" width="3.85546875" bestFit="1" customWidth="1"/>
    <col min="3843" max="3845" width="10.140625" bestFit="1" customWidth="1"/>
    <col min="3846" max="3846" width="11.140625" bestFit="1" customWidth="1"/>
    <col min="3847" max="3847" width="10" bestFit="1" customWidth="1"/>
    <col min="3848" max="3848" width="10.85546875" bestFit="1" customWidth="1"/>
    <col min="3849" max="3849" width="10.85546875" customWidth="1"/>
    <col min="3850" max="3850" width="17.42578125" bestFit="1" customWidth="1"/>
    <col min="3851" max="3851" width="12.140625" bestFit="1" customWidth="1"/>
    <col min="4097" max="4097" width="15.85546875" customWidth="1"/>
    <col min="4098" max="4098" width="3.85546875" bestFit="1" customWidth="1"/>
    <col min="4099" max="4101" width="10.140625" bestFit="1" customWidth="1"/>
    <col min="4102" max="4102" width="11.140625" bestFit="1" customWidth="1"/>
    <col min="4103" max="4103" width="10" bestFit="1" customWidth="1"/>
    <col min="4104" max="4104" width="10.85546875" bestFit="1" customWidth="1"/>
    <col min="4105" max="4105" width="10.85546875" customWidth="1"/>
    <col min="4106" max="4106" width="17.42578125" bestFit="1" customWidth="1"/>
    <col min="4107" max="4107" width="12.140625" bestFit="1" customWidth="1"/>
    <col min="4353" max="4353" width="15.85546875" customWidth="1"/>
    <col min="4354" max="4354" width="3.85546875" bestFit="1" customWidth="1"/>
    <col min="4355" max="4357" width="10.140625" bestFit="1" customWidth="1"/>
    <col min="4358" max="4358" width="11.140625" bestFit="1" customWidth="1"/>
    <col min="4359" max="4359" width="10" bestFit="1" customWidth="1"/>
    <col min="4360" max="4360" width="10.85546875" bestFit="1" customWidth="1"/>
    <col min="4361" max="4361" width="10.85546875" customWidth="1"/>
    <col min="4362" max="4362" width="17.42578125" bestFit="1" customWidth="1"/>
    <col min="4363" max="4363" width="12.140625" bestFit="1" customWidth="1"/>
    <col min="4609" max="4609" width="15.85546875" customWidth="1"/>
    <col min="4610" max="4610" width="3.85546875" bestFit="1" customWidth="1"/>
    <col min="4611" max="4613" width="10.140625" bestFit="1" customWidth="1"/>
    <col min="4614" max="4614" width="11.140625" bestFit="1" customWidth="1"/>
    <col min="4615" max="4615" width="10" bestFit="1" customWidth="1"/>
    <col min="4616" max="4616" width="10.85546875" bestFit="1" customWidth="1"/>
    <col min="4617" max="4617" width="10.85546875" customWidth="1"/>
    <col min="4618" max="4618" width="17.42578125" bestFit="1" customWidth="1"/>
    <col min="4619" max="4619" width="12.140625" bestFit="1" customWidth="1"/>
    <col min="4865" max="4865" width="15.85546875" customWidth="1"/>
    <col min="4866" max="4866" width="3.85546875" bestFit="1" customWidth="1"/>
    <col min="4867" max="4869" width="10.140625" bestFit="1" customWidth="1"/>
    <col min="4870" max="4870" width="11.140625" bestFit="1" customWidth="1"/>
    <col min="4871" max="4871" width="10" bestFit="1" customWidth="1"/>
    <col min="4872" max="4872" width="10.85546875" bestFit="1" customWidth="1"/>
    <col min="4873" max="4873" width="10.85546875" customWidth="1"/>
    <col min="4874" max="4874" width="17.42578125" bestFit="1" customWidth="1"/>
    <col min="4875" max="4875" width="12.140625" bestFit="1" customWidth="1"/>
    <col min="5121" max="5121" width="15.85546875" customWidth="1"/>
    <col min="5122" max="5122" width="3.85546875" bestFit="1" customWidth="1"/>
    <col min="5123" max="5125" width="10.140625" bestFit="1" customWidth="1"/>
    <col min="5126" max="5126" width="11.140625" bestFit="1" customWidth="1"/>
    <col min="5127" max="5127" width="10" bestFit="1" customWidth="1"/>
    <col min="5128" max="5128" width="10.85546875" bestFit="1" customWidth="1"/>
    <col min="5129" max="5129" width="10.85546875" customWidth="1"/>
    <col min="5130" max="5130" width="17.42578125" bestFit="1" customWidth="1"/>
    <col min="5131" max="5131" width="12.140625" bestFit="1" customWidth="1"/>
    <col min="5377" max="5377" width="15.85546875" customWidth="1"/>
    <col min="5378" max="5378" width="3.85546875" bestFit="1" customWidth="1"/>
    <col min="5379" max="5381" width="10.140625" bestFit="1" customWidth="1"/>
    <col min="5382" max="5382" width="11.140625" bestFit="1" customWidth="1"/>
    <col min="5383" max="5383" width="10" bestFit="1" customWidth="1"/>
    <col min="5384" max="5384" width="10.85546875" bestFit="1" customWidth="1"/>
    <col min="5385" max="5385" width="10.85546875" customWidth="1"/>
    <col min="5386" max="5386" width="17.42578125" bestFit="1" customWidth="1"/>
    <col min="5387" max="5387" width="12.140625" bestFit="1" customWidth="1"/>
    <col min="5633" max="5633" width="15.85546875" customWidth="1"/>
    <col min="5634" max="5634" width="3.85546875" bestFit="1" customWidth="1"/>
    <col min="5635" max="5637" width="10.140625" bestFit="1" customWidth="1"/>
    <col min="5638" max="5638" width="11.140625" bestFit="1" customWidth="1"/>
    <col min="5639" max="5639" width="10" bestFit="1" customWidth="1"/>
    <col min="5640" max="5640" width="10.85546875" bestFit="1" customWidth="1"/>
    <col min="5641" max="5641" width="10.85546875" customWidth="1"/>
    <col min="5642" max="5642" width="17.42578125" bestFit="1" customWidth="1"/>
    <col min="5643" max="5643" width="12.140625" bestFit="1" customWidth="1"/>
    <col min="5889" max="5889" width="15.85546875" customWidth="1"/>
    <col min="5890" max="5890" width="3.85546875" bestFit="1" customWidth="1"/>
    <col min="5891" max="5893" width="10.140625" bestFit="1" customWidth="1"/>
    <col min="5894" max="5894" width="11.140625" bestFit="1" customWidth="1"/>
    <col min="5895" max="5895" width="10" bestFit="1" customWidth="1"/>
    <col min="5896" max="5896" width="10.85546875" bestFit="1" customWidth="1"/>
    <col min="5897" max="5897" width="10.85546875" customWidth="1"/>
    <col min="5898" max="5898" width="17.42578125" bestFit="1" customWidth="1"/>
    <col min="5899" max="5899" width="12.140625" bestFit="1" customWidth="1"/>
    <col min="6145" max="6145" width="15.85546875" customWidth="1"/>
    <col min="6146" max="6146" width="3.85546875" bestFit="1" customWidth="1"/>
    <col min="6147" max="6149" width="10.140625" bestFit="1" customWidth="1"/>
    <col min="6150" max="6150" width="11.140625" bestFit="1" customWidth="1"/>
    <col min="6151" max="6151" width="10" bestFit="1" customWidth="1"/>
    <col min="6152" max="6152" width="10.85546875" bestFit="1" customWidth="1"/>
    <col min="6153" max="6153" width="10.85546875" customWidth="1"/>
    <col min="6154" max="6154" width="17.42578125" bestFit="1" customWidth="1"/>
    <col min="6155" max="6155" width="12.140625" bestFit="1" customWidth="1"/>
    <col min="6401" max="6401" width="15.85546875" customWidth="1"/>
    <col min="6402" max="6402" width="3.85546875" bestFit="1" customWidth="1"/>
    <col min="6403" max="6405" width="10.140625" bestFit="1" customWidth="1"/>
    <col min="6406" max="6406" width="11.140625" bestFit="1" customWidth="1"/>
    <col min="6407" max="6407" width="10" bestFit="1" customWidth="1"/>
    <col min="6408" max="6408" width="10.85546875" bestFit="1" customWidth="1"/>
    <col min="6409" max="6409" width="10.85546875" customWidth="1"/>
    <col min="6410" max="6410" width="17.42578125" bestFit="1" customWidth="1"/>
    <col min="6411" max="6411" width="12.140625" bestFit="1" customWidth="1"/>
    <col min="6657" max="6657" width="15.85546875" customWidth="1"/>
    <col min="6658" max="6658" width="3.85546875" bestFit="1" customWidth="1"/>
    <col min="6659" max="6661" width="10.140625" bestFit="1" customWidth="1"/>
    <col min="6662" max="6662" width="11.140625" bestFit="1" customWidth="1"/>
    <col min="6663" max="6663" width="10" bestFit="1" customWidth="1"/>
    <col min="6664" max="6664" width="10.85546875" bestFit="1" customWidth="1"/>
    <col min="6665" max="6665" width="10.85546875" customWidth="1"/>
    <col min="6666" max="6666" width="17.42578125" bestFit="1" customWidth="1"/>
    <col min="6667" max="6667" width="12.140625" bestFit="1" customWidth="1"/>
    <col min="6913" max="6913" width="15.85546875" customWidth="1"/>
    <col min="6914" max="6914" width="3.85546875" bestFit="1" customWidth="1"/>
    <col min="6915" max="6917" width="10.140625" bestFit="1" customWidth="1"/>
    <col min="6918" max="6918" width="11.140625" bestFit="1" customWidth="1"/>
    <col min="6919" max="6919" width="10" bestFit="1" customWidth="1"/>
    <col min="6920" max="6920" width="10.85546875" bestFit="1" customWidth="1"/>
    <col min="6921" max="6921" width="10.85546875" customWidth="1"/>
    <col min="6922" max="6922" width="17.42578125" bestFit="1" customWidth="1"/>
    <col min="6923" max="6923" width="12.140625" bestFit="1" customWidth="1"/>
    <col min="7169" max="7169" width="15.85546875" customWidth="1"/>
    <col min="7170" max="7170" width="3.85546875" bestFit="1" customWidth="1"/>
    <col min="7171" max="7173" width="10.140625" bestFit="1" customWidth="1"/>
    <col min="7174" max="7174" width="11.140625" bestFit="1" customWidth="1"/>
    <col min="7175" max="7175" width="10" bestFit="1" customWidth="1"/>
    <col min="7176" max="7176" width="10.85546875" bestFit="1" customWidth="1"/>
    <col min="7177" max="7177" width="10.85546875" customWidth="1"/>
    <col min="7178" max="7178" width="17.42578125" bestFit="1" customWidth="1"/>
    <col min="7179" max="7179" width="12.140625" bestFit="1" customWidth="1"/>
    <col min="7425" max="7425" width="15.85546875" customWidth="1"/>
    <col min="7426" max="7426" width="3.85546875" bestFit="1" customWidth="1"/>
    <col min="7427" max="7429" width="10.140625" bestFit="1" customWidth="1"/>
    <col min="7430" max="7430" width="11.140625" bestFit="1" customWidth="1"/>
    <col min="7431" max="7431" width="10" bestFit="1" customWidth="1"/>
    <col min="7432" max="7432" width="10.85546875" bestFit="1" customWidth="1"/>
    <col min="7433" max="7433" width="10.85546875" customWidth="1"/>
    <col min="7434" max="7434" width="17.42578125" bestFit="1" customWidth="1"/>
    <col min="7435" max="7435" width="12.140625" bestFit="1" customWidth="1"/>
    <col min="7681" max="7681" width="15.85546875" customWidth="1"/>
    <col min="7682" max="7682" width="3.85546875" bestFit="1" customWidth="1"/>
    <col min="7683" max="7685" width="10.140625" bestFit="1" customWidth="1"/>
    <col min="7686" max="7686" width="11.140625" bestFit="1" customWidth="1"/>
    <col min="7687" max="7687" width="10" bestFit="1" customWidth="1"/>
    <col min="7688" max="7688" width="10.85546875" bestFit="1" customWidth="1"/>
    <col min="7689" max="7689" width="10.85546875" customWidth="1"/>
    <col min="7690" max="7690" width="17.42578125" bestFit="1" customWidth="1"/>
    <col min="7691" max="7691" width="12.140625" bestFit="1" customWidth="1"/>
    <col min="7937" max="7937" width="15.85546875" customWidth="1"/>
    <col min="7938" max="7938" width="3.85546875" bestFit="1" customWidth="1"/>
    <col min="7939" max="7941" width="10.140625" bestFit="1" customWidth="1"/>
    <col min="7942" max="7942" width="11.140625" bestFit="1" customWidth="1"/>
    <col min="7943" max="7943" width="10" bestFit="1" customWidth="1"/>
    <col min="7944" max="7944" width="10.85546875" bestFit="1" customWidth="1"/>
    <col min="7945" max="7945" width="10.85546875" customWidth="1"/>
    <col min="7946" max="7946" width="17.42578125" bestFit="1" customWidth="1"/>
    <col min="7947" max="7947" width="12.140625" bestFit="1" customWidth="1"/>
    <col min="8193" max="8193" width="15.85546875" customWidth="1"/>
    <col min="8194" max="8194" width="3.85546875" bestFit="1" customWidth="1"/>
    <col min="8195" max="8197" width="10.140625" bestFit="1" customWidth="1"/>
    <col min="8198" max="8198" width="11.140625" bestFit="1" customWidth="1"/>
    <col min="8199" max="8199" width="10" bestFit="1" customWidth="1"/>
    <col min="8200" max="8200" width="10.85546875" bestFit="1" customWidth="1"/>
    <col min="8201" max="8201" width="10.85546875" customWidth="1"/>
    <col min="8202" max="8202" width="17.42578125" bestFit="1" customWidth="1"/>
    <col min="8203" max="8203" width="12.140625" bestFit="1" customWidth="1"/>
    <col min="8449" max="8449" width="15.85546875" customWidth="1"/>
    <col min="8450" max="8450" width="3.85546875" bestFit="1" customWidth="1"/>
    <col min="8451" max="8453" width="10.140625" bestFit="1" customWidth="1"/>
    <col min="8454" max="8454" width="11.140625" bestFit="1" customWidth="1"/>
    <col min="8455" max="8455" width="10" bestFit="1" customWidth="1"/>
    <col min="8456" max="8456" width="10.85546875" bestFit="1" customWidth="1"/>
    <col min="8457" max="8457" width="10.85546875" customWidth="1"/>
    <col min="8458" max="8458" width="17.42578125" bestFit="1" customWidth="1"/>
    <col min="8459" max="8459" width="12.140625" bestFit="1" customWidth="1"/>
    <col min="8705" max="8705" width="15.85546875" customWidth="1"/>
    <col min="8706" max="8706" width="3.85546875" bestFit="1" customWidth="1"/>
    <col min="8707" max="8709" width="10.140625" bestFit="1" customWidth="1"/>
    <col min="8710" max="8710" width="11.140625" bestFit="1" customWidth="1"/>
    <col min="8711" max="8711" width="10" bestFit="1" customWidth="1"/>
    <col min="8712" max="8712" width="10.85546875" bestFit="1" customWidth="1"/>
    <col min="8713" max="8713" width="10.85546875" customWidth="1"/>
    <col min="8714" max="8714" width="17.42578125" bestFit="1" customWidth="1"/>
    <col min="8715" max="8715" width="12.140625" bestFit="1" customWidth="1"/>
    <col min="8961" max="8961" width="15.85546875" customWidth="1"/>
    <col min="8962" max="8962" width="3.85546875" bestFit="1" customWidth="1"/>
    <col min="8963" max="8965" width="10.140625" bestFit="1" customWidth="1"/>
    <col min="8966" max="8966" width="11.140625" bestFit="1" customWidth="1"/>
    <col min="8967" max="8967" width="10" bestFit="1" customWidth="1"/>
    <col min="8968" max="8968" width="10.85546875" bestFit="1" customWidth="1"/>
    <col min="8969" max="8969" width="10.85546875" customWidth="1"/>
    <col min="8970" max="8970" width="17.42578125" bestFit="1" customWidth="1"/>
    <col min="8971" max="8971" width="12.140625" bestFit="1" customWidth="1"/>
    <col min="9217" max="9217" width="15.85546875" customWidth="1"/>
    <col min="9218" max="9218" width="3.85546875" bestFit="1" customWidth="1"/>
    <col min="9219" max="9221" width="10.140625" bestFit="1" customWidth="1"/>
    <col min="9222" max="9222" width="11.140625" bestFit="1" customWidth="1"/>
    <col min="9223" max="9223" width="10" bestFit="1" customWidth="1"/>
    <col min="9224" max="9224" width="10.85546875" bestFit="1" customWidth="1"/>
    <col min="9225" max="9225" width="10.85546875" customWidth="1"/>
    <col min="9226" max="9226" width="17.42578125" bestFit="1" customWidth="1"/>
    <col min="9227" max="9227" width="12.140625" bestFit="1" customWidth="1"/>
    <col min="9473" max="9473" width="15.85546875" customWidth="1"/>
    <col min="9474" max="9474" width="3.85546875" bestFit="1" customWidth="1"/>
    <col min="9475" max="9477" width="10.140625" bestFit="1" customWidth="1"/>
    <col min="9478" max="9478" width="11.140625" bestFit="1" customWidth="1"/>
    <col min="9479" max="9479" width="10" bestFit="1" customWidth="1"/>
    <col min="9480" max="9480" width="10.85546875" bestFit="1" customWidth="1"/>
    <col min="9481" max="9481" width="10.85546875" customWidth="1"/>
    <col min="9482" max="9482" width="17.42578125" bestFit="1" customWidth="1"/>
    <col min="9483" max="9483" width="12.140625" bestFit="1" customWidth="1"/>
    <col min="9729" max="9729" width="15.85546875" customWidth="1"/>
    <col min="9730" max="9730" width="3.85546875" bestFit="1" customWidth="1"/>
    <col min="9731" max="9733" width="10.140625" bestFit="1" customWidth="1"/>
    <col min="9734" max="9734" width="11.140625" bestFit="1" customWidth="1"/>
    <col min="9735" max="9735" width="10" bestFit="1" customWidth="1"/>
    <col min="9736" max="9736" width="10.85546875" bestFit="1" customWidth="1"/>
    <col min="9737" max="9737" width="10.85546875" customWidth="1"/>
    <col min="9738" max="9738" width="17.42578125" bestFit="1" customWidth="1"/>
    <col min="9739" max="9739" width="12.140625" bestFit="1" customWidth="1"/>
    <col min="9985" max="9985" width="15.85546875" customWidth="1"/>
    <col min="9986" max="9986" width="3.85546875" bestFit="1" customWidth="1"/>
    <col min="9987" max="9989" width="10.140625" bestFit="1" customWidth="1"/>
    <col min="9990" max="9990" width="11.140625" bestFit="1" customWidth="1"/>
    <col min="9991" max="9991" width="10" bestFit="1" customWidth="1"/>
    <col min="9992" max="9992" width="10.85546875" bestFit="1" customWidth="1"/>
    <col min="9993" max="9993" width="10.85546875" customWidth="1"/>
    <col min="9994" max="9994" width="17.42578125" bestFit="1" customWidth="1"/>
    <col min="9995" max="9995" width="12.140625" bestFit="1" customWidth="1"/>
    <col min="10241" max="10241" width="15.85546875" customWidth="1"/>
    <col min="10242" max="10242" width="3.85546875" bestFit="1" customWidth="1"/>
    <col min="10243" max="10245" width="10.140625" bestFit="1" customWidth="1"/>
    <col min="10246" max="10246" width="11.140625" bestFit="1" customWidth="1"/>
    <col min="10247" max="10247" width="10" bestFit="1" customWidth="1"/>
    <col min="10248" max="10248" width="10.85546875" bestFit="1" customWidth="1"/>
    <col min="10249" max="10249" width="10.85546875" customWidth="1"/>
    <col min="10250" max="10250" width="17.42578125" bestFit="1" customWidth="1"/>
    <col min="10251" max="10251" width="12.140625" bestFit="1" customWidth="1"/>
    <col min="10497" max="10497" width="15.85546875" customWidth="1"/>
    <col min="10498" max="10498" width="3.85546875" bestFit="1" customWidth="1"/>
    <col min="10499" max="10501" width="10.140625" bestFit="1" customWidth="1"/>
    <col min="10502" max="10502" width="11.140625" bestFit="1" customWidth="1"/>
    <col min="10503" max="10503" width="10" bestFit="1" customWidth="1"/>
    <col min="10504" max="10504" width="10.85546875" bestFit="1" customWidth="1"/>
    <col min="10505" max="10505" width="10.85546875" customWidth="1"/>
    <col min="10506" max="10506" width="17.42578125" bestFit="1" customWidth="1"/>
    <col min="10507" max="10507" width="12.140625" bestFit="1" customWidth="1"/>
    <col min="10753" max="10753" width="15.85546875" customWidth="1"/>
    <col min="10754" max="10754" width="3.85546875" bestFit="1" customWidth="1"/>
    <col min="10755" max="10757" width="10.140625" bestFit="1" customWidth="1"/>
    <col min="10758" max="10758" width="11.140625" bestFit="1" customWidth="1"/>
    <col min="10759" max="10759" width="10" bestFit="1" customWidth="1"/>
    <col min="10760" max="10760" width="10.85546875" bestFit="1" customWidth="1"/>
    <col min="10761" max="10761" width="10.85546875" customWidth="1"/>
    <col min="10762" max="10762" width="17.42578125" bestFit="1" customWidth="1"/>
    <col min="10763" max="10763" width="12.140625" bestFit="1" customWidth="1"/>
    <col min="11009" max="11009" width="15.85546875" customWidth="1"/>
    <col min="11010" max="11010" width="3.85546875" bestFit="1" customWidth="1"/>
    <col min="11011" max="11013" width="10.140625" bestFit="1" customWidth="1"/>
    <col min="11014" max="11014" width="11.140625" bestFit="1" customWidth="1"/>
    <col min="11015" max="11015" width="10" bestFit="1" customWidth="1"/>
    <col min="11016" max="11016" width="10.85546875" bestFit="1" customWidth="1"/>
    <col min="11017" max="11017" width="10.85546875" customWidth="1"/>
    <col min="11018" max="11018" width="17.42578125" bestFit="1" customWidth="1"/>
    <col min="11019" max="11019" width="12.140625" bestFit="1" customWidth="1"/>
    <col min="11265" max="11265" width="15.85546875" customWidth="1"/>
    <col min="11266" max="11266" width="3.85546875" bestFit="1" customWidth="1"/>
    <col min="11267" max="11269" width="10.140625" bestFit="1" customWidth="1"/>
    <col min="11270" max="11270" width="11.140625" bestFit="1" customWidth="1"/>
    <col min="11271" max="11271" width="10" bestFit="1" customWidth="1"/>
    <col min="11272" max="11272" width="10.85546875" bestFit="1" customWidth="1"/>
    <col min="11273" max="11273" width="10.85546875" customWidth="1"/>
    <col min="11274" max="11274" width="17.42578125" bestFit="1" customWidth="1"/>
    <col min="11275" max="11275" width="12.140625" bestFit="1" customWidth="1"/>
    <col min="11521" max="11521" width="15.85546875" customWidth="1"/>
    <col min="11522" max="11522" width="3.85546875" bestFit="1" customWidth="1"/>
    <col min="11523" max="11525" width="10.140625" bestFit="1" customWidth="1"/>
    <col min="11526" max="11526" width="11.140625" bestFit="1" customWidth="1"/>
    <col min="11527" max="11527" width="10" bestFit="1" customWidth="1"/>
    <col min="11528" max="11528" width="10.85546875" bestFit="1" customWidth="1"/>
    <col min="11529" max="11529" width="10.85546875" customWidth="1"/>
    <col min="11530" max="11530" width="17.42578125" bestFit="1" customWidth="1"/>
    <col min="11531" max="11531" width="12.140625" bestFit="1" customWidth="1"/>
    <col min="11777" max="11777" width="15.85546875" customWidth="1"/>
    <col min="11778" max="11778" width="3.85546875" bestFit="1" customWidth="1"/>
    <col min="11779" max="11781" width="10.140625" bestFit="1" customWidth="1"/>
    <col min="11782" max="11782" width="11.140625" bestFit="1" customWidth="1"/>
    <col min="11783" max="11783" width="10" bestFit="1" customWidth="1"/>
    <col min="11784" max="11784" width="10.85546875" bestFit="1" customWidth="1"/>
    <col min="11785" max="11785" width="10.85546875" customWidth="1"/>
    <col min="11786" max="11786" width="17.42578125" bestFit="1" customWidth="1"/>
    <col min="11787" max="11787" width="12.140625" bestFit="1" customWidth="1"/>
    <col min="12033" max="12033" width="15.85546875" customWidth="1"/>
    <col min="12034" max="12034" width="3.85546875" bestFit="1" customWidth="1"/>
    <col min="12035" max="12037" width="10.140625" bestFit="1" customWidth="1"/>
    <col min="12038" max="12038" width="11.140625" bestFit="1" customWidth="1"/>
    <col min="12039" max="12039" width="10" bestFit="1" customWidth="1"/>
    <col min="12040" max="12040" width="10.85546875" bestFit="1" customWidth="1"/>
    <col min="12041" max="12041" width="10.85546875" customWidth="1"/>
    <col min="12042" max="12042" width="17.42578125" bestFit="1" customWidth="1"/>
    <col min="12043" max="12043" width="12.140625" bestFit="1" customWidth="1"/>
    <col min="12289" max="12289" width="15.85546875" customWidth="1"/>
    <col min="12290" max="12290" width="3.85546875" bestFit="1" customWidth="1"/>
    <col min="12291" max="12293" width="10.140625" bestFit="1" customWidth="1"/>
    <col min="12294" max="12294" width="11.140625" bestFit="1" customWidth="1"/>
    <col min="12295" max="12295" width="10" bestFit="1" customWidth="1"/>
    <col min="12296" max="12296" width="10.85546875" bestFit="1" customWidth="1"/>
    <col min="12297" max="12297" width="10.85546875" customWidth="1"/>
    <col min="12298" max="12298" width="17.42578125" bestFit="1" customWidth="1"/>
    <col min="12299" max="12299" width="12.140625" bestFit="1" customWidth="1"/>
    <col min="12545" max="12545" width="15.85546875" customWidth="1"/>
    <col min="12546" max="12546" width="3.85546875" bestFit="1" customWidth="1"/>
    <col min="12547" max="12549" width="10.140625" bestFit="1" customWidth="1"/>
    <col min="12550" max="12550" width="11.140625" bestFit="1" customWidth="1"/>
    <col min="12551" max="12551" width="10" bestFit="1" customWidth="1"/>
    <col min="12552" max="12552" width="10.85546875" bestFit="1" customWidth="1"/>
    <col min="12553" max="12553" width="10.85546875" customWidth="1"/>
    <col min="12554" max="12554" width="17.42578125" bestFit="1" customWidth="1"/>
    <col min="12555" max="12555" width="12.140625" bestFit="1" customWidth="1"/>
    <col min="12801" max="12801" width="15.85546875" customWidth="1"/>
    <col min="12802" max="12802" width="3.85546875" bestFit="1" customWidth="1"/>
    <col min="12803" max="12805" width="10.140625" bestFit="1" customWidth="1"/>
    <col min="12806" max="12806" width="11.140625" bestFit="1" customWidth="1"/>
    <col min="12807" max="12807" width="10" bestFit="1" customWidth="1"/>
    <col min="12808" max="12808" width="10.85546875" bestFit="1" customWidth="1"/>
    <col min="12809" max="12809" width="10.85546875" customWidth="1"/>
    <col min="12810" max="12810" width="17.42578125" bestFit="1" customWidth="1"/>
    <col min="12811" max="12811" width="12.140625" bestFit="1" customWidth="1"/>
    <col min="13057" max="13057" width="15.85546875" customWidth="1"/>
    <col min="13058" max="13058" width="3.85546875" bestFit="1" customWidth="1"/>
    <col min="13059" max="13061" width="10.140625" bestFit="1" customWidth="1"/>
    <col min="13062" max="13062" width="11.140625" bestFit="1" customWidth="1"/>
    <col min="13063" max="13063" width="10" bestFit="1" customWidth="1"/>
    <col min="13064" max="13064" width="10.85546875" bestFit="1" customWidth="1"/>
    <col min="13065" max="13065" width="10.85546875" customWidth="1"/>
    <col min="13066" max="13066" width="17.42578125" bestFit="1" customWidth="1"/>
    <col min="13067" max="13067" width="12.140625" bestFit="1" customWidth="1"/>
    <col min="13313" max="13313" width="15.85546875" customWidth="1"/>
    <col min="13314" max="13314" width="3.85546875" bestFit="1" customWidth="1"/>
    <col min="13315" max="13317" width="10.140625" bestFit="1" customWidth="1"/>
    <col min="13318" max="13318" width="11.140625" bestFit="1" customWidth="1"/>
    <col min="13319" max="13319" width="10" bestFit="1" customWidth="1"/>
    <col min="13320" max="13320" width="10.85546875" bestFit="1" customWidth="1"/>
    <col min="13321" max="13321" width="10.85546875" customWidth="1"/>
    <col min="13322" max="13322" width="17.42578125" bestFit="1" customWidth="1"/>
    <col min="13323" max="13323" width="12.140625" bestFit="1" customWidth="1"/>
    <col min="13569" max="13569" width="15.85546875" customWidth="1"/>
    <col min="13570" max="13570" width="3.85546875" bestFit="1" customWidth="1"/>
    <col min="13571" max="13573" width="10.140625" bestFit="1" customWidth="1"/>
    <col min="13574" max="13574" width="11.140625" bestFit="1" customWidth="1"/>
    <col min="13575" max="13575" width="10" bestFit="1" customWidth="1"/>
    <col min="13576" max="13576" width="10.85546875" bestFit="1" customWidth="1"/>
    <col min="13577" max="13577" width="10.85546875" customWidth="1"/>
    <col min="13578" max="13578" width="17.42578125" bestFit="1" customWidth="1"/>
    <col min="13579" max="13579" width="12.140625" bestFit="1" customWidth="1"/>
    <col min="13825" max="13825" width="15.85546875" customWidth="1"/>
    <col min="13826" max="13826" width="3.85546875" bestFit="1" customWidth="1"/>
    <col min="13827" max="13829" width="10.140625" bestFit="1" customWidth="1"/>
    <col min="13830" max="13830" width="11.140625" bestFit="1" customWidth="1"/>
    <col min="13831" max="13831" width="10" bestFit="1" customWidth="1"/>
    <col min="13832" max="13832" width="10.85546875" bestFit="1" customWidth="1"/>
    <col min="13833" max="13833" width="10.85546875" customWidth="1"/>
    <col min="13834" max="13834" width="17.42578125" bestFit="1" customWidth="1"/>
    <col min="13835" max="13835" width="12.140625" bestFit="1" customWidth="1"/>
    <col min="14081" max="14081" width="15.85546875" customWidth="1"/>
    <col min="14082" max="14082" width="3.85546875" bestFit="1" customWidth="1"/>
    <col min="14083" max="14085" width="10.140625" bestFit="1" customWidth="1"/>
    <col min="14086" max="14086" width="11.140625" bestFit="1" customWidth="1"/>
    <col min="14087" max="14087" width="10" bestFit="1" customWidth="1"/>
    <col min="14088" max="14088" width="10.85546875" bestFit="1" customWidth="1"/>
    <col min="14089" max="14089" width="10.85546875" customWidth="1"/>
    <col min="14090" max="14090" width="17.42578125" bestFit="1" customWidth="1"/>
    <col min="14091" max="14091" width="12.140625" bestFit="1" customWidth="1"/>
    <col min="14337" max="14337" width="15.85546875" customWidth="1"/>
    <col min="14338" max="14338" width="3.85546875" bestFit="1" customWidth="1"/>
    <col min="14339" max="14341" width="10.140625" bestFit="1" customWidth="1"/>
    <col min="14342" max="14342" width="11.140625" bestFit="1" customWidth="1"/>
    <col min="14343" max="14343" width="10" bestFit="1" customWidth="1"/>
    <col min="14344" max="14344" width="10.85546875" bestFit="1" customWidth="1"/>
    <col min="14345" max="14345" width="10.85546875" customWidth="1"/>
    <col min="14346" max="14346" width="17.42578125" bestFit="1" customWidth="1"/>
    <col min="14347" max="14347" width="12.140625" bestFit="1" customWidth="1"/>
    <col min="14593" max="14593" width="15.85546875" customWidth="1"/>
    <col min="14594" max="14594" width="3.85546875" bestFit="1" customWidth="1"/>
    <col min="14595" max="14597" width="10.140625" bestFit="1" customWidth="1"/>
    <col min="14598" max="14598" width="11.140625" bestFit="1" customWidth="1"/>
    <col min="14599" max="14599" width="10" bestFit="1" customWidth="1"/>
    <col min="14600" max="14600" width="10.85546875" bestFit="1" customWidth="1"/>
    <col min="14601" max="14601" width="10.85546875" customWidth="1"/>
    <col min="14602" max="14602" width="17.42578125" bestFit="1" customWidth="1"/>
    <col min="14603" max="14603" width="12.140625" bestFit="1" customWidth="1"/>
    <col min="14849" max="14849" width="15.85546875" customWidth="1"/>
    <col min="14850" max="14850" width="3.85546875" bestFit="1" customWidth="1"/>
    <col min="14851" max="14853" width="10.140625" bestFit="1" customWidth="1"/>
    <col min="14854" max="14854" width="11.140625" bestFit="1" customWidth="1"/>
    <col min="14855" max="14855" width="10" bestFit="1" customWidth="1"/>
    <col min="14856" max="14856" width="10.85546875" bestFit="1" customWidth="1"/>
    <col min="14857" max="14857" width="10.85546875" customWidth="1"/>
    <col min="14858" max="14858" width="17.42578125" bestFit="1" customWidth="1"/>
    <col min="14859" max="14859" width="12.140625" bestFit="1" customWidth="1"/>
    <col min="15105" max="15105" width="15.85546875" customWidth="1"/>
    <col min="15106" max="15106" width="3.85546875" bestFit="1" customWidth="1"/>
    <col min="15107" max="15109" width="10.140625" bestFit="1" customWidth="1"/>
    <col min="15110" max="15110" width="11.140625" bestFit="1" customWidth="1"/>
    <col min="15111" max="15111" width="10" bestFit="1" customWidth="1"/>
    <col min="15112" max="15112" width="10.85546875" bestFit="1" customWidth="1"/>
    <col min="15113" max="15113" width="10.85546875" customWidth="1"/>
    <col min="15114" max="15114" width="17.42578125" bestFit="1" customWidth="1"/>
    <col min="15115" max="15115" width="12.140625" bestFit="1" customWidth="1"/>
    <col min="15361" max="15361" width="15.85546875" customWidth="1"/>
    <col min="15362" max="15362" width="3.85546875" bestFit="1" customWidth="1"/>
    <col min="15363" max="15365" width="10.140625" bestFit="1" customWidth="1"/>
    <col min="15366" max="15366" width="11.140625" bestFit="1" customWidth="1"/>
    <col min="15367" max="15367" width="10" bestFit="1" customWidth="1"/>
    <col min="15368" max="15368" width="10.85546875" bestFit="1" customWidth="1"/>
    <col min="15369" max="15369" width="10.85546875" customWidth="1"/>
    <col min="15370" max="15370" width="17.42578125" bestFit="1" customWidth="1"/>
    <col min="15371" max="15371" width="12.140625" bestFit="1" customWidth="1"/>
    <col min="15617" max="15617" width="15.85546875" customWidth="1"/>
    <col min="15618" max="15618" width="3.85546875" bestFit="1" customWidth="1"/>
    <col min="15619" max="15621" width="10.140625" bestFit="1" customWidth="1"/>
    <col min="15622" max="15622" width="11.140625" bestFit="1" customWidth="1"/>
    <col min="15623" max="15623" width="10" bestFit="1" customWidth="1"/>
    <col min="15624" max="15624" width="10.85546875" bestFit="1" customWidth="1"/>
    <col min="15625" max="15625" width="10.85546875" customWidth="1"/>
    <col min="15626" max="15626" width="17.42578125" bestFit="1" customWidth="1"/>
    <col min="15627" max="15627" width="12.140625" bestFit="1" customWidth="1"/>
    <col min="15873" max="15873" width="15.85546875" customWidth="1"/>
    <col min="15874" max="15874" width="3.85546875" bestFit="1" customWidth="1"/>
    <col min="15875" max="15877" width="10.140625" bestFit="1" customWidth="1"/>
    <col min="15878" max="15878" width="11.140625" bestFit="1" customWidth="1"/>
    <col min="15879" max="15879" width="10" bestFit="1" customWidth="1"/>
    <col min="15880" max="15880" width="10.85546875" bestFit="1" customWidth="1"/>
    <col min="15881" max="15881" width="10.85546875" customWidth="1"/>
    <col min="15882" max="15882" width="17.42578125" bestFit="1" customWidth="1"/>
    <col min="15883" max="15883" width="12.140625" bestFit="1" customWidth="1"/>
    <col min="16129" max="16129" width="15.85546875" customWidth="1"/>
    <col min="16130" max="16130" width="3.85546875" bestFit="1" customWidth="1"/>
    <col min="16131" max="16133" width="10.140625" bestFit="1" customWidth="1"/>
    <col min="16134" max="16134" width="11.140625" bestFit="1" customWidth="1"/>
    <col min="16135" max="16135" width="10" bestFit="1" customWidth="1"/>
    <col min="16136" max="16136" width="10.85546875" bestFit="1" customWidth="1"/>
    <col min="16137" max="16137" width="10.85546875" customWidth="1"/>
    <col min="16138" max="16138" width="17.42578125" bestFit="1" customWidth="1"/>
    <col min="16139" max="16139" width="12.140625" bestFit="1" customWidth="1"/>
  </cols>
  <sheetData>
    <row r="1" spans="1:12" ht="15.75">
      <c r="A1" s="1" t="s">
        <v>0</v>
      </c>
    </row>
    <row r="2" spans="1:12" ht="15.75">
      <c r="A2" s="1"/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>
      <c r="A4" t="s">
        <v>13</v>
      </c>
      <c r="B4">
        <v>16</v>
      </c>
      <c r="C4">
        <v>35077050</v>
      </c>
      <c r="D4">
        <v>35219549</v>
      </c>
      <c r="E4" s="2">
        <v>0.38744800000000001</v>
      </c>
      <c r="F4" s="2">
        <v>6.4818100000000002E-3</v>
      </c>
      <c r="G4" s="2">
        <v>4.0905800000000001</v>
      </c>
      <c r="H4" s="2">
        <v>21.132287000000002</v>
      </c>
      <c r="I4" s="2">
        <f t="shared" ref="I4:I67" si="0">ABS(H4)</f>
        <v>21.132287000000002</v>
      </c>
      <c r="J4" s="2">
        <v>0.55992058199999994</v>
      </c>
      <c r="K4" s="2">
        <v>0.83570236099999995</v>
      </c>
    </row>
    <row r="5" spans="1:12">
      <c r="A5" t="s">
        <v>14</v>
      </c>
      <c r="B5">
        <v>3</v>
      </c>
      <c r="C5">
        <v>90063529</v>
      </c>
      <c r="D5">
        <v>89980839</v>
      </c>
      <c r="E5" s="2">
        <v>2.27184E-2</v>
      </c>
      <c r="F5" s="2">
        <v>0.29949300000000001</v>
      </c>
      <c r="G5" s="2">
        <v>-2.57891</v>
      </c>
      <c r="H5" s="2">
        <v>-12.961384000000001</v>
      </c>
      <c r="I5" s="2">
        <f t="shared" si="0"/>
        <v>12.961384000000001</v>
      </c>
      <c r="J5" s="2">
        <v>0.57421344699999999</v>
      </c>
      <c r="K5" s="2">
        <v>0.841807219</v>
      </c>
    </row>
    <row r="6" spans="1:12">
      <c r="A6" t="s">
        <v>15</v>
      </c>
      <c r="B6">
        <v>16</v>
      </c>
      <c r="C6">
        <v>35122124</v>
      </c>
      <c r="D6">
        <v>35264623</v>
      </c>
      <c r="E6" s="2">
        <v>0.37308400000000003</v>
      </c>
      <c r="F6" s="2">
        <v>3.8472699999999999E-2</v>
      </c>
      <c r="G6" s="2">
        <v>2.2718600000000002</v>
      </c>
      <c r="H6" s="2">
        <v>11.835198</v>
      </c>
      <c r="I6" s="2">
        <f t="shared" si="0"/>
        <v>11.835198</v>
      </c>
      <c r="J6" s="2">
        <v>0.29132981699999999</v>
      </c>
      <c r="K6" s="2">
        <v>0.62917447299999996</v>
      </c>
    </row>
    <row r="7" spans="1:12">
      <c r="A7" t="s">
        <v>16</v>
      </c>
      <c r="B7">
        <v>16</v>
      </c>
      <c r="C7">
        <v>35015014</v>
      </c>
      <c r="D7">
        <v>35157513</v>
      </c>
      <c r="E7" s="2">
        <v>0.89530799999999999</v>
      </c>
      <c r="F7" s="2">
        <v>0.239236</v>
      </c>
      <c r="G7" s="2">
        <v>1.31972</v>
      </c>
      <c r="H7" s="2">
        <v>6.9679669999999998</v>
      </c>
      <c r="I7" s="2">
        <f t="shared" si="0"/>
        <v>6.9679669999999998</v>
      </c>
      <c r="J7" s="2">
        <v>0.62769049899999996</v>
      </c>
      <c r="K7" s="2">
        <v>0.86044903699999997</v>
      </c>
    </row>
    <row r="8" spans="1:12">
      <c r="A8" t="s">
        <v>17</v>
      </c>
      <c r="B8">
        <v>4</v>
      </c>
      <c r="C8">
        <v>48357353</v>
      </c>
      <c r="D8">
        <v>48662596</v>
      </c>
      <c r="E8" s="2">
        <v>0.46255600000000002</v>
      </c>
      <c r="F8" s="2">
        <v>1.8494600000000001</v>
      </c>
      <c r="G8" s="2">
        <v>-1.38588</v>
      </c>
      <c r="H8" s="2">
        <v>-6.8627510000000003</v>
      </c>
      <c r="I8" s="2">
        <f t="shared" si="0"/>
        <v>6.8627510000000003</v>
      </c>
      <c r="J8" s="2">
        <v>0.79991427100000001</v>
      </c>
      <c r="K8" s="2">
        <v>0.94107561299999998</v>
      </c>
      <c r="L8" t="s">
        <v>18</v>
      </c>
    </row>
    <row r="9" spans="1:12">
      <c r="A9" t="s">
        <v>19</v>
      </c>
      <c r="B9">
        <v>16</v>
      </c>
      <c r="C9">
        <v>34935609</v>
      </c>
      <c r="D9">
        <v>35078108</v>
      </c>
      <c r="E9" s="2">
        <v>0.83274400000000004</v>
      </c>
      <c r="F9" s="2">
        <v>0.23013900000000001</v>
      </c>
      <c r="G9" s="2">
        <v>1.2860400000000001</v>
      </c>
      <c r="H9" s="2">
        <v>6.7957989999999997</v>
      </c>
      <c r="I9" s="2">
        <f t="shared" si="0"/>
        <v>6.7957989999999997</v>
      </c>
      <c r="J9" s="2">
        <v>0.675606394</v>
      </c>
      <c r="K9" s="2">
        <v>0.88354834500000001</v>
      </c>
    </row>
    <row r="10" spans="1:12">
      <c r="A10" t="s">
        <v>20</v>
      </c>
      <c r="B10">
        <v>4</v>
      </c>
      <c r="C10">
        <v>48355642</v>
      </c>
      <c r="D10">
        <v>48660885</v>
      </c>
      <c r="E10" s="2">
        <v>0.58463200000000004</v>
      </c>
      <c r="F10" s="2">
        <v>2.2514099999999999</v>
      </c>
      <c r="G10" s="2">
        <v>-1.34833</v>
      </c>
      <c r="H10" s="2">
        <v>-6.6707999999999998</v>
      </c>
      <c r="I10" s="2">
        <f t="shared" si="0"/>
        <v>6.6707999999999998</v>
      </c>
      <c r="J10" s="2">
        <v>4.3371821999999997E-2</v>
      </c>
      <c r="K10" s="2">
        <v>0.275376648</v>
      </c>
      <c r="L10" t="s">
        <v>18</v>
      </c>
    </row>
    <row r="11" spans="1:12">
      <c r="A11" t="s">
        <v>21</v>
      </c>
      <c r="B11">
        <v>4</v>
      </c>
      <c r="C11">
        <v>48365505</v>
      </c>
      <c r="D11">
        <v>48670748</v>
      </c>
      <c r="E11" s="2">
        <v>0.49139699999999997</v>
      </c>
      <c r="F11" s="2">
        <v>1.8809</v>
      </c>
      <c r="G11" s="2">
        <v>-1.34226</v>
      </c>
      <c r="H11" s="2">
        <v>-6.6397709999999996</v>
      </c>
      <c r="I11" s="2">
        <f t="shared" si="0"/>
        <v>6.6397709999999996</v>
      </c>
      <c r="J11" s="2">
        <v>0.37744974799999997</v>
      </c>
      <c r="K11" s="2">
        <v>0.69898101499999998</v>
      </c>
      <c r="L11" t="s">
        <v>18</v>
      </c>
    </row>
    <row r="12" spans="1:12">
      <c r="A12" t="s">
        <v>22</v>
      </c>
      <c r="B12">
        <v>4</v>
      </c>
      <c r="C12">
        <v>48354150</v>
      </c>
      <c r="D12">
        <v>48659393</v>
      </c>
      <c r="E12" s="2">
        <v>0.60841000000000001</v>
      </c>
      <c r="F12" s="2">
        <v>2.2480799999999999</v>
      </c>
      <c r="G12" s="2">
        <v>-1.30698</v>
      </c>
      <c r="H12" s="2">
        <v>-6.4594240000000003</v>
      </c>
      <c r="I12" s="2">
        <f t="shared" si="0"/>
        <v>6.4594240000000003</v>
      </c>
      <c r="J12" s="2">
        <v>0.37744974799999997</v>
      </c>
      <c r="K12" s="2">
        <v>0.69898101499999998</v>
      </c>
      <c r="L12" t="s">
        <v>18</v>
      </c>
    </row>
    <row r="13" spans="1:12">
      <c r="A13" t="s">
        <v>23</v>
      </c>
      <c r="B13">
        <v>5</v>
      </c>
      <c r="C13">
        <v>3223573</v>
      </c>
      <c r="D13">
        <v>3170573</v>
      </c>
      <c r="E13" s="2">
        <v>7.1786899999999996</v>
      </c>
      <c r="F13" s="2">
        <v>25.1495</v>
      </c>
      <c r="G13" s="2">
        <v>-1.2537199999999999</v>
      </c>
      <c r="H13" s="2">
        <v>-6.1871640000000001</v>
      </c>
      <c r="I13" s="2">
        <f t="shared" si="0"/>
        <v>6.1871640000000001</v>
      </c>
      <c r="J13" s="2">
        <v>0.18059096799999999</v>
      </c>
      <c r="K13" s="2">
        <v>0.50853174599999995</v>
      </c>
    </row>
    <row r="14" spans="1:12">
      <c r="A14" t="s">
        <v>24</v>
      </c>
      <c r="B14">
        <v>4</v>
      </c>
      <c r="C14">
        <v>48378315</v>
      </c>
      <c r="D14">
        <v>48683558</v>
      </c>
      <c r="E14" s="2">
        <v>0.56158600000000003</v>
      </c>
      <c r="F14" s="2">
        <v>1.9529099999999999</v>
      </c>
      <c r="G14" s="2">
        <v>-1.24631</v>
      </c>
      <c r="H14" s="2">
        <v>-6.1492849999999999</v>
      </c>
      <c r="I14" s="2">
        <f t="shared" si="0"/>
        <v>6.1492849999999999</v>
      </c>
      <c r="J14" s="2">
        <v>6.3874664999999997E-2</v>
      </c>
      <c r="K14" s="2">
        <v>0.34830091899999999</v>
      </c>
      <c r="L14" t="s">
        <v>25</v>
      </c>
    </row>
    <row r="15" spans="1:12">
      <c r="A15" t="s">
        <v>26</v>
      </c>
      <c r="B15">
        <v>4</v>
      </c>
      <c r="C15">
        <v>48352326</v>
      </c>
      <c r="D15">
        <v>48657569</v>
      </c>
      <c r="E15" s="2">
        <v>0.65034999999999998</v>
      </c>
      <c r="F15" s="2">
        <v>2.2513800000000002</v>
      </c>
      <c r="G15" s="2">
        <v>-1.2417899999999999</v>
      </c>
      <c r="H15" s="2">
        <v>-6.1261799999999997</v>
      </c>
      <c r="I15" s="2">
        <f t="shared" si="0"/>
        <v>6.1261799999999997</v>
      </c>
      <c r="J15" s="2">
        <v>6.3874664999999997E-2</v>
      </c>
      <c r="K15" s="2">
        <v>0.34830091899999999</v>
      </c>
      <c r="L15" t="s">
        <v>18</v>
      </c>
    </row>
    <row r="16" spans="1:12">
      <c r="A16" t="s">
        <v>27</v>
      </c>
      <c r="B16">
        <v>16</v>
      </c>
      <c r="C16">
        <v>35031940</v>
      </c>
      <c r="D16">
        <v>35174439</v>
      </c>
      <c r="E16" s="2">
        <v>0.85894499999999996</v>
      </c>
      <c r="F16" s="2">
        <v>0.271698</v>
      </c>
      <c r="G16" s="2">
        <v>1.1510100000000001</v>
      </c>
      <c r="H16" s="2">
        <v>6.1055409999999997</v>
      </c>
      <c r="I16" s="2">
        <f t="shared" si="0"/>
        <v>6.1055409999999997</v>
      </c>
      <c r="J16" s="2">
        <v>0.61495746100000004</v>
      </c>
      <c r="K16" s="2">
        <v>0.86044903699999997</v>
      </c>
    </row>
    <row r="17" spans="1:12">
      <c r="A17" t="s">
        <v>28</v>
      </c>
      <c r="B17">
        <v>3</v>
      </c>
      <c r="C17">
        <v>53318976</v>
      </c>
      <c r="D17">
        <v>53343936</v>
      </c>
      <c r="E17" s="2">
        <v>19.4147</v>
      </c>
      <c r="F17" s="2">
        <v>6.2985499999999996</v>
      </c>
      <c r="G17" s="2">
        <v>1.12571</v>
      </c>
      <c r="H17" s="2">
        <v>5.97621</v>
      </c>
      <c r="I17" s="2">
        <f t="shared" si="0"/>
        <v>5.97621</v>
      </c>
      <c r="J17" s="2">
        <v>0.53911044299999999</v>
      </c>
      <c r="K17" s="2">
        <v>0.83499079099999995</v>
      </c>
      <c r="L17" t="s">
        <v>29</v>
      </c>
    </row>
    <row r="18" spans="1:12">
      <c r="A18" t="s">
        <v>30</v>
      </c>
      <c r="B18">
        <v>16</v>
      </c>
      <c r="C18">
        <v>34960690</v>
      </c>
      <c r="D18">
        <v>35103189</v>
      </c>
      <c r="E18" s="2">
        <v>0.86755899999999997</v>
      </c>
      <c r="F18" s="2">
        <v>0.284412</v>
      </c>
      <c r="G18" s="2">
        <v>1.1152599999999999</v>
      </c>
      <c r="H18" s="2">
        <v>5.9227910000000001</v>
      </c>
      <c r="I18" s="2">
        <f t="shared" si="0"/>
        <v>5.9227910000000001</v>
      </c>
      <c r="J18" s="2">
        <v>0.150851136</v>
      </c>
      <c r="K18" s="2">
        <v>0.48095416800000002</v>
      </c>
    </row>
    <row r="19" spans="1:12">
      <c r="A19" t="s">
        <v>31</v>
      </c>
      <c r="B19">
        <v>3</v>
      </c>
      <c r="C19">
        <v>53348244</v>
      </c>
      <c r="D19">
        <v>53373204</v>
      </c>
      <c r="E19" s="2">
        <v>19.425699999999999</v>
      </c>
      <c r="F19" s="2">
        <v>6.3787399999999996</v>
      </c>
      <c r="G19" s="2">
        <v>1.1136200000000001</v>
      </c>
      <c r="H19" s="2">
        <v>5.9144069999999997</v>
      </c>
      <c r="I19" s="2">
        <f t="shared" si="0"/>
        <v>5.9144069999999997</v>
      </c>
      <c r="J19" s="2">
        <v>0.71770285099999998</v>
      </c>
      <c r="K19" s="2">
        <v>0.89026250699999998</v>
      </c>
      <c r="L19" t="s">
        <v>29</v>
      </c>
    </row>
    <row r="20" spans="1:12">
      <c r="A20" t="s">
        <v>32</v>
      </c>
      <c r="B20">
        <v>3</v>
      </c>
      <c r="C20">
        <v>53349727</v>
      </c>
      <c r="D20">
        <v>53374687</v>
      </c>
      <c r="E20" s="2">
        <v>19.391100000000002</v>
      </c>
      <c r="F20" s="2">
        <v>6.3849999999999998</v>
      </c>
      <c r="G20" s="2">
        <v>1.11086</v>
      </c>
      <c r="H20" s="2">
        <v>5.9002990000000004</v>
      </c>
      <c r="I20" s="2">
        <f t="shared" si="0"/>
        <v>5.9002990000000004</v>
      </c>
      <c r="J20" s="2">
        <v>0.32803745899999998</v>
      </c>
      <c r="K20" s="2">
        <v>0.66946420200000001</v>
      </c>
      <c r="L20" t="s">
        <v>29</v>
      </c>
    </row>
    <row r="21" spans="1:12">
      <c r="A21" t="s">
        <v>33</v>
      </c>
      <c r="B21">
        <v>3</v>
      </c>
      <c r="C21">
        <v>114954982</v>
      </c>
      <c r="D21">
        <v>113472292</v>
      </c>
      <c r="E21" s="2">
        <v>6.1985799999999998</v>
      </c>
      <c r="F21" s="2">
        <v>20.503799999999998</v>
      </c>
      <c r="G21" s="2">
        <v>-1.1962900000000001</v>
      </c>
      <c r="H21" s="2">
        <v>-5.8935890000000004</v>
      </c>
      <c r="I21" s="2">
        <f t="shared" si="0"/>
        <v>5.8935890000000004</v>
      </c>
      <c r="J21" s="2">
        <v>0.69203734699999997</v>
      </c>
      <c r="K21" s="2">
        <v>0.88354834500000001</v>
      </c>
      <c r="L21" t="s">
        <v>34</v>
      </c>
    </row>
    <row r="22" spans="1:12">
      <c r="A22" t="s">
        <v>35</v>
      </c>
      <c r="B22">
        <v>5</v>
      </c>
      <c r="C22">
        <v>3221780</v>
      </c>
      <c r="D22">
        <v>3168780</v>
      </c>
      <c r="E22" s="2">
        <v>7.7034599999999998</v>
      </c>
      <c r="F22" s="2">
        <v>25.429099999999998</v>
      </c>
      <c r="G22" s="2">
        <v>-1.1942200000000001</v>
      </c>
      <c r="H22" s="2">
        <v>-5.8830070000000001</v>
      </c>
      <c r="I22" s="2">
        <f t="shared" si="0"/>
        <v>5.8830070000000001</v>
      </c>
      <c r="J22" s="2">
        <v>1.838452E-3</v>
      </c>
      <c r="K22" s="2">
        <v>9.1922599999999993E-2</v>
      </c>
    </row>
    <row r="23" spans="1:12">
      <c r="A23" t="s">
        <v>36</v>
      </c>
      <c r="B23">
        <v>5</v>
      </c>
      <c r="C23">
        <v>3223620</v>
      </c>
      <c r="D23">
        <v>3170620</v>
      </c>
      <c r="E23" s="2">
        <v>7.7532399999999999</v>
      </c>
      <c r="F23" s="2">
        <v>25.543700000000001</v>
      </c>
      <c r="G23" s="2">
        <v>-1.19228</v>
      </c>
      <c r="H23" s="2">
        <v>-5.8730900000000004</v>
      </c>
      <c r="I23" s="2">
        <f t="shared" si="0"/>
        <v>5.8730900000000004</v>
      </c>
      <c r="J23" s="2">
        <v>0.73737285200000002</v>
      </c>
      <c r="K23" s="2">
        <v>0.90475196599999996</v>
      </c>
    </row>
    <row r="24" spans="1:12">
      <c r="A24" t="s">
        <v>37</v>
      </c>
      <c r="B24">
        <v>3</v>
      </c>
      <c r="C24">
        <v>53314823</v>
      </c>
      <c r="D24">
        <v>53339783</v>
      </c>
      <c r="E24" s="2">
        <v>19.5443</v>
      </c>
      <c r="F24" s="2">
        <v>6.4741099999999996</v>
      </c>
      <c r="G24" s="2">
        <v>1.10487</v>
      </c>
      <c r="H24" s="2">
        <v>5.8696780000000004</v>
      </c>
      <c r="I24" s="2">
        <f t="shared" si="0"/>
        <v>5.8696780000000004</v>
      </c>
      <c r="J24" s="2">
        <v>0.52146958200000004</v>
      </c>
      <c r="K24" s="2">
        <v>0.82772949500000004</v>
      </c>
      <c r="L24" t="s">
        <v>29</v>
      </c>
    </row>
    <row r="25" spans="1:12">
      <c r="A25" t="s">
        <v>38</v>
      </c>
      <c r="B25">
        <v>3</v>
      </c>
      <c r="C25">
        <v>53320663</v>
      </c>
      <c r="D25">
        <v>53345623</v>
      </c>
      <c r="E25" s="2">
        <v>19.500299999999999</v>
      </c>
      <c r="F25" s="2">
        <v>6.4706000000000001</v>
      </c>
      <c r="G25" s="2">
        <v>1.1031599999999999</v>
      </c>
      <c r="H25" s="2">
        <v>5.8609369999999998</v>
      </c>
      <c r="I25" s="2">
        <f t="shared" si="0"/>
        <v>5.8609369999999998</v>
      </c>
      <c r="J25" s="2">
        <v>0.56918275900000004</v>
      </c>
      <c r="K25" s="2">
        <v>0.84090432900000001</v>
      </c>
      <c r="L25" t="s">
        <v>29</v>
      </c>
    </row>
    <row r="26" spans="1:12">
      <c r="A26" t="s">
        <v>39</v>
      </c>
      <c r="B26">
        <v>3</v>
      </c>
      <c r="C26">
        <v>114954026</v>
      </c>
      <c r="D26">
        <v>113471336</v>
      </c>
      <c r="E26" s="2">
        <v>6.2573400000000001</v>
      </c>
      <c r="F26" s="2">
        <v>20.510100000000001</v>
      </c>
      <c r="G26" s="2">
        <v>-1.18716</v>
      </c>
      <c r="H26" s="2">
        <v>-5.8469170000000004</v>
      </c>
      <c r="I26" s="2">
        <f t="shared" si="0"/>
        <v>5.8469170000000004</v>
      </c>
      <c r="J26" s="2">
        <v>0.18815674600000001</v>
      </c>
      <c r="K26" s="2">
        <v>0.50853174599999995</v>
      </c>
      <c r="L26" t="s">
        <v>34</v>
      </c>
    </row>
    <row r="27" spans="1:12">
      <c r="A27" t="s">
        <v>40</v>
      </c>
      <c r="B27">
        <v>3</v>
      </c>
      <c r="C27">
        <v>114966669</v>
      </c>
      <c r="D27">
        <v>113483979</v>
      </c>
      <c r="E27" s="2">
        <v>6.27339</v>
      </c>
      <c r="F27" s="2">
        <v>20.5122</v>
      </c>
      <c r="G27" s="2">
        <v>-1.1847000000000001</v>
      </c>
      <c r="H27" s="2">
        <v>-5.8343420000000004</v>
      </c>
      <c r="I27" s="2">
        <f t="shared" si="0"/>
        <v>5.8343420000000004</v>
      </c>
      <c r="J27" s="2">
        <v>0.78111772899999998</v>
      </c>
      <c r="K27" s="2">
        <v>0.93547033400000001</v>
      </c>
      <c r="L27" t="s">
        <v>34</v>
      </c>
    </row>
    <row r="28" spans="1:12">
      <c r="A28" t="s">
        <v>41</v>
      </c>
      <c r="B28">
        <v>3</v>
      </c>
      <c r="C28">
        <v>114956444</v>
      </c>
      <c r="D28">
        <v>113473754</v>
      </c>
      <c r="E28" s="2">
        <v>6.2984200000000001</v>
      </c>
      <c r="F28" s="2">
        <v>20.51</v>
      </c>
      <c r="G28" s="2">
        <v>-1.18062</v>
      </c>
      <c r="H28" s="2">
        <v>-5.8134860000000002</v>
      </c>
      <c r="I28" s="2">
        <f t="shared" si="0"/>
        <v>5.8134860000000002</v>
      </c>
      <c r="J28" s="2">
        <v>0.18815674600000001</v>
      </c>
      <c r="K28" s="2">
        <v>0.50853174599999995</v>
      </c>
      <c r="L28" t="s">
        <v>34</v>
      </c>
    </row>
    <row r="29" spans="1:12">
      <c r="A29" t="s">
        <v>42</v>
      </c>
      <c r="B29">
        <v>3</v>
      </c>
      <c r="C29">
        <v>114957556</v>
      </c>
      <c r="D29">
        <v>113474866</v>
      </c>
      <c r="E29" s="2">
        <v>6.2984200000000001</v>
      </c>
      <c r="F29" s="2">
        <v>20.51</v>
      </c>
      <c r="G29" s="2">
        <v>-1.18062</v>
      </c>
      <c r="H29" s="2">
        <v>-5.8134860000000002</v>
      </c>
      <c r="I29" s="2">
        <f t="shared" si="0"/>
        <v>5.8134860000000002</v>
      </c>
      <c r="J29" s="2">
        <v>0.18815674600000001</v>
      </c>
      <c r="K29" s="2">
        <v>0.50853174599999995</v>
      </c>
      <c r="L29" t="s">
        <v>34</v>
      </c>
    </row>
    <row r="30" spans="1:12">
      <c r="A30" t="s">
        <v>43</v>
      </c>
      <c r="B30">
        <v>5</v>
      </c>
      <c r="C30">
        <v>3216688</v>
      </c>
      <c r="D30">
        <v>3163688</v>
      </c>
      <c r="E30" s="2">
        <v>7.7615999999999996</v>
      </c>
      <c r="F30" s="2">
        <v>25.194099999999999</v>
      </c>
      <c r="G30" s="2">
        <v>-1.1774199999999999</v>
      </c>
      <c r="H30" s="2">
        <v>-5.7971279999999998</v>
      </c>
      <c r="I30" s="2">
        <f t="shared" si="0"/>
        <v>5.7971279999999998</v>
      </c>
      <c r="J30" s="2">
        <v>0.404238241</v>
      </c>
      <c r="K30" s="2">
        <v>0.72835719099999996</v>
      </c>
    </row>
    <row r="31" spans="1:12">
      <c r="A31" t="s">
        <v>44</v>
      </c>
      <c r="B31">
        <v>3</v>
      </c>
      <c r="C31">
        <v>53337350</v>
      </c>
      <c r="D31">
        <v>53362310</v>
      </c>
      <c r="E31" s="2">
        <v>19.549700000000001</v>
      </c>
      <c r="F31" s="2">
        <v>6.5738599999999998</v>
      </c>
      <c r="G31" s="2">
        <v>1.0898600000000001</v>
      </c>
      <c r="H31" s="2">
        <v>5.7929490000000001</v>
      </c>
      <c r="I31" s="2">
        <f t="shared" si="0"/>
        <v>5.7929490000000001</v>
      </c>
      <c r="J31" s="2">
        <v>0.55628955300000005</v>
      </c>
      <c r="K31" s="2">
        <v>0.83499079099999995</v>
      </c>
      <c r="L31" t="s">
        <v>29</v>
      </c>
    </row>
    <row r="32" spans="1:12">
      <c r="A32" t="s">
        <v>45</v>
      </c>
      <c r="B32">
        <v>5</v>
      </c>
      <c r="C32">
        <v>3216438</v>
      </c>
      <c r="D32">
        <v>3163438</v>
      </c>
      <c r="E32" s="2">
        <v>7.8047300000000002</v>
      </c>
      <c r="F32" s="2">
        <v>25.241499999999998</v>
      </c>
      <c r="G32" s="2">
        <v>-1.1737599999999999</v>
      </c>
      <c r="H32" s="2">
        <v>-5.7784180000000003</v>
      </c>
      <c r="I32" s="2">
        <f t="shared" si="0"/>
        <v>5.7784180000000003</v>
      </c>
      <c r="J32" s="2">
        <v>0.97989778500000002</v>
      </c>
      <c r="K32" s="2">
        <v>0.99896008999999997</v>
      </c>
    </row>
    <row r="33" spans="1:12">
      <c r="A33" t="s">
        <v>46</v>
      </c>
      <c r="B33">
        <v>3</v>
      </c>
      <c r="C33">
        <v>114971389</v>
      </c>
      <c r="D33">
        <v>113488699</v>
      </c>
      <c r="E33" s="2">
        <v>6.3693999999999997</v>
      </c>
      <c r="F33" s="2">
        <v>20.5303</v>
      </c>
      <c r="G33" s="2">
        <v>-1.17039</v>
      </c>
      <c r="H33" s="2">
        <v>-5.7611910000000002</v>
      </c>
      <c r="I33" s="2">
        <f t="shared" si="0"/>
        <v>5.7611910000000002</v>
      </c>
      <c r="J33" s="2">
        <v>0.18815674600000001</v>
      </c>
      <c r="K33" s="2">
        <v>0.50853174599999995</v>
      </c>
      <c r="L33" t="s">
        <v>34</v>
      </c>
    </row>
    <row r="34" spans="1:12">
      <c r="A34" t="s">
        <v>47</v>
      </c>
      <c r="B34">
        <v>3</v>
      </c>
      <c r="C34">
        <v>53307403</v>
      </c>
      <c r="D34">
        <v>53332363</v>
      </c>
      <c r="E34" s="2">
        <v>19.603000000000002</v>
      </c>
      <c r="F34" s="2">
        <v>6.6465100000000001</v>
      </c>
      <c r="G34" s="2">
        <v>1.0815900000000001</v>
      </c>
      <c r="H34" s="2">
        <v>5.7506740000000001</v>
      </c>
      <c r="I34" s="2">
        <f t="shared" si="0"/>
        <v>5.7506740000000001</v>
      </c>
      <c r="J34" s="2">
        <v>0.56918275900000004</v>
      </c>
      <c r="K34" s="2">
        <v>0.84090432900000001</v>
      </c>
      <c r="L34" t="s">
        <v>29</v>
      </c>
    </row>
    <row r="35" spans="1:12">
      <c r="A35" t="s">
        <v>48</v>
      </c>
      <c r="B35">
        <v>3</v>
      </c>
      <c r="C35">
        <v>53299955</v>
      </c>
      <c r="D35">
        <v>53324915</v>
      </c>
      <c r="E35" s="2">
        <v>20.106000000000002</v>
      </c>
      <c r="F35" s="2">
        <v>6.8929299999999998</v>
      </c>
      <c r="G35" s="2">
        <v>1.0705199999999999</v>
      </c>
      <c r="H35" s="2">
        <v>5.6940850000000003</v>
      </c>
      <c r="I35" s="2">
        <f t="shared" si="0"/>
        <v>5.6940850000000003</v>
      </c>
      <c r="J35" s="2">
        <v>0.34188928899999999</v>
      </c>
      <c r="K35" s="2">
        <v>0.67905692299999998</v>
      </c>
      <c r="L35" t="s">
        <v>49</v>
      </c>
    </row>
    <row r="36" spans="1:12">
      <c r="A36" t="s">
        <v>50</v>
      </c>
      <c r="B36">
        <v>3</v>
      </c>
      <c r="C36">
        <v>114936957</v>
      </c>
      <c r="D36">
        <v>113454267</v>
      </c>
      <c r="E36" s="2">
        <v>6.4826600000000001</v>
      </c>
      <c r="F36" s="2">
        <v>20.567299999999999</v>
      </c>
      <c r="G36" s="2">
        <v>-1.1545700000000001</v>
      </c>
      <c r="H36" s="2">
        <v>-5.6803210000000002</v>
      </c>
      <c r="I36" s="2">
        <f t="shared" si="0"/>
        <v>5.6803210000000002</v>
      </c>
      <c r="J36" s="2">
        <v>0.418440543</v>
      </c>
      <c r="K36" s="2">
        <v>0.74056956100000004</v>
      </c>
      <c r="L36" t="s">
        <v>34</v>
      </c>
    </row>
    <row r="37" spans="1:12">
      <c r="A37" t="s">
        <v>51</v>
      </c>
      <c r="B37">
        <v>3</v>
      </c>
      <c r="C37">
        <v>114933185</v>
      </c>
      <c r="D37">
        <v>113450495</v>
      </c>
      <c r="E37" s="2">
        <v>6.4635199999999999</v>
      </c>
      <c r="F37" s="2">
        <v>20.504899999999999</v>
      </c>
      <c r="G37" s="2">
        <v>-1.15449</v>
      </c>
      <c r="H37" s="2">
        <v>-5.6799119999999998</v>
      </c>
      <c r="I37" s="2">
        <f t="shared" si="0"/>
        <v>5.6799119999999998</v>
      </c>
      <c r="J37" s="2">
        <v>0.79711102099999998</v>
      </c>
      <c r="K37" s="2">
        <v>0.94062347499999999</v>
      </c>
      <c r="L37" t="s">
        <v>34</v>
      </c>
    </row>
    <row r="38" spans="1:12">
      <c r="A38" t="s">
        <v>52</v>
      </c>
      <c r="B38">
        <v>3</v>
      </c>
      <c r="C38">
        <v>114943119</v>
      </c>
      <c r="D38">
        <v>113460429</v>
      </c>
      <c r="E38" s="2">
        <v>6.4606000000000003</v>
      </c>
      <c r="F38" s="2">
        <v>20.493600000000001</v>
      </c>
      <c r="G38" s="2">
        <v>-1.15439</v>
      </c>
      <c r="H38" s="2">
        <v>-5.6794010000000004</v>
      </c>
      <c r="I38" s="2">
        <f t="shared" si="0"/>
        <v>5.6794010000000004</v>
      </c>
      <c r="J38" s="2">
        <v>0.109817441</v>
      </c>
      <c r="K38" s="2">
        <v>0.443706832</v>
      </c>
      <c r="L38" t="s">
        <v>34</v>
      </c>
    </row>
    <row r="39" spans="1:12">
      <c r="A39" t="s">
        <v>53</v>
      </c>
      <c r="B39">
        <v>16</v>
      </c>
      <c r="C39">
        <v>31417317</v>
      </c>
      <c r="D39">
        <v>31509816</v>
      </c>
      <c r="E39" s="2">
        <v>22.911799999999999</v>
      </c>
      <c r="F39" s="2">
        <v>7.87758</v>
      </c>
      <c r="G39" s="2">
        <v>1.0676300000000001</v>
      </c>
      <c r="H39" s="2">
        <v>5.6793120000000004</v>
      </c>
      <c r="I39" s="2">
        <f t="shared" si="0"/>
        <v>5.6793120000000004</v>
      </c>
      <c r="J39" s="2">
        <v>6.81374E-4</v>
      </c>
      <c r="K39" s="2">
        <v>9.1922599999999993E-2</v>
      </c>
      <c r="L39" t="s">
        <v>54</v>
      </c>
    </row>
    <row r="40" spans="1:12">
      <c r="A40" t="s">
        <v>55</v>
      </c>
      <c r="B40">
        <v>3</v>
      </c>
      <c r="C40">
        <v>53300945</v>
      </c>
      <c r="D40">
        <v>53325905</v>
      </c>
      <c r="E40" s="2">
        <v>20.128499999999999</v>
      </c>
      <c r="F40" s="2">
        <v>6.9310499999999999</v>
      </c>
      <c r="G40" s="2">
        <v>1.06613</v>
      </c>
      <c r="H40" s="2">
        <v>5.6716439999999997</v>
      </c>
      <c r="I40" s="2">
        <f t="shared" si="0"/>
        <v>5.6716439999999997</v>
      </c>
      <c r="J40" s="2">
        <v>0.55628955300000005</v>
      </c>
      <c r="K40" s="2">
        <v>0.83499079099999995</v>
      </c>
      <c r="L40" t="s">
        <v>49</v>
      </c>
    </row>
    <row r="41" spans="1:12">
      <c r="A41" t="s">
        <v>56</v>
      </c>
      <c r="B41">
        <v>3</v>
      </c>
      <c r="C41">
        <v>114943304</v>
      </c>
      <c r="D41">
        <v>113460614</v>
      </c>
      <c r="E41" s="2">
        <v>6.4730999999999996</v>
      </c>
      <c r="F41" s="2">
        <v>20.476500000000001</v>
      </c>
      <c r="G41" s="2">
        <v>-1.1516200000000001</v>
      </c>
      <c r="H41" s="2">
        <v>-5.665241</v>
      </c>
      <c r="I41" s="2">
        <f t="shared" si="0"/>
        <v>5.665241</v>
      </c>
      <c r="J41" s="2">
        <v>0.24526244899999999</v>
      </c>
      <c r="K41" s="2">
        <v>0.60708528399999995</v>
      </c>
      <c r="L41" t="s">
        <v>34</v>
      </c>
    </row>
    <row r="42" spans="1:12">
      <c r="A42" t="s">
        <v>57</v>
      </c>
      <c r="B42">
        <v>3</v>
      </c>
      <c r="C42">
        <v>114944813</v>
      </c>
      <c r="D42">
        <v>113462123</v>
      </c>
      <c r="E42" s="2">
        <v>6.4730999999999996</v>
      </c>
      <c r="F42" s="2">
        <v>20.476500000000001</v>
      </c>
      <c r="G42" s="2">
        <v>-1.1516200000000001</v>
      </c>
      <c r="H42" s="2">
        <v>-5.665241</v>
      </c>
      <c r="I42" s="2">
        <f t="shared" si="0"/>
        <v>5.665241</v>
      </c>
      <c r="J42" s="2">
        <v>0.24616179399999999</v>
      </c>
      <c r="K42" s="2">
        <v>0.60708528399999995</v>
      </c>
      <c r="L42" t="s">
        <v>34</v>
      </c>
    </row>
    <row r="43" spans="1:12">
      <c r="A43" t="s">
        <v>58</v>
      </c>
      <c r="B43">
        <v>5</v>
      </c>
      <c r="C43">
        <v>3223720</v>
      </c>
      <c r="D43">
        <v>3170720</v>
      </c>
      <c r="E43" s="2">
        <v>8.0617999999999999</v>
      </c>
      <c r="F43" s="2">
        <v>25.388300000000001</v>
      </c>
      <c r="G43" s="2">
        <v>-1.1471499999999999</v>
      </c>
      <c r="H43" s="2">
        <v>-5.6423909999999999</v>
      </c>
      <c r="I43" s="2">
        <f t="shared" si="0"/>
        <v>5.6423909999999999</v>
      </c>
      <c r="J43" s="2">
        <v>0.94515487300000001</v>
      </c>
      <c r="K43" s="2">
        <v>0.98730445600000005</v>
      </c>
    </row>
    <row r="44" spans="1:12">
      <c r="A44" t="s">
        <v>59</v>
      </c>
      <c r="B44">
        <v>3</v>
      </c>
      <c r="C44">
        <v>53303923</v>
      </c>
      <c r="D44">
        <v>53328883</v>
      </c>
      <c r="E44" s="2">
        <v>20.117799999999999</v>
      </c>
      <c r="F44" s="2">
        <v>6.9780600000000002</v>
      </c>
      <c r="G44" s="2">
        <v>1.0588299999999999</v>
      </c>
      <c r="H44" s="2">
        <v>5.6343269999999999</v>
      </c>
      <c r="I44" s="2">
        <f t="shared" si="0"/>
        <v>5.6343269999999999</v>
      </c>
      <c r="J44" s="2">
        <v>0.30357668300000001</v>
      </c>
      <c r="K44" s="2">
        <v>0.62917447299999996</v>
      </c>
      <c r="L44" t="s">
        <v>29</v>
      </c>
    </row>
    <row r="45" spans="1:12">
      <c r="A45" t="s">
        <v>60</v>
      </c>
      <c r="B45">
        <v>3</v>
      </c>
      <c r="C45">
        <v>114940638</v>
      </c>
      <c r="D45">
        <v>113457948</v>
      </c>
      <c r="E45" s="2">
        <v>6.5445599999999997</v>
      </c>
      <c r="F45" s="2">
        <v>20.5396</v>
      </c>
      <c r="G45" s="2">
        <v>-1.1437200000000001</v>
      </c>
      <c r="H45" s="2">
        <v>-5.6248570000000004</v>
      </c>
      <c r="I45" s="2">
        <f t="shared" si="0"/>
        <v>5.6248570000000004</v>
      </c>
      <c r="J45" s="2">
        <v>0.78111772899999998</v>
      </c>
      <c r="K45" s="2">
        <v>0.93547033400000001</v>
      </c>
      <c r="L45" t="s">
        <v>34</v>
      </c>
    </row>
    <row r="46" spans="1:12">
      <c r="A46" t="s">
        <v>61</v>
      </c>
      <c r="B46">
        <v>3</v>
      </c>
      <c r="C46">
        <v>114852700</v>
      </c>
      <c r="D46">
        <v>113370010</v>
      </c>
      <c r="E46" s="2">
        <v>10.6852</v>
      </c>
      <c r="F46" s="2">
        <v>33.488199999999999</v>
      </c>
      <c r="G46" s="2">
        <v>-1.1423300000000001</v>
      </c>
      <c r="H46" s="2">
        <v>-5.6177520000000003</v>
      </c>
      <c r="I46" s="2">
        <f t="shared" si="0"/>
        <v>5.6177520000000003</v>
      </c>
      <c r="J46" s="2">
        <v>0.27802028000000001</v>
      </c>
      <c r="K46" s="2">
        <v>0.62003318399999996</v>
      </c>
      <c r="L46" t="s">
        <v>62</v>
      </c>
    </row>
    <row r="47" spans="1:12">
      <c r="A47" t="s">
        <v>63</v>
      </c>
      <c r="B47">
        <v>3</v>
      </c>
      <c r="C47">
        <v>53298954</v>
      </c>
      <c r="D47">
        <v>53323914</v>
      </c>
      <c r="E47" s="2">
        <v>19.9617</v>
      </c>
      <c r="F47" s="2">
        <v>6.9498699999999998</v>
      </c>
      <c r="G47" s="2">
        <v>1.0550900000000001</v>
      </c>
      <c r="H47" s="2">
        <v>5.6152090000000001</v>
      </c>
      <c r="I47" s="2">
        <f t="shared" si="0"/>
        <v>5.6152090000000001</v>
      </c>
      <c r="J47" s="2">
        <v>0.62128080100000005</v>
      </c>
      <c r="K47" s="2">
        <v>0.86044903699999997</v>
      </c>
      <c r="L47" t="s">
        <v>49</v>
      </c>
    </row>
    <row r="48" spans="1:12">
      <c r="A48" t="s">
        <v>64</v>
      </c>
      <c r="B48">
        <v>3</v>
      </c>
      <c r="C48">
        <v>53354493</v>
      </c>
      <c r="D48">
        <v>53379453</v>
      </c>
      <c r="E48" s="2">
        <v>19.2623</v>
      </c>
      <c r="F48" s="2">
        <v>6.7306499999999998</v>
      </c>
      <c r="G48" s="2">
        <v>1.05148</v>
      </c>
      <c r="H48" s="2">
        <v>5.5967549999999999</v>
      </c>
      <c r="I48" s="2">
        <f t="shared" si="0"/>
        <v>5.5967549999999999</v>
      </c>
      <c r="J48" s="2">
        <v>0.42527594000000002</v>
      </c>
      <c r="K48" s="2">
        <v>0.74110645900000005</v>
      </c>
      <c r="L48" t="s">
        <v>29</v>
      </c>
    </row>
    <row r="49" spans="1:12">
      <c r="A49" t="s">
        <v>65</v>
      </c>
      <c r="B49">
        <v>3</v>
      </c>
      <c r="C49">
        <v>114848803</v>
      </c>
      <c r="D49">
        <v>113366113</v>
      </c>
      <c r="E49" s="2">
        <v>11.0924</v>
      </c>
      <c r="F49" s="2">
        <v>34.620600000000003</v>
      </c>
      <c r="G49" s="2">
        <v>-1.13819</v>
      </c>
      <c r="H49" s="2">
        <v>-5.5965879999999997</v>
      </c>
      <c r="I49" s="2">
        <f t="shared" si="0"/>
        <v>5.5965879999999997</v>
      </c>
      <c r="J49" s="2">
        <v>0.26797981399999998</v>
      </c>
      <c r="K49" s="2">
        <v>0.62003318399999996</v>
      </c>
      <c r="L49" t="s">
        <v>62</v>
      </c>
    </row>
    <row r="50" spans="1:12">
      <c r="A50" t="s">
        <v>66</v>
      </c>
      <c r="B50">
        <v>9</v>
      </c>
      <c r="C50">
        <v>81000851</v>
      </c>
      <c r="D50">
        <v>81811031</v>
      </c>
      <c r="E50" s="2">
        <v>21.340399999999999</v>
      </c>
      <c r="F50" s="2">
        <v>66.409499999999994</v>
      </c>
      <c r="G50" s="2">
        <v>-1.13524</v>
      </c>
      <c r="H50" s="2">
        <v>-5.5815080000000004</v>
      </c>
      <c r="I50" s="2">
        <f t="shared" si="0"/>
        <v>5.5815080000000004</v>
      </c>
      <c r="J50" s="2">
        <v>0.63527904999999996</v>
      </c>
      <c r="K50" s="2">
        <v>0.86727515399999999</v>
      </c>
    </row>
    <row r="51" spans="1:12">
      <c r="A51" t="s">
        <v>67</v>
      </c>
      <c r="B51">
        <v>19</v>
      </c>
      <c r="C51">
        <v>47067084</v>
      </c>
      <c r="D51">
        <v>42375244</v>
      </c>
      <c r="E51" s="2">
        <v>7.1428900000000004</v>
      </c>
      <c r="F51" s="2">
        <v>22.222899999999999</v>
      </c>
      <c r="G51" s="2">
        <v>-1.135</v>
      </c>
      <c r="H51" s="2">
        <v>-5.5802810000000003</v>
      </c>
      <c r="I51" s="2">
        <f t="shared" si="0"/>
        <v>5.5802810000000003</v>
      </c>
      <c r="J51" s="2">
        <v>0.36429742700000001</v>
      </c>
      <c r="K51" s="2">
        <v>0.69061123599999996</v>
      </c>
      <c r="L51" t="s">
        <v>68</v>
      </c>
    </row>
    <row r="52" spans="1:12">
      <c r="A52" t="s">
        <v>69</v>
      </c>
      <c r="B52">
        <v>9</v>
      </c>
      <c r="C52">
        <v>81029543</v>
      </c>
      <c r="D52">
        <v>81839723</v>
      </c>
      <c r="E52" s="2">
        <v>17.664999999999999</v>
      </c>
      <c r="F52" s="2">
        <v>54.938899999999997</v>
      </c>
      <c r="G52" s="2">
        <v>-1.1346400000000001</v>
      </c>
      <c r="H52" s="2">
        <v>-5.5784409999999998</v>
      </c>
      <c r="I52" s="2">
        <f t="shared" si="0"/>
        <v>5.5784409999999998</v>
      </c>
      <c r="J52" s="2">
        <v>0.95028053899999998</v>
      </c>
      <c r="K52" s="2">
        <v>0.98730445600000005</v>
      </c>
    </row>
    <row r="53" spans="1:12">
      <c r="A53" t="s">
        <v>70</v>
      </c>
      <c r="B53">
        <v>19</v>
      </c>
      <c r="C53">
        <v>47065138</v>
      </c>
      <c r="D53">
        <v>42373298</v>
      </c>
      <c r="E53" s="2">
        <v>7.1509799999999997</v>
      </c>
      <c r="F53" s="2">
        <v>22.224599999999999</v>
      </c>
      <c r="G53" s="2">
        <v>-1.13395</v>
      </c>
      <c r="H53" s="2">
        <v>-5.5749139999999997</v>
      </c>
      <c r="I53" s="2">
        <f t="shared" si="0"/>
        <v>5.5749139999999997</v>
      </c>
      <c r="J53" s="2">
        <v>0.36429742700000001</v>
      </c>
      <c r="K53" s="2">
        <v>0.69061123599999996</v>
      </c>
      <c r="L53" t="s">
        <v>68</v>
      </c>
    </row>
    <row r="54" spans="1:12">
      <c r="A54" t="s">
        <v>71</v>
      </c>
      <c r="B54">
        <v>19</v>
      </c>
      <c r="C54">
        <v>47065519</v>
      </c>
      <c r="D54">
        <v>42373679</v>
      </c>
      <c r="E54" s="2">
        <v>7.1509799999999997</v>
      </c>
      <c r="F54" s="2">
        <v>22.224599999999999</v>
      </c>
      <c r="G54" s="2">
        <v>-1.13395</v>
      </c>
      <c r="H54" s="2">
        <v>-5.5749139999999997</v>
      </c>
      <c r="I54" s="2">
        <f t="shared" si="0"/>
        <v>5.5749139999999997</v>
      </c>
      <c r="J54" s="2">
        <v>0.36429742700000001</v>
      </c>
      <c r="K54" s="2">
        <v>0.69061123599999996</v>
      </c>
      <c r="L54" t="s">
        <v>68</v>
      </c>
    </row>
    <row r="55" spans="1:12">
      <c r="A55" t="s">
        <v>72</v>
      </c>
      <c r="B55">
        <v>19</v>
      </c>
      <c r="C55">
        <v>47066676</v>
      </c>
      <c r="D55">
        <v>42374836</v>
      </c>
      <c r="E55" s="2">
        <v>7.1560100000000002</v>
      </c>
      <c r="F55" s="2">
        <v>22.229600000000001</v>
      </c>
      <c r="G55" s="2">
        <v>-1.13347</v>
      </c>
      <c r="H55" s="2">
        <v>-5.5724600000000004</v>
      </c>
      <c r="I55" s="2">
        <f t="shared" si="0"/>
        <v>5.5724600000000004</v>
      </c>
      <c r="J55" s="2">
        <v>0.71543013200000005</v>
      </c>
      <c r="K55" s="2">
        <v>0.89026250699999998</v>
      </c>
      <c r="L55" t="s">
        <v>68</v>
      </c>
    </row>
    <row r="56" spans="1:12">
      <c r="A56" t="s">
        <v>73</v>
      </c>
      <c r="B56">
        <v>3</v>
      </c>
      <c r="C56">
        <v>114947549</v>
      </c>
      <c r="D56">
        <v>113464859</v>
      </c>
      <c r="E56" s="2">
        <v>6.63035</v>
      </c>
      <c r="F56" s="2">
        <v>20.5962</v>
      </c>
      <c r="G56" s="2">
        <v>-1.1334500000000001</v>
      </c>
      <c r="H56" s="2">
        <v>-5.5723580000000004</v>
      </c>
      <c r="I56" s="2">
        <f t="shared" si="0"/>
        <v>5.5723580000000004</v>
      </c>
      <c r="J56" s="2">
        <v>0.78111772899999998</v>
      </c>
      <c r="K56" s="2">
        <v>0.93547033400000001</v>
      </c>
      <c r="L56" t="s">
        <v>34</v>
      </c>
    </row>
    <row r="57" spans="1:12">
      <c r="A57" t="s">
        <v>74</v>
      </c>
      <c r="B57">
        <v>19</v>
      </c>
      <c r="C57">
        <v>47060578</v>
      </c>
      <c r="D57">
        <v>42368738</v>
      </c>
      <c r="E57" s="2">
        <v>7.1662800000000004</v>
      </c>
      <c r="F57" s="2">
        <v>22.251799999999999</v>
      </c>
      <c r="G57" s="2">
        <v>-1.13304</v>
      </c>
      <c r="H57" s="2">
        <v>-5.5702619999999996</v>
      </c>
      <c r="I57" s="2">
        <f t="shared" si="0"/>
        <v>5.5702619999999996</v>
      </c>
      <c r="J57" s="2">
        <v>0.93817963599999998</v>
      </c>
      <c r="K57" s="2">
        <v>0.98730445600000005</v>
      </c>
      <c r="L57" t="s">
        <v>75</v>
      </c>
    </row>
    <row r="58" spans="1:12">
      <c r="A58" t="s">
        <v>76</v>
      </c>
      <c r="B58">
        <v>19</v>
      </c>
      <c r="C58">
        <v>47059746</v>
      </c>
      <c r="D58">
        <v>42367906</v>
      </c>
      <c r="E58" s="2">
        <v>7.1569799999999999</v>
      </c>
      <c r="F58" s="2">
        <v>22.204699999999999</v>
      </c>
      <c r="G58" s="2">
        <v>-1.13222</v>
      </c>
      <c r="H58" s="2">
        <v>-5.5660699999999999</v>
      </c>
      <c r="I58" s="2">
        <f t="shared" si="0"/>
        <v>5.5660699999999999</v>
      </c>
      <c r="J58" s="2">
        <v>0.35910533900000002</v>
      </c>
      <c r="K58" s="2">
        <v>0.69061123599999996</v>
      </c>
      <c r="L58" t="s">
        <v>75</v>
      </c>
    </row>
    <row r="59" spans="1:12">
      <c r="A59" t="s">
        <v>77</v>
      </c>
      <c r="B59">
        <v>9</v>
      </c>
      <c r="C59">
        <v>81025557</v>
      </c>
      <c r="D59">
        <v>81835737</v>
      </c>
      <c r="E59" s="2">
        <v>17.758500000000002</v>
      </c>
      <c r="F59" s="2">
        <v>54.982799999999997</v>
      </c>
      <c r="G59" s="2">
        <v>-1.1301600000000001</v>
      </c>
      <c r="H59" s="2">
        <v>-5.5555399999999997</v>
      </c>
      <c r="I59" s="2">
        <f t="shared" si="0"/>
        <v>5.5555399999999997</v>
      </c>
      <c r="J59" s="2">
        <v>0.147679588</v>
      </c>
      <c r="K59" s="2">
        <v>0.48095416800000002</v>
      </c>
    </row>
    <row r="60" spans="1:12">
      <c r="A60" t="s">
        <v>78</v>
      </c>
      <c r="B60">
        <v>3</v>
      </c>
      <c r="C60">
        <v>114920726</v>
      </c>
      <c r="D60">
        <v>113438036</v>
      </c>
      <c r="E60" s="2">
        <v>8.8762799999999995</v>
      </c>
      <c r="F60" s="2">
        <v>27.309000000000001</v>
      </c>
      <c r="G60" s="2">
        <v>-1.1238300000000001</v>
      </c>
      <c r="H60" s="2">
        <v>-5.5231820000000003</v>
      </c>
      <c r="I60" s="2">
        <f t="shared" si="0"/>
        <v>5.5231820000000003</v>
      </c>
      <c r="J60" s="2">
        <v>0.182420686</v>
      </c>
      <c r="K60" s="2">
        <v>0.50853174599999995</v>
      </c>
      <c r="L60" t="s">
        <v>79</v>
      </c>
    </row>
    <row r="61" spans="1:12">
      <c r="A61" t="s">
        <v>80</v>
      </c>
      <c r="B61">
        <v>9</v>
      </c>
      <c r="C61">
        <v>81002163</v>
      </c>
      <c r="D61">
        <v>81812343</v>
      </c>
      <c r="E61" s="2">
        <v>21.7058</v>
      </c>
      <c r="F61" s="2">
        <v>66.439499999999995</v>
      </c>
      <c r="G61" s="2">
        <v>-1.1187100000000001</v>
      </c>
      <c r="H61" s="2">
        <v>-5.4970090000000003</v>
      </c>
      <c r="I61" s="2">
        <f t="shared" si="0"/>
        <v>5.4970090000000003</v>
      </c>
      <c r="J61" s="2">
        <v>0.64852091199999995</v>
      </c>
      <c r="K61" s="2">
        <v>0.87935038899999995</v>
      </c>
    </row>
    <row r="62" spans="1:12">
      <c r="A62" t="s">
        <v>81</v>
      </c>
      <c r="B62">
        <v>9</v>
      </c>
      <c r="C62">
        <v>81019156</v>
      </c>
      <c r="D62">
        <v>81829336</v>
      </c>
      <c r="E62" s="2">
        <v>18.085799999999999</v>
      </c>
      <c r="F62" s="2">
        <v>55.263399999999997</v>
      </c>
      <c r="G62" s="2">
        <v>-1.1169800000000001</v>
      </c>
      <c r="H62" s="2">
        <v>-5.4881650000000004</v>
      </c>
      <c r="I62" s="2">
        <f t="shared" si="0"/>
        <v>5.4881650000000004</v>
      </c>
      <c r="J62" s="2">
        <v>0.156997109</v>
      </c>
      <c r="K62" s="2">
        <v>0.49061596600000001</v>
      </c>
    </row>
    <row r="63" spans="1:12">
      <c r="A63" t="s">
        <v>82</v>
      </c>
      <c r="B63">
        <v>16</v>
      </c>
      <c r="C63">
        <v>31411252</v>
      </c>
      <c r="D63">
        <v>31503751</v>
      </c>
      <c r="E63" s="2">
        <v>23.676300000000001</v>
      </c>
      <c r="F63" s="2">
        <v>8.4782100000000007</v>
      </c>
      <c r="G63" s="2">
        <v>1.0269699999999999</v>
      </c>
      <c r="H63" s="2">
        <v>5.4714619999999998</v>
      </c>
      <c r="I63" s="2">
        <f t="shared" si="0"/>
        <v>5.4714619999999998</v>
      </c>
      <c r="J63" s="2">
        <v>3.9275020000000002E-3</v>
      </c>
      <c r="K63" s="2">
        <v>0.118581413</v>
      </c>
      <c r="L63" t="s">
        <v>54</v>
      </c>
    </row>
    <row r="64" spans="1:12">
      <c r="A64" t="s">
        <v>83</v>
      </c>
      <c r="B64">
        <v>3</v>
      </c>
      <c r="C64">
        <v>114932941</v>
      </c>
      <c r="D64">
        <v>113450251</v>
      </c>
      <c r="E64" s="2">
        <v>6.7926599999999997</v>
      </c>
      <c r="F64" s="2">
        <v>20.624600000000001</v>
      </c>
      <c r="G64" s="2">
        <v>-1.1106400000000001</v>
      </c>
      <c r="H64" s="2">
        <v>-5.455756</v>
      </c>
      <c r="I64" s="2">
        <f t="shared" si="0"/>
        <v>5.455756</v>
      </c>
      <c r="J64" s="2">
        <v>0.24616179399999999</v>
      </c>
      <c r="K64" s="2">
        <v>0.60708528399999995</v>
      </c>
      <c r="L64" t="s">
        <v>34</v>
      </c>
    </row>
    <row r="65" spans="1:12">
      <c r="A65" t="s">
        <v>84</v>
      </c>
      <c r="B65">
        <v>2</v>
      </c>
      <c r="C65">
        <v>176076561</v>
      </c>
      <c r="D65">
        <v>176368315</v>
      </c>
      <c r="E65" s="2">
        <v>3.7882400000000001</v>
      </c>
      <c r="F65" s="2">
        <v>11.474299999999999</v>
      </c>
      <c r="G65" s="2">
        <v>-1.1082099999999999</v>
      </c>
      <c r="H65" s="2">
        <v>-5.4433340000000001</v>
      </c>
      <c r="I65" s="2">
        <f t="shared" si="0"/>
        <v>5.4433340000000001</v>
      </c>
      <c r="J65" s="2">
        <v>0.117812948</v>
      </c>
      <c r="K65" s="2">
        <v>0.45581163800000002</v>
      </c>
    </row>
    <row r="66" spans="1:12">
      <c r="A66" t="s">
        <v>85</v>
      </c>
      <c r="B66">
        <v>5</v>
      </c>
      <c r="C66">
        <v>3213085</v>
      </c>
      <c r="D66">
        <v>3160085</v>
      </c>
      <c r="E66" s="2">
        <v>8.0854800000000004</v>
      </c>
      <c r="F66" s="2">
        <v>24.4739</v>
      </c>
      <c r="G66" s="2">
        <v>-1.10754</v>
      </c>
      <c r="H66" s="2">
        <v>-5.4399090000000001</v>
      </c>
      <c r="I66" s="2">
        <f t="shared" si="0"/>
        <v>5.4399090000000001</v>
      </c>
      <c r="J66" s="2">
        <v>0.40374324099999997</v>
      </c>
      <c r="K66" s="2">
        <v>0.72835719099999996</v>
      </c>
    </row>
    <row r="67" spans="1:12">
      <c r="A67" t="s">
        <v>86</v>
      </c>
      <c r="B67">
        <v>2</v>
      </c>
      <c r="C67">
        <v>176098106</v>
      </c>
      <c r="D67">
        <v>176389860</v>
      </c>
      <c r="E67" s="2">
        <v>3.77176</v>
      </c>
      <c r="F67" s="2">
        <v>11.4124</v>
      </c>
      <c r="G67" s="2">
        <v>-1.1071500000000001</v>
      </c>
      <c r="H67" s="2">
        <v>-5.4379150000000003</v>
      </c>
      <c r="I67" s="2">
        <f t="shared" si="0"/>
        <v>5.4379150000000003</v>
      </c>
      <c r="J67" s="2">
        <v>0.71484878299999999</v>
      </c>
      <c r="K67" s="2">
        <v>0.89026250699999998</v>
      </c>
    </row>
    <row r="68" spans="1:12">
      <c r="A68" t="s">
        <v>87</v>
      </c>
      <c r="B68">
        <v>3</v>
      </c>
      <c r="C68">
        <v>114991025</v>
      </c>
      <c r="D68">
        <v>113508335</v>
      </c>
      <c r="E68" s="2">
        <v>6.2665100000000002</v>
      </c>
      <c r="F68" s="2">
        <v>18.9343</v>
      </c>
      <c r="G68" s="2">
        <v>-1.10575</v>
      </c>
      <c r="H68" s="2">
        <v>-5.4307590000000001</v>
      </c>
      <c r="I68" s="2">
        <f t="shared" ref="I68:I99" si="1">ABS(H68)</f>
        <v>5.4307590000000001</v>
      </c>
      <c r="J68" s="2">
        <v>0.47485026499999999</v>
      </c>
      <c r="K68" s="2">
        <v>0.77628400200000003</v>
      </c>
      <c r="L68" t="s">
        <v>34</v>
      </c>
    </row>
    <row r="69" spans="1:12">
      <c r="A69" t="s">
        <v>88</v>
      </c>
      <c r="B69">
        <v>9</v>
      </c>
      <c r="C69">
        <v>81027325</v>
      </c>
      <c r="D69">
        <v>81837505</v>
      </c>
      <c r="E69" s="2">
        <v>18.113499999999998</v>
      </c>
      <c r="F69" s="2">
        <v>54.704799999999999</v>
      </c>
      <c r="G69" s="2">
        <v>-1.1052999999999999</v>
      </c>
      <c r="H69" s="2">
        <v>-5.428458</v>
      </c>
      <c r="I69" s="2">
        <f t="shared" si="1"/>
        <v>5.428458</v>
      </c>
      <c r="J69" s="2">
        <v>0.178080765</v>
      </c>
      <c r="K69" s="2">
        <v>0.50853174599999995</v>
      </c>
    </row>
    <row r="70" spans="1:12">
      <c r="A70" t="s">
        <v>89</v>
      </c>
      <c r="B70">
        <v>2</v>
      </c>
      <c r="C70">
        <v>176066288</v>
      </c>
      <c r="D70">
        <v>176358042</v>
      </c>
      <c r="E70" s="2">
        <v>3.80233</v>
      </c>
      <c r="F70" s="2">
        <v>11.479100000000001</v>
      </c>
      <c r="G70" s="2">
        <v>-1.1049100000000001</v>
      </c>
      <c r="H70" s="2">
        <v>-5.4264650000000003</v>
      </c>
      <c r="I70" s="2">
        <f t="shared" si="1"/>
        <v>5.4264650000000003</v>
      </c>
      <c r="J70" s="2">
        <v>0.60500609100000002</v>
      </c>
      <c r="K70" s="2">
        <v>0.86044903699999997</v>
      </c>
    </row>
    <row r="71" spans="1:12">
      <c r="A71" t="s">
        <v>90</v>
      </c>
      <c r="B71">
        <v>5</v>
      </c>
      <c r="C71">
        <v>3214133</v>
      </c>
      <c r="D71">
        <v>3161133</v>
      </c>
      <c r="E71" s="2">
        <v>8.1300600000000003</v>
      </c>
      <c r="F71" s="2">
        <v>24.431100000000001</v>
      </c>
      <c r="G71" s="2">
        <v>-1.10029</v>
      </c>
      <c r="H71" s="2">
        <v>-5.4028479999999997</v>
      </c>
      <c r="I71" s="2">
        <f t="shared" si="1"/>
        <v>5.4028479999999997</v>
      </c>
      <c r="J71" s="2">
        <v>8.2679459999999996E-2</v>
      </c>
      <c r="K71" s="2">
        <v>0.39371171399999999</v>
      </c>
    </row>
    <row r="72" spans="1:12">
      <c r="A72" t="s">
        <v>91</v>
      </c>
      <c r="B72">
        <v>9</v>
      </c>
      <c r="C72">
        <v>80996102</v>
      </c>
      <c r="D72">
        <v>81806282</v>
      </c>
      <c r="E72" s="2">
        <v>22.1496</v>
      </c>
      <c r="F72" s="2">
        <v>66.522999999999996</v>
      </c>
      <c r="G72" s="2">
        <v>-1.0997300000000001</v>
      </c>
      <c r="H72" s="2">
        <v>-5.399985</v>
      </c>
      <c r="I72" s="2">
        <f t="shared" si="1"/>
        <v>5.399985</v>
      </c>
      <c r="J72" s="2">
        <v>0.94397921100000004</v>
      </c>
      <c r="K72" s="2">
        <v>0.98730445600000005</v>
      </c>
    </row>
    <row r="73" spans="1:12">
      <c r="A73" t="s">
        <v>92</v>
      </c>
      <c r="B73">
        <v>5</v>
      </c>
      <c r="C73">
        <v>3209508</v>
      </c>
      <c r="D73">
        <v>3156508</v>
      </c>
      <c r="E73" s="2">
        <v>8.1961600000000008</v>
      </c>
      <c r="F73" s="2">
        <v>24.479700000000001</v>
      </c>
      <c r="G73" s="2">
        <v>-1.0941799999999999</v>
      </c>
      <c r="H73" s="2">
        <v>-5.3716140000000001</v>
      </c>
      <c r="I73" s="2">
        <f t="shared" si="1"/>
        <v>5.3716140000000001</v>
      </c>
      <c r="J73" s="2">
        <v>5.1296700000000001E-2</v>
      </c>
      <c r="K73" s="2">
        <v>0.30624895499999999</v>
      </c>
    </row>
    <row r="74" spans="1:12">
      <c r="A74" t="s">
        <v>93</v>
      </c>
      <c r="B74">
        <v>2</v>
      </c>
      <c r="C74">
        <v>176064745</v>
      </c>
      <c r="D74">
        <v>176356499</v>
      </c>
      <c r="E74" s="2">
        <v>3.8532199999999999</v>
      </c>
      <c r="F74" s="2">
        <v>11.486499999999999</v>
      </c>
      <c r="G74" s="2">
        <v>-1.0922700000000001</v>
      </c>
      <c r="H74" s="2">
        <v>-5.3618509999999997</v>
      </c>
      <c r="I74" s="2">
        <f t="shared" si="1"/>
        <v>5.3618509999999997</v>
      </c>
      <c r="J74" s="2">
        <v>0.117441511</v>
      </c>
      <c r="K74" s="2">
        <v>0.45581163800000002</v>
      </c>
    </row>
    <row r="75" spans="1:12">
      <c r="A75" t="s">
        <v>94</v>
      </c>
      <c r="B75">
        <v>2</v>
      </c>
      <c r="C75">
        <v>176004658</v>
      </c>
      <c r="D75">
        <v>176296412</v>
      </c>
      <c r="E75" s="2">
        <v>4.0839100000000004</v>
      </c>
      <c r="F75" s="2">
        <v>12.1656</v>
      </c>
      <c r="G75" s="2">
        <v>-1.0915600000000001</v>
      </c>
      <c r="H75" s="2">
        <v>-5.3582210000000003</v>
      </c>
      <c r="I75" s="2">
        <f t="shared" si="1"/>
        <v>5.3582210000000003</v>
      </c>
      <c r="J75" s="2">
        <v>0.32582785199999997</v>
      </c>
      <c r="K75" s="2">
        <v>0.66836482500000005</v>
      </c>
    </row>
    <row r="76" spans="1:12">
      <c r="A76" t="s">
        <v>95</v>
      </c>
      <c r="B76">
        <v>3</v>
      </c>
      <c r="C76">
        <v>53355093</v>
      </c>
      <c r="D76">
        <v>53380053</v>
      </c>
      <c r="E76" s="2">
        <v>20.018599999999999</v>
      </c>
      <c r="F76" s="2">
        <v>7.3295599999999999</v>
      </c>
      <c r="G76" s="2">
        <v>1.00474</v>
      </c>
      <c r="H76" s="2">
        <v>5.3578250000000001</v>
      </c>
      <c r="I76" s="2">
        <f t="shared" si="1"/>
        <v>5.3578250000000001</v>
      </c>
      <c r="J76" s="2">
        <v>0.71770285099999998</v>
      </c>
      <c r="K76" s="2">
        <v>0.89026250699999998</v>
      </c>
      <c r="L76" t="s">
        <v>29</v>
      </c>
    </row>
    <row r="77" spans="1:12">
      <c r="A77" t="s">
        <v>96</v>
      </c>
      <c r="B77">
        <v>3</v>
      </c>
      <c r="C77">
        <v>114890992</v>
      </c>
      <c r="D77">
        <v>113408302</v>
      </c>
      <c r="E77" s="2">
        <v>9.2811900000000005</v>
      </c>
      <c r="F77" s="2">
        <v>27.637799999999999</v>
      </c>
      <c r="G77" s="2">
        <v>-1.0911900000000001</v>
      </c>
      <c r="H77" s="2">
        <v>-5.3563299999999998</v>
      </c>
      <c r="I77" s="2">
        <f t="shared" si="1"/>
        <v>5.3563299999999998</v>
      </c>
      <c r="J77" s="2">
        <v>0.92615097199999996</v>
      </c>
      <c r="K77" s="2">
        <v>0.98730445600000005</v>
      </c>
      <c r="L77" t="s">
        <v>62</v>
      </c>
    </row>
    <row r="78" spans="1:12">
      <c r="A78" t="s">
        <v>97</v>
      </c>
      <c r="B78">
        <v>3</v>
      </c>
      <c r="C78">
        <v>114896721</v>
      </c>
      <c r="D78">
        <v>113414031</v>
      </c>
      <c r="E78" s="2">
        <v>9.2811900000000005</v>
      </c>
      <c r="F78" s="2">
        <v>27.637799999999999</v>
      </c>
      <c r="G78" s="2">
        <v>-1.0911900000000001</v>
      </c>
      <c r="H78" s="2">
        <v>-5.3563299999999998</v>
      </c>
      <c r="I78" s="2">
        <f t="shared" si="1"/>
        <v>5.3563299999999998</v>
      </c>
      <c r="J78" s="2">
        <v>0.92615097199999996</v>
      </c>
      <c r="K78" s="2">
        <v>0.98730445600000005</v>
      </c>
      <c r="L78" t="s">
        <v>79</v>
      </c>
    </row>
    <row r="79" spans="1:12">
      <c r="A79" t="s">
        <v>98</v>
      </c>
      <c r="B79">
        <v>3</v>
      </c>
      <c r="C79">
        <v>114901901</v>
      </c>
      <c r="D79">
        <v>113419211</v>
      </c>
      <c r="E79" s="2">
        <v>9.2811900000000005</v>
      </c>
      <c r="F79" s="2">
        <v>27.637799999999999</v>
      </c>
      <c r="G79" s="2">
        <v>-1.0911900000000001</v>
      </c>
      <c r="H79" s="2">
        <v>-5.3563299999999998</v>
      </c>
      <c r="I79" s="2">
        <f t="shared" si="1"/>
        <v>5.3563299999999998</v>
      </c>
      <c r="J79" s="2">
        <v>0.92615097199999996</v>
      </c>
      <c r="K79" s="2">
        <v>0.98730445600000005</v>
      </c>
      <c r="L79" t="s">
        <v>79</v>
      </c>
    </row>
    <row r="80" spans="1:12">
      <c r="A80" t="s">
        <v>99</v>
      </c>
      <c r="B80">
        <v>3</v>
      </c>
      <c r="C80">
        <v>114980604</v>
      </c>
      <c r="D80">
        <v>113497914</v>
      </c>
      <c r="E80" s="2">
        <v>6.3853900000000001</v>
      </c>
      <c r="F80" s="2">
        <v>18.994299999999999</v>
      </c>
      <c r="G80" s="2">
        <v>-1.09013</v>
      </c>
      <c r="H80" s="2">
        <v>-5.350911</v>
      </c>
      <c r="I80" s="2">
        <f t="shared" si="1"/>
        <v>5.350911</v>
      </c>
      <c r="J80" s="2">
        <v>0.88668506800000002</v>
      </c>
      <c r="K80" s="2">
        <v>0.98268357100000003</v>
      </c>
      <c r="L80" t="s">
        <v>34</v>
      </c>
    </row>
    <row r="81" spans="1:12">
      <c r="A81" t="s">
        <v>100</v>
      </c>
      <c r="B81">
        <v>16</v>
      </c>
      <c r="C81">
        <v>31425849</v>
      </c>
      <c r="D81">
        <v>31518348</v>
      </c>
      <c r="E81" s="2">
        <v>23.276900000000001</v>
      </c>
      <c r="F81" s="2">
        <v>8.5366</v>
      </c>
      <c r="G81" s="2">
        <v>1.0031000000000001</v>
      </c>
      <c r="H81" s="2">
        <v>5.3494419999999998</v>
      </c>
      <c r="I81" s="2">
        <f t="shared" si="1"/>
        <v>5.3494419999999998</v>
      </c>
      <c r="J81" s="2">
        <v>1.7397227000000001E-2</v>
      </c>
      <c r="K81" s="2">
        <v>0.193302522</v>
      </c>
      <c r="L81" t="s">
        <v>54</v>
      </c>
    </row>
    <row r="82" spans="1:12">
      <c r="A82" t="s">
        <v>101</v>
      </c>
      <c r="B82">
        <v>2</v>
      </c>
      <c r="C82">
        <v>176013242</v>
      </c>
      <c r="D82">
        <v>176304996</v>
      </c>
      <c r="E82" s="2">
        <v>4.0655700000000001</v>
      </c>
      <c r="F82" s="2">
        <v>12.089399999999999</v>
      </c>
      <c r="G82" s="2">
        <v>-1.08978</v>
      </c>
      <c r="H82" s="2">
        <v>-5.3491220000000004</v>
      </c>
      <c r="I82" s="2">
        <f t="shared" si="1"/>
        <v>5.3491220000000004</v>
      </c>
      <c r="J82" s="2">
        <v>0.24340044499999999</v>
      </c>
      <c r="K82" s="2">
        <v>0.60708528399999995</v>
      </c>
    </row>
    <row r="83" spans="1:12">
      <c r="A83" t="s">
        <v>102</v>
      </c>
      <c r="B83">
        <v>3</v>
      </c>
      <c r="C83">
        <v>114989424</v>
      </c>
      <c r="D83">
        <v>113506734</v>
      </c>
      <c r="E83" s="2">
        <v>6.3717300000000003</v>
      </c>
      <c r="F83" s="2">
        <v>18.945900000000002</v>
      </c>
      <c r="G83" s="2">
        <v>-1.08972</v>
      </c>
      <c r="H83" s="2">
        <v>-5.3488150000000001</v>
      </c>
      <c r="I83" s="2">
        <f t="shared" si="1"/>
        <v>5.3488150000000001</v>
      </c>
      <c r="J83" s="2">
        <v>9.7022632999999997E-2</v>
      </c>
      <c r="K83" s="2">
        <v>0.42183753499999999</v>
      </c>
      <c r="L83" t="s">
        <v>34</v>
      </c>
    </row>
    <row r="84" spans="1:12">
      <c r="A84" t="s">
        <v>103</v>
      </c>
      <c r="B84">
        <v>3</v>
      </c>
      <c r="C84">
        <v>114986044</v>
      </c>
      <c r="D84">
        <v>113503354</v>
      </c>
      <c r="E84" s="2">
        <v>6.3725300000000002</v>
      </c>
      <c r="F84" s="2">
        <v>18.945900000000002</v>
      </c>
      <c r="G84" s="2">
        <v>-1.0895900000000001</v>
      </c>
      <c r="H84" s="2">
        <v>-5.3481509999999997</v>
      </c>
      <c r="I84" s="2">
        <f t="shared" si="1"/>
        <v>5.3481509999999997</v>
      </c>
      <c r="J84" s="2">
        <v>0.102664374</v>
      </c>
      <c r="K84" s="2">
        <v>0.427768225</v>
      </c>
      <c r="L84" t="s">
        <v>34</v>
      </c>
    </row>
    <row r="85" spans="1:12">
      <c r="A85" t="s">
        <v>104</v>
      </c>
      <c r="B85">
        <v>19</v>
      </c>
      <c r="C85">
        <v>47056640</v>
      </c>
      <c r="D85">
        <v>42364800</v>
      </c>
      <c r="E85" s="2">
        <v>7.5615600000000001</v>
      </c>
      <c r="F85" s="2">
        <v>22.466200000000001</v>
      </c>
      <c r="G85" s="2">
        <v>-1.08893</v>
      </c>
      <c r="H85" s="2">
        <v>-5.3447769999999997</v>
      </c>
      <c r="I85" s="2">
        <f t="shared" si="1"/>
        <v>5.3447769999999997</v>
      </c>
      <c r="J85" s="2">
        <v>0.61287383500000003</v>
      </c>
      <c r="K85" s="2">
        <v>0.86044903699999997</v>
      </c>
      <c r="L85" t="s">
        <v>75</v>
      </c>
    </row>
    <row r="86" spans="1:12">
      <c r="A86" t="s">
        <v>105</v>
      </c>
      <c r="B86">
        <v>3</v>
      </c>
      <c r="C86">
        <v>114979108</v>
      </c>
      <c r="D86">
        <v>113496418</v>
      </c>
      <c r="E86" s="2">
        <v>6.38957</v>
      </c>
      <c r="F86" s="2">
        <v>18.978100000000001</v>
      </c>
      <c r="G86" s="2">
        <v>-1.0886199999999999</v>
      </c>
      <c r="H86" s="2">
        <v>-5.3431920000000002</v>
      </c>
      <c r="I86" s="2">
        <f t="shared" si="1"/>
        <v>5.3431920000000002</v>
      </c>
      <c r="J86" s="2">
        <v>0.13904238999999999</v>
      </c>
      <c r="K86" s="2">
        <v>0.47958672499999999</v>
      </c>
      <c r="L86" t="s">
        <v>34</v>
      </c>
    </row>
    <row r="87" spans="1:12">
      <c r="A87" t="s">
        <v>106</v>
      </c>
      <c r="B87">
        <v>3</v>
      </c>
      <c r="C87">
        <v>114985341</v>
      </c>
      <c r="D87">
        <v>113502651</v>
      </c>
      <c r="E87" s="2">
        <v>6.3846100000000003</v>
      </c>
      <c r="F87" s="2">
        <v>18.945799999999998</v>
      </c>
      <c r="G87" s="2">
        <v>-1.08769</v>
      </c>
      <c r="H87" s="2">
        <v>-5.338438</v>
      </c>
      <c r="I87" s="2">
        <f t="shared" si="1"/>
        <v>5.338438</v>
      </c>
      <c r="J87" s="2">
        <v>6.8867067000000004E-2</v>
      </c>
      <c r="K87" s="2">
        <v>0.36365131099999998</v>
      </c>
      <c r="L87" t="s">
        <v>34</v>
      </c>
    </row>
    <row r="88" spans="1:12">
      <c r="A88" t="s">
        <v>107</v>
      </c>
      <c r="B88">
        <v>2</v>
      </c>
      <c r="C88">
        <v>176083343</v>
      </c>
      <c r="D88">
        <v>176375097</v>
      </c>
      <c r="E88" s="2">
        <v>3.8732500000000001</v>
      </c>
      <c r="F88" s="2">
        <v>11.4902</v>
      </c>
      <c r="G88" s="2">
        <v>-1.0873999999999999</v>
      </c>
      <c r="H88" s="2">
        <v>-5.3369559999999998</v>
      </c>
      <c r="I88" s="2">
        <f t="shared" si="1"/>
        <v>5.3369559999999998</v>
      </c>
      <c r="J88" s="2">
        <v>0.60500609100000002</v>
      </c>
      <c r="K88" s="2">
        <v>0.86044903699999997</v>
      </c>
    </row>
    <row r="89" spans="1:12">
      <c r="A89" t="s">
        <v>108</v>
      </c>
      <c r="B89">
        <v>3</v>
      </c>
      <c r="C89">
        <v>114926741</v>
      </c>
      <c r="D89">
        <v>113444051</v>
      </c>
      <c r="E89" s="2">
        <v>6.7513399999999999</v>
      </c>
      <c r="F89" s="2">
        <v>19.985399999999998</v>
      </c>
      <c r="G89" s="2">
        <v>-1.0852599999999999</v>
      </c>
      <c r="H89" s="2">
        <v>-5.3260160000000001</v>
      </c>
      <c r="I89" s="2">
        <f t="shared" si="1"/>
        <v>5.3260160000000001</v>
      </c>
      <c r="J89" s="2">
        <v>0.119799541</v>
      </c>
      <c r="K89" s="2">
        <v>0.45581163800000002</v>
      </c>
      <c r="L89" t="s">
        <v>79</v>
      </c>
    </row>
    <row r="90" spans="1:12">
      <c r="A90" t="s">
        <v>109</v>
      </c>
      <c r="B90">
        <v>3</v>
      </c>
      <c r="C90">
        <v>114978338</v>
      </c>
      <c r="D90">
        <v>113495648</v>
      </c>
      <c r="E90" s="2">
        <v>5.95526</v>
      </c>
      <c r="F90" s="2">
        <v>17.6236</v>
      </c>
      <c r="G90" s="2">
        <v>-1.0849599999999999</v>
      </c>
      <c r="H90" s="2">
        <v>-5.3244829999999999</v>
      </c>
      <c r="I90" s="2">
        <f t="shared" si="1"/>
        <v>5.3244829999999999</v>
      </c>
      <c r="J90" s="2">
        <v>0.334364883</v>
      </c>
      <c r="K90" s="2">
        <v>0.67548461199999998</v>
      </c>
      <c r="L90" t="s">
        <v>34</v>
      </c>
    </row>
    <row r="91" spans="1:12">
      <c r="A91" t="s">
        <v>110</v>
      </c>
      <c r="B91">
        <v>2</v>
      </c>
      <c r="C91">
        <v>176008903</v>
      </c>
      <c r="D91">
        <v>176300657</v>
      </c>
      <c r="E91" s="2">
        <v>4.0682499999999999</v>
      </c>
      <c r="F91" s="2">
        <v>12.027799999999999</v>
      </c>
      <c r="G91" s="2">
        <v>-1.0840099999999999</v>
      </c>
      <c r="H91" s="2">
        <v>-5.3196260000000004</v>
      </c>
      <c r="I91" s="2">
        <f t="shared" si="1"/>
        <v>5.3196260000000004</v>
      </c>
      <c r="J91" s="2">
        <v>4.446803E-3</v>
      </c>
      <c r="K91" s="2">
        <v>0.118581413</v>
      </c>
    </row>
    <row r="92" spans="1:12">
      <c r="A92" t="s">
        <v>111</v>
      </c>
      <c r="B92">
        <v>9</v>
      </c>
      <c r="C92">
        <v>81000812</v>
      </c>
      <c r="D92">
        <v>81810992</v>
      </c>
      <c r="E92" s="2">
        <v>22.700800000000001</v>
      </c>
      <c r="F92" s="2">
        <v>66.664599999999993</v>
      </c>
      <c r="G92" s="2">
        <v>-1.07728</v>
      </c>
      <c r="H92" s="2">
        <v>-5.2852230000000002</v>
      </c>
      <c r="I92" s="2">
        <f t="shared" si="1"/>
        <v>5.2852230000000002</v>
      </c>
      <c r="J92" s="2">
        <v>0.68028430299999998</v>
      </c>
      <c r="K92" s="2">
        <v>0.88354834500000001</v>
      </c>
    </row>
    <row r="93" spans="1:12">
      <c r="A93" t="s">
        <v>112</v>
      </c>
      <c r="B93">
        <v>5</v>
      </c>
      <c r="C93">
        <v>3223878</v>
      </c>
      <c r="D93">
        <v>3170878</v>
      </c>
      <c r="E93" s="2">
        <v>8.6735900000000008</v>
      </c>
      <c r="F93" s="2">
        <v>25.448</v>
      </c>
      <c r="G93" s="2">
        <v>-1.0763499999999999</v>
      </c>
      <c r="H93" s="2">
        <v>-5.2804690000000001</v>
      </c>
      <c r="I93" s="2">
        <f t="shared" si="1"/>
        <v>5.2804690000000001</v>
      </c>
      <c r="J93" s="2">
        <v>0.476483671</v>
      </c>
      <c r="K93" s="2">
        <v>0.77628400200000003</v>
      </c>
    </row>
    <row r="94" spans="1:12">
      <c r="A94" t="s">
        <v>113</v>
      </c>
      <c r="B94">
        <v>16</v>
      </c>
      <c r="C94">
        <v>31449916</v>
      </c>
      <c r="D94">
        <v>31542415</v>
      </c>
      <c r="E94" s="2">
        <v>17.196200000000001</v>
      </c>
      <c r="F94" s="2">
        <v>6.3945299999999996</v>
      </c>
      <c r="G94" s="2">
        <v>0.98924500000000004</v>
      </c>
      <c r="H94" s="2">
        <v>5.2786169999999997</v>
      </c>
      <c r="I94" s="2">
        <f t="shared" si="1"/>
        <v>5.2786169999999997</v>
      </c>
      <c r="J94" s="2">
        <v>0.22124152899999999</v>
      </c>
      <c r="K94" s="2">
        <v>0.56728597199999997</v>
      </c>
      <c r="L94" t="s">
        <v>114</v>
      </c>
    </row>
    <row r="95" spans="1:12">
      <c r="A95" t="s">
        <v>115</v>
      </c>
      <c r="B95">
        <v>2</v>
      </c>
      <c r="C95">
        <v>176041810</v>
      </c>
      <c r="D95">
        <v>176333564</v>
      </c>
      <c r="E95" s="2">
        <v>3.8901699999999999</v>
      </c>
      <c r="F95" s="2">
        <v>11.4084</v>
      </c>
      <c r="G95" s="2">
        <v>-1.0759000000000001</v>
      </c>
      <c r="H95" s="2">
        <v>-5.2781690000000001</v>
      </c>
      <c r="I95" s="2">
        <f t="shared" si="1"/>
        <v>5.2781690000000001</v>
      </c>
      <c r="J95" s="2">
        <v>0.44786088000000002</v>
      </c>
      <c r="K95" s="2">
        <v>0.762446819</v>
      </c>
    </row>
    <row r="96" spans="1:12">
      <c r="A96" t="s">
        <v>116</v>
      </c>
      <c r="B96">
        <v>2</v>
      </c>
      <c r="C96">
        <v>176042238</v>
      </c>
      <c r="D96">
        <v>176333992</v>
      </c>
      <c r="E96" s="2">
        <v>3.8901699999999999</v>
      </c>
      <c r="F96" s="2">
        <v>11.4084</v>
      </c>
      <c r="G96" s="2">
        <v>-1.0759000000000001</v>
      </c>
      <c r="H96" s="2">
        <v>-5.2781690000000001</v>
      </c>
      <c r="I96" s="2">
        <f t="shared" si="1"/>
        <v>5.2781690000000001</v>
      </c>
      <c r="J96" s="2">
        <v>0.44786088000000002</v>
      </c>
      <c r="K96" s="2">
        <v>0.762446819</v>
      </c>
    </row>
    <row r="97" spans="1:12">
      <c r="A97" t="s">
        <v>117</v>
      </c>
      <c r="B97">
        <v>2</v>
      </c>
      <c r="C97">
        <v>176085593</v>
      </c>
      <c r="D97">
        <v>176377347</v>
      </c>
      <c r="E97" s="2">
        <v>3.9192399999999998</v>
      </c>
      <c r="F97" s="2">
        <v>11.4877</v>
      </c>
      <c r="G97" s="2">
        <v>-1.07538</v>
      </c>
      <c r="H97" s="2">
        <v>-5.2755109999999998</v>
      </c>
      <c r="I97" s="2">
        <f t="shared" si="1"/>
        <v>5.2755109999999998</v>
      </c>
      <c r="J97" s="2">
        <v>0.92423514799999995</v>
      </c>
      <c r="K97" s="2">
        <v>0.98730445600000005</v>
      </c>
    </row>
    <row r="98" spans="1:12">
      <c r="A98" t="s">
        <v>118</v>
      </c>
      <c r="B98">
        <v>2</v>
      </c>
      <c r="C98">
        <v>176093680</v>
      </c>
      <c r="D98">
        <v>176385434</v>
      </c>
      <c r="E98" s="2">
        <v>3.9192399999999998</v>
      </c>
      <c r="F98" s="2">
        <v>11.4877</v>
      </c>
      <c r="G98" s="2">
        <v>-1.07538</v>
      </c>
      <c r="H98" s="2">
        <v>-5.2755109999999998</v>
      </c>
      <c r="I98" s="2">
        <f t="shared" si="1"/>
        <v>5.2755109999999998</v>
      </c>
      <c r="J98" s="2">
        <v>0.92423514799999995</v>
      </c>
      <c r="K98" s="2">
        <v>0.98730445600000005</v>
      </c>
    </row>
    <row r="99" spans="1:12">
      <c r="A99" t="s">
        <v>119</v>
      </c>
      <c r="B99">
        <v>19</v>
      </c>
      <c r="C99">
        <v>47077309</v>
      </c>
      <c r="D99">
        <v>42385469</v>
      </c>
      <c r="E99" s="2">
        <v>6.8209799999999996</v>
      </c>
      <c r="F99" s="2">
        <v>19.938700000000001</v>
      </c>
      <c r="G99" s="2">
        <v>-1.0726599999999999</v>
      </c>
      <c r="H99" s="2">
        <v>-5.2616059999999996</v>
      </c>
      <c r="I99" s="2">
        <f t="shared" si="1"/>
        <v>5.2616059999999996</v>
      </c>
      <c r="J99" s="2">
        <v>0.21279274400000001</v>
      </c>
      <c r="K99" s="2">
        <v>0.55270842600000003</v>
      </c>
      <c r="L99" t="s">
        <v>120</v>
      </c>
    </row>
    <row r="100" spans="1:12">
      <c r="A100" t="s">
        <v>121</v>
      </c>
      <c r="B100">
        <v>19</v>
      </c>
      <c r="C100">
        <v>47049909</v>
      </c>
      <c r="D100">
        <v>42358069</v>
      </c>
      <c r="E100" s="2">
        <v>7.6958900000000003</v>
      </c>
      <c r="F100" s="2">
        <v>22.450099999999999</v>
      </c>
      <c r="G100" s="2">
        <v>-1.0706100000000001</v>
      </c>
      <c r="H100" s="2">
        <v>-5.2511270000000003</v>
      </c>
      <c r="I100" s="2">
        <f>ABS(H100)</f>
        <v>5.2511270000000003</v>
      </c>
      <c r="J100" s="2">
        <v>0.55461570500000001</v>
      </c>
      <c r="K100" s="2">
        <v>0.83499079099999995</v>
      </c>
      <c r="L100" t="s">
        <v>122</v>
      </c>
    </row>
    <row r="101" spans="1:12">
      <c r="A101" t="s">
        <v>123</v>
      </c>
      <c r="B101">
        <v>2</v>
      </c>
      <c r="C101">
        <v>176061158</v>
      </c>
      <c r="D101">
        <v>176352912</v>
      </c>
      <c r="E101" s="2">
        <v>3.97099</v>
      </c>
      <c r="F101" s="2">
        <v>11.5641</v>
      </c>
      <c r="G101" s="2">
        <v>-1.0688899999999999</v>
      </c>
      <c r="H101" s="2">
        <v>-5.2423349999999997</v>
      </c>
      <c r="I101" s="2">
        <f>ABS(H101)</f>
        <v>5.2423349999999997</v>
      </c>
      <c r="J101" s="2">
        <v>0.41608868100000002</v>
      </c>
      <c r="K101" s="2">
        <v>0.74056956100000004</v>
      </c>
    </row>
    <row r="102" spans="1:12">
      <c r="A102" t="s">
        <v>124</v>
      </c>
      <c r="B102">
        <v>16</v>
      </c>
      <c r="C102">
        <v>31331321</v>
      </c>
      <c r="D102">
        <v>31423820</v>
      </c>
      <c r="E102" s="2">
        <v>28.175599999999999</v>
      </c>
      <c r="F102" s="2">
        <v>10.5761</v>
      </c>
      <c r="G102" s="2">
        <v>0.97985599999999995</v>
      </c>
      <c r="H102" s="2">
        <v>5.2306210000000002</v>
      </c>
      <c r="I102" s="2">
        <f>ABS(H102)</f>
        <v>5.2306210000000002</v>
      </c>
      <c r="J102" s="2">
        <v>0.16046026099999999</v>
      </c>
      <c r="K102" s="2">
        <v>0.49372388</v>
      </c>
      <c r="L102" t="s">
        <v>125</v>
      </c>
    </row>
    <row r="103" spans="1:12">
      <c r="A103" t="s">
        <v>126</v>
      </c>
      <c r="B103">
        <v>19</v>
      </c>
      <c r="C103">
        <v>47068973</v>
      </c>
      <c r="D103">
        <v>42377133</v>
      </c>
      <c r="E103" s="2">
        <v>7.7761100000000001</v>
      </c>
      <c r="F103" s="2">
        <v>22.583600000000001</v>
      </c>
      <c r="G103" s="2">
        <v>-1.0661700000000001</v>
      </c>
      <c r="H103" s="2">
        <v>-5.2284300000000004</v>
      </c>
      <c r="I103" s="2">
        <f>ABS(H103)</f>
        <v>5.2284300000000004</v>
      </c>
      <c r="J103" s="2">
        <v>0.71543013200000005</v>
      </c>
      <c r="K103" s="2">
        <v>0.89026250699999998</v>
      </c>
      <c r="L10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Joe-j</dc:creator>
  <cp:lastModifiedBy>Joe-j</cp:lastModifiedBy>
  <dcterms:created xsi:type="dcterms:W3CDTF">2012-03-16T13:51:45Z</dcterms:created>
  <dcterms:modified xsi:type="dcterms:W3CDTF">2012-03-16T13:52:06Z</dcterms:modified>
</cp:coreProperties>
</file>