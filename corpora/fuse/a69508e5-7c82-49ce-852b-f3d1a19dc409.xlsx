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24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D4" i="1"/>
  <c r="C4" i="1"/>
  <c r="B4" i="1"/>
  <c r="A4" i="1"/>
  <c r="O597" i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<sst xmlns="http://schemas.openxmlformats.org/spreadsheetml/2006/main" count="71" uniqueCount="33">
  <si>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</si>
  <si>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</si>
  <si>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</si>
  <si>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</si>
  <si>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</si>
  <si>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</si>
  <si>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</si>
  <si>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</si>
  <si>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</si>
  <si>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</si>
  <si>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</si>
  <si>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</si>
  <si>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</si>
  <si>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</si>
  <si>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</si>
  <si>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</si>
  <si>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</si>
  <si>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</si>
  <si>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</si>
  <si>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</si>
  <si>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</si>
  <si>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</si>
  <si>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</si>
  <si>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</si>
  <si>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</si>
  <si>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</si>
  <si>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barge = Illinois River barge rate (index = percent of tariff rate); and ocean = routes to Japan ($/metric ton)</t>
  </si>
  <si>
    <t>Unit</t>
  </si>
  <si>
    <t>Shuttle</t>
  </si>
  <si>
    <t>Monthly Averaged Tariffs
 with Fuel Surcharges</t>
  </si>
  <si>
    <t>Unit Train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</si>
  <si>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surcharge ($/car); </t>
    </r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</si>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</sst>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597"/>
  <sheetViews>
    <sheetView defaultGridColor="0" colorId="22" zoomScaleNormal="100" workbookViewId="0">
      <pane xSplit="1" ySplit="7" topLeftCell="B588" activePane="bottomRight" state="frozen"/>
      <selection pane="topRight" activeCell="B1" sqref="B1"/>
      <selection pane="bottomLeft" activeCell="A8" sqref="A8"/>
      <selection pane="bottomRight" activeCell="E597" sqref="E597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2695312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7265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(A597)</f>
        <v>41612</v>
      </c>
      <c r="B4" s="53">
        <f t="shared" ref="B4:G4" si="0">J597</f>
        <v>260.60402684563758</v>
      </c>
      <c r="C4" s="53">
        <f t="shared" si="0"/>
        <v>248.59308883992753</v>
      </c>
      <c r="D4" s="53">
        <f t="shared" si="0"/>
        <v>242.20858631070351</v>
      </c>
      <c r="E4" s="53">
        <f t="shared" si="0"/>
        <v>301.11111111111109</v>
      </c>
      <c r="F4" s="53">
        <f t="shared" si="0"/>
        <v>243.7388193202147</v>
      </c>
      <c r="G4" s="53">
        <f t="shared" si="0"/>
        <v>205.67375886524823</v>
      </c>
    </row>
    <row r="5" spans="1:26" s="32" customFormat="1" ht="15.6" customHeight="1" x14ac:dyDescent="0.3">
      <c r="A5" s="28"/>
      <c r="B5" s="8">
        <f t="shared" ref="B5:G5" si="1">(B597-B596)/(B596)</f>
        <v>1.0145681581685783E-2</v>
      </c>
      <c r="C5" s="8">
        <f t="shared" si="1"/>
        <v>0</v>
      </c>
      <c r="D5" s="8">
        <f t="shared" si="1"/>
        <v>0.23716153127917833</v>
      </c>
      <c r="E5" s="8">
        <f t="shared" si="1"/>
        <v>2.2641509433962263E-2</v>
      </c>
      <c r="F5" s="8">
        <f t="shared" si="1"/>
        <v>2.8301886792452831E-2</v>
      </c>
      <c r="G5" s="8">
        <f t="shared" si="1"/>
        <v>3.5714285714285712E-2</v>
      </c>
      <c r="H5" s="29"/>
      <c r="I5" s="29"/>
      <c r="J5" s="29"/>
      <c r="K5" s="29">
        <v>-0.115</v>
      </c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56" t="s">
        <v>29</v>
      </c>
      <c r="Z5" s="157"/>
    </row>
    <row r="6" spans="1:26" x14ac:dyDescent="0.3">
      <c r="A6" s="1" t="s">
        <v>4</v>
      </c>
      <c r="B6" s="19" t="s">
        <v>5</v>
      </c>
      <c r="C6" s="2" t="s">
        <v>32</v>
      </c>
      <c r="D6" s="2" t="s">
        <v>32</v>
      </c>
      <c r="E6" s="2" t="s">
        <v>22</v>
      </c>
      <c r="F6" s="19" t="s">
        <v>6</v>
      </c>
      <c r="I6" s="1" t="s">
        <v>7</v>
      </c>
      <c r="Q6" s="9" t="s">
        <v>8</v>
      </c>
      <c r="Y6" s="157"/>
      <c r="Z6" s="157"/>
    </row>
    <row r="7" spans="1:26" x14ac:dyDescent="0.3">
      <c r="A7" s="1" t="s">
        <v>9</v>
      </c>
      <c r="B7" s="19" t="s">
        <v>10</v>
      </c>
      <c r="C7" s="2" t="s">
        <v>27</v>
      </c>
      <c r="D7" s="2" t="s">
        <v>28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27</v>
      </c>
      <c r="S7" s="4" t="s">
        <v>28</v>
      </c>
      <c r="T7" s="4" t="s">
        <v>17</v>
      </c>
      <c r="U7" s="4" t="s">
        <v>13</v>
      </c>
      <c r="V7" s="3" t="s">
        <v>14</v>
      </c>
      <c r="Y7" s="4" t="s">
        <v>27</v>
      </c>
      <c r="Z7" s="4" t="s">
        <v>28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55" t="s">
        <v>25</v>
      </c>
      <c r="G236" s="155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8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597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7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597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59" t="s">
        <v>11</v>
      </c>
      <c r="E3" s="159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30</v>
      </c>
      <c r="E4" s="41" t="s">
        <v>28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41612</v>
      </c>
      <c r="C5" s="51">
        <f>Data!B4</f>
        <v>260.60402684563758</v>
      </c>
      <c r="D5" s="51">
        <f>Data!C4</f>
        <v>248.59308883992753</v>
      </c>
      <c r="E5" s="51">
        <f>Data!D4</f>
        <v>242.20858631070351</v>
      </c>
      <c r="F5" s="51">
        <f>Data!E4</f>
        <v>301.11111111111109</v>
      </c>
      <c r="G5" s="51">
        <f>Data!F4</f>
        <v>243.7388193202147</v>
      </c>
      <c r="H5" s="51">
        <f>Data!G4</f>
        <v>205.67375886524823</v>
      </c>
      <c r="I5" s="22"/>
      <c r="J5" s="47"/>
    </row>
    <row r="6" spans="1:10" ht="9" customHeight="1" x14ac:dyDescent="0.25">
      <c r="A6" s="47"/>
      <c r="B6" s="25"/>
      <c r="C6" s="26">
        <f>Data!B5</f>
        <v>1.0145681581685783E-2</v>
      </c>
      <c r="D6" s="26">
        <f>Data!C5</f>
        <v>0</v>
      </c>
      <c r="E6" s="26"/>
      <c r="F6" s="26">
        <f>Data!E5</f>
        <v>2.2641509433962263E-2</v>
      </c>
      <c r="G6" s="26">
        <f>Data!F5</f>
        <v>2.8301886792452831E-2</v>
      </c>
      <c r="H6" s="26">
        <f>Data!G5</f>
        <v>3.5714285714285712E-2</v>
      </c>
      <c r="I6" s="22"/>
      <c r="J6" s="47"/>
    </row>
    <row r="7" spans="1:10" ht="12" customHeight="1" x14ac:dyDescent="0.25">
      <c r="A7" s="47"/>
      <c r="B7" s="49">
        <f>Data!A596</f>
        <v>41605</v>
      </c>
      <c r="C7" s="50">
        <f>Data!J596</f>
        <v>257.98657718120808</v>
      </c>
      <c r="D7" s="50">
        <f>Data!K596</f>
        <v>249.14012490269789</v>
      </c>
      <c r="E7" s="50">
        <f>Data!L596</f>
        <v>237.92996635525171</v>
      </c>
      <c r="F7" s="50">
        <f>Data!M596</f>
        <v>294.44444444444446</v>
      </c>
      <c r="G7" s="50">
        <f>Data!N596</f>
        <v>237.03041144901613</v>
      </c>
      <c r="H7" s="50">
        <f>Data!O596</f>
        <v>198.58156028368796</v>
      </c>
      <c r="I7" s="22"/>
      <c r="J7" s="47"/>
    </row>
    <row r="8" spans="1:10" x14ac:dyDescent="0.25">
      <c r="A8" s="47"/>
      <c r="B8" s="46" t="s">
        <v>31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26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58"/>
      <c r="C10" s="158"/>
      <c r="D10" s="158"/>
      <c r="E10" s="158"/>
      <c r="F10" s="158"/>
      <c r="G10" s="158"/>
      <c r="H10" s="158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2013-12-04T13:22:03Z</dcterms:modified>
</cp:coreProperties>
</file>